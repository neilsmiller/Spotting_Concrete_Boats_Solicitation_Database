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scott_sanders_13_us_af_mil/Documents/Documents/CEOER/Utilities/Cross-Connection Survey/Appendices/"/>
    </mc:Choice>
  </mc:AlternateContent>
  <xr:revisionPtr revIDLastSave="11" documentId="8_{BB3C76AD-6B32-4764-B477-C694E3790B40}" xr6:coauthVersionLast="47" xr6:coauthVersionMax="47" xr10:uidLastSave="{64FBCE6E-2877-4913-AB13-C08A138A86E4}"/>
  <bookViews>
    <workbookView xWindow="28680" yWindow="-8565" windowWidth="25440" windowHeight="15060" xr2:uid="{00000000-000D-0000-FFFF-FFFF00000000}"/>
  </bookViews>
  <sheets>
    <sheet name="2023 MASTER LIST" sheetId="2" r:id="rId1"/>
    <sheet name="2023 CONTRACTOR Master List " sheetId="5" state="hidden" r:id="rId2"/>
    <sheet name="Data Sets" sheetId="7" state="hidden" r:id="rId3"/>
    <sheet name="2024 ASR NUMBERS" sheetId="10" state="hidden" r:id="rId4"/>
    <sheet name="2024 DO NOT TOUCH" sheetId="13" state="hidden" r:id="rId5"/>
    <sheet name="2024 CONTRACTOR DO NOT TOUCH" sheetId="15" state="hidden" r:id="rId6"/>
    <sheet name="Color code " sheetId="16" state="hidden" r:id="rId7"/>
  </sheets>
  <definedNames>
    <definedName name="_xlnm._FilterDatabase" localSheetId="1" hidden="1">'2023 CONTRACTOR Master List '!$A$1:$Y$84</definedName>
    <definedName name="_xlnm._FilterDatabase" localSheetId="0" hidden="1">'2023 MASTER LIST'!$A$1:$Y$439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2" l="1"/>
  <c r="A16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A17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A18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A19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A20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A21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A22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A23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A24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A25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A26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A28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A29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A30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A31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A32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A33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A34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A35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A36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A37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A38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A52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A53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A54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A55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A56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A57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A58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A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A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A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A62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A63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A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A65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A66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A67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A68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A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A70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A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A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A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A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A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A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A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A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A79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A80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A81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A82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A83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A84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A85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A86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A87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A88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A89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A90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A91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A92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A93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A94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A95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A96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A97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A98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A99" i="2"/>
  <c r="B99" i="2"/>
  <c r="C99" i="2"/>
  <c r="D99" i="2"/>
  <c r="E99" i="2"/>
  <c r="F99" i="2"/>
  <c r="G99" i="2"/>
  <c r="H99" i="2"/>
  <c r="I99" i="2"/>
  <c r="J99" i="2"/>
  <c r="K99" i="2"/>
  <c r="L99" i="2"/>
  <c r="M99" i="2"/>
  <c r="O99" i="2"/>
  <c r="P99" i="2"/>
  <c r="Q99" i="2"/>
  <c r="R99" i="2"/>
  <c r="S99" i="2"/>
  <c r="T99" i="2"/>
  <c r="U99" i="2"/>
  <c r="V99" i="2"/>
  <c r="W99" i="2"/>
  <c r="X99" i="2"/>
  <c r="Y99" i="2"/>
  <c r="A100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A101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A102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A103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A104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A105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A106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A107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A108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A109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A110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A111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A112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A113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A114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A115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A116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A117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A118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A119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A120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A121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A122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A123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A124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A125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A126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A127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A128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A129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A130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A131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A132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A133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A134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A135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A136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A137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A138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A139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A140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A141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A142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A143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A144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A145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A146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A147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A148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A149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A150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A151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A152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A153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A154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A155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A156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A157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A158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A159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A160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A161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A162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A163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A164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A165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A166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A167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A168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A169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A170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A171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A172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A173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A174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A175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A176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A177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A178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A179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A180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A181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A182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A183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A184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A185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A186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A187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A188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A189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A190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A191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A192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A193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A194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A195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A196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A197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A198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A199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A200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A201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A202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A203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A204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A205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A206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A207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A208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A209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A210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A211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A212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A213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A214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A215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A216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A217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A218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A219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A220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A221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A222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A223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A224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A225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A226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A227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A228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A229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A230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A231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A232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A233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A234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A235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A236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A237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A238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A239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A240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A241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A242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A243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A244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A245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A246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A247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A248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A249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A250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A251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A252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A253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A254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A255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A256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A257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A258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A259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A260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A261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A262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A263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A264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A265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A266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A267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A268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A269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A270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A271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A272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A273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A274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A275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A276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A277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A278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A279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A280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A281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A282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A283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A284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A285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A286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A287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A288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A289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A290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A291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A292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A293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A294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A295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A296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A297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A298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A299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A300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A301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A302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A303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A304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A305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A306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A307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A308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A309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A310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A311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A312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A313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A314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A315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A316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A317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A318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A319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A320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A321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A322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A323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A324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A325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A326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A327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A328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A329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A330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A331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A332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A333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A334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A335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A336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A337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A338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A339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A340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A341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A342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A343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A344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A345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A346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A347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A348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A349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A350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A351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A352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A353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A354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A355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A356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A357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A358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A359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A360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A361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A362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A363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A364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A365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A366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A367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A368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A369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A370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A371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A372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A373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A374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A375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A376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A377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A378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A379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A380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A381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A382" i="2"/>
  <c r="B382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A383" i="2"/>
  <c r="B383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A384" i="2"/>
  <c r="B384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A385" i="2"/>
  <c r="B385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A386" i="2"/>
  <c r="B386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A387" i="2"/>
  <c r="B387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A388" i="2"/>
  <c r="B388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A389" i="2"/>
  <c r="B389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A390" i="2"/>
  <c r="B390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A391" i="2"/>
  <c r="B391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A392" i="2"/>
  <c r="B392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A393" i="2"/>
  <c r="B393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A394" i="2"/>
  <c r="B394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A395" i="2"/>
  <c r="B395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A396" i="2"/>
  <c r="B396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A397" i="2"/>
  <c r="B397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A398" i="2"/>
  <c r="B398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A399" i="2"/>
  <c r="B399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A400" i="2"/>
  <c r="B400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A401" i="2"/>
  <c r="B401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A402" i="2"/>
  <c r="B402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A403" i="2"/>
  <c r="B403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A404" i="2"/>
  <c r="B404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A405" i="2"/>
  <c r="B405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A406" i="2"/>
  <c r="B406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A407" i="2"/>
  <c r="B407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A408" i="2"/>
  <c r="B408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A409" i="2"/>
  <c r="B409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A410" i="2"/>
  <c r="B410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A411" i="2"/>
  <c r="B411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A412" i="2"/>
  <c r="B412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A413" i="2"/>
  <c r="B413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A414" i="2"/>
  <c r="B414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A415" i="2"/>
  <c r="B415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A416" i="2"/>
  <c r="B416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A417" i="2"/>
  <c r="B417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A418" i="2"/>
  <c r="B418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A419" i="2"/>
  <c r="B419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A420" i="2"/>
  <c r="B420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A421" i="2"/>
  <c r="B421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A422" i="2"/>
  <c r="B422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A423" i="2"/>
  <c r="B423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A424" i="2"/>
  <c r="B424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A425" i="2"/>
  <c r="B425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A426" i="2"/>
  <c r="B426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A427" i="2"/>
  <c r="B427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A428" i="2"/>
  <c r="B428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A429" i="2"/>
  <c r="B429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A430" i="2"/>
  <c r="B430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A431" i="2"/>
  <c r="B431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A432" i="2"/>
  <c r="B432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A433" i="2"/>
  <c r="B433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A434" i="2"/>
  <c r="B434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A435" i="2"/>
  <c r="B435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A436" i="2"/>
  <c r="B436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A437" i="2"/>
  <c r="B437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A438" i="2"/>
  <c r="B438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A439" i="2"/>
  <c r="B439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A440" i="2"/>
  <c r="B440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A441" i="2"/>
  <c r="B441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A442" i="2"/>
  <c r="B442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A443" i="2"/>
  <c r="B443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A444" i="2"/>
  <c r="B444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A445" i="2"/>
  <c r="B445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A446" i="2"/>
  <c r="B446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A447" i="2"/>
  <c r="B447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A448" i="2"/>
  <c r="B448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A449" i="2"/>
  <c r="B449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A450" i="2"/>
  <c r="B450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A451" i="2"/>
  <c r="B451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A452" i="2"/>
  <c r="B452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A453" i="2"/>
  <c r="B453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A454" i="2"/>
  <c r="B454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A455" i="2"/>
  <c r="B455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A456" i="2"/>
  <c r="B456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A457" i="2"/>
  <c r="B457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A458" i="2"/>
  <c r="B458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A459" i="2"/>
  <c r="B459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A460" i="2"/>
  <c r="B460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A461" i="2"/>
  <c r="B461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A462" i="2"/>
  <c r="B462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A463" i="2"/>
  <c r="B463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A464" i="2"/>
  <c r="B464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A465" i="2"/>
  <c r="B465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A466" i="2"/>
  <c r="B466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A467" i="2"/>
  <c r="B467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A468" i="2"/>
  <c r="B468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A469" i="2"/>
  <c r="B469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A470" i="2"/>
  <c r="B470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A471" i="2"/>
  <c r="B471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A472" i="2"/>
  <c r="B472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A473" i="2"/>
  <c r="B473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A474" i="2"/>
  <c r="B474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A475" i="2"/>
  <c r="B475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A476" i="2"/>
  <c r="B476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A477" i="2"/>
  <c r="B477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A478" i="2"/>
  <c r="B478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A479" i="2"/>
  <c r="B479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A480" i="2"/>
  <c r="B480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A481" i="2"/>
  <c r="B481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A482" i="2"/>
  <c r="B482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A483" i="2"/>
  <c r="B483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A484" i="2"/>
  <c r="B484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A485" i="2"/>
  <c r="B485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A486" i="2"/>
  <c r="B486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A487" i="2"/>
  <c r="B487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A488" i="2"/>
  <c r="B488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A489" i="2"/>
  <c r="B489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A490" i="2"/>
  <c r="B490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A491" i="2"/>
  <c r="B491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A492" i="2"/>
  <c r="B492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A493" i="2"/>
  <c r="B493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A494" i="2"/>
  <c r="B494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A495" i="2"/>
  <c r="B495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A496" i="2"/>
  <c r="B496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A497" i="2"/>
  <c r="B497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A498" i="2"/>
  <c r="B498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A499" i="2"/>
  <c r="B499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A500" i="2"/>
  <c r="B500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A501" i="2"/>
  <c r="B501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A502" i="2"/>
  <c r="B502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A503" i="2"/>
  <c r="B503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A504" i="2"/>
  <c r="B504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A505" i="2"/>
  <c r="B505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A506" i="2"/>
  <c r="B506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A507" i="2"/>
  <c r="B507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A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A9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A12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A13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A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P7" i="2"/>
  <c r="Q7" i="2"/>
  <c r="R7" i="2"/>
  <c r="S7" i="2"/>
  <c r="T7" i="2"/>
  <c r="U7" i="2"/>
  <c r="V7" i="2"/>
  <c r="W7" i="2"/>
  <c r="X7" i="2"/>
  <c r="Y7" i="2"/>
  <c r="P6" i="2"/>
  <c r="Q6" i="2"/>
  <c r="R6" i="2"/>
  <c r="S6" i="2"/>
  <c r="T6" i="2"/>
  <c r="U6" i="2"/>
  <c r="V6" i="2"/>
  <c r="W6" i="2"/>
  <c r="X6" i="2"/>
  <c r="Y6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S5" i="2"/>
  <c r="T5" i="2"/>
  <c r="U5" i="2"/>
  <c r="V5" i="2"/>
  <c r="W5" i="2"/>
  <c r="X5" i="2"/>
  <c r="Y5" i="2"/>
  <c r="S4" i="2"/>
  <c r="T4" i="2"/>
  <c r="U4" i="2"/>
  <c r="V4" i="2"/>
  <c r="W4" i="2"/>
  <c r="X4" i="2"/>
  <c r="Y4" i="2"/>
  <c r="S3" i="2"/>
  <c r="T3" i="2"/>
  <c r="U3" i="2"/>
  <c r="V3" i="2"/>
  <c r="W3" i="2"/>
  <c r="X3" i="2"/>
  <c r="Y3" i="2"/>
  <c r="P3" i="2"/>
  <c r="Q3" i="2"/>
  <c r="R3" i="2"/>
  <c r="P4" i="2"/>
  <c r="Q4" i="2"/>
  <c r="R4" i="2"/>
  <c r="P5" i="2"/>
  <c r="Q5" i="2"/>
  <c r="R5" i="2"/>
  <c r="O4" i="2"/>
  <c r="O5" i="2"/>
  <c r="O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C3" i="2"/>
  <c r="D3" i="2"/>
  <c r="E3" i="2"/>
  <c r="F3" i="2"/>
  <c r="G3" i="2"/>
  <c r="H3" i="2"/>
  <c r="I3" i="2"/>
  <c r="J3" i="2"/>
  <c r="K3" i="2"/>
  <c r="L3" i="2"/>
  <c r="M3" i="2"/>
  <c r="N3" i="2"/>
  <c r="A3" i="2"/>
  <c r="B3" i="2"/>
  <c r="B2" i="2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A3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A4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A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A6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A19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A20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A22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A23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A24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A62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A63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A64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A65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A66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A67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A68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A69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A70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A71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A72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A73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A74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A75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A76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A77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A78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A79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A80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A81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A82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A83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A84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L7" i="10"/>
  <c r="Y2" i="2" l="1"/>
  <c r="X2" i="2"/>
  <c r="W2" i="2"/>
  <c r="V2" i="2"/>
  <c r="U2" i="2"/>
  <c r="T2" i="2"/>
  <c r="S2" i="2"/>
  <c r="R2" i="2"/>
  <c r="Q2" i="2"/>
  <c r="P2" i="2"/>
  <c r="O2" i="2"/>
  <c r="M2" i="2"/>
  <c r="L2" i="2"/>
  <c r="K2" i="2"/>
  <c r="J2" i="2"/>
  <c r="I2" i="2"/>
  <c r="H2" i="2"/>
  <c r="G2" i="2"/>
  <c r="F2" i="2"/>
  <c r="E2" i="2"/>
  <c r="D2" i="2"/>
  <c r="C2" i="2"/>
  <c r="A2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K23" i="10" l="1"/>
  <c r="F9" i="10"/>
  <c r="C5" i="10"/>
  <c r="L6" i="10"/>
  <c r="K7" i="10"/>
  <c r="J8" i="10"/>
  <c r="I9" i="10"/>
  <c r="F19" i="10"/>
  <c r="E20" i="10"/>
  <c r="D21" i="10"/>
  <c r="C22" i="10"/>
  <c r="L23" i="10"/>
  <c r="D5" i="10"/>
  <c r="C6" i="10"/>
  <c r="K8" i="10"/>
  <c r="J9" i="10"/>
  <c r="I19" i="10"/>
  <c r="F20" i="10"/>
  <c r="E21" i="10"/>
  <c r="D22" i="10"/>
  <c r="C23" i="10"/>
  <c r="E5" i="10"/>
  <c r="D6" i="10"/>
  <c r="C7" i="10"/>
  <c r="L8" i="10"/>
  <c r="K9" i="10"/>
  <c r="J19" i="10"/>
  <c r="I20" i="10"/>
  <c r="F21" i="10"/>
  <c r="E22" i="10"/>
  <c r="D23" i="10"/>
  <c r="F5" i="10"/>
  <c r="E6" i="10"/>
  <c r="D7" i="10"/>
  <c r="C8" i="10"/>
  <c r="C36" i="10" s="1"/>
  <c r="L9" i="10"/>
  <c r="K19" i="10"/>
  <c r="J20" i="10"/>
  <c r="I21" i="10"/>
  <c r="F22" i="10"/>
  <c r="E23" i="10"/>
  <c r="I5" i="10"/>
  <c r="F6" i="10"/>
  <c r="E7" i="10"/>
  <c r="D8" i="10"/>
  <c r="C9" i="10"/>
  <c r="C37" i="10" s="1"/>
  <c r="L19" i="10"/>
  <c r="K20" i="10"/>
  <c r="J21" i="10"/>
  <c r="I22" i="10"/>
  <c r="F23" i="10"/>
  <c r="J5" i="10"/>
  <c r="I6" i="10"/>
  <c r="F7" i="10"/>
  <c r="E8" i="10"/>
  <c r="D9" i="10"/>
  <c r="C19" i="10"/>
  <c r="L20" i="10"/>
  <c r="K21" i="10"/>
  <c r="J22" i="10"/>
  <c r="I23" i="10"/>
  <c r="K5" i="10"/>
  <c r="J6" i="10"/>
  <c r="I7" i="10"/>
  <c r="F8" i="10"/>
  <c r="E9" i="10"/>
  <c r="D19" i="10"/>
  <c r="N19" i="10" s="1"/>
  <c r="C20" i="10"/>
  <c r="L21" i="10"/>
  <c r="K22" i="10"/>
  <c r="J23" i="10"/>
  <c r="L5" i="10"/>
  <c r="K6" i="10"/>
  <c r="J7" i="10"/>
  <c r="I8" i="10"/>
  <c r="I36" i="10" s="1"/>
  <c r="E19" i="10"/>
  <c r="D20" i="10"/>
  <c r="C21" i="10"/>
  <c r="L22" i="10"/>
  <c r="F28" i="10" l="1"/>
  <c r="I35" i="10"/>
  <c r="N20" i="10"/>
  <c r="K37" i="10"/>
  <c r="J34" i="10"/>
  <c r="I34" i="10"/>
  <c r="L37" i="10"/>
  <c r="E34" i="10"/>
  <c r="E36" i="10"/>
  <c r="K34" i="10"/>
  <c r="F36" i="10"/>
  <c r="E37" i="10"/>
  <c r="F34" i="10"/>
  <c r="F37" i="10"/>
  <c r="F35" i="10"/>
  <c r="L33" i="10"/>
  <c r="E28" i="10"/>
  <c r="J33" i="10"/>
  <c r="E35" i="10"/>
  <c r="J35" i="10"/>
  <c r="I33" i="10"/>
  <c r="N23" i="10"/>
  <c r="D34" i="10"/>
  <c r="N6" i="10"/>
  <c r="I37" i="10"/>
  <c r="D35" i="10"/>
  <c r="N7" i="10"/>
  <c r="E33" i="10"/>
  <c r="E14" i="10"/>
  <c r="J37" i="10"/>
  <c r="J36" i="10"/>
  <c r="K36" i="10"/>
  <c r="K35" i="10"/>
  <c r="F33" i="10"/>
  <c r="F14" i="10"/>
  <c r="L35" i="10"/>
  <c r="L34" i="10"/>
  <c r="B28" i="10"/>
  <c r="D36" i="10"/>
  <c r="N8" i="10"/>
  <c r="C34" i="10"/>
  <c r="B14" i="10"/>
  <c r="C33" i="10"/>
  <c r="K33" i="10"/>
  <c r="D37" i="10"/>
  <c r="N9" i="10"/>
  <c r="N22" i="10"/>
  <c r="D33" i="10"/>
  <c r="N5" i="10"/>
  <c r="N21" i="10"/>
  <c r="L36" i="10"/>
  <c r="C35" i="10"/>
  <c r="N34" i="10" l="1"/>
  <c r="N36" i="10"/>
  <c r="I38" i="10"/>
  <c r="N37" i="10"/>
  <c r="N24" i="10"/>
  <c r="D28" i="10" s="1"/>
  <c r="G28" i="10" s="1"/>
  <c r="N35" i="10"/>
  <c r="E42" i="10"/>
  <c r="F42" i="10"/>
  <c r="N10" i="10"/>
  <c r="D14" i="10" s="1"/>
  <c r="G14" i="10" s="1"/>
  <c r="N33" i="10"/>
  <c r="D38" i="10"/>
  <c r="C38" i="10"/>
  <c r="B42" i="10"/>
  <c r="C28" i="10" l="1"/>
  <c r="N38" i="10"/>
  <c r="D42" i="10" s="1"/>
  <c r="G42" i="10" s="1"/>
  <c r="N28" i="10"/>
  <c r="C14" i="10"/>
  <c r="N14" i="10"/>
  <c r="C39" i="10"/>
  <c r="N42" i="10" l="1"/>
  <c r="C42" i="10"/>
  <c r="N2" i="2"/>
</calcChain>
</file>

<file path=xl/sharedStrings.xml><?xml version="1.0" encoding="utf-8"?>
<sst xmlns="http://schemas.openxmlformats.org/spreadsheetml/2006/main" count="8366" uniqueCount="1587">
  <si>
    <t>BLDG</t>
  </si>
  <si>
    <t>='2022 CONTRACTOR DO NOT TOUCH'!A1</t>
  </si>
  <si>
    <t>SCHOOL</t>
  </si>
  <si>
    <t>OPERATOR NAME DATASET</t>
  </si>
  <si>
    <t>BF MAKE</t>
  </si>
  <si>
    <t>BF TYPE</t>
  </si>
  <si>
    <t>HAZARD NAMES</t>
  </si>
  <si>
    <t>CONTRACTOR INFO</t>
  </si>
  <si>
    <t>BACKFLOW
ID</t>
  </si>
  <si>
    <t>Operator 
Nick Names</t>
  </si>
  <si>
    <t>First Name</t>
  </si>
  <si>
    <t>Last Name</t>
  </si>
  <si>
    <t>MAKE</t>
  </si>
  <si>
    <t>BACKFLOW
TYPE</t>
  </si>
  <si>
    <t>HAZARD
TYPES</t>
  </si>
  <si>
    <t>FULL
NAME</t>
  </si>
  <si>
    <t>FIRST
NAME</t>
  </si>
  <si>
    <t>LAST
NAME</t>
  </si>
  <si>
    <t>B.A.T.
NUMBER</t>
  </si>
  <si>
    <t>COMPANY</t>
  </si>
  <si>
    <t>TEST KIT I.D.</t>
  </si>
  <si>
    <t>SITE
TESTING</t>
  </si>
  <si>
    <t>YEAR TESTED</t>
  </si>
  <si>
    <t>B6244</t>
  </si>
  <si>
    <t>ELI</t>
  </si>
  <si>
    <t>COX</t>
  </si>
  <si>
    <t>WILKINS</t>
  </si>
  <si>
    <t>RP</t>
  </si>
  <si>
    <t>PREMISE</t>
  </si>
  <si>
    <t>MAIN COLD WATER</t>
  </si>
  <si>
    <t>TOM</t>
  </si>
  <si>
    <t>MAJOR</t>
  </si>
  <si>
    <t>B3988</t>
  </si>
  <si>
    <t>FIRE CONTROL</t>
  </si>
  <si>
    <t>B4527</t>
  </si>
  <si>
    <t>PASS</t>
  </si>
  <si>
    <t>CHRISTOPHER</t>
  </si>
  <si>
    <t>PASSMORE</t>
  </si>
  <si>
    <t>AMES</t>
  </si>
  <si>
    <t>DC</t>
  </si>
  <si>
    <t>AOI</t>
  </si>
  <si>
    <t>INPREMISE (ALL OTHER)</t>
  </si>
  <si>
    <t>SCOTT</t>
  </si>
  <si>
    <t>JINKENS</t>
  </si>
  <si>
    <t>B6141</t>
  </si>
  <si>
    <t>MCKINSTRY CO.</t>
  </si>
  <si>
    <t>HOUSING</t>
  </si>
  <si>
    <t>B7324</t>
  </si>
  <si>
    <t>REED</t>
  </si>
  <si>
    <t>MATTHEW</t>
  </si>
  <si>
    <t>FEBCO</t>
  </si>
  <si>
    <t>RPDA</t>
  </si>
  <si>
    <t>FIRE</t>
  </si>
  <si>
    <t>FIRE SUPPLY</t>
  </si>
  <si>
    <t>GARY</t>
  </si>
  <si>
    <t>Hartman</t>
  </si>
  <si>
    <t>B5725</t>
  </si>
  <si>
    <t>B7341</t>
  </si>
  <si>
    <t>Ram</t>
  </si>
  <si>
    <t>Ivan</t>
  </si>
  <si>
    <t>Ramirez</t>
  </si>
  <si>
    <t>WATTS</t>
  </si>
  <si>
    <t>SVB</t>
  </si>
  <si>
    <t>WAYNE</t>
  </si>
  <si>
    <t>GORDON</t>
  </si>
  <si>
    <t>PATRIOT FIRE</t>
  </si>
  <si>
    <t>CLINIC</t>
  </si>
  <si>
    <t>B7314</t>
  </si>
  <si>
    <t>GRIFF</t>
  </si>
  <si>
    <t>MICHAEL</t>
  </si>
  <si>
    <t>GRIFFITH</t>
  </si>
  <si>
    <t>APOLLO</t>
  </si>
  <si>
    <t>B6780</t>
  </si>
  <si>
    <t>PARK</t>
  </si>
  <si>
    <t>BONNIE</t>
  </si>
  <si>
    <t>PARKER</t>
  </si>
  <si>
    <t>DERINGER</t>
  </si>
  <si>
    <t>B7184</t>
  </si>
  <si>
    <t>BARC</t>
  </si>
  <si>
    <t>CHRISTOBAL</t>
  </si>
  <si>
    <t>BARCENAS</t>
  </si>
  <si>
    <t>B6945</t>
  </si>
  <si>
    <t>Black</t>
  </si>
  <si>
    <t xml:space="preserve">Timothy </t>
  </si>
  <si>
    <t xml:space="preserve">Black </t>
  </si>
  <si>
    <t>B7357</t>
  </si>
  <si>
    <t>Ted</t>
  </si>
  <si>
    <t xml:space="preserve">Anderson </t>
  </si>
  <si>
    <t>B6966</t>
  </si>
  <si>
    <t>CONTR</t>
  </si>
  <si>
    <t>CONTRACTOR</t>
  </si>
  <si>
    <t>B7476</t>
  </si>
  <si>
    <t xml:space="preserve">JAKE </t>
  </si>
  <si>
    <t>SAUER</t>
  </si>
  <si>
    <t>B7545</t>
  </si>
  <si>
    <t>LARIOS</t>
  </si>
  <si>
    <t xml:space="preserve">ANTHONY </t>
  </si>
  <si>
    <t>B7479</t>
  </si>
  <si>
    <t>TROUNG</t>
  </si>
  <si>
    <t>QUOC</t>
  </si>
  <si>
    <t>B7498</t>
  </si>
  <si>
    <t>Bruce</t>
  </si>
  <si>
    <t>Kennedy</t>
  </si>
  <si>
    <t>B3677</t>
  </si>
  <si>
    <t>JEFF</t>
  </si>
  <si>
    <t>JEWERLL</t>
  </si>
  <si>
    <t>Scott</t>
  </si>
  <si>
    <t>Jnkens</t>
  </si>
  <si>
    <t>B5159</t>
  </si>
  <si>
    <t>BILL</t>
  </si>
  <si>
    <t>ROE</t>
  </si>
  <si>
    <t>B7907</t>
  </si>
  <si>
    <t>Haveron</t>
  </si>
  <si>
    <t xml:space="preserve">AUSTIN </t>
  </si>
  <si>
    <t>HAVERON</t>
  </si>
  <si>
    <t>HARTMAN</t>
  </si>
  <si>
    <t>FAFB 92CES TESTED</t>
  </si>
  <si>
    <t>PREMISE TOTALS</t>
  </si>
  <si>
    <t>ACTIVE</t>
  </si>
  <si>
    <t>TESTED</t>
  </si>
  <si>
    <t>FAILED</t>
  </si>
  <si>
    <t>INPREMISE TOTALS</t>
  </si>
  <si>
    <t>TOTAL ACTIVE</t>
  </si>
  <si>
    <t>PVB</t>
  </si>
  <si>
    <t>DCDA</t>
  </si>
  <si>
    <t>TOTAL
DEVICES</t>
  </si>
  <si>
    <t>TOTAL
INACTIVE</t>
  </si>
  <si>
    <t>TOTAL
ACTIVE</t>
  </si>
  <si>
    <t>TOTAL
TESTED</t>
  </si>
  <si>
    <t>TOTAL
FAILED</t>
  </si>
  <si>
    <t>TOTAL
UNTESTED</t>
  </si>
  <si>
    <t>PERCENT COMPLETE</t>
  </si>
  <si>
    <t xml:space="preserve"> CONTRACTOR TESTED</t>
  </si>
  <si>
    <t>TOTAL</t>
  </si>
  <si>
    <t>Total</t>
  </si>
  <si>
    <t>FAFB COMBINED TOTALS</t>
  </si>
  <si>
    <t>BLDG
NAME</t>
  </si>
  <si>
    <t>SERIAL #</t>
  </si>
  <si>
    <t xml:space="preserve">MODEL </t>
  </si>
  <si>
    <t>BF 
TYPE</t>
  </si>
  <si>
    <t>SIZE</t>
  </si>
  <si>
    <t>LOCATION</t>
  </si>
  <si>
    <t>PREMISE/
INPREMISE</t>
  </si>
  <si>
    <t>HAZ</t>
  </si>
  <si>
    <t>Inactive</t>
  </si>
  <si>
    <t>Last Test</t>
  </si>
  <si>
    <t>IRR
OOC</t>
  </si>
  <si>
    <t>DATE</t>
  </si>
  <si>
    <t>OPER</t>
  </si>
  <si>
    <t>CV1</t>
  </si>
  <si>
    <t>CV2</t>
  </si>
  <si>
    <t>REL/POP</t>
  </si>
  <si>
    <t>Tested</t>
  </si>
  <si>
    <t>PASSED</t>
  </si>
  <si>
    <t>Repaired</t>
  </si>
  <si>
    <t>Replaced</t>
  </si>
  <si>
    <t>Removed</t>
  </si>
  <si>
    <t>OLD S/N</t>
  </si>
  <si>
    <t>NOTES</t>
  </si>
  <si>
    <t>0001</t>
  </si>
  <si>
    <t>BASE OPS</t>
  </si>
  <si>
    <t>A03206</t>
  </si>
  <si>
    <t>007QT</t>
  </si>
  <si>
    <t>0.5</t>
  </si>
  <si>
    <t>RM 102 UNDER SINK</t>
  </si>
  <si>
    <t>INPREMISE</t>
  </si>
  <si>
    <t>UNTESTED</t>
  </si>
  <si>
    <t>EXISTING</t>
  </si>
  <si>
    <t>REMOVED</t>
  </si>
  <si>
    <t>OUT OF SERVICE</t>
  </si>
  <si>
    <t>Base Ops</t>
  </si>
  <si>
    <t>3336495</t>
  </si>
  <si>
    <t>975XL</t>
  </si>
  <si>
    <t>0.75</t>
  </si>
  <si>
    <t xml:space="preserve">Basement </t>
  </si>
  <si>
    <t>3080317</t>
  </si>
  <si>
    <t>950XLT</t>
  </si>
  <si>
    <t>1.5</t>
  </si>
  <si>
    <t>FIRE SYS IN BASEMENT SHREADER RM</t>
  </si>
  <si>
    <t xml:space="preserve"> SHREADERTE</t>
  </si>
  <si>
    <t>92420</t>
  </si>
  <si>
    <t>3.0</t>
  </si>
  <si>
    <t>IN FRONT OF BLDG ON FLIGHT LINE</t>
  </si>
  <si>
    <t>IRR</t>
  </si>
  <si>
    <t>INACTIVE</t>
  </si>
  <si>
    <t>0003</t>
  </si>
  <si>
    <t>FIRE DEPT</t>
  </si>
  <si>
    <t>H005173</t>
  </si>
  <si>
    <t>825YA</t>
  </si>
  <si>
    <t>MECH RM ON HVAC</t>
  </si>
  <si>
    <t>W358317</t>
  </si>
  <si>
    <t>ON ICE MACHINE</t>
  </si>
  <si>
    <t>3338565</t>
  </si>
  <si>
    <t>IN INDUSTRIAL LAUNDRY RM</t>
  </si>
  <si>
    <t>YES</t>
  </si>
  <si>
    <t xml:space="preserve">water line removed </t>
  </si>
  <si>
    <t>H00402</t>
  </si>
  <si>
    <t>850</t>
  </si>
  <si>
    <t>ALARM RM UNDER SINK COFFEE</t>
  </si>
  <si>
    <t>Y</t>
  </si>
  <si>
    <t>F0303051105</t>
  </si>
  <si>
    <t>2.5</t>
  </si>
  <si>
    <t>GYM RM BEHIND CABINET PANEL</t>
  </si>
  <si>
    <t>2KM1479</t>
  </si>
  <si>
    <t>2000SS</t>
  </si>
  <si>
    <t>6.0</t>
  </si>
  <si>
    <t>MECHANICS AREA ON FIRE SYS</t>
  </si>
  <si>
    <t>1945116</t>
  </si>
  <si>
    <t>2.0</t>
  </si>
  <si>
    <t>MECH RM IRRIGATION</t>
  </si>
  <si>
    <t>iso</t>
  </si>
  <si>
    <t>0109</t>
  </si>
  <si>
    <t>TANKER TAILS</t>
  </si>
  <si>
    <t>26377</t>
  </si>
  <si>
    <t>007M2QT</t>
  </si>
  <si>
    <t>STORAGE CLOSET NEAR WATER HEATER</t>
  </si>
  <si>
    <t>0152</t>
  </si>
  <si>
    <t>141</t>
  </si>
  <si>
    <t>AB3965</t>
  </si>
  <si>
    <t>765</t>
  </si>
  <si>
    <t xml:space="preserve">OUTSIDE 152 WEST SIDE </t>
  </si>
  <si>
    <t>160</t>
  </si>
  <si>
    <t>U28836</t>
  </si>
  <si>
    <t>350A</t>
  </si>
  <si>
    <t>MECH ROOMN</t>
  </si>
  <si>
    <t>0285</t>
  </si>
  <si>
    <t>H81856</t>
  </si>
  <si>
    <t>1.0</t>
  </si>
  <si>
    <t xml:space="preserve">MECH ROOM </t>
  </si>
  <si>
    <t>1394537</t>
  </si>
  <si>
    <t>.75</t>
  </si>
  <si>
    <t xml:space="preserve">BOILER </t>
  </si>
  <si>
    <t>0326</t>
  </si>
  <si>
    <t>FAM CAMP</t>
  </si>
  <si>
    <t>J002794</t>
  </si>
  <si>
    <t>825Y</t>
  </si>
  <si>
    <t>CENTER OF ALL PARKING SPOTS/ ABOVE GROUND</t>
  </si>
  <si>
    <t>W358305</t>
  </si>
  <si>
    <t>IRRIGATION</t>
  </si>
  <si>
    <t>3078471</t>
  </si>
  <si>
    <t>3772095</t>
  </si>
  <si>
    <t>975XL2</t>
  </si>
  <si>
    <t>DOMESTIC SUPPLY CENTER OF FAM CAMP</t>
  </si>
  <si>
    <t>0399</t>
  </si>
  <si>
    <t>H81852</t>
  </si>
  <si>
    <t>MECH ROOM</t>
  </si>
  <si>
    <t>199742</t>
  </si>
  <si>
    <t>Mech Room</t>
  </si>
  <si>
    <t>y</t>
  </si>
  <si>
    <t>399</t>
  </si>
  <si>
    <t>U47987</t>
  </si>
  <si>
    <t>4.0</t>
  </si>
  <si>
    <t>0430</t>
  </si>
  <si>
    <t>A36420</t>
  </si>
  <si>
    <t>350XL</t>
  </si>
  <si>
    <t>4094341</t>
  </si>
  <si>
    <t>350</t>
  </si>
  <si>
    <t xml:space="preserve">FIRE </t>
  </si>
  <si>
    <t>430</t>
  </si>
  <si>
    <t>V43790</t>
  </si>
  <si>
    <t>350ADA</t>
  </si>
  <si>
    <t>Fire</t>
  </si>
  <si>
    <t>0443</t>
  </si>
  <si>
    <t>H42134</t>
  </si>
  <si>
    <t>2</t>
  </si>
  <si>
    <t>443 EAST LOT ROCK BED</t>
  </si>
  <si>
    <t>1136042</t>
  </si>
  <si>
    <t>950XL</t>
  </si>
  <si>
    <t>1833446</t>
  </si>
  <si>
    <t>975XLT</t>
  </si>
  <si>
    <t>443</t>
  </si>
  <si>
    <t>EC-0936</t>
  </si>
  <si>
    <t>COLT</t>
  </si>
  <si>
    <t>200A</t>
  </si>
  <si>
    <t>0445</t>
  </si>
  <si>
    <t>H05044</t>
  </si>
  <si>
    <t>MENCH ROOM</t>
  </si>
  <si>
    <t>446</t>
  </si>
  <si>
    <t>28862</t>
  </si>
  <si>
    <t>6</t>
  </si>
  <si>
    <t xml:space="preserve">MECH ROOM FIRE </t>
  </si>
  <si>
    <t>3335495</t>
  </si>
  <si>
    <t>447</t>
  </si>
  <si>
    <t>H08097</t>
  </si>
  <si>
    <t>H17256</t>
  </si>
  <si>
    <t>456</t>
  </si>
  <si>
    <t>H00431</t>
  </si>
  <si>
    <t xml:space="preserve">Break Room Under Sink </t>
  </si>
  <si>
    <t>01515</t>
  </si>
  <si>
    <t>01621</t>
  </si>
  <si>
    <t>WOOD SHOP</t>
  </si>
  <si>
    <t>358582</t>
  </si>
  <si>
    <t>.5</t>
  </si>
  <si>
    <t xml:space="preserve">ICE MACHINE </t>
  </si>
  <si>
    <t>08705</t>
  </si>
  <si>
    <t>2000BM3</t>
  </si>
  <si>
    <t>SHOP WELDER</t>
  </si>
  <si>
    <t>459</t>
  </si>
  <si>
    <t>192003</t>
  </si>
  <si>
    <t>007M1QT</t>
  </si>
  <si>
    <t>SOUTH SIDE OF ROCK BED 459</t>
  </si>
  <si>
    <t>15973</t>
  </si>
  <si>
    <t>007M2</t>
  </si>
  <si>
    <t>113842</t>
  </si>
  <si>
    <t>3000ss</t>
  </si>
  <si>
    <t xml:space="preserve">Mech room </t>
  </si>
  <si>
    <t>0610</t>
  </si>
  <si>
    <t>BASE THEATER</t>
  </si>
  <si>
    <t>H006780</t>
  </si>
  <si>
    <t>IRR WEST OF THEATER CASTLE &amp; SEATTLE</t>
  </si>
  <si>
    <t xml:space="preserve">ISOLATED </t>
  </si>
  <si>
    <t>0644</t>
  </si>
  <si>
    <t>POST OFFICE</t>
  </si>
  <si>
    <t>A10529</t>
  </si>
  <si>
    <t>HVAC MAKEUP IN BASEMENT</t>
  </si>
  <si>
    <t xml:space="preserve">HVAC Make-up line capped by main shutoff valve </t>
  </si>
  <si>
    <t>18181534</t>
  </si>
  <si>
    <t>BASEMENT IRRIGATION IN DIRT MECH RM</t>
  </si>
  <si>
    <t>ISOLATED</t>
  </si>
  <si>
    <t>40373</t>
  </si>
  <si>
    <t>BASEMENT IN WEIGHT RM ON FIRE SYS</t>
  </si>
  <si>
    <t>yes</t>
  </si>
  <si>
    <t>0716</t>
  </si>
  <si>
    <t>ALS</t>
  </si>
  <si>
    <t>BC5137</t>
  </si>
  <si>
    <t>MECH RM HVAC</t>
  </si>
  <si>
    <t>unTESTED</t>
  </si>
  <si>
    <t xml:space="preserve">capped </t>
  </si>
  <si>
    <t>552906</t>
  </si>
  <si>
    <t>OUTSIDE OF MECH RM IRR</t>
  </si>
  <si>
    <t>ISOLATED IN WINTER</t>
  </si>
  <si>
    <t>1001</t>
  </si>
  <si>
    <t>92 LRS</t>
  </si>
  <si>
    <t>U44202</t>
  </si>
  <si>
    <t xml:space="preserve">FIRE SYS </t>
  </si>
  <si>
    <t>U27348</t>
  </si>
  <si>
    <t>NOSE DOCK DOMESTIC SUPPLY</t>
  </si>
  <si>
    <t>A20219</t>
  </si>
  <si>
    <t>009M2QT</t>
  </si>
  <si>
    <t>JANITORS CLOSET HOT WATER FEED</t>
  </si>
  <si>
    <t>1005</t>
  </si>
  <si>
    <t>HANGER 1005</t>
  </si>
  <si>
    <t>U27346</t>
  </si>
  <si>
    <t>INSIDE HANGER/ COLD SUPPLY</t>
  </si>
  <si>
    <t>4344C</t>
  </si>
  <si>
    <t>375AST</t>
  </si>
  <si>
    <t>10.0</t>
  </si>
  <si>
    <t>FIRE PUMP ROOM</t>
  </si>
  <si>
    <t>1009</t>
  </si>
  <si>
    <t>92 ARW</t>
  </si>
  <si>
    <t>B040151</t>
  </si>
  <si>
    <t>375XL</t>
  </si>
  <si>
    <t>IN NOSE DOCK FILL STAND 1</t>
  </si>
  <si>
    <t>B040150</t>
  </si>
  <si>
    <t>IN NOSE DOCK FILL STAND2</t>
  </si>
  <si>
    <t>6949A</t>
  </si>
  <si>
    <t>350AST</t>
  </si>
  <si>
    <t>IN MECH RM ON FIRE</t>
  </si>
  <si>
    <t>1012</t>
  </si>
  <si>
    <t>HANGER 1012</t>
  </si>
  <si>
    <t>14524</t>
  </si>
  <si>
    <t>950</t>
  </si>
  <si>
    <t>IN BAY FOR PREMISE (NOSE DOCK)</t>
  </si>
  <si>
    <t>1013</t>
  </si>
  <si>
    <t>HANGER 1013</t>
  </si>
  <si>
    <t>28859</t>
  </si>
  <si>
    <t>NOSE DOCK ON FIRE</t>
  </si>
  <si>
    <t>1018</t>
  </si>
  <si>
    <t>FLIGHT LINE PUMP HOUSE</t>
  </si>
  <si>
    <t>L66097</t>
  </si>
  <si>
    <t>375</t>
  </si>
  <si>
    <t>FIRE MAKEUP</t>
  </si>
  <si>
    <t>1019</t>
  </si>
  <si>
    <t>WASH RACK HANGER</t>
  </si>
  <si>
    <t>A14220</t>
  </si>
  <si>
    <t>IN MECH RM ON HVAC</t>
  </si>
  <si>
    <t>1029</t>
  </si>
  <si>
    <t>H43694</t>
  </si>
  <si>
    <t>1029 NOSE OF DOCK</t>
  </si>
  <si>
    <t>Nose Dock</t>
  </si>
  <si>
    <t>No serial number</t>
  </si>
  <si>
    <t>1033</t>
  </si>
  <si>
    <t>Hanger</t>
  </si>
  <si>
    <t>U27345</t>
  </si>
  <si>
    <t xml:space="preserve">1033 Nose Dock </t>
  </si>
  <si>
    <t>1363767</t>
  </si>
  <si>
    <t>BOILER ROOM</t>
  </si>
  <si>
    <t>43022</t>
  </si>
  <si>
    <t>1033 NOSE OF DOCK</t>
  </si>
  <si>
    <t>1034</t>
  </si>
  <si>
    <t>1363757</t>
  </si>
  <si>
    <t>H09361</t>
  </si>
  <si>
    <t xml:space="preserve">Domestic </t>
  </si>
  <si>
    <t>1037</t>
  </si>
  <si>
    <t>1363765</t>
  </si>
  <si>
    <t>U27375</t>
  </si>
  <si>
    <t>1039</t>
  </si>
  <si>
    <t>212433</t>
  </si>
  <si>
    <t>LF009M3QT</t>
  </si>
  <si>
    <t>26443</t>
  </si>
  <si>
    <t>4</t>
  </si>
  <si>
    <t>1048</t>
  </si>
  <si>
    <t>L11675</t>
  </si>
  <si>
    <t xml:space="preserve">1048 PUMP HOUSE </t>
  </si>
  <si>
    <t>1200</t>
  </si>
  <si>
    <t>COMM SURVIVAL</t>
  </si>
  <si>
    <t>BB1345</t>
  </si>
  <si>
    <t>OLD HVAC FEED</t>
  </si>
  <si>
    <t>ISOLATED (NEEDS REMOVED)</t>
  </si>
  <si>
    <t>U56257</t>
  </si>
  <si>
    <t xml:space="preserve">FIRE SYS IN MECH RM  </t>
  </si>
  <si>
    <t>1204</t>
  </si>
  <si>
    <t>92 ARW TOWER</t>
  </si>
  <si>
    <t>A052232</t>
  </si>
  <si>
    <t>1207</t>
  </si>
  <si>
    <t>SERE MUSEUM</t>
  </si>
  <si>
    <t>3143405</t>
  </si>
  <si>
    <t>1.25</t>
  </si>
  <si>
    <t>MECH RM PREMISE</t>
  </si>
  <si>
    <t>FL-0661</t>
  </si>
  <si>
    <t>300A-BF</t>
  </si>
  <si>
    <t>MECH RM DCDA #1</t>
  </si>
  <si>
    <t>03949</t>
  </si>
  <si>
    <t>MECH RM DCDA #2</t>
  </si>
  <si>
    <t>1238</t>
  </si>
  <si>
    <t>SERE FLOTATION SHOP</t>
  </si>
  <si>
    <t>U28863</t>
  </si>
  <si>
    <t>REAR CORNER ON FIRE SYS</t>
  </si>
  <si>
    <t>1249</t>
  </si>
  <si>
    <t>SERE VEHICLE MAINT</t>
  </si>
  <si>
    <t>3365252</t>
  </si>
  <si>
    <t>IN WASH RACK MECH RM</t>
  </si>
  <si>
    <t>3338578</t>
  </si>
  <si>
    <t>W358586</t>
  </si>
  <si>
    <t>ICE MACHINE IN BREAK RM</t>
  </si>
  <si>
    <t>1025250601</t>
  </si>
  <si>
    <t>774</t>
  </si>
  <si>
    <t>MECH RM FIRE DCDA #1</t>
  </si>
  <si>
    <t>25537</t>
  </si>
  <si>
    <t>MECH RM FIRE DCDA #2</t>
  </si>
  <si>
    <t>1252</t>
  </si>
  <si>
    <t>SERE BILLITING</t>
  </si>
  <si>
    <t>W358523</t>
  </si>
  <si>
    <t>ICE MACHINE IN CENTER HALL</t>
  </si>
  <si>
    <t>3080703</t>
  </si>
  <si>
    <t>WATER HEATER NE MECH RM 2ND FLOOR</t>
  </si>
  <si>
    <t>W358581</t>
  </si>
  <si>
    <t>ICE MACHINE 2ND FLOOR</t>
  </si>
  <si>
    <t>3080374</t>
  </si>
  <si>
    <t>WATER HEATER ABOVE SHOPPETT LAUNDRY</t>
  </si>
  <si>
    <t>3/.19/24</t>
  </si>
  <si>
    <t>A044229</t>
  </si>
  <si>
    <t>HVAC SE MECH RM</t>
  </si>
  <si>
    <t>A260981</t>
  </si>
  <si>
    <t>1ST FLOOR SW MECH RM (HVAC)</t>
  </si>
  <si>
    <t>H00399</t>
  </si>
  <si>
    <t>COFFEE FRONT LOBBY</t>
  </si>
  <si>
    <t>3.21.2022</t>
  </si>
  <si>
    <t>U27343</t>
  </si>
  <si>
    <t>PREMISE EAST 1ST FLOOR MECH RM</t>
  </si>
  <si>
    <t>U27344</t>
  </si>
  <si>
    <t>PREMISE SE MECH RM</t>
  </si>
  <si>
    <t>B15136</t>
  </si>
  <si>
    <t>805YD</t>
  </si>
  <si>
    <t>WEST FIRE SYS MECH RM</t>
  </si>
  <si>
    <t>B14291</t>
  </si>
  <si>
    <t>EAST FIRE SYS</t>
  </si>
  <si>
    <t>1714739</t>
  </si>
  <si>
    <t>IRRIGATION NEAR HVAC OUTSIDE</t>
  </si>
  <si>
    <t>1941554</t>
  </si>
  <si>
    <t>W358358</t>
  </si>
  <si>
    <t>ICE MACHINE SE 3RD FLOOR</t>
  </si>
  <si>
    <t>3787960</t>
  </si>
  <si>
    <t>3RD FLOOR TRAP PRIMER AND HB IN MECH RM</t>
  </si>
  <si>
    <t>H29590</t>
  </si>
  <si>
    <t>1254</t>
  </si>
  <si>
    <t>PARACHUTE SHOP</t>
  </si>
  <si>
    <t>BA4836</t>
  </si>
  <si>
    <t>WATER SOFTNER IN SUPPLY RM 120</t>
  </si>
  <si>
    <t>BA8773</t>
  </si>
  <si>
    <t>IN MECH RM</t>
  </si>
  <si>
    <t>19713</t>
  </si>
  <si>
    <t>825YD</t>
  </si>
  <si>
    <t>IRRIGATION IN MECH RM</t>
  </si>
  <si>
    <t>V20995</t>
  </si>
  <si>
    <t>MECH RM ON FIRE SYSTEM DCDA #1</t>
  </si>
  <si>
    <t>3062923XLD</t>
  </si>
  <si>
    <t>MECH RM ON FIRE SYSTEM DCDA #2</t>
  </si>
  <si>
    <t>BA4835</t>
  </si>
  <si>
    <t>BACK MECH RM ON WATER SOFTNER</t>
  </si>
  <si>
    <t>B306482</t>
  </si>
  <si>
    <t>1255</t>
  </si>
  <si>
    <t>SERE INTEL</t>
  </si>
  <si>
    <t>N1101200534</t>
  </si>
  <si>
    <t>LF860</t>
  </si>
  <si>
    <t>PREMISE IN MECH RM</t>
  </si>
  <si>
    <t>H00577</t>
  </si>
  <si>
    <t>UNDER SINK</t>
  </si>
  <si>
    <t>H22181</t>
  </si>
  <si>
    <t>3/.21/2022</t>
  </si>
  <si>
    <t>FOUND ISO BUT TESTED</t>
  </si>
  <si>
    <t>2HJ0943</t>
  </si>
  <si>
    <t>2000 SS</t>
  </si>
  <si>
    <t>MECH RM ON FIRE SYS</t>
  </si>
  <si>
    <t>H00368</t>
  </si>
  <si>
    <t>RM 118 UNDER SINK COFFEE</t>
  </si>
  <si>
    <t>1256</t>
  </si>
  <si>
    <t xml:space="preserve">BUD DAY </t>
  </si>
  <si>
    <t>407637</t>
  </si>
  <si>
    <t>909QT</t>
  </si>
  <si>
    <t>9605070900</t>
  </si>
  <si>
    <t xml:space="preserve">FIRE SYS  </t>
  </si>
  <si>
    <t>17858</t>
  </si>
  <si>
    <t>1257</t>
  </si>
  <si>
    <t>THE FINAL POINT</t>
  </si>
  <si>
    <t>W358336</t>
  </si>
  <si>
    <t>BEHIND BEER TAPS ON POP MACHINE</t>
  </si>
  <si>
    <t>W358323</t>
  </si>
  <si>
    <t>BEHIND ICE MACHINE</t>
  </si>
  <si>
    <t>9706051305</t>
  </si>
  <si>
    <t>MECH RM FIRE</t>
  </si>
  <si>
    <t>511704</t>
  </si>
  <si>
    <t>ISO</t>
  </si>
  <si>
    <t>542732</t>
  </si>
  <si>
    <t>1258</t>
  </si>
  <si>
    <t xml:space="preserve">ROSS DINNING </t>
  </si>
  <si>
    <t>W358529</t>
  </si>
  <si>
    <t>ICE MACHINE</t>
  </si>
  <si>
    <t>3080479</t>
  </si>
  <si>
    <t>MECH RM ON WATER SOFTNER</t>
  </si>
  <si>
    <t>W091273</t>
  </si>
  <si>
    <t>360553</t>
  </si>
  <si>
    <t>009M3QT</t>
  </si>
  <si>
    <t>SODA MACHINE SUPPLY</t>
  </si>
  <si>
    <t>355796</t>
  </si>
  <si>
    <t>UNDER COFFEE MACHINE</t>
  </si>
  <si>
    <t>CHECK S/N</t>
  </si>
  <si>
    <t>3395891XLTC</t>
  </si>
  <si>
    <t>ISSO</t>
  </si>
  <si>
    <t>H00433</t>
  </si>
  <si>
    <t>ON KITCHEN EQUIPMENT KETTLE</t>
  </si>
  <si>
    <t>ELI WROTE H0043</t>
  </si>
  <si>
    <t>131833</t>
  </si>
  <si>
    <t>709QT</t>
  </si>
  <si>
    <t>MECH RM FIRE SYS</t>
  </si>
  <si>
    <t>3078738</t>
  </si>
  <si>
    <t>KITCHEN NEXT TO KETTLE</t>
  </si>
  <si>
    <t>ADDED JS Nov 2024</t>
  </si>
  <si>
    <t>1268</t>
  </si>
  <si>
    <t>SERE HQ</t>
  </si>
  <si>
    <t>L67545</t>
  </si>
  <si>
    <t>PREMISE SUPPLY</t>
  </si>
  <si>
    <t>A273224</t>
  </si>
  <si>
    <t>U39994</t>
  </si>
  <si>
    <t>U29867</t>
  </si>
  <si>
    <t>U39522</t>
  </si>
  <si>
    <t>J45551</t>
  </si>
  <si>
    <t>MECH RM ON PREMISE</t>
  </si>
  <si>
    <t>H41442</t>
  </si>
  <si>
    <t xml:space="preserve">IRRIGATION </t>
  </si>
  <si>
    <t>1304</t>
  </si>
  <si>
    <t>COMM BLDG NEAR GYM</t>
  </si>
  <si>
    <t>KK-0629</t>
  </si>
  <si>
    <t>COLT 200</t>
  </si>
  <si>
    <t>PREMISE FIRE SYS</t>
  </si>
  <si>
    <t>1306</t>
  </si>
  <si>
    <t>SERE GYM</t>
  </si>
  <si>
    <t>A07193</t>
  </si>
  <si>
    <t>860</t>
  </si>
  <si>
    <t>3079923</t>
  </si>
  <si>
    <t>HVAC IN MECH RM</t>
  </si>
  <si>
    <t>H22164</t>
  </si>
  <si>
    <t>J31587</t>
  </si>
  <si>
    <t>1314</t>
  </si>
  <si>
    <t>SERE FIRE DEPT</t>
  </si>
  <si>
    <t>3079916</t>
  </si>
  <si>
    <t>WATER HEATER</t>
  </si>
  <si>
    <t>1354</t>
  </si>
  <si>
    <t>SERE CLINIC</t>
  </si>
  <si>
    <t>H04068</t>
  </si>
  <si>
    <t>IRRIGATION IN PIT @ BACK OF BLDG</t>
  </si>
  <si>
    <t>H08049</t>
  </si>
  <si>
    <t>IRRIGATION IN PIT @ BACK OF BLDG #2</t>
  </si>
  <si>
    <t>12963300</t>
  </si>
  <si>
    <t>FIRE SYS IN MECH RM BEHIND HVAC</t>
  </si>
  <si>
    <t>W048409</t>
  </si>
  <si>
    <t>HVAC MAKEUP IN MECH RM</t>
  </si>
  <si>
    <t>358601</t>
  </si>
  <si>
    <t>1409</t>
  </si>
  <si>
    <t>EOD</t>
  </si>
  <si>
    <t>3928572XLTCU</t>
  </si>
  <si>
    <t>10342A</t>
  </si>
  <si>
    <t>MECH ROOM BAY FIRE SYS</t>
  </si>
  <si>
    <t>1414</t>
  </si>
  <si>
    <t>SERE</t>
  </si>
  <si>
    <t>W358562</t>
  </si>
  <si>
    <t>WATER HEATER CLOSET ICE MACHINE</t>
  </si>
  <si>
    <t>3804619XLTCU</t>
  </si>
  <si>
    <t>WATER HEATER CLOSET SUPPLY</t>
  </si>
  <si>
    <t>3794881</t>
  </si>
  <si>
    <t>BACK SECTION OF BLDG ON ICE MACHINE</t>
  </si>
  <si>
    <t>U28861</t>
  </si>
  <si>
    <t>FIRE MECH RM ON FIRE SYS</t>
  </si>
  <si>
    <t>1458</t>
  </si>
  <si>
    <t>AMMO</t>
  </si>
  <si>
    <t>U00362</t>
  </si>
  <si>
    <t>BAY AREA FIRE SYS</t>
  </si>
  <si>
    <t>1481</t>
  </si>
  <si>
    <t>AMMO ORDNANCE</t>
  </si>
  <si>
    <t>NC0296</t>
  </si>
  <si>
    <t>200</t>
  </si>
  <si>
    <t>FIRE SYS IN BAY</t>
  </si>
  <si>
    <t>1712</t>
  </si>
  <si>
    <t>RT HQ</t>
  </si>
  <si>
    <t>W341893XLTCU</t>
  </si>
  <si>
    <t>J26959</t>
  </si>
  <si>
    <t>BOILER RM 110</t>
  </si>
  <si>
    <t>U11446</t>
  </si>
  <si>
    <t>BOILER RM 110 FIRE SYS</t>
  </si>
  <si>
    <t>1724</t>
  </si>
  <si>
    <t>RT CAMP</t>
  </si>
  <si>
    <t>W248746</t>
  </si>
  <si>
    <t>CAMP BATHROOM ICE MACHINE</t>
  </si>
  <si>
    <t>W352912</t>
  </si>
  <si>
    <t>3078467</t>
  </si>
  <si>
    <t>RESTROOM WATER HEATER CLOSET</t>
  </si>
  <si>
    <t>2005</t>
  </si>
  <si>
    <t>92ND &amp; 141ST</t>
  </si>
  <si>
    <t>333909</t>
  </si>
  <si>
    <t>IRRIGATION REAR OF BLDG</t>
  </si>
  <si>
    <t>RTN TO ISO</t>
  </si>
  <si>
    <t>2AL0902</t>
  </si>
  <si>
    <t>2DL3123</t>
  </si>
  <si>
    <t>MECH RM</t>
  </si>
  <si>
    <t>A009058</t>
  </si>
  <si>
    <t>805Y</t>
  </si>
  <si>
    <t>BACKSIDE OF BLDG NEAR PIV AND PARKING LOT</t>
  </si>
  <si>
    <t>2007</t>
  </si>
  <si>
    <t>OLD SAFETY</t>
  </si>
  <si>
    <t>2809534</t>
  </si>
  <si>
    <t>MECH RM HVAC MAKEUP</t>
  </si>
  <si>
    <t>2EN160</t>
  </si>
  <si>
    <t>2014</t>
  </si>
  <si>
    <t>3336497</t>
  </si>
  <si>
    <t>UNKNOWN</t>
  </si>
  <si>
    <t>CAN'T FIND</t>
  </si>
  <si>
    <t>2025</t>
  </si>
  <si>
    <t>Snow Barn</t>
  </si>
  <si>
    <t>W043053</t>
  </si>
  <si>
    <t>SNOW BARN</t>
  </si>
  <si>
    <t>W358370</t>
  </si>
  <si>
    <t>LARGE ICE MACHINE</t>
  </si>
  <si>
    <t>W358538</t>
  </si>
  <si>
    <t>SMALL ICE MACHINE</t>
  </si>
  <si>
    <t>3340281</t>
  </si>
  <si>
    <t>WASH RACK FOR CAR WASH BOILER</t>
  </si>
  <si>
    <t>3356179</t>
  </si>
  <si>
    <t>WASH RACK FOR CAR WASH</t>
  </si>
  <si>
    <t>DG0464</t>
  </si>
  <si>
    <t>COLT 200A</t>
  </si>
  <si>
    <t>2036</t>
  </si>
  <si>
    <t>HELICOPTER SQUADRON</t>
  </si>
  <si>
    <t>BA0695</t>
  </si>
  <si>
    <t>H00592</t>
  </si>
  <si>
    <t>IN SUPPLY CLOSET NEXT TO BAR ROOM</t>
  </si>
  <si>
    <t>2040</t>
  </si>
  <si>
    <t>MPF</t>
  </si>
  <si>
    <t>W358359</t>
  </si>
  <si>
    <t>JANITORS CLOSET BY SERVER RM FOR COMM</t>
  </si>
  <si>
    <t>L94070</t>
  </si>
  <si>
    <t>MECH RM BLDG PREMISE</t>
  </si>
  <si>
    <t>301989</t>
  </si>
  <si>
    <t>HERSEY</t>
  </si>
  <si>
    <t>8.0</t>
  </si>
  <si>
    <t>H030374</t>
  </si>
  <si>
    <t>H027393</t>
  </si>
  <si>
    <t>08994</t>
  </si>
  <si>
    <t>MECH RM HVAC GLYCOL SUPPLY</t>
  </si>
  <si>
    <t>2044</t>
  </si>
  <si>
    <t>POL MAINTENANCE</t>
  </si>
  <si>
    <t>A089028</t>
  </si>
  <si>
    <t>A089171</t>
  </si>
  <si>
    <t>MECH RM INDUSTRIAL WATER</t>
  </si>
  <si>
    <t>37975a</t>
  </si>
  <si>
    <t>375A</t>
  </si>
  <si>
    <t>old SN: X21244</t>
  </si>
  <si>
    <t>2045</t>
  </si>
  <si>
    <t>LRS</t>
  </si>
  <si>
    <t>W358599</t>
  </si>
  <si>
    <t>POL BREAK RM IN CLOSET FOR ICE MACHINE</t>
  </si>
  <si>
    <t>1328686</t>
  </si>
  <si>
    <t>A16097</t>
  </si>
  <si>
    <t>125017</t>
  </si>
  <si>
    <t>WAREHOUSE FIRE SYS</t>
  </si>
  <si>
    <t>2048</t>
  </si>
  <si>
    <t>FLIGHT SIM</t>
  </si>
  <si>
    <t>A008874</t>
  </si>
  <si>
    <t xml:space="preserve">MECH RM HVAC </t>
  </si>
  <si>
    <t>J017500</t>
  </si>
  <si>
    <t>IN MECH RM ON WATER SOFTNER</t>
  </si>
  <si>
    <t>236000310</t>
  </si>
  <si>
    <t>4000SS</t>
  </si>
  <si>
    <t>808559</t>
  </si>
  <si>
    <t>21K0785</t>
  </si>
  <si>
    <t>2000SE</t>
  </si>
  <si>
    <t>U2549</t>
  </si>
  <si>
    <t>2050</t>
  </si>
  <si>
    <t>HANGER 2050</t>
  </si>
  <si>
    <t>W185677</t>
  </si>
  <si>
    <t>METALS SHOP WATER JETTER</t>
  </si>
  <si>
    <t>W358378</t>
  </si>
  <si>
    <t>TIRE SHOP ON WHEEL WASHER</t>
  </si>
  <si>
    <t>Z28343</t>
  </si>
  <si>
    <t>575A</t>
  </si>
  <si>
    <t>WEST ANNEX 3RD FLOOR HVAC</t>
  </si>
  <si>
    <t>Z28324</t>
  </si>
  <si>
    <t>EAST ANNEX 3RD FLOOR HVAC</t>
  </si>
  <si>
    <t>W358303</t>
  </si>
  <si>
    <t>HYDRAULIC TEST STAND SUPPLY</t>
  </si>
  <si>
    <t>DRAIN LINE CAPPED</t>
  </si>
  <si>
    <t>X31140</t>
  </si>
  <si>
    <t xml:space="preserve">IN AGE SHOP FIRE </t>
  </si>
  <si>
    <t>X31139</t>
  </si>
  <si>
    <t>J10276</t>
  </si>
  <si>
    <t>NE HANGER #1 FIRE SYS</t>
  </si>
  <si>
    <t>38142</t>
  </si>
  <si>
    <t>PENETRANT LINE IN NDI LAB HOT WATER</t>
  </si>
  <si>
    <t>H17947</t>
  </si>
  <si>
    <t>PENETRANT LINE NDI LAB COLD WATER</t>
  </si>
  <si>
    <t>2060</t>
  </si>
  <si>
    <t>ALT COMMAND POST</t>
  </si>
  <si>
    <t>3080716</t>
  </si>
  <si>
    <t>MECH RM BEHIND BOILER</t>
  </si>
  <si>
    <t>3080470</t>
  </si>
  <si>
    <t>3079419</t>
  </si>
  <si>
    <t>IMMEDIATE RIGHT, 2ND DOOR OF MECH RM</t>
  </si>
  <si>
    <t>REPAIRED</t>
  </si>
  <si>
    <t>2065</t>
  </si>
  <si>
    <t>SKY BOX CAFE</t>
  </si>
  <si>
    <t>W01238</t>
  </si>
  <si>
    <t>009QT</t>
  </si>
  <si>
    <t>KITCHEN APPLAINCE SUPPLY</t>
  </si>
  <si>
    <t>W358574</t>
  </si>
  <si>
    <t>KITCHEN ICE MACHINE</t>
  </si>
  <si>
    <t>U5180</t>
  </si>
  <si>
    <t>U6294</t>
  </si>
  <si>
    <t>MECH RM IRRIGATION 2ND DOOR</t>
  </si>
  <si>
    <t>2071</t>
  </si>
  <si>
    <t>COP SHOP</t>
  </si>
  <si>
    <t>3322051</t>
  </si>
  <si>
    <t>A247001</t>
  </si>
  <si>
    <t>H00576</t>
  </si>
  <si>
    <t>KITCHEN UNDER SINK</t>
  </si>
  <si>
    <t>90486</t>
  </si>
  <si>
    <t>MECH RM LOOK UP AND TO RIGHT</t>
  </si>
  <si>
    <t>2075</t>
  </si>
  <si>
    <t>CATM</t>
  </si>
  <si>
    <t>H006725</t>
  </si>
  <si>
    <t>IN BUSHES ON SIDE OF BLDG</t>
  </si>
  <si>
    <t>2080</t>
  </si>
  <si>
    <t>TANKER ALERT</t>
  </si>
  <si>
    <t>T2095</t>
  </si>
  <si>
    <t>BLDG UNDER CONSTRUCTION</t>
  </si>
  <si>
    <t>2090</t>
  </si>
  <si>
    <t>3080370</t>
  </si>
  <si>
    <t>MECH RM WATER HEATER SUPPLY</t>
  </si>
  <si>
    <t>356259</t>
  </si>
  <si>
    <t>102217</t>
  </si>
  <si>
    <t>2096</t>
  </si>
  <si>
    <t>READINESS</t>
  </si>
  <si>
    <t>115833</t>
  </si>
  <si>
    <t>MECH RM ON HOSE BIB</t>
  </si>
  <si>
    <t>3080700</t>
  </si>
  <si>
    <t>MECH RM ON WATER HEATER</t>
  </si>
  <si>
    <t>212373</t>
  </si>
  <si>
    <t>F0403121509</t>
  </si>
  <si>
    <t>2097</t>
  </si>
  <si>
    <t>3079891</t>
  </si>
  <si>
    <t>42162</t>
  </si>
  <si>
    <t>2DM0778</t>
  </si>
  <si>
    <t>2115</t>
  </si>
  <si>
    <t>VEHICLE MAINTENANCE</t>
  </si>
  <si>
    <t>411273</t>
  </si>
  <si>
    <t>WATER MAZE WASH RACK</t>
  </si>
  <si>
    <t>W017025</t>
  </si>
  <si>
    <t>HVAC MAKEUP IN BOILER RM IN CORNER</t>
  </si>
  <si>
    <t xml:space="preserve">CTR TESTED </t>
  </si>
  <si>
    <t>3079704</t>
  </si>
  <si>
    <t>RIGHT SIDE OF EAST ROLL UP DOOR/CHEM FEED</t>
  </si>
  <si>
    <t>1445220205</t>
  </si>
  <si>
    <t>FIRE SYS 2050 SIDE</t>
  </si>
  <si>
    <t>2116</t>
  </si>
  <si>
    <t>CARWASH</t>
  </si>
  <si>
    <t>3080710</t>
  </si>
  <si>
    <t>037034</t>
  </si>
  <si>
    <t>800M4</t>
  </si>
  <si>
    <t>OUTSIDE BY ROAD IRRIGATION (BROKEN)</t>
  </si>
  <si>
    <t>NEED TO REMOVE/fix</t>
  </si>
  <si>
    <t>2120</t>
  </si>
  <si>
    <t>373 MAINTENANCE</t>
  </si>
  <si>
    <t>W358332</t>
  </si>
  <si>
    <t>CLASS RM NEXT TO RIGHT SIDE FRONT DOOR ICE</t>
  </si>
  <si>
    <t>B045607</t>
  </si>
  <si>
    <t>MECH RM WATER SOFTNER</t>
  </si>
  <si>
    <t>2125</t>
  </si>
  <si>
    <t>INTEL/OSS</t>
  </si>
  <si>
    <t>BA0592</t>
  </si>
  <si>
    <t>MECH RM RUNS INTO SUMP</t>
  </si>
  <si>
    <t>removed</t>
  </si>
  <si>
    <t>H00448</t>
  </si>
  <si>
    <t>BEHIND COFFEE MACHINE(SNACK BAR DESK)</t>
  </si>
  <si>
    <t>1374310904</t>
  </si>
  <si>
    <t>3000SS</t>
  </si>
  <si>
    <t>IN MECH RM ON FIRE SYS DCDA#1</t>
  </si>
  <si>
    <t>62458</t>
  </si>
  <si>
    <t>IN MECH RM ON FIRE SYS DCDA#2</t>
  </si>
  <si>
    <t>215071</t>
  </si>
  <si>
    <t>IRRIGATION NEXT TO EAST PARKING LOT</t>
  </si>
  <si>
    <t>2140</t>
  </si>
  <si>
    <t>COMMAND POST</t>
  </si>
  <si>
    <t>042336</t>
  </si>
  <si>
    <t>975</t>
  </si>
  <si>
    <t>MECH RM 109 ON HVAC</t>
  </si>
  <si>
    <t>3033529</t>
  </si>
  <si>
    <t xml:space="preserve">MECH RM 109  </t>
  </si>
  <si>
    <t>8675309</t>
  </si>
  <si>
    <t>MECH RM IRRIAGTION ON BACK WALL</t>
  </si>
  <si>
    <t>B14775</t>
  </si>
  <si>
    <t>805</t>
  </si>
  <si>
    <t>2145</t>
  </si>
  <si>
    <t>PMEL</t>
  </si>
  <si>
    <t>4155303</t>
  </si>
  <si>
    <t>MECH RM B121 / HUMIDIFIER SUPPLY</t>
  </si>
  <si>
    <t>H01270</t>
  </si>
  <si>
    <t>850U</t>
  </si>
  <si>
    <t>BACK OF BLDG NEXT TO CHILLER IRRIGATION</t>
  </si>
  <si>
    <t>U23262</t>
  </si>
  <si>
    <t>MECH RM A107 DOMESTIC SUPPLY</t>
  </si>
  <si>
    <t>U22924</t>
  </si>
  <si>
    <t>2151</t>
  </si>
  <si>
    <t>POL AREA B</t>
  </si>
  <si>
    <t>3078460</t>
  </si>
  <si>
    <t>ON CARBON FILTER IN FILTER ROOM</t>
  </si>
  <si>
    <t>A40921</t>
  </si>
  <si>
    <t>BACK OF PUMP RM PREMISE</t>
  </si>
  <si>
    <t>675039</t>
  </si>
  <si>
    <t>IRRIGATION ON CORNER OF STREET NEAR 2050</t>
  </si>
  <si>
    <t>2163</t>
  </si>
  <si>
    <t>GLASSHOUSE</t>
  </si>
  <si>
    <t>H31043</t>
  </si>
  <si>
    <t>FLIGHTLINE SIDE OUTSIDE BY FDC IRRIGATION</t>
  </si>
  <si>
    <t>U34247</t>
  </si>
  <si>
    <t xml:space="preserve">FLIGHTLINE SIDE INSIDE ON FIRE SYS SOUTH </t>
  </si>
  <si>
    <t>U34248</t>
  </si>
  <si>
    <t>FLIGHTLINE SIDE INSIDE ON FIRE SYS MIDDLE SYS</t>
  </si>
  <si>
    <t>U34249</t>
  </si>
  <si>
    <t>FLIGHTLINE SIDE INSIDE ON FIRE SYS SOUTH SYS</t>
  </si>
  <si>
    <t>2185</t>
  </si>
  <si>
    <t>TEEN CENTER</t>
  </si>
  <si>
    <t>8675310</t>
  </si>
  <si>
    <t>FLIGHTLINE SIDE IRRIGATION SW OF BLDG</t>
  </si>
  <si>
    <t>1945062</t>
  </si>
  <si>
    <t>DORM 2278 SILDE IRR NEAR CROSSWALK</t>
  </si>
  <si>
    <t>U00369</t>
  </si>
  <si>
    <t>MECH RM IN BREAK RM FIRE SYS</t>
  </si>
  <si>
    <t>U00338</t>
  </si>
  <si>
    <t>MECH RM BACK OF OFFICE FIRE SYS</t>
  </si>
  <si>
    <t>W184146</t>
  </si>
  <si>
    <t>2187</t>
  </si>
  <si>
    <t>BRICK HOUSE</t>
  </si>
  <si>
    <t>W342709</t>
  </si>
  <si>
    <t>IN MECH RM ON HVAC FILL LINE</t>
  </si>
  <si>
    <t>X27823</t>
  </si>
  <si>
    <t>X27771</t>
  </si>
  <si>
    <t>3296297</t>
  </si>
  <si>
    <t>IRRIGATION NEXT TO SAFETY PARKING LOT</t>
  </si>
  <si>
    <t>A289863</t>
  </si>
  <si>
    <t>IN MECH RM ON HVAC WATER SOFTNER</t>
  </si>
  <si>
    <t>118597</t>
  </si>
  <si>
    <t>ACROSS ROAD IN FIELD BETWEEN 2 TREES</t>
  </si>
  <si>
    <t>2245</t>
  </si>
  <si>
    <t>COMM/FINANCE</t>
  </si>
  <si>
    <t>U28865</t>
  </si>
  <si>
    <t>FIRE SYS IN FENCE WITH OLD DRY PIPE</t>
  </si>
  <si>
    <t>2248</t>
  </si>
  <si>
    <t>U28835</t>
  </si>
  <si>
    <t>FIRE SYS IN HALLWAY ON EAST SIDE ON PRE ACTION</t>
  </si>
  <si>
    <t>C7090</t>
  </si>
  <si>
    <t>FIRE SYS IN CLOSET RM 105</t>
  </si>
  <si>
    <t>U00359</t>
  </si>
  <si>
    <t>FIRE SYS FOR TELECOMM BY ROLLUP DOOR</t>
  </si>
  <si>
    <t>A0208</t>
  </si>
  <si>
    <t>FIRE SYS TO RIGHT OF ROLLUP DOOR</t>
  </si>
  <si>
    <t>59795</t>
  </si>
  <si>
    <t>2249</t>
  </si>
  <si>
    <t>141 COMM</t>
  </si>
  <si>
    <t>H39201</t>
  </si>
  <si>
    <t>ON HVAC BEHIND HVAC</t>
  </si>
  <si>
    <t>2250</t>
  </si>
  <si>
    <t>RUNNING TRACK</t>
  </si>
  <si>
    <t>3338211</t>
  </si>
  <si>
    <t>1ST BASE DUGOUT NEAR HYDRANT BY POST OFFICE</t>
  </si>
  <si>
    <t>A39870</t>
  </si>
  <si>
    <t>IRRIGATION 3RD BASE DUGOUT NERE HYDRANT</t>
  </si>
  <si>
    <t>AJ9653</t>
  </si>
  <si>
    <t>IRR RAINBIRD NEAR TRACK &amp; HYDRANT IN FIELD</t>
  </si>
  <si>
    <t>AJ9663</t>
  </si>
  <si>
    <t>IRR NEAR 1ST BASE OUTSIDE OF VISISTOR CENTER</t>
  </si>
  <si>
    <t>A46906</t>
  </si>
  <si>
    <t>IRR NEAR SIDEWALK NEXT TO GYM PARKING LOT</t>
  </si>
  <si>
    <t>A43618</t>
  </si>
  <si>
    <t>IRR NEAR BASKETBALL COURT #1 &amp; BONG ST</t>
  </si>
  <si>
    <t>A44570</t>
  </si>
  <si>
    <t>IRR NEAR BASKETBALL COURT #2 &amp; BONG ST</t>
  </si>
  <si>
    <t>A43595</t>
  </si>
  <si>
    <t>INTERSECTION OF BONG AND GEORGE IRR</t>
  </si>
  <si>
    <t>AJ9674</t>
  </si>
  <si>
    <t>IRR NEAR SHELTER AND A RAINBIRD BY GYM</t>
  </si>
  <si>
    <t>A43619</t>
  </si>
  <si>
    <t>A43596</t>
  </si>
  <si>
    <t>NEAR PICNIC TABLE AND RAINBIRD BY POST OFFICE</t>
  </si>
  <si>
    <t>A38176</t>
  </si>
  <si>
    <t>ACROSS FROM GYM NEXT TO HYDRANT IRR</t>
  </si>
  <si>
    <t>pass</t>
  </si>
  <si>
    <t>AJ9654</t>
  </si>
  <si>
    <t>IRR PARKING LOT NEAR RAINBIRD AND FOUNTIAN</t>
  </si>
  <si>
    <t>2256</t>
  </si>
  <si>
    <t>DORM 2256</t>
  </si>
  <si>
    <t>2FM1280</t>
  </si>
  <si>
    <t>640343</t>
  </si>
  <si>
    <t>IRR BEHIND BLDG NEAR STAIRS</t>
  </si>
  <si>
    <t>U27382</t>
  </si>
  <si>
    <t>BLDG PREMISE IN MECH RM</t>
  </si>
  <si>
    <t>A106927</t>
  </si>
  <si>
    <t>MECH RM ABOVE HVAC ON MAKEUP</t>
  </si>
  <si>
    <t>2257</t>
  </si>
  <si>
    <t>DORM 2257</t>
  </si>
  <si>
    <t>A102858</t>
  </si>
  <si>
    <t>U27385</t>
  </si>
  <si>
    <t>U00357</t>
  </si>
  <si>
    <t>FIRE SYS</t>
  </si>
  <si>
    <t>619880</t>
  </si>
  <si>
    <t>2258</t>
  </si>
  <si>
    <t>Dorm 2248</t>
  </si>
  <si>
    <t>640456</t>
  </si>
  <si>
    <t xml:space="preserve">Behind dorm </t>
  </si>
  <si>
    <t>DORM 2258</t>
  </si>
  <si>
    <t>A106934</t>
  </si>
  <si>
    <t>HVAC MAKEUP</t>
  </si>
  <si>
    <t>U27383</t>
  </si>
  <si>
    <t>2FM1284</t>
  </si>
  <si>
    <t xml:space="preserve">FIRE SYS IN MECH RM </t>
  </si>
  <si>
    <t>2259</t>
  </si>
  <si>
    <t>DORM 2259</t>
  </si>
  <si>
    <t>U27380</t>
  </si>
  <si>
    <t>MECH RM DOWSTAIRS PREMISE</t>
  </si>
  <si>
    <t>630006</t>
  </si>
  <si>
    <t>BECHIND LEFT SIDE OF BLDG NEAR SIDEWALK</t>
  </si>
  <si>
    <t>2FH1281</t>
  </si>
  <si>
    <t>3338580</t>
  </si>
  <si>
    <t>MECH RM ON HVAC MAKEUP/ BACK WALL</t>
  </si>
  <si>
    <t>2260</t>
  </si>
  <si>
    <t>DORM MANAGERS 2260</t>
  </si>
  <si>
    <t>3338570</t>
  </si>
  <si>
    <t>975xl</t>
  </si>
  <si>
    <t>Yes</t>
  </si>
  <si>
    <t>D8173</t>
  </si>
  <si>
    <t>2262</t>
  </si>
  <si>
    <t>WARRIOR DFAC</t>
  </si>
  <si>
    <t>1394527</t>
  </si>
  <si>
    <t xml:space="preserve">MECH RM ON HVAC </t>
  </si>
  <si>
    <t>1394550</t>
  </si>
  <si>
    <t>HVAC</t>
  </si>
  <si>
    <t>3338543</t>
  </si>
  <si>
    <t>W346514</t>
  </si>
  <si>
    <t>ICE MACHINE IN KITCHEN</t>
  </si>
  <si>
    <t>H04795</t>
  </si>
  <si>
    <t>UNDER JUICE BAR</t>
  </si>
  <si>
    <t>W358322</t>
  </si>
  <si>
    <t xml:space="preserve">IN CLOSET ON MOP SINK SUPPLY </t>
  </si>
  <si>
    <t>W358583</t>
  </si>
  <si>
    <t>H00451</t>
  </si>
  <si>
    <t>ON GARBAGE DISPOSAL IN KITCHEN</t>
  </si>
  <si>
    <t>H00422</t>
  </si>
  <si>
    <t>ON COFFEE MAKER IN KITCHEN</t>
  </si>
  <si>
    <t>U45549</t>
  </si>
  <si>
    <t>IN MECH RM ON PREMISE</t>
  </si>
  <si>
    <t>3064570</t>
  </si>
  <si>
    <t>ON GAYLORD FIRE SYS</t>
  </si>
  <si>
    <t>A493654</t>
  </si>
  <si>
    <t>ON GAYLORD FIRE SYS IN CLOSET BEHIND CLOTHES</t>
  </si>
  <si>
    <t>A493643</t>
  </si>
  <si>
    <t>R2277</t>
  </si>
  <si>
    <t>H00106</t>
  </si>
  <si>
    <t xml:space="preserve">UNDER SINK DISPOSAL </t>
  </si>
  <si>
    <t>124055</t>
  </si>
  <si>
    <t>LF009QT</t>
  </si>
  <si>
    <t>ON DRINK MACHINES IN DINING AREA</t>
  </si>
  <si>
    <t>H60591</t>
  </si>
  <si>
    <t>CLIPPER</t>
  </si>
  <si>
    <t>2264</t>
  </si>
  <si>
    <t>AIRMANS LOUNGE</t>
  </si>
  <si>
    <t>A247002</t>
  </si>
  <si>
    <t>W358531</t>
  </si>
  <si>
    <t>2044595</t>
  </si>
  <si>
    <t>MIDDLE OF GRASS LEFT SIDE OF 2464</t>
  </si>
  <si>
    <t>2266</t>
  </si>
  <si>
    <t>DORM 2266</t>
  </si>
  <si>
    <t>1394523</t>
  </si>
  <si>
    <t>J017510</t>
  </si>
  <si>
    <t>U28024</t>
  </si>
  <si>
    <t>PREMISE ISOLATION Mech RM</t>
  </si>
  <si>
    <t>3//14/2022</t>
  </si>
  <si>
    <t>U29556</t>
  </si>
  <si>
    <t>3077074</t>
  </si>
  <si>
    <t>MOP SINK ON MAIN FLOOR</t>
  </si>
  <si>
    <t>2268</t>
  </si>
  <si>
    <t>DORM 2268</t>
  </si>
  <si>
    <t>3077173</t>
  </si>
  <si>
    <t>1ST FLOOR MOP SINK</t>
  </si>
  <si>
    <t>A266229</t>
  </si>
  <si>
    <t>U31515</t>
  </si>
  <si>
    <t>U28020</t>
  </si>
  <si>
    <t>PREMISE ISOLATION</t>
  </si>
  <si>
    <t>3081716</t>
  </si>
  <si>
    <t>IRRIGATION IN FRONT OF PARKING LOT</t>
  </si>
  <si>
    <t>ISO for winter</t>
  </si>
  <si>
    <t>2272</t>
  </si>
  <si>
    <t>TLF</t>
  </si>
  <si>
    <t>W358347</t>
  </si>
  <si>
    <t>LAUNDRY RM BASEMENT</t>
  </si>
  <si>
    <t>REMOVE</t>
  </si>
  <si>
    <t>U28021</t>
  </si>
  <si>
    <t>1928266</t>
  </si>
  <si>
    <t>IRR NEAR HVAC ON BACK OF BLDG</t>
  </si>
  <si>
    <t>Iso for winter</t>
  </si>
  <si>
    <t>2274</t>
  </si>
  <si>
    <t>DORM 2274</t>
  </si>
  <si>
    <t>3079732</t>
  </si>
  <si>
    <t>1176727</t>
  </si>
  <si>
    <t>U28023</t>
  </si>
  <si>
    <t>pASSED</t>
  </si>
  <si>
    <t>U28668</t>
  </si>
  <si>
    <t>2276</t>
  </si>
  <si>
    <t>DORM 2276</t>
  </si>
  <si>
    <t>3338576</t>
  </si>
  <si>
    <t>JL0252</t>
  </si>
  <si>
    <t>U28022</t>
  </si>
  <si>
    <t>2278</t>
  </si>
  <si>
    <t>DORM 2278</t>
  </si>
  <si>
    <t>3338569</t>
  </si>
  <si>
    <t>2ND FLOOR MOP SINK</t>
  </si>
  <si>
    <t>U27744</t>
  </si>
  <si>
    <t>HG0278</t>
  </si>
  <si>
    <t>D8169</t>
  </si>
  <si>
    <t>2279</t>
  </si>
  <si>
    <t>DORM 2279</t>
  </si>
  <si>
    <t>A266223</t>
  </si>
  <si>
    <t>3365215</t>
  </si>
  <si>
    <t>U28837</t>
  </si>
  <si>
    <t>U27384</t>
  </si>
  <si>
    <t>2292</t>
  </si>
  <si>
    <t>OUTDOOR POOL</t>
  </si>
  <si>
    <t>2068339</t>
  </si>
  <si>
    <t>MECH RM POOL TRIM WATER FEED</t>
  </si>
  <si>
    <t>A010127</t>
  </si>
  <si>
    <t>BETWEEN HYDRANTS 107 &amp; 108 IRRIGATION</t>
  </si>
  <si>
    <t xml:space="preserve">isolated </t>
  </si>
  <si>
    <t>H22102</t>
  </si>
  <si>
    <t>ACROSS 2276; CMD DR. S. SIDE OF RD IN VAULT</t>
  </si>
  <si>
    <t>461550</t>
  </si>
  <si>
    <t>BETWEEN POOL AND COMMANDERS HOUSE IRR</t>
  </si>
  <si>
    <t>AJ9815</t>
  </si>
  <si>
    <t>ACROSS 2272 IRRIGATION</t>
  </si>
  <si>
    <t>461543</t>
  </si>
  <si>
    <t>BEHIND POOL IRRIGATION</t>
  </si>
  <si>
    <t>POSSIBLE S/N: 416453</t>
  </si>
  <si>
    <t>3081720</t>
  </si>
  <si>
    <t>H22175</t>
  </si>
  <si>
    <t>BECHIND GAS STATION IRR</t>
  </si>
  <si>
    <t>U7362</t>
  </si>
  <si>
    <t>FRONT OF GAS STATION IRR</t>
  </si>
  <si>
    <t>2293</t>
  </si>
  <si>
    <t>FAIRCHILD HWY</t>
  </si>
  <si>
    <t>H21977</t>
  </si>
  <si>
    <t>BETWEEN 2393 &amp; FAIRCHILD HWY UNDER BUSH</t>
  </si>
  <si>
    <t>8/92022</t>
  </si>
  <si>
    <t xml:space="preserve">can't find </t>
  </si>
  <si>
    <t>H21666</t>
  </si>
  <si>
    <t>BETWEEN 2393 &amp; FAIRCHILD HWY BY PARKING LOT</t>
  </si>
  <si>
    <t>126942</t>
  </si>
  <si>
    <t>709</t>
  </si>
  <si>
    <t>In Pit Between Bldgs</t>
  </si>
  <si>
    <t>2310</t>
  </si>
  <si>
    <t>3064573</t>
  </si>
  <si>
    <t>KITCHEN UNDER SINK SOAP DISP</t>
  </si>
  <si>
    <t>W11446891</t>
  </si>
  <si>
    <t>550</t>
  </si>
  <si>
    <t>1126051</t>
  </si>
  <si>
    <t>W358569</t>
  </si>
  <si>
    <t>2316</t>
  </si>
  <si>
    <t>OVAL TRACK RESTROOM</t>
  </si>
  <si>
    <t>3442575XLTC</t>
  </si>
  <si>
    <t>174732</t>
  </si>
  <si>
    <t>3204015</t>
  </si>
  <si>
    <t>IRRIGATION FOOTBALL FIELD IN VAULT</t>
  </si>
  <si>
    <t>comfined space</t>
  </si>
  <si>
    <t>2319</t>
  </si>
  <si>
    <t>AUTO HOBBY SHOP</t>
  </si>
  <si>
    <t>3080475</t>
  </si>
  <si>
    <t>SOAP MECH RM BY CAR WASH</t>
  </si>
  <si>
    <t>W15399</t>
  </si>
  <si>
    <t>ELI WROTE W153999</t>
  </si>
  <si>
    <t>95643</t>
  </si>
  <si>
    <t xml:space="preserve">not in use </t>
  </si>
  <si>
    <t>AF1502</t>
  </si>
  <si>
    <t>2328</t>
  </si>
  <si>
    <t>MILLER PARK</t>
  </si>
  <si>
    <t>AJ9752</t>
  </si>
  <si>
    <t>3RD BASE DUGOUT VAULT IN GRASS</t>
  </si>
  <si>
    <t>215156</t>
  </si>
  <si>
    <t>NEAR HYDRANT ACROSS FROM ALS</t>
  </si>
  <si>
    <t>A037715</t>
  </si>
  <si>
    <t>IN VAULT IN GRASS ON LEFT AT END OF CUL-DE-SAC</t>
  </si>
  <si>
    <t>AJ9665</t>
  </si>
  <si>
    <t>IN VAULT IN GRASS ACROSS FROM THEATER</t>
  </si>
  <si>
    <t>AJ9616</t>
  </si>
  <si>
    <t>IN VAULT IN GRASS ACROSS FROM 716</t>
  </si>
  <si>
    <t>H22103</t>
  </si>
  <si>
    <t>IN PARK IN MIDDLE OF TABLES NEAR VOLLEYBALL</t>
  </si>
  <si>
    <t>2365</t>
  </si>
  <si>
    <t>AFARC</t>
  </si>
  <si>
    <t>BA0719</t>
  </si>
  <si>
    <t>MECH RM HVAC FEED</t>
  </si>
  <si>
    <t>2379</t>
  </si>
  <si>
    <t>BASE GYM</t>
  </si>
  <si>
    <t>J045335</t>
  </si>
  <si>
    <t>BOILER MECH RM UPSTAIRS</t>
  </si>
  <si>
    <t>N1104040103</t>
  </si>
  <si>
    <t>PUMP MECH RM POOL SUPPLY</t>
  </si>
  <si>
    <t>N1104040105</t>
  </si>
  <si>
    <t>PUMP MECH RM SUPPLY</t>
  </si>
  <si>
    <t>N1104040106</t>
  </si>
  <si>
    <t>ROOM 119 BACK OF BASKETBALL COURT</t>
  </si>
  <si>
    <t>N1103211235</t>
  </si>
  <si>
    <t>N1104051251</t>
  </si>
  <si>
    <t>856</t>
  </si>
  <si>
    <t>SERE RM ON FIRE DCDA #1</t>
  </si>
  <si>
    <t>H017045</t>
  </si>
  <si>
    <t>805YB</t>
  </si>
  <si>
    <t>SERE RM ON FIRE DCDA #2</t>
  </si>
  <si>
    <t>2380</t>
  </si>
  <si>
    <t>EDUCATION CENTER</t>
  </si>
  <si>
    <t>A154761</t>
  </si>
  <si>
    <t>NORTH MECH RM PREMISE</t>
  </si>
  <si>
    <t>9907131156</t>
  </si>
  <si>
    <t>FIRE SUPPLY NORTH MECH RM</t>
  </si>
  <si>
    <t>9907131157</t>
  </si>
  <si>
    <t>FIRE SUPPLY SOUTH MECH RM</t>
  </si>
  <si>
    <t>9908311215</t>
  </si>
  <si>
    <t>PREMISE ISO IN SOUTH MECH RM</t>
  </si>
  <si>
    <t>835875</t>
  </si>
  <si>
    <t>SOUTH MECH RM IRRIGATION (EDUCATION SIDE)</t>
  </si>
  <si>
    <t>2383</t>
  </si>
  <si>
    <t>SHOPPETT</t>
  </si>
  <si>
    <t>K6634</t>
  </si>
  <si>
    <t>IRRIGATION ABOVE MOP SINK</t>
  </si>
  <si>
    <t>ISOLATED FOR WINTER</t>
  </si>
  <si>
    <t>W358320</t>
  </si>
  <si>
    <t xml:space="preserve">BEHIND SODA MACHINES </t>
  </si>
  <si>
    <t>NOT TESTABLE</t>
  </si>
  <si>
    <t>2386</t>
  </si>
  <si>
    <t>4206900</t>
  </si>
  <si>
    <t>950XLT2</t>
  </si>
  <si>
    <t>IRR OUSTSIDE LEFT OF ENTRY NEAR TRANSFORMER</t>
  </si>
  <si>
    <t xml:space="preserve">S/N IS MISSING </t>
  </si>
  <si>
    <t>2392</t>
  </si>
  <si>
    <t>BILLITING MAIN SIDE</t>
  </si>
  <si>
    <t>3356184</t>
  </si>
  <si>
    <t>MECH ROOM HOT WATER STORAGE</t>
  </si>
  <si>
    <t>A188197</t>
  </si>
  <si>
    <t>W358375</t>
  </si>
  <si>
    <t>2ND FLOOR ICE MACHINE</t>
  </si>
  <si>
    <t>H00578</t>
  </si>
  <si>
    <t>MAIN ENTRANCE COFFEE MACHINE</t>
  </si>
  <si>
    <t>AD1970</t>
  </si>
  <si>
    <t>2393</t>
  </si>
  <si>
    <t xml:space="preserve">BILLITING </t>
  </si>
  <si>
    <t>X19658</t>
  </si>
  <si>
    <t>BILLITING</t>
  </si>
  <si>
    <t>J13906</t>
  </si>
  <si>
    <t>Billiting</t>
  </si>
  <si>
    <t>H0056A</t>
  </si>
  <si>
    <t>Behind Ice maker in suit 3115</t>
  </si>
  <si>
    <t>2399</t>
  </si>
  <si>
    <t>AJ1903</t>
  </si>
  <si>
    <t>MECH RM IN BASEMENT</t>
  </si>
  <si>
    <t>2411</t>
  </si>
  <si>
    <t>HAZMAT PHARMACY</t>
  </si>
  <si>
    <t>N3921</t>
  </si>
  <si>
    <t>4020E03</t>
  </si>
  <si>
    <t>Hazmat Pharmacy</t>
  </si>
  <si>
    <t>3105740XLTCU</t>
  </si>
  <si>
    <t>2415</t>
  </si>
  <si>
    <t>ENTOMOLOGY</t>
  </si>
  <si>
    <t>66868</t>
  </si>
  <si>
    <t>007M-QY</t>
  </si>
  <si>
    <t>2417</t>
  </si>
  <si>
    <t>BULK STORAGE OFFICES</t>
  </si>
  <si>
    <t>HB-750</t>
  </si>
  <si>
    <t>3128074XLTC</t>
  </si>
  <si>
    <t>975XLTCU</t>
  </si>
  <si>
    <t>2426</t>
  </si>
  <si>
    <t>K9 KENNEL</t>
  </si>
  <si>
    <t>B150445</t>
  </si>
  <si>
    <t xml:space="preserve">MECH RM </t>
  </si>
  <si>
    <t>B091525</t>
  </si>
  <si>
    <t>E2410</t>
  </si>
  <si>
    <t>20</t>
  </si>
  <si>
    <t>MECH RM KENNEL SIDE ON FIRE</t>
  </si>
  <si>
    <t>1945059</t>
  </si>
  <si>
    <t>IRRIGATION IN MIDDLE OF FIELD</t>
  </si>
  <si>
    <t>25640372</t>
  </si>
  <si>
    <t>IN PIT NEXT TO BOOSTER PUMP</t>
  </si>
  <si>
    <t>B47864C</t>
  </si>
  <si>
    <t>B331109</t>
  </si>
  <si>
    <t>720A</t>
  </si>
  <si>
    <t>DOG KENNELS</t>
  </si>
  <si>
    <t>B331125</t>
  </si>
  <si>
    <t>DOG KENNELS BY MAIN DOOR</t>
  </si>
  <si>
    <t>2447</t>
  </si>
  <si>
    <t>92 SFS/OUTDOOR REC</t>
  </si>
  <si>
    <t>J11421</t>
  </si>
  <si>
    <t>IN COP SHOP FIRE CLOSET ON FIRE SYS</t>
  </si>
  <si>
    <t>J11504</t>
  </si>
  <si>
    <t>ON FIRE SYS BEHIND INNER BLDG OUTDOOR REC</t>
  </si>
  <si>
    <t>H11925</t>
  </si>
  <si>
    <t>W254050</t>
  </si>
  <si>
    <t>2451</t>
  </si>
  <si>
    <t>92 CES</t>
  </si>
  <si>
    <t>W358587</t>
  </si>
  <si>
    <t>ICE MACHINE STRUCTURES SHOP</t>
  </si>
  <si>
    <t>3338579</t>
  </si>
  <si>
    <t>HOSE ROOM WFSM SHOP PRESSURE WASHER</t>
  </si>
  <si>
    <t xml:space="preserve">ISO </t>
  </si>
  <si>
    <t>H30074</t>
  </si>
  <si>
    <t>OUTSIDE WFSM IN MECH RM ON HVAC</t>
  </si>
  <si>
    <t>H39336</t>
  </si>
  <si>
    <t xml:space="preserve">OUTSIDE OF KEY AND LOCK SHOP HVAC </t>
  </si>
  <si>
    <t>BARC WROTE H38396</t>
  </si>
  <si>
    <t>A00641</t>
  </si>
  <si>
    <t>COFFEE MACHINE UNDER HVAC SINK</t>
  </si>
  <si>
    <t>H00641</t>
  </si>
  <si>
    <t>U00477</t>
  </si>
  <si>
    <t>MECH RM FIRE SYS CEX ENTRANCE</t>
  </si>
  <si>
    <t>U00483</t>
  </si>
  <si>
    <t>MECH RM FIRE SYS STRUCTURES ENTRANCE</t>
  </si>
  <si>
    <t>U00478</t>
  </si>
  <si>
    <t>MECH RM FIRE SYS CEOES ENTRANCE</t>
  </si>
  <si>
    <t>J06683</t>
  </si>
  <si>
    <t>MECH RM FIRE SYS GEOBASE ENTRANCE</t>
  </si>
  <si>
    <t>2452</t>
  </si>
  <si>
    <t>RED MORGAN</t>
  </si>
  <si>
    <t>3704691</t>
  </si>
  <si>
    <t>2.O</t>
  </si>
  <si>
    <t>ROOM 204 INSIDE ACCESS PANEL</t>
  </si>
  <si>
    <t>624/24</t>
  </si>
  <si>
    <t>J11506</t>
  </si>
  <si>
    <t>MECH RM FIRE SYS SOUTH SIDE</t>
  </si>
  <si>
    <t>1394485</t>
  </si>
  <si>
    <t>F0303061343</t>
  </si>
  <si>
    <t>870V</t>
  </si>
  <si>
    <t>FIRE SYS IN RM 126</t>
  </si>
  <si>
    <t>2459</t>
  </si>
  <si>
    <t>BURGER KING</t>
  </si>
  <si>
    <t>W078644</t>
  </si>
  <si>
    <t>BACK RM SODA FEED</t>
  </si>
  <si>
    <t>W358543</t>
  </si>
  <si>
    <t>ICE MACHINE FEED</t>
  </si>
  <si>
    <t>U00479</t>
  </si>
  <si>
    <t>BACK RM ON FIRE SYS</t>
  </si>
  <si>
    <t>P1212</t>
  </si>
  <si>
    <t>CORNER OF BLDG NEAR BACK DOOR</t>
  </si>
  <si>
    <t>2460</t>
  </si>
  <si>
    <t xml:space="preserve">Refill Pharmacy </t>
  </si>
  <si>
    <t>A00049</t>
  </si>
  <si>
    <t xml:space="preserve">Mech Room </t>
  </si>
  <si>
    <t>V31918</t>
  </si>
  <si>
    <t>3570529XLD</t>
  </si>
  <si>
    <t>MECH ROOM DCDA</t>
  </si>
  <si>
    <t>2463</t>
  </si>
  <si>
    <t>CLASS SIX</t>
  </si>
  <si>
    <t>W358342</t>
  </si>
  <si>
    <t>STORAGE RM BECHIND DESK</t>
  </si>
  <si>
    <t>?SN: 433834/iso</t>
  </si>
  <si>
    <t>U28839</t>
  </si>
  <si>
    <t>019647</t>
  </si>
  <si>
    <t>800M4QT</t>
  </si>
  <si>
    <t>FIELD EAST OF CLASS SIX IRRIGATION</t>
  </si>
  <si>
    <t>1941300</t>
  </si>
  <si>
    <t>2464</t>
  </si>
  <si>
    <t>COMMISSARY</t>
  </si>
  <si>
    <t>258198</t>
  </si>
  <si>
    <t>FRONT OF COMMISSARY IN FRONT OF HYDRANT</t>
  </si>
  <si>
    <t>308696</t>
  </si>
  <si>
    <t>MIDDLE OF FIELD IN FORNT OF HYDRANT</t>
  </si>
  <si>
    <t>208696</t>
  </si>
  <si>
    <t xml:space="preserve">Old S# </t>
  </si>
  <si>
    <t>U00356</t>
  </si>
  <si>
    <t>2465</t>
  </si>
  <si>
    <t>BASE EXCHANGE</t>
  </si>
  <si>
    <t>164610</t>
  </si>
  <si>
    <t>W358573</t>
  </si>
  <si>
    <t>FOOD COURT SODA MACHINES</t>
  </si>
  <si>
    <t>H04972</t>
  </si>
  <si>
    <t>SODA MACHINES REMOVED</t>
  </si>
  <si>
    <t>U28854</t>
  </si>
  <si>
    <t>9808261335</t>
  </si>
  <si>
    <t>GARDEN CENTER MECH RM FIRE SYS</t>
  </si>
  <si>
    <t>2EJ0455</t>
  </si>
  <si>
    <t>IN FRONT MECH RM IRRIGATION</t>
  </si>
  <si>
    <t>W407311</t>
  </si>
  <si>
    <t>UNDER SINK IN FOOD COURT</t>
  </si>
  <si>
    <t>2500</t>
  </si>
  <si>
    <t>CDC</t>
  </si>
  <si>
    <t>W358327</t>
  </si>
  <si>
    <t>3080372</t>
  </si>
  <si>
    <t>H005203</t>
  </si>
  <si>
    <t>AF4697</t>
  </si>
  <si>
    <t>IRR OUTSIDE UNDER TREE BY MECH RM</t>
  </si>
  <si>
    <t>2610292</t>
  </si>
  <si>
    <t>W408368</t>
  </si>
  <si>
    <t>IN KITCHEN BEHIND ICE MACHINE</t>
  </si>
  <si>
    <t>Needs removed</t>
  </si>
  <si>
    <t>4200</t>
  </si>
  <si>
    <t>CHAPEL &amp; IRRIGATION</t>
  </si>
  <si>
    <t>A00085</t>
  </si>
  <si>
    <t>LF850</t>
  </si>
  <si>
    <t>BETWEEN COMMANDERS HOUSE &amp; MITCHELL DR.</t>
  </si>
  <si>
    <t>AJ9657</t>
  </si>
  <si>
    <t>COMMANDER DR. VALVE BOX IS A STORM GRATE</t>
  </si>
  <si>
    <t>N05885</t>
  </si>
  <si>
    <t>MECH RM ON FIRE SYS DCDA#1</t>
  </si>
  <si>
    <t>1419762XLD</t>
  </si>
  <si>
    <t>MECH RM ON FIRE SYS DCDA#2</t>
  </si>
  <si>
    <t>H22190</t>
  </si>
  <si>
    <t>AIRPLANE PARK EAKER &amp; BONG ON WEST SIDE</t>
  </si>
  <si>
    <t>1945057</t>
  </si>
  <si>
    <t xml:space="preserve">AIRPLANE PARK EAKER &amp; BONG </t>
  </si>
  <si>
    <t>B171901</t>
  </si>
  <si>
    <t>EAST OF TLF BY TRANSFORMER</t>
  </si>
  <si>
    <t>H21070</t>
  </si>
  <si>
    <t>B455182</t>
  </si>
  <si>
    <t>350xl</t>
  </si>
  <si>
    <t>AIRPLANE PARK BY B-52 NEAR HYDRANT</t>
  </si>
  <si>
    <t>H43054</t>
  </si>
  <si>
    <t>B00917</t>
  </si>
  <si>
    <t>AIRPLANE PARK IRRIGATION EAST OF EAKER</t>
  </si>
  <si>
    <t>not TESTED</t>
  </si>
  <si>
    <t>OLD SN: H19968</t>
  </si>
  <si>
    <t>H113343</t>
  </si>
  <si>
    <t>BEHIND CHAPEL ALONG MITCHELL</t>
  </si>
  <si>
    <t xml:space="preserve">area under construction </t>
  </si>
  <si>
    <t>H007029</t>
  </si>
  <si>
    <t>IRRIGATION PVB OUTSIDE CHAPLE</t>
  </si>
  <si>
    <t>330127</t>
  </si>
  <si>
    <t>NOT TESTED</t>
  </si>
  <si>
    <t>H005698</t>
  </si>
  <si>
    <t>H06572</t>
  </si>
  <si>
    <t>ACROSS MITCHELL DR. IRRIGATION</t>
  </si>
  <si>
    <t>W358318</t>
  </si>
  <si>
    <t>4042101</t>
  </si>
  <si>
    <t>950xlt</t>
  </si>
  <si>
    <t>FIELD BETWEEN CHAPEL AND FRONT GATE BY TREE</t>
  </si>
  <si>
    <t>1830332</t>
  </si>
  <si>
    <t>4203</t>
  </si>
  <si>
    <t>VISITOR CENTER</t>
  </si>
  <si>
    <t>H05531</t>
  </si>
  <si>
    <t>RIGHT SIDE OF PARKING LOT NEXT TO SIDEWALK</t>
  </si>
  <si>
    <t>4206</t>
  </si>
  <si>
    <t>MAIN GATE</t>
  </si>
  <si>
    <t>40413</t>
  </si>
  <si>
    <t>OUTBOUND RD NEXT TO HYDRANT</t>
  </si>
  <si>
    <t>2065894</t>
  </si>
  <si>
    <t xml:space="preserve">OUTBOUND RD BEHIND BRICK OVERHANG </t>
  </si>
  <si>
    <t>2065897</t>
  </si>
  <si>
    <t>4325</t>
  </si>
  <si>
    <t>PASS &amp; ID</t>
  </si>
  <si>
    <t>AJ9739</t>
  </si>
  <si>
    <t>MIDDLE OF GRASS IN FRONT OF BLDG NEAR POST</t>
  </si>
  <si>
    <t>4400</t>
  </si>
  <si>
    <t>ARMY RESERVE CENTER</t>
  </si>
  <si>
    <t>3070067XLTCU</t>
  </si>
  <si>
    <t>A90731</t>
  </si>
  <si>
    <t>L50784</t>
  </si>
  <si>
    <t>60107</t>
  </si>
  <si>
    <t>008PCQT</t>
  </si>
  <si>
    <t>GARBAGE DISPOSAL</t>
  </si>
  <si>
    <t>59682</t>
  </si>
  <si>
    <t>KITCHEN GARBAGE DISPOSAL</t>
  </si>
  <si>
    <t>28478</t>
  </si>
  <si>
    <t>OUTSIDE MECH RM DOOR IN GRASS</t>
  </si>
  <si>
    <t>4401</t>
  </si>
  <si>
    <t>2968490</t>
  </si>
  <si>
    <t>3064818</t>
  </si>
  <si>
    <t>BONNIE WROTE 3054818</t>
  </si>
  <si>
    <t>9000</t>
  </si>
  <si>
    <t>MEDICAL CLINIC</t>
  </si>
  <si>
    <t>533338</t>
  </si>
  <si>
    <t>MAIN ENTRANCE BY HYDRANT 11</t>
  </si>
  <si>
    <t>55075</t>
  </si>
  <si>
    <t>BACK OF BLDG DENTAL SIDE BY HYDRANT 14</t>
  </si>
  <si>
    <t>05847</t>
  </si>
  <si>
    <t>765-2</t>
  </si>
  <si>
    <t>NW SIDE OF CLINIC IN GRASS</t>
  </si>
  <si>
    <t>9008</t>
  </si>
  <si>
    <t>DENTAL CLINIC</t>
  </si>
  <si>
    <t>449411</t>
  </si>
  <si>
    <t>NEXT TO ENTRANCE IN GRAVEL</t>
  </si>
  <si>
    <t>9010</t>
  </si>
  <si>
    <t>ARMY COE</t>
  </si>
  <si>
    <t>A132081</t>
  </si>
  <si>
    <t>U37347</t>
  </si>
  <si>
    <t>CHRIS WROTE U27347</t>
  </si>
  <si>
    <t>LAST
TEST</t>
  </si>
  <si>
    <t>LAST TEST</t>
  </si>
  <si>
    <t xml:space="preserve">DATE </t>
  </si>
  <si>
    <t xml:space="preserve">OPER </t>
  </si>
  <si>
    <t xml:space="preserve">CV2 </t>
  </si>
  <si>
    <t>Passed</t>
  </si>
  <si>
    <t>MICHAEL ANDERSON</t>
  </si>
  <si>
    <t>F0204080725</t>
  </si>
  <si>
    <t>IRR WEST OF SCHOOL FENCED AREA</t>
  </si>
  <si>
    <t>1339754</t>
  </si>
  <si>
    <t>MECH ROOM HOT WATER</t>
  </si>
  <si>
    <t>U28838</t>
  </si>
  <si>
    <t>MECH ROOM FIRE SYS</t>
  </si>
  <si>
    <t>J08247</t>
  </si>
  <si>
    <t>VAULT NEXT TO PIV</t>
  </si>
  <si>
    <t>FAFB HOUSING</t>
  </si>
  <si>
    <t>008307</t>
  </si>
  <si>
    <t>LF007M1QT</t>
  </si>
  <si>
    <t>FRONT CIRCLE DRIVE HOT BOX ROCK</t>
  </si>
  <si>
    <t>X13788</t>
  </si>
  <si>
    <t>GALENA STATION HOT BOX #1</t>
  </si>
  <si>
    <t>L50441</t>
  </si>
  <si>
    <t>GALENA STATION HOT BOX #2</t>
  </si>
  <si>
    <t>L50440</t>
  </si>
  <si>
    <t>KAMIAKIN HOT BOX #1</t>
  </si>
  <si>
    <t>L50442</t>
  </si>
  <si>
    <t>KAMIAKIN HOT BOX #2</t>
  </si>
  <si>
    <t>ALASKA BOILER</t>
  </si>
  <si>
    <t>#1 BOILER</t>
  </si>
  <si>
    <t>1363820</t>
  </si>
  <si>
    <t>#2 BOILER</t>
  </si>
  <si>
    <t>BOILER</t>
  </si>
  <si>
    <t>10/102022</t>
  </si>
  <si>
    <t>7.4</t>
  </si>
  <si>
    <t>1363764</t>
  </si>
  <si>
    <t>6.2</t>
  </si>
  <si>
    <t>1419513</t>
  </si>
  <si>
    <t>W017036</t>
  </si>
  <si>
    <t>7.8</t>
  </si>
  <si>
    <t>1339756</t>
  </si>
  <si>
    <t>1363777</t>
  </si>
  <si>
    <t>D8305</t>
  </si>
  <si>
    <t>3105740</t>
  </si>
  <si>
    <t>1419502</t>
  </si>
  <si>
    <t>W358507</t>
  </si>
  <si>
    <t>PRODUCE PREP</t>
  </si>
  <si>
    <t>A03077</t>
  </si>
  <si>
    <t>.075</t>
  </si>
  <si>
    <t>1363759</t>
  </si>
  <si>
    <t>9607081244</t>
  </si>
  <si>
    <t>FIRE PUMP RM 006A</t>
  </si>
  <si>
    <t>9607081245</t>
  </si>
  <si>
    <t>78583</t>
  </si>
  <si>
    <t>LF009M2QT</t>
  </si>
  <si>
    <t>HOUSEKEEPING RM 008</t>
  </si>
  <si>
    <t>95606</t>
  </si>
  <si>
    <t>1396006</t>
  </si>
  <si>
    <t>RM 026 BOILER</t>
  </si>
  <si>
    <t>A83116</t>
  </si>
  <si>
    <t>RM 031D</t>
  </si>
  <si>
    <t>37029</t>
  </si>
  <si>
    <t>MECH RM 49 ON BOILER</t>
  </si>
  <si>
    <t>W043005</t>
  </si>
  <si>
    <t>HALL RM 049</t>
  </si>
  <si>
    <t>95622</t>
  </si>
  <si>
    <t>1044</t>
  </si>
  <si>
    <t>RM 050</t>
  </si>
  <si>
    <t>1045</t>
  </si>
  <si>
    <t>90275</t>
  </si>
  <si>
    <t>HOUSEKEEPING RM 125</t>
  </si>
  <si>
    <t>94570</t>
  </si>
  <si>
    <t>Serial Number 94570</t>
  </si>
  <si>
    <t>81969</t>
  </si>
  <si>
    <t>HOUSEKEEPING RM 126A</t>
  </si>
  <si>
    <t>86203</t>
  </si>
  <si>
    <t>94531</t>
  </si>
  <si>
    <t>HOUSEKEEPING RM 136</t>
  </si>
  <si>
    <t>94548</t>
  </si>
  <si>
    <t>92200</t>
  </si>
  <si>
    <t>HOUSEKEEPING RM 160A</t>
  </si>
  <si>
    <t>95604</t>
  </si>
  <si>
    <t>77141</t>
  </si>
  <si>
    <t>HOUSEKEEPING RM 210</t>
  </si>
  <si>
    <t>92870</t>
  </si>
  <si>
    <t>85430</t>
  </si>
  <si>
    <t>HOUSEKEEPING RM 235</t>
  </si>
  <si>
    <t>90688</t>
  </si>
  <si>
    <t>LABLED AS 90388</t>
  </si>
  <si>
    <t>88920</t>
  </si>
  <si>
    <t>HOUSEKEEPING RM 286</t>
  </si>
  <si>
    <t>94937</t>
  </si>
  <si>
    <t xml:space="preserve">RM 304 EAST WALL DOMESTIC </t>
  </si>
  <si>
    <t>1030</t>
  </si>
  <si>
    <t>RM 304 EAST WALL DOMESTIC</t>
  </si>
  <si>
    <t>88888</t>
  </si>
  <si>
    <t xml:space="preserve">HOUSEKEEPING RM 345 </t>
  </si>
  <si>
    <t>95608</t>
  </si>
  <si>
    <t>9002</t>
  </si>
  <si>
    <t>JK0019</t>
  </si>
  <si>
    <t>SOUTHWEST CORNER OF BLDG FIRE LINE</t>
  </si>
  <si>
    <t>ABK9502</t>
  </si>
  <si>
    <t>UNDER SINK IN BATHROOM</t>
  </si>
  <si>
    <t>REPLACED W184134</t>
  </si>
  <si>
    <t>1060</t>
  </si>
  <si>
    <t>DOG HOUSE</t>
  </si>
  <si>
    <t>1061</t>
  </si>
  <si>
    <t>04572</t>
  </si>
  <si>
    <t>MECH RM 123 ON LEFT RACK #1 FOR STERILIZER</t>
  </si>
  <si>
    <t>16669</t>
  </si>
  <si>
    <t>MECH RM 123 ON LEFT RACK #2 FOR STERILIZER</t>
  </si>
  <si>
    <t>125595</t>
  </si>
  <si>
    <t>MECH RM 123 ON LEFT RACK #3 FOR STERILIZER</t>
  </si>
  <si>
    <t>125609</t>
  </si>
  <si>
    <t>MECH RM 123 ON LEFT RACK #4 FOR STERILIZER</t>
  </si>
  <si>
    <t>125608</t>
  </si>
  <si>
    <t>MECH RM 123 ON LEFT RACK #5 FOR STERILIZER</t>
  </si>
  <si>
    <t>16664</t>
  </si>
  <si>
    <t>MECH RM 123 ON RIGHT RACK #1 FOR STERILIZER</t>
  </si>
  <si>
    <t>12219</t>
  </si>
  <si>
    <t>MECH RM 123 ON RIGHT RACK #2 FOR STERILIZER</t>
  </si>
  <si>
    <t>157198</t>
  </si>
  <si>
    <t>MECH RM 123 ON RIGHT RACK #3 FOR STERILIZER</t>
  </si>
  <si>
    <t>157215</t>
  </si>
  <si>
    <t>MECH RM 123 ON RIGHT RACK #4 FOR STERILIZER</t>
  </si>
  <si>
    <t>128983</t>
  </si>
  <si>
    <t>LF009M2QR</t>
  </si>
  <si>
    <t>MECH RM 123 ON RIGHT RACK #5 FOR STERILIZER</t>
  </si>
  <si>
    <t>W122795</t>
  </si>
  <si>
    <t>MECH RM 123 EAST WALL BOILER MAKEUP</t>
  </si>
  <si>
    <t>9902101454</t>
  </si>
  <si>
    <t>ROOM 148 ON FIRE LINE</t>
  </si>
  <si>
    <t>REFILL</t>
  </si>
  <si>
    <t>V311918</t>
  </si>
  <si>
    <t>FIRE SPRINKLER RM DCDA#1</t>
  </si>
  <si>
    <t>3570529</t>
  </si>
  <si>
    <t>FIRE SPRINKLER RM DCDA#2</t>
  </si>
  <si>
    <t>FIRE SPRINKLER RM DOMESTIC</t>
  </si>
  <si>
    <t>2424</t>
  </si>
  <si>
    <t>V38798</t>
  </si>
  <si>
    <t>RISER RM DCDA#1</t>
  </si>
  <si>
    <t>Clinic</t>
  </si>
  <si>
    <t>J001967</t>
  </si>
  <si>
    <t>LF825Y</t>
  </si>
  <si>
    <t>RM 113 Mech Room</t>
  </si>
  <si>
    <t>384426</t>
  </si>
  <si>
    <t>RISER RM DCDA#2</t>
  </si>
  <si>
    <t>2425</t>
  </si>
  <si>
    <t>384427</t>
  </si>
  <si>
    <t>0.76</t>
  </si>
  <si>
    <t>RISER RM DCDA#3</t>
  </si>
  <si>
    <t>384428</t>
  </si>
  <si>
    <t>0.77</t>
  </si>
  <si>
    <t>RISER RM DCDA#4</t>
  </si>
  <si>
    <t>2427</t>
  </si>
  <si>
    <t>384429</t>
  </si>
  <si>
    <t>0.78</t>
  </si>
  <si>
    <t>RISER RM DCDA#5</t>
  </si>
  <si>
    <r>
      <rPr>
        <b/>
        <sz val="10"/>
        <color rgb="FFFFC000"/>
        <rFont val="Verdana"/>
        <family val="2"/>
        <scheme val="minor"/>
      </rPr>
      <t xml:space="preserve">Orange </t>
    </r>
    <r>
      <rPr>
        <sz val="10"/>
        <color rgb="FF000000"/>
        <rFont val="Verdana"/>
        <family val="2"/>
        <scheme val="minor"/>
      </rPr>
      <t>= Red on last years ASR check before removing.</t>
    </r>
  </si>
  <si>
    <t xml:space="preserve">Black = not tested yet. </t>
  </si>
  <si>
    <r>
      <rPr>
        <sz val="10"/>
        <color rgb="FF00B050"/>
        <rFont val="Verdana"/>
        <family val="2"/>
        <scheme val="minor"/>
      </rPr>
      <t>Green</t>
    </r>
    <r>
      <rPr>
        <sz val="10"/>
        <color rgb="FF000000"/>
        <rFont val="Verdana"/>
        <family val="2"/>
        <scheme val="minor"/>
      </rPr>
      <t xml:space="preserve"> = Tested this year.</t>
    </r>
  </si>
  <si>
    <r>
      <rPr>
        <sz val="10"/>
        <color rgb="FFFF0000"/>
        <rFont val="Verdana"/>
        <family val="2"/>
        <scheme val="minor"/>
      </rPr>
      <t>Red</t>
    </r>
    <r>
      <rPr>
        <sz val="10"/>
        <color rgb="FF000000"/>
        <rFont val="Verdana"/>
        <family val="2"/>
        <scheme val="minor"/>
      </rPr>
      <t xml:space="preserve"> = Remove from list</t>
    </r>
  </si>
  <si>
    <r>
      <rPr>
        <sz val="10"/>
        <color rgb="FF0070C0"/>
        <rFont val="Verdana"/>
        <family val="2"/>
        <scheme val="minor"/>
      </rPr>
      <t>Blue</t>
    </r>
    <r>
      <rPr>
        <sz val="10"/>
        <color rgb="FF000000"/>
        <rFont val="Verdana"/>
        <family val="2"/>
        <scheme val="minor"/>
      </rPr>
      <t xml:space="preserve"> = Issolated not tested </t>
    </r>
  </si>
  <si>
    <t>W165386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</si>
</sst>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&quot;/&quot;dd&quot;/&quot;yy"/>
    <numFmt numFmtId="165" formatCode="0.0"/>
    <numFmt numFmtId="166" formatCode="mm/dd/yyyy"/>
    <numFmt numFmtId="167" formatCode="mm/dd/yy"/>
  </numFmts>
  <fonts count="39">
    <font>
      <sz val="10"/>
      <color rgb="FF000000"/>
      <name val="Verdana"/>
      <scheme val="minor"/>
    </font>
    <font>
      <sz val="10"/>
      <color theme="1"/>
      <name val="Verdana"/>
      <family val="2"/>
      <scheme val="minor"/>
    </font>
    <font>
      <sz val="11"/>
      <color rgb="FF000000"/>
      <name val="Inconsolata"/>
    </font>
    <font>
      <b/>
      <sz val="8"/>
      <color theme="1"/>
      <name val="Verdana"/>
      <family val="2"/>
      <scheme val="minor"/>
    </font>
    <font>
      <sz val="10"/>
      <name val="Verdana"/>
      <family val="2"/>
    </font>
    <font>
      <b/>
      <sz val="10"/>
      <color theme="1"/>
      <name val="Verdana"/>
      <family val="2"/>
      <scheme val="minor"/>
    </font>
    <font>
      <sz val="10"/>
      <color rgb="FF000000"/>
      <name val="Verdana"/>
      <family val="2"/>
      <scheme val="minor"/>
    </font>
    <font>
      <b/>
      <sz val="10"/>
      <color rgb="FF000000"/>
      <name val="Verdana"/>
      <family val="2"/>
      <scheme val="minor"/>
    </font>
    <font>
      <b/>
      <sz val="18"/>
      <color rgb="FF000000"/>
      <name val="Impact"/>
      <family val="2"/>
    </font>
    <font>
      <b/>
      <sz val="24"/>
      <color rgb="FF000000"/>
      <name val="Impact"/>
      <family val="2"/>
    </font>
    <font>
      <sz val="18"/>
      <color rgb="FF000000"/>
      <name val="Verdana"/>
      <family val="2"/>
      <scheme val="minor"/>
    </font>
    <font>
      <sz val="12"/>
      <color rgb="FF000000"/>
      <name val="Verdana"/>
      <family val="2"/>
      <scheme val="minor"/>
    </font>
    <font>
      <sz val="8"/>
      <color rgb="FFFF0000"/>
      <name val="Verdana"/>
      <family val="2"/>
      <scheme val="minor"/>
    </font>
    <font>
      <sz val="10"/>
      <color rgb="FFFF0000"/>
      <name val="Verdana"/>
      <family val="2"/>
      <scheme val="minor"/>
    </font>
    <font>
      <sz val="8"/>
      <name val="Verdana"/>
      <family val="2"/>
      <scheme val="minor"/>
    </font>
    <font>
      <sz val="10"/>
      <name val="Verdana"/>
      <family val="2"/>
      <scheme val="minor"/>
    </font>
    <font>
      <sz val="8"/>
      <color rgb="FF00B050"/>
      <name val="Verdana"/>
      <family val="2"/>
      <scheme val="minor"/>
    </font>
    <font>
      <sz val="8"/>
      <color rgb="FF00B050"/>
      <name val="Verdana"/>
      <family val="2"/>
    </font>
    <font>
      <sz val="10"/>
      <color rgb="FF00B050"/>
      <name val="Verdana"/>
      <family val="2"/>
      <scheme val="minor"/>
    </font>
    <font>
      <sz val="8"/>
      <color rgb="FF0070C0"/>
      <name val="Verdana"/>
      <family val="2"/>
      <scheme val="minor"/>
    </font>
    <font>
      <sz val="10"/>
      <color rgb="FF0070C0"/>
      <name val="Verdana"/>
      <family val="2"/>
      <scheme val="minor"/>
    </font>
    <font>
      <sz val="8"/>
      <color rgb="FFFFC000"/>
      <name val="Verdana"/>
      <family val="2"/>
      <scheme val="minor"/>
    </font>
    <font>
      <sz val="10"/>
      <color rgb="FFFFC000"/>
      <name val="Verdana"/>
      <family val="2"/>
      <scheme val="minor"/>
    </font>
    <font>
      <sz val="8"/>
      <name val="Verdana"/>
      <family val="2"/>
      <scheme val="minor"/>
    </font>
    <font>
      <sz val="8"/>
      <name val="Verdana"/>
      <family val="2"/>
    </font>
    <font>
      <sz val="8"/>
      <color rgb="FF7030A0"/>
      <name val="Verdana"/>
      <family val="2"/>
      <scheme val="minor"/>
    </font>
    <font>
      <sz val="10"/>
      <color rgb="FF7030A0"/>
      <name val="Verdana"/>
      <family val="2"/>
      <scheme val="minor"/>
    </font>
    <font>
      <b/>
      <sz val="8"/>
      <name val="Verdana"/>
      <family val="2"/>
      <scheme val="minor"/>
    </font>
    <font>
      <b/>
      <sz val="8"/>
      <color rgb="FFFFC000"/>
      <name val="Verdana"/>
      <family val="2"/>
      <scheme val="minor"/>
    </font>
    <font>
      <b/>
      <sz val="10"/>
      <color rgb="FFFFC000"/>
      <name val="Verdana"/>
      <family val="2"/>
      <scheme val="minor"/>
    </font>
    <font>
      <b/>
      <sz val="8"/>
      <color rgb="FFFFC000"/>
      <name val="Verdana"/>
      <family val="2"/>
    </font>
    <font>
      <sz val="8"/>
      <color rgb="FF0070C0"/>
      <name val="Verdana"/>
      <family val="2"/>
    </font>
    <font>
      <b/>
      <sz val="8"/>
      <color rgb="FF00B050"/>
      <name val="Verdana"/>
      <family val="2"/>
      <scheme val="minor"/>
    </font>
    <font>
      <b/>
      <sz val="10"/>
      <color rgb="FF00B050"/>
      <name val="Verdana"/>
      <family val="2"/>
      <scheme val="minor"/>
    </font>
    <font>
      <b/>
      <sz val="8"/>
      <color rgb="FF0070C0"/>
      <name val="Verdana"/>
      <family val="2"/>
      <scheme val="minor"/>
    </font>
    <font>
      <b/>
      <sz val="10"/>
      <color rgb="FF0070C0"/>
      <name val="Verdana"/>
      <family val="2"/>
      <scheme val="minor"/>
    </font>
    <font>
      <sz val="8"/>
      <color rgb="FF00B0F0"/>
      <name val="Verdana"/>
      <family val="2"/>
      <scheme val="minor"/>
    </font>
    <font>
      <sz val="10"/>
      <color rgb="FF00B0F0"/>
      <name val="Verdana"/>
      <family val="2"/>
      <scheme val="minor"/>
    </font>
    <font>
      <sz val="8"/>
      <color rgb="FFFFC000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7" tint="0.79998168889431442"/>
        <bgColor rgb="FFF7CB4D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3F3F3"/>
      </patternFill>
    </fill>
  </fills>
  <borders count="31">
    <border>
      <left/>
      <right/>
      <top/>
      <bottom/>
      <diagonal/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38761D"/>
      </right>
      <top style="thin">
        <color rgb="FF38761D"/>
      </top>
      <bottom style="thin">
        <color rgb="FF38761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38761D"/>
      </right>
      <top/>
      <bottom style="thin">
        <color rgb="FF38761D"/>
      </bottom>
      <diagonal/>
    </border>
    <border>
      <left style="thin">
        <color rgb="FF38761D"/>
      </left>
      <right style="thin">
        <color rgb="FF38761D"/>
      </right>
      <top/>
      <bottom style="thin">
        <color rgb="FF38761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1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0" xfId="0" applyFont="1"/>
    <xf numFmtId="0" fontId="6" fillId="0" borderId="7" xfId="0" applyFont="1" applyBorder="1"/>
    <xf numFmtId="0" fontId="2" fillId="2" borderId="0" xfId="0" applyFont="1" applyFill="1"/>
    <xf numFmtId="0" fontId="6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7" xfId="0" applyFont="1" applyBorder="1"/>
    <xf numFmtId="0" fontId="10" fillId="4" borderId="0" xfId="0" applyFont="1" applyFill="1"/>
    <xf numFmtId="0" fontId="2" fillId="2" borderId="17" xfId="0" applyFont="1" applyFill="1" applyBorder="1"/>
    <xf numFmtId="0" fontId="2" fillId="2" borderId="11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2" borderId="2" xfId="0" applyFont="1" applyFill="1" applyBorder="1"/>
    <xf numFmtId="0" fontId="2" fillId="2" borderId="20" xfId="0" applyFont="1" applyFill="1" applyBorder="1"/>
    <xf numFmtId="0" fontId="6" fillId="0" borderId="15" xfId="0" applyFont="1" applyBorder="1"/>
    <xf numFmtId="0" fontId="6" fillId="5" borderId="7" xfId="0" applyFont="1" applyFill="1" applyBorder="1"/>
    <xf numFmtId="0" fontId="6" fillId="0" borderId="16" xfId="0" applyFont="1" applyBorder="1"/>
    <xf numFmtId="0" fontId="10" fillId="4" borderId="0" xfId="0" applyFont="1" applyFill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/>
    <xf numFmtId="0" fontId="11" fillId="0" borderId="7" xfId="0" applyFont="1" applyBorder="1"/>
    <xf numFmtId="0" fontId="7" fillId="0" borderId="13" xfId="0" applyFont="1" applyBorder="1"/>
    <xf numFmtId="0" fontId="6" fillId="0" borderId="13" xfId="0" applyFont="1" applyBorder="1"/>
    <xf numFmtId="10" fontId="6" fillId="5" borderId="7" xfId="0" applyNumberFormat="1" applyFont="1" applyFill="1" applyBorder="1"/>
    <xf numFmtId="0" fontId="9" fillId="4" borderId="0" xfId="0" applyFont="1" applyFill="1" applyAlignment="1">
      <alignment horizontal="center"/>
    </xf>
    <xf numFmtId="0" fontId="11" fillId="4" borderId="0" xfId="0" applyFont="1" applyFill="1"/>
    <xf numFmtId="10" fontId="6" fillId="4" borderId="0" xfId="0" applyNumberFormat="1" applyFont="1" applyFill="1"/>
    <xf numFmtId="0" fontId="7" fillId="4" borderId="0" xfId="0" applyFont="1" applyFill="1"/>
    <xf numFmtId="0" fontId="13" fillId="0" borderId="0" xfId="0" applyFont="1"/>
    <xf numFmtId="0" fontId="15" fillId="0" borderId="0" xfId="0" applyFont="1"/>
    <xf numFmtId="0" fontId="1" fillId="0" borderId="21" xfId="0" applyFont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14" fontId="3" fillId="12" borderId="2" xfId="0" applyNumberFormat="1" applyFont="1" applyFill="1" applyBorder="1" applyAlignment="1">
      <alignment horizontal="center" vertical="center"/>
    </xf>
    <xf numFmtId="0" fontId="0" fillId="10" borderId="0" xfId="0" applyFill="1"/>
    <xf numFmtId="0" fontId="10" fillId="0" borderId="7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/>
    </xf>
    <xf numFmtId="49" fontId="1" fillId="2" borderId="28" xfId="0" applyNumberFormat="1" applyFont="1" applyFill="1" applyBorder="1"/>
    <xf numFmtId="14" fontId="1" fillId="2" borderId="28" xfId="0" applyNumberFormat="1" applyFont="1" applyFill="1" applyBorder="1"/>
    <xf numFmtId="165" fontId="1" fillId="2" borderId="28" xfId="0" applyNumberFormat="1" applyFont="1" applyFill="1" applyBorder="1"/>
    <xf numFmtId="49" fontId="1" fillId="13" borderId="28" xfId="0" applyNumberFormat="1" applyFont="1" applyFill="1" applyBorder="1"/>
    <xf numFmtId="49" fontId="1" fillId="13" borderId="1" xfId="0" applyNumberFormat="1" applyFont="1" applyFill="1" applyBorder="1"/>
    <xf numFmtId="49" fontId="1" fillId="14" borderId="21" xfId="0" applyNumberFormat="1" applyFont="1" applyFill="1" applyBorder="1"/>
    <xf numFmtId="0" fontId="1" fillId="14" borderId="21" xfId="0" applyFont="1" applyFill="1" applyBorder="1"/>
    <xf numFmtId="165" fontId="1" fillId="13" borderId="28" xfId="0" applyNumberFormat="1" applyFont="1" applyFill="1" applyBorder="1"/>
    <xf numFmtId="165" fontId="1" fillId="14" borderId="21" xfId="0" applyNumberFormat="1" applyFont="1" applyFill="1" applyBorder="1" applyAlignment="1">
      <alignment horizontal="center"/>
    </xf>
    <xf numFmtId="165" fontId="1" fillId="2" borderId="28" xfId="0" applyNumberFormat="1" applyFont="1" applyFill="1" applyBorder="1" applyAlignment="1">
      <alignment horizontal="center"/>
    </xf>
    <xf numFmtId="165" fontId="1" fillId="13" borderId="28" xfId="0" applyNumberFormat="1" applyFont="1" applyFill="1" applyBorder="1" applyAlignment="1">
      <alignment horizontal="center"/>
    </xf>
    <xf numFmtId="49" fontId="1" fillId="2" borderId="28" xfId="0" applyNumberFormat="1" applyFont="1" applyFill="1" applyBorder="1" applyAlignment="1">
      <alignment horizontal="center"/>
    </xf>
    <xf numFmtId="49" fontId="1" fillId="13" borderId="28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14" borderId="21" xfId="0" applyNumberFormat="1" applyFont="1" applyFill="1" applyBorder="1"/>
    <xf numFmtId="14" fontId="1" fillId="13" borderId="1" xfId="0" applyNumberFormat="1" applyFont="1" applyFill="1" applyBorder="1"/>
    <xf numFmtId="14" fontId="1" fillId="2" borderId="1" xfId="0" applyNumberFormat="1" applyFont="1" applyFill="1" applyBorder="1"/>
    <xf numFmtId="14" fontId="1" fillId="3" borderId="0" xfId="0" applyNumberFormat="1" applyFont="1" applyFill="1"/>
    <xf numFmtId="14" fontId="1" fillId="2" borderId="0" xfId="0" applyNumberFormat="1" applyFont="1" applyFill="1"/>
    <xf numFmtId="14" fontId="0" fillId="0" borderId="0" xfId="0" applyNumberFormat="1"/>
    <xf numFmtId="49" fontId="1" fillId="14" borderId="21" xfId="0" applyNumberFormat="1" applyFont="1" applyFill="1" applyBorder="1" applyAlignment="1">
      <alignment horizontal="center"/>
    </xf>
    <xf numFmtId="49" fontId="1" fillId="15" borderId="28" xfId="0" applyNumberFormat="1" applyFont="1" applyFill="1" applyBorder="1"/>
    <xf numFmtId="49" fontId="1" fillId="15" borderId="1" xfId="0" applyNumberFormat="1" applyFont="1" applyFill="1" applyBorder="1"/>
    <xf numFmtId="14" fontId="1" fillId="15" borderId="1" xfId="0" applyNumberFormat="1" applyFont="1" applyFill="1" applyBorder="1"/>
    <xf numFmtId="165" fontId="1" fillId="15" borderId="28" xfId="0" applyNumberFormat="1" applyFont="1" applyFill="1" applyBorder="1" applyAlignment="1">
      <alignment horizontal="center"/>
    </xf>
    <xf numFmtId="165" fontId="1" fillId="15" borderId="28" xfId="0" applyNumberFormat="1" applyFont="1" applyFill="1" applyBorder="1"/>
    <xf numFmtId="0" fontId="0" fillId="16" borderId="0" xfId="0" applyFill="1"/>
    <xf numFmtId="49" fontId="1" fillId="15" borderId="28" xfId="0" applyNumberFormat="1" applyFont="1" applyFill="1" applyBorder="1" applyAlignment="1">
      <alignment horizontal="center"/>
    </xf>
    <xf numFmtId="49" fontId="1" fillId="14" borderId="21" xfId="0" applyNumberFormat="1" applyFont="1" applyFill="1" applyBorder="1" applyAlignment="1">
      <alignment wrapText="1"/>
    </xf>
    <xf numFmtId="49" fontId="14" fillId="6" borderId="21" xfId="0" applyNumberFormat="1" applyFont="1" applyFill="1" applyBorder="1" applyAlignment="1">
      <alignment vertical="center"/>
    </xf>
    <xf numFmtId="49" fontId="14" fillId="0" borderId="21" xfId="0" applyNumberFormat="1" applyFont="1" applyBorder="1" applyAlignment="1">
      <alignment vertical="center"/>
    </xf>
    <xf numFmtId="14" fontId="14" fillId="0" borderId="21" xfId="0" applyNumberFormat="1" applyFont="1" applyBorder="1" applyAlignment="1">
      <alignment horizontal="center" vertical="center"/>
    </xf>
    <xf numFmtId="165" fontId="14" fillId="0" borderId="21" xfId="0" applyNumberFormat="1" applyFont="1" applyBorder="1" applyAlignment="1">
      <alignment horizontal="left" vertical="center"/>
    </xf>
    <xf numFmtId="165" fontId="14" fillId="6" borderId="21" xfId="0" applyNumberFormat="1" applyFont="1" applyFill="1" applyBorder="1" applyAlignment="1">
      <alignment vertical="center"/>
    </xf>
    <xf numFmtId="49" fontId="16" fillId="6" borderId="21" xfId="0" applyNumberFormat="1" applyFont="1" applyFill="1" applyBorder="1" applyAlignment="1">
      <alignment vertical="center"/>
    </xf>
    <xf numFmtId="165" fontId="16" fillId="6" borderId="21" xfId="0" applyNumberFormat="1" applyFont="1" applyFill="1" applyBorder="1" applyAlignment="1">
      <alignment vertical="center"/>
    </xf>
    <xf numFmtId="49" fontId="16" fillId="0" borderId="21" xfId="0" applyNumberFormat="1" applyFont="1" applyBorder="1" applyAlignment="1">
      <alignment vertical="center"/>
    </xf>
    <xf numFmtId="14" fontId="16" fillId="0" borderId="21" xfId="0" applyNumberFormat="1" applyFont="1" applyBorder="1" applyAlignment="1">
      <alignment horizontal="center" vertical="center"/>
    </xf>
    <xf numFmtId="0" fontId="16" fillId="0" borderId="21" xfId="0" applyFont="1" applyBorder="1"/>
    <xf numFmtId="165" fontId="16" fillId="0" borderId="21" xfId="0" applyNumberFormat="1" applyFont="1" applyBorder="1" applyAlignment="1">
      <alignment horizontal="left" vertical="center"/>
    </xf>
    <xf numFmtId="165" fontId="17" fillId="2" borderId="21" xfId="0" applyNumberFormat="1" applyFont="1" applyFill="1" applyBorder="1" applyAlignment="1">
      <alignment horizontal="left"/>
    </xf>
    <xf numFmtId="14" fontId="16" fillId="2" borderId="21" xfId="0" applyNumberFormat="1" applyFont="1" applyFill="1" applyBorder="1" applyAlignment="1">
      <alignment horizontal="center" vertical="center"/>
    </xf>
    <xf numFmtId="0" fontId="18" fillId="0" borderId="0" xfId="0" applyFont="1"/>
    <xf numFmtId="14" fontId="16" fillId="17" borderId="21" xfId="0" applyNumberFormat="1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vertical="center"/>
    </xf>
    <xf numFmtId="14" fontId="16" fillId="15" borderId="21" xfId="0" applyNumberFormat="1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10" borderId="21" xfId="0" applyFont="1" applyFill="1" applyBorder="1"/>
    <xf numFmtId="165" fontId="16" fillId="10" borderId="21" xfId="0" applyNumberFormat="1" applyFont="1" applyFill="1" applyBorder="1" applyAlignment="1">
      <alignment horizontal="left" vertical="center"/>
    </xf>
    <xf numFmtId="0" fontId="18" fillId="10" borderId="0" xfId="0" applyFont="1" applyFill="1"/>
    <xf numFmtId="14" fontId="16" fillId="8" borderId="21" xfId="0" applyNumberFormat="1" applyFont="1" applyFill="1" applyBorder="1" applyAlignment="1">
      <alignment horizontal="center" vertical="center"/>
    </xf>
    <xf numFmtId="0" fontId="18" fillId="0" borderId="21" xfId="0" applyFont="1" applyBorder="1"/>
    <xf numFmtId="49" fontId="16" fillId="6" borderId="2" xfId="0" applyNumberFormat="1" applyFont="1" applyFill="1" applyBorder="1" applyAlignment="1">
      <alignment vertical="center"/>
    </xf>
    <xf numFmtId="164" fontId="16" fillId="6" borderId="2" xfId="0" applyNumberFormat="1" applyFont="1" applyFill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14" fontId="16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vertical="center"/>
    </xf>
    <xf numFmtId="14" fontId="16" fillId="10" borderId="21" xfId="0" applyNumberFormat="1" applyFont="1" applyFill="1" applyBorder="1" applyAlignment="1">
      <alignment horizontal="center" vertical="center"/>
    </xf>
    <xf numFmtId="14" fontId="16" fillId="18" borderId="21" xfId="0" applyNumberFormat="1" applyFont="1" applyFill="1" applyBorder="1" applyAlignment="1">
      <alignment horizontal="center" vertical="center"/>
    </xf>
    <xf numFmtId="14" fontId="16" fillId="9" borderId="21" xfId="0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vertical="center"/>
    </xf>
    <xf numFmtId="166" fontId="16" fillId="17" borderId="21" xfId="0" applyNumberFormat="1" applyFont="1" applyFill="1" applyBorder="1" applyAlignment="1">
      <alignment horizontal="center" vertical="center"/>
    </xf>
    <xf numFmtId="0" fontId="16" fillId="17" borderId="21" xfId="0" applyFont="1" applyFill="1" applyBorder="1" applyAlignment="1">
      <alignment horizontal="center" vertical="center"/>
    </xf>
    <xf numFmtId="14" fontId="16" fillId="0" borderId="21" xfId="0" applyNumberFormat="1" applyFont="1" applyBorder="1" applyAlignment="1">
      <alignment horizontal="left" vertical="center"/>
    </xf>
    <xf numFmtId="49" fontId="19" fillId="6" borderId="21" xfId="0" applyNumberFormat="1" applyFont="1" applyFill="1" applyBorder="1" applyAlignment="1">
      <alignment vertical="center"/>
    </xf>
    <xf numFmtId="165" fontId="19" fillId="6" borderId="21" xfId="0" applyNumberFormat="1" applyFont="1" applyFill="1" applyBorder="1" applyAlignment="1">
      <alignment vertical="center"/>
    </xf>
    <xf numFmtId="49" fontId="19" fillId="0" borderId="21" xfId="0" applyNumberFormat="1" applyFont="1" applyBorder="1" applyAlignment="1">
      <alignment vertical="center"/>
    </xf>
    <xf numFmtId="14" fontId="19" fillId="0" borderId="21" xfId="0" applyNumberFormat="1" applyFont="1" applyBorder="1" applyAlignment="1">
      <alignment horizontal="center" vertical="center"/>
    </xf>
    <xf numFmtId="0" fontId="19" fillId="0" borderId="21" xfId="0" applyFont="1" applyBorder="1"/>
    <xf numFmtId="165" fontId="19" fillId="0" borderId="21" xfId="0" applyNumberFormat="1" applyFont="1" applyBorder="1" applyAlignment="1">
      <alignment horizontal="left" vertical="center"/>
    </xf>
    <xf numFmtId="14" fontId="19" fillId="17" borderId="21" xfId="0" applyNumberFormat="1" applyFont="1" applyFill="1" applyBorder="1" applyAlignment="1">
      <alignment horizontal="center" vertical="center"/>
    </xf>
    <xf numFmtId="0" fontId="20" fillId="0" borderId="0" xfId="0" applyFont="1"/>
    <xf numFmtId="49" fontId="21" fillId="6" borderId="21" xfId="0" applyNumberFormat="1" applyFont="1" applyFill="1" applyBorder="1" applyAlignment="1">
      <alignment vertical="center"/>
    </xf>
    <xf numFmtId="165" fontId="21" fillId="6" borderId="21" xfId="0" applyNumberFormat="1" applyFont="1" applyFill="1" applyBorder="1" applyAlignment="1">
      <alignment vertical="center"/>
    </xf>
    <xf numFmtId="0" fontId="19" fillId="0" borderId="21" xfId="0" applyFont="1" applyBorder="1" applyAlignment="1">
      <alignment horizontal="center" vertical="center"/>
    </xf>
    <xf numFmtId="14" fontId="19" fillId="2" borderId="21" xfId="0" applyNumberFormat="1" applyFont="1" applyFill="1" applyBorder="1" applyAlignment="1">
      <alignment horizontal="center" vertical="center"/>
    </xf>
    <xf numFmtId="0" fontId="14" fillId="0" borderId="21" xfId="0" applyFont="1" applyBorder="1"/>
    <xf numFmtId="165" fontId="24" fillId="2" borderId="21" xfId="0" applyNumberFormat="1" applyFont="1" applyFill="1" applyBorder="1" applyAlignment="1">
      <alignment horizontal="left"/>
    </xf>
    <xf numFmtId="14" fontId="14" fillId="17" borderId="21" xfId="0" applyNumberFormat="1" applyFont="1" applyFill="1" applyBorder="1" applyAlignment="1">
      <alignment horizontal="center" vertical="center"/>
    </xf>
    <xf numFmtId="49" fontId="25" fillId="6" borderId="21" xfId="0" applyNumberFormat="1" applyFont="1" applyFill="1" applyBorder="1" applyAlignment="1">
      <alignment vertical="center"/>
    </xf>
    <xf numFmtId="165" fontId="25" fillId="6" borderId="21" xfId="0" applyNumberFormat="1" applyFont="1" applyFill="1" applyBorder="1" applyAlignment="1">
      <alignment vertical="center"/>
    </xf>
    <xf numFmtId="49" fontId="25" fillId="0" borderId="21" xfId="0" applyNumberFormat="1" applyFont="1" applyBorder="1" applyAlignment="1">
      <alignment vertical="center"/>
    </xf>
    <xf numFmtId="14" fontId="25" fillId="2" borderId="21" xfId="0" applyNumberFormat="1" applyFont="1" applyFill="1" applyBorder="1" applyAlignment="1">
      <alignment horizontal="center" vertical="center"/>
    </xf>
    <xf numFmtId="0" fontId="25" fillId="0" borderId="21" xfId="0" applyFont="1" applyBorder="1"/>
    <xf numFmtId="165" fontId="25" fillId="0" borderId="21" xfId="0" applyNumberFormat="1" applyFont="1" applyBorder="1" applyAlignment="1">
      <alignment horizontal="left" vertical="center"/>
    </xf>
    <xf numFmtId="0" fontId="26" fillId="0" borderId="0" xfId="0" applyFont="1"/>
    <xf numFmtId="14" fontId="25" fillId="0" borderId="21" xfId="0" applyNumberFormat="1" applyFont="1" applyBorder="1" applyAlignment="1">
      <alignment horizontal="center" vertical="center"/>
    </xf>
    <xf numFmtId="0" fontId="27" fillId="0" borderId="21" xfId="0" applyFont="1" applyBorder="1"/>
    <xf numFmtId="165" fontId="27" fillId="0" borderId="21" xfId="0" applyNumberFormat="1" applyFont="1" applyBorder="1" applyAlignment="1">
      <alignment horizontal="left" vertical="center"/>
    </xf>
    <xf numFmtId="49" fontId="27" fillId="6" borderId="21" xfId="0" applyNumberFormat="1" applyFont="1" applyFill="1" applyBorder="1" applyAlignment="1">
      <alignment horizontal="center" vertical="center"/>
    </xf>
    <xf numFmtId="165" fontId="27" fillId="6" borderId="21" xfId="0" applyNumberFormat="1" applyFont="1" applyFill="1" applyBorder="1" applyAlignment="1">
      <alignment horizontal="center" vertical="center"/>
    </xf>
    <xf numFmtId="49" fontId="27" fillId="0" borderId="21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15" fillId="0" borderId="21" xfId="0" applyFont="1" applyBorder="1"/>
    <xf numFmtId="14" fontId="14" fillId="2" borderId="21" xfId="0" applyNumberFormat="1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49" fontId="14" fillId="10" borderId="21" xfId="0" applyNumberFormat="1" applyFont="1" applyFill="1" applyBorder="1" applyAlignment="1">
      <alignment vertical="center"/>
    </xf>
    <xf numFmtId="14" fontId="14" fillId="15" borderId="21" xfId="0" applyNumberFormat="1" applyFont="1" applyFill="1" applyBorder="1" applyAlignment="1">
      <alignment horizontal="center" vertical="center"/>
    </xf>
    <xf numFmtId="0" fontId="14" fillId="10" borderId="21" xfId="0" applyFont="1" applyFill="1" applyBorder="1" applyAlignment="1">
      <alignment horizontal="center" vertical="center"/>
    </xf>
    <xf numFmtId="0" fontId="14" fillId="10" borderId="21" xfId="0" applyFont="1" applyFill="1" applyBorder="1"/>
    <xf numFmtId="165" fontId="14" fillId="10" borderId="21" xfId="0" applyNumberFormat="1" applyFont="1" applyFill="1" applyBorder="1" applyAlignment="1">
      <alignment horizontal="left" vertical="center"/>
    </xf>
    <xf numFmtId="0" fontId="15" fillId="10" borderId="0" xfId="0" applyFont="1" applyFill="1"/>
    <xf numFmtId="49" fontId="14" fillId="7" borderId="21" xfId="0" applyNumberFormat="1" applyFont="1" applyFill="1" applyBorder="1" applyAlignment="1">
      <alignment vertical="center"/>
    </xf>
    <xf numFmtId="165" fontId="14" fillId="7" borderId="21" xfId="0" applyNumberFormat="1" applyFont="1" applyFill="1" applyBorder="1" applyAlignment="1">
      <alignment vertical="center"/>
    </xf>
    <xf numFmtId="49" fontId="14" fillId="8" borderId="21" xfId="0" applyNumberFormat="1" applyFont="1" applyFill="1" applyBorder="1" applyAlignment="1">
      <alignment vertical="center"/>
    </xf>
    <xf numFmtId="14" fontId="14" fillId="8" borderId="21" xfId="0" applyNumberFormat="1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 vertical="center"/>
    </xf>
    <xf numFmtId="0" fontId="14" fillId="8" borderId="21" xfId="0" applyFont="1" applyFill="1" applyBorder="1"/>
    <xf numFmtId="165" fontId="14" fillId="8" borderId="21" xfId="0" applyNumberFormat="1" applyFont="1" applyFill="1" applyBorder="1" applyAlignment="1">
      <alignment horizontal="left" vertical="center"/>
    </xf>
    <xf numFmtId="167" fontId="14" fillId="17" borderId="21" xfId="0" applyNumberFormat="1" applyFont="1" applyFill="1" applyBorder="1" applyAlignment="1">
      <alignment horizontal="center" vertical="center"/>
    </xf>
    <xf numFmtId="0" fontId="15" fillId="8" borderId="0" xfId="0" applyFont="1" applyFill="1"/>
    <xf numFmtId="14" fontId="14" fillId="10" borderId="21" xfId="0" applyNumberFormat="1" applyFont="1" applyFill="1" applyBorder="1" applyAlignment="1">
      <alignment horizontal="center" vertical="center"/>
    </xf>
    <xf numFmtId="14" fontId="14" fillId="18" borderId="21" xfId="0" applyNumberFormat="1" applyFont="1" applyFill="1" applyBorder="1" applyAlignment="1">
      <alignment horizontal="center" vertical="center"/>
    </xf>
    <xf numFmtId="14" fontId="14" fillId="2" borderId="21" xfId="0" applyNumberFormat="1" applyFont="1" applyFill="1" applyBorder="1" applyAlignment="1">
      <alignment horizontal="left" vertical="center"/>
    </xf>
    <xf numFmtId="165" fontId="14" fillId="0" borderId="21" xfId="0" applyNumberFormat="1" applyFont="1" applyBorder="1" applyAlignment="1">
      <alignment vertical="center"/>
    </xf>
    <xf numFmtId="14" fontId="14" fillId="9" borderId="21" xfId="0" applyNumberFormat="1" applyFont="1" applyFill="1" applyBorder="1" applyAlignment="1">
      <alignment horizontal="center" vertical="center"/>
    </xf>
    <xf numFmtId="165" fontId="15" fillId="0" borderId="0" xfId="0" applyNumberFormat="1" applyFont="1"/>
    <xf numFmtId="0" fontId="14" fillId="0" borderId="0" xfId="0" applyFont="1"/>
    <xf numFmtId="14" fontId="14" fillId="18" borderId="0" xfId="0" applyNumberFormat="1" applyFont="1" applyFill="1" applyAlignment="1">
      <alignment horizontal="center" vertical="center"/>
    </xf>
    <xf numFmtId="14" fontId="14" fillId="15" borderId="0" xfId="0" applyNumberFormat="1" applyFont="1" applyFill="1" applyAlignment="1">
      <alignment horizontal="center" vertical="center"/>
    </xf>
    <xf numFmtId="49" fontId="28" fillId="6" borderId="21" xfId="0" applyNumberFormat="1" applyFont="1" applyFill="1" applyBorder="1" applyAlignment="1">
      <alignment vertical="center"/>
    </xf>
    <xf numFmtId="165" fontId="28" fillId="6" borderId="21" xfId="0" applyNumberFormat="1" applyFont="1" applyFill="1" applyBorder="1" applyAlignment="1">
      <alignment vertical="center"/>
    </xf>
    <xf numFmtId="49" fontId="28" fillId="0" borderId="21" xfId="0" applyNumberFormat="1" applyFont="1" applyBorder="1" applyAlignment="1">
      <alignment vertical="center"/>
    </xf>
    <xf numFmtId="14" fontId="28" fillId="0" borderId="21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/>
    <xf numFmtId="165" fontId="28" fillId="0" borderId="21" xfId="0" applyNumberFormat="1" applyFont="1" applyBorder="1" applyAlignment="1">
      <alignment horizontal="left" vertical="center"/>
    </xf>
    <xf numFmtId="0" fontId="29" fillId="0" borderId="21" xfId="0" applyFont="1" applyBorder="1"/>
    <xf numFmtId="0" fontId="29" fillId="0" borderId="0" xfId="0" applyFont="1"/>
    <xf numFmtId="165" fontId="24" fillId="15" borderId="21" xfId="0" applyNumberFormat="1" applyFont="1" applyFill="1" applyBorder="1" applyAlignment="1">
      <alignment horizontal="left"/>
    </xf>
    <xf numFmtId="14" fontId="28" fillId="17" borderId="21" xfId="0" applyNumberFormat="1" applyFont="1" applyFill="1" applyBorder="1" applyAlignment="1">
      <alignment horizontal="center" vertical="center"/>
    </xf>
    <xf numFmtId="14" fontId="28" fillId="2" borderId="21" xfId="0" applyNumberFormat="1" applyFont="1" applyFill="1" applyBorder="1" applyAlignment="1">
      <alignment horizontal="center" vertical="center"/>
    </xf>
    <xf numFmtId="0" fontId="28" fillId="0" borderId="21" xfId="0" applyFont="1" applyBorder="1" applyAlignment="1">
      <alignment vertical="center"/>
    </xf>
    <xf numFmtId="49" fontId="28" fillId="10" borderId="21" xfId="0" applyNumberFormat="1" applyFont="1" applyFill="1" applyBorder="1" applyAlignment="1">
      <alignment vertical="center"/>
    </xf>
    <xf numFmtId="14" fontId="28" fillId="10" borderId="21" xfId="0" applyNumberFormat="1" applyFont="1" applyFill="1" applyBorder="1" applyAlignment="1">
      <alignment horizontal="center" vertical="center"/>
    </xf>
    <xf numFmtId="0" fontId="28" fillId="10" borderId="21" xfId="0" applyFont="1" applyFill="1" applyBorder="1"/>
    <xf numFmtId="165" fontId="28" fillId="10" borderId="21" xfId="0" applyNumberFormat="1" applyFont="1" applyFill="1" applyBorder="1" applyAlignment="1">
      <alignment horizontal="left" vertical="center"/>
    </xf>
    <xf numFmtId="14" fontId="28" fillId="15" borderId="21" xfId="0" applyNumberFormat="1" applyFont="1" applyFill="1" applyBorder="1" applyAlignment="1">
      <alignment horizontal="center" vertical="center"/>
    </xf>
    <xf numFmtId="0" fontId="29" fillId="10" borderId="0" xfId="0" applyFont="1" applyFill="1"/>
    <xf numFmtId="49" fontId="28" fillId="6" borderId="21" xfId="0" applyNumberFormat="1" applyFont="1" applyFill="1" applyBorder="1" applyAlignment="1">
      <alignment horizontal="left" vertical="center"/>
    </xf>
    <xf numFmtId="165" fontId="30" fillId="2" borderId="21" xfId="0" applyNumberFormat="1" applyFont="1" applyFill="1" applyBorder="1" applyAlignment="1">
      <alignment horizontal="left"/>
    </xf>
    <xf numFmtId="49" fontId="21" fillId="10" borderId="21" xfId="0" applyNumberFormat="1" applyFont="1" applyFill="1" applyBorder="1" applyAlignment="1">
      <alignment vertical="center"/>
    </xf>
    <xf numFmtId="14" fontId="21" fillId="10" borderId="21" xfId="0" applyNumberFormat="1" applyFont="1" applyFill="1" applyBorder="1" applyAlignment="1">
      <alignment horizontal="center" vertical="center"/>
    </xf>
    <xf numFmtId="0" fontId="21" fillId="10" borderId="21" xfId="0" applyFont="1" applyFill="1" applyBorder="1"/>
    <xf numFmtId="165" fontId="21" fillId="10" borderId="21" xfId="0" applyNumberFormat="1" applyFont="1" applyFill="1" applyBorder="1" applyAlignment="1">
      <alignment horizontal="left" vertical="center"/>
    </xf>
    <xf numFmtId="14" fontId="21" fillId="18" borderId="21" xfId="0" applyNumberFormat="1" applyFont="1" applyFill="1" applyBorder="1" applyAlignment="1">
      <alignment horizontal="center" vertical="center"/>
    </xf>
    <xf numFmtId="0" fontId="22" fillId="10" borderId="0" xfId="0" applyFont="1" applyFill="1"/>
    <xf numFmtId="0" fontId="20" fillId="0" borderId="21" xfId="0" applyFont="1" applyBorder="1"/>
    <xf numFmtId="0" fontId="26" fillId="0" borderId="21" xfId="0" applyFont="1" applyBorder="1"/>
    <xf numFmtId="167" fontId="19" fillId="0" borderId="21" xfId="0" applyNumberFormat="1" applyFont="1" applyBorder="1" applyAlignment="1">
      <alignment horizontal="center" vertical="center"/>
    </xf>
    <xf numFmtId="49" fontId="19" fillId="19" borderId="21" xfId="0" applyNumberFormat="1" applyFont="1" applyFill="1" applyBorder="1" applyAlignment="1">
      <alignment vertical="center"/>
    </xf>
    <xf numFmtId="165" fontId="19" fillId="19" borderId="21" xfId="0" applyNumberFormat="1" applyFont="1" applyFill="1" applyBorder="1" applyAlignment="1">
      <alignment vertical="center"/>
    </xf>
    <xf numFmtId="49" fontId="19" fillId="20" borderId="21" xfId="0" applyNumberFormat="1" applyFont="1" applyFill="1" applyBorder="1" applyAlignment="1">
      <alignment vertical="center"/>
    </xf>
    <xf numFmtId="14" fontId="19" fillId="20" borderId="21" xfId="0" applyNumberFormat="1" applyFont="1" applyFill="1" applyBorder="1" applyAlignment="1">
      <alignment horizontal="center" vertical="center"/>
    </xf>
    <xf numFmtId="0" fontId="19" fillId="20" borderId="21" xfId="0" applyFont="1" applyFill="1" applyBorder="1"/>
    <xf numFmtId="165" fontId="19" fillId="20" borderId="21" xfId="0" applyNumberFormat="1" applyFont="1" applyFill="1" applyBorder="1" applyAlignment="1">
      <alignment horizontal="left" vertical="center"/>
    </xf>
    <xf numFmtId="14" fontId="19" fillId="21" borderId="21" xfId="0" applyNumberFormat="1" applyFont="1" applyFill="1" applyBorder="1" applyAlignment="1">
      <alignment horizontal="center" vertical="center"/>
    </xf>
    <xf numFmtId="0" fontId="20" fillId="20" borderId="0" xfId="0" applyFont="1" applyFill="1"/>
    <xf numFmtId="165" fontId="31" fillId="2" borderId="21" xfId="0" applyNumberFormat="1" applyFont="1" applyFill="1" applyBorder="1" applyAlignment="1">
      <alignment horizontal="left"/>
    </xf>
    <xf numFmtId="0" fontId="32" fillId="0" borderId="21" xfId="0" applyFont="1" applyBorder="1"/>
    <xf numFmtId="49" fontId="32" fillId="6" borderId="21" xfId="0" applyNumberFormat="1" applyFont="1" applyFill="1" applyBorder="1" applyAlignment="1">
      <alignment vertical="center"/>
    </xf>
    <xf numFmtId="165" fontId="32" fillId="6" borderId="21" xfId="0" applyNumberFormat="1" applyFont="1" applyFill="1" applyBorder="1" applyAlignment="1">
      <alignment vertical="center"/>
    </xf>
    <xf numFmtId="49" fontId="32" fillId="0" borderId="21" xfId="0" applyNumberFormat="1" applyFont="1" applyBorder="1" applyAlignment="1">
      <alignment vertical="center"/>
    </xf>
    <xf numFmtId="14" fontId="32" fillId="0" borderId="21" xfId="0" applyNumberFormat="1" applyFont="1" applyBorder="1" applyAlignment="1">
      <alignment horizontal="center" vertical="center"/>
    </xf>
    <xf numFmtId="165" fontId="32" fillId="0" borderId="21" xfId="0" applyNumberFormat="1" applyFont="1" applyBorder="1" applyAlignment="1">
      <alignment horizontal="left" vertical="center"/>
    </xf>
    <xf numFmtId="14" fontId="32" fillId="2" borderId="21" xfId="0" applyNumberFormat="1" applyFont="1" applyFill="1" applyBorder="1" applyAlignment="1">
      <alignment horizontal="center" vertical="center"/>
    </xf>
    <xf numFmtId="0" fontId="33" fillId="0" borderId="0" xfId="0" applyFont="1"/>
    <xf numFmtId="0" fontId="34" fillId="0" borderId="21" xfId="0" applyFont="1" applyBorder="1"/>
    <xf numFmtId="49" fontId="34" fillId="6" borderId="21" xfId="0" applyNumberFormat="1" applyFont="1" applyFill="1" applyBorder="1" applyAlignment="1">
      <alignment vertical="center"/>
    </xf>
    <xf numFmtId="165" fontId="34" fillId="6" borderId="21" xfId="0" applyNumberFormat="1" applyFont="1" applyFill="1" applyBorder="1" applyAlignment="1">
      <alignment vertical="center"/>
    </xf>
    <xf numFmtId="49" fontId="34" fillId="0" borderId="21" xfId="0" applyNumberFormat="1" applyFont="1" applyBorder="1" applyAlignment="1">
      <alignment vertical="center"/>
    </xf>
    <xf numFmtId="14" fontId="34" fillId="0" borderId="21" xfId="0" applyNumberFormat="1" applyFont="1" applyBorder="1" applyAlignment="1">
      <alignment horizontal="center" vertical="center"/>
    </xf>
    <xf numFmtId="165" fontId="34" fillId="0" borderId="21" xfId="0" applyNumberFormat="1" applyFont="1" applyBorder="1" applyAlignment="1">
      <alignment horizontal="left" vertical="center"/>
    </xf>
    <xf numFmtId="14" fontId="34" fillId="2" borderId="21" xfId="0" applyNumberFormat="1" applyFont="1" applyFill="1" applyBorder="1" applyAlignment="1">
      <alignment horizontal="center" vertical="center"/>
    </xf>
    <xf numFmtId="0" fontId="35" fillId="0" borderId="0" xfId="0" applyFont="1"/>
    <xf numFmtId="0" fontId="32" fillId="0" borderId="21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14" fontId="32" fillId="2" borderId="21" xfId="0" applyNumberFormat="1" applyFont="1" applyFill="1" applyBorder="1" applyAlignment="1">
      <alignment horizontal="left" vertical="center"/>
    </xf>
    <xf numFmtId="14" fontId="34" fillId="17" borderId="21" xfId="0" applyNumberFormat="1" applyFont="1" applyFill="1" applyBorder="1" applyAlignment="1">
      <alignment horizontal="center" vertical="center"/>
    </xf>
    <xf numFmtId="49" fontId="32" fillId="10" borderId="21" xfId="0" applyNumberFormat="1" applyFont="1" applyFill="1" applyBorder="1" applyAlignment="1">
      <alignment vertical="center"/>
    </xf>
    <xf numFmtId="14" fontId="32" fillId="10" borderId="21" xfId="0" applyNumberFormat="1" applyFont="1" applyFill="1" applyBorder="1" applyAlignment="1">
      <alignment horizontal="center" vertical="center"/>
    </xf>
    <xf numFmtId="0" fontId="32" fillId="10" borderId="21" xfId="0" applyFont="1" applyFill="1" applyBorder="1" applyAlignment="1">
      <alignment horizontal="center" vertical="center"/>
    </xf>
    <xf numFmtId="165" fontId="32" fillId="10" borderId="21" xfId="0" applyNumberFormat="1" applyFont="1" applyFill="1" applyBorder="1" applyAlignment="1">
      <alignment horizontal="left" vertical="center"/>
    </xf>
    <xf numFmtId="14" fontId="32" fillId="8" borderId="21" xfId="0" applyNumberFormat="1" applyFont="1" applyFill="1" applyBorder="1" applyAlignment="1">
      <alignment horizontal="center" vertical="center"/>
    </xf>
    <xf numFmtId="0" fontId="33" fillId="10" borderId="0" xfId="0" applyFont="1" applyFill="1"/>
    <xf numFmtId="14" fontId="33" fillId="10" borderId="21" xfId="0" applyNumberFormat="1" applyFont="1" applyFill="1" applyBorder="1"/>
    <xf numFmtId="49" fontId="19" fillId="10" borderId="21" xfId="0" applyNumberFormat="1" applyFont="1" applyFill="1" applyBorder="1" applyAlignment="1">
      <alignment vertical="center"/>
    </xf>
    <xf numFmtId="14" fontId="19" fillId="10" borderId="21" xfId="0" applyNumberFormat="1" applyFont="1" applyFill="1" applyBorder="1" applyAlignment="1">
      <alignment horizontal="center" vertical="center"/>
    </xf>
    <xf numFmtId="0" fontId="19" fillId="10" borderId="21" xfId="0" applyFont="1" applyFill="1" applyBorder="1"/>
    <xf numFmtId="165" fontId="19" fillId="10" borderId="21" xfId="0" applyNumberFormat="1" applyFont="1" applyFill="1" applyBorder="1" applyAlignment="1">
      <alignment horizontal="left" vertical="center"/>
    </xf>
    <xf numFmtId="14" fontId="19" fillId="15" borderId="21" xfId="0" applyNumberFormat="1" applyFont="1" applyFill="1" applyBorder="1" applyAlignment="1">
      <alignment horizontal="center" vertical="center"/>
    </xf>
    <xf numFmtId="0" fontId="20" fillId="10" borderId="0" xfId="0" applyFont="1" applyFill="1"/>
    <xf numFmtId="0" fontId="19" fillId="10" borderId="21" xfId="0" applyFont="1" applyFill="1" applyBorder="1" applyAlignment="1">
      <alignment horizontal="center" vertical="center"/>
    </xf>
    <xf numFmtId="14" fontId="32" fillId="17" borderId="21" xfId="0" applyNumberFormat="1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18" fillId="0" borderId="29" xfId="0" applyFont="1" applyBorder="1"/>
    <xf numFmtId="166" fontId="16" fillId="0" borderId="21" xfId="0" applyNumberFormat="1" applyFont="1" applyBorder="1" applyAlignment="1">
      <alignment horizontal="center" vertical="center"/>
    </xf>
    <xf numFmtId="165" fontId="17" fillId="11" borderId="21" xfId="0" applyNumberFormat="1" applyFont="1" applyFill="1" applyBorder="1" applyAlignment="1">
      <alignment horizontal="left"/>
    </xf>
    <xf numFmtId="165" fontId="16" fillId="0" borderId="21" xfId="0" applyNumberFormat="1" applyFont="1" applyBorder="1" applyAlignment="1">
      <alignment vertical="center"/>
    </xf>
    <xf numFmtId="49" fontId="27" fillId="6" borderId="2" xfId="0" applyNumberFormat="1" applyFont="1" applyFill="1" applyBorder="1" applyAlignment="1">
      <alignment horizontal="center" vertical="center"/>
    </xf>
    <xf numFmtId="164" fontId="27" fillId="6" borderId="2" xfId="0" applyNumberFormat="1" applyFont="1" applyFill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65" fontId="27" fillId="0" borderId="2" xfId="0" applyNumberFormat="1" applyFont="1" applyBorder="1" applyAlignment="1">
      <alignment horizontal="center" vertical="center"/>
    </xf>
    <xf numFmtId="49" fontId="14" fillId="6" borderId="2" xfId="0" applyNumberFormat="1" applyFont="1" applyFill="1" applyBorder="1" applyAlignment="1">
      <alignment vertical="center"/>
    </xf>
    <xf numFmtId="164" fontId="14" fillId="6" borderId="2" xfId="0" applyNumberFormat="1" applyFont="1" applyFill="1" applyBorder="1" applyAlignment="1">
      <alignment vertical="center"/>
    </xf>
    <xf numFmtId="49" fontId="14" fillId="0" borderId="2" xfId="0" applyNumberFormat="1" applyFont="1" applyBorder="1" applyAlignment="1">
      <alignment vertical="center"/>
    </xf>
    <xf numFmtId="14" fontId="14" fillId="0" borderId="2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49" fontId="14" fillId="6" borderId="3" xfId="0" applyNumberFormat="1" applyFont="1" applyFill="1" applyBorder="1" applyAlignment="1">
      <alignment vertical="center"/>
    </xf>
    <xf numFmtId="164" fontId="14" fillId="6" borderId="3" xfId="0" applyNumberFormat="1" applyFont="1" applyFill="1" applyBorder="1" applyAlignment="1">
      <alignment vertical="center"/>
    </xf>
    <xf numFmtId="49" fontId="14" fillId="0" borderId="3" xfId="0" applyNumberFormat="1" applyFont="1" applyBorder="1" applyAlignment="1">
      <alignment vertical="center"/>
    </xf>
    <xf numFmtId="14" fontId="14" fillId="0" borderId="3" xfId="0" applyNumberFormat="1" applyFont="1" applyBorder="1" applyAlignment="1">
      <alignment horizontal="center" vertical="center"/>
    </xf>
    <xf numFmtId="164" fontId="14" fillId="6" borderId="21" xfId="0" applyNumberFormat="1" applyFont="1" applyFill="1" applyBorder="1" applyAlignment="1">
      <alignment vertical="center"/>
    </xf>
    <xf numFmtId="49" fontId="14" fillId="0" borderId="19" xfId="0" applyNumberFormat="1" applyFont="1" applyBorder="1" applyAlignment="1">
      <alignment horizontal="center" vertical="center"/>
    </xf>
    <xf numFmtId="14" fontId="14" fillId="0" borderId="24" xfId="0" applyNumberFormat="1" applyFont="1" applyBorder="1" applyAlignment="1">
      <alignment horizontal="center" vertical="center"/>
    </xf>
    <xf numFmtId="49" fontId="14" fillId="0" borderId="24" xfId="0" applyNumberFormat="1" applyFont="1" applyBorder="1" applyAlignment="1">
      <alignment vertical="center"/>
    </xf>
    <xf numFmtId="49" fontId="14" fillId="0" borderId="22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 vertical="center"/>
    </xf>
    <xf numFmtId="49" fontId="14" fillId="0" borderId="19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14" fontId="14" fillId="0" borderId="25" xfId="0" applyNumberFormat="1" applyFont="1" applyBorder="1" applyAlignment="1">
      <alignment horizontal="center" vertical="center"/>
    </xf>
    <xf numFmtId="49" fontId="14" fillId="0" borderId="25" xfId="0" applyNumberFormat="1" applyFont="1" applyBorder="1" applyAlignment="1">
      <alignment vertical="center"/>
    </xf>
    <xf numFmtId="49" fontId="14" fillId="0" borderId="27" xfId="0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center"/>
    </xf>
    <xf numFmtId="49" fontId="14" fillId="0" borderId="23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49" fontId="14" fillId="6" borderId="21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49" fontId="12" fillId="6" borderId="21" xfId="0" applyNumberFormat="1" applyFont="1" applyFill="1" applyBorder="1" applyAlignment="1">
      <alignment vertical="center"/>
    </xf>
    <xf numFmtId="165" fontId="12" fillId="6" borderId="21" xfId="0" applyNumberFormat="1" applyFont="1" applyFill="1" applyBorder="1" applyAlignment="1">
      <alignment vertical="center"/>
    </xf>
    <xf numFmtId="49" fontId="12" fillId="0" borderId="21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/>
    <xf numFmtId="165" fontId="12" fillId="0" borderId="21" xfId="0" applyNumberFormat="1" applyFont="1" applyBorder="1" applyAlignment="1">
      <alignment horizontal="left" vertical="center"/>
    </xf>
    <xf numFmtId="14" fontId="12" fillId="2" borderId="21" xfId="0" applyNumberFormat="1" applyFont="1" applyFill="1" applyBorder="1" applyAlignment="1">
      <alignment horizontal="center" vertical="center"/>
    </xf>
    <xf numFmtId="49" fontId="36" fillId="6" borderId="21" xfId="0" applyNumberFormat="1" applyFont="1" applyFill="1" applyBorder="1" applyAlignment="1">
      <alignment vertical="center"/>
    </xf>
    <xf numFmtId="165" fontId="36" fillId="6" borderId="21" xfId="0" applyNumberFormat="1" applyFont="1" applyFill="1" applyBorder="1" applyAlignment="1">
      <alignment vertical="center"/>
    </xf>
    <xf numFmtId="49" fontId="36" fillId="0" borderId="21" xfId="0" applyNumberFormat="1" applyFont="1" applyBorder="1" applyAlignment="1">
      <alignment vertical="center"/>
    </xf>
    <xf numFmtId="14" fontId="36" fillId="0" borderId="21" xfId="0" applyNumberFormat="1" applyFont="1" applyBorder="1" applyAlignment="1">
      <alignment horizontal="center" vertical="center"/>
    </xf>
    <xf numFmtId="0" fontId="36" fillId="0" borderId="21" xfId="0" applyFont="1" applyBorder="1"/>
    <xf numFmtId="165" fontId="36" fillId="0" borderId="21" xfId="0" applyNumberFormat="1" applyFont="1" applyBorder="1" applyAlignment="1">
      <alignment horizontal="left" vertical="center"/>
    </xf>
    <xf numFmtId="0" fontId="36" fillId="17" borderId="21" xfId="0" applyFont="1" applyFill="1" applyBorder="1" applyAlignment="1">
      <alignment horizontal="center" vertical="center"/>
    </xf>
    <xf numFmtId="0" fontId="37" fillId="0" borderId="0" xfId="0" applyFont="1"/>
    <xf numFmtId="14" fontId="36" fillId="2" borderId="21" xfId="0" applyNumberFormat="1" applyFont="1" applyFill="1" applyBorder="1" applyAlignment="1">
      <alignment horizontal="center" vertical="center"/>
    </xf>
    <xf numFmtId="14" fontId="19" fillId="18" borderId="21" xfId="0" applyNumberFormat="1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14" fillId="0" borderId="21" xfId="0" applyFont="1" applyFill="1" applyBorder="1"/>
    <xf numFmtId="49" fontId="16" fillId="6" borderId="30" xfId="0" applyNumberFormat="1" applyFont="1" applyFill="1" applyBorder="1" applyAlignment="1">
      <alignment vertical="center"/>
    </xf>
    <xf numFmtId="0" fontId="16" fillId="0" borderId="21" xfId="0" applyFont="1" applyFill="1" applyBorder="1"/>
    <xf numFmtId="49" fontId="16" fillId="0" borderId="29" xfId="0" applyNumberFormat="1" applyFont="1" applyBorder="1" applyAlignment="1">
      <alignment vertical="center"/>
    </xf>
    <xf numFmtId="49" fontId="21" fillId="0" borderId="21" xfId="0" applyNumberFormat="1" applyFont="1" applyBorder="1" applyAlignment="1">
      <alignment vertical="center"/>
    </xf>
    <xf numFmtId="14" fontId="21" fillId="0" borderId="21" xfId="0" applyNumberFormat="1" applyFont="1" applyBorder="1" applyAlignment="1">
      <alignment horizontal="center" vertical="center"/>
    </xf>
    <xf numFmtId="0" fontId="21" fillId="0" borderId="21" xfId="0" applyFont="1" applyBorder="1"/>
    <xf numFmtId="165" fontId="21" fillId="0" borderId="21" xfId="0" applyNumberFormat="1" applyFont="1" applyBorder="1" applyAlignment="1">
      <alignment horizontal="left" vertical="center"/>
    </xf>
    <xf numFmtId="165" fontId="38" fillId="2" borderId="21" xfId="0" applyNumberFormat="1" applyFont="1" applyFill="1" applyBorder="1" applyAlignment="1">
      <alignment horizontal="left"/>
    </xf>
    <xf numFmtId="14" fontId="21" fillId="2" borderId="21" xfId="0" applyNumberFormat="1" applyFont="1" applyFill="1" applyBorder="1" applyAlignment="1">
      <alignment horizontal="center" vertical="center"/>
    </xf>
    <xf numFmtId="0" fontId="22" fillId="0" borderId="0" xfId="0" applyFont="1"/>
    <xf numFmtId="14" fontId="36" fillId="17" borderId="21" xfId="0" applyNumberFormat="1" applyFont="1" applyFill="1" applyBorder="1" applyAlignment="1">
      <alignment horizontal="center" vertical="center"/>
    </xf>
    <xf numFmtId="14" fontId="16" fillId="0" borderId="21" xfId="0" applyNumberFormat="1" applyFont="1" applyBorder="1"/>
    <xf numFmtId="0" fontId="16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</cellXfs>
  <cellStyles count="1">
    <cellStyle name="Normal" xfId="0" builtinId="0"/>
  </cellStyles>
  <dxfs count="77"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ont>
        <strike val="0"/>
        <outline val="0"/>
        <shadow val="0"/>
        <u val="none"/>
        <vertAlign val="baseline"/>
        <color auto="1"/>
        <name val="Verdana"/>
        <scheme val="minor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Verdana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numFmt numFmtId="165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Verdana"/>
      </font>
    </dxf>
    <dxf>
      <font>
        <strike val="0"/>
        <outline val="0"/>
        <shadow val="0"/>
        <u val="none"/>
        <vertAlign val="baseline"/>
        <color auto="1"/>
        <name val="Verdana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2021 DO NOT TOUCH-style" pivot="0" count="3" xr9:uid="{00000000-0011-0000-FFFF-FFFF00000000}">
      <tableStyleElement type="headerRow" dxfId="76"/>
      <tableStyleElement type="firstRowStripe" dxfId="75"/>
      <tableStyleElement type="secondRowStripe" dxfId="74"/>
    </tableStyle>
    <tableStyle name="2022 DO NOT TOUCH-style" pivot="0" count="3" xr9:uid="{00000000-0011-0000-FFFF-FFFF01000000}">
      <tableStyleElement type="headerRow" dxfId="73"/>
      <tableStyleElement type="firstRowStripe" dxfId="72"/>
      <tableStyleElement type="secondRowStripe" dxfId="71"/>
    </tableStyle>
    <tableStyle name="2021 CONTRACTOR DO NOT TOUCH-style" pivot="0" count="3" xr9:uid="{00000000-0011-0000-FFFF-FFFF02000000}">
      <tableStyleElement type="headerRow" dxfId="70"/>
      <tableStyleElement type="firstRowStripe" dxfId="69"/>
      <tableStyleElement type="secondRowStripe" dxfId="68"/>
    </tableStyle>
    <tableStyle name="2022 CONTRACTOR DO NOT TOUCH-style" pivot="0" count="3" xr9:uid="{00000000-0011-0000-FFFF-FFFF03000000}">
      <tableStyleElement type="headerRow" dxfId="67"/>
      <tableStyleElement type="firstRowStripe" dxfId="66"/>
      <tableStyleElement type="secondRowStripe" dxfId="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Y491" headerRowCount="0" headerRowDxfId="58" dataDxfId="57" totalsRowDxfId="56">
  <tableColumns count="25">
    <tableColumn id="1" xr3:uid="{00000000-0010-0000-0100-000001000000}" name="Column1" dataDxfId="55"/>
    <tableColumn id="2" xr3:uid="{00000000-0010-0000-0100-000002000000}" name="Column2" dataDxfId="54"/>
    <tableColumn id="3" xr3:uid="{00000000-0010-0000-0100-000003000000}" name="Column3" dataDxfId="53"/>
    <tableColumn id="4" xr3:uid="{00000000-0010-0000-0100-000004000000}" name="Column4" dataDxfId="52"/>
    <tableColumn id="5" xr3:uid="{00000000-0010-0000-0100-000005000000}" name="Column5" dataDxfId="51"/>
    <tableColumn id="6" xr3:uid="{00000000-0010-0000-0100-000006000000}" name="Column6" dataDxfId="50"/>
    <tableColumn id="7" xr3:uid="{00000000-0010-0000-0100-000007000000}" name="Column7" dataDxfId="49"/>
    <tableColumn id="8" xr3:uid="{00000000-0010-0000-0100-000008000000}" name="Column8" dataDxfId="48"/>
    <tableColumn id="9" xr3:uid="{00000000-0010-0000-0100-000009000000}" name="Column9" dataDxfId="47"/>
    <tableColumn id="10" xr3:uid="{00000000-0010-0000-0100-00000A000000}" name="Column10" dataDxfId="46"/>
    <tableColumn id="11" xr3:uid="{00000000-0010-0000-0100-00000B000000}" name="Column11" dataDxfId="45"/>
    <tableColumn id="13" xr3:uid="{00000000-0010-0000-0100-00000D000000}" name="Column13" dataDxfId="44"/>
    <tableColumn id="14" xr3:uid="{00000000-0010-0000-0100-00000E000000}" name="Column14" dataDxfId="43"/>
    <tableColumn id="15" xr3:uid="{00000000-0010-0000-0100-00000F000000}" name="Column15" dataDxfId="42"/>
    <tableColumn id="17" xr3:uid="{00000000-0010-0000-0100-000011000000}" name="Column17" dataDxfId="41" dataCellStyle="Normal"/>
    <tableColumn id="18" xr3:uid="{00000000-0010-0000-0100-000012000000}" name="Column18" dataDxfId="40"/>
    <tableColumn id="19" xr3:uid="{00000000-0010-0000-0100-000013000000}" name="Column19" dataDxfId="39"/>
    <tableColumn id="20" xr3:uid="{00000000-0010-0000-0100-000014000000}" name="Column20" dataDxfId="38"/>
    <tableColumn id="21" xr3:uid="{00000000-0010-0000-0100-000015000000}" name="Column21" dataDxfId="37"/>
    <tableColumn id="22" xr3:uid="{00000000-0010-0000-0100-000016000000}" name="Column22" dataDxfId="36"/>
    <tableColumn id="23" xr3:uid="{00000000-0010-0000-0100-000017000000}" name="Column23" dataDxfId="35"/>
    <tableColumn id="24" xr3:uid="{00000000-0010-0000-0100-000018000000}" name="Column24" dataDxfId="34"/>
    <tableColumn id="25" xr3:uid="{00000000-0010-0000-0100-000019000000}" name="Column25" dataDxfId="33"/>
    <tableColumn id="26" xr3:uid="{00000000-0010-0000-0100-00001A000000}" name="Column26" dataDxfId="32"/>
    <tableColumn id="27" xr3:uid="{00000000-0010-0000-0100-00001B000000}" name="Column27" dataDxfId="31"/>
  </tableColumns>
  <tableStyleInfo name="2022 DO NOT TOUCH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Y85" headerRowCount="0" headerRowDxfId="27" dataDxfId="26" totalsRowDxfId="25">
  <tableColumns count="25">
    <tableColumn id="1" xr3:uid="{00000000-0010-0000-0300-000001000000}" name="Column1" dataDxfId="24"/>
    <tableColumn id="2" xr3:uid="{00000000-0010-0000-0300-000002000000}" name="Column2" dataDxfId="23"/>
    <tableColumn id="3" xr3:uid="{00000000-0010-0000-0300-000003000000}" name="Column3" dataDxfId="22"/>
    <tableColumn id="4" xr3:uid="{00000000-0010-0000-0300-000004000000}" name="Column4" dataDxfId="21"/>
    <tableColumn id="5" xr3:uid="{00000000-0010-0000-0300-000005000000}" name="Column5" dataDxfId="20"/>
    <tableColumn id="6" xr3:uid="{00000000-0010-0000-0300-000006000000}" name="Column6" dataDxfId="19"/>
    <tableColumn id="7" xr3:uid="{00000000-0010-0000-0300-000007000000}" name="Column7" dataDxfId="18"/>
    <tableColumn id="8" xr3:uid="{00000000-0010-0000-0300-000008000000}" name="Column8" dataDxfId="17"/>
    <tableColumn id="9" xr3:uid="{00000000-0010-0000-0300-000009000000}" name="Column9" dataDxfId="16"/>
    <tableColumn id="10" xr3:uid="{00000000-0010-0000-0300-00000A000000}" name="Column10" dataDxfId="15"/>
    <tableColumn id="11" xr3:uid="{00000000-0010-0000-0300-00000B000000}" name="Column11" dataDxfId="14"/>
    <tableColumn id="12" xr3:uid="{00000000-0010-0000-0300-00000C000000}" name="Column12" dataDxfId="13"/>
    <tableColumn id="13" xr3:uid="{00000000-0010-0000-0300-00000D000000}" name="Column13" dataDxfId="12"/>
    <tableColumn id="14" xr3:uid="{00000000-0010-0000-0300-00000E000000}" name="Column14" dataDxfId="11"/>
    <tableColumn id="15" xr3:uid="{00000000-0010-0000-0300-00000F000000}" name="Column15" dataDxfId="10"/>
    <tableColumn id="16" xr3:uid="{00000000-0010-0000-0300-000010000000}" name="Column16" dataDxfId="9"/>
    <tableColumn id="17" xr3:uid="{00000000-0010-0000-0300-000011000000}" name="Column17" dataDxfId="8"/>
    <tableColumn id="18" xr3:uid="{00000000-0010-0000-0300-000012000000}" name="Column18" dataDxfId="7"/>
    <tableColumn id="19" xr3:uid="{00000000-0010-0000-0300-000013000000}" name="Column19" dataDxfId="6"/>
    <tableColumn id="20" xr3:uid="{00000000-0010-0000-0300-000014000000}" name="Column20" dataDxfId="5"/>
    <tableColumn id="21" xr3:uid="{00000000-0010-0000-0300-000015000000}" name="Column21" dataDxfId="4"/>
    <tableColumn id="22" xr3:uid="{00000000-0010-0000-0300-000016000000}" name="Column22" dataDxfId="3"/>
    <tableColumn id="23" xr3:uid="{00000000-0010-0000-0300-000017000000}" name="Column23" dataDxfId="2"/>
    <tableColumn id="24" xr3:uid="{00000000-0010-0000-0300-000018000000}" name="Column24" dataDxfId="1"/>
    <tableColumn id="25" xr3:uid="{00000000-0010-0000-0300-000019000000}" name="Column25" dataDxfId="0"/>
  </tableColumns>
  <tableStyleInfo name="2022 CONTRACTOR DO NOT TOUCH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  <pageSetUpPr fitToPage="1"/>
  </sheetPr>
  <dimension ref="A1:Y540"/>
  <sheetViews>
    <sheetView tabSelected="1" workbookViewId="0"/>
  </sheetViews>
  <sheetFormatPr defaultColWidth="11.25" defaultRowHeight="19.5" customHeight="1"/>
  <cols>
    <col min="1" max="1" width="7" bestFit="1" customWidth="1"/>
    <col min="2" max="2" width="13.25" bestFit="1" customWidth="1"/>
    <col min="3" max="3" width="14" bestFit="1" customWidth="1"/>
    <col min="4" max="4" width="8.875" customWidth="1"/>
    <col min="5" max="5" width="10.5" bestFit="1" customWidth="1"/>
    <col min="6" max="6" width="5.25" customWidth="1"/>
    <col min="7" max="7" width="6.75" bestFit="1" customWidth="1"/>
    <col min="8" max="8" width="41.75" customWidth="1"/>
    <col min="9" max="9" width="10.625" customWidth="1"/>
    <col min="10" max="10" width="8" bestFit="1" customWidth="1"/>
    <col min="11" max="11" width="9.625" bestFit="1" customWidth="1"/>
    <col min="12" max="12" width="10.75" style="75" bestFit="1" customWidth="1"/>
    <col min="13" max="13" width="10.75" bestFit="1" customWidth="1"/>
    <col min="14" max="14" width="10.375" hidden="1" customWidth="1"/>
    <col min="15" max="15" width="10" hidden="1" customWidth="1"/>
    <col min="16" max="17" width="6.125" style="53" bestFit="1" customWidth="1"/>
    <col min="18" max="18" width="9.75" style="53" bestFit="1" customWidth="1"/>
    <col min="19" max="19" width="9.625" bestFit="1" customWidth="1"/>
    <col min="20" max="20" width="9.375" bestFit="1" customWidth="1"/>
    <col min="21" max="21" width="9.875" bestFit="1" customWidth="1"/>
    <col min="22" max="23" width="10.25" bestFit="1" customWidth="1"/>
    <col min="24" max="24" width="9.75" style="53" bestFit="1" customWidth="1"/>
    <col min="25" max="25" width="43.25" bestFit="1" customWidth="1"/>
  </cols>
  <sheetData>
    <row r="1" spans="1:25" ht="30" customHeight="1">
      <c r="A1" s="60" t="s">
        <v>0</v>
      </c>
      <c r="B1" s="60" t="str">
        <f>'2024 DO NOT TOUCH'!B1</f>
        <v>BLDG
NAME</v>
      </c>
      <c r="C1" s="60" t="str">
        <f>'2024 DO NOT TOUCH'!C1</f>
        <v>SERIAL #</v>
      </c>
      <c r="D1" s="60" t="str">
        <f>'2024 DO NOT TOUCH'!D1</f>
        <v>MAKE</v>
      </c>
      <c r="E1" s="60" t="str">
        <f>'2024 DO NOT TOUCH'!E1</f>
        <v xml:space="preserve">MODEL </v>
      </c>
      <c r="F1" s="60" t="str">
        <f>'2024 DO NOT TOUCH'!F1</f>
        <v>BF 
TYPE</v>
      </c>
      <c r="G1" s="60" t="str">
        <f>'2024 DO NOT TOUCH'!G1</f>
        <v>SIZE</v>
      </c>
      <c r="H1" s="60" t="str">
        <f>'2024 DO NOT TOUCH'!H1</f>
        <v>LOCATION</v>
      </c>
      <c r="I1" s="84" t="str">
        <f>'2024 DO NOT TOUCH'!I1</f>
        <v>PREMISE/
INPREMISE</v>
      </c>
      <c r="J1" s="60" t="str">
        <f>'2024 DO NOT TOUCH'!J1</f>
        <v>HAZ</v>
      </c>
      <c r="K1" s="60" t="str">
        <f>'2024 DO NOT TOUCH'!K1</f>
        <v>Inactive</v>
      </c>
      <c r="L1" s="70" t="str">
        <f>'2024 DO NOT TOUCH'!L1</f>
        <v>Last Test</v>
      </c>
      <c r="M1" s="61" t="str">
        <f>'2024 DO NOT TOUCH'!M1</f>
        <v>IRR
OOC</v>
      </c>
      <c r="N1" s="61" t="str">
        <f>'2024 DO NOT TOUCH'!N1</f>
        <v>DATE</v>
      </c>
      <c r="O1" s="60" t="str">
        <f>'2024 DO NOT TOUCH'!O1</f>
        <v>OPER</v>
      </c>
      <c r="P1" s="63" t="str">
        <f>'2024 DO NOT TOUCH'!P1</f>
        <v>CV1</v>
      </c>
      <c r="Q1" s="63" t="str">
        <f>'2024 DO NOT TOUCH'!Q1</f>
        <v>CV2</v>
      </c>
      <c r="R1" s="63" t="str">
        <f>'2024 DO NOT TOUCH'!R1</f>
        <v>REL/POP</v>
      </c>
      <c r="S1" s="60" t="str">
        <f>'2024 DO NOT TOUCH'!S1</f>
        <v>Tested</v>
      </c>
      <c r="T1" s="60" t="str">
        <f>'2024 DO NOT TOUCH'!T1</f>
        <v>PASSED</v>
      </c>
      <c r="U1" s="60" t="str">
        <f>'2024 DO NOT TOUCH'!U1</f>
        <v>Repaired</v>
      </c>
      <c r="V1" s="60" t="str">
        <f>'2024 DO NOT TOUCH'!V1</f>
        <v>Replaced</v>
      </c>
      <c r="W1" s="60" t="str">
        <f>'2024 DO NOT TOUCH'!W1</f>
        <v>Removed</v>
      </c>
      <c r="X1" s="76" t="str">
        <f>'2024 DO NOT TOUCH'!X1</f>
        <v>OLD S/N</v>
      </c>
      <c r="Y1" s="60" t="str">
        <f>'2024 DO NOT TOUCH'!Y1</f>
        <v>NOTES</v>
      </c>
    </row>
    <row r="2" spans="1:25" ht="19.5" customHeight="1">
      <c r="A2" s="55" t="str">
        <f>'2024 DO NOT TOUCH'!A2</f>
        <v>0001</v>
      </c>
      <c r="B2" s="55" t="str">
        <f>'2024 DO NOT TOUCH'!B2</f>
        <v>BASE OPS</v>
      </c>
      <c r="C2" s="55" t="str">
        <f>'2024 DO NOT TOUCH'!C2</f>
        <v>A03206</v>
      </c>
      <c r="D2" s="55" t="str">
        <f>'2024 DO NOT TOUCH'!D2</f>
        <v>WATTS</v>
      </c>
      <c r="E2" s="55" t="str">
        <f>'2024 DO NOT TOUCH'!E2</f>
        <v>007QT</v>
      </c>
      <c r="F2" s="55" t="str">
        <f>'2024 DO NOT TOUCH'!F2</f>
        <v>DC</v>
      </c>
      <c r="G2" s="55" t="str">
        <f>'2024 DO NOT TOUCH'!G2</f>
        <v>0.5</v>
      </c>
      <c r="H2" s="55" t="str">
        <f>'2024 DO NOT TOUCH'!H2</f>
        <v>RM 102 UNDER SINK</v>
      </c>
      <c r="I2" s="55" t="str">
        <f>'2024 DO NOT TOUCH'!I2</f>
        <v>INPREMISE</v>
      </c>
      <c r="J2" s="55" t="str">
        <f>'2024 DO NOT TOUCH'!J2</f>
        <v>AOI</v>
      </c>
      <c r="K2" s="55" t="str">
        <f>'2024 DO NOT TOUCH'!K2</f>
        <v>ACTIVE</v>
      </c>
      <c r="L2" s="56">
        <f>'2024 DO NOT TOUCH'!L2</f>
        <v>0</v>
      </c>
      <c r="M2" s="56" t="b">
        <f>'2024 DO NOT TOUCH'!M2</f>
        <v>0</v>
      </c>
      <c r="N2" s="56">
        <f>'2024 DO NOT TOUCH'!N2</f>
        <v>0</v>
      </c>
      <c r="O2" s="55">
        <f>'2024 DO NOT TOUCH'!O2</f>
        <v>0</v>
      </c>
      <c r="P2" s="64">
        <f>'2024 DO NOT TOUCH'!P2</f>
        <v>0</v>
      </c>
      <c r="Q2" s="64">
        <f>'2024 DO NOT TOUCH'!Q2</f>
        <v>0</v>
      </c>
      <c r="R2" s="64">
        <f>'2024 DO NOT TOUCH'!R2</f>
        <v>0</v>
      </c>
      <c r="S2" s="55" t="str">
        <f>'2024 DO NOT TOUCH'!S2</f>
        <v>UNTESTED</v>
      </c>
      <c r="T2" s="55" t="str">
        <f>'2024 DO NOT TOUCH'!T2</f>
        <v>FAILED</v>
      </c>
      <c r="U2" s="55" t="str">
        <f>'2024 DO NOT TOUCH'!U2</f>
        <v>PASSED</v>
      </c>
      <c r="V2" s="55" t="str">
        <f>'2024 DO NOT TOUCH'!V2</f>
        <v>EXISTING</v>
      </c>
      <c r="W2" s="55" t="str">
        <f>'2024 DO NOT TOUCH'!W2</f>
        <v>REMOVED</v>
      </c>
      <c r="X2" s="66">
        <f>'2024 DO NOT TOUCH'!X2</f>
        <v>0</v>
      </c>
      <c r="Y2" s="55" t="str">
        <f>'2024 DO NOT TOUCH'!Y2</f>
        <v>OUT OF SERVICE</v>
      </c>
    </row>
    <row r="3" spans="1:25" ht="19.5" customHeight="1">
      <c r="A3" s="58" t="str">
        <f>'2024 DO NOT TOUCH'!A3</f>
        <v>0001</v>
      </c>
      <c r="B3" s="59" t="str">
        <f>'2024 DO NOT TOUCH'!B3</f>
        <v>Base Ops</v>
      </c>
      <c r="C3" s="58" t="str">
        <f>'2024 DO NOT TOUCH'!C3</f>
        <v>3336495</v>
      </c>
      <c r="D3" s="59" t="str">
        <f>'2024 DO NOT TOUCH'!D3</f>
        <v>WILKINS</v>
      </c>
      <c r="E3" s="58" t="str">
        <f>'2024 DO NOT TOUCH'!E3</f>
        <v>975XL</v>
      </c>
      <c r="F3" s="59" t="str">
        <f>'2024 DO NOT TOUCH'!F3</f>
        <v>RP</v>
      </c>
      <c r="G3" s="58" t="str">
        <f>'2024 DO NOT TOUCH'!G3</f>
        <v>0.75</v>
      </c>
      <c r="H3" s="59" t="str">
        <f>'2024 DO NOT TOUCH'!H3</f>
        <v xml:space="preserve">Basement </v>
      </c>
      <c r="I3" s="58" t="str">
        <f>'2024 DO NOT TOUCH'!I3</f>
        <v>INPREMISE</v>
      </c>
      <c r="J3" s="59" t="str">
        <f>'2024 DO NOT TOUCH'!J3</f>
        <v>AOI</v>
      </c>
      <c r="K3" s="58" t="str">
        <f>'2024 DO NOT TOUCH'!K3</f>
        <v>ACTIVE</v>
      </c>
      <c r="L3" s="71">
        <f>'2024 DO NOT TOUCH'!L3</f>
        <v>44655</v>
      </c>
      <c r="M3" s="58" t="b">
        <f>'2024 DO NOT TOUCH'!M3</f>
        <v>0</v>
      </c>
      <c r="N3" s="59">
        <f>'2024 DO NOT TOUCH'!N3</f>
        <v>0</v>
      </c>
      <c r="O3" s="58">
        <f>'2024 DO NOT TOUCH'!O3</f>
        <v>0</v>
      </c>
      <c r="P3" s="65">
        <f>'2024 DO NOT TOUCH'!P3</f>
        <v>0</v>
      </c>
      <c r="Q3" s="65">
        <f>'2024 DO NOT TOUCH'!Q3</f>
        <v>0</v>
      </c>
      <c r="R3" s="65">
        <f>'2024 DO NOT TOUCH'!R3</f>
        <v>0</v>
      </c>
      <c r="S3" s="62" t="str">
        <f>'2024 DO NOT TOUCH'!S3</f>
        <v>TESTED</v>
      </c>
      <c r="T3" s="62" t="str">
        <f>'2024 DO NOT TOUCH'!T3</f>
        <v>PASSED</v>
      </c>
      <c r="U3" s="62">
        <f>'2024 DO NOT TOUCH'!U3</f>
        <v>0</v>
      </c>
      <c r="V3" s="62">
        <f>'2024 DO NOT TOUCH'!V3</f>
        <v>0</v>
      </c>
      <c r="W3" s="62">
        <f>'2024 DO NOT TOUCH'!W3</f>
        <v>0</v>
      </c>
      <c r="X3" s="65">
        <f>'2024 DO NOT TOUCH'!X3</f>
        <v>0</v>
      </c>
      <c r="Y3" s="62">
        <f>'2024 DO NOT TOUCH'!Y3</f>
        <v>0</v>
      </c>
    </row>
    <row r="4" spans="1:25" ht="19.5" customHeight="1">
      <c r="A4" s="55" t="str">
        <f>'2024 DO NOT TOUCH'!A4</f>
        <v>0001</v>
      </c>
      <c r="B4" s="3" t="str">
        <f>'2024 DO NOT TOUCH'!B4</f>
        <v>BASE OPS</v>
      </c>
      <c r="C4" s="55" t="str">
        <f>'2024 DO NOT TOUCH'!C4</f>
        <v>3080317</v>
      </c>
      <c r="D4" s="3" t="str">
        <f>'2024 DO NOT TOUCH'!D4</f>
        <v>WILKINS</v>
      </c>
      <c r="E4" s="55" t="str">
        <f>'2024 DO NOT TOUCH'!E4</f>
        <v>950XLT</v>
      </c>
      <c r="F4" s="3" t="str">
        <f>'2024 DO NOT TOUCH'!F4</f>
        <v>DC</v>
      </c>
      <c r="G4" s="55" t="str">
        <f>'2024 DO NOT TOUCH'!G4</f>
        <v>1.5</v>
      </c>
      <c r="H4" s="3" t="str">
        <f>'2024 DO NOT TOUCH'!H4</f>
        <v>FIRE SYS IN BASEMENT SHREADER RM</v>
      </c>
      <c r="I4" s="55" t="str">
        <f>'2024 DO NOT TOUCH'!I4</f>
        <v>PREMISE</v>
      </c>
      <c r="J4" s="3" t="str">
        <f>'2024 DO NOT TOUCH'!J4</f>
        <v>FIRE</v>
      </c>
      <c r="K4" s="55" t="str">
        <f>'2024 DO NOT TOUCH'!K4</f>
        <v>ACTIVE</v>
      </c>
      <c r="L4" s="72">
        <f>'2024 DO NOT TOUCH'!L4</f>
        <v>44565</v>
      </c>
      <c r="M4" s="55" t="b">
        <f>'2024 DO NOT TOUCH'!M4</f>
        <v>0</v>
      </c>
      <c r="N4" s="3">
        <f>'2024 DO NOT TOUCH'!N4</f>
        <v>0</v>
      </c>
      <c r="O4" s="55">
        <f>'2024 DO NOT TOUCH'!O4</f>
        <v>0</v>
      </c>
      <c r="P4" s="64">
        <f>'2024 DO NOT TOUCH'!P4</f>
        <v>0</v>
      </c>
      <c r="Q4" s="64">
        <f>'2024 DO NOT TOUCH'!Q4</f>
        <v>0</v>
      </c>
      <c r="R4" s="64">
        <f>'2024 DO NOT TOUCH'!R4</f>
        <v>0</v>
      </c>
      <c r="S4" s="57" t="str">
        <f>'2024 DO NOT TOUCH'!S4</f>
        <v>TESTED</v>
      </c>
      <c r="T4" s="57" t="str">
        <f>'2024 DO NOT TOUCH'!T4</f>
        <v>PASSED</v>
      </c>
      <c r="U4" s="57">
        <f>'2024 DO NOT TOUCH'!U4</f>
        <v>0</v>
      </c>
      <c r="V4" s="57">
        <f>'2024 DO NOT TOUCH'!V4</f>
        <v>0</v>
      </c>
      <c r="W4" s="57" t="str">
        <f>'2024 DO NOT TOUCH'!W4</f>
        <v xml:space="preserve"> SHREADERTE</v>
      </c>
      <c r="X4" s="64">
        <f>'2024 DO NOT TOUCH'!X4</f>
        <v>0</v>
      </c>
      <c r="Y4" s="57">
        <f>'2024 DO NOT TOUCH'!Y4</f>
        <v>0</v>
      </c>
    </row>
    <row r="5" spans="1:25" ht="19.5" customHeight="1">
      <c r="A5" s="58" t="str">
        <f>'2024 DO NOT TOUCH'!A5</f>
        <v>0001</v>
      </c>
      <c r="B5" s="59" t="str">
        <f>'2024 DO NOT TOUCH'!B5</f>
        <v>BASE OPS</v>
      </c>
      <c r="C5" s="58" t="str">
        <f>'2024 DO NOT TOUCH'!C5</f>
        <v>92420</v>
      </c>
      <c r="D5" s="59" t="str">
        <f>'2024 DO NOT TOUCH'!D5</f>
        <v>WATTS</v>
      </c>
      <c r="E5" s="58" t="str">
        <f>'2024 DO NOT TOUCH'!E5</f>
        <v>007QT</v>
      </c>
      <c r="F5" s="59" t="str">
        <f>'2024 DO NOT TOUCH'!F5</f>
        <v>PVB</v>
      </c>
      <c r="G5" s="58" t="str">
        <f>'2024 DO NOT TOUCH'!G5</f>
        <v>3.0</v>
      </c>
      <c r="H5" s="59" t="str">
        <f>'2024 DO NOT TOUCH'!H5</f>
        <v>IN FRONT OF BLDG ON FLIGHT LINE</v>
      </c>
      <c r="I5" s="58" t="str">
        <f>'2024 DO NOT TOUCH'!I5</f>
        <v>PREMISE</v>
      </c>
      <c r="J5" s="59" t="str">
        <f>'2024 DO NOT TOUCH'!J5</f>
        <v>IRR</v>
      </c>
      <c r="K5" s="58" t="str">
        <f>'2024 DO NOT TOUCH'!K5</f>
        <v>INACTIVE</v>
      </c>
      <c r="L5" s="71">
        <f>'2024 DO NOT TOUCH'!L5</f>
        <v>0</v>
      </c>
      <c r="M5" s="58" t="b">
        <f>'2024 DO NOT TOUCH'!M5</f>
        <v>0</v>
      </c>
      <c r="N5" s="59">
        <f>'2024 DO NOT TOUCH'!N5</f>
        <v>0</v>
      </c>
      <c r="O5" s="58">
        <f>'2024 DO NOT TOUCH'!O5</f>
        <v>0</v>
      </c>
      <c r="P5" s="65">
        <f>'2024 DO NOT TOUCH'!P5</f>
        <v>0</v>
      </c>
      <c r="Q5" s="65">
        <f>'2024 DO NOT TOUCH'!Q5</f>
        <v>0</v>
      </c>
      <c r="R5" s="65">
        <f>'2024 DO NOT TOUCH'!R5</f>
        <v>0</v>
      </c>
      <c r="S5" s="62" t="str">
        <f>'2024 DO NOT TOUCH'!S5</f>
        <v>UNTESTED</v>
      </c>
      <c r="T5" s="62" t="str">
        <f>'2024 DO NOT TOUCH'!T5</f>
        <v>FAILED</v>
      </c>
      <c r="U5" s="62" t="str">
        <f>'2024 DO NOT TOUCH'!U5</f>
        <v>PASSED</v>
      </c>
      <c r="V5" s="62" t="str">
        <f>'2024 DO NOT TOUCH'!V5</f>
        <v>EXISTING</v>
      </c>
      <c r="W5" s="62" t="str">
        <f>'2024 DO NOT TOUCH'!W5</f>
        <v>EXISTING</v>
      </c>
      <c r="X5" s="65">
        <f>'2024 DO NOT TOUCH'!X5</f>
        <v>0</v>
      </c>
      <c r="Y5" s="62">
        <f>'2024 DO NOT TOUCH'!Y5</f>
        <v>0</v>
      </c>
    </row>
    <row r="6" spans="1:25" ht="19.5" customHeight="1">
      <c r="A6" s="55" t="str">
        <f>'2024 DO NOT TOUCH'!A6</f>
        <v>0003</v>
      </c>
      <c r="B6" s="3" t="str">
        <f>'2024 DO NOT TOUCH'!B6</f>
        <v>FIRE DEPT</v>
      </c>
      <c r="C6" s="55" t="str">
        <f>'2024 DO NOT TOUCH'!C6</f>
        <v>H005173</v>
      </c>
      <c r="D6" s="3" t="str">
        <f>'2024 DO NOT TOUCH'!D6</f>
        <v>FEBCO</v>
      </c>
      <c r="E6" s="55" t="str">
        <f>'2024 DO NOT TOUCH'!E6</f>
        <v>825YA</v>
      </c>
      <c r="F6" s="3" t="str">
        <f>'2024 DO NOT TOUCH'!F6</f>
        <v>RP</v>
      </c>
      <c r="G6" s="55" t="str">
        <f>'2024 DO NOT TOUCH'!G6</f>
        <v>0.75</v>
      </c>
      <c r="H6" s="3" t="str">
        <f>'2024 DO NOT TOUCH'!H6</f>
        <v>MECH RM ON HVAC</v>
      </c>
      <c r="I6" s="55" t="str">
        <f>'2024 DO NOT TOUCH'!I6</f>
        <v>INPREMISE</v>
      </c>
      <c r="J6" s="3" t="str">
        <f>'2024 DO NOT TOUCH'!J6</f>
        <v>AOI</v>
      </c>
      <c r="K6" s="55" t="str">
        <f>'2024 DO NOT TOUCH'!K6</f>
        <v>ACTIVE</v>
      </c>
      <c r="L6" s="72">
        <f>'2024 DO NOT TOUCH'!L6</f>
        <v>0</v>
      </c>
      <c r="M6" s="55" t="b">
        <f>'2024 DO NOT TOUCH'!M6</f>
        <v>0</v>
      </c>
      <c r="N6" s="3">
        <f>'2024 DO NOT TOUCH'!N6</f>
        <v>0</v>
      </c>
      <c r="O6" s="55">
        <f>'2024 DO NOT TOUCH'!O6</f>
        <v>0</v>
      </c>
      <c r="P6" s="66">
        <f>'2024 DO NOT TOUCH'!P6</f>
        <v>0</v>
      </c>
      <c r="Q6" s="66">
        <f>'2024 DO NOT TOUCH'!Q6</f>
        <v>0</v>
      </c>
      <c r="R6" s="66">
        <f>'2024 DO NOT TOUCH'!R6</f>
        <v>0</v>
      </c>
      <c r="S6" s="55" t="str">
        <f>'2024 DO NOT TOUCH'!S6</f>
        <v>UNTESTED</v>
      </c>
      <c r="T6" s="55" t="str">
        <f>'2024 DO NOT TOUCH'!T6</f>
        <v>FAILED</v>
      </c>
      <c r="U6" s="55" t="str">
        <f>'2024 DO NOT TOUCH'!U6</f>
        <v>PASSED</v>
      </c>
      <c r="V6" s="55" t="str">
        <f>'2024 DO NOT TOUCH'!V6</f>
        <v>EXISTING</v>
      </c>
      <c r="W6" s="55" t="str">
        <f>'2024 DO NOT TOUCH'!W6</f>
        <v>REMOVED</v>
      </c>
      <c r="X6" s="66">
        <f>'2024 DO NOT TOUCH'!X6</f>
        <v>0</v>
      </c>
      <c r="Y6" s="55">
        <f>'2024 DO NOT TOUCH'!Y6</f>
        <v>0</v>
      </c>
    </row>
    <row r="7" spans="1:25" ht="19.5" customHeight="1">
      <c r="A7" s="58" t="str">
        <f>'2024 DO NOT TOUCH'!A7</f>
        <v>0003</v>
      </c>
      <c r="B7" s="59" t="str">
        <f>'2024 DO NOT TOUCH'!B7</f>
        <v>FIRE DEPT</v>
      </c>
      <c r="C7" s="58" t="str">
        <f>'2024 DO NOT TOUCH'!C7</f>
        <v>W358317</v>
      </c>
      <c r="D7" s="59" t="str">
        <f>'2024 DO NOT TOUCH'!D7</f>
        <v>WILKINS</v>
      </c>
      <c r="E7" s="58" t="str">
        <f>'2024 DO NOT TOUCH'!E7</f>
        <v>975XL</v>
      </c>
      <c r="F7" s="59" t="str">
        <f>'2024 DO NOT TOUCH'!F7</f>
        <v>RP</v>
      </c>
      <c r="G7" s="58" t="str">
        <f>'2024 DO NOT TOUCH'!G7</f>
        <v>0.5</v>
      </c>
      <c r="H7" s="59" t="str">
        <f>'2024 DO NOT TOUCH'!H7</f>
        <v>ON ICE MACHINE</v>
      </c>
      <c r="I7" s="58" t="str">
        <f>'2024 DO NOT TOUCH'!I7</f>
        <v>INPREMISE</v>
      </c>
      <c r="J7" s="59" t="str">
        <f>'2024 DO NOT TOUCH'!J7</f>
        <v>AOI</v>
      </c>
      <c r="K7" s="58" t="str">
        <f>'2024 DO NOT TOUCH'!K7</f>
        <v>ACTIVE</v>
      </c>
      <c r="L7" s="71">
        <f>'2024 DO NOT TOUCH'!L7</f>
        <v>44810</v>
      </c>
      <c r="M7" s="58" t="b">
        <f>'2024 DO NOT TOUCH'!M7</f>
        <v>0</v>
      </c>
      <c r="N7" s="59">
        <f>'2024 DO NOT TOUCH'!N7</f>
        <v>45293</v>
      </c>
      <c r="O7" s="58" t="str">
        <f>'2024 DO NOT TOUCH'!O7</f>
        <v>Ram</v>
      </c>
      <c r="P7" s="67">
        <f>'2024 DO NOT TOUCH'!P7</f>
        <v>0</v>
      </c>
      <c r="Q7" s="67">
        <f>'2024 DO NOT TOUCH'!Q7</f>
        <v>0</v>
      </c>
      <c r="R7" s="67">
        <f>'2024 DO NOT TOUCH'!R7</f>
        <v>0</v>
      </c>
      <c r="S7" s="58" t="str">
        <f>'2024 DO NOT TOUCH'!S7</f>
        <v>TESTED</v>
      </c>
      <c r="T7" s="58">
        <f>'2024 DO NOT TOUCH'!T7</f>
        <v>0</v>
      </c>
      <c r="U7" s="58">
        <f>'2024 DO NOT TOUCH'!U7</f>
        <v>0</v>
      </c>
      <c r="V7" s="58">
        <f>'2024 DO NOT TOUCH'!V7</f>
        <v>0</v>
      </c>
      <c r="W7" s="58">
        <f>'2024 DO NOT TOUCH'!W7</f>
        <v>0</v>
      </c>
      <c r="X7" s="67">
        <f>'2024 DO NOT TOUCH'!X7</f>
        <v>0</v>
      </c>
      <c r="Y7" s="58">
        <f>'2024 DO NOT TOUCH'!Y7</f>
        <v>0</v>
      </c>
    </row>
    <row r="8" spans="1:25" s="51" customFormat="1" ht="19.5" customHeight="1">
      <c r="A8" s="77" t="str">
        <f>'2024 DO NOT TOUCH'!A8</f>
        <v>0003</v>
      </c>
      <c r="B8" s="78" t="str">
        <f>'2024 DO NOT TOUCH'!B8</f>
        <v>FIRE DEPT</v>
      </c>
      <c r="C8" s="77" t="str">
        <f>'2024 DO NOT TOUCH'!C8</f>
        <v>3338565</v>
      </c>
      <c r="D8" s="78" t="str">
        <f>'2024 DO NOT TOUCH'!D8</f>
        <v>WILKINS</v>
      </c>
      <c r="E8" s="77" t="str">
        <f>'2024 DO NOT TOUCH'!E8</f>
        <v>975XL</v>
      </c>
      <c r="F8" s="78" t="str">
        <f>'2024 DO NOT TOUCH'!F8</f>
        <v>RP</v>
      </c>
      <c r="G8" s="77" t="str">
        <f>'2024 DO NOT TOUCH'!G8</f>
        <v>0.75</v>
      </c>
      <c r="H8" s="78" t="str">
        <f>'2024 DO NOT TOUCH'!H8</f>
        <v>IN INDUSTRIAL LAUNDRY RM</v>
      </c>
      <c r="I8" s="77" t="str">
        <f>'2024 DO NOT TOUCH'!I8</f>
        <v>INPREMISE</v>
      </c>
      <c r="J8" s="78" t="str">
        <f>'2024 DO NOT TOUCH'!J8</f>
        <v>AOI</v>
      </c>
      <c r="K8" s="77" t="str">
        <f>'2024 DO NOT TOUCH'!K8</f>
        <v>ACTIVE</v>
      </c>
      <c r="L8" s="79">
        <f>'2024 DO NOT TOUCH'!L8</f>
        <v>44566</v>
      </c>
      <c r="M8" s="77" t="b">
        <f>'2024 DO NOT TOUCH'!M8</f>
        <v>0</v>
      </c>
      <c r="N8" s="78">
        <f>'2024 DO NOT TOUCH'!N8</f>
        <v>45293</v>
      </c>
      <c r="O8" s="77" t="str">
        <f>'2024 DO NOT TOUCH'!O8</f>
        <v>Ram</v>
      </c>
      <c r="P8" s="80">
        <f>'2024 DO NOT TOUCH'!P8</f>
        <v>0</v>
      </c>
      <c r="Q8" s="80">
        <f>'2024 DO NOT TOUCH'!Q8</f>
        <v>0</v>
      </c>
      <c r="R8" s="80">
        <f>'2024 DO NOT TOUCH'!R8</f>
        <v>0</v>
      </c>
      <c r="S8" s="81" t="str">
        <f>'2024 DO NOT TOUCH'!S8</f>
        <v>UNTESTED</v>
      </c>
      <c r="T8" s="81">
        <f>'2024 DO NOT TOUCH'!T8</f>
        <v>0</v>
      </c>
      <c r="U8" s="81">
        <f>'2024 DO NOT TOUCH'!U8</f>
        <v>0</v>
      </c>
      <c r="V8" s="81">
        <f>'2024 DO NOT TOUCH'!V8</f>
        <v>0</v>
      </c>
      <c r="W8" s="81" t="str">
        <f>'2024 DO NOT TOUCH'!W8</f>
        <v>YES</v>
      </c>
      <c r="X8" s="80">
        <f>'2024 DO NOT TOUCH'!X8</f>
        <v>0</v>
      </c>
      <c r="Y8" s="81" t="str">
        <f>'2024 DO NOT TOUCH'!Y8</f>
        <v xml:space="preserve">water line removed </v>
      </c>
    </row>
    <row r="9" spans="1:25" s="82" customFormat="1" ht="19.5" customHeight="1">
      <c r="A9" s="58" t="str">
        <f>'2024 DO NOT TOUCH'!A9</f>
        <v>0003</v>
      </c>
      <c r="B9" s="59" t="str">
        <f>'2024 DO NOT TOUCH'!B9</f>
        <v>FIRE DEPT</v>
      </c>
      <c r="C9" s="58" t="str">
        <f>'2024 DO NOT TOUCH'!C9</f>
        <v>H00402</v>
      </c>
      <c r="D9" s="59" t="str">
        <f>'2024 DO NOT TOUCH'!D9</f>
        <v>FEBCO</v>
      </c>
      <c r="E9" s="58" t="str">
        <f>'2024 DO NOT TOUCH'!E9</f>
        <v>850</v>
      </c>
      <c r="F9" s="59" t="str">
        <f>'2024 DO NOT TOUCH'!F9</f>
        <v>DC</v>
      </c>
      <c r="G9" s="58" t="str">
        <f>'2024 DO NOT TOUCH'!G9</f>
        <v>0.5</v>
      </c>
      <c r="H9" s="59" t="str">
        <f>'2024 DO NOT TOUCH'!H9</f>
        <v>ALARM RM UNDER SINK COFFEE</v>
      </c>
      <c r="I9" s="58" t="str">
        <f>'2024 DO NOT TOUCH'!I9</f>
        <v>INPREMISE</v>
      </c>
      <c r="J9" s="59" t="str">
        <f>'2024 DO NOT TOUCH'!J9</f>
        <v>AOI</v>
      </c>
      <c r="K9" s="58" t="str">
        <f>'2024 DO NOT TOUCH'!K9</f>
        <v>ACTIVE</v>
      </c>
      <c r="L9" s="71">
        <f>'2024 DO NOT TOUCH'!L9</f>
        <v>44565</v>
      </c>
      <c r="M9" s="58" t="b">
        <f>'2024 DO NOT TOUCH'!M9</f>
        <v>0</v>
      </c>
      <c r="N9" s="59">
        <f>'2024 DO NOT TOUCH'!N9</f>
        <v>45295</v>
      </c>
      <c r="O9" s="58" t="str">
        <f>'2024 DO NOT TOUCH'!O9</f>
        <v>Ram</v>
      </c>
      <c r="P9" s="65">
        <f>'2024 DO NOT TOUCH'!P9</f>
        <v>2</v>
      </c>
      <c r="Q9" s="65">
        <f>'2024 DO NOT TOUCH'!Q9</f>
        <v>3.1</v>
      </c>
      <c r="R9" s="65">
        <f>'2024 DO NOT TOUCH'!R9</f>
        <v>0</v>
      </c>
      <c r="S9" s="62" t="str">
        <f>'2024 DO NOT TOUCH'!S9</f>
        <v>TESTED</v>
      </c>
      <c r="T9" s="62" t="str">
        <f>'2024 DO NOT TOUCH'!T9</f>
        <v>PASSED</v>
      </c>
      <c r="U9" s="62" t="str">
        <f>'2024 DO NOT TOUCH'!U9</f>
        <v>Y</v>
      </c>
      <c r="V9" s="62">
        <f>'2024 DO NOT TOUCH'!V9</f>
        <v>0</v>
      </c>
      <c r="W9" s="62">
        <f>'2024 DO NOT TOUCH'!W9</f>
        <v>0</v>
      </c>
      <c r="X9" s="65">
        <f>'2024 DO NOT TOUCH'!X9</f>
        <v>0</v>
      </c>
      <c r="Y9" s="62">
        <f>'2024 DO NOT TOUCH'!Y9</f>
        <v>0</v>
      </c>
    </row>
    <row r="10" spans="1:25" s="51" customFormat="1" ht="19.5" customHeight="1">
      <c r="A10" s="77" t="str">
        <f>'2024 DO NOT TOUCH'!A10</f>
        <v>0003</v>
      </c>
      <c r="B10" s="78" t="str">
        <f>'2024 DO NOT TOUCH'!B10</f>
        <v>FIRE DEPT</v>
      </c>
      <c r="C10" s="77" t="str">
        <f>'2024 DO NOT TOUCH'!C10</f>
        <v>F0303051105</v>
      </c>
      <c r="D10" s="78" t="str">
        <f>'2024 DO NOT TOUCH'!D10</f>
        <v>FEBCO</v>
      </c>
      <c r="E10" s="77" t="str">
        <f>'2024 DO NOT TOUCH'!E10</f>
        <v>850</v>
      </c>
      <c r="F10" s="78" t="str">
        <f>'2024 DO NOT TOUCH'!F10</f>
        <v>DC</v>
      </c>
      <c r="G10" s="77" t="str">
        <f>'2024 DO NOT TOUCH'!G10</f>
        <v>2.5</v>
      </c>
      <c r="H10" s="78" t="str">
        <f>'2024 DO NOT TOUCH'!H10</f>
        <v>GYM RM BEHIND CABINET PANEL</v>
      </c>
      <c r="I10" s="77" t="str">
        <f>'2024 DO NOT TOUCH'!I10</f>
        <v>PREMISE</v>
      </c>
      <c r="J10" s="78" t="str">
        <f>'2024 DO NOT TOUCH'!J10</f>
        <v>PREMISE</v>
      </c>
      <c r="K10" s="77" t="str">
        <f>'2024 DO NOT TOUCH'!K10</f>
        <v>ACTIVE</v>
      </c>
      <c r="L10" s="79">
        <f>'2024 DO NOT TOUCH'!L10</f>
        <v>44566</v>
      </c>
      <c r="M10" s="77" t="b">
        <f>'2024 DO NOT TOUCH'!M10</f>
        <v>0</v>
      </c>
      <c r="N10" s="78">
        <f>'2024 DO NOT TOUCH'!N10</f>
        <v>45293</v>
      </c>
      <c r="O10" s="77" t="str">
        <f>'2024 DO NOT TOUCH'!O10</f>
        <v>Ram</v>
      </c>
      <c r="P10" s="80">
        <f>'2024 DO NOT TOUCH'!P10</f>
        <v>1.2</v>
      </c>
      <c r="Q10" s="80">
        <f>'2024 DO NOT TOUCH'!Q10</f>
        <v>1.6</v>
      </c>
      <c r="R10" s="80">
        <f>'2024 DO NOT TOUCH'!R10</f>
        <v>0</v>
      </c>
      <c r="S10" s="81" t="str">
        <f>'2024 DO NOT TOUCH'!S10</f>
        <v>TESTED</v>
      </c>
      <c r="T10" s="81" t="str">
        <f>'2024 DO NOT TOUCH'!T10</f>
        <v>PASSED</v>
      </c>
      <c r="U10" s="81">
        <f>'2024 DO NOT TOUCH'!U10</f>
        <v>0</v>
      </c>
      <c r="V10" s="81">
        <f>'2024 DO NOT TOUCH'!V10</f>
        <v>0</v>
      </c>
      <c r="W10" s="81">
        <f>'2024 DO NOT TOUCH'!W10</f>
        <v>0</v>
      </c>
      <c r="X10" s="80">
        <f>'2024 DO NOT TOUCH'!X10</f>
        <v>0</v>
      </c>
      <c r="Y10" s="81">
        <f>'2024 DO NOT TOUCH'!Y10</f>
        <v>0</v>
      </c>
    </row>
    <row r="11" spans="1:25" s="82" customFormat="1" ht="19.5" customHeight="1">
      <c r="A11" s="58" t="str">
        <f>'2024 DO NOT TOUCH'!A11</f>
        <v>0003</v>
      </c>
      <c r="B11" s="59" t="str">
        <f>'2024 DO NOT TOUCH'!B11</f>
        <v>FIRE DEPT</v>
      </c>
      <c r="C11" s="58" t="str">
        <f>'2024 DO NOT TOUCH'!C11</f>
        <v>2KM1479</v>
      </c>
      <c r="D11" s="59" t="str">
        <f>'2024 DO NOT TOUCH'!D11</f>
        <v>AMES</v>
      </c>
      <c r="E11" s="58" t="str">
        <f>'2024 DO NOT TOUCH'!E11</f>
        <v>2000SS</v>
      </c>
      <c r="F11" s="59" t="str">
        <f>'2024 DO NOT TOUCH'!F11</f>
        <v>DC</v>
      </c>
      <c r="G11" s="58" t="str">
        <f>'2024 DO NOT TOUCH'!G11</f>
        <v>6.0</v>
      </c>
      <c r="H11" s="59" t="str">
        <f>'2024 DO NOT TOUCH'!H11</f>
        <v>MECHANICS AREA ON FIRE SYS</v>
      </c>
      <c r="I11" s="58" t="str">
        <f>'2024 DO NOT TOUCH'!I11</f>
        <v>PREMISE</v>
      </c>
      <c r="J11" s="59" t="str">
        <f>'2024 DO NOT TOUCH'!J11</f>
        <v>FIRE</v>
      </c>
      <c r="K11" s="58" t="str">
        <f>'2024 DO NOT TOUCH'!K11</f>
        <v>ACTIVE</v>
      </c>
      <c r="L11" s="71">
        <f>'2024 DO NOT TOUCH'!L11</f>
        <v>44566</v>
      </c>
      <c r="M11" s="58" t="b">
        <f>'2024 DO NOT TOUCH'!M11</f>
        <v>0</v>
      </c>
      <c r="N11" s="59">
        <f>'2024 DO NOT TOUCH'!N11</f>
        <v>45293</v>
      </c>
      <c r="O11" s="58" t="str">
        <f>'2024 DO NOT TOUCH'!O11</f>
        <v>Ram</v>
      </c>
      <c r="P11" s="67">
        <f>'2024 DO NOT TOUCH'!P11</f>
        <v>4</v>
      </c>
      <c r="Q11" s="67">
        <f>'2024 DO NOT TOUCH'!Q11</f>
        <v>3.1</v>
      </c>
      <c r="R11" s="67">
        <f>'2024 DO NOT TOUCH'!R11</f>
        <v>0</v>
      </c>
      <c r="S11" s="58" t="str">
        <f>'2024 DO NOT TOUCH'!S11</f>
        <v>TESTED</v>
      </c>
      <c r="T11" s="58" t="str">
        <f>'2024 DO NOT TOUCH'!T11</f>
        <v>PASSED</v>
      </c>
      <c r="U11" s="58">
        <f>'2024 DO NOT TOUCH'!U11</f>
        <v>0</v>
      </c>
      <c r="V11" s="58">
        <f>'2024 DO NOT TOUCH'!V11</f>
        <v>0</v>
      </c>
      <c r="W11" s="58">
        <f>'2024 DO NOT TOUCH'!W11</f>
        <v>0</v>
      </c>
      <c r="X11" s="67">
        <f>'2024 DO NOT TOUCH'!X11</f>
        <v>0</v>
      </c>
      <c r="Y11" s="58">
        <f>'2024 DO NOT TOUCH'!Y11</f>
        <v>0</v>
      </c>
    </row>
    <row r="12" spans="1:25" s="51" customFormat="1" ht="19.5" customHeight="1">
      <c r="A12" s="77" t="str">
        <f>'2024 DO NOT TOUCH'!A12</f>
        <v>0003</v>
      </c>
      <c r="B12" s="78" t="str">
        <f>'2024 DO NOT TOUCH'!B12</f>
        <v>FIRE DEPT</v>
      </c>
      <c r="C12" s="77" t="str">
        <f>'2024 DO NOT TOUCH'!C12</f>
        <v>1945116</v>
      </c>
      <c r="D12" s="78" t="str">
        <f>'2024 DO NOT TOUCH'!D12</f>
        <v>WILKINS</v>
      </c>
      <c r="E12" s="77" t="str">
        <f>'2024 DO NOT TOUCH'!E12</f>
        <v>950XLT</v>
      </c>
      <c r="F12" s="78" t="str">
        <f>'2024 DO NOT TOUCH'!F12</f>
        <v>DC</v>
      </c>
      <c r="G12" s="77" t="str">
        <f>'2024 DO NOT TOUCH'!G12</f>
        <v>2.0</v>
      </c>
      <c r="H12" s="78" t="str">
        <f>'2024 DO NOT TOUCH'!H12</f>
        <v>MECH RM IRRIGATION</v>
      </c>
      <c r="I12" s="77" t="str">
        <f>'2024 DO NOT TOUCH'!I12</f>
        <v>PREMISE</v>
      </c>
      <c r="J12" s="78" t="str">
        <f>'2024 DO NOT TOUCH'!J12</f>
        <v>IRR</v>
      </c>
      <c r="K12" s="77" t="str">
        <f>'2024 DO NOT TOUCH'!K12</f>
        <v>ACTIVE</v>
      </c>
      <c r="L12" s="79">
        <f>'2024 DO NOT TOUCH'!L12</f>
        <v>44753</v>
      </c>
      <c r="M12" s="77" t="b">
        <f>'2024 DO NOT TOUCH'!M12</f>
        <v>0</v>
      </c>
      <c r="N12" s="78">
        <f>'2024 DO NOT TOUCH'!N12</f>
        <v>45509</v>
      </c>
      <c r="O12" s="77" t="str">
        <f>'2024 DO NOT TOUCH'!O12</f>
        <v>PASS</v>
      </c>
      <c r="P12" s="83">
        <f>'2024 DO NOT TOUCH'!P12</f>
        <v>0</v>
      </c>
      <c r="Q12" s="83">
        <f>'2024 DO NOT TOUCH'!Q12</f>
        <v>0</v>
      </c>
      <c r="R12" s="83">
        <f>'2024 DO NOT TOUCH'!R12</f>
        <v>0</v>
      </c>
      <c r="S12" s="77" t="str">
        <f>'2024 DO NOT TOUCH'!S12</f>
        <v>UNTESTED</v>
      </c>
      <c r="T12" s="77">
        <f>'2024 DO NOT TOUCH'!T12</f>
        <v>0</v>
      </c>
      <c r="U12" s="77">
        <f>'2024 DO NOT TOUCH'!U12</f>
        <v>0</v>
      </c>
      <c r="V12" s="77">
        <f>'2024 DO NOT TOUCH'!V12</f>
        <v>0</v>
      </c>
      <c r="W12" s="77">
        <f>'2024 DO NOT TOUCH'!W12</f>
        <v>0</v>
      </c>
      <c r="X12" s="83">
        <f>'2024 DO NOT TOUCH'!X12</f>
        <v>0</v>
      </c>
      <c r="Y12" s="77" t="str">
        <f>'2024 DO NOT TOUCH'!Y12</f>
        <v>iso</v>
      </c>
    </row>
    <row r="13" spans="1:25" ht="19.5" customHeight="1">
      <c r="A13" s="58" t="str">
        <f>'2024 DO NOT TOUCH'!A13</f>
        <v>0109</v>
      </c>
      <c r="B13" s="59" t="str">
        <f>'2024 DO NOT TOUCH'!B13</f>
        <v>TANKER TAILS</v>
      </c>
      <c r="C13" s="58" t="str">
        <f>'2024 DO NOT TOUCH'!C13</f>
        <v>26377</v>
      </c>
      <c r="D13" s="59" t="str">
        <f>'2024 DO NOT TOUCH'!D13</f>
        <v>WATTS</v>
      </c>
      <c r="E13" s="58" t="str">
        <f>'2024 DO NOT TOUCH'!E13</f>
        <v>007M2QT</v>
      </c>
      <c r="F13" s="59" t="str">
        <f>'2024 DO NOT TOUCH'!F13</f>
        <v>DC</v>
      </c>
      <c r="G13" s="58" t="str">
        <f>'2024 DO NOT TOUCH'!G13</f>
        <v>1.5</v>
      </c>
      <c r="H13" s="59" t="str">
        <f>'2024 DO NOT TOUCH'!H13</f>
        <v>STORAGE CLOSET NEAR WATER HEATER</v>
      </c>
      <c r="I13" s="58" t="str">
        <f>'2024 DO NOT TOUCH'!I13</f>
        <v>PREMISE</v>
      </c>
      <c r="J13" s="59" t="str">
        <f>'2024 DO NOT TOUCH'!J13</f>
        <v>PREMISE</v>
      </c>
      <c r="K13" s="58" t="str">
        <f>'2024 DO NOT TOUCH'!K13</f>
        <v>ACTIVE</v>
      </c>
      <c r="L13" s="71">
        <f>'2024 DO NOT TOUCH'!L13</f>
        <v>44564</v>
      </c>
      <c r="M13" s="58" t="b">
        <f>'2024 DO NOT TOUCH'!M13</f>
        <v>0</v>
      </c>
      <c r="N13" s="59">
        <f>'2024 DO NOT TOUCH'!N13</f>
        <v>0</v>
      </c>
      <c r="O13" s="58">
        <f>'2024 DO NOT TOUCH'!O13</f>
        <v>0</v>
      </c>
      <c r="P13" s="65">
        <f>'2024 DO NOT TOUCH'!P13</f>
        <v>0</v>
      </c>
      <c r="Q13" s="65">
        <f>'2024 DO NOT TOUCH'!Q13</f>
        <v>0</v>
      </c>
      <c r="R13" s="65">
        <f>'2024 DO NOT TOUCH'!R13</f>
        <v>0</v>
      </c>
      <c r="S13" s="62" t="str">
        <f>'2024 DO NOT TOUCH'!S13</f>
        <v>TESTED</v>
      </c>
      <c r="T13" s="62" t="str">
        <f>'2024 DO NOT TOUCH'!T13</f>
        <v>PASSED</v>
      </c>
      <c r="U13" s="62">
        <f>'2024 DO NOT TOUCH'!U13</f>
        <v>0</v>
      </c>
      <c r="V13" s="62">
        <f>'2024 DO NOT TOUCH'!V13</f>
        <v>0</v>
      </c>
      <c r="W13" s="62">
        <f>'2024 DO NOT TOUCH'!W13</f>
        <v>0</v>
      </c>
      <c r="X13" s="65">
        <f>'2024 DO NOT TOUCH'!X13</f>
        <v>0</v>
      </c>
      <c r="Y13" s="62">
        <f>'2024 DO NOT TOUCH'!Y13</f>
        <v>0</v>
      </c>
    </row>
    <row r="14" spans="1:25" ht="19.5" customHeight="1">
      <c r="A14" s="55" t="str">
        <f>'2024 DO NOT TOUCH'!A14</f>
        <v>0152</v>
      </c>
      <c r="B14" s="3" t="str">
        <f>'2024 DO NOT TOUCH'!B14</f>
        <v>141</v>
      </c>
      <c r="C14" s="55" t="str">
        <f>'2024 DO NOT TOUCH'!C14</f>
        <v>AB3965</v>
      </c>
      <c r="D14" s="3" t="str">
        <f>'2024 DO NOT TOUCH'!D14</f>
        <v>FEBCO</v>
      </c>
      <c r="E14" s="55" t="str">
        <f>'2024 DO NOT TOUCH'!E14</f>
        <v>765</v>
      </c>
      <c r="F14" s="3" t="str">
        <f>'2024 DO NOT TOUCH'!F14</f>
        <v>DC</v>
      </c>
      <c r="G14" s="55" t="str">
        <f>'2024 DO NOT TOUCH'!G14</f>
        <v>2.0</v>
      </c>
      <c r="H14" s="3" t="str">
        <f>'2024 DO NOT TOUCH'!H14</f>
        <v xml:space="preserve">OUTSIDE 152 WEST SIDE </v>
      </c>
      <c r="I14" s="55" t="str">
        <f>'2024 DO NOT TOUCH'!I14</f>
        <v>PREMISE</v>
      </c>
      <c r="J14" s="3" t="str">
        <f>'2024 DO NOT TOUCH'!J14</f>
        <v>IRR</v>
      </c>
      <c r="K14" s="55" t="str">
        <f>'2024 DO NOT TOUCH'!K14</f>
        <v>ACTIVE</v>
      </c>
      <c r="L14" s="72">
        <f>'2024 DO NOT TOUCH'!L14</f>
        <v>0</v>
      </c>
      <c r="M14" s="55" t="b">
        <f>'2024 DO NOT TOUCH'!M14</f>
        <v>1</v>
      </c>
      <c r="N14" s="3">
        <f>'2024 DO NOT TOUCH'!N14</f>
        <v>0</v>
      </c>
      <c r="O14" s="55">
        <f>'2024 DO NOT TOUCH'!O14</f>
        <v>0</v>
      </c>
      <c r="P14" s="64">
        <f>'2024 DO NOT TOUCH'!P14</f>
        <v>0</v>
      </c>
      <c r="Q14" s="64">
        <f>'2024 DO NOT TOUCH'!Q14</f>
        <v>0</v>
      </c>
      <c r="R14" s="64">
        <f>'2024 DO NOT TOUCH'!R14</f>
        <v>0</v>
      </c>
      <c r="S14" s="57" t="str">
        <f>'2024 DO NOT TOUCH'!S14</f>
        <v>UNTESTED</v>
      </c>
      <c r="T14" s="57" t="str">
        <f>'2024 DO NOT TOUCH'!T14</f>
        <v>FAILED</v>
      </c>
      <c r="U14" s="57" t="str">
        <f>'2024 DO NOT TOUCH'!U14</f>
        <v>PASSED</v>
      </c>
      <c r="V14" s="57" t="str">
        <f>'2024 DO NOT TOUCH'!V14</f>
        <v>EXISTING</v>
      </c>
      <c r="W14" s="57" t="str">
        <f>'2024 DO NOT TOUCH'!W14</f>
        <v>EXISTING</v>
      </c>
      <c r="X14" s="64">
        <f>'2024 DO NOT TOUCH'!X14</f>
        <v>0</v>
      </c>
      <c r="Y14" s="57">
        <f>'2024 DO NOT TOUCH'!Y14</f>
        <v>0</v>
      </c>
    </row>
    <row r="15" spans="1:25" ht="19.5" customHeight="1">
      <c r="A15" s="58" t="str">
        <f>'2024 DO NOT TOUCH'!A15</f>
        <v>160</v>
      </c>
      <c r="B15" s="59" t="str">
        <f>'2024 DO NOT TOUCH'!B15</f>
        <v>141</v>
      </c>
      <c r="C15" s="58" t="str">
        <f>'2024 DO NOT TOUCH'!C15</f>
        <v>U28836</v>
      </c>
      <c r="D15" s="59" t="str">
        <f>'2024 DO NOT TOUCH'!D15</f>
        <v>WILKINS</v>
      </c>
      <c r="E15" s="58" t="str">
        <f>'2024 DO NOT TOUCH'!E15</f>
        <v>350A</v>
      </c>
      <c r="F15" s="59" t="str">
        <f>'2024 DO NOT TOUCH'!F15</f>
        <v>DC</v>
      </c>
      <c r="G15" s="58" t="str">
        <f>'2024 DO NOT TOUCH'!G15</f>
        <v>2.5</v>
      </c>
      <c r="H15" s="59" t="str">
        <f>'2024 DO NOT TOUCH'!H15</f>
        <v>MECH ROOMN</v>
      </c>
      <c r="I15" s="58" t="str">
        <f>'2024 DO NOT TOUCH'!I15</f>
        <v>PREMISE</v>
      </c>
      <c r="J15" s="59" t="str">
        <f>'2024 DO NOT TOUCH'!J15</f>
        <v>FIRE</v>
      </c>
      <c r="K15" s="58" t="str">
        <f>'2024 DO NOT TOUCH'!K15</f>
        <v>ACTIVE</v>
      </c>
      <c r="L15" s="71">
        <f>'2024 DO NOT TOUCH'!L15</f>
        <v>44676</v>
      </c>
      <c r="M15" s="58" t="b">
        <f>'2024 DO NOT TOUCH'!M15</f>
        <v>0</v>
      </c>
      <c r="N15" s="59">
        <f>'2024 DO NOT TOUCH'!N15</f>
        <v>0</v>
      </c>
      <c r="O15" s="58">
        <f>'2024 DO NOT TOUCH'!O15</f>
        <v>0</v>
      </c>
      <c r="P15" s="65">
        <f>'2024 DO NOT TOUCH'!P15</f>
        <v>0</v>
      </c>
      <c r="Q15" s="65">
        <f>'2024 DO NOT TOUCH'!Q15</f>
        <v>0</v>
      </c>
      <c r="R15" s="65">
        <f>'2024 DO NOT TOUCH'!R15</f>
        <v>0</v>
      </c>
      <c r="S15" s="62" t="str">
        <f>'2024 DO NOT TOUCH'!S15</f>
        <v>TESTED</v>
      </c>
      <c r="T15" s="62" t="str">
        <f>'2024 DO NOT TOUCH'!T15</f>
        <v>PASSED</v>
      </c>
      <c r="U15" s="62" t="str">
        <f>'2024 DO NOT TOUCH'!U15</f>
        <v>PASSED</v>
      </c>
      <c r="V15" s="62" t="str">
        <f>'2024 DO NOT TOUCH'!V15</f>
        <v>EXISTING</v>
      </c>
      <c r="W15" s="62" t="str">
        <f>'2024 DO NOT TOUCH'!W15</f>
        <v>EXISTING</v>
      </c>
      <c r="X15" s="65">
        <f>'2024 DO NOT TOUCH'!X15</f>
        <v>0</v>
      </c>
      <c r="Y15" s="62">
        <f>'2024 DO NOT TOUCH'!Y15</f>
        <v>0</v>
      </c>
    </row>
    <row r="16" spans="1:25" ht="19.5" customHeight="1">
      <c r="A16" s="55" t="str">
        <f>'2024 DO NOT TOUCH'!A16</f>
        <v>0285</v>
      </c>
      <c r="B16" s="55" t="str">
        <f>'2024 DO NOT TOUCH'!B16</f>
        <v>141</v>
      </c>
      <c r="C16" s="55" t="str">
        <f>'2024 DO NOT TOUCH'!C16</f>
        <v>H81856</v>
      </c>
      <c r="D16" s="55" t="str">
        <f>'2024 DO NOT TOUCH'!D16</f>
        <v>FEBCO</v>
      </c>
      <c r="E16" s="55" t="str">
        <f>'2024 DO NOT TOUCH'!E16</f>
        <v>850</v>
      </c>
      <c r="F16" s="55" t="str">
        <f>'2024 DO NOT TOUCH'!F16</f>
        <v>DC</v>
      </c>
      <c r="G16" s="55" t="str">
        <f>'2024 DO NOT TOUCH'!G16</f>
        <v>1.0</v>
      </c>
      <c r="H16" s="55" t="str">
        <f>'2024 DO NOT TOUCH'!H16</f>
        <v xml:space="preserve">MECH ROOM </v>
      </c>
      <c r="I16" s="55" t="str">
        <f>'2024 DO NOT TOUCH'!I16</f>
        <v>PREMISE</v>
      </c>
      <c r="J16" s="55" t="str">
        <f>'2024 DO NOT TOUCH'!J16</f>
        <v>AOI</v>
      </c>
      <c r="K16" s="55" t="str">
        <f>'2024 DO NOT TOUCH'!K16</f>
        <v>ACTIVE</v>
      </c>
      <c r="L16" s="56">
        <f>'2024 DO NOT TOUCH'!L16</f>
        <v>44574</v>
      </c>
      <c r="M16" s="56" t="b">
        <f>'2024 DO NOT TOUCH'!M16</f>
        <v>0</v>
      </c>
      <c r="N16" s="56">
        <f>'2024 DO NOT TOUCH'!N16</f>
        <v>45517</v>
      </c>
      <c r="O16" s="55" t="str">
        <f>'2024 DO NOT TOUCH'!O16</f>
        <v>Bruce</v>
      </c>
      <c r="P16" s="64">
        <f>'2024 DO NOT TOUCH'!P16</f>
        <v>2</v>
      </c>
      <c r="Q16" s="64">
        <f>'2024 DO NOT TOUCH'!Q16</f>
        <v>2.6</v>
      </c>
      <c r="R16" s="64">
        <f>'2024 DO NOT TOUCH'!R16</f>
        <v>0</v>
      </c>
      <c r="S16" s="55" t="str">
        <f>'2024 DO NOT TOUCH'!S16</f>
        <v>TESTED</v>
      </c>
      <c r="T16" s="55" t="str">
        <f>'2024 DO NOT TOUCH'!T16</f>
        <v>PASSED</v>
      </c>
      <c r="U16" s="55">
        <f>'2024 DO NOT TOUCH'!U16</f>
        <v>0</v>
      </c>
      <c r="V16" s="55">
        <f>'2024 DO NOT TOUCH'!V16</f>
        <v>0</v>
      </c>
      <c r="W16" s="55">
        <f>'2024 DO NOT TOUCH'!W16</f>
        <v>0</v>
      </c>
      <c r="X16" s="66">
        <f>'2024 DO NOT TOUCH'!X16</f>
        <v>0</v>
      </c>
      <c r="Y16" s="55">
        <f>'2024 DO NOT TOUCH'!Y16</f>
        <v>0</v>
      </c>
    </row>
    <row r="17" spans="1:25" ht="19.5" customHeight="1">
      <c r="A17" s="58" t="str">
        <f>'2024 DO NOT TOUCH'!A17</f>
        <v>0285</v>
      </c>
      <c r="B17" s="59" t="str">
        <f>'2024 DO NOT TOUCH'!B17</f>
        <v>141</v>
      </c>
      <c r="C17" s="58" t="str">
        <f>'2024 DO NOT TOUCH'!C17</f>
        <v>1394537</v>
      </c>
      <c r="D17" s="59" t="str">
        <f>'2024 DO NOT TOUCH'!D17</f>
        <v>WILKINS</v>
      </c>
      <c r="E17" s="58" t="str">
        <f>'2024 DO NOT TOUCH'!E17</f>
        <v>975XL</v>
      </c>
      <c r="F17" s="59" t="str">
        <f>'2024 DO NOT TOUCH'!F17</f>
        <v>RP</v>
      </c>
      <c r="G17" s="58" t="str">
        <f>'2024 DO NOT TOUCH'!G17</f>
        <v>.75</v>
      </c>
      <c r="H17" s="59" t="str">
        <f>'2024 DO NOT TOUCH'!H17</f>
        <v xml:space="preserve">BOILER </v>
      </c>
      <c r="I17" s="58" t="str">
        <f>'2024 DO NOT TOUCH'!I17</f>
        <v>PREMISE</v>
      </c>
      <c r="J17" s="59" t="str">
        <f>'2024 DO NOT TOUCH'!J17</f>
        <v>AOI</v>
      </c>
      <c r="K17" s="58" t="str">
        <f>'2024 DO NOT TOUCH'!K17</f>
        <v>ACTIVE</v>
      </c>
      <c r="L17" s="71">
        <f>'2024 DO NOT TOUCH'!L17</f>
        <v>44574</v>
      </c>
      <c r="M17" s="58" t="b">
        <f>'2024 DO NOT TOUCH'!M17</f>
        <v>0</v>
      </c>
      <c r="N17" s="59">
        <f>'2024 DO NOT TOUCH'!N17</f>
        <v>0</v>
      </c>
      <c r="O17" s="58">
        <f>'2024 DO NOT TOUCH'!O17</f>
        <v>0</v>
      </c>
      <c r="P17" s="65">
        <f>'2024 DO NOT TOUCH'!P17</f>
        <v>0</v>
      </c>
      <c r="Q17" s="65">
        <f>'2024 DO NOT TOUCH'!Q17</f>
        <v>0</v>
      </c>
      <c r="R17" s="65">
        <f>'2024 DO NOT TOUCH'!R17</f>
        <v>0</v>
      </c>
      <c r="S17" s="62" t="str">
        <f>'2024 DO NOT TOUCH'!S17</f>
        <v>TESTED</v>
      </c>
      <c r="T17" s="62" t="str">
        <f>'2024 DO NOT TOUCH'!T17</f>
        <v>PASSED</v>
      </c>
      <c r="U17" s="62" t="str">
        <f>'2024 DO NOT TOUCH'!U17</f>
        <v>PASSED</v>
      </c>
      <c r="V17" s="62" t="str">
        <f>'2024 DO NOT TOUCH'!V17</f>
        <v>EXISTING</v>
      </c>
      <c r="W17" s="62" t="str">
        <f>'2024 DO NOT TOUCH'!W17</f>
        <v>EXISTING</v>
      </c>
      <c r="X17" s="65">
        <f>'2024 DO NOT TOUCH'!X17</f>
        <v>0</v>
      </c>
      <c r="Y17" s="62">
        <f>'2024 DO NOT TOUCH'!Y17</f>
        <v>0</v>
      </c>
    </row>
    <row r="18" spans="1:25" ht="19.5" customHeight="1">
      <c r="A18" s="55" t="str">
        <f>'2024 DO NOT TOUCH'!A18</f>
        <v>0326</v>
      </c>
      <c r="B18" s="3" t="str">
        <f>'2024 DO NOT TOUCH'!B18</f>
        <v>FAM CAMP</v>
      </c>
      <c r="C18" s="55" t="str">
        <f>'2024 DO NOT TOUCH'!C18</f>
        <v>J002794</v>
      </c>
      <c r="D18" s="3" t="str">
        <f>'2024 DO NOT TOUCH'!D18</f>
        <v>FEBCO</v>
      </c>
      <c r="E18" s="55" t="str">
        <f>'2024 DO NOT TOUCH'!E18</f>
        <v>825Y</v>
      </c>
      <c r="F18" s="3" t="str">
        <f>'2024 DO NOT TOUCH'!F18</f>
        <v>RP</v>
      </c>
      <c r="G18" s="55" t="str">
        <f>'2024 DO NOT TOUCH'!G18</f>
        <v>2.0</v>
      </c>
      <c r="H18" s="3" t="str">
        <f>'2024 DO NOT TOUCH'!H18</f>
        <v>CENTER OF ALL PARKING SPOTS/ ABOVE GROUND</v>
      </c>
      <c r="I18" s="55" t="str">
        <f>'2024 DO NOT TOUCH'!I18</f>
        <v>PREMISE</v>
      </c>
      <c r="J18" s="3" t="str">
        <f>'2024 DO NOT TOUCH'!J18</f>
        <v>IRR</v>
      </c>
      <c r="K18" s="55" t="str">
        <f>'2024 DO NOT TOUCH'!K18</f>
        <v>ACTIVE</v>
      </c>
      <c r="L18" s="72">
        <f>'2024 DO NOT TOUCH'!L18</f>
        <v>44644</v>
      </c>
      <c r="M18" s="55" t="b">
        <f>'2024 DO NOT TOUCH'!M18</f>
        <v>0</v>
      </c>
      <c r="N18" s="3">
        <f>'2024 DO NOT TOUCH'!N18</f>
        <v>45454</v>
      </c>
      <c r="O18" s="55" t="str">
        <f>'2024 DO NOT TOUCH'!O18</f>
        <v>TROUNG</v>
      </c>
      <c r="P18" s="64">
        <f>'2024 DO NOT TOUCH'!P18</f>
        <v>7.6</v>
      </c>
      <c r="Q18" s="64">
        <f>'2024 DO NOT TOUCH'!Q18</f>
        <v>0</v>
      </c>
      <c r="R18" s="64">
        <f>'2024 DO NOT TOUCH'!R18</f>
        <v>3.2</v>
      </c>
      <c r="S18" s="57" t="str">
        <f>'2024 DO NOT TOUCH'!S18</f>
        <v>TESTED</v>
      </c>
      <c r="T18" s="57" t="str">
        <f>'2024 DO NOT TOUCH'!T18</f>
        <v>PASSED</v>
      </c>
      <c r="U18" s="57">
        <f>'2024 DO NOT TOUCH'!U18</f>
        <v>0</v>
      </c>
      <c r="V18" s="57">
        <f>'2024 DO NOT TOUCH'!V18</f>
        <v>0</v>
      </c>
      <c r="W18" s="57">
        <f>'2024 DO NOT TOUCH'!W18</f>
        <v>0</v>
      </c>
      <c r="X18" s="64">
        <f>'2024 DO NOT TOUCH'!X18</f>
        <v>0</v>
      </c>
      <c r="Y18" s="57">
        <f>'2024 DO NOT TOUCH'!Y18</f>
        <v>0</v>
      </c>
    </row>
    <row r="19" spans="1:25" ht="19.5" customHeight="1">
      <c r="A19" s="58" t="str">
        <f>'2024 DO NOT TOUCH'!A19</f>
        <v>0326</v>
      </c>
      <c r="B19" s="59" t="str">
        <f>'2024 DO NOT TOUCH'!B19</f>
        <v>FAM CAMP</v>
      </c>
      <c r="C19" s="58" t="str">
        <f>'2024 DO NOT TOUCH'!C19</f>
        <v>W358305</v>
      </c>
      <c r="D19" s="59" t="str">
        <f>'2024 DO NOT TOUCH'!D19</f>
        <v>WILKINS</v>
      </c>
      <c r="E19" s="58" t="str">
        <f>'2024 DO NOT TOUCH'!E19</f>
        <v>975XL</v>
      </c>
      <c r="F19" s="59" t="str">
        <f>'2024 DO NOT TOUCH'!F19</f>
        <v>RP</v>
      </c>
      <c r="G19" s="58" t="str">
        <f>'2024 DO NOT TOUCH'!G19</f>
        <v>1.0</v>
      </c>
      <c r="H19" s="59" t="str">
        <f>'2024 DO NOT TOUCH'!H19</f>
        <v>IRRIGATION</v>
      </c>
      <c r="I19" s="58" t="str">
        <f>'2024 DO NOT TOUCH'!I19</f>
        <v>PREMISE</v>
      </c>
      <c r="J19" s="59" t="str">
        <f>'2024 DO NOT TOUCH'!J19</f>
        <v>IRR</v>
      </c>
      <c r="K19" s="58" t="str">
        <f>'2024 DO NOT TOUCH'!K19</f>
        <v>ACTIVE</v>
      </c>
      <c r="L19" s="71">
        <f>'2024 DO NOT TOUCH'!L19</f>
        <v>0</v>
      </c>
      <c r="M19" s="58" t="b">
        <f>'2024 DO NOT TOUCH'!M19</f>
        <v>1</v>
      </c>
      <c r="N19" s="59">
        <f>'2024 DO NOT TOUCH'!N19</f>
        <v>0</v>
      </c>
      <c r="O19" s="58">
        <f>'2024 DO NOT TOUCH'!O19</f>
        <v>0</v>
      </c>
      <c r="P19" s="65">
        <f>'2024 DO NOT TOUCH'!P19</f>
        <v>0</v>
      </c>
      <c r="Q19" s="65">
        <f>'2024 DO NOT TOUCH'!Q19</f>
        <v>0</v>
      </c>
      <c r="R19" s="65">
        <f>'2024 DO NOT TOUCH'!R19</f>
        <v>0</v>
      </c>
      <c r="S19" s="62" t="str">
        <f>'2024 DO NOT TOUCH'!S19</f>
        <v>UNTESTED</v>
      </c>
      <c r="T19" s="62">
        <f>'2024 DO NOT TOUCH'!T19</f>
        <v>0</v>
      </c>
      <c r="U19" s="62">
        <f>'2024 DO NOT TOUCH'!U19</f>
        <v>0</v>
      </c>
      <c r="V19" s="62">
        <f>'2024 DO NOT TOUCH'!V19</f>
        <v>0</v>
      </c>
      <c r="W19" s="62">
        <f>'2024 DO NOT TOUCH'!W19</f>
        <v>0</v>
      </c>
      <c r="X19" s="65" t="str">
        <f>'2024 DO NOT TOUCH'!X19</f>
        <v>3078471</v>
      </c>
      <c r="Y19" s="62" t="str">
        <f>'2024 DO NOT TOUCH'!Y19</f>
        <v>iso</v>
      </c>
    </row>
    <row r="20" spans="1:25" ht="19.5" customHeight="1">
      <c r="A20" s="55" t="str">
        <f>'2024 DO NOT TOUCH'!A20</f>
        <v>0326</v>
      </c>
      <c r="B20" s="3" t="str">
        <f>'2024 DO NOT TOUCH'!B20</f>
        <v>FAM CAMP</v>
      </c>
      <c r="C20" s="55" t="str">
        <f>'2024 DO NOT TOUCH'!C20</f>
        <v>3772095</v>
      </c>
      <c r="D20" s="3" t="str">
        <f>'2024 DO NOT TOUCH'!D20</f>
        <v>WILKINS</v>
      </c>
      <c r="E20" s="55" t="str">
        <f>'2024 DO NOT TOUCH'!E20</f>
        <v>975XL2</v>
      </c>
      <c r="F20" s="3" t="str">
        <f>'2024 DO NOT TOUCH'!F20</f>
        <v>RP</v>
      </c>
      <c r="G20" s="55" t="str">
        <f>'2024 DO NOT TOUCH'!G20</f>
        <v>2.0</v>
      </c>
      <c r="H20" s="3" t="str">
        <f>'2024 DO NOT TOUCH'!H20</f>
        <v>DOMESTIC SUPPLY CENTER OF FAM CAMP</v>
      </c>
      <c r="I20" s="55" t="str">
        <f>'2024 DO NOT TOUCH'!I20</f>
        <v>PREMISE</v>
      </c>
      <c r="J20" s="3" t="str">
        <f>'2024 DO NOT TOUCH'!J20</f>
        <v>PREMISE</v>
      </c>
      <c r="K20" s="55" t="str">
        <f>'2024 DO NOT TOUCH'!K20</f>
        <v>ACTIVE</v>
      </c>
      <c r="L20" s="72">
        <f>'2024 DO NOT TOUCH'!L20</f>
        <v>44644</v>
      </c>
      <c r="M20" s="55" t="b">
        <f>'2024 DO NOT TOUCH'!M20</f>
        <v>0</v>
      </c>
      <c r="N20" s="3">
        <f>'2024 DO NOT TOUCH'!N20</f>
        <v>0</v>
      </c>
      <c r="O20" s="55">
        <f>'2024 DO NOT TOUCH'!O20</f>
        <v>0</v>
      </c>
      <c r="P20" s="66">
        <f>'2024 DO NOT TOUCH'!P20</f>
        <v>0</v>
      </c>
      <c r="Q20" s="66">
        <f>'2024 DO NOT TOUCH'!Q20</f>
        <v>0</v>
      </c>
      <c r="R20" s="66">
        <f>'2024 DO NOT TOUCH'!R20</f>
        <v>0</v>
      </c>
      <c r="S20" s="55" t="str">
        <f>'2024 DO NOT TOUCH'!S20</f>
        <v>TESTED</v>
      </c>
      <c r="T20" s="55" t="str">
        <f>'2024 DO NOT TOUCH'!T20</f>
        <v>PASSED</v>
      </c>
      <c r="U20" s="55">
        <f>'2024 DO NOT TOUCH'!U20</f>
        <v>0</v>
      </c>
      <c r="V20" s="55">
        <f>'2024 DO NOT TOUCH'!V20</f>
        <v>0</v>
      </c>
      <c r="W20" s="55">
        <f>'2024 DO NOT TOUCH'!W20</f>
        <v>0</v>
      </c>
      <c r="X20" s="66">
        <f>'2024 DO NOT TOUCH'!X20</f>
        <v>0</v>
      </c>
      <c r="Y20" s="55">
        <f>'2024 DO NOT TOUCH'!Y20</f>
        <v>0</v>
      </c>
    </row>
    <row r="21" spans="1:25" ht="19.5" customHeight="1">
      <c r="A21" s="58" t="str">
        <f>'2024 DO NOT TOUCH'!A21</f>
        <v>0399</v>
      </c>
      <c r="B21" s="59" t="str">
        <f>'2024 DO NOT TOUCH'!B21</f>
        <v>141</v>
      </c>
      <c r="C21" s="58" t="str">
        <f>'2024 DO NOT TOUCH'!C21</f>
        <v>H81852</v>
      </c>
      <c r="D21" s="59" t="str">
        <f>'2024 DO NOT TOUCH'!D21</f>
        <v>FEBCO</v>
      </c>
      <c r="E21" s="58" t="str">
        <f>'2024 DO NOT TOUCH'!E21</f>
        <v>850</v>
      </c>
      <c r="F21" s="59" t="str">
        <f>'2024 DO NOT TOUCH'!F21</f>
        <v>DC</v>
      </c>
      <c r="G21" s="58" t="str">
        <f>'2024 DO NOT TOUCH'!G21</f>
        <v>2.0</v>
      </c>
      <c r="H21" s="59" t="str">
        <f>'2024 DO NOT TOUCH'!H21</f>
        <v>MECH ROOM</v>
      </c>
      <c r="I21" s="58" t="str">
        <f>'2024 DO NOT TOUCH'!I21</f>
        <v>PREMISE</v>
      </c>
      <c r="J21" s="59" t="str">
        <f>'2024 DO NOT TOUCH'!J21</f>
        <v>PREMISE</v>
      </c>
      <c r="K21" s="58" t="str">
        <f>'2024 DO NOT TOUCH'!K21</f>
        <v>ACTIVE</v>
      </c>
      <c r="L21" s="71">
        <f>'2024 DO NOT TOUCH'!L21</f>
        <v>44641</v>
      </c>
      <c r="M21" s="58" t="b">
        <f>'2024 DO NOT TOUCH'!M21</f>
        <v>0</v>
      </c>
      <c r="N21" s="59">
        <f>'2024 DO NOT TOUCH'!N21</f>
        <v>0</v>
      </c>
      <c r="O21" s="58">
        <f>'2024 DO NOT TOUCH'!O21</f>
        <v>0</v>
      </c>
      <c r="P21" s="67">
        <f>'2024 DO NOT TOUCH'!P21</f>
        <v>0</v>
      </c>
      <c r="Q21" s="67">
        <f>'2024 DO NOT TOUCH'!Q21</f>
        <v>0</v>
      </c>
      <c r="R21" s="67">
        <f>'2024 DO NOT TOUCH'!R21</f>
        <v>0</v>
      </c>
      <c r="S21" s="58" t="str">
        <f>'2024 DO NOT TOUCH'!S21</f>
        <v>TESTED</v>
      </c>
      <c r="T21" s="58" t="str">
        <f>'2024 DO NOT TOUCH'!T21</f>
        <v>PASSED</v>
      </c>
      <c r="U21" s="58" t="str">
        <f>'2024 DO NOT TOUCH'!U21</f>
        <v>PASSED</v>
      </c>
      <c r="V21" s="58" t="str">
        <f>'2024 DO NOT TOUCH'!V21</f>
        <v>EXISTING</v>
      </c>
      <c r="W21" s="58">
        <f>'2024 DO NOT TOUCH'!W21</f>
        <v>0</v>
      </c>
      <c r="X21" s="67">
        <f>'2024 DO NOT TOUCH'!X21</f>
        <v>0</v>
      </c>
      <c r="Y21" s="58">
        <f>'2024 DO NOT TOUCH'!Y21</f>
        <v>0</v>
      </c>
    </row>
    <row r="22" spans="1:25" ht="19.5" customHeight="1">
      <c r="A22" s="77" t="str">
        <f>'2024 DO NOT TOUCH'!A22</f>
        <v>0399</v>
      </c>
      <c r="B22" s="78" t="str">
        <f>'2024 DO NOT TOUCH'!B22</f>
        <v>141</v>
      </c>
      <c r="C22" s="77" t="str">
        <f>'2024 DO NOT TOUCH'!C22</f>
        <v>199742</v>
      </c>
      <c r="D22" s="78" t="str">
        <f>'2024 DO NOT TOUCH'!D22</f>
        <v>FEBCO</v>
      </c>
      <c r="E22" s="77" t="str">
        <f>'2024 DO NOT TOUCH'!E22</f>
        <v>850</v>
      </c>
      <c r="F22" s="78" t="str">
        <f>'2024 DO NOT TOUCH'!F22</f>
        <v>DC</v>
      </c>
      <c r="G22" s="77" t="str">
        <f>'2024 DO NOT TOUCH'!G22</f>
        <v>2.0</v>
      </c>
      <c r="H22" s="78" t="str">
        <f>'2024 DO NOT TOUCH'!H22</f>
        <v>Mech Room</v>
      </c>
      <c r="I22" s="77" t="str">
        <f>'2024 DO NOT TOUCH'!I22</f>
        <v>PREMISE</v>
      </c>
      <c r="J22" s="78" t="str">
        <f>'2024 DO NOT TOUCH'!J22</f>
        <v>PREMISE</v>
      </c>
      <c r="K22" s="77" t="str">
        <f>'2024 DO NOT TOUCH'!K22</f>
        <v>ACTIVE</v>
      </c>
      <c r="L22" s="79">
        <f>'2024 DO NOT TOUCH'!L22</f>
        <v>44673</v>
      </c>
      <c r="M22" s="77" t="b">
        <f>'2024 DO NOT TOUCH'!M22</f>
        <v>0</v>
      </c>
      <c r="N22" s="78">
        <f>'2024 DO NOT TOUCH'!N22</f>
        <v>45530</v>
      </c>
      <c r="O22" s="77" t="str">
        <f>'2024 DO NOT TOUCH'!O22</f>
        <v>Bruce</v>
      </c>
      <c r="P22" s="80">
        <f>'2024 DO NOT TOUCH'!P22</f>
        <v>2.2000000000000002</v>
      </c>
      <c r="Q22" s="80">
        <f>'2024 DO NOT TOUCH'!Q22</f>
        <v>2.8</v>
      </c>
      <c r="R22" s="80">
        <f>'2024 DO NOT TOUCH'!R22</f>
        <v>0</v>
      </c>
      <c r="S22" s="81" t="str">
        <f>'2024 DO NOT TOUCH'!S22</f>
        <v>TESTED</v>
      </c>
      <c r="T22" s="81" t="str">
        <f>'2024 DO NOT TOUCH'!T22</f>
        <v>PASSED</v>
      </c>
      <c r="U22" s="81" t="str">
        <f>'2024 DO NOT TOUCH'!U22</f>
        <v>y</v>
      </c>
      <c r="V22" s="81">
        <f>'2024 DO NOT TOUCH'!V22</f>
        <v>0</v>
      </c>
      <c r="W22" s="81">
        <f>'2024 DO NOT TOUCH'!W22</f>
        <v>0</v>
      </c>
      <c r="X22" s="80">
        <f>'2024 DO NOT TOUCH'!X22</f>
        <v>0</v>
      </c>
      <c r="Y22" s="81">
        <f>'2024 DO NOT TOUCH'!Y22</f>
        <v>0</v>
      </c>
    </row>
    <row r="23" spans="1:25" ht="19.5" customHeight="1">
      <c r="A23" s="58" t="str">
        <f>'2024 DO NOT TOUCH'!A23</f>
        <v>399</v>
      </c>
      <c r="B23" s="59" t="str">
        <f>'2024 DO NOT TOUCH'!B23</f>
        <v>141</v>
      </c>
      <c r="C23" s="58" t="str">
        <f>'2024 DO NOT TOUCH'!C23</f>
        <v>U47987</v>
      </c>
      <c r="D23" s="59" t="str">
        <f>'2024 DO NOT TOUCH'!D23</f>
        <v>WILKINS</v>
      </c>
      <c r="E23" s="58" t="str">
        <f>'2024 DO NOT TOUCH'!E23</f>
        <v>350A</v>
      </c>
      <c r="F23" s="59" t="str">
        <f>'2024 DO NOT TOUCH'!F23</f>
        <v>DC</v>
      </c>
      <c r="G23" s="58" t="str">
        <f>'2024 DO NOT TOUCH'!G23</f>
        <v>4.0</v>
      </c>
      <c r="H23" s="59" t="str">
        <f>'2024 DO NOT TOUCH'!H23</f>
        <v>Mech Room</v>
      </c>
      <c r="I23" s="58" t="str">
        <f>'2024 DO NOT TOUCH'!I23</f>
        <v>PREMISE</v>
      </c>
      <c r="J23" s="59" t="str">
        <f>'2024 DO NOT TOUCH'!J23</f>
        <v>PREMISE</v>
      </c>
      <c r="K23" s="58" t="str">
        <f>'2024 DO NOT TOUCH'!K23</f>
        <v>ACTIVE</v>
      </c>
      <c r="L23" s="71">
        <f>'2024 DO NOT TOUCH'!L23</f>
        <v>44651</v>
      </c>
      <c r="M23" s="58" t="b">
        <f>'2024 DO NOT TOUCH'!M23</f>
        <v>0</v>
      </c>
      <c r="N23" s="59">
        <f>'2024 DO NOT TOUCH'!N23</f>
        <v>0</v>
      </c>
      <c r="O23" s="58">
        <f>'2024 DO NOT TOUCH'!O23</f>
        <v>0</v>
      </c>
      <c r="P23" s="65">
        <f>'2024 DO NOT TOUCH'!P23</f>
        <v>0</v>
      </c>
      <c r="Q23" s="65">
        <f>'2024 DO NOT TOUCH'!Q23</f>
        <v>0</v>
      </c>
      <c r="R23" s="65">
        <f>'2024 DO NOT TOUCH'!R23</f>
        <v>0</v>
      </c>
      <c r="S23" s="62" t="str">
        <f>'2024 DO NOT TOUCH'!S23</f>
        <v>TESTED</v>
      </c>
      <c r="T23" s="62" t="str">
        <f>'2024 DO NOT TOUCH'!T23</f>
        <v>PASSED</v>
      </c>
      <c r="U23" s="62">
        <f>'2024 DO NOT TOUCH'!U23</f>
        <v>0</v>
      </c>
      <c r="V23" s="62">
        <f>'2024 DO NOT TOUCH'!V23</f>
        <v>0</v>
      </c>
      <c r="W23" s="62">
        <f>'2024 DO NOT TOUCH'!W23</f>
        <v>0</v>
      </c>
      <c r="X23" s="65">
        <f>'2024 DO NOT TOUCH'!X23</f>
        <v>0</v>
      </c>
      <c r="Y23" s="62">
        <f>'2024 DO NOT TOUCH'!Y23</f>
        <v>0</v>
      </c>
    </row>
    <row r="24" spans="1:25" ht="19.5" customHeight="1">
      <c r="A24" s="77" t="str">
        <f>'2024 DO NOT TOUCH'!A24</f>
        <v>0430</v>
      </c>
      <c r="B24" s="78" t="str">
        <f>'2024 DO NOT TOUCH'!B24</f>
        <v>141</v>
      </c>
      <c r="C24" s="77" t="str">
        <f>'2024 DO NOT TOUCH'!C24</f>
        <v>A36420</v>
      </c>
      <c r="D24" s="78" t="str">
        <f>'2024 DO NOT TOUCH'!D24</f>
        <v>WILKINS</v>
      </c>
      <c r="E24" s="77" t="str">
        <f>'2024 DO NOT TOUCH'!E24</f>
        <v>350XL</v>
      </c>
      <c r="F24" s="78" t="str">
        <f>'2024 DO NOT TOUCH'!F24</f>
        <v>DC</v>
      </c>
      <c r="G24" s="77" t="str">
        <f>'2024 DO NOT TOUCH'!G24</f>
        <v>1.5</v>
      </c>
      <c r="H24" s="78" t="str">
        <f>'2024 DO NOT TOUCH'!H24</f>
        <v>MECH ROOM</v>
      </c>
      <c r="I24" s="77" t="str">
        <f>'2024 DO NOT TOUCH'!I24</f>
        <v>PREMISE</v>
      </c>
      <c r="J24" s="78" t="str">
        <f>'2024 DO NOT TOUCH'!J24</f>
        <v>AOI</v>
      </c>
      <c r="K24" s="77" t="str">
        <f>'2024 DO NOT TOUCH'!K24</f>
        <v>ACTIVE</v>
      </c>
      <c r="L24" s="79">
        <f>'2024 DO NOT TOUCH'!L24</f>
        <v>44643</v>
      </c>
      <c r="M24" s="77" t="b">
        <f>'2024 DO NOT TOUCH'!M24</f>
        <v>0</v>
      </c>
      <c r="N24" s="78">
        <f>'2024 DO NOT TOUCH'!N24</f>
        <v>45517</v>
      </c>
      <c r="O24" s="77" t="str">
        <f>'2024 DO NOT TOUCH'!O24</f>
        <v>Bruce</v>
      </c>
      <c r="P24" s="80">
        <f>'2024 DO NOT TOUCH'!P24</f>
        <v>2.8</v>
      </c>
      <c r="Q24" s="80">
        <f>'2024 DO NOT TOUCH'!Q24</f>
        <v>3</v>
      </c>
      <c r="R24" s="80">
        <f>'2024 DO NOT TOUCH'!R24</f>
        <v>0</v>
      </c>
      <c r="S24" s="81" t="str">
        <f>'2024 DO NOT TOUCH'!S24</f>
        <v>TESTED</v>
      </c>
      <c r="T24" s="81" t="str">
        <f>'2024 DO NOT TOUCH'!T24</f>
        <v>PASSED</v>
      </c>
      <c r="U24" s="81">
        <f>'2024 DO NOT TOUCH'!U24</f>
        <v>0</v>
      </c>
      <c r="V24" s="81">
        <f>'2024 DO NOT TOUCH'!V24</f>
        <v>0</v>
      </c>
      <c r="W24" s="81">
        <f>'2024 DO NOT TOUCH'!W24</f>
        <v>0</v>
      </c>
      <c r="X24" s="80">
        <f>'2024 DO NOT TOUCH'!X24</f>
        <v>0</v>
      </c>
      <c r="Y24" s="81">
        <f>'2024 DO NOT TOUCH'!Y24</f>
        <v>0</v>
      </c>
    </row>
    <row r="25" spans="1:25" ht="19.5" customHeight="1">
      <c r="A25" s="58" t="str">
        <f>'2024 DO NOT TOUCH'!A25</f>
        <v>0430</v>
      </c>
      <c r="B25" s="59" t="str">
        <f>'2024 DO NOT TOUCH'!B25</f>
        <v>141</v>
      </c>
      <c r="C25" s="58" t="str">
        <f>'2024 DO NOT TOUCH'!C25</f>
        <v>4094341</v>
      </c>
      <c r="D25" s="59" t="str">
        <f>'2024 DO NOT TOUCH'!D25</f>
        <v>WILKINS</v>
      </c>
      <c r="E25" s="58" t="str">
        <f>'2024 DO NOT TOUCH'!E25</f>
        <v>350</v>
      </c>
      <c r="F25" s="59" t="str">
        <f>'2024 DO NOT TOUCH'!F25</f>
        <v>DC</v>
      </c>
      <c r="G25" s="58" t="str">
        <f>'2024 DO NOT TOUCH'!G25</f>
        <v>.75</v>
      </c>
      <c r="H25" s="59" t="str">
        <f>'2024 DO NOT TOUCH'!H25</f>
        <v xml:space="preserve">FIRE </v>
      </c>
      <c r="I25" s="58" t="str">
        <f>'2024 DO NOT TOUCH'!I25</f>
        <v>PREMISE</v>
      </c>
      <c r="J25" s="59" t="str">
        <f>'2024 DO NOT TOUCH'!J25</f>
        <v>FIRE</v>
      </c>
      <c r="K25" s="58" t="str">
        <f>'2024 DO NOT TOUCH'!K25</f>
        <v>ACTIVE</v>
      </c>
      <c r="L25" s="71">
        <f>'2024 DO NOT TOUCH'!L25</f>
        <v>44651</v>
      </c>
      <c r="M25" s="58" t="b">
        <f>'2024 DO NOT TOUCH'!M25</f>
        <v>0</v>
      </c>
      <c r="N25" s="59">
        <f>'2024 DO NOT TOUCH'!N25</f>
        <v>45525</v>
      </c>
      <c r="O25" s="58" t="str">
        <f>'2024 DO NOT TOUCH'!O25</f>
        <v>Bruce</v>
      </c>
      <c r="P25" s="67">
        <f>'2024 DO NOT TOUCH'!P25</f>
        <v>3</v>
      </c>
      <c r="Q25" s="67">
        <f>'2024 DO NOT TOUCH'!Q25</f>
        <v>2.6</v>
      </c>
      <c r="R25" s="67">
        <f>'2024 DO NOT TOUCH'!R25</f>
        <v>0</v>
      </c>
      <c r="S25" s="58" t="str">
        <f>'2024 DO NOT TOUCH'!S25</f>
        <v>TESTED</v>
      </c>
      <c r="T25" s="58">
        <f>'2024 DO NOT TOUCH'!T25</f>
        <v>0</v>
      </c>
      <c r="U25" s="58">
        <f>'2024 DO NOT TOUCH'!U25</f>
        <v>0</v>
      </c>
      <c r="V25" s="58">
        <f>'2024 DO NOT TOUCH'!V25</f>
        <v>0</v>
      </c>
      <c r="W25" s="58">
        <f>'2024 DO NOT TOUCH'!W25</f>
        <v>0</v>
      </c>
      <c r="X25" s="67">
        <f>'2024 DO NOT TOUCH'!X25</f>
        <v>0</v>
      </c>
      <c r="Y25" s="58">
        <f>'2024 DO NOT TOUCH'!Y25</f>
        <v>0</v>
      </c>
    </row>
    <row r="26" spans="1:25" ht="19.5" customHeight="1">
      <c r="A26" s="77" t="str">
        <f>'2024 DO NOT TOUCH'!A26</f>
        <v>430</v>
      </c>
      <c r="B26" s="78" t="str">
        <f>'2024 DO NOT TOUCH'!B26</f>
        <v>141</v>
      </c>
      <c r="C26" s="77" t="str">
        <f>'2024 DO NOT TOUCH'!C26</f>
        <v>V43790</v>
      </c>
      <c r="D26" s="78" t="str">
        <f>'2024 DO NOT TOUCH'!D26</f>
        <v>WILKINS</v>
      </c>
      <c r="E26" s="77" t="str">
        <f>'2024 DO NOT TOUCH'!E26</f>
        <v>350ADA</v>
      </c>
      <c r="F26" s="78" t="str">
        <f>'2024 DO NOT TOUCH'!F26</f>
        <v>DCDA</v>
      </c>
      <c r="G26" s="77" t="str">
        <f>'2024 DO NOT TOUCH'!G26</f>
        <v>6.0</v>
      </c>
      <c r="H26" s="78" t="str">
        <f>'2024 DO NOT TOUCH'!H26</f>
        <v>Fire</v>
      </c>
      <c r="I26" s="77" t="str">
        <f>'2024 DO NOT TOUCH'!I26</f>
        <v>PREMISE</v>
      </c>
      <c r="J26" s="78" t="str">
        <f>'2024 DO NOT TOUCH'!J26</f>
        <v>FIRE</v>
      </c>
      <c r="K26" s="77" t="str">
        <f>'2024 DO NOT TOUCH'!K26</f>
        <v>ACTIVE</v>
      </c>
      <c r="L26" s="79">
        <f>'2024 DO NOT TOUCH'!L26</f>
        <v>44651</v>
      </c>
      <c r="M26" s="77" t="b">
        <f>'2024 DO NOT TOUCH'!M26</f>
        <v>0</v>
      </c>
      <c r="N26" s="78">
        <f>'2024 DO NOT TOUCH'!N26</f>
        <v>45525</v>
      </c>
      <c r="O26" s="77" t="str">
        <f>'2024 DO NOT TOUCH'!O26</f>
        <v>Bruce</v>
      </c>
      <c r="P26" s="83">
        <f>'2024 DO NOT TOUCH'!P26</f>
        <v>3.8</v>
      </c>
      <c r="Q26" s="83">
        <f>'2024 DO NOT TOUCH'!Q26</f>
        <v>2.8</v>
      </c>
      <c r="R26" s="83">
        <f>'2024 DO NOT TOUCH'!R26</f>
        <v>0</v>
      </c>
      <c r="S26" s="77" t="str">
        <f>'2024 DO NOT TOUCH'!S26</f>
        <v>TESTED</v>
      </c>
      <c r="T26" s="77" t="str">
        <f>'2024 DO NOT TOUCH'!T26</f>
        <v>PASSED</v>
      </c>
      <c r="U26" s="77">
        <f>'2024 DO NOT TOUCH'!U26</f>
        <v>0</v>
      </c>
      <c r="V26" s="77">
        <f>'2024 DO NOT TOUCH'!V26</f>
        <v>0</v>
      </c>
      <c r="W26" s="77">
        <f>'2024 DO NOT TOUCH'!W26</f>
        <v>0</v>
      </c>
      <c r="X26" s="83">
        <f>'2024 DO NOT TOUCH'!X26</f>
        <v>0</v>
      </c>
      <c r="Y26" s="77">
        <f>'2024 DO NOT TOUCH'!Y26</f>
        <v>0</v>
      </c>
    </row>
    <row r="27" spans="1:25" ht="19.5" customHeight="1">
      <c r="A27" s="58" t="str">
        <f>'2024 DO NOT TOUCH'!A27</f>
        <v>0443</v>
      </c>
      <c r="B27" s="59" t="str">
        <f>'2024 DO NOT TOUCH'!B27</f>
        <v>141</v>
      </c>
      <c r="C27" s="58" t="str">
        <f>'2024 DO NOT TOUCH'!C27</f>
        <v>H42134</v>
      </c>
      <c r="D27" s="59" t="str">
        <f>'2024 DO NOT TOUCH'!D27</f>
        <v>FEBCO</v>
      </c>
      <c r="E27" s="58" t="str">
        <f>'2024 DO NOT TOUCH'!E27</f>
        <v>850</v>
      </c>
      <c r="F27" s="59" t="str">
        <f>'2024 DO NOT TOUCH'!F27</f>
        <v>DC</v>
      </c>
      <c r="G27" s="58" t="str">
        <f>'2024 DO NOT TOUCH'!G27</f>
        <v>2</v>
      </c>
      <c r="H27" s="59" t="str">
        <f>'2024 DO NOT TOUCH'!H27</f>
        <v>443 EAST LOT ROCK BED</v>
      </c>
      <c r="I27" s="58" t="str">
        <f>'2024 DO NOT TOUCH'!I27</f>
        <v>INPREMISE</v>
      </c>
      <c r="J27" s="59" t="str">
        <f>'2024 DO NOT TOUCH'!J27</f>
        <v>IRR</v>
      </c>
      <c r="K27" s="58" t="str">
        <f>'2024 DO NOT TOUCH'!K27</f>
        <v>ACTIVE</v>
      </c>
      <c r="L27" s="71">
        <f>'2024 DO NOT TOUCH'!L27</f>
        <v>44644</v>
      </c>
      <c r="M27" s="58" t="b">
        <f>'2024 DO NOT TOUCH'!M27</f>
        <v>1</v>
      </c>
      <c r="N27" s="59">
        <f>'2024 DO NOT TOUCH'!N27</f>
        <v>45517</v>
      </c>
      <c r="O27" s="58" t="str">
        <f>'2024 DO NOT TOUCH'!O27</f>
        <v>Bruce</v>
      </c>
      <c r="P27" s="65">
        <f>'2024 DO NOT TOUCH'!P27</f>
        <v>2.8</v>
      </c>
      <c r="Q27" s="65">
        <f>'2024 DO NOT TOUCH'!Q27</f>
        <v>2.6</v>
      </c>
      <c r="R27" s="65">
        <f>'2024 DO NOT TOUCH'!R27</f>
        <v>0</v>
      </c>
      <c r="S27" s="62" t="str">
        <f>'2024 DO NOT TOUCH'!S27</f>
        <v>TESTED</v>
      </c>
      <c r="T27" s="62" t="str">
        <f>'2024 DO NOT TOUCH'!T27</f>
        <v>PASSED</v>
      </c>
      <c r="U27" s="62">
        <f>'2024 DO NOT TOUCH'!U27</f>
        <v>0</v>
      </c>
      <c r="V27" s="62">
        <f>'2024 DO NOT TOUCH'!V27</f>
        <v>0</v>
      </c>
      <c r="W27" s="62">
        <f>'2024 DO NOT TOUCH'!W27</f>
        <v>0</v>
      </c>
      <c r="X27" s="65">
        <f>'2024 DO NOT TOUCH'!X27</f>
        <v>0</v>
      </c>
      <c r="Y27" s="62">
        <f>'2024 DO NOT TOUCH'!Y27</f>
        <v>0</v>
      </c>
    </row>
    <row r="28" spans="1:25" ht="19.5" customHeight="1">
      <c r="A28" s="55" t="str">
        <f>'2024 DO NOT TOUCH'!A28</f>
        <v>0443</v>
      </c>
      <c r="B28" s="3" t="str">
        <f>'2024 DO NOT TOUCH'!B28</f>
        <v>141</v>
      </c>
      <c r="C28" s="55" t="str">
        <f>'2024 DO NOT TOUCH'!C28</f>
        <v>1136042</v>
      </c>
      <c r="D28" s="3" t="str">
        <f>'2024 DO NOT TOUCH'!D28</f>
        <v>WILKINS</v>
      </c>
      <c r="E28" s="55" t="str">
        <f>'2024 DO NOT TOUCH'!E28</f>
        <v>950XL</v>
      </c>
      <c r="F28" s="3" t="str">
        <f>'2024 DO NOT TOUCH'!F28</f>
        <v>RP</v>
      </c>
      <c r="G28" s="55" t="str">
        <f>'2024 DO NOT TOUCH'!G28</f>
        <v>2</v>
      </c>
      <c r="H28" s="3" t="str">
        <f>'2024 DO NOT TOUCH'!H28</f>
        <v>MECH ROOM</v>
      </c>
      <c r="I28" s="55" t="str">
        <f>'2024 DO NOT TOUCH'!I28</f>
        <v>PREMISE</v>
      </c>
      <c r="J28" s="3" t="str">
        <f>'2024 DO NOT TOUCH'!J28</f>
        <v>AOI</v>
      </c>
      <c r="K28" s="55" t="str">
        <f>'2024 DO NOT TOUCH'!K28</f>
        <v>ACTIVE</v>
      </c>
      <c r="L28" s="72">
        <f>'2024 DO NOT TOUCH'!L28</f>
        <v>44676</v>
      </c>
      <c r="M28" s="55" t="b">
        <f>'2024 DO NOT TOUCH'!M28</f>
        <v>0</v>
      </c>
      <c r="N28" s="3">
        <f>'2024 DO NOT TOUCH'!N28</f>
        <v>45320</v>
      </c>
      <c r="O28" s="55" t="str">
        <f>'2024 DO NOT TOUCH'!O28</f>
        <v>Ted</v>
      </c>
      <c r="P28" s="64">
        <f>'2024 DO NOT TOUCH'!P28</f>
        <v>8.6</v>
      </c>
      <c r="Q28" s="64">
        <f>'2024 DO NOT TOUCH'!Q28</f>
        <v>0</v>
      </c>
      <c r="R28" s="64">
        <f>'2024 DO NOT TOUCH'!R28</f>
        <v>3.8</v>
      </c>
      <c r="S28" s="57" t="str">
        <f>'2024 DO NOT TOUCH'!S28</f>
        <v>TESTED</v>
      </c>
      <c r="T28" s="57" t="str">
        <f>'2024 DO NOT TOUCH'!T28</f>
        <v>PASSED</v>
      </c>
      <c r="U28" s="57">
        <f>'2024 DO NOT TOUCH'!U28</f>
        <v>0</v>
      </c>
      <c r="V28" s="57">
        <f>'2024 DO NOT TOUCH'!V28</f>
        <v>0</v>
      </c>
      <c r="W28" s="57">
        <f>'2024 DO NOT TOUCH'!W28</f>
        <v>0</v>
      </c>
      <c r="X28" s="64">
        <f>'2024 DO NOT TOUCH'!X28</f>
        <v>0</v>
      </c>
      <c r="Y28" s="57">
        <f>'2024 DO NOT TOUCH'!Y28</f>
        <v>0</v>
      </c>
    </row>
    <row r="29" spans="1:25" ht="19.5" customHeight="1">
      <c r="A29" s="58" t="str">
        <f>'2024 DO NOT TOUCH'!A29</f>
        <v>0443</v>
      </c>
      <c r="B29" s="59" t="str">
        <f>'2024 DO NOT TOUCH'!B29</f>
        <v>141</v>
      </c>
      <c r="C29" s="58" t="str">
        <f>'2024 DO NOT TOUCH'!C29</f>
        <v>1833446</v>
      </c>
      <c r="D29" s="59" t="str">
        <f>'2024 DO NOT TOUCH'!D29</f>
        <v>WILKINS</v>
      </c>
      <c r="E29" s="58" t="str">
        <f>'2024 DO NOT TOUCH'!E29</f>
        <v>975XLT</v>
      </c>
      <c r="F29" s="59" t="str">
        <f>'2024 DO NOT TOUCH'!F29</f>
        <v>DC</v>
      </c>
      <c r="G29" s="58" t="str">
        <f>'2024 DO NOT TOUCH'!G29</f>
        <v>2</v>
      </c>
      <c r="H29" s="59" t="str">
        <f>'2024 DO NOT TOUCH'!H29</f>
        <v>MECH ROOM</v>
      </c>
      <c r="I29" s="58" t="str">
        <f>'2024 DO NOT TOUCH'!I29</f>
        <v>PREMISE</v>
      </c>
      <c r="J29" s="59" t="str">
        <f>'2024 DO NOT TOUCH'!J29</f>
        <v>AOI</v>
      </c>
      <c r="K29" s="58" t="str">
        <f>'2024 DO NOT TOUCH'!K29</f>
        <v>ACTIVE</v>
      </c>
      <c r="L29" s="71">
        <f>'2024 DO NOT TOUCH'!L29</f>
        <v>44642</v>
      </c>
      <c r="M29" s="58" t="b">
        <f>'2024 DO NOT TOUCH'!M29</f>
        <v>0</v>
      </c>
      <c r="N29" s="59">
        <f>'2024 DO NOT TOUCH'!N29</f>
        <v>45517</v>
      </c>
      <c r="O29" s="58" t="str">
        <f>'2024 DO NOT TOUCH'!O29</f>
        <v>Bruce</v>
      </c>
      <c r="P29" s="65">
        <f>'2024 DO NOT TOUCH'!P29</f>
        <v>3.2</v>
      </c>
      <c r="Q29" s="65">
        <f>'2024 DO NOT TOUCH'!Q29</f>
        <v>3.2</v>
      </c>
      <c r="R29" s="65">
        <f>'2024 DO NOT TOUCH'!R29</f>
        <v>0</v>
      </c>
      <c r="S29" s="62" t="str">
        <f>'2024 DO NOT TOUCH'!S29</f>
        <v>TESTED</v>
      </c>
      <c r="T29" s="62" t="str">
        <f>'2024 DO NOT TOUCH'!T29</f>
        <v>PASSED</v>
      </c>
      <c r="U29" s="62">
        <f>'2024 DO NOT TOUCH'!U29</f>
        <v>0</v>
      </c>
      <c r="V29" s="62">
        <f>'2024 DO NOT TOUCH'!V29</f>
        <v>0</v>
      </c>
      <c r="W29" s="62">
        <f>'2024 DO NOT TOUCH'!W29</f>
        <v>0</v>
      </c>
      <c r="X29" s="65">
        <f>'2024 DO NOT TOUCH'!X29</f>
        <v>0</v>
      </c>
      <c r="Y29" s="62">
        <f>'2024 DO NOT TOUCH'!Y29</f>
        <v>0</v>
      </c>
    </row>
    <row r="30" spans="1:25" ht="19.5" customHeight="1">
      <c r="A30" s="55" t="str">
        <f>'2024 DO NOT TOUCH'!A30</f>
        <v>443</v>
      </c>
      <c r="B30" s="55" t="str">
        <f>'2024 DO NOT TOUCH'!B30</f>
        <v>141</v>
      </c>
      <c r="C30" s="55" t="str">
        <f>'2024 DO NOT TOUCH'!C30</f>
        <v>EC-0936</v>
      </c>
      <c r="D30" s="55" t="str">
        <f>'2024 DO NOT TOUCH'!D30</f>
        <v>COLT</v>
      </c>
      <c r="E30" s="55" t="str">
        <f>'2024 DO NOT TOUCH'!E30</f>
        <v>200A</v>
      </c>
      <c r="F30" s="55" t="str">
        <f>'2024 DO NOT TOUCH'!F30</f>
        <v>DC</v>
      </c>
      <c r="G30" s="55" t="str">
        <f>'2024 DO NOT TOUCH'!G30</f>
        <v>4.0</v>
      </c>
      <c r="H30" s="55" t="str">
        <f>'2024 DO NOT TOUCH'!H30</f>
        <v>Mech Room</v>
      </c>
      <c r="I30" s="55" t="str">
        <f>'2024 DO NOT TOUCH'!I30</f>
        <v>PREMISE</v>
      </c>
      <c r="J30" s="55" t="str">
        <f>'2024 DO NOT TOUCH'!J30</f>
        <v>FIRE</v>
      </c>
      <c r="K30" s="55" t="str">
        <f>'2024 DO NOT TOUCH'!K30</f>
        <v>ACTIVE</v>
      </c>
      <c r="L30" s="56">
        <f>'2024 DO NOT TOUCH'!L30</f>
        <v>44676</v>
      </c>
      <c r="M30" s="56" t="b">
        <f>'2024 DO NOT TOUCH'!M30</f>
        <v>0</v>
      </c>
      <c r="N30" s="56">
        <f>'2024 DO NOT TOUCH'!N30</f>
        <v>0</v>
      </c>
      <c r="O30" s="55">
        <f>'2024 DO NOT TOUCH'!O30</f>
        <v>0</v>
      </c>
      <c r="P30" s="64">
        <f>'2024 DO NOT TOUCH'!P30</f>
        <v>0</v>
      </c>
      <c r="Q30" s="64">
        <f>'2024 DO NOT TOUCH'!Q30</f>
        <v>0</v>
      </c>
      <c r="R30" s="64">
        <f>'2024 DO NOT TOUCH'!R30</f>
        <v>0</v>
      </c>
      <c r="S30" s="55" t="str">
        <f>'2024 DO NOT TOUCH'!S30</f>
        <v>TESTED</v>
      </c>
      <c r="T30" s="55" t="str">
        <f>'2024 DO NOT TOUCH'!T30</f>
        <v>PASSED</v>
      </c>
      <c r="U30" s="55" t="str">
        <f>'2024 DO NOT TOUCH'!U30</f>
        <v>PASSED</v>
      </c>
      <c r="V30" s="55" t="str">
        <f>'2024 DO NOT TOUCH'!V30</f>
        <v>EXISTING</v>
      </c>
      <c r="W30" s="55" t="str">
        <f>'2024 DO NOT TOUCH'!W30</f>
        <v>EXISTING</v>
      </c>
      <c r="X30" s="66">
        <f>'2024 DO NOT TOUCH'!X30</f>
        <v>0</v>
      </c>
      <c r="Y30" s="55">
        <f>'2024 DO NOT TOUCH'!Y30</f>
        <v>0</v>
      </c>
    </row>
    <row r="31" spans="1:25" ht="19.5" customHeight="1">
      <c r="A31" s="58" t="str">
        <f>'2024 DO NOT TOUCH'!A31</f>
        <v>0445</v>
      </c>
      <c r="B31" s="59" t="str">
        <f>'2024 DO NOT TOUCH'!B31</f>
        <v>141</v>
      </c>
      <c r="C31" s="58" t="str">
        <f>'2024 DO NOT TOUCH'!C31</f>
        <v>H05044</v>
      </c>
      <c r="D31" s="59" t="str">
        <f>'2024 DO NOT TOUCH'!D31</f>
        <v>FEBCO</v>
      </c>
      <c r="E31" s="58" t="str">
        <f>'2024 DO NOT TOUCH'!E31</f>
        <v>850</v>
      </c>
      <c r="F31" s="59" t="str">
        <f>'2024 DO NOT TOUCH'!F31</f>
        <v>DC</v>
      </c>
      <c r="G31" s="58" t="str">
        <f>'2024 DO NOT TOUCH'!G31</f>
        <v>1.5</v>
      </c>
      <c r="H31" s="59" t="str">
        <f>'2024 DO NOT TOUCH'!H31</f>
        <v>MENCH ROOM</v>
      </c>
      <c r="I31" s="58" t="str">
        <f>'2024 DO NOT TOUCH'!I31</f>
        <v>PREMISE</v>
      </c>
      <c r="J31" s="59" t="str">
        <f>'2024 DO NOT TOUCH'!J31</f>
        <v>IRR</v>
      </c>
      <c r="K31" s="58" t="str">
        <f>'2024 DO NOT TOUCH'!K31</f>
        <v>ACTIVE</v>
      </c>
      <c r="L31" s="71">
        <f>'2024 DO NOT TOUCH'!L31</f>
        <v>44643</v>
      </c>
      <c r="M31" s="58" t="b">
        <f>'2024 DO NOT TOUCH'!M31</f>
        <v>0</v>
      </c>
      <c r="N31" s="59">
        <f>'2024 DO NOT TOUCH'!N31</f>
        <v>0</v>
      </c>
      <c r="O31" s="58">
        <f>'2024 DO NOT TOUCH'!O31</f>
        <v>0</v>
      </c>
      <c r="P31" s="65">
        <f>'2024 DO NOT TOUCH'!P31</f>
        <v>0</v>
      </c>
      <c r="Q31" s="65">
        <f>'2024 DO NOT TOUCH'!Q31</f>
        <v>0</v>
      </c>
      <c r="R31" s="65">
        <f>'2024 DO NOT TOUCH'!R31</f>
        <v>0</v>
      </c>
      <c r="S31" s="62" t="str">
        <f>'2024 DO NOT TOUCH'!S31</f>
        <v>TESTED</v>
      </c>
      <c r="T31" s="62" t="str">
        <f>'2024 DO NOT TOUCH'!T31</f>
        <v>PASSED</v>
      </c>
      <c r="U31" s="62" t="str">
        <f>'2024 DO NOT TOUCH'!U31</f>
        <v>PASSED</v>
      </c>
      <c r="V31" s="62" t="str">
        <f>'2024 DO NOT TOUCH'!V31</f>
        <v>EXISTING</v>
      </c>
      <c r="W31" s="62" t="str">
        <f>'2024 DO NOT TOUCH'!W31</f>
        <v>EXISTING</v>
      </c>
      <c r="X31" s="65">
        <f>'2024 DO NOT TOUCH'!X31</f>
        <v>0</v>
      </c>
      <c r="Y31" s="62">
        <f>'2024 DO NOT TOUCH'!Y31</f>
        <v>0</v>
      </c>
    </row>
    <row r="32" spans="1:25" ht="19.5" customHeight="1">
      <c r="A32" s="55" t="str">
        <f>'2024 DO NOT TOUCH'!A32</f>
        <v>446</v>
      </c>
      <c r="B32" s="3" t="str">
        <f>'2024 DO NOT TOUCH'!B32</f>
        <v>141</v>
      </c>
      <c r="C32" s="55" t="str">
        <f>'2024 DO NOT TOUCH'!C32</f>
        <v>28862</v>
      </c>
      <c r="D32" s="3" t="str">
        <f>'2024 DO NOT TOUCH'!D32</f>
        <v>WILKINS</v>
      </c>
      <c r="E32" s="55" t="str">
        <f>'2024 DO NOT TOUCH'!E32</f>
        <v>350A</v>
      </c>
      <c r="F32" s="3" t="str">
        <f>'2024 DO NOT TOUCH'!F32</f>
        <v>DC</v>
      </c>
      <c r="G32" s="55" t="str">
        <f>'2024 DO NOT TOUCH'!G32</f>
        <v>6</v>
      </c>
      <c r="H32" s="3" t="str">
        <f>'2024 DO NOT TOUCH'!H32</f>
        <v xml:space="preserve">MECH ROOM FIRE </v>
      </c>
      <c r="I32" s="55" t="str">
        <f>'2024 DO NOT TOUCH'!I32</f>
        <v>PREMISE</v>
      </c>
      <c r="J32" s="3" t="str">
        <f>'2024 DO NOT TOUCH'!J32</f>
        <v>FIRE</v>
      </c>
      <c r="K32" s="55" t="str">
        <f>'2024 DO NOT TOUCH'!K32</f>
        <v>ACTIVE</v>
      </c>
      <c r="L32" s="72">
        <f>'2024 DO NOT TOUCH'!L32</f>
        <v>44573</v>
      </c>
      <c r="M32" s="55" t="b">
        <f>'2024 DO NOT TOUCH'!M32</f>
        <v>0</v>
      </c>
      <c r="N32" s="3" t="str">
        <f>'2024 DO NOT TOUCH'!O32</f>
        <v>Ted</v>
      </c>
      <c r="O32" s="55" t="e">
        <f>'2024 DO NOT TOUCH'!#REF!</f>
        <v>#REF!</v>
      </c>
      <c r="P32" s="64">
        <f>'2024 DO NOT TOUCH'!P32</f>
        <v>4</v>
      </c>
      <c r="Q32" s="64">
        <f>'2024 DO NOT TOUCH'!Q32</f>
        <v>3.6</v>
      </c>
      <c r="R32" s="64">
        <f>'2024 DO NOT TOUCH'!R32</f>
        <v>0</v>
      </c>
      <c r="S32" s="57" t="str">
        <f>'2024 DO NOT TOUCH'!S32</f>
        <v>TESTED</v>
      </c>
      <c r="T32" s="57" t="str">
        <f>'2024 DO NOT TOUCH'!T32</f>
        <v>PASSED</v>
      </c>
      <c r="U32" s="57" t="str">
        <f>'2024 DO NOT TOUCH'!U32</f>
        <v>y</v>
      </c>
      <c r="V32" s="57">
        <f>'2024 DO NOT TOUCH'!V32</f>
        <v>0</v>
      </c>
      <c r="W32" s="57">
        <f>'2024 DO NOT TOUCH'!W32</f>
        <v>0</v>
      </c>
      <c r="X32" s="64">
        <f>'2024 DO NOT TOUCH'!X32</f>
        <v>0</v>
      </c>
      <c r="Y32" s="57">
        <f>'2024 DO NOT TOUCH'!Y32</f>
        <v>0</v>
      </c>
    </row>
    <row r="33" spans="1:25" ht="19.5" customHeight="1">
      <c r="A33" s="58" t="str">
        <f>'2024 DO NOT TOUCH'!A33</f>
        <v>446</v>
      </c>
      <c r="B33" s="59" t="str">
        <f>'2024 DO NOT TOUCH'!B33</f>
        <v>141</v>
      </c>
      <c r="C33" s="58" t="str">
        <f>'2024 DO NOT TOUCH'!C33</f>
        <v>3335495</v>
      </c>
      <c r="D33" s="59" t="str">
        <f>'2024 DO NOT TOUCH'!D33</f>
        <v>WILKINS</v>
      </c>
      <c r="E33" s="58" t="str">
        <f>'2024 DO NOT TOUCH'!E33</f>
        <v>975XL</v>
      </c>
      <c r="F33" s="59" t="str">
        <f>'2024 DO NOT TOUCH'!F33</f>
        <v>RP</v>
      </c>
      <c r="G33" s="58" t="str">
        <f>'2024 DO NOT TOUCH'!G33</f>
        <v>.75</v>
      </c>
      <c r="H33" s="59" t="str">
        <f>'2024 DO NOT TOUCH'!H33</f>
        <v xml:space="preserve">MECH ROOM </v>
      </c>
      <c r="I33" s="58" t="str">
        <f>'2024 DO NOT TOUCH'!I33</f>
        <v>PREMISE</v>
      </c>
      <c r="J33" s="59" t="str">
        <f>'2024 DO NOT TOUCH'!J33</f>
        <v>AOI</v>
      </c>
      <c r="K33" s="58" t="str">
        <f>'2024 DO NOT TOUCH'!K33</f>
        <v>ACTIVE</v>
      </c>
      <c r="L33" s="71">
        <f>'2024 DO NOT TOUCH'!L33</f>
        <v>44573</v>
      </c>
      <c r="M33" s="58" t="b">
        <f>'2024 DO NOT TOUCH'!M33</f>
        <v>0</v>
      </c>
      <c r="N33" s="59">
        <f>'2024 DO NOT TOUCH'!N33</f>
        <v>45320</v>
      </c>
      <c r="O33" s="58" t="str">
        <f>'2024 DO NOT TOUCH'!O33</f>
        <v>Ted</v>
      </c>
      <c r="P33" s="65">
        <f>'2024 DO NOT TOUCH'!P33</f>
        <v>8.1999999999999993</v>
      </c>
      <c r="Q33" s="65">
        <f>'2024 DO NOT TOUCH'!Q33</f>
        <v>0</v>
      </c>
      <c r="R33" s="65">
        <f>'2024 DO NOT TOUCH'!R33</f>
        <v>2.6</v>
      </c>
      <c r="S33" s="62" t="str">
        <f>'2024 DO NOT TOUCH'!S33</f>
        <v>TESTED</v>
      </c>
      <c r="T33" s="62" t="str">
        <f>'2024 DO NOT TOUCH'!T33</f>
        <v>PASSED</v>
      </c>
      <c r="U33" s="62" t="str">
        <f>'2024 DO NOT TOUCH'!U33</f>
        <v>Y</v>
      </c>
      <c r="V33" s="62">
        <f>'2024 DO NOT TOUCH'!V33</f>
        <v>0</v>
      </c>
      <c r="W33" s="62">
        <f>'2024 DO NOT TOUCH'!W33</f>
        <v>0</v>
      </c>
      <c r="X33" s="65">
        <f>'2024 DO NOT TOUCH'!X33</f>
        <v>0</v>
      </c>
      <c r="Y33" s="62">
        <f>'2024 DO NOT TOUCH'!Y33</f>
        <v>0</v>
      </c>
    </row>
    <row r="34" spans="1:25" ht="19.5" customHeight="1">
      <c r="A34" s="55" t="str">
        <f>'2024 DO NOT TOUCH'!A34</f>
        <v>447</v>
      </c>
      <c r="B34" s="3" t="str">
        <f>'2024 DO NOT TOUCH'!B34</f>
        <v>141</v>
      </c>
      <c r="C34" s="55" t="str">
        <f>'2024 DO NOT TOUCH'!C34</f>
        <v>H08097</v>
      </c>
      <c r="D34" s="3" t="str">
        <f>'2024 DO NOT TOUCH'!D34</f>
        <v>FEBCO</v>
      </c>
      <c r="E34" s="55" t="str">
        <f>'2024 DO NOT TOUCH'!E34</f>
        <v>850</v>
      </c>
      <c r="F34" s="3" t="str">
        <f>'2024 DO NOT TOUCH'!F34</f>
        <v>DC</v>
      </c>
      <c r="G34" s="55" t="str">
        <f>'2024 DO NOT TOUCH'!G34</f>
        <v>2</v>
      </c>
      <c r="H34" s="3" t="str">
        <f>'2024 DO NOT TOUCH'!H34</f>
        <v>MECH ROOM</v>
      </c>
      <c r="I34" s="55" t="str">
        <f>'2024 DO NOT TOUCH'!I34</f>
        <v>PREMISE</v>
      </c>
      <c r="J34" s="3" t="str">
        <f>'2024 DO NOT TOUCH'!J34</f>
        <v>IRR</v>
      </c>
      <c r="K34" s="55" t="str">
        <f>'2024 DO NOT TOUCH'!K34</f>
        <v>ACTIVE</v>
      </c>
      <c r="L34" s="72">
        <f>'2024 DO NOT TOUCH'!L34</f>
        <v>44643</v>
      </c>
      <c r="M34" s="55" t="b">
        <f>'2024 DO NOT TOUCH'!M34</f>
        <v>0</v>
      </c>
      <c r="N34" s="3">
        <f>'2024 DO NOT TOUCH'!N34</f>
        <v>45517</v>
      </c>
      <c r="O34" s="55" t="str">
        <f>'2024 DO NOT TOUCH'!O34</f>
        <v>Bruce</v>
      </c>
      <c r="P34" s="66">
        <f>'2024 DO NOT TOUCH'!P34</f>
        <v>1.2</v>
      </c>
      <c r="Q34" s="66">
        <f>'2024 DO NOT TOUCH'!Q34</f>
        <v>2</v>
      </c>
      <c r="R34" s="66">
        <f>'2024 DO NOT TOUCH'!R34</f>
        <v>0</v>
      </c>
      <c r="S34" s="55" t="str">
        <f>'2024 DO NOT TOUCH'!S34</f>
        <v>TESTED</v>
      </c>
      <c r="T34" s="55" t="str">
        <f>'2024 DO NOT TOUCH'!T34</f>
        <v>PASSED</v>
      </c>
      <c r="U34" s="55">
        <f>'2024 DO NOT TOUCH'!U34</f>
        <v>0</v>
      </c>
      <c r="V34" s="55">
        <f>'2024 DO NOT TOUCH'!V34</f>
        <v>0</v>
      </c>
      <c r="W34" s="55">
        <f>'2024 DO NOT TOUCH'!W34</f>
        <v>0</v>
      </c>
      <c r="X34" s="66">
        <f>'2024 DO NOT TOUCH'!X34</f>
        <v>0</v>
      </c>
      <c r="Y34" s="55">
        <f>'2024 DO NOT TOUCH'!Y34</f>
        <v>0</v>
      </c>
    </row>
    <row r="35" spans="1:25" ht="19.5" customHeight="1">
      <c r="A35" s="58" t="str">
        <f>'2024 DO NOT TOUCH'!A35</f>
        <v>447</v>
      </c>
      <c r="B35" s="59" t="str">
        <f>'2024 DO NOT TOUCH'!B35</f>
        <v>141</v>
      </c>
      <c r="C35" s="58" t="str">
        <f>'2024 DO NOT TOUCH'!C35</f>
        <v>H17256</v>
      </c>
      <c r="D35" s="59" t="str">
        <f>'2024 DO NOT TOUCH'!D35</f>
        <v>FEBCO</v>
      </c>
      <c r="E35" s="58" t="str">
        <f>'2024 DO NOT TOUCH'!E35</f>
        <v>850</v>
      </c>
      <c r="F35" s="59" t="str">
        <f>'2024 DO NOT TOUCH'!F35</f>
        <v>DC</v>
      </c>
      <c r="G35" s="58" t="str">
        <f>'2024 DO NOT TOUCH'!G35</f>
        <v>2</v>
      </c>
      <c r="H35" s="59" t="str">
        <f>'2024 DO NOT TOUCH'!H35</f>
        <v>MECH ROOM</v>
      </c>
      <c r="I35" s="58" t="str">
        <f>'2024 DO NOT TOUCH'!I35</f>
        <v>PREMISE</v>
      </c>
      <c r="J35" s="59" t="str">
        <f>'2024 DO NOT TOUCH'!J35</f>
        <v>AOI</v>
      </c>
      <c r="K35" s="58" t="str">
        <f>'2024 DO NOT TOUCH'!K35</f>
        <v>ACTIVE</v>
      </c>
      <c r="L35" s="71">
        <f>'2024 DO NOT TOUCH'!L35</f>
        <v>44844</v>
      </c>
      <c r="M35" s="58" t="b">
        <f>'2024 DO NOT TOUCH'!M35</f>
        <v>0</v>
      </c>
      <c r="N35" s="59">
        <f>'2024 DO NOT TOUCH'!N35</f>
        <v>45523</v>
      </c>
      <c r="O35" s="58" t="str">
        <f>'2024 DO NOT TOUCH'!O35</f>
        <v>Bruce</v>
      </c>
      <c r="P35" s="67">
        <f>'2024 DO NOT TOUCH'!P35</f>
        <v>2.4</v>
      </c>
      <c r="Q35" s="67">
        <f>'2024 DO NOT TOUCH'!Q35</f>
        <v>3</v>
      </c>
      <c r="R35" s="67">
        <f>'2024 DO NOT TOUCH'!R35</f>
        <v>0</v>
      </c>
      <c r="S35" s="58" t="str">
        <f>'2024 DO NOT TOUCH'!S35</f>
        <v>TESTED</v>
      </c>
      <c r="T35" s="58" t="str">
        <f>'2024 DO NOT TOUCH'!T35</f>
        <v>PASSED</v>
      </c>
      <c r="U35" s="58">
        <f>'2024 DO NOT TOUCH'!U35</f>
        <v>0</v>
      </c>
      <c r="V35" s="58">
        <f>'2024 DO NOT TOUCH'!V35</f>
        <v>0</v>
      </c>
      <c r="W35" s="58">
        <f>'2024 DO NOT TOUCH'!W35</f>
        <v>0</v>
      </c>
      <c r="X35" s="67">
        <f>'2024 DO NOT TOUCH'!X35</f>
        <v>0</v>
      </c>
      <c r="Y35" s="58">
        <f>'2024 DO NOT TOUCH'!Y35</f>
        <v>0</v>
      </c>
    </row>
    <row r="36" spans="1:25" ht="19.5" customHeight="1">
      <c r="A36" s="77" t="str">
        <f>'2024 DO NOT TOUCH'!A36</f>
        <v>456</v>
      </c>
      <c r="B36" s="78" t="str">
        <f>'2024 DO NOT TOUCH'!B36</f>
        <v>141</v>
      </c>
      <c r="C36" s="77" t="str">
        <f>'2024 DO NOT TOUCH'!C36</f>
        <v>H00431</v>
      </c>
      <c r="D36" s="78" t="str">
        <f>'2024 DO NOT TOUCH'!D36</f>
        <v>FEBCO</v>
      </c>
      <c r="E36" s="77" t="str">
        <f>'2024 DO NOT TOUCH'!E36</f>
        <v>850</v>
      </c>
      <c r="F36" s="78" t="str">
        <f>'2024 DO NOT TOUCH'!F36</f>
        <v>DC</v>
      </c>
      <c r="G36" s="77" t="str">
        <f>'2024 DO NOT TOUCH'!G36</f>
        <v>0.5</v>
      </c>
      <c r="H36" s="78" t="str">
        <f>'2024 DO NOT TOUCH'!H36</f>
        <v xml:space="preserve">Break Room Under Sink </v>
      </c>
      <c r="I36" s="77" t="str">
        <f>'2024 DO NOT TOUCH'!I36</f>
        <v>INPREMISE</v>
      </c>
      <c r="J36" s="78" t="str">
        <f>'2024 DO NOT TOUCH'!J36</f>
        <v>AOI</v>
      </c>
      <c r="K36" s="77" t="str">
        <f>'2024 DO NOT TOUCH'!K36</f>
        <v>INACTIVE</v>
      </c>
      <c r="L36" s="79">
        <f>'2024 DO NOT TOUCH'!L36</f>
        <v>44572</v>
      </c>
      <c r="M36" s="77" t="b">
        <f>'2024 DO NOT TOUCH'!M36</f>
        <v>0</v>
      </c>
      <c r="N36" s="78">
        <f>'2024 DO NOT TOUCH'!N36</f>
        <v>0</v>
      </c>
      <c r="O36" s="77">
        <f>'2024 DO NOT TOUCH'!O36</f>
        <v>0</v>
      </c>
      <c r="P36" s="80">
        <f>'2024 DO NOT TOUCH'!P36</f>
        <v>0</v>
      </c>
      <c r="Q36" s="80">
        <f>'2024 DO NOT TOUCH'!Q36</f>
        <v>0</v>
      </c>
      <c r="R36" s="80">
        <f>'2024 DO NOT TOUCH'!R36</f>
        <v>0</v>
      </c>
      <c r="S36" s="81" t="str">
        <f>'2024 DO NOT TOUCH'!S36</f>
        <v>TESTED</v>
      </c>
      <c r="T36" s="81" t="str">
        <f>'2024 DO NOT TOUCH'!T36</f>
        <v>PASSED</v>
      </c>
      <c r="U36" s="81" t="str">
        <f>'2024 DO NOT TOUCH'!U36</f>
        <v>PASSED</v>
      </c>
      <c r="V36" s="81" t="str">
        <f>'2024 DO NOT TOUCH'!V36</f>
        <v>EXISTING</v>
      </c>
      <c r="W36" s="81" t="str">
        <f>'2024 DO NOT TOUCH'!W36</f>
        <v>EXISTING</v>
      </c>
      <c r="X36" s="80">
        <f>'2024 DO NOT TOUCH'!X36</f>
        <v>0</v>
      </c>
      <c r="Y36" s="81">
        <f>'2024 DO NOT TOUCH'!Y36</f>
        <v>0</v>
      </c>
    </row>
    <row r="37" spans="1:25" ht="19.5" customHeight="1">
      <c r="A37" s="58" t="str">
        <f>'2024 DO NOT TOUCH'!A37</f>
        <v>456</v>
      </c>
      <c r="B37" s="59" t="str">
        <f>'2024 DO NOT TOUCH'!B37</f>
        <v>141</v>
      </c>
      <c r="C37" s="58" t="str">
        <f>'2024 DO NOT TOUCH'!C37</f>
        <v>01515</v>
      </c>
      <c r="D37" s="59" t="str">
        <f>'2024 DO NOT TOUCH'!D37</f>
        <v>FEBCO</v>
      </c>
      <c r="E37" s="58" t="str">
        <f>'2024 DO NOT TOUCH'!E37</f>
        <v>850</v>
      </c>
      <c r="F37" s="59" t="str">
        <f>'2024 DO NOT TOUCH'!F37</f>
        <v>DC</v>
      </c>
      <c r="G37" s="58" t="str">
        <f>'2024 DO NOT TOUCH'!G37</f>
        <v>2</v>
      </c>
      <c r="H37" s="59" t="str">
        <f>'2024 DO NOT TOUCH'!H37</f>
        <v>MECH ROOM</v>
      </c>
      <c r="I37" s="58" t="str">
        <f>'2024 DO NOT TOUCH'!I37</f>
        <v>PREMISE</v>
      </c>
      <c r="J37" s="59" t="str">
        <f>'2024 DO NOT TOUCH'!J37</f>
        <v>IRR</v>
      </c>
      <c r="K37" s="58" t="str">
        <f>'2024 DO NOT TOUCH'!K37</f>
        <v>ACTIVE</v>
      </c>
      <c r="L37" s="71">
        <f>'2024 DO NOT TOUCH'!L37</f>
        <v>44676</v>
      </c>
      <c r="M37" s="58" t="b">
        <f>'2024 DO NOT TOUCH'!M37</f>
        <v>0</v>
      </c>
      <c r="N37" s="59">
        <f>'2024 DO NOT TOUCH'!N37</f>
        <v>45320</v>
      </c>
      <c r="O37" s="58" t="str">
        <f>'2024 DO NOT TOUCH'!O37</f>
        <v>Ted</v>
      </c>
      <c r="P37" s="65">
        <f>'2024 DO NOT TOUCH'!P37</f>
        <v>3.4</v>
      </c>
      <c r="Q37" s="65">
        <f>'2024 DO NOT TOUCH'!Q37</f>
        <v>3</v>
      </c>
      <c r="R37" s="65">
        <f>'2024 DO NOT TOUCH'!R37</f>
        <v>0</v>
      </c>
      <c r="S37" s="62" t="str">
        <f>'2024 DO NOT TOUCH'!S37</f>
        <v>TESTED</v>
      </c>
      <c r="T37" s="62" t="str">
        <f>'2024 DO NOT TOUCH'!T37</f>
        <v>PASSED</v>
      </c>
      <c r="U37" s="62">
        <f>'2024 DO NOT TOUCH'!U37</f>
        <v>0</v>
      </c>
      <c r="V37" s="62">
        <f>'2024 DO NOT TOUCH'!V37</f>
        <v>0</v>
      </c>
      <c r="W37" s="62">
        <f>'2024 DO NOT TOUCH'!W37</f>
        <v>0</v>
      </c>
      <c r="X37" s="65">
        <f>'2024 DO NOT TOUCH'!X37</f>
        <v>0</v>
      </c>
      <c r="Y37" s="62">
        <f>'2024 DO NOT TOUCH'!Y37</f>
        <v>0</v>
      </c>
    </row>
    <row r="38" spans="1:25" ht="19.5" customHeight="1">
      <c r="A38" s="77" t="str">
        <f>'2024 DO NOT TOUCH'!A38</f>
        <v>456</v>
      </c>
      <c r="B38" s="78" t="str">
        <f>'2024 DO NOT TOUCH'!B38</f>
        <v>141</v>
      </c>
      <c r="C38" s="77" t="str">
        <f>'2024 DO NOT TOUCH'!C38</f>
        <v>01621</v>
      </c>
      <c r="D38" s="78" t="str">
        <f>'2024 DO NOT TOUCH'!D38</f>
        <v>FEBCO</v>
      </c>
      <c r="E38" s="77" t="str">
        <f>'2024 DO NOT TOUCH'!E38</f>
        <v>850</v>
      </c>
      <c r="F38" s="78" t="str">
        <f>'2024 DO NOT TOUCH'!F38</f>
        <v>DC</v>
      </c>
      <c r="G38" s="77" t="str">
        <f>'2024 DO NOT TOUCH'!G38</f>
        <v>2</v>
      </c>
      <c r="H38" s="78" t="str">
        <f>'2024 DO NOT TOUCH'!H38</f>
        <v>WOOD SHOP</v>
      </c>
      <c r="I38" s="77" t="str">
        <f>'2024 DO NOT TOUCH'!I38</f>
        <v>PREMISE</v>
      </c>
      <c r="J38" s="78" t="str">
        <f>'2024 DO NOT TOUCH'!J38</f>
        <v>AOI</v>
      </c>
      <c r="K38" s="77" t="str">
        <f>'2024 DO NOT TOUCH'!K38</f>
        <v>ACTIVE</v>
      </c>
      <c r="L38" s="79">
        <f>'2024 DO NOT TOUCH'!L38</f>
        <v>44572</v>
      </c>
      <c r="M38" s="77" t="b">
        <f>'2024 DO NOT TOUCH'!M38</f>
        <v>0</v>
      </c>
      <c r="N38" s="78">
        <f>'2024 DO NOT TOUCH'!N38</f>
        <v>45320</v>
      </c>
      <c r="O38" s="77" t="str">
        <f>'2024 DO NOT TOUCH'!O38</f>
        <v>Ted</v>
      </c>
      <c r="P38" s="80">
        <f>'2024 DO NOT TOUCH'!P38</f>
        <v>2.8</v>
      </c>
      <c r="Q38" s="80">
        <f>'2024 DO NOT TOUCH'!Q38</f>
        <v>2.8</v>
      </c>
      <c r="R38" s="80">
        <f>'2024 DO NOT TOUCH'!R38</f>
        <v>0</v>
      </c>
      <c r="S38" s="81" t="str">
        <f>'2024 DO NOT TOUCH'!S38</f>
        <v>TESTED</v>
      </c>
      <c r="T38" s="81" t="str">
        <f>'2024 DO NOT TOUCH'!T38</f>
        <v>PASSED</v>
      </c>
      <c r="U38" s="81">
        <f>'2024 DO NOT TOUCH'!U38</f>
        <v>0</v>
      </c>
      <c r="V38" s="81">
        <f>'2024 DO NOT TOUCH'!V38</f>
        <v>0</v>
      </c>
      <c r="W38" s="81">
        <f>'2024 DO NOT TOUCH'!W38</f>
        <v>0</v>
      </c>
      <c r="X38" s="80">
        <f>'2024 DO NOT TOUCH'!X38</f>
        <v>0</v>
      </c>
      <c r="Y38" s="81">
        <f>'2024 DO NOT TOUCH'!Y38</f>
        <v>0</v>
      </c>
    </row>
    <row r="39" spans="1:25" ht="19.5" customHeight="1">
      <c r="A39" s="58" t="str">
        <f>'2024 DO NOT TOUCH'!A39</f>
        <v>456</v>
      </c>
      <c r="B39" s="59" t="str">
        <f>'2024 DO NOT TOUCH'!B39</f>
        <v>141</v>
      </c>
      <c r="C39" s="58" t="str">
        <f>'2024 DO NOT TOUCH'!C39</f>
        <v>358582</v>
      </c>
      <c r="D39" s="59" t="str">
        <f>'2024 DO NOT TOUCH'!D39</f>
        <v>WILKINS</v>
      </c>
      <c r="E39" s="58" t="str">
        <f>'2024 DO NOT TOUCH'!E39</f>
        <v>975XL</v>
      </c>
      <c r="F39" s="59" t="str">
        <f>'2024 DO NOT TOUCH'!F39</f>
        <v>RP</v>
      </c>
      <c r="G39" s="58" t="str">
        <f>'2024 DO NOT TOUCH'!G39</f>
        <v>.5</v>
      </c>
      <c r="H39" s="59" t="str">
        <f>'2024 DO NOT TOUCH'!H39</f>
        <v xml:space="preserve">ICE MACHINE </v>
      </c>
      <c r="I39" s="58" t="str">
        <f>'2024 DO NOT TOUCH'!I39</f>
        <v>PREMISE</v>
      </c>
      <c r="J39" s="59" t="str">
        <f>'2024 DO NOT TOUCH'!J39</f>
        <v>AOI</v>
      </c>
      <c r="K39" s="58" t="str">
        <f>'2024 DO NOT TOUCH'!K39</f>
        <v>ACTIVE</v>
      </c>
      <c r="L39" s="71">
        <f>'2024 DO NOT TOUCH'!L39</f>
        <v>44572</v>
      </c>
      <c r="M39" s="58" t="b">
        <f>'2024 DO NOT TOUCH'!M39</f>
        <v>0</v>
      </c>
      <c r="N39" s="59">
        <f>'2024 DO NOT TOUCH'!N39</f>
        <v>0</v>
      </c>
      <c r="O39" s="58">
        <f>'2024 DO NOT TOUCH'!O39</f>
        <v>0</v>
      </c>
      <c r="P39" s="67">
        <f>'2024 DO NOT TOUCH'!P39</f>
        <v>0</v>
      </c>
      <c r="Q39" s="67">
        <f>'2024 DO NOT TOUCH'!Q39</f>
        <v>0</v>
      </c>
      <c r="R39" s="67">
        <f>'2024 DO NOT TOUCH'!R39</f>
        <v>0</v>
      </c>
      <c r="S39" s="58" t="str">
        <f>'2024 DO NOT TOUCH'!S39</f>
        <v>TESTED</v>
      </c>
      <c r="T39" s="58" t="str">
        <f>'2024 DO NOT TOUCH'!T39</f>
        <v>PASSED</v>
      </c>
      <c r="U39" s="58" t="str">
        <f>'2024 DO NOT TOUCH'!U39</f>
        <v>PASSED</v>
      </c>
      <c r="V39" s="58" t="str">
        <f>'2024 DO NOT TOUCH'!V39</f>
        <v>EXISTING</v>
      </c>
      <c r="W39" s="58" t="str">
        <f>'2024 DO NOT TOUCH'!W39</f>
        <v>EXISTING</v>
      </c>
      <c r="X39" s="67">
        <f>'2024 DO NOT TOUCH'!X39</f>
        <v>0</v>
      </c>
      <c r="Y39" s="58">
        <f>'2024 DO NOT TOUCH'!Y39</f>
        <v>0</v>
      </c>
    </row>
    <row r="40" spans="1:25" ht="19.5" customHeight="1">
      <c r="A40" s="77" t="str">
        <f>'2024 DO NOT TOUCH'!A40</f>
        <v>456</v>
      </c>
      <c r="B40" s="78" t="str">
        <f>'2024 DO NOT TOUCH'!B40</f>
        <v>141</v>
      </c>
      <c r="C40" s="77" t="str">
        <f>'2024 DO NOT TOUCH'!C40</f>
        <v>08705</v>
      </c>
      <c r="D40" s="78" t="str">
        <f>'2024 DO NOT TOUCH'!D40</f>
        <v>AMES</v>
      </c>
      <c r="E40" s="77" t="str">
        <f>'2024 DO NOT TOUCH'!E40</f>
        <v>2000BM3</v>
      </c>
      <c r="F40" s="78" t="str">
        <f>'2024 DO NOT TOUCH'!F40</f>
        <v>DC</v>
      </c>
      <c r="G40" s="77" t="str">
        <f>'2024 DO NOT TOUCH'!G40</f>
        <v>.75</v>
      </c>
      <c r="H40" s="78" t="str">
        <f>'2024 DO NOT TOUCH'!H40</f>
        <v>SHOP WELDER</v>
      </c>
      <c r="I40" s="77" t="str">
        <f>'2024 DO NOT TOUCH'!I40</f>
        <v>PREMISE</v>
      </c>
      <c r="J40" s="78" t="str">
        <f>'2024 DO NOT TOUCH'!J40</f>
        <v>AOI</v>
      </c>
      <c r="K40" s="77" t="str">
        <f>'2024 DO NOT TOUCH'!K40</f>
        <v>ACTIVE</v>
      </c>
      <c r="L40" s="79">
        <f>'2024 DO NOT TOUCH'!L40</f>
        <v>44572</v>
      </c>
      <c r="M40" s="77" t="b">
        <f>'2024 DO NOT TOUCH'!M40</f>
        <v>0</v>
      </c>
      <c r="N40" s="78">
        <f>'2024 DO NOT TOUCH'!N40</f>
        <v>45320</v>
      </c>
      <c r="O40" s="77" t="str">
        <f>'2024 DO NOT TOUCH'!O40</f>
        <v>Ted</v>
      </c>
      <c r="P40" s="83">
        <f>'2024 DO NOT TOUCH'!P40</f>
        <v>2.8</v>
      </c>
      <c r="Q40" s="83">
        <f>'2024 DO NOT TOUCH'!Q40</f>
        <v>2</v>
      </c>
      <c r="R40" s="83">
        <f>'2024 DO NOT TOUCH'!R40</f>
        <v>0</v>
      </c>
      <c r="S40" s="77" t="str">
        <f>'2024 DO NOT TOUCH'!S40</f>
        <v>TESTED</v>
      </c>
      <c r="T40" s="77" t="str">
        <f>'2024 DO NOT TOUCH'!T40</f>
        <v>PASSED</v>
      </c>
      <c r="U40" s="77">
        <f>'2024 DO NOT TOUCH'!U40</f>
        <v>0</v>
      </c>
      <c r="V40" s="77">
        <f>'2024 DO NOT TOUCH'!V40</f>
        <v>0</v>
      </c>
      <c r="W40" s="77">
        <f>'2024 DO NOT TOUCH'!W40</f>
        <v>0</v>
      </c>
      <c r="X40" s="83">
        <f>'2024 DO NOT TOUCH'!X40</f>
        <v>0</v>
      </c>
      <c r="Y40" s="77">
        <f>'2024 DO NOT TOUCH'!Y40</f>
        <v>0</v>
      </c>
    </row>
    <row r="41" spans="1:25" ht="19.5" customHeight="1">
      <c r="A41" s="58" t="str">
        <f>'2024 DO NOT TOUCH'!A41</f>
        <v>459</v>
      </c>
      <c r="B41" s="59" t="str">
        <f>'2024 DO NOT TOUCH'!B41</f>
        <v>141</v>
      </c>
      <c r="C41" s="58" t="str">
        <f>'2024 DO NOT TOUCH'!C41</f>
        <v>192003</v>
      </c>
      <c r="D41" s="59" t="str">
        <f>'2024 DO NOT TOUCH'!D41</f>
        <v>WATTS</v>
      </c>
      <c r="E41" s="58" t="str">
        <f>'2024 DO NOT TOUCH'!E41</f>
        <v>007M1QT</v>
      </c>
      <c r="F41" s="59" t="str">
        <f>'2024 DO NOT TOUCH'!F41</f>
        <v>DC</v>
      </c>
      <c r="G41" s="58" t="str">
        <f>'2024 DO NOT TOUCH'!G41</f>
        <v>2</v>
      </c>
      <c r="H41" s="59" t="str">
        <f>'2024 DO NOT TOUCH'!H41</f>
        <v>SOUTH SIDE OF ROCK BED 459</v>
      </c>
      <c r="I41" s="58" t="str">
        <f>'2024 DO NOT TOUCH'!I41</f>
        <v>PREMISE</v>
      </c>
      <c r="J41" s="59" t="str">
        <f>'2024 DO NOT TOUCH'!J41</f>
        <v>IRR</v>
      </c>
      <c r="K41" s="58" t="str">
        <f>'2024 DO NOT TOUCH'!K41</f>
        <v>ACTIVE</v>
      </c>
      <c r="L41" s="71">
        <f>'2024 DO NOT TOUCH'!L41</f>
        <v>44644</v>
      </c>
      <c r="M41" s="58" t="b">
        <f>'2024 DO NOT TOUCH'!M41</f>
        <v>1</v>
      </c>
      <c r="N41" s="59">
        <f>'2024 DO NOT TOUCH'!N41</f>
        <v>0</v>
      </c>
      <c r="O41" s="58">
        <f>'2024 DO NOT TOUCH'!O41</f>
        <v>0</v>
      </c>
      <c r="P41" s="65">
        <f>'2024 DO NOT TOUCH'!P41</f>
        <v>0</v>
      </c>
      <c r="Q41" s="65">
        <f>'2024 DO NOT TOUCH'!Q41</f>
        <v>0</v>
      </c>
      <c r="R41" s="65">
        <f>'2024 DO NOT TOUCH'!R41</f>
        <v>0</v>
      </c>
      <c r="S41" s="62" t="str">
        <f>'2024 DO NOT TOUCH'!S41</f>
        <v>TESTED</v>
      </c>
      <c r="T41" s="62" t="str">
        <f>'2024 DO NOT TOUCH'!T41</f>
        <v>PASSED</v>
      </c>
      <c r="U41" s="62">
        <f>'2024 DO NOT TOUCH'!U41</f>
        <v>0</v>
      </c>
      <c r="V41" s="62">
        <f>'2024 DO NOT TOUCH'!V41</f>
        <v>0</v>
      </c>
      <c r="W41" s="62">
        <f>'2024 DO NOT TOUCH'!W41</f>
        <v>0</v>
      </c>
      <c r="X41" s="65">
        <f>'2024 DO NOT TOUCH'!X41</f>
        <v>0</v>
      </c>
      <c r="Y41" s="62">
        <f>'2024 DO NOT TOUCH'!Y41</f>
        <v>0</v>
      </c>
    </row>
    <row r="42" spans="1:25" ht="19.5" customHeight="1">
      <c r="A42" s="55" t="str">
        <f>'2024 DO NOT TOUCH'!A42</f>
        <v>459</v>
      </c>
      <c r="B42" s="3" t="str">
        <f>'2024 DO NOT TOUCH'!B42</f>
        <v>141</v>
      </c>
      <c r="C42" s="55" t="str">
        <f>'2024 DO NOT TOUCH'!C42</f>
        <v>15973</v>
      </c>
      <c r="D42" s="3" t="str">
        <f>'2024 DO NOT TOUCH'!D42</f>
        <v>WATTS</v>
      </c>
      <c r="E42" s="55" t="str">
        <f>'2024 DO NOT TOUCH'!E42</f>
        <v>007M2</v>
      </c>
      <c r="F42" s="3" t="str">
        <f>'2024 DO NOT TOUCH'!F42</f>
        <v>DC</v>
      </c>
      <c r="G42" s="55" t="str">
        <f>'2024 DO NOT TOUCH'!G42</f>
        <v>.75</v>
      </c>
      <c r="H42" s="3" t="str">
        <f>'2024 DO NOT TOUCH'!H42</f>
        <v>MECH ROOM</v>
      </c>
      <c r="I42" s="55" t="str">
        <f>'2024 DO NOT TOUCH'!I42</f>
        <v>INPREMISE</v>
      </c>
      <c r="J42" s="3" t="str">
        <f>'2024 DO NOT TOUCH'!J42</f>
        <v>AOI</v>
      </c>
      <c r="K42" s="55" t="str">
        <f>'2024 DO NOT TOUCH'!K42</f>
        <v>ACTIVE</v>
      </c>
      <c r="L42" s="72">
        <f>'2024 DO NOT TOUCH'!L42</f>
        <v>44651</v>
      </c>
      <c r="M42" s="55" t="b">
        <f>'2024 DO NOT TOUCH'!M42</f>
        <v>0</v>
      </c>
      <c r="N42" s="3">
        <f>'2024 DO NOT TOUCH'!N42</f>
        <v>45525</v>
      </c>
      <c r="O42" s="55" t="str">
        <f>'2024 DO NOT TOUCH'!O42</f>
        <v>Bruce</v>
      </c>
      <c r="P42" s="64">
        <f>'2024 DO NOT TOUCH'!P42</f>
        <v>2.4</v>
      </c>
      <c r="Q42" s="64">
        <f>'2024 DO NOT TOUCH'!Q42</f>
        <v>2.4</v>
      </c>
      <c r="R42" s="64">
        <f>'2024 DO NOT TOUCH'!R42</f>
        <v>0</v>
      </c>
      <c r="S42" s="57" t="str">
        <f>'2024 DO NOT TOUCH'!S42</f>
        <v>TESTED</v>
      </c>
      <c r="T42" s="57" t="str">
        <f>'2024 DO NOT TOUCH'!T42</f>
        <v>PASSED</v>
      </c>
      <c r="U42" s="57">
        <f>'2024 DO NOT TOUCH'!U42</f>
        <v>0</v>
      </c>
      <c r="V42" s="57">
        <f>'2024 DO NOT TOUCH'!V42</f>
        <v>0</v>
      </c>
      <c r="W42" s="57">
        <f>'2024 DO NOT TOUCH'!W42</f>
        <v>0</v>
      </c>
      <c r="X42" s="64">
        <f>'2024 DO NOT TOUCH'!X42</f>
        <v>0</v>
      </c>
      <c r="Y42" s="57">
        <f>'2024 DO NOT TOUCH'!Y42</f>
        <v>0</v>
      </c>
    </row>
    <row r="43" spans="1:25" ht="19.5" customHeight="1">
      <c r="A43" s="58" t="str">
        <f>'2024 DO NOT TOUCH'!A43</f>
        <v>459</v>
      </c>
      <c r="B43" s="59" t="str">
        <f>'2024 DO NOT TOUCH'!B43</f>
        <v>141</v>
      </c>
      <c r="C43" s="58" t="str">
        <f>'2024 DO NOT TOUCH'!C43</f>
        <v>113842</v>
      </c>
      <c r="D43" s="59" t="str">
        <f>'2024 DO NOT TOUCH'!D43</f>
        <v>AMES</v>
      </c>
      <c r="E43" s="58" t="str">
        <f>'2024 DO NOT TOUCH'!E43</f>
        <v>3000ss</v>
      </c>
      <c r="F43" s="59" t="str">
        <f>'2024 DO NOT TOUCH'!F43</f>
        <v>DC</v>
      </c>
      <c r="G43" s="58" t="str">
        <f>'2024 DO NOT TOUCH'!G43</f>
        <v>4.0</v>
      </c>
      <c r="H43" s="59" t="str">
        <f>'2024 DO NOT TOUCH'!H43</f>
        <v xml:space="preserve">Mech room </v>
      </c>
      <c r="I43" s="58" t="str">
        <f>'2024 DO NOT TOUCH'!I43</f>
        <v>PREMISE</v>
      </c>
      <c r="J43" s="59" t="str">
        <f>'2024 DO NOT TOUCH'!J43</f>
        <v>FIRE</v>
      </c>
      <c r="K43" s="58" t="str">
        <f>'2024 DO NOT TOUCH'!K43</f>
        <v>ACTIVE</v>
      </c>
      <c r="L43" s="71">
        <f>'2024 DO NOT TOUCH'!L43</f>
        <v>44676</v>
      </c>
      <c r="M43" s="58" t="b">
        <f>'2024 DO NOT TOUCH'!M43</f>
        <v>0</v>
      </c>
      <c r="N43" s="59">
        <f>'2024 DO NOT TOUCH'!N43</f>
        <v>45525</v>
      </c>
      <c r="O43" s="58" t="str">
        <f>'2024 DO NOT TOUCH'!O43</f>
        <v>Bruce</v>
      </c>
      <c r="P43" s="65">
        <f>'2024 DO NOT TOUCH'!P43</f>
        <v>4</v>
      </c>
      <c r="Q43" s="65">
        <f>'2024 DO NOT TOUCH'!Q43</f>
        <v>3.4</v>
      </c>
      <c r="R43" s="65">
        <f>'2024 DO NOT TOUCH'!R43</f>
        <v>0</v>
      </c>
      <c r="S43" s="62" t="str">
        <f>'2024 DO NOT TOUCH'!S43</f>
        <v>TESTED</v>
      </c>
      <c r="T43" s="62" t="str">
        <f>'2024 DO NOT TOUCH'!T43</f>
        <v>PASSED</v>
      </c>
      <c r="U43" s="62" t="str">
        <f>'2024 DO NOT TOUCH'!U43</f>
        <v>PASSED</v>
      </c>
      <c r="V43" s="62" t="str">
        <f>'2024 DO NOT TOUCH'!V43</f>
        <v>EXISTING</v>
      </c>
      <c r="W43" s="62" t="str">
        <f>'2024 DO NOT TOUCH'!W43</f>
        <v>EXISTING</v>
      </c>
      <c r="X43" s="65">
        <f>'2024 DO NOT TOUCH'!X43</f>
        <v>0</v>
      </c>
      <c r="Y43" s="62">
        <f>'2024 DO NOT TOUCH'!Y43</f>
        <v>0</v>
      </c>
    </row>
    <row r="44" spans="1:25" ht="19.5" customHeight="1">
      <c r="A44" s="55" t="str">
        <f>'2024 DO NOT TOUCH'!A44</f>
        <v>0610</v>
      </c>
      <c r="B44" s="55" t="str">
        <f>'2024 DO NOT TOUCH'!B44</f>
        <v>BASE THEATER</v>
      </c>
      <c r="C44" s="55" t="str">
        <f>'2024 DO NOT TOUCH'!C44</f>
        <v>H006780</v>
      </c>
      <c r="D44" s="55" t="str">
        <f>'2024 DO NOT TOUCH'!D44</f>
        <v>FEBCO</v>
      </c>
      <c r="E44" s="55" t="str">
        <f>'2024 DO NOT TOUCH'!E44</f>
        <v>765</v>
      </c>
      <c r="F44" s="55" t="str">
        <f>'2024 DO NOT TOUCH'!F44</f>
        <v>PVB</v>
      </c>
      <c r="G44" s="55" t="str">
        <f>'2024 DO NOT TOUCH'!G44</f>
        <v>2.0</v>
      </c>
      <c r="H44" s="55" t="str">
        <f>'2024 DO NOT TOUCH'!H44</f>
        <v>IRR WEST OF THEATER CASTLE &amp; SEATTLE</v>
      </c>
      <c r="I44" s="55" t="str">
        <f>'2024 DO NOT TOUCH'!I44</f>
        <v>PREMISE</v>
      </c>
      <c r="J44" s="55" t="str">
        <f>'2024 DO NOT TOUCH'!J44</f>
        <v>IRR</v>
      </c>
      <c r="K44" s="55" t="str">
        <f>'2024 DO NOT TOUCH'!K44</f>
        <v>INACTIVE</v>
      </c>
      <c r="L44" s="56">
        <f>'2024 DO NOT TOUCH'!L44</f>
        <v>44753</v>
      </c>
      <c r="M44" s="56" t="b">
        <f>'2024 DO NOT TOUCH'!M44</f>
        <v>0</v>
      </c>
      <c r="N44" s="56">
        <f>'2024 DO NOT TOUCH'!N44</f>
        <v>0</v>
      </c>
      <c r="O44" s="55">
        <f>'2024 DO NOT TOUCH'!O44</f>
        <v>0</v>
      </c>
      <c r="P44" s="64">
        <f>'2024 DO NOT TOUCH'!P44</f>
        <v>0</v>
      </c>
      <c r="Q44" s="64">
        <f>'2024 DO NOT TOUCH'!Q44</f>
        <v>0</v>
      </c>
      <c r="R44" s="64">
        <f>'2024 DO NOT TOUCH'!R44</f>
        <v>0</v>
      </c>
      <c r="S44" s="55" t="str">
        <f>'2024 DO NOT TOUCH'!S44</f>
        <v>UNTESTED</v>
      </c>
      <c r="T44" s="55">
        <f>'2024 DO NOT TOUCH'!T44</f>
        <v>0</v>
      </c>
      <c r="U44" s="55">
        <f>'2024 DO NOT TOUCH'!U44</f>
        <v>0</v>
      </c>
      <c r="V44" s="55">
        <f>'2024 DO NOT TOUCH'!V44</f>
        <v>0</v>
      </c>
      <c r="W44" s="55">
        <f>'2024 DO NOT TOUCH'!W44</f>
        <v>0</v>
      </c>
      <c r="X44" s="66">
        <f>'2024 DO NOT TOUCH'!X44</f>
        <v>0</v>
      </c>
      <c r="Y44" s="55" t="str">
        <f>'2024 DO NOT TOUCH'!Y44</f>
        <v xml:space="preserve">ISOLATED </v>
      </c>
    </row>
    <row r="45" spans="1:25" ht="19.5" customHeight="1">
      <c r="A45" s="58" t="str">
        <f>'2024 DO NOT TOUCH'!A45</f>
        <v>0644</v>
      </c>
      <c r="B45" s="59" t="str">
        <f>'2024 DO NOT TOUCH'!B45</f>
        <v>POST OFFICE</v>
      </c>
      <c r="C45" s="58" t="str">
        <f>'2024 DO NOT TOUCH'!C45</f>
        <v>A10529</v>
      </c>
      <c r="D45" s="59" t="str">
        <f>'2024 DO NOT TOUCH'!D45</f>
        <v>FEBCO</v>
      </c>
      <c r="E45" s="58" t="str">
        <f>'2024 DO NOT TOUCH'!E45</f>
        <v>825Y</v>
      </c>
      <c r="F45" s="59" t="str">
        <f>'2024 DO NOT TOUCH'!F45</f>
        <v>RP</v>
      </c>
      <c r="G45" s="58" t="str">
        <f>'2024 DO NOT TOUCH'!G45</f>
        <v>1.0</v>
      </c>
      <c r="H45" s="59" t="str">
        <f>'2024 DO NOT TOUCH'!H45</f>
        <v>HVAC MAKEUP IN BASEMENT</v>
      </c>
      <c r="I45" s="58" t="str">
        <f>'2024 DO NOT TOUCH'!I45</f>
        <v>INPREMISE</v>
      </c>
      <c r="J45" s="59" t="str">
        <f>'2024 DO NOT TOUCH'!J45</f>
        <v>AOI</v>
      </c>
      <c r="K45" s="58" t="str">
        <f>'2024 DO NOT TOUCH'!K45</f>
        <v>ACTIVE</v>
      </c>
      <c r="L45" s="71">
        <f>'2024 DO NOT TOUCH'!L45</f>
        <v>44599</v>
      </c>
      <c r="M45" s="58" t="b">
        <f>'2024 DO NOT TOUCH'!M45</f>
        <v>0</v>
      </c>
      <c r="N45" s="59">
        <f>'2024 DO NOT TOUCH'!N45</f>
        <v>0</v>
      </c>
      <c r="O45" s="58">
        <f>'2024 DO NOT TOUCH'!O45</f>
        <v>0</v>
      </c>
      <c r="P45" s="65">
        <f>'2024 DO NOT TOUCH'!P45</f>
        <v>0</v>
      </c>
      <c r="Q45" s="65">
        <f>'2024 DO NOT TOUCH'!Q45</f>
        <v>0</v>
      </c>
      <c r="R45" s="65">
        <f>'2024 DO NOT TOUCH'!R45</f>
        <v>0</v>
      </c>
      <c r="S45" s="62" t="str">
        <f>'2024 DO NOT TOUCH'!S45</f>
        <v>UNTESTED</v>
      </c>
      <c r="T45" s="62">
        <f>'2024 DO NOT TOUCH'!T45</f>
        <v>0</v>
      </c>
      <c r="U45" s="62">
        <f>'2024 DO NOT TOUCH'!U45</f>
        <v>0</v>
      </c>
      <c r="V45" s="62">
        <f>'2024 DO NOT TOUCH'!V45</f>
        <v>0</v>
      </c>
      <c r="W45" s="62" t="str">
        <f>'2024 DO NOT TOUCH'!W45</f>
        <v>REMOVED</v>
      </c>
      <c r="X45" s="65">
        <f>'2024 DO NOT TOUCH'!X45</f>
        <v>0</v>
      </c>
      <c r="Y45" s="62" t="str">
        <f>'2024 DO NOT TOUCH'!Y45</f>
        <v xml:space="preserve">HVAC Make-up line capped by main shutoff valve </v>
      </c>
    </row>
    <row r="46" spans="1:25" ht="19.5" customHeight="1">
      <c r="A46" s="55" t="str">
        <f>'2024 DO NOT TOUCH'!A46</f>
        <v>0644</v>
      </c>
      <c r="B46" s="3" t="str">
        <f>'2024 DO NOT TOUCH'!B46</f>
        <v>POST OFFICE</v>
      </c>
      <c r="C46" s="55" t="str">
        <f>'2024 DO NOT TOUCH'!C46</f>
        <v>18181534</v>
      </c>
      <c r="D46" s="3" t="str">
        <f>'2024 DO NOT TOUCH'!D46</f>
        <v>WILKINS</v>
      </c>
      <c r="E46" s="55" t="str">
        <f>'2024 DO NOT TOUCH'!E46</f>
        <v>950XLT</v>
      </c>
      <c r="F46" s="3" t="str">
        <f>'2024 DO NOT TOUCH'!F46</f>
        <v>DC</v>
      </c>
      <c r="G46" s="55" t="str">
        <f>'2024 DO NOT TOUCH'!G46</f>
        <v>1.0</v>
      </c>
      <c r="H46" s="3" t="str">
        <f>'2024 DO NOT TOUCH'!H46</f>
        <v>BASEMENT IRRIGATION IN DIRT MECH RM</v>
      </c>
      <c r="I46" s="55" t="str">
        <f>'2024 DO NOT TOUCH'!I46</f>
        <v>PREMISE</v>
      </c>
      <c r="J46" s="3" t="str">
        <f>'2024 DO NOT TOUCH'!J46</f>
        <v>IRR</v>
      </c>
      <c r="K46" s="55" t="str">
        <f>'2024 DO NOT TOUCH'!K46</f>
        <v>ACTIVE</v>
      </c>
      <c r="L46" s="72">
        <f>'2024 DO NOT TOUCH'!L46</f>
        <v>44599</v>
      </c>
      <c r="M46" s="55" t="b">
        <f>'2024 DO NOT TOUCH'!M46</f>
        <v>0</v>
      </c>
      <c r="N46" s="3">
        <f>'2024 DO NOT TOUCH'!N46</f>
        <v>45330</v>
      </c>
      <c r="O46" s="55" t="str">
        <f>'2024 DO NOT TOUCH'!O46</f>
        <v>REED</v>
      </c>
      <c r="P46" s="64">
        <f>'2024 DO NOT TOUCH'!P46</f>
        <v>0</v>
      </c>
      <c r="Q46" s="64">
        <f>'2024 DO NOT TOUCH'!Q46</f>
        <v>0</v>
      </c>
      <c r="R46" s="64">
        <f>'2024 DO NOT TOUCH'!R46</f>
        <v>0</v>
      </c>
      <c r="S46" s="57" t="str">
        <f>'2024 DO NOT TOUCH'!S46</f>
        <v>UNTESTED</v>
      </c>
      <c r="T46" s="57">
        <f>'2024 DO NOT TOUCH'!T46</f>
        <v>0</v>
      </c>
      <c r="U46" s="57">
        <f>'2024 DO NOT TOUCH'!U46</f>
        <v>0</v>
      </c>
      <c r="V46" s="57">
        <f>'2024 DO NOT TOUCH'!V46</f>
        <v>0</v>
      </c>
      <c r="W46" s="57">
        <f>'2024 DO NOT TOUCH'!W46</f>
        <v>0</v>
      </c>
      <c r="X46" s="64">
        <f>'2024 DO NOT TOUCH'!X46</f>
        <v>0</v>
      </c>
      <c r="Y46" s="57" t="str">
        <f>'2024 DO NOT TOUCH'!Y46</f>
        <v>ISOLATED</v>
      </c>
    </row>
    <row r="47" spans="1:25" ht="19.5" customHeight="1">
      <c r="A47" s="58" t="str">
        <f>'2024 DO NOT TOUCH'!A47</f>
        <v>0644</v>
      </c>
      <c r="B47" s="59" t="str">
        <f>'2024 DO NOT TOUCH'!B47</f>
        <v>POST OFFICE</v>
      </c>
      <c r="C47" s="58" t="str">
        <f>'2024 DO NOT TOUCH'!C47</f>
        <v>40373</v>
      </c>
      <c r="D47" s="59" t="str">
        <f>'2024 DO NOT TOUCH'!D47</f>
        <v>AMES</v>
      </c>
      <c r="E47" s="58" t="str">
        <f>'2024 DO NOT TOUCH'!E47</f>
        <v>2000SS</v>
      </c>
      <c r="F47" s="59" t="str">
        <f>'2024 DO NOT TOUCH'!F47</f>
        <v>DC</v>
      </c>
      <c r="G47" s="58" t="str">
        <f>'2024 DO NOT TOUCH'!G47</f>
        <v>6.0</v>
      </c>
      <c r="H47" s="59" t="str">
        <f>'2024 DO NOT TOUCH'!H47</f>
        <v>BASEMENT IN WEIGHT RM ON FIRE SYS</v>
      </c>
      <c r="I47" s="58" t="str">
        <f>'2024 DO NOT TOUCH'!I47</f>
        <v>PREMISE</v>
      </c>
      <c r="J47" s="59" t="str">
        <f>'2024 DO NOT TOUCH'!J47</f>
        <v>FIRE</v>
      </c>
      <c r="K47" s="58" t="str">
        <f>'2024 DO NOT TOUCH'!K47</f>
        <v>ACTIVE</v>
      </c>
      <c r="L47" s="71">
        <f>'2024 DO NOT TOUCH'!L47</f>
        <v>44600</v>
      </c>
      <c r="M47" s="58" t="b">
        <f>'2024 DO NOT TOUCH'!M47</f>
        <v>0</v>
      </c>
      <c r="N47" s="59">
        <f>'2024 DO NOT TOUCH'!N47</f>
        <v>45377</v>
      </c>
      <c r="O47" s="58" t="str">
        <f>'2024 DO NOT TOUCH'!O47</f>
        <v>ELI</v>
      </c>
      <c r="P47" s="65">
        <f>'2024 DO NOT TOUCH'!P47</f>
        <v>3.8</v>
      </c>
      <c r="Q47" s="65">
        <f>'2024 DO NOT TOUCH'!Q47</f>
        <v>3.7</v>
      </c>
      <c r="R47" s="65">
        <f>'2024 DO NOT TOUCH'!R47</f>
        <v>0</v>
      </c>
      <c r="S47" s="62" t="str">
        <f>'2024 DO NOT TOUCH'!S47</f>
        <v>TESTED</v>
      </c>
      <c r="T47" s="62" t="str">
        <f>'2024 DO NOT TOUCH'!T47</f>
        <v>PASSED</v>
      </c>
      <c r="U47" s="62" t="str">
        <f>'2024 DO NOT TOUCH'!U47</f>
        <v>yes</v>
      </c>
      <c r="V47" s="62">
        <f>'2024 DO NOT TOUCH'!V47</f>
        <v>0</v>
      </c>
      <c r="W47" s="62">
        <f>'2024 DO NOT TOUCH'!W47</f>
        <v>0</v>
      </c>
      <c r="X47" s="65">
        <f>'2024 DO NOT TOUCH'!X47</f>
        <v>0</v>
      </c>
      <c r="Y47" s="62">
        <f>'2024 DO NOT TOUCH'!Y47</f>
        <v>0</v>
      </c>
    </row>
    <row r="48" spans="1:25" ht="19.5" customHeight="1">
      <c r="A48" s="55" t="str">
        <f>'2024 DO NOT TOUCH'!A48</f>
        <v>0716</v>
      </c>
      <c r="B48" s="3" t="str">
        <f>'2024 DO NOT TOUCH'!B48</f>
        <v>ALS</v>
      </c>
      <c r="C48" s="55" t="str">
        <f>'2024 DO NOT TOUCH'!C48</f>
        <v>BC5137</v>
      </c>
      <c r="D48" s="3" t="str">
        <f>'2024 DO NOT TOUCH'!D48</f>
        <v>FEBCO</v>
      </c>
      <c r="E48" s="55" t="str">
        <f>'2024 DO NOT TOUCH'!E48</f>
        <v>825Y</v>
      </c>
      <c r="F48" s="3" t="str">
        <f>'2024 DO NOT TOUCH'!F48</f>
        <v>RP</v>
      </c>
      <c r="G48" s="55" t="str">
        <f>'2024 DO NOT TOUCH'!G48</f>
        <v>1.0</v>
      </c>
      <c r="H48" s="3" t="str">
        <f>'2024 DO NOT TOUCH'!H48</f>
        <v>MECH RM HVAC</v>
      </c>
      <c r="I48" s="55" t="str">
        <f>'2024 DO NOT TOUCH'!I48</f>
        <v>INPREMISE</v>
      </c>
      <c r="J48" s="3" t="str">
        <f>'2024 DO NOT TOUCH'!J48</f>
        <v>AOI</v>
      </c>
      <c r="K48" s="55" t="str">
        <f>'2024 DO NOT TOUCH'!K48</f>
        <v>ACTIVE</v>
      </c>
      <c r="L48" s="72">
        <f>'2024 DO NOT TOUCH'!L48</f>
        <v>44600</v>
      </c>
      <c r="M48" s="55" t="b">
        <f>'2024 DO NOT TOUCH'!M48</f>
        <v>0</v>
      </c>
      <c r="N48" s="3">
        <f>'2024 DO NOT TOUCH'!N48</f>
        <v>45330</v>
      </c>
      <c r="O48" s="55" t="str">
        <f>'2024 DO NOT TOUCH'!O48</f>
        <v>REED</v>
      </c>
      <c r="P48" s="66">
        <f>'2024 DO NOT TOUCH'!P48</f>
        <v>0</v>
      </c>
      <c r="Q48" s="66">
        <f>'2024 DO NOT TOUCH'!Q48</f>
        <v>0</v>
      </c>
      <c r="R48" s="66">
        <f>'2024 DO NOT TOUCH'!R48</f>
        <v>0</v>
      </c>
      <c r="S48" s="55" t="str">
        <f>'2024 DO NOT TOUCH'!S48</f>
        <v>unTESTED</v>
      </c>
      <c r="T48" s="55">
        <f>'2024 DO NOT TOUCH'!T48</f>
        <v>0</v>
      </c>
      <c r="U48" s="55">
        <f>'2024 DO NOT TOUCH'!U48</f>
        <v>0</v>
      </c>
      <c r="V48" s="55">
        <f>'2024 DO NOT TOUCH'!V48</f>
        <v>0</v>
      </c>
      <c r="W48" s="55" t="str">
        <f>'2024 DO NOT TOUCH'!W48</f>
        <v>YES</v>
      </c>
      <c r="X48" s="66">
        <f>'2024 DO NOT TOUCH'!X48</f>
        <v>0</v>
      </c>
      <c r="Y48" s="55" t="str">
        <f>'2024 DO NOT TOUCH'!Y48</f>
        <v xml:space="preserve">capped </v>
      </c>
    </row>
    <row r="49" spans="1:25" ht="19.5" customHeight="1">
      <c r="A49" s="58" t="str">
        <f>'2024 DO NOT TOUCH'!A49</f>
        <v>0716</v>
      </c>
      <c r="B49" s="59" t="str">
        <f>'2024 DO NOT TOUCH'!B49</f>
        <v>ALS</v>
      </c>
      <c r="C49" s="58" t="str">
        <f>'2024 DO NOT TOUCH'!C49</f>
        <v>552906</v>
      </c>
      <c r="D49" s="59" t="str">
        <f>'2024 DO NOT TOUCH'!D49</f>
        <v>WILKINS</v>
      </c>
      <c r="E49" s="58" t="str">
        <f>'2024 DO NOT TOUCH'!E49</f>
        <v>950XLT</v>
      </c>
      <c r="F49" s="59" t="str">
        <f>'2024 DO NOT TOUCH'!F49</f>
        <v>DC</v>
      </c>
      <c r="G49" s="58" t="str">
        <f>'2024 DO NOT TOUCH'!G49</f>
        <v>1.0</v>
      </c>
      <c r="H49" s="59" t="str">
        <f>'2024 DO NOT TOUCH'!H49</f>
        <v>OUTSIDE OF MECH RM IRR</v>
      </c>
      <c r="I49" s="58" t="str">
        <f>'2024 DO NOT TOUCH'!I49</f>
        <v>PREMISE</v>
      </c>
      <c r="J49" s="59" t="str">
        <f>'2024 DO NOT TOUCH'!J49</f>
        <v>IRR</v>
      </c>
      <c r="K49" s="58" t="str">
        <f>'2024 DO NOT TOUCH'!K49</f>
        <v>ACTIVE</v>
      </c>
      <c r="L49" s="71">
        <f>'2024 DO NOT TOUCH'!L49</f>
        <v>0</v>
      </c>
      <c r="M49" s="58" t="b">
        <f>'2024 DO NOT TOUCH'!M49</f>
        <v>1</v>
      </c>
      <c r="N49" s="59">
        <f>'2024 DO NOT TOUCH'!N49</f>
        <v>0</v>
      </c>
      <c r="O49" s="58">
        <f>'2024 DO NOT TOUCH'!O49</f>
        <v>0</v>
      </c>
      <c r="P49" s="67">
        <f>'2024 DO NOT TOUCH'!P49</f>
        <v>0</v>
      </c>
      <c r="Q49" s="67">
        <f>'2024 DO NOT TOUCH'!Q49</f>
        <v>0</v>
      </c>
      <c r="R49" s="67">
        <f>'2024 DO NOT TOUCH'!R49</f>
        <v>0</v>
      </c>
      <c r="S49" s="58" t="str">
        <f>'2024 DO NOT TOUCH'!S49</f>
        <v>UNTESTED</v>
      </c>
      <c r="T49" s="58">
        <f>'2024 DO NOT TOUCH'!T49</f>
        <v>0</v>
      </c>
      <c r="U49" s="58">
        <f>'2024 DO NOT TOUCH'!U49</f>
        <v>0</v>
      </c>
      <c r="V49" s="58">
        <f>'2024 DO NOT TOUCH'!V49</f>
        <v>0</v>
      </c>
      <c r="W49" s="58" t="str">
        <f>'2024 DO NOT TOUCH'!W49</f>
        <v>yes</v>
      </c>
      <c r="X49" s="67">
        <f>'2024 DO NOT TOUCH'!X49</f>
        <v>0</v>
      </c>
      <c r="Y49" s="58" t="str">
        <f>'2024 DO NOT TOUCH'!Y49</f>
        <v>ISOLATED IN WINTER</v>
      </c>
    </row>
    <row r="50" spans="1:25" ht="19.5" customHeight="1">
      <c r="A50" s="77" t="str">
        <f>'2024 DO NOT TOUCH'!A50</f>
        <v>1001</v>
      </c>
      <c r="B50" s="78" t="str">
        <f>'2024 DO NOT TOUCH'!B50</f>
        <v>92 LRS</v>
      </c>
      <c r="C50" s="77" t="str">
        <f>'2024 DO NOT TOUCH'!C50</f>
        <v>U44202</v>
      </c>
      <c r="D50" s="78" t="str">
        <f>'2024 DO NOT TOUCH'!D50</f>
        <v>WILKINS</v>
      </c>
      <c r="E50" s="77" t="str">
        <f>'2024 DO NOT TOUCH'!E50</f>
        <v>350A</v>
      </c>
      <c r="F50" s="78" t="str">
        <f>'2024 DO NOT TOUCH'!F50</f>
        <v>DC</v>
      </c>
      <c r="G50" s="77" t="str">
        <f>'2024 DO NOT TOUCH'!G50</f>
        <v>6.0</v>
      </c>
      <c r="H50" s="78" t="str">
        <f>'2024 DO NOT TOUCH'!H50</f>
        <v xml:space="preserve">FIRE SYS </v>
      </c>
      <c r="I50" s="77" t="str">
        <f>'2024 DO NOT TOUCH'!I50</f>
        <v>PREMISE</v>
      </c>
      <c r="J50" s="78" t="str">
        <f>'2024 DO NOT TOUCH'!J50</f>
        <v>FIRE</v>
      </c>
      <c r="K50" s="77" t="str">
        <f>'2024 DO NOT TOUCH'!K50</f>
        <v>ACTIVE</v>
      </c>
      <c r="L50" s="79">
        <f>'2024 DO NOT TOUCH'!L50</f>
        <v>44579</v>
      </c>
      <c r="M50" s="77" t="b">
        <f>'2024 DO NOT TOUCH'!M50</f>
        <v>0</v>
      </c>
      <c r="N50" s="78">
        <f>'2024 DO NOT TOUCH'!N50</f>
        <v>0</v>
      </c>
      <c r="O50" s="77">
        <f>'2024 DO NOT TOUCH'!O50</f>
        <v>0</v>
      </c>
      <c r="P50" s="80">
        <f>'2024 DO NOT TOUCH'!P50</f>
        <v>0</v>
      </c>
      <c r="Q50" s="80">
        <f>'2024 DO NOT TOUCH'!Q50</f>
        <v>0</v>
      </c>
      <c r="R50" s="80">
        <f>'2024 DO NOT TOUCH'!R50</f>
        <v>0</v>
      </c>
      <c r="S50" s="81" t="str">
        <f>'2024 DO NOT TOUCH'!S50</f>
        <v>TESTED</v>
      </c>
      <c r="T50" s="81" t="str">
        <f>'2024 DO NOT TOUCH'!T50</f>
        <v>PASSED</v>
      </c>
      <c r="U50" s="81">
        <f>'2024 DO NOT TOUCH'!U50</f>
        <v>0</v>
      </c>
      <c r="V50" s="81">
        <f>'2024 DO NOT TOUCH'!V50</f>
        <v>0</v>
      </c>
      <c r="W50" s="81">
        <f>'2024 DO NOT TOUCH'!W50</f>
        <v>0</v>
      </c>
      <c r="X50" s="80">
        <f>'2024 DO NOT TOUCH'!X50</f>
        <v>0</v>
      </c>
      <c r="Y50" s="81">
        <f>'2024 DO NOT TOUCH'!Y50</f>
        <v>0</v>
      </c>
    </row>
    <row r="51" spans="1:25" ht="19.5" customHeight="1">
      <c r="A51" s="58" t="str">
        <f>'2024 DO NOT TOUCH'!A51</f>
        <v>1001</v>
      </c>
      <c r="B51" s="59" t="str">
        <f>'2024 DO NOT TOUCH'!B51</f>
        <v>92 LRS</v>
      </c>
      <c r="C51" s="58" t="str">
        <f>'2024 DO NOT TOUCH'!C51</f>
        <v>U27348</v>
      </c>
      <c r="D51" s="59" t="str">
        <f>'2024 DO NOT TOUCH'!D51</f>
        <v>WILKINS</v>
      </c>
      <c r="E51" s="58" t="str">
        <f>'2024 DO NOT TOUCH'!E51</f>
        <v>350A</v>
      </c>
      <c r="F51" s="59" t="str">
        <f>'2024 DO NOT TOUCH'!F51</f>
        <v>DC</v>
      </c>
      <c r="G51" s="58" t="str">
        <f>'2024 DO NOT TOUCH'!G51</f>
        <v>4.0</v>
      </c>
      <c r="H51" s="59" t="str">
        <f>'2024 DO NOT TOUCH'!H51</f>
        <v>NOSE DOCK DOMESTIC SUPPLY</v>
      </c>
      <c r="I51" s="58" t="str">
        <f>'2024 DO NOT TOUCH'!I51</f>
        <v>PREMISE</v>
      </c>
      <c r="J51" s="59" t="str">
        <f>'2024 DO NOT TOUCH'!J51</f>
        <v>PREMISE</v>
      </c>
      <c r="K51" s="58" t="str">
        <f>'2024 DO NOT TOUCH'!K51</f>
        <v>ACTIVE</v>
      </c>
      <c r="L51" s="71">
        <f>'2024 DO NOT TOUCH'!L51</f>
        <v>44579</v>
      </c>
      <c r="M51" s="58" t="b">
        <f>'2024 DO NOT TOUCH'!M51</f>
        <v>0</v>
      </c>
      <c r="N51" s="59">
        <f>'2024 DO NOT TOUCH'!N51</f>
        <v>0</v>
      </c>
      <c r="O51" s="58">
        <f>'2024 DO NOT TOUCH'!O51</f>
        <v>0</v>
      </c>
      <c r="P51" s="65">
        <f>'2024 DO NOT TOUCH'!P51</f>
        <v>0</v>
      </c>
      <c r="Q51" s="65">
        <f>'2024 DO NOT TOUCH'!Q51</f>
        <v>0</v>
      </c>
      <c r="R51" s="65">
        <f>'2024 DO NOT TOUCH'!R51</f>
        <v>0</v>
      </c>
      <c r="S51" s="62" t="str">
        <f>'2024 DO NOT TOUCH'!S51</f>
        <v>TESTED</v>
      </c>
      <c r="T51" s="62" t="str">
        <f>'2024 DO NOT TOUCH'!T51</f>
        <v>PASSED</v>
      </c>
      <c r="U51" s="62">
        <f>'2024 DO NOT TOUCH'!U51</f>
        <v>0</v>
      </c>
      <c r="V51" s="62">
        <f>'2024 DO NOT TOUCH'!V51</f>
        <v>0</v>
      </c>
      <c r="W51" s="62">
        <f>'2024 DO NOT TOUCH'!W51</f>
        <v>0</v>
      </c>
      <c r="X51" s="65">
        <f>'2024 DO NOT TOUCH'!X51</f>
        <v>0</v>
      </c>
      <c r="Y51" s="62">
        <f>'2024 DO NOT TOUCH'!Y51</f>
        <v>0</v>
      </c>
    </row>
    <row r="52" spans="1:25" ht="19.5" customHeight="1">
      <c r="A52" s="77" t="str">
        <f>'2024 DO NOT TOUCH'!A52</f>
        <v>1001</v>
      </c>
      <c r="B52" s="78" t="str">
        <f>'2024 DO NOT TOUCH'!B52</f>
        <v>92 LRS</v>
      </c>
      <c r="C52" s="77" t="str">
        <f>'2024 DO NOT TOUCH'!C52</f>
        <v>A20219</v>
      </c>
      <c r="D52" s="78" t="str">
        <f>'2024 DO NOT TOUCH'!D52</f>
        <v>WATTS</v>
      </c>
      <c r="E52" s="77" t="str">
        <f>'2024 DO NOT TOUCH'!E52</f>
        <v>009M2QT</v>
      </c>
      <c r="F52" s="78" t="str">
        <f>'2024 DO NOT TOUCH'!F52</f>
        <v>RP</v>
      </c>
      <c r="G52" s="77" t="str">
        <f>'2024 DO NOT TOUCH'!G52</f>
        <v>2.0</v>
      </c>
      <c r="H52" s="78" t="str">
        <f>'2024 DO NOT TOUCH'!H52</f>
        <v>JANITORS CLOSET HOT WATER FEED</v>
      </c>
      <c r="I52" s="77" t="str">
        <f>'2024 DO NOT TOUCH'!I52</f>
        <v>INPREMISE</v>
      </c>
      <c r="J52" s="78" t="str">
        <f>'2024 DO NOT TOUCH'!J52</f>
        <v>AOI</v>
      </c>
      <c r="K52" s="77" t="str">
        <f>'2024 DO NOT TOUCH'!K52</f>
        <v>ACTIVE</v>
      </c>
      <c r="L52" s="79">
        <f>'2024 DO NOT TOUCH'!L52</f>
        <v>44579</v>
      </c>
      <c r="M52" s="77" t="b">
        <f>'2024 DO NOT TOUCH'!M52</f>
        <v>0</v>
      </c>
      <c r="N52" s="78">
        <f>'2024 DO NOT TOUCH'!N52</f>
        <v>0</v>
      </c>
      <c r="O52" s="77">
        <f>'2024 DO NOT TOUCH'!O52</f>
        <v>0</v>
      </c>
      <c r="P52" s="80">
        <f>'2024 DO NOT TOUCH'!P52</f>
        <v>0</v>
      </c>
      <c r="Q52" s="80">
        <f>'2024 DO NOT TOUCH'!Q52</f>
        <v>0</v>
      </c>
      <c r="R52" s="80">
        <f>'2024 DO NOT TOUCH'!R52</f>
        <v>0</v>
      </c>
      <c r="S52" s="81" t="str">
        <f>'2024 DO NOT TOUCH'!S52</f>
        <v>TESTED</v>
      </c>
      <c r="T52" s="81" t="str">
        <f>'2024 DO NOT TOUCH'!T52</f>
        <v>PASSED</v>
      </c>
      <c r="U52" s="81">
        <f>'2024 DO NOT TOUCH'!U52</f>
        <v>0</v>
      </c>
      <c r="V52" s="81">
        <f>'2024 DO NOT TOUCH'!V52</f>
        <v>0</v>
      </c>
      <c r="W52" s="81">
        <f>'2024 DO NOT TOUCH'!W52</f>
        <v>0</v>
      </c>
      <c r="X52" s="80">
        <f>'2024 DO NOT TOUCH'!X52</f>
        <v>0</v>
      </c>
      <c r="Y52" s="81">
        <f>'2024 DO NOT TOUCH'!Y52</f>
        <v>0</v>
      </c>
    </row>
    <row r="53" spans="1:25" ht="19.5" customHeight="1">
      <c r="A53" s="58" t="str">
        <f>'2024 DO NOT TOUCH'!A53</f>
        <v>1005</v>
      </c>
      <c r="B53" s="59" t="str">
        <f>'2024 DO NOT TOUCH'!B53</f>
        <v>HANGER 1005</v>
      </c>
      <c r="C53" s="58" t="str">
        <f>'2024 DO NOT TOUCH'!C53</f>
        <v>U27346</v>
      </c>
      <c r="D53" s="59" t="str">
        <f>'2024 DO NOT TOUCH'!D53</f>
        <v>WILKINS</v>
      </c>
      <c r="E53" s="58" t="str">
        <f>'2024 DO NOT TOUCH'!E53</f>
        <v>350A</v>
      </c>
      <c r="F53" s="59" t="str">
        <f>'2024 DO NOT TOUCH'!F53</f>
        <v>DC</v>
      </c>
      <c r="G53" s="58" t="str">
        <f>'2024 DO NOT TOUCH'!G53</f>
        <v>4.0</v>
      </c>
      <c r="H53" s="59" t="str">
        <f>'2024 DO NOT TOUCH'!H53</f>
        <v>INSIDE HANGER/ COLD SUPPLY</v>
      </c>
      <c r="I53" s="58" t="str">
        <f>'2024 DO NOT TOUCH'!I53</f>
        <v>PREMISE</v>
      </c>
      <c r="J53" s="59" t="str">
        <f>'2024 DO NOT TOUCH'!J53</f>
        <v>PREMISE</v>
      </c>
      <c r="K53" s="58" t="str">
        <f>'2024 DO NOT TOUCH'!K53</f>
        <v>ACTIVE</v>
      </c>
      <c r="L53" s="71">
        <f>'2024 DO NOT TOUCH'!L53</f>
        <v>44734</v>
      </c>
      <c r="M53" s="58" t="b">
        <f>'2024 DO NOT TOUCH'!M53</f>
        <v>0</v>
      </c>
      <c r="N53" s="59">
        <f>'2024 DO NOT TOUCH'!N53</f>
        <v>45461</v>
      </c>
      <c r="O53" s="58" t="str">
        <f>'2024 DO NOT TOUCH'!O53</f>
        <v>TROUNG</v>
      </c>
      <c r="P53" s="67">
        <f>'2024 DO NOT TOUCH'!P53</f>
        <v>3.2</v>
      </c>
      <c r="Q53" s="67">
        <f>'2024 DO NOT TOUCH'!Q53</f>
        <v>2.4</v>
      </c>
      <c r="R53" s="67">
        <f>'2024 DO NOT TOUCH'!R53</f>
        <v>0</v>
      </c>
      <c r="S53" s="58" t="str">
        <f>'2024 DO NOT TOUCH'!S53</f>
        <v>TESTED</v>
      </c>
      <c r="T53" s="58" t="str">
        <f>'2024 DO NOT TOUCH'!T53</f>
        <v>PASSED</v>
      </c>
      <c r="U53" s="58">
        <f>'2024 DO NOT TOUCH'!U53</f>
        <v>0</v>
      </c>
      <c r="V53" s="58">
        <f>'2024 DO NOT TOUCH'!V53</f>
        <v>0</v>
      </c>
      <c r="W53" s="58">
        <f>'2024 DO NOT TOUCH'!W53</f>
        <v>0</v>
      </c>
      <c r="X53" s="67">
        <f>'2024 DO NOT TOUCH'!X53</f>
        <v>0</v>
      </c>
      <c r="Y53" s="58">
        <f>'2024 DO NOT TOUCH'!Y53</f>
        <v>0</v>
      </c>
    </row>
    <row r="54" spans="1:25" ht="19.5" customHeight="1">
      <c r="A54" s="77" t="str">
        <f>'2024 DO NOT TOUCH'!A54</f>
        <v>1005</v>
      </c>
      <c r="B54" s="78" t="str">
        <f>'2024 DO NOT TOUCH'!B54</f>
        <v>HANGER 1005</v>
      </c>
      <c r="C54" s="77" t="str">
        <f>'2024 DO NOT TOUCH'!C54</f>
        <v>4344C</v>
      </c>
      <c r="D54" s="78" t="str">
        <f>'2024 DO NOT TOUCH'!D54</f>
        <v>WILKINS</v>
      </c>
      <c r="E54" s="77" t="str">
        <f>'2024 DO NOT TOUCH'!E54</f>
        <v>375AST</v>
      </c>
      <c r="F54" s="78" t="str">
        <f>'2024 DO NOT TOUCH'!F54</f>
        <v>RP</v>
      </c>
      <c r="G54" s="77" t="str">
        <f>'2024 DO NOT TOUCH'!G54</f>
        <v>10.0</v>
      </c>
      <c r="H54" s="78" t="str">
        <f>'2024 DO NOT TOUCH'!H54</f>
        <v>FIRE PUMP ROOM</v>
      </c>
      <c r="I54" s="77" t="str">
        <f>'2024 DO NOT TOUCH'!I54</f>
        <v>PREMISE</v>
      </c>
      <c r="J54" s="78" t="str">
        <f>'2024 DO NOT TOUCH'!J54</f>
        <v>FIRE</v>
      </c>
      <c r="K54" s="77" t="str">
        <f>'2024 DO NOT TOUCH'!K54</f>
        <v>ACTIVE</v>
      </c>
      <c r="L54" s="79">
        <f>'2024 DO NOT TOUCH'!L54</f>
        <v>44734</v>
      </c>
      <c r="M54" s="77" t="b">
        <f>'2024 DO NOT TOUCH'!M54</f>
        <v>0</v>
      </c>
      <c r="N54" s="78">
        <f>'2024 DO NOT TOUCH'!N54</f>
        <v>45461</v>
      </c>
      <c r="O54" s="77" t="str">
        <f>'2024 DO NOT TOUCH'!O54</f>
        <v>TROUNG</v>
      </c>
      <c r="P54" s="83">
        <f>'2024 DO NOT TOUCH'!P54</f>
        <v>7.3</v>
      </c>
      <c r="Q54" s="83">
        <f>'2024 DO NOT TOUCH'!Q54</f>
        <v>0</v>
      </c>
      <c r="R54" s="83">
        <f>'2024 DO NOT TOUCH'!R54</f>
        <v>2.8</v>
      </c>
      <c r="S54" s="77" t="str">
        <f>'2024 DO NOT TOUCH'!S54</f>
        <v>TESTED</v>
      </c>
      <c r="T54" s="77" t="str">
        <f>'2024 DO NOT TOUCH'!T54</f>
        <v>PASSED</v>
      </c>
      <c r="U54" s="77">
        <f>'2024 DO NOT TOUCH'!U54</f>
        <v>0</v>
      </c>
      <c r="V54" s="77">
        <f>'2024 DO NOT TOUCH'!V54</f>
        <v>0</v>
      </c>
      <c r="W54" s="77">
        <f>'2024 DO NOT TOUCH'!W54</f>
        <v>0</v>
      </c>
      <c r="X54" s="83">
        <f>'2024 DO NOT TOUCH'!X54</f>
        <v>0</v>
      </c>
      <c r="Y54" s="77">
        <f>'2024 DO NOT TOUCH'!Y54</f>
        <v>0</v>
      </c>
    </row>
    <row r="55" spans="1:25" ht="19.5" customHeight="1">
      <c r="A55" s="58" t="str">
        <f>'2024 DO NOT TOUCH'!A55</f>
        <v>1009</v>
      </c>
      <c r="B55" s="59" t="str">
        <f>'2024 DO NOT TOUCH'!B55</f>
        <v>92 ARW</v>
      </c>
      <c r="C55" s="58" t="str">
        <f>'2024 DO NOT TOUCH'!C55</f>
        <v>B040151</v>
      </c>
      <c r="D55" s="59" t="str">
        <f>'2024 DO NOT TOUCH'!D55</f>
        <v>WILKINS</v>
      </c>
      <c r="E55" s="58" t="str">
        <f>'2024 DO NOT TOUCH'!E55</f>
        <v>375XL</v>
      </c>
      <c r="F55" s="59" t="str">
        <f>'2024 DO NOT TOUCH'!F55</f>
        <v>RP</v>
      </c>
      <c r="G55" s="58" t="str">
        <f>'2024 DO NOT TOUCH'!G55</f>
        <v>2.0</v>
      </c>
      <c r="H55" s="59" t="str">
        <f>'2024 DO NOT TOUCH'!H55</f>
        <v>IN NOSE DOCK FILL STAND 1</v>
      </c>
      <c r="I55" s="58" t="str">
        <f>'2024 DO NOT TOUCH'!I55</f>
        <v>INPREMISE</v>
      </c>
      <c r="J55" s="59" t="str">
        <f>'2024 DO NOT TOUCH'!J55</f>
        <v>AOI</v>
      </c>
      <c r="K55" s="58" t="str">
        <f>'2024 DO NOT TOUCH'!K55</f>
        <v>ACTIVE</v>
      </c>
      <c r="L55" s="71">
        <f>'2024 DO NOT TOUCH'!L55</f>
        <v>44734</v>
      </c>
      <c r="M55" s="58" t="b">
        <f>'2024 DO NOT TOUCH'!M55</f>
        <v>0</v>
      </c>
      <c r="N55" s="59">
        <f>'2024 DO NOT TOUCH'!N55</f>
        <v>45461</v>
      </c>
      <c r="O55" s="58" t="str">
        <f>'2024 DO NOT TOUCH'!O55</f>
        <v>TROUNG</v>
      </c>
      <c r="P55" s="65">
        <f>'2024 DO NOT TOUCH'!P55</f>
        <v>7.3</v>
      </c>
      <c r="Q55" s="65">
        <f>'2024 DO NOT TOUCH'!Q55</f>
        <v>0</v>
      </c>
      <c r="R55" s="65">
        <f>'2024 DO NOT TOUCH'!R55</f>
        <v>4.5999999999999996</v>
      </c>
      <c r="S55" s="62" t="str">
        <f>'2024 DO NOT TOUCH'!S55</f>
        <v>TESTED</v>
      </c>
      <c r="T55" s="62" t="str">
        <f>'2024 DO NOT TOUCH'!T55</f>
        <v>PASSED</v>
      </c>
      <c r="U55" s="62">
        <f>'2024 DO NOT TOUCH'!U55</f>
        <v>0</v>
      </c>
      <c r="V55" s="62">
        <f>'2024 DO NOT TOUCH'!V55</f>
        <v>0</v>
      </c>
      <c r="W55" s="62">
        <f>'2024 DO NOT TOUCH'!W55</f>
        <v>0</v>
      </c>
      <c r="X55" s="65">
        <f>'2024 DO NOT TOUCH'!X55</f>
        <v>0</v>
      </c>
      <c r="Y55" s="62">
        <f>'2024 DO NOT TOUCH'!Y55</f>
        <v>0</v>
      </c>
    </row>
    <row r="56" spans="1:25" ht="19.5" customHeight="1">
      <c r="A56" s="55" t="str">
        <f>'2024 DO NOT TOUCH'!A56</f>
        <v>1009</v>
      </c>
      <c r="B56" s="3" t="str">
        <f>'2024 DO NOT TOUCH'!B56</f>
        <v>92 ARW</v>
      </c>
      <c r="C56" s="55" t="str">
        <f>'2024 DO NOT TOUCH'!C56</f>
        <v>B040150</v>
      </c>
      <c r="D56" s="3" t="str">
        <f>'2024 DO NOT TOUCH'!D56</f>
        <v>WILKINS</v>
      </c>
      <c r="E56" s="55" t="str">
        <f>'2024 DO NOT TOUCH'!E56</f>
        <v>375XL</v>
      </c>
      <c r="F56" s="3" t="str">
        <f>'2024 DO NOT TOUCH'!F56</f>
        <v>RP</v>
      </c>
      <c r="G56" s="55" t="str">
        <f>'2024 DO NOT TOUCH'!G56</f>
        <v>2.0</v>
      </c>
      <c r="H56" s="3" t="str">
        <f>'2024 DO NOT TOUCH'!H56</f>
        <v>IN NOSE DOCK FILL STAND2</v>
      </c>
      <c r="I56" s="55" t="str">
        <f>'2024 DO NOT TOUCH'!I56</f>
        <v>INPREMISE</v>
      </c>
      <c r="J56" s="3" t="str">
        <f>'2024 DO NOT TOUCH'!J56</f>
        <v>AOI</v>
      </c>
      <c r="K56" s="55" t="str">
        <f>'2024 DO NOT TOUCH'!K56</f>
        <v>ACTIVE</v>
      </c>
      <c r="L56" s="72">
        <f>'2024 DO NOT TOUCH'!L56</f>
        <v>44734</v>
      </c>
      <c r="M56" s="55" t="b">
        <f>'2024 DO NOT TOUCH'!M56</f>
        <v>0</v>
      </c>
      <c r="N56" s="3">
        <f>'2024 DO NOT TOUCH'!N56</f>
        <v>45461</v>
      </c>
      <c r="O56" s="55" t="str">
        <f>'2024 DO NOT TOUCH'!O56</f>
        <v>TROUNG</v>
      </c>
      <c r="P56" s="64">
        <f>'2024 DO NOT TOUCH'!P56</f>
        <v>8.1999999999999993</v>
      </c>
      <c r="Q56" s="64">
        <f>'2024 DO NOT TOUCH'!Q56</f>
        <v>0</v>
      </c>
      <c r="R56" s="64">
        <f>'2024 DO NOT TOUCH'!R56</f>
        <v>3</v>
      </c>
      <c r="S56" s="57" t="str">
        <f>'2024 DO NOT TOUCH'!S56</f>
        <v>TESTED</v>
      </c>
      <c r="T56" s="57" t="str">
        <f>'2024 DO NOT TOUCH'!T56</f>
        <v>PASSED</v>
      </c>
      <c r="U56" s="57">
        <f>'2024 DO NOT TOUCH'!U56</f>
        <v>0</v>
      </c>
      <c r="V56" s="57">
        <f>'2024 DO NOT TOUCH'!V56</f>
        <v>0</v>
      </c>
      <c r="W56" s="57">
        <f>'2024 DO NOT TOUCH'!W56</f>
        <v>0</v>
      </c>
      <c r="X56" s="64">
        <f>'2024 DO NOT TOUCH'!X56</f>
        <v>0</v>
      </c>
      <c r="Y56" s="57">
        <f>'2024 DO NOT TOUCH'!Y56</f>
        <v>0</v>
      </c>
    </row>
    <row r="57" spans="1:25" ht="19.5" customHeight="1">
      <c r="A57" s="58" t="str">
        <f>'2024 DO NOT TOUCH'!A57</f>
        <v>1009</v>
      </c>
      <c r="B57" s="59" t="str">
        <f>'2024 DO NOT TOUCH'!B57</f>
        <v>92 ARW</v>
      </c>
      <c r="C57" s="58" t="str">
        <f>'2024 DO NOT TOUCH'!C57</f>
        <v>6949A</v>
      </c>
      <c r="D57" s="59" t="str">
        <f>'2024 DO NOT TOUCH'!D57</f>
        <v>WILKINS</v>
      </c>
      <c r="E57" s="58" t="str">
        <f>'2024 DO NOT TOUCH'!E57</f>
        <v>350AST</v>
      </c>
      <c r="F57" s="59" t="str">
        <f>'2024 DO NOT TOUCH'!F57</f>
        <v>DC</v>
      </c>
      <c r="G57" s="58" t="str">
        <f>'2024 DO NOT TOUCH'!G57</f>
        <v>6.0</v>
      </c>
      <c r="H57" s="59" t="str">
        <f>'2024 DO NOT TOUCH'!H57</f>
        <v>IN MECH RM ON FIRE</v>
      </c>
      <c r="I57" s="58" t="str">
        <f>'2024 DO NOT TOUCH'!I57</f>
        <v>PREMISE</v>
      </c>
      <c r="J57" s="59" t="str">
        <f>'2024 DO NOT TOUCH'!J57</f>
        <v>FIRE</v>
      </c>
      <c r="K57" s="58" t="str">
        <f>'2024 DO NOT TOUCH'!K57</f>
        <v>ACTIVE</v>
      </c>
      <c r="L57" s="71">
        <f>'2024 DO NOT TOUCH'!L57</f>
        <v>44734</v>
      </c>
      <c r="M57" s="58" t="b">
        <f>'2024 DO NOT TOUCH'!M57</f>
        <v>0</v>
      </c>
      <c r="N57" s="59">
        <f>'2024 DO NOT TOUCH'!N57</f>
        <v>45461</v>
      </c>
      <c r="O57" s="58" t="str">
        <f>'2024 DO NOT TOUCH'!O57</f>
        <v>TROUNG</v>
      </c>
      <c r="P57" s="65">
        <f>'2024 DO NOT TOUCH'!P57</f>
        <v>3</v>
      </c>
      <c r="Q57" s="65">
        <f>'2024 DO NOT TOUCH'!Q57</f>
        <v>2.2000000000000002</v>
      </c>
      <c r="R57" s="65">
        <f>'2024 DO NOT TOUCH'!R57</f>
        <v>0</v>
      </c>
      <c r="S57" s="62" t="str">
        <f>'2024 DO NOT TOUCH'!S57</f>
        <v>TESTED</v>
      </c>
      <c r="T57" s="62" t="str">
        <f>'2024 DO NOT TOUCH'!T57</f>
        <v>PASSED</v>
      </c>
      <c r="U57" s="62">
        <f>'2024 DO NOT TOUCH'!U57</f>
        <v>0</v>
      </c>
      <c r="V57" s="62">
        <f>'2024 DO NOT TOUCH'!V57</f>
        <v>0</v>
      </c>
      <c r="W57" s="62">
        <f>'2024 DO NOT TOUCH'!W57</f>
        <v>0</v>
      </c>
      <c r="X57" s="65">
        <f>'2024 DO NOT TOUCH'!X57</f>
        <v>0</v>
      </c>
      <c r="Y57" s="62">
        <f>'2024 DO NOT TOUCH'!Y57</f>
        <v>0</v>
      </c>
    </row>
    <row r="58" spans="1:25" ht="19.5" customHeight="1">
      <c r="A58" s="55" t="str">
        <f>'2024 DO NOT TOUCH'!A58</f>
        <v>1012</v>
      </c>
      <c r="B58" s="55" t="str">
        <f>'2024 DO NOT TOUCH'!B58</f>
        <v>HANGER 1012</v>
      </c>
      <c r="C58" s="55" t="str">
        <f>'2024 DO NOT TOUCH'!C58</f>
        <v>14524</v>
      </c>
      <c r="D58" s="55" t="str">
        <f>'2024 DO NOT TOUCH'!D58</f>
        <v>WILKINS</v>
      </c>
      <c r="E58" s="55" t="str">
        <f>'2024 DO NOT TOUCH'!E58</f>
        <v>950</v>
      </c>
      <c r="F58" s="55" t="str">
        <f>'2024 DO NOT TOUCH'!F58</f>
        <v>DC</v>
      </c>
      <c r="G58" s="55" t="str">
        <f>'2024 DO NOT TOUCH'!G58</f>
        <v>4.0</v>
      </c>
      <c r="H58" s="55" t="str">
        <f>'2024 DO NOT TOUCH'!H58</f>
        <v>IN BAY FOR PREMISE (NOSE DOCK)</v>
      </c>
      <c r="I58" s="55" t="str">
        <f>'2024 DO NOT TOUCH'!I58</f>
        <v>PREMISE</v>
      </c>
      <c r="J58" s="55" t="str">
        <f>'2024 DO NOT TOUCH'!J58</f>
        <v>PREMISE</v>
      </c>
      <c r="K58" s="55" t="str">
        <f>'2024 DO NOT TOUCH'!K58</f>
        <v>INACTIVE</v>
      </c>
      <c r="L58" s="56">
        <f>'2024 DO NOT TOUCH'!L58</f>
        <v>0</v>
      </c>
      <c r="M58" s="56" t="b">
        <f>'2024 DO NOT TOUCH'!M58</f>
        <v>0</v>
      </c>
      <c r="N58" s="56">
        <f>'2024 DO NOT TOUCH'!N58</f>
        <v>0</v>
      </c>
      <c r="O58" s="55">
        <f>'2024 DO NOT TOUCH'!O58</f>
        <v>0</v>
      </c>
      <c r="P58" s="64">
        <f>'2024 DO NOT TOUCH'!P58</f>
        <v>0</v>
      </c>
      <c r="Q58" s="64">
        <f>'2024 DO NOT TOUCH'!Q58</f>
        <v>0</v>
      </c>
      <c r="R58" s="64">
        <f>'2024 DO NOT TOUCH'!R58</f>
        <v>0</v>
      </c>
      <c r="S58" s="55" t="str">
        <f>'2024 DO NOT TOUCH'!S58</f>
        <v>UNTESTED</v>
      </c>
      <c r="T58" s="55">
        <f>'2024 DO NOT TOUCH'!T58</f>
        <v>0</v>
      </c>
      <c r="U58" s="55">
        <f>'2024 DO NOT TOUCH'!U58</f>
        <v>0</v>
      </c>
      <c r="V58" s="55">
        <f>'2024 DO NOT TOUCH'!V58</f>
        <v>0</v>
      </c>
      <c r="W58" s="55">
        <f>'2024 DO NOT TOUCH'!W58</f>
        <v>0</v>
      </c>
      <c r="X58" s="66">
        <f>'2024 DO NOT TOUCH'!X58</f>
        <v>0</v>
      </c>
      <c r="Y58" s="55" t="str">
        <f>'2024 DO NOT TOUCH'!Y58</f>
        <v>REMOVED</v>
      </c>
    </row>
    <row r="59" spans="1:25" ht="19.5" customHeight="1">
      <c r="A59" s="58" t="str">
        <f>'2024 DO NOT TOUCH'!A59</f>
        <v>1013</v>
      </c>
      <c r="B59" s="59" t="str">
        <f>'2024 DO NOT TOUCH'!B59</f>
        <v>HANGER 1013</v>
      </c>
      <c r="C59" s="58" t="str">
        <f>'2024 DO NOT TOUCH'!C59</f>
        <v>28859</v>
      </c>
      <c r="D59" s="59" t="str">
        <f>'2024 DO NOT TOUCH'!D59</f>
        <v>WILKINS</v>
      </c>
      <c r="E59" s="58" t="str">
        <f>'2024 DO NOT TOUCH'!E59</f>
        <v>350A</v>
      </c>
      <c r="F59" s="59" t="str">
        <f>'2024 DO NOT TOUCH'!F59</f>
        <v>DC</v>
      </c>
      <c r="G59" s="58" t="str">
        <f>'2024 DO NOT TOUCH'!G59</f>
        <v>6.0</v>
      </c>
      <c r="H59" s="59" t="str">
        <f>'2024 DO NOT TOUCH'!H59</f>
        <v>NOSE DOCK ON FIRE</v>
      </c>
      <c r="I59" s="58" t="str">
        <f>'2024 DO NOT TOUCH'!I59</f>
        <v>PREMISE</v>
      </c>
      <c r="J59" s="59" t="str">
        <f>'2024 DO NOT TOUCH'!J59</f>
        <v>FIRE</v>
      </c>
      <c r="K59" s="58" t="str">
        <f>'2024 DO NOT TOUCH'!K59</f>
        <v>INACTIVE</v>
      </c>
      <c r="L59" s="71">
        <f>'2024 DO NOT TOUCH'!L59</f>
        <v>0</v>
      </c>
      <c r="M59" s="58" t="b">
        <f>'2024 DO NOT TOUCH'!M59</f>
        <v>0</v>
      </c>
      <c r="N59" s="59">
        <f>'2024 DO NOT TOUCH'!N59</f>
        <v>45345</v>
      </c>
      <c r="O59" s="58" t="str">
        <f>'2024 DO NOT TOUCH'!O59</f>
        <v>Black</v>
      </c>
      <c r="P59" s="65">
        <f>'2024 DO NOT TOUCH'!P59</f>
        <v>0</v>
      </c>
      <c r="Q59" s="65">
        <f>'2024 DO NOT TOUCH'!Q59</f>
        <v>0</v>
      </c>
      <c r="R59" s="65">
        <f>'2024 DO NOT TOUCH'!R59</f>
        <v>0</v>
      </c>
      <c r="S59" s="62" t="str">
        <f>'2024 DO NOT TOUCH'!S59</f>
        <v>UNTESTED</v>
      </c>
      <c r="T59" s="62">
        <f>'2024 DO NOT TOUCH'!T59</f>
        <v>0</v>
      </c>
      <c r="U59" s="62">
        <f>'2024 DO NOT TOUCH'!U59</f>
        <v>0</v>
      </c>
      <c r="V59" s="62">
        <f>'2024 DO NOT TOUCH'!V59</f>
        <v>0</v>
      </c>
      <c r="W59" s="62">
        <f>'2024 DO NOT TOUCH'!W59</f>
        <v>0</v>
      </c>
      <c r="X59" s="65">
        <f>'2024 DO NOT TOUCH'!X59</f>
        <v>0</v>
      </c>
      <c r="Y59" s="62" t="str">
        <f>'2024 DO NOT TOUCH'!Y59</f>
        <v>ISOLATED IN WINTER</v>
      </c>
    </row>
    <row r="60" spans="1:25" ht="19.5" customHeight="1">
      <c r="A60" s="55" t="str">
        <f>'2024 DO NOT TOUCH'!A60</f>
        <v>1018</v>
      </c>
      <c r="B60" s="3" t="str">
        <f>'2024 DO NOT TOUCH'!B60</f>
        <v>FLIGHT LINE PUMP HOUSE</v>
      </c>
      <c r="C60" s="55" t="str">
        <f>'2024 DO NOT TOUCH'!C60</f>
        <v>L66097</v>
      </c>
      <c r="D60" s="3" t="str">
        <f>'2024 DO NOT TOUCH'!D60</f>
        <v>WATTS</v>
      </c>
      <c r="E60" s="55" t="str">
        <f>'2024 DO NOT TOUCH'!E60</f>
        <v>375</v>
      </c>
      <c r="F60" s="3" t="str">
        <f>'2024 DO NOT TOUCH'!F60</f>
        <v>RP</v>
      </c>
      <c r="G60" s="55" t="str">
        <f>'2024 DO NOT TOUCH'!G60</f>
        <v>6.0</v>
      </c>
      <c r="H60" s="3" t="str">
        <f>'2024 DO NOT TOUCH'!H60</f>
        <v>FIRE MAKEUP</v>
      </c>
      <c r="I60" s="55" t="str">
        <f>'2024 DO NOT TOUCH'!I60</f>
        <v>PREMISE</v>
      </c>
      <c r="J60" s="3" t="str">
        <f>'2024 DO NOT TOUCH'!J60</f>
        <v>FIRE</v>
      </c>
      <c r="K60" s="55" t="str">
        <f>'2024 DO NOT TOUCH'!K60</f>
        <v>ACTIVE</v>
      </c>
      <c r="L60" s="72">
        <f>'2024 DO NOT TOUCH'!L60</f>
        <v>44734</v>
      </c>
      <c r="M60" s="55" t="b">
        <f>'2024 DO NOT TOUCH'!M60</f>
        <v>0</v>
      </c>
      <c r="N60" s="3">
        <f>'2024 DO NOT TOUCH'!N60</f>
        <v>45461</v>
      </c>
      <c r="O60" s="55" t="str">
        <f>'2024 DO NOT TOUCH'!O60</f>
        <v>TROUNG</v>
      </c>
      <c r="P60" s="64">
        <f>'2024 DO NOT TOUCH'!P60</f>
        <v>7.5</v>
      </c>
      <c r="Q60" s="64">
        <f>'2024 DO NOT TOUCH'!Q60</f>
        <v>2.4</v>
      </c>
      <c r="R60" s="64">
        <f>'2024 DO NOT TOUCH'!R60</f>
        <v>0</v>
      </c>
      <c r="S60" s="57" t="str">
        <f>'2024 DO NOT TOUCH'!S60</f>
        <v>TESTED</v>
      </c>
      <c r="T60" s="57" t="str">
        <f>'2024 DO NOT TOUCH'!T60</f>
        <v>PASSED</v>
      </c>
      <c r="U60" s="57" t="str">
        <f>'2024 DO NOT TOUCH'!U60</f>
        <v>y</v>
      </c>
      <c r="V60" s="57">
        <f>'2024 DO NOT TOUCH'!V60</f>
        <v>0</v>
      </c>
      <c r="W60" s="57">
        <f>'2024 DO NOT TOUCH'!W60</f>
        <v>0</v>
      </c>
      <c r="X60" s="64">
        <f>'2024 DO NOT TOUCH'!X60</f>
        <v>0</v>
      </c>
      <c r="Y60" s="57">
        <f>'2024 DO NOT TOUCH'!Y60</f>
        <v>0</v>
      </c>
    </row>
    <row r="61" spans="1:25" ht="19.5" customHeight="1">
      <c r="A61" s="58" t="str">
        <f>'2024 DO NOT TOUCH'!A61</f>
        <v>1019</v>
      </c>
      <c r="B61" s="59" t="str">
        <f>'2024 DO NOT TOUCH'!B61</f>
        <v>WASH RACK HANGER</v>
      </c>
      <c r="C61" s="58" t="str">
        <f>'2024 DO NOT TOUCH'!C61</f>
        <v>A14220</v>
      </c>
      <c r="D61" s="59" t="str">
        <f>'2024 DO NOT TOUCH'!D61</f>
        <v>WILKINS</v>
      </c>
      <c r="E61" s="58" t="str">
        <f>'2024 DO NOT TOUCH'!E61</f>
        <v>950</v>
      </c>
      <c r="F61" s="59" t="str">
        <f>'2024 DO NOT TOUCH'!F61</f>
        <v>DC</v>
      </c>
      <c r="G61" s="58" t="str">
        <f>'2024 DO NOT TOUCH'!G61</f>
        <v>4.0</v>
      </c>
      <c r="H61" s="59" t="str">
        <f>'2024 DO NOT TOUCH'!H61</f>
        <v>IN MECH RM ON HVAC</v>
      </c>
      <c r="I61" s="58" t="str">
        <f>'2024 DO NOT TOUCH'!I61</f>
        <v>INPREMISE</v>
      </c>
      <c r="J61" s="59" t="str">
        <f>'2024 DO NOT TOUCH'!J61</f>
        <v>AOI</v>
      </c>
      <c r="K61" s="58" t="str">
        <f>'2024 DO NOT TOUCH'!K61</f>
        <v>ACTIVE</v>
      </c>
      <c r="L61" s="71">
        <f>'2024 DO NOT TOUCH'!L61</f>
        <v>44614</v>
      </c>
      <c r="M61" s="58" t="b">
        <f>'2024 DO NOT TOUCH'!M61</f>
        <v>0</v>
      </c>
      <c r="N61" s="59">
        <f>'2024 DO NOT TOUCH'!N61</f>
        <v>0</v>
      </c>
      <c r="O61" s="58">
        <f>'2024 DO NOT TOUCH'!O61</f>
        <v>0</v>
      </c>
      <c r="P61" s="65">
        <f>'2024 DO NOT TOUCH'!P61</f>
        <v>0</v>
      </c>
      <c r="Q61" s="65">
        <f>'2024 DO NOT TOUCH'!Q61</f>
        <v>0</v>
      </c>
      <c r="R61" s="65">
        <f>'2024 DO NOT TOUCH'!R61</f>
        <v>0</v>
      </c>
      <c r="S61" s="62" t="str">
        <f>'2024 DO NOT TOUCH'!S61</f>
        <v>TESTED</v>
      </c>
      <c r="T61" s="62" t="str">
        <f>'2024 DO NOT TOUCH'!T61</f>
        <v>PASSED</v>
      </c>
      <c r="U61" s="62">
        <f>'2024 DO NOT TOUCH'!U61</f>
        <v>0</v>
      </c>
      <c r="V61" s="62">
        <f>'2024 DO NOT TOUCH'!V61</f>
        <v>0</v>
      </c>
      <c r="W61" s="62">
        <f>'2024 DO NOT TOUCH'!W61</f>
        <v>0</v>
      </c>
      <c r="X61" s="65">
        <f>'2024 DO NOT TOUCH'!X61</f>
        <v>0</v>
      </c>
      <c r="Y61" s="62">
        <f>'2024 DO NOT TOUCH'!Y61</f>
        <v>0</v>
      </c>
    </row>
    <row r="62" spans="1:25" ht="19.5" customHeight="1">
      <c r="A62" s="55" t="str">
        <f>'2024 DO NOT TOUCH'!A62</f>
        <v>1029</v>
      </c>
      <c r="B62" s="3" t="str">
        <f>'2024 DO NOT TOUCH'!B62</f>
        <v>141</v>
      </c>
      <c r="C62" s="55" t="str">
        <f>'2024 DO NOT TOUCH'!C62</f>
        <v>H43694</v>
      </c>
      <c r="D62" s="3" t="str">
        <f>'2024 DO NOT TOUCH'!D62</f>
        <v>FEBCO</v>
      </c>
      <c r="E62" s="55" t="str">
        <f>'2024 DO NOT TOUCH'!E62</f>
        <v>850</v>
      </c>
      <c r="F62" s="3" t="str">
        <f>'2024 DO NOT TOUCH'!F62</f>
        <v>DC</v>
      </c>
      <c r="G62" s="55" t="str">
        <f>'2024 DO NOT TOUCH'!G62</f>
        <v>2</v>
      </c>
      <c r="H62" s="3" t="str">
        <f>'2024 DO NOT TOUCH'!H62</f>
        <v>1029 NOSE OF DOCK</v>
      </c>
      <c r="I62" s="55" t="str">
        <f>'2024 DO NOT TOUCH'!I62</f>
        <v>PREMISE</v>
      </c>
      <c r="J62" s="3" t="str">
        <f>'2024 DO NOT TOUCH'!J62</f>
        <v>IRR</v>
      </c>
      <c r="K62" s="55" t="str">
        <f>'2024 DO NOT TOUCH'!K62</f>
        <v>ACTIVE</v>
      </c>
      <c r="L62" s="72">
        <f>'2024 DO NOT TOUCH'!L62</f>
        <v>44643</v>
      </c>
      <c r="M62" s="55" t="b">
        <f>'2024 DO NOT TOUCH'!M62</f>
        <v>0</v>
      </c>
      <c r="N62" s="3">
        <f>'2024 DO NOT TOUCH'!N62</f>
        <v>45517</v>
      </c>
      <c r="O62" s="55" t="str">
        <f>'2024 DO NOT TOUCH'!O62</f>
        <v>Bruce</v>
      </c>
      <c r="P62" s="66">
        <f>'2024 DO NOT TOUCH'!P62</f>
        <v>2.6</v>
      </c>
      <c r="Q62" s="66">
        <f>'2024 DO NOT TOUCH'!Q62</f>
        <v>2.4</v>
      </c>
      <c r="R62" s="66">
        <f>'2024 DO NOT TOUCH'!R62</f>
        <v>0</v>
      </c>
      <c r="S62" s="55" t="str">
        <f>'2024 DO NOT TOUCH'!S62</f>
        <v>TESTED</v>
      </c>
      <c r="T62" s="55" t="str">
        <f>'2024 DO NOT TOUCH'!T62</f>
        <v>PASSED</v>
      </c>
      <c r="U62" s="55">
        <f>'2024 DO NOT TOUCH'!U62</f>
        <v>0</v>
      </c>
      <c r="V62" s="55">
        <f>'2024 DO NOT TOUCH'!V62</f>
        <v>0</v>
      </c>
      <c r="W62" s="55">
        <f>'2024 DO NOT TOUCH'!W62</f>
        <v>0</v>
      </c>
      <c r="X62" s="66">
        <f>'2024 DO NOT TOUCH'!X62</f>
        <v>0</v>
      </c>
      <c r="Y62" s="55">
        <f>'2024 DO NOT TOUCH'!Y62</f>
        <v>0</v>
      </c>
    </row>
    <row r="63" spans="1:25" ht="19.5" customHeight="1">
      <c r="A63" s="58" t="str">
        <f>'2024 DO NOT TOUCH'!A63</f>
        <v>1029</v>
      </c>
      <c r="B63" s="59" t="str">
        <f>'2024 DO NOT TOUCH'!B63</f>
        <v>141</v>
      </c>
      <c r="C63" s="58">
        <f>'2024 DO NOT TOUCH'!C63</f>
        <v>0</v>
      </c>
      <c r="D63" s="59" t="str">
        <f>'2024 DO NOT TOUCH'!D63</f>
        <v>WILKINS</v>
      </c>
      <c r="E63" s="58" t="str">
        <f>'2024 DO NOT TOUCH'!E63</f>
        <v>350A</v>
      </c>
      <c r="F63" s="59" t="str">
        <f>'2024 DO NOT TOUCH'!F63</f>
        <v>DC</v>
      </c>
      <c r="G63" s="58" t="str">
        <f>'2024 DO NOT TOUCH'!G63</f>
        <v>4.0</v>
      </c>
      <c r="H63" s="59" t="str">
        <f>'2024 DO NOT TOUCH'!H63</f>
        <v>Nose Dock</v>
      </c>
      <c r="I63" s="58" t="str">
        <f>'2024 DO NOT TOUCH'!I63</f>
        <v>PREMISE</v>
      </c>
      <c r="J63" s="59" t="str">
        <f>'2024 DO NOT TOUCH'!J63</f>
        <v>PREMISE</v>
      </c>
      <c r="K63" s="58" t="str">
        <f>'2024 DO NOT TOUCH'!K63</f>
        <v>ACTIVE</v>
      </c>
      <c r="L63" s="71">
        <f>'2024 DO NOT TOUCH'!L63</f>
        <v>44844</v>
      </c>
      <c r="M63" s="58" t="b">
        <f>'2024 DO NOT TOUCH'!M63</f>
        <v>0</v>
      </c>
      <c r="N63" s="59">
        <f>'2024 DO NOT TOUCH'!N63</f>
        <v>0</v>
      </c>
      <c r="O63" s="58">
        <f>'2024 DO NOT TOUCH'!O63</f>
        <v>0</v>
      </c>
      <c r="P63" s="67">
        <f>'2024 DO NOT TOUCH'!P63</f>
        <v>0</v>
      </c>
      <c r="Q63" s="67">
        <f>'2024 DO NOT TOUCH'!Q63</f>
        <v>0</v>
      </c>
      <c r="R63" s="67">
        <f>'2024 DO NOT TOUCH'!R63</f>
        <v>0</v>
      </c>
      <c r="S63" s="58" t="str">
        <f>'2024 DO NOT TOUCH'!S63</f>
        <v>TESTED</v>
      </c>
      <c r="T63" s="58" t="str">
        <f>'2024 DO NOT TOUCH'!T63</f>
        <v>PASSED</v>
      </c>
      <c r="U63" s="58" t="str">
        <f>'2024 DO NOT TOUCH'!U63</f>
        <v>PASSED</v>
      </c>
      <c r="V63" s="58" t="str">
        <f>'2024 DO NOT TOUCH'!V63</f>
        <v>EXISTING</v>
      </c>
      <c r="W63" s="58">
        <f>'2024 DO NOT TOUCH'!W63</f>
        <v>0</v>
      </c>
      <c r="X63" s="67">
        <f>'2024 DO NOT TOUCH'!X63</f>
        <v>0</v>
      </c>
      <c r="Y63" s="58" t="str">
        <f>'2024 DO NOT TOUCH'!Y63</f>
        <v>No serial number</v>
      </c>
    </row>
    <row r="64" spans="1:25" ht="19.5" customHeight="1">
      <c r="A64" s="77" t="str">
        <f>'2024 DO NOT TOUCH'!A64</f>
        <v>1033</v>
      </c>
      <c r="B64" s="78" t="str">
        <f>'2024 DO NOT TOUCH'!B64</f>
        <v>Hanger</v>
      </c>
      <c r="C64" s="77" t="str">
        <f>'2024 DO NOT TOUCH'!C64</f>
        <v>U27345</v>
      </c>
      <c r="D64" s="78" t="str">
        <f>'2024 DO NOT TOUCH'!D64</f>
        <v>WILKINS</v>
      </c>
      <c r="E64" s="77" t="str">
        <f>'2024 DO NOT TOUCH'!E64</f>
        <v>350A</v>
      </c>
      <c r="F64" s="78" t="str">
        <f>'2024 DO NOT TOUCH'!F64</f>
        <v>DC</v>
      </c>
      <c r="G64" s="77">
        <f>'2024 DO NOT TOUCH'!G64</f>
        <v>4</v>
      </c>
      <c r="H64" s="78" t="str">
        <f>'2024 DO NOT TOUCH'!H64</f>
        <v xml:space="preserve">1033 Nose Dock </v>
      </c>
      <c r="I64" s="77" t="str">
        <f>'2024 DO NOT TOUCH'!I64</f>
        <v>PREMISE</v>
      </c>
      <c r="J64" s="78" t="str">
        <f>'2024 DO NOT TOUCH'!J64</f>
        <v>PREMISE</v>
      </c>
      <c r="K64" s="77" t="str">
        <f>'2024 DO NOT TOUCH'!K64</f>
        <v>ACTIVE</v>
      </c>
      <c r="L64" s="79">
        <f>'2024 DO NOT TOUCH'!L64</f>
        <v>44844</v>
      </c>
      <c r="M64" s="77" t="b">
        <f>'2024 DO NOT TOUCH'!M64</f>
        <v>0</v>
      </c>
      <c r="N64" s="78">
        <f>'2024 DO NOT TOUCH'!N64</f>
        <v>45523</v>
      </c>
      <c r="O64" s="77" t="str">
        <f>'2024 DO NOT TOUCH'!O64</f>
        <v>Bruce</v>
      </c>
      <c r="P64" s="80">
        <f>'2024 DO NOT TOUCH'!P64</f>
        <v>1.8</v>
      </c>
      <c r="Q64" s="80">
        <f>'2024 DO NOT TOUCH'!Q64</f>
        <v>3.2</v>
      </c>
      <c r="R64" s="80">
        <f>'2024 DO NOT TOUCH'!R64</f>
        <v>0</v>
      </c>
      <c r="S64" s="81" t="str">
        <f>'2024 DO NOT TOUCH'!S64</f>
        <v>TESTED</v>
      </c>
      <c r="T64" s="81" t="str">
        <f>'2024 DO NOT TOUCH'!T64</f>
        <v>PASSED</v>
      </c>
      <c r="U64" s="81">
        <f>'2024 DO NOT TOUCH'!U64</f>
        <v>0</v>
      </c>
      <c r="V64" s="81">
        <f>'2024 DO NOT TOUCH'!V64</f>
        <v>0</v>
      </c>
      <c r="W64" s="81">
        <f>'2024 DO NOT TOUCH'!W64</f>
        <v>0</v>
      </c>
      <c r="X64" s="80">
        <f>'2024 DO NOT TOUCH'!X64</f>
        <v>0</v>
      </c>
      <c r="Y64" s="81">
        <f>'2024 DO NOT TOUCH'!Y64</f>
        <v>0</v>
      </c>
    </row>
    <row r="65" spans="1:25" ht="19.5" customHeight="1">
      <c r="A65" s="58" t="str">
        <f>'2024 DO NOT TOUCH'!A65</f>
        <v>1033</v>
      </c>
      <c r="B65" s="59" t="str">
        <f>'2024 DO NOT TOUCH'!B65</f>
        <v>141</v>
      </c>
      <c r="C65" s="58" t="str">
        <f>'2024 DO NOT TOUCH'!C65</f>
        <v>1363767</v>
      </c>
      <c r="D65" s="59" t="str">
        <f>'2024 DO NOT TOUCH'!D65</f>
        <v>WILKINS</v>
      </c>
      <c r="E65" s="58" t="str">
        <f>'2024 DO NOT TOUCH'!E65</f>
        <v>975XL</v>
      </c>
      <c r="F65" s="59" t="str">
        <f>'2024 DO NOT TOUCH'!F65</f>
        <v>RP</v>
      </c>
      <c r="G65" s="58" t="str">
        <f>'2024 DO NOT TOUCH'!G65</f>
        <v>.75</v>
      </c>
      <c r="H65" s="59" t="str">
        <f>'2024 DO NOT TOUCH'!H65</f>
        <v>BOILER ROOM</v>
      </c>
      <c r="I65" s="58" t="str">
        <f>'2024 DO NOT TOUCH'!I65</f>
        <v>INPREMISE</v>
      </c>
      <c r="J65" s="59" t="str">
        <f>'2024 DO NOT TOUCH'!J65</f>
        <v>AOI</v>
      </c>
      <c r="K65" s="58" t="str">
        <f>'2024 DO NOT TOUCH'!K65</f>
        <v>ACTIVE</v>
      </c>
      <c r="L65" s="71">
        <f>'2024 DO NOT TOUCH'!L65</f>
        <v>44574</v>
      </c>
      <c r="M65" s="58" t="b">
        <f>'2024 DO NOT TOUCH'!M65</f>
        <v>0</v>
      </c>
      <c r="N65" s="59">
        <f>'2024 DO NOT TOUCH'!N65</f>
        <v>0</v>
      </c>
      <c r="O65" s="58">
        <f>'2024 DO NOT TOUCH'!O65</f>
        <v>0</v>
      </c>
      <c r="P65" s="65">
        <f>'2024 DO NOT TOUCH'!P65</f>
        <v>0</v>
      </c>
      <c r="Q65" s="65">
        <f>'2024 DO NOT TOUCH'!Q65</f>
        <v>0</v>
      </c>
      <c r="R65" s="65">
        <f>'2024 DO NOT TOUCH'!R65</f>
        <v>0</v>
      </c>
      <c r="S65" s="62" t="str">
        <f>'2024 DO NOT TOUCH'!S65</f>
        <v>TESTED</v>
      </c>
      <c r="T65" s="62" t="str">
        <f>'2024 DO NOT TOUCH'!T65</f>
        <v>PASSED</v>
      </c>
      <c r="U65" s="62">
        <f>'2024 DO NOT TOUCH'!U65</f>
        <v>0</v>
      </c>
      <c r="V65" s="62">
        <f>'2024 DO NOT TOUCH'!V65</f>
        <v>0</v>
      </c>
      <c r="W65" s="62">
        <f>'2024 DO NOT TOUCH'!W65</f>
        <v>0</v>
      </c>
      <c r="X65" s="65">
        <f>'2024 DO NOT TOUCH'!X65</f>
        <v>0</v>
      </c>
      <c r="Y65" s="62">
        <f>'2024 DO NOT TOUCH'!Y65</f>
        <v>0</v>
      </c>
    </row>
    <row r="66" spans="1:25" ht="19.5" customHeight="1">
      <c r="A66" s="77" t="str">
        <f>'2024 DO NOT TOUCH'!A66</f>
        <v>1033</v>
      </c>
      <c r="B66" s="78" t="str">
        <f>'2024 DO NOT TOUCH'!B66</f>
        <v>141</v>
      </c>
      <c r="C66" s="77" t="str">
        <f>'2024 DO NOT TOUCH'!C66</f>
        <v>43022</v>
      </c>
      <c r="D66" s="78" t="str">
        <f>'2024 DO NOT TOUCH'!D66</f>
        <v>FEBCO</v>
      </c>
      <c r="E66" s="77" t="str">
        <f>'2024 DO NOT TOUCH'!E66</f>
        <v>850</v>
      </c>
      <c r="F66" s="78" t="str">
        <f>'2024 DO NOT TOUCH'!F66</f>
        <v>DC</v>
      </c>
      <c r="G66" s="77" t="str">
        <f>'2024 DO NOT TOUCH'!G66</f>
        <v>2</v>
      </c>
      <c r="H66" s="78" t="str">
        <f>'2024 DO NOT TOUCH'!H66</f>
        <v>1033 NOSE OF DOCK</v>
      </c>
      <c r="I66" s="77" t="str">
        <f>'2024 DO NOT TOUCH'!I66</f>
        <v>PREMISE</v>
      </c>
      <c r="J66" s="78" t="str">
        <f>'2024 DO NOT TOUCH'!J66</f>
        <v>AOI</v>
      </c>
      <c r="K66" s="77" t="str">
        <f>'2024 DO NOT TOUCH'!K66</f>
        <v>ACTIVE</v>
      </c>
      <c r="L66" s="79">
        <f>'2024 DO NOT TOUCH'!L66</f>
        <v>44643</v>
      </c>
      <c r="M66" s="77" t="b">
        <f>'2024 DO NOT TOUCH'!M66</f>
        <v>0</v>
      </c>
      <c r="N66" s="78">
        <f>'2024 DO NOT TOUCH'!N66</f>
        <v>0</v>
      </c>
      <c r="O66" s="77">
        <f>'2024 DO NOT TOUCH'!O66</f>
        <v>0</v>
      </c>
      <c r="P66" s="80">
        <f>'2024 DO NOT TOUCH'!P66</f>
        <v>0</v>
      </c>
      <c r="Q66" s="80">
        <f>'2024 DO NOT TOUCH'!Q66</f>
        <v>0</v>
      </c>
      <c r="R66" s="80">
        <f>'2024 DO NOT TOUCH'!R66</f>
        <v>0</v>
      </c>
      <c r="S66" s="81" t="str">
        <f>'2024 DO NOT TOUCH'!S66</f>
        <v>TESTED</v>
      </c>
      <c r="T66" s="81" t="str">
        <f>'2024 DO NOT TOUCH'!T66</f>
        <v>PASSED</v>
      </c>
      <c r="U66" s="81" t="str">
        <f>'2024 DO NOT TOUCH'!U66</f>
        <v>PASSED</v>
      </c>
      <c r="V66" s="81" t="str">
        <f>'2024 DO NOT TOUCH'!V66</f>
        <v>EXISTING</v>
      </c>
      <c r="W66" s="81" t="str">
        <f>'2024 DO NOT TOUCH'!W66</f>
        <v>EXISTING</v>
      </c>
      <c r="X66" s="80">
        <f>'2024 DO NOT TOUCH'!X66</f>
        <v>0</v>
      </c>
      <c r="Y66" s="81">
        <f>'2024 DO NOT TOUCH'!Y66</f>
        <v>0</v>
      </c>
    </row>
    <row r="67" spans="1:25" ht="19.5" customHeight="1">
      <c r="A67" s="58" t="str">
        <f>'2024 DO NOT TOUCH'!A67</f>
        <v>1034</v>
      </c>
      <c r="B67" s="59" t="str">
        <f>'2024 DO NOT TOUCH'!B67</f>
        <v>141</v>
      </c>
      <c r="C67" s="58" t="str">
        <f>'2024 DO NOT TOUCH'!C67</f>
        <v>1363757</v>
      </c>
      <c r="D67" s="59" t="str">
        <f>'2024 DO NOT TOUCH'!D67</f>
        <v>WILKINS</v>
      </c>
      <c r="E67" s="58" t="str">
        <f>'2024 DO NOT TOUCH'!E67</f>
        <v>975XL</v>
      </c>
      <c r="F67" s="59" t="str">
        <f>'2024 DO NOT TOUCH'!F67</f>
        <v>RP</v>
      </c>
      <c r="G67" s="58" t="str">
        <f>'2024 DO NOT TOUCH'!G67</f>
        <v>.75</v>
      </c>
      <c r="H67" s="59" t="str">
        <f>'2024 DO NOT TOUCH'!H67</f>
        <v>BOILER ROOM</v>
      </c>
      <c r="I67" s="58" t="str">
        <f>'2024 DO NOT TOUCH'!I67</f>
        <v>PREMISE</v>
      </c>
      <c r="J67" s="59" t="str">
        <f>'2024 DO NOT TOUCH'!J67</f>
        <v>AOI</v>
      </c>
      <c r="K67" s="58" t="str">
        <f>'2024 DO NOT TOUCH'!K67</f>
        <v>ACTIVE</v>
      </c>
      <c r="L67" s="71">
        <f>'2024 DO NOT TOUCH'!L67</f>
        <v>44573</v>
      </c>
      <c r="M67" s="58" t="b">
        <f>'2024 DO NOT TOUCH'!M67</f>
        <v>0</v>
      </c>
      <c r="N67" s="59">
        <f>'2024 DO NOT TOUCH'!N67</f>
        <v>45531</v>
      </c>
      <c r="O67" s="58" t="str">
        <f>'2024 DO NOT TOUCH'!O67</f>
        <v>Bruce</v>
      </c>
      <c r="P67" s="67">
        <f>'2024 DO NOT TOUCH'!P67</f>
        <v>8</v>
      </c>
      <c r="Q67" s="67">
        <f>'2024 DO NOT TOUCH'!Q67</f>
        <v>0</v>
      </c>
      <c r="R67" s="67">
        <f>'2024 DO NOT TOUCH'!R67</f>
        <v>3.4</v>
      </c>
      <c r="S67" s="58" t="str">
        <f>'2024 DO NOT TOUCH'!S67</f>
        <v>TESTED</v>
      </c>
      <c r="T67" s="58" t="str">
        <f>'2024 DO NOT TOUCH'!T67</f>
        <v>PASSED</v>
      </c>
      <c r="U67" s="58">
        <f>'2024 DO NOT TOUCH'!U67</f>
        <v>0</v>
      </c>
      <c r="V67" s="58">
        <f>'2024 DO NOT TOUCH'!V67</f>
        <v>0</v>
      </c>
      <c r="W67" s="58">
        <f>'2024 DO NOT TOUCH'!W67</f>
        <v>0</v>
      </c>
      <c r="X67" s="67">
        <f>'2024 DO NOT TOUCH'!X67</f>
        <v>0</v>
      </c>
      <c r="Y67" s="58">
        <f>'2024 DO NOT TOUCH'!Y67</f>
        <v>0</v>
      </c>
    </row>
    <row r="68" spans="1:25" ht="19.5" customHeight="1">
      <c r="A68" s="77" t="str">
        <f>'2024 DO NOT TOUCH'!A68</f>
        <v>1034</v>
      </c>
      <c r="B68" s="78" t="str">
        <f>'2024 DO NOT TOUCH'!B68</f>
        <v>141</v>
      </c>
      <c r="C68" s="77" t="str">
        <f>'2024 DO NOT TOUCH'!C68</f>
        <v>H09361</v>
      </c>
      <c r="D68" s="78" t="str">
        <f>'2024 DO NOT TOUCH'!D68</f>
        <v>WILKINS</v>
      </c>
      <c r="E68" s="77" t="str">
        <f>'2024 DO NOT TOUCH'!E68</f>
        <v>825Y</v>
      </c>
      <c r="F68" s="78" t="str">
        <f>'2024 DO NOT TOUCH'!F68</f>
        <v>RP</v>
      </c>
      <c r="G68" s="77" t="str">
        <f>'2024 DO NOT TOUCH'!G68</f>
        <v>2.0</v>
      </c>
      <c r="H68" s="78" t="str">
        <f>'2024 DO NOT TOUCH'!H68</f>
        <v xml:space="preserve">Domestic </v>
      </c>
      <c r="I68" s="77" t="str">
        <f>'2024 DO NOT TOUCH'!I68</f>
        <v>PREMISE</v>
      </c>
      <c r="J68" s="78" t="str">
        <f>'2024 DO NOT TOUCH'!J68</f>
        <v>PREMISE</v>
      </c>
      <c r="K68" s="77" t="str">
        <f>'2024 DO NOT TOUCH'!K68</f>
        <v>ACTIVE</v>
      </c>
      <c r="L68" s="79">
        <f>'2024 DO NOT TOUCH'!L68</f>
        <v>44844</v>
      </c>
      <c r="M68" s="77" t="b">
        <f>'2024 DO NOT TOUCH'!M68</f>
        <v>0</v>
      </c>
      <c r="N68" s="78">
        <f>'2024 DO NOT TOUCH'!N68</f>
        <v>45523</v>
      </c>
      <c r="O68" s="77" t="str">
        <f>'2024 DO NOT TOUCH'!O68</f>
        <v>Bruce</v>
      </c>
      <c r="P68" s="83">
        <f>'2024 DO NOT TOUCH'!P68</f>
        <v>7</v>
      </c>
      <c r="Q68" s="83">
        <f>'2024 DO NOT TOUCH'!Q68</f>
        <v>0</v>
      </c>
      <c r="R68" s="83">
        <f>'2024 DO NOT TOUCH'!R68</f>
        <v>3.8</v>
      </c>
      <c r="S68" s="77" t="str">
        <f>'2024 DO NOT TOUCH'!S68</f>
        <v>TESTED</v>
      </c>
      <c r="T68" s="77" t="str">
        <f>'2024 DO NOT TOUCH'!T68</f>
        <v>PASSED</v>
      </c>
      <c r="U68" s="77">
        <f>'2024 DO NOT TOUCH'!U68</f>
        <v>0</v>
      </c>
      <c r="V68" s="77">
        <f>'2024 DO NOT TOUCH'!V68</f>
        <v>0</v>
      </c>
      <c r="W68" s="77">
        <f>'2024 DO NOT TOUCH'!W68</f>
        <v>0</v>
      </c>
      <c r="X68" s="83">
        <f>'2024 DO NOT TOUCH'!X68</f>
        <v>0</v>
      </c>
      <c r="Y68" s="77">
        <f>'2024 DO NOT TOUCH'!Y68</f>
        <v>0</v>
      </c>
    </row>
    <row r="69" spans="1:25" ht="19.5" customHeight="1">
      <c r="A69" s="58" t="str">
        <f>'2024 DO NOT TOUCH'!A69</f>
        <v>1037</v>
      </c>
      <c r="B69" s="59" t="str">
        <f>'2024 DO NOT TOUCH'!B69</f>
        <v>141</v>
      </c>
      <c r="C69" s="58" t="str">
        <f>'2024 DO NOT TOUCH'!C69</f>
        <v>1363765</v>
      </c>
      <c r="D69" s="59" t="str">
        <f>'2024 DO NOT TOUCH'!D69</f>
        <v>WILKINS</v>
      </c>
      <c r="E69" s="58" t="str">
        <f>'2024 DO NOT TOUCH'!E69</f>
        <v>975XL</v>
      </c>
      <c r="F69" s="59" t="str">
        <f>'2024 DO NOT TOUCH'!F69</f>
        <v>RP</v>
      </c>
      <c r="G69" s="58" t="str">
        <f>'2024 DO NOT TOUCH'!G69</f>
        <v>.75</v>
      </c>
      <c r="H69" s="59" t="str">
        <f>'2024 DO NOT TOUCH'!H69</f>
        <v>BOILER ROOM</v>
      </c>
      <c r="I69" s="58" t="str">
        <f>'2024 DO NOT TOUCH'!I69</f>
        <v>PREMISE</v>
      </c>
      <c r="J69" s="59" t="str">
        <f>'2024 DO NOT TOUCH'!J69</f>
        <v>AOI</v>
      </c>
      <c r="K69" s="58" t="str">
        <f>'2024 DO NOT TOUCH'!K69</f>
        <v>ACTIVE</v>
      </c>
      <c r="L69" s="71">
        <f>'2024 DO NOT TOUCH'!L69</f>
        <v>44574</v>
      </c>
      <c r="M69" s="58" t="b">
        <f>'2024 DO NOT TOUCH'!M69</f>
        <v>0</v>
      </c>
      <c r="N69" s="59">
        <f>'2024 DO NOT TOUCH'!N69</f>
        <v>0</v>
      </c>
      <c r="O69" s="58">
        <f>'2024 DO NOT TOUCH'!O69</f>
        <v>0</v>
      </c>
      <c r="P69" s="65">
        <f>'2024 DO NOT TOUCH'!P69</f>
        <v>0</v>
      </c>
      <c r="Q69" s="65">
        <f>'2024 DO NOT TOUCH'!Q69</f>
        <v>0</v>
      </c>
      <c r="R69" s="65">
        <f>'2024 DO NOT TOUCH'!R69</f>
        <v>0</v>
      </c>
      <c r="S69" s="62" t="str">
        <f>'2024 DO NOT TOUCH'!S69</f>
        <v>TESTED</v>
      </c>
      <c r="T69" s="62" t="str">
        <f>'2024 DO NOT TOUCH'!T69</f>
        <v>PASSED</v>
      </c>
      <c r="U69" s="62">
        <f>'2024 DO NOT TOUCH'!U69</f>
        <v>0</v>
      </c>
      <c r="V69" s="62">
        <f>'2024 DO NOT TOUCH'!V69</f>
        <v>0</v>
      </c>
      <c r="W69" s="62">
        <f>'2024 DO NOT TOUCH'!W69</f>
        <v>0</v>
      </c>
      <c r="X69" s="65">
        <f>'2024 DO NOT TOUCH'!X69</f>
        <v>0</v>
      </c>
      <c r="Y69" s="62">
        <f>'2024 DO NOT TOUCH'!Y69</f>
        <v>0</v>
      </c>
    </row>
    <row r="70" spans="1:25" ht="19.5" customHeight="1">
      <c r="A70" s="55" t="str">
        <f>'2024 DO NOT TOUCH'!A70</f>
        <v>1037</v>
      </c>
      <c r="B70" s="3" t="str">
        <f>'2024 DO NOT TOUCH'!B70</f>
        <v>141</v>
      </c>
      <c r="C70" s="55" t="str">
        <f>'2024 DO NOT TOUCH'!C70</f>
        <v>U27375</v>
      </c>
      <c r="D70" s="3" t="str">
        <f>'2024 DO NOT TOUCH'!D70</f>
        <v>WILKINS</v>
      </c>
      <c r="E70" s="55" t="str">
        <f>'2024 DO NOT TOUCH'!E70</f>
        <v>350A</v>
      </c>
      <c r="F70" s="3" t="str">
        <f>'2024 DO NOT TOUCH'!F70</f>
        <v>DC</v>
      </c>
      <c r="G70" s="55" t="str">
        <f>'2024 DO NOT TOUCH'!G70</f>
        <v>4.0</v>
      </c>
      <c r="H70" s="3" t="str">
        <f>'2024 DO NOT TOUCH'!H70</f>
        <v>Nose Dock</v>
      </c>
      <c r="I70" s="55" t="str">
        <f>'2024 DO NOT TOUCH'!I70</f>
        <v>PREMISE</v>
      </c>
      <c r="J70" s="3" t="str">
        <f>'2024 DO NOT TOUCH'!J70</f>
        <v>PREMISE</v>
      </c>
      <c r="K70" s="55" t="str">
        <f>'2024 DO NOT TOUCH'!K70</f>
        <v>ACTIVE</v>
      </c>
      <c r="L70" s="72">
        <f>'2024 DO NOT TOUCH'!L70</f>
        <v>44657</v>
      </c>
      <c r="M70" s="55" t="b">
        <f>'2024 DO NOT TOUCH'!M70</f>
        <v>0</v>
      </c>
      <c r="N70" s="3">
        <f>'2024 DO NOT TOUCH'!N70</f>
        <v>45523</v>
      </c>
      <c r="O70" s="55" t="str">
        <f>'2024 DO NOT TOUCH'!O70</f>
        <v>Bruce</v>
      </c>
      <c r="P70" s="64">
        <f>'2024 DO NOT TOUCH'!P70</f>
        <v>4.5999999999999996</v>
      </c>
      <c r="Q70" s="64">
        <f>'2024 DO NOT TOUCH'!Q70</f>
        <v>3.6</v>
      </c>
      <c r="R70" s="64">
        <f>'2024 DO NOT TOUCH'!R70</f>
        <v>0</v>
      </c>
      <c r="S70" s="57" t="str">
        <f>'2024 DO NOT TOUCH'!S70</f>
        <v>TESTED</v>
      </c>
      <c r="T70" s="57" t="str">
        <f>'2024 DO NOT TOUCH'!T70</f>
        <v>PASSED</v>
      </c>
      <c r="U70" s="57">
        <f>'2024 DO NOT TOUCH'!U70</f>
        <v>0</v>
      </c>
      <c r="V70" s="57">
        <f>'2024 DO NOT TOUCH'!V70</f>
        <v>0</v>
      </c>
      <c r="W70" s="57">
        <f>'2024 DO NOT TOUCH'!W70</f>
        <v>0</v>
      </c>
      <c r="X70" s="64">
        <f>'2024 DO NOT TOUCH'!X70</f>
        <v>0</v>
      </c>
      <c r="Y70" s="57">
        <f>'2024 DO NOT TOUCH'!Y70</f>
        <v>0</v>
      </c>
    </row>
    <row r="71" spans="1:25" ht="19.5" customHeight="1">
      <c r="A71" s="58" t="str">
        <f>'2024 DO NOT TOUCH'!A71</f>
        <v>1039</v>
      </c>
      <c r="B71" s="59" t="str">
        <f>'2024 DO NOT TOUCH'!B71</f>
        <v>141</v>
      </c>
      <c r="C71" s="58" t="str">
        <f>'2024 DO NOT TOUCH'!C71</f>
        <v>212433</v>
      </c>
      <c r="D71" s="59" t="str">
        <f>'2024 DO NOT TOUCH'!D71</f>
        <v>WATTS</v>
      </c>
      <c r="E71" s="58" t="str">
        <f>'2024 DO NOT TOUCH'!E71</f>
        <v>LF009M3QT</v>
      </c>
      <c r="F71" s="59" t="str">
        <f>'2024 DO NOT TOUCH'!F71</f>
        <v>RP</v>
      </c>
      <c r="G71" s="58" t="str">
        <f>'2024 DO NOT TOUCH'!G71</f>
        <v>.75</v>
      </c>
      <c r="H71" s="59" t="str">
        <f>'2024 DO NOT TOUCH'!H71</f>
        <v>MECH ROOM</v>
      </c>
      <c r="I71" s="58" t="str">
        <f>'2024 DO NOT TOUCH'!I71</f>
        <v>PREMISE</v>
      </c>
      <c r="J71" s="59" t="str">
        <f>'2024 DO NOT TOUCH'!J71</f>
        <v>AOI</v>
      </c>
      <c r="K71" s="58" t="str">
        <f>'2024 DO NOT TOUCH'!K71</f>
        <v>ACTIVE</v>
      </c>
      <c r="L71" s="71">
        <f>'2024 DO NOT TOUCH'!L71</f>
        <v>44657</v>
      </c>
      <c r="M71" s="58" t="b">
        <f>'2024 DO NOT TOUCH'!M71</f>
        <v>0</v>
      </c>
      <c r="N71" s="59">
        <f>'2024 DO NOT TOUCH'!N71</f>
        <v>0</v>
      </c>
      <c r="O71" s="58">
        <f>'2024 DO NOT TOUCH'!O71</f>
        <v>0</v>
      </c>
      <c r="P71" s="65">
        <f>'2024 DO NOT TOUCH'!P71</f>
        <v>0</v>
      </c>
      <c r="Q71" s="65">
        <f>'2024 DO NOT TOUCH'!Q71</f>
        <v>0</v>
      </c>
      <c r="R71" s="65">
        <f>'2024 DO NOT TOUCH'!R71</f>
        <v>0</v>
      </c>
      <c r="S71" s="62" t="str">
        <f>'2024 DO NOT TOUCH'!S71</f>
        <v>TESTED</v>
      </c>
      <c r="T71" s="62" t="str">
        <f>'2024 DO NOT TOUCH'!T71</f>
        <v>PASSED</v>
      </c>
      <c r="U71" s="62" t="str">
        <f>'2024 DO NOT TOUCH'!U71</f>
        <v>PASSED</v>
      </c>
      <c r="V71" s="62" t="str">
        <f>'2024 DO NOT TOUCH'!V71</f>
        <v>EXISTING</v>
      </c>
      <c r="W71" s="62" t="str">
        <f>'2024 DO NOT TOUCH'!W71</f>
        <v>EXISTING</v>
      </c>
      <c r="X71" s="65">
        <f>'2024 DO NOT TOUCH'!X71</f>
        <v>0</v>
      </c>
      <c r="Y71" s="62">
        <f>'2024 DO NOT TOUCH'!Y71</f>
        <v>0</v>
      </c>
    </row>
    <row r="72" spans="1:25" ht="19.5" customHeight="1">
      <c r="A72" s="55" t="str">
        <f>'2024 DO NOT TOUCH'!A72</f>
        <v>1039</v>
      </c>
      <c r="B72" s="55" t="str">
        <f>'2024 DO NOT TOUCH'!B72</f>
        <v>141</v>
      </c>
      <c r="C72" s="55" t="str">
        <f>'2024 DO NOT TOUCH'!C72</f>
        <v>26443</v>
      </c>
      <c r="D72" s="55" t="str">
        <f>'2024 DO NOT TOUCH'!D72</f>
        <v>WILKINS</v>
      </c>
      <c r="E72" s="55" t="str">
        <f>'2024 DO NOT TOUCH'!E72</f>
        <v>350A</v>
      </c>
      <c r="F72" s="55" t="str">
        <f>'2024 DO NOT TOUCH'!F72</f>
        <v>DC</v>
      </c>
      <c r="G72" s="55" t="str">
        <f>'2024 DO NOT TOUCH'!G72</f>
        <v>4</v>
      </c>
      <c r="H72" s="55" t="str">
        <f>'2024 DO NOT TOUCH'!H72</f>
        <v xml:space="preserve">MECH ROOM </v>
      </c>
      <c r="I72" s="55" t="str">
        <f>'2024 DO NOT TOUCH'!I72</f>
        <v>PREMISE</v>
      </c>
      <c r="J72" s="55" t="str">
        <f>'2024 DO NOT TOUCH'!J72</f>
        <v>FIRE</v>
      </c>
      <c r="K72" s="55" t="str">
        <f>'2024 DO NOT TOUCH'!K72</f>
        <v>INACTIVE</v>
      </c>
      <c r="L72" s="56">
        <f>'2024 DO NOT TOUCH'!L72</f>
        <v>44657</v>
      </c>
      <c r="M72" s="56" t="b">
        <f>'2024 DO NOT TOUCH'!M72</f>
        <v>0</v>
      </c>
      <c r="N72" s="56">
        <f>'2024 DO NOT TOUCH'!N72</f>
        <v>0</v>
      </c>
      <c r="O72" s="55">
        <f>'2024 DO NOT TOUCH'!O72</f>
        <v>0</v>
      </c>
      <c r="P72" s="64">
        <f>'2024 DO NOT TOUCH'!P72</f>
        <v>0</v>
      </c>
      <c r="Q72" s="64">
        <f>'2024 DO NOT TOUCH'!Q72</f>
        <v>0</v>
      </c>
      <c r="R72" s="64">
        <f>'2024 DO NOT TOUCH'!R72</f>
        <v>0</v>
      </c>
      <c r="S72" s="55" t="str">
        <f>'2024 DO NOT TOUCH'!S72</f>
        <v>TESTED</v>
      </c>
      <c r="T72" s="55" t="str">
        <f>'2024 DO NOT TOUCH'!T72</f>
        <v>PASSED</v>
      </c>
      <c r="U72" s="55" t="str">
        <f>'2024 DO NOT TOUCH'!U72</f>
        <v>PASSED</v>
      </c>
      <c r="V72" s="55" t="str">
        <f>'2024 DO NOT TOUCH'!V72</f>
        <v>EXISTING</v>
      </c>
      <c r="W72" s="55" t="str">
        <f>'2024 DO NOT TOUCH'!W72</f>
        <v>EXISTING</v>
      </c>
      <c r="X72" s="66">
        <f>'2024 DO NOT TOUCH'!X72</f>
        <v>0</v>
      </c>
      <c r="Y72" s="55">
        <f>'2024 DO NOT TOUCH'!Y72</f>
        <v>0</v>
      </c>
    </row>
    <row r="73" spans="1:25" ht="19.5" customHeight="1">
      <c r="A73" s="58" t="str">
        <f>'2024 DO NOT TOUCH'!A73</f>
        <v>1048</v>
      </c>
      <c r="B73" s="59" t="str">
        <f>'2024 DO NOT TOUCH'!B73</f>
        <v>141</v>
      </c>
      <c r="C73" s="58" t="str">
        <f>'2024 DO NOT TOUCH'!C73</f>
        <v>L11675</v>
      </c>
      <c r="D73" s="59" t="str">
        <f>'2024 DO NOT TOUCH'!D73</f>
        <v>WILKINS</v>
      </c>
      <c r="E73" s="58" t="str">
        <f>'2024 DO NOT TOUCH'!E73</f>
        <v>375</v>
      </c>
      <c r="F73" s="59" t="str">
        <f>'2024 DO NOT TOUCH'!F73</f>
        <v>RP</v>
      </c>
      <c r="G73" s="58" t="str">
        <f>'2024 DO NOT TOUCH'!G73</f>
        <v>4</v>
      </c>
      <c r="H73" s="59" t="str">
        <f>'2024 DO NOT TOUCH'!H73</f>
        <v xml:space="preserve">1048 PUMP HOUSE </v>
      </c>
      <c r="I73" s="58" t="str">
        <f>'2024 DO NOT TOUCH'!I73</f>
        <v>PREMISE</v>
      </c>
      <c r="J73" s="59" t="str">
        <f>'2024 DO NOT TOUCH'!J73</f>
        <v>FIRE</v>
      </c>
      <c r="K73" s="58" t="str">
        <f>'2024 DO NOT TOUCH'!K73</f>
        <v>ACTIVE</v>
      </c>
      <c r="L73" s="71">
        <f>'2024 DO NOT TOUCH'!L73</f>
        <v>44574</v>
      </c>
      <c r="M73" s="58" t="b">
        <f>'2024 DO NOT TOUCH'!M73</f>
        <v>0</v>
      </c>
      <c r="N73" s="59">
        <f>'2024 DO NOT TOUCH'!N73</f>
        <v>45517</v>
      </c>
      <c r="O73" s="58" t="str">
        <f>'2024 DO NOT TOUCH'!O73</f>
        <v>Bruce</v>
      </c>
      <c r="P73" s="65">
        <f>'2024 DO NOT TOUCH'!P73</f>
        <v>9.6999999999999993</v>
      </c>
      <c r="Q73" s="65">
        <f>'2024 DO NOT TOUCH'!Q73</f>
        <v>0</v>
      </c>
      <c r="R73" s="65">
        <f>'2024 DO NOT TOUCH'!R73</f>
        <v>4.4000000000000004</v>
      </c>
      <c r="S73" s="62" t="str">
        <f>'2024 DO NOT TOUCH'!S73</f>
        <v>TESTED</v>
      </c>
      <c r="T73" s="62" t="str">
        <f>'2024 DO NOT TOUCH'!T73</f>
        <v>PASSED</v>
      </c>
      <c r="U73" s="62">
        <f>'2024 DO NOT TOUCH'!U73</f>
        <v>0</v>
      </c>
      <c r="V73" s="62">
        <f>'2024 DO NOT TOUCH'!V73</f>
        <v>0</v>
      </c>
      <c r="W73" s="62">
        <f>'2024 DO NOT TOUCH'!W73</f>
        <v>0</v>
      </c>
      <c r="X73" s="65">
        <f>'2024 DO NOT TOUCH'!X73</f>
        <v>0</v>
      </c>
      <c r="Y73" s="62">
        <f>'2024 DO NOT TOUCH'!Y73</f>
        <v>0</v>
      </c>
    </row>
    <row r="74" spans="1:25" ht="19.5" customHeight="1">
      <c r="A74" s="55" t="str">
        <f>'2024 DO NOT TOUCH'!A74</f>
        <v>1200</v>
      </c>
      <c r="B74" s="3" t="str">
        <f>'2024 DO NOT TOUCH'!B74</f>
        <v>COMM SURVIVAL</v>
      </c>
      <c r="C74" s="55" t="str">
        <f>'2024 DO NOT TOUCH'!C74</f>
        <v>BB1345</v>
      </c>
      <c r="D74" s="3" t="str">
        <f>'2024 DO NOT TOUCH'!D74</f>
        <v>FEBCO</v>
      </c>
      <c r="E74" s="55" t="str">
        <f>'2024 DO NOT TOUCH'!E74</f>
        <v>825Y</v>
      </c>
      <c r="F74" s="3" t="str">
        <f>'2024 DO NOT TOUCH'!F74</f>
        <v>RP</v>
      </c>
      <c r="G74" s="55" t="str">
        <f>'2024 DO NOT TOUCH'!G74</f>
        <v>0.75</v>
      </c>
      <c r="H74" s="3" t="str">
        <f>'2024 DO NOT TOUCH'!H74</f>
        <v>OLD HVAC FEED</v>
      </c>
      <c r="I74" s="55" t="str">
        <f>'2024 DO NOT TOUCH'!I74</f>
        <v>INPREMISE</v>
      </c>
      <c r="J74" s="3" t="str">
        <f>'2024 DO NOT TOUCH'!J74</f>
        <v>AOI</v>
      </c>
      <c r="K74" s="55" t="str">
        <f>'2024 DO NOT TOUCH'!K74</f>
        <v>INACTIVE</v>
      </c>
      <c r="L74" s="72">
        <f>'2024 DO NOT TOUCH'!L74</f>
        <v>0</v>
      </c>
      <c r="M74" s="55" t="b">
        <f>'2024 DO NOT TOUCH'!M74</f>
        <v>0</v>
      </c>
      <c r="N74" s="3">
        <f>'2024 DO NOT TOUCH'!N74</f>
        <v>0</v>
      </c>
      <c r="O74" s="55">
        <f>'2024 DO NOT TOUCH'!O74</f>
        <v>0</v>
      </c>
      <c r="P74" s="64">
        <f>'2024 DO NOT TOUCH'!P74</f>
        <v>0</v>
      </c>
      <c r="Q74" s="64">
        <f>'2024 DO NOT TOUCH'!Q74</f>
        <v>0</v>
      </c>
      <c r="R74" s="64">
        <f>'2024 DO NOT TOUCH'!R74</f>
        <v>0</v>
      </c>
      <c r="S74" s="57" t="str">
        <f>'2024 DO NOT TOUCH'!S74</f>
        <v>UNTESTED</v>
      </c>
      <c r="T74" s="57">
        <f>'2024 DO NOT TOUCH'!T74</f>
        <v>0</v>
      </c>
      <c r="U74" s="57">
        <f>'2024 DO NOT TOUCH'!U74</f>
        <v>0</v>
      </c>
      <c r="V74" s="57">
        <f>'2024 DO NOT TOUCH'!V74</f>
        <v>0</v>
      </c>
      <c r="W74" s="57">
        <f>'2024 DO NOT TOUCH'!W74</f>
        <v>0</v>
      </c>
      <c r="X74" s="64">
        <f>'2024 DO NOT TOUCH'!X74</f>
        <v>0</v>
      </c>
      <c r="Y74" s="57" t="str">
        <f>'2024 DO NOT TOUCH'!Y74</f>
        <v>ISOLATED (NEEDS REMOVED)</v>
      </c>
    </row>
    <row r="75" spans="1:25" ht="19.5" customHeight="1">
      <c r="A75" s="58" t="str">
        <f>'2024 DO NOT TOUCH'!A75</f>
        <v>1200</v>
      </c>
      <c r="B75" s="59" t="str">
        <f>'2024 DO NOT TOUCH'!B75</f>
        <v>COMM SURVIVAL</v>
      </c>
      <c r="C75" s="58" t="str">
        <f>'2024 DO NOT TOUCH'!C75</f>
        <v>U56257</v>
      </c>
      <c r="D75" s="59" t="str">
        <f>'2024 DO NOT TOUCH'!D75</f>
        <v>WILKINS</v>
      </c>
      <c r="E75" s="58" t="str">
        <f>'2024 DO NOT TOUCH'!E75</f>
        <v>350A</v>
      </c>
      <c r="F75" s="59" t="str">
        <f>'2024 DO NOT TOUCH'!F75</f>
        <v>DC</v>
      </c>
      <c r="G75" s="58" t="str">
        <f>'2024 DO NOT TOUCH'!G75</f>
        <v>3.0</v>
      </c>
      <c r="H75" s="59" t="str">
        <f>'2024 DO NOT TOUCH'!H75</f>
        <v xml:space="preserve">FIRE SYS IN MECH RM  </v>
      </c>
      <c r="I75" s="58" t="str">
        <f>'2024 DO NOT TOUCH'!I75</f>
        <v>PREMISE</v>
      </c>
      <c r="J75" s="59" t="str">
        <f>'2024 DO NOT TOUCH'!J75</f>
        <v>FIRE</v>
      </c>
      <c r="K75" s="58" t="str">
        <f>'2024 DO NOT TOUCH'!K75</f>
        <v>ACTIVE</v>
      </c>
      <c r="L75" s="71">
        <f>'2024 DO NOT TOUCH'!L75</f>
        <v>44620</v>
      </c>
      <c r="M75" s="58" t="b">
        <f>'2024 DO NOT TOUCH'!M75</f>
        <v>0</v>
      </c>
      <c r="N75" s="59">
        <f>'2024 DO NOT TOUCH'!N75</f>
        <v>0</v>
      </c>
      <c r="O75" s="58">
        <f>'2024 DO NOT TOUCH'!O75</f>
        <v>0</v>
      </c>
      <c r="P75" s="65">
        <f>'2024 DO NOT TOUCH'!P75</f>
        <v>0</v>
      </c>
      <c r="Q75" s="65">
        <f>'2024 DO NOT TOUCH'!Q75</f>
        <v>0</v>
      </c>
      <c r="R75" s="65">
        <f>'2024 DO NOT TOUCH'!R75</f>
        <v>0</v>
      </c>
      <c r="S75" s="62" t="str">
        <f>'2024 DO NOT TOUCH'!S75</f>
        <v>TESTED</v>
      </c>
      <c r="T75" s="62" t="str">
        <f>'2024 DO NOT TOUCH'!T75</f>
        <v>PASSED</v>
      </c>
      <c r="U75" s="62">
        <f>'2024 DO NOT TOUCH'!U75</f>
        <v>0</v>
      </c>
      <c r="V75" s="62">
        <f>'2024 DO NOT TOUCH'!V75</f>
        <v>0</v>
      </c>
      <c r="W75" s="62">
        <f>'2024 DO NOT TOUCH'!W75</f>
        <v>0</v>
      </c>
      <c r="X75" s="65">
        <f>'2024 DO NOT TOUCH'!X75</f>
        <v>0</v>
      </c>
      <c r="Y75" s="62">
        <f>'2024 DO NOT TOUCH'!Y75</f>
        <v>0</v>
      </c>
    </row>
    <row r="76" spans="1:25" ht="19.5" customHeight="1">
      <c r="A76" s="55" t="str">
        <f>'2024 DO NOT TOUCH'!A76</f>
        <v>1204</v>
      </c>
      <c r="B76" s="3" t="str">
        <f>'2024 DO NOT TOUCH'!B76</f>
        <v>92 ARW TOWER</v>
      </c>
      <c r="C76" s="55" t="str">
        <f>'2024 DO NOT TOUCH'!C76</f>
        <v>A052232</v>
      </c>
      <c r="D76" s="3" t="str">
        <f>'2024 DO NOT TOUCH'!D76</f>
        <v>FEBCO</v>
      </c>
      <c r="E76" s="55" t="str">
        <f>'2024 DO NOT TOUCH'!E76</f>
        <v>825Y</v>
      </c>
      <c r="F76" s="3" t="str">
        <f>'2024 DO NOT TOUCH'!F76</f>
        <v>RP</v>
      </c>
      <c r="G76" s="55" t="str">
        <f>'2024 DO NOT TOUCH'!G76</f>
        <v>1.0</v>
      </c>
      <c r="H76" s="3" t="str">
        <f>'2024 DO NOT TOUCH'!H76</f>
        <v>IN MECH RM ON HVAC</v>
      </c>
      <c r="I76" s="55" t="str">
        <f>'2024 DO NOT TOUCH'!I76</f>
        <v>INPREMISE</v>
      </c>
      <c r="J76" s="3" t="str">
        <f>'2024 DO NOT TOUCH'!J76</f>
        <v>AOI</v>
      </c>
      <c r="K76" s="55" t="str">
        <f>'2024 DO NOT TOUCH'!K76</f>
        <v>INACTIVE</v>
      </c>
      <c r="L76" s="72">
        <f>'2024 DO NOT TOUCH'!L76</f>
        <v>44614</v>
      </c>
      <c r="M76" s="55" t="b">
        <f>'2024 DO NOT TOUCH'!M76</f>
        <v>0</v>
      </c>
      <c r="N76" s="3">
        <f>'2024 DO NOT TOUCH'!N76</f>
        <v>0</v>
      </c>
      <c r="O76" s="55">
        <f>'2024 DO NOT TOUCH'!O76</f>
        <v>0</v>
      </c>
      <c r="P76" s="66">
        <f>'2024 DO NOT TOUCH'!P76</f>
        <v>0</v>
      </c>
      <c r="Q76" s="66">
        <f>'2024 DO NOT TOUCH'!Q76</f>
        <v>0</v>
      </c>
      <c r="R76" s="66">
        <f>'2024 DO NOT TOUCH'!R76</f>
        <v>0</v>
      </c>
      <c r="S76" s="55" t="str">
        <f>'2024 DO NOT TOUCH'!S76</f>
        <v>TESTED</v>
      </c>
      <c r="T76" s="55" t="str">
        <f>'2024 DO NOT TOUCH'!T76</f>
        <v>PASSED</v>
      </c>
      <c r="U76" s="55" t="str">
        <f>'2024 DO NOT TOUCH'!U76</f>
        <v>Y</v>
      </c>
      <c r="V76" s="55">
        <f>'2024 DO NOT TOUCH'!V76</f>
        <v>0</v>
      </c>
      <c r="W76" s="55">
        <f>'2024 DO NOT TOUCH'!W76</f>
        <v>0</v>
      </c>
      <c r="X76" s="66">
        <f>'2024 DO NOT TOUCH'!X76</f>
        <v>0</v>
      </c>
      <c r="Y76" s="55">
        <f>'2024 DO NOT TOUCH'!Y76</f>
        <v>0</v>
      </c>
    </row>
    <row r="77" spans="1:25" ht="19.5" customHeight="1">
      <c r="A77" s="58" t="str">
        <f>'2024 DO NOT TOUCH'!A77</f>
        <v>1207</v>
      </c>
      <c r="B77" s="59" t="str">
        <f>'2024 DO NOT TOUCH'!B77</f>
        <v>SERE MUSEUM</v>
      </c>
      <c r="C77" s="58" t="str">
        <f>'2024 DO NOT TOUCH'!C77</f>
        <v>3143405</v>
      </c>
      <c r="D77" s="59" t="str">
        <f>'2024 DO NOT TOUCH'!D77</f>
        <v>WILKINS</v>
      </c>
      <c r="E77" s="58" t="str">
        <f>'2024 DO NOT TOUCH'!E77</f>
        <v>975XL</v>
      </c>
      <c r="F77" s="59" t="str">
        <f>'2024 DO NOT TOUCH'!F77</f>
        <v>RP</v>
      </c>
      <c r="G77" s="58" t="str">
        <f>'2024 DO NOT TOUCH'!G77</f>
        <v>1.25</v>
      </c>
      <c r="H77" s="59" t="str">
        <f>'2024 DO NOT TOUCH'!H77</f>
        <v>MECH RM PREMISE</v>
      </c>
      <c r="I77" s="58" t="str">
        <f>'2024 DO NOT TOUCH'!I77</f>
        <v>PREMISE</v>
      </c>
      <c r="J77" s="59" t="str">
        <f>'2024 DO NOT TOUCH'!J77</f>
        <v>PREMISE</v>
      </c>
      <c r="K77" s="58" t="str">
        <f>'2024 DO NOT TOUCH'!K77</f>
        <v>ACTIVE</v>
      </c>
      <c r="L77" s="71">
        <f>'2024 DO NOT TOUCH'!L77</f>
        <v>44614</v>
      </c>
      <c r="M77" s="58" t="b">
        <f>'2024 DO NOT TOUCH'!M77</f>
        <v>0</v>
      </c>
      <c r="N77" s="59">
        <f>'2024 DO NOT TOUCH'!N77</f>
        <v>0</v>
      </c>
      <c r="O77" s="58">
        <f>'2024 DO NOT TOUCH'!O77</f>
        <v>0</v>
      </c>
      <c r="P77" s="67">
        <f>'2024 DO NOT TOUCH'!P77</f>
        <v>0</v>
      </c>
      <c r="Q77" s="67">
        <f>'2024 DO NOT TOUCH'!Q77</f>
        <v>0</v>
      </c>
      <c r="R77" s="67">
        <f>'2024 DO NOT TOUCH'!R77</f>
        <v>0</v>
      </c>
      <c r="S77" s="58" t="str">
        <f>'2024 DO NOT TOUCH'!S77</f>
        <v>TESTED</v>
      </c>
      <c r="T77" s="58" t="str">
        <f>'2024 DO NOT TOUCH'!T77</f>
        <v>PASSED</v>
      </c>
      <c r="U77" s="58" t="str">
        <f>'2024 DO NOT TOUCH'!U77</f>
        <v>Y</v>
      </c>
      <c r="V77" s="58">
        <f>'2024 DO NOT TOUCH'!V77</f>
        <v>0</v>
      </c>
      <c r="W77" s="58">
        <f>'2024 DO NOT TOUCH'!W77</f>
        <v>0</v>
      </c>
      <c r="X77" s="67">
        <f>'2024 DO NOT TOUCH'!X77</f>
        <v>0</v>
      </c>
      <c r="Y77" s="58">
        <f>'2024 DO NOT TOUCH'!Y77</f>
        <v>0</v>
      </c>
    </row>
    <row r="78" spans="1:25" ht="19.5" customHeight="1">
      <c r="A78" s="77" t="str">
        <f>'2024 DO NOT TOUCH'!A78</f>
        <v>1207</v>
      </c>
      <c r="B78" s="78" t="str">
        <f>'2024 DO NOT TOUCH'!B78</f>
        <v>SERE MUSEUM</v>
      </c>
      <c r="C78" s="77" t="str">
        <f>'2024 DO NOT TOUCH'!C78</f>
        <v>FL-0661</v>
      </c>
      <c r="D78" s="78" t="str">
        <f>'2024 DO NOT TOUCH'!D78</f>
        <v>COLT</v>
      </c>
      <c r="E78" s="77" t="str">
        <f>'2024 DO NOT TOUCH'!E78</f>
        <v>300A-BF</v>
      </c>
      <c r="F78" s="78" t="str">
        <f>'2024 DO NOT TOUCH'!F78</f>
        <v>DCDA</v>
      </c>
      <c r="G78" s="77" t="str">
        <f>'2024 DO NOT TOUCH'!G78</f>
        <v>6.0</v>
      </c>
      <c r="H78" s="78" t="str">
        <f>'2024 DO NOT TOUCH'!H78</f>
        <v>MECH RM DCDA #1</v>
      </c>
      <c r="I78" s="77" t="str">
        <f>'2024 DO NOT TOUCH'!I78</f>
        <v>PREMISE</v>
      </c>
      <c r="J78" s="78" t="str">
        <f>'2024 DO NOT TOUCH'!J78</f>
        <v>FIRE</v>
      </c>
      <c r="K78" s="77" t="str">
        <f>'2024 DO NOT TOUCH'!K78</f>
        <v>ACTIVE</v>
      </c>
      <c r="L78" s="79">
        <f>'2024 DO NOT TOUCH'!L78</f>
        <v>44614</v>
      </c>
      <c r="M78" s="77" t="b">
        <f>'2024 DO NOT TOUCH'!M78</f>
        <v>0</v>
      </c>
      <c r="N78" s="78">
        <f>'2024 DO NOT TOUCH'!N78</f>
        <v>0</v>
      </c>
      <c r="O78" s="77">
        <f>'2024 DO NOT TOUCH'!O78</f>
        <v>0</v>
      </c>
      <c r="P78" s="80">
        <f>'2024 DO NOT TOUCH'!P78</f>
        <v>0</v>
      </c>
      <c r="Q78" s="80">
        <f>'2024 DO NOT TOUCH'!Q78</f>
        <v>0</v>
      </c>
      <c r="R78" s="80">
        <f>'2024 DO NOT TOUCH'!R78</f>
        <v>0</v>
      </c>
      <c r="S78" s="81" t="str">
        <f>'2024 DO NOT TOUCH'!S78</f>
        <v>TESTED</v>
      </c>
      <c r="T78" s="81" t="str">
        <f>'2024 DO NOT TOUCH'!T78</f>
        <v>PASSED</v>
      </c>
      <c r="U78" s="81" t="str">
        <f>'2024 DO NOT TOUCH'!U78</f>
        <v>Y</v>
      </c>
      <c r="V78" s="81">
        <f>'2024 DO NOT TOUCH'!V78</f>
        <v>0</v>
      </c>
      <c r="W78" s="81">
        <f>'2024 DO NOT TOUCH'!W78</f>
        <v>0</v>
      </c>
      <c r="X78" s="80">
        <f>'2024 DO NOT TOUCH'!X78</f>
        <v>0</v>
      </c>
      <c r="Y78" s="81">
        <f>'2024 DO NOT TOUCH'!Y78</f>
        <v>0</v>
      </c>
    </row>
    <row r="79" spans="1:25" ht="19.5" customHeight="1">
      <c r="A79" s="58" t="str">
        <f>'2024 DO NOT TOUCH'!A79</f>
        <v>1207</v>
      </c>
      <c r="B79" s="59" t="str">
        <f>'2024 DO NOT TOUCH'!B79</f>
        <v>SERE MUSEUM</v>
      </c>
      <c r="C79" s="58" t="str">
        <f>'2024 DO NOT TOUCH'!C79</f>
        <v>03949</v>
      </c>
      <c r="D79" s="59" t="str">
        <f>'2024 DO NOT TOUCH'!D79</f>
        <v>AMES</v>
      </c>
      <c r="E79" s="58" t="str">
        <f>'2024 DO NOT TOUCH'!E79</f>
        <v>2000BM3</v>
      </c>
      <c r="F79" s="59" t="str">
        <f>'2024 DO NOT TOUCH'!F79</f>
        <v>DCDA</v>
      </c>
      <c r="G79" s="58" t="str">
        <f>'2024 DO NOT TOUCH'!G79</f>
        <v>0.75</v>
      </c>
      <c r="H79" s="59" t="str">
        <f>'2024 DO NOT TOUCH'!H79</f>
        <v>MECH RM DCDA #2</v>
      </c>
      <c r="I79" s="58" t="str">
        <f>'2024 DO NOT TOUCH'!I79</f>
        <v>PREMISE</v>
      </c>
      <c r="J79" s="59" t="str">
        <f>'2024 DO NOT TOUCH'!J79</f>
        <v>FIRE</v>
      </c>
      <c r="K79" s="58" t="str">
        <f>'2024 DO NOT TOUCH'!K79</f>
        <v>ACTIVE</v>
      </c>
      <c r="L79" s="71">
        <f>'2024 DO NOT TOUCH'!L79</f>
        <v>44614</v>
      </c>
      <c r="M79" s="58" t="b">
        <f>'2024 DO NOT TOUCH'!M79</f>
        <v>0</v>
      </c>
      <c r="N79" s="59">
        <f>'2024 DO NOT TOUCH'!N79</f>
        <v>0</v>
      </c>
      <c r="O79" s="58">
        <f>'2024 DO NOT TOUCH'!O79</f>
        <v>0</v>
      </c>
      <c r="P79" s="65">
        <f>'2024 DO NOT TOUCH'!P79</f>
        <v>0</v>
      </c>
      <c r="Q79" s="65">
        <f>'2024 DO NOT TOUCH'!Q79</f>
        <v>0</v>
      </c>
      <c r="R79" s="65">
        <f>'2024 DO NOT TOUCH'!R79</f>
        <v>0</v>
      </c>
      <c r="S79" s="62" t="str">
        <f>'2024 DO NOT TOUCH'!S79</f>
        <v>TESTED</v>
      </c>
      <c r="T79" s="62" t="str">
        <f>'2024 DO NOT TOUCH'!T79</f>
        <v>PASSED</v>
      </c>
      <c r="U79" s="62">
        <f>'2024 DO NOT TOUCH'!U79</f>
        <v>0</v>
      </c>
      <c r="V79" s="62">
        <f>'2024 DO NOT TOUCH'!V79</f>
        <v>0</v>
      </c>
      <c r="W79" s="62">
        <f>'2024 DO NOT TOUCH'!W79</f>
        <v>0</v>
      </c>
      <c r="X79" s="65">
        <f>'2024 DO NOT TOUCH'!X79</f>
        <v>0</v>
      </c>
      <c r="Y79" s="62">
        <f>'2024 DO NOT TOUCH'!Y79</f>
        <v>0</v>
      </c>
    </row>
    <row r="80" spans="1:25" ht="19.5" customHeight="1">
      <c r="A80" s="77" t="str">
        <f>'2024 DO NOT TOUCH'!A80</f>
        <v>1238</v>
      </c>
      <c r="B80" s="78" t="str">
        <f>'2024 DO NOT TOUCH'!B80</f>
        <v>SERE FLOTATION SHOP</v>
      </c>
      <c r="C80" s="77" t="str">
        <f>'2024 DO NOT TOUCH'!C80</f>
        <v>U28863</v>
      </c>
      <c r="D80" s="78" t="str">
        <f>'2024 DO NOT TOUCH'!D80</f>
        <v>WILKINS</v>
      </c>
      <c r="E80" s="77" t="str">
        <f>'2024 DO NOT TOUCH'!E80</f>
        <v>350A</v>
      </c>
      <c r="F80" s="78" t="str">
        <f>'2024 DO NOT TOUCH'!F80</f>
        <v>DC</v>
      </c>
      <c r="G80" s="77" t="str">
        <f>'2024 DO NOT TOUCH'!G80</f>
        <v>6.0</v>
      </c>
      <c r="H80" s="78" t="str">
        <f>'2024 DO NOT TOUCH'!H80</f>
        <v>REAR CORNER ON FIRE SYS</v>
      </c>
      <c r="I80" s="77" t="str">
        <f>'2024 DO NOT TOUCH'!I80</f>
        <v>PREMISE</v>
      </c>
      <c r="J80" s="78" t="str">
        <f>'2024 DO NOT TOUCH'!J80</f>
        <v>FIRE</v>
      </c>
      <c r="K80" s="77" t="str">
        <f>'2024 DO NOT TOUCH'!K80</f>
        <v>ACTIVE</v>
      </c>
      <c r="L80" s="79">
        <f>'2024 DO NOT TOUCH'!L80</f>
        <v>44614</v>
      </c>
      <c r="M80" s="77" t="b">
        <f>'2024 DO NOT TOUCH'!M80</f>
        <v>0</v>
      </c>
      <c r="N80" s="78">
        <f>'2024 DO NOT TOUCH'!N80</f>
        <v>0</v>
      </c>
      <c r="O80" s="77">
        <f>'2024 DO NOT TOUCH'!O80</f>
        <v>0</v>
      </c>
      <c r="P80" s="80">
        <f>'2024 DO NOT TOUCH'!P80</f>
        <v>0</v>
      </c>
      <c r="Q80" s="80">
        <f>'2024 DO NOT TOUCH'!Q80</f>
        <v>0</v>
      </c>
      <c r="R80" s="80">
        <f>'2024 DO NOT TOUCH'!R80</f>
        <v>0</v>
      </c>
      <c r="S80" s="81" t="str">
        <f>'2024 DO NOT TOUCH'!S80</f>
        <v>TESTED</v>
      </c>
      <c r="T80" s="81" t="str">
        <f>'2024 DO NOT TOUCH'!T80</f>
        <v>PASSED</v>
      </c>
      <c r="U80" s="81">
        <f>'2024 DO NOT TOUCH'!U80</f>
        <v>0</v>
      </c>
      <c r="V80" s="81">
        <f>'2024 DO NOT TOUCH'!V80</f>
        <v>0</v>
      </c>
      <c r="W80" s="81">
        <f>'2024 DO NOT TOUCH'!W80</f>
        <v>0</v>
      </c>
      <c r="X80" s="80">
        <f>'2024 DO NOT TOUCH'!X80</f>
        <v>0</v>
      </c>
      <c r="Y80" s="81">
        <f>'2024 DO NOT TOUCH'!Y80</f>
        <v>0</v>
      </c>
    </row>
    <row r="81" spans="1:25" ht="19.5" customHeight="1">
      <c r="A81" s="58" t="str">
        <f>'2024 DO NOT TOUCH'!A81</f>
        <v>1249</v>
      </c>
      <c r="B81" s="59" t="str">
        <f>'2024 DO NOT TOUCH'!B81</f>
        <v>SERE VEHICLE MAINT</v>
      </c>
      <c r="C81" s="58" t="str">
        <f>'2024 DO NOT TOUCH'!C81</f>
        <v>3365252</v>
      </c>
      <c r="D81" s="59" t="str">
        <f>'2024 DO NOT TOUCH'!D81</f>
        <v>WILKINS</v>
      </c>
      <c r="E81" s="58" t="str">
        <f>'2024 DO NOT TOUCH'!E81</f>
        <v>975XL</v>
      </c>
      <c r="F81" s="59" t="str">
        <f>'2024 DO NOT TOUCH'!F81</f>
        <v>RP</v>
      </c>
      <c r="G81" s="58" t="str">
        <f>'2024 DO NOT TOUCH'!G81</f>
        <v>0.75</v>
      </c>
      <c r="H81" s="59" t="str">
        <f>'2024 DO NOT TOUCH'!H81</f>
        <v>IN WASH RACK MECH RM</v>
      </c>
      <c r="I81" s="58" t="str">
        <f>'2024 DO NOT TOUCH'!I81</f>
        <v>INPREMISE</v>
      </c>
      <c r="J81" s="59" t="str">
        <f>'2024 DO NOT TOUCH'!J81</f>
        <v>AOI</v>
      </c>
      <c r="K81" s="58" t="str">
        <f>'2024 DO NOT TOUCH'!K81</f>
        <v>ACTIVE</v>
      </c>
      <c r="L81" s="71">
        <f>'2024 DO NOT TOUCH'!L81</f>
        <v>44614</v>
      </c>
      <c r="M81" s="58" t="b">
        <f>'2024 DO NOT TOUCH'!M81</f>
        <v>0</v>
      </c>
      <c r="N81" s="59">
        <f>'2024 DO NOT TOUCH'!N81</f>
        <v>0</v>
      </c>
      <c r="O81" s="58">
        <f>'2024 DO NOT TOUCH'!O81</f>
        <v>0</v>
      </c>
      <c r="P81" s="67">
        <f>'2024 DO NOT TOUCH'!P81</f>
        <v>0</v>
      </c>
      <c r="Q81" s="67">
        <f>'2024 DO NOT TOUCH'!Q81</f>
        <v>0</v>
      </c>
      <c r="R81" s="67">
        <f>'2024 DO NOT TOUCH'!R81</f>
        <v>0</v>
      </c>
      <c r="S81" s="58" t="str">
        <f>'2024 DO NOT TOUCH'!S81</f>
        <v>TESTED</v>
      </c>
      <c r="T81" s="58" t="str">
        <f>'2024 DO NOT TOUCH'!T81</f>
        <v>PASSED</v>
      </c>
      <c r="U81" s="58">
        <f>'2024 DO NOT TOUCH'!U81</f>
        <v>0</v>
      </c>
      <c r="V81" s="58">
        <f>'2024 DO NOT TOUCH'!V81</f>
        <v>0</v>
      </c>
      <c r="W81" s="58">
        <f>'2024 DO NOT TOUCH'!W81</f>
        <v>0</v>
      </c>
      <c r="X81" s="67">
        <f>'2024 DO NOT TOUCH'!X81</f>
        <v>0</v>
      </c>
      <c r="Y81" s="58">
        <f>'2024 DO NOT TOUCH'!Y81</f>
        <v>0</v>
      </c>
    </row>
    <row r="82" spans="1:25" ht="19.5" customHeight="1">
      <c r="A82" s="77" t="str">
        <f>'2024 DO NOT TOUCH'!A82</f>
        <v>1249</v>
      </c>
      <c r="B82" s="78" t="str">
        <f>'2024 DO NOT TOUCH'!B82</f>
        <v>SERE VEHICLE MAINT</v>
      </c>
      <c r="C82" s="77" t="str">
        <f>'2024 DO NOT TOUCH'!C82</f>
        <v>3338578</v>
      </c>
      <c r="D82" s="78" t="str">
        <f>'2024 DO NOT TOUCH'!D82</f>
        <v>WILKINS</v>
      </c>
      <c r="E82" s="77" t="str">
        <f>'2024 DO NOT TOUCH'!E82</f>
        <v>975XL</v>
      </c>
      <c r="F82" s="78" t="str">
        <f>'2024 DO NOT TOUCH'!F82</f>
        <v>RP</v>
      </c>
      <c r="G82" s="77" t="str">
        <f>'2024 DO NOT TOUCH'!G82</f>
        <v>0.75</v>
      </c>
      <c r="H82" s="78" t="str">
        <f>'2024 DO NOT TOUCH'!H82</f>
        <v>IN WASH RACK MECH RM</v>
      </c>
      <c r="I82" s="77" t="str">
        <f>'2024 DO NOT TOUCH'!I82</f>
        <v>INPREMISE</v>
      </c>
      <c r="J82" s="78" t="str">
        <f>'2024 DO NOT TOUCH'!J82</f>
        <v>AOI</v>
      </c>
      <c r="K82" s="77" t="str">
        <f>'2024 DO NOT TOUCH'!K82</f>
        <v>ACTIVE</v>
      </c>
      <c r="L82" s="79">
        <f>'2024 DO NOT TOUCH'!L82</f>
        <v>44614</v>
      </c>
      <c r="M82" s="77" t="b">
        <f>'2024 DO NOT TOUCH'!M82</f>
        <v>0</v>
      </c>
      <c r="N82" s="78">
        <f>'2024 DO NOT TOUCH'!N82</f>
        <v>0</v>
      </c>
      <c r="O82" s="77">
        <f>'2024 DO NOT TOUCH'!O82</f>
        <v>0</v>
      </c>
      <c r="P82" s="83">
        <f>'2024 DO NOT TOUCH'!P82</f>
        <v>0</v>
      </c>
      <c r="Q82" s="83">
        <f>'2024 DO NOT TOUCH'!Q82</f>
        <v>0</v>
      </c>
      <c r="R82" s="83">
        <f>'2024 DO NOT TOUCH'!R82</f>
        <v>0</v>
      </c>
      <c r="S82" s="77" t="str">
        <f>'2024 DO NOT TOUCH'!S82</f>
        <v>TESTED</v>
      </c>
      <c r="T82" s="77" t="str">
        <f>'2024 DO NOT TOUCH'!T82</f>
        <v>PASSED</v>
      </c>
      <c r="U82" s="77">
        <f>'2024 DO NOT TOUCH'!U82</f>
        <v>0</v>
      </c>
      <c r="V82" s="77">
        <f>'2024 DO NOT TOUCH'!V82</f>
        <v>0</v>
      </c>
      <c r="W82" s="77">
        <f>'2024 DO NOT TOUCH'!W82</f>
        <v>0</v>
      </c>
      <c r="X82" s="83">
        <f>'2024 DO NOT TOUCH'!X82</f>
        <v>0</v>
      </c>
      <c r="Y82" s="77">
        <f>'2024 DO NOT TOUCH'!Y82</f>
        <v>0</v>
      </c>
    </row>
    <row r="83" spans="1:25" ht="19.5" customHeight="1">
      <c r="A83" s="58" t="str">
        <f>'2024 DO NOT TOUCH'!A83</f>
        <v>1249</v>
      </c>
      <c r="B83" s="59" t="str">
        <f>'2024 DO NOT TOUCH'!B83</f>
        <v>SERE VEHICLE MAINT</v>
      </c>
      <c r="C83" s="58" t="str">
        <f>'2024 DO NOT TOUCH'!C83</f>
        <v>W358586</v>
      </c>
      <c r="D83" s="59" t="str">
        <f>'2024 DO NOT TOUCH'!D83</f>
        <v>WILKINS</v>
      </c>
      <c r="E83" s="58" t="str">
        <f>'2024 DO NOT TOUCH'!E83</f>
        <v>975XL</v>
      </c>
      <c r="F83" s="59" t="str">
        <f>'2024 DO NOT TOUCH'!F83</f>
        <v>RP</v>
      </c>
      <c r="G83" s="58" t="str">
        <f>'2024 DO NOT TOUCH'!G83</f>
        <v>0.5</v>
      </c>
      <c r="H83" s="59" t="str">
        <f>'2024 DO NOT TOUCH'!H83</f>
        <v>ICE MACHINE IN BREAK RM</v>
      </c>
      <c r="I83" s="58" t="str">
        <f>'2024 DO NOT TOUCH'!I83</f>
        <v>INPREMISE</v>
      </c>
      <c r="J83" s="59" t="str">
        <f>'2024 DO NOT TOUCH'!J83</f>
        <v>AOI</v>
      </c>
      <c r="K83" s="58" t="str">
        <f>'2024 DO NOT TOUCH'!K83</f>
        <v>ACTIVE</v>
      </c>
      <c r="L83" s="71">
        <f>'2024 DO NOT TOUCH'!L83</f>
        <v>44818</v>
      </c>
      <c r="M83" s="58" t="b">
        <f>'2024 DO NOT TOUCH'!M83</f>
        <v>0</v>
      </c>
      <c r="N83" s="59">
        <f>'2024 DO NOT TOUCH'!N83</f>
        <v>0</v>
      </c>
      <c r="O83" s="58">
        <f>'2024 DO NOT TOUCH'!O83</f>
        <v>0</v>
      </c>
      <c r="P83" s="65">
        <f>'2024 DO NOT TOUCH'!P83</f>
        <v>0</v>
      </c>
      <c r="Q83" s="65">
        <f>'2024 DO NOT TOUCH'!Q83</f>
        <v>0</v>
      </c>
      <c r="R83" s="65">
        <f>'2024 DO NOT TOUCH'!R83</f>
        <v>0</v>
      </c>
      <c r="S83" s="62" t="str">
        <f>'2024 DO NOT TOUCH'!S83</f>
        <v>TESTED</v>
      </c>
      <c r="T83" s="62" t="str">
        <f>'2024 DO NOT TOUCH'!T83</f>
        <v>PASSED</v>
      </c>
      <c r="U83" s="62">
        <f>'2024 DO NOT TOUCH'!U83</f>
        <v>0</v>
      </c>
      <c r="V83" s="62">
        <f>'2024 DO NOT TOUCH'!V83</f>
        <v>0</v>
      </c>
      <c r="W83" s="62">
        <f>'2024 DO NOT TOUCH'!W83</f>
        <v>0</v>
      </c>
      <c r="X83" s="65">
        <f>'2024 DO NOT TOUCH'!X83</f>
        <v>0</v>
      </c>
      <c r="Y83" s="62">
        <f>'2024 DO NOT TOUCH'!Y83</f>
        <v>0</v>
      </c>
    </row>
    <row r="84" spans="1:25" ht="19.5" customHeight="1">
      <c r="A84" s="55" t="str">
        <f>'2024 DO NOT TOUCH'!A84</f>
        <v>1249</v>
      </c>
      <c r="B84" s="3" t="str">
        <f>'2024 DO NOT TOUCH'!B84</f>
        <v>SERE VEHICLE MAINT</v>
      </c>
      <c r="C84" s="55" t="str">
        <f>'2024 DO NOT TOUCH'!C84</f>
        <v>1025250601</v>
      </c>
      <c r="D84" s="3" t="str">
        <f>'2024 DO NOT TOUCH'!D84</f>
        <v>WATTS</v>
      </c>
      <c r="E84" s="55" t="str">
        <f>'2024 DO NOT TOUCH'!E84</f>
        <v>774</v>
      </c>
      <c r="F84" s="3" t="str">
        <f>'2024 DO NOT TOUCH'!F84</f>
        <v>DCDA</v>
      </c>
      <c r="G84" s="55" t="str">
        <f>'2024 DO NOT TOUCH'!G84</f>
        <v>6.0</v>
      </c>
      <c r="H84" s="3" t="str">
        <f>'2024 DO NOT TOUCH'!H84</f>
        <v>MECH RM FIRE DCDA #1</v>
      </c>
      <c r="I84" s="55" t="str">
        <f>'2024 DO NOT TOUCH'!I84</f>
        <v>PREMISE</v>
      </c>
      <c r="J84" s="3" t="str">
        <f>'2024 DO NOT TOUCH'!J84</f>
        <v>FIRE</v>
      </c>
      <c r="K84" s="55" t="str">
        <f>'2024 DO NOT TOUCH'!K84</f>
        <v>ACTIVE</v>
      </c>
      <c r="L84" s="72">
        <f>'2024 DO NOT TOUCH'!L84</f>
        <v>44614</v>
      </c>
      <c r="M84" s="55" t="b">
        <f>'2024 DO NOT TOUCH'!M84</f>
        <v>0</v>
      </c>
      <c r="N84" s="3">
        <f>'2024 DO NOT TOUCH'!N84</f>
        <v>0</v>
      </c>
      <c r="O84" s="55">
        <f>'2024 DO NOT TOUCH'!O84</f>
        <v>0</v>
      </c>
      <c r="P84" s="64">
        <f>'2024 DO NOT TOUCH'!P84</f>
        <v>0</v>
      </c>
      <c r="Q84" s="64">
        <f>'2024 DO NOT TOUCH'!Q84</f>
        <v>0</v>
      </c>
      <c r="R84" s="64">
        <f>'2024 DO NOT TOUCH'!R84</f>
        <v>0</v>
      </c>
      <c r="S84" s="57" t="str">
        <f>'2024 DO NOT TOUCH'!S84</f>
        <v>TESTED</v>
      </c>
      <c r="T84" s="57" t="str">
        <f>'2024 DO NOT TOUCH'!T84</f>
        <v>PASSED</v>
      </c>
      <c r="U84" s="57" t="str">
        <f>'2024 DO NOT TOUCH'!U84</f>
        <v>Y</v>
      </c>
      <c r="V84" s="57">
        <f>'2024 DO NOT TOUCH'!V84</f>
        <v>0</v>
      </c>
      <c r="W84" s="57">
        <f>'2024 DO NOT TOUCH'!W84</f>
        <v>0</v>
      </c>
      <c r="X84" s="64">
        <f>'2024 DO NOT TOUCH'!X84</f>
        <v>0</v>
      </c>
      <c r="Y84" s="57">
        <f>'2024 DO NOT TOUCH'!Y84</f>
        <v>0</v>
      </c>
    </row>
    <row r="85" spans="1:25" ht="19.5" customHeight="1">
      <c r="A85" s="58" t="str">
        <f>'2024 DO NOT TOUCH'!A85</f>
        <v>1249</v>
      </c>
      <c r="B85" s="59" t="str">
        <f>'2024 DO NOT TOUCH'!B85</f>
        <v>SERE VEHICLE MAINT</v>
      </c>
      <c r="C85" s="58" t="str">
        <f>'2024 DO NOT TOUCH'!C85</f>
        <v>25537</v>
      </c>
      <c r="D85" s="59" t="str">
        <f>'2024 DO NOT TOUCH'!D85</f>
        <v>WATTS</v>
      </c>
      <c r="E85" s="58" t="str">
        <f>'2024 DO NOT TOUCH'!E85</f>
        <v>007M1QT</v>
      </c>
      <c r="F85" s="59" t="str">
        <f>'2024 DO NOT TOUCH'!F85</f>
        <v>DCDA</v>
      </c>
      <c r="G85" s="58" t="str">
        <f>'2024 DO NOT TOUCH'!G85</f>
        <v>0.75</v>
      </c>
      <c r="H85" s="59" t="str">
        <f>'2024 DO NOT TOUCH'!H85</f>
        <v>MECH RM FIRE DCDA #2</v>
      </c>
      <c r="I85" s="58" t="str">
        <f>'2024 DO NOT TOUCH'!I85</f>
        <v>PREMISE</v>
      </c>
      <c r="J85" s="59" t="str">
        <f>'2024 DO NOT TOUCH'!J85</f>
        <v>FIRE</v>
      </c>
      <c r="K85" s="58" t="str">
        <f>'2024 DO NOT TOUCH'!K85</f>
        <v>INACTIVE</v>
      </c>
      <c r="L85" s="71">
        <f>'2024 DO NOT TOUCH'!L85</f>
        <v>44614</v>
      </c>
      <c r="M85" s="58" t="b">
        <f>'2024 DO NOT TOUCH'!M85</f>
        <v>0</v>
      </c>
      <c r="N85" s="59">
        <f>'2024 DO NOT TOUCH'!N85</f>
        <v>0</v>
      </c>
      <c r="O85" s="58">
        <f>'2024 DO NOT TOUCH'!O85</f>
        <v>0</v>
      </c>
      <c r="P85" s="65">
        <f>'2024 DO NOT TOUCH'!P85</f>
        <v>0</v>
      </c>
      <c r="Q85" s="65">
        <f>'2024 DO NOT TOUCH'!Q85</f>
        <v>0</v>
      </c>
      <c r="R85" s="65">
        <f>'2024 DO NOT TOUCH'!R85</f>
        <v>0</v>
      </c>
      <c r="S85" s="62" t="str">
        <f>'2024 DO NOT TOUCH'!S85</f>
        <v>TESTED</v>
      </c>
      <c r="T85" s="62" t="str">
        <f>'2024 DO NOT TOUCH'!T85</f>
        <v>PASSED</v>
      </c>
      <c r="U85" s="62" t="str">
        <f>'2024 DO NOT TOUCH'!U85</f>
        <v>Y</v>
      </c>
      <c r="V85" s="62">
        <f>'2024 DO NOT TOUCH'!V85</f>
        <v>0</v>
      </c>
      <c r="W85" s="62">
        <f>'2024 DO NOT TOUCH'!W85</f>
        <v>0</v>
      </c>
      <c r="X85" s="65">
        <f>'2024 DO NOT TOUCH'!X85</f>
        <v>0</v>
      </c>
      <c r="Y85" s="62">
        <f>'2024 DO NOT TOUCH'!Y85</f>
        <v>0</v>
      </c>
    </row>
    <row r="86" spans="1:25" ht="19.5" customHeight="1">
      <c r="A86" s="55" t="str">
        <f>'2024 DO NOT TOUCH'!A86</f>
        <v>1252</v>
      </c>
      <c r="B86" s="55" t="str">
        <f>'2024 DO NOT TOUCH'!B86</f>
        <v>SERE BILLITING</v>
      </c>
      <c r="C86" s="55" t="str">
        <f>'2024 DO NOT TOUCH'!C86</f>
        <v>W358523</v>
      </c>
      <c r="D86" s="55" t="str">
        <f>'2024 DO NOT TOUCH'!D86</f>
        <v>WILKINS</v>
      </c>
      <c r="E86" s="55" t="str">
        <f>'2024 DO NOT TOUCH'!E86</f>
        <v>975XL</v>
      </c>
      <c r="F86" s="55" t="str">
        <f>'2024 DO NOT TOUCH'!F86</f>
        <v>RP</v>
      </c>
      <c r="G86" s="55" t="str">
        <f>'2024 DO NOT TOUCH'!G86</f>
        <v>0.5</v>
      </c>
      <c r="H86" s="55" t="str">
        <f>'2024 DO NOT TOUCH'!H86</f>
        <v>ICE MACHINE IN CENTER HALL</v>
      </c>
      <c r="I86" s="55" t="str">
        <f>'2024 DO NOT TOUCH'!I86</f>
        <v>INPREMISE</v>
      </c>
      <c r="J86" s="55" t="str">
        <f>'2024 DO NOT TOUCH'!J86</f>
        <v>AOI</v>
      </c>
      <c r="K86" s="55" t="str">
        <f>'2024 DO NOT TOUCH'!K86</f>
        <v>ACTIVE</v>
      </c>
      <c r="L86" s="56">
        <f>'2024 DO NOT TOUCH'!L86</f>
        <v>44641</v>
      </c>
      <c r="M86" s="56" t="b">
        <f>'2024 DO NOT TOUCH'!M86</f>
        <v>0</v>
      </c>
      <c r="N86" s="56">
        <f>'2024 DO NOT TOUCH'!N86</f>
        <v>45370</v>
      </c>
      <c r="O86" s="55" t="str">
        <f>'2024 DO NOT TOUCH'!O86</f>
        <v>PASS</v>
      </c>
      <c r="P86" s="64">
        <f>'2024 DO NOT TOUCH'!P86</f>
        <v>8.6</v>
      </c>
      <c r="Q86" s="64">
        <f>'2024 DO NOT TOUCH'!Q86</f>
        <v>0</v>
      </c>
      <c r="R86" s="64">
        <f>'2024 DO NOT TOUCH'!R86</f>
        <v>3.6</v>
      </c>
      <c r="S86" s="55" t="str">
        <f>'2024 DO NOT TOUCH'!S86</f>
        <v>TESTED</v>
      </c>
      <c r="T86" s="55" t="str">
        <f>'2024 DO NOT TOUCH'!T86</f>
        <v>PASSED</v>
      </c>
      <c r="U86" s="55">
        <f>'2024 DO NOT TOUCH'!U86</f>
        <v>0</v>
      </c>
      <c r="V86" s="55">
        <f>'2024 DO NOT TOUCH'!V86</f>
        <v>0</v>
      </c>
      <c r="W86" s="55">
        <f>'2024 DO NOT TOUCH'!W86</f>
        <v>0</v>
      </c>
      <c r="X86" s="66">
        <f>'2024 DO NOT TOUCH'!X86</f>
        <v>0</v>
      </c>
      <c r="Y86" s="55">
        <f>'2024 DO NOT TOUCH'!Y86</f>
        <v>0</v>
      </c>
    </row>
    <row r="87" spans="1:25" ht="19.5" customHeight="1">
      <c r="A87" s="58" t="str">
        <f>'2024 DO NOT TOUCH'!A87</f>
        <v>1252</v>
      </c>
      <c r="B87" s="59" t="str">
        <f>'2024 DO NOT TOUCH'!B87</f>
        <v>SERE BILLITING</v>
      </c>
      <c r="C87" s="58" t="str">
        <f>'2024 DO NOT TOUCH'!C87</f>
        <v>3080703</v>
      </c>
      <c r="D87" s="59" t="str">
        <f>'2024 DO NOT TOUCH'!D87</f>
        <v>WILKINS</v>
      </c>
      <c r="E87" s="58" t="str">
        <f>'2024 DO NOT TOUCH'!E87</f>
        <v>975XL</v>
      </c>
      <c r="F87" s="59" t="str">
        <f>'2024 DO NOT TOUCH'!F87</f>
        <v>RP</v>
      </c>
      <c r="G87" s="58" t="str">
        <f>'2024 DO NOT TOUCH'!G87</f>
        <v>1.5</v>
      </c>
      <c r="H87" s="59" t="str">
        <f>'2024 DO NOT TOUCH'!H87</f>
        <v>WATER HEATER NE MECH RM 2ND FLOOR</v>
      </c>
      <c r="I87" s="58" t="str">
        <f>'2024 DO NOT TOUCH'!I87</f>
        <v>INPREMISE</v>
      </c>
      <c r="J87" s="59" t="str">
        <f>'2024 DO NOT TOUCH'!J87</f>
        <v>AOI</v>
      </c>
      <c r="K87" s="58" t="str">
        <f>'2024 DO NOT TOUCH'!K87</f>
        <v>ACTIVE</v>
      </c>
      <c r="L87" s="71">
        <f>'2024 DO NOT TOUCH'!L87</f>
        <v>44935</v>
      </c>
      <c r="M87" s="58" t="b">
        <f>'2024 DO NOT TOUCH'!M87</f>
        <v>0</v>
      </c>
      <c r="N87" s="59">
        <f>'2024 DO NOT TOUCH'!N87</f>
        <v>45370</v>
      </c>
      <c r="O87" s="58" t="str">
        <f>'2024 DO NOT TOUCH'!O87</f>
        <v>PASS</v>
      </c>
      <c r="P87" s="65">
        <f>'2024 DO NOT TOUCH'!P87</f>
        <v>8.4</v>
      </c>
      <c r="Q87" s="65">
        <f>'2024 DO NOT TOUCH'!Q87</f>
        <v>0</v>
      </c>
      <c r="R87" s="65">
        <f>'2024 DO NOT TOUCH'!R87</f>
        <v>3</v>
      </c>
      <c r="S87" s="62" t="str">
        <f>'2024 DO NOT TOUCH'!S87</f>
        <v>TESTED</v>
      </c>
      <c r="T87" s="62" t="str">
        <f>'2024 DO NOT TOUCH'!T87</f>
        <v>PASSED</v>
      </c>
      <c r="U87" s="62">
        <f>'2024 DO NOT TOUCH'!U87</f>
        <v>0</v>
      </c>
      <c r="V87" s="62">
        <f>'2024 DO NOT TOUCH'!V87</f>
        <v>0</v>
      </c>
      <c r="W87" s="62">
        <f>'2024 DO NOT TOUCH'!W87</f>
        <v>0</v>
      </c>
      <c r="X87" s="65">
        <f>'2024 DO NOT TOUCH'!X87</f>
        <v>0</v>
      </c>
      <c r="Y87" s="62">
        <f>'2024 DO NOT TOUCH'!Y87</f>
        <v>0</v>
      </c>
    </row>
    <row r="88" spans="1:25" ht="19.5" customHeight="1">
      <c r="A88" s="55" t="str">
        <f>'2024 DO NOT TOUCH'!A88</f>
        <v>1252</v>
      </c>
      <c r="B88" s="3" t="str">
        <f>'2024 DO NOT TOUCH'!B88</f>
        <v>SERE BILLITING</v>
      </c>
      <c r="C88" s="55" t="str">
        <f>'2024 DO NOT TOUCH'!C88</f>
        <v>W358581</v>
      </c>
      <c r="D88" s="3" t="str">
        <f>'2024 DO NOT TOUCH'!D88</f>
        <v>WILKINS</v>
      </c>
      <c r="E88" s="55" t="str">
        <f>'2024 DO NOT TOUCH'!E88</f>
        <v>975XL</v>
      </c>
      <c r="F88" s="3" t="str">
        <f>'2024 DO NOT TOUCH'!F88</f>
        <v>RP</v>
      </c>
      <c r="G88" s="55" t="str">
        <f>'2024 DO NOT TOUCH'!G88</f>
        <v>0.5</v>
      </c>
      <c r="H88" s="3" t="str">
        <f>'2024 DO NOT TOUCH'!H88</f>
        <v>ICE MACHINE 2ND FLOOR</v>
      </c>
      <c r="I88" s="55" t="str">
        <f>'2024 DO NOT TOUCH'!I88</f>
        <v>INPREMISE</v>
      </c>
      <c r="J88" s="3" t="str">
        <f>'2024 DO NOT TOUCH'!J88</f>
        <v>AOI</v>
      </c>
      <c r="K88" s="55" t="str">
        <f>'2024 DO NOT TOUCH'!K88</f>
        <v>ACTIVE</v>
      </c>
      <c r="L88" s="72">
        <f>'2024 DO NOT TOUCH'!L88</f>
        <v>44641</v>
      </c>
      <c r="M88" s="55" t="b">
        <f>'2024 DO NOT TOUCH'!M88</f>
        <v>0</v>
      </c>
      <c r="N88" s="3">
        <f>'2024 DO NOT TOUCH'!N88</f>
        <v>45370</v>
      </c>
      <c r="O88" s="55" t="str">
        <f>'2024 DO NOT TOUCH'!O88</f>
        <v>PASS</v>
      </c>
      <c r="P88" s="64">
        <f>'2024 DO NOT TOUCH'!P88</f>
        <v>7.4</v>
      </c>
      <c r="Q88" s="64">
        <f>'2024 DO NOT TOUCH'!Q88</f>
        <v>0</v>
      </c>
      <c r="R88" s="64">
        <f>'2024 DO NOT TOUCH'!R88</f>
        <v>3.1</v>
      </c>
      <c r="S88" s="57" t="str">
        <f>'2024 DO NOT TOUCH'!S88</f>
        <v>TESTED</v>
      </c>
      <c r="T88" s="57" t="str">
        <f>'2024 DO NOT TOUCH'!T88</f>
        <v>PASSED</v>
      </c>
      <c r="U88" s="57">
        <f>'2024 DO NOT TOUCH'!U88</f>
        <v>0</v>
      </c>
      <c r="V88" s="57">
        <f>'2024 DO NOT TOUCH'!V88</f>
        <v>0</v>
      </c>
      <c r="W88" s="57">
        <f>'2024 DO NOT TOUCH'!W88</f>
        <v>0</v>
      </c>
      <c r="X88" s="64">
        <f>'2024 DO NOT TOUCH'!X88</f>
        <v>0</v>
      </c>
      <c r="Y88" s="57">
        <f>'2024 DO NOT TOUCH'!Y88</f>
        <v>0</v>
      </c>
    </row>
    <row r="89" spans="1:25" ht="19.5" customHeight="1">
      <c r="A89" s="58" t="str">
        <f>'2024 DO NOT TOUCH'!A89</f>
        <v>1252</v>
      </c>
      <c r="B89" s="59" t="str">
        <f>'2024 DO NOT TOUCH'!B89</f>
        <v>SERE BILLITING</v>
      </c>
      <c r="C89" s="58" t="str">
        <f>'2024 DO NOT TOUCH'!C89</f>
        <v>3080374</v>
      </c>
      <c r="D89" s="59" t="str">
        <f>'2024 DO NOT TOUCH'!D89</f>
        <v>WILKINS</v>
      </c>
      <c r="E89" s="58" t="str">
        <f>'2024 DO NOT TOUCH'!E89</f>
        <v>975XL</v>
      </c>
      <c r="F89" s="59" t="str">
        <f>'2024 DO NOT TOUCH'!F89</f>
        <v>RP</v>
      </c>
      <c r="G89" s="58" t="str">
        <f>'2024 DO NOT TOUCH'!G89</f>
        <v>1.5</v>
      </c>
      <c r="H89" s="59" t="str">
        <f>'2024 DO NOT TOUCH'!H89</f>
        <v>WATER HEATER ABOVE SHOPPETT LAUNDRY</v>
      </c>
      <c r="I89" s="58" t="str">
        <f>'2024 DO NOT TOUCH'!I89</f>
        <v>INPREMISE</v>
      </c>
      <c r="J89" s="59" t="str">
        <f>'2024 DO NOT TOUCH'!J89</f>
        <v>AOI</v>
      </c>
      <c r="K89" s="58" t="str">
        <f>'2024 DO NOT TOUCH'!K89</f>
        <v>ACTIVE</v>
      </c>
      <c r="L89" s="71">
        <f>'2024 DO NOT TOUCH'!L89</f>
        <v>44640</v>
      </c>
      <c r="M89" s="58" t="b">
        <f>'2024 DO NOT TOUCH'!M89</f>
        <v>0</v>
      </c>
      <c r="N89" s="59" t="str">
        <f>'2024 DO NOT TOUCH'!N89</f>
        <v>3/.19/24</v>
      </c>
      <c r="O89" s="58" t="str">
        <f>'2024 DO NOT TOUCH'!O89</f>
        <v>PASS</v>
      </c>
      <c r="P89" s="65">
        <f>'2024 DO NOT TOUCH'!P89</f>
        <v>9</v>
      </c>
      <c r="Q89" s="65">
        <f>'2024 DO NOT TOUCH'!Q89</f>
        <v>0</v>
      </c>
      <c r="R89" s="65">
        <f>'2024 DO NOT TOUCH'!R89</f>
        <v>3.4</v>
      </c>
      <c r="S89" s="62" t="str">
        <f>'2024 DO NOT TOUCH'!S89</f>
        <v>TESTED</v>
      </c>
      <c r="T89" s="62" t="str">
        <f>'2024 DO NOT TOUCH'!T89</f>
        <v>PASSED</v>
      </c>
      <c r="U89" s="62">
        <f>'2024 DO NOT TOUCH'!U89</f>
        <v>0</v>
      </c>
      <c r="V89" s="62">
        <f>'2024 DO NOT TOUCH'!V89</f>
        <v>0</v>
      </c>
      <c r="W89" s="62">
        <f>'2024 DO NOT TOUCH'!W89</f>
        <v>0</v>
      </c>
      <c r="X89" s="65">
        <f>'2024 DO NOT TOUCH'!X89</f>
        <v>0</v>
      </c>
      <c r="Y89" s="62">
        <f>'2024 DO NOT TOUCH'!Y89</f>
        <v>0</v>
      </c>
    </row>
    <row r="90" spans="1:25" ht="19.5" customHeight="1">
      <c r="A90" s="55" t="str">
        <f>'2024 DO NOT TOUCH'!A90</f>
        <v>1252</v>
      </c>
      <c r="B90" s="3" t="str">
        <f>'2024 DO NOT TOUCH'!B90</f>
        <v>SERE BILLITING</v>
      </c>
      <c r="C90" s="55" t="str">
        <f>'2024 DO NOT TOUCH'!C90</f>
        <v>A044229</v>
      </c>
      <c r="D90" s="3" t="str">
        <f>'2024 DO NOT TOUCH'!D90</f>
        <v>FEBCO</v>
      </c>
      <c r="E90" s="55" t="str">
        <f>'2024 DO NOT TOUCH'!E90</f>
        <v>825Y</v>
      </c>
      <c r="F90" s="3" t="str">
        <f>'2024 DO NOT TOUCH'!F90</f>
        <v>RP</v>
      </c>
      <c r="G90" s="55" t="str">
        <f>'2024 DO NOT TOUCH'!G90</f>
        <v>1.0</v>
      </c>
      <c r="H90" s="3" t="str">
        <f>'2024 DO NOT TOUCH'!H90</f>
        <v>HVAC SE MECH RM</v>
      </c>
      <c r="I90" s="55" t="str">
        <f>'2024 DO NOT TOUCH'!I90</f>
        <v>INPREMISE</v>
      </c>
      <c r="J90" s="3" t="str">
        <f>'2024 DO NOT TOUCH'!J90</f>
        <v>AOI</v>
      </c>
      <c r="K90" s="55" t="str">
        <f>'2024 DO NOT TOUCH'!K90</f>
        <v>ACTIVE</v>
      </c>
      <c r="L90" s="72">
        <f>'2024 DO NOT TOUCH'!L90</f>
        <v>44613</v>
      </c>
      <c r="M90" s="55" t="b">
        <f>'2024 DO NOT TOUCH'!M90</f>
        <v>0</v>
      </c>
      <c r="N90" s="3">
        <f>'2024 DO NOT TOUCH'!N90</f>
        <v>45370</v>
      </c>
      <c r="O90" s="55" t="str">
        <f>'2024 DO NOT TOUCH'!O90</f>
        <v>PASS</v>
      </c>
      <c r="P90" s="66">
        <f>'2024 DO NOT TOUCH'!P90</f>
        <v>7.8</v>
      </c>
      <c r="Q90" s="66">
        <f>'2024 DO NOT TOUCH'!Q90</f>
        <v>0</v>
      </c>
      <c r="R90" s="66">
        <f>'2024 DO NOT TOUCH'!R90</f>
        <v>3.1</v>
      </c>
      <c r="S90" s="55" t="str">
        <f>'2024 DO NOT TOUCH'!S90</f>
        <v>TESTED</v>
      </c>
      <c r="T90" s="55" t="str">
        <f>'2024 DO NOT TOUCH'!T90</f>
        <v>PASSED</v>
      </c>
      <c r="U90" s="55">
        <f>'2024 DO NOT TOUCH'!U90</f>
        <v>0</v>
      </c>
      <c r="V90" s="55">
        <f>'2024 DO NOT TOUCH'!V90</f>
        <v>0</v>
      </c>
      <c r="W90" s="55">
        <f>'2024 DO NOT TOUCH'!W90</f>
        <v>0</v>
      </c>
      <c r="X90" s="66">
        <f>'2024 DO NOT TOUCH'!X90</f>
        <v>0</v>
      </c>
      <c r="Y90" s="55">
        <f>'2024 DO NOT TOUCH'!Y90</f>
        <v>0</v>
      </c>
    </row>
    <row r="91" spans="1:25" ht="19.5" customHeight="1">
      <c r="A91" s="58" t="str">
        <f>'2024 DO NOT TOUCH'!A91</f>
        <v>1252</v>
      </c>
      <c r="B91" s="59" t="str">
        <f>'2024 DO NOT TOUCH'!B91</f>
        <v>SERE BILLITING</v>
      </c>
      <c r="C91" s="58" t="str">
        <f>'2024 DO NOT TOUCH'!C91</f>
        <v>A260981</v>
      </c>
      <c r="D91" s="59" t="str">
        <f>'2024 DO NOT TOUCH'!D91</f>
        <v>FEBCO</v>
      </c>
      <c r="E91" s="58" t="str">
        <f>'2024 DO NOT TOUCH'!E91</f>
        <v>825Y</v>
      </c>
      <c r="F91" s="59" t="str">
        <f>'2024 DO NOT TOUCH'!F91</f>
        <v>RP</v>
      </c>
      <c r="G91" s="58" t="str">
        <f>'2024 DO NOT TOUCH'!G91</f>
        <v>1.0</v>
      </c>
      <c r="H91" s="59" t="str">
        <f>'2024 DO NOT TOUCH'!H91</f>
        <v>1ST FLOOR SW MECH RM (HVAC)</v>
      </c>
      <c r="I91" s="58" t="str">
        <f>'2024 DO NOT TOUCH'!I91</f>
        <v>INPREMISE</v>
      </c>
      <c r="J91" s="59" t="str">
        <f>'2024 DO NOT TOUCH'!J91</f>
        <v>AOI</v>
      </c>
      <c r="K91" s="58" t="str">
        <f>'2024 DO NOT TOUCH'!K91</f>
        <v>ACTIVE</v>
      </c>
      <c r="L91" s="71">
        <f>'2024 DO NOT TOUCH'!L91</f>
        <v>44641</v>
      </c>
      <c r="M91" s="58" t="b">
        <f>'2024 DO NOT TOUCH'!M91</f>
        <v>0</v>
      </c>
      <c r="N91" s="59">
        <f>'2024 DO NOT TOUCH'!N91</f>
        <v>45370</v>
      </c>
      <c r="O91" s="58" t="str">
        <f>'2024 DO NOT TOUCH'!O91</f>
        <v>PASS</v>
      </c>
      <c r="P91" s="67">
        <f>'2024 DO NOT TOUCH'!P91</f>
        <v>2.8</v>
      </c>
      <c r="Q91" s="67">
        <f>'2024 DO NOT TOUCH'!Q91</f>
        <v>3</v>
      </c>
      <c r="R91" s="67">
        <f>'2024 DO NOT TOUCH'!R91</f>
        <v>0</v>
      </c>
      <c r="S91" s="58" t="str">
        <f>'2024 DO NOT TOUCH'!S91</f>
        <v>TESTED</v>
      </c>
      <c r="T91" s="58" t="str">
        <f>'2024 DO NOT TOUCH'!T91</f>
        <v>PASSED</v>
      </c>
      <c r="U91" s="58">
        <f>'2024 DO NOT TOUCH'!U91</f>
        <v>0</v>
      </c>
      <c r="V91" s="58">
        <f>'2024 DO NOT TOUCH'!V91</f>
        <v>0</v>
      </c>
      <c r="W91" s="58">
        <f>'2024 DO NOT TOUCH'!W91</f>
        <v>0</v>
      </c>
      <c r="X91" s="67">
        <f>'2024 DO NOT TOUCH'!X91</f>
        <v>0</v>
      </c>
      <c r="Y91" s="58">
        <f>'2024 DO NOT TOUCH'!Y91</f>
        <v>0</v>
      </c>
    </row>
    <row r="92" spans="1:25" ht="19.5" customHeight="1">
      <c r="A92" s="77" t="str">
        <f>'2024 DO NOT TOUCH'!A92</f>
        <v>1252</v>
      </c>
      <c r="B92" s="78" t="str">
        <f>'2024 DO NOT TOUCH'!B92</f>
        <v>SERE BILLITING</v>
      </c>
      <c r="C92" s="77" t="str">
        <f>'2024 DO NOT TOUCH'!C92</f>
        <v>H00399</v>
      </c>
      <c r="D92" s="78" t="str">
        <f>'2024 DO NOT TOUCH'!D92</f>
        <v>FEBCO</v>
      </c>
      <c r="E92" s="77" t="str">
        <f>'2024 DO NOT TOUCH'!E92</f>
        <v>850</v>
      </c>
      <c r="F92" s="78" t="str">
        <f>'2024 DO NOT TOUCH'!F92</f>
        <v>DC</v>
      </c>
      <c r="G92" s="77" t="str">
        <f>'2024 DO NOT TOUCH'!G92</f>
        <v>0.5</v>
      </c>
      <c r="H92" s="78" t="str">
        <f>'2024 DO NOT TOUCH'!H92</f>
        <v>COFFEE FRONT LOBBY</v>
      </c>
      <c r="I92" s="77" t="str">
        <f>'2024 DO NOT TOUCH'!I92</f>
        <v>INPREMISE</v>
      </c>
      <c r="J92" s="78" t="str">
        <f>'2024 DO NOT TOUCH'!J92</f>
        <v>AOI</v>
      </c>
      <c r="K92" s="77" t="str">
        <f>'2024 DO NOT TOUCH'!K92</f>
        <v>ACTIVE</v>
      </c>
      <c r="L92" s="79" t="str">
        <f>'2024 DO NOT TOUCH'!L92</f>
        <v>3.21.2022</v>
      </c>
      <c r="M92" s="77" t="b">
        <f>'2024 DO NOT TOUCH'!M92</f>
        <v>0</v>
      </c>
      <c r="N92" s="78">
        <f>'2024 DO NOT TOUCH'!N92</f>
        <v>45370</v>
      </c>
      <c r="O92" s="77" t="str">
        <f>'2024 DO NOT TOUCH'!O92</f>
        <v>PASS</v>
      </c>
      <c r="P92" s="80">
        <f>'2024 DO NOT TOUCH'!P92</f>
        <v>7.6</v>
      </c>
      <c r="Q92" s="80">
        <f>'2024 DO NOT TOUCH'!Q92</f>
        <v>0</v>
      </c>
      <c r="R92" s="80">
        <f>'2024 DO NOT TOUCH'!R92</f>
        <v>3.2</v>
      </c>
      <c r="S92" s="81" t="str">
        <f>'2024 DO NOT TOUCH'!S92</f>
        <v>TESTED</v>
      </c>
      <c r="T92" s="81" t="str">
        <f>'2024 DO NOT TOUCH'!T92</f>
        <v>PASSED</v>
      </c>
      <c r="U92" s="81">
        <f>'2024 DO NOT TOUCH'!U92</f>
        <v>0</v>
      </c>
      <c r="V92" s="81">
        <f>'2024 DO NOT TOUCH'!V92</f>
        <v>0</v>
      </c>
      <c r="W92" s="81">
        <f>'2024 DO NOT TOUCH'!W92</f>
        <v>0</v>
      </c>
      <c r="X92" s="80">
        <f>'2024 DO NOT TOUCH'!X92</f>
        <v>0</v>
      </c>
      <c r="Y92" s="81">
        <f>'2024 DO NOT TOUCH'!Y92</f>
        <v>0</v>
      </c>
    </row>
    <row r="93" spans="1:25" ht="19.5" customHeight="1">
      <c r="A93" s="58" t="str">
        <f>'2024 DO NOT TOUCH'!A93</f>
        <v>1252</v>
      </c>
      <c r="B93" s="59" t="str">
        <f>'2024 DO NOT TOUCH'!B93</f>
        <v>SERE BILLITING</v>
      </c>
      <c r="C93" s="58" t="str">
        <f>'2024 DO NOT TOUCH'!C93</f>
        <v>U27343</v>
      </c>
      <c r="D93" s="59" t="str">
        <f>'2024 DO NOT TOUCH'!D93</f>
        <v>WILKINS</v>
      </c>
      <c r="E93" s="58" t="str">
        <f>'2024 DO NOT TOUCH'!E93</f>
        <v>350A</v>
      </c>
      <c r="F93" s="59" t="str">
        <f>'2024 DO NOT TOUCH'!F93</f>
        <v>DC</v>
      </c>
      <c r="G93" s="58" t="str">
        <f>'2024 DO NOT TOUCH'!G93</f>
        <v>4.0</v>
      </c>
      <c r="H93" s="59" t="str">
        <f>'2024 DO NOT TOUCH'!H93</f>
        <v>PREMISE EAST 1ST FLOOR MECH RM</v>
      </c>
      <c r="I93" s="58" t="str">
        <f>'2024 DO NOT TOUCH'!I93</f>
        <v>PREMISE</v>
      </c>
      <c r="J93" s="59" t="str">
        <f>'2024 DO NOT TOUCH'!J93</f>
        <v>PREMISE</v>
      </c>
      <c r="K93" s="58" t="str">
        <f>'2024 DO NOT TOUCH'!K93</f>
        <v>ACTIVE</v>
      </c>
      <c r="L93" s="71">
        <f>'2024 DO NOT TOUCH'!L93</f>
        <v>44641</v>
      </c>
      <c r="M93" s="58" t="b">
        <f>'2024 DO NOT TOUCH'!M93</f>
        <v>0</v>
      </c>
      <c r="N93" s="59">
        <f>'2024 DO NOT TOUCH'!N93</f>
        <v>45370</v>
      </c>
      <c r="O93" s="58" t="str">
        <f>'2024 DO NOT TOUCH'!O93</f>
        <v>PASS</v>
      </c>
      <c r="P93" s="65">
        <f>'2024 DO NOT TOUCH'!P93</f>
        <v>3.1</v>
      </c>
      <c r="Q93" s="65">
        <f>'2024 DO NOT TOUCH'!Q93</f>
        <v>3.4</v>
      </c>
      <c r="R93" s="65">
        <f>'2024 DO NOT TOUCH'!R93</f>
        <v>0</v>
      </c>
      <c r="S93" s="62" t="str">
        <f>'2024 DO NOT TOUCH'!S93</f>
        <v>TESTED</v>
      </c>
      <c r="T93" s="62" t="str">
        <f>'2024 DO NOT TOUCH'!T93</f>
        <v>PASSED</v>
      </c>
      <c r="U93" s="62">
        <f>'2024 DO NOT TOUCH'!U93</f>
        <v>0</v>
      </c>
      <c r="V93" s="62">
        <f>'2024 DO NOT TOUCH'!V93</f>
        <v>0</v>
      </c>
      <c r="W93" s="62">
        <f>'2024 DO NOT TOUCH'!W93</f>
        <v>0</v>
      </c>
      <c r="X93" s="65">
        <f>'2024 DO NOT TOUCH'!X93</f>
        <v>0</v>
      </c>
      <c r="Y93" s="62">
        <f>'2024 DO NOT TOUCH'!Y93</f>
        <v>0</v>
      </c>
    </row>
    <row r="94" spans="1:25" ht="19.5" customHeight="1">
      <c r="A94" s="77" t="str">
        <f>'2024 DO NOT TOUCH'!A94</f>
        <v>1252</v>
      </c>
      <c r="B94" s="78" t="str">
        <f>'2024 DO NOT TOUCH'!B94</f>
        <v>SERE BILLITING</v>
      </c>
      <c r="C94" s="77" t="str">
        <f>'2024 DO NOT TOUCH'!C94</f>
        <v>U27344</v>
      </c>
      <c r="D94" s="78" t="str">
        <f>'2024 DO NOT TOUCH'!D94</f>
        <v>WILKINS</v>
      </c>
      <c r="E94" s="77" t="str">
        <f>'2024 DO NOT TOUCH'!E94</f>
        <v>350A</v>
      </c>
      <c r="F94" s="78" t="str">
        <f>'2024 DO NOT TOUCH'!F94</f>
        <v>DC</v>
      </c>
      <c r="G94" s="77" t="str">
        <f>'2024 DO NOT TOUCH'!G94</f>
        <v>4.0</v>
      </c>
      <c r="H94" s="78" t="str">
        <f>'2024 DO NOT TOUCH'!H94</f>
        <v>PREMISE SE MECH RM</v>
      </c>
      <c r="I94" s="77" t="str">
        <f>'2024 DO NOT TOUCH'!I94</f>
        <v>PREMISE</v>
      </c>
      <c r="J94" s="78" t="str">
        <f>'2024 DO NOT TOUCH'!J94</f>
        <v>PREMISE</v>
      </c>
      <c r="K94" s="77" t="str">
        <f>'2024 DO NOT TOUCH'!K94</f>
        <v>ACTIVE</v>
      </c>
      <c r="L94" s="79">
        <f>'2024 DO NOT TOUCH'!L94</f>
        <v>44641</v>
      </c>
      <c r="M94" s="77" t="b">
        <f>'2024 DO NOT TOUCH'!M94</f>
        <v>0</v>
      </c>
      <c r="N94" s="78">
        <f>'2024 DO NOT TOUCH'!N94</f>
        <v>45370</v>
      </c>
      <c r="O94" s="77" t="str">
        <f>'2024 DO NOT TOUCH'!O94</f>
        <v>PASS</v>
      </c>
      <c r="P94" s="80">
        <f>'2024 DO NOT TOUCH'!P94</f>
        <v>4.2</v>
      </c>
      <c r="Q94" s="80">
        <f>'2024 DO NOT TOUCH'!Q94</f>
        <v>4.4000000000000004</v>
      </c>
      <c r="R94" s="80">
        <f>'2024 DO NOT TOUCH'!R94</f>
        <v>0</v>
      </c>
      <c r="S94" s="81" t="str">
        <f>'2024 DO NOT TOUCH'!S94</f>
        <v>TESTED</v>
      </c>
      <c r="T94" s="81" t="str">
        <f>'2024 DO NOT TOUCH'!T94</f>
        <v>PASSED</v>
      </c>
      <c r="U94" s="81">
        <f>'2024 DO NOT TOUCH'!U94</f>
        <v>0</v>
      </c>
      <c r="V94" s="81">
        <f>'2024 DO NOT TOUCH'!V94</f>
        <v>0</v>
      </c>
      <c r="W94" s="81">
        <f>'2024 DO NOT TOUCH'!W94</f>
        <v>0</v>
      </c>
      <c r="X94" s="80">
        <f>'2024 DO NOT TOUCH'!X94</f>
        <v>0</v>
      </c>
      <c r="Y94" s="81">
        <f>'2024 DO NOT TOUCH'!Y94</f>
        <v>0</v>
      </c>
    </row>
    <row r="95" spans="1:25" ht="19.5" customHeight="1">
      <c r="A95" s="58" t="str">
        <f>'2024 DO NOT TOUCH'!A95</f>
        <v>1252</v>
      </c>
      <c r="B95" s="59" t="str">
        <f>'2024 DO NOT TOUCH'!B95</f>
        <v>SERE BILLITING</v>
      </c>
      <c r="C95" s="58" t="str">
        <f>'2024 DO NOT TOUCH'!C95</f>
        <v>B15136</v>
      </c>
      <c r="D95" s="59" t="str">
        <f>'2024 DO NOT TOUCH'!D95</f>
        <v>FEBCO</v>
      </c>
      <c r="E95" s="58" t="str">
        <f>'2024 DO NOT TOUCH'!E95</f>
        <v>805YD</v>
      </c>
      <c r="F95" s="59" t="str">
        <f>'2024 DO NOT TOUCH'!F95</f>
        <v>DC</v>
      </c>
      <c r="G95" s="58" t="str">
        <f>'2024 DO NOT TOUCH'!G95</f>
        <v>4.0</v>
      </c>
      <c r="H95" s="59" t="str">
        <f>'2024 DO NOT TOUCH'!H95</f>
        <v>WEST FIRE SYS MECH RM</v>
      </c>
      <c r="I95" s="58" t="str">
        <f>'2024 DO NOT TOUCH'!I95</f>
        <v>PREMISE</v>
      </c>
      <c r="J95" s="59" t="str">
        <f>'2024 DO NOT TOUCH'!J95</f>
        <v>FIRE</v>
      </c>
      <c r="K95" s="58" t="str">
        <f>'2024 DO NOT TOUCH'!K95</f>
        <v>ACTIVE</v>
      </c>
      <c r="L95" s="71">
        <f>'2024 DO NOT TOUCH'!L95</f>
        <v>44641</v>
      </c>
      <c r="M95" s="58" t="b">
        <f>'2024 DO NOT TOUCH'!M95</f>
        <v>0</v>
      </c>
      <c r="N95" s="59">
        <f>'2024 DO NOT TOUCH'!N95</f>
        <v>45370</v>
      </c>
      <c r="O95" s="58" t="str">
        <f>'2024 DO NOT TOUCH'!O95</f>
        <v>PASS</v>
      </c>
      <c r="P95" s="67">
        <f>'2024 DO NOT TOUCH'!P95</f>
        <v>3.2</v>
      </c>
      <c r="Q95" s="67">
        <f>'2024 DO NOT TOUCH'!Q95</f>
        <v>3.4</v>
      </c>
      <c r="R95" s="67">
        <f>'2024 DO NOT TOUCH'!R95</f>
        <v>0</v>
      </c>
      <c r="S95" s="58" t="str">
        <f>'2024 DO NOT TOUCH'!S95</f>
        <v>TESTED</v>
      </c>
      <c r="T95" s="58" t="str">
        <f>'2024 DO NOT TOUCH'!T95</f>
        <v>PASSED</v>
      </c>
      <c r="U95" s="58">
        <f>'2024 DO NOT TOUCH'!U95</f>
        <v>0</v>
      </c>
      <c r="V95" s="58">
        <f>'2024 DO NOT TOUCH'!V95</f>
        <v>0</v>
      </c>
      <c r="W95" s="58">
        <f>'2024 DO NOT TOUCH'!W95</f>
        <v>0</v>
      </c>
      <c r="X95" s="67">
        <f>'2024 DO NOT TOUCH'!X95</f>
        <v>0</v>
      </c>
      <c r="Y95" s="58">
        <f>'2024 DO NOT TOUCH'!Y95</f>
        <v>0</v>
      </c>
    </row>
    <row r="96" spans="1:25" ht="19.5" customHeight="1">
      <c r="A96" s="77" t="str">
        <f>'2024 DO NOT TOUCH'!A96</f>
        <v>1252</v>
      </c>
      <c r="B96" s="78" t="str">
        <f>'2024 DO NOT TOUCH'!B96</f>
        <v>SERE BILLITING</v>
      </c>
      <c r="C96" s="77" t="str">
        <f>'2024 DO NOT TOUCH'!C96</f>
        <v>B14291</v>
      </c>
      <c r="D96" s="78" t="str">
        <f>'2024 DO NOT TOUCH'!D96</f>
        <v>FEBCO</v>
      </c>
      <c r="E96" s="77" t="str">
        <f>'2024 DO NOT TOUCH'!E96</f>
        <v>805YD</v>
      </c>
      <c r="F96" s="78" t="str">
        <f>'2024 DO NOT TOUCH'!F96</f>
        <v>DC</v>
      </c>
      <c r="G96" s="77" t="str">
        <f>'2024 DO NOT TOUCH'!G96</f>
        <v>4.0</v>
      </c>
      <c r="H96" s="78" t="str">
        <f>'2024 DO NOT TOUCH'!H96</f>
        <v>EAST FIRE SYS</v>
      </c>
      <c r="I96" s="77" t="str">
        <f>'2024 DO NOT TOUCH'!I96</f>
        <v>PREMISE</v>
      </c>
      <c r="J96" s="78" t="str">
        <f>'2024 DO NOT TOUCH'!J96</f>
        <v>FIRE</v>
      </c>
      <c r="K96" s="77" t="str">
        <f>'2024 DO NOT TOUCH'!K96</f>
        <v>ACTIVE</v>
      </c>
      <c r="L96" s="79">
        <f>'2024 DO NOT TOUCH'!L96</f>
        <v>44641</v>
      </c>
      <c r="M96" s="77" t="b">
        <f>'2024 DO NOT TOUCH'!M96</f>
        <v>0</v>
      </c>
      <c r="N96" s="78">
        <f>'2024 DO NOT TOUCH'!N96</f>
        <v>45370</v>
      </c>
      <c r="O96" s="77" t="str">
        <f>'2024 DO NOT TOUCH'!O96</f>
        <v>PASS</v>
      </c>
      <c r="P96" s="83">
        <f>'2024 DO NOT TOUCH'!P96</f>
        <v>0</v>
      </c>
      <c r="Q96" s="83">
        <f>'2024 DO NOT TOUCH'!Q96</f>
        <v>0</v>
      </c>
      <c r="R96" s="83">
        <f>'2024 DO NOT TOUCH'!R96</f>
        <v>0</v>
      </c>
      <c r="S96" s="77" t="str">
        <f>'2024 DO NOT TOUCH'!S96</f>
        <v>TESTED</v>
      </c>
      <c r="T96" s="77" t="str">
        <f>'2024 DO NOT TOUCH'!T96</f>
        <v>PASSED</v>
      </c>
      <c r="U96" s="77">
        <f>'2024 DO NOT TOUCH'!U96</f>
        <v>0</v>
      </c>
      <c r="V96" s="77">
        <f>'2024 DO NOT TOUCH'!V96</f>
        <v>0</v>
      </c>
      <c r="W96" s="77">
        <f>'2024 DO NOT TOUCH'!W96</f>
        <v>0</v>
      </c>
      <c r="X96" s="83">
        <f>'2024 DO NOT TOUCH'!X96</f>
        <v>0</v>
      </c>
      <c r="Y96" s="77">
        <f>'2024 DO NOT TOUCH'!Y96</f>
        <v>0</v>
      </c>
    </row>
    <row r="97" spans="1:25" ht="19.5" customHeight="1">
      <c r="A97" s="58" t="str">
        <f>'2024 DO NOT TOUCH'!A97</f>
        <v>1252</v>
      </c>
      <c r="B97" s="59" t="str">
        <f>'2024 DO NOT TOUCH'!B97</f>
        <v>SERE BILLITING</v>
      </c>
      <c r="C97" s="58" t="str">
        <f>'2024 DO NOT TOUCH'!C97</f>
        <v>1714739</v>
      </c>
      <c r="D97" s="59" t="str">
        <f>'2024 DO NOT TOUCH'!D97</f>
        <v>WILKINS</v>
      </c>
      <c r="E97" s="58" t="str">
        <f>'2024 DO NOT TOUCH'!E97</f>
        <v>950XLT</v>
      </c>
      <c r="F97" s="59" t="str">
        <f>'2024 DO NOT TOUCH'!F97</f>
        <v>DC</v>
      </c>
      <c r="G97" s="58" t="str">
        <f>'2024 DO NOT TOUCH'!G97</f>
        <v>1.5</v>
      </c>
      <c r="H97" s="59" t="str">
        <f>'2024 DO NOT TOUCH'!H97</f>
        <v>IRRIGATION NEAR HVAC OUTSIDE</v>
      </c>
      <c r="I97" s="58" t="str">
        <f>'2024 DO NOT TOUCH'!I97</f>
        <v>PREMISE</v>
      </c>
      <c r="J97" s="59" t="str">
        <f>'2024 DO NOT TOUCH'!J97</f>
        <v>IRR</v>
      </c>
      <c r="K97" s="58" t="str">
        <f>'2024 DO NOT TOUCH'!K97</f>
        <v>ACTIVE</v>
      </c>
      <c r="L97" s="71">
        <f>'2024 DO NOT TOUCH'!L97</f>
        <v>44782</v>
      </c>
      <c r="M97" s="58" t="b">
        <f>'2024 DO NOT TOUCH'!M97</f>
        <v>0</v>
      </c>
      <c r="N97" s="59">
        <f>'2024 DO NOT TOUCH'!N97</f>
        <v>45370</v>
      </c>
      <c r="O97" s="58" t="str">
        <f>'2024 DO NOT TOUCH'!O97</f>
        <v>PASS</v>
      </c>
      <c r="P97" s="65">
        <f>'2024 DO NOT TOUCH'!P97</f>
        <v>0</v>
      </c>
      <c r="Q97" s="65">
        <f>'2024 DO NOT TOUCH'!Q97</f>
        <v>0</v>
      </c>
      <c r="R97" s="65">
        <f>'2024 DO NOT TOUCH'!R97</f>
        <v>0</v>
      </c>
      <c r="S97" s="62" t="str">
        <f>'2024 DO NOT TOUCH'!S97</f>
        <v>UNTESTED</v>
      </c>
      <c r="T97" s="62">
        <f>'2024 DO NOT TOUCH'!T97</f>
        <v>0</v>
      </c>
      <c r="U97" s="62">
        <f>'2024 DO NOT TOUCH'!U97</f>
        <v>0</v>
      </c>
      <c r="V97" s="62">
        <f>'2024 DO NOT TOUCH'!V97</f>
        <v>0</v>
      </c>
      <c r="W97" s="62">
        <f>'2024 DO NOT TOUCH'!W97</f>
        <v>0</v>
      </c>
      <c r="X97" s="65">
        <f>'2024 DO NOT TOUCH'!X97</f>
        <v>0</v>
      </c>
      <c r="Y97" s="62">
        <f>'2024 DO NOT TOUCH'!Y97</f>
        <v>0</v>
      </c>
    </row>
    <row r="98" spans="1:25" ht="19.5" customHeight="1">
      <c r="A98" s="55" t="str">
        <f>'2024 DO NOT TOUCH'!A98</f>
        <v>1252</v>
      </c>
      <c r="B98" s="3" t="str">
        <f>'2024 DO NOT TOUCH'!B98</f>
        <v>SERE BILLITING</v>
      </c>
      <c r="C98" s="55" t="str">
        <f>'2024 DO NOT TOUCH'!C98</f>
        <v>1941554</v>
      </c>
      <c r="D98" s="3" t="str">
        <f>'2024 DO NOT TOUCH'!D98</f>
        <v>WILKINS</v>
      </c>
      <c r="E98" s="55" t="str">
        <f>'2024 DO NOT TOUCH'!E98</f>
        <v>950XLT</v>
      </c>
      <c r="F98" s="3" t="str">
        <f>'2024 DO NOT TOUCH'!F98</f>
        <v>DC</v>
      </c>
      <c r="G98" s="55" t="str">
        <f>'2024 DO NOT TOUCH'!G98</f>
        <v>1.5</v>
      </c>
      <c r="H98" s="3" t="str">
        <f>'2024 DO NOT TOUCH'!H98</f>
        <v>IRRIGATION NEAR HVAC OUTSIDE</v>
      </c>
      <c r="I98" s="55" t="str">
        <f>'2024 DO NOT TOUCH'!I98</f>
        <v>PREMISE</v>
      </c>
      <c r="J98" s="3" t="str">
        <f>'2024 DO NOT TOUCH'!J98</f>
        <v>IRR</v>
      </c>
      <c r="K98" s="55" t="str">
        <f>'2024 DO NOT TOUCH'!K98</f>
        <v>ACTIVE</v>
      </c>
      <c r="L98" s="72">
        <f>'2024 DO NOT TOUCH'!L98</f>
        <v>44750</v>
      </c>
      <c r="M98" s="55" t="b">
        <f>'2024 DO NOT TOUCH'!M98</f>
        <v>0</v>
      </c>
      <c r="N98" s="3">
        <f>'2024 DO NOT TOUCH'!N98</f>
        <v>0</v>
      </c>
      <c r="O98" s="55">
        <f>'2024 DO NOT TOUCH'!O98</f>
        <v>0</v>
      </c>
      <c r="P98" s="64">
        <f>'2024 DO NOT TOUCH'!P98</f>
        <v>0</v>
      </c>
      <c r="Q98" s="64">
        <f>'2024 DO NOT TOUCH'!Q98</f>
        <v>0</v>
      </c>
      <c r="R98" s="64">
        <f>'2024 DO NOT TOUCH'!R98</f>
        <v>0</v>
      </c>
      <c r="S98" s="57" t="str">
        <f>'2024 DO NOT TOUCH'!S98</f>
        <v>TESTED</v>
      </c>
      <c r="T98" s="57" t="str">
        <f>'2024 DO NOT TOUCH'!T98</f>
        <v>PASSED</v>
      </c>
      <c r="U98" s="57" t="str">
        <f>'2024 DO NOT TOUCH'!U98</f>
        <v>PASSED</v>
      </c>
      <c r="V98" s="57" t="str">
        <f>'2024 DO NOT TOUCH'!V98</f>
        <v>EXISTING</v>
      </c>
      <c r="W98" s="57" t="str">
        <f>'2024 DO NOT TOUCH'!W98</f>
        <v>EXISTING</v>
      </c>
      <c r="X98" s="64">
        <f>'2024 DO NOT TOUCH'!X98</f>
        <v>0</v>
      </c>
      <c r="Y98" s="57">
        <f>'2024 DO NOT TOUCH'!Y98</f>
        <v>0</v>
      </c>
    </row>
    <row r="99" spans="1:25" ht="19.5" customHeight="1">
      <c r="A99" s="58" t="str">
        <f>'2024 DO NOT TOUCH'!A99</f>
        <v>1252</v>
      </c>
      <c r="B99" s="59" t="str">
        <f>'2024 DO NOT TOUCH'!B99</f>
        <v>SERE BILLITING</v>
      </c>
      <c r="C99" s="58" t="str">
        <f>'2024 DO NOT TOUCH'!C99</f>
        <v>W358358</v>
      </c>
      <c r="D99" s="59" t="str">
        <f>'2024 DO NOT TOUCH'!D99</f>
        <v>WILKINS</v>
      </c>
      <c r="E99" s="58" t="str">
        <f>'2024 DO NOT TOUCH'!E99</f>
        <v>975XL</v>
      </c>
      <c r="F99" s="59" t="str">
        <f>'2024 DO NOT TOUCH'!F99</f>
        <v>RP</v>
      </c>
      <c r="G99" s="58" t="str">
        <f>'2024 DO NOT TOUCH'!G99</f>
        <v>0.5</v>
      </c>
      <c r="H99" s="59" t="str">
        <f>'2024 DO NOT TOUCH'!H99</f>
        <v>ICE MACHINE SE 3RD FLOOR</v>
      </c>
      <c r="I99" s="58" t="str">
        <f>'2024 DO NOT TOUCH'!I99</f>
        <v>INPREMISE</v>
      </c>
      <c r="J99" s="59" t="str">
        <f>'2024 DO NOT TOUCH'!J99</f>
        <v>AOI</v>
      </c>
      <c r="K99" s="58" t="str">
        <f>'2024 DO NOT TOUCH'!K99</f>
        <v>ACTIVE</v>
      </c>
      <c r="L99" s="71">
        <f>'2024 DO NOT TOUCH'!L99</f>
        <v>44641</v>
      </c>
      <c r="M99" s="58" t="b">
        <f>'2024 DO NOT TOUCH'!M99</f>
        <v>0</v>
      </c>
      <c r="N99" s="59">
        <f>'2024 DO NOT TOUCH'!N99</f>
        <v>45370</v>
      </c>
      <c r="O99" s="58" t="str">
        <f>'2024 DO NOT TOUCH'!O99</f>
        <v>PASS</v>
      </c>
      <c r="P99" s="65">
        <f>'2024 DO NOT TOUCH'!P99</f>
        <v>8.1999999999999993</v>
      </c>
      <c r="Q99" s="65">
        <f>'2024 DO NOT TOUCH'!Q99</f>
        <v>0</v>
      </c>
      <c r="R99" s="65">
        <f>'2024 DO NOT TOUCH'!R99</f>
        <v>3.4</v>
      </c>
      <c r="S99" s="62" t="str">
        <f>'2024 DO NOT TOUCH'!S99</f>
        <v>TESTED</v>
      </c>
      <c r="T99" s="62" t="str">
        <f>'2024 DO NOT TOUCH'!T99</f>
        <v>PASSED</v>
      </c>
      <c r="U99" s="62">
        <f>'2024 DO NOT TOUCH'!U99</f>
        <v>0</v>
      </c>
      <c r="V99" s="62">
        <f>'2024 DO NOT TOUCH'!V99</f>
        <v>0</v>
      </c>
      <c r="W99" s="62">
        <f>'2024 DO NOT TOUCH'!W99</f>
        <v>0</v>
      </c>
      <c r="X99" s="65">
        <f>'2024 DO NOT TOUCH'!X99</f>
        <v>0</v>
      </c>
      <c r="Y99" s="62">
        <f>'2024 DO NOT TOUCH'!Y99</f>
        <v>0</v>
      </c>
    </row>
    <row r="100" spans="1:25" ht="19.5" customHeight="1">
      <c r="A100" s="55" t="str">
        <f>'2024 DO NOT TOUCH'!A100</f>
        <v>1252</v>
      </c>
      <c r="B100" s="55" t="str">
        <f>'2024 DO NOT TOUCH'!B100</f>
        <v>SERE BILLITING</v>
      </c>
      <c r="C100" s="55" t="str">
        <f>'2024 DO NOT TOUCH'!C100</f>
        <v>3787960</v>
      </c>
      <c r="D100" s="55" t="str">
        <f>'2024 DO NOT TOUCH'!D100</f>
        <v>WILKINS</v>
      </c>
      <c r="E100" s="55" t="str">
        <f>'2024 DO NOT TOUCH'!E100</f>
        <v>975XL</v>
      </c>
      <c r="F100" s="55" t="str">
        <f>'2024 DO NOT TOUCH'!F100</f>
        <v>RP</v>
      </c>
      <c r="G100" s="55" t="str">
        <f>'2024 DO NOT TOUCH'!G100</f>
        <v>0.75</v>
      </c>
      <c r="H100" s="55" t="str">
        <f>'2024 DO NOT TOUCH'!H100</f>
        <v>3RD FLOOR TRAP PRIMER AND HB IN MECH RM</v>
      </c>
      <c r="I100" s="55" t="str">
        <f>'2024 DO NOT TOUCH'!I100</f>
        <v>INPREMISE</v>
      </c>
      <c r="J100" s="55" t="str">
        <f>'2024 DO NOT TOUCH'!J100</f>
        <v>AOI</v>
      </c>
      <c r="K100" s="55" t="str">
        <f>'2024 DO NOT TOUCH'!K100</f>
        <v>ACTIVE</v>
      </c>
      <c r="L100" s="56">
        <f>'2024 DO NOT TOUCH'!L100</f>
        <v>44641</v>
      </c>
      <c r="M100" s="56" t="b">
        <f>'2024 DO NOT TOUCH'!M100</f>
        <v>0</v>
      </c>
      <c r="N100" s="56">
        <f>'2024 DO NOT TOUCH'!N100</f>
        <v>45370</v>
      </c>
      <c r="O100" s="55" t="str">
        <f>'2024 DO NOT TOUCH'!O100</f>
        <v>PASS</v>
      </c>
      <c r="P100" s="64">
        <f>'2024 DO NOT TOUCH'!P100</f>
        <v>7.6</v>
      </c>
      <c r="Q100" s="64">
        <f>'2024 DO NOT TOUCH'!Q100</f>
        <v>0</v>
      </c>
      <c r="R100" s="64">
        <f>'2024 DO NOT TOUCH'!R100</f>
        <v>3.6</v>
      </c>
      <c r="S100" s="55" t="str">
        <f>'2024 DO NOT TOUCH'!S100</f>
        <v>TESTED</v>
      </c>
      <c r="T100" s="55" t="str">
        <f>'2024 DO NOT TOUCH'!T100</f>
        <v>PASSED</v>
      </c>
      <c r="U100" s="55">
        <f>'2024 DO NOT TOUCH'!U100</f>
        <v>0</v>
      </c>
      <c r="V100" s="55" t="str">
        <f>'2024 DO NOT TOUCH'!V100</f>
        <v>Y</v>
      </c>
      <c r="W100" s="55">
        <f>'2024 DO NOT TOUCH'!W100</f>
        <v>0</v>
      </c>
      <c r="X100" s="66" t="str">
        <f>'2024 DO NOT TOUCH'!X100</f>
        <v>H29590</v>
      </c>
      <c r="Y100" s="55">
        <f>'2024 DO NOT TOUCH'!Y100</f>
        <v>0</v>
      </c>
    </row>
    <row r="101" spans="1:25" ht="19.5" customHeight="1">
      <c r="A101" s="58" t="str">
        <f>'2024 DO NOT TOUCH'!A101</f>
        <v>1254</v>
      </c>
      <c r="B101" s="59" t="str">
        <f>'2024 DO NOT TOUCH'!B101</f>
        <v>PARACHUTE SHOP</v>
      </c>
      <c r="C101" s="58" t="str">
        <f>'2024 DO NOT TOUCH'!C101</f>
        <v>BA4836</v>
      </c>
      <c r="D101" s="59" t="str">
        <f>'2024 DO NOT TOUCH'!D101</f>
        <v>FEBCO</v>
      </c>
      <c r="E101" s="58" t="str">
        <f>'2024 DO NOT TOUCH'!E101</f>
        <v>825Y</v>
      </c>
      <c r="F101" s="59" t="str">
        <f>'2024 DO NOT TOUCH'!F101</f>
        <v>RP</v>
      </c>
      <c r="G101" s="58" t="str">
        <f>'2024 DO NOT TOUCH'!G101</f>
        <v>0.75</v>
      </c>
      <c r="H101" s="59" t="str">
        <f>'2024 DO NOT TOUCH'!H101</f>
        <v>WATER SOFTNER IN SUPPLY RM 120</v>
      </c>
      <c r="I101" s="58" t="str">
        <f>'2024 DO NOT TOUCH'!I101</f>
        <v>INPREMISE</v>
      </c>
      <c r="J101" s="59" t="str">
        <f>'2024 DO NOT TOUCH'!J101</f>
        <v>AOI</v>
      </c>
      <c r="K101" s="58" t="str">
        <f>'2024 DO NOT TOUCH'!K101</f>
        <v>ACTIVE</v>
      </c>
      <c r="L101" s="71">
        <f>'2024 DO NOT TOUCH'!L101</f>
        <v>44641</v>
      </c>
      <c r="M101" s="58" t="b">
        <f>'2024 DO NOT TOUCH'!M101</f>
        <v>0</v>
      </c>
      <c r="N101" s="59">
        <f>'2024 DO NOT TOUCH'!N101</f>
        <v>0</v>
      </c>
      <c r="O101" s="58">
        <f>'2024 DO NOT TOUCH'!O101</f>
        <v>0</v>
      </c>
      <c r="P101" s="65">
        <f>'2024 DO NOT TOUCH'!P101</f>
        <v>0</v>
      </c>
      <c r="Q101" s="65">
        <f>'2024 DO NOT TOUCH'!Q101</f>
        <v>0</v>
      </c>
      <c r="R101" s="65">
        <f>'2024 DO NOT TOUCH'!R101</f>
        <v>0</v>
      </c>
      <c r="S101" s="62" t="str">
        <f>'2024 DO NOT TOUCH'!S101</f>
        <v>TESTED</v>
      </c>
      <c r="T101" s="62" t="str">
        <f>'2024 DO NOT TOUCH'!T101</f>
        <v>PASSED</v>
      </c>
      <c r="U101" s="62">
        <f>'2024 DO NOT TOUCH'!U101</f>
        <v>0</v>
      </c>
      <c r="V101" s="62">
        <f>'2024 DO NOT TOUCH'!V101</f>
        <v>0</v>
      </c>
      <c r="W101" s="62">
        <f>'2024 DO NOT TOUCH'!W101</f>
        <v>0</v>
      </c>
      <c r="X101" s="65">
        <f>'2024 DO NOT TOUCH'!X101</f>
        <v>0</v>
      </c>
      <c r="Y101" s="62">
        <f>'2024 DO NOT TOUCH'!Y101</f>
        <v>0</v>
      </c>
    </row>
    <row r="102" spans="1:25" ht="19.5" customHeight="1">
      <c r="A102" s="55" t="str">
        <f>'2024 DO NOT TOUCH'!A102</f>
        <v>1254</v>
      </c>
      <c r="B102" s="3" t="str">
        <f>'2024 DO NOT TOUCH'!B102</f>
        <v>PARACHUTE SHOP</v>
      </c>
      <c r="C102" s="55" t="str">
        <f>'2024 DO NOT TOUCH'!C102</f>
        <v>BA8773</v>
      </c>
      <c r="D102" s="3" t="str">
        <f>'2024 DO NOT TOUCH'!D102</f>
        <v>FEBCO</v>
      </c>
      <c r="E102" s="55" t="str">
        <f>'2024 DO NOT TOUCH'!E102</f>
        <v>825Y</v>
      </c>
      <c r="F102" s="3" t="str">
        <f>'2024 DO NOT TOUCH'!F102</f>
        <v>RP</v>
      </c>
      <c r="G102" s="55" t="str">
        <f>'2024 DO NOT TOUCH'!G102</f>
        <v>2.0</v>
      </c>
      <c r="H102" s="3" t="str">
        <f>'2024 DO NOT TOUCH'!H102</f>
        <v>IN MECH RM</v>
      </c>
      <c r="I102" s="55" t="str">
        <f>'2024 DO NOT TOUCH'!I102</f>
        <v>PREMISE</v>
      </c>
      <c r="J102" s="3" t="str">
        <f>'2024 DO NOT TOUCH'!J102</f>
        <v>PREMISE</v>
      </c>
      <c r="K102" s="55" t="str">
        <f>'2024 DO NOT TOUCH'!K102</f>
        <v>ACTIVE</v>
      </c>
      <c r="L102" s="72">
        <f>'2024 DO NOT TOUCH'!L102</f>
        <v>44641</v>
      </c>
      <c r="M102" s="55" t="b">
        <f>'2024 DO NOT TOUCH'!M102</f>
        <v>0</v>
      </c>
      <c r="N102" s="3">
        <f>'2024 DO NOT TOUCH'!N102</f>
        <v>45369</v>
      </c>
      <c r="O102" s="55" t="str">
        <f>'2024 DO NOT TOUCH'!O102</f>
        <v>PARK</v>
      </c>
      <c r="P102" s="64">
        <f>'2024 DO NOT TOUCH'!P102</f>
        <v>7</v>
      </c>
      <c r="Q102" s="64">
        <f>'2024 DO NOT TOUCH'!Q102</f>
        <v>0</v>
      </c>
      <c r="R102" s="64">
        <f>'2024 DO NOT TOUCH'!R102</f>
        <v>2.2000000000000002</v>
      </c>
      <c r="S102" s="57" t="str">
        <f>'2024 DO NOT TOUCH'!S102</f>
        <v>TESTED</v>
      </c>
      <c r="T102" s="57" t="str">
        <f>'2024 DO NOT TOUCH'!T102</f>
        <v>PASSED</v>
      </c>
      <c r="U102" s="57">
        <f>'2024 DO NOT TOUCH'!U102</f>
        <v>0</v>
      </c>
      <c r="V102" s="57">
        <f>'2024 DO NOT TOUCH'!V102</f>
        <v>0</v>
      </c>
      <c r="W102" s="57">
        <f>'2024 DO NOT TOUCH'!W102</f>
        <v>0</v>
      </c>
      <c r="X102" s="64">
        <f>'2024 DO NOT TOUCH'!X102</f>
        <v>0</v>
      </c>
      <c r="Y102" s="57">
        <f>'2024 DO NOT TOUCH'!Y102</f>
        <v>0</v>
      </c>
    </row>
    <row r="103" spans="1:25" ht="19.5" customHeight="1">
      <c r="A103" s="58" t="str">
        <f>'2024 DO NOT TOUCH'!A103</f>
        <v>1254</v>
      </c>
      <c r="B103" s="59" t="str">
        <f>'2024 DO NOT TOUCH'!B103</f>
        <v>PARACHUTE SHOP</v>
      </c>
      <c r="C103" s="58" t="str">
        <f>'2024 DO NOT TOUCH'!C103</f>
        <v>19713</v>
      </c>
      <c r="D103" s="59" t="str">
        <f>'2024 DO NOT TOUCH'!D103</f>
        <v>FEBCO</v>
      </c>
      <c r="E103" s="58" t="str">
        <f>'2024 DO NOT TOUCH'!E103</f>
        <v>825YD</v>
      </c>
      <c r="F103" s="59" t="str">
        <f>'2024 DO NOT TOUCH'!F103</f>
        <v>RP</v>
      </c>
      <c r="G103" s="58" t="str">
        <f>'2024 DO NOT TOUCH'!G103</f>
        <v>2.5</v>
      </c>
      <c r="H103" s="59" t="str">
        <f>'2024 DO NOT TOUCH'!H103</f>
        <v>IRRIGATION IN MECH RM</v>
      </c>
      <c r="I103" s="58" t="str">
        <f>'2024 DO NOT TOUCH'!I103</f>
        <v>PREMISE</v>
      </c>
      <c r="J103" s="59" t="str">
        <f>'2024 DO NOT TOUCH'!J103</f>
        <v>IRR</v>
      </c>
      <c r="K103" s="58" t="str">
        <f>'2024 DO NOT TOUCH'!K103</f>
        <v>ACTIVE</v>
      </c>
      <c r="L103" s="71">
        <f>'2024 DO NOT TOUCH'!L103</f>
        <v>44641</v>
      </c>
      <c r="M103" s="58" t="b">
        <f>'2024 DO NOT TOUCH'!M103</f>
        <v>0</v>
      </c>
      <c r="N103" s="59">
        <f>'2024 DO NOT TOUCH'!N103</f>
        <v>45369</v>
      </c>
      <c r="O103" s="58" t="str">
        <f>'2024 DO NOT TOUCH'!O103</f>
        <v>PARK</v>
      </c>
      <c r="P103" s="65">
        <f>'2024 DO NOT TOUCH'!P103</f>
        <v>0</v>
      </c>
      <c r="Q103" s="65">
        <f>'2024 DO NOT TOUCH'!Q103</f>
        <v>0</v>
      </c>
      <c r="R103" s="65">
        <f>'2024 DO NOT TOUCH'!R103</f>
        <v>0</v>
      </c>
      <c r="S103" s="62" t="str">
        <f>'2024 DO NOT TOUCH'!S103</f>
        <v>UNTESTED</v>
      </c>
      <c r="T103" s="62" t="str">
        <f>'2024 DO NOT TOUCH'!T103</f>
        <v>PASSED</v>
      </c>
      <c r="U103" s="62">
        <f>'2024 DO NOT TOUCH'!U103</f>
        <v>0</v>
      </c>
      <c r="V103" s="62">
        <f>'2024 DO NOT TOUCH'!V103</f>
        <v>0</v>
      </c>
      <c r="W103" s="62">
        <f>'2024 DO NOT TOUCH'!W103</f>
        <v>0</v>
      </c>
      <c r="X103" s="65">
        <f>'2024 DO NOT TOUCH'!X103</f>
        <v>0</v>
      </c>
      <c r="Y103" s="62">
        <f>'2024 DO NOT TOUCH'!Y103</f>
        <v>0</v>
      </c>
    </row>
    <row r="104" spans="1:25" ht="19.5" customHeight="1">
      <c r="A104" s="55" t="str">
        <f>'2024 DO NOT TOUCH'!A104</f>
        <v>1254</v>
      </c>
      <c r="B104" s="3" t="str">
        <f>'2024 DO NOT TOUCH'!B104</f>
        <v>PARACHUTE SHOP</v>
      </c>
      <c r="C104" s="55" t="str">
        <f>'2024 DO NOT TOUCH'!C104</f>
        <v>V20995</v>
      </c>
      <c r="D104" s="3" t="str">
        <f>'2024 DO NOT TOUCH'!D104</f>
        <v>WILKINS</v>
      </c>
      <c r="E104" s="55" t="str">
        <f>'2024 DO NOT TOUCH'!E104</f>
        <v>350ADA</v>
      </c>
      <c r="F104" s="3" t="str">
        <f>'2024 DO NOT TOUCH'!F104</f>
        <v>DCDA</v>
      </c>
      <c r="G104" s="55" t="str">
        <f>'2024 DO NOT TOUCH'!G104</f>
        <v>6.0</v>
      </c>
      <c r="H104" s="3" t="str">
        <f>'2024 DO NOT TOUCH'!H104</f>
        <v>MECH RM ON FIRE SYSTEM DCDA #1</v>
      </c>
      <c r="I104" s="55" t="str">
        <f>'2024 DO NOT TOUCH'!I104</f>
        <v>PREMISE</v>
      </c>
      <c r="J104" s="3" t="str">
        <f>'2024 DO NOT TOUCH'!J104</f>
        <v>FIRE</v>
      </c>
      <c r="K104" s="55" t="str">
        <f>'2024 DO NOT TOUCH'!K104</f>
        <v>ACTIVE</v>
      </c>
      <c r="L104" s="72">
        <f>'2024 DO NOT TOUCH'!L104</f>
        <v>44851</v>
      </c>
      <c r="M104" s="55" t="b">
        <f>'2024 DO NOT TOUCH'!M104</f>
        <v>0</v>
      </c>
      <c r="N104" s="3">
        <f>'2024 DO NOT TOUCH'!N104</f>
        <v>0</v>
      </c>
      <c r="O104" s="55">
        <f>'2024 DO NOT TOUCH'!O104</f>
        <v>0</v>
      </c>
      <c r="P104" s="66">
        <f>'2024 DO NOT TOUCH'!P104</f>
        <v>0</v>
      </c>
      <c r="Q104" s="66">
        <f>'2024 DO NOT TOUCH'!Q104</f>
        <v>0</v>
      </c>
      <c r="R104" s="66">
        <f>'2024 DO NOT TOUCH'!R104</f>
        <v>0</v>
      </c>
      <c r="S104" s="55" t="str">
        <f>'2024 DO NOT TOUCH'!S104</f>
        <v>TESTED</v>
      </c>
      <c r="T104" s="55" t="str">
        <f>'2024 DO NOT TOUCH'!T104</f>
        <v>PASSED</v>
      </c>
      <c r="U104" s="55">
        <f>'2024 DO NOT TOUCH'!U104</f>
        <v>0</v>
      </c>
      <c r="V104" s="55">
        <f>'2024 DO NOT TOUCH'!V104</f>
        <v>0</v>
      </c>
      <c r="W104" s="55">
        <f>'2024 DO NOT TOUCH'!W104</f>
        <v>0</v>
      </c>
      <c r="X104" s="66">
        <f>'2024 DO NOT TOUCH'!X104</f>
        <v>0</v>
      </c>
      <c r="Y104" s="55">
        <f>'2024 DO NOT TOUCH'!Y104</f>
        <v>0</v>
      </c>
    </row>
    <row r="105" spans="1:25" ht="19.5" customHeight="1">
      <c r="A105" s="58" t="str">
        <f>'2024 DO NOT TOUCH'!A105</f>
        <v>1254</v>
      </c>
      <c r="B105" s="59" t="str">
        <f>'2024 DO NOT TOUCH'!B105</f>
        <v>PARACHUTE SHOP</v>
      </c>
      <c r="C105" s="58" t="str">
        <f>'2024 DO NOT TOUCH'!C105</f>
        <v>3062923XLD</v>
      </c>
      <c r="D105" s="59" t="str">
        <f>'2024 DO NOT TOUCH'!D105</f>
        <v>WILKINS</v>
      </c>
      <c r="E105" s="58" t="str">
        <f>'2024 DO NOT TOUCH'!E105</f>
        <v>950XL</v>
      </c>
      <c r="F105" s="59" t="str">
        <f>'2024 DO NOT TOUCH'!F105</f>
        <v>DCDA</v>
      </c>
      <c r="G105" s="58" t="str">
        <f>'2024 DO NOT TOUCH'!G105</f>
        <v>0.75</v>
      </c>
      <c r="H105" s="59" t="str">
        <f>'2024 DO NOT TOUCH'!H105</f>
        <v>MECH RM ON FIRE SYSTEM DCDA #2</v>
      </c>
      <c r="I105" s="58" t="str">
        <f>'2024 DO NOT TOUCH'!I105</f>
        <v>PREMISE</v>
      </c>
      <c r="J105" s="59" t="str">
        <f>'2024 DO NOT TOUCH'!J105</f>
        <v>FIRE</v>
      </c>
      <c r="K105" s="58" t="str">
        <f>'2024 DO NOT TOUCH'!K105</f>
        <v>ACTIVE</v>
      </c>
      <c r="L105" s="71">
        <f>'2024 DO NOT TOUCH'!L105</f>
        <v>44935</v>
      </c>
      <c r="M105" s="58" t="b">
        <f>'2024 DO NOT TOUCH'!M105</f>
        <v>0</v>
      </c>
      <c r="N105" s="59">
        <f>'2024 DO NOT TOUCH'!N105</f>
        <v>0</v>
      </c>
      <c r="O105" s="58">
        <f>'2024 DO NOT TOUCH'!O105</f>
        <v>0</v>
      </c>
      <c r="P105" s="67">
        <f>'2024 DO NOT TOUCH'!P105</f>
        <v>0</v>
      </c>
      <c r="Q105" s="67">
        <f>'2024 DO NOT TOUCH'!Q105</f>
        <v>0</v>
      </c>
      <c r="R105" s="67">
        <f>'2024 DO NOT TOUCH'!R105</f>
        <v>0</v>
      </c>
      <c r="S105" s="58" t="str">
        <f>'2024 DO NOT TOUCH'!S105</f>
        <v>TESTED</v>
      </c>
      <c r="T105" s="58" t="str">
        <f>'2024 DO NOT TOUCH'!T105</f>
        <v>PASSED</v>
      </c>
      <c r="U105" s="58">
        <f>'2024 DO NOT TOUCH'!U105</f>
        <v>0</v>
      </c>
      <c r="V105" s="58">
        <f>'2024 DO NOT TOUCH'!V105</f>
        <v>0</v>
      </c>
      <c r="W105" s="58">
        <f>'2024 DO NOT TOUCH'!W105</f>
        <v>0</v>
      </c>
      <c r="X105" s="67">
        <f>'2024 DO NOT TOUCH'!X105</f>
        <v>0</v>
      </c>
      <c r="Y105" s="58">
        <f>'2024 DO NOT TOUCH'!Y105</f>
        <v>0</v>
      </c>
    </row>
    <row r="106" spans="1:25" ht="19.5" customHeight="1">
      <c r="A106" s="77" t="str">
        <f>'2024 DO NOT TOUCH'!A106</f>
        <v>1254</v>
      </c>
      <c r="B106" s="78" t="str">
        <f>'2024 DO NOT TOUCH'!B106</f>
        <v>PARACHUTE SHOP</v>
      </c>
      <c r="C106" s="77" t="str">
        <f>'2024 DO NOT TOUCH'!C106</f>
        <v>BA4835</v>
      </c>
      <c r="D106" s="78" t="str">
        <f>'2024 DO NOT TOUCH'!D106</f>
        <v>FEBCO</v>
      </c>
      <c r="E106" s="77" t="str">
        <f>'2024 DO NOT TOUCH'!E106</f>
        <v>825Y</v>
      </c>
      <c r="F106" s="78" t="str">
        <f>'2024 DO NOT TOUCH'!F106</f>
        <v>RP</v>
      </c>
      <c r="G106" s="77" t="str">
        <f>'2024 DO NOT TOUCH'!G106</f>
        <v>0.75</v>
      </c>
      <c r="H106" s="78" t="str">
        <f>'2024 DO NOT TOUCH'!H106</f>
        <v>BACK MECH RM ON WATER SOFTNER</v>
      </c>
      <c r="I106" s="77" t="str">
        <f>'2024 DO NOT TOUCH'!I106</f>
        <v>INPREMISE</v>
      </c>
      <c r="J106" s="78" t="str">
        <f>'2024 DO NOT TOUCH'!J106</f>
        <v>AOI</v>
      </c>
      <c r="K106" s="77" t="str">
        <f>'2024 DO NOT TOUCH'!K106</f>
        <v>ACTIVE</v>
      </c>
      <c r="L106" s="79">
        <f>'2024 DO NOT TOUCH'!L106</f>
        <v>44935</v>
      </c>
      <c r="M106" s="77" t="b">
        <f>'2024 DO NOT TOUCH'!M106</f>
        <v>0</v>
      </c>
      <c r="N106" s="78">
        <f>'2024 DO NOT TOUCH'!N106</f>
        <v>45370</v>
      </c>
      <c r="O106" s="77" t="str">
        <f>'2024 DO NOT TOUCH'!O106</f>
        <v>PARK</v>
      </c>
      <c r="P106" s="80">
        <f>'2024 DO NOT TOUCH'!P106</f>
        <v>6.8</v>
      </c>
      <c r="Q106" s="80">
        <f>'2024 DO NOT TOUCH'!Q106</f>
        <v>0</v>
      </c>
      <c r="R106" s="80">
        <f>'2024 DO NOT TOUCH'!R106</f>
        <v>1.8</v>
      </c>
      <c r="S106" s="81" t="str">
        <f>'2024 DO NOT TOUCH'!S106</f>
        <v>TESTED</v>
      </c>
      <c r="T106" s="81" t="str">
        <f>'2024 DO NOT TOUCH'!T106</f>
        <v>PASSED</v>
      </c>
      <c r="U106" s="81">
        <f>'2024 DO NOT TOUCH'!U106</f>
        <v>0</v>
      </c>
      <c r="V106" s="81">
        <f>'2024 DO NOT TOUCH'!V106</f>
        <v>0</v>
      </c>
      <c r="W106" s="81">
        <f>'2024 DO NOT TOUCH'!W106</f>
        <v>0</v>
      </c>
      <c r="X106" s="80" t="str">
        <f>'2024 DO NOT TOUCH'!X106</f>
        <v>B306482</v>
      </c>
      <c r="Y106" s="81">
        <f>'2024 DO NOT TOUCH'!Y106</f>
        <v>0</v>
      </c>
    </row>
    <row r="107" spans="1:25" ht="19.5" customHeight="1">
      <c r="A107" s="58" t="str">
        <f>'2024 DO NOT TOUCH'!A107</f>
        <v>1255</v>
      </c>
      <c r="B107" s="59" t="str">
        <f>'2024 DO NOT TOUCH'!B107</f>
        <v>SERE INTEL</v>
      </c>
      <c r="C107" s="58" t="str">
        <f>'2024 DO NOT TOUCH'!C107</f>
        <v>N1101200534</v>
      </c>
      <c r="D107" s="59" t="str">
        <f>'2024 DO NOT TOUCH'!D107</f>
        <v>FEBCO</v>
      </c>
      <c r="E107" s="58" t="str">
        <f>'2024 DO NOT TOUCH'!E107</f>
        <v>LF860</v>
      </c>
      <c r="F107" s="59" t="str">
        <f>'2024 DO NOT TOUCH'!F107</f>
        <v>RP</v>
      </c>
      <c r="G107" s="58" t="str">
        <f>'2024 DO NOT TOUCH'!G107</f>
        <v>2.5</v>
      </c>
      <c r="H107" s="59" t="str">
        <f>'2024 DO NOT TOUCH'!H107</f>
        <v>PREMISE IN MECH RM</v>
      </c>
      <c r="I107" s="58" t="str">
        <f>'2024 DO NOT TOUCH'!I107</f>
        <v>PREMISE</v>
      </c>
      <c r="J107" s="59" t="str">
        <f>'2024 DO NOT TOUCH'!J107</f>
        <v>PREMISE</v>
      </c>
      <c r="K107" s="58" t="str">
        <f>'2024 DO NOT TOUCH'!K107</f>
        <v>ACTIVE</v>
      </c>
      <c r="L107" s="71">
        <f>'2024 DO NOT TOUCH'!L107</f>
        <v>44641</v>
      </c>
      <c r="M107" s="58" t="b">
        <f>'2024 DO NOT TOUCH'!M107</f>
        <v>0</v>
      </c>
      <c r="N107" s="59">
        <f>'2024 DO NOT TOUCH'!N107</f>
        <v>45369</v>
      </c>
      <c r="O107" s="58" t="str">
        <f>'2024 DO NOT TOUCH'!O107</f>
        <v>PARK</v>
      </c>
      <c r="P107" s="65">
        <f>'2024 DO NOT TOUCH'!P107</f>
        <v>7.2</v>
      </c>
      <c r="Q107" s="65">
        <f>'2024 DO NOT TOUCH'!Q107</f>
        <v>0</v>
      </c>
      <c r="R107" s="65">
        <f>'2024 DO NOT TOUCH'!R107</f>
        <v>6.6</v>
      </c>
      <c r="S107" s="62" t="str">
        <f>'2024 DO NOT TOUCH'!S107</f>
        <v>TESTED</v>
      </c>
      <c r="T107" s="62" t="str">
        <f>'2024 DO NOT TOUCH'!T107</f>
        <v>PASSED</v>
      </c>
      <c r="U107" s="62">
        <f>'2024 DO NOT TOUCH'!U107</f>
        <v>0</v>
      </c>
      <c r="V107" s="62">
        <f>'2024 DO NOT TOUCH'!V107</f>
        <v>0</v>
      </c>
      <c r="W107" s="62">
        <f>'2024 DO NOT TOUCH'!W107</f>
        <v>0</v>
      </c>
      <c r="X107" s="65">
        <f>'2024 DO NOT TOUCH'!X107</f>
        <v>0</v>
      </c>
      <c r="Y107" s="62">
        <f>'2024 DO NOT TOUCH'!Y107</f>
        <v>0</v>
      </c>
    </row>
    <row r="108" spans="1:25" ht="19.5" customHeight="1">
      <c r="A108" s="77" t="str">
        <f>'2024 DO NOT TOUCH'!A108</f>
        <v>1255</v>
      </c>
      <c r="B108" s="78" t="str">
        <f>'2024 DO NOT TOUCH'!B108</f>
        <v>SERE INTEL</v>
      </c>
      <c r="C108" s="77" t="str">
        <f>'2024 DO NOT TOUCH'!C108</f>
        <v>H00577</v>
      </c>
      <c r="D108" s="78" t="str">
        <f>'2024 DO NOT TOUCH'!D108</f>
        <v>FEBCO</v>
      </c>
      <c r="E108" s="77" t="str">
        <f>'2024 DO NOT TOUCH'!E108</f>
        <v>850</v>
      </c>
      <c r="F108" s="78" t="str">
        <f>'2024 DO NOT TOUCH'!F108</f>
        <v>DC</v>
      </c>
      <c r="G108" s="77" t="str">
        <f>'2024 DO NOT TOUCH'!G108</f>
        <v>0.5</v>
      </c>
      <c r="H108" s="78" t="str">
        <f>'2024 DO NOT TOUCH'!H108</f>
        <v>UNDER SINK</v>
      </c>
      <c r="I108" s="77" t="str">
        <f>'2024 DO NOT TOUCH'!I108</f>
        <v>INPREMISE</v>
      </c>
      <c r="J108" s="78" t="str">
        <f>'2024 DO NOT TOUCH'!J108</f>
        <v>AOI</v>
      </c>
      <c r="K108" s="77" t="str">
        <f>'2024 DO NOT TOUCH'!K108</f>
        <v>ACTIVE</v>
      </c>
      <c r="L108" s="79">
        <f>'2024 DO NOT TOUCH'!L108</f>
        <v>0</v>
      </c>
      <c r="M108" s="77" t="b">
        <f>'2024 DO NOT TOUCH'!M108</f>
        <v>0</v>
      </c>
      <c r="N108" s="78">
        <f>'2024 DO NOT TOUCH'!N108</f>
        <v>45369</v>
      </c>
      <c r="O108" s="77" t="str">
        <f>'2024 DO NOT TOUCH'!O108</f>
        <v>PARK</v>
      </c>
      <c r="P108" s="80">
        <f>'2024 DO NOT TOUCH'!P108</f>
        <v>2.2000000000000002</v>
      </c>
      <c r="Q108" s="80">
        <f>'2024 DO NOT TOUCH'!Q108</f>
        <v>3.4</v>
      </c>
      <c r="R108" s="80">
        <f>'2024 DO NOT TOUCH'!R108</f>
        <v>0</v>
      </c>
      <c r="S108" s="81" t="str">
        <f>'2024 DO NOT TOUCH'!S108</f>
        <v>TESTED</v>
      </c>
      <c r="T108" s="81" t="str">
        <f>'2024 DO NOT TOUCH'!T108</f>
        <v>PASSED</v>
      </c>
      <c r="U108" s="81">
        <f>'2024 DO NOT TOUCH'!U108</f>
        <v>0</v>
      </c>
      <c r="V108" s="81">
        <f>'2024 DO NOT TOUCH'!V108</f>
        <v>0</v>
      </c>
      <c r="W108" s="81">
        <f>'2024 DO NOT TOUCH'!W108</f>
        <v>0</v>
      </c>
      <c r="X108" s="80">
        <f>'2024 DO NOT TOUCH'!X108</f>
        <v>0</v>
      </c>
      <c r="Y108" s="81">
        <f>'2024 DO NOT TOUCH'!Y108</f>
        <v>0</v>
      </c>
    </row>
    <row r="109" spans="1:25" ht="19.5" customHeight="1">
      <c r="A109" s="58" t="str">
        <f>'2024 DO NOT TOUCH'!A109</f>
        <v>1255</v>
      </c>
      <c r="B109" s="59" t="str">
        <f>'2024 DO NOT TOUCH'!B109</f>
        <v>SERE INTEL</v>
      </c>
      <c r="C109" s="58" t="str">
        <f>'2024 DO NOT TOUCH'!C109</f>
        <v>H22181</v>
      </c>
      <c r="D109" s="59" t="str">
        <f>'2024 DO NOT TOUCH'!D109</f>
        <v>FEBCO</v>
      </c>
      <c r="E109" s="58" t="str">
        <f>'2024 DO NOT TOUCH'!E109</f>
        <v>850</v>
      </c>
      <c r="F109" s="59" t="str">
        <f>'2024 DO NOT TOUCH'!F109</f>
        <v>DC</v>
      </c>
      <c r="G109" s="58" t="str">
        <f>'2024 DO NOT TOUCH'!G109</f>
        <v>2.0</v>
      </c>
      <c r="H109" s="59" t="str">
        <f>'2024 DO NOT TOUCH'!H109</f>
        <v>MECH RM IRRIGATION</v>
      </c>
      <c r="I109" s="58" t="str">
        <f>'2024 DO NOT TOUCH'!I109</f>
        <v>PREMISE</v>
      </c>
      <c r="J109" s="59" t="str">
        <f>'2024 DO NOT TOUCH'!J109</f>
        <v>IRR</v>
      </c>
      <c r="K109" s="58" t="str">
        <f>'2024 DO NOT TOUCH'!K109</f>
        <v>ACTIVE</v>
      </c>
      <c r="L109" s="71" t="str">
        <f>'2024 DO NOT TOUCH'!L109</f>
        <v>3/.21/2022</v>
      </c>
      <c r="M109" s="58" t="b">
        <f>'2024 DO NOT TOUCH'!M109</f>
        <v>0</v>
      </c>
      <c r="N109" s="59">
        <f>'2024 DO NOT TOUCH'!N109</f>
        <v>45369</v>
      </c>
      <c r="O109" s="58" t="str">
        <f>'2024 DO NOT TOUCH'!O109</f>
        <v>PARK</v>
      </c>
      <c r="P109" s="67">
        <f>'2024 DO NOT TOUCH'!P109</f>
        <v>0</v>
      </c>
      <c r="Q109" s="67">
        <f>'2024 DO NOT TOUCH'!Q109</f>
        <v>0</v>
      </c>
      <c r="R109" s="67">
        <f>'2024 DO NOT TOUCH'!R109</f>
        <v>0</v>
      </c>
      <c r="S109" s="58" t="str">
        <f>'2024 DO NOT TOUCH'!S109</f>
        <v>UNTESTED</v>
      </c>
      <c r="T109" s="58" t="str">
        <f>'2024 DO NOT TOUCH'!T109</f>
        <v>PASSED</v>
      </c>
      <c r="U109" s="58">
        <f>'2024 DO NOT TOUCH'!U109</f>
        <v>0</v>
      </c>
      <c r="V109" s="58">
        <f>'2024 DO NOT TOUCH'!V109</f>
        <v>0</v>
      </c>
      <c r="W109" s="58">
        <f>'2024 DO NOT TOUCH'!W109</f>
        <v>0</v>
      </c>
      <c r="X109" s="67">
        <f>'2024 DO NOT TOUCH'!X109</f>
        <v>0</v>
      </c>
      <c r="Y109" s="58" t="str">
        <f>'2024 DO NOT TOUCH'!Y109</f>
        <v>FOUND ISO BUT TESTED</v>
      </c>
    </row>
    <row r="110" spans="1:25" ht="19.5" customHeight="1">
      <c r="A110" s="77" t="str">
        <f>'2024 DO NOT TOUCH'!A110</f>
        <v>1255</v>
      </c>
      <c r="B110" s="78" t="str">
        <f>'2024 DO NOT TOUCH'!B110</f>
        <v>SERE INTEL</v>
      </c>
      <c r="C110" s="77" t="str">
        <f>'2024 DO NOT TOUCH'!C110</f>
        <v>2HJ0943</v>
      </c>
      <c r="D110" s="78" t="str">
        <f>'2024 DO NOT TOUCH'!D110</f>
        <v>AMES</v>
      </c>
      <c r="E110" s="77" t="str">
        <f>'2024 DO NOT TOUCH'!E110</f>
        <v>2000 SS</v>
      </c>
      <c r="F110" s="78" t="str">
        <f>'2024 DO NOT TOUCH'!F110</f>
        <v>DC</v>
      </c>
      <c r="G110" s="77" t="str">
        <f>'2024 DO NOT TOUCH'!G110</f>
        <v>6.0</v>
      </c>
      <c r="H110" s="78" t="str">
        <f>'2024 DO NOT TOUCH'!H110</f>
        <v>MECH RM ON FIRE SYS</v>
      </c>
      <c r="I110" s="77" t="str">
        <f>'2024 DO NOT TOUCH'!I110</f>
        <v>PREMISE</v>
      </c>
      <c r="J110" s="78" t="str">
        <f>'2024 DO NOT TOUCH'!J110</f>
        <v>FIRE</v>
      </c>
      <c r="K110" s="77" t="str">
        <f>'2024 DO NOT TOUCH'!K110</f>
        <v>ACTIVE</v>
      </c>
      <c r="L110" s="79">
        <f>'2024 DO NOT TOUCH'!L110</f>
        <v>44657</v>
      </c>
      <c r="M110" s="77" t="b">
        <f>'2024 DO NOT TOUCH'!M110</f>
        <v>0</v>
      </c>
      <c r="N110" s="78">
        <f>'2024 DO NOT TOUCH'!N110</f>
        <v>45586</v>
      </c>
      <c r="O110" s="77" t="str">
        <f>'2024 DO NOT TOUCH'!O110</f>
        <v>PARK</v>
      </c>
      <c r="P110" s="83">
        <f>'2024 DO NOT TOUCH'!P110</f>
        <v>0</v>
      </c>
      <c r="Q110" s="83">
        <f>'2024 DO NOT TOUCH'!Q110</f>
        <v>0</v>
      </c>
      <c r="R110" s="83">
        <f>'2024 DO NOT TOUCH'!R110</f>
        <v>0</v>
      </c>
      <c r="S110" s="77" t="str">
        <f>'2024 DO NOT TOUCH'!S110</f>
        <v>UNTESTED</v>
      </c>
      <c r="T110" s="77">
        <f>'2024 DO NOT TOUCH'!T110</f>
        <v>0</v>
      </c>
      <c r="U110" s="77">
        <f>'2024 DO NOT TOUCH'!U110</f>
        <v>0</v>
      </c>
      <c r="V110" s="77">
        <f>'2024 DO NOT TOUCH'!V110</f>
        <v>0</v>
      </c>
      <c r="W110" s="77">
        <f>'2024 DO NOT TOUCH'!W110</f>
        <v>0</v>
      </c>
      <c r="X110" s="83">
        <f>'2024 DO NOT TOUCH'!X110</f>
        <v>0</v>
      </c>
      <c r="Y110" s="77">
        <f>'2024 DO NOT TOUCH'!Y110</f>
        <v>0</v>
      </c>
    </row>
    <row r="111" spans="1:25" ht="19.5" customHeight="1">
      <c r="A111" s="58" t="str">
        <f>'2024 DO NOT TOUCH'!A111</f>
        <v>1255</v>
      </c>
      <c r="B111" s="59" t="str">
        <f>'2024 DO NOT TOUCH'!B111</f>
        <v>SERE INTEL</v>
      </c>
      <c r="C111" s="58" t="str">
        <f>'2024 DO NOT TOUCH'!C111</f>
        <v>H00368</v>
      </c>
      <c r="D111" s="59" t="str">
        <f>'2024 DO NOT TOUCH'!D111</f>
        <v>FEBCO</v>
      </c>
      <c r="E111" s="58" t="str">
        <f>'2024 DO NOT TOUCH'!E111</f>
        <v>850</v>
      </c>
      <c r="F111" s="59" t="str">
        <f>'2024 DO NOT TOUCH'!F111</f>
        <v>DC</v>
      </c>
      <c r="G111" s="58" t="str">
        <f>'2024 DO NOT TOUCH'!G111</f>
        <v>0.5</v>
      </c>
      <c r="H111" s="59" t="str">
        <f>'2024 DO NOT TOUCH'!H111</f>
        <v>RM 118 UNDER SINK COFFEE</v>
      </c>
      <c r="I111" s="58" t="str">
        <f>'2024 DO NOT TOUCH'!I111</f>
        <v>INPREMISE</v>
      </c>
      <c r="J111" s="59" t="str">
        <f>'2024 DO NOT TOUCH'!J111</f>
        <v>AOI</v>
      </c>
      <c r="K111" s="58" t="str">
        <f>'2024 DO NOT TOUCH'!K111</f>
        <v>ACTIVE</v>
      </c>
      <c r="L111" s="71">
        <f>'2024 DO NOT TOUCH'!L111</f>
        <v>44657</v>
      </c>
      <c r="M111" s="58" t="b">
        <f>'2024 DO NOT TOUCH'!M111</f>
        <v>0</v>
      </c>
      <c r="N111" s="59">
        <f>'2024 DO NOT TOUCH'!N111</f>
        <v>0</v>
      </c>
      <c r="O111" s="58">
        <f>'2024 DO NOT TOUCH'!O111</f>
        <v>0</v>
      </c>
      <c r="P111" s="65">
        <f>'2024 DO NOT TOUCH'!P111</f>
        <v>0</v>
      </c>
      <c r="Q111" s="65">
        <f>'2024 DO NOT TOUCH'!Q111</f>
        <v>0</v>
      </c>
      <c r="R111" s="65">
        <f>'2024 DO NOT TOUCH'!R111</f>
        <v>0</v>
      </c>
      <c r="S111" s="62" t="str">
        <f>'2024 DO NOT TOUCH'!S111</f>
        <v>UNTESTED</v>
      </c>
      <c r="T111" s="62">
        <f>'2024 DO NOT TOUCH'!T111</f>
        <v>0</v>
      </c>
      <c r="U111" s="62">
        <f>'2024 DO NOT TOUCH'!U111</f>
        <v>0</v>
      </c>
      <c r="V111" s="62" t="e">
        <f>'2024 DO NOT TOUCH'!#REF!</f>
        <v>#REF!</v>
      </c>
      <c r="W111" s="62" t="str">
        <f>'2024 DO NOT TOUCH'!W111</f>
        <v>YES</v>
      </c>
      <c r="X111" s="65">
        <f>'2024 DO NOT TOUCH'!X111</f>
        <v>0</v>
      </c>
      <c r="Y111" s="62" t="str">
        <f>'2024 DO NOT TOUCH'!Y111</f>
        <v>REMOVED</v>
      </c>
    </row>
    <row r="112" spans="1:25" ht="19.5" customHeight="1">
      <c r="A112" s="55" t="str">
        <f>'2024 DO NOT TOUCH'!A112</f>
        <v>1256</v>
      </c>
      <c r="B112" s="3" t="str">
        <f>'2024 DO NOT TOUCH'!B112</f>
        <v xml:space="preserve">BUD DAY </v>
      </c>
      <c r="C112" s="55" t="str">
        <f>'2024 DO NOT TOUCH'!C112</f>
        <v>407637</v>
      </c>
      <c r="D112" s="3" t="str">
        <f>'2024 DO NOT TOUCH'!D112</f>
        <v>WATTS</v>
      </c>
      <c r="E112" s="55" t="str">
        <f>'2024 DO NOT TOUCH'!E112</f>
        <v>909QT</v>
      </c>
      <c r="F112" s="3" t="str">
        <f>'2024 DO NOT TOUCH'!F112</f>
        <v>RP</v>
      </c>
      <c r="G112" s="55" t="str">
        <f>'2024 DO NOT TOUCH'!G112</f>
        <v>1.0</v>
      </c>
      <c r="H112" s="3" t="str">
        <f>'2024 DO NOT TOUCH'!H112</f>
        <v>MECH RM HVAC</v>
      </c>
      <c r="I112" s="55" t="str">
        <f>'2024 DO NOT TOUCH'!I112</f>
        <v>INPREMISE</v>
      </c>
      <c r="J112" s="3" t="str">
        <f>'2024 DO NOT TOUCH'!J112</f>
        <v>AOI</v>
      </c>
      <c r="K112" s="55" t="str">
        <f>'2024 DO NOT TOUCH'!K112</f>
        <v>ACTIVE</v>
      </c>
      <c r="L112" s="72">
        <f>'2024 DO NOT TOUCH'!L112</f>
        <v>44935</v>
      </c>
      <c r="M112" s="55" t="b">
        <f>'2024 DO NOT TOUCH'!M112</f>
        <v>0</v>
      </c>
      <c r="N112" s="3">
        <f>'2024 DO NOT TOUCH'!N112</f>
        <v>0</v>
      </c>
      <c r="O112" s="55">
        <f>'2024 DO NOT TOUCH'!O112</f>
        <v>0</v>
      </c>
      <c r="P112" s="64">
        <f>'2024 DO NOT TOUCH'!P112</f>
        <v>0</v>
      </c>
      <c r="Q112" s="64">
        <f>'2024 DO NOT TOUCH'!Q112</f>
        <v>0</v>
      </c>
      <c r="R112" s="64">
        <f>'2024 DO NOT TOUCH'!R112</f>
        <v>0</v>
      </c>
      <c r="S112" s="57" t="str">
        <f>'2024 DO NOT TOUCH'!S112</f>
        <v>UNTESTED</v>
      </c>
      <c r="T112" s="57">
        <f>'2024 DO NOT TOUCH'!T112</f>
        <v>0</v>
      </c>
      <c r="U112" s="57">
        <f>'2024 DO NOT TOUCH'!U112</f>
        <v>0</v>
      </c>
      <c r="V112" s="57">
        <f>'2024 DO NOT TOUCH'!V112</f>
        <v>0</v>
      </c>
      <c r="W112" s="57">
        <f>'2024 DO NOT TOUCH'!W112</f>
        <v>0</v>
      </c>
      <c r="X112" s="64">
        <f>'2024 DO NOT TOUCH'!X112</f>
        <v>0</v>
      </c>
      <c r="Y112" s="57">
        <f>'2024 DO NOT TOUCH'!Y112</f>
        <v>0</v>
      </c>
    </row>
    <row r="113" spans="1:25" ht="19.5" customHeight="1">
      <c r="A113" s="58" t="str">
        <f>'2024 DO NOT TOUCH'!A113</f>
        <v>1256</v>
      </c>
      <c r="B113" s="59" t="str">
        <f>'2024 DO NOT TOUCH'!B113</f>
        <v xml:space="preserve">BUD DAY </v>
      </c>
      <c r="C113" s="58" t="str">
        <f>'2024 DO NOT TOUCH'!C113</f>
        <v>9605070900</v>
      </c>
      <c r="D113" s="59" t="str">
        <f>'2024 DO NOT TOUCH'!D113</f>
        <v>FEBCO</v>
      </c>
      <c r="E113" s="58" t="str">
        <f>'2024 DO NOT TOUCH'!E113</f>
        <v>850</v>
      </c>
      <c r="F113" s="59" t="str">
        <f>'2024 DO NOT TOUCH'!F113</f>
        <v>DC</v>
      </c>
      <c r="G113" s="58" t="str">
        <f>'2024 DO NOT TOUCH'!G113</f>
        <v>6.0</v>
      </c>
      <c r="H113" s="59" t="str">
        <f>'2024 DO NOT TOUCH'!H113</f>
        <v xml:space="preserve">FIRE SYS  </v>
      </c>
      <c r="I113" s="58" t="str">
        <f>'2024 DO NOT TOUCH'!I113</f>
        <v>PREMISE</v>
      </c>
      <c r="J113" s="59" t="str">
        <f>'2024 DO NOT TOUCH'!J113</f>
        <v>FIRE</v>
      </c>
      <c r="K113" s="58" t="str">
        <f>'2024 DO NOT TOUCH'!K113</f>
        <v>ACTIVE</v>
      </c>
      <c r="L113" s="71">
        <f>'2024 DO NOT TOUCH'!L113</f>
        <v>44851</v>
      </c>
      <c r="M113" s="58" t="b">
        <f>'2024 DO NOT TOUCH'!M113</f>
        <v>0</v>
      </c>
      <c r="N113" s="59">
        <f>'2024 DO NOT TOUCH'!N113</f>
        <v>45586</v>
      </c>
      <c r="O113" s="58" t="str">
        <f>'2024 DO NOT TOUCH'!O113</f>
        <v>PARK</v>
      </c>
      <c r="P113" s="65">
        <f>'2024 DO NOT TOUCH'!P113</f>
        <v>2.4</v>
      </c>
      <c r="Q113" s="65">
        <f>'2024 DO NOT TOUCH'!Q113</f>
        <v>2</v>
      </c>
      <c r="R113" s="65">
        <f>'2024 DO NOT TOUCH'!R113</f>
        <v>0</v>
      </c>
      <c r="S113" s="62" t="str">
        <f>'2024 DO NOT TOUCH'!S113</f>
        <v>TESTED</v>
      </c>
      <c r="T113" s="62" t="str">
        <f>'2024 DO NOT TOUCH'!T113</f>
        <v>PASSED</v>
      </c>
      <c r="U113" s="62">
        <f>'2024 DO NOT TOUCH'!U113</f>
        <v>0</v>
      </c>
      <c r="V113" s="62">
        <f>'2024 DO NOT TOUCH'!V113</f>
        <v>0</v>
      </c>
      <c r="W113" s="62">
        <f>'2024 DO NOT TOUCH'!W113</f>
        <v>0</v>
      </c>
      <c r="X113" s="65">
        <f>'2024 DO NOT TOUCH'!X113</f>
        <v>0</v>
      </c>
      <c r="Y113" s="62">
        <f>'2024 DO NOT TOUCH'!Y113</f>
        <v>0</v>
      </c>
    </row>
    <row r="114" spans="1:25" ht="19.5" customHeight="1">
      <c r="A114" s="55" t="str">
        <f>'2024 DO NOT TOUCH'!A114</f>
        <v>1256</v>
      </c>
      <c r="B114" s="55" t="str">
        <f>'2024 DO NOT TOUCH'!B114</f>
        <v xml:space="preserve">BUD DAY </v>
      </c>
      <c r="C114" s="55" t="str">
        <f>'2024 DO NOT TOUCH'!C114</f>
        <v>17858</v>
      </c>
      <c r="D114" s="55" t="str">
        <f>'2024 DO NOT TOUCH'!D114</f>
        <v>WATTS</v>
      </c>
      <c r="E114" s="55" t="str">
        <f>'2024 DO NOT TOUCH'!E114</f>
        <v>007M2QT</v>
      </c>
      <c r="F114" s="55" t="str">
        <f>'2024 DO NOT TOUCH'!F114</f>
        <v>DC</v>
      </c>
      <c r="G114" s="55" t="str">
        <f>'2024 DO NOT TOUCH'!G114</f>
        <v>1.5</v>
      </c>
      <c r="H114" s="55" t="str">
        <f>'2024 DO NOT TOUCH'!H114</f>
        <v>IRRIGATION</v>
      </c>
      <c r="I114" s="55" t="str">
        <f>'2024 DO NOT TOUCH'!I114</f>
        <v>PREMISE</v>
      </c>
      <c r="J114" s="55" t="str">
        <f>'2024 DO NOT TOUCH'!J114</f>
        <v>IRR</v>
      </c>
      <c r="K114" s="55" t="str">
        <f>'2024 DO NOT TOUCH'!K114</f>
        <v>ACTIVE</v>
      </c>
      <c r="L114" s="56">
        <f>'2024 DO NOT TOUCH'!L114</f>
        <v>44760</v>
      </c>
      <c r="M114" s="56" t="b">
        <f>'2024 DO NOT TOUCH'!M114</f>
        <v>0</v>
      </c>
      <c r="N114" s="56">
        <f>'2024 DO NOT TOUCH'!N114</f>
        <v>0</v>
      </c>
      <c r="O114" s="55">
        <f>'2024 DO NOT TOUCH'!O114</f>
        <v>0</v>
      </c>
      <c r="P114" s="64">
        <f>'2024 DO NOT TOUCH'!P114</f>
        <v>0</v>
      </c>
      <c r="Q114" s="64">
        <f>'2024 DO NOT TOUCH'!Q114</f>
        <v>0</v>
      </c>
      <c r="R114" s="64">
        <f>'2024 DO NOT TOUCH'!R114</f>
        <v>0</v>
      </c>
      <c r="S114" s="55" t="str">
        <f>'2024 DO NOT TOUCH'!S114</f>
        <v>TESTED</v>
      </c>
      <c r="T114" s="55" t="str">
        <f>'2024 DO NOT TOUCH'!T114</f>
        <v>PASSED</v>
      </c>
      <c r="U114" s="55">
        <f>'2024 DO NOT TOUCH'!U114</f>
        <v>0</v>
      </c>
      <c r="V114" s="55">
        <f>'2024 DO NOT TOUCH'!V114</f>
        <v>0</v>
      </c>
      <c r="W114" s="55">
        <f>'2024 DO NOT TOUCH'!W114</f>
        <v>0</v>
      </c>
      <c r="X114" s="66">
        <f>'2024 DO NOT TOUCH'!X114</f>
        <v>0</v>
      </c>
      <c r="Y114" s="55">
        <f>'2024 DO NOT TOUCH'!Y114</f>
        <v>0</v>
      </c>
    </row>
    <row r="115" spans="1:25" ht="19.5" customHeight="1">
      <c r="A115" s="58" t="str">
        <f>'2024 DO NOT TOUCH'!A115</f>
        <v>1257</v>
      </c>
      <c r="B115" s="59" t="str">
        <f>'2024 DO NOT TOUCH'!B115</f>
        <v>THE FINAL POINT</v>
      </c>
      <c r="C115" s="58" t="str">
        <f>'2024 DO NOT TOUCH'!C115</f>
        <v>W358336</v>
      </c>
      <c r="D115" s="59" t="str">
        <f>'2024 DO NOT TOUCH'!D115</f>
        <v>WILKINS</v>
      </c>
      <c r="E115" s="58" t="str">
        <f>'2024 DO NOT TOUCH'!E115</f>
        <v>975XL</v>
      </c>
      <c r="F115" s="59" t="str">
        <f>'2024 DO NOT TOUCH'!F115</f>
        <v>RP</v>
      </c>
      <c r="G115" s="58" t="str">
        <f>'2024 DO NOT TOUCH'!G115</f>
        <v>0.5</v>
      </c>
      <c r="H115" s="59" t="str">
        <f>'2024 DO NOT TOUCH'!H115</f>
        <v>BEHIND BEER TAPS ON POP MACHINE</v>
      </c>
      <c r="I115" s="58" t="str">
        <f>'2024 DO NOT TOUCH'!I115</f>
        <v>INPREMISE</v>
      </c>
      <c r="J115" s="59" t="str">
        <f>'2024 DO NOT TOUCH'!J115</f>
        <v>AOI</v>
      </c>
      <c r="K115" s="58" t="str">
        <f>'2024 DO NOT TOUCH'!K115</f>
        <v>INACTIVE</v>
      </c>
      <c r="L115" s="71">
        <f>'2024 DO NOT TOUCH'!L115</f>
        <v>44854</v>
      </c>
      <c r="M115" s="58" t="b">
        <f>'2024 DO NOT TOUCH'!M115</f>
        <v>0</v>
      </c>
      <c r="N115" s="59">
        <f>'2024 DO NOT TOUCH'!N115</f>
        <v>0</v>
      </c>
      <c r="O115" s="58">
        <f>'2024 DO NOT TOUCH'!O115</f>
        <v>0</v>
      </c>
      <c r="P115" s="65">
        <f>'2024 DO NOT TOUCH'!P115</f>
        <v>0</v>
      </c>
      <c r="Q115" s="65">
        <f>'2024 DO NOT TOUCH'!Q115</f>
        <v>0</v>
      </c>
      <c r="R115" s="65">
        <f>'2024 DO NOT TOUCH'!R115</f>
        <v>0</v>
      </c>
      <c r="S115" s="62" t="str">
        <f>'2024 DO NOT TOUCH'!S115</f>
        <v>TESTED</v>
      </c>
      <c r="T115" s="62" t="str">
        <f>'2024 DO NOT TOUCH'!T115</f>
        <v>PASSED</v>
      </c>
      <c r="U115" s="62" t="str">
        <f>'2024 DO NOT TOUCH'!U115</f>
        <v>PASSED</v>
      </c>
      <c r="V115" s="62" t="str">
        <f>'2024 DO NOT TOUCH'!V115</f>
        <v>EXISTING</v>
      </c>
      <c r="W115" s="62">
        <f>'2024 DO NOT TOUCH'!W115</f>
        <v>0</v>
      </c>
      <c r="X115" s="65">
        <f>'2024 DO NOT TOUCH'!X115</f>
        <v>0</v>
      </c>
      <c r="Y115" s="62">
        <f>'2024 DO NOT TOUCH'!Y115</f>
        <v>0</v>
      </c>
    </row>
    <row r="116" spans="1:25" ht="19.5" customHeight="1">
      <c r="A116" s="55" t="str">
        <f>'2024 DO NOT TOUCH'!A116</f>
        <v>1257</v>
      </c>
      <c r="B116" s="3" t="str">
        <f>'2024 DO NOT TOUCH'!B116</f>
        <v>THE FINAL POINT</v>
      </c>
      <c r="C116" s="55" t="str">
        <f>'2024 DO NOT TOUCH'!C116</f>
        <v>W358323</v>
      </c>
      <c r="D116" s="3" t="str">
        <f>'2024 DO NOT TOUCH'!D116</f>
        <v>WILKINS</v>
      </c>
      <c r="E116" s="55" t="str">
        <f>'2024 DO NOT TOUCH'!E116</f>
        <v>975XL</v>
      </c>
      <c r="F116" s="3" t="str">
        <f>'2024 DO NOT TOUCH'!F116</f>
        <v>RP</v>
      </c>
      <c r="G116" s="55" t="str">
        <f>'2024 DO NOT TOUCH'!G116</f>
        <v>0.5</v>
      </c>
      <c r="H116" s="3" t="str">
        <f>'2024 DO NOT TOUCH'!H116</f>
        <v>BEHIND ICE MACHINE</v>
      </c>
      <c r="I116" s="55" t="str">
        <f>'2024 DO NOT TOUCH'!I116</f>
        <v>INPREMISE</v>
      </c>
      <c r="J116" s="3" t="str">
        <f>'2024 DO NOT TOUCH'!J116</f>
        <v>AOI</v>
      </c>
      <c r="K116" s="55" t="str">
        <f>'2024 DO NOT TOUCH'!K116</f>
        <v>ACTIVE</v>
      </c>
      <c r="L116" s="72">
        <f>'2024 DO NOT TOUCH'!L116</f>
        <v>44854</v>
      </c>
      <c r="M116" s="55" t="b">
        <f>'2024 DO NOT TOUCH'!M116</f>
        <v>0</v>
      </c>
      <c r="N116" s="3">
        <f>'2024 DO NOT TOUCH'!N116</f>
        <v>45589</v>
      </c>
      <c r="O116" s="55" t="str">
        <f>'2024 DO NOT TOUCH'!O116</f>
        <v>PARK</v>
      </c>
      <c r="P116" s="64">
        <f>'2024 DO NOT TOUCH'!P116</f>
        <v>8</v>
      </c>
      <c r="Q116" s="64">
        <f>'2024 DO NOT TOUCH'!Q116</f>
        <v>0</v>
      </c>
      <c r="R116" s="64">
        <f>'2024 DO NOT TOUCH'!R116</f>
        <v>2.8</v>
      </c>
      <c r="S116" s="57" t="str">
        <f>'2024 DO NOT TOUCH'!S116</f>
        <v>TESTED</v>
      </c>
      <c r="T116" s="57" t="str">
        <f>'2024 DO NOT TOUCH'!T116</f>
        <v>PASSED</v>
      </c>
      <c r="U116" s="57">
        <f>'2024 DO NOT TOUCH'!U116</f>
        <v>0</v>
      </c>
      <c r="V116" s="57">
        <f>'2024 DO NOT TOUCH'!V116</f>
        <v>0</v>
      </c>
      <c r="W116" s="57">
        <f>'2024 DO NOT TOUCH'!W116</f>
        <v>0</v>
      </c>
      <c r="X116" s="64">
        <f>'2024 DO NOT TOUCH'!X116</f>
        <v>0</v>
      </c>
      <c r="Y116" s="57">
        <f>'2024 DO NOT TOUCH'!Y116</f>
        <v>0</v>
      </c>
    </row>
    <row r="117" spans="1:25" ht="19.5" customHeight="1">
      <c r="A117" s="58" t="str">
        <f>'2024 DO NOT TOUCH'!A117</f>
        <v>1257</v>
      </c>
      <c r="B117" s="59" t="str">
        <f>'2024 DO NOT TOUCH'!B117</f>
        <v>THE FINAL POINT</v>
      </c>
      <c r="C117" s="58" t="str">
        <f>'2024 DO NOT TOUCH'!C117</f>
        <v>9706051305</v>
      </c>
      <c r="D117" s="59" t="str">
        <f>'2024 DO NOT TOUCH'!D117</f>
        <v>FEBCO</v>
      </c>
      <c r="E117" s="58" t="str">
        <f>'2024 DO NOT TOUCH'!E117</f>
        <v>850</v>
      </c>
      <c r="F117" s="59" t="str">
        <f>'2024 DO NOT TOUCH'!F117</f>
        <v>DC</v>
      </c>
      <c r="G117" s="58" t="str">
        <f>'2024 DO NOT TOUCH'!G117</f>
        <v>4.0</v>
      </c>
      <c r="H117" s="59" t="str">
        <f>'2024 DO NOT TOUCH'!H117</f>
        <v>MECH RM FIRE</v>
      </c>
      <c r="I117" s="58" t="str">
        <f>'2024 DO NOT TOUCH'!I117</f>
        <v>PREMISE</v>
      </c>
      <c r="J117" s="59" t="str">
        <f>'2024 DO NOT TOUCH'!J117</f>
        <v>FIRE</v>
      </c>
      <c r="K117" s="58" t="str">
        <f>'2024 DO NOT TOUCH'!K117</f>
        <v>ACTIVE</v>
      </c>
      <c r="L117" s="71">
        <f>'2024 DO NOT TOUCH'!L117</f>
        <v>44852</v>
      </c>
      <c r="M117" s="58" t="b">
        <f>'2024 DO NOT TOUCH'!M117</f>
        <v>0</v>
      </c>
      <c r="N117" s="59">
        <f>'2024 DO NOT TOUCH'!N117</f>
        <v>45514</v>
      </c>
      <c r="O117" s="58" t="str">
        <f>'2024 DO NOT TOUCH'!O117</f>
        <v>PARK</v>
      </c>
      <c r="P117" s="65">
        <f>'2024 DO NOT TOUCH'!P117</f>
        <v>2</v>
      </c>
      <c r="Q117" s="65">
        <f>'2024 DO NOT TOUCH'!Q117</f>
        <v>2.4</v>
      </c>
      <c r="R117" s="65">
        <f>'2024 DO NOT TOUCH'!R117</f>
        <v>0</v>
      </c>
      <c r="S117" s="62" t="str">
        <f>'2024 DO NOT TOUCH'!S117</f>
        <v>TESTED</v>
      </c>
      <c r="T117" s="62" t="str">
        <f>'2024 DO NOT TOUCH'!T117</f>
        <v>PASSED</v>
      </c>
      <c r="U117" s="62">
        <f>'2024 DO NOT TOUCH'!U117</f>
        <v>0</v>
      </c>
      <c r="V117" s="62">
        <f>'2024 DO NOT TOUCH'!V117</f>
        <v>0</v>
      </c>
      <c r="W117" s="62">
        <f>'2024 DO NOT TOUCH'!W117</f>
        <v>0</v>
      </c>
      <c r="X117" s="65">
        <f>'2024 DO NOT TOUCH'!X117</f>
        <v>0</v>
      </c>
      <c r="Y117" s="62">
        <f>'2024 DO NOT TOUCH'!Y117</f>
        <v>0</v>
      </c>
    </row>
    <row r="118" spans="1:25" ht="19.5" customHeight="1">
      <c r="A118" s="55" t="str">
        <f>'2024 DO NOT TOUCH'!A118</f>
        <v>1257</v>
      </c>
      <c r="B118" s="3" t="str">
        <f>'2024 DO NOT TOUCH'!B118</f>
        <v>THE FINAL POINT</v>
      </c>
      <c r="C118" s="55" t="str">
        <f>'2024 DO NOT TOUCH'!C118</f>
        <v>511704</v>
      </c>
      <c r="D118" s="3" t="str">
        <f>'2024 DO NOT TOUCH'!D118</f>
        <v>WILKINS</v>
      </c>
      <c r="E118" s="55" t="str">
        <f>'2024 DO NOT TOUCH'!E118</f>
        <v>950XL</v>
      </c>
      <c r="F118" s="3" t="str">
        <f>'2024 DO NOT TOUCH'!F118</f>
        <v>DC</v>
      </c>
      <c r="G118" s="55" t="str">
        <f>'2024 DO NOT TOUCH'!G118</f>
        <v>1.5</v>
      </c>
      <c r="H118" s="3" t="str">
        <f>'2024 DO NOT TOUCH'!H118</f>
        <v>MECH RM IRRIGATION</v>
      </c>
      <c r="I118" s="55" t="str">
        <f>'2024 DO NOT TOUCH'!I118</f>
        <v>PREMISE</v>
      </c>
      <c r="J118" s="3" t="str">
        <f>'2024 DO NOT TOUCH'!J118</f>
        <v>IRR</v>
      </c>
      <c r="K118" s="55" t="str">
        <f>'2024 DO NOT TOUCH'!K118</f>
        <v>ACTIVE</v>
      </c>
      <c r="L118" s="72">
        <f>'2024 DO NOT TOUCH'!L118</f>
        <v>44767</v>
      </c>
      <c r="M118" s="55" t="b">
        <f>'2024 DO NOT TOUCH'!M118</f>
        <v>1</v>
      </c>
      <c r="N118" s="3">
        <f>'2024 DO NOT TOUCH'!N118</f>
        <v>45509</v>
      </c>
      <c r="O118" s="55" t="str">
        <f>'2024 DO NOT TOUCH'!O118</f>
        <v>PASS</v>
      </c>
      <c r="P118" s="66">
        <f>'2024 DO NOT TOUCH'!P118</f>
        <v>3.1</v>
      </c>
      <c r="Q118" s="66">
        <f>'2024 DO NOT TOUCH'!Q118</f>
        <v>3.3</v>
      </c>
      <c r="R118" s="66">
        <f>'2024 DO NOT TOUCH'!R118</f>
        <v>0</v>
      </c>
      <c r="S118" s="55" t="str">
        <f>'2024 DO NOT TOUCH'!S118</f>
        <v>TESTED</v>
      </c>
      <c r="T118" s="55" t="str">
        <f>'2024 DO NOT TOUCH'!T118</f>
        <v>PASSED</v>
      </c>
      <c r="U118" s="55">
        <f>'2024 DO NOT TOUCH'!U118</f>
        <v>0</v>
      </c>
      <c r="V118" s="55">
        <f>'2024 DO NOT TOUCH'!V118</f>
        <v>0</v>
      </c>
      <c r="W118" s="55">
        <f>'2024 DO NOT TOUCH'!W118</f>
        <v>0</v>
      </c>
      <c r="X118" s="66">
        <f>'2024 DO NOT TOUCH'!X118</f>
        <v>0</v>
      </c>
      <c r="Y118" s="55" t="str">
        <f>'2024 DO NOT TOUCH'!Y118</f>
        <v>ISO</v>
      </c>
    </row>
    <row r="119" spans="1:25" ht="19.5" customHeight="1">
      <c r="A119" s="58" t="str">
        <f>'2024 DO NOT TOUCH'!A119</f>
        <v>1257</v>
      </c>
      <c r="B119" s="59" t="str">
        <f>'2024 DO NOT TOUCH'!B119</f>
        <v>THE FINAL POINT</v>
      </c>
      <c r="C119" s="58" t="str">
        <f>'2024 DO NOT TOUCH'!C119</f>
        <v>542732</v>
      </c>
      <c r="D119" s="59" t="str">
        <f>'2024 DO NOT TOUCH'!D119</f>
        <v>WILKINS</v>
      </c>
      <c r="E119" s="58" t="str">
        <f>'2024 DO NOT TOUCH'!E119</f>
        <v>950XL</v>
      </c>
      <c r="F119" s="59" t="str">
        <f>'2024 DO NOT TOUCH'!F119</f>
        <v>DC</v>
      </c>
      <c r="G119" s="58" t="str">
        <f>'2024 DO NOT TOUCH'!G119</f>
        <v>2.0</v>
      </c>
      <c r="H119" s="59" t="str">
        <f>'2024 DO NOT TOUCH'!H119</f>
        <v>MECH RM PREMISE</v>
      </c>
      <c r="I119" s="58" t="str">
        <f>'2024 DO NOT TOUCH'!I119</f>
        <v>PREMISE</v>
      </c>
      <c r="J119" s="59" t="str">
        <f>'2024 DO NOT TOUCH'!J119</f>
        <v>PREMISE</v>
      </c>
      <c r="K119" s="58" t="str">
        <f>'2024 DO NOT TOUCH'!K119</f>
        <v>ACTIVE</v>
      </c>
      <c r="L119" s="71">
        <f>'2024 DO NOT TOUCH'!L119</f>
        <v>44853</v>
      </c>
      <c r="M119" s="58" t="b">
        <f>'2024 DO NOT TOUCH'!M119</f>
        <v>0</v>
      </c>
      <c r="N119" s="59">
        <f>'2024 DO NOT TOUCH'!N119</f>
        <v>45585</v>
      </c>
      <c r="O119" s="58" t="str">
        <f>'2024 DO NOT TOUCH'!O119</f>
        <v>PARK</v>
      </c>
      <c r="P119" s="67">
        <f>'2024 DO NOT TOUCH'!P119</f>
        <v>3.6</v>
      </c>
      <c r="Q119" s="67">
        <f>'2024 DO NOT TOUCH'!Q119</f>
        <v>3.8</v>
      </c>
      <c r="R119" s="67">
        <f>'2024 DO NOT TOUCH'!R119</f>
        <v>0</v>
      </c>
      <c r="S119" s="58" t="str">
        <f>'2024 DO NOT TOUCH'!S119</f>
        <v>TESTED</v>
      </c>
      <c r="T119" s="58" t="str">
        <f>'2024 DO NOT TOUCH'!T119</f>
        <v>PASSED</v>
      </c>
      <c r="U119" s="58">
        <f>'2024 DO NOT TOUCH'!U119</f>
        <v>0</v>
      </c>
      <c r="V119" s="58">
        <f>'2024 DO NOT TOUCH'!V119</f>
        <v>0</v>
      </c>
      <c r="W119" s="58">
        <f>'2024 DO NOT TOUCH'!W119</f>
        <v>0</v>
      </c>
      <c r="X119" s="67">
        <f>'2024 DO NOT TOUCH'!X119</f>
        <v>0</v>
      </c>
      <c r="Y119" s="58">
        <f>'2024 DO NOT TOUCH'!Y119</f>
        <v>0</v>
      </c>
    </row>
    <row r="120" spans="1:25" ht="19.5" customHeight="1">
      <c r="A120" s="77" t="str">
        <f>'2024 DO NOT TOUCH'!A120</f>
        <v>1258</v>
      </c>
      <c r="B120" s="78" t="str">
        <f>'2024 DO NOT TOUCH'!B120</f>
        <v xml:space="preserve">ROSS DINNING </v>
      </c>
      <c r="C120" s="77" t="str">
        <f>'2024 DO NOT TOUCH'!C120</f>
        <v>W358529</v>
      </c>
      <c r="D120" s="78" t="str">
        <f>'2024 DO NOT TOUCH'!D120</f>
        <v>WILKINS</v>
      </c>
      <c r="E120" s="77" t="str">
        <f>'2024 DO NOT TOUCH'!E120</f>
        <v>975XL</v>
      </c>
      <c r="F120" s="78" t="str">
        <f>'2024 DO NOT TOUCH'!F120</f>
        <v>RP</v>
      </c>
      <c r="G120" s="77" t="str">
        <f>'2024 DO NOT TOUCH'!G120</f>
        <v>0.5</v>
      </c>
      <c r="H120" s="78" t="str">
        <f>'2024 DO NOT TOUCH'!H120</f>
        <v>ICE MACHINE</v>
      </c>
      <c r="I120" s="77" t="str">
        <f>'2024 DO NOT TOUCH'!I120</f>
        <v>INPREMISE</v>
      </c>
      <c r="J120" s="78" t="str">
        <f>'2024 DO NOT TOUCH'!J120</f>
        <v>AOI</v>
      </c>
      <c r="K120" s="77" t="str">
        <f>'2024 DO NOT TOUCH'!K120</f>
        <v>ACTIVE</v>
      </c>
      <c r="L120" s="79">
        <f>'2024 DO NOT TOUCH'!L120</f>
        <v>44851</v>
      </c>
      <c r="M120" s="77" t="b">
        <f>'2024 DO NOT TOUCH'!M120</f>
        <v>0</v>
      </c>
      <c r="N120" s="78">
        <f>'2024 DO NOT TOUCH'!N120</f>
        <v>45585</v>
      </c>
      <c r="O120" s="77" t="str">
        <f>'2024 DO NOT TOUCH'!O120</f>
        <v>PARK</v>
      </c>
      <c r="P120" s="80">
        <f>'2024 DO NOT TOUCH'!P120</f>
        <v>6</v>
      </c>
      <c r="Q120" s="80">
        <f>'2024 DO NOT TOUCH'!Q120</f>
        <v>0</v>
      </c>
      <c r="R120" s="80">
        <f>'2024 DO NOT TOUCH'!R120</f>
        <v>2.2000000000000002</v>
      </c>
      <c r="S120" s="81" t="str">
        <f>'2024 DO NOT TOUCH'!S120</f>
        <v>TESTED</v>
      </c>
      <c r="T120" s="81" t="str">
        <f>'2024 DO NOT TOUCH'!T120</f>
        <v>PASSED</v>
      </c>
      <c r="U120" s="81">
        <f>'2024 DO NOT TOUCH'!U120</f>
        <v>0</v>
      </c>
      <c r="V120" s="81">
        <f>'2024 DO NOT TOUCH'!V120</f>
        <v>0</v>
      </c>
      <c r="W120" s="81">
        <f>'2024 DO NOT TOUCH'!W120</f>
        <v>0</v>
      </c>
      <c r="X120" s="80">
        <f>'2024 DO NOT TOUCH'!X120</f>
        <v>0</v>
      </c>
      <c r="Y120" s="81">
        <f>'2024 DO NOT TOUCH'!Y120</f>
        <v>0</v>
      </c>
    </row>
    <row r="121" spans="1:25" ht="19.5" customHeight="1">
      <c r="A121" s="58" t="str">
        <f>'2024 DO NOT TOUCH'!A121</f>
        <v>1258</v>
      </c>
      <c r="B121" s="59" t="str">
        <f>'2024 DO NOT TOUCH'!B121</f>
        <v xml:space="preserve">ROSS DINNING </v>
      </c>
      <c r="C121" s="58" t="str">
        <f>'2024 DO NOT TOUCH'!C121</f>
        <v>3080479</v>
      </c>
      <c r="D121" s="59" t="str">
        <f>'2024 DO NOT TOUCH'!D121</f>
        <v>WILKINS</v>
      </c>
      <c r="E121" s="58" t="str">
        <f>'2024 DO NOT TOUCH'!E121</f>
        <v>975XL</v>
      </c>
      <c r="F121" s="59" t="str">
        <f>'2024 DO NOT TOUCH'!F121</f>
        <v>RP</v>
      </c>
      <c r="G121" s="58" t="str">
        <f>'2024 DO NOT TOUCH'!G121</f>
        <v>1.5</v>
      </c>
      <c r="H121" s="59" t="str">
        <f>'2024 DO NOT TOUCH'!H121</f>
        <v>MECH RM ON WATER SOFTNER</v>
      </c>
      <c r="I121" s="58" t="str">
        <f>'2024 DO NOT TOUCH'!I121</f>
        <v>INPREMISE</v>
      </c>
      <c r="J121" s="59" t="str">
        <f>'2024 DO NOT TOUCH'!J121</f>
        <v>AOI</v>
      </c>
      <c r="K121" s="58" t="str">
        <f>'2024 DO NOT TOUCH'!K121</f>
        <v>ACTIVE</v>
      </c>
      <c r="L121" s="71">
        <f>'2024 DO NOT TOUCH'!L121</f>
        <v>44747</v>
      </c>
      <c r="M121" s="58" t="b">
        <f>'2024 DO NOT TOUCH'!M121</f>
        <v>0</v>
      </c>
      <c r="N121" s="59">
        <f>'2024 DO NOT TOUCH'!N121</f>
        <v>45590</v>
      </c>
      <c r="O121" s="58" t="str">
        <f>'2024 DO NOT TOUCH'!O121</f>
        <v>PARK</v>
      </c>
      <c r="P121" s="65">
        <f>'2024 DO NOT TOUCH'!P121</f>
        <v>8.4</v>
      </c>
      <c r="Q121" s="65">
        <f>'2024 DO NOT TOUCH'!Q121</f>
        <v>0</v>
      </c>
      <c r="R121" s="65">
        <f>'2024 DO NOT TOUCH'!R121</f>
        <v>0</v>
      </c>
      <c r="S121" s="62" t="str">
        <f>'2024 DO NOT TOUCH'!S121</f>
        <v>TESTED</v>
      </c>
      <c r="T121" s="62" t="str">
        <f>'2024 DO NOT TOUCH'!T121</f>
        <v>PASSED</v>
      </c>
      <c r="U121" s="62">
        <f>'2024 DO NOT TOUCH'!U121</f>
        <v>0</v>
      </c>
      <c r="V121" s="62">
        <f>'2024 DO NOT TOUCH'!V121</f>
        <v>0</v>
      </c>
      <c r="W121" s="62">
        <f>'2024 DO NOT TOUCH'!W121</f>
        <v>0</v>
      </c>
      <c r="X121" s="65">
        <f>'2024 DO NOT TOUCH'!X121</f>
        <v>0</v>
      </c>
      <c r="Y121" s="62">
        <f>'2024 DO NOT TOUCH'!Y121</f>
        <v>0</v>
      </c>
    </row>
    <row r="122" spans="1:25" ht="19.5" customHeight="1">
      <c r="A122" s="77" t="str">
        <f>'2024 DO NOT TOUCH'!A122</f>
        <v>1258</v>
      </c>
      <c r="B122" s="78" t="str">
        <f>'2024 DO NOT TOUCH'!B122</f>
        <v xml:space="preserve">ROSS DINNING </v>
      </c>
      <c r="C122" s="77" t="str">
        <f>'2024 DO NOT TOUCH'!C122</f>
        <v>W091273</v>
      </c>
      <c r="D122" s="78" t="str">
        <f>'2024 DO NOT TOUCH'!D122</f>
        <v>WILKINS</v>
      </c>
      <c r="E122" s="77" t="str">
        <f>'2024 DO NOT TOUCH'!E122</f>
        <v>975XL</v>
      </c>
      <c r="F122" s="78" t="str">
        <f>'2024 DO NOT TOUCH'!F122</f>
        <v>RP</v>
      </c>
      <c r="G122" s="77" t="str">
        <f>'2024 DO NOT TOUCH'!G122</f>
        <v>0.5</v>
      </c>
      <c r="H122" s="78" t="str">
        <f>'2024 DO NOT TOUCH'!H122</f>
        <v>MECH RM HVAC</v>
      </c>
      <c r="I122" s="77" t="str">
        <f>'2024 DO NOT TOUCH'!I122</f>
        <v>INPREMISE</v>
      </c>
      <c r="J122" s="78" t="str">
        <f>'2024 DO NOT TOUCH'!J122</f>
        <v>AOI</v>
      </c>
      <c r="K122" s="77" t="str">
        <f>'2024 DO NOT TOUCH'!K122</f>
        <v>INACTIVE</v>
      </c>
      <c r="L122" s="79">
        <f>'2024 DO NOT TOUCH'!L122</f>
        <v>44851</v>
      </c>
      <c r="M122" s="77" t="b">
        <f>'2024 DO NOT TOUCH'!M122</f>
        <v>0</v>
      </c>
      <c r="N122" s="78">
        <f>'2024 DO NOT TOUCH'!N122</f>
        <v>45585</v>
      </c>
      <c r="O122" s="77" t="str">
        <f>'2024 DO NOT TOUCH'!O122</f>
        <v>PARK</v>
      </c>
      <c r="P122" s="80">
        <f>'2024 DO NOT TOUCH'!P122</f>
        <v>0</v>
      </c>
      <c r="Q122" s="80">
        <f>'2024 DO NOT TOUCH'!Q122</f>
        <v>0</v>
      </c>
      <c r="R122" s="80">
        <f>'2024 DO NOT TOUCH'!R122</f>
        <v>0</v>
      </c>
      <c r="S122" s="81" t="str">
        <f>'2024 DO NOT TOUCH'!S122</f>
        <v>UNTESTED</v>
      </c>
      <c r="T122" s="81">
        <f>'2024 DO NOT TOUCH'!T122</f>
        <v>0</v>
      </c>
      <c r="U122" s="81">
        <f>'2024 DO NOT TOUCH'!U122</f>
        <v>0</v>
      </c>
      <c r="V122" s="81">
        <f>'2024 DO NOT TOUCH'!V122</f>
        <v>0</v>
      </c>
      <c r="W122" s="81">
        <f>'2024 DO NOT TOUCH'!X122</f>
        <v>0</v>
      </c>
      <c r="X122" s="80" t="e">
        <f>'2024 DO NOT TOUCH'!#REF!</f>
        <v>#REF!</v>
      </c>
      <c r="Y122" s="81" t="str">
        <f>'2024 DO NOT TOUCH'!Y122</f>
        <v>ISO</v>
      </c>
    </row>
    <row r="123" spans="1:25" ht="19.5" customHeight="1">
      <c r="A123" s="58" t="str">
        <f>'2024 DO NOT TOUCH'!A123</f>
        <v>1258</v>
      </c>
      <c r="B123" s="59" t="str">
        <f>'2024 DO NOT TOUCH'!B123</f>
        <v xml:space="preserve">ROSS DINNING </v>
      </c>
      <c r="C123" s="58" t="str">
        <f>'2024 DO NOT TOUCH'!C123</f>
        <v>360553</v>
      </c>
      <c r="D123" s="59" t="str">
        <f>'2024 DO NOT TOUCH'!D123</f>
        <v>WATTS</v>
      </c>
      <c r="E123" s="58" t="str">
        <f>'2024 DO NOT TOUCH'!E123</f>
        <v>009M3QT</v>
      </c>
      <c r="F123" s="59" t="str">
        <f>'2024 DO NOT TOUCH'!F123</f>
        <v>RP</v>
      </c>
      <c r="G123" s="58" t="str">
        <f>'2024 DO NOT TOUCH'!G123</f>
        <v>0.75</v>
      </c>
      <c r="H123" s="59" t="str">
        <f>'2024 DO NOT TOUCH'!H123</f>
        <v>SODA MACHINE SUPPLY</v>
      </c>
      <c r="I123" s="58" t="str">
        <f>'2024 DO NOT TOUCH'!I123</f>
        <v>INPREMISE</v>
      </c>
      <c r="J123" s="59" t="str">
        <f>'2024 DO NOT TOUCH'!J123</f>
        <v>AOI</v>
      </c>
      <c r="K123" s="58" t="str">
        <f>'2024 DO NOT TOUCH'!K123</f>
        <v>ACTIVE</v>
      </c>
      <c r="L123" s="71">
        <f>'2024 DO NOT TOUCH'!L123</f>
        <v>44935</v>
      </c>
      <c r="M123" s="58" t="b">
        <f>'2024 DO NOT TOUCH'!M123</f>
        <v>0</v>
      </c>
      <c r="N123" s="59">
        <f>'2024 DO NOT TOUCH'!N123</f>
        <v>0</v>
      </c>
      <c r="O123" s="58">
        <f>'2024 DO NOT TOUCH'!O123</f>
        <v>0</v>
      </c>
      <c r="P123" s="67">
        <f>'2024 DO NOT TOUCH'!P123</f>
        <v>0</v>
      </c>
      <c r="Q123" s="67">
        <f>'2024 DO NOT TOUCH'!Q123</f>
        <v>0</v>
      </c>
      <c r="R123" s="67">
        <f>'2024 DO NOT TOUCH'!R123</f>
        <v>0</v>
      </c>
      <c r="S123" s="58" t="str">
        <f>'2024 DO NOT TOUCH'!S123</f>
        <v>TESTED</v>
      </c>
      <c r="T123" s="58" t="str">
        <f>'2024 DO NOT TOUCH'!T123</f>
        <v>PASSED</v>
      </c>
      <c r="U123" s="58">
        <f>'2024 DO NOT TOUCH'!U123</f>
        <v>0</v>
      </c>
      <c r="V123" s="58">
        <f>'2024 DO NOT TOUCH'!V123</f>
        <v>0</v>
      </c>
      <c r="W123" s="58">
        <f>'2024 DO NOT TOUCH'!W123</f>
        <v>0</v>
      </c>
      <c r="X123" s="67">
        <f>'2024 DO NOT TOUCH'!X123</f>
        <v>0</v>
      </c>
      <c r="Y123" s="58">
        <f>'2024 DO NOT TOUCH'!Y123</f>
        <v>0</v>
      </c>
    </row>
    <row r="124" spans="1:25" ht="19.5" customHeight="1">
      <c r="A124" s="77" t="str">
        <f>'2024 DO NOT TOUCH'!A124</f>
        <v>1258</v>
      </c>
      <c r="B124" s="78" t="str">
        <f>'2024 DO NOT TOUCH'!B124</f>
        <v xml:space="preserve">ROSS DINNING </v>
      </c>
      <c r="C124" s="77" t="str">
        <f>'2024 DO NOT TOUCH'!C124</f>
        <v>355796</v>
      </c>
      <c r="D124" s="78" t="str">
        <f>'2024 DO NOT TOUCH'!D124</f>
        <v>WATTS</v>
      </c>
      <c r="E124" s="77" t="str">
        <f>'2024 DO NOT TOUCH'!E124</f>
        <v>009M3QT</v>
      </c>
      <c r="F124" s="78" t="str">
        <f>'2024 DO NOT TOUCH'!F124</f>
        <v>RP</v>
      </c>
      <c r="G124" s="77">
        <f>'2024 DO NOT TOUCH'!G124</f>
        <v>0.75</v>
      </c>
      <c r="H124" s="78" t="str">
        <f>'2024 DO NOT TOUCH'!H124</f>
        <v>UNDER COFFEE MACHINE</v>
      </c>
      <c r="I124" s="77" t="str">
        <f>'2024 DO NOT TOUCH'!I124</f>
        <v>INPREMISE</v>
      </c>
      <c r="J124" s="78" t="str">
        <f>'2024 DO NOT TOUCH'!J124</f>
        <v>AOI</v>
      </c>
      <c r="K124" s="77" t="str">
        <f>'2024 DO NOT TOUCH'!K124</f>
        <v>INACTIVE</v>
      </c>
      <c r="L124" s="79">
        <f>'2024 DO NOT TOUCH'!L124</f>
        <v>0</v>
      </c>
      <c r="M124" s="77" t="b">
        <f>'2024 DO NOT TOUCH'!M124</f>
        <v>0</v>
      </c>
      <c r="N124" s="78">
        <f>'2024 DO NOT TOUCH'!N124</f>
        <v>0</v>
      </c>
      <c r="O124" s="77">
        <f>'2024 DO NOT TOUCH'!O124</f>
        <v>0</v>
      </c>
      <c r="P124" s="83">
        <f>'2024 DO NOT TOUCH'!P124</f>
        <v>0</v>
      </c>
      <c r="Q124" s="83">
        <f>'2024 DO NOT TOUCH'!Q124</f>
        <v>0</v>
      </c>
      <c r="R124" s="83">
        <f>'2024 DO NOT TOUCH'!R124</f>
        <v>0</v>
      </c>
      <c r="S124" s="77" t="str">
        <f>'2024 DO NOT TOUCH'!S124</f>
        <v>UNTESTED</v>
      </c>
      <c r="T124" s="77" t="str">
        <f>'2024 DO NOT TOUCH'!T124</f>
        <v>FAILED</v>
      </c>
      <c r="U124" s="77" t="str">
        <f>'2024 DO NOT TOUCH'!U124</f>
        <v>PASSED</v>
      </c>
      <c r="V124" s="77" t="str">
        <f>'2024 DO NOT TOUCH'!V124</f>
        <v>EXISTING</v>
      </c>
      <c r="W124" s="77" t="str">
        <f>'2024 DO NOT TOUCH'!W124</f>
        <v>EXISTING</v>
      </c>
      <c r="X124" s="83">
        <f>'2024 DO NOT TOUCH'!X124</f>
        <v>0</v>
      </c>
      <c r="Y124" s="77" t="str">
        <f>'2024 DO NOT TOUCH'!Y124</f>
        <v>CHECK S/N</v>
      </c>
    </row>
    <row r="125" spans="1:25" ht="19.5" customHeight="1">
      <c r="A125" s="58" t="str">
        <f>'2024 DO NOT TOUCH'!A125</f>
        <v>1258</v>
      </c>
      <c r="B125" s="59" t="str">
        <f>'2024 DO NOT TOUCH'!B125</f>
        <v xml:space="preserve">ROSS DINNING </v>
      </c>
      <c r="C125" s="58" t="str">
        <f>'2024 DO NOT TOUCH'!C125</f>
        <v>3395891XLTC</v>
      </c>
      <c r="D125" s="59" t="str">
        <f>'2024 DO NOT TOUCH'!D125</f>
        <v>WILKINS</v>
      </c>
      <c r="E125" s="58" t="str">
        <f>'2024 DO NOT TOUCH'!E125</f>
        <v>975XL</v>
      </c>
      <c r="F125" s="59" t="str">
        <f>'2024 DO NOT TOUCH'!F125</f>
        <v>RP</v>
      </c>
      <c r="G125" s="58" t="str">
        <f>'2024 DO NOT TOUCH'!G125</f>
        <v>2.0</v>
      </c>
      <c r="H125" s="59" t="str">
        <f>'2024 DO NOT TOUCH'!H125</f>
        <v>MECH RM IRRIGATION</v>
      </c>
      <c r="I125" s="58" t="str">
        <f>'2024 DO NOT TOUCH'!I125</f>
        <v>PREMISE</v>
      </c>
      <c r="J125" s="59" t="str">
        <f>'2024 DO NOT TOUCH'!J125</f>
        <v>IRR</v>
      </c>
      <c r="K125" s="58" t="str">
        <f>'2024 DO NOT TOUCH'!K125</f>
        <v>ACTIVE</v>
      </c>
      <c r="L125" s="71">
        <f>'2024 DO NOT TOUCH'!L125</f>
        <v>44781</v>
      </c>
      <c r="M125" s="58" t="b">
        <f>'2024 DO NOT TOUCH'!M125</f>
        <v>0</v>
      </c>
      <c r="N125" s="59">
        <f>'2024 DO NOT TOUCH'!N125</f>
        <v>45585</v>
      </c>
      <c r="O125" s="58" t="str">
        <f>'2024 DO NOT TOUCH'!O125</f>
        <v>PARK</v>
      </c>
      <c r="P125" s="65">
        <f>'2024 DO NOT TOUCH'!P125</f>
        <v>8.1999999999999993</v>
      </c>
      <c r="Q125" s="65">
        <f>'2024 DO NOT TOUCH'!Q125</f>
        <v>0</v>
      </c>
      <c r="R125" s="65">
        <f>'2024 DO NOT TOUCH'!R125</f>
        <v>1.8</v>
      </c>
      <c r="S125" s="62" t="str">
        <f>'2024 DO NOT TOUCH'!S125</f>
        <v>TESTED</v>
      </c>
      <c r="T125" s="62" t="str">
        <f>'2024 DO NOT TOUCH'!T125</f>
        <v>PASSED</v>
      </c>
      <c r="U125" s="62">
        <f>'2024 DO NOT TOUCH'!U125</f>
        <v>0</v>
      </c>
      <c r="V125" s="62">
        <f>'2024 DO NOT TOUCH'!V125</f>
        <v>0</v>
      </c>
      <c r="W125" s="62">
        <f>'2024 DO NOT TOUCH'!W125</f>
        <v>0</v>
      </c>
      <c r="X125" s="65">
        <f>'2024 DO NOT TOUCH'!X125</f>
        <v>0</v>
      </c>
      <c r="Y125" s="62" t="str">
        <f>'2024 DO NOT TOUCH'!Y125</f>
        <v>ISSO</v>
      </c>
    </row>
    <row r="126" spans="1:25" ht="19.5" customHeight="1">
      <c r="A126" s="55" t="str">
        <f>'2024 DO NOT TOUCH'!A126</f>
        <v>1258</v>
      </c>
      <c r="B126" s="3" t="str">
        <f>'2024 DO NOT TOUCH'!B126</f>
        <v xml:space="preserve">ROSS DINNING </v>
      </c>
      <c r="C126" s="55" t="str">
        <f>'2024 DO NOT TOUCH'!C126</f>
        <v>H00433</v>
      </c>
      <c r="D126" s="3" t="str">
        <f>'2024 DO NOT TOUCH'!D126</f>
        <v>FEBCO</v>
      </c>
      <c r="E126" s="55" t="str">
        <f>'2024 DO NOT TOUCH'!E126</f>
        <v>850</v>
      </c>
      <c r="F126" s="3" t="str">
        <f>'2024 DO NOT TOUCH'!F126</f>
        <v>DC</v>
      </c>
      <c r="G126" s="55" t="str">
        <f>'2024 DO NOT TOUCH'!G126</f>
        <v>0.5</v>
      </c>
      <c r="H126" s="3" t="str">
        <f>'2024 DO NOT TOUCH'!H126</f>
        <v>ON KITCHEN EQUIPMENT KETTLE</v>
      </c>
      <c r="I126" s="55" t="str">
        <f>'2024 DO NOT TOUCH'!I126</f>
        <v>INPREMISE</v>
      </c>
      <c r="J126" s="3" t="str">
        <f>'2024 DO NOT TOUCH'!J126</f>
        <v>AOI</v>
      </c>
      <c r="K126" s="55" t="str">
        <f>'2024 DO NOT TOUCH'!K126</f>
        <v>ACTIVE</v>
      </c>
      <c r="L126" s="72">
        <f>'2024 DO NOT TOUCH'!L126</f>
        <v>44851</v>
      </c>
      <c r="M126" s="55" t="b">
        <f>'2024 DO NOT TOUCH'!M126</f>
        <v>0</v>
      </c>
      <c r="N126" s="3">
        <f>'2024 DO NOT TOUCH'!N126</f>
        <v>45595</v>
      </c>
      <c r="O126" s="55" t="str">
        <f>'2024 DO NOT TOUCH'!O126</f>
        <v>TROUNG</v>
      </c>
      <c r="P126" s="64">
        <f>'2024 DO NOT TOUCH'!P126</f>
        <v>2.9</v>
      </c>
      <c r="Q126" s="64">
        <f>'2024 DO NOT TOUCH'!Q126</f>
        <v>2.8</v>
      </c>
      <c r="R126" s="64">
        <f>'2024 DO NOT TOUCH'!R126</f>
        <v>0</v>
      </c>
      <c r="S126" s="57" t="str">
        <f>'2024 DO NOT TOUCH'!S126</f>
        <v>TESTED</v>
      </c>
      <c r="T126" s="57" t="str">
        <f>'2024 DO NOT TOUCH'!T126</f>
        <v>PASSED</v>
      </c>
      <c r="U126" s="57">
        <f>'2024 DO NOT TOUCH'!U126</f>
        <v>0</v>
      </c>
      <c r="V126" s="57">
        <f>'2024 DO NOT TOUCH'!V126</f>
        <v>0</v>
      </c>
      <c r="W126" s="57">
        <f>'2024 DO NOT TOUCH'!W126</f>
        <v>0</v>
      </c>
      <c r="X126" s="64">
        <f>'2024 DO NOT TOUCH'!X126</f>
        <v>0</v>
      </c>
      <c r="Y126" s="57" t="str">
        <f>'2024 DO NOT TOUCH'!Y126</f>
        <v>ELI WROTE H0043</v>
      </c>
    </row>
    <row r="127" spans="1:25" ht="19.5" customHeight="1">
      <c r="A127" s="58" t="str">
        <f>'2024 DO NOT TOUCH'!A127</f>
        <v>1258</v>
      </c>
      <c r="B127" s="59" t="str">
        <f>'2024 DO NOT TOUCH'!B127</f>
        <v xml:space="preserve">ROSS DINNING </v>
      </c>
      <c r="C127" s="58" t="str">
        <f>'2024 DO NOT TOUCH'!C127</f>
        <v>131833</v>
      </c>
      <c r="D127" s="59" t="str">
        <f>'2024 DO NOT TOUCH'!D127</f>
        <v>WATTS</v>
      </c>
      <c r="E127" s="58" t="str">
        <f>'2024 DO NOT TOUCH'!E127</f>
        <v>709QT</v>
      </c>
      <c r="F127" s="59" t="str">
        <f>'2024 DO NOT TOUCH'!F127</f>
        <v>DC</v>
      </c>
      <c r="G127" s="58" t="str">
        <f>'2024 DO NOT TOUCH'!G127</f>
        <v>1.5</v>
      </c>
      <c r="H127" s="59" t="str">
        <f>'2024 DO NOT TOUCH'!H127</f>
        <v>MECH RM FIRE SYS</v>
      </c>
      <c r="I127" s="58" t="str">
        <f>'2024 DO NOT TOUCH'!I127</f>
        <v>PREMISE</v>
      </c>
      <c r="J127" s="59" t="str">
        <f>'2024 DO NOT TOUCH'!J127</f>
        <v>FIRE</v>
      </c>
      <c r="K127" s="58" t="str">
        <f>'2024 DO NOT TOUCH'!K127</f>
        <v>ACTIVE</v>
      </c>
      <c r="L127" s="71">
        <f>'2024 DO NOT TOUCH'!L127</f>
        <v>44851</v>
      </c>
      <c r="M127" s="58" t="b">
        <f>'2024 DO NOT TOUCH'!M127</f>
        <v>0</v>
      </c>
      <c r="N127" s="59">
        <f>'2024 DO NOT TOUCH'!N127</f>
        <v>45585</v>
      </c>
      <c r="O127" s="58" t="str">
        <f>'2024 DO NOT TOUCH'!O127</f>
        <v>PARK</v>
      </c>
      <c r="P127" s="65">
        <f>'2024 DO NOT TOUCH'!P127</f>
        <v>2.2000000000000002</v>
      </c>
      <c r="Q127" s="65">
        <f>'2024 DO NOT TOUCH'!Q127</f>
        <v>2</v>
      </c>
      <c r="R127" s="65">
        <f>'2024 DO NOT TOUCH'!R127</f>
        <v>0</v>
      </c>
      <c r="S127" s="62" t="str">
        <f>'2024 DO NOT TOUCH'!S127</f>
        <v>TESTED</v>
      </c>
      <c r="T127" s="62" t="str">
        <f>'2024 DO NOT TOUCH'!T127</f>
        <v>PASSED</v>
      </c>
      <c r="U127" s="62">
        <f>'2024 DO NOT TOUCH'!U127</f>
        <v>0</v>
      </c>
      <c r="V127" s="62">
        <f>'2024 DO NOT TOUCH'!V127</f>
        <v>0</v>
      </c>
      <c r="W127" s="62">
        <f>'2024 DO NOT TOUCH'!W127</f>
        <v>0</v>
      </c>
      <c r="X127" s="65">
        <f>'2024 DO NOT TOUCH'!X127</f>
        <v>0</v>
      </c>
      <c r="Y127" s="62">
        <f>'2024 DO NOT TOUCH'!Y127</f>
        <v>0</v>
      </c>
    </row>
    <row r="128" spans="1:25" ht="19.5" customHeight="1">
      <c r="A128" s="55" t="str">
        <f>'2024 DO NOT TOUCH'!A129</f>
        <v>1268</v>
      </c>
      <c r="B128" s="55" t="str">
        <f>'2024 DO NOT TOUCH'!B129</f>
        <v>SERE HQ</v>
      </c>
      <c r="C128" s="55" t="str">
        <f>'2024 DO NOT TOUCH'!C129</f>
        <v>L67545</v>
      </c>
      <c r="D128" s="55" t="str">
        <f>'2024 DO NOT TOUCH'!D129</f>
        <v>WILKINS</v>
      </c>
      <c r="E128" s="55" t="str">
        <f>'2024 DO NOT TOUCH'!E129</f>
        <v>375</v>
      </c>
      <c r="F128" s="55" t="str">
        <f>'2024 DO NOT TOUCH'!F129</f>
        <v>RP</v>
      </c>
      <c r="G128" s="55">
        <f>'2024 DO NOT TOUCH'!G129</f>
        <v>3</v>
      </c>
      <c r="H128" s="55" t="str">
        <f>'2024 DO NOT TOUCH'!H129</f>
        <v>PREMISE SUPPLY</v>
      </c>
      <c r="I128" s="55" t="str">
        <f>'2024 DO NOT TOUCH'!I129</f>
        <v>PREMISE</v>
      </c>
      <c r="J128" s="55" t="str">
        <f>'2024 DO NOT TOUCH'!J129</f>
        <v>PREMISE</v>
      </c>
      <c r="K128" s="55" t="str">
        <f>'2024 DO NOT TOUCH'!K129</f>
        <v>ACTIVE</v>
      </c>
      <c r="L128" s="56">
        <f>'2024 DO NOT TOUCH'!L129</f>
        <v>44851</v>
      </c>
      <c r="M128" s="56" t="b">
        <f>'2024 DO NOT TOUCH'!M129</f>
        <v>0</v>
      </c>
      <c r="N128" s="56">
        <f>'2024 DO NOT TOUCH'!N129</f>
        <v>45585</v>
      </c>
      <c r="O128" s="55" t="str">
        <f>'2024 DO NOT TOUCH'!O129</f>
        <v>PARK</v>
      </c>
      <c r="P128" s="64">
        <f>'2024 DO NOT TOUCH'!P129</f>
        <v>9</v>
      </c>
      <c r="Q128" s="64">
        <f>'2024 DO NOT TOUCH'!Q129</f>
        <v>0</v>
      </c>
      <c r="R128" s="64">
        <f>'2024 DO NOT TOUCH'!R129</f>
        <v>2</v>
      </c>
      <c r="S128" s="55" t="str">
        <f>'2024 DO NOT TOUCH'!S129</f>
        <v>TESTED</v>
      </c>
      <c r="T128" s="55" t="str">
        <f>'2024 DO NOT TOUCH'!T129</f>
        <v>PASSED</v>
      </c>
      <c r="U128" s="55">
        <f>'2024 DO NOT TOUCH'!U129</f>
        <v>0</v>
      </c>
      <c r="V128" s="55">
        <f>'2024 DO NOT TOUCH'!V129</f>
        <v>0</v>
      </c>
      <c r="W128" s="55">
        <f>'2024 DO NOT TOUCH'!W129</f>
        <v>0</v>
      </c>
      <c r="X128" s="66">
        <f>'2024 DO NOT TOUCH'!X129</f>
        <v>0</v>
      </c>
      <c r="Y128" s="55">
        <f>'2024 DO NOT TOUCH'!Y129</f>
        <v>0</v>
      </c>
    </row>
    <row r="129" spans="1:25" ht="19.5" customHeight="1">
      <c r="A129" s="58" t="str">
        <f>'2024 DO NOT TOUCH'!A130</f>
        <v>1268</v>
      </c>
      <c r="B129" s="59" t="str">
        <f>'2024 DO NOT TOUCH'!B130</f>
        <v>SERE HQ</v>
      </c>
      <c r="C129" s="58" t="str">
        <f>'2024 DO NOT TOUCH'!C130</f>
        <v>A273224</v>
      </c>
      <c r="D129" s="59" t="str">
        <f>'2024 DO NOT TOUCH'!D130</f>
        <v>WILKINS</v>
      </c>
      <c r="E129" s="58" t="str">
        <f>'2024 DO NOT TOUCH'!E130</f>
        <v>350</v>
      </c>
      <c r="F129" s="59" t="str">
        <f>'2024 DO NOT TOUCH'!F130</f>
        <v>DC</v>
      </c>
      <c r="G129" s="58" t="str">
        <f>'2024 DO NOT TOUCH'!G130</f>
        <v>2.0</v>
      </c>
      <c r="H129" s="59" t="str">
        <f>'2024 DO NOT TOUCH'!H130</f>
        <v>PREMISE SUPPLY</v>
      </c>
      <c r="I129" s="58" t="str">
        <f>'2024 DO NOT TOUCH'!I130</f>
        <v>PREMISE</v>
      </c>
      <c r="J129" s="59" t="str">
        <f>'2024 DO NOT TOUCH'!J130</f>
        <v>PREMISE</v>
      </c>
      <c r="K129" s="58" t="str">
        <f>'2024 DO NOT TOUCH'!K130</f>
        <v>ACTIVE</v>
      </c>
      <c r="L129" s="71">
        <f>'2024 DO NOT TOUCH'!L130</f>
        <v>44851</v>
      </c>
      <c r="M129" s="58" t="b">
        <f>'2024 DO NOT TOUCH'!M130</f>
        <v>0</v>
      </c>
      <c r="N129" s="59">
        <f>'2024 DO NOT TOUCH'!N130</f>
        <v>45585</v>
      </c>
      <c r="O129" s="58" t="str">
        <f>'2024 DO NOT TOUCH'!O130</f>
        <v>PARK</v>
      </c>
      <c r="P129" s="65">
        <f>'2024 DO NOT TOUCH'!P130</f>
        <v>2.8</v>
      </c>
      <c r="Q129" s="65">
        <f>'2024 DO NOT TOUCH'!Q130</f>
        <v>2.8</v>
      </c>
      <c r="R129" s="65">
        <f>'2024 DO NOT TOUCH'!R130</f>
        <v>0</v>
      </c>
      <c r="S129" s="62" t="str">
        <f>'2024 DO NOT TOUCH'!S130</f>
        <v>TESTED</v>
      </c>
      <c r="T129" s="62" t="str">
        <f>'2024 DO NOT TOUCH'!T130</f>
        <v>PASSED</v>
      </c>
      <c r="U129" s="62">
        <f>'2024 DO NOT TOUCH'!U130</f>
        <v>0</v>
      </c>
      <c r="V129" s="62">
        <f>'2024 DO NOT TOUCH'!V130</f>
        <v>0</v>
      </c>
      <c r="W129" s="62">
        <f>'2024 DO NOT TOUCH'!W130</f>
        <v>0</v>
      </c>
      <c r="X129" s="65">
        <f>'2024 DO NOT TOUCH'!X130</f>
        <v>0</v>
      </c>
      <c r="Y129" s="62">
        <f>'2024 DO NOT TOUCH'!Y130</f>
        <v>0</v>
      </c>
    </row>
    <row r="130" spans="1:25" ht="19.5" customHeight="1">
      <c r="A130" s="55" t="str">
        <f>'2024 DO NOT TOUCH'!A131</f>
        <v>1268</v>
      </c>
      <c r="B130" s="3" t="str">
        <f>'2024 DO NOT TOUCH'!B131</f>
        <v>SERE HQ</v>
      </c>
      <c r="C130" s="55" t="str">
        <f>'2024 DO NOT TOUCH'!C131</f>
        <v>U39994</v>
      </c>
      <c r="D130" s="3" t="str">
        <f>'2024 DO NOT TOUCH'!D131</f>
        <v>WILKINS</v>
      </c>
      <c r="E130" s="55" t="str">
        <f>'2024 DO NOT TOUCH'!E131</f>
        <v>350A</v>
      </c>
      <c r="F130" s="3" t="str">
        <f>'2024 DO NOT TOUCH'!F131</f>
        <v>DC</v>
      </c>
      <c r="G130" s="55" t="str">
        <f>'2024 DO NOT TOUCH'!G131</f>
        <v>6.0</v>
      </c>
      <c r="H130" s="3" t="str">
        <f>'2024 DO NOT TOUCH'!H131</f>
        <v>MECH RM ON FIRE SYS</v>
      </c>
      <c r="I130" s="55" t="str">
        <f>'2024 DO NOT TOUCH'!I131</f>
        <v>PREMISE</v>
      </c>
      <c r="J130" s="3" t="str">
        <f>'2024 DO NOT TOUCH'!J131</f>
        <v>FIRE</v>
      </c>
      <c r="K130" s="55" t="str">
        <f>'2024 DO NOT TOUCH'!K131</f>
        <v>ACTIVE</v>
      </c>
      <c r="L130" s="72">
        <f>'2024 DO NOT TOUCH'!L131</f>
        <v>44851</v>
      </c>
      <c r="M130" s="55" t="b">
        <f>'2024 DO NOT TOUCH'!M131</f>
        <v>0</v>
      </c>
      <c r="N130" s="3">
        <f>'2024 DO NOT TOUCH'!N131</f>
        <v>45585</v>
      </c>
      <c r="O130" s="55" t="str">
        <f>'2024 DO NOT TOUCH'!O131</f>
        <v>PARK</v>
      </c>
      <c r="P130" s="64">
        <f>'2024 DO NOT TOUCH'!P131</f>
        <v>3.4</v>
      </c>
      <c r="Q130" s="64">
        <f>'2024 DO NOT TOUCH'!Q131</f>
        <v>2.8</v>
      </c>
      <c r="R130" s="64">
        <f>'2024 DO NOT TOUCH'!R131</f>
        <v>0</v>
      </c>
      <c r="S130" s="57" t="str">
        <f>'2024 DO NOT TOUCH'!S131</f>
        <v>TESTED</v>
      </c>
      <c r="T130" s="57" t="str">
        <f>'2024 DO NOT TOUCH'!T131</f>
        <v>PASSED</v>
      </c>
      <c r="U130" s="57">
        <f>'2024 DO NOT TOUCH'!U131</f>
        <v>0</v>
      </c>
      <c r="V130" s="57">
        <f>'2024 DO NOT TOUCH'!V131</f>
        <v>0</v>
      </c>
      <c r="W130" s="57">
        <f>'2024 DO NOT TOUCH'!W131</f>
        <v>0</v>
      </c>
      <c r="X130" s="64">
        <f>'2024 DO NOT TOUCH'!X131</f>
        <v>0</v>
      </c>
      <c r="Y130" s="57">
        <f>'2024 DO NOT TOUCH'!Y131</f>
        <v>0</v>
      </c>
    </row>
    <row r="131" spans="1:25" ht="19.5" customHeight="1">
      <c r="A131" s="58" t="str">
        <f>'2024 DO NOT TOUCH'!A132</f>
        <v>1268</v>
      </c>
      <c r="B131" s="59" t="str">
        <f>'2024 DO NOT TOUCH'!B132</f>
        <v>SERE HQ</v>
      </c>
      <c r="C131" s="58" t="str">
        <f>'2024 DO NOT TOUCH'!C132</f>
        <v>U29867</v>
      </c>
      <c r="D131" s="59" t="str">
        <f>'2024 DO NOT TOUCH'!D132</f>
        <v>WILKINS</v>
      </c>
      <c r="E131" s="58" t="str">
        <f>'2024 DO NOT TOUCH'!E132</f>
        <v>350A</v>
      </c>
      <c r="F131" s="59" t="str">
        <f>'2024 DO NOT TOUCH'!F132</f>
        <v>DC</v>
      </c>
      <c r="G131" s="58" t="str">
        <f>'2024 DO NOT TOUCH'!G132</f>
        <v>4.0</v>
      </c>
      <c r="H131" s="59" t="str">
        <f>'2024 DO NOT TOUCH'!H132</f>
        <v>MECH RM ON FIRE SYS</v>
      </c>
      <c r="I131" s="58" t="str">
        <f>'2024 DO NOT TOUCH'!I132</f>
        <v>PREMISE</v>
      </c>
      <c r="J131" s="59" t="str">
        <f>'2024 DO NOT TOUCH'!J132</f>
        <v>FIRE</v>
      </c>
      <c r="K131" s="58" t="str">
        <f>'2024 DO NOT TOUCH'!K132</f>
        <v>ACTIVE</v>
      </c>
      <c r="L131" s="71">
        <f>'2024 DO NOT TOUCH'!L132</f>
        <v>44851</v>
      </c>
      <c r="M131" s="58" t="b">
        <f>'2024 DO NOT TOUCH'!M132</f>
        <v>0</v>
      </c>
      <c r="N131" s="59">
        <f>'2024 DO NOT TOUCH'!N132</f>
        <v>45585</v>
      </c>
      <c r="O131" s="58" t="str">
        <f>'2024 DO NOT TOUCH'!O132</f>
        <v>PARK</v>
      </c>
      <c r="P131" s="65">
        <f>'2024 DO NOT TOUCH'!P132</f>
        <v>5</v>
      </c>
      <c r="Q131" s="65">
        <f>'2024 DO NOT TOUCH'!Q132</f>
        <v>4.8</v>
      </c>
      <c r="R131" s="65">
        <f>'2024 DO NOT TOUCH'!R132</f>
        <v>0</v>
      </c>
      <c r="S131" s="62" t="str">
        <f>'2024 DO NOT TOUCH'!S132</f>
        <v>TESTED</v>
      </c>
      <c r="T131" s="62" t="str">
        <f>'2024 DO NOT TOUCH'!T132</f>
        <v>PASSED</v>
      </c>
      <c r="U131" s="62">
        <f>'2024 DO NOT TOUCH'!U132</f>
        <v>0</v>
      </c>
      <c r="V131" s="62">
        <f>'2024 DO NOT TOUCH'!V132</f>
        <v>0</v>
      </c>
      <c r="W131" s="62">
        <f>'2024 DO NOT TOUCH'!W132</f>
        <v>0</v>
      </c>
      <c r="X131" s="65">
        <f>'2024 DO NOT TOUCH'!X132</f>
        <v>0</v>
      </c>
      <c r="Y131" s="62">
        <f>'2024 DO NOT TOUCH'!Y132</f>
        <v>0</v>
      </c>
    </row>
    <row r="132" spans="1:25" ht="19.5" customHeight="1">
      <c r="A132" s="55" t="str">
        <f>'2024 DO NOT TOUCH'!A133</f>
        <v>1268</v>
      </c>
      <c r="B132" s="3" t="str">
        <f>'2024 DO NOT TOUCH'!B133</f>
        <v>SERE HQ</v>
      </c>
      <c r="C132" s="55" t="str">
        <f>'2024 DO NOT TOUCH'!C133</f>
        <v>U39522</v>
      </c>
      <c r="D132" s="3" t="str">
        <f>'2024 DO NOT TOUCH'!D133</f>
        <v>WILKINS</v>
      </c>
      <c r="E132" s="55" t="str">
        <f>'2024 DO NOT TOUCH'!E133</f>
        <v>350A</v>
      </c>
      <c r="F132" s="3" t="str">
        <f>'2024 DO NOT TOUCH'!F133</f>
        <v>DC</v>
      </c>
      <c r="G132" s="55" t="str">
        <f>'2024 DO NOT TOUCH'!G133</f>
        <v>6.0</v>
      </c>
      <c r="H132" s="3" t="str">
        <f>'2024 DO NOT TOUCH'!H133</f>
        <v>MECH RM ON FIRE SYS</v>
      </c>
      <c r="I132" s="55" t="str">
        <f>'2024 DO NOT TOUCH'!I133</f>
        <v>PREMISE</v>
      </c>
      <c r="J132" s="3" t="str">
        <f>'2024 DO NOT TOUCH'!J133</f>
        <v>FIRE</v>
      </c>
      <c r="K132" s="55" t="str">
        <f>'2024 DO NOT TOUCH'!K133</f>
        <v>ACTIVE</v>
      </c>
      <c r="L132" s="72">
        <f>'2024 DO NOT TOUCH'!L133</f>
        <v>44851</v>
      </c>
      <c r="M132" s="55" t="b">
        <f>'2024 DO NOT TOUCH'!M133</f>
        <v>0</v>
      </c>
      <c r="N132" s="3">
        <f>'2024 DO NOT TOUCH'!N133</f>
        <v>45585</v>
      </c>
      <c r="O132" s="55" t="str">
        <f>'2024 DO NOT TOUCH'!O133</f>
        <v>PARK</v>
      </c>
      <c r="P132" s="66">
        <f>'2024 DO NOT TOUCH'!P133</f>
        <v>3</v>
      </c>
      <c r="Q132" s="66">
        <f>'2024 DO NOT TOUCH'!Q133</f>
        <v>3.8</v>
      </c>
      <c r="R132" s="66">
        <f>'2024 DO NOT TOUCH'!R133</f>
        <v>0</v>
      </c>
      <c r="S132" s="55" t="str">
        <f>'2024 DO NOT TOUCH'!S133</f>
        <v>TESTED</v>
      </c>
      <c r="T132" s="55" t="str">
        <f>'2024 DO NOT TOUCH'!T133</f>
        <v>PASSED</v>
      </c>
      <c r="U132" s="55">
        <f>'2024 DO NOT TOUCH'!U133</f>
        <v>0</v>
      </c>
      <c r="V132" s="55">
        <f>'2024 DO NOT TOUCH'!V133</f>
        <v>0</v>
      </c>
      <c r="W132" s="55">
        <f>'2024 DO NOT TOUCH'!W133</f>
        <v>0</v>
      </c>
      <c r="X132" s="66">
        <f>'2024 DO NOT TOUCH'!X133</f>
        <v>0</v>
      </c>
      <c r="Y132" s="55">
        <f>'2024 DO NOT TOUCH'!Y133</f>
        <v>0</v>
      </c>
    </row>
    <row r="133" spans="1:25" ht="19.5" customHeight="1">
      <c r="A133" s="58" t="str">
        <f>'2024 DO NOT TOUCH'!A134</f>
        <v>1268</v>
      </c>
      <c r="B133" s="59" t="str">
        <f>'2024 DO NOT TOUCH'!B134</f>
        <v>SERE HQ</v>
      </c>
      <c r="C133" s="58" t="str">
        <f>'2024 DO NOT TOUCH'!C134</f>
        <v>J45551</v>
      </c>
      <c r="D133" s="59" t="str">
        <f>'2024 DO NOT TOUCH'!D134</f>
        <v>WILKINS</v>
      </c>
      <c r="E133" s="58" t="str">
        <f>'2024 DO NOT TOUCH'!E134</f>
        <v>350</v>
      </c>
      <c r="F133" s="59" t="str">
        <f>'2024 DO NOT TOUCH'!F134</f>
        <v>DC</v>
      </c>
      <c r="G133" s="58" t="str">
        <f>'2024 DO NOT TOUCH'!G134</f>
        <v>2.5</v>
      </c>
      <c r="H133" s="59" t="str">
        <f>'2024 DO NOT TOUCH'!H134</f>
        <v>MECH RM ON PREMISE</v>
      </c>
      <c r="I133" s="58" t="str">
        <f>'2024 DO NOT TOUCH'!I134</f>
        <v>PREMISE</v>
      </c>
      <c r="J133" s="59" t="str">
        <f>'2024 DO NOT TOUCH'!J134</f>
        <v>PREMISE</v>
      </c>
      <c r="K133" s="58" t="str">
        <f>'2024 DO NOT TOUCH'!K134</f>
        <v>ACTIVE</v>
      </c>
      <c r="L133" s="71">
        <f>'2024 DO NOT TOUCH'!L134</f>
        <v>44851</v>
      </c>
      <c r="M133" s="58" t="b">
        <f>'2024 DO NOT TOUCH'!M134</f>
        <v>0</v>
      </c>
      <c r="N133" s="59">
        <f>'2024 DO NOT TOUCH'!N134</f>
        <v>45585</v>
      </c>
      <c r="O133" s="58" t="str">
        <f>'2024 DO NOT TOUCH'!O134</f>
        <v>PARK</v>
      </c>
      <c r="P133" s="67">
        <f>'2024 DO NOT TOUCH'!P134</f>
        <v>2.8</v>
      </c>
      <c r="Q133" s="67">
        <f>'2024 DO NOT TOUCH'!Q134</f>
        <v>2.6</v>
      </c>
      <c r="R133" s="67">
        <f>'2024 DO NOT TOUCH'!R134</f>
        <v>0</v>
      </c>
      <c r="S133" s="58" t="str">
        <f>'2024 DO NOT TOUCH'!S134</f>
        <v>TESTED</v>
      </c>
      <c r="T133" s="58" t="str">
        <f>'2024 DO NOT TOUCH'!T134</f>
        <v>PASSED</v>
      </c>
      <c r="U133" s="58">
        <f>'2024 DO NOT TOUCH'!U134</f>
        <v>0</v>
      </c>
      <c r="V133" s="58">
        <f>'2024 DO NOT TOUCH'!V134</f>
        <v>0</v>
      </c>
      <c r="W133" s="58">
        <f>'2024 DO NOT TOUCH'!W134</f>
        <v>0</v>
      </c>
      <c r="X133" s="67">
        <f>'2024 DO NOT TOUCH'!X134</f>
        <v>0</v>
      </c>
      <c r="Y133" s="58">
        <f>'2024 DO NOT TOUCH'!Y134</f>
        <v>0</v>
      </c>
    </row>
    <row r="134" spans="1:25" ht="19.5" customHeight="1">
      <c r="A134" s="77" t="str">
        <f>'2024 DO NOT TOUCH'!A135</f>
        <v>1268</v>
      </c>
      <c r="B134" s="78" t="str">
        <f>'2024 DO NOT TOUCH'!B135</f>
        <v>SERE HQ</v>
      </c>
      <c r="C134" s="77" t="str">
        <f>'2024 DO NOT TOUCH'!C135</f>
        <v>H41442</v>
      </c>
      <c r="D134" s="78" t="str">
        <f>'2024 DO NOT TOUCH'!D135</f>
        <v>FEBCO</v>
      </c>
      <c r="E134" s="77" t="str">
        <f>'2024 DO NOT TOUCH'!E135</f>
        <v>850</v>
      </c>
      <c r="F134" s="78" t="str">
        <f>'2024 DO NOT TOUCH'!F135</f>
        <v>DC</v>
      </c>
      <c r="G134" s="77" t="str">
        <f>'2024 DO NOT TOUCH'!G135</f>
        <v>2.0</v>
      </c>
      <c r="H134" s="78" t="str">
        <f>'2024 DO NOT TOUCH'!H135</f>
        <v xml:space="preserve">IRRIGATION </v>
      </c>
      <c r="I134" s="77" t="str">
        <f>'2024 DO NOT TOUCH'!I135</f>
        <v>PREMISE</v>
      </c>
      <c r="J134" s="78" t="str">
        <f>'2024 DO NOT TOUCH'!J135</f>
        <v>IRR</v>
      </c>
      <c r="K134" s="77" t="str">
        <f>'2024 DO NOT TOUCH'!K135</f>
        <v>INACTIVE</v>
      </c>
      <c r="L134" s="79">
        <f>'2024 DO NOT TOUCH'!L135</f>
        <v>45215</v>
      </c>
      <c r="M134" s="77" t="b">
        <f>'2024 DO NOT TOUCH'!M135</f>
        <v>1</v>
      </c>
      <c r="N134" s="78">
        <f>'2024 DO NOT TOUCH'!N135</f>
        <v>0</v>
      </c>
      <c r="O134" s="77">
        <f>'2024 DO NOT TOUCH'!O135</f>
        <v>0</v>
      </c>
      <c r="P134" s="80">
        <f>'2024 DO NOT TOUCH'!P135</f>
        <v>0</v>
      </c>
      <c r="Q134" s="80">
        <f>'2024 DO NOT TOUCH'!Q135</f>
        <v>0</v>
      </c>
      <c r="R134" s="80">
        <f>'2024 DO NOT TOUCH'!R135</f>
        <v>0</v>
      </c>
      <c r="S134" s="81" t="str">
        <f>'2024 DO NOT TOUCH'!S135</f>
        <v>TESTED</v>
      </c>
      <c r="T134" s="81" t="str">
        <f>'2024 DO NOT TOUCH'!T135</f>
        <v>PASSED</v>
      </c>
      <c r="U134" s="81">
        <f>'2024 DO NOT TOUCH'!U135</f>
        <v>0</v>
      </c>
      <c r="V134" s="81">
        <f>'2024 DO NOT TOUCH'!V135</f>
        <v>0</v>
      </c>
      <c r="W134" s="81">
        <f>'2024 DO NOT TOUCH'!W135</f>
        <v>0</v>
      </c>
      <c r="X134" s="80">
        <f>'2024 DO NOT TOUCH'!X135</f>
        <v>0</v>
      </c>
      <c r="Y134" s="81">
        <f>'2024 DO NOT TOUCH'!Y135</f>
        <v>0</v>
      </c>
    </row>
    <row r="135" spans="1:25" ht="19.5" customHeight="1">
      <c r="A135" s="58" t="str">
        <f>'2024 DO NOT TOUCH'!A136</f>
        <v>1304</v>
      </c>
      <c r="B135" s="59" t="str">
        <f>'2024 DO NOT TOUCH'!B136</f>
        <v>COMM BLDG NEAR GYM</v>
      </c>
      <c r="C135" s="58" t="str">
        <f>'2024 DO NOT TOUCH'!C136</f>
        <v>KK-0629</v>
      </c>
      <c r="D135" s="59" t="str">
        <f>'2024 DO NOT TOUCH'!D136</f>
        <v>AMES</v>
      </c>
      <c r="E135" s="58" t="str">
        <f>'2024 DO NOT TOUCH'!E136</f>
        <v>COLT 200</v>
      </c>
      <c r="F135" s="59" t="str">
        <f>'2024 DO NOT TOUCH'!F136</f>
        <v>DC</v>
      </c>
      <c r="G135" s="58" t="str">
        <f>'2024 DO NOT TOUCH'!G136</f>
        <v>4.0</v>
      </c>
      <c r="H135" s="59" t="str">
        <f>'2024 DO NOT TOUCH'!H136</f>
        <v>PREMISE FIRE SYS</v>
      </c>
      <c r="I135" s="58" t="str">
        <f>'2024 DO NOT TOUCH'!I136</f>
        <v>PREMISE</v>
      </c>
      <c r="J135" s="59" t="str">
        <f>'2024 DO NOT TOUCH'!J136</f>
        <v>FIRE</v>
      </c>
      <c r="K135" s="58" t="str">
        <f>'2024 DO NOT TOUCH'!K136</f>
        <v>ACTIVE</v>
      </c>
      <c r="L135" s="71">
        <f>'2024 DO NOT TOUCH'!L136</f>
        <v>44894</v>
      </c>
      <c r="M135" s="58" t="b">
        <f>'2024 DO NOT TOUCH'!M136</f>
        <v>0</v>
      </c>
      <c r="N135" s="59">
        <f>'2024 DO NOT TOUCH'!N136</f>
        <v>0</v>
      </c>
      <c r="O135" s="58">
        <f>'2024 DO NOT TOUCH'!O136</f>
        <v>0</v>
      </c>
      <c r="P135" s="65">
        <f>'2024 DO NOT TOUCH'!P136</f>
        <v>0</v>
      </c>
      <c r="Q135" s="65">
        <f>'2024 DO NOT TOUCH'!Q136</f>
        <v>0</v>
      </c>
      <c r="R135" s="65">
        <f>'2024 DO NOT TOUCH'!R136</f>
        <v>0</v>
      </c>
      <c r="S135" s="62" t="str">
        <f>'2024 DO NOT TOUCH'!S136</f>
        <v>TESTED</v>
      </c>
      <c r="T135" s="62" t="str">
        <f>'2024 DO NOT TOUCH'!T136</f>
        <v>PASSED</v>
      </c>
      <c r="U135" s="62" t="str">
        <f>'2024 DO NOT TOUCH'!U136</f>
        <v>PASSED</v>
      </c>
      <c r="V135" s="62" t="str">
        <f>'2024 DO NOT TOUCH'!V136</f>
        <v>EXISTING</v>
      </c>
      <c r="W135" s="62" t="str">
        <f>'2024 DO NOT TOUCH'!W136</f>
        <v>EXISTING</v>
      </c>
      <c r="X135" s="65">
        <f>'2024 DO NOT TOUCH'!X136</f>
        <v>0</v>
      </c>
      <c r="Y135" s="62">
        <f>'2024 DO NOT TOUCH'!Y136</f>
        <v>0</v>
      </c>
    </row>
    <row r="136" spans="1:25" ht="19.5" customHeight="1">
      <c r="A136" s="77" t="str">
        <f>'2024 DO NOT TOUCH'!A137</f>
        <v>1306</v>
      </c>
      <c r="B136" s="78" t="str">
        <f>'2024 DO NOT TOUCH'!B137</f>
        <v>SERE GYM</v>
      </c>
      <c r="C136" s="77" t="str">
        <f>'2024 DO NOT TOUCH'!C137</f>
        <v>A07193</v>
      </c>
      <c r="D136" s="78" t="str">
        <f>'2024 DO NOT TOUCH'!D137</f>
        <v>FEBCO</v>
      </c>
      <c r="E136" s="77" t="str">
        <f>'2024 DO NOT TOUCH'!E137</f>
        <v>860</v>
      </c>
      <c r="F136" s="78" t="str">
        <f>'2024 DO NOT TOUCH'!F137</f>
        <v>RP</v>
      </c>
      <c r="G136" s="77" t="str">
        <f>'2024 DO NOT TOUCH'!G137</f>
        <v>2.0</v>
      </c>
      <c r="H136" s="78" t="str">
        <f>'2024 DO NOT TOUCH'!H137</f>
        <v>MECH RM HVAC</v>
      </c>
      <c r="I136" s="77" t="str">
        <f>'2024 DO NOT TOUCH'!I137</f>
        <v>INPREMISE</v>
      </c>
      <c r="J136" s="78" t="str">
        <f>'2024 DO NOT TOUCH'!J137</f>
        <v>AOI</v>
      </c>
      <c r="K136" s="77" t="str">
        <f>'2024 DO NOT TOUCH'!K137</f>
        <v>ACTIVE</v>
      </c>
      <c r="L136" s="79">
        <f>'2024 DO NOT TOUCH'!L137</f>
        <v>44886</v>
      </c>
      <c r="M136" s="77" t="b">
        <f>'2024 DO NOT TOUCH'!M137</f>
        <v>0</v>
      </c>
      <c r="N136" s="78">
        <f>'2024 DO NOT TOUCH'!N137</f>
        <v>45614</v>
      </c>
      <c r="O136" s="77" t="str">
        <f>'2024 DO NOT TOUCH'!O137</f>
        <v>PARK</v>
      </c>
      <c r="P136" s="80">
        <f>'2024 DO NOT TOUCH'!P137</f>
        <v>6.4</v>
      </c>
      <c r="Q136" s="80">
        <f>'2024 DO NOT TOUCH'!Q137</f>
        <v>0</v>
      </c>
      <c r="R136" s="80">
        <f>'2024 DO NOT TOUCH'!R137</f>
        <v>2.8</v>
      </c>
      <c r="S136" s="81" t="str">
        <f>'2024 DO NOT TOUCH'!S137</f>
        <v>TESTED</v>
      </c>
      <c r="T136" s="81" t="str">
        <f>'2024 DO NOT TOUCH'!T137</f>
        <v>PASSED</v>
      </c>
      <c r="U136" s="81">
        <f>'2024 DO NOT TOUCH'!U137</f>
        <v>0</v>
      </c>
      <c r="V136" s="81">
        <f>'2024 DO NOT TOUCH'!V137</f>
        <v>0</v>
      </c>
      <c r="W136" s="81">
        <f>'2024 DO NOT TOUCH'!W137</f>
        <v>0</v>
      </c>
      <c r="X136" s="80">
        <f>'2024 DO NOT TOUCH'!X137</f>
        <v>0</v>
      </c>
      <c r="Y136" s="81">
        <f>'2024 DO NOT TOUCH'!Y137</f>
        <v>0</v>
      </c>
    </row>
    <row r="137" spans="1:25" ht="19.5" customHeight="1">
      <c r="A137" s="58" t="str">
        <f>'2024 DO NOT TOUCH'!A138</f>
        <v>1306</v>
      </c>
      <c r="B137" s="59" t="str">
        <f>'2024 DO NOT TOUCH'!B138</f>
        <v>SERE GYM</v>
      </c>
      <c r="C137" s="58" t="str">
        <f>'2024 DO NOT TOUCH'!C138</f>
        <v>3079923</v>
      </c>
      <c r="D137" s="59" t="str">
        <f>'2024 DO NOT TOUCH'!D138</f>
        <v>WILKINS</v>
      </c>
      <c r="E137" s="58" t="str">
        <f>'2024 DO NOT TOUCH'!E138</f>
        <v>975XL</v>
      </c>
      <c r="F137" s="59" t="str">
        <f>'2024 DO NOT TOUCH'!F138</f>
        <v>RP</v>
      </c>
      <c r="G137" s="58" t="str">
        <f>'2024 DO NOT TOUCH'!G138</f>
        <v>1.25</v>
      </c>
      <c r="H137" s="59" t="str">
        <f>'2024 DO NOT TOUCH'!H138</f>
        <v>HVAC IN MECH RM</v>
      </c>
      <c r="I137" s="58" t="str">
        <f>'2024 DO NOT TOUCH'!I138</f>
        <v>INPREMISE</v>
      </c>
      <c r="J137" s="59" t="str">
        <f>'2024 DO NOT TOUCH'!J138</f>
        <v>AOI</v>
      </c>
      <c r="K137" s="58" t="str">
        <f>'2024 DO NOT TOUCH'!K138</f>
        <v>ACTIVE</v>
      </c>
      <c r="L137" s="71">
        <f>'2024 DO NOT TOUCH'!L138</f>
        <v>44886</v>
      </c>
      <c r="M137" s="58" t="b">
        <f>'2024 DO NOT TOUCH'!M138</f>
        <v>0</v>
      </c>
      <c r="N137" s="59">
        <f>'2024 DO NOT TOUCH'!N138</f>
        <v>45614</v>
      </c>
      <c r="O137" s="58" t="str">
        <f>'2024 DO NOT TOUCH'!O138</f>
        <v>PARK</v>
      </c>
      <c r="P137" s="67">
        <f>'2024 DO NOT TOUCH'!P138</f>
        <v>9</v>
      </c>
      <c r="Q137" s="67">
        <f>'2024 DO NOT TOUCH'!Q138</f>
        <v>0</v>
      </c>
      <c r="R137" s="67">
        <f>'2024 DO NOT TOUCH'!R138</f>
        <v>4</v>
      </c>
      <c r="S137" s="58" t="str">
        <f>'2024 DO NOT TOUCH'!S138</f>
        <v>TESTED</v>
      </c>
      <c r="T137" s="58" t="str">
        <f>'2024 DO NOT TOUCH'!T138</f>
        <v>PASSED</v>
      </c>
      <c r="U137" s="58">
        <f>'2024 DO NOT TOUCH'!U138</f>
        <v>0</v>
      </c>
      <c r="V137" s="58">
        <f>'2024 DO NOT TOUCH'!V138</f>
        <v>0</v>
      </c>
      <c r="W137" s="58">
        <f>'2024 DO NOT TOUCH'!W138</f>
        <v>0</v>
      </c>
      <c r="X137" s="67">
        <f>'2024 DO NOT TOUCH'!X138</f>
        <v>0</v>
      </c>
      <c r="Y137" s="58">
        <f>'2024 DO NOT TOUCH'!Y138</f>
        <v>0</v>
      </c>
    </row>
    <row r="138" spans="1:25" ht="19.5" customHeight="1">
      <c r="A138" s="77" t="str">
        <f>'2024 DO NOT TOUCH'!A139</f>
        <v>1306</v>
      </c>
      <c r="B138" s="78" t="str">
        <f>'2024 DO NOT TOUCH'!B139</f>
        <v>SERE GYM</v>
      </c>
      <c r="C138" s="77" t="str">
        <f>'2024 DO NOT TOUCH'!C139</f>
        <v>H22164</v>
      </c>
      <c r="D138" s="78" t="str">
        <f>'2024 DO NOT TOUCH'!D139</f>
        <v>FEBCO</v>
      </c>
      <c r="E138" s="77" t="str">
        <f>'2024 DO NOT TOUCH'!E139</f>
        <v>850</v>
      </c>
      <c r="F138" s="78" t="str">
        <f>'2024 DO NOT TOUCH'!F139</f>
        <v>DC</v>
      </c>
      <c r="G138" s="77" t="str">
        <f>'2024 DO NOT TOUCH'!G139</f>
        <v>2.0</v>
      </c>
      <c r="H138" s="78" t="str">
        <f>'2024 DO NOT TOUCH'!H139</f>
        <v>MECH RM IRRIGATION</v>
      </c>
      <c r="I138" s="77" t="str">
        <f>'2024 DO NOT TOUCH'!I139</f>
        <v>PREMISE</v>
      </c>
      <c r="J138" s="78" t="str">
        <f>'2024 DO NOT TOUCH'!J139</f>
        <v>IRR</v>
      </c>
      <c r="K138" s="77" t="str">
        <f>'2024 DO NOT TOUCH'!K139</f>
        <v>ACTIVE</v>
      </c>
      <c r="L138" s="79">
        <f>'2024 DO NOT TOUCH'!L139</f>
        <v>44886</v>
      </c>
      <c r="M138" s="77" t="b">
        <f>'2024 DO NOT TOUCH'!M139</f>
        <v>0</v>
      </c>
      <c r="N138" s="78">
        <f>'2024 DO NOT TOUCH'!N139</f>
        <v>45614</v>
      </c>
      <c r="O138" s="77" t="str">
        <f>'2024 DO NOT TOUCH'!O139</f>
        <v>PARK</v>
      </c>
      <c r="P138" s="83">
        <f>'2024 DO NOT TOUCH'!P139</f>
        <v>3</v>
      </c>
      <c r="Q138" s="83">
        <f>'2024 DO NOT TOUCH'!Q139</f>
        <v>3.2</v>
      </c>
      <c r="R138" s="83">
        <f>'2024 DO NOT TOUCH'!R139</f>
        <v>0</v>
      </c>
      <c r="S138" s="77" t="str">
        <f>'2024 DO NOT TOUCH'!S139</f>
        <v>TESTED</v>
      </c>
      <c r="T138" s="77" t="str">
        <f>'2024 DO NOT TOUCH'!T139</f>
        <v>PASSED</v>
      </c>
      <c r="U138" s="77">
        <f>'2024 DO NOT TOUCH'!U139</f>
        <v>0</v>
      </c>
      <c r="V138" s="77">
        <f>'2024 DO NOT TOUCH'!V139</f>
        <v>0</v>
      </c>
      <c r="W138" s="77">
        <f>'2024 DO NOT TOUCH'!W139</f>
        <v>0</v>
      </c>
      <c r="X138" s="83">
        <f>'2024 DO NOT TOUCH'!X139</f>
        <v>0</v>
      </c>
      <c r="Y138" s="77">
        <f>'2024 DO NOT TOUCH'!Y139</f>
        <v>0</v>
      </c>
    </row>
    <row r="139" spans="1:25" ht="19.5" customHeight="1">
      <c r="A139" s="58" t="str">
        <f>'2024 DO NOT TOUCH'!A140</f>
        <v>1306</v>
      </c>
      <c r="B139" s="59" t="str">
        <f>'2024 DO NOT TOUCH'!B140</f>
        <v>SERE GYM</v>
      </c>
      <c r="C139" s="58" t="str">
        <f>'2024 DO NOT TOUCH'!C140</f>
        <v>J31587</v>
      </c>
      <c r="D139" s="59" t="str">
        <f>'2024 DO NOT TOUCH'!D140</f>
        <v>WILKINS</v>
      </c>
      <c r="E139" s="58" t="str">
        <f>'2024 DO NOT TOUCH'!E140</f>
        <v>350</v>
      </c>
      <c r="F139" s="59" t="str">
        <f>'2024 DO NOT TOUCH'!F140</f>
        <v>DC</v>
      </c>
      <c r="G139" s="58" t="str">
        <f>'2024 DO NOT TOUCH'!G140</f>
        <v>6.0</v>
      </c>
      <c r="H139" s="59" t="str">
        <f>'2024 DO NOT TOUCH'!H140</f>
        <v>MECH RM FIRE SYS</v>
      </c>
      <c r="I139" s="58" t="str">
        <f>'2024 DO NOT TOUCH'!I140</f>
        <v>PREMISE</v>
      </c>
      <c r="J139" s="59" t="str">
        <f>'2024 DO NOT TOUCH'!J140</f>
        <v>FIRE</v>
      </c>
      <c r="K139" s="58" t="str">
        <f>'2024 DO NOT TOUCH'!K140</f>
        <v>ACTIVE</v>
      </c>
      <c r="L139" s="71">
        <f>'2024 DO NOT TOUCH'!L140</f>
        <v>44886</v>
      </c>
      <c r="M139" s="58" t="b">
        <f>'2024 DO NOT TOUCH'!M140</f>
        <v>0</v>
      </c>
      <c r="N139" s="59">
        <f>'2024 DO NOT TOUCH'!N140</f>
        <v>45614</v>
      </c>
      <c r="O139" s="58" t="str">
        <f>'2024 DO NOT TOUCH'!O140</f>
        <v>PARK</v>
      </c>
      <c r="P139" s="65">
        <f>'2024 DO NOT TOUCH'!P140</f>
        <v>3.6</v>
      </c>
      <c r="Q139" s="65">
        <f>'2024 DO NOT TOUCH'!Q140</f>
        <v>3.8</v>
      </c>
      <c r="R139" s="65">
        <f>'2024 DO NOT TOUCH'!R140</f>
        <v>0</v>
      </c>
      <c r="S139" s="62" t="str">
        <f>'2024 DO NOT TOUCH'!S140</f>
        <v>TESTED</v>
      </c>
      <c r="T139" s="62" t="str">
        <f>'2024 DO NOT TOUCH'!T140</f>
        <v>PASSED</v>
      </c>
      <c r="U139" s="62">
        <f>'2024 DO NOT TOUCH'!U140</f>
        <v>0</v>
      </c>
      <c r="V139" s="62">
        <f>'2024 DO NOT TOUCH'!V140</f>
        <v>0</v>
      </c>
      <c r="W139" s="62">
        <f>'2024 DO NOT TOUCH'!W140</f>
        <v>0</v>
      </c>
      <c r="X139" s="65">
        <f>'2024 DO NOT TOUCH'!X140</f>
        <v>0</v>
      </c>
      <c r="Y139" s="62">
        <f>'2024 DO NOT TOUCH'!Y140</f>
        <v>0</v>
      </c>
    </row>
    <row r="140" spans="1:25" ht="19.5" customHeight="1">
      <c r="A140" s="55" t="str">
        <f>'2024 DO NOT TOUCH'!A141</f>
        <v>1314</v>
      </c>
      <c r="B140" s="3" t="str">
        <f>'2024 DO NOT TOUCH'!B141</f>
        <v>SERE FIRE DEPT</v>
      </c>
      <c r="C140" s="55" t="str">
        <f>'2024 DO NOT TOUCH'!C141</f>
        <v>3079916</v>
      </c>
      <c r="D140" s="3" t="str">
        <f>'2024 DO NOT TOUCH'!D141</f>
        <v>WILKINS</v>
      </c>
      <c r="E140" s="55" t="str">
        <f>'2024 DO NOT TOUCH'!E141</f>
        <v>975XL</v>
      </c>
      <c r="F140" s="3" t="str">
        <f>'2024 DO NOT TOUCH'!F141</f>
        <v>RP</v>
      </c>
      <c r="G140" s="55" t="str">
        <f>'2024 DO NOT TOUCH'!G141</f>
        <v>1.25</v>
      </c>
      <c r="H140" s="3" t="str">
        <f>'2024 DO NOT TOUCH'!H141</f>
        <v>WATER HEATER</v>
      </c>
      <c r="I140" s="55" t="str">
        <f>'2024 DO NOT TOUCH'!I141</f>
        <v>INPREMISE</v>
      </c>
      <c r="J140" s="3" t="str">
        <f>'2024 DO NOT TOUCH'!J141</f>
        <v>AOI</v>
      </c>
      <c r="K140" s="55" t="str">
        <f>'2024 DO NOT TOUCH'!K141</f>
        <v>ACTIVE</v>
      </c>
      <c r="L140" s="72">
        <f>'2024 DO NOT TOUCH'!L141</f>
        <v>44886</v>
      </c>
      <c r="M140" s="55" t="b">
        <f>'2024 DO NOT TOUCH'!M141</f>
        <v>0</v>
      </c>
      <c r="N140" s="3">
        <f>'2024 DO NOT TOUCH'!N141</f>
        <v>45615</v>
      </c>
      <c r="O140" s="55" t="str">
        <f>'2024 DO NOT TOUCH'!O141</f>
        <v>PARK</v>
      </c>
      <c r="P140" s="64">
        <f>'2024 DO NOT TOUCH'!P141</f>
        <v>7.2</v>
      </c>
      <c r="Q140" s="64">
        <f>'2024 DO NOT TOUCH'!Q141</f>
        <v>0</v>
      </c>
      <c r="R140" s="64">
        <f>'2024 DO NOT TOUCH'!R141</f>
        <v>2</v>
      </c>
      <c r="S140" s="57" t="str">
        <f>'2024 DO NOT TOUCH'!S141</f>
        <v>TESTED</v>
      </c>
      <c r="T140" s="57" t="str">
        <f>'2024 DO NOT TOUCH'!T141</f>
        <v>PASSED</v>
      </c>
      <c r="U140" s="57">
        <f>'2024 DO NOT TOUCH'!U141</f>
        <v>0</v>
      </c>
      <c r="V140" s="57">
        <f>'2024 DO NOT TOUCH'!V141</f>
        <v>0</v>
      </c>
      <c r="W140" s="57">
        <f>'2024 DO NOT TOUCH'!W141</f>
        <v>0</v>
      </c>
      <c r="X140" s="64">
        <f>'2024 DO NOT TOUCH'!X141</f>
        <v>0</v>
      </c>
      <c r="Y140" s="57">
        <f>'2024 DO NOT TOUCH'!Y141</f>
        <v>0</v>
      </c>
    </row>
    <row r="141" spans="1:25" ht="19.5" customHeight="1">
      <c r="A141" s="58" t="str">
        <f>'2024 DO NOT TOUCH'!A142</f>
        <v>1354</v>
      </c>
      <c r="B141" s="59" t="str">
        <f>'2024 DO NOT TOUCH'!B142</f>
        <v>SERE CLINIC</v>
      </c>
      <c r="C141" s="58" t="str">
        <f>'2024 DO NOT TOUCH'!C142</f>
        <v>H04068</v>
      </c>
      <c r="D141" s="59" t="str">
        <f>'2024 DO NOT TOUCH'!D142</f>
        <v>FEBCO</v>
      </c>
      <c r="E141" s="58" t="str">
        <f>'2024 DO NOT TOUCH'!E142</f>
        <v>850</v>
      </c>
      <c r="F141" s="59" t="str">
        <f>'2024 DO NOT TOUCH'!F142</f>
        <v>DC</v>
      </c>
      <c r="G141" s="58" t="str">
        <f>'2024 DO NOT TOUCH'!G142</f>
        <v>2.0</v>
      </c>
      <c r="H141" s="59" t="str">
        <f>'2024 DO NOT TOUCH'!H142</f>
        <v>IRRIGATION IN PIT @ BACK OF BLDG</v>
      </c>
      <c r="I141" s="58" t="str">
        <f>'2024 DO NOT TOUCH'!I142</f>
        <v>PREMISE</v>
      </c>
      <c r="J141" s="59" t="str">
        <f>'2024 DO NOT TOUCH'!J142</f>
        <v>IRR</v>
      </c>
      <c r="K141" s="58" t="str">
        <f>'2024 DO NOT TOUCH'!K142</f>
        <v>ACTIVE</v>
      </c>
      <c r="L141" s="71">
        <f>'2024 DO NOT TOUCH'!L142</f>
        <v>44792</v>
      </c>
      <c r="M141" s="58" t="b">
        <f>'2024 DO NOT TOUCH'!M142</f>
        <v>0</v>
      </c>
      <c r="N141" s="59">
        <f>'2024 DO NOT TOUCH'!N142</f>
        <v>45526</v>
      </c>
      <c r="O141" s="58" t="str">
        <f>'2024 DO NOT TOUCH'!O142</f>
        <v>REED</v>
      </c>
      <c r="P141" s="65">
        <f>'2024 DO NOT TOUCH'!P142</f>
        <v>2.6</v>
      </c>
      <c r="Q141" s="65">
        <f>'2024 DO NOT TOUCH'!Q142</f>
        <v>2.7</v>
      </c>
      <c r="R141" s="65">
        <f>'2024 DO NOT TOUCH'!R142</f>
        <v>0</v>
      </c>
      <c r="S141" s="62" t="str">
        <f>'2024 DO NOT TOUCH'!S142</f>
        <v>TESTED</v>
      </c>
      <c r="T141" s="62" t="str">
        <f>'2024 DO NOT TOUCH'!T142</f>
        <v>PASSED</v>
      </c>
      <c r="U141" s="62">
        <f>'2024 DO NOT TOUCH'!U142</f>
        <v>0</v>
      </c>
      <c r="V141" s="62">
        <f>'2024 DO NOT TOUCH'!V142</f>
        <v>0</v>
      </c>
      <c r="W141" s="62">
        <f>'2024 DO NOT TOUCH'!W142</f>
        <v>0</v>
      </c>
      <c r="X141" s="65">
        <f>'2024 DO NOT TOUCH'!X142</f>
        <v>0</v>
      </c>
      <c r="Y141" s="62">
        <f>'2024 DO NOT TOUCH'!Y142</f>
        <v>0</v>
      </c>
    </row>
    <row r="142" spans="1:25" ht="19.5" customHeight="1">
      <c r="A142" s="55" t="str">
        <f>'2024 DO NOT TOUCH'!A143</f>
        <v>1354</v>
      </c>
      <c r="B142" s="55" t="str">
        <f>'2024 DO NOT TOUCH'!B143</f>
        <v>SERE CLINIC</v>
      </c>
      <c r="C142" s="55" t="str">
        <f>'2024 DO NOT TOUCH'!C143</f>
        <v>H08049</v>
      </c>
      <c r="D142" s="55" t="str">
        <f>'2024 DO NOT TOUCH'!D143</f>
        <v>FEBCO</v>
      </c>
      <c r="E142" s="55" t="str">
        <f>'2024 DO NOT TOUCH'!E143</f>
        <v>850</v>
      </c>
      <c r="F142" s="55" t="str">
        <f>'2024 DO NOT TOUCH'!F143</f>
        <v>DC</v>
      </c>
      <c r="G142" s="55" t="str">
        <f>'2024 DO NOT TOUCH'!G143</f>
        <v>2.0</v>
      </c>
      <c r="H142" s="55" t="str">
        <f>'2024 DO NOT TOUCH'!H143</f>
        <v>IRRIGATION IN PIT @ BACK OF BLDG #2</v>
      </c>
      <c r="I142" s="55" t="str">
        <f>'2024 DO NOT TOUCH'!I143</f>
        <v>PREMISE</v>
      </c>
      <c r="J142" s="55" t="str">
        <f>'2024 DO NOT TOUCH'!J143</f>
        <v>IRR</v>
      </c>
      <c r="K142" s="55" t="str">
        <f>'2024 DO NOT TOUCH'!K143</f>
        <v>ACTIVE</v>
      </c>
      <c r="L142" s="56">
        <f>'2024 DO NOT TOUCH'!L143</f>
        <v>44792</v>
      </c>
      <c r="M142" s="56" t="b">
        <f>'2024 DO NOT TOUCH'!M143</f>
        <v>0</v>
      </c>
      <c r="N142" s="56">
        <f>'2024 DO NOT TOUCH'!N143</f>
        <v>45526</v>
      </c>
      <c r="O142" s="55" t="str">
        <f>'2024 DO NOT TOUCH'!O143</f>
        <v>REED</v>
      </c>
      <c r="P142" s="64">
        <f>'2024 DO NOT TOUCH'!P143</f>
        <v>1.9</v>
      </c>
      <c r="Q142" s="64">
        <f>'2024 DO NOT TOUCH'!Q143</f>
        <v>1.4</v>
      </c>
      <c r="R142" s="64">
        <f>'2024 DO NOT TOUCH'!R143</f>
        <v>0</v>
      </c>
      <c r="S142" s="55" t="str">
        <f>'2024 DO NOT TOUCH'!S143</f>
        <v>TESTED</v>
      </c>
      <c r="T142" s="55">
        <f>'2024 DO NOT TOUCH'!T143</f>
        <v>0</v>
      </c>
      <c r="U142" s="55">
        <f>'2024 DO NOT TOUCH'!U143</f>
        <v>0</v>
      </c>
      <c r="V142" s="55">
        <f>'2024 DO NOT TOUCH'!V143</f>
        <v>0</v>
      </c>
      <c r="W142" s="55">
        <f>'2024 DO NOT TOUCH'!W143</f>
        <v>0</v>
      </c>
      <c r="X142" s="66">
        <f>'2024 DO NOT TOUCH'!X143</f>
        <v>0</v>
      </c>
      <c r="Y142" s="55">
        <f>'2024 DO NOT TOUCH'!Y143</f>
        <v>0</v>
      </c>
    </row>
    <row r="143" spans="1:25" ht="19.5" customHeight="1">
      <c r="A143" s="58" t="str">
        <f>'2024 DO NOT TOUCH'!A144</f>
        <v>1354</v>
      </c>
      <c r="B143" s="59" t="str">
        <f>'2024 DO NOT TOUCH'!B144</f>
        <v>SERE CLINIC</v>
      </c>
      <c r="C143" s="58" t="str">
        <f>'2024 DO NOT TOUCH'!C144</f>
        <v>12963300</v>
      </c>
      <c r="D143" s="59" t="str">
        <f>'2024 DO NOT TOUCH'!D144</f>
        <v>AMES</v>
      </c>
      <c r="E143" s="58" t="str">
        <f>'2024 DO NOT TOUCH'!E144</f>
        <v>2000SS</v>
      </c>
      <c r="F143" s="59" t="str">
        <f>'2024 DO NOT TOUCH'!F144</f>
        <v>DC</v>
      </c>
      <c r="G143" s="58" t="str">
        <f>'2024 DO NOT TOUCH'!G144</f>
        <v>4.0</v>
      </c>
      <c r="H143" s="59" t="str">
        <f>'2024 DO NOT TOUCH'!H144</f>
        <v>FIRE SYS IN MECH RM BEHIND HVAC</v>
      </c>
      <c r="I143" s="58" t="str">
        <f>'2024 DO NOT TOUCH'!I144</f>
        <v>PREMISE</v>
      </c>
      <c r="J143" s="59" t="str">
        <f>'2024 DO NOT TOUCH'!J144</f>
        <v>FIRE</v>
      </c>
      <c r="K143" s="58" t="str">
        <f>'2024 DO NOT TOUCH'!K144</f>
        <v>ACTIVE</v>
      </c>
      <c r="L143" s="71">
        <f>'2024 DO NOT TOUCH'!L144</f>
        <v>44792</v>
      </c>
      <c r="M143" s="58" t="b">
        <f>'2024 DO NOT TOUCH'!M144</f>
        <v>0</v>
      </c>
      <c r="N143" s="59">
        <f>'2024 DO NOT TOUCH'!N144</f>
        <v>45523</v>
      </c>
      <c r="O143" s="58" t="str">
        <f>'2024 DO NOT TOUCH'!O144</f>
        <v>REED</v>
      </c>
      <c r="P143" s="65">
        <f>'2024 DO NOT TOUCH'!P144</f>
        <v>2.1</v>
      </c>
      <c r="Q143" s="65">
        <f>'2024 DO NOT TOUCH'!Q144</f>
        <v>2.4</v>
      </c>
      <c r="R143" s="65">
        <f>'2024 DO NOT TOUCH'!R144</f>
        <v>0</v>
      </c>
      <c r="S143" s="62" t="str">
        <f>'2024 DO NOT TOUCH'!S144</f>
        <v>TESTED</v>
      </c>
      <c r="T143" s="62" t="str">
        <f>'2024 DO NOT TOUCH'!T144</f>
        <v>PASSED</v>
      </c>
      <c r="U143" s="62">
        <f>'2024 DO NOT TOUCH'!U144</f>
        <v>0</v>
      </c>
      <c r="V143" s="62">
        <f>'2024 DO NOT TOUCH'!V144</f>
        <v>0</v>
      </c>
      <c r="W143" s="62">
        <f>'2024 DO NOT TOUCH'!W144</f>
        <v>0</v>
      </c>
      <c r="X143" s="65">
        <f>'2024 DO NOT TOUCH'!X144</f>
        <v>0</v>
      </c>
      <c r="Y143" s="62">
        <f>'2024 DO NOT TOUCH'!Y144</f>
        <v>0</v>
      </c>
    </row>
    <row r="144" spans="1:25" ht="19.5" customHeight="1">
      <c r="A144" s="55" t="str">
        <f>'2024 DO NOT TOUCH'!A145</f>
        <v>1354</v>
      </c>
      <c r="B144" s="3" t="str">
        <f>'2024 DO NOT TOUCH'!B145</f>
        <v>SERE CLINIC</v>
      </c>
      <c r="C144" s="55" t="str">
        <f>'2024 DO NOT TOUCH'!C145</f>
        <v>W048409</v>
      </c>
      <c r="D144" s="3" t="str">
        <f>'2024 DO NOT TOUCH'!D145</f>
        <v>WILKINS</v>
      </c>
      <c r="E144" s="55" t="str">
        <f>'2024 DO NOT TOUCH'!E145</f>
        <v>975XL</v>
      </c>
      <c r="F144" s="3" t="str">
        <f>'2024 DO NOT TOUCH'!F145</f>
        <v>RP</v>
      </c>
      <c r="G144" s="55" t="str">
        <f>'2024 DO NOT TOUCH'!G145</f>
        <v>0.75</v>
      </c>
      <c r="H144" s="3" t="str">
        <f>'2024 DO NOT TOUCH'!H145</f>
        <v>HVAC MAKEUP IN MECH RM</v>
      </c>
      <c r="I144" s="55" t="str">
        <f>'2024 DO NOT TOUCH'!I145</f>
        <v>INPREMISE</v>
      </c>
      <c r="J144" s="3" t="str">
        <f>'2024 DO NOT TOUCH'!J145</f>
        <v>AOI</v>
      </c>
      <c r="K144" s="55" t="str">
        <f>'2024 DO NOT TOUCH'!K145</f>
        <v>ACTIVE</v>
      </c>
      <c r="L144" s="72">
        <f>'2024 DO NOT TOUCH'!L145</f>
        <v>44802</v>
      </c>
      <c r="M144" s="55" t="b">
        <f>'2024 DO NOT TOUCH'!M145</f>
        <v>0</v>
      </c>
      <c r="N144" s="3">
        <f>'2024 DO NOT TOUCH'!N145</f>
        <v>45523</v>
      </c>
      <c r="O144" s="55" t="str">
        <f>'2024 DO NOT TOUCH'!O145</f>
        <v>REED</v>
      </c>
      <c r="P144" s="64">
        <f>'2024 DO NOT TOUCH'!P145</f>
        <v>7.4</v>
      </c>
      <c r="Q144" s="64">
        <f>'2024 DO NOT TOUCH'!Q145</f>
        <v>0</v>
      </c>
      <c r="R144" s="64">
        <f>'2024 DO NOT TOUCH'!R145</f>
        <v>3.4</v>
      </c>
      <c r="S144" s="57" t="str">
        <f>'2024 DO NOT TOUCH'!S145</f>
        <v>TESTED</v>
      </c>
      <c r="T144" s="57" t="str">
        <f>'2024 DO NOT TOUCH'!T145</f>
        <v>PASSED</v>
      </c>
      <c r="U144" s="57">
        <f>'2024 DO NOT TOUCH'!U145</f>
        <v>0</v>
      </c>
      <c r="V144" s="57">
        <f>'2024 DO NOT TOUCH'!V145</f>
        <v>0</v>
      </c>
      <c r="W144" s="57">
        <f>'2024 DO NOT TOUCH'!W145</f>
        <v>0</v>
      </c>
      <c r="X144" s="64">
        <f>'2024 DO NOT TOUCH'!X145</f>
        <v>0</v>
      </c>
      <c r="Y144" s="57">
        <f>'2024 DO NOT TOUCH'!Y145</f>
        <v>0</v>
      </c>
    </row>
    <row r="145" spans="1:25" ht="19.5" customHeight="1">
      <c r="A145" s="58" t="str">
        <f>'2024 DO NOT TOUCH'!A146</f>
        <v>1354</v>
      </c>
      <c r="B145" s="59" t="str">
        <f>'2024 DO NOT TOUCH'!B146</f>
        <v>SERE CLINIC</v>
      </c>
      <c r="C145" s="58" t="str">
        <f>'2024 DO NOT TOUCH'!C146</f>
        <v>358601</v>
      </c>
      <c r="D145" s="59" t="str">
        <f>'2024 DO NOT TOUCH'!D146</f>
        <v>WILKINS</v>
      </c>
      <c r="E145" s="58" t="str">
        <f>'2024 DO NOT TOUCH'!E146</f>
        <v>975XL</v>
      </c>
      <c r="F145" s="59" t="str">
        <f>'2024 DO NOT TOUCH'!F146</f>
        <v>RP</v>
      </c>
      <c r="G145" s="58" t="str">
        <f>'2024 DO NOT TOUCH'!G146</f>
        <v>0.5</v>
      </c>
      <c r="H145" s="59" t="str">
        <f>'2024 DO NOT TOUCH'!H146</f>
        <v>HVAC MAKEUP IN MECH RM</v>
      </c>
      <c r="I145" s="58" t="str">
        <f>'2024 DO NOT TOUCH'!I146</f>
        <v>INPREMISE</v>
      </c>
      <c r="J145" s="59" t="str">
        <f>'2024 DO NOT TOUCH'!J146</f>
        <v>AOI</v>
      </c>
      <c r="K145" s="58" t="str">
        <f>'2024 DO NOT TOUCH'!K146</f>
        <v>ACTIVE</v>
      </c>
      <c r="L145" s="71">
        <f>'2024 DO NOT TOUCH'!L146</f>
        <v>0</v>
      </c>
      <c r="M145" s="58" t="b">
        <f>'2024 DO NOT TOUCH'!M146</f>
        <v>0</v>
      </c>
      <c r="N145" s="59">
        <f>'2024 DO NOT TOUCH'!N146</f>
        <v>0</v>
      </c>
      <c r="O145" s="58">
        <f>'2024 DO NOT TOUCH'!O146</f>
        <v>0</v>
      </c>
      <c r="P145" s="65">
        <f>'2024 DO NOT TOUCH'!P146</f>
        <v>0</v>
      </c>
      <c r="Q145" s="65">
        <f>'2024 DO NOT TOUCH'!Q146</f>
        <v>0</v>
      </c>
      <c r="R145" s="65">
        <f>'2024 DO NOT TOUCH'!R146</f>
        <v>0</v>
      </c>
      <c r="S145" s="62" t="str">
        <f>'2024 DO NOT TOUCH'!S146</f>
        <v>UNTESTED</v>
      </c>
      <c r="T145" s="62" t="str">
        <f>'2024 DO NOT TOUCH'!T146</f>
        <v>FAILED</v>
      </c>
      <c r="U145" s="62" t="str">
        <f>'2024 DO NOT TOUCH'!U146</f>
        <v>PASSED</v>
      </c>
      <c r="V145" s="62" t="str">
        <f>'2024 DO NOT TOUCH'!V146</f>
        <v>EXISTING</v>
      </c>
      <c r="W145" s="62" t="str">
        <f>'2024 DO NOT TOUCH'!W146</f>
        <v>REMOVED</v>
      </c>
      <c r="X145" s="65">
        <f>'2024 DO NOT TOUCH'!X146</f>
        <v>0</v>
      </c>
      <c r="Y145" s="62">
        <f>'2024 DO NOT TOUCH'!Y146</f>
        <v>0</v>
      </c>
    </row>
    <row r="146" spans="1:25" ht="19.5" customHeight="1">
      <c r="A146" s="55" t="str">
        <f>'2024 DO NOT TOUCH'!A147</f>
        <v>1409</v>
      </c>
      <c r="B146" s="3" t="str">
        <f>'2024 DO NOT TOUCH'!B147</f>
        <v>EOD</v>
      </c>
      <c r="C146" s="55" t="str">
        <f>'2024 DO NOT TOUCH'!C147</f>
        <v>3928572XLTCU</v>
      </c>
      <c r="D146" s="3" t="str">
        <f>'2024 DO NOT TOUCH'!D147</f>
        <v>WILKINS</v>
      </c>
      <c r="E146" s="55" t="str">
        <f>'2024 DO NOT TOUCH'!E147</f>
        <v>975XL2</v>
      </c>
      <c r="F146" s="3" t="str">
        <f>'2024 DO NOT TOUCH'!F147</f>
        <v>RP</v>
      </c>
      <c r="G146" s="55" t="str">
        <f>'2024 DO NOT TOUCH'!G147</f>
        <v>1.5</v>
      </c>
      <c r="H146" s="3" t="str">
        <f>'2024 DO NOT TOUCH'!H147</f>
        <v>HVAC MAKEUP IN MECH RM</v>
      </c>
      <c r="I146" s="55" t="str">
        <f>'2024 DO NOT TOUCH'!I147</f>
        <v>PREMISE</v>
      </c>
      <c r="J146" s="3" t="str">
        <f>'2024 DO NOT TOUCH'!J147</f>
        <v>PREMISE</v>
      </c>
      <c r="K146" s="55" t="str">
        <f>'2024 DO NOT TOUCH'!K147</f>
        <v>ACTIVE</v>
      </c>
      <c r="L146" s="72">
        <f>'2024 DO NOT TOUCH'!L147</f>
        <v>44886</v>
      </c>
      <c r="M146" s="55" t="b">
        <f>'2024 DO NOT TOUCH'!M147</f>
        <v>0</v>
      </c>
      <c r="N146" s="3">
        <f>'2024 DO NOT TOUCH'!N147</f>
        <v>45614</v>
      </c>
      <c r="O146" s="55" t="str">
        <f>'2024 DO NOT TOUCH'!O147</f>
        <v>PARK</v>
      </c>
      <c r="P146" s="66">
        <f>'2024 DO NOT TOUCH'!P147</f>
        <v>7.8</v>
      </c>
      <c r="Q146" s="66">
        <f>'2024 DO NOT TOUCH'!Q147</f>
        <v>0</v>
      </c>
      <c r="R146" s="66">
        <f>'2024 DO NOT TOUCH'!R147</f>
        <v>2.2000000000000002</v>
      </c>
      <c r="S146" s="55" t="str">
        <f>'2024 DO NOT TOUCH'!S147</f>
        <v>TESTED</v>
      </c>
      <c r="T146" s="55" t="str">
        <f>'2024 DO NOT TOUCH'!T147</f>
        <v>PASSED</v>
      </c>
      <c r="U146" s="55">
        <f>'2024 DO NOT TOUCH'!U147</f>
        <v>0</v>
      </c>
      <c r="V146" s="55">
        <f>'2024 DO NOT TOUCH'!V147</f>
        <v>0</v>
      </c>
      <c r="W146" s="55">
        <f>'2024 DO NOT TOUCH'!W147</f>
        <v>0</v>
      </c>
      <c r="X146" s="66">
        <f>'2024 DO NOT TOUCH'!X147</f>
        <v>0</v>
      </c>
      <c r="Y146" s="55">
        <f>'2024 DO NOT TOUCH'!Y147</f>
        <v>0</v>
      </c>
    </row>
    <row r="147" spans="1:25" ht="19.5" customHeight="1">
      <c r="A147" s="58" t="str">
        <f>'2024 DO NOT TOUCH'!A148</f>
        <v>1409</v>
      </c>
      <c r="B147" s="59" t="str">
        <f>'2024 DO NOT TOUCH'!B148</f>
        <v>EOD</v>
      </c>
      <c r="C147" s="58" t="str">
        <f>'2024 DO NOT TOUCH'!C148</f>
        <v>10342A</v>
      </c>
      <c r="D147" s="59" t="str">
        <f>'2024 DO NOT TOUCH'!D148</f>
        <v>WILKINS</v>
      </c>
      <c r="E147" s="58" t="str">
        <f>'2024 DO NOT TOUCH'!E148</f>
        <v>350AST</v>
      </c>
      <c r="F147" s="59" t="str">
        <f>'2024 DO NOT TOUCH'!F148</f>
        <v>DC</v>
      </c>
      <c r="G147" s="58" t="str">
        <f>'2024 DO NOT TOUCH'!G148</f>
        <v>6.0</v>
      </c>
      <c r="H147" s="59" t="str">
        <f>'2024 DO NOT TOUCH'!H148</f>
        <v>MECH ROOM BAY FIRE SYS</v>
      </c>
      <c r="I147" s="58" t="str">
        <f>'2024 DO NOT TOUCH'!I148</f>
        <v>PREMISE</v>
      </c>
      <c r="J147" s="59" t="str">
        <f>'2024 DO NOT TOUCH'!J148</f>
        <v>FIRE</v>
      </c>
      <c r="K147" s="58" t="str">
        <f>'2024 DO NOT TOUCH'!K148</f>
        <v>ACTIVE</v>
      </c>
      <c r="L147" s="71">
        <f>'2024 DO NOT TOUCH'!L148</f>
        <v>44886</v>
      </c>
      <c r="M147" s="58" t="b">
        <f>'2024 DO NOT TOUCH'!M148</f>
        <v>0</v>
      </c>
      <c r="N147" s="59">
        <f>'2024 DO NOT TOUCH'!N148</f>
        <v>45614</v>
      </c>
      <c r="O147" s="58" t="str">
        <f>'2024 DO NOT TOUCH'!O148</f>
        <v>PARK</v>
      </c>
      <c r="P147" s="67">
        <f>'2024 DO NOT TOUCH'!P148</f>
        <v>2.2000000000000002</v>
      </c>
      <c r="Q147" s="67">
        <f>'2024 DO NOT TOUCH'!Q148</f>
        <v>3</v>
      </c>
      <c r="R147" s="67">
        <f>'2024 DO NOT TOUCH'!R148</f>
        <v>0</v>
      </c>
      <c r="S147" s="58" t="str">
        <f>'2024 DO NOT TOUCH'!S148</f>
        <v>TESTED</v>
      </c>
      <c r="T147" s="58" t="str">
        <f>'2024 DO NOT TOUCH'!T148</f>
        <v>PASSED</v>
      </c>
      <c r="U147" s="58">
        <f>'2024 DO NOT TOUCH'!U148</f>
        <v>0</v>
      </c>
      <c r="V147" s="58">
        <f>'2024 DO NOT TOUCH'!V148</f>
        <v>0</v>
      </c>
      <c r="W147" s="58">
        <f>'2024 DO NOT TOUCH'!W148</f>
        <v>0</v>
      </c>
      <c r="X147" s="67">
        <f>'2024 DO NOT TOUCH'!X148</f>
        <v>0</v>
      </c>
      <c r="Y147" s="58">
        <f>'2024 DO NOT TOUCH'!Y148</f>
        <v>0</v>
      </c>
    </row>
    <row r="148" spans="1:25" ht="19.5" customHeight="1">
      <c r="A148" s="77" t="str">
        <f>'2024 DO NOT TOUCH'!A149</f>
        <v>1414</v>
      </c>
      <c r="B148" s="78" t="str">
        <f>'2024 DO NOT TOUCH'!B149</f>
        <v>SERE</v>
      </c>
      <c r="C148" s="77" t="str">
        <f>'2024 DO NOT TOUCH'!C149</f>
        <v>W358562</v>
      </c>
      <c r="D148" s="78" t="str">
        <f>'2024 DO NOT TOUCH'!D149</f>
        <v>WILKINS</v>
      </c>
      <c r="E148" s="77" t="str">
        <f>'2024 DO NOT TOUCH'!E149</f>
        <v>975XL</v>
      </c>
      <c r="F148" s="78" t="str">
        <f>'2024 DO NOT TOUCH'!F149</f>
        <v>RP</v>
      </c>
      <c r="G148" s="77" t="str">
        <f>'2024 DO NOT TOUCH'!G149</f>
        <v>0.5</v>
      </c>
      <c r="H148" s="78" t="str">
        <f>'2024 DO NOT TOUCH'!H149</f>
        <v>WATER HEATER CLOSET ICE MACHINE</v>
      </c>
      <c r="I148" s="77" t="str">
        <f>'2024 DO NOT TOUCH'!I149</f>
        <v>INPREMISE</v>
      </c>
      <c r="J148" s="78" t="str">
        <f>'2024 DO NOT TOUCH'!J149</f>
        <v>AOI</v>
      </c>
      <c r="K148" s="77" t="str">
        <f>'2024 DO NOT TOUCH'!K149</f>
        <v>INACTIVE</v>
      </c>
      <c r="L148" s="79">
        <f>'2024 DO NOT TOUCH'!L149</f>
        <v>0</v>
      </c>
      <c r="M148" s="77" t="b">
        <f>'2024 DO NOT TOUCH'!M149</f>
        <v>0</v>
      </c>
      <c r="N148" s="78">
        <f>'2024 DO NOT TOUCH'!N149</f>
        <v>45614</v>
      </c>
      <c r="O148" s="77" t="str">
        <f>'2024 DO NOT TOUCH'!O149</f>
        <v>PARK</v>
      </c>
      <c r="P148" s="80">
        <f>'2024 DO NOT TOUCH'!P149</f>
        <v>7.8</v>
      </c>
      <c r="Q148" s="80">
        <f>'2024 DO NOT TOUCH'!Q149</f>
        <v>0</v>
      </c>
      <c r="R148" s="80">
        <f>'2024 DO NOT TOUCH'!R149</f>
        <v>3</v>
      </c>
      <c r="S148" s="81" t="str">
        <f>'2024 DO NOT TOUCH'!S149</f>
        <v>TESTED</v>
      </c>
      <c r="T148" s="81" t="str">
        <f>'2024 DO NOT TOUCH'!T149</f>
        <v>PASSED</v>
      </c>
      <c r="U148" s="81">
        <f>'2024 DO NOT TOUCH'!U149</f>
        <v>0</v>
      </c>
      <c r="V148" s="81">
        <f>'2024 DO NOT TOUCH'!V149</f>
        <v>0</v>
      </c>
      <c r="W148" s="81">
        <f>'2024 DO NOT TOUCH'!W149</f>
        <v>0</v>
      </c>
      <c r="X148" s="80">
        <f>'2024 DO NOT TOUCH'!X149</f>
        <v>0</v>
      </c>
      <c r="Y148" s="81">
        <f>'2024 DO NOT TOUCH'!Y149</f>
        <v>0</v>
      </c>
    </row>
    <row r="149" spans="1:25" ht="19.5" customHeight="1">
      <c r="A149" s="58" t="str">
        <f>'2024 DO NOT TOUCH'!A150</f>
        <v>1414</v>
      </c>
      <c r="B149" s="59" t="str">
        <f>'2024 DO NOT TOUCH'!B150</f>
        <v>SERE</v>
      </c>
      <c r="C149" s="58" t="str">
        <f>'2024 DO NOT TOUCH'!C150</f>
        <v>3804619XLTCU</v>
      </c>
      <c r="D149" s="59" t="str">
        <f>'2024 DO NOT TOUCH'!D150</f>
        <v>WILKINS</v>
      </c>
      <c r="E149" s="58" t="str">
        <f>'2024 DO NOT TOUCH'!E150</f>
        <v>975XL2</v>
      </c>
      <c r="F149" s="59" t="str">
        <f>'2024 DO NOT TOUCH'!F150</f>
        <v>RP</v>
      </c>
      <c r="G149" s="58" t="str">
        <f>'2024 DO NOT TOUCH'!G150</f>
        <v>1.0</v>
      </c>
      <c r="H149" s="59" t="str">
        <f>'2024 DO NOT TOUCH'!H150</f>
        <v>WATER HEATER CLOSET SUPPLY</v>
      </c>
      <c r="I149" s="58" t="str">
        <f>'2024 DO NOT TOUCH'!I150</f>
        <v>INPREMISE</v>
      </c>
      <c r="J149" s="59" t="str">
        <f>'2024 DO NOT TOUCH'!J150</f>
        <v>AOI</v>
      </c>
      <c r="K149" s="58" t="str">
        <f>'2024 DO NOT TOUCH'!K150</f>
        <v>ACTIVE</v>
      </c>
      <c r="L149" s="71">
        <f>'2024 DO NOT TOUCH'!L150</f>
        <v>44886</v>
      </c>
      <c r="M149" s="58" t="b">
        <f>'2024 DO NOT TOUCH'!M150</f>
        <v>0</v>
      </c>
      <c r="N149" s="59">
        <f>'2024 DO NOT TOUCH'!N150</f>
        <v>45614</v>
      </c>
      <c r="O149" s="58" t="str">
        <f>'2024 DO NOT TOUCH'!O150</f>
        <v>PARK</v>
      </c>
      <c r="P149" s="65">
        <f>'2024 DO NOT TOUCH'!P150</f>
        <v>9.1999999999999993</v>
      </c>
      <c r="Q149" s="65">
        <f>'2024 DO NOT TOUCH'!Q150</f>
        <v>0</v>
      </c>
      <c r="R149" s="65">
        <f>'2024 DO NOT TOUCH'!R150</f>
        <v>1.8</v>
      </c>
      <c r="S149" s="62" t="str">
        <f>'2024 DO NOT TOUCH'!S150</f>
        <v>TESTED</v>
      </c>
      <c r="T149" s="62" t="str">
        <f>'2024 DO NOT TOUCH'!T150</f>
        <v>PASSED</v>
      </c>
      <c r="U149" s="62">
        <f>'2024 DO NOT TOUCH'!U150</f>
        <v>0</v>
      </c>
      <c r="V149" s="62">
        <f>'2024 DO NOT TOUCH'!V150</f>
        <v>0</v>
      </c>
      <c r="W149" s="62">
        <f>'2024 DO NOT TOUCH'!W150</f>
        <v>0</v>
      </c>
      <c r="X149" s="65">
        <f>'2024 DO NOT TOUCH'!X150</f>
        <v>0</v>
      </c>
      <c r="Y149" s="62">
        <f>'2024 DO NOT TOUCH'!Y150</f>
        <v>0</v>
      </c>
    </row>
    <row r="150" spans="1:25" ht="19.5" customHeight="1">
      <c r="A150" s="77" t="str">
        <f>'2024 DO NOT TOUCH'!A151</f>
        <v>1414</v>
      </c>
      <c r="B150" s="78" t="str">
        <f>'2024 DO NOT TOUCH'!B151</f>
        <v>SERE</v>
      </c>
      <c r="C150" s="77" t="str">
        <f>'2024 DO NOT TOUCH'!C151</f>
        <v>3794881</v>
      </c>
      <c r="D150" s="78" t="str">
        <f>'2024 DO NOT TOUCH'!D151</f>
        <v>WILKINS</v>
      </c>
      <c r="E150" s="77" t="str">
        <f>'2024 DO NOT TOUCH'!E151</f>
        <v>975XL</v>
      </c>
      <c r="F150" s="78" t="str">
        <f>'2024 DO NOT TOUCH'!F151</f>
        <v>RP</v>
      </c>
      <c r="G150" s="77" t="str">
        <f>'2024 DO NOT TOUCH'!G151</f>
        <v>1.0</v>
      </c>
      <c r="H150" s="78" t="str">
        <f>'2024 DO NOT TOUCH'!H151</f>
        <v>BACK SECTION OF BLDG ON ICE MACHINE</v>
      </c>
      <c r="I150" s="77" t="str">
        <f>'2024 DO NOT TOUCH'!I151</f>
        <v>INPREMISE</v>
      </c>
      <c r="J150" s="78" t="str">
        <f>'2024 DO NOT TOUCH'!J151</f>
        <v>AOI</v>
      </c>
      <c r="K150" s="77" t="str">
        <f>'2024 DO NOT TOUCH'!K151</f>
        <v>ACTIVE</v>
      </c>
      <c r="L150" s="79">
        <f>'2024 DO NOT TOUCH'!L151</f>
        <v>44886</v>
      </c>
      <c r="M150" s="77" t="b">
        <f>'2024 DO NOT TOUCH'!M151</f>
        <v>0</v>
      </c>
      <c r="N150" s="78">
        <f>'2024 DO NOT TOUCH'!N151</f>
        <v>45614</v>
      </c>
      <c r="O150" s="77" t="str">
        <f>'2024 DO NOT TOUCH'!O151</f>
        <v>PARK</v>
      </c>
      <c r="P150" s="80">
        <f>'2024 DO NOT TOUCH'!P151</f>
        <v>8</v>
      </c>
      <c r="Q150" s="80">
        <f>'2024 DO NOT TOUCH'!Q151</f>
        <v>0</v>
      </c>
      <c r="R150" s="80">
        <f>'2024 DO NOT TOUCH'!R151</f>
        <v>1.2</v>
      </c>
      <c r="S150" s="81" t="str">
        <f>'2024 DO NOT TOUCH'!S151</f>
        <v>TESTED</v>
      </c>
      <c r="T150" s="81" t="str">
        <f>'2024 DO NOT TOUCH'!T151</f>
        <v>PASSED</v>
      </c>
      <c r="U150" s="81">
        <f>'2024 DO NOT TOUCH'!U151</f>
        <v>0</v>
      </c>
      <c r="V150" s="81">
        <f>'2024 DO NOT TOUCH'!V151</f>
        <v>0</v>
      </c>
      <c r="W150" s="81">
        <f>'2024 DO NOT TOUCH'!W151</f>
        <v>0</v>
      </c>
      <c r="X150" s="80">
        <f>'2024 DO NOT TOUCH'!X151</f>
        <v>0</v>
      </c>
      <c r="Y150" s="81">
        <f>'2024 DO NOT TOUCH'!Y151</f>
        <v>0</v>
      </c>
    </row>
    <row r="151" spans="1:25" ht="19.5" customHeight="1">
      <c r="A151" s="58" t="str">
        <f>'2024 DO NOT TOUCH'!A152</f>
        <v>1414</v>
      </c>
      <c r="B151" s="59" t="str">
        <f>'2024 DO NOT TOUCH'!B152</f>
        <v>SERE</v>
      </c>
      <c r="C151" s="58" t="str">
        <f>'2024 DO NOT TOUCH'!C152</f>
        <v>U28861</v>
      </c>
      <c r="D151" s="59" t="str">
        <f>'2024 DO NOT TOUCH'!D152</f>
        <v>WILKINS</v>
      </c>
      <c r="E151" s="58" t="str">
        <f>'2024 DO NOT TOUCH'!E152</f>
        <v>350A</v>
      </c>
      <c r="F151" s="59" t="str">
        <f>'2024 DO NOT TOUCH'!F152</f>
        <v>DC</v>
      </c>
      <c r="G151" s="58" t="str">
        <f>'2024 DO NOT TOUCH'!G152</f>
        <v>6.0</v>
      </c>
      <c r="H151" s="59" t="str">
        <f>'2024 DO NOT TOUCH'!H152</f>
        <v>FIRE MECH RM ON FIRE SYS</v>
      </c>
      <c r="I151" s="58" t="str">
        <f>'2024 DO NOT TOUCH'!I152</f>
        <v>PREMISE</v>
      </c>
      <c r="J151" s="59" t="str">
        <f>'2024 DO NOT TOUCH'!J152</f>
        <v>FIRE</v>
      </c>
      <c r="K151" s="58" t="str">
        <f>'2024 DO NOT TOUCH'!K152</f>
        <v>ACTIVE</v>
      </c>
      <c r="L151" s="71">
        <f>'2024 DO NOT TOUCH'!L152</f>
        <v>44886</v>
      </c>
      <c r="M151" s="58" t="b">
        <f>'2024 DO NOT TOUCH'!M152</f>
        <v>0</v>
      </c>
      <c r="N151" s="59">
        <f>'2024 DO NOT TOUCH'!N152</f>
        <v>45514</v>
      </c>
      <c r="O151" s="58" t="str">
        <f>'2024 DO NOT TOUCH'!O152</f>
        <v>PARK</v>
      </c>
      <c r="P151" s="67">
        <f>'2024 DO NOT TOUCH'!P152</f>
        <v>3.8</v>
      </c>
      <c r="Q151" s="67">
        <f>'2024 DO NOT TOUCH'!Q152</f>
        <v>3.4</v>
      </c>
      <c r="R151" s="67">
        <f>'2024 DO NOT TOUCH'!R152</f>
        <v>0</v>
      </c>
      <c r="S151" s="58" t="str">
        <f>'2024 DO NOT TOUCH'!S152</f>
        <v>TESTED</v>
      </c>
      <c r="T151" s="58" t="str">
        <f>'2024 DO NOT TOUCH'!T152</f>
        <v>PASSED</v>
      </c>
      <c r="U151" s="58">
        <f>'2024 DO NOT TOUCH'!U152</f>
        <v>0</v>
      </c>
      <c r="V151" s="58">
        <f>'2024 DO NOT TOUCH'!V152</f>
        <v>0</v>
      </c>
      <c r="W151" s="58">
        <f>'2024 DO NOT TOUCH'!W152</f>
        <v>0</v>
      </c>
      <c r="X151" s="67">
        <f>'2024 DO NOT TOUCH'!X152</f>
        <v>0</v>
      </c>
      <c r="Y151" s="58">
        <f>'2024 DO NOT TOUCH'!Y152</f>
        <v>0</v>
      </c>
    </row>
    <row r="152" spans="1:25" ht="19.5" customHeight="1">
      <c r="A152" s="77" t="str">
        <f>'2024 DO NOT TOUCH'!A153</f>
        <v>1458</v>
      </c>
      <c r="B152" s="78" t="str">
        <f>'2024 DO NOT TOUCH'!B153</f>
        <v>AMMO</v>
      </c>
      <c r="C152" s="77" t="str">
        <f>'2024 DO NOT TOUCH'!C153</f>
        <v>U00362</v>
      </c>
      <c r="D152" s="78" t="str">
        <f>'2024 DO NOT TOUCH'!D153</f>
        <v>WILKINS</v>
      </c>
      <c r="E152" s="77" t="str">
        <f>'2024 DO NOT TOUCH'!E153</f>
        <v>350A</v>
      </c>
      <c r="F152" s="78" t="str">
        <f>'2024 DO NOT TOUCH'!F153</f>
        <v>DC</v>
      </c>
      <c r="G152" s="77" t="str">
        <f>'2024 DO NOT TOUCH'!G153</f>
        <v>6.0</v>
      </c>
      <c r="H152" s="78" t="str">
        <f>'2024 DO NOT TOUCH'!H153</f>
        <v>BAY AREA FIRE SYS</v>
      </c>
      <c r="I152" s="77" t="str">
        <f>'2024 DO NOT TOUCH'!I153</f>
        <v>PREMISE</v>
      </c>
      <c r="J152" s="78" t="str">
        <f>'2024 DO NOT TOUCH'!J153</f>
        <v>FIRE</v>
      </c>
      <c r="K152" s="77" t="str">
        <f>'2024 DO NOT TOUCH'!K153</f>
        <v>ACTIVE</v>
      </c>
      <c r="L152" s="79">
        <f>'2024 DO NOT TOUCH'!L153</f>
        <v>44886</v>
      </c>
      <c r="M152" s="77" t="b">
        <f>'2024 DO NOT TOUCH'!M153</f>
        <v>0</v>
      </c>
      <c r="N152" s="78">
        <f>'2024 DO NOT TOUCH'!N153</f>
        <v>45615</v>
      </c>
      <c r="O152" s="77" t="str">
        <f>'2024 DO NOT TOUCH'!O153</f>
        <v>PARK</v>
      </c>
      <c r="P152" s="83">
        <f>'2024 DO NOT TOUCH'!P153</f>
        <v>3.2</v>
      </c>
      <c r="Q152" s="83">
        <f>'2024 DO NOT TOUCH'!Q153</f>
        <v>3.2</v>
      </c>
      <c r="R152" s="83">
        <f>'2024 DO NOT TOUCH'!R153</f>
        <v>0</v>
      </c>
      <c r="S152" s="77" t="str">
        <f>'2024 DO NOT TOUCH'!S153</f>
        <v>TESTED</v>
      </c>
      <c r="T152" s="77" t="str">
        <f>'2024 DO NOT TOUCH'!T153</f>
        <v>PASSED</v>
      </c>
      <c r="U152" s="77">
        <f>'2024 DO NOT TOUCH'!U153</f>
        <v>0</v>
      </c>
      <c r="V152" s="77">
        <f>'2024 DO NOT TOUCH'!V153</f>
        <v>0</v>
      </c>
      <c r="W152" s="77">
        <f>'2024 DO NOT TOUCH'!W153</f>
        <v>0</v>
      </c>
      <c r="X152" s="83">
        <f>'2024 DO NOT TOUCH'!X153</f>
        <v>0</v>
      </c>
      <c r="Y152" s="77">
        <f>'2024 DO NOT TOUCH'!Y153</f>
        <v>0</v>
      </c>
    </row>
    <row r="153" spans="1:25" ht="19.5" customHeight="1">
      <c r="A153" s="58" t="str">
        <f>'2024 DO NOT TOUCH'!A154</f>
        <v>1481</v>
      </c>
      <c r="B153" s="59" t="str">
        <f>'2024 DO NOT TOUCH'!B154</f>
        <v>AMMO ORDNANCE</v>
      </c>
      <c r="C153" s="58" t="str">
        <f>'2024 DO NOT TOUCH'!C154</f>
        <v>NC0296</v>
      </c>
      <c r="D153" s="59" t="str">
        <f>'2024 DO NOT TOUCH'!D154</f>
        <v>COLT</v>
      </c>
      <c r="E153" s="58" t="str">
        <f>'2024 DO NOT TOUCH'!E154</f>
        <v>200</v>
      </c>
      <c r="F153" s="59" t="str">
        <f>'2024 DO NOT TOUCH'!F154</f>
        <v>DC</v>
      </c>
      <c r="G153" s="58" t="str">
        <f>'2024 DO NOT TOUCH'!G154</f>
        <v>4.0</v>
      </c>
      <c r="H153" s="59" t="str">
        <f>'2024 DO NOT TOUCH'!H154</f>
        <v>FIRE SYS IN BAY</v>
      </c>
      <c r="I153" s="58" t="str">
        <f>'2024 DO NOT TOUCH'!I154</f>
        <v>PREMISE</v>
      </c>
      <c r="J153" s="59" t="str">
        <f>'2024 DO NOT TOUCH'!J154</f>
        <v>FIRE</v>
      </c>
      <c r="K153" s="58" t="str">
        <f>'2024 DO NOT TOUCH'!K154</f>
        <v>ACTIVE</v>
      </c>
      <c r="L153" s="71">
        <f>'2024 DO NOT TOUCH'!L154</f>
        <v>44699</v>
      </c>
      <c r="M153" s="58" t="b">
        <f>'2024 DO NOT TOUCH'!M154</f>
        <v>0</v>
      </c>
      <c r="N153" s="59">
        <f>'2024 DO NOT TOUCH'!N154</f>
        <v>0</v>
      </c>
      <c r="O153" s="58">
        <f>'2024 DO NOT TOUCH'!O154</f>
        <v>0</v>
      </c>
      <c r="P153" s="65">
        <f>'2024 DO NOT TOUCH'!P154</f>
        <v>0</v>
      </c>
      <c r="Q153" s="65">
        <f>'2024 DO NOT TOUCH'!Q154</f>
        <v>0</v>
      </c>
      <c r="R153" s="65">
        <f>'2024 DO NOT TOUCH'!R154</f>
        <v>0</v>
      </c>
      <c r="S153" s="62" t="str">
        <f>'2024 DO NOT TOUCH'!S154</f>
        <v>TESTED</v>
      </c>
      <c r="T153" s="62" t="str">
        <f>'2024 DO NOT TOUCH'!T154</f>
        <v>PASSED</v>
      </c>
      <c r="U153" s="62">
        <f>'2024 DO NOT TOUCH'!U154</f>
        <v>0</v>
      </c>
      <c r="V153" s="62">
        <f>'2024 DO NOT TOUCH'!V154</f>
        <v>0</v>
      </c>
      <c r="W153" s="62">
        <f>'2024 DO NOT TOUCH'!W154</f>
        <v>0</v>
      </c>
      <c r="X153" s="65">
        <f>'2024 DO NOT TOUCH'!X154</f>
        <v>0</v>
      </c>
      <c r="Y153" s="62">
        <f>'2024 DO NOT TOUCH'!Y154</f>
        <v>0</v>
      </c>
    </row>
    <row r="154" spans="1:25" ht="19.5" customHeight="1">
      <c r="A154" s="55" t="str">
        <f>'2024 DO NOT TOUCH'!A155</f>
        <v>1712</v>
      </c>
      <c r="B154" s="3" t="str">
        <f>'2024 DO NOT TOUCH'!B155</f>
        <v>RT HQ</v>
      </c>
      <c r="C154" s="55" t="str">
        <f>'2024 DO NOT TOUCH'!C155</f>
        <v>W341893XLTCU</v>
      </c>
      <c r="D154" s="3" t="str">
        <f>'2024 DO NOT TOUCH'!D155</f>
        <v>WILKINS</v>
      </c>
      <c r="E154" s="55" t="str">
        <f>'2024 DO NOT TOUCH'!E155</f>
        <v>975XL</v>
      </c>
      <c r="F154" s="3" t="str">
        <f>'2024 DO NOT TOUCH'!F155</f>
        <v>RP</v>
      </c>
      <c r="G154" s="55" t="str">
        <f>'2024 DO NOT TOUCH'!G155</f>
        <v>0.75</v>
      </c>
      <c r="H154" s="3" t="str">
        <f>'2024 DO NOT TOUCH'!H155</f>
        <v>BOILER ROOM</v>
      </c>
      <c r="I154" s="55" t="str">
        <f>'2024 DO NOT TOUCH'!I155</f>
        <v>INPREMISE</v>
      </c>
      <c r="J154" s="3" t="str">
        <f>'2024 DO NOT TOUCH'!J155</f>
        <v>AOI</v>
      </c>
      <c r="K154" s="55" t="str">
        <f>'2024 DO NOT TOUCH'!K155</f>
        <v>ACTIVE</v>
      </c>
      <c r="L154" s="72">
        <f>'2024 DO NOT TOUCH'!L155</f>
        <v>0</v>
      </c>
      <c r="M154" s="55" t="b">
        <f>'2024 DO NOT TOUCH'!M155</f>
        <v>0</v>
      </c>
      <c r="N154" s="3">
        <f>'2024 DO NOT TOUCH'!N155</f>
        <v>45614</v>
      </c>
      <c r="O154" s="55" t="str">
        <f>'2024 DO NOT TOUCH'!O155</f>
        <v>PARK</v>
      </c>
      <c r="P154" s="64">
        <f>'2024 DO NOT TOUCH'!P155</f>
        <v>0</v>
      </c>
      <c r="Q154" s="64">
        <f>'2024 DO NOT TOUCH'!Q155</f>
        <v>0</v>
      </c>
      <c r="R154" s="64">
        <f>'2024 DO NOT TOUCH'!R155</f>
        <v>0</v>
      </c>
      <c r="S154" s="57" t="str">
        <f>'2024 DO NOT TOUCH'!S155</f>
        <v>TESTED</v>
      </c>
      <c r="T154" s="57" t="str">
        <f>'2024 DO NOT TOUCH'!T155</f>
        <v>FAILED</v>
      </c>
      <c r="U154" s="57">
        <f>'2024 DO NOT TOUCH'!U155</f>
        <v>0</v>
      </c>
      <c r="V154" s="57">
        <f>'2024 DO NOT TOUCH'!V155</f>
        <v>0</v>
      </c>
      <c r="W154" s="57">
        <f>'2024 DO NOT TOUCH'!W155</f>
        <v>0</v>
      </c>
      <c r="X154" s="64">
        <f>'2024 DO NOT TOUCH'!X155</f>
        <v>0</v>
      </c>
      <c r="Y154" s="57" t="str">
        <f>'2024 DO NOT TOUCH'!Y155</f>
        <v>ISO</v>
      </c>
    </row>
    <row r="155" spans="1:25" ht="19.5" customHeight="1">
      <c r="A155" s="58" t="str">
        <f>'2024 DO NOT TOUCH'!A156</f>
        <v>1712</v>
      </c>
      <c r="B155" s="59" t="str">
        <f>'2024 DO NOT TOUCH'!B156</f>
        <v>RT HQ</v>
      </c>
      <c r="C155" s="58" t="str">
        <f>'2024 DO NOT TOUCH'!C156</f>
        <v>J26959</v>
      </c>
      <c r="D155" s="59" t="str">
        <f>'2024 DO NOT TOUCH'!D156</f>
        <v>WILKINS</v>
      </c>
      <c r="E155" s="58" t="str">
        <f>'2024 DO NOT TOUCH'!E156</f>
        <v>350</v>
      </c>
      <c r="F155" s="59" t="str">
        <f>'2024 DO NOT TOUCH'!F156</f>
        <v>DC</v>
      </c>
      <c r="G155" s="58" t="str">
        <f>'2024 DO NOT TOUCH'!G156</f>
        <v>2.5</v>
      </c>
      <c r="H155" s="59" t="str">
        <f>'2024 DO NOT TOUCH'!H156</f>
        <v>BOILER RM 110</v>
      </c>
      <c r="I155" s="58" t="str">
        <f>'2024 DO NOT TOUCH'!I156</f>
        <v>PREMISE</v>
      </c>
      <c r="J155" s="59" t="str">
        <f>'2024 DO NOT TOUCH'!J156</f>
        <v>PREMISE</v>
      </c>
      <c r="K155" s="58" t="str">
        <f>'2024 DO NOT TOUCH'!K156</f>
        <v>ACTIVE</v>
      </c>
      <c r="L155" s="71">
        <f>'2024 DO NOT TOUCH'!L156</f>
        <v>0</v>
      </c>
      <c r="M155" s="58" t="b">
        <f>'2024 DO NOT TOUCH'!M156</f>
        <v>0</v>
      </c>
      <c r="N155" s="59">
        <f>'2024 DO NOT TOUCH'!N156</f>
        <v>45614</v>
      </c>
      <c r="O155" s="58" t="str">
        <f>'2024 DO NOT TOUCH'!O156</f>
        <v>PARK</v>
      </c>
      <c r="P155" s="65">
        <f>'2024 DO NOT TOUCH'!P156</f>
        <v>2.8</v>
      </c>
      <c r="Q155" s="65">
        <f>'2024 DO NOT TOUCH'!Q156</f>
        <v>3</v>
      </c>
      <c r="R155" s="65">
        <f>'2024 DO NOT TOUCH'!R156</f>
        <v>0</v>
      </c>
      <c r="S155" s="62" t="str">
        <f>'2024 DO NOT TOUCH'!S156</f>
        <v>TESTED</v>
      </c>
      <c r="T155" s="62" t="e">
        <f>'2024 DO NOT TOUCH'!#REF!</f>
        <v>#REF!</v>
      </c>
      <c r="U155" s="62" t="str">
        <f>'2024 DO NOT TOUCH'!T156</f>
        <v>PASSED</v>
      </c>
      <c r="V155" s="62">
        <f>'2024 DO NOT TOUCH'!V156</f>
        <v>0</v>
      </c>
      <c r="W155" s="62">
        <f>'2024 DO NOT TOUCH'!W156</f>
        <v>0</v>
      </c>
      <c r="X155" s="65">
        <f>'2024 DO NOT TOUCH'!X156</f>
        <v>0</v>
      </c>
      <c r="Y155" s="62">
        <f>'2024 DO NOT TOUCH'!Y156</f>
        <v>0</v>
      </c>
    </row>
    <row r="156" spans="1:25" ht="19.5" customHeight="1">
      <c r="A156" s="55" t="str">
        <f>'2024 DO NOT TOUCH'!A157</f>
        <v>1712</v>
      </c>
      <c r="B156" s="55" t="str">
        <f>'2024 DO NOT TOUCH'!B157</f>
        <v>RT HQ</v>
      </c>
      <c r="C156" s="55" t="str">
        <f>'2024 DO NOT TOUCH'!C157</f>
        <v>U11446</v>
      </c>
      <c r="D156" s="55" t="str">
        <f>'2024 DO NOT TOUCH'!D157</f>
        <v>WILKINS</v>
      </c>
      <c r="E156" s="55" t="str">
        <f>'2024 DO NOT TOUCH'!E157</f>
        <v>350A</v>
      </c>
      <c r="F156" s="55" t="str">
        <f>'2024 DO NOT TOUCH'!F157</f>
        <v>DC</v>
      </c>
      <c r="G156" s="55" t="str">
        <f>'2024 DO NOT TOUCH'!G157</f>
        <v>6.0</v>
      </c>
      <c r="H156" s="55" t="str">
        <f>'2024 DO NOT TOUCH'!H157</f>
        <v>BOILER RM 110 FIRE SYS</v>
      </c>
      <c r="I156" s="55" t="str">
        <f>'2024 DO NOT TOUCH'!I157</f>
        <v>PREMISE</v>
      </c>
      <c r="J156" s="55" t="str">
        <f>'2024 DO NOT TOUCH'!J157</f>
        <v>FIRE</v>
      </c>
      <c r="K156" s="55" t="str">
        <f>'2024 DO NOT TOUCH'!K157</f>
        <v>ACTIVE</v>
      </c>
      <c r="L156" s="56">
        <f>'2024 DO NOT TOUCH'!L157</f>
        <v>44901</v>
      </c>
      <c r="M156" s="56" t="b">
        <f>'2024 DO NOT TOUCH'!M157</f>
        <v>0</v>
      </c>
      <c r="N156" s="56">
        <f>'2024 DO NOT TOUCH'!N157</f>
        <v>45614</v>
      </c>
      <c r="O156" s="55" t="str">
        <f>'2024 DO NOT TOUCH'!O157</f>
        <v>PARK</v>
      </c>
      <c r="P156" s="64">
        <f>'2024 DO NOT TOUCH'!P157</f>
        <v>4</v>
      </c>
      <c r="Q156" s="64">
        <f>'2024 DO NOT TOUCH'!Q157</f>
        <v>3.6</v>
      </c>
      <c r="R156" s="64">
        <f>'2024 DO NOT TOUCH'!R157</f>
        <v>0</v>
      </c>
      <c r="S156" s="55" t="str">
        <f>'2024 DO NOT TOUCH'!S157</f>
        <v>TESTED</v>
      </c>
      <c r="T156" s="55" t="str">
        <f>'2024 DO NOT TOUCH'!T157</f>
        <v>PASSED</v>
      </c>
      <c r="U156" s="55">
        <f>'2024 DO NOT TOUCH'!U157</f>
        <v>0</v>
      </c>
      <c r="V156" s="55">
        <f>'2024 DO NOT TOUCH'!V157</f>
        <v>0</v>
      </c>
      <c r="W156" s="55">
        <f>'2024 DO NOT TOUCH'!W157</f>
        <v>0</v>
      </c>
      <c r="X156" s="66">
        <f>'2024 DO NOT TOUCH'!X157</f>
        <v>0</v>
      </c>
      <c r="Y156" s="55">
        <f>'2024 DO NOT TOUCH'!Y157</f>
        <v>0</v>
      </c>
    </row>
    <row r="157" spans="1:25" ht="19.5" customHeight="1">
      <c r="A157" s="58" t="str">
        <f>'2024 DO NOT TOUCH'!A158</f>
        <v>1724</v>
      </c>
      <c r="B157" s="59" t="str">
        <f>'2024 DO NOT TOUCH'!B158</f>
        <v>RT CAMP</v>
      </c>
      <c r="C157" s="58" t="str">
        <f>'2024 DO NOT TOUCH'!C158</f>
        <v>W248746</v>
      </c>
      <c r="D157" s="59" t="str">
        <f>'2024 DO NOT TOUCH'!D158</f>
        <v>WILKINS</v>
      </c>
      <c r="E157" s="58" t="str">
        <f>'2024 DO NOT TOUCH'!E158</f>
        <v>975XL</v>
      </c>
      <c r="F157" s="59" t="str">
        <f>'2024 DO NOT TOUCH'!F158</f>
        <v>RP</v>
      </c>
      <c r="G157" s="58" t="str">
        <f>'2024 DO NOT TOUCH'!G158</f>
        <v>0.5</v>
      </c>
      <c r="H157" s="59" t="str">
        <f>'2024 DO NOT TOUCH'!H158</f>
        <v>CAMP BATHROOM ICE MACHINE</v>
      </c>
      <c r="I157" s="58" t="str">
        <f>'2024 DO NOT TOUCH'!I158</f>
        <v>INPREMISE</v>
      </c>
      <c r="J157" s="59" t="str">
        <f>'2024 DO NOT TOUCH'!J158</f>
        <v>AOI</v>
      </c>
      <c r="K157" s="58" t="str">
        <f>'2024 DO NOT TOUCH'!K158</f>
        <v>ACTIVE</v>
      </c>
      <c r="L157" s="71">
        <f>'2024 DO NOT TOUCH'!L158</f>
        <v>44886</v>
      </c>
      <c r="M157" s="58" t="b">
        <f>'2024 DO NOT TOUCH'!M158</f>
        <v>0</v>
      </c>
      <c r="N157" s="59">
        <f>'2024 DO NOT TOUCH'!N158</f>
        <v>45614</v>
      </c>
      <c r="O157" s="58" t="str">
        <f>'2024 DO NOT TOUCH'!O158</f>
        <v>PARK</v>
      </c>
      <c r="P157" s="65">
        <f>'2024 DO NOT TOUCH'!P158</f>
        <v>0</v>
      </c>
      <c r="Q157" s="65">
        <f>'2024 DO NOT TOUCH'!Q158</f>
        <v>0</v>
      </c>
      <c r="R157" s="65">
        <f>'2024 DO NOT TOUCH'!R158</f>
        <v>0</v>
      </c>
      <c r="S157" s="62" t="str">
        <f>'2024 DO NOT TOUCH'!S158</f>
        <v>UNTESTED</v>
      </c>
      <c r="T157" s="62" t="str">
        <f>'2024 DO NOT TOUCH'!T158</f>
        <v>PASSED</v>
      </c>
      <c r="U157" s="62">
        <f>'2024 DO NOT TOUCH'!U158</f>
        <v>0</v>
      </c>
      <c r="V157" s="62">
        <f>'2024 DO NOT TOUCH'!V158</f>
        <v>0</v>
      </c>
      <c r="W157" s="62">
        <f>'2024 DO NOT TOUCH'!W159</f>
        <v>0</v>
      </c>
      <c r="X157" s="65" t="str">
        <f>'2024 DO NOT TOUCH'!X158</f>
        <v>W352912</v>
      </c>
      <c r="Y157" s="62" t="str">
        <f>'2024 DO NOT TOUCH'!Y158</f>
        <v>ISO</v>
      </c>
    </row>
    <row r="158" spans="1:25" ht="19.5" customHeight="1">
      <c r="A158" s="55" t="str">
        <f>'2024 DO NOT TOUCH'!A159</f>
        <v>1724</v>
      </c>
      <c r="B158" s="3" t="str">
        <f>'2024 DO NOT TOUCH'!B159</f>
        <v>RT CAMP</v>
      </c>
      <c r="C158" s="55" t="str">
        <f>'2024 DO NOT TOUCH'!C159</f>
        <v>3078467</v>
      </c>
      <c r="D158" s="3" t="str">
        <f>'2024 DO NOT TOUCH'!D159</f>
        <v>WILKINS</v>
      </c>
      <c r="E158" s="55" t="str">
        <f>'2024 DO NOT TOUCH'!E159</f>
        <v>975XL</v>
      </c>
      <c r="F158" s="3" t="str">
        <f>'2024 DO NOT TOUCH'!F159</f>
        <v>RP</v>
      </c>
      <c r="G158" s="55" t="str">
        <f>'2024 DO NOT TOUCH'!G159</f>
        <v>1.0</v>
      </c>
      <c r="H158" s="3" t="str">
        <f>'2024 DO NOT TOUCH'!H159</f>
        <v>RESTROOM WATER HEATER CLOSET</v>
      </c>
      <c r="I158" s="55" t="str">
        <f>'2024 DO NOT TOUCH'!I159</f>
        <v>INPREMISE</v>
      </c>
      <c r="J158" s="3" t="str">
        <f>'2024 DO NOT TOUCH'!J159</f>
        <v>AOI</v>
      </c>
      <c r="K158" s="55" t="str">
        <f>'2024 DO NOT TOUCH'!K159</f>
        <v>ACTIVE</v>
      </c>
      <c r="L158" s="72">
        <f>'2024 DO NOT TOUCH'!L159</f>
        <v>0</v>
      </c>
      <c r="M158" s="55" t="b">
        <f>'2024 DO NOT TOUCH'!M159</f>
        <v>0</v>
      </c>
      <c r="N158" s="3">
        <f>'2024 DO NOT TOUCH'!N159</f>
        <v>45614</v>
      </c>
      <c r="O158" s="55" t="str">
        <f>'2024 DO NOT TOUCH'!O159</f>
        <v>PARK</v>
      </c>
      <c r="P158" s="64">
        <f>'2024 DO NOT TOUCH'!P159</f>
        <v>8.4</v>
      </c>
      <c r="Q158" s="64">
        <f>'2024 DO NOT TOUCH'!Q159</f>
        <v>0</v>
      </c>
      <c r="R158" s="64">
        <f>'2024 DO NOT TOUCH'!R159</f>
        <v>2.6</v>
      </c>
      <c r="S158" s="57" t="str">
        <f>'2024 DO NOT TOUCH'!S159</f>
        <v>TESTED</v>
      </c>
      <c r="T158" s="57" t="str">
        <f>'2024 DO NOT TOUCH'!T159</f>
        <v>PASSED</v>
      </c>
      <c r="U158" s="57">
        <f>'2024 DO NOT TOUCH'!U159</f>
        <v>0</v>
      </c>
      <c r="V158" s="57">
        <f>'2024 DO NOT TOUCH'!V159</f>
        <v>0</v>
      </c>
      <c r="W158" s="57" t="e">
        <f>'2024 DO NOT TOUCH'!#REF!</f>
        <v>#REF!</v>
      </c>
      <c r="X158" s="64">
        <f>'2024 DO NOT TOUCH'!X159</f>
        <v>0</v>
      </c>
      <c r="Y158" s="57">
        <f>'2024 DO NOT TOUCH'!Y159</f>
        <v>0</v>
      </c>
    </row>
    <row r="159" spans="1:25" ht="19.5" customHeight="1">
      <c r="A159" s="58" t="str">
        <f>'2024 DO NOT TOUCH'!A160</f>
        <v>2005</v>
      </c>
      <c r="B159" s="59" t="str">
        <f>'2024 DO NOT TOUCH'!B160</f>
        <v>92ND &amp; 141ST</v>
      </c>
      <c r="C159" s="58" t="str">
        <f>'2024 DO NOT TOUCH'!C160</f>
        <v>333909</v>
      </c>
      <c r="D159" s="59" t="str">
        <f>'2024 DO NOT TOUCH'!D160</f>
        <v>WATTS</v>
      </c>
      <c r="E159" s="58" t="str">
        <f>'2024 DO NOT TOUCH'!E160</f>
        <v>909QT</v>
      </c>
      <c r="F159" s="59" t="str">
        <f>'2024 DO NOT TOUCH'!F160</f>
        <v>RP</v>
      </c>
      <c r="G159" s="58" t="str">
        <f>'2024 DO NOT TOUCH'!G160</f>
        <v>1.0</v>
      </c>
      <c r="H159" s="59" t="str">
        <f>'2024 DO NOT TOUCH'!H160</f>
        <v>IRRIGATION REAR OF BLDG</v>
      </c>
      <c r="I159" s="58" t="str">
        <f>'2024 DO NOT TOUCH'!I160</f>
        <v>PREMISE</v>
      </c>
      <c r="J159" s="59" t="str">
        <f>'2024 DO NOT TOUCH'!J160</f>
        <v>PREMISE</v>
      </c>
      <c r="K159" s="58" t="str">
        <f>'2024 DO NOT TOUCH'!K160</f>
        <v>ACTIVE</v>
      </c>
      <c r="L159" s="71">
        <f>'2024 DO NOT TOUCH'!L160</f>
        <v>0</v>
      </c>
      <c r="M159" s="58" t="b">
        <f>'2024 DO NOT TOUCH'!M160</f>
        <v>1</v>
      </c>
      <c r="N159" s="59">
        <f>'2024 DO NOT TOUCH'!N160</f>
        <v>0</v>
      </c>
      <c r="O159" s="58">
        <f>'2024 DO NOT TOUCH'!O160</f>
        <v>0</v>
      </c>
      <c r="P159" s="65">
        <f>'2024 DO NOT TOUCH'!P160</f>
        <v>0</v>
      </c>
      <c r="Q159" s="65">
        <f>'2024 DO NOT TOUCH'!Q160</f>
        <v>0</v>
      </c>
      <c r="R159" s="65">
        <f>'2024 DO NOT TOUCH'!R160</f>
        <v>0</v>
      </c>
      <c r="S159" s="62" t="str">
        <f>'2024 DO NOT TOUCH'!S160</f>
        <v>TESTED</v>
      </c>
      <c r="T159" s="62" t="str">
        <f>'2024 DO NOT TOUCH'!T160</f>
        <v>FAILED</v>
      </c>
      <c r="U159" s="62">
        <f>'2024 DO NOT TOUCH'!U160</f>
        <v>0</v>
      </c>
      <c r="V159" s="62">
        <f>'2024 DO NOT TOUCH'!V160</f>
        <v>0</v>
      </c>
      <c r="W159" s="62">
        <f>'2024 DO NOT TOUCH'!W160</f>
        <v>0</v>
      </c>
      <c r="X159" s="65">
        <f>'2024 DO NOT TOUCH'!X160</f>
        <v>0</v>
      </c>
      <c r="Y159" s="62" t="str">
        <f>'2024 DO NOT TOUCH'!Y160</f>
        <v>RTN TO ISO</v>
      </c>
    </row>
    <row r="160" spans="1:25" ht="19.5" customHeight="1">
      <c r="A160" s="55" t="str">
        <f>'2024 DO NOT TOUCH'!A161</f>
        <v>2005</v>
      </c>
      <c r="B160" s="3" t="str">
        <f>'2024 DO NOT TOUCH'!B161</f>
        <v>92ND &amp; 141ST</v>
      </c>
      <c r="C160" s="55" t="str">
        <f>'2024 DO NOT TOUCH'!C161</f>
        <v>2AL0902</v>
      </c>
      <c r="D160" s="3" t="str">
        <f>'2024 DO NOT TOUCH'!D161</f>
        <v>AMES</v>
      </c>
      <c r="E160" s="55" t="str">
        <f>'2024 DO NOT TOUCH'!E161</f>
        <v>2000SS</v>
      </c>
      <c r="F160" s="3" t="str">
        <f>'2024 DO NOT TOUCH'!F161</f>
        <v>DC</v>
      </c>
      <c r="G160" s="55" t="str">
        <f>'2024 DO NOT TOUCH'!G161</f>
        <v>4.0</v>
      </c>
      <c r="H160" s="3" t="str">
        <f>'2024 DO NOT TOUCH'!H161</f>
        <v>MECH RM FIRE SYS</v>
      </c>
      <c r="I160" s="55" t="str">
        <f>'2024 DO NOT TOUCH'!I161</f>
        <v>PREMISE</v>
      </c>
      <c r="J160" s="3" t="str">
        <f>'2024 DO NOT TOUCH'!J161</f>
        <v>FIRE</v>
      </c>
      <c r="K160" s="55" t="str">
        <f>'2024 DO NOT TOUCH'!K161</f>
        <v>ACTIVE</v>
      </c>
      <c r="L160" s="72">
        <f>'2024 DO NOT TOUCH'!L161</f>
        <v>44585</v>
      </c>
      <c r="M160" s="55" t="b">
        <f>'2024 DO NOT TOUCH'!M161</f>
        <v>0</v>
      </c>
      <c r="N160" s="3">
        <f>'2024 DO NOT TOUCH'!N161</f>
        <v>0</v>
      </c>
      <c r="O160" s="55">
        <f>'2024 DO NOT TOUCH'!O161</f>
        <v>0</v>
      </c>
      <c r="P160" s="66">
        <f>'2024 DO NOT TOUCH'!P161</f>
        <v>0</v>
      </c>
      <c r="Q160" s="66">
        <f>'2024 DO NOT TOUCH'!Q161</f>
        <v>0</v>
      </c>
      <c r="R160" s="66">
        <f>'2024 DO NOT TOUCH'!R161</f>
        <v>0</v>
      </c>
      <c r="S160" s="55" t="str">
        <f>'2024 DO NOT TOUCH'!S161</f>
        <v>TESTED</v>
      </c>
      <c r="T160" s="55" t="str">
        <f>'2024 DO NOT TOUCH'!T161</f>
        <v>PASSED</v>
      </c>
      <c r="U160" s="55">
        <f>'2024 DO NOT TOUCH'!U161</f>
        <v>0</v>
      </c>
      <c r="V160" s="55">
        <f>'2024 DO NOT TOUCH'!V161</f>
        <v>0</v>
      </c>
      <c r="W160" s="55">
        <f>'2024 DO NOT TOUCH'!W161</f>
        <v>0</v>
      </c>
      <c r="X160" s="66">
        <f>'2024 DO NOT TOUCH'!X161</f>
        <v>0</v>
      </c>
      <c r="Y160" s="55">
        <f>'2024 DO NOT TOUCH'!Y161</f>
        <v>0</v>
      </c>
    </row>
    <row r="161" spans="1:25" ht="19.5" customHeight="1">
      <c r="A161" s="58" t="str">
        <f>'2024 DO NOT TOUCH'!A162</f>
        <v>2005</v>
      </c>
      <c r="B161" s="59" t="str">
        <f>'2024 DO NOT TOUCH'!B162</f>
        <v>92ND &amp; 141ST</v>
      </c>
      <c r="C161" s="58" t="str">
        <f>'2024 DO NOT TOUCH'!C162</f>
        <v>2DL3123</v>
      </c>
      <c r="D161" s="59" t="str">
        <f>'2024 DO NOT TOUCH'!D162</f>
        <v>AMES</v>
      </c>
      <c r="E161" s="58" t="str">
        <f>'2024 DO NOT TOUCH'!E162</f>
        <v>2000SS</v>
      </c>
      <c r="F161" s="59" t="str">
        <f>'2024 DO NOT TOUCH'!F162</f>
        <v>DC</v>
      </c>
      <c r="G161" s="58" t="str">
        <f>'2024 DO NOT TOUCH'!G162</f>
        <v>1.5</v>
      </c>
      <c r="H161" s="59" t="str">
        <f>'2024 DO NOT TOUCH'!H162</f>
        <v>MECH RM</v>
      </c>
      <c r="I161" s="58" t="str">
        <f>'2024 DO NOT TOUCH'!I162</f>
        <v>PREMISE</v>
      </c>
      <c r="J161" s="59" t="str">
        <f>'2024 DO NOT TOUCH'!J162</f>
        <v>FIRE</v>
      </c>
      <c r="K161" s="58" t="str">
        <f>'2024 DO NOT TOUCH'!K162</f>
        <v>ACTIVE</v>
      </c>
      <c r="L161" s="71">
        <f>'2024 DO NOT TOUCH'!L162</f>
        <v>44585</v>
      </c>
      <c r="M161" s="58" t="b">
        <f>'2024 DO NOT TOUCH'!M162</f>
        <v>0</v>
      </c>
      <c r="N161" s="59">
        <f>'2024 DO NOT TOUCH'!N162</f>
        <v>0</v>
      </c>
      <c r="O161" s="58">
        <f>'2024 DO NOT TOUCH'!O162</f>
        <v>0</v>
      </c>
      <c r="P161" s="67">
        <f>'2024 DO NOT TOUCH'!P162</f>
        <v>0</v>
      </c>
      <c r="Q161" s="67">
        <f>'2024 DO NOT TOUCH'!Q162</f>
        <v>0</v>
      </c>
      <c r="R161" s="67">
        <f>'2024 DO NOT TOUCH'!R162</f>
        <v>0</v>
      </c>
      <c r="S161" s="58" t="str">
        <f>'2024 DO NOT TOUCH'!S162</f>
        <v>TESTED</v>
      </c>
      <c r="T161" s="58" t="str">
        <f>'2024 DO NOT TOUCH'!T162</f>
        <v>PASSED</v>
      </c>
      <c r="U161" s="58">
        <f>'2024 DO NOT TOUCH'!U162</f>
        <v>0</v>
      </c>
      <c r="V161" s="58">
        <f>'2024 DO NOT TOUCH'!V162</f>
        <v>0</v>
      </c>
      <c r="W161" s="58">
        <f>'2024 DO NOT TOUCH'!W162</f>
        <v>0</v>
      </c>
      <c r="X161" s="67">
        <f>'2024 DO NOT TOUCH'!X162</f>
        <v>0</v>
      </c>
      <c r="Y161" s="58">
        <f>'2024 DO NOT TOUCH'!Y162</f>
        <v>0</v>
      </c>
    </row>
    <row r="162" spans="1:25" ht="19.5" customHeight="1">
      <c r="A162" s="77" t="str">
        <f>'2024 DO NOT TOUCH'!A163</f>
        <v>2005</v>
      </c>
      <c r="B162" s="78" t="str">
        <f>'2024 DO NOT TOUCH'!B163</f>
        <v>92ND &amp; 141ST</v>
      </c>
      <c r="C162" s="77" t="str">
        <f>'2024 DO NOT TOUCH'!C163</f>
        <v>A009058</v>
      </c>
      <c r="D162" s="78" t="str">
        <f>'2024 DO NOT TOUCH'!D163</f>
        <v>FEBCO</v>
      </c>
      <c r="E162" s="77" t="str">
        <f>'2024 DO NOT TOUCH'!E163</f>
        <v>805Y</v>
      </c>
      <c r="F162" s="78" t="str">
        <f>'2024 DO NOT TOUCH'!F163</f>
        <v>DC</v>
      </c>
      <c r="G162" s="77" t="str">
        <f>'2024 DO NOT TOUCH'!G163</f>
        <v>2.0</v>
      </c>
      <c r="H162" s="78" t="str">
        <f>'2024 DO NOT TOUCH'!H163</f>
        <v>BACKSIDE OF BLDG NEAR PIV AND PARKING LOT</v>
      </c>
      <c r="I162" s="77" t="str">
        <f>'2024 DO NOT TOUCH'!I163</f>
        <v>PREMISE</v>
      </c>
      <c r="J162" s="78" t="str">
        <f>'2024 DO NOT TOUCH'!J163</f>
        <v>IRR</v>
      </c>
      <c r="K162" s="77" t="str">
        <f>'2024 DO NOT TOUCH'!K163</f>
        <v>INACTIVE</v>
      </c>
      <c r="L162" s="79">
        <f>'2024 DO NOT TOUCH'!L163</f>
        <v>44767</v>
      </c>
      <c r="M162" s="77" t="b">
        <f>'2024 DO NOT TOUCH'!M163</f>
        <v>0</v>
      </c>
      <c r="N162" s="78">
        <f>'2024 DO NOT TOUCH'!N163</f>
        <v>45509</v>
      </c>
      <c r="O162" s="77" t="str">
        <f>'2024 DO NOT TOUCH'!O163</f>
        <v>PASS</v>
      </c>
      <c r="P162" s="80">
        <f>'2024 DO NOT TOUCH'!P163</f>
        <v>0</v>
      </c>
      <c r="Q162" s="80">
        <f>'2024 DO NOT TOUCH'!Q163</f>
        <v>0</v>
      </c>
      <c r="R162" s="80">
        <f>'2024 DO NOT TOUCH'!R163</f>
        <v>0</v>
      </c>
      <c r="S162" s="81" t="str">
        <f>'2024 DO NOT TOUCH'!S163</f>
        <v>UNTESTED</v>
      </c>
      <c r="T162" s="81" t="str">
        <f>'2024 DO NOT TOUCH'!T163</f>
        <v>FAILED</v>
      </c>
      <c r="U162" s="81" t="str">
        <f>'2024 DO NOT TOUCH'!U163</f>
        <v>PASSED</v>
      </c>
      <c r="V162" s="81" t="str">
        <f>'2024 DO NOT TOUCH'!V163</f>
        <v>EXISTING</v>
      </c>
      <c r="W162" s="81" t="str">
        <f>'2024 DO NOT TOUCH'!W163</f>
        <v>EXISTING</v>
      </c>
      <c r="X162" s="80">
        <f>'2024 DO NOT TOUCH'!X163</f>
        <v>0</v>
      </c>
      <c r="Y162" s="81" t="str">
        <f>'2024 DO NOT TOUCH'!Y163</f>
        <v>ISO</v>
      </c>
    </row>
    <row r="163" spans="1:25" ht="19.5" customHeight="1">
      <c r="A163" s="58" t="str">
        <f>'2024 DO NOT TOUCH'!A164</f>
        <v>2007</v>
      </c>
      <c r="B163" s="59" t="str">
        <f>'2024 DO NOT TOUCH'!B164</f>
        <v>OLD SAFETY</v>
      </c>
      <c r="C163" s="58" t="str">
        <f>'2024 DO NOT TOUCH'!C164</f>
        <v>2809534</v>
      </c>
      <c r="D163" s="59" t="str">
        <f>'2024 DO NOT TOUCH'!D164</f>
        <v>WILKINS</v>
      </c>
      <c r="E163" s="58" t="str">
        <f>'2024 DO NOT TOUCH'!E164</f>
        <v>950XLT</v>
      </c>
      <c r="F163" s="59" t="str">
        <f>'2024 DO NOT TOUCH'!F164</f>
        <v>DC</v>
      </c>
      <c r="G163" s="58" t="str">
        <f>'2024 DO NOT TOUCH'!G164</f>
        <v>1.5</v>
      </c>
      <c r="H163" s="59" t="str">
        <f>'2024 DO NOT TOUCH'!H164</f>
        <v>MECH RM HVAC MAKEUP</v>
      </c>
      <c r="I163" s="58" t="str">
        <f>'2024 DO NOT TOUCH'!I164</f>
        <v>INPREMISE</v>
      </c>
      <c r="J163" s="59" t="str">
        <f>'2024 DO NOT TOUCH'!J164</f>
        <v>AOI</v>
      </c>
      <c r="K163" s="58" t="str">
        <f>'2024 DO NOT TOUCH'!K164</f>
        <v>ACTIVE</v>
      </c>
      <c r="L163" s="71">
        <f>'2024 DO NOT TOUCH'!L164</f>
        <v>44655</v>
      </c>
      <c r="M163" s="58" t="b">
        <f>'2024 DO NOT TOUCH'!M164</f>
        <v>0</v>
      </c>
      <c r="N163" s="59">
        <f>'2024 DO NOT TOUCH'!N164</f>
        <v>45390</v>
      </c>
      <c r="O163" s="58" t="str">
        <f>'2024 DO NOT TOUCH'!O164</f>
        <v>PARK</v>
      </c>
      <c r="P163" s="65">
        <f>'2024 DO NOT TOUCH'!P164</f>
        <v>2.6</v>
      </c>
      <c r="Q163" s="65">
        <f>'2024 DO NOT TOUCH'!Q164</f>
        <v>3</v>
      </c>
      <c r="R163" s="65">
        <f>'2024 DO NOT TOUCH'!R164</f>
        <v>0</v>
      </c>
      <c r="S163" s="62" t="str">
        <f>'2024 DO NOT TOUCH'!S164</f>
        <v>TESTED</v>
      </c>
      <c r="T163" s="62" t="str">
        <f>'2024 DO NOT TOUCH'!T164</f>
        <v>PASSED</v>
      </c>
      <c r="U163" s="62">
        <f>'2024 DO NOT TOUCH'!U164</f>
        <v>0</v>
      </c>
      <c r="V163" s="62">
        <f>'2024 DO NOT TOUCH'!V164</f>
        <v>0</v>
      </c>
      <c r="W163" s="62">
        <f>'2024 DO NOT TOUCH'!W164</f>
        <v>0</v>
      </c>
      <c r="X163" s="65">
        <f>'2024 DO NOT TOUCH'!X164</f>
        <v>0</v>
      </c>
      <c r="Y163" s="62">
        <f>'2024 DO NOT TOUCH'!Y164</f>
        <v>0</v>
      </c>
    </row>
    <row r="164" spans="1:25" ht="19.5" customHeight="1">
      <c r="A164" s="77" t="str">
        <f>'2024 DO NOT TOUCH'!A165</f>
        <v>2007</v>
      </c>
      <c r="B164" s="78" t="str">
        <f>'2024 DO NOT TOUCH'!B165</f>
        <v>OLD SAFETY</v>
      </c>
      <c r="C164" s="77" t="str">
        <f>'2024 DO NOT TOUCH'!C165</f>
        <v>2EN160</v>
      </c>
      <c r="D164" s="78" t="str">
        <f>'2024 DO NOT TOUCH'!D165</f>
        <v>AMES</v>
      </c>
      <c r="E164" s="77" t="str">
        <f>'2024 DO NOT TOUCH'!E165</f>
        <v>2000SS</v>
      </c>
      <c r="F164" s="78" t="str">
        <f>'2024 DO NOT TOUCH'!F165</f>
        <v>DC</v>
      </c>
      <c r="G164" s="77" t="str">
        <f>'2024 DO NOT TOUCH'!G165</f>
        <v>6.0</v>
      </c>
      <c r="H164" s="78" t="str">
        <f>'2024 DO NOT TOUCH'!H165</f>
        <v>MECH RM FIRE SYS</v>
      </c>
      <c r="I164" s="77" t="str">
        <f>'2024 DO NOT TOUCH'!I165</f>
        <v>PREMISE</v>
      </c>
      <c r="J164" s="78" t="str">
        <f>'2024 DO NOT TOUCH'!J165</f>
        <v>FIRE</v>
      </c>
      <c r="K164" s="77" t="str">
        <f>'2024 DO NOT TOUCH'!K165</f>
        <v>ACTIVE</v>
      </c>
      <c r="L164" s="79">
        <f>'2024 DO NOT TOUCH'!L165</f>
        <v>44655</v>
      </c>
      <c r="M164" s="77" t="b">
        <f>'2024 DO NOT TOUCH'!M165</f>
        <v>0</v>
      </c>
      <c r="N164" s="78">
        <f>'2024 DO NOT TOUCH'!N165</f>
        <v>0</v>
      </c>
      <c r="O164" s="77">
        <f>'2024 DO NOT TOUCH'!O165</f>
        <v>0</v>
      </c>
      <c r="P164" s="80">
        <f>'2024 DO NOT TOUCH'!P165</f>
        <v>0</v>
      </c>
      <c r="Q164" s="80">
        <f>'2024 DO NOT TOUCH'!Q165</f>
        <v>0</v>
      </c>
      <c r="R164" s="80">
        <f>'2024 DO NOT TOUCH'!R165</f>
        <v>0</v>
      </c>
      <c r="S164" s="81" t="str">
        <f>'2024 DO NOT TOUCH'!S165</f>
        <v>TESTED</v>
      </c>
      <c r="T164" s="81" t="str">
        <f>'2024 DO NOT TOUCH'!T165</f>
        <v>PASSED</v>
      </c>
      <c r="U164" s="81">
        <f>'2024 DO NOT TOUCH'!U165</f>
        <v>0</v>
      </c>
      <c r="V164" s="81">
        <f>'2024 DO NOT TOUCH'!V165</f>
        <v>0</v>
      </c>
      <c r="W164" s="81">
        <f>'2024 DO NOT TOUCH'!W165</f>
        <v>0</v>
      </c>
      <c r="X164" s="80">
        <f>'2024 DO NOT TOUCH'!X165</f>
        <v>0</v>
      </c>
      <c r="Y164" s="81">
        <f>'2024 DO NOT TOUCH'!Y165</f>
        <v>0</v>
      </c>
    </row>
    <row r="165" spans="1:25" ht="19.5" customHeight="1">
      <c r="A165" s="58" t="str">
        <f>'2024 DO NOT TOUCH'!A166</f>
        <v>2014</v>
      </c>
      <c r="B165" s="59" t="str">
        <f>'2024 DO NOT TOUCH'!B166</f>
        <v>2014</v>
      </c>
      <c r="C165" s="58" t="str">
        <f>'2024 DO NOT TOUCH'!C166</f>
        <v>3336497</v>
      </c>
      <c r="D165" s="59" t="str">
        <f>'2024 DO NOT TOUCH'!D166</f>
        <v>WILKINS</v>
      </c>
      <c r="E165" s="58" t="str">
        <f>'2024 DO NOT TOUCH'!E166</f>
        <v>975XL</v>
      </c>
      <c r="F165" s="59" t="str">
        <f>'2024 DO NOT TOUCH'!F166</f>
        <v>RP</v>
      </c>
      <c r="G165" s="58" t="str">
        <f>'2024 DO NOT TOUCH'!G166</f>
        <v>2.0</v>
      </c>
      <c r="H165" s="59" t="str">
        <f>'2024 DO NOT TOUCH'!H166</f>
        <v>UNKNOWN</v>
      </c>
      <c r="I165" s="58" t="str">
        <f>'2024 DO NOT TOUCH'!I166</f>
        <v>INPREMISE</v>
      </c>
      <c r="J165" s="59" t="str">
        <f>'2024 DO NOT TOUCH'!J166</f>
        <v>AOI</v>
      </c>
      <c r="K165" s="58" t="str">
        <f>'2024 DO NOT TOUCH'!K166</f>
        <v>INACTIVE</v>
      </c>
      <c r="L165" s="71">
        <f>'2024 DO NOT TOUCH'!L166</f>
        <v>0</v>
      </c>
      <c r="M165" s="58" t="b">
        <f>'2024 DO NOT TOUCH'!M166</f>
        <v>0</v>
      </c>
      <c r="N165" s="59">
        <f>'2024 DO NOT TOUCH'!N166</f>
        <v>45447</v>
      </c>
      <c r="O165" s="58" t="str">
        <f>'2024 DO NOT TOUCH'!O166</f>
        <v>PASS</v>
      </c>
      <c r="P165" s="67">
        <f>'2024 DO NOT TOUCH'!P166</f>
        <v>0</v>
      </c>
      <c r="Q165" s="67">
        <f>'2024 DO NOT TOUCH'!Q166</f>
        <v>0</v>
      </c>
      <c r="R165" s="67">
        <f>'2024 DO NOT TOUCH'!R166</f>
        <v>0</v>
      </c>
      <c r="S165" s="58" t="str">
        <f>'2024 DO NOT TOUCH'!S166</f>
        <v>UNTESTED</v>
      </c>
      <c r="T165" s="58" t="str">
        <f>'2024 DO NOT TOUCH'!T166</f>
        <v>FAILED</v>
      </c>
      <c r="U165" s="58" t="str">
        <f>'2024 DO NOT TOUCH'!U166</f>
        <v>PASSED</v>
      </c>
      <c r="V165" s="58" t="str">
        <f>'2024 DO NOT TOUCH'!V166</f>
        <v>EXISTING</v>
      </c>
      <c r="W165" s="58" t="str">
        <f>'2024 DO NOT TOUCH'!W166</f>
        <v>EXISTING</v>
      </c>
      <c r="X165" s="67">
        <f>'2024 DO NOT TOUCH'!X166</f>
        <v>0</v>
      </c>
      <c r="Y165" s="58" t="str">
        <f>'2024 DO NOT TOUCH'!Y166</f>
        <v>CAN'T FIND</v>
      </c>
    </row>
    <row r="166" spans="1:25" ht="19.5" customHeight="1">
      <c r="A166" s="77" t="str">
        <f>'2024 DO NOT TOUCH'!A167</f>
        <v>2025</v>
      </c>
      <c r="B166" s="78" t="str">
        <f>'2024 DO NOT TOUCH'!B167</f>
        <v>Snow Barn</v>
      </c>
      <c r="C166" s="77" t="str">
        <f>'2024 DO NOT TOUCH'!C167</f>
        <v>W043053</v>
      </c>
      <c r="D166" s="78" t="str">
        <f>'2024 DO NOT TOUCH'!D167</f>
        <v>WILKINS</v>
      </c>
      <c r="E166" s="77" t="str">
        <f>'2024 DO NOT TOUCH'!E167</f>
        <v>975XL</v>
      </c>
      <c r="F166" s="78" t="str">
        <f>'2024 DO NOT TOUCH'!F167</f>
        <v>RP</v>
      </c>
      <c r="G166" s="77" t="str">
        <f>'2024 DO NOT TOUCH'!G167</f>
        <v>0.75</v>
      </c>
      <c r="H166" s="78" t="str">
        <f>'2024 DO NOT TOUCH'!H167</f>
        <v>Mech Room</v>
      </c>
      <c r="I166" s="77" t="str">
        <f>'2024 DO NOT TOUCH'!I167</f>
        <v>INPREMISE</v>
      </c>
      <c r="J166" s="78" t="str">
        <f>'2024 DO NOT TOUCH'!J167</f>
        <v>AOI</v>
      </c>
      <c r="K166" s="77" t="str">
        <f>'2024 DO NOT TOUCH'!K167</f>
        <v>ACTIVE</v>
      </c>
      <c r="L166" s="79">
        <f>'2024 DO NOT TOUCH'!L167</f>
        <v>44606</v>
      </c>
      <c r="M166" s="77" t="b">
        <f>'2024 DO NOT TOUCH'!M167</f>
        <v>0</v>
      </c>
      <c r="N166" s="78">
        <f>'2024 DO NOT TOUCH'!N167</f>
        <v>0</v>
      </c>
      <c r="O166" s="77">
        <f>'2024 DO NOT TOUCH'!O167</f>
        <v>0</v>
      </c>
      <c r="P166" s="83">
        <f>'2024 DO NOT TOUCH'!P167</f>
        <v>0</v>
      </c>
      <c r="Q166" s="83">
        <f>'2024 DO NOT TOUCH'!Q167</f>
        <v>0</v>
      </c>
      <c r="R166" s="83">
        <f>'2024 DO NOT TOUCH'!R167</f>
        <v>0</v>
      </c>
      <c r="S166" s="77" t="str">
        <f>'2024 DO NOT TOUCH'!S167</f>
        <v>TESTED</v>
      </c>
      <c r="T166" s="77" t="str">
        <f>'2024 DO NOT TOUCH'!T167</f>
        <v>PASSED</v>
      </c>
      <c r="U166" s="77">
        <f>'2024 DO NOT TOUCH'!U167</f>
        <v>0</v>
      </c>
      <c r="V166" s="77">
        <f>'2024 DO NOT TOUCH'!V167</f>
        <v>0</v>
      </c>
      <c r="W166" s="77">
        <f>'2024 DO NOT TOUCH'!W167</f>
        <v>0</v>
      </c>
      <c r="X166" s="83">
        <f>'2024 DO NOT TOUCH'!X167</f>
        <v>0</v>
      </c>
      <c r="Y166" s="77">
        <f>'2024 DO NOT TOUCH'!Y167</f>
        <v>0</v>
      </c>
    </row>
    <row r="167" spans="1:25" ht="19.5" customHeight="1">
      <c r="A167" s="58" t="str">
        <f>'2024 DO NOT TOUCH'!A168</f>
        <v>2025</v>
      </c>
      <c r="B167" s="59" t="str">
        <f>'2024 DO NOT TOUCH'!B168</f>
        <v>SNOW BARN</v>
      </c>
      <c r="C167" s="58" t="str">
        <f>'2024 DO NOT TOUCH'!C168</f>
        <v>W358370</v>
      </c>
      <c r="D167" s="59" t="str">
        <f>'2024 DO NOT TOUCH'!D168</f>
        <v>WILKINS</v>
      </c>
      <c r="E167" s="58" t="str">
        <f>'2024 DO NOT TOUCH'!E168</f>
        <v>975XL</v>
      </c>
      <c r="F167" s="59" t="str">
        <f>'2024 DO NOT TOUCH'!F168</f>
        <v>RP</v>
      </c>
      <c r="G167" s="58" t="str">
        <f>'2024 DO NOT TOUCH'!G168</f>
        <v>0.5</v>
      </c>
      <c r="H167" s="59" t="str">
        <f>'2024 DO NOT TOUCH'!H168</f>
        <v>LARGE ICE MACHINE</v>
      </c>
      <c r="I167" s="58" t="str">
        <f>'2024 DO NOT TOUCH'!I168</f>
        <v>INPREMISE</v>
      </c>
      <c r="J167" s="59" t="str">
        <f>'2024 DO NOT TOUCH'!J168</f>
        <v>AOI</v>
      </c>
      <c r="K167" s="58" t="str">
        <f>'2024 DO NOT TOUCH'!K168</f>
        <v>ACTIVE</v>
      </c>
      <c r="L167" s="71">
        <f>'2024 DO NOT TOUCH'!L168</f>
        <v>44599</v>
      </c>
      <c r="M167" s="58" t="b">
        <f>'2024 DO NOT TOUCH'!M168</f>
        <v>0</v>
      </c>
      <c r="N167" s="59">
        <f>'2024 DO NOT TOUCH'!N168</f>
        <v>0</v>
      </c>
      <c r="O167" s="58">
        <f>'2024 DO NOT TOUCH'!O168</f>
        <v>0</v>
      </c>
      <c r="P167" s="65">
        <f>'2024 DO NOT TOUCH'!P168</f>
        <v>0</v>
      </c>
      <c r="Q167" s="65">
        <f>'2024 DO NOT TOUCH'!Q168</f>
        <v>0</v>
      </c>
      <c r="R167" s="65">
        <f>'2024 DO NOT TOUCH'!R168</f>
        <v>0</v>
      </c>
      <c r="S167" s="62" t="str">
        <f>'2024 DO NOT TOUCH'!S168</f>
        <v>TESTED</v>
      </c>
      <c r="T167" s="62" t="str">
        <f>'2024 DO NOT TOUCH'!T168</f>
        <v>PASSED</v>
      </c>
      <c r="U167" s="62" t="str">
        <f>'2024 DO NOT TOUCH'!U168</f>
        <v>Y</v>
      </c>
      <c r="V167" s="62">
        <f>'2024 DO NOT TOUCH'!V168</f>
        <v>0</v>
      </c>
      <c r="W167" s="62">
        <f>'2024 DO NOT TOUCH'!W168</f>
        <v>0</v>
      </c>
      <c r="X167" s="65">
        <f>'2024 DO NOT TOUCH'!X168</f>
        <v>0</v>
      </c>
      <c r="Y167" s="62">
        <f>'2024 DO NOT TOUCH'!Y168</f>
        <v>0</v>
      </c>
    </row>
    <row r="168" spans="1:25" ht="19.5" customHeight="1">
      <c r="A168" s="55" t="str">
        <f>'2024 DO NOT TOUCH'!A169</f>
        <v>2025</v>
      </c>
      <c r="B168" s="3" t="str">
        <f>'2024 DO NOT TOUCH'!B169</f>
        <v>SNOW BARN</v>
      </c>
      <c r="C168" s="55" t="str">
        <f>'2024 DO NOT TOUCH'!C169</f>
        <v>W358538</v>
      </c>
      <c r="D168" s="3" t="str">
        <f>'2024 DO NOT TOUCH'!D169</f>
        <v>WILKINS</v>
      </c>
      <c r="E168" s="55" t="str">
        <f>'2024 DO NOT TOUCH'!E169</f>
        <v>975XL</v>
      </c>
      <c r="F168" s="3" t="str">
        <f>'2024 DO NOT TOUCH'!F169</f>
        <v>RP</v>
      </c>
      <c r="G168" s="55" t="str">
        <f>'2024 DO NOT TOUCH'!G169</f>
        <v>0.5</v>
      </c>
      <c r="H168" s="3" t="str">
        <f>'2024 DO NOT TOUCH'!H169</f>
        <v>SMALL ICE MACHINE</v>
      </c>
      <c r="I168" s="55" t="str">
        <f>'2024 DO NOT TOUCH'!I169</f>
        <v>INPREMISE</v>
      </c>
      <c r="J168" s="3" t="str">
        <f>'2024 DO NOT TOUCH'!J169</f>
        <v>AOI</v>
      </c>
      <c r="K168" s="55" t="str">
        <f>'2024 DO NOT TOUCH'!K169</f>
        <v>INACTIVE</v>
      </c>
      <c r="L168" s="72">
        <f>'2024 DO NOT TOUCH'!L169</f>
        <v>44599</v>
      </c>
      <c r="M168" s="55" t="b">
        <f>'2024 DO NOT TOUCH'!M169</f>
        <v>0</v>
      </c>
      <c r="N168" s="3">
        <f>'2024 DO NOT TOUCH'!N169</f>
        <v>0</v>
      </c>
      <c r="O168" s="55">
        <f>'2024 DO NOT TOUCH'!O169</f>
        <v>0</v>
      </c>
      <c r="P168" s="64">
        <f>'2024 DO NOT TOUCH'!P169</f>
        <v>0</v>
      </c>
      <c r="Q168" s="64">
        <f>'2024 DO NOT TOUCH'!Q169</f>
        <v>0</v>
      </c>
      <c r="R168" s="64">
        <f>'2024 DO NOT TOUCH'!R169</f>
        <v>0</v>
      </c>
      <c r="S168" s="57" t="str">
        <f>'2024 DO NOT TOUCH'!S169</f>
        <v>UNTESTED</v>
      </c>
      <c r="T168" s="57" t="str">
        <f>'2024 DO NOT TOUCH'!T169</f>
        <v>FAILED</v>
      </c>
      <c r="U168" s="57" t="str">
        <f>'2024 DO NOT TOUCH'!U169</f>
        <v>PASSED</v>
      </c>
      <c r="V168" s="57" t="str">
        <f>'2024 DO NOT TOUCH'!V169</f>
        <v>EXISTING</v>
      </c>
      <c r="W168" s="57" t="str">
        <f>'2024 DO NOT TOUCH'!W169</f>
        <v>EXISTING</v>
      </c>
      <c r="X168" s="64">
        <f>'2024 DO NOT TOUCH'!X169</f>
        <v>0</v>
      </c>
      <c r="Y168" s="57">
        <f>'2024 DO NOT TOUCH'!Y169</f>
        <v>0</v>
      </c>
    </row>
    <row r="169" spans="1:25" ht="19.5" customHeight="1">
      <c r="A169" s="58" t="str">
        <f>'2024 DO NOT TOUCH'!A170</f>
        <v>2025</v>
      </c>
      <c r="B169" s="59" t="str">
        <f>'2024 DO NOT TOUCH'!B170</f>
        <v>SNOW BARN</v>
      </c>
      <c r="C169" s="58" t="str">
        <f>'2024 DO NOT TOUCH'!C170</f>
        <v>3340281</v>
      </c>
      <c r="D169" s="59" t="str">
        <f>'2024 DO NOT TOUCH'!D170</f>
        <v>WILKINS</v>
      </c>
      <c r="E169" s="58" t="str">
        <f>'2024 DO NOT TOUCH'!E170</f>
        <v>975XL</v>
      </c>
      <c r="F169" s="59" t="str">
        <f>'2024 DO NOT TOUCH'!F170</f>
        <v>RP</v>
      </c>
      <c r="G169" s="58" t="str">
        <f>'2024 DO NOT TOUCH'!G170</f>
        <v>2.0</v>
      </c>
      <c r="H169" s="59" t="str">
        <f>'2024 DO NOT TOUCH'!H170</f>
        <v>WASH RACK FOR CAR WASH BOILER</v>
      </c>
      <c r="I169" s="58" t="str">
        <f>'2024 DO NOT TOUCH'!I170</f>
        <v>INPREMISE</v>
      </c>
      <c r="J169" s="59" t="str">
        <f>'2024 DO NOT TOUCH'!J170</f>
        <v>AOI</v>
      </c>
      <c r="K169" s="58" t="str">
        <f>'2024 DO NOT TOUCH'!K170</f>
        <v>ACTIVE</v>
      </c>
      <c r="L169" s="71">
        <f>'2024 DO NOT TOUCH'!L170</f>
        <v>44599</v>
      </c>
      <c r="M169" s="58" t="b">
        <f>'2024 DO NOT TOUCH'!M170</f>
        <v>0</v>
      </c>
      <c r="N169" s="59">
        <f>'2024 DO NOT TOUCH'!N170</f>
        <v>0</v>
      </c>
      <c r="O169" s="58">
        <f>'2024 DO NOT TOUCH'!O170</f>
        <v>0</v>
      </c>
      <c r="P169" s="65">
        <f>'2024 DO NOT TOUCH'!P170</f>
        <v>0</v>
      </c>
      <c r="Q169" s="65">
        <f>'2024 DO NOT TOUCH'!Q170</f>
        <v>0</v>
      </c>
      <c r="R169" s="65">
        <f>'2024 DO NOT TOUCH'!R170</f>
        <v>0</v>
      </c>
      <c r="S169" s="62" t="str">
        <f>'2024 DO NOT TOUCH'!S170</f>
        <v>TESTED</v>
      </c>
      <c r="T169" s="62" t="str">
        <f>'2024 DO NOT TOUCH'!T170</f>
        <v>FAILED</v>
      </c>
      <c r="U169" s="62">
        <f>'2024 DO NOT TOUCH'!U170</f>
        <v>0</v>
      </c>
      <c r="V169" s="62">
        <f>'2024 DO NOT TOUCH'!V170</f>
        <v>0</v>
      </c>
      <c r="W169" s="62">
        <f>'2024 DO NOT TOUCH'!W170</f>
        <v>0</v>
      </c>
      <c r="X169" s="65">
        <f>'2024 DO NOT TOUCH'!X170</f>
        <v>0</v>
      </c>
      <c r="Y169" s="62">
        <f>'2024 DO NOT TOUCH'!Y170</f>
        <v>0</v>
      </c>
    </row>
    <row r="170" spans="1:25" ht="19.5" customHeight="1">
      <c r="A170" s="55" t="str">
        <f>'2024 DO NOT TOUCH'!A171</f>
        <v>2025</v>
      </c>
      <c r="B170" s="55" t="str">
        <f>'2024 DO NOT TOUCH'!B171</f>
        <v>SNOW BARN</v>
      </c>
      <c r="C170" s="55" t="str">
        <f>'2024 DO NOT TOUCH'!C171</f>
        <v>3356179</v>
      </c>
      <c r="D170" s="55" t="str">
        <f>'2024 DO NOT TOUCH'!D171</f>
        <v>WILKINS</v>
      </c>
      <c r="E170" s="55" t="str">
        <f>'2024 DO NOT TOUCH'!E171</f>
        <v>975XL</v>
      </c>
      <c r="F170" s="55" t="str">
        <f>'2024 DO NOT TOUCH'!F171</f>
        <v>RP</v>
      </c>
      <c r="G170" s="55" t="str">
        <f>'2024 DO NOT TOUCH'!G171</f>
        <v>2.0</v>
      </c>
      <c r="H170" s="55" t="str">
        <f>'2024 DO NOT TOUCH'!H171</f>
        <v>WASH RACK FOR CAR WASH</v>
      </c>
      <c r="I170" s="55" t="str">
        <f>'2024 DO NOT TOUCH'!I171</f>
        <v>INPREMISE</v>
      </c>
      <c r="J170" s="55" t="str">
        <f>'2024 DO NOT TOUCH'!J171</f>
        <v>AOI</v>
      </c>
      <c r="K170" s="55" t="str">
        <f>'2024 DO NOT TOUCH'!K171</f>
        <v>ACTIVE</v>
      </c>
      <c r="L170" s="56">
        <f>'2024 DO NOT TOUCH'!L171</f>
        <v>44599</v>
      </c>
      <c r="M170" s="56" t="b">
        <f>'2024 DO NOT TOUCH'!M171</f>
        <v>0</v>
      </c>
      <c r="N170" s="56">
        <f>'2024 DO NOT TOUCH'!N171</f>
        <v>0</v>
      </c>
      <c r="O170" s="55">
        <f>'2024 DO NOT TOUCH'!O171</f>
        <v>0</v>
      </c>
      <c r="P170" s="64">
        <f>'2024 DO NOT TOUCH'!P171</f>
        <v>0</v>
      </c>
      <c r="Q170" s="64">
        <f>'2024 DO NOT TOUCH'!Q171</f>
        <v>0</v>
      </c>
      <c r="R170" s="64">
        <f>'2024 DO NOT TOUCH'!R171</f>
        <v>0</v>
      </c>
      <c r="S170" s="55" t="str">
        <f>'2024 DO NOT TOUCH'!S171</f>
        <v>TESTED</v>
      </c>
      <c r="T170" s="55" t="str">
        <f>'2024 DO NOT TOUCH'!T171</f>
        <v>PASSED</v>
      </c>
      <c r="U170" s="55">
        <f>'2024 DO NOT TOUCH'!U171</f>
        <v>0</v>
      </c>
      <c r="V170" s="55">
        <f>'2024 DO NOT TOUCH'!V171</f>
        <v>0</v>
      </c>
      <c r="W170" s="55">
        <f>'2024 DO NOT TOUCH'!W171</f>
        <v>0</v>
      </c>
      <c r="X170" s="66">
        <f>'2024 DO NOT TOUCH'!X171</f>
        <v>0</v>
      </c>
      <c r="Y170" s="55">
        <f>'2024 DO NOT TOUCH'!Y171</f>
        <v>0</v>
      </c>
    </row>
    <row r="171" spans="1:25" ht="19.5" customHeight="1">
      <c r="A171" s="58" t="str">
        <f>'2024 DO NOT TOUCH'!A172</f>
        <v>2025</v>
      </c>
      <c r="B171" s="59" t="str">
        <f>'2024 DO NOT TOUCH'!B172</f>
        <v>SNOW BARN</v>
      </c>
      <c r="C171" s="58" t="str">
        <f>'2024 DO NOT TOUCH'!C172</f>
        <v>DG0464</v>
      </c>
      <c r="D171" s="59" t="str">
        <f>'2024 DO NOT TOUCH'!D172</f>
        <v>AMES</v>
      </c>
      <c r="E171" s="58" t="str">
        <f>'2024 DO NOT TOUCH'!E172</f>
        <v>COLT 200A</v>
      </c>
      <c r="F171" s="59" t="str">
        <f>'2024 DO NOT TOUCH'!F172</f>
        <v>DC</v>
      </c>
      <c r="G171" s="58" t="str">
        <f>'2024 DO NOT TOUCH'!G172</f>
        <v>6.0</v>
      </c>
      <c r="H171" s="59" t="str">
        <f>'2024 DO NOT TOUCH'!H172</f>
        <v>MECH RM FIRE SYS</v>
      </c>
      <c r="I171" s="58" t="str">
        <f>'2024 DO NOT TOUCH'!I172</f>
        <v>PREMISE</v>
      </c>
      <c r="J171" s="59" t="str">
        <f>'2024 DO NOT TOUCH'!J172</f>
        <v>FIRE</v>
      </c>
      <c r="K171" s="58" t="str">
        <f>'2024 DO NOT TOUCH'!K172</f>
        <v>ACTIVE</v>
      </c>
      <c r="L171" s="71">
        <f>'2024 DO NOT TOUCH'!L172</f>
        <v>44599</v>
      </c>
      <c r="M171" s="58" t="b">
        <f>'2024 DO NOT TOUCH'!M172</f>
        <v>0</v>
      </c>
      <c r="N171" s="59">
        <f>'2024 DO NOT TOUCH'!N172</f>
        <v>0</v>
      </c>
      <c r="O171" s="58">
        <f>'2024 DO NOT TOUCH'!O172</f>
        <v>0</v>
      </c>
      <c r="P171" s="65">
        <f>'2024 DO NOT TOUCH'!P172</f>
        <v>0</v>
      </c>
      <c r="Q171" s="65">
        <f>'2024 DO NOT TOUCH'!Q172</f>
        <v>0</v>
      </c>
      <c r="R171" s="65">
        <f>'2024 DO NOT TOUCH'!R172</f>
        <v>0</v>
      </c>
      <c r="S171" s="62" t="str">
        <f>'2024 DO NOT TOUCH'!S172</f>
        <v>TESTED</v>
      </c>
      <c r="T171" s="62" t="str">
        <f>'2024 DO NOT TOUCH'!T172</f>
        <v>PASSED</v>
      </c>
      <c r="U171" s="62">
        <f>'2024 DO NOT TOUCH'!U172</f>
        <v>0</v>
      </c>
      <c r="V171" s="62">
        <f>'2024 DO NOT TOUCH'!V172</f>
        <v>0</v>
      </c>
      <c r="W171" s="62">
        <f>'2024 DO NOT TOUCH'!W172</f>
        <v>0</v>
      </c>
      <c r="X171" s="65">
        <f>'2024 DO NOT TOUCH'!X172</f>
        <v>0</v>
      </c>
      <c r="Y171" s="62">
        <f>'2024 DO NOT TOUCH'!Y172</f>
        <v>0</v>
      </c>
    </row>
    <row r="172" spans="1:25" ht="19.5" customHeight="1">
      <c r="A172" s="55" t="str">
        <f>'2024 DO NOT TOUCH'!A173</f>
        <v>2036</v>
      </c>
      <c r="B172" s="3" t="str">
        <f>'2024 DO NOT TOUCH'!B173</f>
        <v>HELICOPTER SQUADRON</v>
      </c>
      <c r="C172" s="55" t="str">
        <f>'2024 DO NOT TOUCH'!C173</f>
        <v>BA0695</v>
      </c>
      <c r="D172" s="3" t="str">
        <f>'2024 DO NOT TOUCH'!D173</f>
        <v>FEBCO</v>
      </c>
      <c r="E172" s="55" t="str">
        <f>'2024 DO NOT TOUCH'!E173</f>
        <v>825Y</v>
      </c>
      <c r="F172" s="3" t="str">
        <f>'2024 DO NOT TOUCH'!F173</f>
        <v>RP</v>
      </c>
      <c r="G172" s="55" t="str">
        <f>'2024 DO NOT TOUCH'!G173</f>
        <v>0.75</v>
      </c>
      <c r="H172" s="3" t="str">
        <f>'2024 DO NOT TOUCH'!H173</f>
        <v>HVAC IN MECH RM</v>
      </c>
      <c r="I172" s="55" t="str">
        <f>'2024 DO NOT TOUCH'!I173</f>
        <v>INPREMISE</v>
      </c>
      <c r="J172" s="3" t="str">
        <f>'2024 DO NOT TOUCH'!J173</f>
        <v>AOI</v>
      </c>
      <c r="K172" s="55" t="str">
        <f>'2024 DO NOT TOUCH'!K173</f>
        <v>ACTIVE</v>
      </c>
      <c r="L172" s="72">
        <f>'2024 DO NOT TOUCH'!L173</f>
        <v>0</v>
      </c>
      <c r="M172" s="55" t="b">
        <f>'2024 DO NOT TOUCH'!M173</f>
        <v>0</v>
      </c>
      <c r="N172" s="3">
        <f>'2024 DO NOT TOUCH'!N173</f>
        <v>44939</v>
      </c>
      <c r="O172" s="55">
        <f>'2024 DO NOT TOUCH'!O173</f>
        <v>0</v>
      </c>
      <c r="P172" s="64">
        <f>'2024 DO NOT TOUCH'!P173</f>
        <v>0</v>
      </c>
      <c r="Q172" s="64">
        <f>'2024 DO NOT TOUCH'!Q173</f>
        <v>0</v>
      </c>
      <c r="R172" s="64">
        <f>'2024 DO NOT TOUCH'!R173</f>
        <v>0</v>
      </c>
      <c r="S172" s="57" t="str">
        <f>'2024 DO NOT TOUCH'!S173</f>
        <v>UNTESTED</v>
      </c>
      <c r="T172" s="57" t="str">
        <f>'2024 DO NOT TOUCH'!T173</f>
        <v>FAILED</v>
      </c>
      <c r="U172" s="57" t="str">
        <f>'2024 DO NOT TOUCH'!U173</f>
        <v>PASSED</v>
      </c>
      <c r="V172" s="57" t="str">
        <f>'2024 DO NOT TOUCH'!V173</f>
        <v>EXISTING</v>
      </c>
      <c r="W172" s="57" t="str">
        <f>'2024 DO NOT TOUCH'!W173</f>
        <v>EXISTING</v>
      </c>
      <c r="X172" s="64">
        <f>'2024 DO NOT TOUCH'!X173</f>
        <v>0</v>
      </c>
      <c r="Y172" s="57" t="str">
        <f>'2024 DO NOT TOUCH'!Y173</f>
        <v>CAN'T FIND</v>
      </c>
    </row>
    <row r="173" spans="1:25" ht="19.5" customHeight="1">
      <c r="A173" s="58" t="str">
        <f>'2024 DO NOT TOUCH'!A174</f>
        <v>2036</v>
      </c>
      <c r="B173" s="59" t="str">
        <f>'2024 DO NOT TOUCH'!B174</f>
        <v>HELICOPTER SQUADRON</v>
      </c>
      <c r="C173" s="58" t="str">
        <f>'2024 DO NOT TOUCH'!C174</f>
        <v>H00592</v>
      </c>
      <c r="D173" s="59" t="str">
        <f>'2024 DO NOT TOUCH'!D174</f>
        <v>FEBCO</v>
      </c>
      <c r="E173" s="58" t="str">
        <f>'2024 DO NOT TOUCH'!E174</f>
        <v>850</v>
      </c>
      <c r="F173" s="59" t="str">
        <f>'2024 DO NOT TOUCH'!F174</f>
        <v>DC</v>
      </c>
      <c r="G173" s="58" t="str">
        <f>'2024 DO NOT TOUCH'!G174</f>
        <v>0.5</v>
      </c>
      <c r="H173" s="59" t="str">
        <f>'2024 DO NOT TOUCH'!H174</f>
        <v>IN SUPPLY CLOSET NEXT TO BAR ROOM</v>
      </c>
      <c r="I173" s="58" t="str">
        <f>'2024 DO NOT TOUCH'!I174</f>
        <v>INPREMISE</v>
      </c>
      <c r="J173" s="59" t="str">
        <f>'2024 DO NOT TOUCH'!J174</f>
        <v>AOI</v>
      </c>
      <c r="K173" s="58" t="str">
        <f>'2024 DO NOT TOUCH'!K174</f>
        <v>INACTIVE</v>
      </c>
      <c r="L173" s="71">
        <f>'2024 DO NOT TOUCH'!L174</f>
        <v>0</v>
      </c>
      <c r="M173" s="58" t="b">
        <f>'2024 DO NOT TOUCH'!M174</f>
        <v>0</v>
      </c>
      <c r="N173" s="59">
        <f>'2024 DO NOT TOUCH'!N174</f>
        <v>0</v>
      </c>
      <c r="O173" s="58">
        <f>'2024 DO NOT TOUCH'!O174</f>
        <v>0</v>
      </c>
      <c r="P173" s="65">
        <f>'2024 DO NOT TOUCH'!P174</f>
        <v>0</v>
      </c>
      <c r="Q173" s="65">
        <f>'2024 DO NOT TOUCH'!Q174</f>
        <v>0</v>
      </c>
      <c r="R173" s="65">
        <f>'2024 DO NOT TOUCH'!R174</f>
        <v>0</v>
      </c>
      <c r="S173" s="62" t="str">
        <f>'2024 DO NOT TOUCH'!S174</f>
        <v>UNTESTED</v>
      </c>
      <c r="T173" s="62" t="str">
        <f>'2024 DO NOT TOUCH'!T174</f>
        <v>FAILED</v>
      </c>
      <c r="U173" s="62" t="str">
        <f>'2024 DO NOT TOUCH'!U174</f>
        <v>PASSED</v>
      </c>
      <c r="V173" s="62" t="str">
        <f>'2024 DO NOT TOUCH'!V174</f>
        <v>EXISTING</v>
      </c>
      <c r="W173" s="62" t="str">
        <f>'2024 DO NOT TOUCH'!W174</f>
        <v>EXISTING</v>
      </c>
      <c r="X173" s="65">
        <f>'2024 DO NOT TOUCH'!X174</f>
        <v>0</v>
      </c>
      <c r="Y173" s="62">
        <f>'2024 DO NOT TOUCH'!Y174</f>
        <v>0</v>
      </c>
    </row>
    <row r="174" spans="1:25" ht="19.5" customHeight="1">
      <c r="A174" s="55" t="str">
        <f>'2024 DO NOT TOUCH'!A175</f>
        <v>2040</v>
      </c>
      <c r="B174" s="3" t="str">
        <f>'2024 DO NOT TOUCH'!B175</f>
        <v>MPF</v>
      </c>
      <c r="C174" s="55" t="str">
        <f>'2024 DO NOT TOUCH'!C175</f>
        <v>W358359</v>
      </c>
      <c r="D174" s="3" t="str">
        <f>'2024 DO NOT TOUCH'!D175</f>
        <v>WILKINS</v>
      </c>
      <c r="E174" s="55" t="str">
        <f>'2024 DO NOT TOUCH'!E175</f>
        <v>975XL</v>
      </c>
      <c r="F174" s="3" t="str">
        <f>'2024 DO NOT TOUCH'!F175</f>
        <v>RP</v>
      </c>
      <c r="G174" s="55" t="str">
        <f>'2024 DO NOT TOUCH'!G175</f>
        <v>0.5</v>
      </c>
      <c r="H174" s="3" t="str">
        <f>'2024 DO NOT TOUCH'!H175</f>
        <v>JANITORS CLOSET BY SERVER RM FOR COMM</v>
      </c>
      <c r="I174" s="55" t="str">
        <f>'2024 DO NOT TOUCH'!I175</f>
        <v>INPREMISE</v>
      </c>
      <c r="J174" s="3" t="str">
        <f>'2024 DO NOT TOUCH'!J175</f>
        <v>AOI</v>
      </c>
      <c r="K174" s="55" t="str">
        <f>'2024 DO NOT TOUCH'!K175</f>
        <v>ACTIVE</v>
      </c>
      <c r="L174" s="72">
        <f>'2024 DO NOT TOUCH'!L175</f>
        <v>44600</v>
      </c>
      <c r="M174" s="55" t="b">
        <f>'2024 DO NOT TOUCH'!M175</f>
        <v>0</v>
      </c>
      <c r="N174" s="3">
        <f>'2024 DO NOT TOUCH'!N175</f>
        <v>0</v>
      </c>
      <c r="O174" s="55">
        <f>'2024 DO NOT TOUCH'!O175</f>
        <v>0</v>
      </c>
      <c r="P174" s="66">
        <f>'2024 DO NOT TOUCH'!P175</f>
        <v>0</v>
      </c>
      <c r="Q174" s="66">
        <f>'2024 DO NOT TOUCH'!Q175</f>
        <v>0</v>
      </c>
      <c r="R174" s="66">
        <f>'2024 DO NOT TOUCH'!R175</f>
        <v>0</v>
      </c>
      <c r="S174" s="55" t="str">
        <f>'2024 DO NOT TOUCH'!S175</f>
        <v>TESTED</v>
      </c>
      <c r="T174" s="55" t="str">
        <f>'2024 DO NOT TOUCH'!T175</f>
        <v>PASSED</v>
      </c>
      <c r="U174" s="55">
        <f>'2024 DO NOT TOUCH'!U175</f>
        <v>0</v>
      </c>
      <c r="V174" s="55">
        <f>'2024 DO NOT TOUCH'!V175</f>
        <v>0</v>
      </c>
      <c r="W174" s="55">
        <f>'2024 DO NOT TOUCH'!W175</f>
        <v>0</v>
      </c>
      <c r="X174" s="66">
        <f>'2024 DO NOT TOUCH'!X175</f>
        <v>0</v>
      </c>
      <c r="Y174" s="55">
        <f>'2024 DO NOT TOUCH'!Y175</f>
        <v>0</v>
      </c>
    </row>
    <row r="175" spans="1:25" ht="19.5" customHeight="1">
      <c r="A175" s="58" t="str">
        <f>'2024 DO NOT TOUCH'!A176</f>
        <v>2040</v>
      </c>
      <c r="B175" s="59" t="str">
        <f>'2024 DO NOT TOUCH'!B176</f>
        <v>MPF</v>
      </c>
      <c r="C175" s="58" t="str">
        <f>'2024 DO NOT TOUCH'!C176</f>
        <v>L94070</v>
      </c>
      <c r="D175" s="59" t="str">
        <f>'2024 DO NOT TOUCH'!D176</f>
        <v>WILKINS</v>
      </c>
      <c r="E175" s="58" t="str">
        <f>'2024 DO NOT TOUCH'!E176</f>
        <v>375</v>
      </c>
      <c r="F175" s="59" t="str">
        <f>'2024 DO NOT TOUCH'!F176</f>
        <v>RP</v>
      </c>
      <c r="G175" s="58" t="str">
        <f>'2024 DO NOT TOUCH'!G176</f>
        <v>3.0</v>
      </c>
      <c r="H175" s="59" t="str">
        <f>'2024 DO NOT TOUCH'!H176</f>
        <v>MECH RM BLDG PREMISE</v>
      </c>
      <c r="I175" s="58" t="str">
        <f>'2024 DO NOT TOUCH'!I176</f>
        <v>PREMISE</v>
      </c>
      <c r="J175" s="59" t="str">
        <f>'2024 DO NOT TOUCH'!J176</f>
        <v>PREMISE</v>
      </c>
      <c r="K175" s="58" t="str">
        <f>'2024 DO NOT TOUCH'!K176</f>
        <v>ACTIVE</v>
      </c>
      <c r="L175" s="71">
        <f>'2024 DO NOT TOUCH'!L176</f>
        <v>44600</v>
      </c>
      <c r="M175" s="58" t="b">
        <f>'2024 DO NOT TOUCH'!M176</f>
        <v>0</v>
      </c>
      <c r="N175" s="59">
        <f>'2024 DO NOT TOUCH'!N176</f>
        <v>0</v>
      </c>
      <c r="O175" s="58">
        <f>'2024 DO NOT TOUCH'!O176</f>
        <v>0</v>
      </c>
      <c r="P175" s="67">
        <f>'2024 DO NOT TOUCH'!P176</f>
        <v>0</v>
      </c>
      <c r="Q175" s="67">
        <f>'2024 DO NOT TOUCH'!Q176</f>
        <v>0</v>
      </c>
      <c r="R175" s="67">
        <f>'2024 DO NOT TOUCH'!R176</f>
        <v>0</v>
      </c>
      <c r="S175" s="58" t="str">
        <f>'2024 DO NOT TOUCH'!S176</f>
        <v>TESTED</v>
      </c>
      <c r="T175" s="58" t="str">
        <f>'2024 DO NOT TOUCH'!T176</f>
        <v>PASSED</v>
      </c>
      <c r="U175" s="58">
        <f>'2024 DO NOT TOUCH'!U176</f>
        <v>0</v>
      </c>
      <c r="V175" s="58">
        <f>'2024 DO NOT TOUCH'!V176</f>
        <v>0</v>
      </c>
      <c r="W175" s="58">
        <f>'2024 DO NOT TOUCH'!W176</f>
        <v>0</v>
      </c>
      <c r="X175" s="67">
        <f>'2024 DO NOT TOUCH'!X176</f>
        <v>0</v>
      </c>
      <c r="Y175" s="58">
        <f>'2024 DO NOT TOUCH'!Y176</f>
        <v>0</v>
      </c>
    </row>
    <row r="176" spans="1:25" ht="19.5" customHeight="1">
      <c r="A176" s="77" t="str">
        <f>'2024 DO NOT TOUCH'!A177</f>
        <v>2040</v>
      </c>
      <c r="B176" s="78" t="str">
        <f>'2024 DO NOT TOUCH'!B177</f>
        <v>MPF</v>
      </c>
      <c r="C176" s="77" t="str">
        <f>'2024 DO NOT TOUCH'!C177</f>
        <v>301989</v>
      </c>
      <c r="D176" s="78" t="str">
        <f>'2024 DO NOT TOUCH'!D177</f>
        <v>HERSEY</v>
      </c>
      <c r="E176" s="77" t="str">
        <f>'2024 DO NOT TOUCH'!E177</f>
        <v>2</v>
      </c>
      <c r="F176" s="78" t="str">
        <f>'2024 DO NOT TOUCH'!F177</f>
        <v>DC</v>
      </c>
      <c r="G176" s="77" t="str">
        <f>'2024 DO NOT TOUCH'!G177</f>
        <v>8.0</v>
      </c>
      <c r="H176" s="78" t="str">
        <f>'2024 DO NOT TOUCH'!H177</f>
        <v>MECH RM FIRE SYS</v>
      </c>
      <c r="I176" s="77" t="str">
        <f>'2024 DO NOT TOUCH'!I177</f>
        <v>PREMISE</v>
      </c>
      <c r="J176" s="78" t="str">
        <f>'2024 DO NOT TOUCH'!J177</f>
        <v>FIRE</v>
      </c>
      <c r="K176" s="77" t="str">
        <f>'2024 DO NOT TOUCH'!K177</f>
        <v>ACTIVE</v>
      </c>
      <c r="L176" s="79">
        <f>'2024 DO NOT TOUCH'!L177</f>
        <v>44602</v>
      </c>
      <c r="M176" s="77" t="b">
        <f>'2024 DO NOT TOUCH'!M177</f>
        <v>0</v>
      </c>
      <c r="N176" s="78">
        <f>'2024 DO NOT TOUCH'!N177</f>
        <v>0</v>
      </c>
      <c r="O176" s="77">
        <f>'2024 DO NOT TOUCH'!O177</f>
        <v>0</v>
      </c>
      <c r="P176" s="80">
        <f>'2024 DO NOT TOUCH'!P177</f>
        <v>0</v>
      </c>
      <c r="Q176" s="80">
        <f>'2024 DO NOT TOUCH'!Q177</f>
        <v>0</v>
      </c>
      <c r="R176" s="80">
        <f>'2024 DO NOT TOUCH'!R177</f>
        <v>0</v>
      </c>
      <c r="S176" s="81" t="str">
        <f>'2024 DO NOT TOUCH'!S177</f>
        <v>TESTED</v>
      </c>
      <c r="T176" s="81" t="str">
        <f>'2024 DO NOT TOUCH'!T177</f>
        <v>PASSED</v>
      </c>
      <c r="U176" s="81">
        <f>'2024 DO NOT TOUCH'!U177</f>
        <v>0</v>
      </c>
      <c r="V176" s="81">
        <f>'2024 DO NOT TOUCH'!V177</f>
        <v>0</v>
      </c>
      <c r="W176" s="81">
        <f>'2024 DO NOT TOUCH'!W177</f>
        <v>0</v>
      </c>
      <c r="X176" s="80">
        <f>'2024 DO NOT TOUCH'!X177</f>
        <v>0</v>
      </c>
      <c r="Y176" s="81">
        <f>'2024 DO NOT TOUCH'!Y177</f>
        <v>0</v>
      </c>
    </row>
    <row r="177" spans="1:25" ht="19.5" customHeight="1">
      <c r="A177" s="58" t="str">
        <f>'2024 DO NOT TOUCH'!A178</f>
        <v>2040</v>
      </c>
      <c r="B177" s="59" t="str">
        <f>'2024 DO NOT TOUCH'!B178</f>
        <v>MPF</v>
      </c>
      <c r="C177" s="58" t="str">
        <f>'2024 DO NOT TOUCH'!C178</f>
        <v>H030374</v>
      </c>
      <c r="D177" s="59" t="str">
        <f>'2024 DO NOT TOUCH'!D178</f>
        <v>FEBCO</v>
      </c>
      <c r="E177" s="58" t="str">
        <f>'2024 DO NOT TOUCH'!E178</f>
        <v>765</v>
      </c>
      <c r="F177" s="59" t="str">
        <f>'2024 DO NOT TOUCH'!F178</f>
        <v>PVB</v>
      </c>
      <c r="G177" s="58" t="str">
        <f>'2024 DO NOT TOUCH'!G178</f>
        <v>1.5</v>
      </c>
      <c r="H177" s="59" t="str">
        <f>'2024 DO NOT TOUCH'!H178</f>
        <v>MECH RM IRRIGATION</v>
      </c>
      <c r="I177" s="58" t="str">
        <f>'2024 DO NOT TOUCH'!I178</f>
        <v>PREMISE</v>
      </c>
      <c r="J177" s="59" t="str">
        <f>'2024 DO NOT TOUCH'!J178</f>
        <v>IRR</v>
      </c>
      <c r="K177" s="58" t="str">
        <f>'2024 DO NOT TOUCH'!K178</f>
        <v>ACTIVE</v>
      </c>
      <c r="L177" s="71">
        <f>'2024 DO NOT TOUCH'!L178</f>
        <v>44936</v>
      </c>
      <c r="M177" s="58" t="b">
        <f>'2024 DO NOT TOUCH'!M178</f>
        <v>0</v>
      </c>
      <c r="N177" s="59">
        <f>'2024 DO NOT TOUCH'!N178</f>
        <v>0</v>
      </c>
      <c r="O177" s="58">
        <f>'2024 DO NOT TOUCH'!O178</f>
        <v>0</v>
      </c>
      <c r="P177" s="65">
        <f>'2024 DO NOT TOUCH'!P178</f>
        <v>0</v>
      </c>
      <c r="Q177" s="65">
        <f>'2024 DO NOT TOUCH'!Q178</f>
        <v>0</v>
      </c>
      <c r="R177" s="65">
        <f>'2024 DO NOT TOUCH'!R178</f>
        <v>0</v>
      </c>
      <c r="S177" s="62" t="str">
        <f>'2024 DO NOT TOUCH'!S178</f>
        <v>TESTED</v>
      </c>
      <c r="T177" s="62" t="str">
        <f>'2024 DO NOT TOUCH'!T178</f>
        <v>FAILED</v>
      </c>
      <c r="U177" s="62" t="str">
        <f>'2024 DO NOT TOUCH'!U178</f>
        <v>PASSED</v>
      </c>
      <c r="V177" s="62" t="str">
        <f>'2024 DO NOT TOUCH'!V178</f>
        <v>EXISTING</v>
      </c>
      <c r="W177" s="62" t="str">
        <f>'2024 DO NOT TOUCH'!W178</f>
        <v>EXISTING</v>
      </c>
      <c r="X177" s="65">
        <f>'2024 DO NOT TOUCH'!X178</f>
        <v>0</v>
      </c>
      <c r="Y177" s="62">
        <f>'2024 DO NOT TOUCH'!Y178</f>
        <v>0</v>
      </c>
    </row>
    <row r="178" spans="1:25" ht="19.5" customHeight="1">
      <c r="A178" s="77" t="str">
        <f>'2024 DO NOT TOUCH'!A179</f>
        <v>2040</v>
      </c>
      <c r="B178" s="78" t="str">
        <f>'2024 DO NOT TOUCH'!B179</f>
        <v>MPF</v>
      </c>
      <c r="C178" s="77" t="str">
        <f>'2024 DO NOT TOUCH'!C179</f>
        <v>H027393</v>
      </c>
      <c r="D178" s="78" t="str">
        <f>'2024 DO NOT TOUCH'!D179</f>
        <v>FEBCO</v>
      </c>
      <c r="E178" s="77" t="str">
        <f>'2024 DO NOT TOUCH'!E179</f>
        <v>765</v>
      </c>
      <c r="F178" s="78" t="str">
        <f>'2024 DO NOT TOUCH'!F179</f>
        <v>PVB</v>
      </c>
      <c r="G178" s="77" t="str">
        <f>'2024 DO NOT TOUCH'!G179</f>
        <v>1.5</v>
      </c>
      <c r="H178" s="78" t="str">
        <f>'2024 DO NOT TOUCH'!H179</f>
        <v>MECH RM IRRIGATION</v>
      </c>
      <c r="I178" s="77" t="str">
        <f>'2024 DO NOT TOUCH'!I179</f>
        <v>PREMISE</v>
      </c>
      <c r="J178" s="78" t="str">
        <f>'2024 DO NOT TOUCH'!J179</f>
        <v>IRR</v>
      </c>
      <c r="K178" s="77" t="str">
        <f>'2024 DO NOT TOUCH'!K179</f>
        <v>INACTIVE</v>
      </c>
      <c r="L178" s="79">
        <f>'2024 DO NOT TOUCH'!L179</f>
        <v>0</v>
      </c>
      <c r="M178" s="77" t="b">
        <f>'2024 DO NOT TOUCH'!M179</f>
        <v>0</v>
      </c>
      <c r="N178" s="78">
        <f>'2024 DO NOT TOUCH'!N179</f>
        <v>0</v>
      </c>
      <c r="O178" s="77">
        <f>'2024 DO NOT TOUCH'!O179</f>
        <v>0</v>
      </c>
      <c r="P178" s="80">
        <f>'2024 DO NOT TOUCH'!P179</f>
        <v>0</v>
      </c>
      <c r="Q178" s="80">
        <f>'2024 DO NOT TOUCH'!Q179</f>
        <v>0</v>
      </c>
      <c r="R178" s="80">
        <f>'2024 DO NOT TOUCH'!R179</f>
        <v>0</v>
      </c>
      <c r="S178" s="81" t="str">
        <f>'2024 DO NOT TOUCH'!S179</f>
        <v>UNTESTED</v>
      </c>
      <c r="T178" s="81" t="str">
        <f>'2024 DO NOT TOUCH'!T179</f>
        <v>FAILED</v>
      </c>
      <c r="U178" s="81" t="str">
        <f>'2024 DO NOT TOUCH'!U179</f>
        <v>PASSED</v>
      </c>
      <c r="V178" s="81" t="str">
        <f>'2024 DO NOT TOUCH'!V179</f>
        <v>EXISTING</v>
      </c>
      <c r="W178" s="81" t="str">
        <f>'2024 DO NOT TOUCH'!W179</f>
        <v>EXISTING</v>
      </c>
      <c r="X178" s="80">
        <f>'2024 DO NOT TOUCH'!X179</f>
        <v>0</v>
      </c>
      <c r="Y178" s="81">
        <f>'2024 DO NOT TOUCH'!Y179</f>
        <v>0</v>
      </c>
    </row>
    <row r="179" spans="1:25" ht="19.5" customHeight="1">
      <c r="A179" s="58" t="str">
        <f>'2024 DO NOT TOUCH'!A180</f>
        <v>2040</v>
      </c>
      <c r="B179" s="59" t="str">
        <f>'2024 DO NOT TOUCH'!B180</f>
        <v>MPF</v>
      </c>
      <c r="C179" s="58" t="str">
        <f>'2024 DO NOT TOUCH'!C180</f>
        <v>08994</v>
      </c>
      <c r="D179" s="59" t="str">
        <f>'2024 DO NOT TOUCH'!D180</f>
        <v>FEBCO</v>
      </c>
      <c r="E179" s="58" t="str">
        <f>'2024 DO NOT TOUCH'!E180</f>
        <v>825Y</v>
      </c>
      <c r="F179" s="59" t="str">
        <f>'2024 DO NOT TOUCH'!F180</f>
        <v>RP</v>
      </c>
      <c r="G179" s="58" t="str">
        <f>'2024 DO NOT TOUCH'!G180</f>
        <v>0.75</v>
      </c>
      <c r="H179" s="59" t="str">
        <f>'2024 DO NOT TOUCH'!H180</f>
        <v>MECH RM HVAC GLYCOL SUPPLY</v>
      </c>
      <c r="I179" s="58" t="str">
        <f>'2024 DO NOT TOUCH'!I180</f>
        <v>INPREMISE</v>
      </c>
      <c r="J179" s="59" t="str">
        <f>'2024 DO NOT TOUCH'!J180</f>
        <v>AOI</v>
      </c>
      <c r="K179" s="58" t="str">
        <f>'2024 DO NOT TOUCH'!K180</f>
        <v>ACTIVE</v>
      </c>
      <c r="L179" s="71">
        <f>'2024 DO NOT TOUCH'!L180</f>
        <v>44600</v>
      </c>
      <c r="M179" s="58" t="b">
        <f>'2024 DO NOT TOUCH'!M180</f>
        <v>0</v>
      </c>
      <c r="N179" s="59">
        <f>'2024 DO NOT TOUCH'!N180</f>
        <v>0</v>
      </c>
      <c r="O179" s="58">
        <f>'2024 DO NOT TOUCH'!O180</f>
        <v>0</v>
      </c>
      <c r="P179" s="67">
        <f>'2024 DO NOT TOUCH'!P180</f>
        <v>0</v>
      </c>
      <c r="Q179" s="67">
        <f>'2024 DO NOT TOUCH'!Q180</f>
        <v>0</v>
      </c>
      <c r="R179" s="67">
        <f>'2024 DO NOT TOUCH'!R180</f>
        <v>0</v>
      </c>
      <c r="S179" s="58" t="str">
        <f>'2024 DO NOT TOUCH'!S180</f>
        <v>TESTED</v>
      </c>
      <c r="T179" s="58" t="str">
        <f>'2024 DO NOT TOUCH'!T180</f>
        <v>PASSED</v>
      </c>
      <c r="U179" s="58">
        <f>'2024 DO NOT TOUCH'!U180</f>
        <v>0</v>
      </c>
      <c r="V179" s="58">
        <f>'2024 DO NOT TOUCH'!V180</f>
        <v>0</v>
      </c>
      <c r="W179" s="58">
        <f>'2024 DO NOT TOUCH'!W180</f>
        <v>0</v>
      </c>
      <c r="X179" s="67">
        <f>'2024 DO NOT TOUCH'!X180</f>
        <v>0</v>
      </c>
      <c r="Y179" s="58">
        <f>'2024 DO NOT TOUCH'!Y180</f>
        <v>0</v>
      </c>
    </row>
    <row r="180" spans="1:25" ht="19.5" customHeight="1">
      <c r="A180" s="77" t="str">
        <f>'2024 DO NOT TOUCH'!A181</f>
        <v>2044</v>
      </c>
      <c r="B180" s="78" t="str">
        <f>'2024 DO NOT TOUCH'!B181</f>
        <v>POL MAINTENANCE</v>
      </c>
      <c r="C180" s="77" t="str">
        <f>'2024 DO NOT TOUCH'!C181</f>
        <v>A089028</v>
      </c>
      <c r="D180" s="78" t="str">
        <f>'2024 DO NOT TOUCH'!D181</f>
        <v>WILKINS</v>
      </c>
      <c r="E180" s="77" t="str">
        <f>'2024 DO NOT TOUCH'!E181</f>
        <v>375</v>
      </c>
      <c r="F180" s="78" t="str">
        <f>'2024 DO NOT TOUCH'!F181</f>
        <v>RP</v>
      </c>
      <c r="G180" s="77" t="str">
        <f>'2024 DO NOT TOUCH'!G181</f>
        <v>2.0</v>
      </c>
      <c r="H180" s="78" t="str">
        <f>'2024 DO NOT TOUCH'!H181</f>
        <v>MECH RM PREMISE</v>
      </c>
      <c r="I180" s="77" t="str">
        <f>'2024 DO NOT TOUCH'!I181</f>
        <v>PREMISE</v>
      </c>
      <c r="J180" s="78" t="str">
        <f>'2024 DO NOT TOUCH'!J181</f>
        <v>PREMISE</v>
      </c>
      <c r="K180" s="77" t="str">
        <f>'2024 DO NOT TOUCH'!K181</f>
        <v>ACTIVE</v>
      </c>
      <c r="L180" s="79">
        <f>'2024 DO NOT TOUCH'!L181</f>
        <v>44600</v>
      </c>
      <c r="M180" s="77" t="b">
        <f>'2024 DO NOT TOUCH'!M181</f>
        <v>0</v>
      </c>
      <c r="N180" s="78">
        <f>'2024 DO NOT TOUCH'!N181</f>
        <v>45602</v>
      </c>
      <c r="O180" s="77" t="str">
        <f>'2024 DO NOT TOUCH'!O181</f>
        <v>TROUNG</v>
      </c>
      <c r="P180" s="83">
        <f>'2024 DO NOT TOUCH'!P181</f>
        <v>8.6</v>
      </c>
      <c r="Q180" s="83">
        <f>'2024 DO NOT TOUCH'!Q181</f>
        <v>0</v>
      </c>
      <c r="R180" s="83">
        <f>'2024 DO NOT TOUCH'!R181</f>
        <v>3</v>
      </c>
      <c r="S180" s="77" t="str">
        <f>'2024 DO NOT TOUCH'!S181</f>
        <v>TESTED</v>
      </c>
      <c r="T180" s="77" t="str">
        <f>'2024 DO NOT TOUCH'!T181</f>
        <v>PASSED</v>
      </c>
      <c r="U180" s="77">
        <f>'2024 DO NOT TOUCH'!U181</f>
        <v>0</v>
      </c>
      <c r="V180" s="77">
        <f>'2024 DO NOT TOUCH'!V181</f>
        <v>0</v>
      </c>
      <c r="W180" s="77">
        <f>'2024 DO NOT TOUCH'!W181</f>
        <v>0</v>
      </c>
      <c r="X180" s="83">
        <f>'2024 DO NOT TOUCH'!X181</f>
        <v>0</v>
      </c>
      <c r="Y180" s="77">
        <f>'2024 DO NOT TOUCH'!Y181</f>
        <v>0</v>
      </c>
    </row>
    <row r="181" spans="1:25" ht="19.5" customHeight="1">
      <c r="A181" s="58" t="str">
        <f>'2024 DO NOT TOUCH'!A182</f>
        <v>2044</v>
      </c>
      <c r="B181" s="59" t="str">
        <f>'2024 DO NOT TOUCH'!B182</f>
        <v>POL MAINTENANCE</v>
      </c>
      <c r="C181" s="58" t="str">
        <f>'2024 DO NOT TOUCH'!C182</f>
        <v>A089171</v>
      </c>
      <c r="D181" s="59" t="str">
        <f>'2024 DO NOT TOUCH'!D182</f>
        <v>WILKINS</v>
      </c>
      <c r="E181" s="58" t="str">
        <f>'2024 DO NOT TOUCH'!E182</f>
        <v>375</v>
      </c>
      <c r="F181" s="59" t="str">
        <f>'2024 DO NOT TOUCH'!F182</f>
        <v>RP</v>
      </c>
      <c r="G181" s="58" t="str">
        <f>'2024 DO NOT TOUCH'!G182</f>
        <v>2.0</v>
      </c>
      <c r="H181" s="59" t="str">
        <f>'2024 DO NOT TOUCH'!H182</f>
        <v>MECH RM INDUSTRIAL WATER</v>
      </c>
      <c r="I181" s="58" t="str">
        <f>'2024 DO NOT TOUCH'!I182</f>
        <v>INPREMISE</v>
      </c>
      <c r="J181" s="59" t="str">
        <f>'2024 DO NOT TOUCH'!J182</f>
        <v>AOI</v>
      </c>
      <c r="K181" s="58" t="str">
        <f>'2024 DO NOT TOUCH'!K182</f>
        <v>ACTIVE</v>
      </c>
      <c r="L181" s="71">
        <f>'2024 DO NOT TOUCH'!L182</f>
        <v>44600</v>
      </c>
      <c r="M181" s="58" t="b">
        <f>'2024 DO NOT TOUCH'!M182</f>
        <v>0</v>
      </c>
      <c r="N181" s="59">
        <f>'2024 DO NOT TOUCH'!N182</f>
        <v>45602</v>
      </c>
      <c r="O181" s="58" t="str">
        <f>'2024 DO NOT TOUCH'!O182</f>
        <v>TROUNG</v>
      </c>
      <c r="P181" s="65">
        <f>'2024 DO NOT TOUCH'!P182</f>
        <v>8.5</v>
      </c>
      <c r="Q181" s="65">
        <f>'2024 DO NOT TOUCH'!Q182</f>
        <v>0</v>
      </c>
      <c r="R181" s="65">
        <f>'2024 DO NOT TOUCH'!R182</f>
        <v>3.5</v>
      </c>
      <c r="S181" s="62" t="str">
        <f>'2024 DO NOT TOUCH'!S182</f>
        <v>TESTED</v>
      </c>
      <c r="T181" s="62" t="str">
        <f>'2024 DO NOT TOUCH'!T182</f>
        <v>PASSED</v>
      </c>
      <c r="U181" s="62">
        <f>'2024 DO NOT TOUCH'!U182</f>
        <v>0</v>
      </c>
      <c r="V181" s="62">
        <f>'2024 DO NOT TOUCH'!V182</f>
        <v>0</v>
      </c>
      <c r="W181" s="62">
        <f>'2024 DO NOT TOUCH'!W182</f>
        <v>0</v>
      </c>
      <c r="X181" s="65">
        <f>'2024 DO NOT TOUCH'!X182</f>
        <v>0</v>
      </c>
      <c r="Y181" s="62">
        <f>'2024 DO NOT TOUCH'!Y182</f>
        <v>0</v>
      </c>
    </row>
    <row r="182" spans="1:25" ht="19.5" customHeight="1">
      <c r="A182" s="55" t="str">
        <f>'2024 DO NOT TOUCH'!A183</f>
        <v>2044</v>
      </c>
      <c r="B182" s="3" t="str">
        <f>'2024 DO NOT TOUCH'!B183</f>
        <v>POL MAINTENANCE</v>
      </c>
      <c r="C182" s="55" t="str">
        <f>'2024 DO NOT TOUCH'!C183</f>
        <v>37975a</v>
      </c>
      <c r="D182" s="3" t="str">
        <f>'2024 DO NOT TOUCH'!D183</f>
        <v>WILKINS</v>
      </c>
      <c r="E182" s="55" t="str">
        <f>'2024 DO NOT TOUCH'!E183</f>
        <v>375A</v>
      </c>
      <c r="F182" s="3" t="str">
        <f>'2024 DO NOT TOUCH'!F183</f>
        <v>RP</v>
      </c>
      <c r="G182" s="55" t="str">
        <f>'2024 DO NOT TOUCH'!G183</f>
        <v>6.0</v>
      </c>
      <c r="H182" s="3" t="str">
        <f>'2024 DO NOT TOUCH'!H183</f>
        <v>MECH RM FIRE SYS</v>
      </c>
      <c r="I182" s="55" t="str">
        <f>'2024 DO NOT TOUCH'!I183</f>
        <v>PREMISE</v>
      </c>
      <c r="J182" s="3" t="str">
        <f>'2024 DO NOT TOUCH'!J183</f>
        <v>FIRE</v>
      </c>
      <c r="K182" s="55" t="str">
        <f>'2024 DO NOT TOUCH'!K183</f>
        <v>ACTIVE</v>
      </c>
      <c r="L182" s="72">
        <f>'2024 DO NOT TOUCH'!L183</f>
        <v>44600</v>
      </c>
      <c r="M182" s="55" t="b">
        <f>'2024 DO NOT TOUCH'!M183</f>
        <v>0</v>
      </c>
      <c r="N182" s="3">
        <f>'2024 DO NOT TOUCH'!N183</f>
        <v>0</v>
      </c>
      <c r="O182" s="55">
        <f>'2024 DO NOT TOUCH'!O183</f>
        <v>0</v>
      </c>
      <c r="P182" s="64">
        <f>'2024 DO NOT TOUCH'!P183</f>
        <v>0</v>
      </c>
      <c r="Q182" s="64">
        <f>'2024 DO NOT TOUCH'!Q183</f>
        <v>0</v>
      </c>
      <c r="R182" s="64">
        <f>'2024 DO NOT TOUCH'!R183</f>
        <v>0</v>
      </c>
      <c r="S182" s="57" t="str">
        <f>'2024 DO NOT TOUCH'!S183</f>
        <v>TESTED</v>
      </c>
      <c r="T182" s="57" t="str">
        <f>'2024 DO NOT TOUCH'!T183</f>
        <v>PASSED</v>
      </c>
      <c r="U182" s="57">
        <f>'2024 DO NOT TOUCH'!U183</f>
        <v>0</v>
      </c>
      <c r="V182" s="57">
        <f>'2024 DO NOT TOUCH'!V183</f>
        <v>0</v>
      </c>
      <c r="W182" s="57">
        <f>'2024 DO NOT TOUCH'!W183</f>
        <v>0</v>
      </c>
      <c r="X182" s="64">
        <f>'2024 DO NOT TOUCH'!X183</f>
        <v>0</v>
      </c>
      <c r="Y182" s="57" t="str">
        <f>'2024 DO NOT TOUCH'!Y183</f>
        <v>old SN: X21244</v>
      </c>
    </row>
    <row r="183" spans="1:25" ht="19.5" customHeight="1">
      <c r="A183" s="58" t="str">
        <f>'2024 DO NOT TOUCH'!A184</f>
        <v>2045</v>
      </c>
      <c r="B183" s="59" t="str">
        <f>'2024 DO NOT TOUCH'!B184</f>
        <v>LRS</v>
      </c>
      <c r="C183" s="58" t="str">
        <f>'2024 DO NOT TOUCH'!C184</f>
        <v>W358599</v>
      </c>
      <c r="D183" s="59" t="str">
        <f>'2024 DO NOT TOUCH'!D184</f>
        <v>WILKINS</v>
      </c>
      <c r="E183" s="58" t="str">
        <f>'2024 DO NOT TOUCH'!E184</f>
        <v>975XL</v>
      </c>
      <c r="F183" s="59" t="str">
        <f>'2024 DO NOT TOUCH'!F184</f>
        <v>RP</v>
      </c>
      <c r="G183" s="58" t="str">
        <f>'2024 DO NOT TOUCH'!G184</f>
        <v>0.5</v>
      </c>
      <c r="H183" s="59" t="str">
        <f>'2024 DO NOT TOUCH'!H184</f>
        <v>POL BREAK RM IN CLOSET FOR ICE MACHINE</v>
      </c>
      <c r="I183" s="58" t="str">
        <f>'2024 DO NOT TOUCH'!I184</f>
        <v>INPREMISE</v>
      </c>
      <c r="J183" s="59" t="str">
        <f>'2024 DO NOT TOUCH'!J184</f>
        <v>AOI</v>
      </c>
      <c r="K183" s="58" t="str">
        <f>'2024 DO NOT TOUCH'!K184</f>
        <v>ACTIVE</v>
      </c>
      <c r="L183" s="71">
        <f>'2024 DO NOT TOUCH'!L184</f>
        <v>44599</v>
      </c>
      <c r="M183" s="58" t="b">
        <f>'2024 DO NOT TOUCH'!M184</f>
        <v>0</v>
      </c>
      <c r="N183" s="59">
        <f>'2024 DO NOT TOUCH'!N184</f>
        <v>0</v>
      </c>
      <c r="O183" s="58">
        <f>'2024 DO NOT TOUCH'!O184</f>
        <v>0</v>
      </c>
      <c r="P183" s="65">
        <f>'2024 DO NOT TOUCH'!P184</f>
        <v>0</v>
      </c>
      <c r="Q183" s="65">
        <f>'2024 DO NOT TOUCH'!Q184</f>
        <v>0</v>
      </c>
      <c r="R183" s="65">
        <f>'2024 DO NOT TOUCH'!R184</f>
        <v>0</v>
      </c>
      <c r="S183" s="62" t="str">
        <f>'2024 DO NOT TOUCH'!S184</f>
        <v>TESTED</v>
      </c>
      <c r="T183" s="62" t="str">
        <f>'2024 DO NOT TOUCH'!T184</f>
        <v>PASSED</v>
      </c>
      <c r="U183" s="62">
        <f>'2024 DO NOT TOUCH'!U184</f>
        <v>0</v>
      </c>
      <c r="V183" s="62">
        <f>'2024 DO NOT TOUCH'!V184</f>
        <v>0</v>
      </c>
      <c r="W183" s="62">
        <f>'2024 DO NOT TOUCH'!W184</f>
        <v>0</v>
      </c>
      <c r="X183" s="65">
        <f>'2024 DO NOT TOUCH'!X184</f>
        <v>0</v>
      </c>
      <c r="Y183" s="62">
        <f>'2024 DO NOT TOUCH'!Y184</f>
        <v>0</v>
      </c>
    </row>
    <row r="184" spans="1:25" ht="19.5" customHeight="1">
      <c r="A184" s="55" t="str">
        <f>'2024 DO NOT TOUCH'!A185</f>
        <v>2045</v>
      </c>
      <c r="B184" s="55" t="str">
        <f>'2024 DO NOT TOUCH'!B185</f>
        <v>LRS</v>
      </c>
      <c r="C184" s="55" t="str">
        <f>'2024 DO NOT TOUCH'!C185</f>
        <v>1328686</v>
      </c>
      <c r="D184" s="55" t="str">
        <f>'2024 DO NOT TOUCH'!D185</f>
        <v>WILKINS</v>
      </c>
      <c r="E184" s="55" t="str">
        <f>'2024 DO NOT TOUCH'!E185</f>
        <v>950</v>
      </c>
      <c r="F184" s="55" t="str">
        <f>'2024 DO NOT TOUCH'!F185</f>
        <v>DC</v>
      </c>
      <c r="G184" s="55" t="str">
        <f>'2024 DO NOT TOUCH'!G185</f>
        <v>2.0</v>
      </c>
      <c r="H184" s="55" t="str">
        <f>'2024 DO NOT TOUCH'!H185</f>
        <v>MECH RM IRRIGATION</v>
      </c>
      <c r="I184" s="55" t="str">
        <f>'2024 DO NOT TOUCH'!I185</f>
        <v>PREMISE</v>
      </c>
      <c r="J184" s="55" t="str">
        <f>'2024 DO NOT TOUCH'!J185</f>
        <v>IRR</v>
      </c>
      <c r="K184" s="55" t="str">
        <f>'2024 DO NOT TOUCH'!K185</f>
        <v>ACTIVE</v>
      </c>
      <c r="L184" s="56">
        <f>'2024 DO NOT TOUCH'!L185</f>
        <v>44606</v>
      </c>
      <c r="M184" s="56" t="b">
        <f>'2024 DO NOT TOUCH'!M185</f>
        <v>0</v>
      </c>
      <c r="N184" s="56">
        <f>'2024 DO NOT TOUCH'!N185</f>
        <v>0</v>
      </c>
      <c r="O184" s="55">
        <f>'2024 DO NOT TOUCH'!O185</f>
        <v>0</v>
      </c>
      <c r="P184" s="64">
        <f>'2024 DO NOT TOUCH'!P185</f>
        <v>0</v>
      </c>
      <c r="Q184" s="64">
        <f>'2024 DO NOT TOUCH'!Q185</f>
        <v>0</v>
      </c>
      <c r="R184" s="64">
        <f>'2024 DO NOT TOUCH'!R185</f>
        <v>0</v>
      </c>
      <c r="S184" s="55" t="str">
        <f>'2024 DO NOT TOUCH'!S185</f>
        <v>TESTED</v>
      </c>
      <c r="T184" s="55" t="str">
        <f>'2024 DO NOT TOUCH'!T185</f>
        <v>PASSED</v>
      </c>
      <c r="U184" s="55">
        <f>'2024 DO NOT TOUCH'!U185</f>
        <v>0</v>
      </c>
      <c r="V184" s="55">
        <f>'2024 DO NOT TOUCH'!V185</f>
        <v>0</v>
      </c>
      <c r="W184" s="55">
        <f>'2024 DO NOT TOUCH'!W185</f>
        <v>0</v>
      </c>
      <c r="X184" s="66">
        <f>'2024 DO NOT TOUCH'!X185</f>
        <v>0</v>
      </c>
      <c r="Y184" s="55">
        <f>'2024 DO NOT TOUCH'!Y185</f>
        <v>0</v>
      </c>
    </row>
    <row r="185" spans="1:25" ht="19.5" customHeight="1">
      <c r="A185" s="58" t="str">
        <f>'2024 DO NOT TOUCH'!A186</f>
        <v>2045</v>
      </c>
      <c r="B185" s="59" t="str">
        <f>'2024 DO NOT TOUCH'!B186</f>
        <v>LRS</v>
      </c>
      <c r="C185" s="58" t="str">
        <f>'2024 DO NOT TOUCH'!C186</f>
        <v>A16097</v>
      </c>
      <c r="D185" s="59" t="str">
        <f>'2024 DO NOT TOUCH'!D186</f>
        <v>WILKINS</v>
      </c>
      <c r="E185" s="58" t="str">
        <f>'2024 DO NOT TOUCH'!E186</f>
        <v>950</v>
      </c>
      <c r="F185" s="59" t="str">
        <f>'2024 DO NOT TOUCH'!F186</f>
        <v>DC</v>
      </c>
      <c r="G185" s="58" t="str">
        <f>'2024 DO NOT TOUCH'!G186</f>
        <v>3.0</v>
      </c>
      <c r="H185" s="59" t="str">
        <f>'2024 DO NOT TOUCH'!H186</f>
        <v>MECH RM PREMISE</v>
      </c>
      <c r="I185" s="58" t="str">
        <f>'2024 DO NOT TOUCH'!I186</f>
        <v>PREMISE</v>
      </c>
      <c r="J185" s="59" t="str">
        <f>'2024 DO NOT TOUCH'!J186</f>
        <v>PREMISE</v>
      </c>
      <c r="K185" s="58" t="str">
        <f>'2024 DO NOT TOUCH'!K186</f>
        <v>ACTIVE</v>
      </c>
      <c r="L185" s="71">
        <f>'2024 DO NOT TOUCH'!L186</f>
        <v>44936</v>
      </c>
      <c r="M185" s="58" t="b">
        <f>'2024 DO NOT TOUCH'!M186</f>
        <v>0</v>
      </c>
      <c r="N185" s="59">
        <f>'2024 DO NOT TOUCH'!N186</f>
        <v>0</v>
      </c>
      <c r="O185" s="58">
        <f>'2024 DO NOT TOUCH'!O186</f>
        <v>0</v>
      </c>
      <c r="P185" s="65">
        <f>'2024 DO NOT TOUCH'!P186</f>
        <v>0</v>
      </c>
      <c r="Q185" s="65">
        <f>'2024 DO NOT TOUCH'!Q186</f>
        <v>0</v>
      </c>
      <c r="R185" s="65">
        <f>'2024 DO NOT TOUCH'!R186</f>
        <v>0</v>
      </c>
      <c r="S185" s="62" t="str">
        <f>'2024 DO NOT TOUCH'!S186</f>
        <v>TESTED</v>
      </c>
      <c r="T185" s="62" t="str">
        <f>'2024 DO NOT TOUCH'!T186</f>
        <v>PASSED</v>
      </c>
      <c r="U185" s="62">
        <f>'2024 DO NOT TOUCH'!U186</f>
        <v>0</v>
      </c>
      <c r="V185" s="62">
        <f>'2024 DO NOT TOUCH'!V186</f>
        <v>0</v>
      </c>
      <c r="W185" s="62">
        <f>'2024 DO NOT TOUCH'!W186</f>
        <v>0</v>
      </c>
      <c r="X185" s="65">
        <f>'2024 DO NOT TOUCH'!X186</f>
        <v>0</v>
      </c>
      <c r="Y185" s="62">
        <f>'2024 DO NOT TOUCH'!Y186</f>
        <v>0</v>
      </c>
    </row>
    <row r="186" spans="1:25" ht="19.5" customHeight="1">
      <c r="A186" s="55" t="str">
        <f>'2024 DO NOT TOUCH'!A187</f>
        <v>2045</v>
      </c>
      <c r="B186" s="3" t="str">
        <f>'2024 DO NOT TOUCH'!B187</f>
        <v>LRS</v>
      </c>
      <c r="C186" s="55" t="str">
        <f>'2024 DO NOT TOUCH'!C187</f>
        <v>125017</v>
      </c>
      <c r="D186" s="3" t="str">
        <f>'2024 DO NOT TOUCH'!D187</f>
        <v>AMES</v>
      </c>
      <c r="E186" s="55" t="str">
        <f>'2024 DO NOT TOUCH'!E187</f>
        <v>2000SS</v>
      </c>
      <c r="F186" s="3" t="str">
        <f>'2024 DO NOT TOUCH'!F187</f>
        <v>DC</v>
      </c>
      <c r="G186" s="55" t="str">
        <f>'2024 DO NOT TOUCH'!G187</f>
        <v>6.0</v>
      </c>
      <c r="H186" s="3" t="str">
        <f>'2024 DO NOT TOUCH'!H187</f>
        <v>WAREHOUSE FIRE SYS</v>
      </c>
      <c r="I186" s="55" t="str">
        <f>'2024 DO NOT TOUCH'!I187</f>
        <v>PREMISE</v>
      </c>
      <c r="J186" s="3" t="str">
        <f>'2024 DO NOT TOUCH'!J187</f>
        <v>FIRE</v>
      </c>
      <c r="K186" s="55" t="str">
        <f>'2024 DO NOT TOUCH'!K187</f>
        <v>ACTIVE</v>
      </c>
      <c r="L186" s="72">
        <f>'2024 DO NOT TOUCH'!L187</f>
        <v>44629</v>
      </c>
      <c r="M186" s="55" t="b">
        <f>'2024 DO NOT TOUCH'!M187</f>
        <v>0</v>
      </c>
      <c r="N186" s="3">
        <f>'2024 DO NOT TOUCH'!N187</f>
        <v>45355</v>
      </c>
      <c r="O186" s="55" t="str">
        <f>'2024 DO NOT TOUCH'!O187</f>
        <v>LARIOS</v>
      </c>
      <c r="P186" s="64">
        <f>'2024 DO NOT TOUCH'!P187</f>
        <v>2.2000000000000002</v>
      </c>
      <c r="Q186" s="64">
        <f>'2024 DO NOT TOUCH'!Q187</f>
        <v>2</v>
      </c>
      <c r="R186" s="64">
        <f>'2024 DO NOT TOUCH'!R187</f>
        <v>0</v>
      </c>
      <c r="S186" s="57" t="str">
        <f>'2024 DO NOT TOUCH'!S187</f>
        <v>TESTED</v>
      </c>
      <c r="T186" s="57" t="str">
        <f>'2024 DO NOT TOUCH'!T187</f>
        <v>PASSED</v>
      </c>
      <c r="U186" s="57">
        <f>'2024 DO NOT TOUCH'!U187</f>
        <v>0</v>
      </c>
      <c r="V186" s="57">
        <f>'2024 DO NOT TOUCH'!V187</f>
        <v>0</v>
      </c>
      <c r="W186" s="57">
        <f>'2024 DO NOT TOUCH'!W187</f>
        <v>0</v>
      </c>
      <c r="X186" s="64">
        <f>'2024 DO NOT TOUCH'!X187</f>
        <v>0</v>
      </c>
      <c r="Y186" s="57">
        <f>'2024 DO NOT TOUCH'!Y187</f>
        <v>0</v>
      </c>
    </row>
    <row r="187" spans="1:25" ht="19.5" customHeight="1">
      <c r="A187" s="58" t="str">
        <f>'2024 DO NOT TOUCH'!A188</f>
        <v>2048</v>
      </c>
      <c r="B187" s="59" t="str">
        <f>'2024 DO NOT TOUCH'!B188</f>
        <v>FLIGHT SIM</v>
      </c>
      <c r="C187" s="58" t="str">
        <f>'2024 DO NOT TOUCH'!C188</f>
        <v>A008874</v>
      </c>
      <c r="D187" s="59" t="str">
        <f>'2024 DO NOT TOUCH'!D188</f>
        <v>FEBCO</v>
      </c>
      <c r="E187" s="58" t="str">
        <f>'2024 DO NOT TOUCH'!E188</f>
        <v>825Y</v>
      </c>
      <c r="F187" s="59" t="str">
        <f>'2024 DO NOT TOUCH'!F188</f>
        <v>RP</v>
      </c>
      <c r="G187" s="58" t="str">
        <f>'2024 DO NOT TOUCH'!G188</f>
        <v>1.0</v>
      </c>
      <c r="H187" s="59" t="str">
        <f>'2024 DO NOT TOUCH'!H188</f>
        <v xml:space="preserve">MECH RM HVAC </v>
      </c>
      <c r="I187" s="58" t="str">
        <f>'2024 DO NOT TOUCH'!I188</f>
        <v>INPREMISE</v>
      </c>
      <c r="J187" s="59" t="str">
        <f>'2024 DO NOT TOUCH'!J188</f>
        <v>AOI</v>
      </c>
      <c r="K187" s="58" t="str">
        <f>'2024 DO NOT TOUCH'!K188</f>
        <v>ACTIVE</v>
      </c>
      <c r="L187" s="71">
        <f>'2024 DO NOT TOUCH'!L188</f>
        <v>44628</v>
      </c>
      <c r="M187" s="58" t="b">
        <f>'2024 DO NOT TOUCH'!M188</f>
        <v>0</v>
      </c>
      <c r="N187" s="59">
        <f>'2024 DO NOT TOUCH'!N188</f>
        <v>45355</v>
      </c>
      <c r="O187" s="58" t="str">
        <f>'2024 DO NOT TOUCH'!O188</f>
        <v>PASS</v>
      </c>
      <c r="P187" s="65">
        <f>'2024 DO NOT TOUCH'!P188</f>
        <v>7.6</v>
      </c>
      <c r="Q187" s="65">
        <f>'2024 DO NOT TOUCH'!Q188</f>
        <v>0</v>
      </c>
      <c r="R187" s="65">
        <f>'2024 DO NOT TOUCH'!R188</f>
        <v>2.8</v>
      </c>
      <c r="S187" s="62" t="str">
        <f>'2024 DO NOT TOUCH'!S188</f>
        <v>TESTED</v>
      </c>
      <c r="T187" s="62" t="str">
        <f>'2024 DO NOT TOUCH'!T188</f>
        <v>PASSED</v>
      </c>
      <c r="U187" s="62">
        <f>'2024 DO NOT TOUCH'!U188</f>
        <v>0</v>
      </c>
      <c r="V187" s="62">
        <f>'2024 DO NOT TOUCH'!V188</f>
        <v>0</v>
      </c>
      <c r="W187" s="62">
        <f>'2024 DO NOT TOUCH'!W188</f>
        <v>0</v>
      </c>
      <c r="X187" s="65">
        <f>'2024 DO NOT TOUCH'!X188</f>
        <v>0</v>
      </c>
      <c r="Y187" s="62">
        <f>'2024 DO NOT TOUCH'!Y188</f>
        <v>0</v>
      </c>
    </row>
    <row r="188" spans="1:25" ht="19.5" customHeight="1">
      <c r="A188" s="55" t="str">
        <f>'2024 DO NOT TOUCH'!A189</f>
        <v>2048</v>
      </c>
      <c r="B188" s="3" t="str">
        <f>'2024 DO NOT TOUCH'!B189</f>
        <v>FLIGHT SIM</v>
      </c>
      <c r="C188" s="55" t="str">
        <f>'2024 DO NOT TOUCH'!C189</f>
        <v>J017500</v>
      </c>
      <c r="D188" s="3" t="str">
        <f>'2024 DO NOT TOUCH'!D189</f>
        <v>FEBCO</v>
      </c>
      <c r="E188" s="55" t="str">
        <f>'2024 DO NOT TOUCH'!E189</f>
        <v>825Y</v>
      </c>
      <c r="F188" s="3" t="str">
        <f>'2024 DO NOT TOUCH'!F189</f>
        <v>RP</v>
      </c>
      <c r="G188" s="55" t="str">
        <f>'2024 DO NOT TOUCH'!G189</f>
        <v>0.75</v>
      </c>
      <c r="H188" s="3" t="str">
        <f>'2024 DO NOT TOUCH'!H189</f>
        <v>IN MECH RM ON WATER SOFTNER</v>
      </c>
      <c r="I188" s="55" t="str">
        <f>'2024 DO NOT TOUCH'!I189</f>
        <v>INPREMISE</v>
      </c>
      <c r="J188" s="3" t="str">
        <f>'2024 DO NOT TOUCH'!J189</f>
        <v>AOI</v>
      </c>
      <c r="K188" s="55" t="str">
        <f>'2024 DO NOT TOUCH'!K189</f>
        <v>ACTIVE</v>
      </c>
      <c r="L188" s="72">
        <f>'2024 DO NOT TOUCH'!L189</f>
        <v>44936</v>
      </c>
      <c r="M188" s="55" t="b">
        <f>'2024 DO NOT TOUCH'!M189</f>
        <v>0</v>
      </c>
      <c r="N188" s="3">
        <f>'2024 DO NOT TOUCH'!N189</f>
        <v>45355</v>
      </c>
      <c r="O188" s="55" t="str">
        <f>'2024 DO NOT TOUCH'!O189</f>
        <v>PASS</v>
      </c>
      <c r="P188" s="66">
        <f>'2024 DO NOT TOUCH'!P189</f>
        <v>7.6</v>
      </c>
      <c r="Q188" s="66">
        <f>'2024 DO NOT TOUCH'!Q189</f>
        <v>0</v>
      </c>
      <c r="R188" s="66">
        <f>'2024 DO NOT TOUCH'!R189</f>
        <v>3.2</v>
      </c>
      <c r="S188" s="55" t="str">
        <f>'2024 DO NOT TOUCH'!S189</f>
        <v>TESTED</v>
      </c>
      <c r="T188" s="55">
        <f>'2024 DO NOT TOUCH'!T189</f>
        <v>0</v>
      </c>
      <c r="U188" s="55">
        <f>'2024 DO NOT TOUCH'!U189</f>
        <v>0</v>
      </c>
      <c r="V188" s="55">
        <f>'2024 DO NOT TOUCH'!V189</f>
        <v>0</v>
      </c>
      <c r="W188" s="55">
        <f>'2024 DO NOT TOUCH'!W189</f>
        <v>0</v>
      </c>
      <c r="X188" s="66">
        <f>'2024 DO NOT TOUCH'!X189</f>
        <v>0</v>
      </c>
      <c r="Y188" s="55">
        <f>'2024 DO NOT TOUCH'!Y189</f>
        <v>0</v>
      </c>
    </row>
    <row r="189" spans="1:25" ht="19.5" customHeight="1">
      <c r="A189" s="58" t="str">
        <f>'2024 DO NOT TOUCH'!A190</f>
        <v>2048</v>
      </c>
      <c r="B189" s="59" t="str">
        <f>'2024 DO NOT TOUCH'!B190</f>
        <v>FLIGHT SIM</v>
      </c>
      <c r="C189" s="58" t="str">
        <f>'2024 DO NOT TOUCH'!C190</f>
        <v>236000310</v>
      </c>
      <c r="D189" s="59" t="str">
        <f>'2024 DO NOT TOUCH'!D190</f>
        <v>AMES</v>
      </c>
      <c r="E189" s="58" t="str">
        <f>'2024 DO NOT TOUCH'!E190</f>
        <v>4000SS</v>
      </c>
      <c r="F189" s="59" t="str">
        <f>'2024 DO NOT TOUCH'!F190</f>
        <v>RP</v>
      </c>
      <c r="G189" s="58" t="str">
        <f>'2024 DO NOT TOUCH'!G190</f>
        <v>2.5</v>
      </c>
      <c r="H189" s="59" t="str">
        <f>'2024 DO NOT TOUCH'!H190</f>
        <v>MECH RM BLDG PREMISE</v>
      </c>
      <c r="I189" s="58" t="str">
        <f>'2024 DO NOT TOUCH'!I190</f>
        <v>PREMISE</v>
      </c>
      <c r="J189" s="59" t="str">
        <f>'2024 DO NOT TOUCH'!J190</f>
        <v>PREMISE</v>
      </c>
      <c r="K189" s="58" t="str">
        <f>'2024 DO NOT TOUCH'!K190</f>
        <v>ACTIVE</v>
      </c>
      <c r="L189" s="71">
        <f>'2024 DO NOT TOUCH'!L190</f>
        <v>44936</v>
      </c>
      <c r="M189" s="58" t="b">
        <f>'2024 DO NOT TOUCH'!M190</f>
        <v>0</v>
      </c>
      <c r="N189" s="59">
        <f>'2024 DO NOT TOUCH'!N190</f>
        <v>45355</v>
      </c>
      <c r="O189" s="58" t="str">
        <f>'2024 DO NOT TOUCH'!O190</f>
        <v>PASS</v>
      </c>
      <c r="P189" s="67" t="e">
        <f>'2024 DO NOT TOUCH'!#REF!</f>
        <v>#REF!</v>
      </c>
      <c r="Q189" s="67">
        <f>'2024 DO NOT TOUCH'!Q190</f>
        <v>0</v>
      </c>
      <c r="R189" s="67">
        <f>'2024 DO NOT TOUCH'!R190</f>
        <v>2.8</v>
      </c>
      <c r="S189" s="58" t="str">
        <f>'2024 DO NOT TOUCH'!S190</f>
        <v>TESTED</v>
      </c>
      <c r="T189" s="58" t="str">
        <f>'2024 DO NOT TOUCH'!T190</f>
        <v>PASSED</v>
      </c>
      <c r="U189" s="58">
        <f>'2024 DO NOT TOUCH'!U190</f>
        <v>0</v>
      </c>
      <c r="V189" s="58">
        <f>'2024 DO NOT TOUCH'!V190</f>
        <v>0</v>
      </c>
      <c r="W189" s="58">
        <f>'2024 DO NOT TOUCH'!W190</f>
        <v>0</v>
      </c>
      <c r="X189" s="67">
        <f>'2024 DO NOT TOUCH'!X190</f>
        <v>0</v>
      </c>
      <c r="Y189" s="58">
        <f>'2024 DO NOT TOUCH'!Y190</f>
        <v>0</v>
      </c>
    </row>
    <row r="190" spans="1:25" ht="19.5" customHeight="1">
      <c r="A190" s="77" t="str">
        <f>'2024 DO NOT TOUCH'!A191</f>
        <v>2048</v>
      </c>
      <c r="B190" s="78" t="str">
        <f>'2024 DO NOT TOUCH'!B191</f>
        <v>FLIGHT SIM</v>
      </c>
      <c r="C190" s="77" t="str">
        <f>'2024 DO NOT TOUCH'!C191</f>
        <v>808559</v>
      </c>
      <c r="D190" s="78" t="str">
        <f>'2024 DO NOT TOUCH'!D191</f>
        <v>HERSEY</v>
      </c>
      <c r="E190" s="77" t="str">
        <f>'2024 DO NOT TOUCH'!E191</f>
        <v>2</v>
      </c>
      <c r="F190" s="78" t="str">
        <f>'2024 DO NOT TOUCH'!F191</f>
        <v>DC</v>
      </c>
      <c r="G190" s="77" t="str">
        <f>'2024 DO NOT TOUCH'!G191</f>
        <v>6.0</v>
      </c>
      <c r="H190" s="78" t="str">
        <f>'2024 DO NOT TOUCH'!H191</f>
        <v>MECH RM FIRE SYS</v>
      </c>
      <c r="I190" s="77" t="str">
        <f>'2024 DO NOT TOUCH'!I191</f>
        <v>PREMISE</v>
      </c>
      <c r="J190" s="78" t="str">
        <f>'2024 DO NOT TOUCH'!J191</f>
        <v>FIRE</v>
      </c>
      <c r="K190" s="77" t="str">
        <f>'2024 DO NOT TOUCH'!K191</f>
        <v>ACTIVE</v>
      </c>
      <c r="L190" s="79">
        <f>'2024 DO NOT TOUCH'!L191</f>
        <v>44936</v>
      </c>
      <c r="M190" s="77" t="b">
        <f>'2024 DO NOT TOUCH'!M191</f>
        <v>0</v>
      </c>
      <c r="N190" s="78">
        <f>'2024 DO NOT TOUCH'!N191</f>
        <v>45355</v>
      </c>
      <c r="O190" s="77" t="str">
        <f>'2024 DO NOT TOUCH'!O191</f>
        <v>PASS</v>
      </c>
      <c r="P190" s="80">
        <f>'2024 DO NOT TOUCH'!P190</f>
        <v>7</v>
      </c>
      <c r="Q190" s="80">
        <f>'2024 DO NOT TOUCH'!Q191</f>
        <v>3.2</v>
      </c>
      <c r="R190" s="80">
        <f>'2024 DO NOT TOUCH'!R191</f>
        <v>0</v>
      </c>
      <c r="S190" s="81" t="str">
        <f>'2024 DO NOT TOUCH'!S191</f>
        <v>TESTED</v>
      </c>
      <c r="T190" s="81" t="str">
        <f>'2024 DO NOT TOUCH'!T191</f>
        <v>PASSED</v>
      </c>
      <c r="U190" s="81">
        <f>'2024 DO NOT TOUCH'!U191</f>
        <v>0</v>
      </c>
      <c r="V190" s="81">
        <f>'2024 DO NOT TOUCH'!V191</f>
        <v>0</v>
      </c>
      <c r="W190" s="81">
        <f>'2024 DO NOT TOUCH'!W191</f>
        <v>0</v>
      </c>
      <c r="X190" s="80">
        <f>'2024 DO NOT TOUCH'!X191</f>
        <v>0</v>
      </c>
      <c r="Y190" s="81">
        <f>'2024 DO NOT TOUCH'!Y191</f>
        <v>0</v>
      </c>
    </row>
    <row r="191" spans="1:25" ht="19.5" customHeight="1">
      <c r="A191" s="58" t="str">
        <f>'2024 DO NOT TOUCH'!A192</f>
        <v>2048</v>
      </c>
      <c r="B191" s="59" t="str">
        <f>'2024 DO NOT TOUCH'!B192</f>
        <v>FLIGHT SIM</v>
      </c>
      <c r="C191" s="58" t="str">
        <f>'2024 DO NOT TOUCH'!C192</f>
        <v>21K0785</v>
      </c>
      <c r="D191" s="59" t="str">
        <f>'2024 DO NOT TOUCH'!D192</f>
        <v>AMES</v>
      </c>
      <c r="E191" s="58" t="str">
        <f>'2024 DO NOT TOUCH'!E192</f>
        <v>2000SE</v>
      </c>
      <c r="F191" s="59" t="str">
        <f>'2024 DO NOT TOUCH'!F192</f>
        <v>DC</v>
      </c>
      <c r="G191" s="58" t="str">
        <f>'2024 DO NOT TOUCH'!G192</f>
        <v>8.0</v>
      </c>
      <c r="H191" s="59" t="str">
        <f>'2024 DO NOT TOUCH'!H192</f>
        <v>MECH RM FIRE SYS</v>
      </c>
      <c r="I191" s="58" t="str">
        <f>'2024 DO NOT TOUCH'!I192</f>
        <v>PREMISE</v>
      </c>
      <c r="J191" s="59" t="str">
        <f>'2024 DO NOT TOUCH'!J192</f>
        <v>FIRE</v>
      </c>
      <c r="K191" s="58" t="str">
        <f>'2024 DO NOT TOUCH'!K192</f>
        <v>ACTIVE</v>
      </c>
      <c r="L191" s="71">
        <f>'2024 DO NOT TOUCH'!L192</f>
        <v>44936</v>
      </c>
      <c r="M191" s="58" t="b">
        <f>'2024 DO NOT TOUCH'!M192</f>
        <v>0</v>
      </c>
      <c r="N191" s="59">
        <f>'2024 DO NOT TOUCH'!N192</f>
        <v>45355</v>
      </c>
      <c r="O191" s="58" t="str">
        <f>'2024 DO NOT TOUCH'!O192</f>
        <v>PASS</v>
      </c>
      <c r="P191" s="65">
        <f>'2024 DO NOT TOUCH'!P192</f>
        <v>2</v>
      </c>
      <c r="Q191" s="65">
        <f>'2024 DO NOT TOUCH'!Q192</f>
        <v>2.4</v>
      </c>
      <c r="R191" s="65">
        <f>'2024 DO NOT TOUCH'!R192</f>
        <v>0</v>
      </c>
      <c r="S191" s="62" t="str">
        <f>'2024 DO NOT TOUCH'!S192</f>
        <v>TESTED</v>
      </c>
      <c r="T191" s="62">
        <f>'2024 DO NOT TOUCH'!T192</f>
        <v>0</v>
      </c>
      <c r="U191" s="62">
        <f>'2024 DO NOT TOUCH'!U192</f>
        <v>0</v>
      </c>
      <c r="V191" s="62">
        <f>'2024 DO NOT TOUCH'!V192</f>
        <v>0</v>
      </c>
      <c r="W191" s="62">
        <f>'2024 DO NOT TOUCH'!W192</f>
        <v>0</v>
      </c>
      <c r="X191" s="65">
        <f>'2024 DO NOT TOUCH'!X192</f>
        <v>0</v>
      </c>
      <c r="Y191" s="62">
        <f>'2024 DO NOT TOUCH'!Y192</f>
        <v>0</v>
      </c>
    </row>
    <row r="192" spans="1:25" ht="19.5" customHeight="1">
      <c r="A192" s="77" t="str">
        <f>'2024 DO NOT TOUCH'!A193</f>
        <v>2048</v>
      </c>
      <c r="B192" s="78" t="str">
        <f>'2024 DO NOT TOUCH'!B193</f>
        <v>FLIGHT SIM</v>
      </c>
      <c r="C192" s="77" t="str">
        <f>'2024 DO NOT TOUCH'!C193</f>
        <v>U2549</v>
      </c>
      <c r="D192" s="78" t="str">
        <f>'2024 DO NOT TOUCH'!D193</f>
        <v>FEBCO</v>
      </c>
      <c r="E192" s="77" t="str">
        <f>'2024 DO NOT TOUCH'!E193</f>
        <v>805Y</v>
      </c>
      <c r="F192" s="78" t="str">
        <f>'2024 DO NOT TOUCH'!F193</f>
        <v>DC</v>
      </c>
      <c r="G192" s="77" t="str">
        <f>'2024 DO NOT TOUCH'!G193</f>
        <v>1.5</v>
      </c>
      <c r="H192" s="78" t="str">
        <f>'2024 DO NOT TOUCH'!H193</f>
        <v>MECH RM IRRIGATION</v>
      </c>
      <c r="I192" s="77" t="str">
        <f>'2024 DO NOT TOUCH'!I193</f>
        <v>PREMISE</v>
      </c>
      <c r="J192" s="78" t="str">
        <f>'2024 DO NOT TOUCH'!J193</f>
        <v>IRR</v>
      </c>
      <c r="K192" s="77" t="str">
        <f>'2024 DO NOT TOUCH'!K193</f>
        <v>ACTIVE</v>
      </c>
      <c r="L192" s="79">
        <f>'2024 DO NOT TOUCH'!L193</f>
        <v>44936</v>
      </c>
      <c r="M192" s="77" t="b">
        <f>'2024 DO NOT TOUCH'!M193</f>
        <v>0</v>
      </c>
      <c r="N192" s="78">
        <f>'2024 DO NOT TOUCH'!N193</f>
        <v>45355</v>
      </c>
      <c r="O192" s="77" t="str">
        <f>'2024 DO NOT TOUCH'!O193</f>
        <v>PASS</v>
      </c>
      <c r="P192" s="80">
        <f>'2024 DO NOT TOUCH'!P193</f>
        <v>3.4</v>
      </c>
      <c r="Q192" s="80">
        <f>'2024 DO NOT TOUCH'!Q193</f>
        <v>3.8</v>
      </c>
      <c r="R192" s="80">
        <f>'2024 DO NOT TOUCH'!R193</f>
        <v>0</v>
      </c>
      <c r="S192" s="81" t="str">
        <f>'2024 DO NOT TOUCH'!S193</f>
        <v>TESTED</v>
      </c>
      <c r="T192" s="81" t="str">
        <f>'2024 DO NOT TOUCH'!T193</f>
        <v>PASSED</v>
      </c>
      <c r="U192" s="81" t="str">
        <f>'2024 DO NOT TOUCH'!U193</f>
        <v>PASSED</v>
      </c>
      <c r="V192" s="81" t="str">
        <f>'2024 DO NOT TOUCH'!V193</f>
        <v>EXISTING</v>
      </c>
      <c r="W192" s="81" t="str">
        <f>'2024 DO NOT TOUCH'!W193</f>
        <v>EXISTING</v>
      </c>
      <c r="X192" s="80">
        <f>'2024 DO NOT TOUCH'!X193</f>
        <v>0</v>
      </c>
      <c r="Y192" s="81">
        <f>'2024 DO NOT TOUCH'!Y193</f>
        <v>0</v>
      </c>
    </row>
    <row r="193" spans="1:25" ht="19.5" customHeight="1">
      <c r="A193" s="58" t="str">
        <f>'2024 DO NOT TOUCH'!A194</f>
        <v>2050</v>
      </c>
      <c r="B193" s="59" t="str">
        <f>'2024 DO NOT TOUCH'!B194</f>
        <v>HANGER 2050</v>
      </c>
      <c r="C193" s="58" t="str">
        <f>'2024 DO NOT TOUCH'!C194</f>
        <v>W185677</v>
      </c>
      <c r="D193" s="59" t="str">
        <f>'2024 DO NOT TOUCH'!D194</f>
        <v>WILKINS</v>
      </c>
      <c r="E193" s="58" t="str">
        <f>'2024 DO NOT TOUCH'!E194</f>
        <v>975XL</v>
      </c>
      <c r="F193" s="59" t="str">
        <f>'2024 DO NOT TOUCH'!F194</f>
        <v>RP</v>
      </c>
      <c r="G193" s="58" t="str">
        <f>'2024 DO NOT TOUCH'!G194</f>
        <v>1.0</v>
      </c>
      <c r="H193" s="59" t="str">
        <f>'2024 DO NOT TOUCH'!H194</f>
        <v>METALS SHOP WATER JETTER</v>
      </c>
      <c r="I193" s="58" t="str">
        <f>'2024 DO NOT TOUCH'!I194</f>
        <v>INPREMISE</v>
      </c>
      <c r="J193" s="59" t="str">
        <f>'2024 DO NOT TOUCH'!J194</f>
        <v>AOI</v>
      </c>
      <c r="K193" s="58" t="str">
        <f>'2024 DO NOT TOUCH'!K194</f>
        <v>ACTIVE</v>
      </c>
      <c r="L193" s="71">
        <f>'2024 DO NOT TOUCH'!L194</f>
        <v>44683</v>
      </c>
      <c r="M193" s="58" t="b">
        <f>'2024 DO NOT TOUCH'!M194</f>
        <v>0</v>
      </c>
      <c r="N193" s="59">
        <f>'2024 DO NOT TOUCH'!N194</f>
        <v>45356</v>
      </c>
      <c r="O193" s="58" t="str">
        <f>'2024 DO NOT TOUCH'!O194</f>
        <v>PASS</v>
      </c>
      <c r="P193" s="67">
        <f>'2024 DO NOT TOUCH'!P194</f>
        <v>7.6</v>
      </c>
      <c r="Q193" s="67">
        <f>'2024 DO NOT TOUCH'!Q194</f>
        <v>0</v>
      </c>
      <c r="R193" s="67">
        <f>'2024 DO NOT TOUCH'!R194</f>
        <v>3.2</v>
      </c>
      <c r="S193" s="58" t="str">
        <f>'2024 DO NOT TOUCH'!S194</f>
        <v>TESTED</v>
      </c>
      <c r="T193" s="58" t="str">
        <f>'2024 DO NOT TOUCH'!T194</f>
        <v>PASSED</v>
      </c>
      <c r="U193" s="58">
        <f>'2024 DO NOT TOUCH'!U194</f>
        <v>0</v>
      </c>
      <c r="V193" s="58">
        <f>'2024 DO NOT TOUCH'!V194</f>
        <v>0</v>
      </c>
      <c r="W193" s="58">
        <f>'2024 DO NOT TOUCH'!W194</f>
        <v>0</v>
      </c>
      <c r="X193" s="67">
        <f>'2024 DO NOT TOUCH'!X194</f>
        <v>0</v>
      </c>
      <c r="Y193" s="58">
        <f>'2024 DO NOT TOUCH'!Y194</f>
        <v>0</v>
      </c>
    </row>
    <row r="194" spans="1:25" ht="19.5" customHeight="1">
      <c r="A194" s="77" t="str">
        <f>'2024 DO NOT TOUCH'!A195</f>
        <v>2050</v>
      </c>
      <c r="B194" s="78" t="str">
        <f>'2024 DO NOT TOUCH'!B195</f>
        <v>HANGER 2050</v>
      </c>
      <c r="C194" s="77" t="str">
        <f>'2024 DO NOT TOUCH'!C195</f>
        <v>W358378</v>
      </c>
      <c r="D194" s="78" t="str">
        <f>'2024 DO NOT TOUCH'!D195</f>
        <v>WILKINS</v>
      </c>
      <c r="E194" s="77" t="str">
        <f>'2024 DO NOT TOUCH'!E195</f>
        <v>975XL</v>
      </c>
      <c r="F194" s="78" t="str">
        <f>'2024 DO NOT TOUCH'!F195</f>
        <v>RP</v>
      </c>
      <c r="G194" s="77" t="str">
        <f>'2024 DO NOT TOUCH'!G195</f>
        <v>0.5</v>
      </c>
      <c r="H194" s="78" t="str">
        <f>'2024 DO NOT TOUCH'!H195</f>
        <v>TIRE SHOP ON WHEEL WASHER</v>
      </c>
      <c r="I194" s="77" t="str">
        <f>'2024 DO NOT TOUCH'!I195</f>
        <v>INPREMISE</v>
      </c>
      <c r="J194" s="78" t="str">
        <f>'2024 DO NOT TOUCH'!J195</f>
        <v>AOI</v>
      </c>
      <c r="K194" s="77" t="str">
        <f>'2024 DO NOT TOUCH'!K195</f>
        <v>ACTIVE</v>
      </c>
      <c r="L194" s="79">
        <f>'2024 DO NOT TOUCH'!L195</f>
        <v>44628</v>
      </c>
      <c r="M194" s="77" t="b">
        <f>'2024 DO NOT TOUCH'!M195</f>
        <v>0</v>
      </c>
      <c r="N194" s="78">
        <f>'2024 DO NOT TOUCH'!N195</f>
        <v>45356</v>
      </c>
      <c r="O194" s="77" t="str">
        <f>'2024 DO NOT TOUCH'!O195</f>
        <v>PASS</v>
      </c>
      <c r="P194" s="83">
        <f>'2024 DO NOT TOUCH'!P195</f>
        <v>7.2</v>
      </c>
      <c r="Q194" s="83">
        <f>'2024 DO NOT TOUCH'!Q195</f>
        <v>0</v>
      </c>
      <c r="R194" s="83">
        <f>'2024 DO NOT TOUCH'!R195</f>
        <v>3.2</v>
      </c>
      <c r="S194" s="77" t="str">
        <f>'2024 DO NOT TOUCH'!S195</f>
        <v>TESTED</v>
      </c>
      <c r="T194" s="77" t="str">
        <f>'2024 DO NOT TOUCH'!T195</f>
        <v>PASSED</v>
      </c>
      <c r="U194" s="77">
        <f>'2024 DO NOT TOUCH'!U195</f>
        <v>0</v>
      </c>
      <c r="V194" s="77">
        <f>'2024 DO NOT TOUCH'!V195</f>
        <v>0</v>
      </c>
      <c r="W194" s="77">
        <f>'2024 DO NOT TOUCH'!W195</f>
        <v>0</v>
      </c>
      <c r="X194" s="83">
        <f>'2024 DO NOT TOUCH'!X195</f>
        <v>0</v>
      </c>
      <c r="Y194" s="77">
        <f>'2024 DO NOT TOUCH'!Y195</f>
        <v>0</v>
      </c>
    </row>
    <row r="195" spans="1:25" ht="19.5" customHeight="1">
      <c r="A195" s="58" t="str">
        <f>'2024 DO NOT TOUCH'!A196</f>
        <v>2050</v>
      </c>
      <c r="B195" s="59" t="str">
        <f>'2024 DO NOT TOUCH'!B196</f>
        <v>HANGER 2050</v>
      </c>
      <c r="C195" s="58" t="str">
        <f>'2024 DO NOT TOUCH'!C196</f>
        <v>Z28343</v>
      </c>
      <c r="D195" s="59" t="str">
        <f>'2024 DO NOT TOUCH'!D196</f>
        <v>WILKINS</v>
      </c>
      <c r="E195" s="58" t="str">
        <f>'2024 DO NOT TOUCH'!E196</f>
        <v>575A</v>
      </c>
      <c r="F195" s="59" t="str">
        <f>'2024 DO NOT TOUCH'!F196</f>
        <v>RP</v>
      </c>
      <c r="G195" s="58" t="str">
        <f>'2024 DO NOT TOUCH'!G196</f>
        <v>1.0</v>
      </c>
      <c r="H195" s="59" t="str">
        <f>'2024 DO NOT TOUCH'!H196</f>
        <v>WEST ANNEX 3RD FLOOR HVAC</v>
      </c>
      <c r="I195" s="58" t="str">
        <f>'2024 DO NOT TOUCH'!I196</f>
        <v>INPREMISE</v>
      </c>
      <c r="J195" s="59" t="str">
        <f>'2024 DO NOT TOUCH'!J196</f>
        <v>AOI</v>
      </c>
      <c r="K195" s="58" t="str">
        <f>'2024 DO NOT TOUCH'!K196</f>
        <v>INACTIVE</v>
      </c>
      <c r="L195" s="71">
        <f>'2024 DO NOT TOUCH'!L196</f>
        <v>0</v>
      </c>
      <c r="M195" s="58" t="b">
        <f>'2024 DO NOT TOUCH'!M196</f>
        <v>0</v>
      </c>
      <c r="N195" s="59">
        <f>'2024 DO NOT TOUCH'!N196</f>
        <v>0</v>
      </c>
      <c r="O195" s="58">
        <f>'2024 DO NOT TOUCH'!O196</f>
        <v>0</v>
      </c>
      <c r="P195" s="65">
        <f>'2024 DO NOT TOUCH'!P196</f>
        <v>0</v>
      </c>
      <c r="Q195" s="65">
        <f>'2024 DO NOT TOUCH'!Q196</f>
        <v>0</v>
      </c>
      <c r="R195" s="65">
        <f>'2024 DO NOT TOUCH'!R196</f>
        <v>0</v>
      </c>
      <c r="S195" s="62" t="str">
        <f>'2024 DO NOT TOUCH'!S196</f>
        <v>UNTESTED</v>
      </c>
      <c r="T195" s="62">
        <f>'2024 DO NOT TOUCH'!T196</f>
        <v>0</v>
      </c>
      <c r="U195" s="62">
        <f>'2024 DO NOT TOUCH'!U196</f>
        <v>0</v>
      </c>
      <c r="V195" s="62">
        <f>'2024 DO NOT TOUCH'!V196</f>
        <v>0</v>
      </c>
      <c r="W195" s="62">
        <f>'2024 DO NOT TOUCH'!W196</f>
        <v>0</v>
      </c>
      <c r="X195" s="65">
        <f>'2024 DO NOT TOUCH'!X196</f>
        <v>0</v>
      </c>
      <c r="Y195" s="62" t="str">
        <f>'2024 DO NOT TOUCH'!Y196</f>
        <v>REMOVED</v>
      </c>
    </row>
    <row r="196" spans="1:25" ht="19.5" customHeight="1">
      <c r="A196" s="55" t="str">
        <f>'2024 DO NOT TOUCH'!A197</f>
        <v>2050</v>
      </c>
      <c r="B196" s="3" t="str">
        <f>'2024 DO NOT TOUCH'!B197</f>
        <v>HANGER 2050</v>
      </c>
      <c r="C196" s="55" t="str">
        <f>'2024 DO NOT TOUCH'!C197</f>
        <v>Z28324</v>
      </c>
      <c r="D196" s="3" t="str">
        <f>'2024 DO NOT TOUCH'!D197</f>
        <v>WILKINS</v>
      </c>
      <c r="E196" s="55" t="str">
        <f>'2024 DO NOT TOUCH'!E197</f>
        <v>575A</v>
      </c>
      <c r="F196" s="3" t="str">
        <f>'2024 DO NOT TOUCH'!F197</f>
        <v>RP</v>
      </c>
      <c r="G196" s="55" t="str">
        <f>'2024 DO NOT TOUCH'!G197</f>
        <v>1.0</v>
      </c>
      <c r="H196" s="3" t="str">
        <f>'2024 DO NOT TOUCH'!H197</f>
        <v>EAST ANNEX 3RD FLOOR HVAC</v>
      </c>
      <c r="I196" s="55" t="str">
        <f>'2024 DO NOT TOUCH'!I197</f>
        <v>INPREMISE</v>
      </c>
      <c r="J196" s="3" t="str">
        <f>'2024 DO NOT TOUCH'!J197</f>
        <v>AOI</v>
      </c>
      <c r="K196" s="55" t="str">
        <f>'2024 DO NOT TOUCH'!K197</f>
        <v>INACTIVE</v>
      </c>
      <c r="L196" s="72">
        <f>'2024 DO NOT TOUCH'!L197</f>
        <v>0</v>
      </c>
      <c r="M196" s="55" t="b">
        <f>'2024 DO NOT TOUCH'!M197</f>
        <v>0</v>
      </c>
      <c r="N196" s="3">
        <f>'2024 DO NOT TOUCH'!N197</f>
        <v>0</v>
      </c>
      <c r="O196" s="55">
        <f>'2024 DO NOT TOUCH'!O197</f>
        <v>0</v>
      </c>
      <c r="P196" s="64">
        <f>'2024 DO NOT TOUCH'!P197</f>
        <v>0</v>
      </c>
      <c r="Q196" s="64">
        <f>'2024 DO NOT TOUCH'!Q197</f>
        <v>0</v>
      </c>
      <c r="R196" s="64">
        <f>'2024 DO NOT TOUCH'!R197</f>
        <v>0</v>
      </c>
      <c r="S196" s="57" t="str">
        <f>'2024 DO NOT TOUCH'!S197</f>
        <v>UNTESTED</v>
      </c>
      <c r="T196" s="57">
        <f>'2024 DO NOT TOUCH'!T197</f>
        <v>0</v>
      </c>
      <c r="U196" s="57">
        <f>'2024 DO NOT TOUCH'!U197</f>
        <v>0</v>
      </c>
      <c r="V196" s="57">
        <f>'2024 DO NOT TOUCH'!V197</f>
        <v>0</v>
      </c>
      <c r="W196" s="57">
        <f>'2024 DO NOT TOUCH'!W197</f>
        <v>0</v>
      </c>
      <c r="X196" s="64">
        <f>'2024 DO NOT TOUCH'!X197</f>
        <v>0</v>
      </c>
      <c r="Y196" s="57" t="str">
        <f>'2024 DO NOT TOUCH'!Y197</f>
        <v>REMOVED</v>
      </c>
    </row>
    <row r="197" spans="1:25" ht="19.5" customHeight="1">
      <c r="A197" s="58" t="str">
        <f>'2024 DO NOT TOUCH'!A198</f>
        <v>2050</v>
      </c>
      <c r="B197" s="59" t="str">
        <f>'2024 DO NOT TOUCH'!B198</f>
        <v>HANGER 2050</v>
      </c>
      <c r="C197" s="58" t="str">
        <f>'2024 DO NOT TOUCH'!C198</f>
        <v>W358303</v>
      </c>
      <c r="D197" s="59" t="str">
        <f>'2024 DO NOT TOUCH'!D198</f>
        <v>WILKINS</v>
      </c>
      <c r="E197" s="58" t="str">
        <f>'2024 DO NOT TOUCH'!E198</f>
        <v>975XL</v>
      </c>
      <c r="F197" s="59" t="str">
        <f>'2024 DO NOT TOUCH'!F198</f>
        <v>RP</v>
      </c>
      <c r="G197" s="58" t="str">
        <f>'2024 DO NOT TOUCH'!G198</f>
        <v>1.0</v>
      </c>
      <c r="H197" s="59" t="str">
        <f>'2024 DO NOT TOUCH'!H198</f>
        <v>HYDRAULIC TEST STAND SUPPLY</v>
      </c>
      <c r="I197" s="58" t="str">
        <f>'2024 DO NOT TOUCH'!I198</f>
        <v>INPREMISE</v>
      </c>
      <c r="J197" s="59" t="str">
        <f>'2024 DO NOT TOUCH'!J198</f>
        <v>AOI</v>
      </c>
      <c r="K197" s="58" t="str">
        <f>'2024 DO NOT TOUCH'!K198</f>
        <v>ACTIVE</v>
      </c>
      <c r="L197" s="71">
        <f>'2024 DO NOT TOUCH'!L198</f>
        <v>44629</v>
      </c>
      <c r="M197" s="58" t="b">
        <f>'2024 DO NOT TOUCH'!M198</f>
        <v>0</v>
      </c>
      <c r="N197" s="59">
        <f>'2024 DO NOT TOUCH'!N198</f>
        <v>45356</v>
      </c>
      <c r="O197" s="58" t="str">
        <f>'2024 DO NOT TOUCH'!O198</f>
        <v>PASS</v>
      </c>
      <c r="P197" s="65">
        <f>'2024 DO NOT TOUCH'!P198</f>
        <v>0</v>
      </c>
      <c r="Q197" s="65">
        <f>'2024 DO NOT TOUCH'!Q198</f>
        <v>0</v>
      </c>
      <c r="R197" s="65">
        <f>'2024 DO NOT TOUCH'!R198</f>
        <v>0</v>
      </c>
      <c r="S197" s="62" t="str">
        <f>'2024 DO NOT TOUCH'!S198</f>
        <v>UNTESTED</v>
      </c>
      <c r="T197" s="62">
        <f>'2024 DO NOT TOUCH'!T198</f>
        <v>0</v>
      </c>
      <c r="U197" s="62">
        <f>'2024 DO NOT TOUCH'!U198</f>
        <v>0</v>
      </c>
      <c r="V197" s="62">
        <f>'2024 DO NOT TOUCH'!V198</f>
        <v>0</v>
      </c>
      <c r="W197" s="62">
        <f>'2024 DO NOT TOUCH'!W198</f>
        <v>0</v>
      </c>
      <c r="X197" s="65">
        <f>'2024 DO NOT TOUCH'!X198</f>
        <v>0</v>
      </c>
      <c r="Y197" s="62" t="str">
        <f>'2024 DO NOT TOUCH'!Y198</f>
        <v>DRAIN LINE CAPPED</v>
      </c>
    </row>
    <row r="198" spans="1:25" ht="19.5" customHeight="1">
      <c r="A198" s="55" t="str">
        <f>'2024 DO NOT TOUCH'!A199</f>
        <v>2050</v>
      </c>
      <c r="B198" s="55" t="str">
        <f>'2024 DO NOT TOUCH'!B199</f>
        <v>HANGER 2050</v>
      </c>
      <c r="C198" s="55" t="str">
        <f>'2024 DO NOT TOUCH'!C199</f>
        <v>X31140</v>
      </c>
      <c r="D198" s="55" t="str">
        <f>'2024 DO NOT TOUCH'!D199</f>
        <v>WILKINS</v>
      </c>
      <c r="E198" s="55" t="str">
        <f>'2024 DO NOT TOUCH'!E199</f>
        <v>375A</v>
      </c>
      <c r="F198" s="55" t="str">
        <f>'2024 DO NOT TOUCH'!F199</f>
        <v>RP</v>
      </c>
      <c r="G198" s="55" t="str">
        <f>'2024 DO NOT TOUCH'!G199</f>
        <v>10.0</v>
      </c>
      <c r="H198" s="55" t="str">
        <f>'2024 DO NOT TOUCH'!H199</f>
        <v xml:space="preserve">IN AGE SHOP FIRE </v>
      </c>
      <c r="I198" s="55" t="str">
        <f>'2024 DO NOT TOUCH'!I199</f>
        <v>PREMISE</v>
      </c>
      <c r="J198" s="55" t="str">
        <f>'2024 DO NOT TOUCH'!J199</f>
        <v>FIRE</v>
      </c>
      <c r="K198" s="55" t="str">
        <f>'2024 DO NOT TOUCH'!K199</f>
        <v>ACTIVE</v>
      </c>
      <c r="L198" s="56">
        <f>'2024 DO NOT TOUCH'!L199</f>
        <v>44628</v>
      </c>
      <c r="M198" s="56" t="b">
        <f>'2024 DO NOT TOUCH'!M199</f>
        <v>0</v>
      </c>
      <c r="N198" s="56">
        <f>'2024 DO NOT TOUCH'!N199</f>
        <v>45356</v>
      </c>
      <c r="O198" s="55" t="str">
        <f>'2024 DO NOT TOUCH'!O199</f>
        <v>PASS</v>
      </c>
      <c r="P198" s="64">
        <f>'2024 DO NOT TOUCH'!P199</f>
        <v>6.2</v>
      </c>
      <c r="Q198" s="64">
        <f>'2024 DO NOT TOUCH'!Q199</f>
        <v>0</v>
      </c>
      <c r="R198" s="64">
        <f>'2024 DO NOT TOUCH'!R199</f>
        <v>3.8</v>
      </c>
      <c r="S198" s="55" t="str">
        <f>'2024 DO NOT TOUCH'!S199</f>
        <v>TESTED</v>
      </c>
      <c r="T198" s="55" t="str">
        <f>'2024 DO NOT TOUCH'!T199</f>
        <v>PASSED</v>
      </c>
      <c r="U198" s="55">
        <f>'2024 DO NOT TOUCH'!U199</f>
        <v>0</v>
      </c>
      <c r="V198" s="55">
        <f>'2024 DO NOT TOUCH'!V199</f>
        <v>0</v>
      </c>
      <c r="W198" s="55">
        <f>'2024 DO NOT TOUCH'!W199</f>
        <v>0</v>
      </c>
      <c r="X198" s="66">
        <f>'2024 DO NOT TOUCH'!X199</f>
        <v>0</v>
      </c>
      <c r="Y198" s="55">
        <f>'2024 DO NOT TOUCH'!Y199</f>
        <v>0</v>
      </c>
    </row>
    <row r="199" spans="1:25" ht="19.5" customHeight="1">
      <c r="A199" s="58" t="str">
        <f>'2024 DO NOT TOUCH'!A200</f>
        <v>2050</v>
      </c>
      <c r="B199" s="59" t="str">
        <f>'2024 DO NOT TOUCH'!B200</f>
        <v>HANGER 2050</v>
      </c>
      <c r="C199" s="58" t="str">
        <f>'2024 DO NOT TOUCH'!C200</f>
        <v>X31139</v>
      </c>
      <c r="D199" s="59" t="str">
        <f>'2024 DO NOT TOUCH'!D200</f>
        <v>WILKINS</v>
      </c>
      <c r="E199" s="58" t="str">
        <f>'2024 DO NOT TOUCH'!E200</f>
        <v>375A</v>
      </c>
      <c r="F199" s="59" t="str">
        <f>'2024 DO NOT TOUCH'!F200</f>
        <v>RP</v>
      </c>
      <c r="G199" s="58" t="str">
        <f>'2024 DO NOT TOUCH'!G200</f>
        <v>10.0</v>
      </c>
      <c r="H199" s="59" t="str">
        <f>'2024 DO NOT TOUCH'!H200</f>
        <v xml:space="preserve">IN AGE SHOP FIRE </v>
      </c>
      <c r="I199" s="58" t="str">
        <f>'2024 DO NOT TOUCH'!I200</f>
        <v>PREMISE</v>
      </c>
      <c r="J199" s="59" t="str">
        <f>'2024 DO NOT TOUCH'!J200</f>
        <v>FIRE</v>
      </c>
      <c r="K199" s="58" t="str">
        <f>'2024 DO NOT TOUCH'!K200</f>
        <v>ACTIVE</v>
      </c>
      <c r="L199" s="71">
        <f>'2024 DO NOT TOUCH'!L200</f>
        <v>44628</v>
      </c>
      <c r="M199" s="58" t="b">
        <f>'2024 DO NOT TOUCH'!M200</f>
        <v>0</v>
      </c>
      <c r="N199" s="59">
        <f>'2024 DO NOT TOUCH'!N200</f>
        <v>45356</v>
      </c>
      <c r="O199" s="58" t="str">
        <f>'2024 DO NOT TOUCH'!O200</f>
        <v>PASS</v>
      </c>
      <c r="P199" s="65">
        <f>'2024 DO NOT TOUCH'!P200</f>
        <v>6.6</v>
      </c>
      <c r="Q199" s="65">
        <f>'2024 DO NOT TOUCH'!Q200</f>
        <v>0</v>
      </c>
      <c r="R199" s="65">
        <f>'2024 DO NOT TOUCH'!R200</f>
        <v>3.4</v>
      </c>
      <c r="S199" s="62" t="str">
        <f>'2024 DO NOT TOUCH'!S200</f>
        <v>TESTED</v>
      </c>
      <c r="T199" s="62" t="str">
        <f>'2024 DO NOT TOUCH'!T200</f>
        <v>PASSED</v>
      </c>
      <c r="U199" s="62">
        <f>'2024 DO NOT TOUCH'!U200</f>
        <v>0</v>
      </c>
      <c r="V199" s="62">
        <f>'2024 DO NOT TOUCH'!V200</f>
        <v>0</v>
      </c>
      <c r="W199" s="62">
        <f>'2024 DO NOT TOUCH'!W200</f>
        <v>0</v>
      </c>
      <c r="X199" s="65">
        <f>'2024 DO NOT TOUCH'!X200</f>
        <v>0</v>
      </c>
      <c r="Y199" s="62">
        <f>'2024 DO NOT TOUCH'!Y200</f>
        <v>0</v>
      </c>
    </row>
    <row r="200" spans="1:25" ht="19.5" customHeight="1">
      <c r="A200" s="55" t="str">
        <f>'2024 DO NOT TOUCH'!A201</f>
        <v>2050</v>
      </c>
      <c r="B200" s="3" t="str">
        <f>'2024 DO NOT TOUCH'!B201</f>
        <v>HANGER 2050</v>
      </c>
      <c r="C200" s="55" t="str">
        <f>'2024 DO NOT TOUCH'!C201</f>
        <v>J10276</v>
      </c>
      <c r="D200" s="3" t="str">
        <f>'2024 DO NOT TOUCH'!D201</f>
        <v>WILKINS</v>
      </c>
      <c r="E200" s="55" t="str">
        <f>'2024 DO NOT TOUCH'!E201</f>
        <v>350</v>
      </c>
      <c r="F200" s="3" t="str">
        <f>'2024 DO NOT TOUCH'!F201</f>
        <v>DC</v>
      </c>
      <c r="G200" s="55" t="str">
        <f>'2024 DO NOT TOUCH'!G201</f>
        <v>6.0</v>
      </c>
      <c r="H200" s="3" t="str">
        <f>'2024 DO NOT TOUCH'!H201</f>
        <v>NE HANGER #1 FIRE SYS</v>
      </c>
      <c r="I200" s="55" t="str">
        <f>'2024 DO NOT TOUCH'!I201</f>
        <v>PREMISE</v>
      </c>
      <c r="J200" s="3" t="str">
        <f>'2024 DO NOT TOUCH'!J201</f>
        <v>FIRE</v>
      </c>
      <c r="K200" s="55" t="str">
        <f>'2024 DO NOT TOUCH'!K201</f>
        <v>ACTIVE</v>
      </c>
      <c r="L200" s="72">
        <f>'2024 DO NOT TOUCH'!L201</f>
        <v>44629</v>
      </c>
      <c r="M200" s="55" t="b">
        <f>'2024 DO NOT TOUCH'!M201</f>
        <v>0</v>
      </c>
      <c r="N200" s="3">
        <f>'2024 DO NOT TOUCH'!N201</f>
        <v>45356</v>
      </c>
      <c r="O200" s="55" t="str">
        <f>'2024 DO NOT TOUCH'!O201</f>
        <v>PASS</v>
      </c>
      <c r="P200" s="64">
        <f>'2024 DO NOT TOUCH'!P201</f>
        <v>3.2</v>
      </c>
      <c r="Q200" s="64">
        <f>'2024 DO NOT TOUCH'!Q201</f>
        <v>3.3</v>
      </c>
      <c r="R200" s="64">
        <f>'2024 DO NOT TOUCH'!R201</f>
        <v>0</v>
      </c>
      <c r="S200" s="57" t="str">
        <f>'2024 DO NOT TOUCH'!S201</f>
        <v>TESTED</v>
      </c>
      <c r="T200" s="57" t="str">
        <f>'2024 DO NOT TOUCH'!T201</f>
        <v>PASSED</v>
      </c>
      <c r="U200" s="57">
        <f>'2024 DO NOT TOUCH'!U201</f>
        <v>0</v>
      </c>
      <c r="V200" s="57">
        <f>'2024 DO NOT TOUCH'!V201</f>
        <v>0</v>
      </c>
      <c r="W200" s="57">
        <f>'2024 DO NOT TOUCH'!W201</f>
        <v>0</v>
      </c>
      <c r="X200" s="64">
        <f>'2024 DO NOT TOUCH'!X201</f>
        <v>0</v>
      </c>
      <c r="Y200" s="57">
        <f>'2024 DO NOT TOUCH'!Y201</f>
        <v>0</v>
      </c>
    </row>
    <row r="201" spans="1:25" ht="19.5" customHeight="1">
      <c r="A201" s="58" t="str">
        <f>'2024 DO NOT TOUCH'!A202</f>
        <v>2050</v>
      </c>
      <c r="B201" s="59" t="str">
        <f>'2024 DO NOT TOUCH'!B202</f>
        <v>HANGER 2050</v>
      </c>
      <c r="C201" s="58" t="str">
        <f>'2024 DO NOT TOUCH'!C202</f>
        <v>38142</v>
      </c>
      <c r="D201" s="59" t="str">
        <f>'2024 DO NOT TOUCH'!D202</f>
        <v>FEBCO</v>
      </c>
      <c r="E201" s="58" t="str">
        <f>'2024 DO NOT TOUCH'!E202</f>
        <v>825Y</v>
      </c>
      <c r="F201" s="59" t="str">
        <f>'2024 DO NOT TOUCH'!F202</f>
        <v>RP</v>
      </c>
      <c r="G201" s="58" t="str">
        <f>'2024 DO NOT TOUCH'!G202</f>
        <v>0.75</v>
      </c>
      <c r="H201" s="59" t="str">
        <f>'2024 DO NOT TOUCH'!H202</f>
        <v>PENETRANT LINE IN NDI LAB HOT WATER</v>
      </c>
      <c r="I201" s="58" t="str">
        <f>'2024 DO NOT TOUCH'!I202</f>
        <v>INPREMISE</v>
      </c>
      <c r="J201" s="59" t="str">
        <f>'2024 DO NOT TOUCH'!J202</f>
        <v>AOI</v>
      </c>
      <c r="K201" s="58" t="str">
        <f>'2024 DO NOT TOUCH'!K202</f>
        <v>ACTIVE</v>
      </c>
      <c r="L201" s="71">
        <f>'2024 DO NOT TOUCH'!L202</f>
        <v>44628</v>
      </c>
      <c r="M201" s="58" t="b">
        <f>'2024 DO NOT TOUCH'!M202</f>
        <v>0</v>
      </c>
      <c r="N201" s="59">
        <f>'2024 DO NOT TOUCH'!N202</f>
        <v>45355</v>
      </c>
      <c r="O201" s="58" t="str">
        <f>'2024 DO NOT TOUCH'!O202</f>
        <v>PASS</v>
      </c>
      <c r="P201" s="65">
        <f>'2024 DO NOT TOUCH'!P202</f>
        <v>0</v>
      </c>
      <c r="Q201" s="65">
        <f>'2024 DO NOT TOUCH'!Q202</f>
        <v>0</v>
      </c>
      <c r="R201" s="65">
        <f>'2024 DO NOT TOUCH'!R202</f>
        <v>0</v>
      </c>
      <c r="S201" s="62" t="str">
        <f>'2024 DO NOT TOUCH'!S202</f>
        <v>UNTESTED</v>
      </c>
      <c r="T201" s="62">
        <f>'2024 DO NOT TOUCH'!T202</f>
        <v>0</v>
      </c>
      <c r="U201" s="62">
        <f>'2024 DO NOT TOUCH'!U202</f>
        <v>0</v>
      </c>
      <c r="V201" s="62">
        <f>'2024 DO NOT TOUCH'!V202</f>
        <v>0</v>
      </c>
      <c r="W201" s="62">
        <f>'2024 DO NOT TOUCH'!W202</f>
        <v>0</v>
      </c>
      <c r="X201" s="65">
        <f>'2024 DO NOT TOUCH'!X202</f>
        <v>0</v>
      </c>
      <c r="Y201" s="62">
        <f>'2024 DO NOT TOUCH'!Y202</f>
        <v>0</v>
      </c>
    </row>
    <row r="202" spans="1:25" ht="19.5" customHeight="1">
      <c r="A202" s="55" t="str">
        <f>'2024 DO NOT TOUCH'!A203</f>
        <v>2050</v>
      </c>
      <c r="B202" s="3" t="str">
        <f>'2024 DO NOT TOUCH'!B203</f>
        <v>HANGER 2050</v>
      </c>
      <c r="C202" s="55" t="str">
        <f>'2024 DO NOT TOUCH'!C203</f>
        <v>H17947</v>
      </c>
      <c r="D202" s="3" t="str">
        <f>'2024 DO NOT TOUCH'!D203</f>
        <v>FEBCO</v>
      </c>
      <c r="E202" s="55" t="str">
        <f>'2024 DO NOT TOUCH'!E203</f>
        <v>825Y</v>
      </c>
      <c r="F202" s="3" t="str">
        <f>'2024 DO NOT TOUCH'!F203</f>
        <v>RP</v>
      </c>
      <c r="G202" s="55" t="str">
        <f>'2024 DO NOT TOUCH'!G203</f>
        <v>0.75</v>
      </c>
      <c r="H202" s="3" t="str">
        <f>'2024 DO NOT TOUCH'!H203</f>
        <v>PENETRANT LINE NDI LAB COLD WATER</v>
      </c>
      <c r="I202" s="55" t="str">
        <f>'2024 DO NOT TOUCH'!I203</f>
        <v>INPREMISE</v>
      </c>
      <c r="J202" s="3" t="str">
        <f>'2024 DO NOT TOUCH'!J203</f>
        <v>AOI</v>
      </c>
      <c r="K202" s="55" t="str">
        <f>'2024 DO NOT TOUCH'!K203</f>
        <v>ACTIVE</v>
      </c>
      <c r="L202" s="72">
        <f>'2024 DO NOT TOUCH'!L203</f>
        <v>44628</v>
      </c>
      <c r="M202" s="55" t="b">
        <f>'2024 DO NOT TOUCH'!M203</f>
        <v>0</v>
      </c>
      <c r="N202" s="3">
        <f>'2024 DO NOT TOUCH'!N203</f>
        <v>45355</v>
      </c>
      <c r="O202" s="55" t="str">
        <f>'2024 DO NOT TOUCH'!O203</f>
        <v>PASS</v>
      </c>
      <c r="P202" s="66">
        <f>'2024 DO NOT TOUCH'!P203</f>
        <v>7.8</v>
      </c>
      <c r="Q202" s="66">
        <f>'2024 DO NOT TOUCH'!Q203</f>
        <v>0</v>
      </c>
      <c r="R202" s="66">
        <f>'2024 DO NOT TOUCH'!R203</f>
        <v>3.6</v>
      </c>
      <c r="S202" s="55" t="str">
        <f>'2024 DO NOT TOUCH'!S203</f>
        <v>TESTED</v>
      </c>
      <c r="T202" s="55" t="str">
        <f>'2024 DO NOT TOUCH'!T203</f>
        <v>PASSED</v>
      </c>
      <c r="U202" s="55">
        <f>'2024 DO NOT TOUCH'!U203</f>
        <v>0</v>
      </c>
      <c r="V202" s="55">
        <f>'2024 DO NOT TOUCH'!V203</f>
        <v>0</v>
      </c>
      <c r="W202" s="55">
        <f>'2024 DO NOT TOUCH'!W203</f>
        <v>0</v>
      </c>
      <c r="X202" s="66">
        <f>'2024 DO NOT TOUCH'!X203</f>
        <v>0</v>
      </c>
      <c r="Y202" s="55">
        <f>'2024 DO NOT TOUCH'!Y203</f>
        <v>0</v>
      </c>
    </row>
    <row r="203" spans="1:25" ht="19.5" customHeight="1">
      <c r="A203" s="58" t="str">
        <f>'2024 DO NOT TOUCH'!A204</f>
        <v>2060</v>
      </c>
      <c r="B203" s="59" t="str">
        <f>'2024 DO NOT TOUCH'!B204</f>
        <v>ALT COMMAND POST</v>
      </c>
      <c r="C203" s="58" t="str">
        <f>'2024 DO NOT TOUCH'!C204</f>
        <v>3080716</v>
      </c>
      <c r="D203" s="59" t="str">
        <f>'2024 DO NOT TOUCH'!D204</f>
        <v>WILKINS</v>
      </c>
      <c r="E203" s="58" t="str">
        <f>'2024 DO NOT TOUCH'!E204</f>
        <v>975XL</v>
      </c>
      <c r="F203" s="59" t="str">
        <f>'2024 DO NOT TOUCH'!F204</f>
        <v>RP</v>
      </c>
      <c r="G203" s="58" t="str">
        <f>'2024 DO NOT TOUCH'!G204</f>
        <v>1.5</v>
      </c>
      <c r="H203" s="59" t="str">
        <f>'2024 DO NOT TOUCH'!H204</f>
        <v>MECH RM BEHIND BOILER</v>
      </c>
      <c r="I203" s="58" t="str">
        <f>'2024 DO NOT TOUCH'!I204</f>
        <v>PREMISE</v>
      </c>
      <c r="J203" s="59" t="str">
        <f>'2024 DO NOT TOUCH'!J204</f>
        <v>PREMISE</v>
      </c>
      <c r="K203" s="58" t="str">
        <f>'2024 DO NOT TOUCH'!K204</f>
        <v>ACTIVE</v>
      </c>
      <c r="L203" s="71">
        <f>'2024 DO NOT TOUCH'!L204</f>
        <v>44837</v>
      </c>
      <c r="M203" s="58" t="b">
        <f>'2024 DO NOT TOUCH'!M204</f>
        <v>0</v>
      </c>
      <c r="N203" s="59">
        <f>'2024 DO NOT TOUCH'!N204</f>
        <v>0</v>
      </c>
      <c r="O203" s="58">
        <f>'2024 DO NOT TOUCH'!O204</f>
        <v>0</v>
      </c>
      <c r="P203" s="67">
        <f>'2024 DO NOT TOUCH'!P204</f>
        <v>0</v>
      </c>
      <c r="Q203" s="67">
        <f>'2024 DO NOT TOUCH'!Q204</f>
        <v>0</v>
      </c>
      <c r="R203" s="67">
        <f>'2024 DO NOT TOUCH'!R204</f>
        <v>0</v>
      </c>
      <c r="S203" s="58" t="str">
        <f>'2024 DO NOT TOUCH'!S204</f>
        <v>TESTED</v>
      </c>
      <c r="T203" s="58" t="str">
        <f>'2024 DO NOT TOUCH'!T204</f>
        <v>PASSED</v>
      </c>
      <c r="U203" s="58">
        <f>'2024 DO NOT TOUCH'!U204</f>
        <v>0</v>
      </c>
      <c r="V203" s="58">
        <f>'2024 DO NOT TOUCH'!V204</f>
        <v>0</v>
      </c>
      <c r="W203" s="58">
        <f>'2024 DO NOT TOUCH'!W204</f>
        <v>0</v>
      </c>
      <c r="X203" s="67" t="str">
        <f>'2024 DO NOT TOUCH'!X204</f>
        <v>3080470</v>
      </c>
      <c r="Y203" s="58">
        <f>'2024 DO NOT TOUCH'!Y204</f>
        <v>0</v>
      </c>
    </row>
    <row r="204" spans="1:25" ht="19.5" customHeight="1">
      <c r="A204" s="77" t="str">
        <f>'2024 DO NOT TOUCH'!A205</f>
        <v>2060</v>
      </c>
      <c r="B204" s="78" t="str">
        <f>'2024 DO NOT TOUCH'!B205</f>
        <v>ALT COMMAND POST</v>
      </c>
      <c r="C204" s="77" t="str">
        <f>'2024 DO NOT TOUCH'!C205</f>
        <v>3079419</v>
      </c>
      <c r="D204" s="78" t="str">
        <f>'2024 DO NOT TOUCH'!D205</f>
        <v>WILKINS</v>
      </c>
      <c r="E204" s="77" t="str">
        <f>'2024 DO NOT TOUCH'!E205</f>
        <v>975XL</v>
      </c>
      <c r="F204" s="78" t="str">
        <f>'2024 DO NOT TOUCH'!F205</f>
        <v>RP</v>
      </c>
      <c r="G204" s="77" t="str">
        <f>'2024 DO NOT TOUCH'!G205</f>
        <v>.75</v>
      </c>
      <c r="H204" s="78" t="str">
        <f>'2024 DO NOT TOUCH'!H205</f>
        <v>IMMEDIATE RIGHT, 2ND DOOR OF MECH RM</v>
      </c>
      <c r="I204" s="77" t="str">
        <f>'2024 DO NOT TOUCH'!I205</f>
        <v>INPREMISE</v>
      </c>
      <c r="J204" s="78" t="str">
        <f>'2024 DO NOT TOUCH'!J205</f>
        <v>AOI</v>
      </c>
      <c r="K204" s="77" t="str">
        <f>'2024 DO NOT TOUCH'!K205</f>
        <v>ACTIVE</v>
      </c>
      <c r="L204" s="79">
        <f>'2024 DO NOT TOUCH'!L205</f>
        <v>44837</v>
      </c>
      <c r="M204" s="77" t="b">
        <f>'2024 DO NOT TOUCH'!M205</f>
        <v>0</v>
      </c>
      <c r="N204" s="78">
        <f>'2024 DO NOT TOUCH'!N205</f>
        <v>0</v>
      </c>
      <c r="O204" s="77">
        <f>'2024 DO NOT TOUCH'!O205</f>
        <v>0</v>
      </c>
      <c r="P204" s="80">
        <f>'2024 DO NOT TOUCH'!P205</f>
        <v>0</v>
      </c>
      <c r="Q204" s="80">
        <f>'2024 DO NOT TOUCH'!Q205</f>
        <v>0</v>
      </c>
      <c r="R204" s="80">
        <f>'2024 DO NOT TOUCH'!R205</f>
        <v>0</v>
      </c>
      <c r="S204" s="81" t="str">
        <f>'2024 DO NOT TOUCH'!S205</f>
        <v>TESTED</v>
      </c>
      <c r="T204" s="81" t="str">
        <f>'2024 DO NOT TOUCH'!T205</f>
        <v>PASSED</v>
      </c>
      <c r="U204" s="81" t="str">
        <f>'2024 DO NOT TOUCH'!U205</f>
        <v>REPAIRED</v>
      </c>
      <c r="V204" s="81" t="str">
        <f>'2024 DO NOT TOUCH'!V205</f>
        <v>EXISTING</v>
      </c>
      <c r="W204" s="81" t="str">
        <f>'2024 DO NOT TOUCH'!W205</f>
        <v>EXISTING</v>
      </c>
      <c r="X204" s="80">
        <f>'2024 DO NOT TOUCH'!X205</f>
        <v>0</v>
      </c>
      <c r="Y204" s="81">
        <f>'2024 DO NOT TOUCH'!Y205</f>
        <v>0</v>
      </c>
    </row>
    <row r="205" spans="1:25" ht="19.5" customHeight="1">
      <c r="A205" s="58" t="str">
        <f>'2024 DO NOT TOUCH'!A206</f>
        <v>2065</v>
      </c>
      <c r="B205" s="59" t="str">
        <f>'2024 DO NOT TOUCH'!B206</f>
        <v>SKY BOX CAFE</v>
      </c>
      <c r="C205" s="58" t="str">
        <f>'2024 DO NOT TOUCH'!C206</f>
        <v>W01238</v>
      </c>
      <c r="D205" s="59" t="str">
        <f>'2024 DO NOT TOUCH'!D206</f>
        <v>WATTS</v>
      </c>
      <c r="E205" s="58" t="str">
        <f>'2024 DO NOT TOUCH'!E206</f>
        <v>009QT</v>
      </c>
      <c r="F205" s="59" t="str">
        <f>'2024 DO NOT TOUCH'!F206</f>
        <v>RP</v>
      </c>
      <c r="G205" s="58" t="str">
        <f>'2024 DO NOT TOUCH'!G206</f>
        <v>0.5</v>
      </c>
      <c r="H205" s="59" t="str">
        <f>'2024 DO NOT TOUCH'!H206</f>
        <v>KITCHEN APPLAINCE SUPPLY</v>
      </c>
      <c r="I205" s="58" t="str">
        <f>'2024 DO NOT TOUCH'!I206</f>
        <v>INPREMISE</v>
      </c>
      <c r="J205" s="59" t="str">
        <f>'2024 DO NOT TOUCH'!J206</f>
        <v>AOI</v>
      </c>
      <c r="K205" s="58" t="str">
        <f>'2024 DO NOT TOUCH'!K206</f>
        <v>INACTIVE</v>
      </c>
      <c r="L205" s="71">
        <f>'2024 DO NOT TOUCH'!L206</f>
        <v>44837</v>
      </c>
      <c r="M205" s="58" t="b">
        <f>'2024 DO NOT TOUCH'!M206</f>
        <v>0</v>
      </c>
      <c r="N205" s="59">
        <f>'2024 DO NOT TOUCH'!N206</f>
        <v>0</v>
      </c>
      <c r="O205" s="58">
        <f>'2024 DO NOT TOUCH'!O206</f>
        <v>0</v>
      </c>
      <c r="P205" s="65">
        <f>'2024 DO NOT TOUCH'!P206</f>
        <v>0</v>
      </c>
      <c r="Q205" s="65">
        <f>'2024 DO NOT TOUCH'!Q206</f>
        <v>0</v>
      </c>
      <c r="R205" s="65">
        <f>'2024 DO NOT TOUCH'!R206</f>
        <v>0</v>
      </c>
      <c r="S205" s="62" t="str">
        <f>'2024 DO NOT TOUCH'!S206</f>
        <v>TESTED</v>
      </c>
      <c r="T205" s="62" t="str">
        <f>'2024 DO NOT TOUCH'!T206</f>
        <v>PASSED</v>
      </c>
      <c r="U205" s="62" t="str">
        <f>'2024 DO NOT TOUCH'!U206</f>
        <v>PASSED</v>
      </c>
      <c r="V205" s="62" t="str">
        <f>'2024 DO NOT TOUCH'!V206</f>
        <v>EXISTING</v>
      </c>
      <c r="W205" s="62" t="str">
        <f>'2024 DO NOT TOUCH'!W206</f>
        <v>EXISTING</v>
      </c>
      <c r="X205" s="65">
        <f>'2024 DO NOT TOUCH'!X206</f>
        <v>0</v>
      </c>
      <c r="Y205" s="62">
        <f>'2024 DO NOT TOUCH'!Y206</f>
        <v>0</v>
      </c>
    </row>
    <row r="206" spans="1:25" ht="19.5" customHeight="1">
      <c r="A206" s="77" t="str">
        <f>'2024 DO NOT TOUCH'!A207</f>
        <v>2065</v>
      </c>
      <c r="B206" s="78" t="str">
        <f>'2024 DO NOT TOUCH'!B207</f>
        <v>SKY BOX CAFE</v>
      </c>
      <c r="C206" s="77" t="str">
        <f>'2024 DO NOT TOUCH'!C207</f>
        <v>W358574</v>
      </c>
      <c r="D206" s="78" t="str">
        <f>'2024 DO NOT TOUCH'!D207</f>
        <v>WILKINS</v>
      </c>
      <c r="E206" s="77" t="str">
        <f>'2024 DO NOT TOUCH'!E207</f>
        <v>975XL</v>
      </c>
      <c r="F206" s="78" t="str">
        <f>'2024 DO NOT TOUCH'!F207</f>
        <v>RP</v>
      </c>
      <c r="G206" s="77" t="str">
        <f>'2024 DO NOT TOUCH'!G207</f>
        <v>0.5</v>
      </c>
      <c r="H206" s="78" t="str">
        <f>'2024 DO NOT TOUCH'!H207</f>
        <v>KITCHEN ICE MACHINE</v>
      </c>
      <c r="I206" s="77" t="str">
        <f>'2024 DO NOT TOUCH'!I207</f>
        <v>INPREMISE</v>
      </c>
      <c r="J206" s="78" t="str">
        <f>'2024 DO NOT TOUCH'!J207</f>
        <v>AOI</v>
      </c>
      <c r="K206" s="77" t="str">
        <f>'2024 DO NOT TOUCH'!K207</f>
        <v>INACTIVE</v>
      </c>
      <c r="L206" s="79">
        <f>'2024 DO NOT TOUCH'!L207</f>
        <v>44837</v>
      </c>
      <c r="M206" s="77" t="b">
        <f>'2024 DO NOT TOUCH'!M207</f>
        <v>0</v>
      </c>
      <c r="N206" s="78">
        <f>'2024 DO NOT TOUCH'!N207</f>
        <v>0</v>
      </c>
      <c r="O206" s="77">
        <f>'2024 DO NOT TOUCH'!O207</f>
        <v>0</v>
      </c>
      <c r="P206" s="80">
        <f>'2024 DO NOT TOUCH'!P207</f>
        <v>0</v>
      </c>
      <c r="Q206" s="80">
        <f>'2024 DO NOT TOUCH'!Q207</f>
        <v>0</v>
      </c>
      <c r="R206" s="80">
        <f>'2024 DO NOT TOUCH'!R207</f>
        <v>0</v>
      </c>
      <c r="S206" s="81" t="str">
        <f>'2024 DO NOT TOUCH'!S207</f>
        <v>TESTED</v>
      </c>
      <c r="T206" s="81" t="str">
        <f>'2024 DO NOT TOUCH'!T207</f>
        <v>PASSED</v>
      </c>
      <c r="U206" s="81" t="str">
        <f>'2024 DO NOT TOUCH'!U207</f>
        <v>PASSED</v>
      </c>
      <c r="V206" s="81" t="str">
        <f>'2024 DO NOT TOUCH'!V207</f>
        <v>EXISTING</v>
      </c>
      <c r="W206" s="81" t="str">
        <f>'2024 DO NOT TOUCH'!W207</f>
        <v>EXISTING</v>
      </c>
      <c r="X206" s="80">
        <f>'2024 DO NOT TOUCH'!X207</f>
        <v>0</v>
      </c>
      <c r="Y206" s="81">
        <f>'2024 DO NOT TOUCH'!Y207</f>
        <v>0</v>
      </c>
    </row>
    <row r="207" spans="1:25" ht="19.5" customHeight="1">
      <c r="A207" s="58" t="str">
        <f>'2024 DO NOT TOUCH'!A208</f>
        <v>2065</v>
      </c>
      <c r="B207" s="59" t="str">
        <f>'2024 DO NOT TOUCH'!B208</f>
        <v>SKY BOX CAFE</v>
      </c>
      <c r="C207" s="58" t="str">
        <f>'2024 DO NOT TOUCH'!C208</f>
        <v>U5180</v>
      </c>
      <c r="D207" s="59" t="str">
        <f>'2024 DO NOT TOUCH'!D208</f>
        <v>FEBCO</v>
      </c>
      <c r="E207" s="58" t="str">
        <f>'2024 DO NOT TOUCH'!E208</f>
        <v>825Y</v>
      </c>
      <c r="F207" s="59" t="str">
        <f>'2024 DO NOT TOUCH'!F208</f>
        <v>RP</v>
      </c>
      <c r="G207" s="58" t="str">
        <f>'2024 DO NOT TOUCH'!G208</f>
        <v>0.75</v>
      </c>
      <c r="H207" s="59" t="str">
        <f>'2024 DO NOT TOUCH'!H208</f>
        <v>MECH RM</v>
      </c>
      <c r="I207" s="58" t="str">
        <f>'2024 DO NOT TOUCH'!I208</f>
        <v>INPREMISE</v>
      </c>
      <c r="J207" s="59" t="str">
        <f>'2024 DO NOT TOUCH'!J208</f>
        <v>AOI</v>
      </c>
      <c r="K207" s="58" t="str">
        <f>'2024 DO NOT TOUCH'!K208</f>
        <v>ACTIVE</v>
      </c>
      <c r="L207" s="71">
        <f>'2024 DO NOT TOUCH'!L208</f>
        <v>44837</v>
      </c>
      <c r="M207" s="58" t="b">
        <f>'2024 DO NOT TOUCH'!M208</f>
        <v>0</v>
      </c>
      <c r="N207" s="59">
        <f>'2024 DO NOT TOUCH'!N208</f>
        <v>0</v>
      </c>
      <c r="O207" s="58">
        <f>'2024 DO NOT TOUCH'!O208</f>
        <v>0</v>
      </c>
      <c r="P207" s="67">
        <f>'2024 DO NOT TOUCH'!P208</f>
        <v>0</v>
      </c>
      <c r="Q207" s="67">
        <f>'2024 DO NOT TOUCH'!Q208</f>
        <v>0</v>
      </c>
      <c r="R207" s="67">
        <f>'2024 DO NOT TOUCH'!R208</f>
        <v>0</v>
      </c>
      <c r="S207" s="58" t="str">
        <f>'2024 DO NOT TOUCH'!S208</f>
        <v>TESTED</v>
      </c>
      <c r="T207" s="58" t="str">
        <f>'2024 DO NOT TOUCH'!T208</f>
        <v>FAILED</v>
      </c>
      <c r="U207" s="58" t="str">
        <f>'2024 DO NOT TOUCH'!U208</f>
        <v>PASSED</v>
      </c>
      <c r="V207" s="58" t="str">
        <f>'2024 DO NOT TOUCH'!V208</f>
        <v>EXISTING</v>
      </c>
      <c r="W207" s="58" t="str">
        <f>'2024 DO NOT TOUCH'!W208</f>
        <v>EXISTING</v>
      </c>
      <c r="X207" s="67">
        <f>'2024 DO NOT TOUCH'!X208</f>
        <v>0</v>
      </c>
      <c r="Y207" s="58">
        <f>'2024 DO NOT TOUCH'!Y208</f>
        <v>0</v>
      </c>
    </row>
    <row r="208" spans="1:25" ht="19.5" customHeight="1">
      <c r="A208" s="77" t="str">
        <f>'2024 DO NOT TOUCH'!A209</f>
        <v>2065</v>
      </c>
      <c r="B208" s="78" t="str">
        <f>'2024 DO NOT TOUCH'!B209</f>
        <v>SKY BOX CAFE</v>
      </c>
      <c r="C208" s="77" t="str">
        <f>'2024 DO NOT TOUCH'!C209</f>
        <v>U6294</v>
      </c>
      <c r="D208" s="78" t="str">
        <f>'2024 DO NOT TOUCH'!D209</f>
        <v>FEBCO</v>
      </c>
      <c r="E208" s="77" t="str">
        <f>'2024 DO NOT TOUCH'!E209</f>
        <v>975XL</v>
      </c>
      <c r="F208" s="78" t="str">
        <f>'2024 DO NOT TOUCH'!F209</f>
        <v>DC</v>
      </c>
      <c r="G208" s="77" t="str">
        <f>'2024 DO NOT TOUCH'!G209</f>
        <v>2.0</v>
      </c>
      <c r="H208" s="78" t="str">
        <f>'2024 DO NOT TOUCH'!H209</f>
        <v>MECH RM IRRIGATION 2ND DOOR</v>
      </c>
      <c r="I208" s="77" t="str">
        <f>'2024 DO NOT TOUCH'!I209</f>
        <v>PREMISE</v>
      </c>
      <c r="J208" s="78" t="str">
        <f>'2024 DO NOT TOUCH'!J209</f>
        <v>IRR</v>
      </c>
      <c r="K208" s="77" t="str">
        <f>'2024 DO NOT TOUCH'!K209</f>
        <v>ACTIVE</v>
      </c>
      <c r="L208" s="79">
        <f>'2024 DO NOT TOUCH'!L209</f>
        <v>0</v>
      </c>
      <c r="M208" s="77" t="b">
        <f>'2024 DO NOT TOUCH'!M209</f>
        <v>1</v>
      </c>
      <c r="N208" s="78">
        <f>'2024 DO NOT TOUCH'!N209</f>
        <v>0</v>
      </c>
      <c r="O208" s="77">
        <f>'2024 DO NOT TOUCH'!O209</f>
        <v>0</v>
      </c>
      <c r="P208" s="83">
        <f>'2024 DO NOT TOUCH'!P209</f>
        <v>0</v>
      </c>
      <c r="Q208" s="83">
        <f>'2024 DO NOT TOUCH'!Q209</f>
        <v>0</v>
      </c>
      <c r="R208" s="83">
        <f>'2024 DO NOT TOUCH'!R209</f>
        <v>0</v>
      </c>
      <c r="S208" s="77" t="str">
        <f>'2024 DO NOT TOUCH'!S209</f>
        <v>UNTESTED</v>
      </c>
      <c r="T208" s="77" t="str">
        <f>'2024 DO NOT TOUCH'!T209</f>
        <v>FAILED</v>
      </c>
      <c r="U208" s="77" t="str">
        <f>'2024 DO NOT TOUCH'!U209</f>
        <v>PASSED</v>
      </c>
      <c r="V208" s="77" t="str">
        <f>'2024 DO NOT TOUCH'!V209</f>
        <v>EXISTING</v>
      </c>
      <c r="W208" s="77" t="str">
        <f>'2024 DO NOT TOUCH'!W209</f>
        <v>EXISTING</v>
      </c>
      <c r="X208" s="83">
        <f>'2024 DO NOT TOUCH'!X209</f>
        <v>0</v>
      </c>
      <c r="Y208" s="77">
        <f>'2024 DO NOT TOUCH'!Y209</f>
        <v>0</v>
      </c>
    </row>
    <row r="209" spans="1:25" ht="19.5" customHeight="1">
      <c r="A209" s="58" t="str">
        <f>'2024 DO NOT TOUCH'!A210</f>
        <v>2071</v>
      </c>
      <c r="B209" s="59" t="str">
        <f>'2024 DO NOT TOUCH'!B210</f>
        <v>COP SHOP</v>
      </c>
      <c r="C209" s="58" t="str">
        <f>'2024 DO NOT TOUCH'!C210</f>
        <v>3322051</v>
      </c>
      <c r="D209" s="59" t="str">
        <f>'2024 DO NOT TOUCH'!D210</f>
        <v>WILKINS</v>
      </c>
      <c r="E209" s="58" t="str">
        <f>'2024 DO NOT TOUCH'!E210</f>
        <v>975XL</v>
      </c>
      <c r="F209" s="59" t="str">
        <f>'2024 DO NOT TOUCH'!F210</f>
        <v>RP</v>
      </c>
      <c r="G209" s="58" t="str">
        <f>'2024 DO NOT TOUCH'!G210</f>
        <v>2.0</v>
      </c>
      <c r="H209" s="59" t="str">
        <f>'2024 DO NOT TOUCH'!H210</f>
        <v>MECH RM</v>
      </c>
      <c r="I209" s="58" t="str">
        <f>'2024 DO NOT TOUCH'!I210</f>
        <v>INPREMISE</v>
      </c>
      <c r="J209" s="59" t="str">
        <f>'2024 DO NOT TOUCH'!J210</f>
        <v>AOI</v>
      </c>
      <c r="K209" s="58" t="str">
        <f>'2024 DO NOT TOUCH'!K210</f>
        <v>ACTIVE</v>
      </c>
      <c r="L209" s="71">
        <f>'2024 DO NOT TOUCH'!L210</f>
        <v>44725</v>
      </c>
      <c r="M209" s="58" t="b">
        <f>'2024 DO NOT TOUCH'!M210</f>
        <v>0</v>
      </c>
      <c r="N209" s="59">
        <f>'2024 DO NOT TOUCH'!N210</f>
        <v>0</v>
      </c>
      <c r="O209" s="58">
        <f>'2024 DO NOT TOUCH'!O210</f>
        <v>0</v>
      </c>
      <c r="P209" s="65">
        <f>'2024 DO NOT TOUCH'!P210</f>
        <v>0</v>
      </c>
      <c r="Q209" s="65">
        <f>'2024 DO NOT TOUCH'!Q210</f>
        <v>0</v>
      </c>
      <c r="R209" s="65">
        <f>'2024 DO NOT TOUCH'!R210</f>
        <v>0</v>
      </c>
      <c r="S209" s="62" t="str">
        <f>'2024 DO NOT TOUCH'!S210</f>
        <v>TESTED</v>
      </c>
      <c r="T209" s="62" t="str">
        <f>'2024 DO NOT TOUCH'!T210</f>
        <v>PASSED</v>
      </c>
      <c r="U209" s="62">
        <f>'2024 DO NOT TOUCH'!U210</f>
        <v>0</v>
      </c>
      <c r="V209" s="62">
        <f>'2024 DO NOT TOUCH'!V210</f>
        <v>0</v>
      </c>
      <c r="W209" s="62">
        <f>'2024 DO NOT TOUCH'!W210</f>
        <v>0</v>
      </c>
      <c r="X209" s="65">
        <f>'2024 DO NOT TOUCH'!X210</f>
        <v>0</v>
      </c>
      <c r="Y209" s="62">
        <f>'2024 DO NOT TOUCH'!Y210</f>
        <v>0</v>
      </c>
    </row>
    <row r="210" spans="1:25" ht="19.5" customHeight="1">
      <c r="A210" s="55" t="str">
        <f>'2024 DO NOT TOUCH'!A211</f>
        <v>2071</v>
      </c>
      <c r="B210" s="3" t="str">
        <f>'2024 DO NOT TOUCH'!B211</f>
        <v>COP SHOP</v>
      </c>
      <c r="C210" s="55" t="str">
        <f>'2024 DO NOT TOUCH'!C211</f>
        <v>A247001</v>
      </c>
      <c r="D210" s="3" t="str">
        <f>'2024 DO NOT TOUCH'!D211</f>
        <v>FEBCO</v>
      </c>
      <c r="E210" s="55" t="str">
        <f>'2024 DO NOT TOUCH'!E211</f>
        <v>825Y</v>
      </c>
      <c r="F210" s="3" t="str">
        <f>'2024 DO NOT TOUCH'!F211</f>
        <v>RP</v>
      </c>
      <c r="G210" s="55" t="str">
        <f>'2024 DO NOT TOUCH'!G211</f>
        <v>0.75</v>
      </c>
      <c r="H210" s="3" t="str">
        <f>'2024 DO NOT TOUCH'!H211</f>
        <v>MECH RM</v>
      </c>
      <c r="I210" s="55" t="str">
        <f>'2024 DO NOT TOUCH'!I211</f>
        <v>INPREMISE</v>
      </c>
      <c r="J210" s="3" t="str">
        <f>'2024 DO NOT TOUCH'!J211</f>
        <v>AOI</v>
      </c>
      <c r="K210" s="55" t="str">
        <f>'2024 DO NOT TOUCH'!K211</f>
        <v>ACTIVE</v>
      </c>
      <c r="L210" s="72">
        <f>'2024 DO NOT TOUCH'!L211</f>
        <v>44740</v>
      </c>
      <c r="M210" s="55" t="b">
        <f>'2024 DO NOT TOUCH'!M211</f>
        <v>0</v>
      </c>
      <c r="N210" s="3">
        <f>'2024 DO NOT TOUCH'!N211</f>
        <v>0</v>
      </c>
      <c r="O210" s="55">
        <f>'2024 DO NOT TOUCH'!O211</f>
        <v>0</v>
      </c>
      <c r="P210" s="64">
        <f>'2024 DO NOT TOUCH'!P211</f>
        <v>0</v>
      </c>
      <c r="Q210" s="64">
        <f>'2024 DO NOT TOUCH'!Q211</f>
        <v>0</v>
      </c>
      <c r="R210" s="64">
        <f>'2024 DO NOT TOUCH'!R211</f>
        <v>0</v>
      </c>
      <c r="S210" s="57" t="str">
        <f>'2024 DO NOT TOUCH'!S211</f>
        <v>TESTED</v>
      </c>
      <c r="T210" s="57" t="str">
        <f>'2024 DO NOT TOUCH'!T211</f>
        <v>PASSED</v>
      </c>
      <c r="U210" s="57">
        <f>'2024 DO NOT TOUCH'!U211</f>
        <v>0</v>
      </c>
      <c r="V210" s="57">
        <f>'2024 DO NOT TOUCH'!V211</f>
        <v>0</v>
      </c>
      <c r="W210" s="57">
        <f>'2024 DO NOT TOUCH'!W211</f>
        <v>0</v>
      </c>
      <c r="X210" s="64">
        <f>'2024 DO NOT TOUCH'!X211</f>
        <v>0</v>
      </c>
      <c r="Y210" s="57">
        <f>'2024 DO NOT TOUCH'!Y211</f>
        <v>0</v>
      </c>
    </row>
    <row r="211" spans="1:25" ht="19.5" customHeight="1">
      <c r="A211" s="58" t="str">
        <f>'2024 DO NOT TOUCH'!A212</f>
        <v>2071</v>
      </c>
      <c r="B211" s="59" t="str">
        <f>'2024 DO NOT TOUCH'!B212</f>
        <v>COP SHOP</v>
      </c>
      <c r="C211" s="58" t="str">
        <f>'2024 DO NOT TOUCH'!C212</f>
        <v>H00576</v>
      </c>
      <c r="D211" s="59" t="str">
        <f>'2024 DO NOT TOUCH'!D212</f>
        <v>FEBCO</v>
      </c>
      <c r="E211" s="58" t="str">
        <f>'2024 DO NOT TOUCH'!E212</f>
        <v>850</v>
      </c>
      <c r="F211" s="59" t="str">
        <f>'2024 DO NOT TOUCH'!F212</f>
        <v>DC</v>
      </c>
      <c r="G211" s="58" t="str">
        <f>'2024 DO NOT TOUCH'!G212</f>
        <v>0.5</v>
      </c>
      <c r="H211" s="59" t="str">
        <f>'2024 DO NOT TOUCH'!H212</f>
        <v>KITCHEN UNDER SINK</v>
      </c>
      <c r="I211" s="58" t="str">
        <f>'2024 DO NOT TOUCH'!I212</f>
        <v>INPREMISE</v>
      </c>
      <c r="J211" s="59" t="str">
        <f>'2024 DO NOT TOUCH'!J212</f>
        <v>AOI</v>
      </c>
      <c r="K211" s="58" t="str">
        <f>'2024 DO NOT TOUCH'!K212</f>
        <v>ACTIVE</v>
      </c>
      <c r="L211" s="71">
        <f>'2024 DO NOT TOUCH'!L212</f>
        <v>44725</v>
      </c>
      <c r="M211" s="58" t="b">
        <f>'2024 DO NOT TOUCH'!M212</f>
        <v>0</v>
      </c>
      <c r="N211" s="59">
        <f>'2024 DO NOT TOUCH'!N212</f>
        <v>0</v>
      </c>
      <c r="O211" s="58">
        <f>'2024 DO NOT TOUCH'!O212</f>
        <v>0</v>
      </c>
      <c r="P211" s="65">
        <f>'2024 DO NOT TOUCH'!P212</f>
        <v>0</v>
      </c>
      <c r="Q211" s="65">
        <f>'2024 DO NOT TOUCH'!Q212</f>
        <v>0</v>
      </c>
      <c r="R211" s="65">
        <f>'2024 DO NOT TOUCH'!R212</f>
        <v>0</v>
      </c>
      <c r="S211" s="62" t="str">
        <f>'2024 DO NOT TOUCH'!S212</f>
        <v>TESTED</v>
      </c>
      <c r="T211" s="62" t="str">
        <f>'2024 DO NOT TOUCH'!T212</f>
        <v>PASSED</v>
      </c>
      <c r="U211" s="62">
        <f>'2024 DO NOT TOUCH'!U212</f>
        <v>0</v>
      </c>
      <c r="V211" s="62">
        <f>'2024 DO NOT TOUCH'!V212</f>
        <v>0</v>
      </c>
      <c r="W211" s="62">
        <f>'2024 DO NOT TOUCH'!W212</f>
        <v>0</v>
      </c>
      <c r="X211" s="65">
        <f>'2024 DO NOT TOUCH'!X212</f>
        <v>0</v>
      </c>
      <c r="Y211" s="62">
        <f>'2024 DO NOT TOUCH'!Y212</f>
        <v>0</v>
      </c>
    </row>
    <row r="212" spans="1:25" ht="19.5" customHeight="1">
      <c r="A212" s="55" t="str">
        <f>'2024 DO NOT TOUCH'!A213</f>
        <v>2071</v>
      </c>
      <c r="B212" s="55" t="str">
        <f>'2024 DO NOT TOUCH'!B213</f>
        <v>COP SHOP</v>
      </c>
      <c r="C212" s="55" t="str">
        <f>'2024 DO NOT TOUCH'!C213</f>
        <v>90486</v>
      </c>
      <c r="D212" s="55" t="str">
        <f>'2024 DO NOT TOUCH'!D213</f>
        <v>FEBCO</v>
      </c>
      <c r="E212" s="55" t="str">
        <f>'2024 DO NOT TOUCH'!E213</f>
        <v>765</v>
      </c>
      <c r="F212" s="55" t="str">
        <f>'2024 DO NOT TOUCH'!F213</f>
        <v>PVB</v>
      </c>
      <c r="G212" s="55" t="str">
        <f>'2024 DO NOT TOUCH'!G213</f>
        <v>1.5</v>
      </c>
      <c r="H212" s="55" t="str">
        <f>'2024 DO NOT TOUCH'!H213</f>
        <v>MECH RM LOOK UP AND TO RIGHT</v>
      </c>
      <c r="I212" s="55" t="str">
        <f>'2024 DO NOT TOUCH'!I213</f>
        <v>PREMISE</v>
      </c>
      <c r="J212" s="55" t="str">
        <f>'2024 DO NOT TOUCH'!J213</f>
        <v>IRR</v>
      </c>
      <c r="K212" s="55" t="str">
        <f>'2024 DO NOT TOUCH'!K213</f>
        <v>INACTIVE</v>
      </c>
      <c r="L212" s="56">
        <f>'2024 DO NOT TOUCH'!L213</f>
        <v>44725</v>
      </c>
      <c r="M212" s="56" t="b">
        <f>'2024 DO NOT TOUCH'!M213</f>
        <v>0</v>
      </c>
      <c r="N212" s="56">
        <f>'2024 DO NOT TOUCH'!N213</f>
        <v>0</v>
      </c>
      <c r="O212" s="55">
        <f>'2024 DO NOT TOUCH'!O213</f>
        <v>0</v>
      </c>
      <c r="P212" s="64">
        <f>'2024 DO NOT TOUCH'!P213</f>
        <v>0</v>
      </c>
      <c r="Q212" s="64">
        <f>'2024 DO NOT TOUCH'!Q213</f>
        <v>0</v>
      </c>
      <c r="R212" s="64">
        <f>'2024 DO NOT TOUCH'!R213</f>
        <v>0</v>
      </c>
      <c r="S212" s="55" t="str">
        <f>'2024 DO NOT TOUCH'!S213</f>
        <v>TESTED</v>
      </c>
      <c r="T212" s="55" t="str">
        <f>'2024 DO NOT TOUCH'!T213</f>
        <v>PASSED</v>
      </c>
      <c r="U212" s="55" t="str">
        <f>'2024 DO NOT TOUCH'!U213</f>
        <v>PASSED</v>
      </c>
      <c r="V212" s="55" t="str">
        <f>'2024 DO NOT TOUCH'!V213</f>
        <v>EXISTING</v>
      </c>
      <c r="W212" s="55" t="str">
        <f>'2024 DO NOT TOUCH'!W213</f>
        <v>EXISTING</v>
      </c>
      <c r="X212" s="66">
        <f>'2024 DO NOT TOUCH'!X213</f>
        <v>0</v>
      </c>
      <c r="Y212" s="55">
        <f>'2024 DO NOT TOUCH'!Y213</f>
        <v>0</v>
      </c>
    </row>
    <row r="213" spans="1:25" ht="19.5" customHeight="1">
      <c r="A213" s="58" t="str">
        <f>'2024 DO NOT TOUCH'!A214</f>
        <v>2075</v>
      </c>
      <c r="B213" s="59" t="str">
        <f>'2024 DO NOT TOUCH'!B214</f>
        <v>CATM</v>
      </c>
      <c r="C213" s="58" t="str">
        <f>'2024 DO NOT TOUCH'!C214</f>
        <v>H006725</v>
      </c>
      <c r="D213" s="59" t="str">
        <f>'2024 DO NOT TOUCH'!D214</f>
        <v>FEBCO</v>
      </c>
      <c r="E213" s="58" t="str">
        <f>'2024 DO NOT TOUCH'!E214</f>
        <v>765</v>
      </c>
      <c r="F213" s="59" t="str">
        <f>'2024 DO NOT TOUCH'!F214</f>
        <v>PVB</v>
      </c>
      <c r="G213" s="58" t="str">
        <f>'2024 DO NOT TOUCH'!G214</f>
        <v>1.5</v>
      </c>
      <c r="H213" s="59" t="str">
        <f>'2024 DO NOT TOUCH'!H214</f>
        <v>IN BUSHES ON SIDE OF BLDG</v>
      </c>
      <c r="I213" s="58" t="str">
        <f>'2024 DO NOT TOUCH'!I214</f>
        <v>PREMISE</v>
      </c>
      <c r="J213" s="59" t="str">
        <f>'2024 DO NOT TOUCH'!J214</f>
        <v>IRR</v>
      </c>
      <c r="K213" s="58" t="str">
        <f>'2024 DO NOT TOUCH'!K214</f>
        <v>INACTIVE</v>
      </c>
      <c r="L213" s="71">
        <f>'2024 DO NOT TOUCH'!L214</f>
        <v>44896</v>
      </c>
      <c r="M213" s="58" t="b">
        <f>'2024 DO NOT TOUCH'!M214</f>
        <v>1</v>
      </c>
      <c r="N213" s="59">
        <f>'2024 DO NOT TOUCH'!N214</f>
        <v>45538</v>
      </c>
      <c r="O213" s="58" t="str">
        <f>'2024 DO NOT TOUCH'!O214</f>
        <v>Haveron</v>
      </c>
      <c r="P213" s="65">
        <f>'2024 DO NOT TOUCH'!P214</f>
        <v>0</v>
      </c>
      <c r="Q213" s="65">
        <f>'2024 DO NOT TOUCH'!Q214</f>
        <v>0</v>
      </c>
      <c r="R213" s="65">
        <f>'2024 DO NOT TOUCH'!R214</f>
        <v>0</v>
      </c>
      <c r="S213" s="62" t="str">
        <f>'2024 DO NOT TOUCH'!S214</f>
        <v>UNTESTED</v>
      </c>
      <c r="T213" s="62">
        <f>'2024 DO NOT TOUCH'!T214</f>
        <v>0</v>
      </c>
      <c r="U213" s="62">
        <f>'2024 DO NOT TOUCH'!U214</f>
        <v>0</v>
      </c>
      <c r="V213" s="62">
        <f>'2024 DO NOT TOUCH'!V214</f>
        <v>0</v>
      </c>
      <c r="W213" s="62">
        <f>'2024 DO NOT TOUCH'!W214</f>
        <v>0</v>
      </c>
      <c r="X213" s="65">
        <f>'2024 DO NOT TOUCH'!X214</f>
        <v>0</v>
      </c>
      <c r="Y213" s="62">
        <f>'2024 DO NOT TOUCH'!Y214</f>
        <v>0</v>
      </c>
    </row>
    <row r="214" spans="1:25" ht="19.5" customHeight="1">
      <c r="A214" s="55" t="str">
        <f>'2024 DO NOT TOUCH'!A215</f>
        <v>2080</v>
      </c>
      <c r="B214" s="3" t="str">
        <f>'2024 DO NOT TOUCH'!B215</f>
        <v>TANKER ALERT</v>
      </c>
      <c r="C214" s="55" t="str">
        <f>'2024 DO NOT TOUCH'!C215</f>
        <v>T2095</v>
      </c>
      <c r="D214" s="3" t="str">
        <f>'2024 DO NOT TOUCH'!D215</f>
        <v>FEBCO</v>
      </c>
      <c r="E214" s="55" t="str">
        <f>'2024 DO NOT TOUCH'!E215</f>
        <v>805Y</v>
      </c>
      <c r="F214" s="3" t="str">
        <f>'2024 DO NOT TOUCH'!F215</f>
        <v>DC</v>
      </c>
      <c r="G214" s="55" t="str">
        <f>'2024 DO NOT TOUCH'!G215</f>
        <v>1.5</v>
      </c>
      <c r="H214" s="3" t="str">
        <f>'2024 DO NOT TOUCH'!H215</f>
        <v>IRRIGATION IN MECH RM</v>
      </c>
      <c r="I214" s="55" t="str">
        <f>'2024 DO NOT TOUCH'!I215</f>
        <v>PREMISE</v>
      </c>
      <c r="J214" s="3" t="str">
        <f>'2024 DO NOT TOUCH'!J215</f>
        <v>IRR</v>
      </c>
      <c r="K214" s="55" t="str">
        <f>'2024 DO NOT TOUCH'!K215</f>
        <v>INACTIVE</v>
      </c>
      <c r="L214" s="72">
        <f>'2024 DO NOT TOUCH'!L215</f>
        <v>0</v>
      </c>
      <c r="M214" s="55" t="b">
        <f>'2024 DO NOT TOUCH'!M215</f>
        <v>0</v>
      </c>
      <c r="N214" s="3">
        <f>'2024 DO NOT TOUCH'!N215</f>
        <v>0</v>
      </c>
      <c r="O214" s="55">
        <f>'2024 DO NOT TOUCH'!O215</f>
        <v>0</v>
      </c>
      <c r="P214" s="64">
        <f>'2024 DO NOT TOUCH'!P215</f>
        <v>0</v>
      </c>
      <c r="Q214" s="64">
        <f>'2024 DO NOT TOUCH'!Q215</f>
        <v>0</v>
      </c>
      <c r="R214" s="64">
        <f>'2024 DO NOT TOUCH'!R215</f>
        <v>0</v>
      </c>
      <c r="S214" s="57" t="str">
        <f>'2024 DO NOT TOUCH'!S215</f>
        <v>UNTESTED</v>
      </c>
      <c r="T214" s="57" t="str">
        <f>'2024 DO NOT TOUCH'!T215</f>
        <v>FAILED</v>
      </c>
      <c r="U214" s="57" t="str">
        <f>'2024 DO NOT TOUCH'!U215</f>
        <v>PASSED</v>
      </c>
      <c r="V214" s="57">
        <f>'2024 DO NOT TOUCH'!V215</f>
        <v>0</v>
      </c>
      <c r="W214" s="57">
        <f>'2024 DO NOT TOUCH'!W215</f>
        <v>0</v>
      </c>
      <c r="X214" s="64">
        <f>'2024 DO NOT TOUCH'!X215</f>
        <v>0</v>
      </c>
      <c r="Y214" s="57" t="str">
        <f>'2024 DO NOT TOUCH'!Y215</f>
        <v>BLDG UNDER CONSTRUCTION</v>
      </c>
    </row>
    <row r="215" spans="1:25" ht="19.5" customHeight="1">
      <c r="A215" s="58" t="str">
        <f>'2024 DO NOT TOUCH'!A216</f>
        <v>2090</v>
      </c>
      <c r="B215" s="59" t="str">
        <f>'2024 DO NOT TOUCH'!B216</f>
        <v>92 ARW</v>
      </c>
      <c r="C215" s="58" t="str">
        <f>'2024 DO NOT TOUCH'!C216</f>
        <v>3080370</v>
      </c>
      <c r="D215" s="59" t="str">
        <f>'2024 DO NOT TOUCH'!D216</f>
        <v>WILKINS</v>
      </c>
      <c r="E215" s="58" t="str">
        <f>'2024 DO NOT TOUCH'!E216</f>
        <v>975XL</v>
      </c>
      <c r="F215" s="59" t="str">
        <f>'2024 DO NOT TOUCH'!F216</f>
        <v>RP</v>
      </c>
      <c r="G215" s="58" t="str">
        <f>'2024 DO NOT TOUCH'!G216</f>
        <v>1.5</v>
      </c>
      <c r="H215" s="59" t="str">
        <f>'2024 DO NOT TOUCH'!H216</f>
        <v>MECH RM WATER HEATER SUPPLY</v>
      </c>
      <c r="I215" s="58" t="str">
        <f>'2024 DO NOT TOUCH'!I216</f>
        <v>INPREMISE</v>
      </c>
      <c r="J215" s="59" t="str">
        <f>'2024 DO NOT TOUCH'!J216</f>
        <v>AOI</v>
      </c>
      <c r="K215" s="58" t="str">
        <f>'2024 DO NOT TOUCH'!K216</f>
        <v>ACTIVE</v>
      </c>
      <c r="L215" s="71">
        <f>'2024 DO NOT TOUCH'!L216</f>
        <v>44837</v>
      </c>
      <c r="M215" s="58" t="b">
        <f>'2024 DO NOT TOUCH'!M216</f>
        <v>0</v>
      </c>
      <c r="N215" s="59">
        <f>'2024 DO NOT TOUCH'!N216</f>
        <v>0</v>
      </c>
      <c r="O215" s="58">
        <f>'2024 DO NOT TOUCH'!O216</f>
        <v>0</v>
      </c>
      <c r="P215" s="65">
        <f>'2024 DO NOT TOUCH'!P216</f>
        <v>0</v>
      </c>
      <c r="Q215" s="65">
        <f>'2024 DO NOT TOUCH'!Q216</f>
        <v>0</v>
      </c>
      <c r="R215" s="65">
        <f>'2024 DO NOT TOUCH'!R216</f>
        <v>0</v>
      </c>
      <c r="S215" s="62" t="str">
        <f>'2024 DO NOT TOUCH'!S216</f>
        <v>TESTED</v>
      </c>
      <c r="T215" s="62" t="str">
        <f>'2024 DO NOT TOUCH'!T216</f>
        <v>PASSED</v>
      </c>
      <c r="U215" s="62">
        <f>'2024 DO NOT TOUCH'!U216</f>
        <v>0</v>
      </c>
      <c r="V215" s="62">
        <f>'2024 DO NOT TOUCH'!V216</f>
        <v>0</v>
      </c>
      <c r="W215" s="62">
        <f>'2024 DO NOT TOUCH'!W216</f>
        <v>0</v>
      </c>
      <c r="X215" s="65">
        <f>'2024 DO NOT TOUCH'!X216</f>
        <v>0</v>
      </c>
      <c r="Y215" s="62">
        <f>'2024 DO NOT TOUCH'!Y216</f>
        <v>0</v>
      </c>
    </row>
    <row r="216" spans="1:25" ht="19.5" customHeight="1">
      <c r="A216" s="55" t="str">
        <f>'2024 DO NOT TOUCH'!A217</f>
        <v>2090</v>
      </c>
      <c r="B216" s="3" t="str">
        <f>'2024 DO NOT TOUCH'!B217</f>
        <v>92 ARW</v>
      </c>
      <c r="C216" s="55" t="str">
        <f>'2024 DO NOT TOUCH'!C217</f>
        <v>356259</v>
      </c>
      <c r="D216" s="3" t="str">
        <f>'2024 DO NOT TOUCH'!D217</f>
        <v>WATTS</v>
      </c>
      <c r="E216" s="55" t="str">
        <f>'2024 DO NOT TOUCH'!E217</f>
        <v>909QT</v>
      </c>
      <c r="F216" s="3" t="str">
        <f>'2024 DO NOT TOUCH'!F217</f>
        <v>RP</v>
      </c>
      <c r="G216" s="55" t="str">
        <f>'2024 DO NOT TOUCH'!G217</f>
        <v>1.0</v>
      </c>
      <c r="H216" s="3" t="str">
        <f>'2024 DO NOT TOUCH'!H217</f>
        <v>MECH RM</v>
      </c>
      <c r="I216" s="55" t="str">
        <f>'2024 DO NOT TOUCH'!I217</f>
        <v>INPREMISE</v>
      </c>
      <c r="J216" s="3" t="str">
        <f>'2024 DO NOT TOUCH'!J217</f>
        <v>AOI</v>
      </c>
      <c r="K216" s="55" t="str">
        <f>'2024 DO NOT TOUCH'!K217</f>
        <v>INACTIVE</v>
      </c>
      <c r="L216" s="72">
        <f>'2024 DO NOT TOUCH'!L217</f>
        <v>0</v>
      </c>
      <c r="M216" s="55" t="b">
        <f>'2024 DO NOT TOUCH'!M217</f>
        <v>0</v>
      </c>
      <c r="N216" s="3">
        <f>'2024 DO NOT TOUCH'!N217</f>
        <v>0</v>
      </c>
      <c r="O216" s="55">
        <f>'2024 DO NOT TOUCH'!O217</f>
        <v>0</v>
      </c>
      <c r="P216" s="66">
        <f>'2024 DO NOT TOUCH'!P217</f>
        <v>0</v>
      </c>
      <c r="Q216" s="66">
        <f>'2024 DO NOT TOUCH'!Q217</f>
        <v>0</v>
      </c>
      <c r="R216" s="66">
        <f>'2024 DO NOT TOUCH'!R217</f>
        <v>0</v>
      </c>
      <c r="S216" s="55" t="str">
        <f>'2024 DO NOT TOUCH'!S217</f>
        <v>UNTESTED</v>
      </c>
      <c r="T216" s="55">
        <f>'2024 DO NOT TOUCH'!T217</f>
        <v>0</v>
      </c>
      <c r="U216" s="55">
        <f>'2024 DO NOT TOUCH'!U217</f>
        <v>0</v>
      </c>
      <c r="V216" s="55">
        <f>'2024 DO NOT TOUCH'!V217</f>
        <v>0</v>
      </c>
      <c r="W216" s="55" t="str">
        <f>'2024 DO NOT TOUCH'!W217</f>
        <v>YES</v>
      </c>
      <c r="X216" s="66">
        <f>'2024 DO NOT TOUCH'!X217</f>
        <v>0</v>
      </c>
      <c r="Y216" s="55" t="str">
        <f>'2024 DO NOT TOUCH'!Y217</f>
        <v>ISOLATED</v>
      </c>
    </row>
    <row r="217" spans="1:25" ht="19.5" customHeight="1">
      <c r="A217" s="58" t="str">
        <f>'2024 DO NOT TOUCH'!A218</f>
        <v>2090</v>
      </c>
      <c r="B217" s="59" t="str">
        <f>'2024 DO NOT TOUCH'!B218</f>
        <v>92 ARW</v>
      </c>
      <c r="C217" s="58" t="str">
        <f>'2024 DO NOT TOUCH'!C218</f>
        <v>102217</v>
      </c>
      <c r="D217" s="59" t="str">
        <f>'2024 DO NOT TOUCH'!D218</f>
        <v>AMES</v>
      </c>
      <c r="E217" s="58" t="str">
        <f>'2024 DO NOT TOUCH'!E218</f>
        <v>2000SS</v>
      </c>
      <c r="F217" s="59" t="str">
        <f>'2024 DO NOT TOUCH'!F218</f>
        <v>DC</v>
      </c>
      <c r="G217" s="58" t="str">
        <f>'2024 DO NOT TOUCH'!G218</f>
        <v>8.0</v>
      </c>
      <c r="H217" s="59" t="str">
        <f>'2024 DO NOT TOUCH'!H218</f>
        <v>MECH RM FIRE SYS</v>
      </c>
      <c r="I217" s="58" t="str">
        <f>'2024 DO NOT TOUCH'!I218</f>
        <v>PREMISE</v>
      </c>
      <c r="J217" s="59" t="str">
        <f>'2024 DO NOT TOUCH'!J218</f>
        <v>FIRE</v>
      </c>
      <c r="K217" s="58" t="str">
        <f>'2024 DO NOT TOUCH'!K218</f>
        <v>ACTIVE</v>
      </c>
      <c r="L217" s="71">
        <f>'2024 DO NOT TOUCH'!L218</f>
        <v>44837</v>
      </c>
      <c r="M217" s="58" t="b">
        <f>'2024 DO NOT TOUCH'!M218</f>
        <v>0</v>
      </c>
      <c r="N217" s="59">
        <f>'2024 DO NOT TOUCH'!N218</f>
        <v>0</v>
      </c>
      <c r="O217" s="58">
        <f>'2024 DO NOT TOUCH'!O218</f>
        <v>0</v>
      </c>
      <c r="P217" s="67">
        <f>'2024 DO NOT TOUCH'!P218</f>
        <v>0</v>
      </c>
      <c r="Q217" s="67">
        <f>'2024 DO NOT TOUCH'!Q218</f>
        <v>0</v>
      </c>
      <c r="R217" s="67">
        <f>'2024 DO NOT TOUCH'!R218</f>
        <v>0</v>
      </c>
      <c r="S217" s="58" t="str">
        <f>'2024 DO NOT TOUCH'!S218</f>
        <v>TESTED</v>
      </c>
      <c r="T217" s="58" t="str">
        <f>'2024 DO NOT TOUCH'!T218</f>
        <v>PASSED</v>
      </c>
      <c r="U217" s="58" t="str">
        <f>'2024 DO NOT TOUCH'!U218</f>
        <v>PASSED</v>
      </c>
      <c r="V217" s="58" t="str">
        <f>'2024 DO NOT TOUCH'!V218</f>
        <v>EXISTING</v>
      </c>
      <c r="W217" s="58" t="str">
        <f>'2024 DO NOT TOUCH'!W218</f>
        <v>EXISTING</v>
      </c>
      <c r="X217" s="67">
        <f>'2024 DO NOT TOUCH'!X218</f>
        <v>0</v>
      </c>
      <c r="Y217" s="58">
        <f>'2024 DO NOT TOUCH'!Y218</f>
        <v>0</v>
      </c>
    </row>
    <row r="218" spans="1:25" ht="19.5" customHeight="1">
      <c r="A218" s="77" t="str">
        <f>'2024 DO NOT TOUCH'!A219</f>
        <v>2096</v>
      </c>
      <c r="B218" s="78" t="str">
        <f>'2024 DO NOT TOUCH'!B219</f>
        <v>READINESS</v>
      </c>
      <c r="C218" s="77" t="str">
        <f>'2024 DO NOT TOUCH'!C219</f>
        <v>115833</v>
      </c>
      <c r="D218" s="78" t="str">
        <f>'2024 DO NOT TOUCH'!D219</f>
        <v>WATTS</v>
      </c>
      <c r="E218" s="77" t="str">
        <f>'2024 DO NOT TOUCH'!E219</f>
        <v>009M3QT</v>
      </c>
      <c r="F218" s="78" t="str">
        <f>'2024 DO NOT TOUCH'!F219</f>
        <v>RP</v>
      </c>
      <c r="G218" s="77" t="str">
        <f>'2024 DO NOT TOUCH'!G219</f>
        <v>0.75</v>
      </c>
      <c r="H218" s="78" t="str">
        <f>'2024 DO NOT TOUCH'!H219</f>
        <v>MECH RM ON HOSE BIB</v>
      </c>
      <c r="I218" s="77" t="str">
        <f>'2024 DO NOT TOUCH'!I219</f>
        <v>INPREMISE</v>
      </c>
      <c r="J218" s="78" t="str">
        <f>'2024 DO NOT TOUCH'!J219</f>
        <v>AOI</v>
      </c>
      <c r="K218" s="77" t="str">
        <f>'2024 DO NOT TOUCH'!K219</f>
        <v>ACTIVE</v>
      </c>
      <c r="L218" s="79">
        <f>'2024 DO NOT TOUCH'!L219</f>
        <v>44837</v>
      </c>
      <c r="M218" s="77" t="b">
        <f>'2024 DO NOT TOUCH'!M219</f>
        <v>0</v>
      </c>
      <c r="N218" s="78">
        <f>'2024 DO NOT TOUCH'!N219</f>
        <v>45602</v>
      </c>
      <c r="O218" s="77" t="str">
        <f>'2024 DO NOT TOUCH'!O219</f>
        <v>TROUNG</v>
      </c>
      <c r="P218" s="80">
        <f>'2024 DO NOT TOUCH'!P219</f>
        <v>8.3000000000000007</v>
      </c>
      <c r="Q218" s="80">
        <f>'2024 DO NOT TOUCH'!Q219</f>
        <v>0</v>
      </c>
      <c r="R218" s="80">
        <f>'2024 DO NOT TOUCH'!R219</f>
        <v>2.8</v>
      </c>
      <c r="S218" s="81" t="str">
        <f>'2024 DO NOT TOUCH'!S219</f>
        <v>TESTED</v>
      </c>
      <c r="T218" s="81" t="str">
        <f>'2024 DO NOT TOUCH'!T219</f>
        <v>PASSED</v>
      </c>
      <c r="U218" s="81">
        <f>'2024 DO NOT TOUCH'!U219</f>
        <v>0</v>
      </c>
      <c r="V218" s="81">
        <f>'2024 DO NOT TOUCH'!V219</f>
        <v>0</v>
      </c>
      <c r="W218" s="81">
        <f>'2024 DO NOT TOUCH'!W219</f>
        <v>0</v>
      </c>
      <c r="X218" s="80">
        <f>'2024 DO NOT TOUCH'!X219</f>
        <v>0</v>
      </c>
      <c r="Y218" s="81">
        <f>'2024 DO NOT TOUCH'!Y219</f>
        <v>0</v>
      </c>
    </row>
    <row r="219" spans="1:25" ht="19.5" customHeight="1">
      <c r="A219" s="58" t="str">
        <f>'2024 DO NOT TOUCH'!A220</f>
        <v>2096</v>
      </c>
      <c r="B219" s="59" t="str">
        <f>'2024 DO NOT TOUCH'!B220</f>
        <v>READINESS</v>
      </c>
      <c r="C219" s="58" t="str">
        <f>'2024 DO NOT TOUCH'!C220</f>
        <v>3080700</v>
      </c>
      <c r="D219" s="59" t="str">
        <f>'2024 DO NOT TOUCH'!D220</f>
        <v>WILKINS</v>
      </c>
      <c r="E219" s="58" t="str">
        <f>'2024 DO NOT TOUCH'!E220</f>
        <v>975XL</v>
      </c>
      <c r="F219" s="59" t="str">
        <f>'2024 DO NOT TOUCH'!F220</f>
        <v>RP</v>
      </c>
      <c r="G219" s="58" t="str">
        <f>'2024 DO NOT TOUCH'!G220</f>
        <v>1.5</v>
      </c>
      <c r="H219" s="59" t="str">
        <f>'2024 DO NOT TOUCH'!H220</f>
        <v>MECH RM ON WATER HEATER</v>
      </c>
      <c r="I219" s="58" t="str">
        <f>'2024 DO NOT TOUCH'!I220</f>
        <v>INPREMISE</v>
      </c>
      <c r="J219" s="59" t="str">
        <f>'2024 DO NOT TOUCH'!J220</f>
        <v>AOI</v>
      </c>
      <c r="K219" s="58" t="str">
        <f>'2024 DO NOT TOUCH'!K220</f>
        <v>ACTIVE</v>
      </c>
      <c r="L219" s="71">
        <f>'2024 DO NOT TOUCH'!L220</f>
        <v>44837</v>
      </c>
      <c r="M219" s="58" t="b">
        <f>'2024 DO NOT TOUCH'!M220</f>
        <v>0</v>
      </c>
      <c r="N219" s="59">
        <f>'2024 DO NOT TOUCH'!N220</f>
        <v>45602</v>
      </c>
      <c r="O219" s="58" t="str">
        <f>'2024 DO NOT TOUCH'!O220</f>
        <v>TROUNG</v>
      </c>
      <c r="P219" s="65">
        <f>'2024 DO NOT TOUCH'!P220</f>
        <v>8.4</v>
      </c>
      <c r="Q219" s="65">
        <f>'2024 DO NOT TOUCH'!Q220</f>
        <v>0</v>
      </c>
      <c r="R219" s="65">
        <f>'2024 DO NOT TOUCH'!R220</f>
        <v>2.4</v>
      </c>
      <c r="S219" s="62" t="str">
        <f>'2024 DO NOT TOUCH'!S220</f>
        <v>TESTED</v>
      </c>
      <c r="T219" s="62" t="str">
        <f>'2024 DO NOT TOUCH'!T220</f>
        <v>PASSED</v>
      </c>
      <c r="U219" s="62">
        <f>'2024 DO NOT TOUCH'!U220</f>
        <v>0</v>
      </c>
      <c r="V219" s="62">
        <f>'2024 DO NOT TOUCH'!V220</f>
        <v>0</v>
      </c>
      <c r="W219" s="62">
        <f>'2024 DO NOT TOUCH'!W220</f>
        <v>0</v>
      </c>
      <c r="X219" s="65">
        <f>'2024 DO NOT TOUCH'!X220</f>
        <v>0</v>
      </c>
      <c r="Y219" s="62">
        <f>'2024 DO NOT TOUCH'!Y220</f>
        <v>0</v>
      </c>
    </row>
    <row r="220" spans="1:25" ht="19.5" customHeight="1">
      <c r="A220" s="77" t="str">
        <f>'2024 DO NOT TOUCH'!A221</f>
        <v>2096</v>
      </c>
      <c r="B220" s="78" t="str">
        <f>'2024 DO NOT TOUCH'!B221</f>
        <v>READINESS</v>
      </c>
      <c r="C220" s="77" t="str">
        <f>'2024 DO NOT TOUCH'!C221</f>
        <v>212373</v>
      </c>
      <c r="D220" s="78" t="str">
        <f>'2024 DO NOT TOUCH'!D221</f>
        <v>WATTS</v>
      </c>
      <c r="E220" s="77" t="str">
        <f>'2024 DO NOT TOUCH'!E221</f>
        <v>009M2QT</v>
      </c>
      <c r="F220" s="78" t="str">
        <f>'2024 DO NOT TOUCH'!F221</f>
        <v>RP</v>
      </c>
      <c r="G220" s="77" t="str">
        <f>'2024 DO NOT TOUCH'!G221</f>
        <v>2.0</v>
      </c>
      <c r="H220" s="78" t="str">
        <f>'2024 DO NOT TOUCH'!H221</f>
        <v>MECH RM PREMISE</v>
      </c>
      <c r="I220" s="77" t="str">
        <f>'2024 DO NOT TOUCH'!I221</f>
        <v>PREMISE</v>
      </c>
      <c r="J220" s="78" t="str">
        <f>'2024 DO NOT TOUCH'!J221</f>
        <v>PREMISE</v>
      </c>
      <c r="K220" s="77" t="str">
        <f>'2024 DO NOT TOUCH'!K221</f>
        <v>ACTIVE</v>
      </c>
      <c r="L220" s="79">
        <f>'2024 DO NOT TOUCH'!L221</f>
        <v>44837</v>
      </c>
      <c r="M220" s="77" t="b">
        <f>'2024 DO NOT TOUCH'!M221</f>
        <v>0</v>
      </c>
      <c r="N220" s="78">
        <f>'2024 DO NOT TOUCH'!N221</f>
        <v>45602</v>
      </c>
      <c r="O220" s="77" t="str">
        <f>'2024 DO NOT TOUCH'!O221</f>
        <v>TROUNG</v>
      </c>
      <c r="P220" s="80">
        <f>'2024 DO NOT TOUCH'!P221</f>
        <v>7.9</v>
      </c>
      <c r="Q220" s="80">
        <f>'2024 DO NOT TOUCH'!Q221</f>
        <v>0</v>
      </c>
      <c r="R220" s="80">
        <f>'2024 DO NOT TOUCH'!R221</f>
        <v>2.6</v>
      </c>
      <c r="S220" s="81" t="str">
        <f>'2024 DO NOT TOUCH'!S221</f>
        <v>TESTED</v>
      </c>
      <c r="T220" s="81" t="str">
        <f>'2024 DO NOT TOUCH'!T221</f>
        <v>PASSED</v>
      </c>
      <c r="U220" s="81">
        <f>'2024 DO NOT TOUCH'!U221</f>
        <v>0</v>
      </c>
      <c r="V220" s="81">
        <f>'2024 DO NOT TOUCH'!V221</f>
        <v>0</v>
      </c>
      <c r="W220" s="81" t="e">
        <f>'2024 DO NOT TOUCH'!#REF!</f>
        <v>#REF!</v>
      </c>
      <c r="X220" s="80">
        <f>'2024 DO NOT TOUCH'!X221</f>
        <v>0</v>
      </c>
      <c r="Y220" s="81">
        <f>'2024 DO NOT TOUCH'!Y221</f>
        <v>0</v>
      </c>
    </row>
    <row r="221" spans="1:25" ht="19.5" customHeight="1">
      <c r="A221" s="58" t="str">
        <f>'2024 DO NOT TOUCH'!A222</f>
        <v>2096</v>
      </c>
      <c r="B221" s="59" t="str">
        <f>'2024 DO NOT TOUCH'!B222</f>
        <v>READINESS</v>
      </c>
      <c r="C221" s="58" t="str">
        <f>'2024 DO NOT TOUCH'!C222</f>
        <v>F0403121509</v>
      </c>
      <c r="D221" s="59" t="str">
        <f>'2024 DO NOT TOUCH'!D222</f>
        <v>FEBCO</v>
      </c>
      <c r="E221" s="58" t="str">
        <f>'2024 DO NOT TOUCH'!E222</f>
        <v>850</v>
      </c>
      <c r="F221" s="59" t="str">
        <f>'2024 DO NOT TOUCH'!F222</f>
        <v>DC</v>
      </c>
      <c r="G221" s="58" t="str">
        <f>'2024 DO NOT TOUCH'!G222</f>
        <v>3.0</v>
      </c>
      <c r="H221" s="59" t="str">
        <f>'2024 DO NOT TOUCH'!H222</f>
        <v>MECH RM FIRE SYS</v>
      </c>
      <c r="I221" s="58" t="str">
        <f>'2024 DO NOT TOUCH'!I222</f>
        <v>PREMISE</v>
      </c>
      <c r="J221" s="59" t="str">
        <f>'2024 DO NOT TOUCH'!J222</f>
        <v>FIRE</v>
      </c>
      <c r="K221" s="58" t="str">
        <f>'2024 DO NOT TOUCH'!K222</f>
        <v>ACTIVE</v>
      </c>
      <c r="L221" s="71">
        <f>'2024 DO NOT TOUCH'!L222</f>
        <v>44837</v>
      </c>
      <c r="M221" s="58" t="b">
        <f>'2024 DO NOT TOUCH'!M222</f>
        <v>0</v>
      </c>
      <c r="N221" s="59">
        <f>'2024 DO NOT TOUCH'!N222</f>
        <v>45602</v>
      </c>
      <c r="O221" s="58" t="str">
        <f>'2024 DO NOT TOUCH'!O222</f>
        <v>TROUNG</v>
      </c>
      <c r="P221" s="67">
        <f>'2024 DO NOT TOUCH'!P222</f>
        <v>1</v>
      </c>
      <c r="Q221" s="67">
        <f>'2024 DO NOT TOUCH'!Q222</f>
        <v>1.5</v>
      </c>
      <c r="R221" s="67">
        <f>'2024 DO NOT TOUCH'!R222</f>
        <v>0</v>
      </c>
      <c r="S221" s="58" t="str">
        <f>'2024 DO NOT TOUCH'!S222</f>
        <v>TESTED</v>
      </c>
      <c r="T221" s="58" t="str">
        <f>'2024 DO NOT TOUCH'!T222</f>
        <v>PASSED</v>
      </c>
      <c r="U221" s="58">
        <f>'2024 DO NOT TOUCH'!U222</f>
        <v>0</v>
      </c>
      <c r="V221" s="58">
        <f>'2024 DO NOT TOUCH'!V222</f>
        <v>0</v>
      </c>
      <c r="W221" s="58">
        <f>'2024 DO NOT TOUCH'!W221</f>
        <v>0</v>
      </c>
      <c r="X221" s="67">
        <f>'2024 DO NOT TOUCH'!X222</f>
        <v>0</v>
      </c>
      <c r="Y221" s="58">
        <f>'2024 DO NOT TOUCH'!Y222</f>
        <v>0</v>
      </c>
    </row>
    <row r="222" spans="1:25" ht="19.5" customHeight="1">
      <c r="A222" s="77" t="str">
        <f>'2024 DO NOT TOUCH'!A223</f>
        <v>2097</v>
      </c>
      <c r="B222" s="78" t="str">
        <f>'2024 DO NOT TOUCH'!B223</f>
        <v>92 ARW</v>
      </c>
      <c r="C222" s="77" t="str">
        <f>'2024 DO NOT TOUCH'!C223</f>
        <v>3079891</v>
      </c>
      <c r="D222" s="78" t="str">
        <f>'2024 DO NOT TOUCH'!D223</f>
        <v>WILKINS</v>
      </c>
      <c r="E222" s="77" t="str">
        <f>'2024 DO NOT TOUCH'!E223</f>
        <v>975XL</v>
      </c>
      <c r="F222" s="78" t="str">
        <f>'2024 DO NOT TOUCH'!F223</f>
        <v>RP</v>
      </c>
      <c r="G222" s="77" t="str">
        <f>'2024 DO NOT TOUCH'!G223</f>
        <v>1.25</v>
      </c>
      <c r="H222" s="78" t="str">
        <f>'2024 DO NOT TOUCH'!H223</f>
        <v>MECH RM PREMISE</v>
      </c>
      <c r="I222" s="77" t="str">
        <f>'2024 DO NOT TOUCH'!I223</f>
        <v>PREMISE</v>
      </c>
      <c r="J222" s="78" t="str">
        <f>'2024 DO NOT TOUCH'!J223</f>
        <v>PREMISE</v>
      </c>
      <c r="K222" s="77" t="str">
        <f>'2024 DO NOT TOUCH'!K223</f>
        <v>ACTIVE</v>
      </c>
      <c r="L222" s="79">
        <f>'2024 DO NOT TOUCH'!L223</f>
        <v>44837</v>
      </c>
      <c r="M222" s="77" t="b">
        <f>'2024 DO NOT TOUCH'!M223</f>
        <v>0</v>
      </c>
      <c r="N222" s="78">
        <f>'2024 DO NOT TOUCH'!N223</f>
        <v>45602</v>
      </c>
      <c r="O222" s="77" t="str">
        <f>'2024 DO NOT TOUCH'!O223</f>
        <v>TROUNG</v>
      </c>
      <c r="P222" s="83">
        <f>'2024 DO NOT TOUCH'!P223</f>
        <v>8.6999999999999993</v>
      </c>
      <c r="Q222" s="83">
        <f>'2024 DO NOT TOUCH'!Q223</f>
        <v>0</v>
      </c>
      <c r="R222" s="83">
        <f>'2024 DO NOT TOUCH'!R223</f>
        <v>2.6</v>
      </c>
      <c r="S222" s="77" t="str">
        <f>'2024 DO NOT TOUCH'!S223</f>
        <v>TESTED</v>
      </c>
      <c r="T222" s="77" t="str">
        <f>'2024 DO NOT TOUCH'!T223</f>
        <v>PASSED</v>
      </c>
      <c r="U222" s="77">
        <f>'2024 DO NOT TOUCH'!U223</f>
        <v>0</v>
      </c>
      <c r="V222" s="77">
        <f>'2024 DO NOT TOUCH'!V223</f>
        <v>0</v>
      </c>
      <c r="W222" s="77">
        <f>'2024 DO NOT TOUCH'!W223</f>
        <v>0</v>
      </c>
      <c r="X222" s="83">
        <f>'2024 DO NOT TOUCH'!X223</f>
        <v>0</v>
      </c>
      <c r="Y222" s="77">
        <f>'2024 DO NOT TOUCH'!Y223</f>
        <v>0</v>
      </c>
    </row>
    <row r="223" spans="1:25" ht="19.5" customHeight="1">
      <c r="A223" s="58" t="str">
        <f>'2024 DO NOT TOUCH'!A224</f>
        <v>2097</v>
      </c>
      <c r="B223" s="59" t="str">
        <f>'2024 DO NOT TOUCH'!B224</f>
        <v>92 ARW</v>
      </c>
      <c r="C223" s="58" t="str">
        <f>'2024 DO NOT TOUCH'!C224</f>
        <v>42162</v>
      </c>
      <c r="D223" s="59" t="str">
        <f>'2024 DO NOT TOUCH'!D224</f>
        <v>WATTS</v>
      </c>
      <c r="E223" s="58" t="str">
        <f>'2024 DO NOT TOUCH'!E224</f>
        <v>009QT</v>
      </c>
      <c r="F223" s="59" t="str">
        <f>'2024 DO NOT TOUCH'!F224</f>
        <v>RP</v>
      </c>
      <c r="G223" s="58" t="str">
        <f>'2024 DO NOT TOUCH'!G224</f>
        <v>1.0</v>
      </c>
      <c r="H223" s="59" t="str">
        <f>'2024 DO NOT TOUCH'!H224</f>
        <v>MECH RM HVAC</v>
      </c>
      <c r="I223" s="58" t="str">
        <f>'2024 DO NOT TOUCH'!I224</f>
        <v>INPREMISE</v>
      </c>
      <c r="J223" s="59" t="str">
        <f>'2024 DO NOT TOUCH'!J224</f>
        <v>AOI</v>
      </c>
      <c r="K223" s="58" t="str">
        <f>'2024 DO NOT TOUCH'!K224</f>
        <v>ACTIVE</v>
      </c>
      <c r="L223" s="71">
        <f>'2024 DO NOT TOUCH'!L224</f>
        <v>44837</v>
      </c>
      <c r="M223" s="58" t="b">
        <f>'2024 DO NOT TOUCH'!M224</f>
        <v>0</v>
      </c>
      <c r="N223" s="59">
        <f>'2024 DO NOT TOUCH'!N224</f>
        <v>45602</v>
      </c>
      <c r="O223" s="58" t="str">
        <f>'2024 DO NOT TOUCH'!O224</f>
        <v>TROUNG</v>
      </c>
      <c r="P223" s="65">
        <f>'2024 DO NOT TOUCH'!P224</f>
        <v>9.1</v>
      </c>
      <c r="Q223" s="65">
        <f>'2024 DO NOT TOUCH'!Q224</f>
        <v>0</v>
      </c>
      <c r="R223" s="65">
        <f>'2024 DO NOT TOUCH'!R224</f>
        <v>2</v>
      </c>
      <c r="S223" s="62" t="str">
        <f>'2024 DO NOT TOUCH'!S224</f>
        <v>TESTED</v>
      </c>
      <c r="T223" s="62" t="str">
        <f>'2024 DO NOT TOUCH'!T224</f>
        <v>PASSED</v>
      </c>
      <c r="U223" s="62">
        <f>'2024 DO NOT TOUCH'!U224</f>
        <v>0</v>
      </c>
      <c r="V223" s="62">
        <f>'2024 DO NOT TOUCH'!V224</f>
        <v>0</v>
      </c>
      <c r="W223" s="62">
        <f>'2024 DO NOT TOUCH'!W224</f>
        <v>0</v>
      </c>
      <c r="X223" s="65">
        <f>'2024 DO NOT TOUCH'!X224</f>
        <v>0</v>
      </c>
      <c r="Y223" s="62">
        <f>'2024 DO NOT TOUCH'!Y224</f>
        <v>0</v>
      </c>
    </row>
    <row r="224" spans="1:25" ht="19.5" customHeight="1">
      <c r="A224" s="55" t="str">
        <f>'2024 DO NOT TOUCH'!A225</f>
        <v>2097</v>
      </c>
      <c r="B224" s="3" t="str">
        <f>'2024 DO NOT TOUCH'!B225</f>
        <v>92 ARW</v>
      </c>
      <c r="C224" s="55" t="str">
        <f>'2024 DO NOT TOUCH'!C225</f>
        <v>2DM0778</v>
      </c>
      <c r="D224" s="3" t="str">
        <f>'2024 DO NOT TOUCH'!D225</f>
        <v>AMES</v>
      </c>
      <c r="E224" s="55" t="str">
        <f>'2024 DO NOT TOUCH'!E225</f>
        <v>2000SS</v>
      </c>
      <c r="F224" s="3" t="str">
        <f>'2024 DO NOT TOUCH'!F225</f>
        <v>DC</v>
      </c>
      <c r="G224" s="55" t="str">
        <f>'2024 DO NOT TOUCH'!G225</f>
        <v>4.0</v>
      </c>
      <c r="H224" s="3" t="str">
        <f>'2024 DO NOT TOUCH'!H225</f>
        <v>MECH RM FIRE SYS</v>
      </c>
      <c r="I224" s="55" t="str">
        <f>'2024 DO NOT TOUCH'!I225</f>
        <v>PREMISE</v>
      </c>
      <c r="J224" s="3" t="str">
        <f>'2024 DO NOT TOUCH'!J225</f>
        <v>FIRE</v>
      </c>
      <c r="K224" s="55" t="str">
        <f>'2024 DO NOT TOUCH'!K225</f>
        <v>ACTIVE</v>
      </c>
      <c r="L224" s="72">
        <f>'2024 DO NOT TOUCH'!L225</f>
        <v>44837</v>
      </c>
      <c r="M224" s="55" t="b">
        <f>'2024 DO NOT TOUCH'!M225</f>
        <v>0</v>
      </c>
      <c r="N224" s="3">
        <f>'2024 DO NOT TOUCH'!N225</f>
        <v>45602</v>
      </c>
      <c r="O224" s="55" t="str">
        <f>'2024 DO NOT TOUCH'!O225</f>
        <v>TROUNG</v>
      </c>
      <c r="P224" s="64">
        <f>'2024 DO NOT TOUCH'!P225</f>
        <v>3.5</v>
      </c>
      <c r="Q224" s="64">
        <f>'2024 DO NOT TOUCH'!Q225</f>
        <v>4.5</v>
      </c>
      <c r="R224" s="64">
        <f>'2024 DO NOT TOUCH'!R225</f>
        <v>0</v>
      </c>
      <c r="S224" s="57" t="str">
        <f>'2024 DO NOT TOUCH'!S225</f>
        <v>TESTED</v>
      </c>
      <c r="T224" s="57" t="str">
        <f>'2024 DO NOT TOUCH'!T225</f>
        <v>PASSED</v>
      </c>
      <c r="U224" s="57">
        <f>'2024 DO NOT TOUCH'!U225</f>
        <v>0</v>
      </c>
      <c r="V224" s="57" t="e">
        <f>'2024 DO NOT TOUCH'!#REF!</f>
        <v>#REF!</v>
      </c>
      <c r="W224" s="57">
        <f>'2024 DO NOT TOUCH'!W225</f>
        <v>0</v>
      </c>
      <c r="X224" s="64">
        <f>'2024 DO NOT TOUCH'!X225</f>
        <v>0</v>
      </c>
      <c r="Y224" s="57">
        <f>'2024 DO NOT TOUCH'!Y225</f>
        <v>0</v>
      </c>
    </row>
    <row r="225" spans="1:25" ht="19.5" customHeight="1">
      <c r="A225" s="58" t="str">
        <f>'2024 DO NOT TOUCH'!A226</f>
        <v>2115</v>
      </c>
      <c r="B225" s="59" t="str">
        <f>'2024 DO NOT TOUCH'!B226</f>
        <v>VEHICLE MAINTENANCE</v>
      </c>
      <c r="C225" s="58" t="str">
        <f>'2024 DO NOT TOUCH'!C226</f>
        <v>411273</v>
      </c>
      <c r="D225" s="59" t="str">
        <f>'2024 DO NOT TOUCH'!D226</f>
        <v>WATTS</v>
      </c>
      <c r="E225" s="58" t="str">
        <f>'2024 DO NOT TOUCH'!E226</f>
        <v>909QT</v>
      </c>
      <c r="F225" s="59" t="str">
        <f>'2024 DO NOT TOUCH'!F226</f>
        <v>RP</v>
      </c>
      <c r="G225" s="58" t="str">
        <f>'2024 DO NOT TOUCH'!G226</f>
        <v>0.75</v>
      </c>
      <c r="H225" s="59" t="str">
        <f>'2024 DO NOT TOUCH'!H226</f>
        <v>WATER MAZE WASH RACK</v>
      </c>
      <c r="I225" s="58" t="str">
        <f>'2024 DO NOT TOUCH'!I226</f>
        <v>INPREMISE</v>
      </c>
      <c r="J225" s="59" t="str">
        <f>'2024 DO NOT TOUCH'!J226</f>
        <v>AOI</v>
      </c>
      <c r="K225" s="58" t="str">
        <f>'2024 DO NOT TOUCH'!K226</f>
        <v>ACTIVE</v>
      </c>
      <c r="L225" s="71">
        <f>'2024 DO NOT TOUCH'!L226</f>
        <v>44875</v>
      </c>
      <c r="M225" s="58" t="b">
        <f>'2024 DO NOT TOUCH'!M226</f>
        <v>0</v>
      </c>
      <c r="N225" s="59">
        <f>'2024 DO NOT TOUCH'!N226</f>
        <v>45600</v>
      </c>
      <c r="O225" s="58" t="str">
        <f>'2024 DO NOT TOUCH'!O226</f>
        <v>Ram</v>
      </c>
      <c r="P225" s="65">
        <f>'2024 DO NOT TOUCH'!P226</f>
        <v>6.8</v>
      </c>
      <c r="Q225" s="65">
        <f>'2024 DO NOT TOUCH'!Q226</f>
        <v>0</v>
      </c>
      <c r="R225" s="65">
        <f>'2024 DO NOT TOUCH'!R226</f>
        <v>2.5</v>
      </c>
      <c r="S225" s="62" t="str">
        <f>'2024 DO NOT TOUCH'!S226</f>
        <v>TESTED</v>
      </c>
      <c r="T225" s="62" t="str">
        <f>'2024 DO NOT TOUCH'!T226</f>
        <v>PASSED</v>
      </c>
      <c r="U225" s="62">
        <f>'2024 DO NOT TOUCH'!U226</f>
        <v>0</v>
      </c>
      <c r="V225" s="62">
        <f>'2024 DO NOT TOUCH'!V227</f>
        <v>0</v>
      </c>
      <c r="W225" s="62">
        <f>'2024 DO NOT TOUCH'!W226</f>
        <v>0</v>
      </c>
      <c r="X225" s="65">
        <f>'2024 DO NOT TOUCH'!X226</f>
        <v>0</v>
      </c>
      <c r="Y225" s="62">
        <f>'2024 DO NOT TOUCH'!Y226</f>
        <v>0</v>
      </c>
    </row>
    <row r="226" spans="1:25" ht="19.5" customHeight="1">
      <c r="A226" s="55" t="str">
        <f>'2024 DO NOT TOUCH'!A227</f>
        <v>2115</v>
      </c>
      <c r="B226" s="55" t="str">
        <f>'2024 DO NOT TOUCH'!B227</f>
        <v>VEHICLE MAINTENANCE</v>
      </c>
      <c r="C226" s="55" t="str">
        <f>'2024 DO NOT TOUCH'!C227</f>
        <v>W017025</v>
      </c>
      <c r="D226" s="55" t="str">
        <f>'2024 DO NOT TOUCH'!D227</f>
        <v>WILKINS</v>
      </c>
      <c r="E226" s="55" t="str">
        <f>'2024 DO NOT TOUCH'!E227</f>
        <v>975XL</v>
      </c>
      <c r="F226" s="55" t="str">
        <f>'2024 DO NOT TOUCH'!F227</f>
        <v>RP</v>
      </c>
      <c r="G226" s="55" t="str">
        <f>'2024 DO NOT TOUCH'!G227</f>
        <v>1.0</v>
      </c>
      <c r="H226" s="55" t="str">
        <f>'2024 DO NOT TOUCH'!H227</f>
        <v>HVAC MAKEUP IN BOILER RM IN CORNER</v>
      </c>
      <c r="I226" s="55" t="str">
        <f>'2024 DO NOT TOUCH'!I227</f>
        <v>INPREMISE</v>
      </c>
      <c r="J226" s="55" t="str">
        <f>'2024 DO NOT TOUCH'!J227</f>
        <v>AOI</v>
      </c>
      <c r="K226" s="55" t="str">
        <f>'2024 DO NOT TOUCH'!K227</f>
        <v>INACTIVE</v>
      </c>
      <c r="L226" s="56">
        <f>'2024 DO NOT TOUCH'!L227</f>
        <v>44841</v>
      </c>
      <c r="M226" s="56" t="b">
        <f>'2024 DO NOT TOUCH'!M227</f>
        <v>0</v>
      </c>
      <c r="N226" s="56">
        <f>'2024 DO NOT TOUCH'!N227</f>
        <v>45610</v>
      </c>
      <c r="O226" s="55" t="str">
        <f>'2024 DO NOT TOUCH'!O227</f>
        <v>Ram</v>
      </c>
      <c r="P226" s="64">
        <f>'2024 DO NOT TOUCH'!P227</f>
        <v>6</v>
      </c>
      <c r="Q226" s="64">
        <f>'2024 DO NOT TOUCH'!Q227</f>
        <v>0</v>
      </c>
      <c r="R226" s="64">
        <f>'2024 DO NOT TOUCH'!R227</f>
        <v>2.8</v>
      </c>
      <c r="S226" s="55" t="str">
        <f>'2024 DO NOT TOUCH'!S227</f>
        <v>TESTED</v>
      </c>
      <c r="T226" s="55" t="str">
        <f>'2024 DO NOT TOUCH'!T227</f>
        <v>PASSED</v>
      </c>
      <c r="U226" s="55">
        <f>'2024 DO NOT TOUCH'!U227</f>
        <v>0</v>
      </c>
      <c r="V226" s="55" t="e">
        <f>'2024 DO NOT TOUCH'!#REF!</f>
        <v>#REF!</v>
      </c>
      <c r="W226" s="55">
        <f>'2024 DO NOT TOUCH'!W227</f>
        <v>0</v>
      </c>
      <c r="X226" s="66">
        <f>'2024 DO NOT TOUCH'!X227</f>
        <v>0</v>
      </c>
      <c r="Y226" s="55" t="str">
        <f>'2024 DO NOT TOUCH'!Y227</f>
        <v xml:space="preserve">CTR TESTED </v>
      </c>
    </row>
    <row r="227" spans="1:25" ht="19.5" customHeight="1">
      <c r="A227" s="58" t="str">
        <f>'2024 DO NOT TOUCH'!A228</f>
        <v>2115</v>
      </c>
      <c r="B227" s="59" t="str">
        <f>'2024 DO NOT TOUCH'!B228</f>
        <v>VEHICLE MAINTENANCE</v>
      </c>
      <c r="C227" s="58" t="str">
        <f>'2024 DO NOT TOUCH'!C228</f>
        <v>3079704</v>
      </c>
      <c r="D227" s="59" t="str">
        <f>'2024 DO NOT TOUCH'!D228</f>
        <v>WILKINS</v>
      </c>
      <c r="E227" s="58" t="str">
        <f>'2024 DO NOT TOUCH'!E228</f>
        <v>975XL</v>
      </c>
      <c r="F227" s="59" t="str">
        <f>'2024 DO NOT TOUCH'!F228</f>
        <v>RP</v>
      </c>
      <c r="G227" s="58" t="str">
        <f>'2024 DO NOT TOUCH'!G228</f>
        <v>0.75</v>
      </c>
      <c r="H227" s="59" t="str">
        <f>'2024 DO NOT TOUCH'!H228</f>
        <v>RIGHT SIDE OF EAST ROLL UP DOOR/CHEM FEED</v>
      </c>
      <c r="I227" s="58" t="str">
        <f>'2024 DO NOT TOUCH'!I228</f>
        <v>INPREMISE</v>
      </c>
      <c r="J227" s="59" t="str">
        <f>'2024 DO NOT TOUCH'!J228</f>
        <v>AOI</v>
      </c>
      <c r="K227" s="58" t="str">
        <f>'2024 DO NOT TOUCH'!K228</f>
        <v>INACTIVE</v>
      </c>
      <c r="L227" s="71">
        <f>'2024 DO NOT TOUCH'!L228</f>
        <v>44841</v>
      </c>
      <c r="M227" s="58" t="b">
        <f>'2024 DO NOT TOUCH'!M228</f>
        <v>0</v>
      </c>
      <c r="N227" s="59">
        <f>'2024 DO NOT TOUCH'!N228</f>
        <v>45600</v>
      </c>
      <c r="O227" s="58" t="str">
        <f>'2024 DO NOT TOUCH'!O228</f>
        <v>Ram</v>
      </c>
      <c r="P227" s="65">
        <f>'2024 DO NOT TOUCH'!P228</f>
        <v>0</v>
      </c>
      <c r="Q227" s="65">
        <f>'2024 DO NOT TOUCH'!Q228</f>
        <v>0</v>
      </c>
      <c r="R227" s="65">
        <f>'2024 DO NOT TOUCH'!R228</f>
        <v>0</v>
      </c>
      <c r="S227" s="62" t="str">
        <f>'2024 DO NOT TOUCH'!S228</f>
        <v>UNTESTED</v>
      </c>
      <c r="T227" s="62" t="str">
        <f>'2024 DO NOT TOUCH'!T228</f>
        <v>PASSED</v>
      </c>
      <c r="U227" s="62" t="str">
        <f>'2024 DO NOT TOUCH'!U228</f>
        <v>PASSED</v>
      </c>
      <c r="V227" s="62" t="str">
        <f>'2024 DO NOT TOUCH'!V228</f>
        <v>EXISTING</v>
      </c>
      <c r="W227" s="62" t="str">
        <f>'2024 DO NOT TOUCH'!W228</f>
        <v>EXISTING</v>
      </c>
      <c r="X227" s="65">
        <f>'2024 DO NOT TOUCH'!X228</f>
        <v>0</v>
      </c>
      <c r="Y227" s="62" t="str">
        <f>'2024 DO NOT TOUCH'!Y228</f>
        <v>ISO</v>
      </c>
    </row>
    <row r="228" spans="1:25" ht="19.5" customHeight="1">
      <c r="A228" s="55" t="str">
        <f>'2024 DO NOT TOUCH'!A229</f>
        <v>2115</v>
      </c>
      <c r="B228" s="3" t="str">
        <f>'2024 DO NOT TOUCH'!B229</f>
        <v>VEHICLE MAINTENANCE</v>
      </c>
      <c r="C228" s="55" t="str">
        <f>'2024 DO NOT TOUCH'!C229</f>
        <v>1445220205</v>
      </c>
      <c r="D228" s="3" t="str">
        <f>'2024 DO NOT TOUCH'!D229</f>
        <v>AMES</v>
      </c>
      <c r="E228" s="55" t="str">
        <f>'2024 DO NOT TOUCH'!E229</f>
        <v>2000SS</v>
      </c>
      <c r="F228" s="3" t="str">
        <f>'2024 DO NOT TOUCH'!F229</f>
        <v>DC</v>
      </c>
      <c r="G228" s="55" t="str">
        <f>'2024 DO NOT TOUCH'!G229</f>
        <v>8.0</v>
      </c>
      <c r="H228" s="3" t="str">
        <f>'2024 DO NOT TOUCH'!H229</f>
        <v>FIRE SYS 2050 SIDE</v>
      </c>
      <c r="I228" s="55" t="str">
        <f>'2024 DO NOT TOUCH'!I229</f>
        <v>PREMISE</v>
      </c>
      <c r="J228" s="3" t="str">
        <f>'2024 DO NOT TOUCH'!J229</f>
        <v>FIRE</v>
      </c>
      <c r="K228" s="55" t="str">
        <f>'2024 DO NOT TOUCH'!K229</f>
        <v>ACTIVE</v>
      </c>
      <c r="L228" s="72">
        <f>'2024 DO NOT TOUCH'!L229</f>
        <v>44872</v>
      </c>
      <c r="M228" s="55" t="b">
        <f>'2024 DO NOT TOUCH'!M229</f>
        <v>0</v>
      </c>
      <c r="N228" s="3">
        <f>'2024 DO NOT TOUCH'!N229</f>
        <v>45600</v>
      </c>
      <c r="O228" s="55" t="str">
        <f>'2024 DO NOT TOUCH'!O229</f>
        <v>Ram</v>
      </c>
      <c r="P228" s="64">
        <f>'2024 DO NOT TOUCH'!P229</f>
        <v>4.3</v>
      </c>
      <c r="Q228" s="64">
        <f>'2024 DO NOT TOUCH'!Q229</f>
        <v>4.4000000000000004</v>
      </c>
      <c r="R228" s="64">
        <f>'2024 DO NOT TOUCH'!R229</f>
        <v>0</v>
      </c>
      <c r="S228" s="57" t="str">
        <f>'2024 DO NOT TOUCH'!S229</f>
        <v>TESTED</v>
      </c>
      <c r="T228" s="57" t="str">
        <f>'2024 DO NOT TOUCH'!T229</f>
        <v>PASSED</v>
      </c>
      <c r="U228" s="57">
        <f>'2024 DO NOT TOUCH'!U229</f>
        <v>0</v>
      </c>
      <c r="V228" s="57">
        <f>'2024 DO NOT TOUCH'!V229</f>
        <v>0</v>
      </c>
      <c r="W228" s="57">
        <f>'2024 DO NOT TOUCH'!W229</f>
        <v>0</v>
      </c>
      <c r="X228" s="64">
        <f>'2024 DO NOT TOUCH'!X229</f>
        <v>0</v>
      </c>
      <c r="Y228" s="57">
        <f>'2024 DO NOT TOUCH'!Y229</f>
        <v>0</v>
      </c>
    </row>
    <row r="229" spans="1:25" ht="19.5" customHeight="1">
      <c r="A229" s="58" t="str">
        <f>'2024 DO NOT TOUCH'!A230</f>
        <v>2116</v>
      </c>
      <c r="B229" s="59" t="str">
        <f>'2024 DO NOT TOUCH'!B230</f>
        <v>CARWASH</v>
      </c>
      <c r="C229" s="58" t="str">
        <f>'2024 DO NOT TOUCH'!C230</f>
        <v>3080710</v>
      </c>
      <c r="D229" s="59" t="str">
        <f>'2024 DO NOT TOUCH'!D230</f>
        <v>WILKINS</v>
      </c>
      <c r="E229" s="58" t="str">
        <f>'2024 DO NOT TOUCH'!E230</f>
        <v>975XL</v>
      </c>
      <c r="F229" s="59" t="str">
        <f>'2024 DO NOT TOUCH'!F230</f>
        <v>RP</v>
      </c>
      <c r="G229" s="58" t="str">
        <f>'2024 DO NOT TOUCH'!G230</f>
        <v>1.5</v>
      </c>
      <c r="H229" s="59" t="str">
        <f>'2024 DO NOT TOUCH'!H230</f>
        <v>PREMISE SUPPLY</v>
      </c>
      <c r="I229" s="58" t="str">
        <f>'2024 DO NOT TOUCH'!I230</f>
        <v>PREMISE</v>
      </c>
      <c r="J229" s="59" t="str">
        <f>'2024 DO NOT TOUCH'!J230</f>
        <v>PREMISE</v>
      </c>
      <c r="K229" s="58" t="str">
        <f>'2024 DO NOT TOUCH'!K230</f>
        <v>ACTIVE</v>
      </c>
      <c r="L229" s="71">
        <f>'2024 DO NOT TOUCH'!L230</f>
        <v>44872</v>
      </c>
      <c r="M229" s="58" t="b">
        <f>'2024 DO NOT TOUCH'!M230</f>
        <v>0</v>
      </c>
      <c r="N229" s="59">
        <f>'2024 DO NOT TOUCH'!N230</f>
        <v>45427</v>
      </c>
      <c r="O229" s="58" t="str">
        <f>'2024 DO NOT TOUCH'!O230</f>
        <v>PARK</v>
      </c>
      <c r="P229" s="65">
        <f>'2024 DO NOT TOUCH'!P230</f>
        <v>7.8</v>
      </c>
      <c r="Q229" s="65">
        <f>'2024 DO NOT TOUCH'!Q230</f>
        <v>0</v>
      </c>
      <c r="R229" s="65">
        <f>'2024 DO NOT TOUCH'!R230</f>
        <v>2.8</v>
      </c>
      <c r="S229" s="62" t="str">
        <f>'2024 DO NOT TOUCH'!S230</f>
        <v>TESTED</v>
      </c>
      <c r="T229" s="62" t="str">
        <f>'2024 DO NOT TOUCH'!T230</f>
        <v>PASSED</v>
      </c>
      <c r="U229" s="62">
        <f>'2024 DO NOT TOUCH'!U230</f>
        <v>0</v>
      </c>
      <c r="V229" s="62">
        <f>'2024 DO NOT TOUCH'!V230</f>
        <v>0</v>
      </c>
      <c r="W229" s="62">
        <f>'2024 DO NOT TOUCH'!W230</f>
        <v>0</v>
      </c>
      <c r="X229" s="65">
        <f>'2024 DO NOT TOUCH'!X230</f>
        <v>0</v>
      </c>
      <c r="Y229" s="62">
        <f>'2024 DO NOT TOUCH'!Y230</f>
        <v>0</v>
      </c>
    </row>
    <row r="230" spans="1:25" ht="19.5" customHeight="1">
      <c r="A230" s="55" t="str">
        <f>'2024 DO NOT TOUCH'!A231</f>
        <v>2116</v>
      </c>
      <c r="B230" s="3" t="str">
        <f>'2024 DO NOT TOUCH'!B231</f>
        <v>CARWASH</v>
      </c>
      <c r="C230" s="55" t="str">
        <f>'2024 DO NOT TOUCH'!C231</f>
        <v>037034</v>
      </c>
      <c r="D230" s="3" t="str">
        <f>'2024 DO NOT TOUCH'!D231</f>
        <v>WATTS</v>
      </c>
      <c r="E230" s="55" t="str">
        <f>'2024 DO NOT TOUCH'!E231</f>
        <v>800M4</v>
      </c>
      <c r="F230" s="3" t="str">
        <f>'2024 DO NOT TOUCH'!F231</f>
        <v>PVB</v>
      </c>
      <c r="G230" s="55">
        <f>'2024 DO NOT TOUCH'!G231</f>
        <v>1</v>
      </c>
      <c r="H230" s="3" t="str">
        <f>'2024 DO NOT TOUCH'!H231</f>
        <v>OUTSIDE BY ROAD IRRIGATION (BROKEN)</v>
      </c>
      <c r="I230" s="55" t="str">
        <f>'2024 DO NOT TOUCH'!I231</f>
        <v>PREMISE</v>
      </c>
      <c r="J230" s="3" t="str">
        <f>'2024 DO NOT TOUCH'!J231</f>
        <v>IRR</v>
      </c>
      <c r="K230" s="55" t="str">
        <f>'2024 DO NOT TOUCH'!K231</f>
        <v>INACTIVE</v>
      </c>
      <c r="L230" s="72">
        <f>'2024 DO NOT TOUCH'!L231</f>
        <v>0</v>
      </c>
      <c r="M230" s="55" t="b">
        <f>'2024 DO NOT TOUCH'!M231</f>
        <v>0</v>
      </c>
      <c r="N230" s="3">
        <f>'2024 DO NOT TOUCH'!N231</f>
        <v>45427</v>
      </c>
      <c r="O230" s="55" t="str">
        <f>'2024 DO NOT TOUCH'!O231</f>
        <v>PARK</v>
      </c>
      <c r="P230" s="66">
        <f>'2024 DO NOT TOUCH'!P231</f>
        <v>0</v>
      </c>
      <c r="Q230" s="66">
        <f>'2024 DO NOT TOUCH'!Q231</f>
        <v>0</v>
      </c>
      <c r="R230" s="66">
        <f>'2024 DO NOT TOUCH'!R231</f>
        <v>0</v>
      </c>
      <c r="S230" s="55" t="str">
        <f>'2024 DO NOT TOUCH'!S231</f>
        <v>UNTESTED</v>
      </c>
      <c r="T230" s="55" t="str">
        <f>'2024 DO NOT TOUCH'!T231</f>
        <v>FAILED</v>
      </c>
      <c r="U230" s="55" t="str">
        <f>'2024 DO NOT TOUCH'!U231</f>
        <v>PASSED</v>
      </c>
      <c r="V230" s="55" t="str">
        <f>'2024 DO NOT TOUCH'!V231</f>
        <v>EXISTING</v>
      </c>
      <c r="W230" s="55" t="str">
        <f>'2024 DO NOT TOUCH'!W231</f>
        <v>EXISTING</v>
      </c>
      <c r="X230" s="66">
        <f>'2024 DO NOT TOUCH'!X231</f>
        <v>0</v>
      </c>
      <c r="Y230" s="55" t="str">
        <f>'2024 DO NOT TOUCH'!Y231</f>
        <v>NEED TO REMOVE/fix</v>
      </c>
    </row>
    <row r="231" spans="1:25" ht="19.5" customHeight="1">
      <c r="A231" s="58" t="str">
        <f>'2024 DO NOT TOUCH'!A232</f>
        <v>2120</v>
      </c>
      <c r="B231" s="59" t="str">
        <f>'2024 DO NOT TOUCH'!B232</f>
        <v>373 MAINTENANCE</v>
      </c>
      <c r="C231" s="58" t="str">
        <f>'2024 DO NOT TOUCH'!C232</f>
        <v>W358332</v>
      </c>
      <c r="D231" s="59" t="str">
        <f>'2024 DO NOT TOUCH'!D232</f>
        <v>WILKINS</v>
      </c>
      <c r="E231" s="58" t="str">
        <f>'2024 DO NOT TOUCH'!E232</f>
        <v>975XL</v>
      </c>
      <c r="F231" s="59" t="str">
        <f>'2024 DO NOT TOUCH'!F232</f>
        <v>RP</v>
      </c>
      <c r="G231" s="58" t="str">
        <f>'2024 DO NOT TOUCH'!G232</f>
        <v>0.5</v>
      </c>
      <c r="H231" s="59" t="str">
        <f>'2024 DO NOT TOUCH'!H232</f>
        <v>CLASS RM NEXT TO RIGHT SIDE FRONT DOOR ICE</v>
      </c>
      <c r="I231" s="58" t="str">
        <f>'2024 DO NOT TOUCH'!I232</f>
        <v>INPREMISE</v>
      </c>
      <c r="J231" s="59" t="str">
        <f>'2024 DO NOT TOUCH'!J232</f>
        <v>AOI</v>
      </c>
      <c r="K231" s="58" t="str">
        <f>'2024 DO NOT TOUCH'!K232</f>
        <v>INACTIVE</v>
      </c>
      <c r="L231" s="71">
        <f>'2024 DO NOT TOUCH'!L232</f>
        <v>44872</v>
      </c>
      <c r="M231" s="58" t="b">
        <f>'2024 DO NOT TOUCH'!M232</f>
        <v>0</v>
      </c>
      <c r="N231" s="59">
        <f>'2024 DO NOT TOUCH'!N232</f>
        <v>45600</v>
      </c>
      <c r="O231" s="58" t="str">
        <f>'2024 DO NOT TOUCH'!O232</f>
        <v>Ram</v>
      </c>
      <c r="P231" s="67">
        <f>'2024 DO NOT TOUCH'!P232</f>
        <v>0</v>
      </c>
      <c r="Q231" s="67">
        <f>'2024 DO NOT TOUCH'!Q232</f>
        <v>0</v>
      </c>
      <c r="R231" s="67">
        <f>'2024 DO NOT TOUCH'!R232</f>
        <v>0</v>
      </c>
      <c r="S231" s="58" t="str">
        <f>'2024 DO NOT TOUCH'!S232</f>
        <v>UNTESTED</v>
      </c>
      <c r="T231" s="58">
        <f>'2024 DO NOT TOUCH'!T232</f>
        <v>0</v>
      </c>
      <c r="U231" s="58">
        <f>'2024 DO NOT TOUCH'!U232</f>
        <v>0</v>
      </c>
      <c r="V231" s="58">
        <f>'2024 DO NOT TOUCH'!V232</f>
        <v>0</v>
      </c>
      <c r="W231" s="58">
        <f>'2024 DO NOT TOUCH'!W232</f>
        <v>0</v>
      </c>
      <c r="X231" s="67">
        <f>'2024 DO NOT TOUCH'!X232</f>
        <v>0</v>
      </c>
      <c r="Y231" s="58" t="str">
        <f>'2024 DO NOT TOUCH'!Y232</f>
        <v>ISO</v>
      </c>
    </row>
    <row r="232" spans="1:25" ht="19.5" customHeight="1">
      <c r="A232" s="77" t="str">
        <f>'2024 DO NOT TOUCH'!A233</f>
        <v>2120</v>
      </c>
      <c r="B232" s="78" t="str">
        <f>'2024 DO NOT TOUCH'!B233</f>
        <v>373 MAINTENANCE</v>
      </c>
      <c r="C232" s="77" t="str">
        <f>'2024 DO NOT TOUCH'!C233</f>
        <v>B045607</v>
      </c>
      <c r="D232" s="78" t="str">
        <f>'2024 DO NOT TOUCH'!D233</f>
        <v>WILKINS</v>
      </c>
      <c r="E232" s="77" t="str">
        <f>'2024 DO NOT TOUCH'!E233</f>
        <v>375XL</v>
      </c>
      <c r="F232" s="78" t="str">
        <f>'2024 DO NOT TOUCH'!F233</f>
        <v>RP</v>
      </c>
      <c r="G232" s="77" t="str">
        <f>'2024 DO NOT TOUCH'!G233</f>
        <v>0.5</v>
      </c>
      <c r="H232" s="78" t="str">
        <f>'2024 DO NOT TOUCH'!H233</f>
        <v>MECH RM WATER SOFTNER</v>
      </c>
      <c r="I232" s="77" t="str">
        <f>'2024 DO NOT TOUCH'!I233</f>
        <v>INPREMISE</v>
      </c>
      <c r="J232" s="78" t="str">
        <f>'2024 DO NOT TOUCH'!J233</f>
        <v>AOI</v>
      </c>
      <c r="K232" s="77" t="str">
        <f>'2024 DO NOT TOUCH'!K233</f>
        <v>ACTIVE</v>
      </c>
      <c r="L232" s="79">
        <f>'2024 DO NOT TOUCH'!L233</f>
        <v>44872</v>
      </c>
      <c r="M232" s="77" t="b">
        <f>'2024 DO NOT TOUCH'!M233</f>
        <v>0</v>
      </c>
      <c r="N232" s="78">
        <f>'2024 DO NOT TOUCH'!N233</f>
        <v>45600</v>
      </c>
      <c r="O232" s="77" t="str">
        <f>'2024 DO NOT TOUCH'!O233</f>
        <v>Ram</v>
      </c>
      <c r="P232" s="80">
        <f>'2024 DO NOT TOUCH'!P233</f>
        <v>9.4</v>
      </c>
      <c r="Q232" s="80">
        <f>'2024 DO NOT TOUCH'!Q233</f>
        <v>0</v>
      </c>
      <c r="R232" s="80">
        <f>'2024 DO NOT TOUCH'!R233</f>
        <v>2.4</v>
      </c>
      <c r="S232" s="81" t="str">
        <f>'2024 DO NOT TOUCH'!S233</f>
        <v>TESTED</v>
      </c>
      <c r="T232" s="81" t="str">
        <f>'2024 DO NOT TOUCH'!T233</f>
        <v>PASSED</v>
      </c>
      <c r="U232" s="81">
        <f>'2024 DO NOT TOUCH'!U233</f>
        <v>0</v>
      </c>
      <c r="V232" s="81">
        <f>'2024 DO NOT TOUCH'!V233</f>
        <v>0</v>
      </c>
      <c r="W232" s="81">
        <f>'2024 DO NOT TOUCH'!W233</f>
        <v>0</v>
      </c>
      <c r="X232" s="80">
        <f>'2024 DO NOT TOUCH'!X233</f>
        <v>0</v>
      </c>
      <c r="Y232" s="81">
        <f>'2024 DO NOT TOUCH'!Y233</f>
        <v>0</v>
      </c>
    </row>
    <row r="233" spans="1:25" ht="19.5" customHeight="1">
      <c r="A233" s="58" t="str">
        <f>'2024 DO NOT TOUCH'!A234</f>
        <v>2125</v>
      </c>
      <c r="B233" s="59" t="str">
        <f>'2024 DO NOT TOUCH'!B234</f>
        <v>INTEL/OSS</v>
      </c>
      <c r="C233" s="58" t="str">
        <f>'2024 DO NOT TOUCH'!C234</f>
        <v>BA0592</v>
      </c>
      <c r="D233" s="59" t="str">
        <f>'2024 DO NOT TOUCH'!D234</f>
        <v>FEBCO</v>
      </c>
      <c r="E233" s="58" t="str">
        <f>'2024 DO NOT TOUCH'!E234</f>
        <v>825Y</v>
      </c>
      <c r="F233" s="59" t="str">
        <f>'2024 DO NOT TOUCH'!F234</f>
        <v>RP</v>
      </c>
      <c r="G233" s="58" t="str">
        <f>'2024 DO NOT TOUCH'!G234</f>
        <v>0.75</v>
      </c>
      <c r="H233" s="59" t="str">
        <f>'2024 DO NOT TOUCH'!H234</f>
        <v>MECH RM RUNS INTO SUMP</v>
      </c>
      <c r="I233" s="58" t="str">
        <f>'2024 DO NOT TOUCH'!I234</f>
        <v>INPREMISE</v>
      </c>
      <c r="J233" s="59" t="str">
        <f>'2024 DO NOT TOUCH'!J234</f>
        <v>AOI</v>
      </c>
      <c r="K233" s="58" t="str">
        <f>'2024 DO NOT TOUCH'!K234</f>
        <v>ACTIVE</v>
      </c>
      <c r="L233" s="71">
        <f>'2024 DO NOT TOUCH'!L234</f>
        <v>44894</v>
      </c>
      <c r="M233" s="58" t="b">
        <f>'2024 DO NOT TOUCH'!M234</f>
        <v>0</v>
      </c>
      <c r="N233" s="59">
        <f>'2024 DO NOT TOUCH'!N234</f>
        <v>0</v>
      </c>
      <c r="O233" s="58">
        <f>'2024 DO NOT TOUCH'!O234</f>
        <v>0</v>
      </c>
      <c r="P233" s="65">
        <f>'2024 DO NOT TOUCH'!P234</f>
        <v>0</v>
      </c>
      <c r="Q233" s="65">
        <f>'2024 DO NOT TOUCH'!Q234</f>
        <v>0</v>
      </c>
      <c r="R233" s="65">
        <f>'2024 DO NOT TOUCH'!R234</f>
        <v>0</v>
      </c>
      <c r="S233" s="62" t="str">
        <f>'2024 DO NOT TOUCH'!S234</f>
        <v>UNTESTED</v>
      </c>
      <c r="T233" s="62">
        <f>'2024 DO NOT TOUCH'!T234</f>
        <v>0</v>
      </c>
      <c r="U233" s="62">
        <f>'2024 DO NOT TOUCH'!U234</f>
        <v>0</v>
      </c>
      <c r="V233" s="62">
        <f>'2024 DO NOT TOUCH'!V234</f>
        <v>0</v>
      </c>
      <c r="W233" s="62" t="str">
        <f>'2024 DO NOT TOUCH'!W234</f>
        <v>YES</v>
      </c>
      <c r="X233" s="65">
        <f>'2024 DO NOT TOUCH'!X234</f>
        <v>0</v>
      </c>
      <c r="Y233" s="62" t="str">
        <f>'2024 DO NOT TOUCH'!Y234</f>
        <v>removed</v>
      </c>
    </row>
    <row r="234" spans="1:25" ht="19.5" customHeight="1">
      <c r="A234" s="77" t="str">
        <f>'2024 DO NOT TOUCH'!A235</f>
        <v>2125</v>
      </c>
      <c r="B234" s="78" t="str">
        <f>'2024 DO NOT TOUCH'!B235</f>
        <v>INTEL/OSS</v>
      </c>
      <c r="C234" s="77" t="str">
        <f>'2024 DO NOT TOUCH'!C235</f>
        <v>H00448</v>
      </c>
      <c r="D234" s="78" t="str">
        <f>'2024 DO NOT TOUCH'!D235</f>
        <v>FEBCO</v>
      </c>
      <c r="E234" s="77" t="str">
        <f>'2024 DO NOT TOUCH'!E235</f>
        <v>850</v>
      </c>
      <c r="F234" s="78" t="str">
        <f>'2024 DO NOT TOUCH'!F235</f>
        <v>DC</v>
      </c>
      <c r="G234" s="77" t="str">
        <f>'2024 DO NOT TOUCH'!G235</f>
        <v>0.5</v>
      </c>
      <c r="H234" s="78" t="str">
        <f>'2024 DO NOT TOUCH'!H235</f>
        <v>BEHIND COFFEE MACHINE(SNACK BAR DESK)</v>
      </c>
      <c r="I234" s="77" t="str">
        <f>'2024 DO NOT TOUCH'!I235</f>
        <v>INPREMISE</v>
      </c>
      <c r="J234" s="78" t="str">
        <f>'2024 DO NOT TOUCH'!J235</f>
        <v>AOI</v>
      </c>
      <c r="K234" s="77" t="str">
        <f>'2024 DO NOT TOUCH'!K235</f>
        <v>INACTIVE</v>
      </c>
      <c r="L234" s="79">
        <f>'2024 DO NOT TOUCH'!L235</f>
        <v>0</v>
      </c>
      <c r="M234" s="77" t="b">
        <f>'2024 DO NOT TOUCH'!M235</f>
        <v>0</v>
      </c>
      <c r="N234" s="78">
        <f>'2024 DO NOT TOUCH'!N235</f>
        <v>0</v>
      </c>
      <c r="O234" s="77" t="e">
        <f>'2024 DO NOT TOUCH'!#REF!</f>
        <v>#REF!</v>
      </c>
      <c r="P234" s="80">
        <f>'2024 DO NOT TOUCH'!P235</f>
        <v>0</v>
      </c>
      <c r="Q234" s="80">
        <f>'2024 DO NOT TOUCH'!Q235</f>
        <v>0</v>
      </c>
      <c r="R234" s="80">
        <f>'2024 DO NOT TOUCH'!R235</f>
        <v>0</v>
      </c>
      <c r="S234" s="81" t="str">
        <f>'2024 DO NOT TOUCH'!S235</f>
        <v>TESTED</v>
      </c>
      <c r="T234" s="81" t="str">
        <f>'2024 DO NOT TOUCH'!T235</f>
        <v>FAILED</v>
      </c>
      <c r="U234" s="81" t="str">
        <f>'2024 DO NOT TOUCH'!U235</f>
        <v>PASSED</v>
      </c>
      <c r="V234" s="81" t="str">
        <f>'2024 DO NOT TOUCH'!V235</f>
        <v>EXISTING</v>
      </c>
      <c r="W234" s="81" t="str">
        <f>'2024 DO NOT TOUCH'!W235</f>
        <v>EXISTING</v>
      </c>
      <c r="X234" s="80">
        <f>'2024 DO NOT TOUCH'!X235</f>
        <v>0</v>
      </c>
      <c r="Y234" s="81">
        <f>'2024 DO NOT TOUCH'!Y235</f>
        <v>0</v>
      </c>
    </row>
    <row r="235" spans="1:25" ht="19.5" customHeight="1">
      <c r="A235" s="58" t="str">
        <f>'2024 DO NOT TOUCH'!A236</f>
        <v>2125</v>
      </c>
      <c r="B235" s="59" t="str">
        <f>'2024 DO NOT TOUCH'!B236</f>
        <v>INTEL/OSS</v>
      </c>
      <c r="C235" s="58" t="str">
        <f>'2024 DO NOT TOUCH'!C236</f>
        <v>1374310904</v>
      </c>
      <c r="D235" s="59" t="str">
        <f>'2024 DO NOT TOUCH'!D236</f>
        <v>AMES</v>
      </c>
      <c r="E235" s="58" t="str">
        <f>'2024 DO NOT TOUCH'!E236</f>
        <v>3000SS</v>
      </c>
      <c r="F235" s="59" t="str">
        <f>'2024 DO NOT TOUCH'!F236</f>
        <v>DCDA</v>
      </c>
      <c r="G235" s="58" t="str">
        <f>'2024 DO NOT TOUCH'!G236</f>
        <v>6.0</v>
      </c>
      <c r="H235" s="59" t="str">
        <f>'2024 DO NOT TOUCH'!H236</f>
        <v>IN MECH RM ON FIRE SYS DCDA#1</v>
      </c>
      <c r="I235" s="58" t="str">
        <f>'2024 DO NOT TOUCH'!I236</f>
        <v>PREMISE</v>
      </c>
      <c r="J235" s="59" t="str">
        <f>'2024 DO NOT TOUCH'!J236</f>
        <v>FIRE</v>
      </c>
      <c r="K235" s="58" t="str">
        <f>'2024 DO NOT TOUCH'!K236</f>
        <v>ACTIVE</v>
      </c>
      <c r="L235" s="71">
        <f>'2024 DO NOT TOUCH'!L236</f>
        <v>44894</v>
      </c>
      <c r="M235" s="58" t="b">
        <f>'2024 DO NOT TOUCH'!M236</f>
        <v>0</v>
      </c>
      <c r="N235" s="59">
        <f>'2024 DO NOT TOUCH'!N236</f>
        <v>45600</v>
      </c>
      <c r="O235" s="58" t="e">
        <f>'2024 DO NOT TOUCH'!#REF!</f>
        <v>#REF!</v>
      </c>
      <c r="P235" s="67">
        <f>'2024 DO NOT TOUCH'!P236</f>
        <v>2.5</v>
      </c>
      <c r="Q235" s="67">
        <f>'2024 DO NOT TOUCH'!Q236</f>
        <v>2.2999999999999998</v>
      </c>
      <c r="R235" s="67">
        <f>'2024 DO NOT TOUCH'!R236</f>
        <v>0</v>
      </c>
      <c r="S235" s="58" t="str">
        <f>'2024 DO NOT TOUCH'!S236</f>
        <v>TESTED</v>
      </c>
      <c r="T235" s="58" t="str">
        <f>'2024 DO NOT TOUCH'!T236</f>
        <v>PASSED</v>
      </c>
      <c r="U235" s="58">
        <f>'2024 DO NOT TOUCH'!U236</f>
        <v>0</v>
      </c>
      <c r="V235" s="58">
        <f>'2024 DO NOT TOUCH'!V236</f>
        <v>0</v>
      </c>
      <c r="W235" s="58">
        <f>'2024 DO NOT TOUCH'!W236</f>
        <v>0</v>
      </c>
      <c r="X235" s="67">
        <f>'2024 DO NOT TOUCH'!X236</f>
        <v>0</v>
      </c>
      <c r="Y235" s="58">
        <f>'2024 DO NOT TOUCH'!Y236</f>
        <v>0</v>
      </c>
    </row>
    <row r="236" spans="1:25" ht="19.5" customHeight="1">
      <c r="A236" s="77" t="str">
        <f>'2024 DO NOT TOUCH'!A237</f>
        <v>2125</v>
      </c>
      <c r="B236" s="78" t="str">
        <f>'2024 DO NOT TOUCH'!B237</f>
        <v>INTEL/OSS</v>
      </c>
      <c r="C236" s="77" t="str">
        <f>'2024 DO NOT TOUCH'!C237</f>
        <v>62458</v>
      </c>
      <c r="D236" s="78" t="str">
        <f>'2024 DO NOT TOUCH'!D237</f>
        <v>WATTS</v>
      </c>
      <c r="E236" s="77" t="str">
        <f>'2024 DO NOT TOUCH'!E237</f>
        <v>007M1QT</v>
      </c>
      <c r="F236" s="78" t="str">
        <f>'2024 DO NOT TOUCH'!F237</f>
        <v>DCDA</v>
      </c>
      <c r="G236" s="77" t="str">
        <f>'2024 DO NOT TOUCH'!G237</f>
        <v>0.75</v>
      </c>
      <c r="H236" s="78" t="str">
        <f>'2024 DO NOT TOUCH'!H237</f>
        <v>IN MECH RM ON FIRE SYS DCDA#2</v>
      </c>
      <c r="I236" s="77" t="str">
        <f>'2024 DO NOT TOUCH'!I237</f>
        <v>PREMISE</v>
      </c>
      <c r="J236" s="78" t="str">
        <f>'2024 DO NOT TOUCH'!J237</f>
        <v>FIRE</v>
      </c>
      <c r="K236" s="77" t="str">
        <f>'2024 DO NOT TOUCH'!K237</f>
        <v>ACTIVE</v>
      </c>
      <c r="L236" s="79">
        <f>'2024 DO NOT TOUCH'!L237</f>
        <v>44894</v>
      </c>
      <c r="M236" s="77" t="b">
        <f>'2024 DO NOT TOUCH'!M237</f>
        <v>0</v>
      </c>
      <c r="N236" s="78">
        <f>'2024 DO NOT TOUCH'!N237</f>
        <v>45600</v>
      </c>
      <c r="O236" s="77" t="str">
        <f>'2024 DO NOT TOUCH'!O237</f>
        <v>Ram</v>
      </c>
      <c r="P236" s="83">
        <f>'2024 DO NOT TOUCH'!P237</f>
        <v>1.9</v>
      </c>
      <c r="Q236" s="83">
        <f>'2024 DO NOT TOUCH'!Q237</f>
        <v>2</v>
      </c>
      <c r="R236" s="83">
        <f>'2024 DO NOT TOUCH'!R237</f>
        <v>0</v>
      </c>
      <c r="S236" s="77" t="str">
        <f>'2024 DO NOT TOUCH'!S237</f>
        <v>TESTED</v>
      </c>
      <c r="T236" s="77" t="str">
        <f>'2024 DO NOT TOUCH'!T237</f>
        <v>PASSED</v>
      </c>
      <c r="U236" s="77">
        <f>'2024 DO NOT TOUCH'!U237</f>
        <v>0</v>
      </c>
      <c r="V236" s="77">
        <f>'2024 DO NOT TOUCH'!V237</f>
        <v>0</v>
      </c>
      <c r="W236" s="77">
        <f>'2024 DO NOT TOUCH'!W237</f>
        <v>0</v>
      </c>
      <c r="X236" s="83">
        <f>'2024 DO NOT TOUCH'!X237</f>
        <v>0</v>
      </c>
      <c r="Y236" s="77">
        <f>'2024 DO NOT TOUCH'!Y237</f>
        <v>0</v>
      </c>
    </row>
    <row r="237" spans="1:25" ht="19.5" customHeight="1">
      <c r="A237" s="58" t="str">
        <f>'2024 DO NOT TOUCH'!A238</f>
        <v>2125</v>
      </c>
      <c r="B237" s="59" t="str">
        <f>'2024 DO NOT TOUCH'!B238</f>
        <v>INTEL/OSS</v>
      </c>
      <c r="C237" s="58" t="str">
        <f>'2024 DO NOT TOUCH'!C238</f>
        <v>215071</v>
      </c>
      <c r="D237" s="59" t="str">
        <f>'2024 DO NOT TOUCH'!D238</f>
        <v>WILKINS</v>
      </c>
      <c r="E237" s="58" t="str">
        <f>'2024 DO NOT TOUCH'!E238</f>
        <v>950XL</v>
      </c>
      <c r="F237" s="59" t="str">
        <f>'2024 DO NOT TOUCH'!F238</f>
        <v>DC</v>
      </c>
      <c r="G237" s="58" t="str">
        <f>'2024 DO NOT TOUCH'!G238</f>
        <v>2.0</v>
      </c>
      <c r="H237" s="59" t="str">
        <f>'2024 DO NOT TOUCH'!H238</f>
        <v>IRRIGATION NEXT TO EAST PARKING LOT</v>
      </c>
      <c r="I237" s="58" t="str">
        <f>'2024 DO NOT TOUCH'!I238</f>
        <v>PREMISE</v>
      </c>
      <c r="J237" s="59" t="str">
        <f>'2024 DO NOT TOUCH'!J238</f>
        <v>IRR</v>
      </c>
      <c r="K237" s="58" t="str">
        <f>'2024 DO NOT TOUCH'!K238</f>
        <v>INACTIVE</v>
      </c>
      <c r="L237" s="71">
        <f>'2024 DO NOT TOUCH'!L238</f>
        <v>0</v>
      </c>
      <c r="M237" s="58" t="b">
        <f>'2024 DO NOT TOUCH'!M238</f>
        <v>0</v>
      </c>
      <c r="N237" s="59">
        <f>'2024 DO NOT TOUCH'!N238</f>
        <v>45600</v>
      </c>
      <c r="O237" s="58" t="str">
        <f>'2024 DO NOT TOUCH'!O238</f>
        <v>Ram</v>
      </c>
      <c r="P237" s="65">
        <f>'2024 DO NOT TOUCH'!P238</f>
        <v>0</v>
      </c>
      <c r="Q237" s="65">
        <f>'2024 DO NOT TOUCH'!Q238</f>
        <v>0</v>
      </c>
      <c r="R237" s="65">
        <f>'2024 DO NOT TOUCH'!R238</f>
        <v>0</v>
      </c>
      <c r="S237" s="62" t="str">
        <f>'2024 DO NOT TOUCH'!S238</f>
        <v>UNTESTED</v>
      </c>
      <c r="T237" s="62">
        <f>'2024 DO NOT TOUCH'!T238</f>
        <v>0</v>
      </c>
      <c r="U237" s="62">
        <f>'2024 DO NOT TOUCH'!U238</f>
        <v>0</v>
      </c>
      <c r="V237" s="62">
        <f>'2024 DO NOT TOUCH'!V238</f>
        <v>0</v>
      </c>
      <c r="W237" s="62">
        <f>'2024 DO NOT TOUCH'!W238</f>
        <v>0</v>
      </c>
      <c r="X237" s="65">
        <f>'2024 DO NOT TOUCH'!X238</f>
        <v>0</v>
      </c>
      <c r="Y237" s="62" t="e">
        <f>'2024 DO NOT TOUCH'!#REF!</f>
        <v>#REF!</v>
      </c>
    </row>
    <row r="238" spans="1:25" ht="19.5" customHeight="1">
      <c r="A238" s="55" t="str">
        <f>'2024 DO NOT TOUCH'!A239</f>
        <v>2140</v>
      </c>
      <c r="B238" s="3" t="str">
        <f>'2024 DO NOT TOUCH'!B239</f>
        <v>COMMAND POST</v>
      </c>
      <c r="C238" s="55" t="str">
        <f>'2024 DO NOT TOUCH'!C239</f>
        <v>042336</v>
      </c>
      <c r="D238" s="3" t="str">
        <f>'2024 DO NOT TOUCH'!D239</f>
        <v>WILKINS</v>
      </c>
      <c r="E238" s="55" t="str">
        <f>'2024 DO NOT TOUCH'!E239</f>
        <v>975</v>
      </c>
      <c r="F238" s="3" t="str">
        <f>'2024 DO NOT TOUCH'!F239</f>
        <v>RP</v>
      </c>
      <c r="G238" s="55" t="str">
        <f>'2024 DO NOT TOUCH'!G239</f>
        <v>0.75</v>
      </c>
      <c r="H238" s="3" t="str">
        <f>'2024 DO NOT TOUCH'!H239</f>
        <v>MECH RM 109 ON HVAC</v>
      </c>
      <c r="I238" s="55" t="str">
        <f>'2024 DO NOT TOUCH'!I239</f>
        <v>INPREMISE</v>
      </c>
      <c r="J238" s="3" t="str">
        <f>'2024 DO NOT TOUCH'!J239</f>
        <v>AOI</v>
      </c>
      <c r="K238" s="55" t="str">
        <f>'2024 DO NOT TOUCH'!K239</f>
        <v>ACTIVE</v>
      </c>
      <c r="L238" s="72">
        <f>'2024 DO NOT TOUCH'!L239</f>
        <v>44810</v>
      </c>
      <c r="M238" s="55" t="b">
        <f>'2024 DO NOT TOUCH'!M239</f>
        <v>0</v>
      </c>
      <c r="N238" s="3">
        <f>'2024 DO NOT TOUCH'!N239</f>
        <v>45475</v>
      </c>
      <c r="O238" s="55" t="str">
        <f>'2024 DO NOT TOUCH'!O239</f>
        <v>TROUNG</v>
      </c>
      <c r="P238" s="64">
        <f>'2024 DO NOT TOUCH'!P239</f>
        <v>8.5</v>
      </c>
      <c r="Q238" s="64">
        <f>'2024 DO NOT TOUCH'!Q239</f>
        <v>0</v>
      </c>
      <c r="R238" s="64">
        <f>'2024 DO NOT TOUCH'!R239</f>
        <v>2.5</v>
      </c>
      <c r="S238" s="57" t="str">
        <f>'2024 DO NOT TOUCH'!S239</f>
        <v>TESTED</v>
      </c>
      <c r="T238" s="57" t="str">
        <f>'2024 DO NOT TOUCH'!T239</f>
        <v>PASSED</v>
      </c>
      <c r="U238" s="57">
        <f>'2024 DO NOT TOUCH'!U239</f>
        <v>0</v>
      </c>
      <c r="V238" s="57">
        <f>'2024 DO NOT TOUCH'!V239</f>
        <v>0</v>
      </c>
      <c r="W238" s="57">
        <f>'2024 DO NOT TOUCH'!W239</f>
        <v>0</v>
      </c>
      <c r="X238" s="64">
        <f>'2024 DO NOT TOUCH'!X239</f>
        <v>0</v>
      </c>
      <c r="Y238" s="57" t="str">
        <f>'2024 DO NOT TOUCH'!Y238</f>
        <v>iso</v>
      </c>
    </row>
    <row r="239" spans="1:25" ht="19.5" customHeight="1">
      <c r="A239" s="58" t="str">
        <f>'2024 DO NOT TOUCH'!A240</f>
        <v>2140</v>
      </c>
      <c r="B239" s="59" t="str">
        <f>'2024 DO NOT TOUCH'!B240</f>
        <v>COMMAND POST</v>
      </c>
      <c r="C239" s="58" t="str">
        <f>'2024 DO NOT TOUCH'!C240</f>
        <v>3033529</v>
      </c>
      <c r="D239" s="59" t="str">
        <f>'2024 DO NOT TOUCH'!D240</f>
        <v>WILKINS</v>
      </c>
      <c r="E239" s="58" t="str">
        <f>'2024 DO NOT TOUCH'!E240</f>
        <v>975XL</v>
      </c>
      <c r="F239" s="59" t="str">
        <f>'2024 DO NOT TOUCH'!F240</f>
        <v>RP</v>
      </c>
      <c r="G239" s="58" t="str">
        <f>'2024 DO NOT TOUCH'!G240</f>
        <v>2.0</v>
      </c>
      <c r="H239" s="59" t="str">
        <f>'2024 DO NOT TOUCH'!H240</f>
        <v xml:space="preserve">MECH RM 109  </v>
      </c>
      <c r="I239" s="58" t="str">
        <f>'2024 DO NOT TOUCH'!I240</f>
        <v>PREMISE</v>
      </c>
      <c r="J239" s="59" t="str">
        <f>'2024 DO NOT TOUCH'!J240</f>
        <v>PREMISE</v>
      </c>
      <c r="K239" s="58" t="str">
        <f>'2024 DO NOT TOUCH'!K240</f>
        <v>ACTIVE</v>
      </c>
      <c r="L239" s="71">
        <f>'2024 DO NOT TOUCH'!L240</f>
        <v>44810</v>
      </c>
      <c r="M239" s="58" t="b">
        <f>'2024 DO NOT TOUCH'!M240</f>
        <v>0</v>
      </c>
      <c r="N239" s="59">
        <f>'2024 DO NOT TOUCH'!N240</f>
        <v>45475</v>
      </c>
      <c r="O239" s="58" t="str">
        <f>'2024 DO NOT TOUCH'!O240</f>
        <v>TROUNG</v>
      </c>
      <c r="P239" s="65">
        <f>'2024 DO NOT TOUCH'!P240</f>
        <v>9</v>
      </c>
      <c r="Q239" s="65">
        <f>'2024 DO NOT TOUCH'!Q240</f>
        <v>0</v>
      </c>
      <c r="R239" s="65">
        <f>'2024 DO NOT TOUCH'!R240</f>
        <v>2.8</v>
      </c>
      <c r="S239" s="62" t="str">
        <f>'2024 DO NOT TOUCH'!S240</f>
        <v>TESTED</v>
      </c>
      <c r="T239" s="62" t="str">
        <f>'2024 DO NOT TOUCH'!T240</f>
        <v>PASSED</v>
      </c>
      <c r="U239" s="62">
        <f>'2024 DO NOT TOUCH'!U240</f>
        <v>0</v>
      </c>
      <c r="V239" s="62">
        <f>'2024 DO NOT TOUCH'!V240</f>
        <v>0</v>
      </c>
      <c r="W239" s="62">
        <f>'2024 DO NOT TOUCH'!W240</f>
        <v>0</v>
      </c>
      <c r="X239" s="65">
        <f>'2024 DO NOT TOUCH'!X240</f>
        <v>0</v>
      </c>
      <c r="Y239" s="62">
        <f>'2024 DO NOT TOUCH'!Y240</f>
        <v>0</v>
      </c>
    </row>
    <row r="240" spans="1:25" ht="19.5" customHeight="1">
      <c r="A240" s="55" t="str">
        <f>'2024 DO NOT TOUCH'!A241</f>
        <v>2140</v>
      </c>
      <c r="B240" s="55" t="str">
        <f>'2024 DO NOT TOUCH'!B241</f>
        <v>COMMAND POST</v>
      </c>
      <c r="C240" s="55" t="str">
        <f>'2024 DO NOT TOUCH'!C241</f>
        <v>8675309</v>
      </c>
      <c r="D240" s="55" t="str">
        <f>'2024 DO NOT TOUCH'!D241</f>
        <v>FEBCO</v>
      </c>
      <c r="E240" s="55" t="str">
        <f>'2024 DO NOT TOUCH'!E241</f>
        <v>765</v>
      </c>
      <c r="F240" s="55" t="str">
        <f>'2024 DO NOT TOUCH'!F241</f>
        <v>PVB</v>
      </c>
      <c r="G240" s="55" t="str">
        <f>'2024 DO NOT TOUCH'!G241</f>
        <v>2.0</v>
      </c>
      <c r="H240" s="55" t="str">
        <f>'2024 DO NOT TOUCH'!H241</f>
        <v>MECH RM IRRIAGTION ON BACK WALL</v>
      </c>
      <c r="I240" s="55" t="str">
        <f>'2024 DO NOT TOUCH'!I241</f>
        <v>PREMISE</v>
      </c>
      <c r="J240" s="55" t="str">
        <f>'2024 DO NOT TOUCH'!J241</f>
        <v>IRR</v>
      </c>
      <c r="K240" s="55" t="str">
        <f>'2024 DO NOT TOUCH'!K241</f>
        <v>ACTIVE</v>
      </c>
      <c r="L240" s="56">
        <f>'2024 DO NOT TOUCH'!L241</f>
        <v>44753</v>
      </c>
      <c r="M240" s="56" t="b">
        <f>'2024 DO NOT TOUCH'!M241</f>
        <v>0</v>
      </c>
      <c r="N240" s="56">
        <f>'2024 DO NOT TOUCH'!N241</f>
        <v>45475</v>
      </c>
      <c r="O240" s="55" t="str">
        <f>'2024 DO NOT TOUCH'!O241</f>
        <v>TROUNG</v>
      </c>
      <c r="P240" s="64">
        <f>'2024 DO NOT TOUCH'!P241</f>
        <v>1.3</v>
      </c>
      <c r="Q240" s="64">
        <f>'2024 DO NOT TOUCH'!Q241</f>
        <v>0</v>
      </c>
      <c r="R240" s="64">
        <f>'2024 DO NOT TOUCH'!R241</f>
        <v>4.8</v>
      </c>
      <c r="S240" s="55" t="str">
        <f>'2024 DO NOT TOUCH'!S241</f>
        <v>TESTED</v>
      </c>
      <c r="T240" s="55" t="str">
        <f>'2024 DO NOT TOUCH'!T241</f>
        <v>PASSED</v>
      </c>
      <c r="U240" s="55">
        <f>'2024 DO NOT TOUCH'!U241</f>
        <v>0</v>
      </c>
      <c r="V240" s="55">
        <f>'2024 DO NOT TOUCH'!V241</f>
        <v>0</v>
      </c>
      <c r="W240" s="55">
        <f>'2024 DO NOT TOUCH'!W241</f>
        <v>0</v>
      </c>
      <c r="X240" s="66">
        <f>'2024 DO NOT TOUCH'!X241</f>
        <v>0</v>
      </c>
      <c r="Y240" s="55" t="str">
        <f>'2024 DO NOT TOUCH'!Y241</f>
        <v>iso</v>
      </c>
    </row>
    <row r="241" spans="1:25" ht="19.5" customHeight="1">
      <c r="A241" s="58" t="str">
        <f>'2024 DO NOT TOUCH'!A242</f>
        <v>2140</v>
      </c>
      <c r="B241" s="59" t="str">
        <f>'2024 DO NOT TOUCH'!B242</f>
        <v>COMMAND POST</v>
      </c>
      <c r="C241" s="58" t="str">
        <f>'2024 DO NOT TOUCH'!C242</f>
        <v>B14775</v>
      </c>
      <c r="D241" s="59" t="str">
        <f>'2024 DO NOT TOUCH'!D242</f>
        <v>FEBCO</v>
      </c>
      <c r="E241" s="58" t="str">
        <f>'2024 DO NOT TOUCH'!E242</f>
        <v>805</v>
      </c>
      <c r="F241" s="59" t="str">
        <f>'2024 DO NOT TOUCH'!F242</f>
        <v>DC</v>
      </c>
      <c r="G241" s="58" t="str">
        <f>'2024 DO NOT TOUCH'!G242</f>
        <v>4.0</v>
      </c>
      <c r="H241" s="59" t="str">
        <f>'2024 DO NOT TOUCH'!H242</f>
        <v>MECH RM ON FIRE SYS</v>
      </c>
      <c r="I241" s="58" t="str">
        <f>'2024 DO NOT TOUCH'!I242</f>
        <v>PREMISE</v>
      </c>
      <c r="J241" s="59" t="str">
        <f>'2024 DO NOT TOUCH'!J242</f>
        <v>FIRE</v>
      </c>
      <c r="K241" s="58" t="str">
        <f>'2024 DO NOT TOUCH'!K242</f>
        <v>ACTIVE</v>
      </c>
      <c r="L241" s="71">
        <f>'2024 DO NOT TOUCH'!L242</f>
        <v>44810</v>
      </c>
      <c r="M241" s="58" t="b">
        <f>'2024 DO NOT TOUCH'!M242</f>
        <v>0</v>
      </c>
      <c r="N241" s="59">
        <f>'2024 DO NOT TOUCH'!N242</f>
        <v>45475</v>
      </c>
      <c r="O241" s="58" t="str">
        <f>'2024 DO NOT TOUCH'!O242</f>
        <v>TROUNG</v>
      </c>
      <c r="P241" s="65">
        <f>'2024 DO NOT TOUCH'!P242</f>
        <v>1.5</v>
      </c>
      <c r="Q241" s="65">
        <f>'2024 DO NOT TOUCH'!Q242</f>
        <v>1.3</v>
      </c>
      <c r="R241" s="65">
        <f>'2024 DO NOT TOUCH'!R242</f>
        <v>0</v>
      </c>
      <c r="S241" s="62" t="str">
        <f>'2024 DO NOT TOUCH'!S242</f>
        <v>TESTED</v>
      </c>
      <c r="T241" s="62" t="str">
        <f>'2024 DO NOT TOUCH'!T242</f>
        <v>PASSED</v>
      </c>
      <c r="U241" s="62">
        <f>'2024 DO NOT TOUCH'!U242</f>
        <v>0</v>
      </c>
      <c r="V241" s="62">
        <f>'2024 DO NOT TOUCH'!V242</f>
        <v>0</v>
      </c>
      <c r="W241" s="62">
        <f>'2024 DO NOT TOUCH'!W242</f>
        <v>0</v>
      </c>
      <c r="X241" s="65">
        <f>'2024 DO NOT TOUCH'!X242</f>
        <v>0</v>
      </c>
      <c r="Y241" s="62">
        <f>'2024 DO NOT TOUCH'!Y242</f>
        <v>0</v>
      </c>
    </row>
    <row r="242" spans="1:25" ht="19.5" customHeight="1">
      <c r="A242" s="55" t="str">
        <f>'2024 DO NOT TOUCH'!A243</f>
        <v>2145</v>
      </c>
      <c r="B242" s="3" t="str">
        <f>'2024 DO NOT TOUCH'!B243</f>
        <v>PMEL</v>
      </c>
      <c r="C242" s="55" t="str">
        <f>'2024 DO NOT TOUCH'!C243</f>
        <v>4155303</v>
      </c>
      <c r="D242" s="3" t="str">
        <f>'2024 DO NOT TOUCH'!D243</f>
        <v>WILKINS</v>
      </c>
      <c r="E242" s="55" t="str">
        <f>'2024 DO NOT TOUCH'!E243</f>
        <v>975XL2</v>
      </c>
      <c r="F242" s="3" t="str">
        <f>'2024 DO NOT TOUCH'!F243</f>
        <v>RP</v>
      </c>
      <c r="G242" s="55" t="str">
        <f>'2024 DO NOT TOUCH'!G243</f>
        <v>0.75</v>
      </c>
      <c r="H242" s="3" t="str">
        <f>'2024 DO NOT TOUCH'!H243</f>
        <v>MECH RM B121 / HUMIDIFIER SUPPLY</v>
      </c>
      <c r="I242" s="55" t="str">
        <f>'2024 DO NOT TOUCH'!I243</f>
        <v>INPREMISE</v>
      </c>
      <c r="J242" s="3" t="str">
        <f>'2024 DO NOT TOUCH'!J243</f>
        <v>AOI</v>
      </c>
      <c r="K242" s="55" t="str">
        <f>'2024 DO NOT TOUCH'!K243</f>
        <v>ACTIVE</v>
      </c>
      <c r="L242" s="72">
        <f>'2024 DO NOT TOUCH'!L243</f>
        <v>44937</v>
      </c>
      <c r="M242" s="55" t="b">
        <f>'2024 DO NOT TOUCH'!M243</f>
        <v>0</v>
      </c>
      <c r="N242" s="3">
        <f>'2024 DO NOT TOUCH'!N243</f>
        <v>0</v>
      </c>
      <c r="O242" s="55">
        <f>'2024 DO NOT TOUCH'!O243</f>
        <v>0</v>
      </c>
      <c r="P242" s="64">
        <f>'2024 DO NOT TOUCH'!P243</f>
        <v>0</v>
      </c>
      <c r="Q242" s="64">
        <f>'2024 DO NOT TOUCH'!Q243</f>
        <v>0</v>
      </c>
      <c r="R242" s="64">
        <f>'2024 DO NOT TOUCH'!R243</f>
        <v>0</v>
      </c>
      <c r="S242" s="57" t="str">
        <f>'2024 DO NOT TOUCH'!S243</f>
        <v>TESTED</v>
      </c>
      <c r="T242" s="57" t="str">
        <f>'2024 DO NOT TOUCH'!T243</f>
        <v>PASSED</v>
      </c>
      <c r="U242" s="57" t="str">
        <f>'2024 DO NOT TOUCH'!U243</f>
        <v>PASSED</v>
      </c>
      <c r="V242" s="57" t="str">
        <f>'2024 DO NOT TOUCH'!V243</f>
        <v>EXISTING</v>
      </c>
      <c r="W242" s="57" t="str">
        <f>'2024 DO NOT TOUCH'!W243</f>
        <v>EXISTING</v>
      </c>
      <c r="X242" s="64">
        <f>'2024 DO NOT TOUCH'!X243</f>
        <v>0</v>
      </c>
      <c r="Y242" s="57">
        <f>'2024 DO NOT TOUCH'!Y243</f>
        <v>0</v>
      </c>
    </row>
    <row r="243" spans="1:25" ht="19.5" customHeight="1">
      <c r="A243" s="58" t="str">
        <f>'2024 DO NOT TOUCH'!A244</f>
        <v>2145</v>
      </c>
      <c r="B243" s="59" t="str">
        <f>'2024 DO NOT TOUCH'!B244</f>
        <v>PMEL</v>
      </c>
      <c r="C243" s="58" t="str">
        <f>'2024 DO NOT TOUCH'!C244</f>
        <v>H01270</v>
      </c>
      <c r="D243" s="59" t="str">
        <f>'2024 DO NOT TOUCH'!D244</f>
        <v>FEBCO</v>
      </c>
      <c r="E243" s="58" t="str">
        <f>'2024 DO NOT TOUCH'!E244</f>
        <v>850U</v>
      </c>
      <c r="F243" s="59" t="str">
        <f>'2024 DO NOT TOUCH'!F244</f>
        <v>DC</v>
      </c>
      <c r="G243" s="58" t="str">
        <f>'2024 DO NOT TOUCH'!G244</f>
        <v>2.0</v>
      </c>
      <c r="H243" s="59" t="str">
        <f>'2024 DO NOT TOUCH'!H244</f>
        <v>BACK OF BLDG NEXT TO CHILLER IRRIGATION</v>
      </c>
      <c r="I243" s="58" t="str">
        <f>'2024 DO NOT TOUCH'!I244</f>
        <v>PREMISE</v>
      </c>
      <c r="J243" s="59" t="str">
        <f>'2024 DO NOT TOUCH'!J244</f>
        <v>IRR</v>
      </c>
      <c r="K243" s="58" t="str">
        <f>'2024 DO NOT TOUCH'!K244</f>
        <v>ACTIVE</v>
      </c>
      <c r="L243" s="71">
        <f>'2024 DO NOT TOUCH'!L244</f>
        <v>44774</v>
      </c>
      <c r="M243" s="58" t="b">
        <f>'2024 DO NOT TOUCH'!M244</f>
        <v>0</v>
      </c>
      <c r="N243" s="59">
        <f>'2024 DO NOT TOUCH'!N244</f>
        <v>0</v>
      </c>
      <c r="O243" s="58">
        <f>'2024 DO NOT TOUCH'!O244</f>
        <v>0</v>
      </c>
      <c r="P243" s="65">
        <f>'2024 DO NOT TOUCH'!P244</f>
        <v>0</v>
      </c>
      <c r="Q243" s="65">
        <f>'2024 DO NOT TOUCH'!Q244</f>
        <v>0</v>
      </c>
      <c r="R243" s="65">
        <f>'2024 DO NOT TOUCH'!R244</f>
        <v>0</v>
      </c>
      <c r="S243" s="62" t="str">
        <f>'2024 DO NOT TOUCH'!S244</f>
        <v>UNTESTED</v>
      </c>
      <c r="T243" s="62">
        <f>'2024 DO NOT TOUCH'!T244</f>
        <v>0</v>
      </c>
      <c r="U243" s="62">
        <f>'2024 DO NOT TOUCH'!U244</f>
        <v>0</v>
      </c>
      <c r="V243" s="62">
        <f>'2024 DO NOT TOUCH'!V244</f>
        <v>0</v>
      </c>
      <c r="W243" s="62">
        <f>'2024 DO NOT TOUCH'!W244</f>
        <v>0</v>
      </c>
      <c r="X243" s="65">
        <f>'2024 DO NOT TOUCH'!X244</f>
        <v>0</v>
      </c>
      <c r="Y243" s="62" t="str">
        <f>'2024 DO NOT TOUCH'!Y244</f>
        <v>iso</v>
      </c>
    </row>
    <row r="244" spans="1:25" ht="19.5" customHeight="1">
      <c r="A244" s="55" t="str">
        <f>'2024 DO NOT TOUCH'!A245</f>
        <v>2145</v>
      </c>
      <c r="B244" s="3" t="str">
        <f>'2024 DO NOT TOUCH'!B245</f>
        <v>PMEL</v>
      </c>
      <c r="C244" s="55" t="str">
        <f>'2024 DO NOT TOUCH'!C245</f>
        <v>U23262</v>
      </c>
      <c r="D244" s="3" t="str">
        <f>'2024 DO NOT TOUCH'!D245</f>
        <v>WILKINS</v>
      </c>
      <c r="E244" s="55" t="str">
        <f>'2024 DO NOT TOUCH'!E245</f>
        <v>350A</v>
      </c>
      <c r="F244" s="3" t="str">
        <f>'2024 DO NOT TOUCH'!F245</f>
        <v>DC</v>
      </c>
      <c r="G244" s="55" t="str">
        <f>'2024 DO NOT TOUCH'!G245</f>
        <v>3.0</v>
      </c>
      <c r="H244" s="3" t="str">
        <f>'2024 DO NOT TOUCH'!H245</f>
        <v>MECH RM A107 DOMESTIC SUPPLY</v>
      </c>
      <c r="I244" s="55" t="str">
        <f>'2024 DO NOT TOUCH'!I245</f>
        <v>PREMISE</v>
      </c>
      <c r="J244" s="3" t="str">
        <f>'2024 DO NOT TOUCH'!J245</f>
        <v>PREMISE</v>
      </c>
      <c r="K244" s="55" t="str">
        <f>'2024 DO NOT TOUCH'!K245</f>
        <v>ACTIVE</v>
      </c>
      <c r="L244" s="72">
        <f>'2024 DO NOT TOUCH'!L245</f>
        <v>44774</v>
      </c>
      <c r="M244" s="55" t="b">
        <f>'2024 DO NOT TOUCH'!M245</f>
        <v>0</v>
      </c>
      <c r="N244" s="3">
        <f>'2024 DO NOT TOUCH'!N245</f>
        <v>45509</v>
      </c>
      <c r="O244" s="55" t="str">
        <f>'2024 DO NOT TOUCH'!O245</f>
        <v>PASS</v>
      </c>
      <c r="P244" s="66">
        <f>'2024 DO NOT TOUCH'!P245</f>
        <v>2.8</v>
      </c>
      <c r="Q244" s="66">
        <f>'2024 DO NOT TOUCH'!Q245</f>
        <v>3.2</v>
      </c>
      <c r="R244" s="66">
        <f>'2024 DO NOT TOUCH'!R245</f>
        <v>0</v>
      </c>
      <c r="S244" s="55" t="str">
        <f>'2024 DO NOT TOUCH'!S245</f>
        <v>TESTED</v>
      </c>
      <c r="T244" s="55" t="str">
        <f>'2024 DO NOT TOUCH'!T245</f>
        <v>PASSED</v>
      </c>
      <c r="U244" s="55">
        <f>'2024 DO NOT TOUCH'!U245</f>
        <v>0</v>
      </c>
      <c r="V244" s="55">
        <f>'2024 DO NOT TOUCH'!V245</f>
        <v>0</v>
      </c>
      <c r="W244" s="55">
        <f>'2024 DO NOT TOUCH'!W245</f>
        <v>0</v>
      </c>
      <c r="X244" s="66">
        <f>'2024 DO NOT TOUCH'!X245</f>
        <v>0</v>
      </c>
      <c r="Y244" s="55">
        <f>'2024 DO NOT TOUCH'!Y245</f>
        <v>0</v>
      </c>
    </row>
    <row r="245" spans="1:25" ht="19.5" customHeight="1">
      <c r="A245" s="58" t="str">
        <f>'2024 DO NOT TOUCH'!A246</f>
        <v>2145</v>
      </c>
      <c r="B245" s="59" t="str">
        <f>'2024 DO NOT TOUCH'!B246</f>
        <v>PMEL</v>
      </c>
      <c r="C245" s="58" t="str">
        <f>'2024 DO NOT TOUCH'!C246</f>
        <v>U22924</v>
      </c>
      <c r="D245" s="59" t="str">
        <f>'2024 DO NOT TOUCH'!D246</f>
        <v>WILKINS</v>
      </c>
      <c r="E245" s="58" t="str">
        <f>'2024 DO NOT TOUCH'!E246</f>
        <v>350A</v>
      </c>
      <c r="F245" s="59" t="str">
        <f>'2024 DO NOT TOUCH'!F246</f>
        <v>DC</v>
      </c>
      <c r="G245" s="58" t="str">
        <f>'2024 DO NOT TOUCH'!G246</f>
        <v>6.0</v>
      </c>
      <c r="H245" s="59" t="str">
        <f>'2024 DO NOT TOUCH'!H246</f>
        <v>MECH RM FIRE SYS</v>
      </c>
      <c r="I245" s="58" t="str">
        <f>'2024 DO NOT TOUCH'!I246</f>
        <v>PREMISE</v>
      </c>
      <c r="J245" s="59" t="str">
        <f>'2024 DO NOT TOUCH'!J246</f>
        <v>FIRE</v>
      </c>
      <c r="K245" s="58" t="str">
        <f>'2024 DO NOT TOUCH'!K246</f>
        <v>ACTIVE</v>
      </c>
      <c r="L245" s="71">
        <f>'2024 DO NOT TOUCH'!L246</f>
        <v>44937</v>
      </c>
      <c r="M245" s="58" t="b">
        <f>'2024 DO NOT TOUCH'!M246</f>
        <v>0</v>
      </c>
      <c r="N245" s="59">
        <f>'2024 DO NOT TOUCH'!N246</f>
        <v>45600</v>
      </c>
      <c r="O245" s="58" t="str">
        <f>'2024 DO NOT TOUCH'!O246</f>
        <v>Ram</v>
      </c>
      <c r="P245" s="67">
        <f>'2024 DO NOT TOUCH'!P246</f>
        <v>3.4</v>
      </c>
      <c r="Q245" s="67">
        <f>'2024 DO NOT TOUCH'!Q246</f>
        <v>3.2</v>
      </c>
      <c r="R245" s="67">
        <f>'2024 DO NOT TOUCH'!R246</f>
        <v>0</v>
      </c>
      <c r="S245" s="58" t="str">
        <f>'2024 DO NOT TOUCH'!S246</f>
        <v>TESTED</v>
      </c>
      <c r="T245" s="58" t="str">
        <f>'2024 DO NOT TOUCH'!T246</f>
        <v>PASSED</v>
      </c>
      <c r="U245" s="58">
        <f>'2024 DO NOT TOUCH'!U246</f>
        <v>0</v>
      </c>
      <c r="V245" s="58">
        <f>'2024 DO NOT TOUCH'!V246</f>
        <v>0</v>
      </c>
      <c r="W245" s="58">
        <f>'2024 DO NOT TOUCH'!W246</f>
        <v>0</v>
      </c>
      <c r="X245" s="67">
        <f>'2024 DO NOT TOUCH'!X246</f>
        <v>0</v>
      </c>
      <c r="Y245" s="58">
        <f>'2024 DO NOT TOUCH'!Y246</f>
        <v>0</v>
      </c>
    </row>
    <row r="246" spans="1:25" ht="19.5" customHeight="1">
      <c r="A246" s="77" t="str">
        <f>'2024 DO NOT TOUCH'!A247</f>
        <v>2151</v>
      </c>
      <c r="B246" s="78" t="str">
        <f>'2024 DO NOT TOUCH'!B247</f>
        <v>POL AREA B</v>
      </c>
      <c r="C246" s="77" t="str">
        <f>'2024 DO NOT TOUCH'!C247</f>
        <v>3078460</v>
      </c>
      <c r="D246" s="78" t="str">
        <f>'2024 DO NOT TOUCH'!D247</f>
        <v>WILKINS</v>
      </c>
      <c r="E246" s="77" t="str">
        <f>'2024 DO NOT TOUCH'!E247</f>
        <v>975XL</v>
      </c>
      <c r="F246" s="78" t="str">
        <f>'2024 DO NOT TOUCH'!F247</f>
        <v>RP</v>
      </c>
      <c r="G246" s="77" t="str">
        <f>'2024 DO NOT TOUCH'!G247</f>
        <v>1.0</v>
      </c>
      <c r="H246" s="78" t="str">
        <f>'2024 DO NOT TOUCH'!H247</f>
        <v>ON CARBON FILTER IN FILTER ROOM</v>
      </c>
      <c r="I246" s="77" t="str">
        <f>'2024 DO NOT TOUCH'!I247</f>
        <v>INPREMISE</v>
      </c>
      <c r="J246" s="78" t="str">
        <f>'2024 DO NOT TOUCH'!J247</f>
        <v>AOI</v>
      </c>
      <c r="K246" s="77" t="str">
        <f>'2024 DO NOT TOUCH'!K247</f>
        <v>ACTIVE</v>
      </c>
      <c r="L246" s="79">
        <f>'2024 DO NOT TOUCH'!L247</f>
        <v>44937</v>
      </c>
      <c r="M246" s="77" t="b">
        <f>'2024 DO NOT TOUCH'!M247</f>
        <v>0</v>
      </c>
      <c r="N246" s="78">
        <f>'2024 DO NOT TOUCH'!N247</f>
        <v>45449</v>
      </c>
      <c r="O246" s="77" t="str">
        <f>'2024 DO NOT TOUCH'!O247</f>
        <v>LARIOS</v>
      </c>
      <c r="P246" s="80">
        <f>'2024 DO NOT TOUCH'!P247</f>
        <v>0</v>
      </c>
      <c r="Q246" s="80">
        <f>'2024 DO NOT TOUCH'!Q247</f>
        <v>0</v>
      </c>
      <c r="R246" s="80">
        <f>'2024 DO NOT TOUCH'!R247</f>
        <v>0</v>
      </c>
      <c r="S246" s="81" t="str">
        <f>'2024 DO NOT TOUCH'!S247</f>
        <v>UNTESTED</v>
      </c>
      <c r="T246" s="81">
        <f>'2024 DO NOT TOUCH'!T247</f>
        <v>0</v>
      </c>
      <c r="U246" s="81">
        <f>'2024 DO NOT TOUCH'!U247</f>
        <v>0</v>
      </c>
      <c r="V246" s="81">
        <f>'2024 DO NOT TOUCH'!V247</f>
        <v>0</v>
      </c>
      <c r="W246" s="81">
        <f>'2024 DO NOT TOUCH'!W247</f>
        <v>0</v>
      </c>
      <c r="X246" s="80">
        <f>'2024 DO NOT TOUCH'!X247</f>
        <v>0</v>
      </c>
      <c r="Y246" s="81">
        <f>'2024 DO NOT TOUCH'!Y247</f>
        <v>0</v>
      </c>
    </row>
    <row r="247" spans="1:25" ht="19.5" customHeight="1">
      <c r="A247" s="58" t="str">
        <f>'2024 DO NOT TOUCH'!A248</f>
        <v>2151</v>
      </c>
      <c r="B247" s="59" t="str">
        <f>'2024 DO NOT TOUCH'!B248</f>
        <v>POL AREA B</v>
      </c>
      <c r="C247" s="58" t="str">
        <f>'2024 DO NOT TOUCH'!C248</f>
        <v>A40921</v>
      </c>
      <c r="D247" s="59" t="str">
        <f>'2024 DO NOT TOUCH'!D248</f>
        <v>WATTS</v>
      </c>
      <c r="E247" s="58" t="str">
        <f>'2024 DO NOT TOUCH'!E248</f>
        <v>009M2QT</v>
      </c>
      <c r="F247" s="59" t="str">
        <f>'2024 DO NOT TOUCH'!F248</f>
        <v>RP</v>
      </c>
      <c r="G247" s="58" t="str">
        <f>'2024 DO NOT TOUCH'!G248</f>
        <v>2.0</v>
      </c>
      <c r="H247" s="59" t="str">
        <f>'2024 DO NOT TOUCH'!H248</f>
        <v>BACK OF PUMP RM PREMISE</v>
      </c>
      <c r="I247" s="58" t="str">
        <f>'2024 DO NOT TOUCH'!I248</f>
        <v>PREMISE</v>
      </c>
      <c r="J247" s="59" t="str">
        <f>'2024 DO NOT TOUCH'!J248</f>
        <v>PREMISE</v>
      </c>
      <c r="K247" s="58" t="str">
        <f>'2024 DO NOT TOUCH'!K248</f>
        <v>ACTIVE</v>
      </c>
      <c r="L247" s="71">
        <f>'2024 DO NOT TOUCH'!L248</f>
        <v>44937</v>
      </c>
      <c r="M247" s="58" t="b">
        <f>'2024 DO NOT TOUCH'!M248</f>
        <v>0</v>
      </c>
      <c r="N247" s="59">
        <f>'2024 DO NOT TOUCH'!N248</f>
        <v>45443</v>
      </c>
      <c r="O247" s="58" t="str">
        <f>'2024 DO NOT TOUCH'!O248</f>
        <v>LARIOS</v>
      </c>
      <c r="P247" s="65">
        <f>'2024 DO NOT TOUCH'!P248</f>
        <v>3</v>
      </c>
      <c r="Q247" s="65">
        <f>'2024 DO NOT TOUCH'!Q248</f>
        <v>2.6</v>
      </c>
      <c r="R247" s="65">
        <f>'2024 DO NOT TOUCH'!R248</f>
        <v>0</v>
      </c>
      <c r="S247" s="62" t="str">
        <f>'2024 DO NOT TOUCH'!S248</f>
        <v>TESTED</v>
      </c>
      <c r="T247" s="62" t="str">
        <f>'2024 DO NOT TOUCH'!T248</f>
        <v>PASSED</v>
      </c>
      <c r="U247" s="62">
        <f>'2024 DO NOT TOUCH'!U248</f>
        <v>0</v>
      </c>
      <c r="V247" s="62">
        <f>'2024 DO NOT TOUCH'!V248</f>
        <v>0</v>
      </c>
      <c r="W247" s="62">
        <f>'2024 DO NOT TOUCH'!W248</f>
        <v>0</v>
      </c>
      <c r="X247" s="65">
        <f>'2024 DO NOT TOUCH'!X248</f>
        <v>0</v>
      </c>
      <c r="Y247" s="62">
        <f>'2024 DO NOT TOUCH'!Y248</f>
        <v>0</v>
      </c>
    </row>
    <row r="248" spans="1:25" ht="19.5" customHeight="1">
      <c r="A248" s="77" t="str">
        <f>'2024 DO NOT TOUCH'!A249</f>
        <v>2151</v>
      </c>
      <c r="B248" s="78" t="str">
        <f>'2024 DO NOT TOUCH'!B249</f>
        <v>POL AREA B</v>
      </c>
      <c r="C248" s="77" t="str">
        <f>'2024 DO NOT TOUCH'!C249</f>
        <v>675039</v>
      </c>
      <c r="D248" s="78" t="str">
        <f>'2024 DO NOT TOUCH'!D249</f>
        <v>WILKINS</v>
      </c>
      <c r="E248" s="77" t="str">
        <f>'2024 DO NOT TOUCH'!E249</f>
        <v>950XL</v>
      </c>
      <c r="F248" s="78" t="str">
        <f>'2024 DO NOT TOUCH'!F249</f>
        <v>DC</v>
      </c>
      <c r="G248" s="77" t="str">
        <f>'2024 DO NOT TOUCH'!G249</f>
        <v>1.5</v>
      </c>
      <c r="H248" s="78" t="str">
        <f>'2024 DO NOT TOUCH'!H249</f>
        <v>IRRIGATION ON CORNER OF STREET NEAR 2050</v>
      </c>
      <c r="I248" s="77" t="str">
        <f>'2024 DO NOT TOUCH'!I249</f>
        <v>PREMISE</v>
      </c>
      <c r="J248" s="78" t="str">
        <f>'2024 DO NOT TOUCH'!J249</f>
        <v>IRR</v>
      </c>
      <c r="K248" s="77" t="str">
        <f>'2024 DO NOT TOUCH'!K249</f>
        <v>INACTIVE</v>
      </c>
      <c r="L248" s="79">
        <f>'2024 DO NOT TOUCH'!L249</f>
        <v>0</v>
      </c>
      <c r="M248" s="77" t="b">
        <f>'2024 DO NOT TOUCH'!M249</f>
        <v>0</v>
      </c>
      <c r="N248" s="78">
        <f>'2024 DO NOT TOUCH'!N249</f>
        <v>0</v>
      </c>
      <c r="O248" s="77">
        <f>'2024 DO NOT TOUCH'!O249</f>
        <v>0</v>
      </c>
      <c r="P248" s="80">
        <f>'2024 DO NOT TOUCH'!P249</f>
        <v>0</v>
      </c>
      <c r="Q248" s="80">
        <f>'2024 DO NOT TOUCH'!Q249</f>
        <v>0</v>
      </c>
      <c r="R248" s="80">
        <f>'2024 DO NOT TOUCH'!R249</f>
        <v>0</v>
      </c>
      <c r="S248" s="81" t="str">
        <f>'2024 DO NOT TOUCH'!S249</f>
        <v>UNTESTED</v>
      </c>
      <c r="T248" s="81" t="str">
        <f>'2024 DO NOT TOUCH'!T249</f>
        <v>FAILED</v>
      </c>
      <c r="U248" s="81" t="str">
        <f>'2024 DO NOT TOUCH'!U249</f>
        <v>PASSED</v>
      </c>
      <c r="V248" s="81" t="str">
        <f>'2024 DO NOT TOUCH'!V249</f>
        <v>EXISTING</v>
      </c>
      <c r="W248" s="81" t="str">
        <f>'2024 DO NOT TOUCH'!W249</f>
        <v>EXISTING</v>
      </c>
      <c r="X248" s="80">
        <f>'2024 DO NOT TOUCH'!X249</f>
        <v>0</v>
      </c>
      <c r="Y248" s="81" t="str">
        <f>'2024 DO NOT TOUCH'!Y249</f>
        <v xml:space="preserve">ISOLATED </v>
      </c>
    </row>
    <row r="249" spans="1:25" ht="19.5" customHeight="1">
      <c r="A249" s="58" t="str">
        <f>'2024 DO NOT TOUCH'!A250</f>
        <v>2163</v>
      </c>
      <c r="B249" s="59" t="str">
        <f>'2024 DO NOT TOUCH'!B250</f>
        <v>GLASSHOUSE</v>
      </c>
      <c r="C249" s="58" t="str">
        <f>'2024 DO NOT TOUCH'!C250</f>
        <v>H31043</v>
      </c>
      <c r="D249" s="59" t="str">
        <f>'2024 DO NOT TOUCH'!D250</f>
        <v>FEBCO</v>
      </c>
      <c r="E249" s="58" t="str">
        <f>'2024 DO NOT TOUCH'!E250</f>
        <v>850</v>
      </c>
      <c r="F249" s="59" t="str">
        <f>'2024 DO NOT TOUCH'!F250</f>
        <v>DC</v>
      </c>
      <c r="G249" s="58" t="str">
        <f>'2024 DO NOT TOUCH'!G250</f>
        <v>2.0</v>
      </c>
      <c r="H249" s="59" t="str">
        <f>'2024 DO NOT TOUCH'!H250</f>
        <v>FLIGHTLINE SIDE OUTSIDE BY FDC IRRIGATION</v>
      </c>
      <c r="I249" s="58" t="str">
        <f>'2024 DO NOT TOUCH'!I250</f>
        <v>PREMISE</v>
      </c>
      <c r="J249" s="59" t="str">
        <f>'2024 DO NOT TOUCH'!J250</f>
        <v>IRR</v>
      </c>
      <c r="K249" s="58" t="str">
        <f>'2024 DO NOT TOUCH'!K250</f>
        <v>INACTIVE</v>
      </c>
      <c r="L249" s="71">
        <f>'2024 DO NOT TOUCH'!L250</f>
        <v>0</v>
      </c>
      <c r="M249" s="58" t="b">
        <f>'2024 DO NOT TOUCH'!M250</f>
        <v>0</v>
      </c>
      <c r="N249" s="59">
        <f>'2024 DO NOT TOUCH'!N250</f>
        <v>45509</v>
      </c>
      <c r="O249" s="58" t="str">
        <f>'2024 DO NOT TOUCH'!O250</f>
        <v>PASS</v>
      </c>
      <c r="P249" s="67">
        <f>'2024 DO NOT TOUCH'!P250</f>
        <v>0</v>
      </c>
      <c r="Q249" s="67">
        <f>'2024 DO NOT TOUCH'!Q250</f>
        <v>0</v>
      </c>
      <c r="R249" s="67">
        <f>'2024 DO NOT TOUCH'!R250</f>
        <v>0</v>
      </c>
      <c r="S249" s="58" t="str">
        <f>'2024 DO NOT TOUCH'!S250</f>
        <v>UNTESTED</v>
      </c>
      <c r="T249" s="58" t="str">
        <f>'2024 DO NOT TOUCH'!T250</f>
        <v>FAILED</v>
      </c>
      <c r="U249" s="58" t="str">
        <f>'2024 DO NOT TOUCH'!U250</f>
        <v>PASSED</v>
      </c>
      <c r="V249" s="58" t="str">
        <f>'2024 DO NOT TOUCH'!V250</f>
        <v>EXISTING</v>
      </c>
      <c r="W249" s="58" t="str">
        <f>'2024 DO NOT TOUCH'!W250</f>
        <v>EXISTING</v>
      </c>
      <c r="X249" s="67">
        <f>'2024 DO NOT TOUCH'!X250</f>
        <v>0</v>
      </c>
      <c r="Y249" s="58">
        <f>'2024 DO NOT TOUCH'!Y250</f>
        <v>0</v>
      </c>
    </row>
    <row r="250" spans="1:25" ht="19.5" customHeight="1">
      <c r="A250" s="77" t="str">
        <f>'2024 DO NOT TOUCH'!A251</f>
        <v>2163</v>
      </c>
      <c r="B250" s="78" t="str">
        <f>'2024 DO NOT TOUCH'!B251</f>
        <v>GLASSHOUSE</v>
      </c>
      <c r="C250" s="77" t="str">
        <f>'2024 DO NOT TOUCH'!C251</f>
        <v>U34247</v>
      </c>
      <c r="D250" s="78" t="str">
        <f>'2024 DO NOT TOUCH'!D251</f>
        <v>FEBCO</v>
      </c>
      <c r="E250" s="77" t="str">
        <f>'2024 DO NOT TOUCH'!E251</f>
        <v>850</v>
      </c>
      <c r="F250" s="78" t="str">
        <f>'2024 DO NOT TOUCH'!F251</f>
        <v>DC</v>
      </c>
      <c r="G250" s="77" t="str">
        <f>'2024 DO NOT TOUCH'!G251</f>
        <v>8.0</v>
      </c>
      <c r="H250" s="78" t="str">
        <f>'2024 DO NOT TOUCH'!H251</f>
        <v xml:space="preserve">FLIGHTLINE SIDE INSIDE ON FIRE SYS SOUTH </v>
      </c>
      <c r="I250" s="77" t="str">
        <f>'2024 DO NOT TOUCH'!I251</f>
        <v>PREMISE</v>
      </c>
      <c r="J250" s="78" t="str">
        <f>'2024 DO NOT TOUCH'!J251</f>
        <v>FIRE</v>
      </c>
      <c r="K250" s="77" t="str">
        <f>'2024 DO NOT TOUCH'!K251</f>
        <v>ACTIVE</v>
      </c>
      <c r="L250" s="79">
        <f>'2024 DO NOT TOUCH'!L251</f>
        <v>44935</v>
      </c>
      <c r="M250" s="77" t="b">
        <f>'2024 DO NOT TOUCH'!M251</f>
        <v>0</v>
      </c>
      <c r="N250" s="78">
        <f>'2024 DO NOT TOUCH'!N251</f>
        <v>0</v>
      </c>
      <c r="O250" s="77">
        <f>'2024 DO NOT TOUCH'!O251</f>
        <v>0</v>
      </c>
      <c r="P250" s="83">
        <f>'2024 DO NOT TOUCH'!P251</f>
        <v>0</v>
      </c>
      <c r="Q250" s="83">
        <f>'2024 DO NOT TOUCH'!Q251</f>
        <v>0</v>
      </c>
      <c r="R250" s="83">
        <f>'2024 DO NOT TOUCH'!R251</f>
        <v>0</v>
      </c>
      <c r="S250" s="77" t="str">
        <f>'2024 DO NOT TOUCH'!S251</f>
        <v>TESTED</v>
      </c>
      <c r="T250" s="77" t="str">
        <f>'2024 DO NOT TOUCH'!T251</f>
        <v>PASSED</v>
      </c>
      <c r="U250" s="77" t="str">
        <f>'2024 DO NOT TOUCH'!U251</f>
        <v>PASSED</v>
      </c>
      <c r="V250" s="77" t="str">
        <f>'2024 DO NOT TOUCH'!V251</f>
        <v>EXISTING</v>
      </c>
      <c r="W250" s="77" t="str">
        <f>'2024 DO NOT TOUCH'!W251</f>
        <v>EXISTING</v>
      </c>
      <c r="X250" s="83">
        <f>'2024 DO NOT TOUCH'!X251</f>
        <v>0</v>
      </c>
      <c r="Y250" s="77">
        <f>'2024 DO NOT TOUCH'!Y251</f>
        <v>0</v>
      </c>
    </row>
    <row r="251" spans="1:25" ht="19.5" customHeight="1">
      <c r="A251" s="58" t="str">
        <f>'2024 DO NOT TOUCH'!A252</f>
        <v>2163</v>
      </c>
      <c r="B251" s="59" t="str">
        <f>'2024 DO NOT TOUCH'!B252</f>
        <v>GLASSHOUSE</v>
      </c>
      <c r="C251" s="58" t="str">
        <f>'2024 DO NOT TOUCH'!C252</f>
        <v>U34248</v>
      </c>
      <c r="D251" s="59" t="str">
        <f>'2024 DO NOT TOUCH'!D252</f>
        <v>FEBCO</v>
      </c>
      <c r="E251" s="58" t="str">
        <f>'2024 DO NOT TOUCH'!E252</f>
        <v>350A</v>
      </c>
      <c r="F251" s="59" t="str">
        <f>'2024 DO NOT TOUCH'!F252</f>
        <v>DC</v>
      </c>
      <c r="G251" s="58" t="str">
        <f>'2024 DO NOT TOUCH'!G252</f>
        <v>8.0</v>
      </c>
      <c r="H251" s="59" t="str">
        <f>'2024 DO NOT TOUCH'!H252</f>
        <v>FLIGHTLINE SIDE INSIDE ON FIRE SYS MIDDLE SYS</v>
      </c>
      <c r="I251" s="58" t="str">
        <f>'2024 DO NOT TOUCH'!I252</f>
        <v>PREMISE</v>
      </c>
      <c r="J251" s="59" t="str">
        <f>'2024 DO NOT TOUCH'!J252</f>
        <v>FIRE</v>
      </c>
      <c r="K251" s="58" t="str">
        <f>'2024 DO NOT TOUCH'!K252</f>
        <v>ACTIVE</v>
      </c>
      <c r="L251" s="71">
        <f>'2024 DO NOT TOUCH'!L252</f>
        <v>44935</v>
      </c>
      <c r="M251" s="58" t="b">
        <f>'2024 DO NOT TOUCH'!M252</f>
        <v>0</v>
      </c>
      <c r="N251" s="59">
        <f>'2024 DO NOT TOUCH'!N252</f>
        <v>0</v>
      </c>
      <c r="O251" s="58">
        <f>'2024 DO NOT TOUCH'!O252</f>
        <v>0</v>
      </c>
      <c r="P251" s="65">
        <f>'2024 DO NOT TOUCH'!P252</f>
        <v>0</v>
      </c>
      <c r="Q251" s="65">
        <f>'2024 DO NOT TOUCH'!Q252</f>
        <v>0</v>
      </c>
      <c r="R251" s="65">
        <f>'2024 DO NOT TOUCH'!R252</f>
        <v>0</v>
      </c>
      <c r="S251" s="62" t="str">
        <f>'2024 DO NOT TOUCH'!S252</f>
        <v>TESTED</v>
      </c>
      <c r="T251" s="62" t="str">
        <f>'2024 DO NOT TOUCH'!T252</f>
        <v>PASSED</v>
      </c>
      <c r="U251" s="62" t="str">
        <f>'2024 DO NOT TOUCH'!U252</f>
        <v>PASSED</v>
      </c>
      <c r="V251" s="62" t="str">
        <f>'2024 DO NOT TOUCH'!V252</f>
        <v>EXISTING</v>
      </c>
      <c r="W251" s="62" t="str">
        <f>'2024 DO NOT TOUCH'!W252</f>
        <v>EXISTING</v>
      </c>
      <c r="X251" s="65">
        <f>'2024 DO NOT TOUCH'!X252</f>
        <v>0</v>
      </c>
      <c r="Y251" s="62">
        <f>'2024 DO NOT TOUCH'!Y252</f>
        <v>0</v>
      </c>
    </row>
    <row r="252" spans="1:25" ht="19.5" customHeight="1">
      <c r="A252" s="55" t="str">
        <f>'2024 DO NOT TOUCH'!A253</f>
        <v>2163</v>
      </c>
      <c r="B252" s="3" t="str">
        <f>'2024 DO NOT TOUCH'!B253</f>
        <v>GLASSHOUSE</v>
      </c>
      <c r="C252" s="55" t="str">
        <f>'2024 DO NOT TOUCH'!C253</f>
        <v>U34249</v>
      </c>
      <c r="D252" s="3" t="str">
        <f>'2024 DO NOT TOUCH'!D253</f>
        <v>FEBCO</v>
      </c>
      <c r="E252" s="55" t="str">
        <f>'2024 DO NOT TOUCH'!E253</f>
        <v>350A</v>
      </c>
      <c r="F252" s="3" t="str">
        <f>'2024 DO NOT TOUCH'!F253</f>
        <v>DC</v>
      </c>
      <c r="G252" s="55" t="str">
        <f>'2024 DO NOT TOUCH'!G253</f>
        <v>8.0</v>
      </c>
      <c r="H252" s="3" t="str">
        <f>'2024 DO NOT TOUCH'!H253</f>
        <v>FLIGHTLINE SIDE INSIDE ON FIRE SYS SOUTH SYS</v>
      </c>
      <c r="I252" s="55" t="str">
        <f>'2024 DO NOT TOUCH'!I253</f>
        <v>PREMISE</v>
      </c>
      <c r="J252" s="3" t="str">
        <f>'2024 DO NOT TOUCH'!J253</f>
        <v>FIRE</v>
      </c>
      <c r="K252" s="55" t="str">
        <f>'2024 DO NOT TOUCH'!K253</f>
        <v>ACTIVE</v>
      </c>
      <c r="L252" s="72">
        <f>'2024 DO NOT TOUCH'!L253</f>
        <v>44935</v>
      </c>
      <c r="M252" s="55" t="b">
        <f>'2024 DO NOT TOUCH'!M253</f>
        <v>0</v>
      </c>
      <c r="N252" s="3">
        <f>'2024 DO NOT TOUCH'!N253</f>
        <v>0</v>
      </c>
      <c r="O252" s="55">
        <f>'2024 DO NOT TOUCH'!O253</f>
        <v>0</v>
      </c>
      <c r="P252" s="64">
        <f>'2024 DO NOT TOUCH'!P253</f>
        <v>0</v>
      </c>
      <c r="Q252" s="64">
        <f>'2024 DO NOT TOUCH'!Q253</f>
        <v>0</v>
      </c>
      <c r="R252" s="64">
        <f>'2024 DO NOT TOUCH'!R253</f>
        <v>0</v>
      </c>
      <c r="S252" s="57" t="str">
        <f>'2024 DO NOT TOUCH'!S253</f>
        <v>TESTED</v>
      </c>
      <c r="T252" s="57" t="str">
        <f>'2024 DO NOT TOUCH'!T253</f>
        <v>PASSED</v>
      </c>
      <c r="U252" s="57" t="str">
        <f>'2024 DO NOT TOUCH'!U253</f>
        <v>PASSED</v>
      </c>
      <c r="V252" s="57" t="str">
        <f>'2024 DO NOT TOUCH'!V253</f>
        <v>EXISTING</v>
      </c>
      <c r="W252" s="57" t="str">
        <f>'2024 DO NOT TOUCH'!W253</f>
        <v>EXISTING</v>
      </c>
      <c r="X252" s="64">
        <f>'2024 DO NOT TOUCH'!X253</f>
        <v>0</v>
      </c>
      <c r="Y252" s="57">
        <f>'2024 DO NOT TOUCH'!Y253</f>
        <v>0</v>
      </c>
    </row>
    <row r="253" spans="1:25" ht="19.5" customHeight="1">
      <c r="A253" s="58" t="str">
        <f>'2024 DO NOT TOUCH'!A254</f>
        <v>2185</v>
      </c>
      <c r="B253" s="59" t="str">
        <f>'2024 DO NOT TOUCH'!B254</f>
        <v>TEEN CENTER</v>
      </c>
      <c r="C253" s="58" t="str">
        <f>'2024 DO NOT TOUCH'!C254</f>
        <v>8675310</v>
      </c>
      <c r="D253" s="59" t="str">
        <f>'2024 DO NOT TOUCH'!D254</f>
        <v>WILKINS</v>
      </c>
      <c r="E253" s="58" t="str">
        <f>'2024 DO NOT TOUCH'!E254</f>
        <v>950XL</v>
      </c>
      <c r="F253" s="59" t="str">
        <f>'2024 DO NOT TOUCH'!F254</f>
        <v>DC</v>
      </c>
      <c r="G253" s="58" t="str">
        <f>'2024 DO NOT TOUCH'!G254</f>
        <v>2.0</v>
      </c>
      <c r="H253" s="59" t="str">
        <f>'2024 DO NOT TOUCH'!H254</f>
        <v>FLIGHTLINE SIDE IRRIGATION SW OF BLDG</v>
      </c>
      <c r="I253" s="58" t="str">
        <f>'2024 DO NOT TOUCH'!I254</f>
        <v>PREMISE</v>
      </c>
      <c r="J253" s="59" t="str">
        <f>'2024 DO NOT TOUCH'!J254</f>
        <v>IRR</v>
      </c>
      <c r="K253" s="58" t="str">
        <f>'2024 DO NOT TOUCH'!K254</f>
        <v>INACTIVE</v>
      </c>
      <c r="L253" s="71">
        <f>'2024 DO NOT TOUCH'!L254</f>
        <v>44774</v>
      </c>
      <c r="M253" s="58" t="b">
        <f>'2024 DO NOT TOUCH'!M254</f>
        <v>0</v>
      </c>
      <c r="N253" s="59">
        <f>'2024 DO NOT TOUCH'!N254</f>
        <v>45509</v>
      </c>
      <c r="O253" s="58" t="str">
        <f>'2024 DO NOT TOUCH'!O254</f>
        <v>PASS</v>
      </c>
      <c r="P253" s="65">
        <f>'2024 DO NOT TOUCH'!P254</f>
        <v>0</v>
      </c>
      <c r="Q253" s="65">
        <f>'2024 DO NOT TOUCH'!Q254</f>
        <v>0</v>
      </c>
      <c r="R253" s="65">
        <f>'2024 DO NOT TOUCH'!R254</f>
        <v>0</v>
      </c>
      <c r="S253" s="62" t="str">
        <f>'2024 DO NOT TOUCH'!S254</f>
        <v>TESTED</v>
      </c>
      <c r="T253" s="62" t="str">
        <f>'2024 DO NOT TOUCH'!T254</f>
        <v>PASSED</v>
      </c>
      <c r="U253" s="62" t="str">
        <f>'2024 DO NOT TOUCH'!U254</f>
        <v>PASSED</v>
      </c>
      <c r="V253" s="62" t="str">
        <f>'2024 DO NOT TOUCH'!V254</f>
        <v>EXISTING</v>
      </c>
      <c r="W253" s="62" t="str">
        <f>'2024 DO NOT TOUCH'!W254</f>
        <v>EXISTING</v>
      </c>
      <c r="X253" s="65">
        <f>'2024 DO NOT TOUCH'!X254</f>
        <v>0</v>
      </c>
      <c r="Y253" s="62" t="str">
        <f>'2024 DO NOT TOUCH'!Y254</f>
        <v>iso</v>
      </c>
    </row>
    <row r="254" spans="1:25" ht="19.5" customHeight="1">
      <c r="A254" s="55" t="str">
        <f>'2024 DO NOT TOUCH'!A255</f>
        <v>2185</v>
      </c>
      <c r="B254" s="55" t="str">
        <f>'2024 DO NOT TOUCH'!B255</f>
        <v>TEEN CENTER</v>
      </c>
      <c r="C254" s="55" t="str">
        <f>'2024 DO NOT TOUCH'!C255</f>
        <v>1945062</v>
      </c>
      <c r="D254" s="55" t="str">
        <f>'2024 DO NOT TOUCH'!D255</f>
        <v>WILKINS</v>
      </c>
      <c r="E254" s="55" t="str">
        <f>'2024 DO NOT TOUCH'!E255</f>
        <v>950XL</v>
      </c>
      <c r="F254" s="55" t="str">
        <f>'2024 DO NOT TOUCH'!F255</f>
        <v>DC</v>
      </c>
      <c r="G254" s="55" t="str">
        <f>'2024 DO NOT TOUCH'!G255</f>
        <v>2.0</v>
      </c>
      <c r="H254" s="55" t="str">
        <f>'2024 DO NOT TOUCH'!H255</f>
        <v>DORM 2278 SILDE IRR NEAR CROSSWALK</v>
      </c>
      <c r="I254" s="55" t="str">
        <f>'2024 DO NOT TOUCH'!I255</f>
        <v>PREMISE</v>
      </c>
      <c r="J254" s="55" t="str">
        <f>'2024 DO NOT TOUCH'!J255</f>
        <v>IRR</v>
      </c>
      <c r="K254" s="55" t="str">
        <f>'2024 DO NOT TOUCH'!K255</f>
        <v>ACTIVE</v>
      </c>
      <c r="L254" s="56">
        <f>'2024 DO NOT TOUCH'!L255</f>
        <v>44690</v>
      </c>
      <c r="M254" s="56" t="b">
        <f>'2024 DO NOT TOUCH'!M255</f>
        <v>1</v>
      </c>
      <c r="N254" s="56">
        <f>'2024 DO NOT TOUCH'!N255</f>
        <v>45461</v>
      </c>
      <c r="O254" s="55" t="str">
        <f>'2024 DO NOT TOUCH'!O255</f>
        <v>TROUNG</v>
      </c>
      <c r="P254" s="64">
        <f>'2024 DO NOT TOUCH'!P255</f>
        <v>2.6</v>
      </c>
      <c r="Q254" s="64">
        <f>'2024 DO NOT TOUCH'!Q255</f>
        <v>2.6</v>
      </c>
      <c r="R254" s="64">
        <f>'2024 DO NOT TOUCH'!R255</f>
        <v>0</v>
      </c>
      <c r="S254" s="55" t="str">
        <f>'2024 DO NOT TOUCH'!S255</f>
        <v>TESTED</v>
      </c>
      <c r="T254" s="55" t="str">
        <f>'2024 DO NOT TOUCH'!T255</f>
        <v>PASSED</v>
      </c>
      <c r="U254" s="55">
        <f>'2024 DO NOT TOUCH'!U255</f>
        <v>0</v>
      </c>
      <c r="V254" s="55">
        <f>'2024 DO NOT TOUCH'!V255</f>
        <v>0</v>
      </c>
      <c r="W254" s="55">
        <f>'2024 DO NOT TOUCH'!W255</f>
        <v>0</v>
      </c>
      <c r="X254" s="66">
        <f>'2024 DO NOT TOUCH'!X255</f>
        <v>0</v>
      </c>
      <c r="Y254" s="55">
        <f>'2024 DO NOT TOUCH'!Y255</f>
        <v>0</v>
      </c>
    </row>
    <row r="255" spans="1:25" ht="19.5" customHeight="1">
      <c r="A255" s="58" t="str">
        <f>'2024 DO NOT TOUCH'!A256</f>
        <v>2185</v>
      </c>
      <c r="B255" s="59" t="str">
        <f>'2024 DO NOT TOUCH'!B256</f>
        <v>TEEN CENTER</v>
      </c>
      <c r="C255" s="58" t="str">
        <f>'2024 DO NOT TOUCH'!C256</f>
        <v>U00369</v>
      </c>
      <c r="D255" s="59" t="str">
        <f>'2024 DO NOT TOUCH'!D256</f>
        <v>WILKINS</v>
      </c>
      <c r="E255" s="58" t="str">
        <f>'2024 DO NOT TOUCH'!E256</f>
        <v>350A</v>
      </c>
      <c r="F255" s="59" t="str">
        <f>'2024 DO NOT TOUCH'!F256</f>
        <v>DC</v>
      </c>
      <c r="G255" s="58" t="str">
        <f>'2024 DO NOT TOUCH'!G256</f>
        <v>8.0</v>
      </c>
      <c r="H255" s="59" t="str">
        <f>'2024 DO NOT TOUCH'!H256</f>
        <v>MECH RM IN BREAK RM FIRE SYS</v>
      </c>
      <c r="I255" s="58" t="str">
        <f>'2024 DO NOT TOUCH'!I256</f>
        <v>PREMISE</v>
      </c>
      <c r="J255" s="59" t="str">
        <f>'2024 DO NOT TOUCH'!J256</f>
        <v>FIRE</v>
      </c>
      <c r="K255" s="58" t="str">
        <f>'2024 DO NOT TOUCH'!K256</f>
        <v>ACTIVE</v>
      </c>
      <c r="L255" s="71">
        <f>'2024 DO NOT TOUCH'!L256</f>
        <v>44901</v>
      </c>
      <c r="M255" s="58" t="b">
        <f>'2024 DO NOT TOUCH'!M256</f>
        <v>0</v>
      </c>
      <c r="N255" s="59">
        <f>'2024 DO NOT TOUCH'!N256</f>
        <v>0</v>
      </c>
      <c r="O255" s="58">
        <f>'2024 DO NOT TOUCH'!O256</f>
        <v>0</v>
      </c>
      <c r="P255" s="65">
        <f>'2024 DO NOT TOUCH'!P256</f>
        <v>0</v>
      </c>
      <c r="Q255" s="65">
        <f>'2024 DO NOT TOUCH'!Q256</f>
        <v>0</v>
      </c>
      <c r="R255" s="65">
        <f>'2024 DO NOT TOUCH'!R256</f>
        <v>0</v>
      </c>
      <c r="S255" s="62" t="str">
        <f>'2024 DO NOT TOUCH'!S256</f>
        <v>TESTED</v>
      </c>
      <c r="T255" s="62" t="str">
        <f>'2024 DO NOT TOUCH'!T256</f>
        <v>PASSED</v>
      </c>
      <c r="U255" s="62">
        <f>'2024 DO NOT TOUCH'!U256</f>
        <v>0</v>
      </c>
      <c r="V255" s="62">
        <f>'2024 DO NOT TOUCH'!V256</f>
        <v>0</v>
      </c>
      <c r="W255" s="62">
        <f>'2024 DO NOT TOUCH'!W256</f>
        <v>0</v>
      </c>
      <c r="X255" s="65">
        <f>'2024 DO NOT TOUCH'!X256</f>
        <v>0</v>
      </c>
      <c r="Y255" s="62">
        <f>'2024 DO NOT TOUCH'!Y256</f>
        <v>0</v>
      </c>
    </row>
    <row r="256" spans="1:25" ht="19.5" customHeight="1">
      <c r="A256" s="55" t="str">
        <f>'2024 DO NOT TOUCH'!A257</f>
        <v>2185</v>
      </c>
      <c r="B256" s="3" t="str">
        <f>'2024 DO NOT TOUCH'!B257</f>
        <v>TEEN CENTER</v>
      </c>
      <c r="C256" s="55" t="str">
        <f>'2024 DO NOT TOUCH'!C257</f>
        <v>U00338</v>
      </c>
      <c r="D256" s="3" t="str">
        <f>'2024 DO NOT TOUCH'!D257</f>
        <v>WILKINS</v>
      </c>
      <c r="E256" s="55" t="str">
        <f>'2024 DO NOT TOUCH'!E257</f>
        <v>350A</v>
      </c>
      <c r="F256" s="3" t="str">
        <f>'2024 DO NOT TOUCH'!F257</f>
        <v>DC</v>
      </c>
      <c r="G256" s="55" t="str">
        <f>'2024 DO NOT TOUCH'!G257</f>
        <v>8.0</v>
      </c>
      <c r="H256" s="3" t="str">
        <f>'2024 DO NOT TOUCH'!H257</f>
        <v>MECH RM BACK OF OFFICE FIRE SYS</v>
      </c>
      <c r="I256" s="55" t="str">
        <f>'2024 DO NOT TOUCH'!I257</f>
        <v>PREMISE</v>
      </c>
      <c r="J256" s="3" t="str">
        <f>'2024 DO NOT TOUCH'!J257</f>
        <v>FIRE</v>
      </c>
      <c r="K256" s="55" t="str">
        <f>'2024 DO NOT TOUCH'!K257</f>
        <v>ACTIVE</v>
      </c>
      <c r="L256" s="72">
        <f>'2024 DO NOT TOUCH'!L257</f>
        <v>44901</v>
      </c>
      <c r="M256" s="55" t="b">
        <f>'2024 DO NOT TOUCH'!M257</f>
        <v>0</v>
      </c>
      <c r="N256" s="3">
        <f>'2024 DO NOT TOUCH'!N257</f>
        <v>0</v>
      </c>
      <c r="O256" s="55">
        <f>'2024 DO NOT TOUCH'!O257</f>
        <v>0</v>
      </c>
      <c r="P256" s="64">
        <f>'2024 DO NOT TOUCH'!P257</f>
        <v>0</v>
      </c>
      <c r="Q256" s="64">
        <f>'2024 DO NOT TOUCH'!Q257</f>
        <v>0</v>
      </c>
      <c r="R256" s="64">
        <f>'2024 DO NOT TOUCH'!R257</f>
        <v>0</v>
      </c>
      <c r="S256" s="57" t="str">
        <f>'2024 DO NOT TOUCH'!S257</f>
        <v>TESTED</v>
      </c>
      <c r="T256" s="57" t="str">
        <f>'2024 DO NOT TOUCH'!T257</f>
        <v>PASSED</v>
      </c>
      <c r="U256" s="57">
        <f>'2024 DO NOT TOUCH'!U257</f>
        <v>0</v>
      </c>
      <c r="V256" s="57">
        <f>'2024 DO NOT TOUCH'!V257</f>
        <v>0</v>
      </c>
      <c r="W256" s="57">
        <f>'2024 DO NOT TOUCH'!W257</f>
        <v>0</v>
      </c>
      <c r="X256" s="64">
        <f>'2024 DO NOT TOUCH'!X257</f>
        <v>0</v>
      </c>
      <c r="Y256" s="57">
        <f>'2024 DO NOT TOUCH'!Y257</f>
        <v>0</v>
      </c>
    </row>
    <row r="257" spans="1:25" ht="19.5" customHeight="1">
      <c r="A257" s="58" t="str">
        <f>'2024 DO NOT TOUCH'!A258</f>
        <v>2185</v>
      </c>
      <c r="B257" s="59" t="str">
        <f>'2024 DO NOT TOUCH'!B258</f>
        <v>TEEN CENTER</v>
      </c>
      <c r="C257" s="58" t="str">
        <f>'2024 DO NOT TOUCH'!C258</f>
        <v>W184146</v>
      </c>
      <c r="D257" s="59" t="str">
        <f>'2024 DO NOT TOUCH'!D258</f>
        <v>WILKINS</v>
      </c>
      <c r="E257" s="58" t="str">
        <f>'2024 DO NOT TOUCH'!E258</f>
        <v>975XL</v>
      </c>
      <c r="F257" s="59" t="str">
        <f>'2024 DO NOT TOUCH'!F258</f>
        <v>RP</v>
      </c>
      <c r="G257" s="58" t="str">
        <f>'2024 DO NOT TOUCH'!G258</f>
        <v>0.75</v>
      </c>
      <c r="H257" s="59" t="str">
        <f>'2024 DO NOT TOUCH'!H258</f>
        <v>MECH RM</v>
      </c>
      <c r="I257" s="58" t="str">
        <f>'2024 DO NOT TOUCH'!I258</f>
        <v>INPREMISE</v>
      </c>
      <c r="J257" s="59" t="str">
        <f>'2024 DO NOT TOUCH'!J258</f>
        <v>AOI</v>
      </c>
      <c r="K257" s="58" t="str">
        <f>'2024 DO NOT TOUCH'!K258</f>
        <v>ACTIVE</v>
      </c>
      <c r="L257" s="71">
        <f>'2024 DO NOT TOUCH'!L258</f>
        <v>44774</v>
      </c>
      <c r="M257" s="58" t="b">
        <f>'2024 DO NOT TOUCH'!M258</f>
        <v>0</v>
      </c>
      <c r="N257" s="59">
        <f>'2024 DO NOT TOUCH'!N258</f>
        <v>45509</v>
      </c>
      <c r="O257" s="58" t="str">
        <f>'2024 DO NOT TOUCH'!O258</f>
        <v>PASS</v>
      </c>
      <c r="P257" s="65">
        <f>'2024 DO NOT TOUCH'!P258</f>
        <v>0</v>
      </c>
      <c r="Q257" s="65">
        <f>'2024 DO NOT TOUCH'!Q258</f>
        <v>0</v>
      </c>
      <c r="R257" s="65">
        <f>'2024 DO NOT TOUCH'!R258</f>
        <v>0</v>
      </c>
      <c r="S257" s="62" t="str">
        <f>'2024 DO NOT TOUCH'!S258</f>
        <v>TESTED</v>
      </c>
      <c r="T257" s="62" t="str">
        <f>'2024 DO NOT TOUCH'!T258</f>
        <v>PASSED</v>
      </c>
      <c r="U257" s="62">
        <f>'2024 DO NOT TOUCH'!U258</f>
        <v>0</v>
      </c>
      <c r="V257" s="62">
        <f>'2024 DO NOT TOUCH'!V258</f>
        <v>0</v>
      </c>
      <c r="W257" s="62">
        <f>'2024 DO NOT TOUCH'!W258</f>
        <v>0</v>
      </c>
      <c r="X257" s="65">
        <f>'2024 DO NOT TOUCH'!X258</f>
        <v>0</v>
      </c>
      <c r="Y257" s="62">
        <f>'2024 DO NOT TOUCH'!Y258</f>
        <v>0</v>
      </c>
    </row>
    <row r="258" spans="1:25" ht="19.5" customHeight="1">
      <c r="A258" s="55" t="str">
        <f>'2024 DO NOT TOUCH'!A259</f>
        <v>2187</v>
      </c>
      <c r="B258" s="3" t="str">
        <f>'2024 DO NOT TOUCH'!B259</f>
        <v>BRICK HOUSE</v>
      </c>
      <c r="C258" s="55" t="str">
        <f>'2024 DO NOT TOUCH'!C259</f>
        <v>W342709</v>
      </c>
      <c r="D258" s="3" t="str">
        <f>'2024 DO NOT TOUCH'!D259</f>
        <v>WILKINS</v>
      </c>
      <c r="E258" s="55" t="str">
        <f>'2024 DO NOT TOUCH'!E259</f>
        <v>975XL</v>
      </c>
      <c r="F258" s="3" t="str">
        <f>'2024 DO NOT TOUCH'!F259</f>
        <v>RP</v>
      </c>
      <c r="G258" s="55" t="str">
        <f>'2024 DO NOT TOUCH'!G259</f>
        <v>0.75</v>
      </c>
      <c r="H258" s="3" t="str">
        <f>'2024 DO NOT TOUCH'!H259</f>
        <v>IN MECH RM ON HVAC FILL LINE</v>
      </c>
      <c r="I258" s="55" t="str">
        <f>'2024 DO NOT TOUCH'!I259</f>
        <v>INPREMISE</v>
      </c>
      <c r="J258" s="3" t="str">
        <f>'2024 DO NOT TOUCH'!J259</f>
        <v>AOI</v>
      </c>
      <c r="K258" s="55" t="str">
        <f>'2024 DO NOT TOUCH'!K259</f>
        <v>ACTIVE</v>
      </c>
      <c r="L258" s="72">
        <f>'2024 DO NOT TOUCH'!L259</f>
        <v>44690</v>
      </c>
      <c r="M258" s="55" t="b">
        <f>'2024 DO NOT TOUCH'!M259</f>
        <v>0</v>
      </c>
      <c r="N258" s="3">
        <f>'2024 DO NOT TOUCH'!N259</f>
        <v>45427</v>
      </c>
      <c r="O258" s="55" t="str">
        <f>'2024 DO NOT TOUCH'!O259</f>
        <v>PARK</v>
      </c>
      <c r="P258" s="66">
        <f>'2024 DO NOT TOUCH'!P259</f>
        <v>9.8000000000000007</v>
      </c>
      <c r="Q258" s="66">
        <f>'2024 DO NOT TOUCH'!Q259</f>
        <v>0</v>
      </c>
      <c r="R258" s="66">
        <f>'2024 DO NOT TOUCH'!R259</f>
        <v>2.6</v>
      </c>
      <c r="S258" s="55" t="str">
        <f>'2024 DO NOT TOUCH'!S259</f>
        <v>TESTED</v>
      </c>
      <c r="T258" s="55" t="str">
        <f>'2024 DO NOT TOUCH'!T259</f>
        <v>PASSED</v>
      </c>
      <c r="U258" s="55">
        <f>'2024 DO NOT TOUCH'!U259</f>
        <v>0</v>
      </c>
      <c r="V258" s="55">
        <f>'2024 DO NOT TOUCH'!V259</f>
        <v>0</v>
      </c>
      <c r="W258" s="55">
        <f>'2024 DO NOT TOUCH'!W259</f>
        <v>0</v>
      </c>
      <c r="X258" s="66">
        <f>'2024 DO NOT TOUCH'!X259</f>
        <v>0</v>
      </c>
      <c r="Y258" s="55">
        <f>'2024 DO NOT TOUCH'!Y259</f>
        <v>0</v>
      </c>
    </row>
    <row r="259" spans="1:25" ht="19.5" customHeight="1">
      <c r="A259" s="58" t="str">
        <f>'2024 DO NOT TOUCH'!A260</f>
        <v>2187</v>
      </c>
      <c r="B259" s="59" t="str">
        <f>'2024 DO NOT TOUCH'!B260</f>
        <v>BRICK HOUSE</v>
      </c>
      <c r="C259" s="58" t="str">
        <f>'2024 DO NOT TOUCH'!C260</f>
        <v>X27823</v>
      </c>
      <c r="D259" s="59" t="str">
        <f>'2024 DO NOT TOUCH'!D260</f>
        <v>WILKINS</v>
      </c>
      <c r="E259" s="58" t="str">
        <f>'2024 DO NOT TOUCH'!E260</f>
        <v>375A</v>
      </c>
      <c r="F259" s="59" t="str">
        <f>'2024 DO NOT TOUCH'!F260</f>
        <v>RP</v>
      </c>
      <c r="G259" s="58" t="str">
        <f>'2024 DO NOT TOUCH'!G260</f>
        <v>4.0</v>
      </c>
      <c r="H259" s="59" t="str">
        <f>'2024 DO NOT TOUCH'!H260</f>
        <v>MECH RM PREMISE</v>
      </c>
      <c r="I259" s="58" t="str">
        <f>'2024 DO NOT TOUCH'!I260</f>
        <v>PREMISE</v>
      </c>
      <c r="J259" s="59" t="str">
        <f>'2024 DO NOT TOUCH'!J260</f>
        <v>PREMISE</v>
      </c>
      <c r="K259" s="58" t="str">
        <f>'2024 DO NOT TOUCH'!K260</f>
        <v>ACTIVE</v>
      </c>
      <c r="L259" s="71">
        <f>'2024 DO NOT TOUCH'!L260</f>
        <v>44690</v>
      </c>
      <c r="M259" s="58" t="b">
        <f>'2024 DO NOT TOUCH'!M260</f>
        <v>0</v>
      </c>
      <c r="N259" s="59">
        <f>'2024 DO NOT TOUCH'!N260</f>
        <v>45427</v>
      </c>
      <c r="O259" s="58" t="str">
        <f>'2024 DO NOT TOUCH'!O260</f>
        <v>PARK</v>
      </c>
      <c r="P259" s="67">
        <f>'2024 DO NOT TOUCH'!P260</f>
        <v>8</v>
      </c>
      <c r="Q259" s="67">
        <f>'2024 DO NOT TOUCH'!Q260</f>
        <v>0</v>
      </c>
      <c r="R259" s="67">
        <f>'2024 DO NOT TOUCH'!R260</f>
        <v>2</v>
      </c>
      <c r="S259" s="58" t="str">
        <f>'2024 DO NOT TOUCH'!S260</f>
        <v>TESTED</v>
      </c>
      <c r="T259" s="58" t="str">
        <f>'2024 DO NOT TOUCH'!T260</f>
        <v>PASSED</v>
      </c>
      <c r="U259" s="58">
        <f>'2024 DO NOT TOUCH'!U260</f>
        <v>0</v>
      </c>
      <c r="V259" s="58">
        <f>'2024 DO NOT TOUCH'!V260</f>
        <v>0</v>
      </c>
      <c r="W259" s="58">
        <f>'2024 DO NOT TOUCH'!W260</f>
        <v>0</v>
      </c>
      <c r="X259" s="67">
        <f>'2024 DO NOT TOUCH'!X260</f>
        <v>0</v>
      </c>
      <c r="Y259" s="58">
        <f>'2024 DO NOT TOUCH'!Y260</f>
        <v>0</v>
      </c>
    </row>
    <row r="260" spans="1:25" ht="19.5" customHeight="1">
      <c r="A260" s="77" t="str">
        <f>'2024 DO NOT TOUCH'!A261</f>
        <v>2187</v>
      </c>
      <c r="B260" s="78" t="str">
        <f>'2024 DO NOT TOUCH'!B261</f>
        <v>BRICK HOUSE</v>
      </c>
      <c r="C260" s="77" t="str">
        <f>'2024 DO NOT TOUCH'!C261</f>
        <v>X27771</v>
      </c>
      <c r="D260" s="78" t="str">
        <f>'2024 DO NOT TOUCH'!D261</f>
        <v>WILKINS</v>
      </c>
      <c r="E260" s="77" t="str">
        <f>'2024 DO NOT TOUCH'!E261</f>
        <v>375A</v>
      </c>
      <c r="F260" s="78" t="str">
        <f>'2024 DO NOT TOUCH'!F261</f>
        <v>RP</v>
      </c>
      <c r="G260" s="77" t="str">
        <f>'2024 DO NOT TOUCH'!G261</f>
        <v>6.0</v>
      </c>
      <c r="H260" s="78" t="str">
        <f>'2024 DO NOT TOUCH'!H261</f>
        <v>MECH RM ON FIRE SYS</v>
      </c>
      <c r="I260" s="77" t="str">
        <f>'2024 DO NOT TOUCH'!I261</f>
        <v>PREMISE</v>
      </c>
      <c r="J260" s="78" t="str">
        <f>'2024 DO NOT TOUCH'!J261</f>
        <v>FIRE</v>
      </c>
      <c r="K260" s="77" t="str">
        <f>'2024 DO NOT TOUCH'!K261</f>
        <v>ACTIVE</v>
      </c>
      <c r="L260" s="79">
        <f>'2024 DO NOT TOUCH'!L261</f>
        <v>44690</v>
      </c>
      <c r="M260" s="77" t="b">
        <f>'2024 DO NOT TOUCH'!M261</f>
        <v>0</v>
      </c>
      <c r="N260" s="78">
        <f>'2024 DO NOT TOUCH'!N261</f>
        <v>0</v>
      </c>
      <c r="O260" s="77">
        <f>'2024 DO NOT TOUCH'!O261</f>
        <v>0</v>
      </c>
      <c r="P260" s="80">
        <f>'2024 DO NOT TOUCH'!P261</f>
        <v>0</v>
      </c>
      <c r="Q260" s="80">
        <f>'2024 DO NOT TOUCH'!Q261</f>
        <v>0</v>
      </c>
      <c r="R260" s="80">
        <f>'2024 DO NOT TOUCH'!R261</f>
        <v>0</v>
      </c>
      <c r="S260" s="81" t="str">
        <f>'2024 DO NOT TOUCH'!S261</f>
        <v>TESTED</v>
      </c>
      <c r="T260" s="81" t="str">
        <f>'2024 DO NOT TOUCH'!T261</f>
        <v>PASSED</v>
      </c>
      <c r="U260" s="81">
        <f>'2024 DO NOT TOUCH'!U261</f>
        <v>0</v>
      </c>
      <c r="V260" s="81">
        <f>'2024 DO NOT TOUCH'!V261</f>
        <v>0</v>
      </c>
      <c r="W260" s="81">
        <f>'2024 DO NOT TOUCH'!W261</f>
        <v>0</v>
      </c>
      <c r="X260" s="80">
        <f>'2024 DO NOT TOUCH'!X261</f>
        <v>0</v>
      </c>
      <c r="Y260" s="81">
        <f>'2024 DO NOT TOUCH'!Y261</f>
        <v>0</v>
      </c>
    </row>
    <row r="261" spans="1:25" ht="19.5" customHeight="1">
      <c r="A261" s="58" t="str">
        <f>'2024 DO NOT TOUCH'!A262</f>
        <v>2187</v>
      </c>
      <c r="B261" s="59" t="str">
        <f>'2024 DO NOT TOUCH'!B262</f>
        <v>BRICK HOUSE</v>
      </c>
      <c r="C261" s="58" t="str">
        <f>'2024 DO NOT TOUCH'!C262</f>
        <v>3296297</v>
      </c>
      <c r="D261" s="59" t="str">
        <f>'2024 DO NOT TOUCH'!D262</f>
        <v>WILKINS</v>
      </c>
      <c r="E261" s="58" t="str">
        <f>'2024 DO NOT TOUCH'!E262</f>
        <v>350A</v>
      </c>
      <c r="F261" s="59" t="str">
        <f>'2024 DO NOT TOUCH'!F262</f>
        <v>DC</v>
      </c>
      <c r="G261" s="58" t="str">
        <f>'2024 DO NOT TOUCH'!G262</f>
        <v>2.0</v>
      </c>
      <c r="H261" s="59" t="str">
        <f>'2024 DO NOT TOUCH'!H262</f>
        <v>IRRIGATION NEXT TO SAFETY PARKING LOT</v>
      </c>
      <c r="I261" s="58" t="str">
        <f>'2024 DO NOT TOUCH'!I262</f>
        <v>PREMISE</v>
      </c>
      <c r="J261" s="59" t="str">
        <f>'2024 DO NOT TOUCH'!J262</f>
        <v>IRR</v>
      </c>
      <c r="K261" s="58" t="str">
        <f>'2024 DO NOT TOUCH'!K262</f>
        <v>ACTIVE</v>
      </c>
      <c r="L261" s="71">
        <f>'2024 DO NOT TOUCH'!L262</f>
        <v>44690</v>
      </c>
      <c r="M261" s="58" t="b">
        <f>'2024 DO NOT TOUCH'!M262</f>
        <v>0</v>
      </c>
      <c r="N261" s="59">
        <f>'2024 DO NOT TOUCH'!N262</f>
        <v>45443</v>
      </c>
      <c r="O261" s="58" t="str">
        <f>'2024 DO NOT TOUCH'!O262</f>
        <v>LARIOS</v>
      </c>
      <c r="P261" s="65">
        <f>'2024 DO NOT TOUCH'!P262</f>
        <v>2.2000000000000002</v>
      </c>
      <c r="Q261" s="65">
        <f>'2024 DO NOT TOUCH'!Q262</f>
        <v>2.4</v>
      </c>
      <c r="R261" s="65">
        <f>'2024 DO NOT TOUCH'!R262</f>
        <v>0</v>
      </c>
      <c r="S261" s="62" t="str">
        <f>'2024 DO NOT TOUCH'!S262</f>
        <v>TESTED</v>
      </c>
      <c r="T261" s="62" t="str">
        <f>'2024 DO NOT TOUCH'!T262</f>
        <v>PASSED</v>
      </c>
      <c r="U261" s="62">
        <f>'2024 DO NOT TOUCH'!U262</f>
        <v>0</v>
      </c>
      <c r="V261" s="62">
        <f>'2024 DO NOT TOUCH'!V262</f>
        <v>0</v>
      </c>
      <c r="W261" s="62">
        <f>'2024 DO NOT TOUCH'!W262</f>
        <v>0</v>
      </c>
      <c r="X261" s="65">
        <f>'2024 DO NOT TOUCH'!X262</f>
        <v>0</v>
      </c>
      <c r="Y261" s="62">
        <f>'2024 DO NOT TOUCH'!Y262</f>
        <v>0</v>
      </c>
    </row>
    <row r="262" spans="1:25" ht="19.5" customHeight="1">
      <c r="A262" s="77" t="str">
        <f>'2024 DO NOT TOUCH'!A263</f>
        <v>2187</v>
      </c>
      <c r="B262" s="78" t="str">
        <f>'2024 DO NOT TOUCH'!B263</f>
        <v>BRICK HOUSE</v>
      </c>
      <c r="C262" s="77" t="str">
        <f>'2024 DO NOT TOUCH'!C263</f>
        <v>A289863</v>
      </c>
      <c r="D262" s="78" t="str">
        <f>'2024 DO NOT TOUCH'!D263</f>
        <v>WILKINS</v>
      </c>
      <c r="E262" s="77" t="str">
        <f>'2024 DO NOT TOUCH'!E263</f>
        <v>375</v>
      </c>
      <c r="F262" s="78" t="str">
        <f>'2024 DO NOT TOUCH'!F263</f>
        <v>RP</v>
      </c>
      <c r="G262" s="77" t="str">
        <f>'2024 DO NOT TOUCH'!G263</f>
        <v>1.5</v>
      </c>
      <c r="H262" s="78" t="str">
        <f>'2024 DO NOT TOUCH'!H263</f>
        <v>IN MECH RM ON HVAC WATER SOFTNER</v>
      </c>
      <c r="I262" s="77" t="str">
        <f>'2024 DO NOT TOUCH'!I263</f>
        <v>INPREMISE</v>
      </c>
      <c r="J262" s="78" t="str">
        <f>'2024 DO NOT TOUCH'!J263</f>
        <v>AOI</v>
      </c>
      <c r="K262" s="77" t="str">
        <f>'2024 DO NOT TOUCH'!K263</f>
        <v>ACTIVE</v>
      </c>
      <c r="L262" s="79">
        <f>'2024 DO NOT TOUCH'!L263</f>
        <v>44690</v>
      </c>
      <c r="M262" s="77" t="b">
        <f>'2024 DO NOT TOUCH'!M263</f>
        <v>0</v>
      </c>
      <c r="N262" s="78">
        <f>'2024 DO NOT TOUCH'!N263</f>
        <v>45443</v>
      </c>
      <c r="O262" s="77" t="str">
        <f>'2024 DO NOT TOUCH'!O263</f>
        <v>LARIOS</v>
      </c>
      <c r="P262" s="80">
        <f>'2024 DO NOT TOUCH'!P263</f>
        <v>7</v>
      </c>
      <c r="Q262" s="80">
        <f>'2024 DO NOT TOUCH'!Q263</f>
        <v>0</v>
      </c>
      <c r="R262" s="80">
        <f>'2024 DO NOT TOUCH'!R263</f>
        <v>3.2</v>
      </c>
      <c r="S262" s="81" t="str">
        <f>'2024 DO NOT TOUCH'!S263</f>
        <v>TESTED</v>
      </c>
      <c r="T262" s="81" t="str">
        <f>'2024 DO NOT TOUCH'!T263</f>
        <v>PASSED</v>
      </c>
      <c r="U262" s="81">
        <f>'2024 DO NOT TOUCH'!U263</f>
        <v>0</v>
      </c>
      <c r="V262" s="81">
        <f>'2024 DO NOT TOUCH'!V263</f>
        <v>0</v>
      </c>
      <c r="W262" s="81">
        <f>'2024 DO NOT TOUCH'!W263</f>
        <v>0</v>
      </c>
      <c r="X262" s="80">
        <f>'2024 DO NOT TOUCH'!X263</f>
        <v>0</v>
      </c>
      <c r="Y262" s="81">
        <f>'2024 DO NOT TOUCH'!Y263</f>
        <v>0</v>
      </c>
    </row>
    <row r="263" spans="1:25" ht="19.5" customHeight="1">
      <c r="A263" s="58" t="str">
        <f>'2024 DO NOT TOUCH'!A264</f>
        <v>2187</v>
      </c>
      <c r="B263" s="59" t="str">
        <f>'2024 DO NOT TOUCH'!B264</f>
        <v>BRICK HOUSE</v>
      </c>
      <c r="C263" s="58" t="str">
        <f>'2024 DO NOT TOUCH'!C264</f>
        <v>118597</v>
      </c>
      <c r="D263" s="59" t="str">
        <f>'2024 DO NOT TOUCH'!D264</f>
        <v>WILKINS</v>
      </c>
      <c r="E263" s="58" t="str">
        <f>'2024 DO NOT TOUCH'!E264</f>
        <v>950</v>
      </c>
      <c r="F263" s="59" t="str">
        <f>'2024 DO NOT TOUCH'!F264</f>
        <v>DC</v>
      </c>
      <c r="G263" s="58" t="str">
        <f>'2024 DO NOT TOUCH'!G264</f>
        <v>2.0</v>
      </c>
      <c r="H263" s="59" t="str">
        <f>'2024 DO NOT TOUCH'!H264</f>
        <v>ACROSS ROAD IN FIELD BETWEEN 2 TREES</v>
      </c>
      <c r="I263" s="58" t="str">
        <f>'2024 DO NOT TOUCH'!I264</f>
        <v>PREMISE</v>
      </c>
      <c r="J263" s="59" t="str">
        <f>'2024 DO NOT TOUCH'!J264</f>
        <v>IRR</v>
      </c>
      <c r="K263" s="58" t="str">
        <f>'2024 DO NOT TOUCH'!K264</f>
        <v>ACTIVE</v>
      </c>
      <c r="L263" s="71">
        <f>'2024 DO NOT TOUCH'!L264</f>
        <v>44690</v>
      </c>
      <c r="M263" s="58" t="b">
        <f>'2024 DO NOT TOUCH'!M264</f>
        <v>1</v>
      </c>
      <c r="N263" s="59">
        <f>'2024 DO NOT TOUCH'!N264</f>
        <v>0</v>
      </c>
      <c r="O263" s="58">
        <f>'2024 DO NOT TOUCH'!O264</f>
        <v>0</v>
      </c>
      <c r="P263" s="67">
        <f>'2024 DO NOT TOUCH'!P264</f>
        <v>0</v>
      </c>
      <c r="Q263" s="67">
        <f>'2024 DO NOT TOUCH'!Q264</f>
        <v>0</v>
      </c>
      <c r="R263" s="67">
        <f>'2024 DO NOT TOUCH'!R264</f>
        <v>0</v>
      </c>
      <c r="S263" s="58" t="str">
        <f>'2024 DO NOT TOUCH'!S264</f>
        <v>UNTESTED</v>
      </c>
      <c r="T263" s="58">
        <f>'2024 DO NOT TOUCH'!T264</f>
        <v>0</v>
      </c>
      <c r="U263" s="58">
        <f>'2024 DO NOT TOUCH'!U264</f>
        <v>0</v>
      </c>
      <c r="V263" s="58">
        <f>'2024 DO NOT TOUCH'!V264</f>
        <v>0</v>
      </c>
      <c r="W263" s="58">
        <f>'2024 DO NOT TOUCH'!W264</f>
        <v>0</v>
      </c>
      <c r="X263" s="67">
        <f>'2024 DO NOT TOUCH'!X264</f>
        <v>0</v>
      </c>
      <c r="Y263" s="58" t="str">
        <f>'2024 DO NOT TOUCH'!Y264</f>
        <v>ISO</v>
      </c>
    </row>
    <row r="264" spans="1:25" ht="19.5" customHeight="1">
      <c r="A264" s="77" t="str">
        <f>'2024 DO NOT TOUCH'!A265</f>
        <v>2245</v>
      </c>
      <c r="B264" s="78" t="str">
        <f>'2024 DO NOT TOUCH'!B265</f>
        <v>COMM/FINANCE</v>
      </c>
      <c r="C264" s="77" t="str">
        <f>'2024 DO NOT TOUCH'!C265</f>
        <v>U28865</v>
      </c>
      <c r="D264" s="78" t="str">
        <f>'2024 DO NOT TOUCH'!D265</f>
        <v>WILKINS</v>
      </c>
      <c r="E264" s="77" t="str">
        <f>'2024 DO NOT TOUCH'!E265</f>
        <v>350A</v>
      </c>
      <c r="F264" s="78" t="str">
        <f>'2024 DO NOT TOUCH'!F265</f>
        <v>DC</v>
      </c>
      <c r="G264" s="77" t="str">
        <f>'2024 DO NOT TOUCH'!G265</f>
        <v>6.0</v>
      </c>
      <c r="H264" s="78" t="str">
        <f>'2024 DO NOT TOUCH'!H265</f>
        <v>FIRE SYS IN FENCE WITH OLD DRY PIPE</v>
      </c>
      <c r="I264" s="77" t="str">
        <f>'2024 DO NOT TOUCH'!I265</f>
        <v>PREMISE</v>
      </c>
      <c r="J264" s="78" t="str">
        <f>'2024 DO NOT TOUCH'!J265</f>
        <v>FIRE</v>
      </c>
      <c r="K264" s="77" t="str">
        <f>'2024 DO NOT TOUCH'!K265</f>
        <v>ACTIVE</v>
      </c>
      <c r="L264" s="79">
        <f>'2024 DO NOT TOUCH'!L265</f>
        <v>44572</v>
      </c>
      <c r="M264" s="77" t="b">
        <f>'2024 DO NOT TOUCH'!M265</f>
        <v>0</v>
      </c>
      <c r="N264" s="78">
        <f>'2024 DO NOT TOUCH'!N265</f>
        <v>0</v>
      </c>
      <c r="O264" s="77">
        <f>'2024 DO NOT TOUCH'!O265</f>
        <v>0</v>
      </c>
      <c r="P264" s="83">
        <f>'2024 DO NOT TOUCH'!P265</f>
        <v>0</v>
      </c>
      <c r="Q264" s="83">
        <f>'2024 DO NOT TOUCH'!Q265</f>
        <v>0</v>
      </c>
      <c r="R264" s="83">
        <f>'2024 DO NOT TOUCH'!R265</f>
        <v>0</v>
      </c>
      <c r="S264" s="77" t="str">
        <f>'2024 DO NOT TOUCH'!S265</f>
        <v>TESTED</v>
      </c>
      <c r="T264" s="77" t="str">
        <f>'2024 DO NOT TOUCH'!T265</f>
        <v>PASSED</v>
      </c>
      <c r="U264" s="77">
        <f>'2024 DO NOT TOUCH'!U265</f>
        <v>0</v>
      </c>
      <c r="V264" s="77">
        <f>'2024 DO NOT TOUCH'!V265</f>
        <v>0</v>
      </c>
      <c r="W264" s="77">
        <f>'2024 DO NOT TOUCH'!W265</f>
        <v>0</v>
      </c>
      <c r="X264" s="83">
        <f>'2024 DO NOT TOUCH'!X265</f>
        <v>0</v>
      </c>
      <c r="Y264" s="77">
        <f>'2024 DO NOT TOUCH'!Y265</f>
        <v>0</v>
      </c>
    </row>
    <row r="265" spans="1:25" ht="19.5" customHeight="1">
      <c r="A265" s="58" t="str">
        <f>'2024 DO NOT TOUCH'!A266</f>
        <v>2248</v>
      </c>
      <c r="B265" s="59" t="str">
        <f>'2024 DO NOT TOUCH'!B266</f>
        <v>COMM/FINANCE</v>
      </c>
      <c r="C265" s="58" t="str">
        <f>'2024 DO NOT TOUCH'!C266</f>
        <v>U28835</v>
      </c>
      <c r="D265" s="59" t="str">
        <f>'2024 DO NOT TOUCH'!D266</f>
        <v>WILKINS</v>
      </c>
      <c r="E265" s="58" t="str">
        <f>'2024 DO NOT TOUCH'!E266</f>
        <v>350</v>
      </c>
      <c r="F265" s="59" t="str">
        <f>'2024 DO NOT TOUCH'!F266</f>
        <v>DC</v>
      </c>
      <c r="G265" s="58" t="str">
        <f>'2024 DO NOT TOUCH'!G266</f>
        <v>2.0</v>
      </c>
      <c r="H265" s="59" t="str">
        <f>'2024 DO NOT TOUCH'!H266</f>
        <v>FIRE SYS IN HALLWAY ON EAST SIDE ON PRE ACTION</v>
      </c>
      <c r="I265" s="58" t="str">
        <f>'2024 DO NOT TOUCH'!I266</f>
        <v>PREMISE</v>
      </c>
      <c r="J265" s="59" t="str">
        <f>'2024 DO NOT TOUCH'!J266</f>
        <v>FIRE</v>
      </c>
      <c r="K265" s="58" t="str">
        <f>'2024 DO NOT TOUCH'!K266</f>
        <v>ACTIVE</v>
      </c>
      <c r="L265" s="71">
        <f>'2024 DO NOT TOUCH'!L266</f>
        <v>44572</v>
      </c>
      <c r="M265" s="58" t="b">
        <f>'2024 DO NOT TOUCH'!M266</f>
        <v>0</v>
      </c>
      <c r="N265" s="59">
        <f>'2024 DO NOT TOUCH'!N266</f>
        <v>45632</v>
      </c>
      <c r="O265" s="58" t="str">
        <f>'2024 DO NOT TOUCH'!O266</f>
        <v>PARK</v>
      </c>
      <c r="P265" s="65">
        <f>'2024 DO NOT TOUCH'!P266</f>
        <v>4.8</v>
      </c>
      <c r="Q265" s="65">
        <f>'2024 DO NOT TOUCH'!Q266</f>
        <v>4.5999999999999996</v>
      </c>
      <c r="R265" s="65">
        <f>'2024 DO NOT TOUCH'!R266</f>
        <v>0</v>
      </c>
      <c r="S265" s="62" t="str">
        <f>'2024 DO NOT TOUCH'!S266</f>
        <v>TESTED</v>
      </c>
      <c r="T265" s="62" t="str">
        <f>'2024 DO NOT TOUCH'!T266</f>
        <v>PASSED</v>
      </c>
      <c r="U265" s="62">
        <f>'2024 DO NOT TOUCH'!U266</f>
        <v>0</v>
      </c>
      <c r="V265" s="62">
        <f>'2024 DO NOT TOUCH'!V266</f>
        <v>0</v>
      </c>
      <c r="W265" s="62">
        <f>'2024 DO NOT TOUCH'!W266</f>
        <v>0</v>
      </c>
      <c r="X265" s="65">
        <f>'2024 DO NOT TOUCH'!X266</f>
        <v>0</v>
      </c>
      <c r="Y265" s="62">
        <f>'2024 DO NOT TOUCH'!Y266</f>
        <v>0</v>
      </c>
    </row>
    <row r="266" spans="1:25" ht="19.5" customHeight="1">
      <c r="A266" s="55" t="str">
        <f>'2024 DO NOT TOUCH'!A267</f>
        <v>2248</v>
      </c>
      <c r="B266" s="3" t="str">
        <f>'2024 DO NOT TOUCH'!B267</f>
        <v>COMM/FINANCE</v>
      </c>
      <c r="C266" s="55" t="str">
        <f>'2024 DO NOT TOUCH'!C267</f>
        <v>C7090</v>
      </c>
      <c r="D266" s="3" t="str">
        <f>'2024 DO NOT TOUCH'!D267</f>
        <v>FEBCO</v>
      </c>
      <c r="E266" s="55" t="str">
        <f>'2024 DO NOT TOUCH'!E267</f>
        <v>805Y</v>
      </c>
      <c r="F266" s="3" t="str">
        <f>'2024 DO NOT TOUCH'!F267</f>
        <v>DC</v>
      </c>
      <c r="G266" s="55" t="str">
        <f>'2024 DO NOT TOUCH'!G267</f>
        <v>6.0</v>
      </c>
      <c r="H266" s="3" t="str">
        <f>'2024 DO NOT TOUCH'!H267</f>
        <v>FIRE SYS IN CLOSET RM 105</v>
      </c>
      <c r="I266" s="55" t="str">
        <f>'2024 DO NOT TOUCH'!I267</f>
        <v>PREMISE</v>
      </c>
      <c r="J266" s="3" t="str">
        <f>'2024 DO NOT TOUCH'!J267</f>
        <v>FIRE</v>
      </c>
      <c r="K266" s="55" t="str">
        <f>'2024 DO NOT TOUCH'!K267</f>
        <v>ACTIVE</v>
      </c>
      <c r="L266" s="72">
        <f>'2024 DO NOT TOUCH'!L267</f>
        <v>44572</v>
      </c>
      <c r="M266" s="55" t="b">
        <f>'2024 DO NOT TOUCH'!M267</f>
        <v>0</v>
      </c>
      <c r="N266" s="3">
        <f>'2024 DO NOT TOUCH'!N267</f>
        <v>0</v>
      </c>
      <c r="O266" s="55">
        <f>'2024 DO NOT TOUCH'!O267</f>
        <v>0</v>
      </c>
      <c r="P266" s="64">
        <f>'2024 DO NOT TOUCH'!P267</f>
        <v>0</v>
      </c>
      <c r="Q266" s="64">
        <f>'2024 DO NOT TOUCH'!Q267</f>
        <v>0</v>
      </c>
      <c r="R266" s="64">
        <f>'2024 DO NOT TOUCH'!R267</f>
        <v>0</v>
      </c>
      <c r="S266" s="57" t="str">
        <f>'2024 DO NOT TOUCH'!S267</f>
        <v>TESTED</v>
      </c>
      <c r="T266" s="57" t="str">
        <f>'2024 DO NOT TOUCH'!T267</f>
        <v>PASSED</v>
      </c>
      <c r="U266" s="57">
        <f>'2024 DO NOT TOUCH'!U267</f>
        <v>0</v>
      </c>
      <c r="V266" s="57">
        <f>'2024 DO NOT TOUCH'!V267</f>
        <v>0</v>
      </c>
      <c r="W266" s="57">
        <f>'2024 DO NOT TOUCH'!W267</f>
        <v>0</v>
      </c>
      <c r="X266" s="64">
        <f>'2024 DO NOT TOUCH'!X267</f>
        <v>0</v>
      </c>
      <c r="Y266" s="57">
        <f>'2024 DO NOT TOUCH'!Y267</f>
        <v>0</v>
      </c>
    </row>
    <row r="267" spans="1:25" ht="19.5" customHeight="1">
      <c r="A267" s="58" t="str">
        <f>'2024 DO NOT TOUCH'!A268</f>
        <v>2248</v>
      </c>
      <c r="B267" s="59" t="str">
        <f>'2024 DO NOT TOUCH'!B268</f>
        <v>COMM/FINANCE</v>
      </c>
      <c r="C267" s="58" t="str">
        <f>'2024 DO NOT TOUCH'!C268</f>
        <v>U00359</v>
      </c>
      <c r="D267" s="59" t="str">
        <f>'2024 DO NOT TOUCH'!D268</f>
        <v>WILKINS</v>
      </c>
      <c r="E267" s="58" t="str">
        <f>'2024 DO NOT TOUCH'!E268</f>
        <v>350A</v>
      </c>
      <c r="F267" s="59" t="str">
        <f>'2024 DO NOT TOUCH'!F268</f>
        <v>DC</v>
      </c>
      <c r="G267" s="58" t="str">
        <f>'2024 DO NOT TOUCH'!G268</f>
        <v>6.0</v>
      </c>
      <c r="H267" s="59" t="str">
        <f>'2024 DO NOT TOUCH'!H268</f>
        <v>FIRE SYS FOR TELECOMM BY ROLLUP DOOR</v>
      </c>
      <c r="I267" s="58" t="str">
        <f>'2024 DO NOT TOUCH'!I268</f>
        <v>PREMISE</v>
      </c>
      <c r="J267" s="59" t="str">
        <f>'2024 DO NOT TOUCH'!J268</f>
        <v>FIRE</v>
      </c>
      <c r="K267" s="58" t="str">
        <f>'2024 DO NOT TOUCH'!K268</f>
        <v>ACTIVE</v>
      </c>
      <c r="L267" s="71">
        <f>'2024 DO NOT TOUCH'!L268</f>
        <v>44573</v>
      </c>
      <c r="M267" s="58" t="b">
        <f>'2024 DO NOT TOUCH'!M268</f>
        <v>0</v>
      </c>
      <c r="N267" s="59">
        <f>'2024 DO NOT TOUCH'!N268</f>
        <v>0</v>
      </c>
      <c r="O267" s="58">
        <f>'2024 DO NOT TOUCH'!O268</f>
        <v>0</v>
      </c>
      <c r="P267" s="65">
        <f>'2024 DO NOT TOUCH'!P268</f>
        <v>0</v>
      </c>
      <c r="Q267" s="65">
        <f>'2024 DO NOT TOUCH'!Q268</f>
        <v>0</v>
      </c>
      <c r="R267" s="65">
        <f>'2024 DO NOT TOUCH'!R268</f>
        <v>0</v>
      </c>
      <c r="S267" s="62" t="str">
        <f>'2024 DO NOT TOUCH'!S268</f>
        <v>TESTED</v>
      </c>
      <c r="T267" s="62" t="str">
        <f>'2024 DO NOT TOUCH'!T268</f>
        <v>PASSED</v>
      </c>
      <c r="U267" s="62">
        <f>'2024 DO NOT TOUCH'!U268</f>
        <v>0</v>
      </c>
      <c r="V267" s="62">
        <f>'2024 DO NOT TOUCH'!V268</f>
        <v>0</v>
      </c>
      <c r="W267" s="62">
        <f>'2024 DO NOT TOUCH'!W268</f>
        <v>0</v>
      </c>
      <c r="X267" s="65">
        <f>'2024 DO NOT TOUCH'!X268</f>
        <v>0</v>
      </c>
      <c r="Y267" s="62">
        <f>'2024 DO NOT TOUCH'!Y268</f>
        <v>0</v>
      </c>
    </row>
    <row r="268" spans="1:25" ht="19.5" customHeight="1">
      <c r="A268" s="55" t="str">
        <f>'2024 DO NOT TOUCH'!A269</f>
        <v>2248</v>
      </c>
      <c r="B268" s="55" t="str">
        <f>'2024 DO NOT TOUCH'!B269</f>
        <v>COMM/FINANCE</v>
      </c>
      <c r="C268" s="55" t="str">
        <f>'2024 DO NOT TOUCH'!C269</f>
        <v>A0208</v>
      </c>
      <c r="D268" s="55" t="str">
        <f>'2024 DO NOT TOUCH'!D269</f>
        <v>FEBCO</v>
      </c>
      <c r="E268" s="55" t="str">
        <f>'2024 DO NOT TOUCH'!E269</f>
        <v>805Y</v>
      </c>
      <c r="F268" s="55" t="str">
        <f>'2024 DO NOT TOUCH'!F269</f>
        <v>DC</v>
      </c>
      <c r="G268" s="55" t="str">
        <f>'2024 DO NOT TOUCH'!G269</f>
        <v>6.0</v>
      </c>
      <c r="H268" s="55" t="str">
        <f>'2024 DO NOT TOUCH'!H269</f>
        <v>FIRE SYS TO RIGHT OF ROLLUP DOOR</v>
      </c>
      <c r="I268" s="55" t="str">
        <f>'2024 DO NOT TOUCH'!I269</f>
        <v>PREMISE</v>
      </c>
      <c r="J268" s="55" t="str">
        <f>'2024 DO NOT TOUCH'!J269</f>
        <v>FIRE</v>
      </c>
      <c r="K268" s="55" t="str">
        <f>'2024 DO NOT TOUCH'!K269</f>
        <v>ACTIVE</v>
      </c>
      <c r="L268" s="56">
        <f>'2024 DO NOT TOUCH'!L269</f>
        <v>44573</v>
      </c>
      <c r="M268" s="56" t="b">
        <f>'2024 DO NOT TOUCH'!M269</f>
        <v>0</v>
      </c>
      <c r="N268" s="56">
        <f>'2024 DO NOT TOUCH'!N269</f>
        <v>45299</v>
      </c>
      <c r="O268" s="55" t="str">
        <f>'2024 DO NOT TOUCH'!O269</f>
        <v>REED</v>
      </c>
      <c r="P268" s="64">
        <f>'2024 DO NOT TOUCH'!P269</f>
        <v>3.2</v>
      </c>
      <c r="Q268" s="64">
        <f>'2024 DO NOT TOUCH'!Q269</f>
        <v>2.7</v>
      </c>
      <c r="R268" s="64">
        <f>'2024 DO NOT TOUCH'!R269</f>
        <v>0</v>
      </c>
      <c r="S268" s="55" t="str">
        <f>'2024 DO NOT TOUCH'!S269</f>
        <v>TESTED</v>
      </c>
      <c r="T268" s="55" t="str">
        <f>'2024 DO NOT TOUCH'!T269</f>
        <v>PASSED</v>
      </c>
      <c r="U268" s="55">
        <f>'2024 DO NOT TOUCH'!U269</f>
        <v>0</v>
      </c>
      <c r="V268" s="55">
        <f>'2024 DO NOT TOUCH'!V269</f>
        <v>0</v>
      </c>
      <c r="W268" s="55">
        <f>'2024 DO NOT TOUCH'!W269</f>
        <v>0</v>
      </c>
      <c r="X268" s="66">
        <f>'2024 DO NOT TOUCH'!X269</f>
        <v>0</v>
      </c>
      <c r="Y268" s="55">
        <f>'2024 DO NOT TOUCH'!Y269</f>
        <v>0</v>
      </c>
    </row>
    <row r="269" spans="1:25" ht="19.5" customHeight="1">
      <c r="A269" s="58" t="str">
        <f>'2024 DO NOT TOUCH'!A270</f>
        <v>2248</v>
      </c>
      <c r="B269" s="59" t="str">
        <f>'2024 DO NOT TOUCH'!B270</f>
        <v>COMM/FINANCE</v>
      </c>
      <c r="C269" s="58" t="str">
        <f>'2024 DO NOT TOUCH'!C270</f>
        <v>59795</v>
      </c>
      <c r="D269" s="59" t="str">
        <f>'2024 DO NOT TOUCH'!D270</f>
        <v>WATTS</v>
      </c>
      <c r="E269" s="58" t="str">
        <f>'2024 DO NOT TOUCH'!E270</f>
        <v>LF009M3QT</v>
      </c>
      <c r="F269" s="59" t="str">
        <f>'2024 DO NOT TOUCH'!F270</f>
        <v>RP</v>
      </c>
      <c r="G269" s="58" t="str">
        <f>'2024 DO NOT TOUCH'!G270</f>
        <v>0.75</v>
      </c>
      <c r="H269" s="59" t="str">
        <f>'2024 DO NOT TOUCH'!H270</f>
        <v>IN MECH RM ON WATER SOFTNER</v>
      </c>
      <c r="I269" s="58" t="str">
        <f>'2024 DO NOT TOUCH'!I270</f>
        <v>INPREMISE</v>
      </c>
      <c r="J269" s="59" t="str">
        <f>'2024 DO NOT TOUCH'!J270</f>
        <v>AOI</v>
      </c>
      <c r="K269" s="58" t="str">
        <f>'2024 DO NOT TOUCH'!K270</f>
        <v>ACTIVE</v>
      </c>
      <c r="L269" s="71">
        <f>'2024 DO NOT TOUCH'!L270</f>
        <v>44573</v>
      </c>
      <c r="M269" s="58" t="b">
        <f>'2024 DO NOT TOUCH'!M270</f>
        <v>0</v>
      </c>
      <c r="N269" s="59">
        <f>'2024 DO NOT TOUCH'!N270</f>
        <v>45632</v>
      </c>
      <c r="O269" s="58" t="str">
        <f>'2024 DO NOT TOUCH'!O270</f>
        <v>PARK</v>
      </c>
      <c r="P269" s="65">
        <f>'2024 DO NOT TOUCH'!P270</f>
        <v>8</v>
      </c>
      <c r="Q269" s="65">
        <f>'2024 DO NOT TOUCH'!Q270</f>
        <v>0</v>
      </c>
      <c r="R269" s="65">
        <f>'2024 DO NOT TOUCH'!R270</f>
        <v>1.8</v>
      </c>
      <c r="S269" s="62" t="str">
        <f>'2024 DO NOT TOUCH'!S270</f>
        <v>TESTED</v>
      </c>
      <c r="T269" s="62" t="str">
        <f>'2024 DO NOT TOUCH'!T270</f>
        <v>PASSED</v>
      </c>
      <c r="U269" s="62">
        <f>'2024 DO NOT TOUCH'!U270</f>
        <v>0</v>
      </c>
      <c r="V269" s="62">
        <f>'2024 DO NOT TOUCH'!V270</f>
        <v>0</v>
      </c>
      <c r="W269" s="62">
        <f>'2024 DO NOT TOUCH'!W270</f>
        <v>0</v>
      </c>
      <c r="X269" s="65">
        <f>'2024 DO NOT TOUCH'!X270</f>
        <v>0</v>
      </c>
      <c r="Y269" s="62">
        <f>'2024 DO NOT TOUCH'!Y270</f>
        <v>0</v>
      </c>
    </row>
    <row r="270" spans="1:25" ht="19.5" customHeight="1">
      <c r="A270" s="55" t="str">
        <f>'2024 DO NOT TOUCH'!A271</f>
        <v>2249</v>
      </c>
      <c r="B270" s="3" t="str">
        <f>'2024 DO NOT TOUCH'!B271</f>
        <v>141 COMM</v>
      </c>
      <c r="C270" s="55" t="str">
        <f>'2024 DO NOT TOUCH'!C271</f>
        <v>H39201</v>
      </c>
      <c r="D270" s="3" t="str">
        <f>'2024 DO NOT TOUCH'!D271</f>
        <v>FEBCO</v>
      </c>
      <c r="E270" s="55" t="str">
        <f>'2024 DO NOT TOUCH'!E271</f>
        <v>825Y</v>
      </c>
      <c r="F270" s="3" t="str">
        <f>'2024 DO NOT TOUCH'!F271</f>
        <v>RP</v>
      </c>
      <c r="G270" s="55" t="str">
        <f>'2024 DO NOT TOUCH'!G271</f>
        <v>0.75</v>
      </c>
      <c r="H270" s="3" t="str">
        <f>'2024 DO NOT TOUCH'!H271</f>
        <v>ON HVAC BEHIND HVAC</v>
      </c>
      <c r="I270" s="55" t="str">
        <f>'2024 DO NOT TOUCH'!I271</f>
        <v>INPREMISE</v>
      </c>
      <c r="J270" s="3" t="str">
        <f>'2024 DO NOT TOUCH'!J271</f>
        <v>AOI</v>
      </c>
      <c r="K270" s="55" t="str">
        <f>'2024 DO NOT TOUCH'!K271</f>
        <v>ACTIVE</v>
      </c>
      <c r="L270" s="72">
        <f>'2024 DO NOT TOUCH'!L271</f>
        <v>44573</v>
      </c>
      <c r="M270" s="55" t="b">
        <f>'2024 DO NOT TOUCH'!M271</f>
        <v>0</v>
      </c>
      <c r="N270" s="3">
        <f>'2024 DO NOT TOUCH'!N271</f>
        <v>0</v>
      </c>
      <c r="O270" s="55">
        <f>'2024 DO NOT TOUCH'!O271</f>
        <v>0</v>
      </c>
      <c r="P270" s="64">
        <f>'2024 DO NOT TOUCH'!P271</f>
        <v>0</v>
      </c>
      <c r="Q270" s="64">
        <f>'2024 DO NOT TOUCH'!Q271</f>
        <v>0</v>
      </c>
      <c r="R270" s="64">
        <f>'2024 DO NOT TOUCH'!R271</f>
        <v>0</v>
      </c>
      <c r="S270" s="57" t="str">
        <f>'2024 DO NOT TOUCH'!S271</f>
        <v>TESTED</v>
      </c>
      <c r="T270" s="57" t="str">
        <f>'2024 DO NOT TOUCH'!T271</f>
        <v>PASSED</v>
      </c>
      <c r="U270" s="57">
        <f>'2024 DO NOT TOUCH'!U271</f>
        <v>0</v>
      </c>
      <c r="V270" s="57">
        <f>'2024 DO NOT TOUCH'!V271</f>
        <v>0</v>
      </c>
      <c r="W270" s="57">
        <f>'2024 DO NOT TOUCH'!W271</f>
        <v>0</v>
      </c>
      <c r="X270" s="64">
        <f>'2024 DO NOT TOUCH'!X271</f>
        <v>0</v>
      </c>
      <c r="Y270" s="57">
        <f>'2024 DO NOT TOUCH'!Y271</f>
        <v>0</v>
      </c>
    </row>
    <row r="271" spans="1:25" ht="19.5" customHeight="1">
      <c r="A271" s="58" t="str">
        <f>'2024 DO NOT TOUCH'!A272</f>
        <v>2250</v>
      </c>
      <c r="B271" s="59" t="str">
        <f>'2024 DO NOT TOUCH'!B272</f>
        <v>RUNNING TRACK</v>
      </c>
      <c r="C271" s="58" t="str">
        <f>'2024 DO NOT TOUCH'!C272</f>
        <v>3338211</v>
      </c>
      <c r="D271" s="59" t="str">
        <f>'2024 DO NOT TOUCH'!D272</f>
        <v>WILKINS</v>
      </c>
      <c r="E271" s="58" t="str">
        <f>'2024 DO NOT TOUCH'!E272</f>
        <v>950XLT</v>
      </c>
      <c r="F271" s="59" t="str">
        <f>'2024 DO NOT TOUCH'!F272</f>
        <v>DC</v>
      </c>
      <c r="G271" s="58" t="str">
        <f>'2024 DO NOT TOUCH'!G272</f>
        <v>2.0</v>
      </c>
      <c r="H271" s="59" t="str">
        <f>'2024 DO NOT TOUCH'!H272</f>
        <v>1ST BASE DUGOUT NEAR HYDRANT BY POST OFFICE</v>
      </c>
      <c r="I271" s="58" t="str">
        <f>'2024 DO NOT TOUCH'!I272</f>
        <v>PREMISE</v>
      </c>
      <c r="J271" s="59" t="str">
        <f>'2024 DO NOT TOUCH'!J272</f>
        <v>IRR</v>
      </c>
      <c r="K271" s="58" t="str">
        <f>'2024 DO NOT TOUCH'!K272</f>
        <v>ACTIVE</v>
      </c>
      <c r="L271" s="71">
        <f>'2024 DO NOT TOUCH'!L272</f>
        <v>44573</v>
      </c>
      <c r="M271" s="58" t="b">
        <f>'2024 DO NOT TOUCH'!M272</f>
        <v>1</v>
      </c>
      <c r="N271" s="59">
        <f>'2024 DO NOT TOUCH'!N272</f>
        <v>0</v>
      </c>
      <c r="O271" s="58">
        <f>'2024 DO NOT TOUCH'!O272</f>
        <v>0</v>
      </c>
      <c r="P271" s="65">
        <f>'2024 DO NOT TOUCH'!P272</f>
        <v>0</v>
      </c>
      <c r="Q271" s="65">
        <f>'2024 DO NOT TOUCH'!Q272</f>
        <v>0</v>
      </c>
      <c r="R271" s="65">
        <f>'2024 DO NOT TOUCH'!R272</f>
        <v>0</v>
      </c>
      <c r="S271" s="62" t="str">
        <f>'2024 DO NOT TOUCH'!S272</f>
        <v>UNTESTED</v>
      </c>
      <c r="T271" s="62">
        <f>'2024 DO NOT TOUCH'!T272</f>
        <v>0</v>
      </c>
      <c r="U271" s="62">
        <f>'2024 DO NOT TOUCH'!U272</f>
        <v>0</v>
      </c>
      <c r="V271" s="62">
        <f>'2024 DO NOT TOUCH'!V272</f>
        <v>0</v>
      </c>
      <c r="W271" s="62">
        <f>'2024 DO NOT TOUCH'!W272</f>
        <v>0</v>
      </c>
      <c r="X271" s="65">
        <f>'2024 DO NOT TOUCH'!X272</f>
        <v>0</v>
      </c>
      <c r="Y271" s="62">
        <f>'2024 DO NOT TOUCH'!Y272</f>
        <v>0</v>
      </c>
    </row>
    <row r="272" spans="1:25" ht="19.5" customHeight="1">
      <c r="A272" s="55" t="str">
        <f>'2024 DO NOT TOUCH'!A273</f>
        <v>2250</v>
      </c>
      <c r="B272" s="3" t="str">
        <f>'2024 DO NOT TOUCH'!B273</f>
        <v>RUNNING TRACK</v>
      </c>
      <c r="C272" s="55" t="str">
        <f>'2024 DO NOT TOUCH'!C273</f>
        <v>A39870</v>
      </c>
      <c r="D272" s="3" t="str">
        <f>'2024 DO NOT TOUCH'!D273</f>
        <v>WATTS</v>
      </c>
      <c r="E272" s="55" t="str">
        <f>'2024 DO NOT TOUCH'!E273</f>
        <v>007M1QT</v>
      </c>
      <c r="F272" s="3" t="str">
        <f>'2024 DO NOT TOUCH'!F273</f>
        <v>DC</v>
      </c>
      <c r="G272" s="55" t="str">
        <f>'2024 DO NOT TOUCH'!G273</f>
        <v>2.0</v>
      </c>
      <c r="H272" s="3" t="str">
        <f>'2024 DO NOT TOUCH'!H273</f>
        <v>IRRIGATION 3RD BASE DUGOUT NERE HYDRANT</v>
      </c>
      <c r="I272" s="55" t="str">
        <f>'2024 DO NOT TOUCH'!I273</f>
        <v>PREMISE</v>
      </c>
      <c r="J272" s="3" t="str">
        <f>'2024 DO NOT TOUCH'!J273</f>
        <v>IRR</v>
      </c>
      <c r="K272" s="55" t="str">
        <f>'2024 DO NOT TOUCH'!K273</f>
        <v>ACTIVE</v>
      </c>
      <c r="L272" s="72">
        <f>'2024 DO NOT TOUCH'!L273</f>
        <v>44573</v>
      </c>
      <c r="M272" s="55" t="b">
        <f>'2024 DO NOT TOUCH'!M273</f>
        <v>1</v>
      </c>
      <c r="N272" s="3">
        <f>'2024 DO NOT TOUCH'!N273</f>
        <v>45447</v>
      </c>
      <c r="O272" s="55" t="str">
        <f>'2024 DO NOT TOUCH'!O273</f>
        <v>PASS</v>
      </c>
      <c r="P272" s="66">
        <f>'2024 DO NOT TOUCH'!P273</f>
        <v>0</v>
      </c>
      <c r="Q272" s="66">
        <f>'2024 DO NOT TOUCH'!Q273</f>
        <v>0</v>
      </c>
      <c r="R272" s="66">
        <f>'2024 DO NOT TOUCH'!R273</f>
        <v>0</v>
      </c>
      <c r="S272" s="55" t="str">
        <f>'2024 DO NOT TOUCH'!S273</f>
        <v>UNTESTED</v>
      </c>
      <c r="T272" s="55">
        <f>'2024 DO NOT TOUCH'!T273</f>
        <v>0</v>
      </c>
      <c r="U272" s="55">
        <f>'2024 DO NOT TOUCH'!U273</f>
        <v>0</v>
      </c>
      <c r="V272" s="55">
        <f>'2024 DO NOT TOUCH'!V273</f>
        <v>0</v>
      </c>
      <c r="W272" s="55">
        <f>'2024 DO NOT TOUCH'!W273</f>
        <v>0</v>
      </c>
      <c r="X272" s="66">
        <f>'2024 DO NOT TOUCH'!X273</f>
        <v>0</v>
      </c>
      <c r="Y272" s="55">
        <f>'2024 DO NOT TOUCH'!Y273</f>
        <v>0</v>
      </c>
    </row>
    <row r="273" spans="1:25" ht="19.5" customHeight="1">
      <c r="A273" s="58" t="str">
        <f>'2024 DO NOT TOUCH'!A274</f>
        <v>2250</v>
      </c>
      <c r="B273" s="59" t="str">
        <f>'2024 DO NOT TOUCH'!B274</f>
        <v>RUNNING TRACK</v>
      </c>
      <c r="C273" s="58" t="str">
        <f>'2024 DO NOT TOUCH'!C274</f>
        <v>AJ9653</v>
      </c>
      <c r="D273" s="59" t="str">
        <f>'2024 DO NOT TOUCH'!D274</f>
        <v>FEBCO</v>
      </c>
      <c r="E273" s="58" t="str">
        <f>'2024 DO NOT TOUCH'!E274</f>
        <v>805Y</v>
      </c>
      <c r="F273" s="59" t="str">
        <f>'2024 DO NOT TOUCH'!F274</f>
        <v>DC</v>
      </c>
      <c r="G273" s="58" t="str">
        <f>'2024 DO NOT TOUCH'!G274</f>
        <v>2.0</v>
      </c>
      <c r="H273" s="59" t="str">
        <f>'2024 DO NOT TOUCH'!H274</f>
        <v>IRR RAINBIRD NEAR TRACK &amp; HYDRANT IN FIELD</v>
      </c>
      <c r="I273" s="58" t="str">
        <f>'2024 DO NOT TOUCH'!I274</f>
        <v>PREMISE</v>
      </c>
      <c r="J273" s="59" t="str">
        <f>'2024 DO NOT TOUCH'!J274</f>
        <v>IRR</v>
      </c>
      <c r="K273" s="58" t="str">
        <f>'2024 DO NOT TOUCH'!K274</f>
        <v>ACTIVE</v>
      </c>
      <c r="L273" s="71">
        <f>'2024 DO NOT TOUCH'!L274</f>
        <v>44573</v>
      </c>
      <c r="M273" s="58" t="b">
        <f>'2024 DO NOT TOUCH'!M274</f>
        <v>1</v>
      </c>
      <c r="N273" s="59">
        <f>'2024 DO NOT TOUCH'!N274</f>
        <v>45447</v>
      </c>
      <c r="O273" s="58" t="str">
        <f>'2024 DO NOT TOUCH'!O274</f>
        <v>PASS</v>
      </c>
      <c r="P273" s="67">
        <f>'2024 DO NOT TOUCH'!P274</f>
        <v>2.8</v>
      </c>
      <c r="Q273" s="67">
        <f>'2024 DO NOT TOUCH'!Q274</f>
        <v>3.2</v>
      </c>
      <c r="R273" s="67">
        <f>'2024 DO NOT TOUCH'!R274</f>
        <v>0</v>
      </c>
      <c r="S273" s="58" t="str">
        <f>'2024 DO NOT TOUCH'!S274</f>
        <v>TESTED</v>
      </c>
      <c r="T273" s="58" t="str">
        <f>'2024 DO NOT TOUCH'!T274</f>
        <v>PASSED</v>
      </c>
      <c r="U273" s="58">
        <f>'2024 DO NOT TOUCH'!U274</f>
        <v>0</v>
      </c>
      <c r="V273" s="58">
        <f>'2024 DO NOT TOUCH'!V274</f>
        <v>0</v>
      </c>
      <c r="W273" s="58">
        <f>'2024 DO NOT TOUCH'!W274</f>
        <v>0</v>
      </c>
      <c r="X273" s="67">
        <f>'2024 DO NOT TOUCH'!X274</f>
        <v>0</v>
      </c>
      <c r="Y273" s="58">
        <f>'2024 DO NOT TOUCH'!Y274</f>
        <v>0</v>
      </c>
    </row>
    <row r="274" spans="1:25" ht="19.5" customHeight="1">
      <c r="A274" s="77" t="str">
        <f>'2024 DO NOT TOUCH'!A275</f>
        <v>2250</v>
      </c>
      <c r="B274" s="78" t="str">
        <f>'2024 DO NOT TOUCH'!B275</f>
        <v>RUNNING TRACK</v>
      </c>
      <c r="C274" s="77" t="str">
        <f>'2024 DO NOT TOUCH'!C275</f>
        <v>AJ9663</v>
      </c>
      <c r="D274" s="78" t="str">
        <f>'2024 DO NOT TOUCH'!D275</f>
        <v>FEBCO</v>
      </c>
      <c r="E274" s="77" t="str">
        <f>'2024 DO NOT TOUCH'!E275</f>
        <v>805Y</v>
      </c>
      <c r="F274" s="78" t="str">
        <f>'2024 DO NOT TOUCH'!F275</f>
        <v>DC</v>
      </c>
      <c r="G274" s="77" t="str">
        <f>'2024 DO NOT TOUCH'!G275</f>
        <v>2.0</v>
      </c>
      <c r="H274" s="78" t="str">
        <f>'2024 DO NOT TOUCH'!H275</f>
        <v>IRR NEAR 1ST BASE OUTSIDE OF VISISTOR CENTER</v>
      </c>
      <c r="I274" s="77" t="str">
        <f>'2024 DO NOT TOUCH'!I275</f>
        <v>PREMISE</v>
      </c>
      <c r="J274" s="78" t="str">
        <f>'2024 DO NOT TOUCH'!J275</f>
        <v>IRR</v>
      </c>
      <c r="K274" s="77" t="str">
        <f>'2024 DO NOT TOUCH'!K275</f>
        <v>ACTIVE</v>
      </c>
      <c r="L274" s="79">
        <f>'2024 DO NOT TOUCH'!L275</f>
        <v>44573</v>
      </c>
      <c r="M274" s="77" t="b">
        <f>'2024 DO NOT TOUCH'!M275</f>
        <v>1</v>
      </c>
      <c r="N274" s="78">
        <f>'2024 DO NOT TOUCH'!N275</f>
        <v>45426</v>
      </c>
      <c r="O274" s="77" t="str">
        <f>'2024 DO NOT TOUCH'!O275</f>
        <v>REED</v>
      </c>
      <c r="P274" s="80">
        <f>'2024 DO NOT TOUCH'!P275</f>
        <v>1.2</v>
      </c>
      <c r="Q274" s="80">
        <f>'2024 DO NOT TOUCH'!Q275</f>
        <v>1.7</v>
      </c>
      <c r="R274" s="80">
        <f>'2024 DO NOT TOUCH'!R275</f>
        <v>0</v>
      </c>
      <c r="S274" s="81" t="str">
        <f>'2024 DO NOT TOUCH'!S275</f>
        <v>TESTED</v>
      </c>
      <c r="T274" s="81" t="str">
        <f>'2024 DO NOT TOUCH'!T275</f>
        <v>PASSED</v>
      </c>
      <c r="U274" s="81">
        <f>'2024 DO NOT TOUCH'!U275</f>
        <v>0</v>
      </c>
      <c r="V274" s="81">
        <f>'2024 DO NOT TOUCH'!V275</f>
        <v>0</v>
      </c>
      <c r="W274" s="81">
        <f>'2024 DO NOT TOUCH'!W275</f>
        <v>0</v>
      </c>
      <c r="X274" s="80">
        <f>'2024 DO NOT TOUCH'!X275</f>
        <v>0</v>
      </c>
      <c r="Y274" s="81">
        <f>'2024 DO NOT TOUCH'!Y275</f>
        <v>0</v>
      </c>
    </row>
    <row r="275" spans="1:25" ht="19.5" customHeight="1">
      <c r="A275" s="58" t="str">
        <f>'2024 DO NOT TOUCH'!A276</f>
        <v>2250</v>
      </c>
      <c r="B275" s="59" t="str">
        <f>'2024 DO NOT TOUCH'!B276</f>
        <v>RUNNING TRACK</v>
      </c>
      <c r="C275" s="58" t="str">
        <f>'2024 DO NOT TOUCH'!C276</f>
        <v>A46906</v>
      </c>
      <c r="D275" s="59" t="str">
        <f>'2024 DO NOT TOUCH'!D276</f>
        <v>WATTS</v>
      </c>
      <c r="E275" s="58" t="str">
        <f>'2024 DO NOT TOUCH'!E276</f>
        <v>007M1QT</v>
      </c>
      <c r="F275" s="59" t="str">
        <f>'2024 DO NOT TOUCH'!F276</f>
        <v>DC</v>
      </c>
      <c r="G275" s="58" t="str">
        <f>'2024 DO NOT TOUCH'!G276</f>
        <v>2.0</v>
      </c>
      <c r="H275" s="59" t="str">
        <f>'2024 DO NOT TOUCH'!H276</f>
        <v>IRR NEAR SIDEWALK NEXT TO GYM PARKING LOT</v>
      </c>
      <c r="I275" s="58" t="str">
        <f>'2024 DO NOT TOUCH'!I276</f>
        <v>PREMISE</v>
      </c>
      <c r="J275" s="59" t="str">
        <f>'2024 DO NOT TOUCH'!J276</f>
        <v>IRR</v>
      </c>
      <c r="K275" s="58" t="str">
        <f>'2024 DO NOT TOUCH'!K276</f>
        <v>ACTIVE</v>
      </c>
      <c r="L275" s="71">
        <f>'2024 DO NOT TOUCH'!L276</f>
        <v>44573</v>
      </c>
      <c r="M275" s="58" t="b">
        <f>'2024 DO NOT TOUCH'!M276</f>
        <v>1</v>
      </c>
      <c r="N275" s="59">
        <f>'2024 DO NOT TOUCH'!N276</f>
        <v>45447</v>
      </c>
      <c r="O275" s="58" t="str">
        <f>'2024 DO NOT TOUCH'!O276</f>
        <v>PASS</v>
      </c>
      <c r="P275" s="65">
        <f>'2024 DO NOT TOUCH'!P276</f>
        <v>0</v>
      </c>
      <c r="Q275" s="65">
        <f>'2024 DO NOT TOUCH'!Q276</f>
        <v>0</v>
      </c>
      <c r="R275" s="65">
        <f>'2024 DO NOT TOUCH'!R276</f>
        <v>0</v>
      </c>
      <c r="S275" s="62" t="str">
        <f>'2024 DO NOT TOUCH'!S276</f>
        <v>UNTESTED</v>
      </c>
      <c r="T275" s="62">
        <f>'2024 DO NOT TOUCH'!T276</f>
        <v>0</v>
      </c>
      <c r="U275" s="62">
        <f>'2024 DO NOT TOUCH'!U276</f>
        <v>0</v>
      </c>
      <c r="V275" s="62">
        <f>'2024 DO NOT TOUCH'!V276</f>
        <v>0</v>
      </c>
      <c r="W275" s="62">
        <f>'2024 DO NOT TOUCH'!W276</f>
        <v>0</v>
      </c>
      <c r="X275" s="65">
        <f>'2024 DO NOT TOUCH'!X276</f>
        <v>0</v>
      </c>
      <c r="Y275" s="62" t="str">
        <f>'2024 DO NOT TOUCH'!Y276</f>
        <v xml:space="preserve">ISOLATED </v>
      </c>
    </row>
    <row r="276" spans="1:25" ht="19.5" customHeight="1">
      <c r="A276" s="77" t="str">
        <f>'2024 DO NOT TOUCH'!A277</f>
        <v>2250</v>
      </c>
      <c r="B276" s="78" t="str">
        <f>'2024 DO NOT TOUCH'!B277</f>
        <v>RUNNING TRACK</v>
      </c>
      <c r="C276" s="77" t="str">
        <f>'2024 DO NOT TOUCH'!C277</f>
        <v>A43618</v>
      </c>
      <c r="D276" s="78" t="str">
        <f>'2024 DO NOT TOUCH'!D277</f>
        <v>WATTS</v>
      </c>
      <c r="E276" s="77" t="str">
        <f>'2024 DO NOT TOUCH'!E277</f>
        <v>007M1QT</v>
      </c>
      <c r="F276" s="78" t="str">
        <f>'2024 DO NOT TOUCH'!F277</f>
        <v>DC</v>
      </c>
      <c r="G276" s="77" t="str">
        <f>'2024 DO NOT TOUCH'!G277</f>
        <v>2.0</v>
      </c>
      <c r="H276" s="78" t="str">
        <f>'2024 DO NOT TOUCH'!H277</f>
        <v>IRR NEAR BASKETBALL COURT #1 &amp; BONG ST</v>
      </c>
      <c r="I276" s="77" t="str">
        <f>'2024 DO NOT TOUCH'!I277</f>
        <v>PREMISE</v>
      </c>
      <c r="J276" s="78" t="str">
        <f>'2024 DO NOT TOUCH'!J277</f>
        <v>IRR</v>
      </c>
      <c r="K276" s="77" t="str">
        <f>'2024 DO NOT TOUCH'!K277</f>
        <v>ACTIVE</v>
      </c>
      <c r="L276" s="79">
        <f>'2024 DO NOT TOUCH'!L277</f>
        <v>44573</v>
      </c>
      <c r="M276" s="77" t="b">
        <f>'2024 DO NOT TOUCH'!M277</f>
        <v>1</v>
      </c>
      <c r="N276" s="78">
        <f>'2024 DO NOT TOUCH'!N277</f>
        <v>0</v>
      </c>
      <c r="O276" s="77">
        <f>'2024 DO NOT TOUCH'!O277</f>
        <v>0</v>
      </c>
      <c r="P276" s="80">
        <f>'2024 DO NOT TOUCH'!P277</f>
        <v>0</v>
      </c>
      <c r="Q276" s="80">
        <f>'2024 DO NOT TOUCH'!Q277</f>
        <v>0</v>
      </c>
      <c r="R276" s="80">
        <f>'2024 DO NOT TOUCH'!R277</f>
        <v>0</v>
      </c>
      <c r="S276" s="81" t="str">
        <f>'2024 DO NOT TOUCH'!S277</f>
        <v>UNTESTED</v>
      </c>
      <c r="T276" s="81">
        <f>'2024 DO NOT TOUCH'!T277</f>
        <v>0</v>
      </c>
      <c r="U276" s="81">
        <f>'2024 DO NOT TOUCH'!U277</f>
        <v>0</v>
      </c>
      <c r="V276" s="81">
        <f>'2024 DO NOT TOUCH'!V277</f>
        <v>0</v>
      </c>
      <c r="W276" s="81">
        <f>'2024 DO NOT TOUCH'!W277</f>
        <v>0</v>
      </c>
      <c r="X276" s="80">
        <f>'2024 DO NOT TOUCH'!X277</f>
        <v>0</v>
      </c>
      <c r="Y276" s="81" t="str">
        <f>'2024 DO NOT TOUCH'!Y277</f>
        <v xml:space="preserve">ISOLATED </v>
      </c>
    </row>
    <row r="277" spans="1:25" ht="19.5" customHeight="1">
      <c r="A277" s="58" t="str">
        <f>'2024 DO NOT TOUCH'!A278</f>
        <v>2250</v>
      </c>
      <c r="B277" s="59" t="str">
        <f>'2024 DO NOT TOUCH'!B278</f>
        <v>RUNNING TRACK</v>
      </c>
      <c r="C277" s="58" t="str">
        <f>'2024 DO NOT TOUCH'!C278</f>
        <v>A44570</v>
      </c>
      <c r="D277" s="59" t="str">
        <f>'2024 DO NOT TOUCH'!D278</f>
        <v>WATTS</v>
      </c>
      <c r="E277" s="58" t="str">
        <f>'2024 DO NOT TOUCH'!E278</f>
        <v>007M1QT</v>
      </c>
      <c r="F277" s="59" t="str">
        <f>'2024 DO NOT TOUCH'!F278</f>
        <v>DC</v>
      </c>
      <c r="G277" s="58" t="str">
        <f>'2024 DO NOT TOUCH'!G278</f>
        <v>2.0</v>
      </c>
      <c r="H277" s="59" t="str">
        <f>'2024 DO NOT TOUCH'!H278</f>
        <v>IRR NEAR BASKETBALL COURT #2 &amp; BONG ST</v>
      </c>
      <c r="I277" s="58" t="str">
        <f>'2024 DO NOT TOUCH'!I278</f>
        <v>PREMISE</v>
      </c>
      <c r="J277" s="59" t="str">
        <f>'2024 DO NOT TOUCH'!J278</f>
        <v>IRR</v>
      </c>
      <c r="K277" s="58" t="str">
        <f>'2024 DO NOT TOUCH'!K278</f>
        <v>ACTIVE</v>
      </c>
      <c r="L277" s="71">
        <f>'2024 DO NOT TOUCH'!L278</f>
        <v>44573</v>
      </c>
      <c r="M277" s="58" t="b">
        <f>'2024 DO NOT TOUCH'!M278</f>
        <v>1</v>
      </c>
      <c r="N277" s="59">
        <f>'2024 DO NOT TOUCH'!N278</f>
        <v>0</v>
      </c>
      <c r="O277" s="58">
        <f>'2024 DO NOT TOUCH'!O278</f>
        <v>0</v>
      </c>
      <c r="P277" s="67">
        <f>'2024 DO NOT TOUCH'!P278</f>
        <v>0</v>
      </c>
      <c r="Q277" s="67">
        <f>'2024 DO NOT TOUCH'!Q278</f>
        <v>0</v>
      </c>
      <c r="R277" s="67">
        <f>'2024 DO NOT TOUCH'!R278</f>
        <v>0</v>
      </c>
      <c r="S277" s="58" t="str">
        <f>'2024 DO NOT TOUCH'!S278</f>
        <v>UNTESTED</v>
      </c>
      <c r="T277" s="58">
        <f>'2024 DO NOT TOUCH'!T278</f>
        <v>0</v>
      </c>
      <c r="U277" s="58">
        <f>'2024 DO NOT TOUCH'!U278</f>
        <v>0</v>
      </c>
      <c r="V277" s="58">
        <f>'2024 DO NOT TOUCH'!V278</f>
        <v>0</v>
      </c>
      <c r="W277" s="58">
        <f>'2024 DO NOT TOUCH'!W278</f>
        <v>0</v>
      </c>
      <c r="X277" s="67">
        <f>'2024 DO NOT TOUCH'!X278</f>
        <v>0</v>
      </c>
      <c r="Y277" s="58" t="str">
        <f>'2024 DO NOT TOUCH'!Y278</f>
        <v xml:space="preserve">ISOLATED </v>
      </c>
    </row>
    <row r="278" spans="1:25" ht="19.5" customHeight="1">
      <c r="A278" s="77" t="str">
        <f>'2024 DO NOT TOUCH'!A279</f>
        <v>2250</v>
      </c>
      <c r="B278" s="78" t="str">
        <f>'2024 DO NOT TOUCH'!B279</f>
        <v>RUNNING TRACK</v>
      </c>
      <c r="C278" s="77" t="str">
        <f>'2024 DO NOT TOUCH'!C279</f>
        <v>A43595</v>
      </c>
      <c r="D278" s="78" t="str">
        <f>'2024 DO NOT TOUCH'!D279</f>
        <v>WATTS</v>
      </c>
      <c r="E278" s="77" t="str">
        <f>'2024 DO NOT TOUCH'!E279</f>
        <v>007M1QT</v>
      </c>
      <c r="F278" s="78" t="str">
        <f>'2024 DO NOT TOUCH'!F279</f>
        <v>DC</v>
      </c>
      <c r="G278" s="77" t="str">
        <f>'2024 DO NOT TOUCH'!G279</f>
        <v>2.0</v>
      </c>
      <c r="H278" s="78" t="str">
        <f>'2024 DO NOT TOUCH'!H279</f>
        <v>INTERSECTION OF BONG AND GEORGE IRR</v>
      </c>
      <c r="I278" s="77" t="str">
        <f>'2024 DO NOT TOUCH'!I279</f>
        <v>PREMISE</v>
      </c>
      <c r="J278" s="78" t="str">
        <f>'2024 DO NOT TOUCH'!J279</f>
        <v>IRR</v>
      </c>
      <c r="K278" s="77" t="str">
        <f>'2024 DO NOT TOUCH'!K279</f>
        <v>ACTIVE</v>
      </c>
      <c r="L278" s="79">
        <f>'2024 DO NOT TOUCH'!L279</f>
        <v>44573</v>
      </c>
      <c r="M278" s="77" t="b">
        <f>'2024 DO NOT TOUCH'!M279</f>
        <v>1</v>
      </c>
      <c r="N278" s="78">
        <f>'2024 DO NOT TOUCH'!N279</f>
        <v>45447</v>
      </c>
      <c r="O278" s="77" t="str">
        <f>'2024 DO NOT TOUCH'!O279</f>
        <v>PASS</v>
      </c>
      <c r="P278" s="83">
        <f>'2024 DO NOT TOUCH'!P279</f>
        <v>0</v>
      </c>
      <c r="Q278" s="83">
        <f>'2024 DO NOT TOUCH'!Q279</f>
        <v>0</v>
      </c>
      <c r="R278" s="83">
        <f>'2024 DO NOT TOUCH'!R279</f>
        <v>0</v>
      </c>
      <c r="S278" s="77" t="str">
        <f>'2024 DO NOT TOUCH'!S279</f>
        <v>UNTESTED</v>
      </c>
      <c r="T278" s="77">
        <f>'2024 DO NOT TOUCH'!T279</f>
        <v>0</v>
      </c>
      <c r="U278" s="77">
        <f>'2024 DO NOT TOUCH'!U279</f>
        <v>0</v>
      </c>
      <c r="V278" s="77">
        <f>'2024 DO NOT TOUCH'!V279</f>
        <v>0</v>
      </c>
      <c r="W278" s="77">
        <f>'2024 DO NOT TOUCH'!W279</f>
        <v>0</v>
      </c>
      <c r="X278" s="83">
        <f>'2024 DO NOT TOUCH'!X279</f>
        <v>0</v>
      </c>
      <c r="Y278" s="77" t="str">
        <f>'2024 DO NOT TOUCH'!Y279</f>
        <v xml:space="preserve">ISOLATED </v>
      </c>
    </row>
    <row r="279" spans="1:25" ht="19.5" customHeight="1">
      <c r="A279" s="58" t="str">
        <f>'2024 DO NOT TOUCH'!A280</f>
        <v>2250</v>
      </c>
      <c r="B279" s="59" t="str">
        <f>'2024 DO NOT TOUCH'!B280</f>
        <v>RUNNING TRACK</v>
      </c>
      <c r="C279" s="58" t="str">
        <f>'2024 DO NOT TOUCH'!C280</f>
        <v>AJ9674</v>
      </c>
      <c r="D279" s="59" t="str">
        <f>'2024 DO NOT TOUCH'!D280</f>
        <v>FEBCO</v>
      </c>
      <c r="E279" s="58" t="str">
        <f>'2024 DO NOT TOUCH'!E280</f>
        <v>805Y</v>
      </c>
      <c r="F279" s="59" t="str">
        <f>'2024 DO NOT TOUCH'!F280</f>
        <v>DC</v>
      </c>
      <c r="G279" s="58" t="str">
        <f>'2024 DO NOT TOUCH'!G280</f>
        <v>2.0</v>
      </c>
      <c r="H279" s="59" t="str">
        <f>'2024 DO NOT TOUCH'!H280</f>
        <v>IRR NEAR SHELTER AND A RAINBIRD BY GYM</v>
      </c>
      <c r="I279" s="58" t="str">
        <f>'2024 DO NOT TOUCH'!I280</f>
        <v>PREMISE</v>
      </c>
      <c r="J279" s="59" t="str">
        <f>'2024 DO NOT TOUCH'!J280</f>
        <v>IRR</v>
      </c>
      <c r="K279" s="58" t="str">
        <f>'2024 DO NOT TOUCH'!K280</f>
        <v>ACTIVE</v>
      </c>
      <c r="L279" s="71">
        <f>'2024 DO NOT TOUCH'!L280</f>
        <v>44573</v>
      </c>
      <c r="M279" s="58" t="b">
        <f>'2024 DO NOT TOUCH'!M280</f>
        <v>1</v>
      </c>
      <c r="N279" s="59">
        <f>'2024 DO NOT TOUCH'!N280</f>
        <v>45447</v>
      </c>
      <c r="O279" s="58" t="str">
        <f>'2024 DO NOT TOUCH'!O280</f>
        <v>PASS</v>
      </c>
      <c r="P279" s="65">
        <f>'2024 DO NOT TOUCH'!P280</f>
        <v>0</v>
      </c>
      <c r="Q279" s="65">
        <f>'2024 DO NOT TOUCH'!Q280</f>
        <v>0</v>
      </c>
      <c r="R279" s="65">
        <f>'2024 DO NOT TOUCH'!R280</f>
        <v>0</v>
      </c>
      <c r="S279" s="62" t="str">
        <f>'2024 DO NOT TOUCH'!S280</f>
        <v>UNTESTED</v>
      </c>
      <c r="T279" s="62">
        <f>'2024 DO NOT TOUCH'!T280</f>
        <v>0</v>
      </c>
      <c r="U279" s="62">
        <f>'2024 DO NOT TOUCH'!U280</f>
        <v>0</v>
      </c>
      <c r="V279" s="62">
        <f>'2024 DO NOT TOUCH'!V280</f>
        <v>0</v>
      </c>
      <c r="W279" s="62">
        <f>'2024 DO NOT TOUCH'!W280</f>
        <v>0</v>
      </c>
      <c r="X279" s="65">
        <f>'2024 DO NOT TOUCH'!X280</f>
        <v>0</v>
      </c>
      <c r="Y279" s="62" t="str">
        <f>'2024 DO NOT TOUCH'!Y280</f>
        <v xml:space="preserve">ISOLATED </v>
      </c>
    </row>
    <row r="280" spans="1:25" ht="19.5" customHeight="1">
      <c r="A280" s="55" t="str">
        <f>'2024 DO NOT TOUCH'!A281</f>
        <v>2250</v>
      </c>
      <c r="B280" s="3" t="str">
        <f>'2024 DO NOT TOUCH'!B281</f>
        <v>RUNNING TRACK</v>
      </c>
      <c r="C280" s="55" t="str">
        <f>'2024 DO NOT TOUCH'!C281</f>
        <v>A43619</v>
      </c>
      <c r="D280" s="3" t="str">
        <f>'2024 DO NOT TOUCH'!D281</f>
        <v>WATTS</v>
      </c>
      <c r="E280" s="55" t="str">
        <f>'2024 DO NOT TOUCH'!E281</f>
        <v>007M1QT</v>
      </c>
      <c r="F280" s="3" t="str">
        <f>'2024 DO NOT TOUCH'!F281</f>
        <v>DC</v>
      </c>
      <c r="G280" s="55" t="str">
        <f>'2024 DO NOT TOUCH'!G281</f>
        <v>2.0</v>
      </c>
      <c r="H280" s="3" t="str">
        <f>'2024 DO NOT TOUCH'!H281</f>
        <v>INTERSECTION OF BONG AND GEORGE IRR</v>
      </c>
      <c r="I280" s="55" t="str">
        <f>'2024 DO NOT TOUCH'!I281</f>
        <v>PREMISE</v>
      </c>
      <c r="J280" s="3" t="str">
        <f>'2024 DO NOT TOUCH'!J281</f>
        <v>IRR</v>
      </c>
      <c r="K280" s="55" t="str">
        <f>'2024 DO NOT TOUCH'!K281</f>
        <v>ACTIVE</v>
      </c>
      <c r="L280" s="72">
        <f>'2024 DO NOT TOUCH'!L281</f>
        <v>44573</v>
      </c>
      <c r="M280" s="55" t="b">
        <f>'2024 DO NOT TOUCH'!M281</f>
        <v>1</v>
      </c>
      <c r="N280" s="3">
        <f>'2024 DO NOT TOUCH'!N281</f>
        <v>45447</v>
      </c>
      <c r="O280" s="55" t="str">
        <f>'2024 DO NOT TOUCH'!O281</f>
        <v>PASS</v>
      </c>
      <c r="P280" s="64">
        <f>'2024 DO NOT TOUCH'!P281</f>
        <v>0</v>
      </c>
      <c r="Q280" s="64">
        <f>'2024 DO NOT TOUCH'!Q281</f>
        <v>0</v>
      </c>
      <c r="R280" s="64">
        <f>'2024 DO NOT TOUCH'!R281</f>
        <v>0</v>
      </c>
      <c r="S280" s="57" t="str">
        <f>'2024 DO NOT TOUCH'!S281</f>
        <v>UNTESTED</v>
      </c>
      <c r="T280" s="57">
        <f>'2024 DO NOT TOUCH'!T281</f>
        <v>0</v>
      </c>
      <c r="U280" s="57">
        <f>'2024 DO NOT TOUCH'!U281</f>
        <v>0</v>
      </c>
      <c r="V280" s="57">
        <f>'2024 DO NOT TOUCH'!V281</f>
        <v>0</v>
      </c>
      <c r="W280" s="57">
        <f>'2024 DO NOT TOUCH'!W281</f>
        <v>0</v>
      </c>
      <c r="X280" s="64">
        <f>'2024 DO NOT TOUCH'!X281</f>
        <v>0</v>
      </c>
      <c r="Y280" s="57" t="str">
        <f>'2024 DO NOT TOUCH'!Y281</f>
        <v xml:space="preserve">ISOLATED </v>
      </c>
    </row>
    <row r="281" spans="1:25" ht="19.5" customHeight="1">
      <c r="A281" s="58" t="str">
        <f>'2024 DO NOT TOUCH'!A282</f>
        <v>2250</v>
      </c>
      <c r="B281" s="59" t="str">
        <f>'2024 DO NOT TOUCH'!B282</f>
        <v>RUNNING TRACK</v>
      </c>
      <c r="C281" s="58" t="str">
        <f>'2024 DO NOT TOUCH'!C282</f>
        <v>A43596</v>
      </c>
      <c r="D281" s="59" t="str">
        <f>'2024 DO NOT TOUCH'!D282</f>
        <v>WATTS</v>
      </c>
      <c r="E281" s="58" t="str">
        <f>'2024 DO NOT TOUCH'!E282</f>
        <v>007M1QT</v>
      </c>
      <c r="F281" s="59" t="str">
        <f>'2024 DO NOT TOUCH'!F282</f>
        <v>DC</v>
      </c>
      <c r="G281" s="58" t="str">
        <f>'2024 DO NOT TOUCH'!G282</f>
        <v>2.0</v>
      </c>
      <c r="H281" s="59" t="str">
        <f>'2024 DO NOT TOUCH'!H282</f>
        <v>NEAR PICNIC TABLE AND RAINBIRD BY POST OFFICE</v>
      </c>
      <c r="I281" s="58" t="str">
        <f>'2024 DO NOT TOUCH'!I282</f>
        <v>PREMISE</v>
      </c>
      <c r="J281" s="59" t="str">
        <f>'2024 DO NOT TOUCH'!J282</f>
        <v>IRR</v>
      </c>
      <c r="K281" s="58" t="str">
        <f>'2024 DO NOT TOUCH'!K282</f>
        <v>ACTIVE</v>
      </c>
      <c r="L281" s="71">
        <f>'2024 DO NOT TOUCH'!L282</f>
        <v>44573</v>
      </c>
      <c r="M281" s="58" t="b">
        <f>'2024 DO NOT TOUCH'!M282</f>
        <v>1</v>
      </c>
      <c r="N281" s="59">
        <f>'2024 DO NOT TOUCH'!N282</f>
        <v>45447</v>
      </c>
      <c r="O281" s="58" t="str">
        <f>'2024 DO NOT TOUCH'!O282</f>
        <v>PASS</v>
      </c>
      <c r="P281" s="65">
        <f>'2024 DO NOT TOUCH'!P282</f>
        <v>0</v>
      </c>
      <c r="Q281" s="65">
        <f>'2024 DO NOT TOUCH'!Q282</f>
        <v>0</v>
      </c>
      <c r="R281" s="65">
        <f>'2024 DO NOT TOUCH'!R282</f>
        <v>0</v>
      </c>
      <c r="S281" s="62" t="str">
        <f>'2024 DO NOT TOUCH'!S282</f>
        <v>UNTESTED</v>
      </c>
      <c r="T281" s="62">
        <f>'2024 DO NOT TOUCH'!T282</f>
        <v>0</v>
      </c>
      <c r="U281" s="62">
        <f>'2024 DO NOT TOUCH'!U282</f>
        <v>0</v>
      </c>
      <c r="V281" s="62">
        <f>'2024 DO NOT TOUCH'!V282</f>
        <v>0</v>
      </c>
      <c r="W281" s="62">
        <f>'2024 DO NOT TOUCH'!W282</f>
        <v>0</v>
      </c>
      <c r="X281" s="65">
        <f>'2024 DO NOT TOUCH'!X282</f>
        <v>0</v>
      </c>
      <c r="Y281" s="62" t="str">
        <f>'2024 DO NOT TOUCH'!Y282</f>
        <v>iso</v>
      </c>
    </row>
    <row r="282" spans="1:25" ht="19.5" customHeight="1">
      <c r="A282" s="55" t="str">
        <f>'2024 DO NOT TOUCH'!A283</f>
        <v>2250</v>
      </c>
      <c r="B282" s="55" t="str">
        <f>'2024 DO NOT TOUCH'!B283</f>
        <v>RUNNING TRACK</v>
      </c>
      <c r="C282" s="55" t="str">
        <f>'2024 DO NOT TOUCH'!C283</f>
        <v>A38176</v>
      </c>
      <c r="D282" s="55" t="str">
        <f>'2024 DO NOT TOUCH'!D283</f>
        <v>WATTS</v>
      </c>
      <c r="E282" s="55" t="str">
        <f>'2024 DO NOT TOUCH'!E283</f>
        <v>007M1QT</v>
      </c>
      <c r="F282" s="55" t="str">
        <f>'2024 DO NOT TOUCH'!F283</f>
        <v>DC</v>
      </c>
      <c r="G282" s="55" t="str">
        <f>'2024 DO NOT TOUCH'!G283</f>
        <v>2.0</v>
      </c>
      <c r="H282" s="55" t="str">
        <f>'2024 DO NOT TOUCH'!H283</f>
        <v>ACROSS FROM GYM NEXT TO HYDRANT IRR</v>
      </c>
      <c r="I282" s="55" t="str">
        <f>'2024 DO NOT TOUCH'!I283</f>
        <v>PREMISE</v>
      </c>
      <c r="J282" s="55" t="str">
        <f>'2024 DO NOT TOUCH'!J283</f>
        <v>IRR</v>
      </c>
      <c r="K282" s="55" t="str">
        <f>'2024 DO NOT TOUCH'!K283</f>
        <v>ACTIVE</v>
      </c>
      <c r="L282" s="56">
        <f>'2024 DO NOT TOUCH'!L283</f>
        <v>44573</v>
      </c>
      <c r="M282" s="56" t="b">
        <f>'2024 DO NOT TOUCH'!M283</f>
        <v>1</v>
      </c>
      <c r="N282" s="56">
        <f>'2024 DO NOT TOUCH'!N283</f>
        <v>45447</v>
      </c>
      <c r="O282" s="55" t="str">
        <f>'2024 DO NOT TOUCH'!O284</f>
        <v>REED</v>
      </c>
      <c r="P282" s="64">
        <f>'2024 DO NOT TOUCH'!P283</f>
        <v>0</v>
      </c>
      <c r="Q282" s="64">
        <f>'2024 DO NOT TOUCH'!Q283</f>
        <v>0</v>
      </c>
      <c r="R282" s="64">
        <f>'2024 DO NOT TOUCH'!R283</f>
        <v>0</v>
      </c>
      <c r="S282" s="55" t="str">
        <f>'2024 DO NOT TOUCH'!S283</f>
        <v>UNTESTED</v>
      </c>
      <c r="T282" s="55">
        <f>'2024 DO NOT TOUCH'!T283</f>
        <v>0</v>
      </c>
      <c r="U282" s="55">
        <f>'2024 DO NOT TOUCH'!U283</f>
        <v>0</v>
      </c>
      <c r="V282" s="55">
        <f>'2024 DO NOT TOUCH'!V283</f>
        <v>0</v>
      </c>
      <c r="W282" s="55">
        <f>'2024 DO NOT TOUCH'!W283</f>
        <v>0</v>
      </c>
      <c r="X282" s="66">
        <f>'2024 DO NOT TOUCH'!X283</f>
        <v>0</v>
      </c>
      <c r="Y282" s="55" t="str">
        <f>'2024 DO NOT TOUCH'!Y283</f>
        <v xml:space="preserve">ISOLATED </v>
      </c>
    </row>
    <row r="283" spans="1:25" ht="19.5" customHeight="1">
      <c r="A283" s="58" t="str">
        <f>'2024 DO NOT TOUCH'!A284</f>
        <v>2250</v>
      </c>
      <c r="B283" s="59" t="str">
        <f>'2024 DO NOT TOUCH'!B284</f>
        <v>RUNNING TRACK</v>
      </c>
      <c r="C283" s="58" t="str">
        <f>'2024 DO NOT TOUCH'!C284</f>
        <v>AJ9654</v>
      </c>
      <c r="D283" s="59" t="str">
        <f>'2024 DO NOT TOUCH'!D284</f>
        <v>FEBCO</v>
      </c>
      <c r="E283" s="58" t="str">
        <f>'2024 DO NOT TOUCH'!E284</f>
        <v>805Y</v>
      </c>
      <c r="F283" s="59" t="str">
        <f>'2024 DO NOT TOUCH'!F284</f>
        <v>DC</v>
      </c>
      <c r="G283" s="58" t="str">
        <f>'2024 DO NOT TOUCH'!G284</f>
        <v>2.0</v>
      </c>
      <c r="H283" s="59" t="str">
        <f>'2024 DO NOT TOUCH'!H284</f>
        <v>IRR PARKING LOT NEAR RAINBIRD AND FOUNTIAN</v>
      </c>
      <c r="I283" s="58" t="str">
        <f>'2024 DO NOT TOUCH'!I284</f>
        <v>PREMISE</v>
      </c>
      <c r="J283" s="59" t="str">
        <f>'2024 DO NOT TOUCH'!J284</f>
        <v>IRR</v>
      </c>
      <c r="K283" s="58" t="str">
        <f>'2024 DO NOT TOUCH'!K284</f>
        <v>ACTIVE</v>
      </c>
      <c r="L283" s="71">
        <f>'2024 DO NOT TOUCH'!L284</f>
        <v>44573</v>
      </c>
      <c r="M283" s="58" t="b">
        <f>'2024 DO NOT TOUCH'!M284</f>
        <v>1</v>
      </c>
      <c r="N283" s="59">
        <f>'2024 DO NOT TOUCH'!N284</f>
        <v>45425</v>
      </c>
      <c r="O283" s="58" t="e">
        <f>'2024 DO NOT TOUCH'!#REF!</f>
        <v>#REF!</v>
      </c>
      <c r="P283" s="65">
        <f>'2024 DO NOT TOUCH'!P284</f>
        <v>1.1000000000000001</v>
      </c>
      <c r="Q283" s="65">
        <f>'2024 DO NOT TOUCH'!Q284</f>
        <v>1.2</v>
      </c>
      <c r="R283" s="65">
        <f>'2024 DO NOT TOUCH'!R284</f>
        <v>0</v>
      </c>
      <c r="S283" s="62" t="str">
        <f>'2024 DO NOT TOUCH'!S284</f>
        <v>TESTED</v>
      </c>
      <c r="T283" s="62">
        <f>'2024 DO NOT TOUCH'!T284</f>
        <v>0</v>
      </c>
      <c r="U283" s="62">
        <f>'2024 DO NOT TOUCH'!U284</f>
        <v>0</v>
      </c>
      <c r="V283" s="62">
        <f>'2024 DO NOT TOUCH'!V284</f>
        <v>0</v>
      </c>
      <c r="W283" s="62">
        <f>'2024 DO NOT TOUCH'!W284</f>
        <v>0</v>
      </c>
      <c r="X283" s="65">
        <f>'2024 DO NOT TOUCH'!X284</f>
        <v>0</v>
      </c>
      <c r="Y283" s="62">
        <f>'2024 DO NOT TOUCH'!Y284</f>
        <v>0</v>
      </c>
    </row>
    <row r="284" spans="1:25" ht="19.5" customHeight="1">
      <c r="A284" s="55" t="str">
        <f>'2024 DO NOT TOUCH'!A285</f>
        <v>2256</v>
      </c>
      <c r="B284" s="3" t="str">
        <f>'2024 DO NOT TOUCH'!B285</f>
        <v>DORM 2256</v>
      </c>
      <c r="C284" s="55" t="str">
        <f>'2024 DO NOT TOUCH'!C285</f>
        <v>2FM1280</v>
      </c>
      <c r="D284" s="3" t="str">
        <f>'2024 DO NOT TOUCH'!D285</f>
        <v>AMES</v>
      </c>
      <c r="E284" s="55" t="str">
        <f>'2024 DO NOT TOUCH'!E285</f>
        <v>2000SE</v>
      </c>
      <c r="F284" s="3" t="str">
        <f>'2024 DO NOT TOUCH'!F285</f>
        <v>DC</v>
      </c>
      <c r="G284" s="55" t="str">
        <f>'2024 DO NOT TOUCH'!G285</f>
        <v>6.0</v>
      </c>
      <c r="H284" s="3" t="str">
        <f>'2024 DO NOT TOUCH'!H285</f>
        <v>MECH RM FIRE SYS</v>
      </c>
      <c r="I284" s="55" t="str">
        <f>'2024 DO NOT TOUCH'!I285</f>
        <v>PREMISE</v>
      </c>
      <c r="J284" s="3" t="str">
        <f>'2024 DO NOT TOUCH'!J285</f>
        <v>FIRE</v>
      </c>
      <c r="K284" s="55" t="str">
        <f>'2024 DO NOT TOUCH'!K285</f>
        <v>ACTIVE</v>
      </c>
      <c r="L284" s="72">
        <f>'2024 DO NOT TOUCH'!L285</f>
        <v>44935</v>
      </c>
      <c r="M284" s="55" t="b">
        <f>'2024 DO NOT TOUCH'!M285</f>
        <v>0</v>
      </c>
      <c r="N284" s="3">
        <f>'2024 DO NOT TOUCH'!N285</f>
        <v>45453</v>
      </c>
      <c r="O284" s="55" t="str">
        <f>'2024 DO NOT TOUCH'!O285</f>
        <v>TROUNG</v>
      </c>
      <c r="P284" s="64">
        <f>'2024 DO NOT TOUCH'!P285</f>
        <v>3</v>
      </c>
      <c r="Q284" s="64">
        <f>'2024 DO NOT TOUCH'!Q285</f>
        <v>1.4</v>
      </c>
      <c r="R284" s="64">
        <f>'2024 DO NOT TOUCH'!R285</f>
        <v>0</v>
      </c>
      <c r="S284" s="57" t="str">
        <f>'2024 DO NOT TOUCH'!S285</f>
        <v>TESTED</v>
      </c>
      <c r="T284" s="57" t="str">
        <f>'2024 DO NOT TOUCH'!T285</f>
        <v>PASSED</v>
      </c>
      <c r="U284" s="57">
        <f>'2024 DO NOT TOUCH'!U285</f>
        <v>0</v>
      </c>
      <c r="V284" s="57">
        <f>'2024 DO NOT TOUCH'!V285</f>
        <v>0</v>
      </c>
      <c r="W284" s="57">
        <f>'2024 DO NOT TOUCH'!W285</f>
        <v>0</v>
      </c>
      <c r="X284" s="64">
        <f>'2024 DO NOT TOUCH'!X285</f>
        <v>0</v>
      </c>
      <c r="Y284" s="57">
        <f>'2024 DO NOT TOUCH'!Y285</f>
        <v>0</v>
      </c>
    </row>
    <row r="285" spans="1:25" ht="19.5" customHeight="1">
      <c r="A285" s="58" t="str">
        <f>'2024 DO NOT TOUCH'!A286</f>
        <v>2256</v>
      </c>
      <c r="B285" s="59" t="str">
        <f>'2024 DO NOT TOUCH'!B286</f>
        <v>DORM 2256</v>
      </c>
      <c r="C285" s="58" t="str">
        <f>'2024 DO NOT TOUCH'!C286</f>
        <v>640343</v>
      </c>
      <c r="D285" s="59" t="str">
        <f>'2024 DO NOT TOUCH'!D286</f>
        <v>WILKINS</v>
      </c>
      <c r="E285" s="58" t="str">
        <f>'2024 DO NOT TOUCH'!E286</f>
        <v>950XLT</v>
      </c>
      <c r="F285" s="59" t="str">
        <f>'2024 DO NOT TOUCH'!F286</f>
        <v>DC</v>
      </c>
      <c r="G285" s="58" t="str">
        <f>'2024 DO NOT TOUCH'!G286</f>
        <v>1.5</v>
      </c>
      <c r="H285" s="59" t="str">
        <f>'2024 DO NOT TOUCH'!H286</f>
        <v>IRR BEHIND BLDG NEAR STAIRS</v>
      </c>
      <c r="I285" s="58" t="str">
        <f>'2024 DO NOT TOUCH'!I286</f>
        <v>PREMISE</v>
      </c>
      <c r="J285" s="59" t="str">
        <f>'2024 DO NOT TOUCH'!J286</f>
        <v>IRR</v>
      </c>
      <c r="K285" s="58" t="str">
        <f>'2024 DO NOT TOUCH'!K286</f>
        <v>ACTIVE</v>
      </c>
      <c r="L285" s="71">
        <f>'2024 DO NOT TOUCH'!L286</f>
        <v>44734</v>
      </c>
      <c r="M285" s="58" t="b">
        <f>'2024 DO NOT TOUCH'!M286</f>
        <v>0</v>
      </c>
      <c r="N285" s="59">
        <f>'2024 DO NOT TOUCH'!N286</f>
        <v>45453</v>
      </c>
      <c r="O285" s="58" t="str">
        <f>'2024 DO NOT TOUCH'!O286</f>
        <v>TROUNG</v>
      </c>
      <c r="P285" s="65">
        <f>'2024 DO NOT TOUCH'!P286</f>
        <v>2.9</v>
      </c>
      <c r="Q285" s="65">
        <f>'2024 DO NOT TOUCH'!Q286</f>
        <v>2.6</v>
      </c>
      <c r="R285" s="65">
        <f>'2024 DO NOT TOUCH'!R286</f>
        <v>0</v>
      </c>
      <c r="S285" s="62" t="str">
        <f>'2024 DO NOT TOUCH'!S286</f>
        <v>TESTED</v>
      </c>
      <c r="T285" s="62" t="str">
        <f>'2024 DO NOT TOUCH'!T286</f>
        <v>PASSED</v>
      </c>
      <c r="U285" s="62">
        <f>'2024 DO NOT TOUCH'!U286</f>
        <v>0</v>
      </c>
      <c r="V285" s="62">
        <f>'2024 DO NOT TOUCH'!V286</f>
        <v>0</v>
      </c>
      <c r="W285" s="62">
        <f>'2024 DO NOT TOUCH'!W286</f>
        <v>0</v>
      </c>
      <c r="X285" s="65">
        <f>'2024 DO NOT TOUCH'!X286</f>
        <v>0</v>
      </c>
      <c r="Y285" s="62">
        <f>'2024 DO NOT TOUCH'!Y286</f>
        <v>0</v>
      </c>
    </row>
    <row r="286" spans="1:25" ht="19.5" customHeight="1">
      <c r="A286" s="55" t="str">
        <f>'2024 DO NOT TOUCH'!A287</f>
        <v>2256</v>
      </c>
      <c r="B286" s="3" t="str">
        <f>'2024 DO NOT TOUCH'!B287</f>
        <v>DORM 2256</v>
      </c>
      <c r="C286" s="55" t="str">
        <f>'2024 DO NOT TOUCH'!C287</f>
        <v>U27382</v>
      </c>
      <c r="D286" s="3" t="str">
        <f>'2024 DO NOT TOUCH'!D287</f>
        <v>WILKINS</v>
      </c>
      <c r="E286" s="55" t="str">
        <f>'2024 DO NOT TOUCH'!E287</f>
        <v>350A</v>
      </c>
      <c r="F286" s="3" t="str">
        <f>'2024 DO NOT TOUCH'!F287</f>
        <v>DC</v>
      </c>
      <c r="G286" s="55" t="str">
        <f>'2024 DO NOT TOUCH'!G287</f>
        <v>3.0</v>
      </c>
      <c r="H286" s="3" t="str">
        <f>'2024 DO NOT TOUCH'!H287</f>
        <v>BLDG PREMISE IN MECH RM</v>
      </c>
      <c r="I286" s="55" t="str">
        <f>'2024 DO NOT TOUCH'!I287</f>
        <v>PREMISE</v>
      </c>
      <c r="J286" s="3" t="str">
        <f>'2024 DO NOT TOUCH'!J287</f>
        <v>PREMISE</v>
      </c>
      <c r="K286" s="55" t="str">
        <f>'2024 DO NOT TOUCH'!K287</f>
        <v>ACTIVE</v>
      </c>
      <c r="L286" s="72">
        <f>'2024 DO NOT TOUCH'!L287</f>
        <v>44734</v>
      </c>
      <c r="M286" s="55" t="b">
        <f>'2024 DO NOT TOUCH'!M287</f>
        <v>0</v>
      </c>
      <c r="N286" s="3">
        <f>'2024 DO NOT TOUCH'!N287</f>
        <v>45453</v>
      </c>
      <c r="O286" s="55" t="str">
        <f>'2024 DO NOT TOUCH'!O287</f>
        <v>TROUNG</v>
      </c>
      <c r="P286" s="66">
        <f>'2024 DO NOT TOUCH'!P287</f>
        <v>4.3</v>
      </c>
      <c r="Q286" s="66">
        <f>'2024 DO NOT TOUCH'!Q287</f>
        <v>4.2</v>
      </c>
      <c r="R286" s="66">
        <f>'2024 DO NOT TOUCH'!R287</f>
        <v>0</v>
      </c>
      <c r="S286" s="55" t="str">
        <f>'2024 DO NOT TOUCH'!S287</f>
        <v>TESTED</v>
      </c>
      <c r="T286" s="55" t="str">
        <f>'2024 DO NOT TOUCH'!T287</f>
        <v>PASSED</v>
      </c>
      <c r="U286" s="55">
        <f>'2024 DO NOT TOUCH'!U287</f>
        <v>0</v>
      </c>
      <c r="V286" s="55">
        <f>'2024 DO NOT TOUCH'!V287</f>
        <v>0</v>
      </c>
      <c r="W286" s="55">
        <f>'2024 DO NOT TOUCH'!W287</f>
        <v>0</v>
      </c>
      <c r="X286" s="66">
        <f>'2024 DO NOT TOUCH'!X287</f>
        <v>0</v>
      </c>
      <c r="Y286" s="55">
        <f>'2024 DO NOT TOUCH'!Y287</f>
        <v>0</v>
      </c>
    </row>
    <row r="287" spans="1:25" ht="19.5" customHeight="1">
      <c r="A287" s="58" t="str">
        <f>'2024 DO NOT TOUCH'!A288</f>
        <v>2256</v>
      </c>
      <c r="B287" s="59" t="str">
        <f>'2024 DO NOT TOUCH'!B288</f>
        <v>DORM 2256</v>
      </c>
      <c r="C287" s="58" t="str">
        <f>'2024 DO NOT TOUCH'!C288</f>
        <v>A106927</v>
      </c>
      <c r="D287" s="59" t="str">
        <f>'2024 DO NOT TOUCH'!D288</f>
        <v>WILKINS</v>
      </c>
      <c r="E287" s="58" t="str">
        <f>'2024 DO NOT TOUCH'!E288</f>
        <v>825Y</v>
      </c>
      <c r="F287" s="59" t="str">
        <f>'2024 DO NOT TOUCH'!F288</f>
        <v>RP</v>
      </c>
      <c r="G287" s="58" t="str">
        <f>'2024 DO NOT TOUCH'!G288</f>
        <v>0.75</v>
      </c>
      <c r="H287" s="59" t="str">
        <f>'2024 DO NOT TOUCH'!H288</f>
        <v>MECH RM ABOVE HVAC ON MAKEUP</v>
      </c>
      <c r="I287" s="58" t="str">
        <f>'2024 DO NOT TOUCH'!I288</f>
        <v>INPREMISE</v>
      </c>
      <c r="J287" s="59" t="str">
        <f>'2024 DO NOT TOUCH'!J288</f>
        <v>AOI</v>
      </c>
      <c r="K287" s="58" t="str">
        <f>'2024 DO NOT TOUCH'!K288</f>
        <v>ACTIVE</v>
      </c>
      <c r="L287" s="71">
        <f>'2024 DO NOT TOUCH'!L288</f>
        <v>44734</v>
      </c>
      <c r="M287" s="58" t="b">
        <f>'2024 DO NOT TOUCH'!M288</f>
        <v>0</v>
      </c>
      <c r="N287" s="59">
        <f>'2024 DO NOT TOUCH'!N288</f>
        <v>45453</v>
      </c>
      <c r="O287" s="58" t="str">
        <f>'2024 DO NOT TOUCH'!O288</f>
        <v>TROUNG</v>
      </c>
      <c r="P287" s="67">
        <f>'2024 DO NOT TOUCH'!P288</f>
        <v>2.7</v>
      </c>
      <c r="Q287" s="67">
        <f>'2024 DO NOT TOUCH'!Q288</f>
        <v>0</v>
      </c>
      <c r="R287" s="67">
        <f>'2024 DO NOT TOUCH'!R288</f>
        <v>3.2</v>
      </c>
      <c r="S287" s="58" t="str">
        <f>'2024 DO NOT TOUCH'!S288</f>
        <v>TESTED</v>
      </c>
      <c r="T287" s="58" t="str">
        <f>'2024 DO NOT TOUCH'!T288</f>
        <v>PASSED</v>
      </c>
      <c r="U287" s="58" t="str">
        <f>'2024 DO NOT TOUCH'!U288</f>
        <v>PASSED</v>
      </c>
      <c r="V287" s="58" t="str">
        <f>'2024 DO NOT TOUCH'!V288</f>
        <v>EXISTING</v>
      </c>
      <c r="W287" s="58" t="str">
        <f>'2024 DO NOT TOUCH'!W288</f>
        <v>EXISTING</v>
      </c>
      <c r="X287" s="67">
        <f>'2024 DO NOT TOUCH'!X288</f>
        <v>0</v>
      </c>
      <c r="Y287" s="58">
        <f>'2024 DO NOT TOUCH'!Y288</f>
        <v>0</v>
      </c>
    </row>
    <row r="288" spans="1:25" ht="19.5" customHeight="1">
      <c r="A288" s="77" t="str">
        <f>'2024 DO NOT TOUCH'!A289</f>
        <v>2257</v>
      </c>
      <c r="B288" s="78" t="str">
        <f>'2024 DO NOT TOUCH'!B289</f>
        <v>DORM 2257</v>
      </c>
      <c r="C288" s="77" t="str">
        <f>'2024 DO NOT TOUCH'!C289</f>
        <v>A102858</v>
      </c>
      <c r="D288" s="78" t="str">
        <f>'2024 DO NOT TOUCH'!D289</f>
        <v>FEBCO</v>
      </c>
      <c r="E288" s="77" t="str">
        <f>'2024 DO NOT TOUCH'!E289</f>
        <v>825Y</v>
      </c>
      <c r="F288" s="78" t="str">
        <f>'2024 DO NOT TOUCH'!F289</f>
        <v>RP</v>
      </c>
      <c r="G288" s="77" t="str">
        <f>'2024 DO NOT TOUCH'!G289</f>
        <v>0.75</v>
      </c>
      <c r="H288" s="78" t="str">
        <f>'2024 DO NOT TOUCH'!H289</f>
        <v>HVAC MAKEUP IN MECH RM</v>
      </c>
      <c r="I288" s="77" t="str">
        <f>'2024 DO NOT TOUCH'!I289</f>
        <v>INPREMISE</v>
      </c>
      <c r="J288" s="78" t="str">
        <f>'2024 DO NOT TOUCH'!J289</f>
        <v>AOI</v>
      </c>
      <c r="K288" s="77" t="str">
        <f>'2024 DO NOT TOUCH'!K289</f>
        <v>ACTIVE</v>
      </c>
      <c r="L288" s="79">
        <f>'2024 DO NOT TOUCH'!L289</f>
        <v>44823</v>
      </c>
      <c r="M288" s="77" t="b">
        <f>'2024 DO NOT TOUCH'!M289</f>
        <v>0</v>
      </c>
      <c r="N288" s="78">
        <f>'2024 DO NOT TOUCH'!N289</f>
        <v>0</v>
      </c>
      <c r="O288" s="77">
        <f>'2024 DO NOT TOUCH'!O289</f>
        <v>0</v>
      </c>
      <c r="P288" s="80">
        <f>'2024 DO NOT TOUCH'!P289</f>
        <v>0</v>
      </c>
      <c r="Q288" s="80">
        <f>'2024 DO NOT TOUCH'!Q289</f>
        <v>0</v>
      </c>
      <c r="R288" s="80">
        <f>'2024 DO NOT TOUCH'!R289</f>
        <v>0</v>
      </c>
      <c r="S288" s="81" t="str">
        <f>'2024 DO NOT TOUCH'!S289</f>
        <v>TESTED</v>
      </c>
      <c r="T288" s="81" t="str">
        <f>'2024 DO NOT TOUCH'!T289</f>
        <v>PASSED</v>
      </c>
      <c r="U288" s="81">
        <f>'2024 DO NOT TOUCH'!U289</f>
        <v>0</v>
      </c>
      <c r="V288" s="81">
        <f>'2024 DO NOT TOUCH'!V289</f>
        <v>0</v>
      </c>
      <c r="W288" s="81">
        <f>'2024 DO NOT TOUCH'!W289</f>
        <v>0</v>
      </c>
      <c r="X288" s="80">
        <f>'2024 DO NOT TOUCH'!X289</f>
        <v>0</v>
      </c>
      <c r="Y288" s="81">
        <f>'2024 DO NOT TOUCH'!Y289</f>
        <v>0</v>
      </c>
    </row>
    <row r="289" spans="1:25" ht="19.5" customHeight="1">
      <c r="A289" s="58" t="str">
        <f>'2024 DO NOT TOUCH'!A290</f>
        <v>2257</v>
      </c>
      <c r="B289" s="59" t="str">
        <f>'2024 DO NOT TOUCH'!B290</f>
        <v>DORM 2257</v>
      </c>
      <c r="C289" s="58" t="str">
        <f>'2024 DO NOT TOUCH'!C290</f>
        <v>U27385</v>
      </c>
      <c r="D289" s="59" t="str">
        <f>'2024 DO NOT TOUCH'!D290</f>
        <v>WILKINS</v>
      </c>
      <c r="E289" s="58" t="str">
        <f>'2024 DO NOT TOUCH'!E290</f>
        <v>350A</v>
      </c>
      <c r="F289" s="59" t="str">
        <f>'2024 DO NOT TOUCH'!F290</f>
        <v>DC</v>
      </c>
      <c r="G289" s="58" t="str">
        <f>'2024 DO NOT TOUCH'!G290</f>
        <v>3.0</v>
      </c>
      <c r="H289" s="59" t="str">
        <f>'2024 DO NOT TOUCH'!H290</f>
        <v>PREMISE IN MECH RM</v>
      </c>
      <c r="I289" s="58" t="str">
        <f>'2024 DO NOT TOUCH'!I290</f>
        <v>PREMISE</v>
      </c>
      <c r="J289" s="59" t="str">
        <f>'2024 DO NOT TOUCH'!J290</f>
        <v>PREMISE</v>
      </c>
      <c r="K289" s="58" t="str">
        <f>'2024 DO NOT TOUCH'!K290</f>
        <v>ACTIVE</v>
      </c>
      <c r="L289" s="71">
        <f>'2024 DO NOT TOUCH'!L290</f>
        <v>44823</v>
      </c>
      <c r="M289" s="58" t="b">
        <f>'2024 DO NOT TOUCH'!M290</f>
        <v>0</v>
      </c>
      <c r="N289" s="59">
        <f>'2024 DO NOT TOUCH'!N290</f>
        <v>0</v>
      </c>
      <c r="O289" s="58">
        <f>'2024 DO NOT TOUCH'!O290</f>
        <v>0</v>
      </c>
      <c r="P289" s="65">
        <f>'2024 DO NOT TOUCH'!P290</f>
        <v>0</v>
      </c>
      <c r="Q289" s="65">
        <f>'2024 DO NOT TOUCH'!Q290</f>
        <v>0</v>
      </c>
      <c r="R289" s="65">
        <f>'2024 DO NOT TOUCH'!R290</f>
        <v>0</v>
      </c>
      <c r="S289" s="62" t="str">
        <f>'2024 DO NOT TOUCH'!S290</f>
        <v>TESTED</v>
      </c>
      <c r="T289" s="62" t="str">
        <f>'2024 DO NOT TOUCH'!T290</f>
        <v>PASSED</v>
      </c>
      <c r="U289" s="62" t="str">
        <f>'2024 DO NOT TOUCH'!U290</f>
        <v>Y</v>
      </c>
      <c r="V289" s="62">
        <f>'2024 DO NOT TOUCH'!V290</f>
        <v>0</v>
      </c>
      <c r="W289" s="62">
        <f>'2024 DO NOT TOUCH'!W290</f>
        <v>0</v>
      </c>
      <c r="X289" s="65">
        <f>'2024 DO NOT TOUCH'!X290</f>
        <v>0</v>
      </c>
      <c r="Y289" s="62">
        <f>'2024 DO NOT TOUCH'!Y290</f>
        <v>0</v>
      </c>
    </row>
    <row r="290" spans="1:25" ht="19.5" customHeight="1">
      <c r="A290" s="77" t="str">
        <f>'2024 DO NOT TOUCH'!A291</f>
        <v>2257</v>
      </c>
      <c r="B290" s="78" t="str">
        <f>'2024 DO NOT TOUCH'!B291</f>
        <v>DORM 2257</v>
      </c>
      <c r="C290" s="77" t="str">
        <f>'2024 DO NOT TOUCH'!C291</f>
        <v>U00357</v>
      </c>
      <c r="D290" s="78" t="str">
        <f>'2024 DO NOT TOUCH'!D291</f>
        <v>WILKINS</v>
      </c>
      <c r="E290" s="77" t="str">
        <f>'2024 DO NOT TOUCH'!E291</f>
        <v>350A</v>
      </c>
      <c r="F290" s="78" t="str">
        <f>'2024 DO NOT TOUCH'!F291</f>
        <v>DC</v>
      </c>
      <c r="G290" s="77" t="str">
        <f>'2024 DO NOT TOUCH'!G291</f>
        <v>6.0</v>
      </c>
      <c r="H290" s="78" t="str">
        <f>'2024 DO NOT TOUCH'!H291</f>
        <v>FIRE SYS</v>
      </c>
      <c r="I290" s="77" t="str">
        <f>'2024 DO NOT TOUCH'!I291</f>
        <v>PREMISE</v>
      </c>
      <c r="J290" s="78" t="str">
        <f>'2024 DO NOT TOUCH'!J291</f>
        <v>FIRE</v>
      </c>
      <c r="K290" s="77" t="str">
        <f>'2024 DO NOT TOUCH'!K291</f>
        <v>ACTIVE</v>
      </c>
      <c r="L290" s="79">
        <f>'2024 DO NOT TOUCH'!L291</f>
        <v>44606</v>
      </c>
      <c r="M290" s="77" t="b">
        <f>'2024 DO NOT TOUCH'!M291</f>
        <v>0</v>
      </c>
      <c r="N290" s="78">
        <f>'2024 DO NOT TOUCH'!N291</f>
        <v>0</v>
      </c>
      <c r="O290" s="77">
        <f>'2024 DO NOT TOUCH'!O291</f>
        <v>0</v>
      </c>
      <c r="P290" s="80">
        <f>'2024 DO NOT TOUCH'!P291</f>
        <v>0</v>
      </c>
      <c r="Q290" s="80">
        <f>'2024 DO NOT TOUCH'!Q291</f>
        <v>0</v>
      </c>
      <c r="R290" s="80">
        <f>'2024 DO NOT TOUCH'!R291</f>
        <v>0</v>
      </c>
      <c r="S290" s="81" t="str">
        <f>'2024 DO NOT TOUCH'!S291</f>
        <v>TESTED</v>
      </c>
      <c r="T290" s="81">
        <f>'2024 DO NOT TOUCH'!T291</f>
        <v>0</v>
      </c>
      <c r="U290" s="81">
        <f>'2024 DO NOT TOUCH'!U291</f>
        <v>0</v>
      </c>
      <c r="V290" s="81">
        <f>'2024 DO NOT TOUCH'!V291</f>
        <v>0</v>
      </c>
      <c r="W290" s="81">
        <f>'2024 DO NOT TOUCH'!W291</f>
        <v>0</v>
      </c>
      <c r="X290" s="80">
        <f>'2024 DO NOT TOUCH'!X291</f>
        <v>0</v>
      </c>
      <c r="Y290" s="81">
        <f>'2024 DO NOT TOUCH'!Y291</f>
        <v>0</v>
      </c>
    </row>
    <row r="291" spans="1:25" ht="19.5" customHeight="1">
      <c r="A291" s="58" t="str">
        <f>'2024 DO NOT TOUCH'!A292</f>
        <v>2257</v>
      </c>
      <c r="B291" s="59" t="str">
        <f>'2024 DO NOT TOUCH'!B292</f>
        <v>DORM 2257</v>
      </c>
      <c r="C291" s="58" t="str">
        <f>'2024 DO NOT TOUCH'!C292</f>
        <v>619880</v>
      </c>
      <c r="D291" s="59" t="str">
        <f>'2024 DO NOT TOUCH'!D292</f>
        <v>WILKINS</v>
      </c>
      <c r="E291" s="58" t="str">
        <f>'2024 DO NOT TOUCH'!E292</f>
        <v>950XLT</v>
      </c>
      <c r="F291" s="59" t="str">
        <f>'2024 DO NOT TOUCH'!F292</f>
        <v>DC</v>
      </c>
      <c r="G291" s="58" t="str">
        <f>'2024 DO NOT TOUCH'!G292</f>
        <v>1.5</v>
      </c>
      <c r="H291" s="59" t="str">
        <f>'2024 DO NOT TOUCH'!H292</f>
        <v>MECH RM IRRIGATION</v>
      </c>
      <c r="I291" s="58" t="str">
        <f>'2024 DO NOT TOUCH'!I292</f>
        <v>PREMISE</v>
      </c>
      <c r="J291" s="59" t="str">
        <f>'2024 DO NOT TOUCH'!J292</f>
        <v>IRR</v>
      </c>
      <c r="K291" s="58" t="str">
        <f>'2024 DO NOT TOUCH'!K292</f>
        <v>ACTIVE</v>
      </c>
      <c r="L291" s="71">
        <f>'2024 DO NOT TOUCH'!L292</f>
        <v>44734</v>
      </c>
      <c r="M291" s="58" t="b">
        <f>'2024 DO NOT TOUCH'!M292</f>
        <v>0</v>
      </c>
      <c r="N291" s="59">
        <f>'2024 DO NOT TOUCH'!N292</f>
        <v>0</v>
      </c>
      <c r="O291" s="58">
        <f>'2024 DO NOT TOUCH'!O292</f>
        <v>0</v>
      </c>
      <c r="P291" s="67">
        <f>'2024 DO NOT TOUCH'!P292</f>
        <v>0</v>
      </c>
      <c r="Q291" s="67">
        <f>'2024 DO NOT TOUCH'!Q292</f>
        <v>0</v>
      </c>
      <c r="R291" s="67">
        <f>'2024 DO NOT TOUCH'!R292</f>
        <v>0</v>
      </c>
      <c r="S291" s="58" t="str">
        <f>'2024 DO NOT TOUCH'!S292</f>
        <v>UNTESTED</v>
      </c>
      <c r="T291" s="58">
        <f>'2024 DO NOT TOUCH'!T292</f>
        <v>0</v>
      </c>
      <c r="U291" s="58">
        <f>'2024 DO NOT TOUCH'!U292</f>
        <v>0</v>
      </c>
      <c r="V291" s="58">
        <f>'2024 DO NOT TOUCH'!V292</f>
        <v>0</v>
      </c>
      <c r="W291" s="58">
        <f>'2024 DO NOT TOUCH'!W292</f>
        <v>0</v>
      </c>
      <c r="X291" s="67">
        <f>'2024 DO NOT TOUCH'!X292</f>
        <v>0</v>
      </c>
      <c r="Y291" s="58" t="str">
        <f>'2024 DO NOT TOUCH'!Y292</f>
        <v>iso</v>
      </c>
    </row>
    <row r="292" spans="1:25" ht="19.5" customHeight="1">
      <c r="A292" s="77" t="str">
        <f>'2024 DO NOT TOUCH'!A293</f>
        <v>2258</v>
      </c>
      <c r="B292" s="78" t="str">
        <f>'2024 DO NOT TOUCH'!B293</f>
        <v>Dorm 2248</v>
      </c>
      <c r="C292" s="77" t="str">
        <f>'2024 DO NOT TOUCH'!C293</f>
        <v>640456</v>
      </c>
      <c r="D292" s="78" t="str">
        <f>'2024 DO NOT TOUCH'!D293</f>
        <v>WILKINS</v>
      </c>
      <c r="E292" s="77" t="str">
        <f>'2024 DO NOT TOUCH'!E293</f>
        <v>950XLT</v>
      </c>
      <c r="F292" s="78" t="str">
        <f>'2024 DO NOT TOUCH'!F293</f>
        <v>DC</v>
      </c>
      <c r="G292" s="77" t="str">
        <f>'2024 DO NOT TOUCH'!G293</f>
        <v>1.5</v>
      </c>
      <c r="H292" s="78" t="str">
        <f>'2024 DO NOT TOUCH'!H293</f>
        <v xml:space="preserve">Behind dorm </v>
      </c>
      <c r="I292" s="77" t="str">
        <f>'2024 DO NOT TOUCH'!I293</f>
        <v>PREMISE</v>
      </c>
      <c r="J292" s="78" t="str">
        <f>'2024 DO NOT TOUCH'!J293</f>
        <v>IRR</v>
      </c>
      <c r="K292" s="77" t="str">
        <f>'2024 DO NOT TOUCH'!K293</f>
        <v>ACTIVE</v>
      </c>
      <c r="L292" s="79">
        <f>'2024 DO NOT TOUCH'!L293</f>
        <v>44734</v>
      </c>
      <c r="M292" s="77" t="b">
        <f>'2024 DO NOT TOUCH'!M293</f>
        <v>0</v>
      </c>
      <c r="N292" s="78">
        <f>'2024 DO NOT TOUCH'!N293</f>
        <v>0</v>
      </c>
      <c r="O292" s="77">
        <f>'2024 DO NOT TOUCH'!O293</f>
        <v>0</v>
      </c>
      <c r="P292" s="83">
        <f>'2024 DO NOT TOUCH'!P293</f>
        <v>0</v>
      </c>
      <c r="Q292" s="83">
        <f>'2024 DO NOT TOUCH'!Q293</f>
        <v>0</v>
      </c>
      <c r="R292" s="83">
        <f>'2024 DO NOT TOUCH'!R293</f>
        <v>0</v>
      </c>
      <c r="S292" s="77" t="str">
        <f>'2024 DO NOT TOUCH'!S293</f>
        <v>UNTESTED</v>
      </c>
      <c r="T292" s="77">
        <f>'2024 DO NOT TOUCH'!T293</f>
        <v>0</v>
      </c>
      <c r="U292" s="77">
        <f>'2024 DO NOT TOUCH'!U293</f>
        <v>0</v>
      </c>
      <c r="V292" s="77">
        <f>'2024 DO NOT TOUCH'!V293</f>
        <v>0</v>
      </c>
      <c r="W292" s="77">
        <f>'2024 DO NOT TOUCH'!W293</f>
        <v>0</v>
      </c>
      <c r="X292" s="83">
        <f>'2024 DO NOT TOUCH'!X293</f>
        <v>0</v>
      </c>
      <c r="Y292" s="77" t="str">
        <f>'2024 DO NOT TOUCH'!Y293</f>
        <v>iso</v>
      </c>
    </row>
    <row r="293" spans="1:25" ht="19.5" customHeight="1">
      <c r="A293" s="58" t="str">
        <f>'2024 DO NOT TOUCH'!A294</f>
        <v>2258</v>
      </c>
      <c r="B293" s="59" t="str">
        <f>'2024 DO NOT TOUCH'!B294</f>
        <v>DORM 2258</v>
      </c>
      <c r="C293" s="58" t="str">
        <f>'2024 DO NOT TOUCH'!C294</f>
        <v>A106934</v>
      </c>
      <c r="D293" s="59" t="str">
        <f>'2024 DO NOT TOUCH'!D294</f>
        <v>FEBCO</v>
      </c>
      <c r="E293" s="58" t="str">
        <f>'2024 DO NOT TOUCH'!E294</f>
        <v>825Y</v>
      </c>
      <c r="F293" s="59" t="str">
        <f>'2024 DO NOT TOUCH'!F294</f>
        <v>RP</v>
      </c>
      <c r="G293" s="58" t="str">
        <f>'2024 DO NOT TOUCH'!G294</f>
        <v>0.75</v>
      </c>
      <c r="H293" s="59" t="str">
        <f>'2024 DO NOT TOUCH'!H294</f>
        <v>HVAC MAKEUP</v>
      </c>
      <c r="I293" s="58" t="str">
        <f>'2024 DO NOT TOUCH'!I294</f>
        <v>INPREMISE</v>
      </c>
      <c r="J293" s="59" t="str">
        <f>'2024 DO NOT TOUCH'!J294</f>
        <v>AOI</v>
      </c>
      <c r="K293" s="58" t="str">
        <f>'2024 DO NOT TOUCH'!K294</f>
        <v>ACTIVE</v>
      </c>
      <c r="L293" s="71">
        <f>'2024 DO NOT TOUCH'!L294</f>
        <v>44823</v>
      </c>
      <c r="M293" s="58" t="b">
        <f>'2024 DO NOT TOUCH'!M294</f>
        <v>0</v>
      </c>
      <c r="N293" s="59">
        <f>'2024 DO NOT TOUCH'!N294</f>
        <v>0</v>
      </c>
      <c r="O293" s="58">
        <f>'2024 DO NOT TOUCH'!O294</f>
        <v>0</v>
      </c>
      <c r="P293" s="65">
        <f>'2024 DO NOT TOUCH'!P294</f>
        <v>0</v>
      </c>
      <c r="Q293" s="65">
        <f>'2024 DO NOT TOUCH'!Q294</f>
        <v>0</v>
      </c>
      <c r="R293" s="65">
        <f>'2024 DO NOT TOUCH'!R294</f>
        <v>0</v>
      </c>
      <c r="S293" s="62" t="str">
        <f>'2024 DO NOT TOUCH'!S294</f>
        <v>TESTED</v>
      </c>
      <c r="T293" s="62" t="str">
        <f>'2024 DO NOT TOUCH'!T294</f>
        <v>PASSED</v>
      </c>
      <c r="U293" s="62">
        <f>'2024 DO NOT TOUCH'!U294</f>
        <v>0</v>
      </c>
      <c r="V293" s="62">
        <f>'2024 DO NOT TOUCH'!V294</f>
        <v>0</v>
      </c>
      <c r="W293" s="62">
        <f>'2024 DO NOT TOUCH'!W294</f>
        <v>0</v>
      </c>
      <c r="X293" s="65">
        <f>'2024 DO NOT TOUCH'!X294</f>
        <v>0</v>
      </c>
      <c r="Y293" s="62">
        <f>'2024 DO NOT TOUCH'!Y294</f>
        <v>0</v>
      </c>
    </row>
    <row r="294" spans="1:25" ht="19.5" customHeight="1">
      <c r="A294" s="55" t="str">
        <f>'2024 DO NOT TOUCH'!A295</f>
        <v>2258</v>
      </c>
      <c r="B294" s="3" t="str">
        <f>'2024 DO NOT TOUCH'!B295</f>
        <v>DORM 2258</v>
      </c>
      <c r="C294" s="55" t="str">
        <f>'2024 DO NOT TOUCH'!C295</f>
        <v>U27383</v>
      </c>
      <c r="D294" s="3" t="str">
        <f>'2024 DO NOT TOUCH'!D295</f>
        <v>WILKINS</v>
      </c>
      <c r="E294" s="55" t="str">
        <f>'2024 DO NOT TOUCH'!E295</f>
        <v>350A</v>
      </c>
      <c r="F294" s="3" t="str">
        <f>'2024 DO NOT TOUCH'!F295</f>
        <v>DC</v>
      </c>
      <c r="G294" s="55" t="str">
        <f>'2024 DO NOT TOUCH'!G295</f>
        <v>3.0</v>
      </c>
      <c r="H294" s="3" t="str">
        <f>'2024 DO NOT TOUCH'!H295</f>
        <v>PREMISE SUPPLY</v>
      </c>
      <c r="I294" s="55" t="str">
        <f>'2024 DO NOT TOUCH'!I295</f>
        <v>PREMISE</v>
      </c>
      <c r="J294" s="3" t="str">
        <f>'2024 DO NOT TOUCH'!J295</f>
        <v>PREMISE</v>
      </c>
      <c r="K294" s="55" t="str">
        <f>'2024 DO NOT TOUCH'!K295</f>
        <v>ACTIVE</v>
      </c>
      <c r="L294" s="72">
        <f>'2024 DO NOT TOUCH'!L295</f>
        <v>44823</v>
      </c>
      <c r="M294" s="55" t="b">
        <f>'2024 DO NOT TOUCH'!M295</f>
        <v>0</v>
      </c>
      <c r="N294" s="3">
        <f>'2024 DO NOT TOUCH'!N295</f>
        <v>0</v>
      </c>
      <c r="O294" s="55">
        <f>'2024 DO NOT TOUCH'!O295</f>
        <v>0</v>
      </c>
      <c r="P294" s="64">
        <f>'2024 DO NOT TOUCH'!P295</f>
        <v>0</v>
      </c>
      <c r="Q294" s="64">
        <f>'2024 DO NOT TOUCH'!Q295</f>
        <v>0</v>
      </c>
      <c r="R294" s="64">
        <f>'2024 DO NOT TOUCH'!R295</f>
        <v>0</v>
      </c>
      <c r="S294" s="57" t="str">
        <f>'2024 DO NOT TOUCH'!S295</f>
        <v>TESTED</v>
      </c>
      <c r="T294" s="57" t="str">
        <f>'2024 DO NOT TOUCH'!T295</f>
        <v>PASSED</v>
      </c>
      <c r="U294" s="57">
        <f>'2024 DO NOT TOUCH'!U295</f>
        <v>0</v>
      </c>
      <c r="V294" s="57">
        <f>'2024 DO NOT TOUCH'!V295</f>
        <v>0</v>
      </c>
      <c r="W294" s="57">
        <f>'2024 DO NOT TOUCH'!W295</f>
        <v>0</v>
      </c>
      <c r="X294" s="64">
        <f>'2024 DO NOT TOUCH'!X295</f>
        <v>0</v>
      </c>
      <c r="Y294" s="57">
        <f>'2024 DO NOT TOUCH'!Y295</f>
        <v>0</v>
      </c>
    </row>
    <row r="295" spans="1:25" ht="19.5" customHeight="1">
      <c r="A295" s="58" t="str">
        <f>'2024 DO NOT TOUCH'!A296</f>
        <v>2258</v>
      </c>
      <c r="B295" s="59" t="str">
        <f>'2024 DO NOT TOUCH'!B296</f>
        <v>DORM 2258</v>
      </c>
      <c r="C295" s="58" t="str">
        <f>'2024 DO NOT TOUCH'!C296</f>
        <v>2FM1284</v>
      </c>
      <c r="D295" s="59" t="str">
        <f>'2024 DO NOT TOUCH'!D296</f>
        <v>AMES</v>
      </c>
      <c r="E295" s="58" t="str">
        <f>'2024 DO NOT TOUCH'!E296</f>
        <v>2000SE</v>
      </c>
      <c r="F295" s="59" t="str">
        <f>'2024 DO NOT TOUCH'!F296</f>
        <v>DC</v>
      </c>
      <c r="G295" s="58" t="str">
        <f>'2024 DO NOT TOUCH'!G296</f>
        <v>6.0</v>
      </c>
      <c r="H295" s="59" t="str">
        <f>'2024 DO NOT TOUCH'!H296</f>
        <v xml:space="preserve">FIRE SYS IN MECH RM </v>
      </c>
      <c r="I295" s="58" t="str">
        <f>'2024 DO NOT TOUCH'!I296</f>
        <v>PREMISE</v>
      </c>
      <c r="J295" s="59" t="str">
        <f>'2024 DO NOT TOUCH'!J296</f>
        <v>FIRE</v>
      </c>
      <c r="K295" s="58" t="str">
        <f>'2024 DO NOT TOUCH'!K296</f>
        <v>ACTIVE</v>
      </c>
      <c r="L295" s="71">
        <f>'2024 DO NOT TOUCH'!L296</f>
        <v>44606</v>
      </c>
      <c r="M295" s="58" t="b">
        <f>'2024 DO NOT TOUCH'!M296</f>
        <v>0</v>
      </c>
      <c r="N295" s="59">
        <f>'2024 DO NOT TOUCH'!N296</f>
        <v>0</v>
      </c>
      <c r="O295" s="58">
        <f>'2024 DO NOT TOUCH'!O296</f>
        <v>0</v>
      </c>
      <c r="P295" s="65">
        <f>'2024 DO NOT TOUCH'!P296</f>
        <v>0</v>
      </c>
      <c r="Q295" s="65">
        <f>'2024 DO NOT TOUCH'!Q296</f>
        <v>0</v>
      </c>
      <c r="R295" s="65">
        <f>'2024 DO NOT TOUCH'!R296</f>
        <v>0</v>
      </c>
      <c r="S295" s="62" t="str">
        <f>'2024 DO NOT TOUCH'!S296</f>
        <v>TESTED</v>
      </c>
      <c r="T295" s="62" t="str">
        <f>'2024 DO NOT TOUCH'!T296</f>
        <v>PASSED</v>
      </c>
      <c r="U295" s="62" t="str">
        <f>'2024 DO NOT TOUCH'!U296</f>
        <v>Y</v>
      </c>
      <c r="V295" s="62">
        <f>'2024 DO NOT TOUCH'!V296</f>
        <v>0</v>
      </c>
      <c r="W295" s="62">
        <f>'2024 DO NOT TOUCH'!W296</f>
        <v>0</v>
      </c>
      <c r="X295" s="65">
        <f>'2024 DO NOT TOUCH'!X296</f>
        <v>0</v>
      </c>
      <c r="Y295" s="62">
        <f>'2024 DO NOT TOUCH'!Y296</f>
        <v>0</v>
      </c>
    </row>
    <row r="296" spans="1:25" ht="19.5" customHeight="1">
      <c r="A296" s="55" t="str">
        <f>'2024 DO NOT TOUCH'!A297</f>
        <v>2259</v>
      </c>
      <c r="B296" s="55" t="str">
        <f>'2024 DO NOT TOUCH'!B297</f>
        <v>DORM 2259</v>
      </c>
      <c r="C296" s="55" t="str">
        <f>'2024 DO NOT TOUCH'!C297</f>
        <v>U27380</v>
      </c>
      <c r="D296" s="55" t="str">
        <f>'2024 DO NOT TOUCH'!D297</f>
        <v>WILKINS</v>
      </c>
      <c r="E296" s="55" t="str">
        <f>'2024 DO NOT TOUCH'!E297</f>
        <v>350A</v>
      </c>
      <c r="F296" s="55" t="str">
        <f>'2024 DO NOT TOUCH'!F297</f>
        <v>DC</v>
      </c>
      <c r="G296" s="55" t="str">
        <f>'2024 DO NOT TOUCH'!G297</f>
        <v>3.0</v>
      </c>
      <c r="H296" s="55" t="str">
        <f>'2024 DO NOT TOUCH'!H297</f>
        <v>MECH RM DOWSTAIRS PREMISE</v>
      </c>
      <c r="I296" s="55" t="str">
        <f>'2024 DO NOT TOUCH'!I297</f>
        <v>PREMISE</v>
      </c>
      <c r="J296" s="55" t="str">
        <f>'2024 DO NOT TOUCH'!J297</f>
        <v>PREMISE</v>
      </c>
      <c r="K296" s="55" t="str">
        <f>'2024 DO NOT TOUCH'!K297</f>
        <v>ACTIVE</v>
      </c>
      <c r="L296" s="56">
        <f>'2024 DO NOT TOUCH'!L297</f>
        <v>44753</v>
      </c>
      <c r="M296" s="56" t="b">
        <f>'2024 DO NOT TOUCH'!M297</f>
        <v>0</v>
      </c>
      <c r="N296" s="56">
        <f>'2024 DO NOT TOUCH'!N297</f>
        <v>45481</v>
      </c>
      <c r="O296" s="55" t="str">
        <f>'2024 DO NOT TOUCH'!O297</f>
        <v>Haveron</v>
      </c>
      <c r="P296" s="64">
        <f>'2024 DO NOT TOUCH'!P297</f>
        <v>3.2</v>
      </c>
      <c r="Q296" s="64">
        <f>'2024 DO NOT TOUCH'!Q297</f>
        <v>3.4</v>
      </c>
      <c r="R296" s="64">
        <f>'2024 DO NOT TOUCH'!R297</f>
        <v>0</v>
      </c>
      <c r="S296" s="55" t="str">
        <f>'2024 DO NOT TOUCH'!S297</f>
        <v>TESTED</v>
      </c>
      <c r="T296" s="55" t="str">
        <f>'2024 DO NOT TOUCH'!T297</f>
        <v>PASSED</v>
      </c>
      <c r="U296" s="55">
        <f>'2024 DO NOT TOUCH'!U297</f>
        <v>0</v>
      </c>
      <c r="V296" s="55">
        <f>'2024 DO NOT TOUCH'!V297</f>
        <v>0</v>
      </c>
      <c r="W296" s="55">
        <f>'2024 DO NOT TOUCH'!W297</f>
        <v>0</v>
      </c>
      <c r="X296" s="66">
        <f>'2024 DO NOT TOUCH'!X297</f>
        <v>0</v>
      </c>
      <c r="Y296" s="55">
        <f>'2024 DO NOT TOUCH'!Y297</f>
        <v>0</v>
      </c>
    </row>
    <row r="297" spans="1:25" ht="19.5" customHeight="1">
      <c r="A297" s="58" t="str">
        <f>'2024 DO NOT TOUCH'!A298</f>
        <v>2259</v>
      </c>
      <c r="B297" s="59" t="str">
        <f>'2024 DO NOT TOUCH'!B298</f>
        <v>DORM 2259</v>
      </c>
      <c r="C297" s="58" t="str">
        <f>'2024 DO NOT TOUCH'!C298</f>
        <v>630006</v>
      </c>
      <c r="D297" s="59" t="str">
        <f>'2024 DO NOT TOUCH'!D298</f>
        <v>WILKINS</v>
      </c>
      <c r="E297" s="58" t="str">
        <f>'2024 DO NOT TOUCH'!E298</f>
        <v>950XLT</v>
      </c>
      <c r="F297" s="59" t="str">
        <f>'2024 DO NOT TOUCH'!F298</f>
        <v>DC</v>
      </c>
      <c r="G297" s="58" t="str">
        <f>'2024 DO NOT TOUCH'!G298</f>
        <v>1.5</v>
      </c>
      <c r="H297" s="59" t="str">
        <f>'2024 DO NOT TOUCH'!H298</f>
        <v>BECHIND LEFT SIDE OF BLDG NEAR SIDEWALK</v>
      </c>
      <c r="I297" s="58" t="str">
        <f>'2024 DO NOT TOUCH'!I298</f>
        <v>PREMISE</v>
      </c>
      <c r="J297" s="59" t="str">
        <f>'2024 DO NOT TOUCH'!J298</f>
        <v>IRR</v>
      </c>
      <c r="K297" s="58" t="str">
        <f>'2024 DO NOT TOUCH'!K298</f>
        <v>INACTIVE</v>
      </c>
      <c r="L297" s="71">
        <f>'2024 DO NOT TOUCH'!L298</f>
        <v>44753</v>
      </c>
      <c r="M297" s="58" t="b">
        <f>'2024 DO NOT TOUCH'!M298</f>
        <v>0</v>
      </c>
      <c r="N297" s="59">
        <f>'2024 DO NOT TOUCH'!N298</f>
        <v>45481</v>
      </c>
      <c r="O297" s="58" t="str">
        <f>'2024 DO NOT TOUCH'!O298</f>
        <v>Haveron</v>
      </c>
      <c r="P297" s="65">
        <f>'2024 DO NOT TOUCH'!P298</f>
        <v>2.4</v>
      </c>
      <c r="Q297" s="65">
        <f>'2024 DO NOT TOUCH'!Q298</f>
        <v>1.9</v>
      </c>
      <c r="R297" s="65">
        <f>'2024 DO NOT TOUCH'!R298</f>
        <v>0</v>
      </c>
      <c r="S297" s="62" t="str">
        <f>'2024 DO NOT TOUCH'!S298</f>
        <v>TESTED</v>
      </c>
      <c r="T297" s="62" t="str">
        <f>'2024 DO NOT TOUCH'!T298</f>
        <v>PASSED</v>
      </c>
      <c r="U297" s="62">
        <f>'2024 DO NOT TOUCH'!U298</f>
        <v>0</v>
      </c>
      <c r="V297" s="62">
        <f>'2024 DO NOT TOUCH'!V298</f>
        <v>0</v>
      </c>
      <c r="W297" s="62">
        <f>'2024 DO NOT TOUCH'!W298</f>
        <v>0</v>
      </c>
      <c r="X297" s="65">
        <f>'2024 DO NOT TOUCH'!X298</f>
        <v>0</v>
      </c>
      <c r="Y297" s="62">
        <f>'2024 DO NOT TOUCH'!Y298</f>
        <v>0</v>
      </c>
    </row>
    <row r="298" spans="1:25" ht="19.5" customHeight="1">
      <c r="A298" s="55" t="str">
        <f>'2024 DO NOT TOUCH'!A299</f>
        <v>2259</v>
      </c>
      <c r="B298" s="3" t="str">
        <f>'2024 DO NOT TOUCH'!B299</f>
        <v>DORM 2259</v>
      </c>
      <c r="C298" s="55" t="str">
        <f>'2024 DO NOT TOUCH'!C299</f>
        <v>2FH1281</v>
      </c>
      <c r="D298" s="3" t="str">
        <f>'2024 DO NOT TOUCH'!D299</f>
        <v>AMES</v>
      </c>
      <c r="E298" s="55" t="str">
        <f>'2024 DO NOT TOUCH'!E299</f>
        <v>2000SE</v>
      </c>
      <c r="F298" s="3" t="str">
        <f>'2024 DO NOT TOUCH'!F299</f>
        <v>DC</v>
      </c>
      <c r="G298" s="55" t="str">
        <f>'2024 DO NOT TOUCH'!G299</f>
        <v>6.0</v>
      </c>
      <c r="H298" s="3" t="str">
        <f>'2024 DO NOT TOUCH'!H299</f>
        <v>FIRE SYS</v>
      </c>
      <c r="I298" s="55" t="str">
        <f>'2024 DO NOT TOUCH'!I299</f>
        <v>PREMISE</v>
      </c>
      <c r="J298" s="3" t="str">
        <f>'2024 DO NOT TOUCH'!J299</f>
        <v>FIRE</v>
      </c>
      <c r="K298" s="55" t="str">
        <f>'2024 DO NOT TOUCH'!K299</f>
        <v>ACTIVE</v>
      </c>
      <c r="L298" s="72">
        <f>'2024 DO NOT TOUCH'!L299</f>
        <v>44606</v>
      </c>
      <c r="M298" s="55" t="b">
        <f>'2024 DO NOT TOUCH'!M299</f>
        <v>0</v>
      </c>
      <c r="N298" s="3">
        <f>'2024 DO NOT TOUCH'!N299</f>
        <v>0</v>
      </c>
      <c r="O298" s="55">
        <f>'2024 DO NOT TOUCH'!O299</f>
        <v>0</v>
      </c>
      <c r="P298" s="64">
        <f>'2024 DO NOT TOUCH'!P299</f>
        <v>0</v>
      </c>
      <c r="Q298" s="64">
        <f>'2024 DO NOT TOUCH'!Q299</f>
        <v>0</v>
      </c>
      <c r="R298" s="64">
        <f>'2024 DO NOT TOUCH'!R299</f>
        <v>0</v>
      </c>
      <c r="S298" s="57" t="str">
        <f>'2024 DO NOT TOUCH'!S299</f>
        <v>TESTED</v>
      </c>
      <c r="T298" s="57" t="str">
        <f>'2024 DO NOT TOUCH'!T299</f>
        <v>PASSED</v>
      </c>
      <c r="U298" s="57" t="str">
        <f>'2024 DO NOT TOUCH'!U299</f>
        <v>Y</v>
      </c>
      <c r="V298" s="57">
        <f>'2024 DO NOT TOUCH'!V299</f>
        <v>0</v>
      </c>
      <c r="W298" s="57">
        <f>'2024 DO NOT TOUCH'!W299</f>
        <v>0</v>
      </c>
      <c r="X298" s="64">
        <f>'2024 DO NOT TOUCH'!X299</f>
        <v>0</v>
      </c>
      <c r="Y298" s="57">
        <f>'2024 DO NOT TOUCH'!Y299</f>
        <v>0</v>
      </c>
    </row>
    <row r="299" spans="1:25" ht="19.5" customHeight="1">
      <c r="A299" s="58" t="str">
        <f>'2024 DO NOT TOUCH'!A300</f>
        <v>2259</v>
      </c>
      <c r="B299" s="59" t="str">
        <f>'2024 DO NOT TOUCH'!B300</f>
        <v>DORM 2259</v>
      </c>
      <c r="C299" s="58" t="str">
        <f>'2024 DO NOT TOUCH'!C300</f>
        <v>3338580</v>
      </c>
      <c r="D299" s="59" t="str">
        <f>'2024 DO NOT TOUCH'!D300</f>
        <v>WILKINS</v>
      </c>
      <c r="E299" s="58" t="str">
        <f>'2024 DO NOT TOUCH'!E300</f>
        <v>975XL</v>
      </c>
      <c r="F299" s="59" t="str">
        <f>'2024 DO NOT TOUCH'!F300</f>
        <v>RP</v>
      </c>
      <c r="G299" s="58" t="str">
        <f>'2024 DO NOT TOUCH'!G300</f>
        <v>0.75</v>
      </c>
      <c r="H299" s="59" t="str">
        <f>'2024 DO NOT TOUCH'!H300</f>
        <v>MECH RM ON HVAC MAKEUP/ BACK WALL</v>
      </c>
      <c r="I299" s="58" t="str">
        <f>'2024 DO NOT TOUCH'!I300</f>
        <v>INPREMISE</v>
      </c>
      <c r="J299" s="59" t="str">
        <f>'2024 DO NOT TOUCH'!J300</f>
        <v>AOI</v>
      </c>
      <c r="K299" s="58" t="str">
        <f>'2024 DO NOT TOUCH'!K300</f>
        <v>ACTIVE</v>
      </c>
      <c r="L299" s="71">
        <f>'2024 DO NOT TOUCH'!L300</f>
        <v>44753</v>
      </c>
      <c r="M299" s="58" t="b">
        <f>'2024 DO NOT TOUCH'!M300</f>
        <v>0</v>
      </c>
      <c r="N299" s="59">
        <f>'2024 DO NOT TOUCH'!N300</f>
        <v>45481</v>
      </c>
      <c r="O299" s="58" t="str">
        <f>'2024 DO NOT TOUCH'!O300</f>
        <v>Haveron</v>
      </c>
      <c r="P299" s="65">
        <f>'2024 DO NOT TOUCH'!P300</f>
        <v>9</v>
      </c>
      <c r="Q299" s="65">
        <f>'2024 DO NOT TOUCH'!Q300</f>
        <v>0</v>
      </c>
      <c r="R299" s="65">
        <f>'2024 DO NOT TOUCH'!R300</f>
        <v>2.6</v>
      </c>
      <c r="S299" s="62" t="str">
        <f>'2024 DO NOT TOUCH'!S300</f>
        <v>TESTED</v>
      </c>
      <c r="T299" s="62" t="str">
        <f>'2024 DO NOT TOUCH'!T300</f>
        <v>PASSED</v>
      </c>
      <c r="U299" s="62">
        <f>'2024 DO NOT TOUCH'!U300</f>
        <v>0</v>
      </c>
      <c r="V299" s="62">
        <f>'2024 DO NOT TOUCH'!V300</f>
        <v>0</v>
      </c>
      <c r="W299" s="62">
        <f>'2024 DO NOT TOUCH'!W300</f>
        <v>0</v>
      </c>
      <c r="X299" s="65">
        <f>'2024 DO NOT TOUCH'!X300</f>
        <v>0</v>
      </c>
      <c r="Y299" s="62">
        <f>'2024 DO NOT TOUCH'!Y300</f>
        <v>0</v>
      </c>
    </row>
    <row r="300" spans="1:25" ht="19.5" customHeight="1">
      <c r="A300" s="55" t="str">
        <f>'2024 DO NOT TOUCH'!A301</f>
        <v>2260</v>
      </c>
      <c r="B300" s="3" t="str">
        <f>'2024 DO NOT TOUCH'!B301</f>
        <v>DORM MANAGERS 2260</v>
      </c>
      <c r="C300" s="55" t="str">
        <f>'2024 DO NOT TOUCH'!C301</f>
        <v>3338570</v>
      </c>
      <c r="D300" s="3" t="str">
        <f>'2024 DO NOT TOUCH'!D301</f>
        <v>WILKINS</v>
      </c>
      <c r="E300" s="55" t="str">
        <f>'2024 DO NOT TOUCH'!E301</f>
        <v>975xl</v>
      </c>
      <c r="F300" s="3" t="str">
        <f>'2024 DO NOT TOUCH'!F301</f>
        <v>RP</v>
      </c>
      <c r="G300" s="55" t="str">
        <f>'2024 DO NOT TOUCH'!G301</f>
        <v>0.75</v>
      </c>
      <c r="H300" s="3" t="str">
        <f>'2024 DO NOT TOUCH'!H301</f>
        <v>HVAC MAKEUP</v>
      </c>
      <c r="I300" s="55" t="str">
        <f>'2024 DO NOT TOUCH'!I301</f>
        <v>INPREMISE</v>
      </c>
      <c r="J300" s="3" t="str">
        <f>'2024 DO NOT TOUCH'!J301</f>
        <v>AOI</v>
      </c>
      <c r="K300" s="55" t="str">
        <f>'2024 DO NOT TOUCH'!K301</f>
        <v>ACTIVE</v>
      </c>
      <c r="L300" s="72">
        <f>'2024 DO NOT TOUCH'!L301</f>
        <v>45362</v>
      </c>
      <c r="M300" s="55" t="b">
        <f>'2024 DO NOT TOUCH'!M301</f>
        <v>0</v>
      </c>
      <c r="N300" s="3">
        <f>'2024 DO NOT TOUCH'!N301</f>
        <v>45610</v>
      </c>
      <c r="O300" s="55" t="str">
        <f>'2024 DO NOT TOUCH'!O301</f>
        <v>Ram</v>
      </c>
      <c r="P300" s="66">
        <f>'2024 DO NOT TOUCH'!P301</f>
        <v>7.6</v>
      </c>
      <c r="Q300" s="66">
        <f>'2024 DO NOT TOUCH'!Q301</f>
        <v>0</v>
      </c>
      <c r="R300" s="66">
        <f>'2024 DO NOT TOUCH'!R301</f>
        <v>2.8</v>
      </c>
      <c r="S300" s="55" t="str">
        <f>'2024 DO NOT TOUCH'!S301</f>
        <v>TESTED</v>
      </c>
      <c r="T300" s="55" t="str">
        <f>'2024 DO NOT TOUCH'!T301</f>
        <v>PASSED</v>
      </c>
      <c r="U300" s="55">
        <f>'2024 DO NOT TOUCH'!U301</f>
        <v>0</v>
      </c>
      <c r="V300" s="55" t="str">
        <f>'2024 DO NOT TOUCH'!V301</f>
        <v>Yes</v>
      </c>
      <c r="W300" s="55">
        <f>'2024 DO NOT TOUCH'!W301</f>
        <v>0</v>
      </c>
      <c r="X300" s="66" t="str">
        <f>'2024 DO NOT TOUCH'!X301</f>
        <v>D8173</v>
      </c>
      <c r="Y300" s="55">
        <f>'2024 DO NOT TOUCH'!Y301</f>
        <v>0</v>
      </c>
    </row>
    <row r="301" spans="1:25" ht="19.5" customHeight="1">
      <c r="A301" s="58" t="str">
        <f>'2024 DO NOT TOUCH'!A302</f>
        <v>2262</v>
      </c>
      <c r="B301" s="59" t="str">
        <f>'2024 DO NOT TOUCH'!B302</f>
        <v>WARRIOR DFAC</v>
      </c>
      <c r="C301" s="58" t="str">
        <f>'2024 DO NOT TOUCH'!C302</f>
        <v>1394527</v>
      </c>
      <c r="D301" s="59" t="str">
        <f>'2024 DO NOT TOUCH'!D302</f>
        <v>WILKINS</v>
      </c>
      <c r="E301" s="58" t="str">
        <f>'2024 DO NOT TOUCH'!E302</f>
        <v>975XL</v>
      </c>
      <c r="F301" s="59" t="str">
        <f>'2024 DO NOT TOUCH'!F302</f>
        <v>RP</v>
      </c>
      <c r="G301" s="58" t="str">
        <f>'2024 DO NOT TOUCH'!G302</f>
        <v>0.75</v>
      </c>
      <c r="H301" s="59" t="str">
        <f>'2024 DO NOT TOUCH'!H302</f>
        <v xml:space="preserve">MECH RM ON HVAC </v>
      </c>
      <c r="I301" s="58" t="str">
        <f>'2024 DO NOT TOUCH'!I302</f>
        <v>INPREMISE</v>
      </c>
      <c r="J301" s="59" t="str">
        <f>'2024 DO NOT TOUCH'!J302</f>
        <v>AOI</v>
      </c>
      <c r="K301" s="58" t="str">
        <f>'2024 DO NOT TOUCH'!K302</f>
        <v>ACTIVE</v>
      </c>
      <c r="L301" s="71">
        <f>'2024 DO NOT TOUCH'!L302</f>
        <v>44627</v>
      </c>
      <c r="M301" s="58" t="b">
        <f>'2024 DO NOT TOUCH'!M302</f>
        <v>0</v>
      </c>
      <c r="N301" s="59">
        <f>'2024 DO NOT TOUCH'!N302</f>
        <v>45294</v>
      </c>
      <c r="O301" s="58" t="str">
        <f>'2024 DO NOT TOUCH'!O302</f>
        <v>LARIOS</v>
      </c>
      <c r="P301" s="67">
        <f>'2024 DO NOT TOUCH'!P302</f>
        <v>9.8000000000000007</v>
      </c>
      <c r="Q301" s="67">
        <f>'2024 DO NOT TOUCH'!Q302</f>
        <v>0</v>
      </c>
      <c r="R301" s="67">
        <f>'2024 DO NOT TOUCH'!R302</f>
        <v>2.2000000000000002</v>
      </c>
      <c r="S301" s="58" t="str">
        <f>'2024 DO NOT TOUCH'!S302</f>
        <v>TESTED</v>
      </c>
      <c r="T301" s="58" t="str">
        <f>'2024 DO NOT TOUCH'!T302</f>
        <v>PASSED</v>
      </c>
      <c r="U301" s="58">
        <f>'2024 DO NOT TOUCH'!U302</f>
        <v>0</v>
      </c>
      <c r="V301" s="58">
        <f>'2024 DO NOT TOUCH'!V302</f>
        <v>0</v>
      </c>
      <c r="W301" s="58">
        <f>'2024 DO NOT TOUCH'!W302</f>
        <v>0</v>
      </c>
      <c r="X301" s="67">
        <f>'2024 DO NOT TOUCH'!X302</f>
        <v>0</v>
      </c>
      <c r="Y301" s="58">
        <f>'2024 DO NOT TOUCH'!Y302</f>
        <v>0</v>
      </c>
    </row>
    <row r="302" spans="1:25" ht="19.5" customHeight="1">
      <c r="A302" s="77" t="str">
        <f>'2024 DO NOT TOUCH'!A303</f>
        <v>2262</v>
      </c>
      <c r="B302" s="78" t="str">
        <f>'2024 DO NOT TOUCH'!B303</f>
        <v>WARRIOR DFAC</v>
      </c>
      <c r="C302" s="77" t="str">
        <f>'2024 DO NOT TOUCH'!C303</f>
        <v>1394550</v>
      </c>
      <c r="D302" s="78" t="str">
        <f>'2024 DO NOT TOUCH'!D303</f>
        <v>WILKINS</v>
      </c>
      <c r="E302" s="77" t="str">
        <f>'2024 DO NOT TOUCH'!E303</f>
        <v>975XL</v>
      </c>
      <c r="F302" s="78" t="str">
        <f>'2024 DO NOT TOUCH'!F303</f>
        <v>RP</v>
      </c>
      <c r="G302" s="77" t="str">
        <f>'2024 DO NOT TOUCH'!G303</f>
        <v>0.75</v>
      </c>
      <c r="H302" s="78" t="str">
        <f>'2024 DO NOT TOUCH'!H303</f>
        <v>HVAC</v>
      </c>
      <c r="I302" s="77" t="str">
        <f>'2024 DO NOT TOUCH'!I303</f>
        <v>INPREMISE</v>
      </c>
      <c r="J302" s="78" t="str">
        <f>'2024 DO NOT TOUCH'!J303</f>
        <v>AOI</v>
      </c>
      <c r="K302" s="77" t="str">
        <f>'2024 DO NOT TOUCH'!K303</f>
        <v>INACTIVE</v>
      </c>
      <c r="L302" s="79">
        <f>'2024 DO NOT TOUCH'!L303</f>
        <v>44935</v>
      </c>
      <c r="M302" s="77" t="b">
        <f>'2024 DO NOT TOUCH'!M303</f>
        <v>0</v>
      </c>
      <c r="N302" s="78">
        <f>'2024 DO NOT TOUCH'!N303</f>
        <v>45355</v>
      </c>
      <c r="O302" s="77" t="str">
        <f>'2024 DO NOT TOUCH'!O303</f>
        <v>LARIOS</v>
      </c>
      <c r="P302" s="80">
        <f>'2024 DO NOT TOUCH'!P303</f>
        <v>5.6</v>
      </c>
      <c r="Q302" s="80">
        <f>'2024 DO NOT TOUCH'!Q303</f>
        <v>0</v>
      </c>
      <c r="R302" s="80">
        <f>'2024 DO NOT TOUCH'!R303</f>
        <v>2.2000000000000002</v>
      </c>
      <c r="S302" s="81" t="str">
        <f>'2024 DO NOT TOUCH'!S303</f>
        <v>TESTED</v>
      </c>
      <c r="T302" s="81" t="str">
        <f>'2024 DO NOT TOUCH'!T303</f>
        <v>PASSED</v>
      </c>
      <c r="U302" s="81">
        <f>'2024 DO NOT TOUCH'!U303</f>
        <v>0</v>
      </c>
      <c r="V302" s="81">
        <f>'2024 DO NOT TOUCH'!V303</f>
        <v>0</v>
      </c>
      <c r="W302" s="81">
        <f>'2024 DO NOT TOUCH'!W303</f>
        <v>0</v>
      </c>
      <c r="X302" s="80">
        <f>'2024 DO NOT TOUCH'!X303</f>
        <v>0</v>
      </c>
      <c r="Y302" s="81">
        <f>'2024 DO NOT TOUCH'!Y303</f>
        <v>0</v>
      </c>
    </row>
    <row r="303" spans="1:25" ht="19.5" customHeight="1">
      <c r="A303" s="58" t="str">
        <f>'2024 DO NOT TOUCH'!A304</f>
        <v>2262</v>
      </c>
      <c r="B303" s="59" t="str">
        <f>'2024 DO NOT TOUCH'!B304</f>
        <v>WARRIOR DFAC</v>
      </c>
      <c r="C303" s="58" t="str">
        <f>'2024 DO NOT TOUCH'!C304</f>
        <v>3338543</v>
      </c>
      <c r="D303" s="59" t="str">
        <f>'2024 DO NOT TOUCH'!D304</f>
        <v>WILKINS</v>
      </c>
      <c r="E303" s="58" t="str">
        <f>'2024 DO NOT TOUCH'!E304</f>
        <v>975XL</v>
      </c>
      <c r="F303" s="59" t="str">
        <f>'2024 DO NOT TOUCH'!F304</f>
        <v>RP</v>
      </c>
      <c r="G303" s="58" t="str">
        <f>'2024 DO NOT TOUCH'!G304</f>
        <v>0.75</v>
      </c>
      <c r="H303" s="59" t="str">
        <f>'2024 DO NOT TOUCH'!H304</f>
        <v>ICE MACHINE</v>
      </c>
      <c r="I303" s="58" t="str">
        <f>'2024 DO NOT TOUCH'!I304</f>
        <v>INPREMISE</v>
      </c>
      <c r="J303" s="59" t="str">
        <f>'2024 DO NOT TOUCH'!J304</f>
        <v>AOI</v>
      </c>
      <c r="K303" s="58" t="str">
        <f>'2024 DO NOT TOUCH'!K304</f>
        <v>ACTIVE</v>
      </c>
      <c r="L303" s="71">
        <f>'2024 DO NOT TOUCH'!L304</f>
        <v>44935</v>
      </c>
      <c r="M303" s="58" t="b">
        <f>'2024 DO NOT TOUCH'!M304</f>
        <v>0</v>
      </c>
      <c r="N303" s="59">
        <f>'2024 DO NOT TOUCH'!N304</f>
        <v>45355</v>
      </c>
      <c r="O303" s="58" t="str">
        <f>'2024 DO NOT TOUCH'!O304</f>
        <v>LARIOS</v>
      </c>
      <c r="P303" s="65">
        <f>'2024 DO NOT TOUCH'!P304</f>
        <v>9.1999999999999993</v>
      </c>
      <c r="Q303" s="65">
        <f>'2024 DO NOT TOUCH'!Q304</f>
        <v>0</v>
      </c>
      <c r="R303" s="65">
        <f>'2024 DO NOT TOUCH'!R304</f>
        <v>2.2000000000000002</v>
      </c>
      <c r="S303" s="62" t="str">
        <f>'2024 DO NOT TOUCH'!S304</f>
        <v>TESTED</v>
      </c>
      <c r="T303" s="62" t="str">
        <f>'2024 DO NOT TOUCH'!T304</f>
        <v>PASSED</v>
      </c>
      <c r="U303" s="62">
        <f>'2024 DO NOT TOUCH'!U304</f>
        <v>0</v>
      </c>
      <c r="V303" s="62">
        <f>'2024 DO NOT TOUCH'!V304</f>
        <v>0</v>
      </c>
      <c r="W303" s="62">
        <f>'2024 DO NOT TOUCH'!W304</f>
        <v>0</v>
      </c>
      <c r="X303" s="65">
        <f>'2024 DO NOT TOUCH'!X304</f>
        <v>0</v>
      </c>
      <c r="Y303" s="62">
        <f>'2024 DO NOT TOUCH'!Y304</f>
        <v>0</v>
      </c>
    </row>
    <row r="304" spans="1:25" ht="19.5" customHeight="1">
      <c r="A304" s="77" t="str">
        <f>'2024 DO NOT TOUCH'!A305</f>
        <v>2262</v>
      </c>
      <c r="B304" s="78" t="str">
        <f>'2024 DO NOT TOUCH'!B305</f>
        <v>WARRIOR DFAC</v>
      </c>
      <c r="C304" s="77" t="str">
        <f>'2024 DO NOT TOUCH'!C305</f>
        <v>W346514</v>
      </c>
      <c r="D304" s="78" t="str">
        <f>'2024 DO NOT TOUCH'!D305</f>
        <v>WILKINS</v>
      </c>
      <c r="E304" s="77" t="str">
        <f>'2024 DO NOT TOUCH'!E305</f>
        <v>975XL</v>
      </c>
      <c r="F304" s="78" t="str">
        <f>'2024 DO NOT TOUCH'!F305</f>
        <v>RP</v>
      </c>
      <c r="G304" s="77">
        <f>'2024 DO NOT TOUCH'!G305</f>
        <v>0.75</v>
      </c>
      <c r="H304" s="78" t="str">
        <f>'2024 DO NOT TOUCH'!H305</f>
        <v>ICE MACHINE IN KITCHEN</v>
      </c>
      <c r="I304" s="77" t="str">
        <f>'2024 DO NOT TOUCH'!I305</f>
        <v>INPREMISE</v>
      </c>
      <c r="J304" s="78" t="str">
        <f>'2024 DO NOT TOUCH'!J305</f>
        <v>AOI</v>
      </c>
      <c r="K304" s="77" t="str">
        <f>'2024 DO NOT TOUCH'!K305</f>
        <v>INACTIVE</v>
      </c>
      <c r="L304" s="79">
        <f>'2024 DO NOT TOUCH'!L305</f>
        <v>44935</v>
      </c>
      <c r="M304" s="77" t="b">
        <f>'2024 DO NOT TOUCH'!M305</f>
        <v>0</v>
      </c>
      <c r="N304" s="78">
        <f>'2024 DO NOT TOUCH'!N305</f>
        <v>45355</v>
      </c>
      <c r="O304" s="77" t="str">
        <f>'2024 DO NOT TOUCH'!O305</f>
        <v>LARIOS</v>
      </c>
      <c r="P304" s="80">
        <f>'2024 DO NOT TOUCH'!P305</f>
        <v>0</v>
      </c>
      <c r="Q304" s="80">
        <f>'2024 DO NOT TOUCH'!Q305</f>
        <v>0</v>
      </c>
      <c r="R304" s="80">
        <f>'2024 DO NOT TOUCH'!R305</f>
        <v>0</v>
      </c>
      <c r="S304" s="81" t="str">
        <f>'2024 DO NOT TOUCH'!S305</f>
        <v>UNTESTED</v>
      </c>
      <c r="T304" s="81">
        <f>'2024 DO NOT TOUCH'!T305</f>
        <v>0</v>
      </c>
      <c r="U304" s="81">
        <f>'2024 DO NOT TOUCH'!U305</f>
        <v>0</v>
      </c>
      <c r="V304" s="81">
        <f>'2024 DO NOT TOUCH'!V305</f>
        <v>0</v>
      </c>
      <c r="W304" s="81" t="str">
        <f>'2024 DO NOT TOUCH'!W305</f>
        <v>REMOVED</v>
      </c>
      <c r="X304" s="80">
        <f>'2024 DO NOT TOUCH'!X305</f>
        <v>0</v>
      </c>
      <c r="Y304" s="81" t="str">
        <f>'2024 DO NOT TOUCH'!Y305</f>
        <v>ISOLATED</v>
      </c>
    </row>
    <row r="305" spans="1:25" ht="19.5" customHeight="1">
      <c r="A305" s="58" t="str">
        <f>'2024 DO NOT TOUCH'!A306</f>
        <v>2262</v>
      </c>
      <c r="B305" s="59" t="str">
        <f>'2024 DO NOT TOUCH'!B306</f>
        <v>WARRIOR DFAC</v>
      </c>
      <c r="C305" s="58" t="str">
        <f>'2024 DO NOT TOUCH'!C306</f>
        <v>H04795</v>
      </c>
      <c r="D305" s="59" t="str">
        <f>'2024 DO NOT TOUCH'!D306</f>
        <v>FEBCO</v>
      </c>
      <c r="E305" s="58" t="str">
        <f>'2024 DO NOT TOUCH'!E306</f>
        <v>860</v>
      </c>
      <c r="F305" s="59" t="str">
        <f>'2024 DO NOT TOUCH'!F306</f>
        <v>RP</v>
      </c>
      <c r="G305" s="58" t="str">
        <f>'2024 DO NOT TOUCH'!G306</f>
        <v>0.5</v>
      </c>
      <c r="H305" s="59" t="str">
        <f>'2024 DO NOT TOUCH'!H306</f>
        <v>UNDER JUICE BAR</v>
      </c>
      <c r="I305" s="58" t="str">
        <f>'2024 DO NOT TOUCH'!I306</f>
        <v>INPREMISE</v>
      </c>
      <c r="J305" s="59" t="str">
        <f>'2024 DO NOT TOUCH'!J306</f>
        <v>AOI</v>
      </c>
      <c r="K305" s="58" t="str">
        <f>'2024 DO NOT TOUCH'!K306</f>
        <v>ACTIVE</v>
      </c>
      <c r="L305" s="71">
        <f>'2024 DO NOT TOUCH'!L306</f>
        <v>44630</v>
      </c>
      <c r="M305" s="58" t="b">
        <f>'2024 DO NOT TOUCH'!M306</f>
        <v>0</v>
      </c>
      <c r="N305" s="59">
        <f>'2024 DO NOT TOUCH'!N306</f>
        <v>45355</v>
      </c>
      <c r="O305" s="58" t="str">
        <f>'2024 DO NOT TOUCH'!O306</f>
        <v>LARIOS</v>
      </c>
      <c r="P305" s="67">
        <f>'2024 DO NOT TOUCH'!P306</f>
        <v>3.2</v>
      </c>
      <c r="Q305" s="67">
        <f>'2024 DO NOT TOUCH'!Q306</f>
        <v>3</v>
      </c>
      <c r="R305" s="67">
        <f>'2024 DO NOT TOUCH'!R306</f>
        <v>0</v>
      </c>
      <c r="S305" s="58" t="str">
        <f>'2024 DO NOT TOUCH'!S306</f>
        <v>TESTED</v>
      </c>
      <c r="T305" s="58" t="str">
        <f>'2024 DO NOT TOUCH'!T306</f>
        <v>PASSED</v>
      </c>
      <c r="U305" s="58">
        <f>'2024 DO NOT TOUCH'!U306</f>
        <v>0</v>
      </c>
      <c r="V305" s="58">
        <f>'2024 DO NOT TOUCH'!V306</f>
        <v>0</v>
      </c>
      <c r="W305" s="58">
        <f>'2024 DO NOT TOUCH'!W306</f>
        <v>0</v>
      </c>
      <c r="X305" s="67">
        <f>'2024 DO NOT TOUCH'!X306</f>
        <v>0</v>
      </c>
      <c r="Y305" s="58">
        <f>'2024 DO NOT TOUCH'!Y306</f>
        <v>0</v>
      </c>
    </row>
    <row r="306" spans="1:25" ht="19.5" customHeight="1">
      <c r="A306" s="77" t="str">
        <f>'2024 DO NOT TOUCH'!A307</f>
        <v>2262</v>
      </c>
      <c r="B306" s="78" t="str">
        <f>'2024 DO NOT TOUCH'!B307</f>
        <v>WARRIOR DFAC</v>
      </c>
      <c r="C306" s="77" t="str">
        <f>'2024 DO NOT TOUCH'!C307</f>
        <v>W358322</v>
      </c>
      <c r="D306" s="78" t="str">
        <f>'2024 DO NOT TOUCH'!D307</f>
        <v>WILKINS</v>
      </c>
      <c r="E306" s="77" t="str">
        <f>'2024 DO NOT TOUCH'!E307</f>
        <v>975XL</v>
      </c>
      <c r="F306" s="78" t="str">
        <f>'2024 DO NOT TOUCH'!F307</f>
        <v>RP</v>
      </c>
      <c r="G306" s="77" t="str">
        <f>'2024 DO NOT TOUCH'!G307</f>
        <v>0.5</v>
      </c>
      <c r="H306" s="78" t="str">
        <f>'2024 DO NOT TOUCH'!H307</f>
        <v xml:space="preserve">IN CLOSET ON MOP SINK SUPPLY </v>
      </c>
      <c r="I306" s="77" t="str">
        <f>'2024 DO NOT TOUCH'!I307</f>
        <v>INPREMISE</v>
      </c>
      <c r="J306" s="78" t="str">
        <f>'2024 DO NOT TOUCH'!J307</f>
        <v>AOI</v>
      </c>
      <c r="K306" s="77" t="str">
        <f>'2024 DO NOT TOUCH'!K307</f>
        <v>ACTIVE</v>
      </c>
      <c r="L306" s="79">
        <f>'2024 DO NOT TOUCH'!L307</f>
        <v>44627</v>
      </c>
      <c r="M306" s="77" t="b">
        <f>'2024 DO NOT TOUCH'!M307</f>
        <v>0</v>
      </c>
      <c r="N306" s="78">
        <f>'2024 DO NOT TOUCH'!N307</f>
        <v>45355</v>
      </c>
      <c r="O306" s="77" t="str">
        <f>'2024 DO NOT TOUCH'!O307</f>
        <v>LARIOS</v>
      </c>
      <c r="P306" s="83">
        <f>'2024 DO NOT TOUCH'!P307</f>
        <v>9.1999999999999993</v>
      </c>
      <c r="Q306" s="83">
        <f>'2024 DO NOT TOUCH'!Q307</f>
        <v>0</v>
      </c>
      <c r="R306" s="83">
        <f>'2024 DO NOT TOUCH'!R307</f>
        <v>3.2</v>
      </c>
      <c r="S306" s="77" t="str">
        <f>'2024 DO NOT TOUCH'!S307</f>
        <v>TESTED</v>
      </c>
      <c r="T306" s="77" t="str">
        <f>'2024 DO NOT TOUCH'!T307</f>
        <v>PASSED</v>
      </c>
      <c r="U306" s="77">
        <f>'2024 DO NOT TOUCH'!U307</f>
        <v>0</v>
      </c>
      <c r="V306" s="77" t="str">
        <f>'2024 DO NOT TOUCH'!V307</f>
        <v>Y</v>
      </c>
      <c r="W306" s="77">
        <f>'2024 DO NOT TOUCH'!W307</f>
        <v>0</v>
      </c>
      <c r="X306" s="83" t="str">
        <f>'2024 DO NOT TOUCH'!X307</f>
        <v>W358583</v>
      </c>
      <c r="Y306" s="77">
        <f>'2024 DO NOT TOUCH'!Y307</f>
        <v>0</v>
      </c>
    </row>
    <row r="307" spans="1:25" ht="19.5" customHeight="1">
      <c r="A307" s="58" t="str">
        <f>'2024 DO NOT TOUCH'!A308</f>
        <v>2262</v>
      </c>
      <c r="B307" s="59" t="str">
        <f>'2024 DO NOT TOUCH'!B308</f>
        <v>WARRIOR DFAC</v>
      </c>
      <c r="C307" s="58" t="str">
        <f>'2024 DO NOT TOUCH'!C308</f>
        <v>H00451</v>
      </c>
      <c r="D307" s="59" t="str">
        <f>'2024 DO NOT TOUCH'!D308</f>
        <v>FEBCO</v>
      </c>
      <c r="E307" s="58" t="str">
        <f>'2024 DO NOT TOUCH'!E308</f>
        <v>850</v>
      </c>
      <c r="F307" s="59" t="str">
        <f>'2024 DO NOT TOUCH'!F308</f>
        <v>DC</v>
      </c>
      <c r="G307" s="58" t="str">
        <f>'2024 DO NOT TOUCH'!G308</f>
        <v>0.5</v>
      </c>
      <c r="H307" s="59" t="str">
        <f>'2024 DO NOT TOUCH'!H308</f>
        <v>ON GARBAGE DISPOSAL IN KITCHEN</v>
      </c>
      <c r="I307" s="58" t="str">
        <f>'2024 DO NOT TOUCH'!I308</f>
        <v>INPREMISE</v>
      </c>
      <c r="J307" s="59" t="str">
        <f>'2024 DO NOT TOUCH'!J308</f>
        <v>AOI</v>
      </c>
      <c r="K307" s="58" t="str">
        <f>'2024 DO NOT TOUCH'!K308</f>
        <v>ACTIVE</v>
      </c>
      <c r="L307" s="71">
        <f>'2024 DO NOT TOUCH'!L308</f>
        <v>44627</v>
      </c>
      <c r="M307" s="58" t="b">
        <f>'2024 DO NOT TOUCH'!M308</f>
        <v>0</v>
      </c>
      <c r="N307" s="59">
        <f>'2024 DO NOT TOUCH'!N308</f>
        <v>45355</v>
      </c>
      <c r="O307" s="58" t="str">
        <f>'2024 DO NOT TOUCH'!O308</f>
        <v>LARIOS</v>
      </c>
      <c r="P307" s="65">
        <f>'2024 DO NOT TOUCH'!P308</f>
        <v>0</v>
      </c>
      <c r="Q307" s="65">
        <f>'2024 DO NOT TOUCH'!Q308</f>
        <v>0</v>
      </c>
      <c r="R307" s="65">
        <f>'2024 DO NOT TOUCH'!R308</f>
        <v>0</v>
      </c>
      <c r="S307" s="62" t="str">
        <f>'2024 DO NOT TOUCH'!S308</f>
        <v>UNTESTED</v>
      </c>
      <c r="T307" s="62">
        <f>'2024 DO NOT TOUCH'!T308</f>
        <v>0</v>
      </c>
      <c r="U307" s="62">
        <f>'2024 DO NOT TOUCH'!U308</f>
        <v>0</v>
      </c>
      <c r="V307" s="62">
        <f>'2024 DO NOT TOUCH'!V308</f>
        <v>0</v>
      </c>
      <c r="W307" s="62">
        <f>'2024 DO NOT TOUCH'!W308</f>
        <v>0</v>
      </c>
      <c r="X307" s="65">
        <f>'2024 DO NOT TOUCH'!X308</f>
        <v>0</v>
      </c>
      <c r="Y307" s="62" t="str">
        <f>'2024 DO NOT TOUCH'!Y308</f>
        <v>ISOLATED</v>
      </c>
    </row>
    <row r="308" spans="1:25" ht="19.5" customHeight="1">
      <c r="A308" s="55" t="str">
        <f>'2024 DO NOT TOUCH'!A309</f>
        <v>2262</v>
      </c>
      <c r="B308" s="3" t="str">
        <f>'2024 DO NOT TOUCH'!B309</f>
        <v>WARRIOR DFAC</v>
      </c>
      <c r="C308" s="55" t="str">
        <f>'2024 DO NOT TOUCH'!C309</f>
        <v>H00422</v>
      </c>
      <c r="D308" s="3" t="str">
        <f>'2024 DO NOT TOUCH'!D309</f>
        <v>FEBCO</v>
      </c>
      <c r="E308" s="55" t="str">
        <f>'2024 DO NOT TOUCH'!E309</f>
        <v>850</v>
      </c>
      <c r="F308" s="3" t="str">
        <f>'2024 DO NOT TOUCH'!F309</f>
        <v>DC</v>
      </c>
      <c r="G308" s="55" t="str">
        <f>'2024 DO NOT TOUCH'!G309</f>
        <v>0.5</v>
      </c>
      <c r="H308" s="3" t="str">
        <f>'2024 DO NOT TOUCH'!H309</f>
        <v>ON COFFEE MAKER IN KITCHEN</v>
      </c>
      <c r="I308" s="55" t="str">
        <f>'2024 DO NOT TOUCH'!I309</f>
        <v>INPREMISE</v>
      </c>
      <c r="J308" s="3" t="str">
        <f>'2024 DO NOT TOUCH'!J309</f>
        <v>AOI</v>
      </c>
      <c r="K308" s="55" t="str">
        <f>'2024 DO NOT TOUCH'!K309</f>
        <v>INACTIVE</v>
      </c>
      <c r="L308" s="72">
        <f>'2024 DO NOT TOUCH'!L309</f>
        <v>44935</v>
      </c>
      <c r="M308" s="55" t="b">
        <f>'2024 DO NOT TOUCH'!M309</f>
        <v>0</v>
      </c>
      <c r="N308" s="3">
        <f>'2024 DO NOT TOUCH'!N309</f>
        <v>45355</v>
      </c>
      <c r="O308" s="55" t="str">
        <f>'2024 DO NOT TOUCH'!O309</f>
        <v>LARIOS</v>
      </c>
      <c r="P308" s="64">
        <f>'2024 DO NOT TOUCH'!P309</f>
        <v>2.8</v>
      </c>
      <c r="Q308" s="64">
        <f>'2024 DO NOT TOUCH'!Q309</f>
        <v>2.2000000000000002</v>
      </c>
      <c r="R308" s="64">
        <f>'2024 DO NOT TOUCH'!R309</f>
        <v>0</v>
      </c>
      <c r="S308" s="57" t="str">
        <f>'2024 DO NOT TOUCH'!S309</f>
        <v>TESTED</v>
      </c>
      <c r="T308" s="57">
        <f>'2024 DO NOT TOUCH'!T309</f>
        <v>0</v>
      </c>
      <c r="U308" s="57">
        <f>'2024 DO NOT TOUCH'!U309</f>
        <v>0</v>
      </c>
      <c r="V308" s="57">
        <f>'2024 DO NOT TOUCH'!V309</f>
        <v>0</v>
      </c>
      <c r="W308" s="57">
        <f>'2024 DO NOT TOUCH'!W309</f>
        <v>0</v>
      </c>
      <c r="X308" s="64">
        <f>'2024 DO NOT TOUCH'!X309</f>
        <v>0</v>
      </c>
      <c r="Y308" s="57">
        <f>'2024 DO NOT TOUCH'!Y309</f>
        <v>0</v>
      </c>
    </row>
    <row r="309" spans="1:25" ht="19.5" customHeight="1">
      <c r="A309" s="58" t="str">
        <f>'2024 DO NOT TOUCH'!A310</f>
        <v>2262</v>
      </c>
      <c r="B309" s="59" t="str">
        <f>'2024 DO NOT TOUCH'!B310</f>
        <v>WARRIOR DFAC</v>
      </c>
      <c r="C309" s="58" t="str">
        <f>'2024 DO NOT TOUCH'!C310</f>
        <v>U45549</v>
      </c>
      <c r="D309" s="59" t="str">
        <f>'2024 DO NOT TOUCH'!D310</f>
        <v>WILKINS</v>
      </c>
      <c r="E309" s="58" t="str">
        <f>'2024 DO NOT TOUCH'!E310</f>
        <v>350A</v>
      </c>
      <c r="F309" s="59" t="str">
        <f>'2024 DO NOT TOUCH'!F310</f>
        <v>DC</v>
      </c>
      <c r="G309" s="58" t="str">
        <f>'2024 DO NOT TOUCH'!G310</f>
        <v>4.0</v>
      </c>
      <c r="H309" s="59" t="str">
        <f>'2024 DO NOT TOUCH'!H310</f>
        <v>IN MECH RM ON PREMISE</v>
      </c>
      <c r="I309" s="58" t="str">
        <f>'2024 DO NOT TOUCH'!I310</f>
        <v>PREMISE</v>
      </c>
      <c r="J309" s="59" t="str">
        <f>'2024 DO NOT TOUCH'!J310</f>
        <v>PREMISE</v>
      </c>
      <c r="K309" s="58" t="str">
        <f>'2024 DO NOT TOUCH'!K310</f>
        <v>ACTIVE</v>
      </c>
      <c r="L309" s="71">
        <f>'2024 DO NOT TOUCH'!L310</f>
        <v>44627</v>
      </c>
      <c r="M309" s="58" t="b">
        <f>'2024 DO NOT TOUCH'!M310</f>
        <v>0</v>
      </c>
      <c r="N309" s="59">
        <f>'2024 DO NOT TOUCH'!N310</f>
        <v>45355</v>
      </c>
      <c r="O309" s="58" t="str">
        <f>'2024 DO NOT TOUCH'!O310</f>
        <v>LARIOS</v>
      </c>
      <c r="P309" s="65">
        <f>'2024 DO NOT TOUCH'!P310</f>
        <v>2.4</v>
      </c>
      <c r="Q309" s="65">
        <f>'2024 DO NOT TOUCH'!Q310</f>
        <v>2.8</v>
      </c>
      <c r="R309" s="65">
        <f>'2024 DO NOT TOUCH'!R310</f>
        <v>0</v>
      </c>
      <c r="S309" s="62" t="str">
        <f>'2024 DO NOT TOUCH'!S310</f>
        <v>TESTED</v>
      </c>
      <c r="T309" s="62" t="str">
        <f>'2024 DO NOT TOUCH'!T310</f>
        <v>PASSED</v>
      </c>
      <c r="U309" s="62">
        <f>'2024 DO NOT TOUCH'!U310</f>
        <v>0</v>
      </c>
      <c r="V309" s="62">
        <f>'2024 DO NOT TOUCH'!V310</f>
        <v>0</v>
      </c>
      <c r="W309" s="62">
        <f>'2024 DO NOT TOUCH'!W310</f>
        <v>0</v>
      </c>
      <c r="X309" s="65">
        <f>'2024 DO NOT TOUCH'!X310</f>
        <v>0</v>
      </c>
      <c r="Y309" s="62">
        <f>'2024 DO NOT TOUCH'!Y310</f>
        <v>0</v>
      </c>
    </row>
    <row r="310" spans="1:25" ht="19.5" customHeight="1">
      <c r="A310" s="55" t="str">
        <f>'2024 DO NOT TOUCH'!A311</f>
        <v>2262</v>
      </c>
      <c r="B310" s="55" t="str">
        <f>'2024 DO NOT TOUCH'!B311</f>
        <v>WARRIOR DFAC</v>
      </c>
      <c r="C310" s="55" t="str">
        <f>'2024 DO NOT TOUCH'!C311</f>
        <v>3064570</v>
      </c>
      <c r="D310" s="55" t="str">
        <f>'2024 DO NOT TOUCH'!D311</f>
        <v>WILKINS</v>
      </c>
      <c r="E310" s="55" t="str">
        <f>'2024 DO NOT TOUCH'!E311</f>
        <v>950XLT</v>
      </c>
      <c r="F310" s="55" t="str">
        <f>'2024 DO NOT TOUCH'!F311</f>
        <v>DC</v>
      </c>
      <c r="G310" s="55" t="str">
        <f>'2024 DO NOT TOUCH'!G311</f>
        <v>0.75</v>
      </c>
      <c r="H310" s="55" t="str">
        <f>'2024 DO NOT TOUCH'!H311</f>
        <v>ON GAYLORD FIRE SYS</v>
      </c>
      <c r="I310" s="55" t="str">
        <f>'2024 DO NOT TOUCH'!I311</f>
        <v>PREMISE</v>
      </c>
      <c r="J310" s="55" t="str">
        <f>'2024 DO NOT TOUCH'!J311</f>
        <v>FIRE</v>
      </c>
      <c r="K310" s="55" t="str">
        <f>'2024 DO NOT TOUCH'!K311</f>
        <v>ACTIVE</v>
      </c>
      <c r="L310" s="56">
        <f>'2024 DO NOT TOUCH'!L311</f>
        <v>44627</v>
      </c>
      <c r="M310" s="56" t="b">
        <f>'2024 DO NOT TOUCH'!M311</f>
        <v>0</v>
      </c>
      <c r="N310" s="56">
        <f>'2024 DO NOT TOUCH'!N311</f>
        <v>0</v>
      </c>
      <c r="O310" s="55">
        <f>'2024 DO NOT TOUCH'!O311</f>
        <v>0</v>
      </c>
      <c r="P310" s="64">
        <f>'2024 DO NOT TOUCH'!P311</f>
        <v>0</v>
      </c>
      <c r="Q310" s="64">
        <f>'2024 DO NOT TOUCH'!Q311</f>
        <v>0</v>
      </c>
      <c r="R310" s="64">
        <f>'2024 DO NOT TOUCH'!R311</f>
        <v>0</v>
      </c>
      <c r="S310" s="55" t="str">
        <f>'2024 DO NOT TOUCH'!S311</f>
        <v>TESTED</v>
      </c>
      <c r="T310" s="55" t="str">
        <f>'2024 DO NOT TOUCH'!T311</f>
        <v>PASSED</v>
      </c>
      <c r="U310" s="55">
        <f>'2024 DO NOT TOUCH'!U311</f>
        <v>0</v>
      </c>
      <c r="V310" s="55">
        <f>'2024 DO NOT TOUCH'!V311</f>
        <v>0</v>
      </c>
      <c r="W310" s="55">
        <f>'2024 DO NOT TOUCH'!W311</f>
        <v>0</v>
      </c>
      <c r="X310" s="66">
        <f>'2024 DO NOT TOUCH'!X311</f>
        <v>0</v>
      </c>
      <c r="Y310" s="55">
        <f>'2024 DO NOT TOUCH'!Y311</f>
        <v>0</v>
      </c>
    </row>
    <row r="311" spans="1:25" ht="19.5" customHeight="1">
      <c r="A311" s="58" t="str">
        <f>'2024 DO NOT TOUCH'!A312</f>
        <v>2262</v>
      </c>
      <c r="B311" s="59" t="str">
        <f>'2024 DO NOT TOUCH'!B312</f>
        <v>WARRIOR DFAC</v>
      </c>
      <c r="C311" s="58" t="str">
        <f>'2024 DO NOT TOUCH'!C312</f>
        <v>A493654</v>
      </c>
      <c r="D311" s="59" t="str">
        <f>'2024 DO NOT TOUCH'!D312</f>
        <v>WILKINS</v>
      </c>
      <c r="E311" s="58" t="str">
        <f>'2024 DO NOT TOUCH'!E312</f>
        <v>350XL</v>
      </c>
      <c r="F311" s="59" t="str">
        <f>'2024 DO NOT TOUCH'!F312</f>
        <v>DC</v>
      </c>
      <c r="G311" s="58" t="str">
        <f>'2024 DO NOT TOUCH'!G312</f>
        <v>0.75</v>
      </c>
      <c r="H311" s="59" t="str">
        <f>'2024 DO NOT TOUCH'!H312</f>
        <v>ON GAYLORD FIRE SYS IN CLOSET BEHIND CLOTHES</v>
      </c>
      <c r="I311" s="58" t="str">
        <f>'2024 DO NOT TOUCH'!I312</f>
        <v>PREMISE</v>
      </c>
      <c r="J311" s="59" t="str">
        <f>'2024 DO NOT TOUCH'!J312</f>
        <v>FIRE</v>
      </c>
      <c r="K311" s="58" t="str">
        <f>'2024 DO NOT TOUCH'!K312</f>
        <v>ACTIVE</v>
      </c>
      <c r="L311" s="71">
        <f>'2024 DO NOT TOUCH'!L312</f>
        <v>44935</v>
      </c>
      <c r="M311" s="58" t="b">
        <f>'2024 DO NOT TOUCH'!M312</f>
        <v>0</v>
      </c>
      <c r="N311" s="59">
        <f>'2024 DO NOT TOUCH'!N312</f>
        <v>45355</v>
      </c>
      <c r="O311" s="58" t="str">
        <f>'2024 DO NOT TOUCH'!O312</f>
        <v>LARIOS</v>
      </c>
      <c r="P311" s="65">
        <f>'2024 DO NOT TOUCH'!P312</f>
        <v>2.6</v>
      </c>
      <c r="Q311" s="65">
        <f>'2024 DO NOT TOUCH'!Q312</f>
        <v>2.2000000000000002</v>
      </c>
      <c r="R311" s="65">
        <f>'2024 DO NOT TOUCH'!R312</f>
        <v>0</v>
      </c>
      <c r="S311" s="62" t="str">
        <f>'2024 DO NOT TOUCH'!S312</f>
        <v>TESTED</v>
      </c>
      <c r="T311" s="62" t="str">
        <f>'2024 DO NOT TOUCH'!T312</f>
        <v>PASSED</v>
      </c>
      <c r="U311" s="62">
        <f>'2024 DO NOT TOUCH'!U312</f>
        <v>0</v>
      </c>
      <c r="V311" s="62">
        <f>'2024 DO NOT TOUCH'!V312</f>
        <v>0</v>
      </c>
      <c r="W311" s="62">
        <f>'2024 DO NOT TOUCH'!W312</f>
        <v>0</v>
      </c>
      <c r="X311" s="65">
        <f>'2024 DO NOT TOUCH'!X312</f>
        <v>0</v>
      </c>
      <c r="Y311" s="62">
        <f>'2024 DO NOT TOUCH'!Y312</f>
        <v>0</v>
      </c>
    </row>
    <row r="312" spans="1:25" ht="19.5" customHeight="1">
      <c r="A312" s="55" t="str">
        <f>'2024 DO NOT TOUCH'!A313</f>
        <v>2262</v>
      </c>
      <c r="B312" s="3" t="str">
        <f>'2024 DO NOT TOUCH'!B313</f>
        <v>WARRIOR DFAC</v>
      </c>
      <c r="C312" s="55" t="str">
        <f>'2024 DO NOT TOUCH'!C313</f>
        <v>A493643</v>
      </c>
      <c r="D312" s="3" t="str">
        <f>'2024 DO NOT TOUCH'!D313</f>
        <v>WILKINS</v>
      </c>
      <c r="E312" s="55" t="str">
        <f>'2024 DO NOT TOUCH'!E313</f>
        <v>350XL</v>
      </c>
      <c r="F312" s="3" t="str">
        <f>'2024 DO NOT TOUCH'!F313</f>
        <v>DC</v>
      </c>
      <c r="G312" s="55" t="str">
        <f>'2024 DO NOT TOUCH'!G313</f>
        <v>0.75</v>
      </c>
      <c r="H312" s="3" t="str">
        <f>'2024 DO NOT TOUCH'!H313</f>
        <v>ON GAYLORD FIRE SYS</v>
      </c>
      <c r="I312" s="55" t="str">
        <f>'2024 DO NOT TOUCH'!I313</f>
        <v>PREMISE</v>
      </c>
      <c r="J312" s="3" t="str">
        <f>'2024 DO NOT TOUCH'!J313</f>
        <v>FIRE</v>
      </c>
      <c r="K312" s="55" t="str">
        <f>'2024 DO NOT TOUCH'!K313</f>
        <v>ACTIVE</v>
      </c>
      <c r="L312" s="72">
        <f>'2024 DO NOT TOUCH'!L313</f>
        <v>44627</v>
      </c>
      <c r="M312" s="55" t="b">
        <f>'2024 DO NOT TOUCH'!M313</f>
        <v>0</v>
      </c>
      <c r="N312" s="3">
        <f>'2024 DO NOT TOUCH'!N313</f>
        <v>45355</v>
      </c>
      <c r="O312" s="55" t="str">
        <f>'2024 DO NOT TOUCH'!O313</f>
        <v>LARIOS</v>
      </c>
      <c r="P312" s="64">
        <f>'2024 DO NOT TOUCH'!P313</f>
        <v>0</v>
      </c>
      <c r="Q312" s="64">
        <f>'2024 DO NOT TOUCH'!Q313</f>
        <v>0</v>
      </c>
      <c r="R312" s="64">
        <f>'2024 DO NOT TOUCH'!R313</f>
        <v>0</v>
      </c>
      <c r="S312" s="57" t="str">
        <f>'2024 DO NOT TOUCH'!S313</f>
        <v>UNTESTED</v>
      </c>
      <c r="T312" s="57">
        <f>'2024 DO NOT TOUCH'!T313</f>
        <v>0</v>
      </c>
      <c r="U312" s="57">
        <f>'2024 DO NOT TOUCH'!U313</f>
        <v>0</v>
      </c>
      <c r="V312" s="57">
        <f>'2024 DO NOT TOUCH'!V313</f>
        <v>0</v>
      </c>
      <c r="W312" s="57">
        <f>'2024 DO NOT TOUCH'!W313</f>
        <v>0</v>
      </c>
      <c r="X312" s="64">
        <f>'2024 DO NOT TOUCH'!X313</f>
        <v>0</v>
      </c>
      <c r="Y312" s="57" t="str">
        <f>'2024 DO NOT TOUCH'!Y313</f>
        <v>ISO</v>
      </c>
    </row>
    <row r="313" spans="1:25" ht="19.5" customHeight="1">
      <c r="A313" s="58" t="str">
        <f>'2024 DO NOT TOUCH'!A314</f>
        <v>2262</v>
      </c>
      <c r="B313" s="59" t="str">
        <f>'2024 DO NOT TOUCH'!B314</f>
        <v>WARRIOR DFAC</v>
      </c>
      <c r="C313" s="58" t="str">
        <f>'2024 DO NOT TOUCH'!C314</f>
        <v>R2277</v>
      </c>
      <c r="D313" s="59" t="str">
        <f>'2024 DO NOT TOUCH'!D314</f>
        <v>FEBCO</v>
      </c>
      <c r="E313" s="58" t="str">
        <f>'2024 DO NOT TOUCH'!E314</f>
        <v>805Y</v>
      </c>
      <c r="F313" s="59" t="str">
        <f>'2024 DO NOT TOUCH'!F314</f>
        <v>DC</v>
      </c>
      <c r="G313" s="58" t="str">
        <f>'2024 DO NOT TOUCH'!G314</f>
        <v>1.5</v>
      </c>
      <c r="H313" s="59" t="str">
        <f>'2024 DO NOT TOUCH'!H314</f>
        <v>IRRIGATION IN MECH RM</v>
      </c>
      <c r="I313" s="58" t="str">
        <f>'2024 DO NOT TOUCH'!I314</f>
        <v>PREMISE</v>
      </c>
      <c r="J313" s="59" t="str">
        <f>'2024 DO NOT TOUCH'!J314</f>
        <v>IRR</v>
      </c>
      <c r="K313" s="58" t="str">
        <f>'2024 DO NOT TOUCH'!K314</f>
        <v>ACTIVE</v>
      </c>
      <c r="L313" s="71">
        <f>'2024 DO NOT TOUCH'!L314</f>
        <v>44750</v>
      </c>
      <c r="M313" s="58" t="b">
        <f>'2024 DO NOT TOUCH'!M314</f>
        <v>0</v>
      </c>
      <c r="N313" s="59">
        <f>'2024 DO NOT TOUCH'!N314</f>
        <v>45362</v>
      </c>
      <c r="O313" s="58" t="str">
        <f>'2024 DO NOT TOUCH'!O314</f>
        <v>ELI</v>
      </c>
      <c r="P313" s="65">
        <f>'2024 DO NOT TOUCH'!P314</f>
        <v>2.6</v>
      </c>
      <c r="Q313" s="65">
        <f>'2024 DO NOT TOUCH'!Q314</f>
        <v>2.4</v>
      </c>
      <c r="R313" s="65">
        <f>'2024 DO NOT TOUCH'!R314</f>
        <v>0</v>
      </c>
      <c r="S313" s="62" t="str">
        <f>'2024 DO NOT TOUCH'!S314</f>
        <v>TESTED</v>
      </c>
      <c r="T313" s="62" t="str">
        <f>'2024 DO NOT TOUCH'!T314</f>
        <v>PASSED</v>
      </c>
      <c r="U313" s="62">
        <f>'2024 DO NOT TOUCH'!U314</f>
        <v>0</v>
      </c>
      <c r="V313" s="62">
        <f>'2024 DO NOT TOUCH'!V314</f>
        <v>0</v>
      </c>
      <c r="W313" s="62">
        <f>'2024 DO NOT TOUCH'!W314</f>
        <v>0</v>
      </c>
      <c r="X313" s="65">
        <f>'2024 DO NOT TOUCH'!X314</f>
        <v>0</v>
      </c>
      <c r="Y313" s="62">
        <f>'2024 DO NOT TOUCH'!Y314</f>
        <v>0</v>
      </c>
    </row>
    <row r="314" spans="1:25" ht="19.5" customHeight="1">
      <c r="A314" s="55" t="str">
        <f>'2024 DO NOT TOUCH'!A315</f>
        <v>2262</v>
      </c>
      <c r="B314" s="3" t="str">
        <f>'2024 DO NOT TOUCH'!B315</f>
        <v>WARRIOR DFAC</v>
      </c>
      <c r="C314" s="55" t="str">
        <f>'2024 DO NOT TOUCH'!C315</f>
        <v>H00106</v>
      </c>
      <c r="D314" s="3" t="str">
        <f>'2024 DO NOT TOUCH'!D315</f>
        <v>FEBCO</v>
      </c>
      <c r="E314" s="55" t="str">
        <f>'2024 DO NOT TOUCH'!E315</f>
        <v>850</v>
      </c>
      <c r="F314" s="3" t="str">
        <f>'2024 DO NOT TOUCH'!F315</f>
        <v>DC</v>
      </c>
      <c r="G314" s="55" t="str">
        <f>'2024 DO NOT TOUCH'!G315</f>
        <v>0.5</v>
      </c>
      <c r="H314" s="3" t="str">
        <f>'2024 DO NOT TOUCH'!H315</f>
        <v xml:space="preserve">UNDER SINK DISPOSAL </v>
      </c>
      <c r="I314" s="55" t="str">
        <f>'2024 DO NOT TOUCH'!I315</f>
        <v>INPREMISE</v>
      </c>
      <c r="J314" s="3" t="str">
        <f>'2024 DO NOT TOUCH'!J315</f>
        <v>AOI</v>
      </c>
      <c r="K314" s="55" t="str">
        <f>'2024 DO NOT TOUCH'!K315</f>
        <v>ACTIVE</v>
      </c>
      <c r="L314" s="72">
        <f>'2024 DO NOT TOUCH'!L315</f>
        <v>44630</v>
      </c>
      <c r="M314" s="55" t="b">
        <f>'2024 DO NOT TOUCH'!M315</f>
        <v>0</v>
      </c>
      <c r="N314" s="3">
        <f>'2024 DO NOT TOUCH'!N315</f>
        <v>45355</v>
      </c>
      <c r="O314" s="55" t="str">
        <f>'2024 DO NOT TOUCH'!O315</f>
        <v>LARIOS</v>
      </c>
      <c r="P314" s="66">
        <f>'2024 DO NOT TOUCH'!P315</f>
        <v>1.2</v>
      </c>
      <c r="Q314" s="66">
        <f>'2024 DO NOT TOUCH'!Q315</f>
        <v>1.8</v>
      </c>
      <c r="R314" s="66">
        <f>'2024 DO NOT TOUCH'!R315</f>
        <v>0</v>
      </c>
      <c r="S314" s="55" t="str">
        <f>'2024 DO NOT TOUCH'!S315</f>
        <v>TESTED</v>
      </c>
      <c r="T314" s="55" t="str">
        <f>'2024 DO NOT TOUCH'!T315</f>
        <v>PASSED</v>
      </c>
      <c r="U314" s="55">
        <f>'2024 DO NOT TOUCH'!U315</f>
        <v>0</v>
      </c>
      <c r="V314" s="55">
        <f>'2024 DO NOT TOUCH'!V315</f>
        <v>0</v>
      </c>
      <c r="W314" s="55">
        <f>'2024 DO NOT TOUCH'!W315</f>
        <v>0</v>
      </c>
      <c r="X314" s="66">
        <f>'2024 DO NOT TOUCH'!X315</f>
        <v>0</v>
      </c>
      <c r="Y314" s="55">
        <f>'2024 DO NOT TOUCH'!Y315</f>
        <v>0</v>
      </c>
    </row>
    <row r="315" spans="1:25" ht="19.5" customHeight="1">
      <c r="A315" s="58" t="str">
        <f>'2024 DO NOT TOUCH'!A316</f>
        <v>2262</v>
      </c>
      <c r="B315" s="59" t="str">
        <f>'2024 DO NOT TOUCH'!B316</f>
        <v>WARRIOR DFAC</v>
      </c>
      <c r="C315" s="58" t="str">
        <f>'2024 DO NOT TOUCH'!C316</f>
        <v>124055</v>
      </c>
      <c r="D315" s="59" t="str">
        <f>'2024 DO NOT TOUCH'!D316</f>
        <v>WATTS</v>
      </c>
      <c r="E315" s="58" t="str">
        <f>'2024 DO NOT TOUCH'!E316</f>
        <v>LF009QT</v>
      </c>
      <c r="F315" s="59" t="str">
        <f>'2024 DO NOT TOUCH'!F316</f>
        <v>RP</v>
      </c>
      <c r="G315" s="58" t="str">
        <f>'2024 DO NOT TOUCH'!G316</f>
        <v>0.5</v>
      </c>
      <c r="H315" s="59" t="str">
        <f>'2024 DO NOT TOUCH'!H316</f>
        <v>ON DRINK MACHINES IN DINING AREA</v>
      </c>
      <c r="I315" s="58" t="str">
        <f>'2024 DO NOT TOUCH'!I316</f>
        <v>INPREMISE</v>
      </c>
      <c r="J315" s="59" t="str">
        <f>'2024 DO NOT TOUCH'!J316</f>
        <v>AOI</v>
      </c>
      <c r="K315" s="58" t="str">
        <f>'2024 DO NOT TOUCH'!K316</f>
        <v>ACTIVE</v>
      </c>
      <c r="L315" s="71">
        <f>'2024 DO NOT TOUCH'!L316</f>
        <v>44627</v>
      </c>
      <c r="M315" s="58" t="b">
        <f>'2024 DO NOT TOUCH'!M316</f>
        <v>0</v>
      </c>
      <c r="N315" s="59">
        <f>'2024 DO NOT TOUCH'!N316</f>
        <v>45355</v>
      </c>
      <c r="O315" s="58" t="str">
        <f>'2024 DO NOT TOUCH'!O316</f>
        <v>LARIOS</v>
      </c>
      <c r="P315" s="67">
        <f>'2024 DO NOT TOUCH'!P316</f>
        <v>2.8</v>
      </c>
      <c r="Q315" s="67">
        <f>'2024 DO NOT TOUCH'!Q316</f>
        <v>2</v>
      </c>
      <c r="R315" s="67">
        <f>'2024 DO NOT TOUCH'!R316</f>
        <v>0</v>
      </c>
      <c r="S315" s="58" t="str">
        <f>'2024 DO NOT TOUCH'!S316</f>
        <v>TESTED</v>
      </c>
      <c r="T315" s="58" t="str">
        <f>'2024 DO NOT TOUCH'!T316</f>
        <v>PASSED</v>
      </c>
      <c r="U315" s="58">
        <f>'2024 DO NOT TOUCH'!U316</f>
        <v>0</v>
      </c>
      <c r="V315" s="58">
        <f>'2024 DO NOT TOUCH'!V316</f>
        <v>0</v>
      </c>
      <c r="W315" s="58">
        <f>'2024 DO NOT TOUCH'!W316</f>
        <v>0</v>
      </c>
      <c r="X315" s="67">
        <f>'2024 DO NOT TOUCH'!X316</f>
        <v>0</v>
      </c>
      <c r="Y315" s="58">
        <f>'2024 DO NOT TOUCH'!Y316</f>
        <v>0</v>
      </c>
    </row>
    <row r="316" spans="1:25" ht="19.5" customHeight="1">
      <c r="A316" s="77" t="str">
        <f>'2024 DO NOT TOUCH'!A317</f>
        <v>2262</v>
      </c>
      <c r="B316" s="78" t="str">
        <f>'2024 DO NOT TOUCH'!B317</f>
        <v>WARRIOR DFAC</v>
      </c>
      <c r="C316" s="77" t="str">
        <f>'2024 DO NOT TOUCH'!C317</f>
        <v>H60591</v>
      </c>
      <c r="D316" s="78" t="str">
        <f>'2024 DO NOT TOUCH'!D317</f>
        <v>FEBCO</v>
      </c>
      <c r="E316" s="77" t="str">
        <f>'2024 DO NOT TOUCH'!E317</f>
        <v>850</v>
      </c>
      <c r="F316" s="78" t="str">
        <f>'2024 DO NOT TOUCH'!F317</f>
        <v>DC</v>
      </c>
      <c r="G316" s="77" t="str">
        <f>'2024 DO NOT TOUCH'!G317</f>
        <v>0.5</v>
      </c>
      <c r="H316" s="78" t="str">
        <f>'2024 DO NOT TOUCH'!H317</f>
        <v>CLIPPER</v>
      </c>
      <c r="I316" s="77" t="str">
        <f>'2024 DO NOT TOUCH'!I317</f>
        <v>INPREMISE</v>
      </c>
      <c r="J316" s="78" t="str">
        <f>'2024 DO NOT TOUCH'!J317</f>
        <v>AOI</v>
      </c>
      <c r="K316" s="77" t="str">
        <f>'2024 DO NOT TOUCH'!K317</f>
        <v>ACTIVE</v>
      </c>
      <c r="L316" s="79">
        <f>'2024 DO NOT TOUCH'!L317</f>
        <v>44935</v>
      </c>
      <c r="M316" s="77" t="b">
        <f>'2024 DO NOT TOUCH'!M317</f>
        <v>0</v>
      </c>
      <c r="N316" s="78">
        <f>'2024 DO NOT TOUCH'!N317</f>
        <v>0</v>
      </c>
      <c r="O316" s="77">
        <f>'2024 DO NOT TOUCH'!O317</f>
        <v>0</v>
      </c>
      <c r="P316" s="80">
        <f>'2024 DO NOT TOUCH'!P317</f>
        <v>0</v>
      </c>
      <c r="Q316" s="80">
        <f>'2024 DO NOT TOUCH'!Q317</f>
        <v>0</v>
      </c>
      <c r="R316" s="80">
        <f>'2024 DO NOT TOUCH'!R317</f>
        <v>0</v>
      </c>
      <c r="S316" s="81" t="str">
        <f>'2024 DO NOT TOUCH'!S317</f>
        <v>UNTESTED</v>
      </c>
      <c r="T316" s="81">
        <f>'2024 DO NOT TOUCH'!T317</f>
        <v>0</v>
      </c>
      <c r="U316" s="81">
        <f>'2024 DO NOT TOUCH'!U317</f>
        <v>0</v>
      </c>
      <c r="V316" s="81">
        <f>'2024 DO NOT TOUCH'!V317</f>
        <v>0</v>
      </c>
      <c r="W316" s="81">
        <f>'2024 DO NOT TOUCH'!W317</f>
        <v>0</v>
      </c>
      <c r="X316" s="80">
        <f>'2024 DO NOT TOUCH'!X317</f>
        <v>0</v>
      </c>
      <c r="Y316" s="81">
        <f>'2024 DO NOT TOUCH'!Y317</f>
        <v>0</v>
      </c>
    </row>
    <row r="317" spans="1:25" ht="19.5" customHeight="1">
      <c r="A317" s="58" t="str">
        <f>'2024 DO NOT TOUCH'!A318</f>
        <v>2264</v>
      </c>
      <c r="B317" s="59" t="str">
        <f>'2024 DO NOT TOUCH'!B318</f>
        <v>AIRMANS LOUNGE</v>
      </c>
      <c r="C317" s="58" t="str">
        <f>'2024 DO NOT TOUCH'!C318</f>
        <v>A247002</v>
      </c>
      <c r="D317" s="59" t="str">
        <f>'2024 DO NOT TOUCH'!D318</f>
        <v>FEBCO</v>
      </c>
      <c r="E317" s="58" t="str">
        <f>'2024 DO NOT TOUCH'!E318</f>
        <v>825Y</v>
      </c>
      <c r="F317" s="59" t="str">
        <f>'2024 DO NOT TOUCH'!F318</f>
        <v>RP</v>
      </c>
      <c r="G317" s="58" t="str">
        <f>'2024 DO NOT TOUCH'!G318</f>
        <v>0.75</v>
      </c>
      <c r="H317" s="59" t="str">
        <f>'2024 DO NOT TOUCH'!H318</f>
        <v>HVAC MAKEUP IN MECH RM</v>
      </c>
      <c r="I317" s="58" t="str">
        <f>'2024 DO NOT TOUCH'!I318</f>
        <v>INPREMISE</v>
      </c>
      <c r="J317" s="59" t="str">
        <f>'2024 DO NOT TOUCH'!J318</f>
        <v>AOI</v>
      </c>
      <c r="K317" s="58" t="str">
        <f>'2024 DO NOT TOUCH'!K318</f>
        <v>ACTIVE</v>
      </c>
      <c r="L317" s="71">
        <f>'2024 DO NOT TOUCH'!L318</f>
        <v>44662</v>
      </c>
      <c r="M317" s="58" t="b">
        <f>'2024 DO NOT TOUCH'!M318</f>
        <v>0</v>
      </c>
      <c r="N317" s="59">
        <f>'2024 DO NOT TOUCH'!N318</f>
        <v>45390</v>
      </c>
      <c r="O317" s="58" t="str">
        <f>'2024 DO NOT TOUCH'!O318</f>
        <v>PARK</v>
      </c>
      <c r="P317" s="65">
        <f>'2024 DO NOT TOUCH'!P318</f>
        <v>7.2</v>
      </c>
      <c r="Q317" s="65">
        <f>'2024 DO NOT TOUCH'!Q318</f>
        <v>0</v>
      </c>
      <c r="R317" s="65">
        <f>'2024 DO NOT TOUCH'!R318</f>
        <v>3.4</v>
      </c>
      <c r="S317" s="62" t="str">
        <f>'2024 DO NOT TOUCH'!S318</f>
        <v>TESTED</v>
      </c>
      <c r="T317" s="62" t="str">
        <f>'2024 DO NOT TOUCH'!T318</f>
        <v>PASSED</v>
      </c>
      <c r="U317" s="62">
        <f>'2024 DO NOT TOUCH'!U318</f>
        <v>0</v>
      </c>
      <c r="V317" s="62">
        <f>'2024 DO NOT TOUCH'!V318</f>
        <v>0</v>
      </c>
      <c r="W317" s="62">
        <f>'2024 DO NOT TOUCH'!W318</f>
        <v>0</v>
      </c>
      <c r="X317" s="65">
        <f>'2024 DO NOT TOUCH'!X318</f>
        <v>0</v>
      </c>
      <c r="Y317" s="62">
        <f>'2024 DO NOT TOUCH'!Y318</f>
        <v>0</v>
      </c>
    </row>
    <row r="318" spans="1:25" ht="19.5" customHeight="1">
      <c r="A318" s="77" t="str">
        <f>'2024 DO NOT TOUCH'!A319</f>
        <v>2264</v>
      </c>
      <c r="B318" s="78" t="str">
        <f>'2024 DO NOT TOUCH'!B319</f>
        <v>AIRMANS LOUNGE</v>
      </c>
      <c r="C318" s="77" t="str">
        <f>'2024 DO NOT TOUCH'!C319</f>
        <v>W358531</v>
      </c>
      <c r="D318" s="78" t="str">
        <f>'2024 DO NOT TOUCH'!D319</f>
        <v>WILKINS</v>
      </c>
      <c r="E318" s="77" t="str">
        <f>'2024 DO NOT TOUCH'!E319</f>
        <v>975XL</v>
      </c>
      <c r="F318" s="78" t="str">
        <f>'2024 DO NOT TOUCH'!F319</f>
        <v>RP</v>
      </c>
      <c r="G318" s="77" t="str">
        <f>'2024 DO NOT TOUCH'!G319</f>
        <v>0.5</v>
      </c>
      <c r="H318" s="78" t="str">
        <f>'2024 DO NOT TOUCH'!H319</f>
        <v>ICE MACHINE</v>
      </c>
      <c r="I318" s="77" t="str">
        <f>'2024 DO NOT TOUCH'!I319</f>
        <v>INPREMISE</v>
      </c>
      <c r="J318" s="78" t="str">
        <f>'2024 DO NOT TOUCH'!J319</f>
        <v>AOI</v>
      </c>
      <c r="K318" s="77" t="str">
        <f>'2024 DO NOT TOUCH'!K319</f>
        <v>ACTIVE</v>
      </c>
      <c r="L318" s="79">
        <f>'2024 DO NOT TOUCH'!L319</f>
        <v>44662</v>
      </c>
      <c r="M318" s="77" t="b">
        <f>'2024 DO NOT TOUCH'!M319</f>
        <v>0</v>
      </c>
      <c r="N318" s="78">
        <f>'2024 DO NOT TOUCH'!N319</f>
        <v>45390</v>
      </c>
      <c r="O318" s="77" t="str">
        <f>'2024 DO NOT TOUCH'!O319</f>
        <v>PARK</v>
      </c>
      <c r="P318" s="80">
        <f>'2024 DO NOT TOUCH'!P319</f>
        <v>0</v>
      </c>
      <c r="Q318" s="80">
        <f>'2024 DO NOT TOUCH'!Q319</f>
        <v>0</v>
      </c>
      <c r="R318" s="80">
        <f>'2024 DO NOT TOUCH'!R319</f>
        <v>0</v>
      </c>
      <c r="S318" s="81" t="str">
        <f>'2024 DO NOT TOUCH'!S319</f>
        <v>UNTESTED</v>
      </c>
      <c r="T318" s="81" t="str">
        <f>'2024 DO NOT TOUCH'!T319</f>
        <v>PASSED</v>
      </c>
      <c r="U318" s="81">
        <f>'2024 DO NOT TOUCH'!U319</f>
        <v>0</v>
      </c>
      <c r="V318" s="81">
        <f>'2024 DO NOT TOUCH'!V319</f>
        <v>0</v>
      </c>
      <c r="W318" s="81">
        <f>'2024 DO NOT TOUCH'!W319</f>
        <v>0</v>
      </c>
      <c r="X318" s="80">
        <f>'2024 DO NOT TOUCH'!X319</f>
        <v>0</v>
      </c>
      <c r="Y318" s="81" t="str">
        <f>'2024 DO NOT TOUCH'!Y319</f>
        <v>ISOLATED</v>
      </c>
    </row>
    <row r="319" spans="1:25" ht="19.5" customHeight="1">
      <c r="A319" s="58" t="str">
        <f>'2024 DO NOT TOUCH'!A320</f>
        <v>2264</v>
      </c>
      <c r="B319" s="59" t="str">
        <f>'2024 DO NOT TOUCH'!B320</f>
        <v>AIRMANS LOUNGE</v>
      </c>
      <c r="C319" s="58" t="str">
        <f>'2024 DO NOT TOUCH'!C320</f>
        <v>2044595</v>
      </c>
      <c r="D319" s="59" t="str">
        <f>'2024 DO NOT TOUCH'!D320</f>
        <v>WILKINS</v>
      </c>
      <c r="E319" s="58" t="str">
        <f>'2024 DO NOT TOUCH'!E320</f>
        <v>950XLT</v>
      </c>
      <c r="F319" s="59" t="str">
        <f>'2024 DO NOT TOUCH'!F320</f>
        <v>DC</v>
      </c>
      <c r="G319" s="58" t="str">
        <f>'2024 DO NOT TOUCH'!G320</f>
        <v>2.0</v>
      </c>
      <c r="H319" s="59" t="str">
        <f>'2024 DO NOT TOUCH'!H320</f>
        <v>MIDDLE OF GRASS LEFT SIDE OF 2464</v>
      </c>
      <c r="I319" s="58" t="str">
        <f>'2024 DO NOT TOUCH'!I320</f>
        <v>PREMISE</v>
      </c>
      <c r="J319" s="59" t="str">
        <f>'2024 DO NOT TOUCH'!J320</f>
        <v>IRR</v>
      </c>
      <c r="K319" s="58" t="str">
        <f>'2024 DO NOT TOUCH'!K320</f>
        <v>ACTIVE</v>
      </c>
      <c r="L319" s="71">
        <f>'2024 DO NOT TOUCH'!L320</f>
        <v>44662</v>
      </c>
      <c r="M319" s="58" t="b">
        <f>'2024 DO NOT TOUCH'!M320</f>
        <v>0</v>
      </c>
      <c r="N319" s="59">
        <f>'2024 DO NOT TOUCH'!N320</f>
        <v>45443</v>
      </c>
      <c r="O319" s="58" t="str">
        <f>'2024 DO NOT TOUCH'!O320</f>
        <v>LARIOS</v>
      </c>
      <c r="P319" s="67">
        <f>'2024 DO NOT TOUCH'!P320</f>
        <v>2</v>
      </c>
      <c r="Q319" s="67">
        <f>'2024 DO NOT TOUCH'!Q320</f>
        <v>1.6</v>
      </c>
      <c r="R319" s="67">
        <f>'2024 DO NOT TOUCH'!R320</f>
        <v>0</v>
      </c>
      <c r="S319" s="58" t="str">
        <f>'2024 DO NOT TOUCH'!S320</f>
        <v>TESTED</v>
      </c>
      <c r="T319" s="58" t="str">
        <f>'2024 DO NOT TOUCH'!T320</f>
        <v>PASSED</v>
      </c>
      <c r="U319" s="58">
        <f>'2024 DO NOT TOUCH'!U320</f>
        <v>0</v>
      </c>
      <c r="V319" s="58">
        <f>'2024 DO NOT TOUCH'!V320</f>
        <v>0</v>
      </c>
      <c r="W319" s="58">
        <f>'2024 DO NOT TOUCH'!W320</f>
        <v>0</v>
      </c>
      <c r="X319" s="67">
        <f>'2024 DO NOT TOUCH'!X320</f>
        <v>0</v>
      </c>
      <c r="Y319" s="58">
        <f>'2024 DO NOT TOUCH'!Y320</f>
        <v>0</v>
      </c>
    </row>
    <row r="320" spans="1:25" ht="19.5" customHeight="1">
      <c r="A320" s="77" t="str">
        <f>'2024 DO NOT TOUCH'!A321</f>
        <v>2266</v>
      </c>
      <c r="B320" s="78" t="str">
        <f>'2024 DO NOT TOUCH'!B321</f>
        <v>DORM 2266</v>
      </c>
      <c r="C320" s="77" t="str">
        <f>'2024 DO NOT TOUCH'!C321</f>
        <v>1394523</v>
      </c>
      <c r="D320" s="78" t="str">
        <f>'2024 DO NOT TOUCH'!D321</f>
        <v>WILKINS</v>
      </c>
      <c r="E320" s="77" t="str">
        <f>'2024 DO NOT TOUCH'!E321</f>
        <v>975XL</v>
      </c>
      <c r="F320" s="78" t="str">
        <f>'2024 DO NOT TOUCH'!F321</f>
        <v>RP</v>
      </c>
      <c r="G320" s="77" t="str">
        <f>'2024 DO NOT TOUCH'!G321</f>
        <v>0.75</v>
      </c>
      <c r="H320" s="78" t="str">
        <f>'2024 DO NOT TOUCH'!H321</f>
        <v>HVAC MAKEUP</v>
      </c>
      <c r="I320" s="77" t="str">
        <f>'2024 DO NOT TOUCH'!I321</f>
        <v>INPREMISE</v>
      </c>
      <c r="J320" s="78" t="str">
        <f>'2024 DO NOT TOUCH'!J321</f>
        <v>AOI</v>
      </c>
      <c r="K320" s="77" t="str">
        <f>'2024 DO NOT TOUCH'!K321</f>
        <v>ACTIVE</v>
      </c>
      <c r="L320" s="79">
        <f>'2024 DO NOT TOUCH'!L321</f>
        <v>44634</v>
      </c>
      <c r="M320" s="77" t="b">
        <f>'2024 DO NOT TOUCH'!M321</f>
        <v>0</v>
      </c>
      <c r="N320" s="78">
        <f>'2024 DO NOT TOUCH'!N321</f>
        <v>45362</v>
      </c>
      <c r="O320" s="77" t="str">
        <f>'2024 DO NOT TOUCH'!O321</f>
        <v>PASS</v>
      </c>
      <c r="P320" s="83">
        <f>'2024 DO NOT TOUCH'!P321</f>
        <v>0</v>
      </c>
      <c r="Q320" s="83">
        <f>'2024 DO NOT TOUCH'!Q321</f>
        <v>0</v>
      </c>
      <c r="R320" s="83">
        <f>'2024 DO NOT TOUCH'!R321</f>
        <v>0</v>
      </c>
      <c r="S320" s="77" t="str">
        <f>'2024 DO NOT TOUCH'!S321</f>
        <v>TESTED</v>
      </c>
      <c r="T320" s="77" t="str">
        <f>'2024 DO NOT TOUCH'!T321</f>
        <v>PASSED</v>
      </c>
      <c r="U320" s="77" t="str">
        <f>'2024 DO NOT TOUCH'!U321</f>
        <v>PASSED</v>
      </c>
      <c r="V320" s="77" t="str">
        <f>'2024 DO NOT TOUCH'!V321</f>
        <v>EXISTING</v>
      </c>
      <c r="W320" s="77" t="str">
        <f>'2024 DO NOT TOUCH'!W321</f>
        <v>EXISTING</v>
      </c>
      <c r="X320" s="83">
        <f>'2024 DO NOT TOUCH'!X321</f>
        <v>0</v>
      </c>
      <c r="Y320" s="77">
        <f>'2024 DO NOT TOUCH'!Y321</f>
        <v>0</v>
      </c>
    </row>
    <row r="321" spans="1:25" ht="19.5" customHeight="1">
      <c r="A321" s="58" t="str">
        <f>'2024 DO NOT TOUCH'!A322</f>
        <v>2266</v>
      </c>
      <c r="B321" s="59" t="str">
        <f>'2024 DO NOT TOUCH'!B322</f>
        <v>DORM 2266</v>
      </c>
      <c r="C321" s="58" t="str">
        <f>'2024 DO NOT TOUCH'!C322</f>
        <v>J017510</v>
      </c>
      <c r="D321" s="59" t="str">
        <f>'2024 DO NOT TOUCH'!D322</f>
        <v>FEBCO</v>
      </c>
      <c r="E321" s="58" t="str">
        <f>'2024 DO NOT TOUCH'!E322</f>
        <v>825Y</v>
      </c>
      <c r="F321" s="59" t="str">
        <f>'2024 DO NOT TOUCH'!F322</f>
        <v>RP</v>
      </c>
      <c r="G321" s="58" t="str">
        <f>'2024 DO NOT TOUCH'!G322</f>
        <v>0.75</v>
      </c>
      <c r="H321" s="59" t="str">
        <f>'2024 DO NOT TOUCH'!H322</f>
        <v>HVAC MAKEUP</v>
      </c>
      <c r="I321" s="58" t="str">
        <f>'2024 DO NOT TOUCH'!I322</f>
        <v>INPREMISE</v>
      </c>
      <c r="J321" s="59" t="str">
        <f>'2024 DO NOT TOUCH'!J322</f>
        <v>AOI</v>
      </c>
      <c r="K321" s="58" t="str">
        <f>'2024 DO NOT TOUCH'!K322</f>
        <v>ACTIVE</v>
      </c>
      <c r="L321" s="71">
        <f>'2024 DO NOT TOUCH'!L322</f>
        <v>44634</v>
      </c>
      <c r="M321" s="58" t="b">
        <f>'2024 DO NOT TOUCH'!M322</f>
        <v>0</v>
      </c>
      <c r="N321" s="59">
        <f>'2024 DO NOT TOUCH'!N322</f>
        <v>45362</v>
      </c>
      <c r="O321" s="58" t="str">
        <f>'2024 DO NOT TOUCH'!O322</f>
        <v>PASS</v>
      </c>
      <c r="P321" s="65">
        <f>'2024 DO NOT TOUCH'!P322</f>
        <v>7.8</v>
      </c>
      <c r="Q321" s="65">
        <f>'2024 DO NOT TOUCH'!Q322</f>
        <v>0</v>
      </c>
      <c r="R321" s="65">
        <f>'2024 DO NOT TOUCH'!R322</f>
        <v>3.6</v>
      </c>
      <c r="S321" s="62" t="str">
        <f>'2024 DO NOT TOUCH'!S322</f>
        <v>TESTED</v>
      </c>
      <c r="T321" s="62" t="str">
        <f>'2024 DO NOT TOUCH'!T322</f>
        <v>PASSED</v>
      </c>
      <c r="U321" s="62">
        <f>'2024 DO NOT TOUCH'!U322</f>
        <v>0</v>
      </c>
      <c r="V321" s="62">
        <f>'2024 DO NOT TOUCH'!V322</f>
        <v>0</v>
      </c>
      <c r="W321" s="62">
        <f>'2024 DO NOT TOUCH'!W322</f>
        <v>0</v>
      </c>
      <c r="X321" s="65">
        <f>'2024 DO NOT TOUCH'!X322</f>
        <v>0</v>
      </c>
      <c r="Y321" s="62">
        <f>'2024 DO NOT TOUCH'!Y322</f>
        <v>0</v>
      </c>
    </row>
    <row r="322" spans="1:25" ht="19.5" customHeight="1">
      <c r="A322" s="55" t="str">
        <f>'2024 DO NOT TOUCH'!A323</f>
        <v>2266</v>
      </c>
      <c r="B322" s="3" t="str">
        <f>'2024 DO NOT TOUCH'!B323</f>
        <v>DORM 2266</v>
      </c>
      <c r="C322" s="55" t="str">
        <f>'2024 DO NOT TOUCH'!C323</f>
        <v>U28024</v>
      </c>
      <c r="D322" s="3" t="str">
        <f>'2024 DO NOT TOUCH'!D323</f>
        <v>WILKINS</v>
      </c>
      <c r="E322" s="55" t="str">
        <f>'2024 DO NOT TOUCH'!E323</f>
        <v>350A</v>
      </c>
      <c r="F322" s="3" t="str">
        <f>'2024 DO NOT TOUCH'!F323</f>
        <v>DC</v>
      </c>
      <c r="G322" s="55" t="str">
        <f>'2024 DO NOT TOUCH'!G323</f>
        <v>2.5</v>
      </c>
      <c r="H322" s="3" t="str">
        <f>'2024 DO NOT TOUCH'!H323</f>
        <v>PREMISE ISOLATION Mech RM</v>
      </c>
      <c r="I322" s="55" t="str">
        <f>'2024 DO NOT TOUCH'!I323</f>
        <v>PREMISE</v>
      </c>
      <c r="J322" s="3" t="str">
        <f>'2024 DO NOT TOUCH'!J323</f>
        <v>PREMISE</v>
      </c>
      <c r="K322" s="55" t="str">
        <f>'2024 DO NOT TOUCH'!K323</f>
        <v>ACTIVE</v>
      </c>
      <c r="L322" s="72" t="str">
        <f>'2024 DO NOT TOUCH'!L323</f>
        <v>3//14/2022</v>
      </c>
      <c r="M322" s="55" t="b">
        <f>'2024 DO NOT TOUCH'!M323</f>
        <v>0</v>
      </c>
      <c r="N322" s="3">
        <f>'2024 DO NOT TOUCH'!N323</f>
        <v>45362</v>
      </c>
      <c r="O322" s="55" t="str">
        <f>'2024 DO NOT TOUCH'!O323</f>
        <v>PASS</v>
      </c>
      <c r="P322" s="64">
        <f>'2024 DO NOT TOUCH'!P323</f>
        <v>3.4</v>
      </c>
      <c r="Q322" s="64">
        <f>'2024 DO NOT TOUCH'!Q323</f>
        <v>3.2</v>
      </c>
      <c r="R322" s="64">
        <f>'2024 DO NOT TOUCH'!R323</f>
        <v>0</v>
      </c>
      <c r="S322" s="57" t="str">
        <f>'2024 DO NOT TOUCH'!S323</f>
        <v>TESTED</v>
      </c>
      <c r="T322" s="57" t="str">
        <f>'2024 DO NOT TOUCH'!T323</f>
        <v>PASSED</v>
      </c>
      <c r="U322" s="57">
        <f>'2024 DO NOT TOUCH'!U323</f>
        <v>0</v>
      </c>
      <c r="V322" s="57">
        <f>'2024 DO NOT TOUCH'!V323</f>
        <v>0</v>
      </c>
      <c r="W322" s="57">
        <f>'2024 DO NOT TOUCH'!W323</f>
        <v>0</v>
      </c>
      <c r="X322" s="64">
        <f>'2024 DO NOT TOUCH'!X323</f>
        <v>0</v>
      </c>
      <c r="Y322" s="57">
        <f>'2024 DO NOT TOUCH'!Y323</f>
        <v>0</v>
      </c>
    </row>
    <row r="323" spans="1:25" ht="19.5" customHeight="1">
      <c r="A323" s="58" t="str">
        <f>'2024 DO NOT TOUCH'!A324</f>
        <v>2266</v>
      </c>
      <c r="B323" s="59" t="str">
        <f>'2024 DO NOT TOUCH'!B324</f>
        <v>DORM 2266</v>
      </c>
      <c r="C323" s="58" t="str">
        <f>'2024 DO NOT TOUCH'!C324</f>
        <v>U29556</v>
      </c>
      <c r="D323" s="59" t="str">
        <f>'2024 DO NOT TOUCH'!D324</f>
        <v>WILKINS</v>
      </c>
      <c r="E323" s="58" t="str">
        <f>'2024 DO NOT TOUCH'!E324</f>
        <v>350A</v>
      </c>
      <c r="F323" s="59" t="str">
        <f>'2024 DO NOT TOUCH'!F324</f>
        <v>DC</v>
      </c>
      <c r="G323" s="58" t="str">
        <f>'2024 DO NOT TOUCH'!G324</f>
        <v>3.0</v>
      </c>
      <c r="H323" s="59" t="str">
        <f>'2024 DO NOT TOUCH'!H324</f>
        <v>FIRE SYS</v>
      </c>
      <c r="I323" s="58" t="str">
        <f>'2024 DO NOT TOUCH'!I324</f>
        <v>PREMISE</v>
      </c>
      <c r="J323" s="59" t="str">
        <f>'2024 DO NOT TOUCH'!J324</f>
        <v>FIRE</v>
      </c>
      <c r="K323" s="58" t="str">
        <f>'2024 DO NOT TOUCH'!K324</f>
        <v>ACTIVE</v>
      </c>
      <c r="L323" s="71">
        <f>'2024 DO NOT TOUCH'!L324</f>
        <v>44641</v>
      </c>
      <c r="M323" s="58" t="b">
        <f>'2024 DO NOT TOUCH'!M324</f>
        <v>0</v>
      </c>
      <c r="N323" s="59">
        <f>'2024 DO NOT TOUCH'!N324</f>
        <v>45362</v>
      </c>
      <c r="O323" s="58" t="str">
        <f>'2024 DO NOT TOUCH'!O324</f>
        <v>PASS</v>
      </c>
      <c r="P323" s="65">
        <f>'2024 DO NOT TOUCH'!P324</f>
        <v>3.2</v>
      </c>
      <c r="Q323" s="65">
        <f>'2024 DO NOT TOUCH'!Q324</f>
        <v>3.4</v>
      </c>
      <c r="R323" s="65">
        <f>'2024 DO NOT TOUCH'!R324</f>
        <v>0</v>
      </c>
      <c r="S323" s="62" t="str">
        <f>'2024 DO NOT TOUCH'!S324</f>
        <v>TESTED</v>
      </c>
      <c r="T323" s="62" t="str">
        <f>'2024 DO NOT TOUCH'!T324</f>
        <v>PASSED</v>
      </c>
      <c r="U323" s="62">
        <f>'2024 DO NOT TOUCH'!U324</f>
        <v>0</v>
      </c>
      <c r="V323" s="62">
        <f>'2024 DO NOT TOUCH'!V324</f>
        <v>0</v>
      </c>
      <c r="W323" s="62">
        <f>'2024 DO NOT TOUCH'!W324</f>
        <v>0</v>
      </c>
      <c r="X323" s="65">
        <f>'2024 DO NOT TOUCH'!X324</f>
        <v>0</v>
      </c>
      <c r="Y323" s="62">
        <f>'2024 DO NOT TOUCH'!Y324</f>
        <v>0</v>
      </c>
    </row>
    <row r="324" spans="1:25" ht="19.5" customHeight="1">
      <c r="A324" s="55" t="str">
        <f>'2024 DO NOT TOUCH'!A325</f>
        <v>2266</v>
      </c>
      <c r="B324" s="55" t="str">
        <f>'2024 DO NOT TOUCH'!B325</f>
        <v>DORM 2266</v>
      </c>
      <c r="C324" s="55" t="str">
        <f>'2024 DO NOT TOUCH'!C325</f>
        <v>3077074</v>
      </c>
      <c r="D324" s="55" t="str">
        <f>'2024 DO NOT TOUCH'!D325</f>
        <v>WILKINS</v>
      </c>
      <c r="E324" s="55" t="str">
        <f>'2024 DO NOT TOUCH'!E325</f>
        <v>975XL</v>
      </c>
      <c r="F324" s="55" t="str">
        <f>'2024 DO NOT TOUCH'!F325</f>
        <v>RP</v>
      </c>
      <c r="G324" s="55" t="str">
        <f>'2024 DO NOT TOUCH'!G325</f>
        <v>0.75</v>
      </c>
      <c r="H324" s="55" t="str">
        <f>'2024 DO NOT TOUCH'!H325</f>
        <v>MOP SINK ON MAIN FLOOR</v>
      </c>
      <c r="I324" s="55" t="str">
        <f>'2024 DO NOT TOUCH'!I325</f>
        <v>INPREMISE</v>
      </c>
      <c r="J324" s="55" t="str">
        <f>'2024 DO NOT TOUCH'!J325</f>
        <v>AOI</v>
      </c>
      <c r="K324" s="55" t="str">
        <f>'2024 DO NOT TOUCH'!K325</f>
        <v>ACTIVE</v>
      </c>
      <c r="L324" s="56">
        <f>'2024 DO NOT TOUCH'!L325</f>
        <v>44935</v>
      </c>
      <c r="M324" s="56" t="b">
        <f>'2024 DO NOT TOUCH'!M325</f>
        <v>0</v>
      </c>
      <c r="N324" s="56">
        <f>'2024 DO NOT TOUCH'!N325</f>
        <v>45581</v>
      </c>
      <c r="O324" s="55" t="str">
        <f>'2024 DO NOT TOUCH'!O325</f>
        <v xml:space="preserve">JAKE </v>
      </c>
      <c r="P324" s="64">
        <f>'2024 DO NOT TOUCH'!P325</f>
        <v>7.6</v>
      </c>
      <c r="Q324" s="64">
        <f>'2024 DO NOT TOUCH'!Q325</f>
        <v>0</v>
      </c>
      <c r="R324" s="64">
        <f>'2024 DO NOT TOUCH'!R325</f>
        <v>2.6</v>
      </c>
      <c r="S324" s="55" t="str">
        <f>'2024 DO NOT TOUCH'!S325</f>
        <v>TESTED</v>
      </c>
      <c r="T324" s="55" t="str">
        <f>'2024 DO NOT TOUCH'!T325</f>
        <v>PASSED</v>
      </c>
      <c r="U324" s="55">
        <f>'2024 DO NOT TOUCH'!U325</f>
        <v>0</v>
      </c>
      <c r="V324" s="55">
        <f>'2024 DO NOT TOUCH'!V325</f>
        <v>0</v>
      </c>
      <c r="W324" s="55">
        <f>'2024 DO NOT TOUCH'!W325</f>
        <v>0</v>
      </c>
      <c r="X324" s="66">
        <f>'2024 DO NOT TOUCH'!X325</f>
        <v>0</v>
      </c>
      <c r="Y324" s="55">
        <f>'2024 DO NOT TOUCH'!Y325</f>
        <v>0</v>
      </c>
    </row>
    <row r="325" spans="1:25" ht="19.5" customHeight="1">
      <c r="A325" s="58" t="str">
        <f>'2024 DO NOT TOUCH'!A326</f>
        <v>2268</v>
      </c>
      <c r="B325" s="59" t="str">
        <f>'2024 DO NOT TOUCH'!B326</f>
        <v>DORM 2268</v>
      </c>
      <c r="C325" s="58" t="str">
        <f>'2024 DO NOT TOUCH'!C326</f>
        <v>3077173</v>
      </c>
      <c r="D325" s="59" t="str">
        <f>'2024 DO NOT TOUCH'!D326</f>
        <v>WILKINS</v>
      </c>
      <c r="E325" s="58" t="str">
        <f>'2024 DO NOT TOUCH'!E326</f>
        <v>975XL</v>
      </c>
      <c r="F325" s="59" t="str">
        <f>'2024 DO NOT TOUCH'!F326</f>
        <v>RP</v>
      </c>
      <c r="G325" s="58" t="str">
        <f>'2024 DO NOT TOUCH'!G326</f>
        <v>0.75</v>
      </c>
      <c r="H325" s="59" t="str">
        <f>'2024 DO NOT TOUCH'!H326</f>
        <v>1ST FLOOR MOP SINK</v>
      </c>
      <c r="I325" s="58" t="str">
        <f>'2024 DO NOT TOUCH'!I326</f>
        <v>INPREMISE</v>
      </c>
      <c r="J325" s="59" t="str">
        <f>'2024 DO NOT TOUCH'!J326</f>
        <v>AOI</v>
      </c>
      <c r="K325" s="58" t="str">
        <f>'2024 DO NOT TOUCH'!K326</f>
        <v>ACTIVE</v>
      </c>
      <c r="L325" s="71">
        <f>'2024 DO NOT TOUCH'!L326</f>
        <v>44816</v>
      </c>
      <c r="M325" s="58" t="b">
        <f>'2024 DO NOT TOUCH'!M326</f>
        <v>0</v>
      </c>
      <c r="N325" s="59">
        <f>'2024 DO NOT TOUCH'!N326</f>
        <v>45581</v>
      </c>
      <c r="O325" s="58" t="str">
        <f>'2024 DO NOT TOUCH'!O326</f>
        <v xml:space="preserve">JAKE </v>
      </c>
      <c r="P325" s="65">
        <f>'2024 DO NOT TOUCH'!P326</f>
        <v>5.8</v>
      </c>
      <c r="Q325" s="65">
        <f>'2024 DO NOT TOUCH'!Q326</f>
        <v>0</v>
      </c>
      <c r="R325" s="65">
        <f>'2024 DO NOT TOUCH'!R326</f>
        <v>3</v>
      </c>
      <c r="S325" s="62" t="str">
        <f>'2024 DO NOT TOUCH'!S326</f>
        <v>TESTED</v>
      </c>
      <c r="T325" s="62" t="str">
        <f>'2024 DO NOT TOUCH'!T326</f>
        <v>PASSED</v>
      </c>
      <c r="U325" s="62">
        <f>'2024 DO NOT TOUCH'!U326</f>
        <v>0</v>
      </c>
      <c r="V325" s="62">
        <f>'2024 DO NOT TOUCH'!V326</f>
        <v>0</v>
      </c>
      <c r="W325" s="62">
        <f>'2024 DO NOT TOUCH'!W326</f>
        <v>0</v>
      </c>
      <c r="X325" s="65">
        <f>'2024 DO NOT TOUCH'!X326</f>
        <v>0</v>
      </c>
      <c r="Y325" s="62">
        <f>'2024 DO NOT TOUCH'!Y326</f>
        <v>0</v>
      </c>
    </row>
    <row r="326" spans="1:25" ht="19.5" customHeight="1">
      <c r="A326" s="55" t="str">
        <f>'2024 DO NOT TOUCH'!A327</f>
        <v>2268</v>
      </c>
      <c r="B326" s="3" t="str">
        <f>'2024 DO NOT TOUCH'!B327</f>
        <v>DORM 2268</v>
      </c>
      <c r="C326" s="55" t="str">
        <f>'2024 DO NOT TOUCH'!C327</f>
        <v>A266229</v>
      </c>
      <c r="D326" s="3" t="str">
        <f>'2024 DO NOT TOUCH'!D327</f>
        <v>FEBCO</v>
      </c>
      <c r="E326" s="55" t="str">
        <f>'2024 DO NOT TOUCH'!E327</f>
        <v>825Y</v>
      </c>
      <c r="F326" s="3" t="str">
        <f>'2024 DO NOT TOUCH'!F327</f>
        <v>RP</v>
      </c>
      <c r="G326" s="55" t="str">
        <f>'2024 DO NOT TOUCH'!G327</f>
        <v>0.75</v>
      </c>
      <c r="H326" s="3" t="str">
        <f>'2024 DO NOT TOUCH'!H327</f>
        <v>HVAC MAKEUP IN MECH RM</v>
      </c>
      <c r="I326" s="55" t="str">
        <f>'2024 DO NOT TOUCH'!I327</f>
        <v>INPREMISE</v>
      </c>
      <c r="J326" s="3" t="str">
        <f>'2024 DO NOT TOUCH'!J327</f>
        <v>AOI</v>
      </c>
      <c r="K326" s="55" t="str">
        <f>'2024 DO NOT TOUCH'!K327</f>
        <v>ACTIVE</v>
      </c>
      <c r="L326" s="72">
        <f>'2024 DO NOT TOUCH'!L327</f>
        <v>44816</v>
      </c>
      <c r="M326" s="55" t="b">
        <f>'2024 DO NOT TOUCH'!M327</f>
        <v>0</v>
      </c>
      <c r="N326" s="3">
        <f>'2024 DO NOT TOUCH'!N327</f>
        <v>45581</v>
      </c>
      <c r="O326" s="55" t="str">
        <f>'2024 DO NOT TOUCH'!O327</f>
        <v xml:space="preserve">JAKE </v>
      </c>
      <c r="P326" s="64">
        <f>'2024 DO NOT TOUCH'!P327</f>
        <v>6.4</v>
      </c>
      <c r="Q326" s="64">
        <f>'2024 DO NOT TOUCH'!Q327</f>
        <v>0</v>
      </c>
      <c r="R326" s="64">
        <f>'2024 DO NOT TOUCH'!R327</f>
        <v>3.3</v>
      </c>
      <c r="S326" s="57" t="str">
        <f>'2024 DO NOT TOUCH'!S327</f>
        <v>TESTED</v>
      </c>
      <c r="T326" s="57" t="str">
        <f>'2024 DO NOT TOUCH'!T327</f>
        <v>PASSED</v>
      </c>
      <c r="U326" s="57" t="str">
        <f>'2024 DO NOT TOUCH'!U327</f>
        <v>Y</v>
      </c>
      <c r="V326" s="57">
        <f>'2024 DO NOT TOUCH'!V327</f>
        <v>0</v>
      </c>
      <c r="W326" s="57">
        <f>'2024 DO NOT TOUCH'!W327</f>
        <v>0</v>
      </c>
      <c r="X326" s="64">
        <f>'2024 DO NOT TOUCH'!X327</f>
        <v>0</v>
      </c>
      <c r="Y326" s="57">
        <f>'2024 DO NOT TOUCH'!Y327</f>
        <v>0</v>
      </c>
    </row>
    <row r="327" spans="1:25" ht="19.5" customHeight="1">
      <c r="A327" s="58" t="str">
        <f>'2024 DO NOT TOUCH'!A328</f>
        <v>2268</v>
      </c>
      <c r="B327" s="59" t="str">
        <f>'2024 DO NOT TOUCH'!B328</f>
        <v>DORM 2268</v>
      </c>
      <c r="C327" s="58" t="str">
        <f>'2024 DO NOT TOUCH'!C328</f>
        <v>U31515</v>
      </c>
      <c r="D327" s="59" t="str">
        <f>'2024 DO NOT TOUCH'!D328</f>
        <v>WILKINS</v>
      </c>
      <c r="E327" s="58" t="str">
        <f>'2024 DO NOT TOUCH'!E328</f>
        <v>350A</v>
      </c>
      <c r="F327" s="59" t="str">
        <f>'2024 DO NOT TOUCH'!F328</f>
        <v>DC</v>
      </c>
      <c r="G327" s="58" t="str">
        <f>'2024 DO NOT TOUCH'!G328</f>
        <v>3.0</v>
      </c>
      <c r="H327" s="59" t="str">
        <f>'2024 DO NOT TOUCH'!H328</f>
        <v>MECH RM FIRE SYS</v>
      </c>
      <c r="I327" s="58" t="str">
        <f>'2024 DO NOT TOUCH'!I328</f>
        <v>PREMISE</v>
      </c>
      <c r="J327" s="59" t="str">
        <f>'2024 DO NOT TOUCH'!J328</f>
        <v>FIRE</v>
      </c>
      <c r="K327" s="58" t="str">
        <f>'2024 DO NOT TOUCH'!K328</f>
        <v>ACTIVE</v>
      </c>
      <c r="L327" s="71">
        <f>'2024 DO NOT TOUCH'!L328</f>
        <v>44816</v>
      </c>
      <c r="M327" s="58" t="b">
        <f>'2024 DO NOT TOUCH'!M328</f>
        <v>0</v>
      </c>
      <c r="N327" s="59">
        <f>'2024 DO NOT TOUCH'!N328</f>
        <v>45581</v>
      </c>
      <c r="O327" s="58" t="str">
        <f>'2024 DO NOT TOUCH'!O328</f>
        <v xml:space="preserve">JAKE </v>
      </c>
      <c r="P327" s="65">
        <f>'2024 DO NOT TOUCH'!P328</f>
        <v>4</v>
      </c>
      <c r="Q327" s="65">
        <f>'2024 DO NOT TOUCH'!Q328</f>
        <v>3.6</v>
      </c>
      <c r="R327" s="65">
        <f>'2024 DO NOT TOUCH'!R328</f>
        <v>0</v>
      </c>
      <c r="S327" s="62" t="str">
        <f>'2024 DO NOT TOUCH'!S328</f>
        <v>TESTED</v>
      </c>
      <c r="T327" s="62" t="str">
        <f>'2024 DO NOT TOUCH'!T328</f>
        <v>PASSED</v>
      </c>
      <c r="U327" s="62">
        <f>'2024 DO NOT TOUCH'!U328</f>
        <v>0</v>
      </c>
      <c r="V327" s="62">
        <f>'2024 DO NOT TOUCH'!V328</f>
        <v>0</v>
      </c>
      <c r="W327" s="62">
        <f>'2024 DO NOT TOUCH'!W328</f>
        <v>0</v>
      </c>
      <c r="X327" s="65">
        <f>'2024 DO NOT TOUCH'!X328</f>
        <v>0</v>
      </c>
      <c r="Y327" s="62">
        <f>'2024 DO NOT TOUCH'!Y328</f>
        <v>0</v>
      </c>
    </row>
    <row r="328" spans="1:25" ht="19.5" customHeight="1">
      <c r="A328" s="55" t="str">
        <f>'2024 DO NOT TOUCH'!A329</f>
        <v>2268</v>
      </c>
      <c r="B328" s="3" t="str">
        <f>'2024 DO NOT TOUCH'!B329</f>
        <v>DORM 2268</v>
      </c>
      <c r="C328" s="55" t="str">
        <f>'2024 DO NOT TOUCH'!C329</f>
        <v>U28020</v>
      </c>
      <c r="D328" s="3" t="str">
        <f>'2024 DO NOT TOUCH'!D329</f>
        <v>WILKINS</v>
      </c>
      <c r="E328" s="55" t="str">
        <f>'2024 DO NOT TOUCH'!E329</f>
        <v>350A</v>
      </c>
      <c r="F328" s="3" t="str">
        <f>'2024 DO NOT TOUCH'!F329</f>
        <v>DC</v>
      </c>
      <c r="G328" s="55" t="str">
        <f>'2024 DO NOT TOUCH'!G329</f>
        <v>2.5</v>
      </c>
      <c r="H328" s="3" t="str">
        <f>'2024 DO NOT TOUCH'!H329</f>
        <v>PREMISE ISOLATION</v>
      </c>
      <c r="I328" s="55" t="str">
        <f>'2024 DO NOT TOUCH'!I329</f>
        <v>PREMISE</v>
      </c>
      <c r="J328" s="3" t="str">
        <f>'2024 DO NOT TOUCH'!J329</f>
        <v>FIRE</v>
      </c>
      <c r="K328" s="55" t="str">
        <f>'2024 DO NOT TOUCH'!K329</f>
        <v>ACTIVE</v>
      </c>
      <c r="L328" s="72">
        <f>'2024 DO NOT TOUCH'!L329</f>
        <v>44816</v>
      </c>
      <c r="M328" s="55" t="b">
        <f>'2024 DO NOT TOUCH'!M329</f>
        <v>0</v>
      </c>
      <c r="N328" s="3">
        <f>'2024 DO NOT TOUCH'!N329</f>
        <v>45581</v>
      </c>
      <c r="O328" s="55" t="str">
        <f>'2024 DO NOT TOUCH'!O329</f>
        <v xml:space="preserve">JAKE </v>
      </c>
      <c r="P328" s="66">
        <f>'2024 DO NOT TOUCH'!P329</f>
        <v>4</v>
      </c>
      <c r="Q328" s="66">
        <f>'2024 DO NOT TOUCH'!Q329</f>
        <v>3.6</v>
      </c>
      <c r="R328" s="66">
        <f>'2024 DO NOT TOUCH'!R329</f>
        <v>0</v>
      </c>
      <c r="S328" s="55" t="str">
        <f>'2024 DO NOT TOUCH'!S329</f>
        <v>TESTED</v>
      </c>
      <c r="T328" s="55" t="str">
        <f>'2024 DO NOT TOUCH'!T329</f>
        <v>PASSED</v>
      </c>
      <c r="U328" s="55">
        <f>'2024 DO NOT TOUCH'!U329</f>
        <v>0</v>
      </c>
      <c r="V328" s="55">
        <f>'2024 DO NOT TOUCH'!V329</f>
        <v>0</v>
      </c>
      <c r="W328" s="55">
        <f>'2024 DO NOT TOUCH'!W329</f>
        <v>0</v>
      </c>
      <c r="X328" s="66">
        <f>'2024 DO NOT TOUCH'!X329</f>
        <v>0</v>
      </c>
      <c r="Y328" s="55">
        <f>'2024 DO NOT TOUCH'!Y329</f>
        <v>0</v>
      </c>
    </row>
    <row r="329" spans="1:25" ht="19.5" customHeight="1">
      <c r="A329" s="58" t="str">
        <f>'2024 DO NOT TOUCH'!A330</f>
        <v>2268</v>
      </c>
      <c r="B329" s="59" t="str">
        <f>'2024 DO NOT TOUCH'!B330</f>
        <v>DORM 2268</v>
      </c>
      <c r="C329" s="58" t="str">
        <f>'2024 DO NOT TOUCH'!C330</f>
        <v>3081716</v>
      </c>
      <c r="D329" s="59" t="str">
        <f>'2024 DO NOT TOUCH'!D330</f>
        <v>WILKINS</v>
      </c>
      <c r="E329" s="58" t="str">
        <f>'2024 DO NOT TOUCH'!E330</f>
        <v>950XLT</v>
      </c>
      <c r="F329" s="59" t="str">
        <f>'2024 DO NOT TOUCH'!F330</f>
        <v>DC</v>
      </c>
      <c r="G329" s="58" t="str">
        <f>'2024 DO NOT TOUCH'!G330</f>
        <v>2.0</v>
      </c>
      <c r="H329" s="59" t="str">
        <f>'2024 DO NOT TOUCH'!H330</f>
        <v>IRRIGATION IN FRONT OF PARKING LOT</v>
      </c>
      <c r="I329" s="58" t="str">
        <f>'2024 DO NOT TOUCH'!I330</f>
        <v>PREMISE</v>
      </c>
      <c r="J329" s="59" t="str">
        <f>'2024 DO NOT TOUCH'!J330</f>
        <v>IRR</v>
      </c>
      <c r="K329" s="58" t="str">
        <f>'2024 DO NOT TOUCH'!K330</f>
        <v>ACTIVE</v>
      </c>
      <c r="L329" s="71">
        <f>'2024 DO NOT TOUCH'!L330</f>
        <v>44816</v>
      </c>
      <c r="M329" s="58" t="b">
        <f>'2024 DO NOT TOUCH'!M330</f>
        <v>0</v>
      </c>
      <c r="N329" s="59">
        <f>'2024 DO NOT TOUCH'!N330</f>
        <v>45581</v>
      </c>
      <c r="O329" s="58" t="str">
        <f>'2024 DO NOT TOUCH'!O330</f>
        <v xml:space="preserve">JAKE </v>
      </c>
      <c r="P329" s="67">
        <f>'2024 DO NOT TOUCH'!P330</f>
        <v>0</v>
      </c>
      <c r="Q329" s="67">
        <f>'2024 DO NOT TOUCH'!Q330</f>
        <v>0</v>
      </c>
      <c r="R329" s="67">
        <f>'2024 DO NOT TOUCH'!R330</f>
        <v>0</v>
      </c>
      <c r="S329" s="58" t="str">
        <f>'2024 DO NOT TOUCH'!S330</f>
        <v>UNTESTED</v>
      </c>
      <c r="T329" s="58">
        <f>'2024 DO NOT TOUCH'!T330</f>
        <v>0</v>
      </c>
      <c r="U329" s="58">
        <f>'2024 DO NOT TOUCH'!U330</f>
        <v>0</v>
      </c>
      <c r="V329" s="58">
        <f>'2024 DO NOT TOUCH'!V330</f>
        <v>0</v>
      </c>
      <c r="W329" s="58">
        <f>'2024 DO NOT TOUCH'!W330</f>
        <v>0</v>
      </c>
      <c r="X329" s="67">
        <f>'2024 DO NOT TOUCH'!X330</f>
        <v>0</v>
      </c>
      <c r="Y329" s="58" t="str">
        <f>'2024 DO NOT TOUCH'!Y330</f>
        <v>ISO for winter</v>
      </c>
    </row>
    <row r="330" spans="1:25" ht="19.5" customHeight="1">
      <c r="A330" s="77" t="str">
        <f>'2024 DO NOT TOUCH'!A331</f>
        <v>2272</v>
      </c>
      <c r="B330" s="78" t="str">
        <f>'2024 DO NOT TOUCH'!B331</f>
        <v>TLF</v>
      </c>
      <c r="C330" s="77" t="str">
        <f>'2024 DO NOT TOUCH'!C331</f>
        <v>W358347</v>
      </c>
      <c r="D330" s="78" t="str">
        <f>'2024 DO NOT TOUCH'!D331</f>
        <v>WILKINS</v>
      </c>
      <c r="E330" s="77" t="str">
        <f>'2024 DO NOT TOUCH'!E331</f>
        <v>975XL</v>
      </c>
      <c r="F330" s="78" t="str">
        <f>'2024 DO NOT TOUCH'!F331</f>
        <v>RP</v>
      </c>
      <c r="G330" s="77" t="str">
        <f>'2024 DO NOT TOUCH'!G331</f>
        <v>0.5</v>
      </c>
      <c r="H330" s="78" t="str">
        <f>'2024 DO NOT TOUCH'!H331</f>
        <v>LAUNDRY RM BASEMENT</v>
      </c>
      <c r="I330" s="77" t="str">
        <f>'2024 DO NOT TOUCH'!I331</f>
        <v>INPREMISE</v>
      </c>
      <c r="J330" s="78" t="str">
        <f>'2024 DO NOT TOUCH'!J331</f>
        <v>AOI</v>
      </c>
      <c r="K330" s="77" t="str">
        <f>'2024 DO NOT TOUCH'!K331</f>
        <v>INACTIVE</v>
      </c>
      <c r="L330" s="79">
        <f>'2024 DO NOT TOUCH'!L331</f>
        <v>0</v>
      </c>
      <c r="M330" s="77" t="b">
        <f>'2024 DO NOT TOUCH'!M331</f>
        <v>0</v>
      </c>
      <c r="N330" s="78">
        <f>'2024 DO NOT TOUCH'!N331</f>
        <v>0</v>
      </c>
      <c r="O330" s="77">
        <f>'2024 DO NOT TOUCH'!O331</f>
        <v>0</v>
      </c>
      <c r="P330" s="80">
        <f>'2024 DO NOT TOUCH'!P331</f>
        <v>0</v>
      </c>
      <c r="Q330" s="80">
        <f>'2024 DO NOT TOUCH'!Q331</f>
        <v>0</v>
      </c>
      <c r="R330" s="80">
        <f>'2024 DO NOT TOUCH'!R331</f>
        <v>0</v>
      </c>
      <c r="S330" s="81" t="str">
        <f>'2024 DO NOT TOUCH'!S331</f>
        <v>UNTESTED</v>
      </c>
      <c r="T330" s="81">
        <f>'2024 DO NOT TOUCH'!T331</f>
        <v>0</v>
      </c>
      <c r="U330" s="81">
        <f>'2024 DO NOT TOUCH'!U331</f>
        <v>0</v>
      </c>
      <c r="V330" s="81">
        <f>'2024 DO NOT TOUCH'!V331</f>
        <v>0</v>
      </c>
      <c r="W330" s="81">
        <f>'2024 DO NOT TOUCH'!W331</f>
        <v>0</v>
      </c>
      <c r="X330" s="80">
        <f>'2024 DO NOT TOUCH'!X331</f>
        <v>0</v>
      </c>
      <c r="Y330" s="81" t="str">
        <f>'2024 DO NOT TOUCH'!Y331</f>
        <v>REMOVE</v>
      </c>
    </row>
    <row r="331" spans="1:25" ht="19.5" customHeight="1">
      <c r="A331" s="58" t="str">
        <f>'2024 DO NOT TOUCH'!A332</f>
        <v>2272</v>
      </c>
      <c r="B331" s="59" t="str">
        <f>'2024 DO NOT TOUCH'!B332</f>
        <v>TLF</v>
      </c>
      <c r="C331" s="58" t="str">
        <f>'2024 DO NOT TOUCH'!C332</f>
        <v>U28021</v>
      </c>
      <c r="D331" s="59" t="str">
        <f>'2024 DO NOT TOUCH'!D332</f>
        <v>WILKINS</v>
      </c>
      <c r="E331" s="58" t="str">
        <f>'2024 DO NOT TOUCH'!E332</f>
        <v>350A</v>
      </c>
      <c r="F331" s="59" t="str">
        <f>'2024 DO NOT TOUCH'!F332</f>
        <v>DC</v>
      </c>
      <c r="G331" s="58" t="str">
        <f>'2024 DO NOT TOUCH'!G332</f>
        <v>2.5</v>
      </c>
      <c r="H331" s="59" t="str">
        <f>'2024 DO NOT TOUCH'!H332</f>
        <v>MECH RM</v>
      </c>
      <c r="I331" s="58" t="str">
        <f>'2024 DO NOT TOUCH'!I332</f>
        <v>PREMISE</v>
      </c>
      <c r="J331" s="59" t="str">
        <f>'2024 DO NOT TOUCH'!J332</f>
        <v>PREMISE</v>
      </c>
      <c r="K331" s="58" t="str">
        <f>'2024 DO NOT TOUCH'!K332</f>
        <v>ACTIVE</v>
      </c>
      <c r="L331" s="71">
        <f>'2024 DO NOT TOUCH'!L332</f>
        <v>44816</v>
      </c>
      <c r="M331" s="58" t="b">
        <f>'2024 DO NOT TOUCH'!M332</f>
        <v>0</v>
      </c>
      <c r="N331" s="59">
        <f>'2024 DO NOT TOUCH'!N332</f>
        <v>45581</v>
      </c>
      <c r="O331" s="58" t="str">
        <f>'2024 DO NOT TOUCH'!O332</f>
        <v xml:space="preserve">JAKE </v>
      </c>
      <c r="P331" s="65">
        <f>'2024 DO NOT TOUCH'!P332</f>
        <v>2.8</v>
      </c>
      <c r="Q331" s="65">
        <f>'2024 DO NOT TOUCH'!Q332</f>
        <v>3.6</v>
      </c>
      <c r="R331" s="65">
        <f>'2024 DO NOT TOUCH'!R332</f>
        <v>0</v>
      </c>
      <c r="S331" s="62" t="str">
        <f>'2024 DO NOT TOUCH'!S332</f>
        <v>TESTED</v>
      </c>
      <c r="T331" s="62" t="str">
        <f>'2024 DO NOT TOUCH'!T332</f>
        <v>PASSED</v>
      </c>
      <c r="U331" s="62">
        <f>'2024 DO NOT TOUCH'!U332</f>
        <v>0</v>
      </c>
      <c r="V331" s="62">
        <f>'2024 DO NOT TOUCH'!V332</f>
        <v>0</v>
      </c>
      <c r="W331" s="62">
        <f>'2024 DO NOT TOUCH'!W332</f>
        <v>0</v>
      </c>
      <c r="X331" s="65">
        <f>'2024 DO NOT TOUCH'!X332</f>
        <v>0</v>
      </c>
      <c r="Y331" s="62">
        <f>'2024 DO NOT TOUCH'!Y332</f>
        <v>0</v>
      </c>
    </row>
    <row r="332" spans="1:25" ht="19.5" customHeight="1">
      <c r="A332" s="77" t="str">
        <f>'2024 DO NOT TOUCH'!A333</f>
        <v>2272</v>
      </c>
      <c r="B332" s="78" t="str">
        <f>'2024 DO NOT TOUCH'!B333</f>
        <v>TLF</v>
      </c>
      <c r="C332" s="77" t="str">
        <f>'2024 DO NOT TOUCH'!C333</f>
        <v>1928266</v>
      </c>
      <c r="D332" s="78" t="str">
        <f>'2024 DO NOT TOUCH'!D333</f>
        <v>WILKINS</v>
      </c>
      <c r="E332" s="77" t="str">
        <f>'2024 DO NOT TOUCH'!E333</f>
        <v>950XLT</v>
      </c>
      <c r="F332" s="78" t="str">
        <f>'2024 DO NOT TOUCH'!F333</f>
        <v>DC</v>
      </c>
      <c r="G332" s="77" t="str">
        <f>'2024 DO NOT TOUCH'!G333</f>
        <v>2.0</v>
      </c>
      <c r="H332" s="78" t="str">
        <f>'2024 DO NOT TOUCH'!H333</f>
        <v>IRR NEAR HVAC ON BACK OF BLDG</v>
      </c>
      <c r="I332" s="77" t="str">
        <f>'2024 DO NOT TOUCH'!I333</f>
        <v>PREMISE</v>
      </c>
      <c r="J332" s="78" t="str">
        <f>'2024 DO NOT TOUCH'!J333</f>
        <v>IRR</v>
      </c>
      <c r="K332" s="77" t="str">
        <f>'2024 DO NOT TOUCH'!K333</f>
        <v>ACTIVE</v>
      </c>
      <c r="L332" s="79">
        <f>'2024 DO NOT TOUCH'!L333</f>
        <v>44816</v>
      </c>
      <c r="M332" s="77" t="b">
        <f>'2024 DO NOT TOUCH'!M333</f>
        <v>0</v>
      </c>
      <c r="N332" s="78">
        <f>'2024 DO NOT TOUCH'!N333</f>
        <v>45581</v>
      </c>
      <c r="O332" s="77" t="str">
        <f>'2024 DO NOT TOUCH'!O333</f>
        <v xml:space="preserve">JAKE </v>
      </c>
      <c r="P332" s="80">
        <f>'2024 DO NOT TOUCH'!P333</f>
        <v>0</v>
      </c>
      <c r="Q332" s="80">
        <f>'2024 DO NOT TOUCH'!Q333</f>
        <v>0</v>
      </c>
      <c r="R332" s="80">
        <f>'2024 DO NOT TOUCH'!R333</f>
        <v>0</v>
      </c>
      <c r="S332" s="81" t="str">
        <f>'2024 DO NOT TOUCH'!S333</f>
        <v>UNTESTED</v>
      </c>
      <c r="T332" s="81">
        <f>'2024 DO NOT TOUCH'!T333</f>
        <v>0</v>
      </c>
      <c r="U332" s="81">
        <f>'2024 DO NOT TOUCH'!U333</f>
        <v>0</v>
      </c>
      <c r="V332" s="81">
        <f>'2024 DO NOT TOUCH'!V333</f>
        <v>0</v>
      </c>
      <c r="W332" s="81">
        <f>'2024 DO NOT TOUCH'!W333</f>
        <v>0</v>
      </c>
      <c r="X332" s="80">
        <f>'2024 DO NOT TOUCH'!X333</f>
        <v>0</v>
      </c>
      <c r="Y332" s="81" t="str">
        <f>'2024 DO NOT TOUCH'!Y333</f>
        <v>Iso for winter</v>
      </c>
    </row>
    <row r="333" spans="1:25" ht="19.5" customHeight="1">
      <c r="A333" s="58" t="str">
        <f>'2024 DO NOT TOUCH'!A334</f>
        <v>2274</v>
      </c>
      <c r="B333" s="59" t="str">
        <f>'2024 DO NOT TOUCH'!B334</f>
        <v>DORM 2274</v>
      </c>
      <c r="C333" s="58" t="str">
        <f>'2024 DO NOT TOUCH'!C334</f>
        <v>3079732</v>
      </c>
      <c r="D333" s="59" t="str">
        <f>'2024 DO NOT TOUCH'!D334</f>
        <v>WILKINS</v>
      </c>
      <c r="E333" s="58" t="str">
        <f>'2024 DO NOT TOUCH'!E334</f>
        <v>975XL</v>
      </c>
      <c r="F333" s="59" t="str">
        <f>'2024 DO NOT TOUCH'!F334</f>
        <v>RP</v>
      </c>
      <c r="G333" s="58" t="str">
        <f>'2024 DO NOT TOUCH'!G334</f>
        <v>0.75</v>
      </c>
      <c r="H333" s="59" t="str">
        <f>'2024 DO NOT TOUCH'!H334</f>
        <v>1ST FLOOR MOP SINK</v>
      </c>
      <c r="I333" s="58" t="str">
        <f>'2024 DO NOT TOUCH'!I334</f>
        <v>INPREMISE</v>
      </c>
      <c r="J333" s="59" t="str">
        <f>'2024 DO NOT TOUCH'!J334</f>
        <v>AOI</v>
      </c>
      <c r="K333" s="58" t="str">
        <f>'2024 DO NOT TOUCH'!K334</f>
        <v>ACTIVE</v>
      </c>
      <c r="L333" s="71">
        <f>'2024 DO NOT TOUCH'!L334</f>
        <v>44846</v>
      </c>
      <c r="M333" s="58" t="b">
        <f>'2024 DO NOT TOUCH'!M334</f>
        <v>0</v>
      </c>
      <c r="N333" s="59">
        <f>'2024 DO NOT TOUCH'!N334</f>
        <v>45581</v>
      </c>
      <c r="O333" s="58" t="str">
        <f>'2024 DO NOT TOUCH'!O334</f>
        <v xml:space="preserve">JAKE </v>
      </c>
      <c r="P333" s="67">
        <f>'2024 DO NOT TOUCH'!P334</f>
        <v>6.8</v>
      </c>
      <c r="Q333" s="67">
        <f>'2024 DO NOT TOUCH'!Q334</f>
        <v>0</v>
      </c>
      <c r="R333" s="67">
        <f>'2024 DO NOT TOUCH'!R334</f>
        <v>2.2000000000000002</v>
      </c>
      <c r="S333" s="58" t="str">
        <f>'2024 DO NOT TOUCH'!S334</f>
        <v>TESTED</v>
      </c>
      <c r="T333" s="58" t="str">
        <f>'2024 DO NOT TOUCH'!T334</f>
        <v>PASSED</v>
      </c>
      <c r="U333" s="58">
        <f>'2024 DO NOT TOUCH'!U334</f>
        <v>0</v>
      </c>
      <c r="V333" s="58">
        <f>'2024 DO NOT TOUCH'!V334</f>
        <v>0</v>
      </c>
      <c r="W333" s="58">
        <f>'2024 DO NOT TOUCH'!W334</f>
        <v>0</v>
      </c>
      <c r="X333" s="67">
        <f>'2024 DO NOT TOUCH'!X334</f>
        <v>0</v>
      </c>
      <c r="Y333" s="58">
        <f>'2024 DO NOT TOUCH'!Y334</f>
        <v>0</v>
      </c>
    </row>
    <row r="334" spans="1:25" ht="19.5" customHeight="1">
      <c r="A334" s="77" t="str">
        <f>'2024 DO NOT TOUCH'!A335</f>
        <v>2274</v>
      </c>
      <c r="B334" s="78" t="str">
        <f>'2024 DO NOT TOUCH'!B335</f>
        <v>DORM 2274</v>
      </c>
      <c r="C334" s="77" t="str">
        <f>'2024 DO NOT TOUCH'!C335</f>
        <v>1176727</v>
      </c>
      <c r="D334" s="78" t="str">
        <f>'2024 DO NOT TOUCH'!D335</f>
        <v>WILKINS</v>
      </c>
      <c r="E334" s="77" t="str">
        <f>'2024 DO NOT TOUCH'!E335</f>
        <v>975XL</v>
      </c>
      <c r="F334" s="78" t="str">
        <f>'2024 DO NOT TOUCH'!F335</f>
        <v>RP</v>
      </c>
      <c r="G334" s="77" t="str">
        <f>'2024 DO NOT TOUCH'!G335</f>
        <v>0.75</v>
      </c>
      <c r="H334" s="78" t="str">
        <f>'2024 DO NOT TOUCH'!H335</f>
        <v>MECH RM HVAC</v>
      </c>
      <c r="I334" s="77" t="str">
        <f>'2024 DO NOT TOUCH'!I335</f>
        <v>INPREMISE</v>
      </c>
      <c r="J334" s="78" t="str">
        <f>'2024 DO NOT TOUCH'!J335</f>
        <v>AOI</v>
      </c>
      <c r="K334" s="77" t="str">
        <f>'2024 DO NOT TOUCH'!K335</f>
        <v>ACTIVE</v>
      </c>
      <c r="L334" s="79">
        <f>'2024 DO NOT TOUCH'!L335</f>
        <v>44935</v>
      </c>
      <c r="M334" s="77" t="b">
        <f>'2024 DO NOT TOUCH'!M335</f>
        <v>0</v>
      </c>
      <c r="N334" s="78">
        <f>'2024 DO NOT TOUCH'!N335</f>
        <v>45581</v>
      </c>
      <c r="O334" s="77" t="str">
        <f>'2024 DO NOT TOUCH'!O335</f>
        <v xml:space="preserve">JAKE </v>
      </c>
      <c r="P334" s="83">
        <f>'2024 DO NOT TOUCH'!P335</f>
        <v>2.8</v>
      </c>
      <c r="Q334" s="83">
        <f>'2024 DO NOT TOUCH'!Q335</f>
        <v>0</v>
      </c>
      <c r="R334" s="83">
        <f>'2024 DO NOT TOUCH'!R335</f>
        <v>4.5999999999999996</v>
      </c>
      <c r="S334" s="77" t="str">
        <f>'2024 DO NOT TOUCH'!S335</f>
        <v>TESTED</v>
      </c>
      <c r="T334" s="77" t="str">
        <f>'2024 DO NOT TOUCH'!T335</f>
        <v>PASSED</v>
      </c>
      <c r="U334" s="77">
        <f>'2024 DO NOT TOUCH'!U335</f>
        <v>0</v>
      </c>
      <c r="V334" s="77">
        <f>'2024 DO NOT TOUCH'!V335</f>
        <v>0</v>
      </c>
      <c r="W334" s="77">
        <f>'2024 DO NOT TOUCH'!W335</f>
        <v>0</v>
      </c>
      <c r="X334" s="83">
        <f>'2024 DO NOT TOUCH'!X335</f>
        <v>0</v>
      </c>
      <c r="Y334" s="77">
        <f>'2024 DO NOT TOUCH'!Y335</f>
        <v>0</v>
      </c>
    </row>
    <row r="335" spans="1:25" ht="19.5" customHeight="1">
      <c r="A335" s="58" t="str">
        <f>'2024 DO NOT TOUCH'!A336</f>
        <v>2274</v>
      </c>
      <c r="B335" s="59" t="str">
        <f>'2024 DO NOT TOUCH'!B336</f>
        <v>DORM 2274</v>
      </c>
      <c r="C335" s="58" t="str">
        <f>'2024 DO NOT TOUCH'!C336</f>
        <v>U28023</v>
      </c>
      <c r="D335" s="59" t="str">
        <f>'2024 DO NOT TOUCH'!D336</f>
        <v>WILKINS</v>
      </c>
      <c r="E335" s="58" t="str">
        <f>'2024 DO NOT TOUCH'!E336</f>
        <v>350A</v>
      </c>
      <c r="F335" s="59" t="str">
        <f>'2024 DO NOT TOUCH'!F336</f>
        <v>DC</v>
      </c>
      <c r="G335" s="58" t="str">
        <f>'2024 DO NOT TOUCH'!G336</f>
        <v>2.5</v>
      </c>
      <c r="H335" s="59" t="str">
        <f>'2024 DO NOT TOUCH'!H336</f>
        <v>MECH RM PREMISE</v>
      </c>
      <c r="I335" s="58" t="str">
        <f>'2024 DO NOT TOUCH'!I336</f>
        <v>PREMISE</v>
      </c>
      <c r="J335" s="59" t="str">
        <f>'2024 DO NOT TOUCH'!J336</f>
        <v>PREMISE</v>
      </c>
      <c r="K335" s="58" t="str">
        <f>'2024 DO NOT TOUCH'!K336</f>
        <v>ACTIVE</v>
      </c>
      <c r="L335" s="71">
        <f>'2024 DO NOT TOUCH'!L336</f>
        <v>44935</v>
      </c>
      <c r="M335" s="58" t="b">
        <f>'2024 DO NOT TOUCH'!M336</f>
        <v>0</v>
      </c>
      <c r="N335" s="59">
        <f>'2024 DO NOT TOUCH'!N336</f>
        <v>45581</v>
      </c>
      <c r="O335" s="58" t="str">
        <f>'2024 DO NOT TOUCH'!O336</f>
        <v xml:space="preserve">JAKE </v>
      </c>
      <c r="P335" s="65">
        <f>'2024 DO NOT TOUCH'!P336</f>
        <v>2.4</v>
      </c>
      <c r="Q335" s="65">
        <f>'2024 DO NOT TOUCH'!Q336</f>
        <v>2.6</v>
      </c>
      <c r="R335" s="65">
        <f>'2024 DO NOT TOUCH'!R336</f>
        <v>0</v>
      </c>
      <c r="S335" s="62" t="str">
        <f>'2024 DO NOT TOUCH'!S336</f>
        <v>TESTED</v>
      </c>
      <c r="T335" s="62" t="str">
        <f>'2024 DO NOT TOUCH'!T336</f>
        <v>pASSED</v>
      </c>
      <c r="U335" s="62">
        <f>'2024 DO NOT TOUCH'!U336</f>
        <v>0</v>
      </c>
      <c r="V335" s="62">
        <f>'2024 DO NOT TOUCH'!V336</f>
        <v>0</v>
      </c>
      <c r="W335" s="62">
        <f>'2024 DO NOT TOUCH'!W336</f>
        <v>0</v>
      </c>
      <c r="X335" s="65">
        <f>'2024 DO NOT TOUCH'!X336</f>
        <v>0</v>
      </c>
      <c r="Y335" s="62">
        <f>'2024 DO NOT TOUCH'!Y336</f>
        <v>0</v>
      </c>
    </row>
    <row r="336" spans="1:25" ht="19.5" customHeight="1">
      <c r="A336" s="55" t="str">
        <f>'2024 DO NOT TOUCH'!A337</f>
        <v>2274</v>
      </c>
      <c r="B336" s="3" t="str">
        <f>'2024 DO NOT TOUCH'!B337</f>
        <v>DORM 2274</v>
      </c>
      <c r="C336" s="55" t="str">
        <f>'2024 DO NOT TOUCH'!C337</f>
        <v>U28668</v>
      </c>
      <c r="D336" s="3" t="str">
        <f>'2024 DO NOT TOUCH'!D337</f>
        <v>WILKINS</v>
      </c>
      <c r="E336" s="55" t="str">
        <f>'2024 DO NOT TOUCH'!E337</f>
        <v>350A</v>
      </c>
      <c r="F336" s="3" t="str">
        <f>'2024 DO NOT TOUCH'!F337</f>
        <v>DC</v>
      </c>
      <c r="G336" s="55" t="str">
        <f>'2024 DO NOT TOUCH'!G337</f>
        <v>3.0</v>
      </c>
      <c r="H336" s="3" t="str">
        <f>'2024 DO NOT TOUCH'!H337</f>
        <v>MECH RM FIRE SYS</v>
      </c>
      <c r="I336" s="55" t="str">
        <f>'2024 DO NOT TOUCH'!I337</f>
        <v>PREMISE</v>
      </c>
      <c r="J336" s="3" t="str">
        <f>'2024 DO NOT TOUCH'!J337</f>
        <v>FIRE</v>
      </c>
      <c r="K336" s="55" t="str">
        <f>'2024 DO NOT TOUCH'!K337</f>
        <v>ACTIVE</v>
      </c>
      <c r="L336" s="72">
        <f>'2024 DO NOT TOUCH'!L337</f>
        <v>44935</v>
      </c>
      <c r="M336" s="55" t="b">
        <f>'2024 DO NOT TOUCH'!M337</f>
        <v>0</v>
      </c>
      <c r="N336" s="3">
        <f>'2024 DO NOT TOUCH'!N337</f>
        <v>45581</v>
      </c>
      <c r="O336" s="55" t="str">
        <f>'2024 DO NOT TOUCH'!O337</f>
        <v xml:space="preserve">JAKE </v>
      </c>
      <c r="P336" s="64">
        <f>'2024 DO NOT TOUCH'!P337</f>
        <v>4.8</v>
      </c>
      <c r="Q336" s="64">
        <f>'2024 DO NOT TOUCH'!Q337</f>
        <v>3.6</v>
      </c>
      <c r="R336" s="64">
        <f>'2024 DO NOT TOUCH'!R337</f>
        <v>0</v>
      </c>
      <c r="S336" s="57" t="str">
        <f>'2024 DO NOT TOUCH'!S337</f>
        <v>TESTED</v>
      </c>
      <c r="T336" s="57" t="str">
        <f>'2024 DO NOT TOUCH'!T337</f>
        <v>PASSED</v>
      </c>
      <c r="U336" s="57">
        <f>'2024 DO NOT TOUCH'!U337</f>
        <v>0</v>
      </c>
      <c r="V336" s="57">
        <f>'2024 DO NOT TOUCH'!V337</f>
        <v>0</v>
      </c>
      <c r="W336" s="57">
        <f>'2024 DO NOT TOUCH'!W337</f>
        <v>0</v>
      </c>
      <c r="X336" s="64">
        <f>'2024 DO NOT TOUCH'!X337</f>
        <v>0</v>
      </c>
      <c r="Y336" s="57">
        <f>'2024 DO NOT TOUCH'!Y337</f>
        <v>0</v>
      </c>
    </row>
    <row r="337" spans="1:25" ht="19.5" customHeight="1">
      <c r="A337" s="58" t="str">
        <f>'2024 DO NOT TOUCH'!A338</f>
        <v>2276</v>
      </c>
      <c r="B337" s="59" t="str">
        <f>'2024 DO NOT TOUCH'!B338</f>
        <v>DORM 2276</v>
      </c>
      <c r="C337" s="58" t="str">
        <f>'2024 DO NOT TOUCH'!C338</f>
        <v>3338576</v>
      </c>
      <c r="D337" s="59" t="str">
        <f>'2024 DO NOT TOUCH'!D338</f>
        <v>WILKINS</v>
      </c>
      <c r="E337" s="58" t="str">
        <f>'2024 DO NOT TOUCH'!E338</f>
        <v>975XL</v>
      </c>
      <c r="F337" s="59" t="str">
        <f>'2024 DO NOT TOUCH'!F338</f>
        <v>RP</v>
      </c>
      <c r="G337" s="58" t="str">
        <f>'2024 DO NOT TOUCH'!G338</f>
        <v>0.75</v>
      </c>
      <c r="H337" s="59" t="str">
        <f>'2024 DO NOT TOUCH'!H338</f>
        <v>1ST FLOOR MOP SINK</v>
      </c>
      <c r="I337" s="58" t="str">
        <f>'2024 DO NOT TOUCH'!I338</f>
        <v>INPREMISE</v>
      </c>
      <c r="J337" s="59" t="str">
        <f>'2024 DO NOT TOUCH'!J338</f>
        <v>AOI</v>
      </c>
      <c r="K337" s="58" t="str">
        <f>'2024 DO NOT TOUCH'!K338</f>
        <v>ACTIVE</v>
      </c>
      <c r="L337" s="71">
        <f>'2024 DO NOT TOUCH'!L338</f>
        <v>44935</v>
      </c>
      <c r="M337" s="58" t="b">
        <f>'2024 DO NOT TOUCH'!M338</f>
        <v>0</v>
      </c>
      <c r="N337" s="59">
        <f>'2024 DO NOT TOUCH'!N338</f>
        <v>45581</v>
      </c>
      <c r="O337" s="58" t="str">
        <f>'2024 DO NOT TOUCH'!O338</f>
        <v xml:space="preserve">JAKE </v>
      </c>
      <c r="P337" s="65">
        <f>'2024 DO NOT TOUCH'!P338</f>
        <v>3.5</v>
      </c>
      <c r="Q337" s="65">
        <f>'2024 DO NOT TOUCH'!Q338</f>
        <v>0</v>
      </c>
      <c r="R337" s="65">
        <f>'2024 DO NOT TOUCH'!R338</f>
        <v>2.2000000000000002</v>
      </c>
      <c r="S337" s="62" t="str">
        <f>'2024 DO NOT TOUCH'!S338</f>
        <v>TESTED</v>
      </c>
      <c r="T337" s="62">
        <f>'2024 DO NOT TOUCH'!T338</f>
        <v>0</v>
      </c>
      <c r="U337" s="62">
        <f>'2024 DO NOT TOUCH'!U338</f>
        <v>0</v>
      </c>
      <c r="V337" s="62">
        <f>'2024 DO NOT TOUCH'!V338</f>
        <v>0</v>
      </c>
      <c r="W337" s="62">
        <f>'2024 DO NOT TOUCH'!W338</f>
        <v>0</v>
      </c>
      <c r="X337" s="65">
        <f>'2024 DO NOT TOUCH'!X338</f>
        <v>0</v>
      </c>
      <c r="Y337" s="62">
        <f>'2024 DO NOT TOUCH'!Y338</f>
        <v>0</v>
      </c>
    </row>
    <row r="338" spans="1:25" ht="19.5" customHeight="1">
      <c r="A338" s="55" t="str">
        <f>'2024 DO NOT TOUCH'!A339</f>
        <v>2276</v>
      </c>
      <c r="B338" s="55" t="str">
        <f>'2024 DO NOT TOUCH'!B339</f>
        <v>DORM 2276</v>
      </c>
      <c r="C338" s="55" t="str">
        <f>'2024 DO NOT TOUCH'!C339</f>
        <v>JL0252</v>
      </c>
      <c r="D338" s="55" t="str">
        <f>'2024 DO NOT TOUCH'!D339</f>
        <v>AMES</v>
      </c>
      <c r="E338" s="55" t="str">
        <f>'2024 DO NOT TOUCH'!E339</f>
        <v>COLT 200A</v>
      </c>
      <c r="F338" s="55" t="str">
        <f>'2024 DO NOT TOUCH'!F339</f>
        <v>DC</v>
      </c>
      <c r="G338" s="55" t="str">
        <f>'2024 DO NOT TOUCH'!G339</f>
        <v>2.5</v>
      </c>
      <c r="H338" s="55" t="str">
        <f>'2024 DO NOT TOUCH'!H339</f>
        <v>MECH RM FIRE SYS</v>
      </c>
      <c r="I338" s="55" t="str">
        <f>'2024 DO NOT TOUCH'!I339</f>
        <v>PREMISE</v>
      </c>
      <c r="J338" s="55" t="str">
        <f>'2024 DO NOT TOUCH'!J339</f>
        <v>FIRE</v>
      </c>
      <c r="K338" s="55" t="str">
        <f>'2024 DO NOT TOUCH'!K339</f>
        <v>ACTIVE</v>
      </c>
      <c r="L338" s="56">
        <f>'2024 DO NOT TOUCH'!L339</f>
        <v>44935</v>
      </c>
      <c r="M338" s="56" t="b">
        <f>'2024 DO NOT TOUCH'!M339</f>
        <v>0</v>
      </c>
      <c r="N338" s="56">
        <f>'2024 DO NOT TOUCH'!N339</f>
        <v>45581</v>
      </c>
      <c r="O338" s="55">
        <f>'2024 DO NOT TOUCH'!P339</f>
        <v>0</v>
      </c>
      <c r="P338" s="64" t="e">
        <f>'2024 DO NOT TOUCH'!#REF!</f>
        <v>#REF!</v>
      </c>
      <c r="Q338" s="64">
        <f>'2024 DO NOT TOUCH'!Q339</f>
        <v>0</v>
      </c>
      <c r="R338" s="64">
        <f>'2024 DO NOT TOUCH'!R339</f>
        <v>0</v>
      </c>
      <c r="S338" s="55" t="str">
        <f>'2024 DO NOT TOUCH'!S339</f>
        <v>TESTED</v>
      </c>
      <c r="T338" s="55" t="str">
        <f>'2024 DO NOT TOUCH'!T339</f>
        <v>PASSED</v>
      </c>
      <c r="U338" s="55">
        <f>'2024 DO NOT TOUCH'!U339</f>
        <v>0</v>
      </c>
      <c r="V338" s="55">
        <f>'2024 DO NOT TOUCH'!V339</f>
        <v>0</v>
      </c>
      <c r="W338" s="55">
        <f>'2024 DO NOT TOUCH'!W339</f>
        <v>0</v>
      </c>
      <c r="X338" s="66">
        <f>'2024 DO NOT TOUCH'!X339</f>
        <v>0</v>
      </c>
      <c r="Y338" s="55">
        <f>'2024 DO NOT TOUCH'!Y339</f>
        <v>0</v>
      </c>
    </row>
    <row r="339" spans="1:25" ht="19.5" customHeight="1">
      <c r="A339" s="58" t="str">
        <f>'2024 DO NOT TOUCH'!A340</f>
        <v>2276</v>
      </c>
      <c r="B339" s="59" t="str">
        <f>'2024 DO NOT TOUCH'!B340</f>
        <v>DORM 2276</v>
      </c>
      <c r="C339" s="58" t="str">
        <f>'2024 DO NOT TOUCH'!C340</f>
        <v>U28022</v>
      </c>
      <c r="D339" s="59" t="str">
        <f>'2024 DO NOT TOUCH'!D340</f>
        <v>WILKINS</v>
      </c>
      <c r="E339" s="58" t="str">
        <f>'2024 DO NOT TOUCH'!E340</f>
        <v>350A</v>
      </c>
      <c r="F339" s="59" t="str">
        <f>'2024 DO NOT TOUCH'!F340</f>
        <v>DC</v>
      </c>
      <c r="G339" s="58" t="str">
        <f>'2024 DO NOT TOUCH'!G340</f>
        <v>2.5</v>
      </c>
      <c r="H339" s="59" t="str">
        <f>'2024 DO NOT TOUCH'!H340</f>
        <v>MECH RM PREMISE</v>
      </c>
      <c r="I339" s="58" t="str">
        <f>'2024 DO NOT TOUCH'!I340</f>
        <v>PREMISE</v>
      </c>
      <c r="J339" s="59" t="str">
        <f>'2024 DO NOT TOUCH'!J340</f>
        <v>PREMISE</v>
      </c>
      <c r="K339" s="58" t="str">
        <f>'2024 DO NOT TOUCH'!K340</f>
        <v>ACTIVE</v>
      </c>
      <c r="L339" s="71">
        <f>'2024 DO NOT TOUCH'!L340</f>
        <v>44935</v>
      </c>
      <c r="M339" s="58" t="b">
        <f>'2024 DO NOT TOUCH'!M340</f>
        <v>0</v>
      </c>
      <c r="N339" s="59">
        <f>'2024 DO NOT TOUCH'!N340</f>
        <v>45581</v>
      </c>
      <c r="O339" s="58" t="str">
        <f>'2024 DO NOT TOUCH'!O340</f>
        <v xml:space="preserve">JAKE </v>
      </c>
      <c r="P339" s="65">
        <f>'2024 DO NOT TOUCH'!P340</f>
        <v>2.2000000000000002</v>
      </c>
      <c r="Q339" s="65">
        <f>'2024 DO NOT TOUCH'!Q340</f>
        <v>2.8</v>
      </c>
      <c r="R339" s="65">
        <f>'2024 DO NOT TOUCH'!R340</f>
        <v>0</v>
      </c>
      <c r="S339" s="62" t="str">
        <f>'2024 DO NOT TOUCH'!S340</f>
        <v>TESTED</v>
      </c>
      <c r="T339" s="62" t="str">
        <f>'2024 DO NOT TOUCH'!T340</f>
        <v>PASSED</v>
      </c>
      <c r="U339" s="62">
        <f>'2024 DO NOT TOUCH'!U340</f>
        <v>0</v>
      </c>
      <c r="V339" s="62">
        <f>'2024 DO NOT TOUCH'!V340</f>
        <v>0</v>
      </c>
      <c r="W339" s="62">
        <f>'2024 DO NOT TOUCH'!W340</f>
        <v>0</v>
      </c>
      <c r="X339" s="65">
        <f>'2024 DO NOT TOUCH'!X340</f>
        <v>0</v>
      </c>
      <c r="Y339" s="62">
        <f>'2024 DO NOT TOUCH'!Y340</f>
        <v>0</v>
      </c>
    </row>
    <row r="340" spans="1:25" ht="19.5" customHeight="1">
      <c r="A340" s="55" t="str">
        <f>'2024 DO NOT TOUCH'!A341</f>
        <v>2278</v>
      </c>
      <c r="B340" s="3" t="str">
        <f>'2024 DO NOT TOUCH'!B341</f>
        <v>DORM 2278</v>
      </c>
      <c r="C340" s="55" t="str">
        <f>'2024 DO NOT TOUCH'!C341</f>
        <v>3338569</v>
      </c>
      <c r="D340" s="3" t="str">
        <f>'2024 DO NOT TOUCH'!D341</f>
        <v>WILKINS</v>
      </c>
      <c r="E340" s="55" t="str">
        <f>'2024 DO NOT TOUCH'!E341</f>
        <v>975XL</v>
      </c>
      <c r="F340" s="3" t="str">
        <f>'2024 DO NOT TOUCH'!F341</f>
        <v>RP</v>
      </c>
      <c r="G340" s="55" t="str">
        <f>'2024 DO NOT TOUCH'!G341</f>
        <v>0.75</v>
      </c>
      <c r="H340" s="3" t="str">
        <f>'2024 DO NOT TOUCH'!H341</f>
        <v>2ND FLOOR MOP SINK</v>
      </c>
      <c r="I340" s="55" t="str">
        <f>'2024 DO NOT TOUCH'!I341</f>
        <v>INPREMISE</v>
      </c>
      <c r="J340" s="3" t="str">
        <f>'2024 DO NOT TOUCH'!J341</f>
        <v>AOI</v>
      </c>
      <c r="K340" s="55" t="str">
        <f>'2024 DO NOT TOUCH'!K341</f>
        <v>ACTIVE</v>
      </c>
      <c r="L340" s="72">
        <f>'2024 DO NOT TOUCH'!L341</f>
        <v>44879</v>
      </c>
      <c r="M340" s="55" t="b">
        <f>'2024 DO NOT TOUCH'!M341</f>
        <v>0</v>
      </c>
      <c r="N340" s="3">
        <f>'2024 DO NOT TOUCH'!N341</f>
        <v>0</v>
      </c>
      <c r="O340" s="55">
        <f>'2024 DO NOT TOUCH'!O341</f>
        <v>0</v>
      </c>
      <c r="P340" s="64">
        <f>'2024 DO NOT TOUCH'!P341</f>
        <v>0</v>
      </c>
      <c r="Q340" s="64">
        <f>'2024 DO NOT TOUCH'!Q341</f>
        <v>0</v>
      </c>
      <c r="R340" s="64">
        <f>'2024 DO NOT TOUCH'!R341</f>
        <v>0</v>
      </c>
      <c r="S340" s="57" t="str">
        <f>'2024 DO NOT TOUCH'!S341</f>
        <v>TESTED</v>
      </c>
      <c r="T340" s="57" t="str">
        <f>'2024 DO NOT TOUCH'!T341</f>
        <v>PASSED</v>
      </c>
      <c r="U340" s="57">
        <f>'2024 DO NOT TOUCH'!U341</f>
        <v>0</v>
      </c>
      <c r="V340" s="57">
        <f>'2024 DO NOT TOUCH'!V341</f>
        <v>0</v>
      </c>
      <c r="W340" s="57">
        <f>'2024 DO NOT TOUCH'!W341</f>
        <v>0</v>
      </c>
      <c r="X340" s="64">
        <f>'2024 DO NOT TOUCH'!X341</f>
        <v>0</v>
      </c>
      <c r="Y340" s="57">
        <f>'2024 DO NOT TOUCH'!Y341</f>
        <v>0</v>
      </c>
    </row>
    <row r="341" spans="1:25" ht="19.5" customHeight="1">
      <c r="A341" s="58" t="str">
        <f>'2024 DO NOT TOUCH'!A342</f>
        <v>2278</v>
      </c>
      <c r="B341" s="59" t="str">
        <f>'2024 DO NOT TOUCH'!B342</f>
        <v>DORM 2278</v>
      </c>
      <c r="C341" s="58" t="str">
        <f>'2024 DO NOT TOUCH'!C342</f>
        <v>U27744</v>
      </c>
      <c r="D341" s="59" t="str">
        <f>'2024 DO NOT TOUCH'!D342</f>
        <v>WILKINS</v>
      </c>
      <c r="E341" s="58" t="str">
        <f>'2024 DO NOT TOUCH'!E342</f>
        <v>350A</v>
      </c>
      <c r="F341" s="59" t="str">
        <f>'2024 DO NOT TOUCH'!F342</f>
        <v>DC</v>
      </c>
      <c r="G341" s="58" t="str">
        <f>'2024 DO NOT TOUCH'!G342</f>
        <v>2.5</v>
      </c>
      <c r="H341" s="59" t="str">
        <f>'2024 DO NOT TOUCH'!H342</f>
        <v>MECH RM PREMISE</v>
      </c>
      <c r="I341" s="58" t="str">
        <f>'2024 DO NOT TOUCH'!I342</f>
        <v>PREMISE</v>
      </c>
      <c r="J341" s="59" t="str">
        <f>'2024 DO NOT TOUCH'!J342</f>
        <v>PREMISE</v>
      </c>
      <c r="K341" s="58" t="str">
        <f>'2024 DO NOT TOUCH'!K342</f>
        <v>ACTIVE</v>
      </c>
      <c r="L341" s="71">
        <f>'2024 DO NOT TOUCH'!L342</f>
        <v>44879</v>
      </c>
      <c r="M341" s="58" t="b">
        <f>'2024 DO NOT TOUCH'!M342</f>
        <v>0</v>
      </c>
      <c r="N341" s="59">
        <f>'2024 DO NOT TOUCH'!N342</f>
        <v>0</v>
      </c>
      <c r="O341" s="58">
        <f>'2024 DO NOT TOUCH'!O342</f>
        <v>0</v>
      </c>
      <c r="P341" s="65">
        <f>'2024 DO NOT TOUCH'!P342</f>
        <v>0</v>
      </c>
      <c r="Q341" s="65">
        <f>'2024 DO NOT TOUCH'!Q342</f>
        <v>0</v>
      </c>
      <c r="R341" s="65">
        <f>'2024 DO NOT TOUCH'!R342</f>
        <v>0</v>
      </c>
      <c r="S341" s="62" t="str">
        <f>'2024 DO NOT TOUCH'!S342</f>
        <v>TESTED</v>
      </c>
      <c r="T341" s="62" t="str">
        <f>'2024 DO NOT TOUCH'!T342</f>
        <v>PASSED</v>
      </c>
      <c r="U341" s="62">
        <f>'2024 DO NOT TOUCH'!U342</f>
        <v>0</v>
      </c>
      <c r="V341" s="62">
        <f>'2024 DO NOT TOUCH'!V342</f>
        <v>0</v>
      </c>
      <c r="W341" s="62">
        <f>'2024 DO NOT TOUCH'!W342</f>
        <v>0</v>
      </c>
      <c r="X341" s="65">
        <f>'2024 DO NOT TOUCH'!X342</f>
        <v>0</v>
      </c>
      <c r="Y341" s="62">
        <f>'2024 DO NOT TOUCH'!Y342</f>
        <v>0</v>
      </c>
    </row>
    <row r="342" spans="1:25" ht="19.5" customHeight="1">
      <c r="A342" s="55" t="str">
        <f>'2024 DO NOT TOUCH'!A343</f>
        <v>2278</v>
      </c>
      <c r="B342" s="3" t="str">
        <f>'2024 DO NOT TOUCH'!B343</f>
        <v>DORM 2278</v>
      </c>
      <c r="C342" s="55" t="str">
        <f>'2024 DO NOT TOUCH'!C343</f>
        <v>HG0278</v>
      </c>
      <c r="D342" s="3" t="str">
        <f>'2024 DO NOT TOUCH'!D343</f>
        <v>AMES</v>
      </c>
      <c r="E342" s="55" t="str">
        <f>'2024 DO NOT TOUCH'!E343</f>
        <v>COLT 200</v>
      </c>
      <c r="F342" s="3" t="str">
        <f>'2024 DO NOT TOUCH'!F343</f>
        <v>DC</v>
      </c>
      <c r="G342" s="55" t="str">
        <f>'2024 DO NOT TOUCH'!G343</f>
        <v>2.5</v>
      </c>
      <c r="H342" s="3" t="str">
        <f>'2024 DO NOT TOUCH'!H343</f>
        <v>MECH RM FIRE SYS</v>
      </c>
      <c r="I342" s="55" t="str">
        <f>'2024 DO NOT TOUCH'!I343</f>
        <v>PREMISE</v>
      </c>
      <c r="J342" s="3" t="str">
        <f>'2024 DO NOT TOUCH'!J343</f>
        <v>FIRE</v>
      </c>
      <c r="K342" s="55" t="str">
        <f>'2024 DO NOT TOUCH'!K343</f>
        <v>ACTIVE</v>
      </c>
      <c r="L342" s="72">
        <f>'2024 DO NOT TOUCH'!L343</f>
        <v>44935</v>
      </c>
      <c r="M342" s="55" t="b">
        <f>'2024 DO NOT TOUCH'!M343</f>
        <v>0</v>
      </c>
      <c r="N342" s="3">
        <f>'2024 DO NOT TOUCH'!N343</f>
        <v>0</v>
      </c>
      <c r="O342" s="55">
        <f>'2024 DO NOT TOUCH'!O343</f>
        <v>0</v>
      </c>
      <c r="P342" s="66">
        <f>'2024 DO NOT TOUCH'!P343</f>
        <v>0</v>
      </c>
      <c r="Q342" s="66">
        <f>'2024 DO NOT TOUCH'!Q343</f>
        <v>0</v>
      </c>
      <c r="R342" s="66">
        <f>'2024 DO NOT TOUCH'!R343</f>
        <v>0</v>
      </c>
      <c r="S342" s="55" t="str">
        <f>'2024 DO NOT TOUCH'!S343</f>
        <v>TESTED</v>
      </c>
      <c r="T342" s="55" t="str">
        <f>'2024 DO NOT TOUCH'!T343</f>
        <v>PASSED</v>
      </c>
      <c r="U342" s="55">
        <f>'2024 DO NOT TOUCH'!U343</f>
        <v>0</v>
      </c>
      <c r="V342" s="55">
        <f>'2024 DO NOT TOUCH'!V343</f>
        <v>0</v>
      </c>
      <c r="W342" s="55">
        <f>'2024 DO NOT TOUCH'!W343</f>
        <v>0</v>
      </c>
      <c r="X342" s="66">
        <f>'2024 DO NOT TOUCH'!X343</f>
        <v>0</v>
      </c>
      <c r="Y342" s="55">
        <f>'2024 DO NOT TOUCH'!Y343</f>
        <v>0</v>
      </c>
    </row>
    <row r="343" spans="1:25" ht="19.5" customHeight="1">
      <c r="A343" s="58" t="str">
        <f>'2024 DO NOT TOUCH'!A344</f>
        <v>2278</v>
      </c>
      <c r="B343" s="59" t="str">
        <f>'2024 DO NOT TOUCH'!B344</f>
        <v>DORM 2278</v>
      </c>
      <c r="C343" s="58" t="str">
        <f>'2024 DO NOT TOUCH'!C344</f>
        <v>D8169</v>
      </c>
      <c r="D343" s="59" t="str">
        <f>'2024 DO NOT TOUCH'!D344</f>
        <v>FEBCO</v>
      </c>
      <c r="E343" s="58" t="str">
        <f>'2024 DO NOT TOUCH'!E344</f>
        <v>825Y</v>
      </c>
      <c r="F343" s="59" t="str">
        <f>'2024 DO NOT TOUCH'!F344</f>
        <v>RP</v>
      </c>
      <c r="G343" s="58" t="str">
        <f>'2024 DO NOT TOUCH'!G344</f>
        <v>0.75</v>
      </c>
      <c r="H343" s="59" t="str">
        <f>'2024 DO NOT TOUCH'!H344</f>
        <v>MECH RM HVAC</v>
      </c>
      <c r="I343" s="58" t="str">
        <f>'2024 DO NOT TOUCH'!I344</f>
        <v>INPREMISE</v>
      </c>
      <c r="J343" s="59" t="str">
        <f>'2024 DO NOT TOUCH'!J344</f>
        <v>AOI</v>
      </c>
      <c r="K343" s="58" t="str">
        <f>'2024 DO NOT TOUCH'!K344</f>
        <v>ACTIVE</v>
      </c>
      <c r="L343" s="71">
        <f>'2024 DO NOT TOUCH'!L344</f>
        <v>44879</v>
      </c>
      <c r="M343" s="58" t="b">
        <f>'2024 DO NOT TOUCH'!M344</f>
        <v>0</v>
      </c>
      <c r="N343" s="59">
        <f>'2024 DO NOT TOUCH'!N344</f>
        <v>0</v>
      </c>
      <c r="O343" s="58">
        <f>'2024 DO NOT TOUCH'!O344</f>
        <v>0</v>
      </c>
      <c r="P343" s="67">
        <f>'2024 DO NOT TOUCH'!P344</f>
        <v>0</v>
      </c>
      <c r="Q343" s="67">
        <f>'2024 DO NOT TOUCH'!Q344</f>
        <v>0</v>
      </c>
      <c r="R343" s="67">
        <f>'2024 DO NOT TOUCH'!R344</f>
        <v>0</v>
      </c>
      <c r="S343" s="58" t="str">
        <f>'2024 DO NOT TOUCH'!S344</f>
        <v>TESTED</v>
      </c>
      <c r="T343" s="58" t="str">
        <f>'2024 DO NOT TOUCH'!T344</f>
        <v>PASSED</v>
      </c>
      <c r="U343" s="58">
        <f>'2024 DO NOT TOUCH'!U344</f>
        <v>0</v>
      </c>
      <c r="V343" s="58">
        <f>'2024 DO NOT TOUCH'!V344</f>
        <v>0</v>
      </c>
      <c r="W343" s="58">
        <f>'2024 DO NOT TOUCH'!W344</f>
        <v>0</v>
      </c>
      <c r="X343" s="67">
        <f>'2024 DO NOT TOUCH'!X344</f>
        <v>0</v>
      </c>
      <c r="Y343" s="58">
        <f>'2024 DO NOT TOUCH'!Y344</f>
        <v>0</v>
      </c>
    </row>
    <row r="344" spans="1:25" ht="19.5" customHeight="1">
      <c r="A344" s="77" t="str">
        <f>'2024 DO NOT TOUCH'!A345</f>
        <v>2279</v>
      </c>
      <c r="B344" s="78" t="str">
        <f>'2024 DO NOT TOUCH'!B345</f>
        <v>DORM 2279</v>
      </c>
      <c r="C344" s="77" t="str">
        <f>'2024 DO NOT TOUCH'!C345</f>
        <v>A266223</v>
      </c>
      <c r="D344" s="78" t="str">
        <f>'2024 DO NOT TOUCH'!D345</f>
        <v>FEBCO</v>
      </c>
      <c r="E344" s="77" t="str">
        <f>'2024 DO NOT TOUCH'!E345</f>
        <v>825Y</v>
      </c>
      <c r="F344" s="78" t="str">
        <f>'2024 DO NOT TOUCH'!F345</f>
        <v>RP</v>
      </c>
      <c r="G344" s="77" t="str">
        <f>'2024 DO NOT TOUCH'!G345</f>
        <v>0.75</v>
      </c>
      <c r="H344" s="78" t="str">
        <f>'2024 DO NOT TOUCH'!H345</f>
        <v>MECH RM HVAC</v>
      </c>
      <c r="I344" s="77" t="str">
        <f>'2024 DO NOT TOUCH'!I345</f>
        <v>INPREMISE</v>
      </c>
      <c r="J344" s="78" t="str">
        <f>'2024 DO NOT TOUCH'!J345</f>
        <v>AOI</v>
      </c>
      <c r="K344" s="77" t="str">
        <f>'2024 DO NOT TOUCH'!K345</f>
        <v>ACTIVE</v>
      </c>
      <c r="L344" s="79">
        <f>'2024 DO NOT TOUCH'!L345</f>
        <v>44879</v>
      </c>
      <c r="M344" s="77" t="b">
        <f>'2024 DO NOT TOUCH'!M345</f>
        <v>0</v>
      </c>
      <c r="N344" s="78">
        <f>'2024 DO NOT TOUCH'!N345</f>
        <v>0</v>
      </c>
      <c r="O344" s="77">
        <f>'2024 DO NOT TOUCH'!O345</f>
        <v>0</v>
      </c>
      <c r="P344" s="80">
        <f>'2024 DO NOT TOUCH'!P345</f>
        <v>0</v>
      </c>
      <c r="Q344" s="80">
        <f>'2024 DO NOT TOUCH'!Q345</f>
        <v>0</v>
      </c>
      <c r="R344" s="80">
        <f>'2024 DO NOT TOUCH'!R345</f>
        <v>0</v>
      </c>
      <c r="S344" s="81" t="str">
        <f>'2024 DO NOT TOUCH'!S345</f>
        <v>TESTED</v>
      </c>
      <c r="T344" s="81" t="str">
        <f>'2024 DO NOT TOUCH'!T345</f>
        <v>PASSED</v>
      </c>
      <c r="U344" s="81">
        <f>'2024 DO NOT TOUCH'!U345</f>
        <v>0</v>
      </c>
      <c r="V344" s="81">
        <f>'2024 DO NOT TOUCH'!V345</f>
        <v>0</v>
      </c>
      <c r="W344" s="81">
        <f>'2024 DO NOT TOUCH'!W345</f>
        <v>0</v>
      </c>
      <c r="X344" s="80">
        <f>'2024 DO NOT TOUCH'!X345</f>
        <v>0</v>
      </c>
      <c r="Y344" s="81">
        <f>'2024 DO NOT TOUCH'!Y345</f>
        <v>0</v>
      </c>
    </row>
    <row r="345" spans="1:25" ht="19.5" customHeight="1">
      <c r="A345" s="58" t="str">
        <f>'2024 DO NOT TOUCH'!A346</f>
        <v>2279</v>
      </c>
      <c r="B345" s="59" t="str">
        <f>'2024 DO NOT TOUCH'!B346</f>
        <v>DORM 2279</v>
      </c>
      <c r="C345" s="58" t="str">
        <f>'2024 DO NOT TOUCH'!C346</f>
        <v>3365215</v>
      </c>
      <c r="D345" s="59" t="str">
        <f>'2024 DO NOT TOUCH'!D346</f>
        <v>WILKINS</v>
      </c>
      <c r="E345" s="58" t="str">
        <f>'2024 DO NOT TOUCH'!E346</f>
        <v>975XL</v>
      </c>
      <c r="F345" s="59" t="str">
        <f>'2024 DO NOT TOUCH'!F346</f>
        <v>RP</v>
      </c>
      <c r="G345" s="58" t="str">
        <f>'2024 DO NOT TOUCH'!G346</f>
        <v>0.75</v>
      </c>
      <c r="H345" s="59" t="str">
        <f>'2024 DO NOT TOUCH'!H346</f>
        <v>1ST FLOOR MOP SINK</v>
      </c>
      <c r="I345" s="58" t="str">
        <f>'2024 DO NOT TOUCH'!I346</f>
        <v>INPREMISE</v>
      </c>
      <c r="J345" s="59" t="str">
        <f>'2024 DO NOT TOUCH'!J346</f>
        <v>AOI</v>
      </c>
      <c r="K345" s="58" t="str">
        <f>'2024 DO NOT TOUCH'!K346</f>
        <v>ACTIVE</v>
      </c>
      <c r="L345" s="71">
        <f>'2024 DO NOT TOUCH'!L346</f>
        <v>44879</v>
      </c>
      <c r="M345" s="58" t="b">
        <f>'2024 DO NOT TOUCH'!M346</f>
        <v>0</v>
      </c>
      <c r="N345" s="59">
        <f>'2024 DO NOT TOUCH'!N346</f>
        <v>0</v>
      </c>
      <c r="O345" s="58">
        <f>'2024 DO NOT TOUCH'!O346</f>
        <v>0</v>
      </c>
      <c r="P345" s="65">
        <f>'2024 DO NOT TOUCH'!P346</f>
        <v>0</v>
      </c>
      <c r="Q345" s="65">
        <f>'2024 DO NOT TOUCH'!Q346</f>
        <v>0</v>
      </c>
      <c r="R345" s="65">
        <f>'2024 DO NOT TOUCH'!R346</f>
        <v>0</v>
      </c>
      <c r="S345" s="62" t="str">
        <f>'2024 DO NOT TOUCH'!S346</f>
        <v>UNTESTED</v>
      </c>
      <c r="T345" s="62">
        <f>'2024 DO NOT TOUCH'!T346</f>
        <v>0</v>
      </c>
      <c r="U345" s="62">
        <f>'2024 DO NOT TOUCH'!U346</f>
        <v>0</v>
      </c>
      <c r="V345" s="62">
        <f>'2024 DO NOT TOUCH'!V346</f>
        <v>0</v>
      </c>
      <c r="W345" s="62">
        <f>'2024 DO NOT TOUCH'!W346</f>
        <v>0</v>
      </c>
      <c r="X345" s="65">
        <f>'2024 DO NOT TOUCH'!X346</f>
        <v>0</v>
      </c>
      <c r="Y345" s="62" t="str">
        <f>'2024 DO NOT TOUCH'!Y346</f>
        <v>ISSO</v>
      </c>
    </row>
    <row r="346" spans="1:25" ht="19.5" customHeight="1">
      <c r="A346" s="77" t="str">
        <f>'2024 DO NOT TOUCH'!A347</f>
        <v>2279</v>
      </c>
      <c r="B346" s="78" t="str">
        <f>'2024 DO NOT TOUCH'!B347</f>
        <v>DORM 2279</v>
      </c>
      <c r="C346" s="77" t="str">
        <f>'2024 DO NOT TOUCH'!C347</f>
        <v>U28837</v>
      </c>
      <c r="D346" s="78" t="str">
        <f>'2024 DO NOT TOUCH'!D347</f>
        <v>WILKINS</v>
      </c>
      <c r="E346" s="77" t="str">
        <f>'2024 DO NOT TOUCH'!E347</f>
        <v>350A</v>
      </c>
      <c r="F346" s="78" t="str">
        <f>'2024 DO NOT TOUCH'!F347</f>
        <v>DC</v>
      </c>
      <c r="G346" s="77" t="str">
        <f>'2024 DO NOT TOUCH'!G347</f>
        <v>4.0</v>
      </c>
      <c r="H346" s="78" t="str">
        <f>'2024 DO NOT TOUCH'!H347</f>
        <v>MECH RM FIRE SYS</v>
      </c>
      <c r="I346" s="77" t="str">
        <f>'2024 DO NOT TOUCH'!I347</f>
        <v>PREMISE</v>
      </c>
      <c r="J346" s="78" t="str">
        <f>'2024 DO NOT TOUCH'!J347</f>
        <v>FIRE</v>
      </c>
      <c r="K346" s="77" t="str">
        <f>'2024 DO NOT TOUCH'!K347</f>
        <v>ACTIVE</v>
      </c>
      <c r="L346" s="79">
        <f>'2024 DO NOT TOUCH'!L347</f>
        <v>44879</v>
      </c>
      <c r="M346" s="77" t="b">
        <f>'2024 DO NOT TOUCH'!M347</f>
        <v>0</v>
      </c>
      <c r="N346" s="78">
        <f>'2024 DO NOT TOUCH'!N347</f>
        <v>0</v>
      </c>
      <c r="O346" s="77">
        <f>'2024 DO NOT TOUCH'!O347</f>
        <v>0</v>
      </c>
      <c r="P346" s="80">
        <f>'2024 DO NOT TOUCH'!P347</f>
        <v>0</v>
      </c>
      <c r="Q346" s="80">
        <f>'2024 DO NOT TOUCH'!Q347</f>
        <v>0</v>
      </c>
      <c r="R346" s="80">
        <f>'2024 DO NOT TOUCH'!R347</f>
        <v>0</v>
      </c>
      <c r="S346" s="81" t="str">
        <f>'2024 DO NOT TOUCH'!S347</f>
        <v>TESTED</v>
      </c>
      <c r="T346" s="81" t="str">
        <f>'2024 DO NOT TOUCH'!T347</f>
        <v>PASSED</v>
      </c>
      <c r="U346" s="81">
        <f>'2024 DO NOT TOUCH'!U347</f>
        <v>0</v>
      </c>
      <c r="V346" s="81">
        <f>'2024 DO NOT TOUCH'!V347</f>
        <v>0</v>
      </c>
      <c r="W346" s="81">
        <f>'2024 DO NOT TOUCH'!W347</f>
        <v>0</v>
      </c>
      <c r="X346" s="80">
        <f>'2024 DO NOT TOUCH'!X347</f>
        <v>0</v>
      </c>
      <c r="Y346" s="81">
        <f>'2024 DO NOT TOUCH'!Y347</f>
        <v>0</v>
      </c>
    </row>
    <row r="347" spans="1:25" ht="19.5" customHeight="1">
      <c r="A347" s="58" t="str">
        <f>'2024 DO NOT TOUCH'!A348</f>
        <v>2279</v>
      </c>
      <c r="B347" s="59" t="str">
        <f>'2024 DO NOT TOUCH'!B348</f>
        <v>DORM 2279</v>
      </c>
      <c r="C347" s="58" t="str">
        <f>'2024 DO NOT TOUCH'!C348</f>
        <v>U27384</v>
      </c>
      <c r="D347" s="59" t="str">
        <f>'2024 DO NOT TOUCH'!D348</f>
        <v>WILKINS</v>
      </c>
      <c r="E347" s="58" t="str">
        <f>'2024 DO NOT TOUCH'!E348</f>
        <v>350A</v>
      </c>
      <c r="F347" s="59" t="str">
        <f>'2024 DO NOT TOUCH'!F348</f>
        <v>DC</v>
      </c>
      <c r="G347" s="58" t="str">
        <f>'2024 DO NOT TOUCH'!G348</f>
        <v>2.5</v>
      </c>
      <c r="H347" s="59" t="str">
        <f>'2024 DO NOT TOUCH'!H348</f>
        <v>MECH RM PREMISE</v>
      </c>
      <c r="I347" s="58" t="str">
        <f>'2024 DO NOT TOUCH'!I348</f>
        <v>PREMISE</v>
      </c>
      <c r="J347" s="59" t="str">
        <f>'2024 DO NOT TOUCH'!J348</f>
        <v>FIRE</v>
      </c>
      <c r="K347" s="58" t="str">
        <f>'2024 DO NOT TOUCH'!K348</f>
        <v>ACTIVE</v>
      </c>
      <c r="L347" s="71">
        <f>'2024 DO NOT TOUCH'!L348</f>
        <v>44879</v>
      </c>
      <c r="M347" s="58" t="b">
        <f>'2024 DO NOT TOUCH'!M348</f>
        <v>0</v>
      </c>
      <c r="N347" s="59">
        <f>'2024 DO NOT TOUCH'!N348</f>
        <v>0</v>
      </c>
      <c r="O347" s="58">
        <f>'2024 DO NOT TOUCH'!O348</f>
        <v>0</v>
      </c>
      <c r="P347" s="67">
        <f>'2024 DO NOT TOUCH'!P348</f>
        <v>0</v>
      </c>
      <c r="Q347" s="67">
        <f>'2024 DO NOT TOUCH'!Q348</f>
        <v>0</v>
      </c>
      <c r="R347" s="67">
        <f>'2024 DO NOT TOUCH'!R348</f>
        <v>0</v>
      </c>
      <c r="S347" s="58" t="str">
        <f>'2024 DO NOT TOUCH'!S348</f>
        <v>TESTED</v>
      </c>
      <c r="T347" s="58" t="str">
        <f>'2024 DO NOT TOUCH'!T348</f>
        <v>PASSED</v>
      </c>
      <c r="U347" s="58">
        <f>'2024 DO NOT TOUCH'!U348</f>
        <v>0</v>
      </c>
      <c r="V347" s="58">
        <f>'2024 DO NOT TOUCH'!V348</f>
        <v>0</v>
      </c>
      <c r="W347" s="58">
        <f>'2024 DO NOT TOUCH'!W348</f>
        <v>0</v>
      </c>
      <c r="X347" s="67">
        <f>'2024 DO NOT TOUCH'!X348</f>
        <v>0</v>
      </c>
      <c r="Y347" s="58">
        <f>'2024 DO NOT TOUCH'!Y348</f>
        <v>0</v>
      </c>
    </row>
    <row r="348" spans="1:25" ht="19.5" customHeight="1">
      <c r="A348" s="77" t="str">
        <f>'2024 DO NOT TOUCH'!A349</f>
        <v>2292</v>
      </c>
      <c r="B348" s="78" t="str">
        <f>'2024 DO NOT TOUCH'!B349</f>
        <v>OUTDOOR POOL</v>
      </c>
      <c r="C348" s="77" t="str">
        <f>'2024 DO NOT TOUCH'!C349</f>
        <v>2068339</v>
      </c>
      <c r="D348" s="78" t="str">
        <f>'2024 DO NOT TOUCH'!D349</f>
        <v>WILKINS</v>
      </c>
      <c r="E348" s="77" t="str">
        <f>'2024 DO NOT TOUCH'!E349</f>
        <v>975XL</v>
      </c>
      <c r="F348" s="78" t="str">
        <f>'2024 DO NOT TOUCH'!F349</f>
        <v>RP</v>
      </c>
      <c r="G348" s="77" t="str">
        <f>'2024 DO NOT TOUCH'!G349</f>
        <v>0.75</v>
      </c>
      <c r="H348" s="78" t="str">
        <f>'2024 DO NOT TOUCH'!H349</f>
        <v>MECH RM POOL TRIM WATER FEED</v>
      </c>
      <c r="I348" s="77" t="str">
        <f>'2024 DO NOT TOUCH'!I349</f>
        <v>INPREMISE</v>
      </c>
      <c r="J348" s="78" t="str">
        <f>'2024 DO NOT TOUCH'!J349</f>
        <v>AOI</v>
      </c>
      <c r="K348" s="77" t="str">
        <f>'2024 DO NOT TOUCH'!K349</f>
        <v>ACTIVE</v>
      </c>
      <c r="L348" s="79">
        <f>'2024 DO NOT TOUCH'!L349</f>
        <v>44781</v>
      </c>
      <c r="M348" s="77" t="b">
        <f>'2024 DO NOT TOUCH'!M349</f>
        <v>0</v>
      </c>
      <c r="N348" s="78">
        <f>'2024 DO NOT TOUCH'!N349</f>
        <v>0</v>
      </c>
      <c r="O348" s="77">
        <f>'2024 DO NOT TOUCH'!O349</f>
        <v>0</v>
      </c>
      <c r="P348" s="83">
        <f>'2024 DO NOT TOUCH'!P349</f>
        <v>0</v>
      </c>
      <c r="Q348" s="83">
        <f>'2024 DO NOT TOUCH'!Q349</f>
        <v>0</v>
      </c>
      <c r="R348" s="83">
        <f>'2024 DO NOT TOUCH'!R349</f>
        <v>0</v>
      </c>
      <c r="S348" s="77" t="str">
        <f>'2024 DO NOT TOUCH'!S349</f>
        <v>TESTED</v>
      </c>
      <c r="T348" s="77" t="str">
        <f>'2024 DO NOT TOUCH'!T349</f>
        <v>PASSED</v>
      </c>
      <c r="U348" s="77">
        <f>'2024 DO NOT TOUCH'!U349</f>
        <v>0</v>
      </c>
      <c r="V348" s="77">
        <f>'2024 DO NOT TOUCH'!V349</f>
        <v>0</v>
      </c>
      <c r="W348" s="77">
        <f>'2024 DO NOT TOUCH'!W349</f>
        <v>0</v>
      </c>
      <c r="X348" s="83">
        <f>'2024 DO NOT TOUCH'!X349</f>
        <v>0</v>
      </c>
      <c r="Y348" s="77">
        <f>'2024 DO NOT TOUCH'!Y349</f>
        <v>0</v>
      </c>
    </row>
    <row r="349" spans="1:25" ht="19.5" customHeight="1">
      <c r="A349" s="58" t="str">
        <f>'2024 DO NOT TOUCH'!A350</f>
        <v>2292</v>
      </c>
      <c r="B349" s="59" t="str">
        <f>'2024 DO NOT TOUCH'!B350</f>
        <v>OUTDOOR POOL</v>
      </c>
      <c r="C349" s="58" t="str">
        <f>'2024 DO NOT TOUCH'!C350</f>
        <v>A010127</v>
      </c>
      <c r="D349" s="59" t="str">
        <f>'2024 DO NOT TOUCH'!D350</f>
        <v>FEBCO</v>
      </c>
      <c r="E349" s="58" t="str">
        <f>'2024 DO NOT TOUCH'!E350</f>
        <v>805Y</v>
      </c>
      <c r="F349" s="59" t="str">
        <f>'2024 DO NOT TOUCH'!F350</f>
        <v>DC</v>
      </c>
      <c r="G349" s="58" t="str">
        <f>'2024 DO NOT TOUCH'!G350</f>
        <v>2.0</v>
      </c>
      <c r="H349" s="59" t="str">
        <f>'2024 DO NOT TOUCH'!H350</f>
        <v>BETWEEN HYDRANTS 107 &amp; 108 IRRIGATION</v>
      </c>
      <c r="I349" s="58" t="str">
        <f>'2024 DO NOT TOUCH'!I350</f>
        <v>PREMISE</v>
      </c>
      <c r="J349" s="59" t="str">
        <f>'2024 DO NOT TOUCH'!J350</f>
        <v>IRR</v>
      </c>
      <c r="K349" s="58" t="str">
        <f>'2024 DO NOT TOUCH'!K350</f>
        <v>INACTIVE</v>
      </c>
      <c r="L349" s="71">
        <f>'2024 DO NOT TOUCH'!L350</f>
        <v>44782</v>
      </c>
      <c r="M349" s="58" t="b">
        <f>'2024 DO NOT TOUCH'!M350</f>
        <v>0</v>
      </c>
      <c r="N349" s="59">
        <f>'2024 DO NOT TOUCH'!N350</f>
        <v>45425</v>
      </c>
      <c r="O349" s="58" t="str">
        <f>'2024 DO NOT TOUCH'!O350</f>
        <v>LARIOS</v>
      </c>
      <c r="P349" s="65">
        <f>'2024 DO NOT TOUCH'!P350</f>
        <v>0</v>
      </c>
      <c r="Q349" s="65">
        <f>'2024 DO NOT TOUCH'!Q350</f>
        <v>0</v>
      </c>
      <c r="R349" s="65">
        <f>'2024 DO NOT TOUCH'!R350</f>
        <v>0</v>
      </c>
      <c r="S349" s="62" t="str">
        <f>'2024 DO NOT TOUCH'!S350</f>
        <v>UNTESTED</v>
      </c>
      <c r="T349" s="62">
        <f>'2024 DO NOT TOUCH'!T350</f>
        <v>0</v>
      </c>
      <c r="U349" s="62">
        <f>'2024 DO NOT TOUCH'!U350</f>
        <v>0</v>
      </c>
      <c r="V349" s="62">
        <f>'2024 DO NOT TOUCH'!V350</f>
        <v>0</v>
      </c>
      <c r="W349" s="62">
        <f>'2024 DO NOT TOUCH'!W350</f>
        <v>0</v>
      </c>
      <c r="X349" s="65">
        <f>'2024 DO NOT TOUCH'!X350</f>
        <v>0</v>
      </c>
      <c r="Y349" s="62" t="str">
        <f>'2024 DO NOT TOUCH'!Y350</f>
        <v xml:space="preserve">isolated </v>
      </c>
    </row>
    <row r="350" spans="1:25" ht="19.5" customHeight="1">
      <c r="A350" s="55" t="str">
        <f>'2024 DO NOT TOUCH'!A351</f>
        <v>2292</v>
      </c>
      <c r="B350" s="3" t="str">
        <f>'2024 DO NOT TOUCH'!B351</f>
        <v>OUTDOOR POOL</v>
      </c>
      <c r="C350" s="55" t="str">
        <f>'2024 DO NOT TOUCH'!C351</f>
        <v>H22102</v>
      </c>
      <c r="D350" s="3" t="str">
        <f>'2024 DO NOT TOUCH'!D351</f>
        <v>FEBCO</v>
      </c>
      <c r="E350" s="55" t="str">
        <f>'2024 DO NOT TOUCH'!E351</f>
        <v>850</v>
      </c>
      <c r="F350" s="3" t="str">
        <f>'2024 DO NOT TOUCH'!F351</f>
        <v>DC</v>
      </c>
      <c r="G350" s="55" t="str">
        <f>'2024 DO NOT TOUCH'!G351</f>
        <v>2.0</v>
      </c>
      <c r="H350" s="3" t="str">
        <f>'2024 DO NOT TOUCH'!H351</f>
        <v>ACROSS 2276; CMD DR. S. SIDE OF RD IN VAULT</v>
      </c>
      <c r="I350" s="55" t="str">
        <f>'2024 DO NOT TOUCH'!I351</f>
        <v>PREMISE</v>
      </c>
      <c r="J350" s="3" t="str">
        <f>'2024 DO NOT TOUCH'!J351</f>
        <v>IRR</v>
      </c>
      <c r="K350" s="55" t="str">
        <f>'2024 DO NOT TOUCH'!K351</f>
        <v>ACTIVE</v>
      </c>
      <c r="L350" s="72">
        <f>'2024 DO NOT TOUCH'!L351</f>
        <v>44781</v>
      </c>
      <c r="M350" s="55" t="b">
        <f>'2024 DO NOT TOUCH'!M351</f>
        <v>0</v>
      </c>
      <c r="N350" s="3">
        <f>'2024 DO NOT TOUCH'!N351</f>
        <v>45443</v>
      </c>
      <c r="O350" s="55" t="str">
        <f>'2024 DO NOT TOUCH'!O351</f>
        <v>LARIOS</v>
      </c>
      <c r="P350" s="64">
        <f>'2024 DO NOT TOUCH'!P351</f>
        <v>2.4</v>
      </c>
      <c r="Q350" s="64">
        <f>'2024 DO NOT TOUCH'!Q351</f>
        <v>2</v>
      </c>
      <c r="R350" s="64">
        <f>'2024 DO NOT TOUCH'!R351</f>
        <v>0</v>
      </c>
      <c r="S350" s="57" t="str">
        <f>'2024 DO NOT TOUCH'!S351</f>
        <v>TESTED</v>
      </c>
      <c r="T350" s="57" t="str">
        <f>'2024 DO NOT TOUCH'!T351</f>
        <v>PASSED</v>
      </c>
      <c r="U350" s="57">
        <f>'2024 DO NOT TOUCH'!U351</f>
        <v>0</v>
      </c>
      <c r="V350" s="57">
        <f>'2024 DO NOT TOUCH'!V351</f>
        <v>0</v>
      </c>
      <c r="W350" s="57">
        <f>'2024 DO NOT TOUCH'!W351</f>
        <v>0</v>
      </c>
      <c r="X350" s="64">
        <f>'2024 DO NOT TOUCH'!X351</f>
        <v>0</v>
      </c>
      <c r="Y350" s="57">
        <f>'2024 DO NOT TOUCH'!Y351</f>
        <v>0</v>
      </c>
    </row>
    <row r="351" spans="1:25" ht="19.5" customHeight="1">
      <c r="A351" s="58" t="str">
        <f>'2024 DO NOT TOUCH'!A352</f>
        <v>2292</v>
      </c>
      <c r="B351" s="59" t="str">
        <f>'2024 DO NOT TOUCH'!B352</f>
        <v>OUTDOOR POOL</v>
      </c>
      <c r="C351" s="58" t="str">
        <f>'2024 DO NOT TOUCH'!C352</f>
        <v>461550</v>
      </c>
      <c r="D351" s="59" t="str">
        <f>'2024 DO NOT TOUCH'!D352</f>
        <v>FEBCO</v>
      </c>
      <c r="E351" s="58" t="str">
        <f>'2024 DO NOT TOUCH'!E352</f>
        <v>805Y</v>
      </c>
      <c r="F351" s="59" t="str">
        <f>'2024 DO NOT TOUCH'!F352</f>
        <v>DC</v>
      </c>
      <c r="G351" s="58" t="str">
        <f>'2024 DO NOT TOUCH'!G352</f>
        <v>2.0</v>
      </c>
      <c r="H351" s="59" t="str">
        <f>'2024 DO NOT TOUCH'!H352</f>
        <v>BETWEEN POOL AND COMMANDERS HOUSE IRR</v>
      </c>
      <c r="I351" s="58" t="str">
        <f>'2024 DO NOT TOUCH'!I352</f>
        <v>PREMISE</v>
      </c>
      <c r="J351" s="59" t="str">
        <f>'2024 DO NOT TOUCH'!J352</f>
        <v>IRR</v>
      </c>
      <c r="K351" s="58" t="str">
        <f>'2024 DO NOT TOUCH'!K352</f>
        <v>ACTIVE</v>
      </c>
      <c r="L351" s="71">
        <f>'2024 DO NOT TOUCH'!L352</f>
        <v>44781</v>
      </c>
      <c r="M351" s="58" t="b">
        <f>'2024 DO NOT TOUCH'!M352</f>
        <v>0</v>
      </c>
      <c r="N351" s="59">
        <f>'2024 DO NOT TOUCH'!N352</f>
        <v>45523</v>
      </c>
      <c r="O351" s="58" t="str">
        <f>'2024 DO NOT TOUCH'!O352</f>
        <v>LARIOS</v>
      </c>
      <c r="P351" s="65">
        <f>'2024 DO NOT TOUCH'!P352</f>
        <v>1.6</v>
      </c>
      <c r="Q351" s="65">
        <f>'2024 DO NOT TOUCH'!Q352</f>
        <v>1.8</v>
      </c>
      <c r="R351" s="65">
        <f>'2024 DO NOT TOUCH'!R352</f>
        <v>0</v>
      </c>
      <c r="S351" s="62" t="str">
        <f>'2024 DO NOT TOUCH'!S352</f>
        <v>TESTED</v>
      </c>
      <c r="T351" s="62" t="str">
        <f>'2024 DO NOT TOUCH'!T352</f>
        <v>PASSED</v>
      </c>
      <c r="U351" s="62">
        <f>'2024 DO NOT TOUCH'!U352</f>
        <v>0</v>
      </c>
      <c r="V351" s="62">
        <f>'2024 DO NOT TOUCH'!V352</f>
        <v>0</v>
      </c>
      <c r="W351" s="62">
        <f>'2024 DO NOT TOUCH'!W352</f>
        <v>0</v>
      </c>
      <c r="X351" s="65">
        <f>'2024 DO NOT TOUCH'!X352</f>
        <v>0</v>
      </c>
      <c r="Y351" s="62">
        <f>'2024 DO NOT TOUCH'!Y352</f>
        <v>0</v>
      </c>
    </row>
    <row r="352" spans="1:25" ht="19.5" customHeight="1">
      <c r="A352" s="55" t="str">
        <f>'2024 DO NOT TOUCH'!A353</f>
        <v>2292</v>
      </c>
      <c r="B352" s="55" t="str">
        <f>'2024 DO NOT TOUCH'!B353</f>
        <v>OUTDOOR POOL</v>
      </c>
      <c r="C352" s="55" t="str">
        <f>'2024 DO NOT TOUCH'!C353</f>
        <v>AJ9815</v>
      </c>
      <c r="D352" s="55" t="str">
        <f>'2024 DO NOT TOUCH'!D353</f>
        <v>FEBCO</v>
      </c>
      <c r="E352" s="55" t="str">
        <f>'2024 DO NOT TOUCH'!E353</f>
        <v>805Y</v>
      </c>
      <c r="F352" s="55" t="str">
        <f>'2024 DO NOT TOUCH'!F353</f>
        <v>DC</v>
      </c>
      <c r="G352" s="55" t="str">
        <f>'2024 DO NOT TOUCH'!G353</f>
        <v>2.0</v>
      </c>
      <c r="H352" s="55" t="str">
        <f>'2024 DO NOT TOUCH'!H353</f>
        <v>ACROSS 2272 IRRIGATION</v>
      </c>
      <c r="I352" s="55" t="str">
        <f>'2024 DO NOT TOUCH'!I353</f>
        <v>PREMISE</v>
      </c>
      <c r="J352" s="55" t="str">
        <f>'2024 DO NOT TOUCH'!J353</f>
        <v>IRR</v>
      </c>
      <c r="K352" s="55" t="str">
        <f>'2024 DO NOT TOUCH'!K353</f>
        <v>ACTIVE</v>
      </c>
      <c r="L352" s="56">
        <f>'2024 DO NOT TOUCH'!L353</f>
        <v>44781</v>
      </c>
      <c r="M352" s="56" t="b">
        <f>'2024 DO NOT TOUCH'!M353</f>
        <v>0</v>
      </c>
      <c r="N352" s="56">
        <f>'2024 DO NOT TOUCH'!N353</f>
        <v>45517</v>
      </c>
      <c r="O352" s="55" t="str">
        <f>'2024 DO NOT TOUCH'!O353</f>
        <v>LARIOS</v>
      </c>
      <c r="P352" s="64">
        <f>'2024 DO NOT TOUCH'!P353</f>
        <v>2</v>
      </c>
      <c r="Q352" s="64">
        <f>'2024 DO NOT TOUCH'!Q353</f>
        <v>1.8</v>
      </c>
      <c r="R352" s="64">
        <f>'2024 DO NOT TOUCH'!R353</f>
        <v>0</v>
      </c>
      <c r="S352" s="55" t="str">
        <f>'2024 DO NOT TOUCH'!S353</f>
        <v>TESTED</v>
      </c>
      <c r="T352" s="55" t="str">
        <f>'2024 DO NOT TOUCH'!T353</f>
        <v>PASSED</v>
      </c>
      <c r="U352" s="55">
        <f>'2024 DO NOT TOUCH'!U353</f>
        <v>0</v>
      </c>
      <c r="V352" s="55">
        <f>'2024 DO NOT TOUCH'!V353</f>
        <v>0</v>
      </c>
      <c r="W352" s="55">
        <f>'2024 DO NOT TOUCH'!W353</f>
        <v>0</v>
      </c>
      <c r="X352" s="66">
        <f>'2024 DO NOT TOUCH'!X353</f>
        <v>0</v>
      </c>
      <c r="Y352" s="55">
        <f>'2024 DO NOT TOUCH'!Y353</f>
        <v>0</v>
      </c>
    </row>
    <row r="353" spans="1:25" ht="19.5" customHeight="1">
      <c r="A353" s="58" t="str">
        <f>'2024 DO NOT TOUCH'!A354</f>
        <v>2292</v>
      </c>
      <c r="B353" s="59" t="str">
        <f>'2024 DO NOT TOUCH'!B354</f>
        <v>OUTDOOR POOL</v>
      </c>
      <c r="C353" s="58" t="str">
        <f>'2024 DO NOT TOUCH'!C354</f>
        <v>461543</v>
      </c>
      <c r="D353" s="59" t="str">
        <f>'2024 DO NOT TOUCH'!D354</f>
        <v>FEBCO</v>
      </c>
      <c r="E353" s="58" t="str">
        <f>'2024 DO NOT TOUCH'!E354</f>
        <v>805Y</v>
      </c>
      <c r="F353" s="59" t="str">
        <f>'2024 DO NOT TOUCH'!F354</f>
        <v>DC</v>
      </c>
      <c r="G353" s="58" t="str">
        <f>'2024 DO NOT TOUCH'!G354</f>
        <v>2.0</v>
      </c>
      <c r="H353" s="59" t="str">
        <f>'2024 DO NOT TOUCH'!H354</f>
        <v>BEHIND POOL IRRIGATION</v>
      </c>
      <c r="I353" s="58" t="str">
        <f>'2024 DO NOT TOUCH'!I354</f>
        <v>PREMISE</v>
      </c>
      <c r="J353" s="59" t="str">
        <f>'2024 DO NOT TOUCH'!J354</f>
        <v>IRR</v>
      </c>
      <c r="K353" s="58" t="str">
        <f>'2024 DO NOT TOUCH'!K354</f>
        <v>ACTIVE</v>
      </c>
      <c r="L353" s="71">
        <f>'2024 DO NOT TOUCH'!L354</f>
        <v>44781</v>
      </c>
      <c r="M353" s="58" t="b">
        <f>'2024 DO NOT TOUCH'!M354</f>
        <v>0</v>
      </c>
      <c r="N353" s="59">
        <f>'2024 DO NOT TOUCH'!N354</f>
        <v>45516</v>
      </c>
      <c r="O353" s="58" t="str">
        <f>'2024 DO NOT TOUCH'!O354</f>
        <v>LARIOS</v>
      </c>
      <c r="P353" s="65">
        <f>'2024 DO NOT TOUCH'!P354</f>
        <v>0</v>
      </c>
      <c r="Q353" s="65">
        <f>'2024 DO NOT TOUCH'!Q354</f>
        <v>0</v>
      </c>
      <c r="R353" s="65">
        <f>'2024 DO NOT TOUCH'!R354</f>
        <v>0</v>
      </c>
      <c r="S353" s="62" t="str">
        <f>'2024 DO NOT TOUCH'!S354</f>
        <v>TESTED</v>
      </c>
      <c r="T353" s="62" t="str">
        <f>'2024 DO NOT TOUCH'!T354</f>
        <v>PASSED</v>
      </c>
      <c r="U353" s="62">
        <f>'2024 DO NOT TOUCH'!U354</f>
        <v>0</v>
      </c>
      <c r="V353" s="62">
        <f>'2024 DO NOT TOUCH'!V354</f>
        <v>0</v>
      </c>
      <c r="W353" s="62">
        <f>'2024 DO NOT TOUCH'!W354</f>
        <v>0</v>
      </c>
      <c r="X353" s="65">
        <f>'2024 DO NOT TOUCH'!X354</f>
        <v>0</v>
      </c>
      <c r="Y353" s="62" t="str">
        <f>'2024 DO NOT TOUCH'!Y354</f>
        <v>POSSIBLE S/N: 416453</v>
      </c>
    </row>
    <row r="354" spans="1:25" ht="19.5" customHeight="1">
      <c r="A354" s="55" t="str">
        <f>'2024 DO NOT TOUCH'!A355</f>
        <v>2292</v>
      </c>
      <c r="B354" s="3" t="str">
        <f>'2024 DO NOT TOUCH'!B355</f>
        <v>OUTDOOR POOL</v>
      </c>
      <c r="C354" s="55" t="str">
        <f>'2024 DO NOT TOUCH'!C355</f>
        <v>3081720</v>
      </c>
      <c r="D354" s="3" t="str">
        <f>'2024 DO NOT TOUCH'!D355</f>
        <v>WILKINS</v>
      </c>
      <c r="E354" s="55" t="str">
        <f>'2024 DO NOT TOUCH'!E355</f>
        <v>950XLT</v>
      </c>
      <c r="F354" s="3" t="str">
        <f>'2024 DO NOT TOUCH'!F355</f>
        <v>DC</v>
      </c>
      <c r="G354" s="55" t="str">
        <f>'2024 DO NOT TOUCH'!G355</f>
        <v>2.0</v>
      </c>
      <c r="H354" s="3" t="str">
        <f>'2024 DO NOT TOUCH'!H355</f>
        <v>MECH RM PREMISE</v>
      </c>
      <c r="I354" s="55" t="str">
        <f>'2024 DO NOT TOUCH'!I355</f>
        <v>PREMISE</v>
      </c>
      <c r="J354" s="3" t="str">
        <f>'2024 DO NOT TOUCH'!J355</f>
        <v>PREMISE</v>
      </c>
      <c r="K354" s="55" t="str">
        <f>'2024 DO NOT TOUCH'!K355</f>
        <v>ACTIVE</v>
      </c>
      <c r="L354" s="72">
        <f>'2024 DO NOT TOUCH'!L355</f>
        <v>45061</v>
      </c>
      <c r="M354" s="55" t="b">
        <f>'2024 DO NOT TOUCH'!M355</f>
        <v>0</v>
      </c>
      <c r="N354" s="3">
        <f>'2024 DO NOT TOUCH'!N355</f>
        <v>0</v>
      </c>
      <c r="O354" s="55">
        <f>'2024 DO NOT TOUCH'!O355</f>
        <v>0</v>
      </c>
      <c r="P354" s="64">
        <f>'2024 DO NOT TOUCH'!P355</f>
        <v>0</v>
      </c>
      <c r="Q354" s="64">
        <f>'2024 DO NOT TOUCH'!Q355</f>
        <v>0</v>
      </c>
      <c r="R354" s="64">
        <f>'2024 DO NOT TOUCH'!R355</f>
        <v>0</v>
      </c>
      <c r="S354" s="57" t="str">
        <f>'2024 DO NOT TOUCH'!S355</f>
        <v>TESTED</v>
      </c>
      <c r="T354" s="57" t="str">
        <f>'2024 DO NOT TOUCH'!T355</f>
        <v>PASSED</v>
      </c>
      <c r="U354" s="57">
        <f>'2024 DO NOT TOUCH'!U355</f>
        <v>0</v>
      </c>
      <c r="V354" s="57">
        <f>'2024 DO NOT TOUCH'!V355</f>
        <v>0</v>
      </c>
      <c r="W354" s="57">
        <f>'2024 DO NOT TOUCH'!W355</f>
        <v>0</v>
      </c>
      <c r="X354" s="64">
        <f>'2024 DO NOT TOUCH'!X355</f>
        <v>0</v>
      </c>
      <c r="Y354" s="57">
        <f>'2024 DO NOT TOUCH'!Y355</f>
        <v>0</v>
      </c>
    </row>
    <row r="355" spans="1:25" ht="19.5" customHeight="1">
      <c r="A355" s="58" t="str">
        <f>'2024 DO NOT TOUCH'!A356</f>
        <v>2292</v>
      </c>
      <c r="B355" s="59" t="str">
        <f>'2024 DO NOT TOUCH'!B356</f>
        <v>OUTDOOR POOL</v>
      </c>
      <c r="C355" s="58" t="str">
        <f>'2024 DO NOT TOUCH'!C356</f>
        <v>H22175</v>
      </c>
      <c r="D355" s="59" t="str">
        <f>'2024 DO NOT TOUCH'!D356</f>
        <v>FEBCO</v>
      </c>
      <c r="E355" s="58" t="str">
        <f>'2024 DO NOT TOUCH'!E356</f>
        <v>850</v>
      </c>
      <c r="F355" s="59" t="str">
        <f>'2024 DO NOT TOUCH'!F356</f>
        <v>DC</v>
      </c>
      <c r="G355" s="58" t="str">
        <f>'2024 DO NOT TOUCH'!G356</f>
        <v>2.0</v>
      </c>
      <c r="H355" s="59" t="str">
        <f>'2024 DO NOT TOUCH'!H356</f>
        <v>BECHIND GAS STATION IRR</v>
      </c>
      <c r="I355" s="58" t="str">
        <f>'2024 DO NOT TOUCH'!I356</f>
        <v>PREMISE</v>
      </c>
      <c r="J355" s="59" t="str">
        <f>'2024 DO NOT TOUCH'!J356</f>
        <v>IRR</v>
      </c>
      <c r="K355" s="58" t="str">
        <f>'2024 DO NOT TOUCH'!K356</f>
        <v>ACTIVE</v>
      </c>
      <c r="L355" s="71">
        <f>'2024 DO NOT TOUCH'!L356</f>
        <v>44781</v>
      </c>
      <c r="M355" s="58" t="b">
        <f>'2024 DO NOT TOUCH'!M356</f>
        <v>0</v>
      </c>
      <c r="N355" s="59">
        <f>'2024 DO NOT TOUCH'!N356</f>
        <v>45443</v>
      </c>
      <c r="O355" s="58" t="str">
        <f>'2024 DO NOT TOUCH'!O356</f>
        <v>LARIOS</v>
      </c>
      <c r="P355" s="65">
        <f>'2024 DO NOT TOUCH'!P356</f>
        <v>2.4</v>
      </c>
      <c r="Q355" s="65">
        <f>'2024 DO NOT TOUCH'!Q356</f>
        <v>2.2000000000000002</v>
      </c>
      <c r="R355" s="65">
        <f>'2024 DO NOT TOUCH'!R356</f>
        <v>0</v>
      </c>
      <c r="S355" s="62" t="str">
        <f>'2024 DO NOT TOUCH'!S356</f>
        <v>TESTED</v>
      </c>
      <c r="T355" s="62" t="str">
        <f>'2024 DO NOT TOUCH'!T356</f>
        <v>PASSED</v>
      </c>
      <c r="U355" s="62">
        <f>'2024 DO NOT TOUCH'!U356</f>
        <v>0</v>
      </c>
      <c r="V355" s="62">
        <f>'2024 DO NOT TOUCH'!V356</f>
        <v>0</v>
      </c>
      <c r="W355" s="62">
        <f>'2024 DO NOT TOUCH'!W356</f>
        <v>0</v>
      </c>
      <c r="X355" s="65">
        <f>'2024 DO NOT TOUCH'!X356</f>
        <v>0</v>
      </c>
      <c r="Y355" s="62">
        <f>'2024 DO NOT TOUCH'!Y356</f>
        <v>0</v>
      </c>
    </row>
    <row r="356" spans="1:25" ht="19.5" customHeight="1">
      <c r="A356" s="55" t="str">
        <f>'2024 DO NOT TOUCH'!A357</f>
        <v>2292</v>
      </c>
      <c r="B356" s="3" t="str">
        <f>'2024 DO NOT TOUCH'!B357</f>
        <v>OUTDOOR POOL</v>
      </c>
      <c r="C356" s="55" t="str">
        <f>'2024 DO NOT TOUCH'!C357</f>
        <v>U7362</v>
      </c>
      <c r="D356" s="3" t="str">
        <f>'2024 DO NOT TOUCH'!D357</f>
        <v>FEBCO</v>
      </c>
      <c r="E356" s="55" t="str">
        <f>'2024 DO NOT TOUCH'!E357</f>
        <v>805Y</v>
      </c>
      <c r="F356" s="3" t="str">
        <f>'2024 DO NOT TOUCH'!F357</f>
        <v>DC</v>
      </c>
      <c r="G356" s="55" t="str">
        <f>'2024 DO NOT TOUCH'!G357</f>
        <v>2.0</v>
      </c>
      <c r="H356" s="3" t="str">
        <f>'2024 DO NOT TOUCH'!H357</f>
        <v>FRONT OF GAS STATION IRR</v>
      </c>
      <c r="I356" s="55" t="str">
        <f>'2024 DO NOT TOUCH'!I357</f>
        <v>PREMISE</v>
      </c>
      <c r="J356" s="3" t="str">
        <f>'2024 DO NOT TOUCH'!J357</f>
        <v>IRR</v>
      </c>
      <c r="K356" s="55" t="str">
        <f>'2024 DO NOT TOUCH'!K357</f>
        <v>ACTIVE</v>
      </c>
      <c r="L356" s="72">
        <f>'2024 DO NOT TOUCH'!L357</f>
        <v>44781</v>
      </c>
      <c r="M356" s="55" t="b">
        <f>'2024 DO NOT TOUCH'!M357</f>
        <v>0</v>
      </c>
      <c r="N356" s="3">
        <f>'2024 DO NOT TOUCH'!N357</f>
        <v>0</v>
      </c>
      <c r="O356" s="55">
        <f>'2024 DO NOT TOUCH'!O357</f>
        <v>0</v>
      </c>
      <c r="P356" s="66">
        <f>'2024 DO NOT TOUCH'!P357</f>
        <v>0</v>
      </c>
      <c r="Q356" s="66">
        <f>'2024 DO NOT TOUCH'!Q357</f>
        <v>0</v>
      </c>
      <c r="R356" s="66">
        <f>'2024 DO NOT TOUCH'!R357</f>
        <v>0</v>
      </c>
      <c r="S356" s="55" t="str">
        <f>'2024 DO NOT TOUCH'!S357</f>
        <v>UNTESTED</v>
      </c>
      <c r="T356" s="55">
        <f>'2024 DO NOT TOUCH'!T357</f>
        <v>0</v>
      </c>
      <c r="U356" s="55">
        <f>'2024 DO NOT TOUCH'!U357</f>
        <v>0</v>
      </c>
      <c r="V356" s="55">
        <f>'2024 DO NOT TOUCH'!V357</f>
        <v>0</v>
      </c>
      <c r="W356" s="55">
        <f>'2024 DO NOT TOUCH'!W357</f>
        <v>0</v>
      </c>
      <c r="X356" s="66">
        <f>'2024 DO NOT TOUCH'!X357</f>
        <v>0</v>
      </c>
      <c r="Y356" s="55" t="str">
        <f>'2024 DO NOT TOUCH'!Y357</f>
        <v>ISSO</v>
      </c>
    </row>
    <row r="357" spans="1:25" ht="19.5" customHeight="1">
      <c r="A357" s="58" t="str">
        <f>'2024 DO NOT TOUCH'!A358</f>
        <v>2293</v>
      </c>
      <c r="B357" s="59" t="str">
        <f>'2024 DO NOT TOUCH'!B358</f>
        <v>FAIRCHILD HWY</v>
      </c>
      <c r="C357" s="58" t="str">
        <f>'2024 DO NOT TOUCH'!C358</f>
        <v>H21977</v>
      </c>
      <c r="D357" s="59" t="str">
        <f>'2024 DO NOT TOUCH'!D358</f>
        <v>FEBCO</v>
      </c>
      <c r="E357" s="58" t="str">
        <f>'2024 DO NOT TOUCH'!E358</f>
        <v>850</v>
      </c>
      <c r="F357" s="59" t="str">
        <f>'2024 DO NOT TOUCH'!F358</f>
        <v>DC</v>
      </c>
      <c r="G357" s="58" t="str">
        <f>'2024 DO NOT TOUCH'!G358</f>
        <v>2.0</v>
      </c>
      <c r="H357" s="59" t="str">
        <f>'2024 DO NOT TOUCH'!H358</f>
        <v>BETWEEN 2393 &amp; FAIRCHILD HWY UNDER BUSH</v>
      </c>
      <c r="I357" s="58" t="str">
        <f>'2024 DO NOT TOUCH'!I358</f>
        <v>PREMISE</v>
      </c>
      <c r="J357" s="59" t="str">
        <f>'2024 DO NOT TOUCH'!J358</f>
        <v>IRR</v>
      </c>
      <c r="K357" s="58" t="str">
        <f>'2024 DO NOT TOUCH'!K358</f>
        <v>ACTIVE</v>
      </c>
      <c r="L357" s="71" t="str">
        <f>'2024 DO NOT TOUCH'!L358</f>
        <v>8/92022</v>
      </c>
      <c r="M357" s="58" t="b">
        <f>'2024 DO NOT TOUCH'!M358</f>
        <v>0</v>
      </c>
      <c r="N357" s="59">
        <f>'2024 DO NOT TOUCH'!N358</f>
        <v>45517</v>
      </c>
      <c r="O357" s="58" t="str">
        <f>'2024 DO NOT TOUCH'!O358</f>
        <v>LARIOS</v>
      </c>
      <c r="P357" s="67">
        <f>'2024 DO NOT TOUCH'!P358</f>
        <v>0</v>
      </c>
      <c r="Q357" s="67">
        <f>'2024 DO NOT TOUCH'!Q358</f>
        <v>0</v>
      </c>
      <c r="R357" s="67">
        <f>'2024 DO NOT TOUCH'!R358</f>
        <v>0</v>
      </c>
      <c r="S357" s="58" t="str">
        <f>'2024 DO NOT TOUCH'!S358</f>
        <v>UNTESTED</v>
      </c>
      <c r="T357" s="58">
        <f>'2024 DO NOT TOUCH'!T358</f>
        <v>0</v>
      </c>
      <c r="U357" s="58">
        <f>'2024 DO NOT TOUCH'!U358</f>
        <v>0</v>
      </c>
      <c r="V357" s="58">
        <f>'2024 DO NOT TOUCH'!V358</f>
        <v>0</v>
      </c>
      <c r="W357" s="58">
        <f>'2024 DO NOT TOUCH'!W358</f>
        <v>0</v>
      </c>
      <c r="X357" s="67">
        <f>'2024 DO NOT TOUCH'!X358</f>
        <v>0</v>
      </c>
      <c r="Y357" s="58" t="str">
        <f>'2024 DO NOT TOUCH'!Y358</f>
        <v xml:space="preserve">can't find </v>
      </c>
    </row>
    <row r="358" spans="1:25" ht="19.5" customHeight="1">
      <c r="A358" s="77" t="str">
        <f>'2024 DO NOT TOUCH'!A359</f>
        <v>2293</v>
      </c>
      <c r="B358" s="78" t="str">
        <f>'2024 DO NOT TOUCH'!B359</f>
        <v>FAIRCHILD HWY</v>
      </c>
      <c r="C358" s="77" t="str">
        <f>'2024 DO NOT TOUCH'!C359</f>
        <v>H21666</v>
      </c>
      <c r="D358" s="78" t="str">
        <f>'2024 DO NOT TOUCH'!D359</f>
        <v>FEBCO</v>
      </c>
      <c r="E358" s="77" t="str">
        <f>'2024 DO NOT TOUCH'!E359</f>
        <v>850</v>
      </c>
      <c r="F358" s="78" t="str">
        <f>'2024 DO NOT TOUCH'!F359</f>
        <v>DC</v>
      </c>
      <c r="G358" s="77" t="str">
        <f>'2024 DO NOT TOUCH'!G359</f>
        <v>2.0</v>
      </c>
      <c r="H358" s="78" t="str">
        <f>'2024 DO NOT TOUCH'!H359</f>
        <v>BETWEEN 2393 &amp; FAIRCHILD HWY BY PARKING LOT</v>
      </c>
      <c r="I358" s="77" t="str">
        <f>'2024 DO NOT TOUCH'!I359</f>
        <v>PREMISE</v>
      </c>
      <c r="J358" s="78" t="str">
        <f>'2024 DO NOT TOUCH'!J359</f>
        <v>IRR</v>
      </c>
      <c r="K358" s="77" t="str">
        <f>'2024 DO NOT TOUCH'!K359</f>
        <v>ACTIVE</v>
      </c>
      <c r="L358" s="79">
        <f>'2024 DO NOT TOUCH'!L359</f>
        <v>44782</v>
      </c>
      <c r="M358" s="77" t="b">
        <f>'2024 DO NOT TOUCH'!M359</f>
        <v>0</v>
      </c>
      <c r="N358" s="78">
        <f>'2024 DO NOT TOUCH'!N359</f>
        <v>45517</v>
      </c>
      <c r="O358" s="77" t="str">
        <f>'2024 DO NOT TOUCH'!O359</f>
        <v>LARIOS</v>
      </c>
      <c r="P358" s="80">
        <f>'2024 DO NOT TOUCH'!P359</f>
        <v>0</v>
      </c>
      <c r="Q358" s="80">
        <f>'2024 DO NOT TOUCH'!Q359</f>
        <v>0</v>
      </c>
      <c r="R358" s="80">
        <f>'2024 DO NOT TOUCH'!R359</f>
        <v>0</v>
      </c>
      <c r="S358" s="81" t="str">
        <f>'2024 DO NOT TOUCH'!S359</f>
        <v>UNTESTED</v>
      </c>
      <c r="T358" s="81">
        <f>'2024 DO NOT TOUCH'!T359</f>
        <v>0</v>
      </c>
      <c r="U358" s="81">
        <f>'2024 DO NOT TOUCH'!U359</f>
        <v>0</v>
      </c>
      <c r="V358" s="81">
        <f>'2024 DO NOT TOUCH'!V359</f>
        <v>0</v>
      </c>
      <c r="W358" s="81">
        <f>'2024 DO NOT TOUCH'!W359</f>
        <v>0</v>
      </c>
      <c r="X358" s="80">
        <f>'2024 DO NOT TOUCH'!X359</f>
        <v>0</v>
      </c>
      <c r="Y358" s="81">
        <f>'2024 DO NOT TOUCH'!Y359</f>
        <v>0</v>
      </c>
    </row>
    <row r="359" spans="1:25" ht="19.5" customHeight="1">
      <c r="A359" s="58" t="str">
        <f>'2024 DO NOT TOUCH'!A360</f>
        <v>2293</v>
      </c>
      <c r="B359" s="59" t="str">
        <f>'2024 DO NOT TOUCH'!B360</f>
        <v>TLF</v>
      </c>
      <c r="C359" s="58" t="str">
        <f>'2024 DO NOT TOUCH'!C360</f>
        <v>126942</v>
      </c>
      <c r="D359" s="59" t="str">
        <f>'2024 DO NOT TOUCH'!D360</f>
        <v>WILKINS</v>
      </c>
      <c r="E359" s="58" t="str">
        <f>'2024 DO NOT TOUCH'!E360</f>
        <v>709</v>
      </c>
      <c r="F359" s="59" t="str">
        <f>'2024 DO NOT TOUCH'!F360</f>
        <v>DC</v>
      </c>
      <c r="G359" s="58" t="str">
        <f>'2024 DO NOT TOUCH'!G360</f>
        <v>3.0</v>
      </c>
      <c r="H359" s="59" t="str">
        <f>'2024 DO NOT TOUCH'!H360</f>
        <v>In Pit Between Bldgs</v>
      </c>
      <c r="I359" s="58" t="str">
        <f>'2024 DO NOT TOUCH'!I360</f>
        <v>PREMISE</v>
      </c>
      <c r="J359" s="59" t="str">
        <f>'2024 DO NOT TOUCH'!J360</f>
        <v>PREMISE</v>
      </c>
      <c r="K359" s="58" t="str">
        <f>'2024 DO NOT TOUCH'!K360</f>
        <v>ACTIVE</v>
      </c>
      <c r="L359" s="71">
        <f>'2024 DO NOT TOUCH'!L360</f>
        <v>44782</v>
      </c>
      <c r="M359" s="58" t="b">
        <f>'2024 DO NOT TOUCH'!M360</f>
        <v>0</v>
      </c>
      <c r="N359" s="59">
        <f>'2024 DO NOT TOUCH'!N360</f>
        <v>0</v>
      </c>
      <c r="O359" s="58">
        <f>'2024 DO NOT TOUCH'!O360</f>
        <v>0</v>
      </c>
      <c r="P359" s="65">
        <f>'2024 DO NOT TOUCH'!P360</f>
        <v>0</v>
      </c>
      <c r="Q359" s="65">
        <f>'2024 DO NOT TOUCH'!Q360</f>
        <v>0</v>
      </c>
      <c r="R359" s="65">
        <f>'2024 DO NOT TOUCH'!R360</f>
        <v>0</v>
      </c>
      <c r="S359" s="62" t="str">
        <f>'2024 DO NOT TOUCH'!S360</f>
        <v>UNTESTED</v>
      </c>
      <c r="T359" s="62">
        <f>'2024 DO NOT TOUCH'!T360</f>
        <v>0</v>
      </c>
      <c r="U359" s="62">
        <f>'2024 DO NOT TOUCH'!U360</f>
        <v>0</v>
      </c>
      <c r="V359" s="62">
        <f>'2024 DO NOT TOUCH'!V360</f>
        <v>0</v>
      </c>
      <c r="W359" s="62">
        <f>'2024 DO NOT TOUCH'!W360</f>
        <v>0</v>
      </c>
      <c r="X359" s="65">
        <f>'2024 DO NOT TOUCH'!X360</f>
        <v>0</v>
      </c>
      <c r="Y359" s="62">
        <f>'2024 DO NOT TOUCH'!Y360</f>
        <v>0</v>
      </c>
    </row>
    <row r="360" spans="1:25" ht="19.5" customHeight="1">
      <c r="A360" s="77" t="str">
        <f>'2024 DO NOT TOUCH'!A361</f>
        <v>2310</v>
      </c>
      <c r="B360" s="78" t="str">
        <f>'2024 DO NOT TOUCH'!B361</f>
        <v>TEEN CENTER</v>
      </c>
      <c r="C360" s="77" t="str">
        <f>'2024 DO NOT TOUCH'!C361</f>
        <v>3064573</v>
      </c>
      <c r="D360" s="78" t="str">
        <f>'2024 DO NOT TOUCH'!D361</f>
        <v>WILKINS</v>
      </c>
      <c r="E360" s="77" t="str">
        <f>'2024 DO NOT TOUCH'!E361</f>
        <v>950XLT</v>
      </c>
      <c r="F360" s="78" t="str">
        <f>'2024 DO NOT TOUCH'!F361</f>
        <v>DC</v>
      </c>
      <c r="G360" s="77" t="str">
        <f>'2024 DO NOT TOUCH'!G361</f>
        <v>0.75</v>
      </c>
      <c r="H360" s="78" t="str">
        <f>'2024 DO NOT TOUCH'!H361</f>
        <v>KITCHEN UNDER SINK SOAP DISP</v>
      </c>
      <c r="I360" s="77" t="str">
        <f>'2024 DO NOT TOUCH'!I361</f>
        <v>INPREMISE</v>
      </c>
      <c r="J360" s="78" t="str">
        <f>'2024 DO NOT TOUCH'!J361</f>
        <v>AOI</v>
      </c>
      <c r="K360" s="77" t="str">
        <f>'2024 DO NOT TOUCH'!K361</f>
        <v>ACTIVE</v>
      </c>
      <c r="L360" s="79">
        <f>'2024 DO NOT TOUCH'!L361</f>
        <v>44879</v>
      </c>
      <c r="M360" s="77" t="b">
        <f>'2024 DO NOT TOUCH'!M361</f>
        <v>0</v>
      </c>
      <c r="N360" s="78">
        <f>'2024 DO NOT TOUCH'!N361</f>
        <v>45608</v>
      </c>
      <c r="O360" s="77" t="str">
        <f>'2024 DO NOT TOUCH'!O361</f>
        <v>Ram</v>
      </c>
      <c r="P360" s="80">
        <f>'2024 DO NOT TOUCH'!P361</f>
        <v>1.8</v>
      </c>
      <c r="Q360" s="80">
        <f>'2024 DO NOT TOUCH'!Q361</f>
        <v>2.1</v>
      </c>
      <c r="R360" s="80">
        <f>'2024 DO NOT TOUCH'!R361</f>
        <v>0</v>
      </c>
      <c r="S360" s="81" t="str">
        <f>'2024 DO NOT TOUCH'!S361</f>
        <v>TESTED</v>
      </c>
      <c r="T360" s="81" t="str">
        <f>'2024 DO NOT TOUCH'!T361</f>
        <v>PASSED</v>
      </c>
      <c r="U360" s="81">
        <f>'2024 DO NOT TOUCH'!U361</f>
        <v>0</v>
      </c>
      <c r="V360" s="81">
        <f>'2024 DO NOT TOUCH'!V361</f>
        <v>0</v>
      </c>
      <c r="W360" s="81">
        <f>'2024 DO NOT TOUCH'!W361</f>
        <v>0</v>
      </c>
      <c r="X360" s="80">
        <f>'2024 DO NOT TOUCH'!X361</f>
        <v>0</v>
      </c>
      <c r="Y360" s="81">
        <f>'2024 DO NOT TOUCH'!Y361</f>
        <v>0</v>
      </c>
    </row>
    <row r="361" spans="1:25" ht="19.5" customHeight="1">
      <c r="A361" s="58" t="str">
        <f>'2024 DO NOT TOUCH'!A362</f>
        <v>2310</v>
      </c>
      <c r="B361" s="59" t="str">
        <f>'2024 DO NOT TOUCH'!B362</f>
        <v>TEEN CENTER</v>
      </c>
      <c r="C361" s="58" t="str">
        <f>'2024 DO NOT TOUCH'!C362</f>
        <v>W11446891</v>
      </c>
      <c r="D361" s="59" t="str">
        <f>'2024 DO NOT TOUCH'!D362</f>
        <v>WILKINS</v>
      </c>
      <c r="E361" s="58" t="str">
        <f>'2024 DO NOT TOUCH'!E362</f>
        <v>550</v>
      </c>
      <c r="F361" s="59" t="str">
        <f>'2024 DO NOT TOUCH'!F362</f>
        <v>DC</v>
      </c>
      <c r="G361" s="58" t="str">
        <f>'2024 DO NOT TOUCH'!G362</f>
        <v>3.0</v>
      </c>
      <c r="H361" s="59" t="str">
        <f>'2024 DO NOT TOUCH'!H362</f>
        <v>MECH RM FIRE SYS</v>
      </c>
      <c r="I361" s="58" t="str">
        <f>'2024 DO NOT TOUCH'!I362</f>
        <v>PREMISE</v>
      </c>
      <c r="J361" s="59" t="str">
        <f>'2024 DO NOT TOUCH'!J362</f>
        <v>FIRE</v>
      </c>
      <c r="K361" s="58" t="str">
        <f>'2024 DO NOT TOUCH'!K362</f>
        <v>ACTIVE</v>
      </c>
      <c r="L361" s="71">
        <f>'2024 DO NOT TOUCH'!L362</f>
        <v>44879</v>
      </c>
      <c r="M361" s="58" t="b">
        <f>'2024 DO NOT TOUCH'!M362</f>
        <v>0</v>
      </c>
      <c r="N361" s="59">
        <f>'2024 DO NOT TOUCH'!N362</f>
        <v>45608</v>
      </c>
      <c r="O361" s="58" t="str">
        <f>'2024 DO NOT TOUCH'!O362</f>
        <v>Ram</v>
      </c>
      <c r="P361" s="67">
        <f>'2024 DO NOT TOUCH'!P362</f>
        <v>3.4</v>
      </c>
      <c r="Q361" s="67">
        <f>'2024 DO NOT TOUCH'!Q362</f>
        <v>3</v>
      </c>
      <c r="R361" s="67">
        <f>'2024 DO NOT TOUCH'!R362</f>
        <v>0</v>
      </c>
      <c r="S361" s="58" t="str">
        <f>'2024 DO NOT TOUCH'!S362</f>
        <v>TESTED</v>
      </c>
      <c r="T361" s="58" t="str">
        <f>'2024 DO NOT TOUCH'!T362</f>
        <v>PASSED</v>
      </c>
      <c r="U361" s="58">
        <f>'2024 DO NOT TOUCH'!U363</f>
        <v>0</v>
      </c>
      <c r="V361" s="58">
        <f>'2024 DO NOT TOUCH'!V362</f>
        <v>0</v>
      </c>
      <c r="W361" s="58">
        <f>'2024 DO NOT TOUCH'!W362</f>
        <v>0</v>
      </c>
      <c r="X361" s="67">
        <f>'2024 DO NOT TOUCH'!X362</f>
        <v>0</v>
      </c>
      <c r="Y361" s="58">
        <f>'2024 DO NOT TOUCH'!Y362</f>
        <v>0</v>
      </c>
    </row>
    <row r="362" spans="1:25" ht="19.5" customHeight="1">
      <c r="A362" s="77" t="str">
        <f>'2024 DO NOT TOUCH'!A363</f>
        <v>2310</v>
      </c>
      <c r="B362" s="78" t="str">
        <f>'2024 DO NOT TOUCH'!B363</f>
        <v>TEEN CENTER</v>
      </c>
      <c r="C362" s="77" t="str">
        <f>'2024 DO NOT TOUCH'!C363</f>
        <v>1126051</v>
      </c>
      <c r="D362" s="78" t="str">
        <f>'2024 DO NOT TOUCH'!D363</f>
        <v>WILKINS</v>
      </c>
      <c r="E362" s="77" t="str">
        <f>'2024 DO NOT TOUCH'!E363</f>
        <v>950XLT</v>
      </c>
      <c r="F362" s="78" t="str">
        <f>'2024 DO NOT TOUCH'!F363</f>
        <v>DC</v>
      </c>
      <c r="G362" s="77" t="str">
        <f>'2024 DO NOT TOUCH'!G363</f>
        <v>1.5</v>
      </c>
      <c r="H362" s="78" t="str">
        <f>'2024 DO NOT TOUCH'!H363</f>
        <v>MECH RM IRRIGATION</v>
      </c>
      <c r="I362" s="77" t="str">
        <f>'2024 DO NOT TOUCH'!I363</f>
        <v>PREMISE</v>
      </c>
      <c r="J362" s="78" t="str">
        <f>'2024 DO NOT TOUCH'!J363</f>
        <v>IRR</v>
      </c>
      <c r="K362" s="77" t="str">
        <f>'2024 DO NOT TOUCH'!K363</f>
        <v>INACTIVE</v>
      </c>
      <c r="L362" s="79">
        <f>'2024 DO NOT TOUCH'!L363</f>
        <v>44879</v>
      </c>
      <c r="M362" s="77" t="b">
        <f>'2024 DO NOT TOUCH'!M363</f>
        <v>0</v>
      </c>
      <c r="N362" s="78">
        <f>'2024 DO NOT TOUCH'!N363</f>
        <v>45608</v>
      </c>
      <c r="O362" s="77" t="str">
        <f>'2024 DO NOT TOUCH'!O363</f>
        <v>Ram</v>
      </c>
      <c r="P362" s="83">
        <f>'2024 DO NOT TOUCH'!P363</f>
        <v>0</v>
      </c>
      <c r="Q362" s="83">
        <f>'2024 DO NOT TOUCH'!Q363</f>
        <v>0</v>
      </c>
      <c r="R362" s="83">
        <f>'2024 DO NOT TOUCH'!R363</f>
        <v>0</v>
      </c>
      <c r="S362" s="77" t="str">
        <f>'2024 DO NOT TOUCH'!S363</f>
        <v>UNTESTED</v>
      </c>
      <c r="T362" s="77">
        <f>'2024 DO NOT TOUCH'!T363</f>
        <v>0</v>
      </c>
      <c r="U362" s="77" t="e">
        <f>'2024 DO NOT TOUCH'!#REF!</f>
        <v>#REF!</v>
      </c>
      <c r="V362" s="77">
        <f>'2024 DO NOT TOUCH'!V363</f>
        <v>0</v>
      </c>
      <c r="W362" s="77">
        <f>'2024 DO NOT TOUCH'!W363</f>
        <v>0</v>
      </c>
      <c r="X362" s="83">
        <f>'2024 DO NOT TOUCH'!X363</f>
        <v>0</v>
      </c>
      <c r="Y362" s="77" t="str">
        <f>'2024 DO NOT TOUCH'!Y363</f>
        <v>iso</v>
      </c>
    </row>
    <row r="363" spans="1:25" ht="19.5" customHeight="1">
      <c r="A363" s="58" t="str">
        <f>'2024 DO NOT TOUCH'!A364</f>
        <v>2310</v>
      </c>
      <c r="B363" s="59" t="str">
        <f>'2024 DO NOT TOUCH'!B364</f>
        <v>TEEN CENTER</v>
      </c>
      <c r="C363" s="58" t="str">
        <f>'2024 DO NOT TOUCH'!C364</f>
        <v>W358569</v>
      </c>
      <c r="D363" s="59" t="str">
        <f>'2024 DO NOT TOUCH'!D364</f>
        <v>WILKINS</v>
      </c>
      <c r="E363" s="58" t="str">
        <f>'2024 DO NOT TOUCH'!E364</f>
        <v>975XL</v>
      </c>
      <c r="F363" s="59" t="str">
        <f>'2024 DO NOT TOUCH'!F364</f>
        <v>RP</v>
      </c>
      <c r="G363" s="58" t="str">
        <f>'2024 DO NOT TOUCH'!G364</f>
        <v>0.5</v>
      </c>
      <c r="H363" s="59" t="str">
        <f>'2024 DO NOT TOUCH'!H364</f>
        <v>KITCHEN ICE MACHINE</v>
      </c>
      <c r="I363" s="58" t="str">
        <f>'2024 DO NOT TOUCH'!I364</f>
        <v>INPREMISE</v>
      </c>
      <c r="J363" s="59" t="str">
        <f>'2024 DO NOT TOUCH'!J364</f>
        <v>AOI</v>
      </c>
      <c r="K363" s="58" t="str">
        <f>'2024 DO NOT TOUCH'!K364</f>
        <v>ACTIVE</v>
      </c>
      <c r="L363" s="71">
        <f>'2024 DO NOT TOUCH'!L364</f>
        <v>44879</v>
      </c>
      <c r="M363" s="58" t="b">
        <f>'2024 DO NOT TOUCH'!M364</f>
        <v>0</v>
      </c>
      <c r="N363" s="59">
        <f>'2024 DO NOT TOUCH'!N364</f>
        <v>45633</v>
      </c>
      <c r="O363" s="58" t="str">
        <f>'2024 DO NOT TOUCH'!O364</f>
        <v>LARIOS</v>
      </c>
      <c r="P363" s="65">
        <f>'2024 DO NOT TOUCH'!P364</f>
        <v>7.2</v>
      </c>
      <c r="Q363" s="65">
        <f>'2024 DO NOT TOUCH'!Q364</f>
        <v>0</v>
      </c>
      <c r="R363" s="65">
        <f>'2024 DO NOT TOUCH'!R364</f>
        <v>2.2000000000000002</v>
      </c>
      <c r="S363" s="62" t="str">
        <f>'2024 DO NOT TOUCH'!S364</f>
        <v>TESTED</v>
      </c>
      <c r="T363" s="62" t="str">
        <f>'2024 DO NOT TOUCH'!T364</f>
        <v>PASSED</v>
      </c>
      <c r="U363" s="62" t="str">
        <f>'2024 DO NOT TOUCH'!U364</f>
        <v>y</v>
      </c>
      <c r="V363" s="62">
        <f>'2024 DO NOT TOUCH'!V364</f>
        <v>0</v>
      </c>
      <c r="W363" s="62">
        <f>'2024 DO NOT TOUCH'!W364</f>
        <v>0</v>
      </c>
      <c r="X363" s="65">
        <f>'2024 DO NOT TOUCH'!X364</f>
        <v>0</v>
      </c>
      <c r="Y363" s="62">
        <f>'2024 DO NOT TOUCH'!Y364</f>
        <v>0</v>
      </c>
    </row>
    <row r="364" spans="1:25" ht="19.5" customHeight="1">
      <c r="A364" s="55" t="str">
        <f>'2024 DO NOT TOUCH'!A365</f>
        <v>2316</v>
      </c>
      <c r="B364" s="3" t="str">
        <f>'2024 DO NOT TOUCH'!B365</f>
        <v>OVAL TRACK RESTROOM</v>
      </c>
      <c r="C364" s="55" t="str">
        <f>'2024 DO NOT TOUCH'!C365</f>
        <v>3442575XLTC</v>
      </c>
      <c r="D364" s="3" t="str">
        <f>'2024 DO NOT TOUCH'!D365</f>
        <v>WILKINS</v>
      </c>
      <c r="E364" s="55" t="str">
        <f>'2024 DO NOT TOUCH'!E365</f>
        <v>975XL</v>
      </c>
      <c r="F364" s="3" t="str">
        <f>'2024 DO NOT TOUCH'!F365</f>
        <v>RP</v>
      </c>
      <c r="G364" s="55" t="str">
        <f>'2024 DO NOT TOUCH'!G365</f>
        <v>1.25</v>
      </c>
      <c r="H364" s="3" t="str">
        <f>'2024 DO NOT TOUCH'!H365</f>
        <v>MECH RM PREMISE</v>
      </c>
      <c r="I364" s="55" t="str">
        <f>'2024 DO NOT TOUCH'!I365</f>
        <v>PREMISE</v>
      </c>
      <c r="J364" s="3" t="str">
        <f>'2024 DO NOT TOUCH'!J365</f>
        <v>PREMISE</v>
      </c>
      <c r="K364" s="55" t="str">
        <f>'2024 DO NOT TOUCH'!K365</f>
        <v>ACTIVE</v>
      </c>
      <c r="L364" s="72">
        <f>'2024 DO NOT TOUCH'!L365</f>
        <v>44662</v>
      </c>
      <c r="M364" s="55" t="b">
        <f>'2024 DO NOT TOUCH'!M365</f>
        <v>0</v>
      </c>
      <c r="N364" s="3">
        <f>'2024 DO NOT TOUCH'!N365</f>
        <v>45390</v>
      </c>
      <c r="O364" s="55" t="str">
        <f>'2024 DO NOT TOUCH'!O365</f>
        <v>PARK</v>
      </c>
      <c r="P364" s="64">
        <f>'2024 DO NOT TOUCH'!P365</f>
        <v>8</v>
      </c>
      <c r="Q364" s="64">
        <f>'2024 DO NOT TOUCH'!Q365</f>
        <v>0</v>
      </c>
      <c r="R364" s="64">
        <f>'2024 DO NOT TOUCH'!R365</f>
        <v>3.4</v>
      </c>
      <c r="S364" s="57" t="str">
        <f>'2024 DO NOT TOUCH'!S365</f>
        <v>TESTED</v>
      </c>
      <c r="T364" s="57" t="str">
        <f>'2024 DO NOT TOUCH'!T365</f>
        <v>PASSED</v>
      </c>
      <c r="U364" s="57">
        <f>'2024 DO NOT TOUCH'!U365</f>
        <v>0</v>
      </c>
      <c r="V364" s="57">
        <f>'2024 DO NOT TOUCH'!V365</f>
        <v>0</v>
      </c>
      <c r="W364" s="57">
        <f>'2024 DO NOT TOUCH'!W365</f>
        <v>0</v>
      </c>
      <c r="X364" s="64">
        <f>'2024 DO NOT TOUCH'!X365</f>
        <v>0</v>
      </c>
      <c r="Y364" s="57">
        <f>'2024 DO NOT TOUCH'!Y365</f>
        <v>0</v>
      </c>
    </row>
    <row r="365" spans="1:25" ht="19.5" customHeight="1">
      <c r="A365" s="58" t="str">
        <f>'2024 DO NOT TOUCH'!A366</f>
        <v>2316</v>
      </c>
      <c r="B365" s="59" t="str">
        <f>'2024 DO NOT TOUCH'!B366</f>
        <v>OVAL TRACK RESTROOM</v>
      </c>
      <c r="C365" s="58" t="str">
        <f>'2024 DO NOT TOUCH'!C366</f>
        <v>174732</v>
      </c>
      <c r="D365" s="59" t="str">
        <f>'2024 DO NOT TOUCH'!D366</f>
        <v>WATTS</v>
      </c>
      <c r="E365" s="58" t="str">
        <f>'2024 DO NOT TOUCH'!E366</f>
        <v>007M1QT</v>
      </c>
      <c r="F365" s="59" t="str">
        <f>'2024 DO NOT TOUCH'!F366</f>
        <v>DC</v>
      </c>
      <c r="G365" s="58" t="str">
        <f>'2024 DO NOT TOUCH'!G366</f>
        <v>2.0</v>
      </c>
      <c r="H365" s="59" t="str">
        <f>'2024 DO NOT TOUCH'!H366</f>
        <v>IRRIGATION</v>
      </c>
      <c r="I365" s="58" t="str">
        <f>'2024 DO NOT TOUCH'!I366</f>
        <v>PREMISE</v>
      </c>
      <c r="J365" s="59" t="str">
        <f>'2024 DO NOT TOUCH'!J366</f>
        <v>IRR</v>
      </c>
      <c r="K365" s="58" t="str">
        <f>'2024 DO NOT TOUCH'!K366</f>
        <v>ACTIVE</v>
      </c>
      <c r="L365" s="71">
        <f>'2024 DO NOT TOUCH'!L366</f>
        <v>0</v>
      </c>
      <c r="M365" s="58" t="b">
        <f>'2024 DO NOT TOUCH'!M366</f>
        <v>0</v>
      </c>
      <c r="N365" s="59">
        <f>'2024 DO NOT TOUCH'!N366</f>
        <v>45443</v>
      </c>
      <c r="O365" s="58" t="str">
        <f>'2024 DO NOT TOUCH'!O366</f>
        <v>LARIOS</v>
      </c>
      <c r="P365" s="65">
        <f>'2024 DO NOT TOUCH'!P366</f>
        <v>1.2</v>
      </c>
      <c r="Q365" s="65">
        <f>'2024 DO NOT TOUCH'!Q366</f>
        <v>1.4</v>
      </c>
      <c r="R365" s="65">
        <f>'2024 DO NOT TOUCH'!R366</f>
        <v>0</v>
      </c>
      <c r="S365" s="62" t="str">
        <f>'2024 DO NOT TOUCH'!S366</f>
        <v>TESTED</v>
      </c>
      <c r="T365" s="62" t="str">
        <f>'2024 DO NOT TOUCH'!T366</f>
        <v>PASSED</v>
      </c>
      <c r="U365" s="62">
        <f>'2024 DO NOT TOUCH'!U366</f>
        <v>0</v>
      </c>
      <c r="V365" s="62">
        <f>'2024 DO NOT TOUCH'!V366</f>
        <v>0</v>
      </c>
      <c r="W365" s="62">
        <f>'2024 DO NOT TOUCH'!W366</f>
        <v>0</v>
      </c>
      <c r="X365" s="65">
        <f>'2024 DO NOT TOUCH'!X366</f>
        <v>0</v>
      </c>
      <c r="Y365" s="62">
        <f>'2024 DO NOT TOUCH'!Y366</f>
        <v>0</v>
      </c>
    </row>
    <row r="366" spans="1:25" ht="19.5" customHeight="1">
      <c r="A366" s="55" t="str">
        <f>'2024 DO NOT TOUCH'!A367</f>
        <v>2316</v>
      </c>
      <c r="B366" s="55" t="str">
        <f>'2024 DO NOT TOUCH'!B367</f>
        <v>OVAL TRACK RESTROOM</v>
      </c>
      <c r="C366" s="55" t="str">
        <f>'2024 DO NOT TOUCH'!C367</f>
        <v>3204015</v>
      </c>
      <c r="D366" s="55" t="str">
        <f>'2024 DO NOT TOUCH'!D367</f>
        <v>FEBCO</v>
      </c>
      <c r="E366" s="55" t="str">
        <f>'2024 DO NOT TOUCH'!E367</f>
        <v>805Y</v>
      </c>
      <c r="F366" s="55" t="str">
        <f>'2024 DO NOT TOUCH'!F367</f>
        <v>DC</v>
      </c>
      <c r="G366" s="55" t="str">
        <f>'2024 DO NOT TOUCH'!G367</f>
        <v>2.0</v>
      </c>
      <c r="H366" s="55" t="str">
        <f>'2024 DO NOT TOUCH'!H367</f>
        <v>IRRIGATION FOOTBALL FIELD IN VAULT</v>
      </c>
      <c r="I366" s="55" t="str">
        <f>'2024 DO NOT TOUCH'!I367</f>
        <v>PREMISE</v>
      </c>
      <c r="J366" s="55" t="str">
        <f>'2024 DO NOT TOUCH'!J367</f>
        <v>IRR</v>
      </c>
      <c r="K366" s="55" t="str">
        <f>'2024 DO NOT TOUCH'!K367</f>
        <v>ACTIVE</v>
      </c>
      <c r="L366" s="56">
        <f>'2024 DO NOT TOUCH'!L367</f>
        <v>0</v>
      </c>
      <c r="M366" s="56" t="b">
        <f>'2024 DO NOT TOUCH'!M367</f>
        <v>0</v>
      </c>
      <c r="N366" s="56">
        <f>'2024 DO NOT TOUCH'!N367</f>
        <v>45443</v>
      </c>
      <c r="O366" s="55" t="str">
        <f>'2024 DO NOT TOUCH'!O367</f>
        <v>LARIOS</v>
      </c>
      <c r="P366" s="64">
        <f>'2024 DO NOT TOUCH'!P367</f>
        <v>0</v>
      </c>
      <c r="Q366" s="64">
        <f>'2024 DO NOT TOUCH'!Q367</f>
        <v>0</v>
      </c>
      <c r="R366" s="64">
        <f>'2024 DO NOT TOUCH'!R367</f>
        <v>0</v>
      </c>
      <c r="S366" s="55" t="str">
        <f>'2024 DO NOT TOUCH'!S367</f>
        <v>UNTESTED</v>
      </c>
      <c r="T366" s="55">
        <f>'2024 DO NOT TOUCH'!T367</f>
        <v>0</v>
      </c>
      <c r="U366" s="55">
        <f>'2024 DO NOT TOUCH'!U367</f>
        <v>0</v>
      </c>
      <c r="V366" s="55">
        <f>'2024 DO NOT TOUCH'!V367</f>
        <v>0</v>
      </c>
      <c r="W366" s="55">
        <f>'2024 DO NOT TOUCH'!W367</f>
        <v>0</v>
      </c>
      <c r="X366" s="66">
        <f>'2024 DO NOT TOUCH'!X367</f>
        <v>0</v>
      </c>
      <c r="Y366" s="55" t="str">
        <f>'2024 DO NOT TOUCH'!Y367</f>
        <v>comfined space</v>
      </c>
    </row>
    <row r="367" spans="1:25" ht="19.5" customHeight="1">
      <c r="A367" s="58" t="str">
        <f>'2024 DO NOT TOUCH'!A368</f>
        <v>2319</v>
      </c>
      <c r="B367" s="59" t="str">
        <f>'2024 DO NOT TOUCH'!B368</f>
        <v>AUTO HOBBY SHOP</v>
      </c>
      <c r="C367" s="58" t="str">
        <f>'2024 DO NOT TOUCH'!C368</f>
        <v>3080475</v>
      </c>
      <c r="D367" s="59" t="str">
        <f>'2024 DO NOT TOUCH'!D368</f>
        <v>WILKINS</v>
      </c>
      <c r="E367" s="58" t="str">
        <f>'2024 DO NOT TOUCH'!E368</f>
        <v>975XL</v>
      </c>
      <c r="F367" s="59" t="str">
        <f>'2024 DO NOT TOUCH'!F368</f>
        <v>RP</v>
      </c>
      <c r="G367" s="58" t="str">
        <f>'2024 DO NOT TOUCH'!G368</f>
        <v>1.5</v>
      </c>
      <c r="H367" s="59" t="str">
        <f>'2024 DO NOT TOUCH'!H368</f>
        <v>SOAP MECH RM BY CAR WASH</v>
      </c>
      <c r="I367" s="58" t="str">
        <f>'2024 DO NOT TOUCH'!I368</f>
        <v>INPREMISE</v>
      </c>
      <c r="J367" s="59" t="str">
        <f>'2024 DO NOT TOUCH'!J368</f>
        <v>AOI</v>
      </c>
      <c r="K367" s="58" t="str">
        <f>'2024 DO NOT TOUCH'!K368</f>
        <v>ACTIVE</v>
      </c>
      <c r="L367" s="71">
        <f>'2024 DO NOT TOUCH'!L368</f>
        <v>44937</v>
      </c>
      <c r="M367" s="58" t="b">
        <f>'2024 DO NOT TOUCH'!M368</f>
        <v>0</v>
      </c>
      <c r="N367" s="59">
        <f>'2024 DO NOT TOUCH'!N368</f>
        <v>0</v>
      </c>
      <c r="O367" s="58">
        <f>'2024 DO NOT TOUCH'!O368</f>
        <v>0</v>
      </c>
      <c r="P367" s="65">
        <f>'2024 DO NOT TOUCH'!P368</f>
        <v>0</v>
      </c>
      <c r="Q367" s="65">
        <f>'2024 DO NOT TOUCH'!Q368</f>
        <v>0</v>
      </c>
      <c r="R367" s="65">
        <f>'2024 DO NOT TOUCH'!R368</f>
        <v>0</v>
      </c>
      <c r="S367" s="62" t="str">
        <f>'2024 DO NOT TOUCH'!S368</f>
        <v>TESTED</v>
      </c>
      <c r="T367" s="62" t="str">
        <f>'2024 DO NOT TOUCH'!T368</f>
        <v>PASSED</v>
      </c>
      <c r="U367" s="62">
        <f>'2024 DO NOT TOUCH'!U368</f>
        <v>0</v>
      </c>
      <c r="V367" s="62">
        <f>'2024 DO NOT TOUCH'!V368</f>
        <v>0</v>
      </c>
      <c r="W367" s="62">
        <f>'2024 DO NOT TOUCH'!W368</f>
        <v>0</v>
      </c>
      <c r="X367" s="65">
        <f>'2024 DO NOT TOUCH'!X368</f>
        <v>0</v>
      </c>
      <c r="Y367" s="62">
        <f>'2024 DO NOT TOUCH'!Y368</f>
        <v>0</v>
      </c>
    </row>
    <row r="368" spans="1:25" ht="19.5" customHeight="1">
      <c r="A368" s="55" t="str">
        <f>'2024 DO NOT TOUCH'!A369</f>
        <v>2319</v>
      </c>
      <c r="B368" s="3" t="str">
        <f>'2024 DO NOT TOUCH'!B369</f>
        <v>AUTO HOBBY SHOP</v>
      </c>
      <c r="C368" s="55" t="str">
        <f>'2024 DO NOT TOUCH'!C369</f>
        <v>W15399</v>
      </c>
      <c r="D368" s="3" t="str">
        <f>'2024 DO NOT TOUCH'!D369</f>
        <v>WILKINS</v>
      </c>
      <c r="E368" s="55" t="str">
        <f>'2024 DO NOT TOUCH'!E369</f>
        <v>975XL</v>
      </c>
      <c r="F368" s="3" t="str">
        <f>'2024 DO NOT TOUCH'!F369</f>
        <v>RP</v>
      </c>
      <c r="G368" s="55" t="str">
        <f>'2024 DO NOT TOUCH'!G369</f>
        <v>1.5</v>
      </c>
      <c r="H368" s="3" t="str">
        <f>'2024 DO NOT TOUCH'!H369</f>
        <v>SOAP MECH RM BY CAR WASH</v>
      </c>
      <c r="I368" s="55" t="str">
        <f>'2024 DO NOT TOUCH'!I369</f>
        <v>INPREMISE</v>
      </c>
      <c r="J368" s="3" t="str">
        <f>'2024 DO NOT TOUCH'!J369</f>
        <v>AOI</v>
      </c>
      <c r="K368" s="55" t="str">
        <f>'2024 DO NOT TOUCH'!K369</f>
        <v>ACTIVE</v>
      </c>
      <c r="L368" s="72">
        <f>'2024 DO NOT TOUCH'!L369</f>
        <v>44937</v>
      </c>
      <c r="M368" s="55" t="b">
        <f>'2024 DO NOT TOUCH'!M369</f>
        <v>0</v>
      </c>
      <c r="N368" s="3">
        <f>'2024 DO NOT TOUCH'!N369</f>
        <v>0</v>
      </c>
      <c r="O368" s="55">
        <f>'2024 DO NOT TOUCH'!O369</f>
        <v>0</v>
      </c>
      <c r="P368" s="64">
        <f>'2024 DO NOT TOUCH'!P369</f>
        <v>0</v>
      </c>
      <c r="Q368" s="64">
        <f>'2024 DO NOT TOUCH'!Q369</f>
        <v>0</v>
      </c>
      <c r="R368" s="64">
        <f>'2024 DO NOT TOUCH'!R369</f>
        <v>0</v>
      </c>
      <c r="S368" s="57" t="str">
        <f>'2024 DO NOT TOUCH'!S369</f>
        <v>TESTED</v>
      </c>
      <c r="T368" s="57" t="str">
        <f>'2024 DO NOT TOUCH'!T369</f>
        <v>PASSED</v>
      </c>
      <c r="U368" s="57" t="str">
        <f>'2024 DO NOT TOUCH'!U369</f>
        <v>Y</v>
      </c>
      <c r="V368" s="57">
        <f>'2024 DO NOT TOUCH'!V369</f>
        <v>0</v>
      </c>
      <c r="W368" s="57">
        <f>'2024 DO NOT TOUCH'!W369</f>
        <v>0</v>
      </c>
      <c r="X368" s="64">
        <f>'2024 DO NOT TOUCH'!X369</f>
        <v>0</v>
      </c>
      <c r="Y368" s="57" t="str">
        <f>'2024 DO NOT TOUCH'!Y369</f>
        <v>ELI WROTE W153999</v>
      </c>
    </row>
    <row r="369" spans="1:25" ht="19.5" customHeight="1">
      <c r="A369" s="58" t="str">
        <f>'2024 DO NOT TOUCH'!A370</f>
        <v>2319</v>
      </c>
      <c r="B369" s="59" t="str">
        <f>'2024 DO NOT TOUCH'!B370</f>
        <v>AUTO HOBBY SHOP</v>
      </c>
      <c r="C369" s="58" t="str">
        <f>'2024 DO NOT TOUCH'!C370</f>
        <v>95643</v>
      </c>
      <c r="D369" s="59" t="str">
        <f>'2024 DO NOT TOUCH'!D370</f>
        <v>WATTS</v>
      </c>
      <c r="E369" s="58" t="str">
        <f>'2024 DO NOT TOUCH'!E370</f>
        <v>009QT</v>
      </c>
      <c r="F369" s="59" t="str">
        <f>'2024 DO NOT TOUCH'!F370</f>
        <v>RP</v>
      </c>
      <c r="G369" s="58" t="str">
        <f>'2024 DO NOT TOUCH'!G370</f>
        <v>0.5</v>
      </c>
      <c r="H369" s="59" t="str">
        <f>'2024 DO NOT TOUCH'!H370</f>
        <v>SOAP MECH RM BY CAR WASH</v>
      </c>
      <c r="I369" s="58" t="str">
        <f>'2024 DO NOT TOUCH'!I370</f>
        <v>INPREMISE</v>
      </c>
      <c r="J369" s="59" t="str">
        <f>'2024 DO NOT TOUCH'!J370</f>
        <v>AOI</v>
      </c>
      <c r="K369" s="58" t="str">
        <f>'2024 DO NOT TOUCH'!K370</f>
        <v>INACTIVE</v>
      </c>
      <c r="L369" s="71">
        <f>'2024 DO NOT TOUCH'!L370</f>
        <v>0</v>
      </c>
      <c r="M369" s="58" t="b">
        <f>'2024 DO NOT TOUCH'!M370</f>
        <v>0</v>
      </c>
      <c r="N369" s="59">
        <f>'2024 DO NOT TOUCH'!N370</f>
        <v>0</v>
      </c>
      <c r="O369" s="58">
        <f>'2024 DO NOT TOUCH'!O370</f>
        <v>0</v>
      </c>
      <c r="P369" s="65">
        <f>'2024 DO NOT TOUCH'!P370</f>
        <v>0</v>
      </c>
      <c r="Q369" s="65">
        <f>'2024 DO NOT TOUCH'!Q370</f>
        <v>0</v>
      </c>
      <c r="R369" s="65">
        <f>'2024 DO NOT TOUCH'!R370</f>
        <v>0</v>
      </c>
      <c r="S369" s="62" t="str">
        <f>'2024 DO NOT TOUCH'!S370</f>
        <v>UNTESTED</v>
      </c>
      <c r="T369" s="62">
        <f>'2024 DO NOT TOUCH'!T370</f>
        <v>0</v>
      </c>
      <c r="U369" s="62">
        <f>'2024 DO NOT TOUCH'!U370</f>
        <v>0</v>
      </c>
      <c r="V369" s="62">
        <f>'2024 DO NOT TOUCH'!V370</f>
        <v>0</v>
      </c>
      <c r="W369" s="62">
        <f>'2024 DO NOT TOUCH'!W370</f>
        <v>0</v>
      </c>
      <c r="X369" s="65">
        <f>'2024 DO NOT TOUCH'!X370</f>
        <v>0</v>
      </c>
      <c r="Y369" s="62" t="str">
        <f>'2024 DO NOT TOUCH'!Y370</f>
        <v xml:space="preserve">not in use </v>
      </c>
    </row>
    <row r="370" spans="1:25" ht="19.5" customHeight="1">
      <c r="A370" s="55" t="str">
        <f>'2024 DO NOT TOUCH'!A371</f>
        <v>2319</v>
      </c>
      <c r="B370" s="3" t="str">
        <f>'2024 DO NOT TOUCH'!B371</f>
        <v>AUTO HOBBY SHOP</v>
      </c>
      <c r="C370" s="55" t="str">
        <f>'2024 DO NOT TOUCH'!C371</f>
        <v>AF1502</v>
      </c>
      <c r="D370" s="3" t="str">
        <f>'2024 DO NOT TOUCH'!D371</f>
        <v>FEBCO</v>
      </c>
      <c r="E370" s="55" t="str">
        <f>'2024 DO NOT TOUCH'!E371</f>
        <v>805Y</v>
      </c>
      <c r="F370" s="3" t="str">
        <f>'2024 DO NOT TOUCH'!F371</f>
        <v>DC</v>
      </c>
      <c r="G370" s="55">
        <f>'2024 DO NOT TOUCH'!G371</f>
        <v>0.5</v>
      </c>
      <c r="H370" s="3" t="str">
        <f>'2024 DO NOT TOUCH'!H371</f>
        <v>SOAP MECH RM BY CAR WASH</v>
      </c>
      <c r="I370" s="55" t="str">
        <f>'2024 DO NOT TOUCH'!I371</f>
        <v>PREMISE</v>
      </c>
      <c r="J370" s="3" t="str">
        <f>'2024 DO NOT TOUCH'!J371</f>
        <v>IRR</v>
      </c>
      <c r="K370" s="55" t="str">
        <f>'2024 DO NOT TOUCH'!K371</f>
        <v>ACTIVE</v>
      </c>
      <c r="L370" s="72">
        <f>'2024 DO NOT TOUCH'!L371</f>
        <v>44937</v>
      </c>
      <c r="M370" s="55" t="b">
        <f>'2024 DO NOT TOUCH'!M371</f>
        <v>0</v>
      </c>
      <c r="N370" s="3">
        <f>'2024 DO NOT TOUCH'!N371</f>
        <v>0</v>
      </c>
      <c r="O370" s="55">
        <f>'2024 DO NOT TOUCH'!O371</f>
        <v>0</v>
      </c>
      <c r="P370" s="66">
        <f>'2024 DO NOT TOUCH'!P371</f>
        <v>0</v>
      </c>
      <c r="Q370" s="66">
        <f>'2024 DO NOT TOUCH'!Q371</f>
        <v>0</v>
      </c>
      <c r="R370" s="66">
        <f>'2024 DO NOT TOUCH'!R371</f>
        <v>0</v>
      </c>
      <c r="S370" s="55" t="str">
        <f>'2024 DO NOT TOUCH'!S371</f>
        <v>UNTESTED</v>
      </c>
      <c r="T370" s="55">
        <f>'2024 DO NOT TOUCH'!T371</f>
        <v>0</v>
      </c>
      <c r="U370" s="55">
        <f>'2024 DO NOT TOUCH'!U371</f>
        <v>0</v>
      </c>
      <c r="V370" s="55">
        <f>'2024 DO NOT TOUCH'!V371</f>
        <v>0</v>
      </c>
      <c r="W370" s="55">
        <f>'2024 DO NOT TOUCH'!W371</f>
        <v>0</v>
      </c>
      <c r="X370" s="66">
        <f>'2024 DO NOT TOUCH'!X371</f>
        <v>0</v>
      </c>
      <c r="Y370" s="55">
        <f>'2024 DO NOT TOUCH'!Y371</f>
        <v>0</v>
      </c>
    </row>
    <row r="371" spans="1:25" ht="19.5" customHeight="1">
      <c r="A371" s="58" t="str">
        <f>'2024 DO NOT TOUCH'!A372</f>
        <v>2328</v>
      </c>
      <c r="B371" s="59" t="str">
        <f>'2024 DO NOT TOUCH'!B372</f>
        <v>MILLER PARK</v>
      </c>
      <c r="C371" s="58" t="str">
        <f>'2024 DO NOT TOUCH'!C372</f>
        <v>AJ9752</v>
      </c>
      <c r="D371" s="59" t="str">
        <f>'2024 DO NOT TOUCH'!D372</f>
        <v>FEBCO</v>
      </c>
      <c r="E371" s="58" t="str">
        <f>'2024 DO NOT TOUCH'!E372</f>
        <v>805Y</v>
      </c>
      <c r="F371" s="59" t="str">
        <f>'2024 DO NOT TOUCH'!F372</f>
        <v>DC</v>
      </c>
      <c r="G371" s="58" t="str">
        <f>'2024 DO NOT TOUCH'!G372</f>
        <v>2.0</v>
      </c>
      <c r="H371" s="59" t="str">
        <f>'2024 DO NOT TOUCH'!H372</f>
        <v>3RD BASE DUGOUT VAULT IN GRASS</v>
      </c>
      <c r="I371" s="58" t="str">
        <f>'2024 DO NOT TOUCH'!I372</f>
        <v>PREMISE</v>
      </c>
      <c r="J371" s="59" t="str">
        <f>'2024 DO NOT TOUCH'!J372</f>
        <v>IRR</v>
      </c>
      <c r="K371" s="58" t="str">
        <f>'2024 DO NOT TOUCH'!K372</f>
        <v>ACTIVE</v>
      </c>
      <c r="L371" s="71">
        <f>'2024 DO NOT TOUCH'!L372</f>
        <v>0</v>
      </c>
      <c r="M371" s="58" t="b">
        <f>'2024 DO NOT TOUCH'!M372</f>
        <v>1</v>
      </c>
      <c r="N371" s="59">
        <f>'2024 DO NOT TOUCH'!N372</f>
        <v>0</v>
      </c>
      <c r="O371" s="58">
        <f>'2024 DO NOT TOUCH'!O372</f>
        <v>0</v>
      </c>
      <c r="P371" s="67">
        <f>'2024 DO NOT TOUCH'!P372</f>
        <v>0</v>
      </c>
      <c r="Q371" s="67">
        <f>'2024 DO NOT TOUCH'!Q372</f>
        <v>0</v>
      </c>
      <c r="R371" s="67">
        <f>'2024 DO NOT TOUCH'!R372</f>
        <v>0</v>
      </c>
      <c r="S371" s="58" t="str">
        <f>'2024 DO NOT TOUCH'!S372</f>
        <v>UNTESTED</v>
      </c>
      <c r="T371" s="58">
        <f>'2024 DO NOT TOUCH'!T372</f>
        <v>0</v>
      </c>
      <c r="U371" s="58">
        <f>'2024 DO NOT TOUCH'!U372</f>
        <v>0</v>
      </c>
      <c r="V371" s="58">
        <f>'2024 DO NOT TOUCH'!V372</f>
        <v>0</v>
      </c>
      <c r="W371" s="58">
        <f>'2024 DO NOT TOUCH'!W372</f>
        <v>0</v>
      </c>
      <c r="X371" s="67">
        <f>'2024 DO NOT TOUCH'!X372</f>
        <v>0</v>
      </c>
      <c r="Y371" s="58">
        <f>'2024 DO NOT TOUCH'!Y372</f>
        <v>0</v>
      </c>
    </row>
    <row r="372" spans="1:25" ht="19.5" customHeight="1">
      <c r="A372" s="77" t="str">
        <f>'2024 DO NOT TOUCH'!A373</f>
        <v>2328</v>
      </c>
      <c r="B372" s="78" t="str">
        <f>'2024 DO NOT TOUCH'!B373</f>
        <v>MILLER PARK</v>
      </c>
      <c r="C372" s="77" t="str">
        <f>'2024 DO NOT TOUCH'!C373</f>
        <v>215156</v>
      </c>
      <c r="D372" s="78" t="str">
        <f>'2024 DO NOT TOUCH'!D373</f>
        <v>WILKINS</v>
      </c>
      <c r="E372" s="77" t="str">
        <f>'2024 DO NOT TOUCH'!E373</f>
        <v>950XL</v>
      </c>
      <c r="F372" s="78" t="str">
        <f>'2024 DO NOT TOUCH'!F373</f>
        <v>DC</v>
      </c>
      <c r="G372" s="77" t="str">
        <f>'2024 DO NOT TOUCH'!G373</f>
        <v>2.0</v>
      </c>
      <c r="H372" s="78" t="str">
        <f>'2024 DO NOT TOUCH'!H373</f>
        <v>NEAR HYDRANT ACROSS FROM ALS</v>
      </c>
      <c r="I372" s="77" t="str">
        <f>'2024 DO NOT TOUCH'!I373</f>
        <v>PREMISE</v>
      </c>
      <c r="J372" s="78" t="str">
        <f>'2024 DO NOT TOUCH'!J373</f>
        <v>IRR</v>
      </c>
      <c r="K372" s="77" t="str">
        <f>'2024 DO NOT TOUCH'!K373</f>
        <v>INACTIVE</v>
      </c>
      <c r="L372" s="79">
        <f>'2024 DO NOT TOUCH'!L373</f>
        <v>0</v>
      </c>
      <c r="M372" s="77" t="b">
        <f>'2024 DO NOT TOUCH'!M373</f>
        <v>0</v>
      </c>
      <c r="N372" s="78">
        <f>'2024 DO NOT TOUCH'!N373</f>
        <v>45443</v>
      </c>
      <c r="O372" s="77" t="str">
        <f>'2024 DO NOT TOUCH'!O373</f>
        <v>LARIOS</v>
      </c>
      <c r="P372" s="80">
        <f>'2024 DO NOT TOUCH'!P373</f>
        <v>3</v>
      </c>
      <c r="Q372" s="80">
        <f>'2024 DO NOT TOUCH'!Q373</f>
        <v>2.8</v>
      </c>
      <c r="R372" s="80">
        <f>'2024 DO NOT TOUCH'!R373</f>
        <v>0</v>
      </c>
      <c r="S372" s="81" t="str">
        <f>'2024 DO NOT TOUCH'!S373</f>
        <v>TESTED</v>
      </c>
      <c r="T372" s="81">
        <f>'2024 DO NOT TOUCH'!T373</f>
        <v>0</v>
      </c>
      <c r="U372" s="81">
        <f>'2024 DO NOT TOUCH'!U373</f>
        <v>0</v>
      </c>
      <c r="V372" s="81">
        <f>'2024 DO NOT TOUCH'!V373</f>
        <v>0</v>
      </c>
      <c r="W372" s="81">
        <f>'2024 DO NOT TOUCH'!W373</f>
        <v>0</v>
      </c>
      <c r="X372" s="80">
        <f>'2024 DO NOT TOUCH'!X373</f>
        <v>0</v>
      </c>
      <c r="Y372" s="81">
        <f>'2024 DO NOT TOUCH'!Y373</f>
        <v>0</v>
      </c>
    </row>
    <row r="373" spans="1:25" ht="19.5" customHeight="1">
      <c r="A373" s="58" t="str">
        <f>'2024 DO NOT TOUCH'!A374</f>
        <v>2328</v>
      </c>
      <c r="B373" s="59" t="str">
        <f>'2024 DO NOT TOUCH'!B374</f>
        <v>MILLER PARK</v>
      </c>
      <c r="C373" s="58" t="str">
        <f>'2024 DO NOT TOUCH'!C374</f>
        <v>A037715</v>
      </c>
      <c r="D373" s="59" t="str">
        <f>'2024 DO NOT TOUCH'!D374</f>
        <v>FEBCO</v>
      </c>
      <c r="E373" s="58" t="str">
        <f>'2024 DO NOT TOUCH'!E374</f>
        <v>805Y</v>
      </c>
      <c r="F373" s="59" t="str">
        <f>'2024 DO NOT TOUCH'!F374</f>
        <v>DC</v>
      </c>
      <c r="G373" s="58" t="str">
        <f>'2024 DO NOT TOUCH'!G374</f>
        <v>2.0</v>
      </c>
      <c r="H373" s="59" t="str">
        <f>'2024 DO NOT TOUCH'!H374</f>
        <v>IN VAULT IN GRASS ON LEFT AT END OF CUL-DE-SAC</v>
      </c>
      <c r="I373" s="58" t="str">
        <f>'2024 DO NOT TOUCH'!I374</f>
        <v>PREMISE</v>
      </c>
      <c r="J373" s="59" t="str">
        <f>'2024 DO NOT TOUCH'!J374</f>
        <v>IRR</v>
      </c>
      <c r="K373" s="58" t="str">
        <f>'2024 DO NOT TOUCH'!K374</f>
        <v>ACTIVE</v>
      </c>
      <c r="L373" s="71" t="e">
        <f>'2024 DO NOT TOUCH'!#REF!</f>
        <v>#REF!</v>
      </c>
      <c r="M373" s="58" t="b">
        <f>'2024 DO NOT TOUCH'!M374</f>
        <v>1</v>
      </c>
      <c r="N373" s="59">
        <f>'2024 DO NOT TOUCH'!N374</f>
        <v>45426</v>
      </c>
      <c r="O373" s="58" t="str">
        <f>'2024 DO NOT TOUCH'!O374</f>
        <v>REED</v>
      </c>
      <c r="P373" s="65">
        <f>'2024 DO NOT TOUCH'!P374</f>
        <v>1.2</v>
      </c>
      <c r="Q373" s="65">
        <f>'2024 DO NOT TOUCH'!Q374</f>
        <v>1.3</v>
      </c>
      <c r="R373" s="65">
        <f>'2024 DO NOT TOUCH'!R374</f>
        <v>0</v>
      </c>
      <c r="S373" s="62" t="str">
        <f>'2024 DO NOT TOUCH'!S374</f>
        <v>TESTED</v>
      </c>
      <c r="T373" s="62" t="str">
        <f>'2024 DO NOT TOUCH'!T374</f>
        <v>PASSED</v>
      </c>
      <c r="U373" s="62">
        <f>'2024 DO NOT TOUCH'!U374</f>
        <v>0</v>
      </c>
      <c r="V373" s="62">
        <f>'2024 DO NOT TOUCH'!V374</f>
        <v>0</v>
      </c>
      <c r="W373" s="62">
        <f>'2024 DO NOT TOUCH'!W374</f>
        <v>0</v>
      </c>
      <c r="X373" s="65">
        <f>'2024 DO NOT TOUCH'!X374</f>
        <v>0</v>
      </c>
      <c r="Y373" s="62">
        <f>'2024 DO NOT TOUCH'!Y374</f>
        <v>0</v>
      </c>
    </row>
    <row r="374" spans="1:25" ht="19.5" customHeight="1">
      <c r="A374" s="77" t="str">
        <f>'2024 DO NOT TOUCH'!A375</f>
        <v>2328</v>
      </c>
      <c r="B374" s="78" t="str">
        <f>'2024 DO NOT TOUCH'!B375</f>
        <v>MILLER PARK</v>
      </c>
      <c r="C374" s="77" t="str">
        <f>'2024 DO NOT TOUCH'!C375</f>
        <v>AJ9665</v>
      </c>
      <c r="D374" s="78" t="str">
        <f>'2024 DO NOT TOUCH'!D375</f>
        <v>FEBCO</v>
      </c>
      <c r="E374" s="77" t="str">
        <f>'2024 DO NOT TOUCH'!E375</f>
        <v>805Y</v>
      </c>
      <c r="F374" s="78" t="str">
        <f>'2024 DO NOT TOUCH'!F375</f>
        <v>DC</v>
      </c>
      <c r="G374" s="77" t="str">
        <f>'2024 DO NOT TOUCH'!G375</f>
        <v>2.0</v>
      </c>
      <c r="H374" s="78" t="str">
        <f>'2024 DO NOT TOUCH'!H375</f>
        <v>IN VAULT IN GRASS ACROSS FROM THEATER</v>
      </c>
      <c r="I374" s="77" t="str">
        <f>'2024 DO NOT TOUCH'!I375</f>
        <v>PREMISE</v>
      </c>
      <c r="J374" s="78" t="str">
        <f>'2024 DO NOT TOUCH'!J375</f>
        <v>IRR</v>
      </c>
      <c r="K374" s="77" t="str">
        <f>'2024 DO NOT TOUCH'!K375</f>
        <v>INACTIVE</v>
      </c>
      <c r="L374" s="79">
        <f>'2024 DO NOT TOUCH'!L374</f>
        <v>0</v>
      </c>
      <c r="M374" s="77" t="b">
        <f>'2024 DO NOT TOUCH'!M375</f>
        <v>0</v>
      </c>
      <c r="N374" s="78">
        <f>'2024 DO NOT TOUCH'!N375</f>
        <v>45443</v>
      </c>
      <c r="O374" s="77" t="str">
        <f>'2024 DO NOT TOUCH'!O375</f>
        <v>LARIOS</v>
      </c>
      <c r="P374" s="80">
        <f>'2024 DO NOT TOUCH'!P375</f>
        <v>3.2</v>
      </c>
      <c r="Q374" s="80">
        <f>'2024 DO NOT TOUCH'!Q375</f>
        <v>3</v>
      </c>
      <c r="R374" s="80">
        <f>'2024 DO NOT TOUCH'!R375</f>
        <v>0</v>
      </c>
      <c r="S374" s="81" t="str">
        <f>'2024 DO NOT TOUCH'!S375</f>
        <v>TESTED</v>
      </c>
      <c r="T374" s="81">
        <f>'2024 DO NOT TOUCH'!T375</f>
        <v>0</v>
      </c>
      <c r="U374" s="81">
        <f>'2024 DO NOT TOUCH'!U375</f>
        <v>0</v>
      </c>
      <c r="V374" s="81">
        <f>'2024 DO NOT TOUCH'!V375</f>
        <v>0</v>
      </c>
      <c r="W374" s="81">
        <f>'2024 DO NOT TOUCH'!W375</f>
        <v>0</v>
      </c>
      <c r="X374" s="80">
        <f>'2024 DO NOT TOUCH'!X375</f>
        <v>0</v>
      </c>
      <c r="Y374" s="81">
        <f>'2024 DO NOT TOUCH'!Y375</f>
        <v>0</v>
      </c>
    </row>
    <row r="375" spans="1:25" ht="19.5" customHeight="1">
      <c r="A375" s="58" t="str">
        <f>'2024 DO NOT TOUCH'!A376</f>
        <v>2328</v>
      </c>
      <c r="B375" s="59" t="str">
        <f>'2024 DO NOT TOUCH'!B376</f>
        <v>MILLER PARK</v>
      </c>
      <c r="C375" s="58" t="str">
        <f>'2024 DO NOT TOUCH'!C376</f>
        <v>AJ9616</v>
      </c>
      <c r="D375" s="59" t="str">
        <f>'2024 DO NOT TOUCH'!D376</f>
        <v>FEBCO</v>
      </c>
      <c r="E375" s="58" t="str">
        <f>'2024 DO NOT TOUCH'!E376</f>
        <v>805Y</v>
      </c>
      <c r="F375" s="59" t="str">
        <f>'2024 DO NOT TOUCH'!F376</f>
        <v>DC</v>
      </c>
      <c r="G375" s="58" t="str">
        <f>'2024 DO NOT TOUCH'!G376</f>
        <v>2.0</v>
      </c>
      <c r="H375" s="59" t="str">
        <f>'2024 DO NOT TOUCH'!H376</f>
        <v>IN VAULT IN GRASS ACROSS FROM 716</v>
      </c>
      <c r="I375" s="58" t="str">
        <f>'2024 DO NOT TOUCH'!I376</f>
        <v>PREMISE</v>
      </c>
      <c r="J375" s="59" t="str">
        <f>'2024 DO NOT TOUCH'!J376</f>
        <v>IRR</v>
      </c>
      <c r="K375" s="58" t="str">
        <f>'2024 DO NOT TOUCH'!K376</f>
        <v>ACTIVE</v>
      </c>
      <c r="L375" s="71">
        <f>'2024 DO NOT TOUCH'!L376</f>
        <v>0</v>
      </c>
      <c r="M375" s="58" t="b">
        <f>'2024 DO NOT TOUCH'!M376</f>
        <v>1</v>
      </c>
      <c r="N375" s="59">
        <f>'2024 DO NOT TOUCH'!N376</f>
        <v>45426</v>
      </c>
      <c r="O375" s="58" t="str">
        <f>'2024 DO NOT TOUCH'!O376</f>
        <v>REED</v>
      </c>
      <c r="P375" s="67">
        <f>'2024 DO NOT TOUCH'!P376</f>
        <v>1.8</v>
      </c>
      <c r="Q375" s="67">
        <f>'2024 DO NOT TOUCH'!Q376</f>
        <v>1.5</v>
      </c>
      <c r="R375" s="67">
        <f>'2024 DO NOT TOUCH'!R376</f>
        <v>0</v>
      </c>
      <c r="S375" s="58" t="str">
        <f>'2024 DO NOT TOUCH'!S376</f>
        <v>TESTED</v>
      </c>
      <c r="T375" s="58" t="str">
        <f>'2024 DO NOT TOUCH'!T376</f>
        <v>PASSED</v>
      </c>
      <c r="U375" s="58">
        <f>'2024 DO NOT TOUCH'!U376</f>
        <v>0</v>
      </c>
      <c r="V375" s="58">
        <f>'2024 DO NOT TOUCH'!V376</f>
        <v>0</v>
      </c>
      <c r="W375" s="58">
        <f>'2024 DO NOT TOUCH'!W376</f>
        <v>0</v>
      </c>
      <c r="X375" s="67">
        <f>'2024 DO NOT TOUCH'!X376</f>
        <v>0</v>
      </c>
      <c r="Y375" s="58">
        <f>'2024 DO NOT TOUCH'!Y376</f>
        <v>0</v>
      </c>
    </row>
    <row r="376" spans="1:25" ht="19.5" customHeight="1">
      <c r="A376" s="77" t="str">
        <f>'2024 DO NOT TOUCH'!A377</f>
        <v>2328</v>
      </c>
      <c r="B376" s="78" t="str">
        <f>'2024 DO NOT TOUCH'!B377</f>
        <v>MILLER PARK</v>
      </c>
      <c r="C376" s="77" t="str">
        <f>'2024 DO NOT TOUCH'!C377</f>
        <v>H22103</v>
      </c>
      <c r="D376" s="78" t="str">
        <f>'2024 DO NOT TOUCH'!D377</f>
        <v>FEBCO</v>
      </c>
      <c r="E376" s="77" t="str">
        <f>'2024 DO NOT TOUCH'!E377</f>
        <v>805</v>
      </c>
      <c r="F376" s="78" t="str">
        <f>'2024 DO NOT TOUCH'!F377</f>
        <v>DC</v>
      </c>
      <c r="G376" s="77" t="str">
        <f>'2024 DO NOT TOUCH'!G377</f>
        <v>2.0</v>
      </c>
      <c r="H376" s="78" t="str">
        <f>'2024 DO NOT TOUCH'!H377</f>
        <v>IN PARK IN MIDDLE OF TABLES NEAR VOLLEYBALL</v>
      </c>
      <c r="I376" s="77" t="str">
        <f>'2024 DO NOT TOUCH'!I377</f>
        <v>PREMISE</v>
      </c>
      <c r="J376" s="78" t="str">
        <f>'2024 DO NOT TOUCH'!J377</f>
        <v>IRR</v>
      </c>
      <c r="K376" s="77" t="str">
        <f>'2024 DO NOT TOUCH'!K377</f>
        <v>INACTIVE</v>
      </c>
      <c r="L376" s="79">
        <f>'2024 DO NOT TOUCH'!L377</f>
        <v>0</v>
      </c>
      <c r="M376" s="77" t="b">
        <f>'2024 DO NOT TOUCH'!M377</f>
        <v>0</v>
      </c>
      <c r="N376" s="78">
        <f>'2024 DO NOT TOUCH'!N377</f>
        <v>0</v>
      </c>
      <c r="O376" s="77">
        <f>'2024 DO NOT TOUCH'!O377</f>
        <v>0</v>
      </c>
      <c r="P376" s="83">
        <f>'2024 DO NOT TOUCH'!P377</f>
        <v>0</v>
      </c>
      <c r="Q376" s="83">
        <f>'2024 DO NOT TOUCH'!Q377</f>
        <v>0</v>
      </c>
      <c r="R376" s="83">
        <f>'2024 DO NOT TOUCH'!R377</f>
        <v>0</v>
      </c>
      <c r="S376" s="77" t="str">
        <f>'2024 DO NOT TOUCH'!S377</f>
        <v>TESTED</v>
      </c>
      <c r="T376" s="77" t="str">
        <f>'2024 DO NOT TOUCH'!T377</f>
        <v>PASSED</v>
      </c>
      <c r="U376" s="77" t="str">
        <f>'2024 DO NOT TOUCH'!U377</f>
        <v>PASSED</v>
      </c>
      <c r="V376" s="77">
        <f>'2024 DO NOT TOUCH'!V377</f>
        <v>0</v>
      </c>
      <c r="W376" s="77">
        <f>'2024 DO NOT TOUCH'!W377</f>
        <v>0</v>
      </c>
      <c r="X376" s="83">
        <f>'2024 DO NOT TOUCH'!X377</f>
        <v>0</v>
      </c>
      <c r="Y376" s="77">
        <f>'2024 DO NOT TOUCH'!Y377</f>
        <v>0</v>
      </c>
    </row>
    <row r="377" spans="1:25" ht="19.5" customHeight="1">
      <c r="A377" s="58" t="str">
        <f>'2024 DO NOT TOUCH'!A378</f>
        <v>2365</v>
      </c>
      <c r="B377" s="59" t="str">
        <f>'2024 DO NOT TOUCH'!B378</f>
        <v>AFARC</v>
      </c>
      <c r="C377" s="58" t="str">
        <f>'2024 DO NOT TOUCH'!C378</f>
        <v>BA0719</v>
      </c>
      <c r="D377" s="59" t="str">
        <f>'2024 DO NOT TOUCH'!D378</f>
        <v>FEBCO</v>
      </c>
      <c r="E377" s="58" t="str">
        <f>'2024 DO NOT TOUCH'!E378</f>
        <v>825Y</v>
      </c>
      <c r="F377" s="59" t="str">
        <f>'2024 DO NOT TOUCH'!F378</f>
        <v>RP</v>
      </c>
      <c r="G377" s="58" t="str">
        <f>'2024 DO NOT TOUCH'!G378</f>
        <v>0.75</v>
      </c>
      <c r="H377" s="59" t="str">
        <f>'2024 DO NOT TOUCH'!H378</f>
        <v>MECH RM HVAC FEED</v>
      </c>
      <c r="I377" s="58" t="str">
        <f>'2024 DO NOT TOUCH'!I378</f>
        <v>INPREMISE</v>
      </c>
      <c r="J377" s="59" t="str">
        <f>'2024 DO NOT TOUCH'!J378</f>
        <v>AOI</v>
      </c>
      <c r="K377" s="58" t="str">
        <f>'2024 DO NOT TOUCH'!K378</f>
        <v>ACTIVE</v>
      </c>
      <c r="L377" s="71">
        <f>'2024 DO NOT TOUCH'!L378</f>
        <v>44750</v>
      </c>
      <c r="M377" s="58" t="b">
        <f>'2024 DO NOT TOUCH'!M378</f>
        <v>0</v>
      </c>
      <c r="N377" s="59">
        <f>'2024 DO NOT TOUCH'!N378</f>
        <v>0</v>
      </c>
      <c r="O377" s="58">
        <f>'2024 DO NOT TOUCH'!O378</f>
        <v>0</v>
      </c>
      <c r="P377" s="65">
        <f>'2024 DO NOT TOUCH'!P378</f>
        <v>0</v>
      </c>
      <c r="Q377" s="65">
        <f>'2024 DO NOT TOUCH'!Q378</f>
        <v>0</v>
      </c>
      <c r="R377" s="65">
        <f>'2024 DO NOT TOUCH'!R378</f>
        <v>0</v>
      </c>
      <c r="S377" s="62" t="str">
        <f>'2024 DO NOT TOUCH'!S378</f>
        <v>TESTED</v>
      </c>
      <c r="T377" s="62" t="str">
        <f>'2024 DO NOT TOUCH'!T378</f>
        <v>PASSED</v>
      </c>
      <c r="U377" s="62">
        <f>'2024 DO NOT TOUCH'!U378</f>
        <v>0</v>
      </c>
      <c r="V377" s="62">
        <f>'2024 DO NOT TOUCH'!V378</f>
        <v>0</v>
      </c>
      <c r="W377" s="62">
        <f>'2024 DO NOT TOUCH'!W378</f>
        <v>0</v>
      </c>
      <c r="X377" s="65">
        <f>'2024 DO NOT TOUCH'!X378</f>
        <v>0</v>
      </c>
      <c r="Y377" s="62">
        <f>'2024 DO NOT TOUCH'!Y378</f>
        <v>0</v>
      </c>
    </row>
    <row r="378" spans="1:25" ht="19.5" customHeight="1">
      <c r="A378" s="55" t="str">
        <f>'2024 DO NOT TOUCH'!A379</f>
        <v>2379</v>
      </c>
      <c r="B378" s="3" t="str">
        <f>'2024 DO NOT TOUCH'!B379</f>
        <v>BASE GYM</v>
      </c>
      <c r="C378" s="55" t="str">
        <f>'2024 DO NOT TOUCH'!C379</f>
        <v>J045335</v>
      </c>
      <c r="D378" s="3" t="str">
        <f>'2024 DO NOT TOUCH'!D379</f>
        <v>FEBCO</v>
      </c>
      <c r="E378" s="55" t="str">
        <f>'2024 DO NOT TOUCH'!E379</f>
        <v>825Y</v>
      </c>
      <c r="F378" s="3" t="str">
        <f>'2024 DO NOT TOUCH'!F379</f>
        <v>RP</v>
      </c>
      <c r="G378" s="55" t="str">
        <f>'2024 DO NOT TOUCH'!G379</f>
        <v>0.75</v>
      </c>
      <c r="H378" s="3" t="str">
        <f>'2024 DO NOT TOUCH'!H379</f>
        <v>BOILER MECH RM UPSTAIRS</v>
      </c>
      <c r="I378" s="55" t="str">
        <f>'2024 DO NOT TOUCH'!I379</f>
        <v>INPREMISE</v>
      </c>
      <c r="J378" s="3" t="str">
        <f>'2024 DO NOT TOUCH'!J379</f>
        <v>AOI</v>
      </c>
      <c r="K378" s="55" t="str">
        <f>'2024 DO NOT TOUCH'!K379</f>
        <v>ACTIVE</v>
      </c>
      <c r="L378" s="72">
        <f>'2024 DO NOT TOUCH'!L379</f>
        <v>44907</v>
      </c>
      <c r="M378" s="55" t="b">
        <f>'2024 DO NOT TOUCH'!M379</f>
        <v>0</v>
      </c>
      <c r="N378" s="3">
        <f>'2024 DO NOT TOUCH'!N379</f>
        <v>45638</v>
      </c>
      <c r="O378" s="55" t="str">
        <f>'2024 DO NOT TOUCH'!O379</f>
        <v>LARIOS</v>
      </c>
      <c r="P378" s="64">
        <f>'2024 DO NOT TOUCH'!P379</f>
        <v>7.2</v>
      </c>
      <c r="Q378" s="64">
        <f>'2024 DO NOT TOUCH'!Q379</f>
        <v>0</v>
      </c>
      <c r="R378" s="64">
        <f>'2024 DO NOT TOUCH'!R379</f>
        <v>2</v>
      </c>
      <c r="S378" s="57" t="str">
        <f>'2024 DO NOT TOUCH'!S379</f>
        <v>TESTED</v>
      </c>
      <c r="T378" s="57" t="str">
        <f>'2024 DO NOT TOUCH'!T379</f>
        <v>PASSED</v>
      </c>
      <c r="U378" s="57">
        <f>'2024 DO NOT TOUCH'!U379</f>
        <v>0</v>
      </c>
      <c r="V378" s="57">
        <f>'2024 DO NOT TOUCH'!V379</f>
        <v>0</v>
      </c>
      <c r="W378" s="57">
        <f>'2024 DO NOT TOUCH'!W379</f>
        <v>0</v>
      </c>
      <c r="X378" s="64">
        <f>'2024 DO NOT TOUCH'!X379</f>
        <v>0</v>
      </c>
      <c r="Y378" s="57">
        <f>'2024 DO NOT TOUCH'!Y379</f>
        <v>0</v>
      </c>
    </row>
    <row r="379" spans="1:25" ht="19.5" customHeight="1">
      <c r="A379" s="58" t="str">
        <f>'2024 DO NOT TOUCH'!A380</f>
        <v>2379</v>
      </c>
      <c r="B379" s="59" t="str">
        <f>'2024 DO NOT TOUCH'!B380</f>
        <v>BASE GYM</v>
      </c>
      <c r="C379" s="58" t="str">
        <f>'2024 DO NOT TOUCH'!C380</f>
        <v>N1104040103</v>
      </c>
      <c r="D379" s="59" t="str">
        <f>'2024 DO NOT TOUCH'!D380</f>
        <v>FEBCO</v>
      </c>
      <c r="E379" s="58" t="str">
        <f>'2024 DO NOT TOUCH'!E380</f>
        <v>860</v>
      </c>
      <c r="F379" s="59" t="str">
        <f>'2024 DO NOT TOUCH'!F380</f>
        <v>RP</v>
      </c>
      <c r="G379" s="58" t="str">
        <f>'2024 DO NOT TOUCH'!G380</f>
        <v>3.0</v>
      </c>
      <c r="H379" s="59" t="str">
        <f>'2024 DO NOT TOUCH'!H380</f>
        <v>PUMP MECH RM POOL SUPPLY</v>
      </c>
      <c r="I379" s="58" t="str">
        <f>'2024 DO NOT TOUCH'!I380</f>
        <v>PREMISE</v>
      </c>
      <c r="J379" s="59" t="str">
        <f>'2024 DO NOT TOUCH'!J380</f>
        <v>PREMISE</v>
      </c>
      <c r="K379" s="58" t="str">
        <f>'2024 DO NOT TOUCH'!K380</f>
        <v>INACTIVE</v>
      </c>
      <c r="L379" s="71">
        <f>'2024 DO NOT TOUCH'!L380</f>
        <v>44935</v>
      </c>
      <c r="M379" s="58" t="b">
        <f>'2024 DO NOT TOUCH'!M380</f>
        <v>0</v>
      </c>
      <c r="N379" s="59">
        <f>'2024 DO NOT TOUCH'!N380</f>
        <v>45638</v>
      </c>
      <c r="O379" s="58" t="str">
        <f>'2024 DO NOT TOUCH'!O380</f>
        <v>LARIOS</v>
      </c>
      <c r="P379" s="65">
        <f>'2024 DO NOT TOUCH'!P380</f>
        <v>6.8</v>
      </c>
      <c r="Q379" s="65">
        <f>'2024 DO NOT TOUCH'!Q380</f>
        <v>0</v>
      </c>
      <c r="R379" s="65">
        <f>'2024 DO NOT TOUCH'!R380</f>
        <v>2.2000000000000002</v>
      </c>
      <c r="S379" s="62" t="str">
        <f>'2024 DO NOT TOUCH'!S380</f>
        <v>TESTED</v>
      </c>
      <c r="T379" s="62" t="str">
        <f>'2024 DO NOT TOUCH'!T380</f>
        <v>PASSED</v>
      </c>
      <c r="U379" s="62">
        <f>'2024 DO NOT TOUCH'!U380</f>
        <v>0</v>
      </c>
      <c r="V379" s="62">
        <f>'2024 DO NOT TOUCH'!V380</f>
        <v>0</v>
      </c>
      <c r="W379" s="62">
        <f>'2024 DO NOT TOUCH'!W380</f>
        <v>0</v>
      </c>
      <c r="X379" s="65">
        <f>'2024 DO NOT TOUCH'!X380</f>
        <v>0</v>
      </c>
      <c r="Y379" s="62">
        <f>'2024 DO NOT TOUCH'!Y380</f>
        <v>0</v>
      </c>
    </row>
    <row r="380" spans="1:25" ht="19.5" customHeight="1">
      <c r="A380" s="55" t="str">
        <f>'2024 DO NOT TOUCH'!A381</f>
        <v>2379</v>
      </c>
      <c r="B380" s="55" t="str">
        <f>'2024 DO NOT TOUCH'!B381</f>
        <v>BASE GYM</v>
      </c>
      <c r="C380" s="55" t="str">
        <f>'2024 DO NOT TOUCH'!C381</f>
        <v>N1104040105</v>
      </c>
      <c r="D380" s="55" t="str">
        <f>'2024 DO NOT TOUCH'!D381</f>
        <v>FEBCO</v>
      </c>
      <c r="E380" s="55" t="str">
        <f>'2024 DO NOT TOUCH'!E381</f>
        <v>860</v>
      </c>
      <c r="F380" s="55" t="str">
        <f>'2024 DO NOT TOUCH'!F381</f>
        <v>RP</v>
      </c>
      <c r="G380" s="55" t="str">
        <f>'2024 DO NOT TOUCH'!G381</f>
        <v>3.0</v>
      </c>
      <c r="H380" s="55" t="str">
        <f>'2024 DO NOT TOUCH'!H381</f>
        <v>PUMP MECH RM SUPPLY</v>
      </c>
      <c r="I380" s="55" t="str">
        <f>'2024 DO NOT TOUCH'!I381</f>
        <v>PREMISE</v>
      </c>
      <c r="J380" s="55" t="str">
        <f>'2024 DO NOT TOUCH'!J381</f>
        <v>PREMISE</v>
      </c>
      <c r="K380" s="55" t="str">
        <f>'2024 DO NOT TOUCH'!K381</f>
        <v>ACTIVE</v>
      </c>
      <c r="L380" s="56">
        <f>'2024 DO NOT TOUCH'!L381</f>
        <v>44935</v>
      </c>
      <c r="M380" s="56" t="b">
        <f>'2024 DO NOT TOUCH'!M381</f>
        <v>0</v>
      </c>
      <c r="N380" s="56">
        <f>'2024 DO NOT TOUCH'!N381</f>
        <v>45638</v>
      </c>
      <c r="O380" s="55" t="str">
        <f>'2024 DO NOT TOUCH'!O381</f>
        <v>LARIOS</v>
      </c>
      <c r="P380" s="64">
        <f>'2024 DO NOT TOUCH'!P381</f>
        <v>7.2</v>
      </c>
      <c r="Q380" s="64">
        <f>'2024 DO NOT TOUCH'!Q381</f>
        <v>0</v>
      </c>
      <c r="R380" s="64">
        <f>'2024 DO NOT TOUCH'!R381</f>
        <v>2.2000000000000002</v>
      </c>
      <c r="S380" s="55" t="str">
        <f>'2024 DO NOT TOUCH'!S381</f>
        <v>TESTED</v>
      </c>
      <c r="T380" s="55" t="str">
        <f>'2024 DO NOT TOUCH'!T381</f>
        <v>PASSED</v>
      </c>
      <c r="U380" s="55">
        <f>'2024 DO NOT TOUCH'!U381</f>
        <v>0</v>
      </c>
      <c r="V380" s="55">
        <f>'2024 DO NOT TOUCH'!V381</f>
        <v>0</v>
      </c>
      <c r="W380" s="55">
        <f>'2024 DO NOT TOUCH'!W381</f>
        <v>0</v>
      </c>
      <c r="X380" s="66">
        <f>'2024 DO NOT TOUCH'!X381</f>
        <v>0</v>
      </c>
      <c r="Y380" s="55">
        <f>'2024 DO NOT TOUCH'!Y381</f>
        <v>0</v>
      </c>
    </row>
    <row r="381" spans="1:25" ht="19.5" customHeight="1">
      <c r="A381" s="58" t="str">
        <f>'2024 DO NOT TOUCH'!A382</f>
        <v>2379</v>
      </c>
      <c r="B381" s="59" t="str">
        <f>'2024 DO NOT TOUCH'!B382</f>
        <v>BASE GYM</v>
      </c>
      <c r="C381" s="58" t="str">
        <f>'2024 DO NOT TOUCH'!C382</f>
        <v>N1104040106</v>
      </c>
      <c r="D381" s="59" t="str">
        <f>'2024 DO NOT TOUCH'!D382</f>
        <v>FEBCO</v>
      </c>
      <c r="E381" s="58" t="str">
        <f>'2024 DO NOT TOUCH'!E382</f>
        <v>860</v>
      </c>
      <c r="F381" s="59" t="str">
        <f>'2024 DO NOT TOUCH'!F382</f>
        <v>RP</v>
      </c>
      <c r="G381" s="58" t="str">
        <f>'2024 DO NOT TOUCH'!G382</f>
        <v>3.0</v>
      </c>
      <c r="H381" s="59" t="str">
        <f>'2024 DO NOT TOUCH'!H382</f>
        <v>ROOM 119 BACK OF BASKETBALL COURT</v>
      </c>
      <c r="I381" s="58" t="str">
        <f>'2024 DO NOT TOUCH'!I382</f>
        <v>PREMISE</v>
      </c>
      <c r="J381" s="59" t="str">
        <f>'2024 DO NOT TOUCH'!J382</f>
        <v>PREMISE</v>
      </c>
      <c r="K381" s="58" t="str">
        <f>'2024 DO NOT TOUCH'!K382</f>
        <v>ACTIVE</v>
      </c>
      <c r="L381" s="71">
        <f>'2024 DO NOT TOUCH'!L382</f>
        <v>44907</v>
      </c>
      <c r="M381" s="58" t="b">
        <f>'2024 DO NOT TOUCH'!M382</f>
        <v>0</v>
      </c>
      <c r="N381" s="59">
        <f>'2024 DO NOT TOUCH'!N382</f>
        <v>45638</v>
      </c>
      <c r="O381" s="58" t="str">
        <f>'2024 DO NOT TOUCH'!O382</f>
        <v>LARIOS</v>
      </c>
      <c r="P381" s="65">
        <f>'2024 DO NOT TOUCH'!P382</f>
        <v>5.2</v>
      </c>
      <c r="Q381" s="65">
        <f>'2024 DO NOT TOUCH'!Q382</f>
        <v>0</v>
      </c>
      <c r="R381" s="65">
        <f>'2024 DO NOT TOUCH'!R382</f>
        <v>2.2000000000000002</v>
      </c>
      <c r="S381" s="62" t="str">
        <f>'2024 DO NOT TOUCH'!S382</f>
        <v>TESTED</v>
      </c>
      <c r="T381" s="62" t="str">
        <f>'2024 DO NOT TOUCH'!T382</f>
        <v>PASSED</v>
      </c>
      <c r="U381" s="62">
        <f>'2024 DO NOT TOUCH'!U382</f>
        <v>0</v>
      </c>
      <c r="V381" s="62">
        <f>'2024 DO NOT TOUCH'!V382</f>
        <v>0</v>
      </c>
      <c r="W381" s="62">
        <f>'2024 DO NOT TOUCH'!W382</f>
        <v>0</v>
      </c>
      <c r="X381" s="65">
        <f>'2024 DO NOT TOUCH'!X382</f>
        <v>0</v>
      </c>
      <c r="Y381" s="62">
        <f>'2024 DO NOT TOUCH'!Y382</f>
        <v>0</v>
      </c>
    </row>
    <row r="382" spans="1:25" ht="19.5" customHeight="1">
      <c r="A382" s="55" t="str">
        <f>'2024 DO NOT TOUCH'!A383</f>
        <v>2379</v>
      </c>
      <c r="B382" s="3" t="str">
        <f>'2024 DO NOT TOUCH'!B383</f>
        <v>BASE GYM</v>
      </c>
      <c r="C382" s="55" t="str">
        <f>'2024 DO NOT TOUCH'!C383</f>
        <v>N1103211235</v>
      </c>
      <c r="D382" s="3" t="str">
        <f>'2024 DO NOT TOUCH'!D383</f>
        <v>FEBCO</v>
      </c>
      <c r="E382" s="55" t="str">
        <f>'2024 DO NOT TOUCH'!E383</f>
        <v>860</v>
      </c>
      <c r="F382" s="3" t="str">
        <f>'2024 DO NOT TOUCH'!F383</f>
        <v>RP</v>
      </c>
      <c r="G382" s="55" t="str">
        <f>'2024 DO NOT TOUCH'!G383</f>
        <v>3.0</v>
      </c>
      <c r="H382" s="3" t="str">
        <f>'2024 DO NOT TOUCH'!H383</f>
        <v>ROOM 119 BACK OF BASKETBALL COURT</v>
      </c>
      <c r="I382" s="55" t="str">
        <f>'2024 DO NOT TOUCH'!I383</f>
        <v>PREMISE</v>
      </c>
      <c r="J382" s="3" t="str">
        <f>'2024 DO NOT TOUCH'!J383</f>
        <v>PREMISE</v>
      </c>
      <c r="K382" s="55" t="str">
        <f>'2024 DO NOT TOUCH'!K383</f>
        <v>ACTIVE</v>
      </c>
      <c r="L382" s="72">
        <f>'2024 DO NOT TOUCH'!L383</f>
        <v>44907</v>
      </c>
      <c r="M382" s="55" t="b">
        <f>'2024 DO NOT TOUCH'!M383</f>
        <v>0</v>
      </c>
      <c r="N382" s="3">
        <f>'2024 DO NOT TOUCH'!N383</f>
        <v>45638</v>
      </c>
      <c r="O382" s="55" t="str">
        <f>'2024 DO NOT TOUCH'!O383</f>
        <v>LARIOS</v>
      </c>
      <c r="P382" s="64">
        <f>'2024 DO NOT TOUCH'!P383</f>
        <v>6.2</v>
      </c>
      <c r="Q382" s="64">
        <f>'2024 DO NOT TOUCH'!Q383</f>
        <v>0</v>
      </c>
      <c r="R382" s="64">
        <f>'2024 DO NOT TOUCH'!R383</f>
        <v>2</v>
      </c>
      <c r="S382" s="57" t="str">
        <f>'2024 DO NOT TOUCH'!S383</f>
        <v>TESTED</v>
      </c>
      <c r="T382" s="57" t="str">
        <f>'2024 DO NOT TOUCH'!T383</f>
        <v>PASSED</v>
      </c>
      <c r="U382" s="57">
        <f>'2024 DO NOT TOUCH'!U383</f>
        <v>0</v>
      </c>
      <c r="V382" s="57">
        <f>'2024 DO NOT TOUCH'!V383</f>
        <v>0</v>
      </c>
      <c r="W382" s="57">
        <f>'2024 DO NOT TOUCH'!W383</f>
        <v>0</v>
      </c>
      <c r="X382" s="64">
        <f>'2024 DO NOT TOUCH'!X383</f>
        <v>0</v>
      </c>
      <c r="Y382" s="57">
        <f>'2024 DO NOT TOUCH'!Y383</f>
        <v>0</v>
      </c>
    </row>
    <row r="383" spans="1:25" ht="19.5" customHeight="1">
      <c r="A383" s="58" t="str">
        <f>'2024 DO NOT TOUCH'!A384</f>
        <v>2379</v>
      </c>
      <c r="B383" s="59" t="str">
        <f>'2024 DO NOT TOUCH'!B384</f>
        <v>BASE GYM</v>
      </c>
      <c r="C383" s="58" t="str">
        <f>'2024 DO NOT TOUCH'!C384</f>
        <v>N1104051251</v>
      </c>
      <c r="D383" s="59" t="str">
        <f>'2024 DO NOT TOUCH'!D384</f>
        <v>FEBCO</v>
      </c>
      <c r="E383" s="58" t="str">
        <f>'2024 DO NOT TOUCH'!E384</f>
        <v>856</v>
      </c>
      <c r="F383" s="59" t="str">
        <f>'2024 DO NOT TOUCH'!F384</f>
        <v>DCDA</v>
      </c>
      <c r="G383" s="58" t="str">
        <f>'2024 DO NOT TOUCH'!G384</f>
        <v>6.0</v>
      </c>
      <c r="H383" s="59" t="str">
        <f>'2024 DO NOT TOUCH'!H384</f>
        <v>SERE RM ON FIRE DCDA #1</v>
      </c>
      <c r="I383" s="58" t="str">
        <f>'2024 DO NOT TOUCH'!I384</f>
        <v>PREMISE</v>
      </c>
      <c r="J383" s="59" t="str">
        <f>'2024 DO NOT TOUCH'!J384</f>
        <v>FIRE</v>
      </c>
      <c r="K383" s="58" t="str">
        <f>'2024 DO NOT TOUCH'!K384</f>
        <v>ACTIVE</v>
      </c>
      <c r="L383" s="71">
        <f>'2024 DO NOT TOUCH'!L384</f>
        <v>44907</v>
      </c>
      <c r="M383" s="58" t="b">
        <f>'2024 DO NOT TOUCH'!M384</f>
        <v>0</v>
      </c>
      <c r="N383" s="59">
        <f>'2024 DO NOT TOUCH'!N384</f>
        <v>0</v>
      </c>
      <c r="O383" s="58">
        <f>'2024 DO NOT TOUCH'!O384</f>
        <v>0</v>
      </c>
      <c r="P383" s="65">
        <f>'2024 DO NOT TOUCH'!P384</f>
        <v>0</v>
      </c>
      <c r="Q383" s="65">
        <f>'2024 DO NOT TOUCH'!Q384</f>
        <v>0</v>
      </c>
      <c r="R383" s="65">
        <f>'2024 DO NOT TOUCH'!R384</f>
        <v>0</v>
      </c>
      <c r="S383" s="62" t="str">
        <f>'2024 DO NOT TOUCH'!S384</f>
        <v>TESTED</v>
      </c>
      <c r="T383" s="62" t="str">
        <f>'2024 DO NOT TOUCH'!T384</f>
        <v>PASSED</v>
      </c>
      <c r="U383" s="62">
        <f>'2024 DO NOT TOUCH'!U384</f>
        <v>0</v>
      </c>
      <c r="V383" s="62">
        <f>'2024 DO NOT TOUCH'!V384</f>
        <v>0</v>
      </c>
      <c r="W383" s="62">
        <f>'2024 DO NOT TOUCH'!W384</f>
        <v>0</v>
      </c>
      <c r="X383" s="65">
        <f>'2024 DO NOT TOUCH'!X384</f>
        <v>0</v>
      </c>
      <c r="Y383" s="62">
        <f>'2024 DO NOT TOUCH'!Y384</f>
        <v>0</v>
      </c>
    </row>
    <row r="384" spans="1:25" ht="19.5" customHeight="1">
      <c r="A384" s="55" t="str">
        <f>'2024 DO NOT TOUCH'!A385</f>
        <v>2379</v>
      </c>
      <c r="B384" s="3" t="str">
        <f>'2024 DO NOT TOUCH'!B385</f>
        <v>BASE GYM</v>
      </c>
      <c r="C384" s="55" t="str">
        <f>'2024 DO NOT TOUCH'!C385</f>
        <v>H017045</v>
      </c>
      <c r="D384" s="3" t="str">
        <f>'2024 DO NOT TOUCH'!D385</f>
        <v>FEBCO</v>
      </c>
      <c r="E384" s="55" t="str">
        <f>'2024 DO NOT TOUCH'!E385</f>
        <v>805YB</v>
      </c>
      <c r="F384" s="3" t="str">
        <f>'2024 DO NOT TOUCH'!F385</f>
        <v>DCDA</v>
      </c>
      <c r="G384" s="55" t="str">
        <f>'2024 DO NOT TOUCH'!G385</f>
        <v>0.75</v>
      </c>
      <c r="H384" s="3" t="str">
        <f>'2024 DO NOT TOUCH'!H385</f>
        <v>SERE RM ON FIRE DCDA #2</v>
      </c>
      <c r="I384" s="55" t="str">
        <f>'2024 DO NOT TOUCH'!I385</f>
        <v>PREMISE</v>
      </c>
      <c r="J384" s="3" t="str">
        <f>'2024 DO NOT TOUCH'!J385</f>
        <v>FIRE</v>
      </c>
      <c r="K384" s="55" t="str">
        <f>'2024 DO NOT TOUCH'!K385</f>
        <v>ACTIVE</v>
      </c>
      <c r="L384" s="72">
        <f>'2024 DO NOT TOUCH'!L385</f>
        <v>44907</v>
      </c>
      <c r="M384" s="55" t="b">
        <f>'2024 DO NOT TOUCH'!M385</f>
        <v>0</v>
      </c>
      <c r="N384" s="3">
        <f>'2024 DO NOT TOUCH'!N385</f>
        <v>45638</v>
      </c>
      <c r="O384" s="55" t="str">
        <f>'2024 DO NOT TOUCH'!O385</f>
        <v>LARIOS</v>
      </c>
      <c r="P384" s="66">
        <f>'2024 DO NOT TOUCH'!P385</f>
        <v>2.2000000000000002</v>
      </c>
      <c r="Q384" s="66">
        <f>'2024 DO NOT TOUCH'!Q385</f>
        <v>2</v>
      </c>
      <c r="R384" s="66">
        <f>'2024 DO NOT TOUCH'!R385</f>
        <v>0</v>
      </c>
      <c r="S384" s="55" t="str">
        <f>'2024 DO NOT TOUCH'!S385</f>
        <v>TESTED</v>
      </c>
      <c r="T384" s="55" t="str">
        <f>'2024 DO NOT TOUCH'!T385</f>
        <v>PASSED</v>
      </c>
      <c r="U384" s="55">
        <f>'2024 DO NOT TOUCH'!U385</f>
        <v>0</v>
      </c>
      <c r="V384" s="55">
        <f>'2024 DO NOT TOUCH'!V385</f>
        <v>0</v>
      </c>
      <c r="W384" s="55">
        <f>'2024 DO NOT TOUCH'!W385</f>
        <v>0</v>
      </c>
      <c r="X384" s="66">
        <f>'2024 DO NOT TOUCH'!X385</f>
        <v>0</v>
      </c>
      <c r="Y384" s="55">
        <f>'2024 DO NOT TOUCH'!Y385</f>
        <v>0</v>
      </c>
    </row>
    <row r="385" spans="1:25" ht="19.5" customHeight="1">
      <c r="A385" s="58" t="str">
        <f>'2024 DO NOT TOUCH'!A386</f>
        <v>2380</v>
      </c>
      <c r="B385" s="59" t="str">
        <f>'2024 DO NOT TOUCH'!B386</f>
        <v>EDUCATION CENTER</v>
      </c>
      <c r="C385" s="58" t="str">
        <f>'2024 DO NOT TOUCH'!C386</f>
        <v>A154761</v>
      </c>
      <c r="D385" s="59" t="str">
        <f>'2024 DO NOT TOUCH'!D386</f>
        <v>FEBCO</v>
      </c>
      <c r="E385" s="58" t="str">
        <f>'2024 DO NOT TOUCH'!E386</f>
        <v>825Y</v>
      </c>
      <c r="F385" s="59" t="str">
        <f>'2024 DO NOT TOUCH'!F386</f>
        <v>RP</v>
      </c>
      <c r="G385" s="58" t="str">
        <f>'2024 DO NOT TOUCH'!G386</f>
        <v>2.0</v>
      </c>
      <c r="H385" s="59" t="str">
        <f>'2024 DO NOT TOUCH'!H386</f>
        <v>NORTH MECH RM PREMISE</v>
      </c>
      <c r="I385" s="58" t="str">
        <f>'2024 DO NOT TOUCH'!I386</f>
        <v>PREMISE</v>
      </c>
      <c r="J385" s="59" t="str">
        <f>'2024 DO NOT TOUCH'!J386</f>
        <v>PREMISE</v>
      </c>
      <c r="K385" s="58" t="str">
        <f>'2024 DO NOT TOUCH'!K386</f>
        <v>ACTIVE</v>
      </c>
      <c r="L385" s="71">
        <f>'2024 DO NOT TOUCH'!L386</f>
        <v>44585</v>
      </c>
      <c r="M385" s="58" t="b">
        <f>'2024 DO NOT TOUCH'!M386</f>
        <v>0</v>
      </c>
      <c r="N385" s="59">
        <f>'2024 DO NOT TOUCH'!N386</f>
        <v>45315</v>
      </c>
      <c r="O385" s="58" t="str">
        <f>'2024 DO NOT TOUCH'!O386</f>
        <v>LARIOS</v>
      </c>
      <c r="P385" s="67">
        <f>'2024 DO NOT TOUCH'!P386</f>
        <v>8</v>
      </c>
      <c r="Q385" s="67">
        <f>'2024 DO NOT TOUCH'!Q386</f>
        <v>0</v>
      </c>
      <c r="R385" s="67">
        <f>'2024 DO NOT TOUCH'!R386</f>
        <v>2.2000000000000002</v>
      </c>
      <c r="S385" s="58" t="str">
        <f>'2024 DO NOT TOUCH'!S386</f>
        <v>TESTED</v>
      </c>
      <c r="T385" s="58" t="str">
        <f>'2024 DO NOT TOUCH'!T386</f>
        <v>PASSED</v>
      </c>
      <c r="U385" s="58">
        <f>'2024 DO NOT TOUCH'!U386</f>
        <v>0</v>
      </c>
      <c r="V385" s="58">
        <f>'2024 DO NOT TOUCH'!V386</f>
        <v>0</v>
      </c>
      <c r="W385" s="58">
        <f>'2024 DO NOT TOUCH'!W386</f>
        <v>0</v>
      </c>
      <c r="X385" s="67">
        <f>'2024 DO NOT TOUCH'!X386</f>
        <v>0</v>
      </c>
      <c r="Y385" s="58">
        <f>'2024 DO NOT TOUCH'!Y386</f>
        <v>0</v>
      </c>
    </row>
    <row r="386" spans="1:25" ht="19.5" customHeight="1">
      <c r="A386" s="77" t="str">
        <f>'2024 DO NOT TOUCH'!A387</f>
        <v>2380</v>
      </c>
      <c r="B386" s="78" t="str">
        <f>'2024 DO NOT TOUCH'!B387</f>
        <v>EDUCATION CENTER</v>
      </c>
      <c r="C386" s="77" t="str">
        <f>'2024 DO NOT TOUCH'!C387</f>
        <v>9907131156</v>
      </c>
      <c r="D386" s="78" t="str">
        <f>'2024 DO NOT TOUCH'!D387</f>
        <v>FEBCO</v>
      </c>
      <c r="E386" s="77" t="str">
        <f>'2024 DO NOT TOUCH'!E387</f>
        <v>850</v>
      </c>
      <c r="F386" s="78" t="str">
        <f>'2024 DO NOT TOUCH'!F387</f>
        <v>DC</v>
      </c>
      <c r="G386" s="77" t="str">
        <f>'2024 DO NOT TOUCH'!G387</f>
        <v>4.0</v>
      </c>
      <c r="H386" s="78" t="str">
        <f>'2024 DO NOT TOUCH'!H387</f>
        <v>FIRE SUPPLY NORTH MECH RM</v>
      </c>
      <c r="I386" s="77" t="str">
        <f>'2024 DO NOT TOUCH'!I387</f>
        <v>PREMISE</v>
      </c>
      <c r="J386" s="78" t="str">
        <f>'2024 DO NOT TOUCH'!J387</f>
        <v>FIRE</v>
      </c>
      <c r="K386" s="77" t="str">
        <f>'2024 DO NOT TOUCH'!K387</f>
        <v>ACTIVE</v>
      </c>
      <c r="L386" s="79">
        <f>'2024 DO NOT TOUCH'!L387</f>
        <v>44585</v>
      </c>
      <c r="M386" s="77" t="b">
        <f>'2024 DO NOT TOUCH'!M387</f>
        <v>0</v>
      </c>
      <c r="N386" s="78">
        <f>'2024 DO NOT TOUCH'!N387</f>
        <v>0</v>
      </c>
      <c r="O386" s="77">
        <f>'2024 DO NOT TOUCH'!O387</f>
        <v>0</v>
      </c>
      <c r="P386" s="80">
        <f>'2024 DO NOT TOUCH'!P387</f>
        <v>0</v>
      </c>
      <c r="Q386" s="80">
        <f>'2024 DO NOT TOUCH'!Q387</f>
        <v>0</v>
      </c>
      <c r="R386" s="80">
        <f>'2024 DO NOT TOUCH'!R387</f>
        <v>0</v>
      </c>
      <c r="S386" s="81" t="str">
        <f>'2024 DO NOT TOUCH'!S387</f>
        <v>TESTED</v>
      </c>
      <c r="T386" s="81" t="str">
        <f>'2024 DO NOT TOUCH'!T387</f>
        <v>PASSED</v>
      </c>
      <c r="U386" s="81">
        <f>'2024 DO NOT TOUCH'!U387</f>
        <v>0</v>
      </c>
      <c r="V386" s="81">
        <f>'2024 DO NOT TOUCH'!V387</f>
        <v>0</v>
      </c>
      <c r="W386" s="81">
        <f>'2024 DO NOT TOUCH'!W387</f>
        <v>0</v>
      </c>
      <c r="X386" s="80">
        <f>'2024 DO NOT TOUCH'!X387</f>
        <v>0</v>
      </c>
      <c r="Y386" s="81">
        <f>'2024 DO NOT TOUCH'!Y387</f>
        <v>0</v>
      </c>
    </row>
    <row r="387" spans="1:25" ht="19.5" customHeight="1">
      <c r="A387" s="58" t="str">
        <f>'2024 DO NOT TOUCH'!A388</f>
        <v>2380</v>
      </c>
      <c r="B387" s="59" t="str">
        <f>'2024 DO NOT TOUCH'!B388</f>
        <v>EDUCATION CENTER</v>
      </c>
      <c r="C387" s="58" t="str">
        <f>'2024 DO NOT TOUCH'!C388</f>
        <v>9907131157</v>
      </c>
      <c r="D387" s="59" t="str">
        <f>'2024 DO NOT TOUCH'!D388</f>
        <v>FEBCO</v>
      </c>
      <c r="E387" s="58" t="str">
        <f>'2024 DO NOT TOUCH'!E388</f>
        <v>850</v>
      </c>
      <c r="F387" s="59" t="str">
        <f>'2024 DO NOT TOUCH'!F388</f>
        <v>DC</v>
      </c>
      <c r="G387" s="58" t="str">
        <f>'2024 DO NOT TOUCH'!G388</f>
        <v>4.0</v>
      </c>
      <c r="H387" s="59" t="str">
        <f>'2024 DO NOT TOUCH'!H388</f>
        <v>FIRE SUPPLY SOUTH MECH RM</v>
      </c>
      <c r="I387" s="58" t="str">
        <f>'2024 DO NOT TOUCH'!I388</f>
        <v>PREMISE</v>
      </c>
      <c r="J387" s="59" t="str">
        <f>'2024 DO NOT TOUCH'!J388</f>
        <v>FIRE</v>
      </c>
      <c r="K387" s="58" t="str">
        <f>'2024 DO NOT TOUCH'!K388</f>
        <v>ACTIVE</v>
      </c>
      <c r="L387" s="71">
        <f>'2024 DO NOT TOUCH'!L388</f>
        <v>44585</v>
      </c>
      <c r="M387" s="58" t="b">
        <f>'2024 DO NOT TOUCH'!M388</f>
        <v>0</v>
      </c>
      <c r="N387" s="59">
        <f>'2024 DO NOT TOUCH'!N388</f>
        <v>0</v>
      </c>
      <c r="O387" s="58" t="e">
        <f>'2024 DO NOT TOUCH'!#REF!</f>
        <v>#REF!</v>
      </c>
      <c r="P387" s="65">
        <f>'2024 DO NOT TOUCH'!P388</f>
        <v>0</v>
      </c>
      <c r="Q387" s="65">
        <f>'2024 DO NOT TOUCH'!Q388</f>
        <v>0</v>
      </c>
      <c r="R387" s="65">
        <f>'2024 DO NOT TOUCH'!R388</f>
        <v>0</v>
      </c>
      <c r="S387" s="62" t="str">
        <f>'2024 DO NOT TOUCH'!S388</f>
        <v>TESTED</v>
      </c>
      <c r="T387" s="62" t="str">
        <f>'2024 DO NOT TOUCH'!T388</f>
        <v>PASSED</v>
      </c>
      <c r="U387" s="62">
        <f>'2024 DO NOT TOUCH'!U388</f>
        <v>0</v>
      </c>
      <c r="V387" s="62">
        <f>'2024 DO NOT TOUCH'!V388</f>
        <v>0</v>
      </c>
      <c r="W387" s="62">
        <f>'2024 DO NOT TOUCH'!W388</f>
        <v>0</v>
      </c>
      <c r="X387" s="65">
        <f>'2024 DO NOT TOUCH'!X388</f>
        <v>0</v>
      </c>
      <c r="Y387" s="62">
        <f>'2024 DO NOT TOUCH'!Y388</f>
        <v>0</v>
      </c>
    </row>
    <row r="388" spans="1:25" ht="19.5" customHeight="1">
      <c r="A388" s="77" t="str">
        <f>'2024 DO NOT TOUCH'!A389</f>
        <v>2380</v>
      </c>
      <c r="B388" s="78" t="str">
        <f>'2024 DO NOT TOUCH'!B389</f>
        <v>EDUCATION CENTER</v>
      </c>
      <c r="C388" s="77" t="str">
        <f>'2024 DO NOT TOUCH'!C389</f>
        <v>9908311215</v>
      </c>
      <c r="D388" s="78" t="str">
        <f>'2024 DO NOT TOUCH'!D389</f>
        <v>FEBCO</v>
      </c>
      <c r="E388" s="77" t="str">
        <f>'2024 DO NOT TOUCH'!E389</f>
        <v>850</v>
      </c>
      <c r="F388" s="78" t="str">
        <f>'2024 DO NOT TOUCH'!F389</f>
        <v>DC</v>
      </c>
      <c r="G388" s="77" t="str">
        <f>'2024 DO NOT TOUCH'!G389</f>
        <v>2.0</v>
      </c>
      <c r="H388" s="78" t="str">
        <f>'2024 DO NOT TOUCH'!H389</f>
        <v>PREMISE ISO IN SOUTH MECH RM</v>
      </c>
      <c r="I388" s="77" t="str">
        <f>'2024 DO NOT TOUCH'!I389</f>
        <v>PREMISE</v>
      </c>
      <c r="J388" s="78" t="str">
        <f>'2024 DO NOT TOUCH'!J389</f>
        <v>PREMISE</v>
      </c>
      <c r="K388" s="77" t="str">
        <f>'2024 DO NOT TOUCH'!K389</f>
        <v>ACTIVE</v>
      </c>
      <c r="L388" s="79">
        <f>'2024 DO NOT TOUCH'!L389</f>
        <v>44585</v>
      </c>
      <c r="M388" s="77" t="b">
        <f>'2024 DO NOT TOUCH'!M389</f>
        <v>0</v>
      </c>
      <c r="N388" s="78">
        <f>'2024 DO NOT TOUCH'!N389</f>
        <v>0</v>
      </c>
      <c r="O388" s="77">
        <f>'2024 DO NOT TOUCH'!O388</f>
        <v>0</v>
      </c>
      <c r="P388" s="80">
        <f>'2024 DO NOT TOUCH'!P389</f>
        <v>0</v>
      </c>
      <c r="Q388" s="80">
        <f>'2024 DO NOT TOUCH'!Q389</f>
        <v>0</v>
      </c>
      <c r="R388" s="80">
        <f>'2024 DO NOT TOUCH'!R389</f>
        <v>0</v>
      </c>
      <c r="S388" s="81" t="str">
        <f>'2024 DO NOT TOUCH'!S389</f>
        <v>TESTED</v>
      </c>
      <c r="T388" s="81" t="str">
        <f>'2024 DO NOT TOUCH'!T389</f>
        <v>PASSED</v>
      </c>
      <c r="U388" s="81">
        <f>'2024 DO NOT TOUCH'!U389</f>
        <v>0</v>
      </c>
      <c r="V388" s="81">
        <f>'2024 DO NOT TOUCH'!V389</f>
        <v>0</v>
      </c>
      <c r="W388" s="81">
        <f>'2024 DO NOT TOUCH'!W389</f>
        <v>0</v>
      </c>
      <c r="X388" s="80">
        <f>'2024 DO NOT TOUCH'!X389</f>
        <v>0</v>
      </c>
      <c r="Y388" s="81">
        <f>'2024 DO NOT TOUCH'!Y389</f>
        <v>0</v>
      </c>
    </row>
    <row r="389" spans="1:25" ht="19.5" customHeight="1">
      <c r="A389" s="58" t="str">
        <f>'2024 DO NOT TOUCH'!A390</f>
        <v>2380</v>
      </c>
      <c r="B389" s="59" t="str">
        <f>'2024 DO NOT TOUCH'!B390</f>
        <v>EDUCATION CENTER</v>
      </c>
      <c r="C389" s="58" t="str">
        <f>'2024 DO NOT TOUCH'!C390</f>
        <v>835875</v>
      </c>
      <c r="D389" s="59" t="str">
        <f>'2024 DO NOT TOUCH'!D390</f>
        <v>WILKINS</v>
      </c>
      <c r="E389" s="58" t="str">
        <f>'2024 DO NOT TOUCH'!E390</f>
        <v>950XL</v>
      </c>
      <c r="F389" s="59" t="str">
        <f>'2024 DO NOT TOUCH'!F390</f>
        <v>DC</v>
      </c>
      <c r="G389" s="58" t="str">
        <f>'2024 DO NOT TOUCH'!G390</f>
        <v>2.0</v>
      </c>
      <c r="H389" s="59" t="str">
        <f>'2024 DO NOT TOUCH'!H390</f>
        <v>SOUTH MECH RM IRRIGATION (EDUCATION SIDE)</v>
      </c>
      <c r="I389" s="58" t="str">
        <f>'2024 DO NOT TOUCH'!I390</f>
        <v>PREMISE</v>
      </c>
      <c r="J389" s="59" t="str">
        <f>'2024 DO NOT TOUCH'!J390</f>
        <v>IRR</v>
      </c>
      <c r="K389" s="58" t="str">
        <f>'2024 DO NOT TOUCH'!K390</f>
        <v>ACTIVE</v>
      </c>
      <c r="L389" s="71">
        <f>'2024 DO NOT TOUCH'!L390</f>
        <v>44585</v>
      </c>
      <c r="M389" s="58" t="b">
        <f>'2024 DO NOT TOUCH'!M390</f>
        <v>1</v>
      </c>
      <c r="N389" s="59">
        <f>'2024 DO NOT TOUCH'!N390</f>
        <v>45314</v>
      </c>
      <c r="O389" s="58" t="str">
        <f>'2024 DO NOT TOUCH'!O390</f>
        <v>LARIOS</v>
      </c>
      <c r="P389" s="67">
        <f>'2024 DO NOT TOUCH'!P390</f>
        <v>0</v>
      </c>
      <c r="Q389" s="67">
        <f>'2024 DO NOT TOUCH'!Q390</f>
        <v>0</v>
      </c>
      <c r="R389" s="67">
        <f>'2024 DO NOT TOUCH'!R390</f>
        <v>0</v>
      </c>
      <c r="S389" s="58" t="str">
        <f>'2024 DO NOT TOUCH'!S390</f>
        <v>UNTESTED</v>
      </c>
      <c r="T389" s="58" t="str">
        <f>'2024 DO NOT TOUCH'!T390</f>
        <v>PASSED</v>
      </c>
      <c r="U389" s="58">
        <f>'2024 DO NOT TOUCH'!U390</f>
        <v>0</v>
      </c>
      <c r="V389" s="58">
        <f>'2024 DO NOT TOUCH'!V390</f>
        <v>0</v>
      </c>
      <c r="W389" s="58">
        <f>'2024 DO NOT TOUCH'!W390</f>
        <v>0</v>
      </c>
      <c r="X389" s="67">
        <f>'2024 DO NOT TOUCH'!X390</f>
        <v>0</v>
      </c>
      <c r="Y389" s="58" t="str">
        <f>'2024 DO NOT TOUCH'!Y390</f>
        <v>ISOLATED</v>
      </c>
    </row>
    <row r="390" spans="1:25" ht="19.5" customHeight="1">
      <c r="A390" s="77" t="str">
        <f>'2024 DO NOT TOUCH'!A391</f>
        <v>2383</v>
      </c>
      <c r="B390" s="78" t="str">
        <f>'2024 DO NOT TOUCH'!B391</f>
        <v>SHOPPETT</v>
      </c>
      <c r="C390" s="77" t="str">
        <f>'2024 DO NOT TOUCH'!C391</f>
        <v>K6634</v>
      </c>
      <c r="D390" s="78" t="str">
        <f>'2024 DO NOT TOUCH'!D391</f>
        <v>FEBCO</v>
      </c>
      <c r="E390" s="77" t="str">
        <f>'2024 DO NOT TOUCH'!E391</f>
        <v>805Y</v>
      </c>
      <c r="F390" s="78" t="str">
        <f>'2024 DO NOT TOUCH'!F391</f>
        <v>DC</v>
      </c>
      <c r="G390" s="77" t="str">
        <f>'2024 DO NOT TOUCH'!G391</f>
        <v>2.0</v>
      </c>
      <c r="H390" s="78" t="str">
        <f>'2024 DO NOT TOUCH'!H391</f>
        <v>IRRIGATION ABOVE MOP SINK</v>
      </c>
      <c r="I390" s="77" t="str">
        <f>'2024 DO NOT TOUCH'!I391</f>
        <v>PREMISE</v>
      </c>
      <c r="J390" s="78" t="str">
        <f>'2024 DO NOT TOUCH'!J391</f>
        <v>IRR</v>
      </c>
      <c r="K390" s="77" t="str">
        <f>'2024 DO NOT TOUCH'!K391</f>
        <v>ACTIVE</v>
      </c>
      <c r="L390" s="79">
        <f>'2024 DO NOT TOUCH'!L391</f>
        <v>44585</v>
      </c>
      <c r="M390" s="77" t="b">
        <f>'2024 DO NOT TOUCH'!M391</f>
        <v>0</v>
      </c>
      <c r="N390" s="78">
        <f>'2024 DO NOT TOUCH'!N391</f>
        <v>45314</v>
      </c>
      <c r="O390" s="77" t="str">
        <f>'2024 DO NOT TOUCH'!O391</f>
        <v>LARIOS</v>
      </c>
      <c r="P390" s="83">
        <f>'2024 DO NOT TOUCH'!P391</f>
        <v>0</v>
      </c>
      <c r="Q390" s="83">
        <f>'2024 DO NOT TOUCH'!Q391</f>
        <v>0</v>
      </c>
      <c r="R390" s="83">
        <f>'2024 DO NOT TOUCH'!R391</f>
        <v>0</v>
      </c>
      <c r="S390" s="77" t="str">
        <f>'2024 DO NOT TOUCH'!S391</f>
        <v>TESTED</v>
      </c>
      <c r="T390" s="77" t="str">
        <f>'2024 DO NOT TOUCH'!T391</f>
        <v>PASSED</v>
      </c>
      <c r="U390" s="77" t="str">
        <f>'2024 DO NOT TOUCH'!U391</f>
        <v>PASSED</v>
      </c>
      <c r="V390" s="77" t="str">
        <f>'2024 DO NOT TOUCH'!V391</f>
        <v>EXISTING</v>
      </c>
      <c r="W390" s="77" t="str">
        <f>'2024 DO NOT TOUCH'!W391</f>
        <v>EXISTING</v>
      </c>
      <c r="X390" s="83">
        <f>'2024 DO NOT TOUCH'!X391</f>
        <v>0</v>
      </c>
      <c r="Y390" s="77" t="str">
        <f>'2024 DO NOT TOUCH'!Y391</f>
        <v>ISOLATED FOR WINTER</v>
      </c>
    </row>
    <row r="391" spans="1:25" ht="19.5" customHeight="1">
      <c r="A391" s="58" t="str">
        <f>'2024 DO NOT TOUCH'!A392</f>
        <v>2383</v>
      </c>
      <c r="B391" s="59" t="str">
        <f>'2024 DO NOT TOUCH'!B392</f>
        <v>SHOPPETT</v>
      </c>
      <c r="C391" s="58" t="str">
        <f>'2024 DO NOT TOUCH'!C392</f>
        <v>W358320</v>
      </c>
      <c r="D391" s="59" t="str">
        <f>'2024 DO NOT TOUCH'!D392</f>
        <v>WILKINS</v>
      </c>
      <c r="E391" s="58" t="str">
        <f>'2024 DO NOT TOUCH'!E392</f>
        <v>975XL</v>
      </c>
      <c r="F391" s="59" t="str">
        <f>'2024 DO NOT TOUCH'!F392</f>
        <v>RP</v>
      </c>
      <c r="G391" s="58" t="str">
        <f>'2024 DO NOT TOUCH'!G392</f>
        <v>0.5</v>
      </c>
      <c r="H391" s="59" t="str">
        <f>'2024 DO NOT TOUCH'!H392</f>
        <v xml:space="preserve">BEHIND SODA MACHINES </v>
      </c>
      <c r="I391" s="58" t="str">
        <f>'2024 DO NOT TOUCH'!I392</f>
        <v>INPREMISE</v>
      </c>
      <c r="J391" s="59" t="str">
        <f>'2024 DO NOT TOUCH'!J392</f>
        <v>AOI</v>
      </c>
      <c r="K391" s="58" t="str">
        <f>'2024 DO NOT TOUCH'!K392</f>
        <v>ACTIVE</v>
      </c>
      <c r="L391" s="71">
        <f>'2024 DO NOT TOUCH'!L392</f>
        <v>44585</v>
      </c>
      <c r="M391" s="58" t="b">
        <f>'2024 DO NOT TOUCH'!M392</f>
        <v>0</v>
      </c>
      <c r="N391" s="59">
        <f>'2024 DO NOT TOUCH'!N392</f>
        <v>0</v>
      </c>
      <c r="O391" s="58">
        <f>'2024 DO NOT TOUCH'!O392</f>
        <v>0</v>
      </c>
      <c r="P391" s="65">
        <f>'2024 DO NOT TOUCH'!P392</f>
        <v>0</v>
      </c>
      <c r="Q391" s="65">
        <f>'2024 DO NOT TOUCH'!Q392</f>
        <v>0</v>
      </c>
      <c r="R391" s="65">
        <f>'2024 DO NOT TOUCH'!R392</f>
        <v>0</v>
      </c>
      <c r="S391" s="62" t="str">
        <f>'2024 DO NOT TOUCH'!S392</f>
        <v>TESTED</v>
      </c>
      <c r="T391" s="62" t="str">
        <f>'2024 DO NOT TOUCH'!T392</f>
        <v>PASSED</v>
      </c>
      <c r="U391" s="62" t="str">
        <f>'2024 DO NOT TOUCH'!U392</f>
        <v>PASSED</v>
      </c>
      <c r="V391" s="62" t="str">
        <f>'2024 DO NOT TOUCH'!V392</f>
        <v>EXISTING</v>
      </c>
      <c r="W391" s="62" t="str">
        <f>'2024 DO NOT TOUCH'!W392</f>
        <v>EXISTING</v>
      </c>
      <c r="X391" s="65">
        <f>'2024 DO NOT TOUCH'!X392</f>
        <v>0</v>
      </c>
      <c r="Y391" s="62" t="str">
        <f>'2024 DO NOT TOUCH'!Y392</f>
        <v>NOT TESTABLE</v>
      </c>
    </row>
    <row r="392" spans="1:25" ht="19.5" customHeight="1">
      <c r="A392" s="55" t="str">
        <f>'2024 DO NOT TOUCH'!A393</f>
        <v>2386</v>
      </c>
      <c r="B392" s="3" t="str">
        <f>'2024 DO NOT TOUCH'!B393</f>
        <v>SHOPPETT</v>
      </c>
      <c r="C392" s="55" t="str">
        <f>'2024 DO NOT TOUCH'!C393</f>
        <v>4206900</v>
      </c>
      <c r="D392" s="3" t="str">
        <f>'2024 DO NOT TOUCH'!D393</f>
        <v>WILKINS</v>
      </c>
      <c r="E392" s="55" t="str">
        <f>'2024 DO NOT TOUCH'!E393</f>
        <v>950XLT2</v>
      </c>
      <c r="F392" s="3" t="str">
        <f>'2024 DO NOT TOUCH'!F393</f>
        <v>DC</v>
      </c>
      <c r="G392" s="55" t="str">
        <f>'2024 DO NOT TOUCH'!G393</f>
        <v>1.5</v>
      </c>
      <c r="H392" s="3" t="str">
        <f>'2024 DO NOT TOUCH'!H393</f>
        <v>IRR OUSTSIDE LEFT OF ENTRY NEAR TRANSFORMER</v>
      </c>
      <c r="I392" s="55" t="str">
        <f>'2024 DO NOT TOUCH'!I393</f>
        <v>PREMISE</v>
      </c>
      <c r="J392" s="3" t="str">
        <f>'2024 DO NOT TOUCH'!J393</f>
        <v>IRR</v>
      </c>
      <c r="K392" s="55" t="str">
        <f>'2024 DO NOT TOUCH'!K393</f>
        <v>ACTIVE</v>
      </c>
      <c r="L392" s="72">
        <f>'2024 DO NOT TOUCH'!L393</f>
        <v>44750</v>
      </c>
      <c r="M392" s="55" t="b">
        <f>'2024 DO NOT TOUCH'!M393</f>
        <v>0</v>
      </c>
      <c r="N392" s="3">
        <f>'2024 DO NOT TOUCH'!N393</f>
        <v>0</v>
      </c>
      <c r="O392" s="55">
        <f>'2024 DO NOT TOUCH'!O393</f>
        <v>0</v>
      </c>
      <c r="P392" s="64">
        <f>'2024 DO NOT TOUCH'!P393</f>
        <v>0</v>
      </c>
      <c r="Q392" s="64">
        <f>'2024 DO NOT TOUCH'!Q393</f>
        <v>0</v>
      </c>
      <c r="R392" s="64">
        <f>'2024 DO NOT TOUCH'!R393</f>
        <v>0</v>
      </c>
      <c r="S392" s="57" t="str">
        <f>'2024 DO NOT TOUCH'!S393</f>
        <v>TESTED</v>
      </c>
      <c r="T392" s="57" t="str">
        <f>'2024 DO NOT TOUCH'!T393</f>
        <v>PASSED</v>
      </c>
      <c r="U392" s="57" t="str">
        <f>'2024 DO NOT TOUCH'!U393</f>
        <v>PASSED</v>
      </c>
      <c r="V392" s="57" t="str">
        <f>'2024 DO NOT TOUCH'!V393</f>
        <v>EXISTING</v>
      </c>
      <c r="W392" s="57" t="str">
        <f>'2024 DO NOT TOUCH'!W393</f>
        <v>EXISTING</v>
      </c>
      <c r="X392" s="64">
        <f>'2024 DO NOT TOUCH'!X393</f>
        <v>0</v>
      </c>
      <c r="Y392" s="57" t="str">
        <f>'2024 DO NOT TOUCH'!Y393</f>
        <v xml:space="preserve">S/N IS MISSING </v>
      </c>
    </row>
    <row r="393" spans="1:25" ht="19.5" customHeight="1">
      <c r="A393" s="58" t="str">
        <f>'2024 DO NOT TOUCH'!A394</f>
        <v>2392</v>
      </c>
      <c r="B393" s="59" t="str">
        <f>'2024 DO NOT TOUCH'!B394</f>
        <v>BILLITING MAIN SIDE</v>
      </c>
      <c r="C393" s="58" t="str">
        <f>'2024 DO NOT TOUCH'!C394</f>
        <v>3356184</v>
      </c>
      <c r="D393" s="59" t="str">
        <f>'2024 DO NOT TOUCH'!D394</f>
        <v>WILKINS</v>
      </c>
      <c r="E393" s="58" t="str">
        <f>'2024 DO NOT TOUCH'!E394</f>
        <v>375</v>
      </c>
      <c r="F393" s="59" t="str">
        <f>'2024 DO NOT TOUCH'!F394</f>
        <v>RP</v>
      </c>
      <c r="G393" s="58" t="str">
        <f>'2024 DO NOT TOUCH'!G394</f>
        <v>2.0</v>
      </c>
      <c r="H393" s="59" t="str">
        <f>'2024 DO NOT TOUCH'!H394</f>
        <v>MECH ROOM HOT WATER STORAGE</v>
      </c>
      <c r="I393" s="58" t="str">
        <f>'2024 DO NOT TOUCH'!I394</f>
        <v>INPREMISE</v>
      </c>
      <c r="J393" s="59" t="str">
        <f>'2024 DO NOT TOUCH'!J394</f>
        <v>AOI</v>
      </c>
      <c r="K393" s="58" t="str">
        <f>'2024 DO NOT TOUCH'!K394</f>
        <v>ACTIVE</v>
      </c>
      <c r="L393" s="71">
        <f>'2024 DO NOT TOUCH'!L394</f>
        <v>44621</v>
      </c>
      <c r="M393" s="58" t="b">
        <f>'2024 DO NOT TOUCH'!M394</f>
        <v>0</v>
      </c>
      <c r="N393" s="59">
        <f>'2024 DO NOT TOUCH'!N394</f>
        <v>45351</v>
      </c>
      <c r="O393" s="58" t="str">
        <f>'2024 DO NOT TOUCH'!O394</f>
        <v>HAVERON</v>
      </c>
      <c r="P393" s="65">
        <f>'2024 DO NOT TOUCH'!P394</f>
        <v>8.6</v>
      </c>
      <c r="Q393" s="65">
        <f>'2024 DO NOT TOUCH'!Q394</f>
        <v>0</v>
      </c>
      <c r="R393" s="65">
        <f>'2024 DO NOT TOUCH'!R394</f>
        <v>3.2</v>
      </c>
      <c r="S393" s="62" t="str">
        <f>'2024 DO NOT TOUCH'!S394</f>
        <v>TESTED</v>
      </c>
      <c r="T393" s="62" t="str">
        <f>'2024 DO NOT TOUCH'!T394</f>
        <v>PASSED</v>
      </c>
      <c r="U393" s="62">
        <f>'2024 DO NOT TOUCH'!U394</f>
        <v>0</v>
      </c>
      <c r="V393" s="62">
        <f>'2024 DO NOT TOUCH'!V394</f>
        <v>0</v>
      </c>
      <c r="W393" s="62">
        <f>'2024 DO NOT TOUCH'!W394</f>
        <v>0</v>
      </c>
      <c r="X393" s="65">
        <f>'2024 DO NOT TOUCH'!X394</f>
        <v>0</v>
      </c>
      <c r="Y393" s="62">
        <f>'2024 DO NOT TOUCH'!Y394</f>
        <v>0</v>
      </c>
    </row>
    <row r="394" spans="1:25" ht="19.5" customHeight="1">
      <c r="A394" s="55" t="str">
        <f>'2024 DO NOT TOUCH'!A395</f>
        <v>2392</v>
      </c>
      <c r="B394" s="55" t="str">
        <f>'2024 DO NOT TOUCH'!B395</f>
        <v>BILLITING MAIN SIDE</v>
      </c>
      <c r="C394" s="55" t="str">
        <f>'2024 DO NOT TOUCH'!C395</f>
        <v>A188197</v>
      </c>
      <c r="D394" s="55" t="str">
        <f>'2024 DO NOT TOUCH'!D395</f>
        <v>FEBCO</v>
      </c>
      <c r="E394" s="55" t="str">
        <f>'2024 DO NOT TOUCH'!E395</f>
        <v>825Y</v>
      </c>
      <c r="F394" s="55" t="str">
        <f>'2024 DO NOT TOUCH'!F395</f>
        <v>RP</v>
      </c>
      <c r="G394" s="55" t="str">
        <f>'2024 DO NOT TOUCH'!G395</f>
        <v>0.75</v>
      </c>
      <c r="H394" s="55" t="str">
        <f>'2024 DO NOT TOUCH'!H395</f>
        <v>MECH RM HVAC</v>
      </c>
      <c r="I394" s="55" t="str">
        <f>'2024 DO NOT TOUCH'!I395</f>
        <v>INPREMISE</v>
      </c>
      <c r="J394" s="55" t="str">
        <f>'2024 DO NOT TOUCH'!J395</f>
        <v>AOI</v>
      </c>
      <c r="K394" s="55" t="str">
        <f>'2024 DO NOT TOUCH'!K395</f>
        <v>ACTIVE</v>
      </c>
      <c r="L394" s="56">
        <f>'2024 DO NOT TOUCH'!L395</f>
        <v>44621</v>
      </c>
      <c r="M394" s="56" t="b">
        <f>'2024 DO NOT TOUCH'!M395</f>
        <v>0</v>
      </c>
      <c r="N394" s="56">
        <f>'2024 DO NOT TOUCH'!N395</f>
        <v>45351</v>
      </c>
      <c r="O394" s="55" t="str">
        <f>'2024 DO NOT TOUCH'!O395</f>
        <v>HAVERON</v>
      </c>
      <c r="P394" s="64">
        <f>'2024 DO NOT TOUCH'!P395</f>
        <v>6.8</v>
      </c>
      <c r="Q394" s="64">
        <f>'2024 DO NOT TOUCH'!Q395</f>
        <v>0</v>
      </c>
      <c r="R394" s="64">
        <f>'2024 DO NOT TOUCH'!R395</f>
        <v>2.2000000000000002</v>
      </c>
      <c r="S394" s="55" t="str">
        <f>'2024 DO NOT TOUCH'!S395</f>
        <v>TESTED</v>
      </c>
      <c r="T394" s="55" t="str">
        <f>'2024 DO NOT TOUCH'!T395</f>
        <v>PASSED</v>
      </c>
      <c r="U394" s="55" t="str">
        <f>'2024 DO NOT TOUCH'!U395</f>
        <v>y</v>
      </c>
      <c r="V394" s="55">
        <f>'2024 DO NOT TOUCH'!V395</f>
        <v>0</v>
      </c>
      <c r="W394" s="55">
        <f>'2024 DO NOT TOUCH'!W395</f>
        <v>0</v>
      </c>
      <c r="X394" s="66">
        <f>'2024 DO NOT TOUCH'!X395</f>
        <v>0</v>
      </c>
      <c r="Y394" s="55">
        <f>'2024 DO NOT TOUCH'!Y395</f>
        <v>0</v>
      </c>
    </row>
    <row r="395" spans="1:25" ht="19.5" customHeight="1">
      <c r="A395" s="58" t="str">
        <f>'2024 DO NOT TOUCH'!A396</f>
        <v>2392</v>
      </c>
      <c r="B395" s="59" t="str">
        <f>'2024 DO NOT TOUCH'!B396</f>
        <v>BILLITING MAIN SIDE</v>
      </c>
      <c r="C395" s="58" t="str">
        <f>'2024 DO NOT TOUCH'!C396</f>
        <v>W358375</v>
      </c>
      <c r="D395" s="59" t="str">
        <f>'2024 DO NOT TOUCH'!D396</f>
        <v>WILKINS</v>
      </c>
      <c r="E395" s="58" t="str">
        <f>'2024 DO NOT TOUCH'!E396</f>
        <v>975XL</v>
      </c>
      <c r="F395" s="59" t="str">
        <f>'2024 DO NOT TOUCH'!F396</f>
        <v>RP</v>
      </c>
      <c r="G395" s="58" t="str">
        <f>'2024 DO NOT TOUCH'!G396</f>
        <v>0.5</v>
      </c>
      <c r="H395" s="59" t="str">
        <f>'2024 DO NOT TOUCH'!H396</f>
        <v>2ND FLOOR ICE MACHINE</v>
      </c>
      <c r="I395" s="58" t="str">
        <f>'2024 DO NOT TOUCH'!I396</f>
        <v>INPREMISE</v>
      </c>
      <c r="J395" s="59" t="str">
        <f>'2024 DO NOT TOUCH'!J396</f>
        <v>AOI</v>
      </c>
      <c r="K395" s="58" t="str">
        <f>'2024 DO NOT TOUCH'!K396</f>
        <v>ACTIVE</v>
      </c>
      <c r="L395" s="71">
        <f>'2024 DO NOT TOUCH'!L396</f>
        <v>44683</v>
      </c>
      <c r="M395" s="58" t="b">
        <f>'2024 DO NOT TOUCH'!M396</f>
        <v>0</v>
      </c>
      <c r="N395" s="59">
        <f>'2024 DO NOT TOUCH'!N396</f>
        <v>45351</v>
      </c>
      <c r="O395" s="58" t="str">
        <f>'2024 DO NOT TOUCH'!O396</f>
        <v>HAVERON</v>
      </c>
      <c r="P395" s="65">
        <f>'2024 DO NOT TOUCH'!P396</f>
        <v>5.8</v>
      </c>
      <c r="Q395" s="65">
        <f>'2024 DO NOT TOUCH'!Q396</f>
        <v>0</v>
      </c>
      <c r="R395" s="65">
        <f>'2024 DO NOT TOUCH'!R396</f>
        <v>2.8</v>
      </c>
      <c r="S395" s="62" t="str">
        <f>'2024 DO NOT TOUCH'!S396</f>
        <v>TESTED</v>
      </c>
      <c r="T395" s="62" t="str">
        <f>'2024 DO NOT TOUCH'!T396</f>
        <v>PASSED</v>
      </c>
      <c r="U395" s="62">
        <f>'2024 DO NOT TOUCH'!U396</f>
        <v>0</v>
      </c>
      <c r="V395" s="62">
        <f>'2024 DO NOT TOUCH'!V396</f>
        <v>0</v>
      </c>
      <c r="W395" s="62">
        <f>'2024 DO NOT TOUCH'!W396</f>
        <v>0</v>
      </c>
      <c r="X395" s="65">
        <f>'2024 DO NOT TOUCH'!X396</f>
        <v>0</v>
      </c>
      <c r="Y395" s="62">
        <f>'2024 DO NOT TOUCH'!Y396</f>
        <v>0</v>
      </c>
    </row>
    <row r="396" spans="1:25" ht="19.5" customHeight="1">
      <c r="A396" s="55" t="str">
        <f>'2024 DO NOT TOUCH'!A397</f>
        <v>2392</v>
      </c>
      <c r="B396" s="3" t="str">
        <f>'2024 DO NOT TOUCH'!B397</f>
        <v>BILLITING MAIN SIDE</v>
      </c>
      <c r="C396" s="55" t="str">
        <f>'2024 DO NOT TOUCH'!C397</f>
        <v>H00578</v>
      </c>
      <c r="D396" s="3" t="str">
        <f>'2024 DO NOT TOUCH'!D397</f>
        <v>FEBCO</v>
      </c>
      <c r="E396" s="55" t="str">
        <f>'2024 DO NOT TOUCH'!E397</f>
        <v>850</v>
      </c>
      <c r="F396" s="3" t="str">
        <f>'2024 DO NOT TOUCH'!F397</f>
        <v>DC</v>
      </c>
      <c r="G396" s="55" t="str">
        <f>'2024 DO NOT TOUCH'!G397</f>
        <v>0.5</v>
      </c>
      <c r="H396" s="3" t="str">
        <f>'2024 DO NOT TOUCH'!H397</f>
        <v>MAIN ENTRANCE COFFEE MACHINE</v>
      </c>
      <c r="I396" s="55" t="str">
        <f>'2024 DO NOT TOUCH'!I397</f>
        <v>INPREMISE</v>
      </c>
      <c r="J396" s="3" t="str">
        <f>'2024 DO NOT TOUCH'!J397</f>
        <v>AOI</v>
      </c>
      <c r="K396" s="55" t="str">
        <f>'2024 DO NOT TOUCH'!K397</f>
        <v>ACTIVE</v>
      </c>
      <c r="L396" s="72">
        <f>'2024 DO NOT TOUCH'!L397</f>
        <v>44622</v>
      </c>
      <c r="M396" s="55" t="b">
        <f>'2024 DO NOT TOUCH'!M397</f>
        <v>0</v>
      </c>
      <c r="N396" s="3">
        <f>'2024 DO NOT TOUCH'!N397</f>
        <v>45351</v>
      </c>
      <c r="O396" s="55" t="str">
        <f>'2024 DO NOT TOUCH'!O397</f>
        <v>Haveron</v>
      </c>
      <c r="P396" s="64">
        <f>'2024 DO NOT TOUCH'!P397</f>
        <v>2</v>
      </c>
      <c r="Q396" s="64">
        <f>'2024 DO NOT TOUCH'!Q397</f>
        <v>1</v>
      </c>
      <c r="R396" s="64">
        <f>'2024 DO NOT TOUCH'!R397</f>
        <v>0</v>
      </c>
      <c r="S396" s="57" t="str">
        <f>'2024 DO NOT TOUCH'!S397</f>
        <v>TESTED</v>
      </c>
      <c r="T396" s="57" t="str">
        <f>'2024 DO NOT TOUCH'!T397</f>
        <v>PASSED</v>
      </c>
      <c r="U396" s="57" t="str">
        <f>'2024 DO NOT TOUCH'!U397</f>
        <v>Y</v>
      </c>
      <c r="V396" s="57">
        <f>'2024 DO NOT TOUCH'!V397</f>
        <v>0</v>
      </c>
      <c r="W396" s="57">
        <f>'2024 DO NOT TOUCH'!W397</f>
        <v>0</v>
      </c>
      <c r="X396" s="64">
        <f>'2024 DO NOT TOUCH'!X397</f>
        <v>0</v>
      </c>
      <c r="Y396" s="57">
        <f>'2024 DO NOT TOUCH'!Y397</f>
        <v>0</v>
      </c>
    </row>
    <row r="397" spans="1:25" ht="19.5" customHeight="1">
      <c r="A397" s="58" t="str">
        <f>'2024 DO NOT TOUCH'!A398</f>
        <v>2392</v>
      </c>
      <c r="B397" s="59" t="str">
        <f>'2024 DO NOT TOUCH'!B398</f>
        <v>BILLITING MAIN SIDE</v>
      </c>
      <c r="C397" s="58" t="str">
        <f>'2024 DO NOT TOUCH'!C398</f>
        <v>AD1970</v>
      </c>
      <c r="D397" s="59" t="str">
        <f>'2024 DO NOT TOUCH'!D398</f>
        <v>FEBCO</v>
      </c>
      <c r="E397" s="58" t="str">
        <f>'2024 DO NOT TOUCH'!E398</f>
        <v>805Y</v>
      </c>
      <c r="F397" s="59" t="str">
        <f>'2024 DO NOT TOUCH'!F398</f>
        <v>DC</v>
      </c>
      <c r="G397" s="58" t="str">
        <f>'2024 DO NOT TOUCH'!G398</f>
        <v>2.0</v>
      </c>
      <c r="H397" s="59" t="str">
        <f>'2024 DO NOT TOUCH'!H398</f>
        <v>MECH RM FIRE SYS</v>
      </c>
      <c r="I397" s="58" t="str">
        <f>'2024 DO NOT TOUCH'!I398</f>
        <v>PREMISE</v>
      </c>
      <c r="J397" s="59" t="str">
        <f>'2024 DO NOT TOUCH'!J398</f>
        <v>FIRE</v>
      </c>
      <c r="K397" s="58" t="str">
        <f>'2024 DO NOT TOUCH'!K398</f>
        <v>ACTIVE</v>
      </c>
      <c r="L397" s="71">
        <f>'2024 DO NOT TOUCH'!L398</f>
        <v>44621</v>
      </c>
      <c r="M397" s="58" t="b">
        <f>'2024 DO NOT TOUCH'!M398</f>
        <v>0</v>
      </c>
      <c r="N397" s="59">
        <f>'2024 DO NOT TOUCH'!N398</f>
        <v>45351</v>
      </c>
      <c r="O397" s="58" t="str">
        <f>'2024 DO NOT TOUCH'!O398</f>
        <v>HAVERON</v>
      </c>
      <c r="P397" s="65">
        <f>'2024 DO NOT TOUCH'!P398</f>
        <v>2.2000000000000002</v>
      </c>
      <c r="Q397" s="65">
        <f>'2024 DO NOT TOUCH'!Q398</f>
        <v>2</v>
      </c>
      <c r="R397" s="65">
        <f>'2024 DO NOT TOUCH'!R398</f>
        <v>0</v>
      </c>
      <c r="S397" s="62" t="str">
        <f>'2024 DO NOT TOUCH'!S398</f>
        <v>TESTED</v>
      </c>
      <c r="T397" s="62" t="str">
        <f>'2024 DO NOT TOUCH'!T398</f>
        <v>PASSED</v>
      </c>
      <c r="U397" s="62">
        <f>'2024 DO NOT TOUCH'!U398</f>
        <v>0</v>
      </c>
      <c r="V397" s="62">
        <f>'2024 DO NOT TOUCH'!V398</f>
        <v>0</v>
      </c>
      <c r="W397" s="62">
        <f>'2024 DO NOT TOUCH'!W398</f>
        <v>0</v>
      </c>
      <c r="X397" s="65">
        <f>'2024 DO NOT TOUCH'!X398</f>
        <v>0</v>
      </c>
      <c r="Y397" s="62">
        <f>'2024 DO NOT TOUCH'!Y398</f>
        <v>0</v>
      </c>
    </row>
    <row r="398" spans="1:25" ht="19.5" customHeight="1">
      <c r="A398" s="55" t="str">
        <f>'2024 DO NOT TOUCH'!A399</f>
        <v>2393</v>
      </c>
      <c r="B398" s="3" t="str">
        <f>'2024 DO NOT TOUCH'!B399</f>
        <v xml:space="preserve">BILLITING </v>
      </c>
      <c r="C398" s="55" t="str">
        <f>'2024 DO NOT TOUCH'!C399</f>
        <v>X19658</v>
      </c>
      <c r="D398" s="3" t="str">
        <f>'2024 DO NOT TOUCH'!D399</f>
        <v>WILKINS</v>
      </c>
      <c r="E398" s="55" t="str">
        <f>'2024 DO NOT TOUCH'!E399</f>
        <v>375A</v>
      </c>
      <c r="F398" s="3" t="str">
        <f>'2024 DO NOT TOUCH'!F399</f>
        <v>RP</v>
      </c>
      <c r="G398" s="55" t="str">
        <f>'2024 DO NOT TOUCH'!G399</f>
        <v>3.0</v>
      </c>
      <c r="H398" s="3" t="str">
        <f>'2024 DO NOT TOUCH'!H399</f>
        <v>MECH RM ON PREMISE</v>
      </c>
      <c r="I398" s="55" t="str">
        <f>'2024 DO NOT TOUCH'!I399</f>
        <v>PREMISE</v>
      </c>
      <c r="J398" s="3" t="str">
        <f>'2024 DO NOT TOUCH'!J399</f>
        <v>PREMISE</v>
      </c>
      <c r="K398" s="55" t="str">
        <f>'2024 DO NOT TOUCH'!K399</f>
        <v>ACTIVE</v>
      </c>
      <c r="L398" s="72">
        <f>'2024 DO NOT TOUCH'!L399</f>
        <v>44623</v>
      </c>
      <c r="M398" s="55" t="b">
        <f>'2024 DO NOT TOUCH'!M399</f>
        <v>0</v>
      </c>
      <c r="N398" s="3">
        <f>'2024 DO NOT TOUCH'!N399</f>
        <v>45351</v>
      </c>
      <c r="O398" s="55" t="str">
        <f>'2024 DO NOT TOUCH'!O399</f>
        <v>HAVERON</v>
      </c>
      <c r="P398" s="66" t="e">
        <f>'2024 DO NOT TOUCH'!#REF!</f>
        <v>#REF!</v>
      </c>
      <c r="Q398" s="66">
        <f>'2024 DO NOT TOUCH'!Q399</f>
        <v>4.5999999999999996</v>
      </c>
      <c r="R398" s="66">
        <f>'2024 DO NOT TOUCH'!R399</f>
        <v>0</v>
      </c>
      <c r="S398" s="55" t="str">
        <f>'2024 DO NOT TOUCH'!S399</f>
        <v>TESTED</v>
      </c>
      <c r="T398" s="55" t="str">
        <f>'2024 DO NOT TOUCH'!T399</f>
        <v>PASSED</v>
      </c>
      <c r="U398" s="55" t="str">
        <f>'2024 DO NOT TOUCH'!U399</f>
        <v>Y</v>
      </c>
      <c r="V398" s="55">
        <f>'2024 DO NOT TOUCH'!V399</f>
        <v>0</v>
      </c>
      <c r="W398" s="55">
        <f>'2024 DO NOT TOUCH'!W399</f>
        <v>0</v>
      </c>
      <c r="X398" s="66">
        <f>'2024 DO NOT TOUCH'!X399</f>
        <v>0</v>
      </c>
      <c r="Y398" s="55">
        <f>'2024 DO NOT TOUCH'!Y399</f>
        <v>0</v>
      </c>
    </row>
    <row r="399" spans="1:25" ht="19.5" customHeight="1">
      <c r="A399" s="58" t="str">
        <f>'2024 DO NOT TOUCH'!A400</f>
        <v>2393</v>
      </c>
      <c r="B399" s="59" t="str">
        <f>'2024 DO NOT TOUCH'!B400</f>
        <v>BILLITING</v>
      </c>
      <c r="C399" s="58" t="str">
        <f>'2024 DO NOT TOUCH'!C400</f>
        <v>J13906</v>
      </c>
      <c r="D399" s="59" t="str">
        <f>'2024 DO NOT TOUCH'!D400</f>
        <v>WILKINS</v>
      </c>
      <c r="E399" s="58" t="str">
        <f>'2024 DO NOT TOUCH'!E400</f>
        <v>350</v>
      </c>
      <c r="F399" s="59" t="str">
        <f>'2024 DO NOT TOUCH'!F400</f>
        <v>DC</v>
      </c>
      <c r="G399" s="58" t="str">
        <f>'2024 DO NOT TOUCH'!G400</f>
        <v>2.5</v>
      </c>
      <c r="H399" s="59" t="str">
        <f>'2024 DO NOT TOUCH'!H400</f>
        <v>MECH RM FIRE SYS</v>
      </c>
      <c r="I399" s="58" t="str">
        <f>'2024 DO NOT TOUCH'!I400</f>
        <v>PREMISE</v>
      </c>
      <c r="J399" s="59" t="str">
        <f>'2024 DO NOT TOUCH'!J400</f>
        <v>FIRE</v>
      </c>
      <c r="K399" s="58" t="str">
        <f>'2024 DO NOT TOUCH'!K400</f>
        <v>ACTIVE</v>
      </c>
      <c r="L399" s="71">
        <f>'2024 DO NOT TOUCH'!L400</f>
        <v>44622</v>
      </c>
      <c r="M399" s="58" t="b">
        <f>'2024 DO NOT TOUCH'!M400</f>
        <v>0</v>
      </c>
      <c r="N399" s="59">
        <f>'2024 DO NOT TOUCH'!N400</f>
        <v>45351</v>
      </c>
      <c r="O399" s="58" t="str">
        <f>'2024 DO NOT TOUCH'!O400</f>
        <v>HAVERON</v>
      </c>
      <c r="P399" s="67">
        <f>'2024 DO NOT TOUCH'!P399</f>
        <v>8.8000000000000007</v>
      </c>
      <c r="Q399" s="67">
        <f>'2024 DO NOT TOUCH'!Q400</f>
        <v>6.8</v>
      </c>
      <c r="R399" s="67">
        <f>'2024 DO NOT TOUCH'!R400</f>
        <v>0</v>
      </c>
      <c r="S399" s="58" t="str">
        <f>'2024 DO NOT TOUCH'!S400</f>
        <v>TESTED</v>
      </c>
      <c r="T399" s="58" t="str">
        <f>'2024 DO NOT TOUCH'!T400</f>
        <v>PASSED</v>
      </c>
      <c r="U399" s="58">
        <f>'2024 DO NOT TOUCH'!U400</f>
        <v>0</v>
      </c>
      <c r="V399" s="58">
        <f>'2024 DO NOT TOUCH'!V400</f>
        <v>0</v>
      </c>
      <c r="W399" s="58">
        <f>'2024 DO NOT TOUCH'!W400</f>
        <v>0</v>
      </c>
      <c r="X399" s="67">
        <f>'2024 DO NOT TOUCH'!X400</f>
        <v>0</v>
      </c>
      <c r="Y399" s="58">
        <f>'2024 DO NOT TOUCH'!Y400</f>
        <v>0</v>
      </c>
    </row>
    <row r="400" spans="1:25" ht="19.5" customHeight="1">
      <c r="A400" s="77" t="str">
        <f>'2024 DO NOT TOUCH'!A401</f>
        <v>2393</v>
      </c>
      <c r="B400" s="78" t="str">
        <f>'2024 DO NOT TOUCH'!B401</f>
        <v>Billiting</v>
      </c>
      <c r="C400" s="77" t="str">
        <f>'2024 DO NOT TOUCH'!C401</f>
        <v>H0056A</v>
      </c>
      <c r="D400" s="78" t="str">
        <f>'2024 DO NOT TOUCH'!D401</f>
        <v>FEBCO</v>
      </c>
      <c r="E400" s="77" t="str">
        <f>'2024 DO NOT TOUCH'!E401</f>
        <v>850</v>
      </c>
      <c r="F400" s="78" t="str">
        <f>'2024 DO NOT TOUCH'!F401</f>
        <v>DC</v>
      </c>
      <c r="G400" s="77" t="str">
        <f>'2024 DO NOT TOUCH'!G401</f>
        <v>0.5</v>
      </c>
      <c r="H400" s="78" t="str">
        <f>'2024 DO NOT TOUCH'!H401</f>
        <v>Behind Ice maker in suit 3115</v>
      </c>
      <c r="I400" s="77" t="str">
        <f>'2024 DO NOT TOUCH'!I401</f>
        <v>INPREMISE</v>
      </c>
      <c r="J400" s="78" t="str">
        <f>'2024 DO NOT TOUCH'!J401</f>
        <v>AOI</v>
      </c>
      <c r="K400" s="77" t="str">
        <f>'2024 DO NOT TOUCH'!K401</f>
        <v>ACTIVE</v>
      </c>
      <c r="L400" s="79">
        <f>'2024 DO NOT TOUCH'!L401</f>
        <v>44629</v>
      </c>
      <c r="M400" s="77" t="b">
        <f>'2024 DO NOT TOUCH'!M401</f>
        <v>0</v>
      </c>
      <c r="N400" s="78">
        <f>'2024 DO NOT TOUCH'!N401</f>
        <v>45314</v>
      </c>
      <c r="O400" s="77" t="str">
        <f>'2024 DO NOT TOUCH'!O401</f>
        <v>LARIOS</v>
      </c>
      <c r="P400" s="80">
        <f>'2024 DO NOT TOUCH'!P401</f>
        <v>7.8</v>
      </c>
      <c r="Q400" s="80">
        <f>'2024 DO NOT TOUCH'!Q401</f>
        <v>0</v>
      </c>
      <c r="R400" s="80">
        <f>'2024 DO NOT TOUCH'!R401</f>
        <v>3.2</v>
      </c>
      <c r="S400" s="81" t="str">
        <f>'2024 DO NOT TOUCH'!S401</f>
        <v>TESTED</v>
      </c>
      <c r="T400" s="81" t="str">
        <f>'2024 DO NOT TOUCH'!T401</f>
        <v>PASSED</v>
      </c>
      <c r="U400" s="81">
        <f>'2024 DO NOT TOUCH'!U401</f>
        <v>0</v>
      </c>
      <c r="V400" s="81">
        <f>'2024 DO NOT TOUCH'!V401</f>
        <v>0</v>
      </c>
      <c r="W400" s="81">
        <f>'2024 DO NOT TOUCH'!W401</f>
        <v>0</v>
      </c>
      <c r="X400" s="80">
        <f>'2024 DO NOT TOUCH'!X401</f>
        <v>0</v>
      </c>
      <c r="Y400" s="81">
        <f>'2024 DO NOT TOUCH'!Y401</f>
        <v>0</v>
      </c>
    </row>
    <row r="401" spans="1:25" ht="19.5" customHeight="1">
      <c r="A401" s="58" t="str">
        <f>'2024 DO NOT TOUCH'!A402</f>
        <v>2399</v>
      </c>
      <c r="B401" s="59" t="str">
        <f>'2024 DO NOT TOUCH'!B402</f>
        <v>TLF</v>
      </c>
      <c r="C401" s="58" t="str">
        <f>'2024 DO NOT TOUCH'!C402</f>
        <v>AJ1903</v>
      </c>
      <c r="D401" s="59" t="str">
        <f>'2024 DO NOT TOUCH'!D402</f>
        <v>FEBCO</v>
      </c>
      <c r="E401" s="58" t="str">
        <f>'2024 DO NOT TOUCH'!E402</f>
        <v>825Y</v>
      </c>
      <c r="F401" s="59" t="str">
        <f>'2024 DO NOT TOUCH'!F402</f>
        <v>RP</v>
      </c>
      <c r="G401" s="58" t="str">
        <f>'2024 DO NOT TOUCH'!G402</f>
        <v>2.0</v>
      </c>
      <c r="H401" s="59" t="str">
        <f>'2024 DO NOT TOUCH'!H402</f>
        <v>MECH RM IN BASEMENT</v>
      </c>
      <c r="I401" s="58" t="str">
        <f>'2024 DO NOT TOUCH'!I402</f>
        <v>PREMISE</v>
      </c>
      <c r="J401" s="59" t="str">
        <f>'2024 DO NOT TOUCH'!J402</f>
        <v>PREMISE</v>
      </c>
      <c r="K401" s="58" t="str">
        <f>'2024 DO NOT TOUCH'!K402</f>
        <v>ACTIVE</v>
      </c>
      <c r="L401" s="71">
        <f>'2024 DO NOT TOUCH'!L402</f>
        <v>44621</v>
      </c>
      <c r="M401" s="58" t="b">
        <f>'2024 DO NOT TOUCH'!M402</f>
        <v>0</v>
      </c>
      <c r="N401" s="59">
        <f>'2024 DO NOT TOUCH'!N402</f>
        <v>45314</v>
      </c>
      <c r="O401" s="58" t="str">
        <f>'2024 DO NOT TOUCH'!O402</f>
        <v>LARIOS</v>
      </c>
      <c r="P401" s="65">
        <f>'2024 DO NOT TOUCH'!P402</f>
        <v>7</v>
      </c>
      <c r="Q401" s="65">
        <f>'2024 DO NOT TOUCH'!Q402</f>
        <v>0</v>
      </c>
      <c r="R401" s="65">
        <f>'2024 DO NOT TOUCH'!R402</f>
        <v>2.2000000000000002</v>
      </c>
      <c r="S401" s="62" t="str">
        <f>'2024 DO NOT TOUCH'!S402</f>
        <v>TESTED</v>
      </c>
      <c r="T401" s="62" t="str">
        <f>'2024 DO NOT TOUCH'!T402</f>
        <v>PASSED</v>
      </c>
      <c r="U401" s="62">
        <f>'2024 DO NOT TOUCH'!U402</f>
        <v>0</v>
      </c>
      <c r="V401" s="62">
        <f>'2024 DO NOT TOUCH'!V402</f>
        <v>0</v>
      </c>
      <c r="W401" s="62">
        <f>'2024 DO NOT TOUCH'!W402</f>
        <v>0</v>
      </c>
      <c r="X401" s="65">
        <f>'2024 DO NOT TOUCH'!X402</f>
        <v>0</v>
      </c>
      <c r="Y401" s="62">
        <f>'2024 DO NOT TOUCH'!Y402</f>
        <v>0</v>
      </c>
    </row>
    <row r="402" spans="1:25" ht="19.5" customHeight="1">
      <c r="A402" s="77" t="str">
        <f>'2024 DO NOT TOUCH'!A403</f>
        <v>2411</v>
      </c>
      <c r="B402" s="78" t="str">
        <f>'2024 DO NOT TOUCH'!B403</f>
        <v>HAZMAT PHARMACY</v>
      </c>
      <c r="C402" s="77" t="str">
        <f>'2024 DO NOT TOUCH'!C403</f>
        <v>N3921</v>
      </c>
      <c r="D402" s="78" t="str">
        <f>'2024 DO NOT TOUCH'!D403</f>
        <v>APOLLO</v>
      </c>
      <c r="E402" s="77" t="str">
        <f>'2024 DO NOT TOUCH'!E403</f>
        <v>4020E03</v>
      </c>
      <c r="F402" s="78" t="str">
        <f>'2024 DO NOT TOUCH'!F403</f>
        <v>RP</v>
      </c>
      <c r="G402" s="77" t="str">
        <f>'2024 DO NOT TOUCH'!G403</f>
        <v>8.0</v>
      </c>
      <c r="H402" s="78" t="str">
        <f>'2024 DO NOT TOUCH'!H403</f>
        <v>MECH RM ON FIRE SYS</v>
      </c>
      <c r="I402" s="77" t="str">
        <f>'2024 DO NOT TOUCH'!I403</f>
        <v>PREMISE</v>
      </c>
      <c r="J402" s="78" t="str">
        <f>'2024 DO NOT TOUCH'!J403</f>
        <v>FIRE</v>
      </c>
      <c r="K402" s="77" t="str">
        <f>'2024 DO NOT TOUCH'!K403</f>
        <v>ACTIVE</v>
      </c>
      <c r="L402" s="79">
        <f>'2024 DO NOT TOUCH'!L403</f>
        <v>44621</v>
      </c>
      <c r="M402" s="77" t="b">
        <f>'2024 DO NOT TOUCH'!M403</f>
        <v>0</v>
      </c>
      <c r="N402" s="78">
        <f>'2024 DO NOT TOUCH'!N403</f>
        <v>45351</v>
      </c>
      <c r="O402" s="77" t="str">
        <f>'2024 DO NOT TOUCH'!O403</f>
        <v>PARK</v>
      </c>
      <c r="P402" s="80">
        <f>'2024 DO NOT TOUCH'!P403</f>
        <v>6</v>
      </c>
      <c r="Q402" s="80">
        <f>'2024 DO NOT TOUCH'!Q403</f>
        <v>0</v>
      </c>
      <c r="R402" s="80">
        <f>'2024 DO NOT TOUCH'!R403</f>
        <v>2.8</v>
      </c>
      <c r="S402" s="81" t="str">
        <f>'2024 DO NOT TOUCH'!S403</f>
        <v>TESTED</v>
      </c>
      <c r="T402" s="81" t="str">
        <f>'2024 DO NOT TOUCH'!T403</f>
        <v>PASSED</v>
      </c>
      <c r="U402" s="81">
        <f>'2024 DO NOT TOUCH'!U403</f>
        <v>0</v>
      </c>
      <c r="V402" s="81">
        <f>'2024 DO NOT TOUCH'!V403</f>
        <v>0</v>
      </c>
      <c r="W402" s="81">
        <f>'2024 DO NOT TOUCH'!W403</f>
        <v>0</v>
      </c>
      <c r="X402" s="80">
        <f>'2024 DO NOT TOUCH'!X403</f>
        <v>0</v>
      </c>
      <c r="Y402" s="81">
        <f>'2024 DO NOT TOUCH'!Y403</f>
        <v>0</v>
      </c>
    </row>
    <row r="403" spans="1:25" ht="19.5" customHeight="1">
      <c r="A403" s="58" t="str">
        <f>'2024 DO NOT TOUCH'!A404</f>
        <v>2411</v>
      </c>
      <c r="B403" s="59" t="str">
        <f>'2024 DO NOT TOUCH'!B404</f>
        <v>Hazmat Pharmacy</v>
      </c>
      <c r="C403" s="58" t="str">
        <f>'2024 DO NOT TOUCH'!C404</f>
        <v>3105740XLTCU</v>
      </c>
      <c r="D403" s="59" t="str">
        <f>'2024 DO NOT TOUCH'!D404</f>
        <v>WILKINS</v>
      </c>
      <c r="E403" s="58" t="str">
        <f>'2024 DO NOT TOUCH'!E404</f>
        <v>975XL</v>
      </c>
      <c r="F403" s="59" t="str">
        <f>'2024 DO NOT TOUCH'!F404</f>
        <v>RP</v>
      </c>
      <c r="G403" s="58" t="str">
        <f>'2024 DO NOT TOUCH'!G404</f>
        <v>0.75</v>
      </c>
      <c r="H403" s="59" t="str">
        <f>'2024 DO NOT TOUCH'!H404</f>
        <v>Mech Room</v>
      </c>
      <c r="I403" s="58" t="str">
        <f>'2024 DO NOT TOUCH'!I404</f>
        <v>INPREMISE</v>
      </c>
      <c r="J403" s="59" t="str">
        <f>'2024 DO NOT TOUCH'!J404</f>
        <v>AOI</v>
      </c>
      <c r="K403" s="58" t="str">
        <f>'2024 DO NOT TOUCH'!K404</f>
        <v>ACTIVE</v>
      </c>
      <c r="L403" s="71">
        <f>'2024 DO NOT TOUCH'!L404</f>
        <v>44622</v>
      </c>
      <c r="M403" s="58" t="b">
        <f>'2024 DO NOT TOUCH'!M404</f>
        <v>0</v>
      </c>
      <c r="N403" s="59">
        <f>'2024 DO NOT TOUCH'!N404</f>
        <v>45351</v>
      </c>
      <c r="O403" s="58" t="str">
        <f>'2024 DO NOT TOUCH'!O404</f>
        <v>PARK</v>
      </c>
      <c r="P403" s="67">
        <f>'2024 DO NOT TOUCH'!P404</f>
        <v>7.4</v>
      </c>
      <c r="Q403" s="67">
        <f>'2024 DO NOT TOUCH'!Q404</f>
        <v>0</v>
      </c>
      <c r="R403" s="67">
        <f>'2024 DO NOT TOUCH'!R404</f>
        <v>4</v>
      </c>
      <c r="S403" s="58" t="str">
        <f>'2024 DO NOT TOUCH'!S404</f>
        <v>TESTED</v>
      </c>
      <c r="T403" s="58" t="str">
        <f>'2024 DO NOT TOUCH'!T404</f>
        <v>PASSED</v>
      </c>
      <c r="U403" s="58">
        <f>'2024 DO NOT TOUCH'!U404</f>
        <v>0</v>
      </c>
      <c r="V403" s="58">
        <f>'2024 DO NOT TOUCH'!V404</f>
        <v>0</v>
      </c>
      <c r="W403" s="58">
        <f>'2024 DO NOT TOUCH'!W404</f>
        <v>0</v>
      </c>
      <c r="X403" s="67">
        <f>'2024 DO NOT TOUCH'!X404</f>
        <v>0</v>
      </c>
      <c r="Y403" s="58">
        <f>'2024 DO NOT TOUCH'!Y404</f>
        <v>0</v>
      </c>
    </row>
    <row r="404" spans="1:25" ht="19.5" customHeight="1">
      <c r="A404" s="77" t="str">
        <f>'2024 DO NOT TOUCH'!A405</f>
        <v>2415</v>
      </c>
      <c r="B404" s="78" t="str">
        <f>'2024 DO NOT TOUCH'!B405</f>
        <v>ENTOMOLOGY</v>
      </c>
      <c r="C404" s="77" t="str">
        <f>'2024 DO NOT TOUCH'!C405</f>
        <v>66868</v>
      </c>
      <c r="D404" s="78" t="str">
        <f>'2024 DO NOT TOUCH'!D405</f>
        <v>WATTS</v>
      </c>
      <c r="E404" s="77" t="str">
        <f>'2024 DO NOT TOUCH'!E405</f>
        <v>007M-QY</v>
      </c>
      <c r="F404" s="78" t="str">
        <f>'2024 DO NOT TOUCH'!F405</f>
        <v>DC</v>
      </c>
      <c r="G404" s="77" t="str">
        <f>'2024 DO NOT TOUCH'!G405</f>
        <v>1.0</v>
      </c>
      <c r="H404" s="78" t="str">
        <f>'2024 DO NOT TOUCH'!H405</f>
        <v>Mech Room</v>
      </c>
      <c r="I404" s="77" t="str">
        <f>'2024 DO NOT TOUCH'!I405</f>
        <v>PREMISE</v>
      </c>
      <c r="J404" s="78" t="str">
        <f>'2024 DO NOT TOUCH'!J405</f>
        <v>PREMISE</v>
      </c>
      <c r="K404" s="77" t="str">
        <f>'2024 DO NOT TOUCH'!K405</f>
        <v>ACTIVE</v>
      </c>
      <c r="L404" s="79">
        <f>'2024 DO NOT TOUCH'!L405</f>
        <v>44621</v>
      </c>
      <c r="M404" s="77" t="b">
        <f>'2024 DO NOT TOUCH'!M405</f>
        <v>0</v>
      </c>
      <c r="N404" s="78">
        <f>'2024 DO NOT TOUCH'!N405</f>
        <v>45351</v>
      </c>
      <c r="O404" s="77" t="str">
        <f>'2024 DO NOT TOUCH'!O405</f>
        <v>HAVERON</v>
      </c>
      <c r="P404" s="83">
        <f>'2024 DO NOT TOUCH'!P405</f>
        <v>2.4</v>
      </c>
      <c r="Q404" s="83">
        <f>'2024 DO NOT TOUCH'!Q405</f>
        <v>2.2000000000000002</v>
      </c>
      <c r="R404" s="83">
        <f>'2024 DO NOT TOUCH'!R405</f>
        <v>0</v>
      </c>
      <c r="S404" s="77" t="str">
        <f>'2024 DO NOT TOUCH'!S405</f>
        <v>TESTED</v>
      </c>
      <c r="T404" s="77" t="str">
        <f>'2024 DO NOT TOUCH'!T405</f>
        <v>PASSED</v>
      </c>
      <c r="U404" s="77">
        <f>'2024 DO NOT TOUCH'!U405</f>
        <v>0</v>
      </c>
      <c r="V404" s="77">
        <f>'2024 DO NOT TOUCH'!V405</f>
        <v>0</v>
      </c>
      <c r="W404" s="77">
        <f>'2024 DO NOT TOUCH'!W405</f>
        <v>0</v>
      </c>
      <c r="X404" s="83">
        <f>'2024 DO NOT TOUCH'!X405</f>
        <v>0</v>
      </c>
      <c r="Y404" s="77">
        <f>'2024 DO NOT TOUCH'!Y405</f>
        <v>0</v>
      </c>
    </row>
    <row r="405" spans="1:25" ht="19.5" customHeight="1">
      <c r="A405" s="58" t="str">
        <f>'2024 DO NOT TOUCH'!A406</f>
        <v>2417</v>
      </c>
      <c r="B405" s="59" t="str">
        <f>'2024 DO NOT TOUCH'!B406</f>
        <v>BULK STORAGE OFFICES</v>
      </c>
      <c r="C405" s="58" t="str">
        <f>'2024 DO NOT TOUCH'!C406</f>
        <v>HB-750</v>
      </c>
      <c r="D405" s="59" t="str">
        <f>'2024 DO NOT TOUCH'!D406</f>
        <v>AMES</v>
      </c>
      <c r="E405" s="58" t="str">
        <f>'2024 DO NOT TOUCH'!E406</f>
        <v>COLT 200</v>
      </c>
      <c r="F405" s="59" t="str">
        <f>'2024 DO NOT TOUCH'!F406</f>
        <v>DC</v>
      </c>
      <c r="G405" s="58" t="str">
        <f>'2024 DO NOT TOUCH'!G406</f>
        <v>2.5</v>
      </c>
      <c r="H405" s="59" t="str">
        <f>'2024 DO NOT TOUCH'!H406</f>
        <v>MECH RM FIRE SYS</v>
      </c>
      <c r="I405" s="58" t="str">
        <f>'2024 DO NOT TOUCH'!I406</f>
        <v>PREMISE</v>
      </c>
      <c r="J405" s="59" t="str">
        <f>'2024 DO NOT TOUCH'!J406</f>
        <v>FIRE</v>
      </c>
      <c r="K405" s="58" t="str">
        <f>'2024 DO NOT TOUCH'!K406</f>
        <v>ACTIVE</v>
      </c>
      <c r="L405" s="71">
        <f>'2024 DO NOT TOUCH'!L406</f>
        <v>44600</v>
      </c>
      <c r="M405" s="58" t="b">
        <f>'2024 DO NOT TOUCH'!M406</f>
        <v>0</v>
      </c>
      <c r="N405" s="59">
        <f>'2024 DO NOT TOUCH'!N406</f>
        <v>0</v>
      </c>
      <c r="O405" s="58">
        <f>'2024 DO NOT TOUCH'!O406</f>
        <v>0</v>
      </c>
      <c r="P405" s="65">
        <f>'2024 DO NOT TOUCH'!P406</f>
        <v>0</v>
      </c>
      <c r="Q405" s="65">
        <f>'2024 DO NOT TOUCH'!Q406</f>
        <v>0</v>
      </c>
      <c r="R405" s="65">
        <f>'2024 DO NOT TOUCH'!R406</f>
        <v>0</v>
      </c>
      <c r="S405" s="62" t="str">
        <f>'2024 DO NOT TOUCH'!S406</f>
        <v>TESTED</v>
      </c>
      <c r="T405" s="62" t="str">
        <f>'2024 DO NOT TOUCH'!T406</f>
        <v>PASSED</v>
      </c>
      <c r="U405" s="62">
        <f>'2024 DO NOT TOUCH'!U406</f>
        <v>0</v>
      </c>
      <c r="V405" s="62">
        <f>'2024 DO NOT TOUCH'!V406</f>
        <v>0</v>
      </c>
      <c r="W405" s="62">
        <f>'2024 DO NOT TOUCH'!W406</f>
        <v>0</v>
      </c>
      <c r="X405" s="65">
        <f>'2024 DO NOT TOUCH'!X406</f>
        <v>0</v>
      </c>
      <c r="Y405" s="62">
        <f>'2024 DO NOT TOUCH'!Y406</f>
        <v>0</v>
      </c>
    </row>
    <row r="406" spans="1:25" ht="19.5" customHeight="1">
      <c r="A406" s="55" t="str">
        <f>'2024 DO NOT TOUCH'!A407</f>
        <v>2417</v>
      </c>
      <c r="B406" s="3" t="str">
        <f>'2024 DO NOT TOUCH'!B407</f>
        <v>BULK STORAGE OFFICES</v>
      </c>
      <c r="C406" s="55" t="str">
        <f>'2024 DO NOT TOUCH'!C407</f>
        <v>3128074XLTC</v>
      </c>
      <c r="D406" s="3" t="str">
        <f>'2024 DO NOT TOUCH'!D407</f>
        <v>WILKINS</v>
      </c>
      <c r="E406" s="55" t="str">
        <f>'2024 DO NOT TOUCH'!E407</f>
        <v>975XLTCU</v>
      </c>
      <c r="F406" s="3" t="str">
        <f>'2024 DO NOT TOUCH'!F407</f>
        <v>RP</v>
      </c>
      <c r="G406" s="55" t="str">
        <f>'2024 DO NOT TOUCH'!G407</f>
        <v>2.0</v>
      </c>
      <c r="H406" s="3" t="str">
        <f>'2024 DO NOT TOUCH'!H407</f>
        <v>MECH RM PREMISE</v>
      </c>
      <c r="I406" s="55" t="str">
        <f>'2024 DO NOT TOUCH'!I407</f>
        <v>PREMISE</v>
      </c>
      <c r="J406" s="3" t="str">
        <f>'2024 DO NOT TOUCH'!J407</f>
        <v>PREMISE</v>
      </c>
      <c r="K406" s="55" t="str">
        <f>'2024 DO NOT TOUCH'!K407</f>
        <v>ACTIVE</v>
      </c>
      <c r="L406" s="72">
        <f>'2024 DO NOT TOUCH'!L407</f>
        <v>44600</v>
      </c>
      <c r="M406" s="55" t="b">
        <f>'2024 DO NOT TOUCH'!M407</f>
        <v>0</v>
      </c>
      <c r="N406" s="3">
        <f>'2024 DO NOT TOUCH'!N407</f>
        <v>0</v>
      </c>
      <c r="O406" s="55">
        <f>'2024 DO NOT TOUCH'!O407</f>
        <v>0</v>
      </c>
      <c r="P406" s="64">
        <f>'2024 DO NOT TOUCH'!P407</f>
        <v>0</v>
      </c>
      <c r="Q406" s="64">
        <f>'2024 DO NOT TOUCH'!Q407</f>
        <v>0</v>
      </c>
      <c r="R406" s="64">
        <f>'2024 DO NOT TOUCH'!R407</f>
        <v>0</v>
      </c>
      <c r="S406" s="57" t="str">
        <f>'2024 DO NOT TOUCH'!S407</f>
        <v>TESTED</v>
      </c>
      <c r="T406" s="57" t="str">
        <f>'2024 DO NOT TOUCH'!T407</f>
        <v>PASSED</v>
      </c>
      <c r="U406" s="57">
        <f>'2024 DO NOT TOUCH'!U407</f>
        <v>0</v>
      </c>
      <c r="V406" s="57">
        <f>'2024 DO NOT TOUCH'!V407</f>
        <v>0</v>
      </c>
      <c r="W406" s="57">
        <f>'2024 DO NOT TOUCH'!W407</f>
        <v>0</v>
      </c>
      <c r="X406" s="64">
        <f>'2024 DO NOT TOUCH'!X407</f>
        <v>0</v>
      </c>
      <c r="Y406" s="57">
        <f>'2024 DO NOT TOUCH'!Y407</f>
        <v>0</v>
      </c>
    </row>
    <row r="407" spans="1:25" ht="19.5" customHeight="1">
      <c r="A407" s="58" t="str">
        <f>'2024 DO NOT TOUCH'!A408</f>
        <v>2426</v>
      </c>
      <c r="B407" s="59" t="str">
        <f>'2024 DO NOT TOUCH'!B408</f>
        <v>K9 KENNEL</v>
      </c>
      <c r="C407" s="58" t="str">
        <f>'2024 DO NOT TOUCH'!C408</f>
        <v>B150445</v>
      </c>
      <c r="D407" s="59" t="str">
        <f>'2024 DO NOT TOUCH'!D408</f>
        <v>WILKINS</v>
      </c>
      <c r="E407" s="58" t="str">
        <f>'2024 DO NOT TOUCH'!E408</f>
        <v>375XL</v>
      </c>
      <c r="F407" s="59" t="str">
        <f>'2024 DO NOT TOUCH'!F408</f>
        <v>RP</v>
      </c>
      <c r="G407" s="58" t="str">
        <f>'2024 DO NOT TOUCH'!G408</f>
        <v>0.5</v>
      </c>
      <c r="H407" s="59" t="str">
        <f>'2024 DO NOT TOUCH'!H408</f>
        <v xml:space="preserve">MECH RM </v>
      </c>
      <c r="I407" s="58" t="str">
        <f>'2024 DO NOT TOUCH'!I408</f>
        <v>INPREMISE</v>
      </c>
      <c r="J407" s="59" t="str">
        <f>'2024 DO NOT TOUCH'!J408</f>
        <v>AOI</v>
      </c>
      <c r="K407" s="58" t="str">
        <f>'2024 DO NOT TOUCH'!K408</f>
        <v>ACTIVE</v>
      </c>
      <c r="L407" s="71">
        <f>'2024 DO NOT TOUCH'!L408</f>
        <v>44704</v>
      </c>
      <c r="M407" s="58" t="b">
        <f>'2024 DO NOT TOUCH'!M408</f>
        <v>0</v>
      </c>
      <c r="N407" s="59">
        <f>'2024 DO NOT TOUCH'!N408</f>
        <v>45443</v>
      </c>
      <c r="O407" s="58" t="str">
        <f>'2024 DO NOT TOUCH'!O408</f>
        <v>REED</v>
      </c>
      <c r="P407" s="65">
        <f>'2024 DO NOT TOUCH'!P408</f>
        <v>6.8</v>
      </c>
      <c r="Q407" s="65">
        <f>'2024 DO NOT TOUCH'!Q408</f>
        <v>0</v>
      </c>
      <c r="R407" s="65">
        <f>'2024 DO NOT TOUCH'!R408</f>
        <v>3.3</v>
      </c>
      <c r="S407" s="62" t="str">
        <f>'2024 DO NOT TOUCH'!S408</f>
        <v>TESTED</v>
      </c>
      <c r="T407" s="62" t="str">
        <f>'2024 DO NOT TOUCH'!T408</f>
        <v>PASSED</v>
      </c>
      <c r="U407" s="62">
        <f>'2024 DO NOT TOUCH'!U408</f>
        <v>0</v>
      </c>
      <c r="V407" s="62">
        <f>'2024 DO NOT TOUCH'!V408</f>
        <v>0</v>
      </c>
      <c r="W407" s="62">
        <f>'2024 DO NOT TOUCH'!W408</f>
        <v>0</v>
      </c>
      <c r="X407" s="65">
        <f>'2024 DO NOT TOUCH'!X408</f>
        <v>0</v>
      </c>
      <c r="Y407" s="62">
        <f>'2024 DO NOT TOUCH'!Y408</f>
        <v>0</v>
      </c>
    </row>
    <row r="408" spans="1:25" ht="19.5" customHeight="1">
      <c r="A408" s="55" t="str">
        <f>'2024 DO NOT TOUCH'!A409</f>
        <v>2426</v>
      </c>
      <c r="B408" s="55" t="str">
        <f>'2024 DO NOT TOUCH'!B409</f>
        <v>K9 KENNEL</v>
      </c>
      <c r="C408" s="55" t="str">
        <f>'2024 DO NOT TOUCH'!C409</f>
        <v>B091525</v>
      </c>
      <c r="D408" s="55" t="str">
        <f>'2024 DO NOT TOUCH'!D409</f>
        <v>WILKINS</v>
      </c>
      <c r="E408" s="55" t="str">
        <f>'2024 DO NOT TOUCH'!E409</f>
        <v>375XL</v>
      </c>
      <c r="F408" s="55" t="str">
        <f>'2024 DO NOT TOUCH'!F409</f>
        <v>RP</v>
      </c>
      <c r="G408" s="55" t="str">
        <f>'2024 DO NOT TOUCH'!G409</f>
        <v>2.0</v>
      </c>
      <c r="H408" s="55" t="str">
        <f>'2024 DO NOT TOUCH'!H409</f>
        <v>MECH RM</v>
      </c>
      <c r="I408" s="55" t="str">
        <f>'2024 DO NOT TOUCH'!I409</f>
        <v>PREMISE</v>
      </c>
      <c r="J408" s="55" t="str">
        <f>'2024 DO NOT TOUCH'!J409</f>
        <v>PREMISE</v>
      </c>
      <c r="K408" s="55" t="str">
        <f>'2024 DO NOT TOUCH'!K409</f>
        <v>ACTIVE</v>
      </c>
      <c r="L408" s="56">
        <f>'2024 DO NOT TOUCH'!L409</f>
        <v>44704</v>
      </c>
      <c r="M408" s="56" t="b">
        <f>'2024 DO NOT TOUCH'!M409</f>
        <v>0</v>
      </c>
      <c r="N408" s="56">
        <f>'2024 DO NOT TOUCH'!N409</f>
        <v>45443</v>
      </c>
      <c r="O408" s="55" t="str">
        <f>'2024 DO NOT TOUCH'!O409</f>
        <v>REED</v>
      </c>
      <c r="P408" s="64">
        <f>'2024 DO NOT TOUCH'!P409</f>
        <v>7.2</v>
      </c>
      <c r="Q408" s="64">
        <f>'2024 DO NOT TOUCH'!Q409</f>
        <v>0</v>
      </c>
      <c r="R408" s="64">
        <f>'2024 DO NOT TOUCH'!R409</f>
        <v>4</v>
      </c>
      <c r="S408" s="55" t="str">
        <f>'2024 DO NOT TOUCH'!S409</f>
        <v>TESTED</v>
      </c>
      <c r="T408" s="55" t="str">
        <f>'2024 DO NOT TOUCH'!T409</f>
        <v>PASSED</v>
      </c>
      <c r="U408" s="55">
        <f>'2024 DO NOT TOUCH'!U409</f>
        <v>0</v>
      </c>
      <c r="V408" s="55">
        <f>'2024 DO NOT TOUCH'!V409</f>
        <v>0</v>
      </c>
      <c r="W408" s="55">
        <f>'2024 DO NOT TOUCH'!W409</f>
        <v>0</v>
      </c>
      <c r="X408" s="66">
        <f>'2024 DO NOT TOUCH'!X409</f>
        <v>0</v>
      </c>
      <c r="Y408" s="55">
        <f>'2024 DO NOT TOUCH'!Y409</f>
        <v>0</v>
      </c>
    </row>
    <row r="409" spans="1:25" ht="19.5" customHeight="1">
      <c r="A409" s="58" t="str">
        <f>'2024 DO NOT TOUCH'!A410</f>
        <v>2426</v>
      </c>
      <c r="B409" s="59" t="str">
        <f>'2024 DO NOT TOUCH'!B410</f>
        <v>K9 KENNEL</v>
      </c>
      <c r="C409" s="58" t="str">
        <f>'2024 DO NOT TOUCH'!C410</f>
        <v>E2410</v>
      </c>
      <c r="D409" s="59" t="str">
        <f>'2024 DO NOT TOUCH'!D410</f>
        <v>DERINGER</v>
      </c>
      <c r="E409" s="58" t="str">
        <f>'2024 DO NOT TOUCH'!E410</f>
        <v>20</v>
      </c>
      <c r="F409" s="59" t="str">
        <f>'2024 DO NOT TOUCH'!F410</f>
        <v>DC</v>
      </c>
      <c r="G409" s="58" t="str">
        <f>'2024 DO NOT TOUCH'!G410</f>
        <v>4.0</v>
      </c>
      <c r="H409" s="59" t="str">
        <f>'2024 DO NOT TOUCH'!H410</f>
        <v>MECH RM KENNEL SIDE ON FIRE</v>
      </c>
      <c r="I409" s="58" t="str">
        <f>'2024 DO NOT TOUCH'!I410</f>
        <v>PREMISE</v>
      </c>
      <c r="J409" s="59" t="str">
        <f>'2024 DO NOT TOUCH'!J410</f>
        <v>FIRE</v>
      </c>
      <c r="K409" s="58" t="str">
        <f>'2024 DO NOT TOUCH'!K410</f>
        <v>ACTIVE</v>
      </c>
      <c r="L409" s="71">
        <f>'2024 DO NOT TOUCH'!L410</f>
        <v>44704</v>
      </c>
      <c r="M409" s="58" t="b">
        <f>'2024 DO NOT TOUCH'!M410</f>
        <v>0</v>
      </c>
      <c r="N409" s="59">
        <f>'2024 DO NOT TOUCH'!N410</f>
        <v>45443</v>
      </c>
      <c r="O409" s="58" t="str">
        <f>'2024 DO NOT TOUCH'!O410</f>
        <v>REED</v>
      </c>
      <c r="P409" s="65">
        <f>'2024 DO NOT TOUCH'!P410</f>
        <v>2.5</v>
      </c>
      <c r="Q409" s="65">
        <f>'2024 DO NOT TOUCH'!Q410</f>
        <v>1.4</v>
      </c>
      <c r="R409" s="65">
        <f>'2024 DO NOT TOUCH'!R410</f>
        <v>0</v>
      </c>
      <c r="S409" s="62" t="str">
        <f>'2024 DO NOT TOUCH'!S410</f>
        <v>TESTED</v>
      </c>
      <c r="T409" s="62" t="str">
        <f>'2024 DO NOT TOUCH'!T410</f>
        <v>PASSED</v>
      </c>
      <c r="U409" s="62">
        <f>'2024 DO NOT TOUCH'!U410</f>
        <v>0</v>
      </c>
      <c r="V409" s="62">
        <f>'2024 DO NOT TOUCH'!V410</f>
        <v>0</v>
      </c>
      <c r="W409" s="62">
        <f>'2024 DO NOT TOUCH'!W410</f>
        <v>0</v>
      </c>
      <c r="X409" s="65">
        <f>'2024 DO NOT TOUCH'!X410</f>
        <v>0</v>
      </c>
      <c r="Y409" s="62">
        <f>'2024 DO NOT TOUCH'!Y410</f>
        <v>0</v>
      </c>
    </row>
    <row r="410" spans="1:25" ht="19.5" customHeight="1">
      <c r="A410" s="55" t="str">
        <f>'2024 DO NOT TOUCH'!A411</f>
        <v>2426</v>
      </c>
      <c r="B410" s="3" t="str">
        <f>'2024 DO NOT TOUCH'!B411</f>
        <v>K9 KENNEL</v>
      </c>
      <c r="C410" s="55" t="str">
        <f>'2024 DO NOT TOUCH'!C411</f>
        <v>1945059</v>
      </c>
      <c r="D410" s="3" t="str">
        <f>'2024 DO NOT TOUCH'!D411</f>
        <v>WILKINS</v>
      </c>
      <c r="E410" s="55" t="str">
        <f>'2024 DO NOT TOUCH'!E411</f>
        <v>950XL</v>
      </c>
      <c r="F410" s="3" t="str">
        <f>'2024 DO NOT TOUCH'!F411</f>
        <v>DC</v>
      </c>
      <c r="G410" s="55" t="str">
        <f>'2024 DO NOT TOUCH'!G411</f>
        <v>2.0</v>
      </c>
      <c r="H410" s="3" t="str">
        <f>'2024 DO NOT TOUCH'!H411</f>
        <v>IRRIGATION IN MIDDLE OF FIELD</v>
      </c>
      <c r="I410" s="55" t="str">
        <f>'2024 DO NOT TOUCH'!I411</f>
        <v>PREMISE</v>
      </c>
      <c r="J410" s="3" t="str">
        <f>'2024 DO NOT TOUCH'!J411</f>
        <v>IRR</v>
      </c>
      <c r="K410" s="55" t="str">
        <f>'2024 DO NOT TOUCH'!K411</f>
        <v>INACTIVE</v>
      </c>
      <c r="L410" s="72">
        <f>'2024 DO NOT TOUCH'!L411</f>
        <v>44704</v>
      </c>
      <c r="M410" s="55" t="b">
        <f>'2024 DO NOT TOUCH'!M411</f>
        <v>0</v>
      </c>
      <c r="N410" s="3">
        <f>'2024 DO NOT TOUCH'!N411</f>
        <v>45443</v>
      </c>
      <c r="O410" s="55" t="str">
        <f>'2024 DO NOT TOUCH'!O411</f>
        <v>REED</v>
      </c>
      <c r="P410" s="64">
        <f>'2024 DO NOT TOUCH'!P411</f>
        <v>1.8</v>
      </c>
      <c r="Q410" s="64">
        <f>'2024 DO NOT TOUCH'!Q411</f>
        <v>2</v>
      </c>
      <c r="R410" s="64">
        <f>'2024 DO NOT TOUCH'!R411</f>
        <v>0</v>
      </c>
      <c r="S410" s="57" t="str">
        <f>'2024 DO NOT TOUCH'!S411</f>
        <v>TESTED</v>
      </c>
      <c r="T410" s="57" t="str">
        <f>'2024 DO NOT TOUCH'!T411</f>
        <v>PASSED</v>
      </c>
      <c r="U410" s="57">
        <f>'2024 DO NOT TOUCH'!U411</f>
        <v>0</v>
      </c>
      <c r="V410" s="57">
        <f>'2024 DO NOT TOUCH'!V411</f>
        <v>0</v>
      </c>
      <c r="W410" s="57">
        <f>'2024 DO NOT TOUCH'!W411</f>
        <v>0</v>
      </c>
      <c r="X410" s="64">
        <f>'2024 DO NOT TOUCH'!X411</f>
        <v>0</v>
      </c>
      <c r="Y410" s="57">
        <f>'2024 DO NOT TOUCH'!Y411</f>
        <v>0</v>
      </c>
    </row>
    <row r="411" spans="1:25" ht="19.5" customHeight="1">
      <c r="A411" s="58" t="str">
        <f>'2024 DO NOT TOUCH'!A412</f>
        <v>2426</v>
      </c>
      <c r="B411" s="59" t="str">
        <f>'2024 DO NOT TOUCH'!B412</f>
        <v>K9 KENNEL</v>
      </c>
      <c r="C411" s="58" t="str">
        <f>'2024 DO NOT TOUCH'!C412</f>
        <v>25640372</v>
      </c>
      <c r="D411" s="59" t="str">
        <f>'2024 DO NOT TOUCH'!D412</f>
        <v>WILKINS</v>
      </c>
      <c r="E411" s="58" t="str">
        <f>'2024 DO NOT TOUCH'!E412</f>
        <v>950XLT</v>
      </c>
      <c r="F411" s="59" t="str">
        <f>'2024 DO NOT TOUCH'!F412</f>
        <v>DC</v>
      </c>
      <c r="G411" s="58" t="str">
        <f>'2024 DO NOT TOUCH'!G412</f>
        <v>2.0</v>
      </c>
      <c r="H411" s="59" t="str">
        <f>'2024 DO NOT TOUCH'!H412</f>
        <v>IN PIT NEXT TO BOOSTER PUMP</v>
      </c>
      <c r="I411" s="58" t="str">
        <f>'2024 DO NOT TOUCH'!I412</f>
        <v>PREMISE</v>
      </c>
      <c r="J411" s="59" t="str">
        <f>'2024 DO NOT TOUCH'!J412</f>
        <v>IRR</v>
      </c>
      <c r="K411" s="58" t="str">
        <f>'2024 DO NOT TOUCH'!K412</f>
        <v>ACTIVE</v>
      </c>
      <c r="L411" s="71">
        <f>'2024 DO NOT TOUCH'!L412</f>
        <v>44704</v>
      </c>
      <c r="M411" s="58" t="b">
        <f>'2024 DO NOT TOUCH'!M412</f>
        <v>0</v>
      </c>
      <c r="N411" s="59">
        <f>'2024 DO NOT TOUCH'!N412</f>
        <v>0</v>
      </c>
      <c r="O411" s="58">
        <f>'2024 DO NOT TOUCH'!O412</f>
        <v>0</v>
      </c>
      <c r="P411" s="65">
        <f>'2024 DO NOT TOUCH'!P412</f>
        <v>0</v>
      </c>
      <c r="Q411" s="65">
        <f>'2024 DO NOT TOUCH'!Q412</f>
        <v>0</v>
      </c>
      <c r="R411" s="65">
        <f>'2024 DO NOT TOUCH'!R412</f>
        <v>0</v>
      </c>
      <c r="S411" s="62" t="str">
        <f>'2024 DO NOT TOUCH'!S412</f>
        <v>UNTESTED</v>
      </c>
      <c r="T411" s="62">
        <f>'2024 DO NOT TOUCH'!T412</f>
        <v>0</v>
      </c>
      <c r="U411" s="62">
        <f>'2024 DO NOT TOUCH'!U412</f>
        <v>0</v>
      </c>
      <c r="V411" s="62">
        <f>'2024 DO NOT TOUCH'!V412</f>
        <v>0</v>
      </c>
      <c r="W411" s="62">
        <f>'2024 DO NOT TOUCH'!W412</f>
        <v>0</v>
      </c>
      <c r="X411" s="65">
        <f>'2024 DO NOT TOUCH'!X412</f>
        <v>0</v>
      </c>
      <c r="Y411" s="62">
        <f>'2024 DO NOT TOUCH'!Y412</f>
        <v>0</v>
      </c>
    </row>
    <row r="412" spans="1:25" ht="19.5" customHeight="1">
      <c r="A412" s="55" t="str">
        <f>'2024 DO NOT TOUCH'!A413</f>
        <v>2426</v>
      </c>
      <c r="B412" s="3" t="str">
        <f>'2024 DO NOT TOUCH'!B413</f>
        <v>K9 KENNEL</v>
      </c>
      <c r="C412" s="55" t="str">
        <f>'2024 DO NOT TOUCH'!C413</f>
        <v>B47864C</v>
      </c>
      <c r="D412" s="3" t="str">
        <f>'2024 DO NOT TOUCH'!D413</f>
        <v>WILKINS</v>
      </c>
      <c r="E412" s="55" t="str">
        <f>'2024 DO NOT TOUCH'!E413</f>
        <v>350XL</v>
      </c>
      <c r="F412" s="3" t="str">
        <f>'2024 DO NOT TOUCH'!F413</f>
        <v>DC</v>
      </c>
      <c r="G412" s="55" t="str">
        <f>'2024 DO NOT TOUCH'!G413</f>
        <v>2.0</v>
      </c>
      <c r="H412" s="3" t="str">
        <f>'2024 DO NOT TOUCH'!H413</f>
        <v>IN PIT NEXT TO BOOSTER PUMP</v>
      </c>
      <c r="I412" s="55" t="str">
        <f>'2024 DO NOT TOUCH'!I413</f>
        <v>PREMISE</v>
      </c>
      <c r="J412" s="3" t="str">
        <f>'2024 DO NOT TOUCH'!J413</f>
        <v>IRR</v>
      </c>
      <c r="K412" s="55" t="str">
        <f>'2024 DO NOT TOUCH'!K413</f>
        <v>ACTIVE</v>
      </c>
      <c r="L412" s="72">
        <f>'2024 DO NOT TOUCH'!L413</f>
        <v>44704</v>
      </c>
      <c r="M412" s="55" t="b">
        <f>'2024 DO NOT TOUCH'!M413</f>
        <v>0</v>
      </c>
      <c r="N412" s="3">
        <f>'2024 DO NOT TOUCH'!N413</f>
        <v>45427</v>
      </c>
      <c r="O412" s="55" t="str">
        <f>'2024 DO NOT TOUCH'!O413</f>
        <v>PARK</v>
      </c>
      <c r="P412" s="66">
        <f>'2024 DO NOT TOUCH'!P413</f>
        <v>0</v>
      </c>
      <c r="Q412" s="66">
        <f>'2024 DO NOT TOUCH'!Q413</f>
        <v>0</v>
      </c>
      <c r="R412" s="66">
        <f>'2024 DO NOT TOUCH'!R413</f>
        <v>0</v>
      </c>
      <c r="S412" s="55" t="str">
        <f>'2024 DO NOT TOUCH'!S413</f>
        <v>UNTESTED</v>
      </c>
      <c r="T412" s="55">
        <f>'2024 DO NOT TOUCH'!T413</f>
        <v>0</v>
      </c>
      <c r="U412" s="55">
        <f>'2024 DO NOT TOUCH'!U413</f>
        <v>0</v>
      </c>
      <c r="V412" s="55">
        <f>'2024 DO NOT TOUCH'!V413</f>
        <v>0</v>
      </c>
      <c r="W412" s="55">
        <f>'2024 DO NOT TOUCH'!W413</f>
        <v>0</v>
      </c>
      <c r="X412" s="66">
        <f>'2024 DO NOT TOUCH'!X413</f>
        <v>0</v>
      </c>
      <c r="Y412" s="55">
        <f>'2024 DO NOT TOUCH'!Y413</f>
        <v>0</v>
      </c>
    </row>
    <row r="413" spans="1:25" ht="19.5" customHeight="1">
      <c r="A413" s="58" t="str">
        <f>'2024 DO NOT TOUCH'!A414</f>
        <v>2426</v>
      </c>
      <c r="B413" s="59" t="str">
        <f>'2024 DO NOT TOUCH'!B414</f>
        <v>K9 KENNEL</v>
      </c>
      <c r="C413" s="58" t="str">
        <f>'2024 DO NOT TOUCH'!C414</f>
        <v>B331109</v>
      </c>
      <c r="D413" s="59" t="str">
        <f>'2024 DO NOT TOUCH'!D414</f>
        <v>WILKINS</v>
      </c>
      <c r="E413" s="58" t="str">
        <f>'2024 DO NOT TOUCH'!E414</f>
        <v>720A</v>
      </c>
      <c r="F413" s="59" t="str">
        <f>'2024 DO NOT TOUCH'!F414</f>
        <v>PVB</v>
      </c>
      <c r="G413" s="58" t="str">
        <f>'2024 DO NOT TOUCH'!G414</f>
        <v>0.75</v>
      </c>
      <c r="H413" s="59" t="str">
        <f>'2024 DO NOT TOUCH'!H414</f>
        <v>DOG KENNELS</v>
      </c>
      <c r="I413" s="58" t="str">
        <f>'2024 DO NOT TOUCH'!I414</f>
        <v>INPREMISE</v>
      </c>
      <c r="J413" s="59" t="str">
        <f>'2024 DO NOT TOUCH'!J414</f>
        <v>AOI</v>
      </c>
      <c r="K413" s="58" t="str">
        <f>'2024 DO NOT TOUCH'!K414</f>
        <v>ACTIVE</v>
      </c>
      <c r="L413" s="71">
        <f>'2024 DO NOT TOUCH'!L414</f>
        <v>44704</v>
      </c>
      <c r="M413" s="58" t="b">
        <f>'2024 DO NOT TOUCH'!M414</f>
        <v>0</v>
      </c>
      <c r="N413" s="59">
        <f>'2024 DO NOT TOUCH'!N414</f>
        <v>45443</v>
      </c>
      <c r="O413" s="58" t="e">
        <f>'2024 DO NOT TOUCH'!#REF!</f>
        <v>#REF!</v>
      </c>
      <c r="P413" s="67" t="str">
        <f>'2024 DO NOT TOUCH'!O414</f>
        <v>REED</v>
      </c>
      <c r="Q413" s="67">
        <f>'2024 DO NOT TOUCH'!Q414</f>
        <v>0</v>
      </c>
      <c r="R413" s="67">
        <f>'2024 DO NOT TOUCH'!R414</f>
        <v>1.5</v>
      </c>
      <c r="S413" s="58" t="str">
        <f>'2024 DO NOT TOUCH'!S414</f>
        <v>TESTED</v>
      </c>
      <c r="T413" s="58" t="str">
        <f>'2024 DO NOT TOUCH'!T414</f>
        <v>PASSED</v>
      </c>
      <c r="U413" s="58">
        <f>'2024 DO NOT TOUCH'!U414</f>
        <v>0</v>
      </c>
      <c r="V413" s="58">
        <f>'2024 DO NOT TOUCH'!V414</f>
        <v>0</v>
      </c>
      <c r="W413" s="58">
        <f>'2024 DO NOT TOUCH'!W414</f>
        <v>0</v>
      </c>
      <c r="X413" s="67">
        <f>'2024 DO NOT TOUCH'!X414</f>
        <v>0</v>
      </c>
      <c r="Y413" s="58">
        <f>'2024 DO NOT TOUCH'!Y414</f>
        <v>0</v>
      </c>
    </row>
    <row r="414" spans="1:25" ht="19.5" customHeight="1">
      <c r="A414" s="77" t="str">
        <f>'2024 DO NOT TOUCH'!A415</f>
        <v>2426</v>
      </c>
      <c r="B414" s="78" t="str">
        <f>'2024 DO NOT TOUCH'!B415</f>
        <v>K9 KENNEL</v>
      </c>
      <c r="C414" s="77" t="str">
        <f>'2024 DO NOT TOUCH'!C415</f>
        <v>B331125</v>
      </c>
      <c r="D414" s="78" t="str">
        <f>'2024 DO NOT TOUCH'!D415</f>
        <v>WILKINS</v>
      </c>
      <c r="E414" s="77" t="str">
        <f>'2024 DO NOT TOUCH'!E415</f>
        <v>720A</v>
      </c>
      <c r="F414" s="78" t="str">
        <f>'2024 DO NOT TOUCH'!F415</f>
        <v>PVB</v>
      </c>
      <c r="G414" s="77" t="str">
        <f>'2024 DO NOT TOUCH'!G415</f>
        <v>0.75</v>
      </c>
      <c r="H414" s="78" t="str">
        <f>'2024 DO NOT TOUCH'!H415</f>
        <v>DOG KENNELS BY MAIN DOOR</v>
      </c>
      <c r="I414" s="77" t="str">
        <f>'2024 DO NOT TOUCH'!I415</f>
        <v>INPREMISE</v>
      </c>
      <c r="J414" s="78" t="str">
        <f>'2024 DO NOT TOUCH'!J415</f>
        <v>AOI</v>
      </c>
      <c r="K414" s="77" t="str">
        <f>'2024 DO NOT TOUCH'!K415</f>
        <v>ACTIVE</v>
      </c>
      <c r="L414" s="79">
        <f>'2024 DO NOT TOUCH'!L415</f>
        <v>44704</v>
      </c>
      <c r="M414" s="77" t="b">
        <f>'2024 DO NOT TOUCH'!M415</f>
        <v>0</v>
      </c>
      <c r="N414" s="78">
        <f>'2024 DO NOT TOUCH'!N415</f>
        <v>45443</v>
      </c>
      <c r="O414" s="77" t="str">
        <f>'2024 DO NOT TOUCH'!O415</f>
        <v>REED</v>
      </c>
      <c r="P414" s="80">
        <f>'2024 DO NOT TOUCH'!P415</f>
        <v>1.4</v>
      </c>
      <c r="Q414" s="80">
        <f>'2024 DO NOT TOUCH'!Q415</f>
        <v>0</v>
      </c>
      <c r="R414" s="80">
        <f>'2024 DO NOT TOUCH'!R415</f>
        <v>1.7</v>
      </c>
      <c r="S414" s="81" t="str">
        <f>'2024 DO NOT TOUCH'!S415</f>
        <v>TESTED</v>
      </c>
      <c r="T414" s="81" t="str">
        <f>'2024 DO NOT TOUCH'!T415</f>
        <v>PASSED</v>
      </c>
      <c r="U414" s="81">
        <f>'2024 DO NOT TOUCH'!U415</f>
        <v>0</v>
      </c>
      <c r="V414" s="81">
        <f>'2024 DO NOT TOUCH'!V415</f>
        <v>0</v>
      </c>
      <c r="W414" s="81">
        <f>'2024 DO NOT TOUCH'!W415</f>
        <v>0</v>
      </c>
      <c r="X414" s="80">
        <f>'2024 DO NOT TOUCH'!X415</f>
        <v>0</v>
      </c>
      <c r="Y414" s="81">
        <f>'2024 DO NOT TOUCH'!Y415</f>
        <v>0</v>
      </c>
    </row>
    <row r="415" spans="1:25" ht="19.5" customHeight="1">
      <c r="A415" s="58" t="str">
        <f>'2024 DO NOT TOUCH'!A416</f>
        <v>2447</v>
      </c>
      <c r="B415" s="59" t="str">
        <f>'2024 DO NOT TOUCH'!B416</f>
        <v>92 SFS/OUTDOOR REC</v>
      </c>
      <c r="C415" s="58" t="str">
        <f>'2024 DO NOT TOUCH'!C416</f>
        <v>J11421</v>
      </c>
      <c r="D415" s="59" t="str">
        <f>'2024 DO NOT TOUCH'!D416</f>
        <v>WILKINS</v>
      </c>
      <c r="E415" s="58" t="str">
        <f>'2024 DO NOT TOUCH'!E416</f>
        <v>350</v>
      </c>
      <c r="F415" s="59" t="str">
        <f>'2024 DO NOT TOUCH'!F416</f>
        <v>DC</v>
      </c>
      <c r="G415" s="58" t="str">
        <f>'2024 DO NOT TOUCH'!G416</f>
        <v>6.0</v>
      </c>
      <c r="H415" s="59" t="str">
        <f>'2024 DO NOT TOUCH'!H416</f>
        <v>IN COP SHOP FIRE CLOSET ON FIRE SYS</v>
      </c>
      <c r="I415" s="58" t="str">
        <f>'2024 DO NOT TOUCH'!I416</f>
        <v>PREMISE</v>
      </c>
      <c r="J415" s="59" t="str">
        <f>'2024 DO NOT TOUCH'!J416</f>
        <v>FIRE</v>
      </c>
      <c r="K415" s="58" t="str">
        <f>'2024 DO NOT TOUCH'!K416</f>
        <v>ACTIVE</v>
      </c>
      <c r="L415" s="71">
        <f>'2024 DO NOT TOUCH'!L416</f>
        <v>44621</v>
      </c>
      <c r="M415" s="58" t="b">
        <f>'2024 DO NOT TOUCH'!M416</f>
        <v>0</v>
      </c>
      <c r="N415" s="59">
        <f>'2024 DO NOT TOUCH'!N416</f>
        <v>45352</v>
      </c>
      <c r="O415" s="58" t="str">
        <f>'2024 DO NOT TOUCH'!O416</f>
        <v>HAVERON</v>
      </c>
      <c r="P415" s="65">
        <f>'2024 DO NOT TOUCH'!P416</f>
        <v>3</v>
      </c>
      <c r="Q415" s="65">
        <f>'2024 DO NOT TOUCH'!Q416</f>
        <v>3.2</v>
      </c>
      <c r="R415" s="65">
        <f>'2024 DO NOT TOUCH'!R416</f>
        <v>0</v>
      </c>
      <c r="S415" s="62" t="str">
        <f>'2024 DO NOT TOUCH'!S416</f>
        <v>TESTED</v>
      </c>
      <c r="T415" s="62" t="str">
        <f>'2024 DO NOT TOUCH'!T416</f>
        <v>PASSED</v>
      </c>
      <c r="U415" s="62">
        <f>'2024 DO NOT TOUCH'!U416</f>
        <v>0</v>
      </c>
      <c r="V415" s="62">
        <f>'2024 DO NOT TOUCH'!V416</f>
        <v>0</v>
      </c>
      <c r="W415" s="62">
        <f>'2024 DO NOT TOUCH'!W416</f>
        <v>0</v>
      </c>
      <c r="X415" s="65">
        <f>'2024 DO NOT TOUCH'!X416</f>
        <v>0</v>
      </c>
      <c r="Y415" s="62">
        <f>'2024 DO NOT TOUCH'!Y416</f>
        <v>0</v>
      </c>
    </row>
    <row r="416" spans="1:25" ht="19.5" customHeight="1">
      <c r="A416" s="77" t="str">
        <f>'2024 DO NOT TOUCH'!A417</f>
        <v>2447</v>
      </c>
      <c r="B416" s="78" t="str">
        <f>'2024 DO NOT TOUCH'!B417</f>
        <v>92 SFS/OUTDOOR REC</v>
      </c>
      <c r="C416" s="77" t="str">
        <f>'2024 DO NOT TOUCH'!C417</f>
        <v>J11504</v>
      </c>
      <c r="D416" s="78" t="str">
        <f>'2024 DO NOT TOUCH'!D417</f>
        <v>WILKINS</v>
      </c>
      <c r="E416" s="77" t="str">
        <f>'2024 DO NOT TOUCH'!E417</f>
        <v>350</v>
      </c>
      <c r="F416" s="78" t="str">
        <f>'2024 DO NOT TOUCH'!F417</f>
        <v>DC</v>
      </c>
      <c r="G416" s="77" t="str">
        <f>'2024 DO NOT TOUCH'!G417</f>
        <v>8.0</v>
      </c>
      <c r="H416" s="78" t="str">
        <f>'2024 DO NOT TOUCH'!H417</f>
        <v>ON FIRE SYS BEHIND INNER BLDG OUTDOOR REC</v>
      </c>
      <c r="I416" s="77" t="str">
        <f>'2024 DO NOT TOUCH'!I417</f>
        <v>PREMISE</v>
      </c>
      <c r="J416" s="78" t="str">
        <f>'2024 DO NOT TOUCH'!J417</f>
        <v>FIRE</v>
      </c>
      <c r="K416" s="77" t="str">
        <f>'2024 DO NOT TOUCH'!K417</f>
        <v>ACTIVE</v>
      </c>
      <c r="L416" s="79">
        <f>'2024 DO NOT TOUCH'!L417</f>
        <v>44621</v>
      </c>
      <c r="M416" s="77" t="b">
        <f>'2024 DO NOT TOUCH'!M417</f>
        <v>0</v>
      </c>
      <c r="N416" s="78">
        <f>'2024 DO NOT TOUCH'!N417</f>
        <v>0</v>
      </c>
      <c r="O416" s="77">
        <f>'2024 DO NOT TOUCH'!O417</f>
        <v>0</v>
      </c>
      <c r="P416" s="80">
        <f>'2024 DO NOT TOUCH'!P417</f>
        <v>0</v>
      </c>
      <c r="Q416" s="80">
        <f>'2024 DO NOT TOUCH'!Q417</f>
        <v>0</v>
      </c>
      <c r="R416" s="80">
        <f>'2024 DO NOT TOUCH'!R417</f>
        <v>0</v>
      </c>
      <c r="S416" s="81" t="str">
        <f>'2024 DO NOT TOUCH'!S417</f>
        <v>TESTED</v>
      </c>
      <c r="T416" s="81" t="str">
        <f>'2024 DO NOT TOUCH'!T417</f>
        <v>PASSED</v>
      </c>
      <c r="U416" s="81">
        <f>'2024 DO NOT TOUCH'!U417</f>
        <v>0</v>
      </c>
      <c r="V416" s="81">
        <f>'2024 DO NOT TOUCH'!V417</f>
        <v>0</v>
      </c>
      <c r="W416" s="81">
        <f>'2024 DO NOT TOUCH'!W417</f>
        <v>0</v>
      </c>
      <c r="X416" s="80">
        <f>'2024 DO NOT TOUCH'!X417</f>
        <v>0</v>
      </c>
      <c r="Y416" s="81">
        <f>'2024 DO NOT TOUCH'!Y417</f>
        <v>0</v>
      </c>
    </row>
    <row r="417" spans="1:25" ht="19.5" customHeight="1">
      <c r="A417" s="58" t="str">
        <f>'2024 DO NOT TOUCH'!A418</f>
        <v>2447</v>
      </c>
      <c r="B417" s="59" t="str">
        <f>'2024 DO NOT TOUCH'!B418</f>
        <v>92 SFS/OUTDOOR REC</v>
      </c>
      <c r="C417" s="58" t="str">
        <f>'2024 DO NOT TOUCH'!C418</f>
        <v>H11925</v>
      </c>
      <c r="D417" s="59" t="str">
        <f>'2024 DO NOT TOUCH'!D418</f>
        <v>FEBCO</v>
      </c>
      <c r="E417" s="58" t="str">
        <f>'2024 DO NOT TOUCH'!E418</f>
        <v>850</v>
      </c>
      <c r="F417" s="59" t="str">
        <f>'2024 DO NOT TOUCH'!F418</f>
        <v>DC</v>
      </c>
      <c r="G417" s="58" t="str">
        <f>'2024 DO NOT TOUCH'!G418</f>
        <v>2.0</v>
      </c>
      <c r="H417" s="59" t="str">
        <f>'2024 DO NOT TOUCH'!H418</f>
        <v>MECH RM IRRIGATION</v>
      </c>
      <c r="I417" s="58" t="str">
        <f>'2024 DO NOT TOUCH'!I418</f>
        <v>PREMISE</v>
      </c>
      <c r="J417" s="59" t="str">
        <f>'2024 DO NOT TOUCH'!J418</f>
        <v>IRR</v>
      </c>
      <c r="K417" s="58" t="str">
        <f>'2024 DO NOT TOUCH'!K418</f>
        <v>INACTIVE</v>
      </c>
      <c r="L417" s="71">
        <f>'2024 DO NOT TOUCH'!L418</f>
        <v>44750</v>
      </c>
      <c r="M417" s="58" t="b">
        <f>'2024 DO NOT TOUCH'!M418</f>
        <v>0</v>
      </c>
      <c r="N417" s="59">
        <f>'2024 DO NOT TOUCH'!N418</f>
        <v>0</v>
      </c>
      <c r="O417" s="58">
        <f>'2024 DO NOT TOUCH'!O418</f>
        <v>0</v>
      </c>
      <c r="P417" s="67">
        <f>'2024 DO NOT TOUCH'!P418</f>
        <v>0</v>
      </c>
      <c r="Q417" s="67">
        <f>'2024 DO NOT TOUCH'!Q418</f>
        <v>0</v>
      </c>
      <c r="R417" s="67">
        <f>'2024 DO NOT TOUCH'!R418</f>
        <v>0</v>
      </c>
      <c r="S417" s="58" t="str">
        <f>'2024 DO NOT TOUCH'!S418</f>
        <v>UNTESTED</v>
      </c>
      <c r="T417" s="58">
        <f>'2024 DO NOT TOUCH'!T418</f>
        <v>0</v>
      </c>
      <c r="U417" s="58">
        <f>'2024 DO NOT TOUCH'!U418</f>
        <v>0</v>
      </c>
      <c r="V417" s="58">
        <f>'2024 DO NOT TOUCH'!V418</f>
        <v>0</v>
      </c>
      <c r="W417" s="58">
        <f>'2024 DO NOT TOUCH'!W418</f>
        <v>0</v>
      </c>
      <c r="X417" s="67">
        <f>'2024 DO NOT TOUCH'!X418</f>
        <v>0</v>
      </c>
      <c r="Y417" s="58" t="str">
        <f>'2024 DO NOT TOUCH'!Y418</f>
        <v>ISOLATED</v>
      </c>
    </row>
    <row r="418" spans="1:25" ht="19.5" customHeight="1">
      <c r="A418" s="77" t="str">
        <f>'2024 DO NOT TOUCH'!A419</f>
        <v>2447</v>
      </c>
      <c r="B418" s="78" t="str">
        <f>'2024 DO NOT TOUCH'!B419</f>
        <v>92 SFS/OUTDOOR REC</v>
      </c>
      <c r="C418" s="77" t="str">
        <f>'2024 DO NOT TOUCH'!C419</f>
        <v>W254050</v>
      </c>
      <c r="D418" s="78" t="str">
        <f>'2024 DO NOT TOUCH'!D419</f>
        <v>WILKINS</v>
      </c>
      <c r="E418" s="77" t="str">
        <f>'2024 DO NOT TOUCH'!E419</f>
        <v>975XL</v>
      </c>
      <c r="F418" s="78" t="str">
        <f>'2024 DO NOT TOUCH'!F419</f>
        <v>RP</v>
      </c>
      <c r="G418" s="77" t="str">
        <f>'2024 DO NOT TOUCH'!G419</f>
        <v>0.75</v>
      </c>
      <c r="H418" s="78" t="str">
        <f>'2024 DO NOT TOUCH'!H419</f>
        <v>MECH RM</v>
      </c>
      <c r="I418" s="77" t="str">
        <f>'2024 DO NOT TOUCH'!I419</f>
        <v>INPREMISE</v>
      </c>
      <c r="J418" s="78" t="str">
        <f>'2024 DO NOT TOUCH'!J419</f>
        <v>AOI</v>
      </c>
      <c r="K418" s="77" t="str">
        <f>'2024 DO NOT TOUCH'!K419</f>
        <v>ACTIVE</v>
      </c>
      <c r="L418" s="79">
        <f>'2024 DO NOT TOUCH'!L419</f>
        <v>44648</v>
      </c>
      <c r="M418" s="77" t="b">
        <f>'2024 DO NOT TOUCH'!M419</f>
        <v>0</v>
      </c>
      <c r="N418" s="78">
        <f>'2024 DO NOT TOUCH'!N419</f>
        <v>0</v>
      </c>
      <c r="O418" s="77">
        <f>'2024 DO NOT TOUCH'!O419</f>
        <v>0</v>
      </c>
      <c r="P418" s="83">
        <f>'2024 DO NOT TOUCH'!P419</f>
        <v>0</v>
      </c>
      <c r="Q418" s="83">
        <f>'2024 DO NOT TOUCH'!Q419</f>
        <v>0</v>
      </c>
      <c r="R418" s="83">
        <f>'2024 DO NOT TOUCH'!R419</f>
        <v>0</v>
      </c>
      <c r="S418" s="77" t="str">
        <f>'2024 DO NOT TOUCH'!S419</f>
        <v>TESTED</v>
      </c>
      <c r="T418" s="77" t="str">
        <f>'2024 DO NOT TOUCH'!T419</f>
        <v>PASSED</v>
      </c>
      <c r="U418" s="77" t="str">
        <f>'2024 DO NOT TOUCH'!U419</f>
        <v>PASSED</v>
      </c>
      <c r="V418" s="77">
        <f>'2024 DO NOT TOUCH'!V419</f>
        <v>0</v>
      </c>
      <c r="W418" s="77">
        <f>'2024 DO NOT TOUCH'!W419</f>
        <v>0</v>
      </c>
      <c r="X418" s="83">
        <f>'2024 DO NOT TOUCH'!X419</f>
        <v>0</v>
      </c>
      <c r="Y418" s="77">
        <f>'2024 DO NOT TOUCH'!Y419</f>
        <v>0</v>
      </c>
    </row>
    <row r="419" spans="1:25" ht="19.5" customHeight="1">
      <c r="A419" s="58" t="str">
        <f>'2024 DO NOT TOUCH'!A420</f>
        <v>2451</v>
      </c>
      <c r="B419" s="59" t="str">
        <f>'2024 DO NOT TOUCH'!B420</f>
        <v>92 CES</v>
      </c>
      <c r="C419" s="58" t="str">
        <f>'2024 DO NOT TOUCH'!C420</f>
        <v>W358587</v>
      </c>
      <c r="D419" s="59" t="str">
        <f>'2024 DO NOT TOUCH'!D420</f>
        <v>WILKINS</v>
      </c>
      <c r="E419" s="58" t="str">
        <f>'2024 DO NOT TOUCH'!E420</f>
        <v>975XL</v>
      </c>
      <c r="F419" s="59" t="str">
        <f>'2024 DO NOT TOUCH'!F420</f>
        <v>RP</v>
      </c>
      <c r="G419" s="58" t="str">
        <f>'2024 DO NOT TOUCH'!G420</f>
        <v>0.5</v>
      </c>
      <c r="H419" s="59" t="str">
        <f>'2024 DO NOT TOUCH'!H420</f>
        <v>ICE MACHINE STRUCTURES SHOP</v>
      </c>
      <c r="I419" s="58" t="str">
        <f>'2024 DO NOT TOUCH'!I420</f>
        <v>INPREMISE</v>
      </c>
      <c r="J419" s="59" t="str">
        <f>'2024 DO NOT TOUCH'!J420</f>
        <v>AOI</v>
      </c>
      <c r="K419" s="58" t="str">
        <f>'2024 DO NOT TOUCH'!K420</f>
        <v>ACTIVE</v>
      </c>
      <c r="L419" s="71">
        <f>'2024 DO NOT TOUCH'!L420</f>
        <v>44648</v>
      </c>
      <c r="M419" s="58" t="b">
        <f>'2024 DO NOT TOUCH'!M420</f>
        <v>0</v>
      </c>
      <c r="N419" s="59">
        <f>'2024 DO NOT TOUCH'!N420</f>
        <v>0</v>
      </c>
      <c r="O419" s="58">
        <f>'2024 DO NOT TOUCH'!O420</f>
        <v>0</v>
      </c>
      <c r="P419" s="65">
        <f>'2024 DO NOT TOUCH'!P420</f>
        <v>0</v>
      </c>
      <c r="Q419" s="65">
        <f>'2024 DO NOT TOUCH'!Q420</f>
        <v>0</v>
      </c>
      <c r="R419" s="65">
        <f>'2024 DO NOT TOUCH'!R420</f>
        <v>0</v>
      </c>
      <c r="S419" s="62" t="str">
        <f>'2024 DO NOT TOUCH'!S420</f>
        <v>TESTED</v>
      </c>
      <c r="T419" s="62" t="str">
        <f>'2024 DO NOT TOUCH'!T420</f>
        <v>PASSED</v>
      </c>
      <c r="U419" s="62" t="str">
        <f>'2024 DO NOT TOUCH'!U420</f>
        <v>Y</v>
      </c>
      <c r="V419" s="62">
        <f>'2024 DO NOT TOUCH'!V420</f>
        <v>0</v>
      </c>
      <c r="W419" s="62">
        <f>'2024 DO NOT TOUCH'!W420</f>
        <v>0</v>
      </c>
      <c r="X419" s="65">
        <f>'2024 DO NOT TOUCH'!X420</f>
        <v>0</v>
      </c>
      <c r="Y419" s="62">
        <f>'2024 DO NOT TOUCH'!Y420</f>
        <v>0</v>
      </c>
    </row>
    <row r="420" spans="1:25" ht="19.5" customHeight="1">
      <c r="A420" s="55" t="str">
        <f>'2024 DO NOT TOUCH'!A421</f>
        <v>2451</v>
      </c>
      <c r="B420" s="3" t="str">
        <f>'2024 DO NOT TOUCH'!B421</f>
        <v>92 CES</v>
      </c>
      <c r="C420" s="55" t="str">
        <f>'2024 DO NOT TOUCH'!C421</f>
        <v>3338579</v>
      </c>
      <c r="D420" s="3" t="str">
        <f>'2024 DO NOT TOUCH'!D421</f>
        <v>WILKINS</v>
      </c>
      <c r="E420" s="55" t="str">
        <f>'2024 DO NOT TOUCH'!E421</f>
        <v>975XL</v>
      </c>
      <c r="F420" s="3" t="str">
        <f>'2024 DO NOT TOUCH'!F421</f>
        <v>RP</v>
      </c>
      <c r="G420" s="55" t="str">
        <f>'2024 DO NOT TOUCH'!G421</f>
        <v>0.75</v>
      </c>
      <c r="H420" s="3" t="str">
        <f>'2024 DO NOT TOUCH'!H421</f>
        <v>HOSE ROOM WFSM SHOP PRESSURE WASHER</v>
      </c>
      <c r="I420" s="55" t="str">
        <f>'2024 DO NOT TOUCH'!I421</f>
        <v>INPREMISE</v>
      </c>
      <c r="J420" s="3" t="str">
        <f>'2024 DO NOT TOUCH'!J421</f>
        <v>AOI</v>
      </c>
      <c r="K420" s="55" t="str">
        <f>'2024 DO NOT TOUCH'!K421</f>
        <v>ACTIVE</v>
      </c>
      <c r="L420" s="72">
        <f>'2024 DO NOT TOUCH'!L421</f>
        <v>44648</v>
      </c>
      <c r="M420" s="55" t="b">
        <f>'2024 DO NOT TOUCH'!M421</f>
        <v>0</v>
      </c>
      <c r="N420" s="3">
        <f>'2024 DO NOT TOUCH'!N421</f>
        <v>0</v>
      </c>
      <c r="O420" s="55">
        <f>'2024 DO NOT TOUCH'!O421</f>
        <v>0</v>
      </c>
      <c r="P420" s="64">
        <f>'2024 DO NOT TOUCH'!P421</f>
        <v>0</v>
      </c>
      <c r="Q420" s="64">
        <f>'2024 DO NOT TOUCH'!Q421</f>
        <v>0</v>
      </c>
      <c r="R420" s="64">
        <f>'2024 DO NOT TOUCH'!R421</f>
        <v>0</v>
      </c>
      <c r="S420" s="57" t="str">
        <f>'2024 DO NOT TOUCH'!S421</f>
        <v>UNTESTED</v>
      </c>
      <c r="T420" s="57">
        <f>'2024 DO NOT TOUCH'!T421</f>
        <v>0</v>
      </c>
      <c r="U420" s="57">
        <f>'2024 DO NOT TOUCH'!U421</f>
        <v>0</v>
      </c>
      <c r="V420" s="57">
        <f>'2024 DO NOT TOUCH'!V421</f>
        <v>0</v>
      </c>
      <c r="W420" s="57">
        <f>'2024 DO NOT TOUCH'!W421</f>
        <v>0</v>
      </c>
      <c r="X420" s="64">
        <f>'2024 DO NOT TOUCH'!X421</f>
        <v>0</v>
      </c>
      <c r="Y420" s="57" t="str">
        <f>'2024 DO NOT TOUCH'!Y421</f>
        <v xml:space="preserve">ISO </v>
      </c>
    </row>
    <row r="421" spans="1:25" ht="19.5" customHeight="1">
      <c r="A421" s="58" t="str">
        <f>'2024 DO NOT TOUCH'!A422</f>
        <v>2451</v>
      </c>
      <c r="B421" s="59" t="str">
        <f>'2024 DO NOT TOUCH'!B422</f>
        <v>92 CES</v>
      </c>
      <c r="C421" s="58" t="str">
        <f>'2024 DO NOT TOUCH'!C422</f>
        <v>H30074</v>
      </c>
      <c r="D421" s="59" t="str">
        <f>'2024 DO NOT TOUCH'!D422</f>
        <v>FEBCO</v>
      </c>
      <c r="E421" s="58" t="str">
        <f>'2024 DO NOT TOUCH'!E422</f>
        <v>860</v>
      </c>
      <c r="F421" s="59" t="str">
        <f>'2024 DO NOT TOUCH'!F422</f>
        <v>RP</v>
      </c>
      <c r="G421" s="58" t="str">
        <f>'2024 DO NOT TOUCH'!G422</f>
        <v>0.75</v>
      </c>
      <c r="H421" s="59" t="str">
        <f>'2024 DO NOT TOUCH'!H422</f>
        <v>OUTSIDE WFSM IN MECH RM ON HVAC</v>
      </c>
      <c r="I421" s="58" t="str">
        <f>'2024 DO NOT TOUCH'!I422</f>
        <v>INPREMISE</v>
      </c>
      <c r="J421" s="59" t="str">
        <f>'2024 DO NOT TOUCH'!J422</f>
        <v>AOI</v>
      </c>
      <c r="K421" s="58" t="str">
        <f>'2024 DO NOT TOUCH'!K422</f>
        <v>ACTIVE</v>
      </c>
      <c r="L421" s="71">
        <f>'2024 DO NOT TOUCH'!L422</f>
        <v>44648</v>
      </c>
      <c r="M421" s="58" t="b">
        <f>'2024 DO NOT TOUCH'!M422</f>
        <v>0</v>
      </c>
      <c r="N421" s="59">
        <f>'2024 DO NOT TOUCH'!N422</f>
        <v>0</v>
      </c>
      <c r="O421" s="58">
        <f>'2024 DO NOT TOUCH'!O422</f>
        <v>0</v>
      </c>
      <c r="P421" s="65">
        <f>'2024 DO NOT TOUCH'!P422</f>
        <v>0</v>
      </c>
      <c r="Q421" s="65">
        <f>'2024 DO NOT TOUCH'!Q422</f>
        <v>0</v>
      </c>
      <c r="R421" s="65">
        <f>'2024 DO NOT TOUCH'!R422</f>
        <v>0</v>
      </c>
      <c r="S421" s="62" t="str">
        <f>'2024 DO NOT TOUCH'!S422</f>
        <v>TESTED</v>
      </c>
      <c r="T421" s="62" t="str">
        <f>'2024 DO NOT TOUCH'!T422</f>
        <v>PASSED</v>
      </c>
      <c r="U421" s="62" t="str">
        <f>'2024 DO NOT TOUCH'!U422</f>
        <v>PASSED</v>
      </c>
      <c r="V421" s="62" t="str">
        <f>'2024 DO NOT TOUCH'!V422</f>
        <v>EXISTING</v>
      </c>
      <c r="W421" s="62" t="str">
        <f>'2024 DO NOT TOUCH'!W422</f>
        <v>EXISTING</v>
      </c>
      <c r="X421" s="65">
        <f>'2024 DO NOT TOUCH'!X422</f>
        <v>0</v>
      </c>
      <c r="Y421" s="62">
        <f>'2024 DO NOT TOUCH'!Y422</f>
        <v>0</v>
      </c>
    </row>
    <row r="422" spans="1:25" ht="19.5" customHeight="1">
      <c r="A422" s="55" t="str">
        <f>'2024 DO NOT TOUCH'!A423</f>
        <v>2451</v>
      </c>
      <c r="B422" s="55" t="str">
        <f>'2024 DO NOT TOUCH'!B423</f>
        <v>92 CES</v>
      </c>
      <c r="C422" s="55" t="str">
        <f>'2024 DO NOT TOUCH'!C423</f>
        <v>H39336</v>
      </c>
      <c r="D422" s="55" t="str">
        <f>'2024 DO NOT TOUCH'!D423</f>
        <v>FEBCO</v>
      </c>
      <c r="E422" s="55" t="str">
        <f>'2024 DO NOT TOUCH'!E423</f>
        <v>825Y</v>
      </c>
      <c r="F422" s="55" t="str">
        <f>'2024 DO NOT TOUCH'!F423</f>
        <v>RP</v>
      </c>
      <c r="G422" s="55" t="str">
        <f>'2024 DO NOT TOUCH'!G423</f>
        <v>0.75</v>
      </c>
      <c r="H422" s="55" t="str">
        <f>'2024 DO NOT TOUCH'!H423</f>
        <v xml:space="preserve">OUTSIDE OF KEY AND LOCK SHOP HVAC </v>
      </c>
      <c r="I422" s="55" t="str">
        <f>'2024 DO NOT TOUCH'!I423</f>
        <v>INPREMISE</v>
      </c>
      <c r="J422" s="55" t="str">
        <f>'2024 DO NOT TOUCH'!J423</f>
        <v>AOI</v>
      </c>
      <c r="K422" s="55" t="str">
        <f>'2024 DO NOT TOUCH'!K423</f>
        <v>ACTIVE</v>
      </c>
      <c r="L422" s="56">
        <f>'2024 DO NOT TOUCH'!L423</f>
        <v>44648</v>
      </c>
      <c r="M422" s="56" t="b">
        <f>'2024 DO NOT TOUCH'!M423</f>
        <v>0</v>
      </c>
      <c r="N422" s="56">
        <f>'2024 DO NOT TOUCH'!N423</f>
        <v>0</v>
      </c>
      <c r="O422" s="55">
        <f>'2024 DO NOT TOUCH'!O423</f>
        <v>0</v>
      </c>
      <c r="P422" s="64">
        <f>'2024 DO NOT TOUCH'!P423</f>
        <v>0</v>
      </c>
      <c r="Q422" s="64">
        <f>'2024 DO NOT TOUCH'!Q423</f>
        <v>0</v>
      </c>
      <c r="R422" s="64">
        <f>'2024 DO NOT TOUCH'!R423</f>
        <v>0</v>
      </c>
      <c r="S422" s="55" t="str">
        <f>'2024 DO NOT TOUCH'!S423</f>
        <v>UNTESTED</v>
      </c>
      <c r="T422" s="55">
        <f>'2024 DO NOT TOUCH'!T423</f>
        <v>0</v>
      </c>
      <c r="U422" s="55">
        <f>'2024 DO NOT TOUCH'!U423</f>
        <v>0</v>
      </c>
      <c r="V422" s="55">
        <f>'2024 DO NOT TOUCH'!V423</f>
        <v>0</v>
      </c>
      <c r="W422" s="55" t="str">
        <f>'2024 DO NOT TOUCH'!W423</f>
        <v>YES</v>
      </c>
      <c r="X422" s="66">
        <f>'2024 DO NOT TOUCH'!X423</f>
        <v>0</v>
      </c>
      <c r="Y422" s="55" t="str">
        <f>'2024 DO NOT TOUCH'!Y423</f>
        <v>BARC WROTE H38396</v>
      </c>
    </row>
    <row r="423" spans="1:25" ht="19.5" customHeight="1">
      <c r="A423" s="58" t="str">
        <f>'2024 DO NOT TOUCH'!A424</f>
        <v>2451</v>
      </c>
      <c r="B423" s="59" t="str">
        <f>'2024 DO NOT TOUCH'!B424</f>
        <v>92 CES</v>
      </c>
      <c r="C423" s="58" t="str">
        <f>'2024 DO NOT TOUCH'!C424</f>
        <v>A00641</v>
      </c>
      <c r="D423" s="59" t="str">
        <f>'2024 DO NOT TOUCH'!D424</f>
        <v>FEBCO</v>
      </c>
      <c r="E423" s="58" t="str">
        <f>'2024 DO NOT TOUCH'!E424</f>
        <v>850</v>
      </c>
      <c r="F423" s="59" t="str">
        <f>'2024 DO NOT TOUCH'!F424</f>
        <v>DC</v>
      </c>
      <c r="G423" s="58" t="str">
        <f>'2024 DO NOT TOUCH'!G424</f>
        <v>0.5</v>
      </c>
      <c r="H423" s="59" t="str">
        <f>'2024 DO NOT TOUCH'!H424</f>
        <v>COFFEE MACHINE UNDER HVAC SINK</v>
      </c>
      <c r="I423" s="58" t="str">
        <f>'2024 DO NOT TOUCH'!I424</f>
        <v>INPREMISE</v>
      </c>
      <c r="J423" s="59" t="str">
        <f>'2024 DO NOT TOUCH'!J424</f>
        <v>AOI</v>
      </c>
      <c r="K423" s="58" t="str">
        <f>'2024 DO NOT TOUCH'!K424</f>
        <v>ACTIVE</v>
      </c>
      <c r="L423" s="71">
        <f>'2024 DO NOT TOUCH'!L424</f>
        <v>44648</v>
      </c>
      <c r="M423" s="58" t="b">
        <f>'2024 DO NOT TOUCH'!M424</f>
        <v>0</v>
      </c>
      <c r="N423" s="59">
        <f>'2024 DO NOT TOUCH'!N424</f>
        <v>0</v>
      </c>
      <c r="O423" s="58">
        <f>'2024 DO NOT TOUCH'!O424</f>
        <v>0</v>
      </c>
      <c r="P423" s="65">
        <f>'2024 DO NOT TOUCH'!P424</f>
        <v>0</v>
      </c>
      <c r="Q423" s="65">
        <f>'2024 DO NOT TOUCH'!Q424</f>
        <v>0</v>
      </c>
      <c r="R423" s="65">
        <f>'2024 DO NOT TOUCH'!R424</f>
        <v>0</v>
      </c>
      <c r="S423" s="62" t="str">
        <f>'2024 DO NOT TOUCH'!S424</f>
        <v>UNTESTED</v>
      </c>
      <c r="T423" s="62">
        <f>'2024 DO NOT TOUCH'!T424</f>
        <v>0</v>
      </c>
      <c r="U423" s="62">
        <f>'2024 DO NOT TOUCH'!U424</f>
        <v>0</v>
      </c>
      <c r="V423" s="62">
        <f>'2024 DO NOT TOUCH'!V424</f>
        <v>0</v>
      </c>
      <c r="W423" s="62" t="str">
        <f>'2024 DO NOT TOUCH'!W424</f>
        <v>YES</v>
      </c>
      <c r="X423" s="65" t="str">
        <f>'2024 DO NOT TOUCH'!X424</f>
        <v>H00641</v>
      </c>
      <c r="Y423" s="62">
        <f>'2024 DO NOT TOUCH'!Y424</f>
        <v>0</v>
      </c>
    </row>
    <row r="424" spans="1:25" ht="19.5" customHeight="1">
      <c r="A424" s="55" t="str">
        <f>'2024 DO NOT TOUCH'!A425</f>
        <v>2451</v>
      </c>
      <c r="B424" s="3" t="str">
        <f>'2024 DO NOT TOUCH'!B425</f>
        <v>92 CES</v>
      </c>
      <c r="C424" s="55" t="str">
        <f>'2024 DO NOT TOUCH'!C425</f>
        <v>U00477</v>
      </c>
      <c r="D424" s="3" t="str">
        <f>'2024 DO NOT TOUCH'!D425</f>
        <v>WILKINS</v>
      </c>
      <c r="E424" s="55" t="str">
        <f>'2024 DO NOT TOUCH'!E425</f>
        <v>350A</v>
      </c>
      <c r="F424" s="3" t="str">
        <f>'2024 DO NOT TOUCH'!F425</f>
        <v>DC</v>
      </c>
      <c r="G424" s="55" t="str">
        <f>'2024 DO NOT TOUCH'!G425</f>
        <v>8.0</v>
      </c>
      <c r="H424" s="3" t="str">
        <f>'2024 DO NOT TOUCH'!H425</f>
        <v>MECH RM FIRE SYS CEX ENTRANCE</v>
      </c>
      <c r="I424" s="55" t="str">
        <f>'2024 DO NOT TOUCH'!I425</f>
        <v>PREMISE</v>
      </c>
      <c r="J424" s="3" t="str">
        <f>'2024 DO NOT TOUCH'!J425</f>
        <v>FIRE</v>
      </c>
      <c r="K424" s="55" t="str">
        <f>'2024 DO NOT TOUCH'!K425</f>
        <v>ACTIVE</v>
      </c>
      <c r="L424" s="72">
        <f>'2024 DO NOT TOUCH'!L425</f>
        <v>44648</v>
      </c>
      <c r="M424" s="55" t="b">
        <f>'2024 DO NOT TOUCH'!M425</f>
        <v>0</v>
      </c>
      <c r="N424" s="3">
        <f>'2024 DO NOT TOUCH'!N425</f>
        <v>0</v>
      </c>
      <c r="O424" s="55">
        <f>'2024 DO NOT TOUCH'!O425</f>
        <v>0</v>
      </c>
      <c r="P424" s="64">
        <f>'2024 DO NOT TOUCH'!P425</f>
        <v>0</v>
      </c>
      <c r="Q424" s="64">
        <f>'2024 DO NOT TOUCH'!Q425</f>
        <v>0</v>
      </c>
      <c r="R424" s="64">
        <f>'2024 DO NOT TOUCH'!R425</f>
        <v>0</v>
      </c>
      <c r="S424" s="57" t="str">
        <f>'2024 DO NOT TOUCH'!S425</f>
        <v>TESTED</v>
      </c>
      <c r="T424" s="57" t="str">
        <f>'2024 DO NOT TOUCH'!T425</f>
        <v>PASSED</v>
      </c>
      <c r="U424" s="57">
        <f>'2024 DO NOT TOUCH'!U425</f>
        <v>0</v>
      </c>
      <c r="V424" s="57">
        <f>'2024 DO NOT TOUCH'!V425</f>
        <v>0</v>
      </c>
      <c r="W424" s="57">
        <f>'2024 DO NOT TOUCH'!W425</f>
        <v>0</v>
      </c>
      <c r="X424" s="64">
        <f>'2024 DO NOT TOUCH'!X425</f>
        <v>0</v>
      </c>
      <c r="Y424" s="57">
        <f>'2024 DO NOT TOUCH'!Y425</f>
        <v>0</v>
      </c>
    </row>
    <row r="425" spans="1:25" ht="19.5" customHeight="1">
      <c r="A425" s="58" t="str">
        <f>'2024 DO NOT TOUCH'!A426</f>
        <v>2451</v>
      </c>
      <c r="B425" s="59" t="str">
        <f>'2024 DO NOT TOUCH'!B426</f>
        <v>92 CES</v>
      </c>
      <c r="C425" s="58" t="str">
        <f>'2024 DO NOT TOUCH'!C426</f>
        <v>U00483</v>
      </c>
      <c r="D425" s="59" t="str">
        <f>'2024 DO NOT TOUCH'!D426</f>
        <v>WILKINS</v>
      </c>
      <c r="E425" s="58" t="str">
        <f>'2024 DO NOT TOUCH'!E426</f>
        <v>350A</v>
      </c>
      <c r="F425" s="59" t="str">
        <f>'2024 DO NOT TOUCH'!F426</f>
        <v>DC</v>
      </c>
      <c r="G425" s="58" t="str">
        <f>'2024 DO NOT TOUCH'!G426</f>
        <v>8.0</v>
      </c>
      <c r="H425" s="59" t="str">
        <f>'2024 DO NOT TOUCH'!H426</f>
        <v>MECH RM FIRE SYS STRUCTURES ENTRANCE</v>
      </c>
      <c r="I425" s="58" t="str">
        <f>'2024 DO NOT TOUCH'!I426</f>
        <v>PREMISE</v>
      </c>
      <c r="J425" s="59" t="str">
        <f>'2024 DO NOT TOUCH'!J426</f>
        <v>FIRE</v>
      </c>
      <c r="K425" s="58" t="str">
        <f>'2024 DO NOT TOUCH'!K426</f>
        <v>ACTIVE</v>
      </c>
      <c r="L425" s="71">
        <f>'2024 DO NOT TOUCH'!L426</f>
        <v>44648</v>
      </c>
      <c r="M425" s="58" t="b">
        <f>'2024 DO NOT TOUCH'!M426</f>
        <v>0</v>
      </c>
      <c r="N425" s="59">
        <f>'2024 DO NOT TOUCH'!N426</f>
        <v>0</v>
      </c>
      <c r="O425" s="58">
        <f>'2024 DO NOT TOUCH'!O426</f>
        <v>0</v>
      </c>
      <c r="P425" s="65">
        <f>'2024 DO NOT TOUCH'!P426</f>
        <v>0</v>
      </c>
      <c r="Q425" s="65">
        <f>'2024 DO NOT TOUCH'!Q426</f>
        <v>0</v>
      </c>
      <c r="R425" s="65">
        <f>'2024 DO NOT TOUCH'!R426</f>
        <v>0</v>
      </c>
      <c r="S425" s="62" t="str">
        <f>'2024 DO NOT TOUCH'!S426</f>
        <v>TESTED</v>
      </c>
      <c r="T425" s="62" t="str">
        <f>'2024 DO NOT TOUCH'!T426</f>
        <v>PASSED</v>
      </c>
      <c r="U425" s="62">
        <f>'2024 DO NOT TOUCH'!U426</f>
        <v>0</v>
      </c>
      <c r="V425" s="62">
        <f>'2024 DO NOT TOUCH'!V426</f>
        <v>0</v>
      </c>
      <c r="W425" s="62">
        <f>'2024 DO NOT TOUCH'!W426</f>
        <v>0</v>
      </c>
      <c r="X425" s="65">
        <f>'2024 DO NOT TOUCH'!X426</f>
        <v>0</v>
      </c>
      <c r="Y425" s="62">
        <f>'2024 DO NOT TOUCH'!Y426</f>
        <v>0</v>
      </c>
    </row>
    <row r="426" spans="1:25" ht="19.5" customHeight="1">
      <c r="A426" s="55" t="str">
        <f>'2024 DO NOT TOUCH'!A427</f>
        <v>2451</v>
      </c>
      <c r="B426" s="3" t="str">
        <f>'2024 DO NOT TOUCH'!B427</f>
        <v>92 CES</v>
      </c>
      <c r="C426" s="55" t="str">
        <f>'2024 DO NOT TOUCH'!C427</f>
        <v>U00478</v>
      </c>
      <c r="D426" s="3" t="str">
        <f>'2024 DO NOT TOUCH'!D427</f>
        <v>WILKINS</v>
      </c>
      <c r="E426" s="55" t="str">
        <f>'2024 DO NOT TOUCH'!E427</f>
        <v>350A</v>
      </c>
      <c r="F426" s="3" t="str">
        <f>'2024 DO NOT TOUCH'!F427</f>
        <v>DC</v>
      </c>
      <c r="G426" s="55" t="str">
        <f>'2024 DO NOT TOUCH'!G427</f>
        <v>8.0</v>
      </c>
      <c r="H426" s="3" t="str">
        <f>'2024 DO NOT TOUCH'!H427</f>
        <v>MECH RM FIRE SYS CEOES ENTRANCE</v>
      </c>
      <c r="I426" s="55" t="str">
        <f>'2024 DO NOT TOUCH'!I427</f>
        <v>PREMISE</v>
      </c>
      <c r="J426" s="3" t="str">
        <f>'2024 DO NOT TOUCH'!J427</f>
        <v>FIRE</v>
      </c>
      <c r="K426" s="55" t="str">
        <f>'2024 DO NOT TOUCH'!K427</f>
        <v>ACTIVE</v>
      </c>
      <c r="L426" s="72">
        <f>'2024 DO NOT TOUCH'!L427</f>
        <v>44648</v>
      </c>
      <c r="M426" s="55" t="b">
        <f>'2024 DO NOT TOUCH'!M427</f>
        <v>0</v>
      </c>
      <c r="N426" s="3">
        <f>'2024 DO NOT TOUCH'!N427</f>
        <v>0</v>
      </c>
      <c r="O426" s="55">
        <f>'2024 DO NOT TOUCH'!O427</f>
        <v>0</v>
      </c>
      <c r="P426" s="66">
        <f>'2024 DO NOT TOUCH'!P427</f>
        <v>0</v>
      </c>
      <c r="Q426" s="66">
        <f>'2024 DO NOT TOUCH'!Q427</f>
        <v>0</v>
      </c>
      <c r="R426" s="66">
        <f>'2024 DO NOT TOUCH'!R427</f>
        <v>0</v>
      </c>
      <c r="S426" s="55" t="str">
        <f>'2024 DO NOT TOUCH'!S427</f>
        <v>TESTED</v>
      </c>
      <c r="T426" s="55" t="str">
        <f>'2024 DO NOT TOUCH'!T427</f>
        <v>PASSED</v>
      </c>
      <c r="U426" s="55">
        <f>'2024 DO NOT TOUCH'!U427</f>
        <v>0</v>
      </c>
      <c r="V426" s="55">
        <f>'2024 DO NOT TOUCH'!V427</f>
        <v>0</v>
      </c>
      <c r="W426" s="55">
        <f>'2024 DO NOT TOUCH'!W427</f>
        <v>0</v>
      </c>
      <c r="X426" s="66">
        <f>'2024 DO NOT TOUCH'!X427</f>
        <v>0</v>
      </c>
      <c r="Y426" s="55">
        <f>'2024 DO NOT TOUCH'!Y427</f>
        <v>0</v>
      </c>
    </row>
    <row r="427" spans="1:25" ht="19.5" customHeight="1">
      <c r="A427" s="58" t="str">
        <f>'2024 DO NOT TOUCH'!A428</f>
        <v>2451</v>
      </c>
      <c r="B427" s="59" t="str">
        <f>'2024 DO NOT TOUCH'!B428</f>
        <v>92 CES</v>
      </c>
      <c r="C427" s="58" t="str">
        <f>'2024 DO NOT TOUCH'!C428</f>
        <v>J06683</v>
      </c>
      <c r="D427" s="59" t="str">
        <f>'2024 DO NOT TOUCH'!D428</f>
        <v>WILKINS</v>
      </c>
      <c r="E427" s="58" t="str">
        <f>'2024 DO NOT TOUCH'!E428</f>
        <v>350</v>
      </c>
      <c r="F427" s="59" t="str">
        <f>'2024 DO NOT TOUCH'!F428</f>
        <v>DC</v>
      </c>
      <c r="G427" s="58" t="str">
        <f>'2024 DO NOT TOUCH'!G428</f>
        <v>8.0</v>
      </c>
      <c r="H427" s="59" t="str">
        <f>'2024 DO NOT TOUCH'!H428</f>
        <v>MECH RM FIRE SYS GEOBASE ENTRANCE</v>
      </c>
      <c r="I427" s="58" t="str">
        <f>'2024 DO NOT TOUCH'!I428</f>
        <v>PREMISE</v>
      </c>
      <c r="J427" s="59" t="str">
        <f>'2024 DO NOT TOUCH'!J428</f>
        <v>FIRE</v>
      </c>
      <c r="K427" s="58" t="str">
        <f>'2024 DO NOT TOUCH'!K428</f>
        <v>ACTIVE</v>
      </c>
      <c r="L427" s="71">
        <f>'2024 DO NOT TOUCH'!L428</f>
        <v>44648</v>
      </c>
      <c r="M427" s="58" t="b">
        <f>'2024 DO NOT TOUCH'!M428</f>
        <v>0</v>
      </c>
      <c r="N427" s="59">
        <f>'2024 DO NOT TOUCH'!N428</f>
        <v>0</v>
      </c>
      <c r="O427" s="58">
        <f>'2024 DO NOT TOUCH'!O428</f>
        <v>0</v>
      </c>
      <c r="P427" s="67">
        <f>'2024 DO NOT TOUCH'!P428</f>
        <v>0</v>
      </c>
      <c r="Q427" s="67">
        <f>'2024 DO NOT TOUCH'!Q428</f>
        <v>0</v>
      </c>
      <c r="R427" s="67">
        <f>'2024 DO NOT TOUCH'!R428</f>
        <v>0</v>
      </c>
      <c r="S427" s="58" t="str">
        <f>'2024 DO NOT TOUCH'!S428</f>
        <v>TESTED</v>
      </c>
      <c r="T427" s="58" t="str">
        <f>'2024 DO NOT TOUCH'!T428</f>
        <v>PASSED</v>
      </c>
      <c r="U427" s="58">
        <f>'2024 DO NOT TOUCH'!U428</f>
        <v>0</v>
      </c>
      <c r="V427" s="58">
        <f>'2024 DO NOT TOUCH'!V428</f>
        <v>0</v>
      </c>
      <c r="W427" s="58">
        <f>'2024 DO NOT TOUCH'!W428</f>
        <v>0</v>
      </c>
      <c r="X427" s="67">
        <f>'2024 DO NOT TOUCH'!X428</f>
        <v>0</v>
      </c>
      <c r="Y427" s="58">
        <f>'2024 DO NOT TOUCH'!Y428</f>
        <v>0</v>
      </c>
    </row>
    <row r="428" spans="1:25" ht="19.5" customHeight="1">
      <c r="A428" s="77" t="str">
        <f>'2024 DO NOT TOUCH'!A429</f>
        <v>2452</v>
      </c>
      <c r="B428" s="78" t="str">
        <f>'2024 DO NOT TOUCH'!B429</f>
        <v>RED MORGAN</v>
      </c>
      <c r="C428" s="77" t="str">
        <f>'2024 DO NOT TOUCH'!C429</f>
        <v>3704691</v>
      </c>
      <c r="D428" s="78" t="str">
        <f>'2024 DO NOT TOUCH'!D429</f>
        <v>WILKINS</v>
      </c>
      <c r="E428" s="77" t="str">
        <f>'2024 DO NOT TOUCH'!E429</f>
        <v>950XLT2</v>
      </c>
      <c r="F428" s="78" t="str">
        <f>'2024 DO NOT TOUCH'!F429</f>
        <v>DC</v>
      </c>
      <c r="G428" s="77" t="str">
        <f>'2024 DO NOT TOUCH'!G429</f>
        <v>2.O</v>
      </c>
      <c r="H428" s="78" t="str">
        <f>'2024 DO NOT TOUCH'!H429</f>
        <v>ROOM 204 INSIDE ACCESS PANEL</v>
      </c>
      <c r="I428" s="77" t="str">
        <f>'2024 DO NOT TOUCH'!I429</f>
        <v>PREMISE</v>
      </c>
      <c r="J428" s="78" t="str">
        <f>'2024 DO NOT TOUCH'!J429</f>
        <v>PREMISE</v>
      </c>
      <c r="K428" s="77" t="str">
        <f>'2024 DO NOT TOUCH'!K429</f>
        <v>ACTIVE</v>
      </c>
      <c r="L428" s="79">
        <f>'2024 DO NOT TOUCH'!L429</f>
        <v>44936</v>
      </c>
      <c r="M428" s="77" t="b">
        <f>'2024 DO NOT TOUCH'!M429</f>
        <v>0</v>
      </c>
      <c r="N428" s="78" t="str">
        <f>'2024 DO NOT TOUCH'!N429</f>
        <v>624/24</v>
      </c>
      <c r="O428" s="77" t="str">
        <f>'2024 DO NOT TOUCH'!O429</f>
        <v>PASS</v>
      </c>
      <c r="P428" s="80">
        <f>'2024 DO NOT TOUCH'!P429</f>
        <v>3.8</v>
      </c>
      <c r="Q428" s="80">
        <f>'2024 DO NOT TOUCH'!Q429</f>
        <v>3.6</v>
      </c>
      <c r="R428" s="80">
        <f>'2024 DO NOT TOUCH'!R429</f>
        <v>0</v>
      </c>
      <c r="S428" s="81" t="str">
        <f>'2024 DO NOT TOUCH'!S429</f>
        <v>TESTED</v>
      </c>
      <c r="T428" s="81" t="str">
        <f>'2024 DO NOT TOUCH'!T429</f>
        <v>PASSED</v>
      </c>
      <c r="U428" s="81">
        <f>'2024 DO NOT TOUCH'!U429</f>
        <v>0</v>
      </c>
      <c r="V428" s="81">
        <f>'2024 DO NOT TOUCH'!V429</f>
        <v>0</v>
      </c>
      <c r="W428" s="81">
        <f>'2024 DO NOT TOUCH'!W429</f>
        <v>0</v>
      </c>
      <c r="X428" s="80">
        <f>'2024 DO NOT TOUCH'!X429</f>
        <v>0</v>
      </c>
      <c r="Y428" s="81">
        <f>'2024 DO NOT TOUCH'!Y429</f>
        <v>0</v>
      </c>
    </row>
    <row r="429" spans="1:25" ht="19.5" customHeight="1">
      <c r="A429" s="58" t="str">
        <f>'2024 DO NOT TOUCH'!A430</f>
        <v>2452</v>
      </c>
      <c r="B429" s="59" t="str">
        <f>'2024 DO NOT TOUCH'!B430</f>
        <v>RED MORGAN</v>
      </c>
      <c r="C429" s="58" t="str">
        <f>'2024 DO NOT TOUCH'!C430</f>
        <v>J11506</v>
      </c>
      <c r="D429" s="59" t="str">
        <f>'2024 DO NOT TOUCH'!D430</f>
        <v>WILKINS</v>
      </c>
      <c r="E429" s="58" t="str">
        <f>'2024 DO NOT TOUCH'!E430</f>
        <v>350</v>
      </c>
      <c r="F429" s="59" t="str">
        <f>'2024 DO NOT TOUCH'!F430</f>
        <v>DC</v>
      </c>
      <c r="G429" s="58" t="str">
        <f>'2024 DO NOT TOUCH'!G430</f>
        <v>8.0</v>
      </c>
      <c r="H429" s="59" t="str">
        <f>'2024 DO NOT TOUCH'!H430</f>
        <v>MECH RM FIRE SYS SOUTH SIDE</v>
      </c>
      <c r="I429" s="58" t="str">
        <f>'2024 DO NOT TOUCH'!I430</f>
        <v>PREMISE</v>
      </c>
      <c r="J429" s="59" t="str">
        <f>'2024 DO NOT TOUCH'!J430</f>
        <v>FIRE</v>
      </c>
      <c r="K429" s="58" t="str">
        <f>'2024 DO NOT TOUCH'!K430</f>
        <v>ACTIVE</v>
      </c>
      <c r="L429" s="71">
        <f>'2024 DO NOT TOUCH'!L430</f>
        <v>44873</v>
      </c>
      <c r="M429" s="58" t="b">
        <f>'2024 DO NOT TOUCH'!M430</f>
        <v>0</v>
      </c>
      <c r="N429" s="59">
        <f>'2024 DO NOT TOUCH'!N430</f>
        <v>0</v>
      </c>
      <c r="O429" s="58">
        <f>'2024 DO NOT TOUCH'!O430</f>
        <v>0</v>
      </c>
      <c r="P429" s="65">
        <f>'2024 DO NOT TOUCH'!P430</f>
        <v>0</v>
      </c>
      <c r="Q429" s="65">
        <f>'2024 DO NOT TOUCH'!Q430</f>
        <v>0</v>
      </c>
      <c r="R429" s="65">
        <f>'2024 DO NOT TOUCH'!R430</f>
        <v>0</v>
      </c>
      <c r="S429" s="62" t="str">
        <f>'2024 DO NOT TOUCH'!S430</f>
        <v>TESTED</v>
      </c>
      <c r="T429" s="62" t="str">
        <f>'2024 DO NOT TOUCH'!T430</f>
        <v>PASSED</v>
      </c>
      <c r="U429" s="62">
        <f>'2024 DO NOT TOUCH'!U430</f>
        <v>0</v>
      </c>
      <c r="V429" s="62">
        <f>'2024 DO NOT TOUCH'!V430</f>
        <v>0</v>
      </c>
      <c r="W429" s="62">
        <f>'2024 DO NOT TOUCH'!W430</f>
        <v>0</v>
      </c>
      <c r="X429" s="65">
        <f>'2024 DO NOT TOUCH'!X430</f>
        <v>0</v>
      </c>
      <c r="Y429" s="62">
        <f>'2024 DO NOT TOUCH'!Y430</f>
        <v>0</v>
      </c>
    </row>
    <row r="430" spans="1:25" ht="19.5" customHeight="1">
      <c r="A430" s="77" t="str">
        <f>'2024 DO NOT TOUCH'!A431</f>
        <v>2452</v>
      </c>
      <c r="B430" s="78" t="str">
        <f>'2024 DO NOT TOUCH'!B431</f>
        <v>RED MORGAN</v>
      </c>
      <c r="C430" s="77" t="str">
        <f>'2024 DO NOT TOUCH'!C431</f>
        <v>1394485</v>
      </c>
      <c r="D430" s="78" t="str">
        <f>'2024 DO NOT TOUCH'!D431</f>
        <v>WILKINS</v>
      </c>
      <c r="E430" s="77" t="str">
        <f>'2024 DO NOT TOUCH'!E431</f>
        <v>975XL</v>
      </c>
      <c r="F430" s="78" t="str">
        <f>'2024 DO NOT TOUCH'!F431</f>
        <v>RP</v>
      </c>
      <c r="G430" s="77" t="str">
        <f>'2024 DO NOT TOUCH'!G431</f>
        <v>0.75</v>
      </c>
      <c r="H430" s="78" t="str">
        <f>'2024 DO NOT TOUCH'!H431</f>
        <v>MECH RM HVAC MAKEUP</v>
      </c>
      <c r="I430" s="77" t="str">
        <f>'2024 DO NOT TOUCH'!I431</f>
        <v>INPREMISE</v>
      </c>
      <c r="J430" s="78" t="str">
        <f>'2024 DO NOT TOUCH'!J431</f>
        <v>AOI</v>
      </c>
      <c r="K430" s="77" t="str">
        <f>'2024 DO NOT TOUCH'!K431</f>
        <v>ACTIVE</v>
      </c>
      <c r="L430" s="79">
        <f>'2024 DO NOT TOUCH'!L431</f>
        <v>44873</v>
      </c>
      <c r="M430" s="77" t="b">
        <f>'2024 DO NOT TOUCH'!M431</f>
        <v>0</v>
      </c>
      <c r="N430" s="78">
        <f>'2024 DO NOT TOUCH'!N431</f>
        <v>45467</v>
      </c>
      <c r="O430" s="77" t="str">
        <f>'2024 DO NOT TOUCH'!O431</f>
        <v>PASS</v>
      </c>
      <c r="P430" s="80">
        <f>'2024 DO NOT TOUCH'!P431</f>
        <v>0</v>
      </c>
      <c r="Q430" s="80">
        <f>'2024 DO NOT TOUCH'!Q431</f>
        <v>0</v>
      </c>
      <c r="R430" s="80">
        <f>'2024 DO NOT TOUCH'!R431</f>
        <v>0</v>
      </c>
      <c r="S430" s="81" t="str">
        <f>'2024 DO NOT TOUCH'!S431</f>
        <v>TESTED</v>
      </c>
      <c r="T430" s="81" t="str">
        <f>'2024 DO NOT TOUCH'!T431</f>
        <v>PASSED</v>
      </c>
      <c r="U430" s="81">
        <f>'2024 DO NOT TOUCH'!U431</f>
        <v>0</v>
      </c>
      <c r="V430" s="81">
        <f>'2024 DO NOT TOUCH'!V431</f>
        <v>0</v>
      </c>
      <c r="W430" s="81" t="e">
        <f>'2024 DO NOT TOUCH'!#REF!</f>
        <v>#REF!</v>
      </c>
      <c r="X430" s="80">
        <f>'2024 DO NOT TOUCH'!X431</f>
        <v>0</v>
      </c>
      <c r="Y430" s="81">
        <f>'2024 DO NOT TOUCH'!Y431</f>
        <v>0</v>
      </c>
    </row>
    <row r="431" spans="1:25" ht="19.5" customHeight="1">
      <c r="A431" s="58" t="str">
        <f>'2024 DO NOT TOUCH'!A432</f>
        <v>2452</v>
      </c>
      <c r="B431" s="59" t="str">
        <f>'2024 DO NOT TOUCH'!B432</f>
        <v>RED MORGAN</v>
      </c>
      <c r="C431" s="58" t="str">
        <f>'2024 DO NOT TOUCH'!C432</f>
        <v>F0303061343</v>
      </c>
      <c r="D431" s="59" t="str">
        <f>'2024 DO NOT TOUCH'!D432</f>
        <v>FEBCO</v>
      </c>
      <c r="E431" s="58" t="str">
        <f>'2024 DO NOT TOUCH'!E432</f>
        <v>870V</v>
      </c>
      <c r="F431" s="59" t="str">
        <f>'2024 DO NOT TOUCH'!F432</f>
        <v>DC</v>
      </c>
      <c r="G431" s="58" t="str">
        <f>'2024 DO NOT TOUCH'!G432</f>
        <v>6.0</v>
      </c>
      <c r="H431" s="59" t="str">
        <f>'2024 DO NOT TOUCH'!H432</f>
        <v>FIRE SYS IN RM 126</v>
      </c>
      <c r="I431" s="58" t="str">
        <f>'2024 DO NOT TOUCH'!I432</f>
        <v>PREMISE</v>
      </c>
      <c r="J431" s="59" t="str">
        <f>'2024 DO NOT TOUCH'!J432</f>
        <v>FIRE</v>
      </c>
      <c r="K431" s="58" t="str">
        <f>'2024 DO NOT TOUCH'!K432</f>
        <v>ACTIVE</v>
      </c>
      <c r="L431" s="71">
        <f>'2024 DO NOT TOUCH'!L432</f>
        <v>44873</v>
      </c>
      <c r="M431" s="58" t="b">
        <f>'2024 DO NOT TOUCH'!M432</f>
        <v>0</v>
      </c>
      <c r="N431" s="59">
        <f>'2024 DO NOT TOUCH'!N432</f>
        <v>45595</v>
      </c>
      <c r="O431" s="58" t="str">
        <f>'2024 DO NOT TOUCH'!O432</f>
        <v>TROUNG</v>
      </c>
      <c r="P431" s="67">
        <f>'2024 DO NOT TOUCH'!P432</f>
        <v>1.8</v>
      </c>
      <c r="Q431" s="67">
        <f>'2024 DO NOT TOUCH'!Q432</f>
        <v>1.7</v>
      </c>
      <c r="R431" s="67">
        <f>'2024 DO NOT TOUCH'!R432</f>
        <v>0</v>
      </c>
      <c r="S431" s="58" t="str">
        <f>'2024 DO NOT TOUCH'!S432</f>
        <v>TESTED</v>
      </c>
      <c r="T431" s="58" t="str">
        <f>'2024 DO NOT TOUCH'!T432</f>
        <v>PASSED</v>
      </c>
      <c r="U431" s="58">
        <f>'2024 DO NOT TOUCH'!U432</f>
        <v>0</v>
      </c>
      <c r="V431" s="58">
        <f>'2024 DO NOT TOUCH'!V432</f>
        <v>0</v>
      </c>
      <c r="W431" s="58">
        <f>'2024 DO NOT TOUCH'!W431</f>
        <v>0</v>
      </c>
      <c r="X431" s="67">
        <f>'2024 DO NOT TOUCH'!X432</f>
        <v>0</v>
      </c>
      <c r="Y431" s="58">
        <f>'2024 DO NOT TOUCH'!Y432</f>
        <v>0</v>
      </c>
    </row>
    <row r="432" spans="1:25" ht="19.5" customHeight="1">
      <c r="A432" s="77" t="str">
        <f>'2024 DO NOT TOUCH'!A433</f>
        <v>2459</v>
      </c>
      <c r="B432" s="78" t="str">
        <f>'2024 DO NOT TOUCH'!B433</f>
        <v>BURGER KING</v>
      </c>
      <c r="C432" s="77" t="str">
        <f>'2024 DO NOT TOUCH'!C433</f>
        <v>W078644</v>
      </c>
      <c r="D432" s="78" t="str">
        <f>'2024 DO NOT TOUCH'!D433</f>
        <v>WILKINS</v>
      </c>
      <c r="E432" s="77" t="str">
        <f>'2024 DO NOT TOUCH'!E433</f>
        <v>975XL</v>
      </c>
      <c r="F432" s="78" t="str">
        <f>'2024 DO NOT TOUCH'!F433</f>
        <v>RP</v>
      </c>
      <c r="G432" s="77" t="str">
        <f>'2024 DO NOT TOUCH'!G433</f>
        <v>0.5</v>
      </c>
      <c r="H432" s="78" t="str">
        <f>'2024 DO NOT TOUCH'!H433</f>
        <v>BACK RM SODA FEED</v>
      </c>
      <c r="I432" s="77" t="str">
        <f>'2024 DO NOT TOUCH'!I433</f>
        <v>INPREMISE</v>
      </c>
      <c r="J432" s="78" t="str">
        <f>'2024 DO NOT TOUCH'!J433</f>
        <v>AOI</v>
      </c>
      <c r="K432" s="77" t="str">
        <f>'2024 DO NOT TOUCH'!K433</f>
        <v>ACTIVE</v>
      </c>
      <c r="L432" s="79">
        <f>'2024 DO NOT TOUCH'!L433</f>
        <v>44853</v>
      </c>
      <c r="M432" s="77" t="b">
        <f>'2024 DO NOT TOUCH'!M433</f>
        <v>0</v>
      </c>
      <c r="N432" s="78">
        <f>'2024 DO NOT TOUCH'!N433</f>
        <v>45352</v>
      </c>
      <c r="O432" s="77" t="str">
        <f>'2024 DO NOT TOUCH'!O433</f>
        <v>HAVERON</v>
      </c>
      <c r="P432" s="83">
        <f>'2024 DO NOT TOUCH'!P433</f>
        <v>0</v>
      </c>
      <c r="Q432" s="83">
        <f>'2024 DO NOT TOUCH'!Q433</f>
        <v>0</v>
      </c>
      <c r="R432" s="83">
        <f>'2024 DO NOT TOUCH'!R433</f>
        <v>0</v>
      </c>
      <c r="S432" s="77" t="str">
        <f>'2024 DO NOT TOUCH'!S433</f>
        <v>TESTED</v>
      </c>
      <c r="T432" s="77" t="str">
        <f>'2024 DO NOT TOUCH'!T433</f>
        <v>PASSED</v>
      </c>
      <c r="U432" s="77">
        <f>'2024 DO NOT TOUCH'!U433</f>
        <v>0</v>
      </c>
      <c r="V432" s="77">
        <f>'2024 DO NOT TOUCH'!V433</f>
        <v>0</v>
      </c>
      <c r="W432" s="77">
        <f>'2024 DO NOT TOUCH'!W433</f>
        <v>0</v>
      </c>
      <c r="X432" s="83">
        <f>'2024 DO NOT TOUCH'!X433</f>
        <v>0</v>
      </c>
      <c r="Y432" s="77">
        <f>'2024 DO NOT TOUCH'!Y433</f>
        <v>0</v>
      </c>
    </row>
    <row r="433" spans="1:25" ht="19.5" customHeight="1">
      <c r="A433" s="58" t="str">
        <f>'2024 DO NOT TOUCH'!A434</f>
        <v>2459</v>
      </c>
      <c r="B433" s="59" t="str">
        <f>'2024 DO NOT TOUCH'!B434</f>
        <v>BURGER KING</v>
      </c>
      <c r="C433" s="58" t="str">
        <f>'2024 DO NOT TOUCH'!C434</f>
        <v>W358543</v>
      </c>
      <c r="D433" s="59" t="str">
        <f>'2024 DO NOT TOUCH'!D434</f>
        <v>WILKINS</v>
      </c>
      <c r="E433" s="58" t="str">
        <f>'2024 DO NOT TOUCH'!E434</f>
        <v>975XL</v>
      </c>
      <c r="F433" s="59" t="str">
        <f>'2024 DO NOT TOUCH'!F434</f>
        <v>RP</v>
      </c>
      <c r="G433" s="58" t="str">
        <f>'2024 DO NOT TOUCH'!G434</f>
        <v>0.5</v>
      </c>
      <c r="H433" s="59" t="str">
        <f>'2024 DO NOT TOUCH'!H434</f>
        <v>ICE MACHINE FEED</v>
      </c>
      <c r="I433" s="58" t="str">
        <f>'2024 DO NOT TOUCH'!I434</f>
        <v>INPREMISE</v>
      </c>
      <c r="J433" s="59" t="str">
        <f>'2024 DO NOT TOUCH'!J434</f>
        <v>AOI</v>
      </c>
      <c r="K433" s="58" t="str">
        <f>'2024 DO NOT TOUCH'!K434</f>
        <v>ACTIVE</v>
      </c>
      <c r="L433" s="71">
        <f>'2024 DO NOT TOUCH'!L434</f>
        <v>44614</v>
      </c>
      <c r="M433" s="58" t="b">
        <f>'2024 DO NOT TOUCH'!M434</f>
        <v>0</v>
      </c>
      <c r="N433" s="59">
        <f>'2024 DO NOT TOUCH'!N434</f>
        <v>45352</v>
      </c>
      <c r="O433" s="58" t="str">
        <f>'2024 DO NOT TOUCH'!O434</f>
        <v>HAVERON</v>
      </c>
      <c r="P433" s="65">
        <f>'2024 DO NOT TOUCH'!P434</f>
        <v>0</v>
      </c>
      <c r="Q433" s="65">
        <f>'2024 DO NOT TOUCH'!Q434</f>
        <v>0</v>
      </c>
      <c r="R433" s="65">
        <f>'2024 DO NOT TOUCH'!R434</f>
        <v>0</v>
      </c>
      <c r="S433" s="62" t="str">
        <f>'2024 DO NOT TOUCH'!S434</f>
        <v>TESTED</v>
      </c>
      <c r="T433" s="62" t="str">
        <f>'2024 DO NOT TOUCH'!T434</f>
        <v>PASSED</v>
      </c>
      <c r="U433" s="62">
        <f>'2024 DO NOT TOUCH'!U434</f>
        <v>0</v>
      </c>
      <c r="V433" s="62">
        <f>'2024 DO NOT TOUCH'!V434</f>
        <v>0</v>
      </c>
      <c r="W433" s="62">
        <f>'2024 DO NOT TOUCH'!W434</f>
        <v>0</v>
      </c>
      <c r="X433" s="65">
        <f>'2024 DO NOT TOUCH'!X434</f>
        <v>0</v>
      </c>
      <c r="Y433" s="62">
        <f>'2024 DO NOT TOUCH'!Y434</f>
        <v>0</v>
      </c>
    </row>
    <row r="434" spans="1:25" ht="19.5" customHeight="1">
      <c r="A434" s="55" t="str">
        <f>'2024 DO NOT TOUCH'!A435</f>
        <v>2459</v>
      </c>
      <c r="B434" s="3" t="str">
        <f>'2024 DO NOT TOUCH'!B435</f>
        <v>BURGER KING</v>
      </c>
      <c r="C434" s="55" t="str">
        <f>'2024 DO NOT TOUCH'!C435</f>
        <v>U00479</v>
      </c>
      <c r="D434" s="3" t="str">
        <f>'2024 DO NOT TOUCH'!D435</f>
        <v>WILKINS</v>
      </c>
      <c r="E434" s="55" t="str">
        <f>'2024 DO NOT TOUCH'!E435</f>
        <v>350A</v>
      </c>
      <c r="F434" s="3" t="str">
        <f>'2024 DO NOT TOUCH'!F435</f>
        <v>DC</v>
      </c>
      <c r="G434" s="55" t="str">
        <f>'2024 DO NOT TOUCH'!G435</f>
        <v>4.0</v>
      </c>
      <c r="H434" s="3" t="str">
        <f>'2024 DO NOT TOUCH'!H435</f>
        <v>BACK RM ON FIRE SYS</v>
      </c>
      <c r="I434" s="55" t="str">
        <f>'2024 DO NOT TOUCH'!I435</f>
        <v>PREMISE</v>
      </c>
      <c r="J434" s="3" t="str">
        <f>'2024 DO NOT TOUCH'!J435</f>
        <v>FIRE</v>
      </c>
      <c r="K434" s="55" t="str">
        <f>'2024 DO NOT TOUCH'!K435</f>
        <v>ACTIVE</v>
      </c>
      <c r="L434" s="72">
        <f>'2024 DO NOT TOUCH'!L435</f>
        <v>44614</v>
      </c>
      <c r="M434" s="55" t="b">
        <f>'2024 DO NOT TOUCH'!M435</f>
        <v>0</v>
      </c>
      <c r="N434" s="3">
        <f>'2024 DO NOT TOUCH'!N435</f>
        <v>45352</v>
      </c>
      <c r="O434" s="55" t="str">
        <f>'2024 DO NOT TOUCH'!O435</f>
        <v>HAVERON</v>
      </c>
      <c r="P434" s="64">
        <f>'2024 DO NOT TOUCH'!P435</f>
        <v>0</v>
      </c>
      <c r="Q434" s="64">
        <f>'2024 DO NOT TOUCH'!Q435</f>
        <v>0</v>
      </c>
      <c r="R434" s="64">
        <f>'2024 DO NOT TOUCH'!R435</f>
        <v>0</v>
      </c>
      <c r="S434" s="57" t="str">
        <f>'2024 DO NOT TOUCH'!S435</f>
        <v>TESTED</v>
      </c>
      <c r="T434" s="57" t="str">
        <f>'2024 DO NOT TOUCH'!T435</f>
        <v>PASSED</v>
      </c>
      <c r="U434" s="57">
        <f>'2024 DO NOT TOUCH'!U435</f>
        <v>0</v>
      </c>
      <c r="V434" s="57">
        <f>'2024 DO NOT TOUCH'!V435</f>
        <v>0</v>
      </c>
      <c r="W434" s="57">
        <f>'2024 DO NOT TOUCH'!W435</f>
        <v>0</v>
      </c>
      <c r="X434" s="64">
        <f>'2024 DO NOT TOUCH'!X435</f>
        <v>0</v>
      </c>
      <c r="Y434" s="57">
        <f>'2024 DO NOT TOUCH'!Y435</f>
        <v>0</v>
      </c>
    </row>
    <row r="435" spans="1:25" ht="19.5" customHeight="1">
      <c r="A435" s="58" t="str">
        <f>'2024 DO NOT TOUCH'!A436</f>
        <v>2459</v>
      </c>
      <c r="B435" s="59" t="str">
        <f>'2024 DO NOT TOUCH'!B436</f>
        <v>BURGER KING</v>
      </c>
      <c r="C435" s="58" t="str">
        <f>'2024 DO NOT TOUCH'!C436</f>
        <v>P1212</v>
      </c>
      <c r="D435" s="59" t="str">
        <f>'2024 DO NOT TOUCH'!D436</f>
        <v>FEBCO</v>
      </c>
      <c r="E435" s="58" t="str">
        <f>'2024 DO NOT TOUCH'!E436</f>
        <v>805</v>
      </c>
      <c r="F435" s="59" t="str">
        <f>'2024 DO NOT TOUCH'!F436</f>
        <v>DC</v>
      </c>
      <c r="G435" s="58" t="str">
        <f>'2024 DO NOT TOUCH'!G436</f>
        <v>2.0</v>
      </c>
      <c r="H435" s="59" t="str">
        <f>'2024 DO NOT TOUCH'!H436</f>
        <v>CORNER OF BLDG NEAR BACK DOOR</v>
      </c>
      <c r="I435" s="58" t="str">
        <f>'2024 DO NOT TOUCH'!I436</f>
        <v>PREMISE</v>
      </c>
      <c r="J435" s="59" t="str">
        <f>'2024 DO NOT TOUCH'!J436</f>
        <v>IRR</v>
      </c>
      <c r="K435" s="58" t="str">
        <f>'2024 DO NOT TOUCH'!K436</f>
        <v>INACTIVE</v>
      </c>
      <c r="L435" s="71">
        <f>'2024 DO NOT TOUCH'!L436</f>
        <v>0</v>
      </c>
      <c r="M435" s="58" t="b">
        <f>'2024 DO NOT TOUCH'!M436</f>
        <v>0</v>
      </c>
      <c r="N435" s="59">
        <f>'2024 DO NOT TOUCH'!N436</f>
        <v>45352</v>
      </c>
      <c r="O435" s="58" t="str">
        <f>'2024 DO NOT TOUCH'!O436</f>
        <v>HAVERON</v>
      </c>
      <c r="P435" s="65">
        <f>'2024 DO NOT TOUCH'!P436</f>
        <v>0</v>
      </c>
      <c r="Q435" s="65">
        <f>'2024 DO NOT TOUCH'!Q436</f>
        <v>0</v>
      </c>
      <c r="R435" s="65">
        <f>'2024 DO NOT TOUCH'!R436</f>
        <v>0</v>
      </c>
      <c r="S435" s="62" t="str">
        <f>'2024 DO NOT TOUCH'!S436</f>
        <v>UNTESTED</v>
      </c>
      <c r="T435" s="62" t="str">
        <f>'2024 DO NOT TOUCH'!T436</f>
        <v>FAILED</v>
      </c>
      <c r="U435" s="62" t="str">
        <f>'2024 DO NOT TOUCH'!U436</f>
        <v>PASSED</v>
      </c>
      <c r="V435" s="62" t="str">
        <f>'2024 DO NOT TOUCH'!V436</f>
        <v>EXISTING</v>
      </c>
      <c r="W435" s="62" t="str">
        <f>'2024 DO NOT TOUCH'!W436</f>
        <v>EXISTING</v>
      </c>
      <c r="X435" s="65">
        <f>'2024 DO NOT TOUCH'!X436</f>
        <v>0</v>
      </c>
      <c r="Y435" s="62" t="str">
        <f>'2024 DO NOT TOUCH'!Y436</f>
        <v>ISOLATED</v>
      </c>
    </row>
    <row r="436" spans="1:25" ht="19.5" customHeight="1">
      <c r="A436" s="55" t="str">
        <f>'2024 DO NOT TOUCH'!A437</f>
        <v>2460</v>
      </c>
      <c r="B436" s="55" t="str">
        <f>'2024 DO NOT TOUCH'!B437</f>
        <v xml:space="preserve">Refill Pharmacy </v>
      </c>
      <c r="C436" s="55" t="str">
        <f>'2024 DO NOT TOUCH'!C437</f>
        <v>A00049</v>
      </c>
      <c r="D436" s="55" t="str">
        <f>'2024 DO NOT TOUCH'!D437</f>
        <v>FEBCO</v>
      </c>
      <c r="E436" s="55" t="str">
        <f>'2024 DO NOT TOUCH'!E437</f>
        <v>LF860</v>
      </c>
      <c r="F436" s="55" t="str">
        <f>'2024 DO NOT TOUCH'!F437</f>
        <v>RP</v>
      </c>
      <c r="G436" s="55" t="str">
        <f>'2024 DO NOT TOUCH'!G437</f>
        <v>1.5</v>
      </c>
      <c r="H436" s="55" t="str">
        <f>'2024 DO NOT TOUCH'!H437</f>
        <v xml:space="preserve">Mech Room </v>
      </c>
      <c r="I436" s="55" t="str">
        <f>'2024 DO NOT TOUCH'!I437</f>
        <v>PREMISE</v>
      </c>
      <c r="J436" s="55" t="str">
        <f>'2024 DO NOT TOUCH'!J437</f>
        <v>PREMISE</v>
      </c>
      <c r="K436" s="55" t="str">
        <f>'2024 DO NOT TOUCH'!K437</f>
        <v>ACTIVE</v>
      </c>
      <c r="L436" s="56">
        <f>'2024 DO NOT TOUCH'!L437</f>
        <v>44896</v>
      </c>
      <c r="M436" s="56" t="b">
        <f>'2024 DO NOT TOUCH'!M437</f>
        <v>0</v>
      </c>
      <c r="N436" s="56">
        <f>'2024 DO NOT TOUCH'!N437</f>
        <v>0</v>
      </c>
      <c r="O436" s="55">
        <f>'2024 DO NOT TOUCH'!O437</f>
        <v>0</v>
      </c>
      <c r="P436" s="64">
        <f>'2024 DO NOT TOUCH'!P437</f>
        <v>0</v>
      </c>
      <c r="Q436" s="64">
        <f>'2024 DO NOT TOUCH'!Q437</f>
        <v>0</v>
      </c>
      <c r="R436" s="64">
        <f>'2024 DO NOT TOUCH'!R437</f>
        <v>0</v>
      </c>
      <c r="S436" s="55" t="str">
        <f>'2024 DO NOT TOUCH'!S437</f>
        <v>TESTED</v>
      </c>
      <c r="T436" s="55" t="str">
        <f>'2024 DO NOT TOUCH'!T437</f>
        <v>PASSED</v>
      </c>
      <c r="U436" s="55">
        <f>'2024 DO NOT TOUCH'!U437</f>
        <v>0</v>
      </c>
      <c r="V436" s="55">
        <f>'2024 DO NOT TOUCH'!V437</f>
        <v>0</v>
      </c>
      <c r="W436" s="55">
        <f>'2024 DO NOT TOUCH'!W437</f>
        <v>0</v>
      </c>
      <c r="X436" s="66">
        <f>'2024 DO NOT TOUCH'!X437</f>
        <v>0</v>
      </c>
      <c r="Y436" s="55">
        <f>'2024 DO NOT TOUCH'!Y437</f>
        <v>0</v>
      </c>
    </row>
    <row r="437" spans="1:25" ht="19.5" customHeight="1">
      <c r="A437" s="58" t="str">
        <f>'2024 DO NOT TOUCH'!A438</f>
        <v>2460</v>
      </c>
      <c r="B437" s="59" t="str">
        <f>'2024 DO NOT TOUCH'!B438</f>
        <v xml:space="preserve">Refill Pharmacy </v>
      </c>
      <c r="C437" s="58" t="str">
        <f>'2024 DO NOT TOUCH'!C438</f>
        <v>V31918</v>
      </c>
      <c r="D437" s="59" t="str">
        <f>'2024 DO NOT TOUCH'!D438</f>
        <v>WILKINS</v>
      </c>
      <c r="E437" s="58" t="str">
        <f>'2024 DO NOT TOUCH'!E438</f>
        <v>350ADA</v>
      </c>
      <c r="F437" s="59" t="str">
        <f>'2024 DO NOT TOUCH'!F438</f>
        <v>DCDA</v>
      </c>
      <c r="G437" s="58" t="str">
        <f>'2024 DO NOT TOUCH'!G438</f>
        <v>4.0</v>
      </c>
      <c r="H437" s="59" t="str">
        <f>'2024 DO NOT TOUCH'!H438</f>
        <v>MECH ROOM</v>
      </c>
      <c r="I437" s="58" t="str">
        <f>'2024 DO NOT TOUCH'!I438</f>
        <v>PREMISE</v>
      </c>
      <c r="J437" s="59" t="str">
        <f>'2024 DO NOT TOUCH'!J438</f>
        <v>FIRE</v>
      </c>
      <c r="K437" s="58" t="str">
        <f>'2024 DO NOT TOUCH'!K438</f>
        <v>ACTIVE</v>
      </c>
      <c r="L437" s="71">
        <f>'2024 DO NOT TOUCH'!L438</f>
        <v>44896</v>
      </c>
      <c r="M437" s="58" t="b">
        <f>'2024 DO NOT TOUCH'!M438</f>
        <v>0</v>
      </c>
      <c r="N437" s="59">
        <f>'2024 DO NOT TOUCH'!N438</f>
        <v>0</v>
      </c>
      <c r="O437" s="58">
        <f>'2024 DO NOT TOUCH'!O438</f>
        <v>0</v>
      </c>
      <c r="P437" s="65">
        <f>'2024 DO NOT TOUCH'!P438</f>
        <v>0</v>
      </c>
      <c r="Q437" s="65">
        <f>'2024 DO NOT TOUCH'!Q438</f>
        <v>0</v>
      </c>
      <c r="R437" s="65">
        <f>'2024 DO NOT TOUCH'!R438</f>
        <v>0</v>
      </c>
      <c r="S437" s="62" t="str">
        <f>'2024 DO NOT TOUCH'!S438</f>
        <v>TESTED</v>
      </c>
      <c r="T437" s="62" t="str">
        <f>'2024 DO NOT TOUCH'!T438</f>
        <v>PASSED</v>
      </c>
      <c r="U437" s="62">
        <f>'2024 DO NOT TOUCH'!U438</f>
        <v>0</v>
      </c>
      <c r="V437" s="62">
        <f>'2024 DO NOT TOUCH'!V438</f>
        <v>0</v>
      </c>
      <c r="W437" s="62">
        <f>'2024 DO NOT TOUCH'!W438</f>
        <v>0</v>
      </c>
      <c r="X437" s="65">
        <f>'2024 DO NOT TOUCH'!X438</f>
        <v>0</v>
      </c>
      <c r="Y437" s="62">
        <f>'2024 DO NOT TOUCH'!Y438</f>
        <v>0</v>
      </c>
    </row>
    <row r="438" spans="1:25" ht="19.5" customHeight="1">
      <c r="A438" s="55" t="str">
        <f>'2024 DO NOT TOUCH'!A439</f>
        <v>2460</v>
      </c>
      <c r="B438" s="3" t="str">
        <f>'2024 DO NOT TOUCH'!B439</f>
        <v xml:space="preserve">Refill Pharmacy </v>
      </c>
      <c r="C438" s="55" t="str">
        <f>'2024 DO NOT TOUCH'!C439</f>
        <v>3570529XLD</v>
      </c>
      <c r="D438" s="3" t="str">
        <f>'2024 DO NOT TOUCH'!D439</f>
        <v>WILKINS</v>
      </c>
      <c r="E438" s="55" t="str">
        <f>'2024 DO NOT TOUCH'!E439</f>
        <v>950XL</v>
      </c>
      <c r="F438" s="3" t="str">
        <f>'2024 DO NOT TOUCH'!F439</f>
        <v>DCDA</v>
      </c>
      <c r="G438" s="55" t="str">
        <f>'2024 DO NOT TOUCH'!G439</f>
        <v>.75</v>
      </c>
      <c r="H438" s="3" t="str">
        <f>'2024 DO NOT TOUCH'!H439</f>
        <v>MECH ROOM DCDA</v>
      </c>
      <c r="I438" s="55" t="str">
        <f>'2024 DO NOT TOUCH'!I439</f>
        <v>PREMISE</v>
      </c>
      <c r="J438" s="3" t="str">
        <f>'2024 DO NOT TOUCH'!J439</f>
        <v>PREMISE</v>
      </c>
      <c r="K438" s="55" t="str">
        <f>'2024 DO NOT TOUCH'!K439</f>
        <v>ACTIVE</v>
      </c>
      <c r="L438" s="72">
        <f>'2024 DO NOT TOUCH'!L439</f>
        <v>44896</v>
      </c>
      <c r="M438" s="55" t="b">
        <f>'2024 DO NOT TOUCH'!M439</f>
        <v>0</v>
      </c>
      <c r="N438" s="3">
        <f>'2024 DO NOT TOUCH'!N439</f>
        <v>0</v>
      </c>
      <c r="O438" s="55">
        <f>'2024 DO NOT TOUCH'!O439</f>
        <v>0</v>
      </c>
      <c r="P438" s="64">
        <f>'2024 DO NOT TOUCH'!P439</f>
        <v>0</v>
      </c>
      <c r="Q438" s="64">
        <f>'2024 DO NOT TOUCH'!Q439</f>
        <v>0</v>
      </c>
      <c r="R438" s="64">
        <f>'2024 DO NOT TOUCH'!R439</f>
        <v>0</v>
      </c>
      <c r="S438" s="57" t="str">
        <f>'2024 DO NOT TOUCH'!S439</f>
        <v>TESTED</v>
      </c>
      <c r="T438" s="57" t="str">
        <f>'2024 DO NOT TOUCH'!T439</f>
        <v>PASSED</v>
      </c>
      <c r="U438" s="57" t="str">
        <f>'2024 DO NOT TOUCH'!U439</f>
        <v>PASSED</v>
      </c>
      <c r="V438" s="57" t="str">
        <f>'2024 DO NOT TOUCH'!V439</f>
        <v>EXISTING</v>
      </c>
      <c r="W438" s="57" t="str">
        <f>'2024 DO NOT TOUCH'!W439</f>
        <v>EXISTING</v>
      </c>
      <c r="X438" s="64">
        <f>'2024 DO NOT TOUCH'!X439</f>
        <v>0</v>
      </c>
      <c r="Y438" s="57">
        <f>'2024 DO NOT TOUCH'!Y439</f>
        <v>0</v>
      </c>
    </row>
    <row r="439" spans="1:25" ht="19.5" customHeight="1">
      <c r="A439" s="58" t="str">
        <f>'2024 DO NOT TOUCH'!A440</f>
        <v>2463</v>
      </c>
      <c r="B439" s="59" t="str">
        <f>'2024 DO NOT TOUCH'!B440</f>
        <v>CLASS SIX</v>
      </c>
      <c r="C439" s="58" t="str">
        <f>'2024 DO NOT TOUCH'!C440</f>
        <v>W358342</v>
      </c>
      <c r="D439" s="59" t="str">
        <f>'2024 DO NOT TOUCH'!D440</f>
        <v>WILKINS</v>
      </c>
      <c r="E439" s="58" t="str">
        <f>'2024 DO NOT TOUCH'!E440</f>
        <v>975XL</v>
      </c>
      <c r="F439" s="59" t="str">
        <f>'2024 DO NOT TOUCH'!F440</f>
        <v>RP</v>
      </c>
      <c r="G439" s="58" t="str">
        <f>'2024 DO NOT TOUCH'!G440</f>
        <v>0.5</v>
      </c>
      <c r="H439" s="59" t="str">
        <f>'2024 DO NOT TOUCH'!H440</f>
        <v>STORAGE RM BECHIND DESK</v>
      </c>
      <c r="I439" s="58" t="str">
        <f>'2024 DO NOT TOUCH'!I440</f>
        <v>INPREMISE</v>
      </c>
      <c r="J439" s="59" t="str">
        <f>'2024 DO NOT TOUCH'!J440</f>
        <v>AOI</v>
      </c>
      <c r="K439" s="58" t="str">
        <f>'2024 DO NOT TOUCH'!K440</f>
        <v>ACTIVE</v>
      </c>
      <c r="L439" s="71">
        <f>'2024 DO NOT TOUCH'!L440</f>
        <v>44861</v>
      </c>
      <c r="M439" s="58" t="b">
        <f>'2024 DO NOT TOUCH'!M440</f>
        <v>0</v>
      </c>
      <c r="N439" s="59">
        <f>'2024 DO NOT TOUCH'!N440</f>
        <v>0</v>
      </c>
      <c r="O439" s="58">
        <f>'2024 DO NOT TOUCH'!O440</f>
        <v>0</v>
      </c>
      <c r="P439" s="65">
        <f>'2024 DO NOT TOUCH'!P440</f>
        <v>0</v>
      </c>
      <c r="Q439" s="65">
        <f>'2024 DO NOT TOUCH'!Q440</f>
        <v>0</v>
      </c>
      <c r="R439" s="65">
        <f>'2024 DO NOT TOUCH'!R440</f>
        <v>0</v>
      </c>
      <c r="S439" s="62" t="str">
        <f>'2024 DO NOT TOUCH'!S440</f>
        <v>UNTESTED</v>
      </c>
      <c r="T439" s="62">
        <f>'2024 DO NOT TOUCH'!T440</f>
        <v>0</v>
      </c>
      <c r="U439" s="62">
        <f>'2024 DO NOT TOUCH'!U440</f>
        <v>0</v>
      </c>
      <c r="V439" s="62">
        <f>'2024 DO NOT TOUCH'!V440</f>
        <v>0</v>
      </c>
      <c r="W439" s="62">
        <f>'2024 DO NOT TOUCH'!W440</f>
        <v>0</v>
      </c>
      <c r="X439" s="65">
        <f>'2024 DO NOT TOUCH'!X440</f>
        <v>0</v>
      </c>
      <c r="Y439" s="62" t="str">
        <f>'2024 DO NOT TOUCH'!Y440</f>
        <v>?SN: 433834/iso</v>
      </c>
    </row>
    <row r="440" spans="1:25" ht="19.5" customHeight="1">
      <c r="A440" s="55" t="str">
        <f>'2024 DO NOT TOUCH'!A441</f>
        <v>2463</v>
      </c>
      <c r="B440" s="3" t="str">
        <f>'2024 DO NOT TOUCH'!B441</f>
        <v>CLASS SIX</v>
      </c>
      <c r="C440" s="55" t="str">
        <f>'2024 DO NOT TOUCH'!C441</f>
        <v>U28839</v>
      </c>
      <c r="D440" s="3" t="str">
        <f>'2024 DO NOT TOUCH'!D441</f>
        <v>WILKINS</v>
      </c>
      <c r="E440" s="55" t="str">
        <f>'2024 DO NOT TOUCH'!E441</f>
        <v>350A</v>
      </c>
      <c r="F440" s="3" t="str">
        <f>'2024 DO NOT TOUCH'!F441</f>
        <v>DC</v>
      </c>
      <c r="G440" s="55" t="str">
        <f>'2024 DO NOT TOUCH'!G441</f>
        <v>4.0</v>
      </c>
      <c r="H440" s="3" t="str">
        <f>'2024 DO NOT TOUCH'!H441</f>
        <v>MECH RM FIRE SYS</v>
      </c>
      <c r="I440" s="55" t="str">
        <f>'2024 DO NOT TOUCH'!I441</f>
        <v>PREMISE</v>
      </c>
      <c r="J440" s="3" t="str">
        <f>'2024 DO NOT TOUCH'!J441</f>
        <v>FIRE</v>
      </c>
      <c r="K440" s="55" t="str">
        <f>'2024 DO NOT TOUCH'!K441</f>
        <v>ACTIVE</v>
      </c>
      <c r="L440" s="72">
        <f>'2024 DO NOT TOUCH'!L441</f>
        <v>44861</v>
      </c>
      <c r="M440" s="55" t="b">
        <f>'2024 DO NOT TOUCH'!M441</f>
        <v>0</v>
      </c>
      <c r="N440" s="3">
        <f>'2024 DO NOT TOUCH'!N441</f>
        <v>0</v>
      </c>
      <c r="O440" s="55">
        <f>'2024 DO NOT TOUCH'!O441</f>
        <v>0</v>
      </c>
      <c r="P440" s="66">
        <f>'2024 DO NOT TOUCH'!P441</f>
        <v>0</v>
      </c>
      <c r="Q440" s="66">
        <f>'2024 DO NOT TOUCH'!Q441</f>
        <v>0</v>
      </c>
      <c r="R440" s="66">
        <f>'2024 DO NOT TOUCH'!R441</f>
        <v>0</v>
      </c>
      <c r="S440" s="55" t="str">
        <f>'2024 DO NOT TOUCH'!S441</f>
        <v>TESTED</v>
      </c>
      <c r="T440" s="55" t="str">
        <f>'2024 DO NOT TOUCH'!T441</f>
        <v>PASSED</v>
      </c>
      <c r="U440" s="55">
        <f>'2024 DO NOT TOUCH'!U441</f>
        <v>0</v>
      </c>
      <c r="V440" s="55">
        <f>'2024 DO NOT TOUCH'!V441</f>
        <v>0</v>
      </c>
      <c r="W440" s="55">
        <f>'2024 DO NOT TOUCH'!W441</f>
        <v>0</v>
      </c>
      <c r="X440" s="66">
        <f>'2024 DO NOT TOUCH'!X441</f>
        <v>0</v>
      </c>
      <c r="Y440" s="55">
        <f>'2024 DO NOT TOUCH'!Y441</f>
        <v>0</v>
      </c>
    </row>
    <row r="441" spans="1:25" ht="19.5" customHeight="1">
      <c r="A441" s="58" t="str">
        <f>'2024 DO NOT TOUCH'!A442</f>
        <v>2463</v>
      </c>
      <c r="B441" s="59" t="str">
        <f>'2024 DO NOT TOUCH'!B442</f>
        <v>CLASS SIX</v>
      </c>
      <c r="C441" s="58" t="str">
        <f>'2024 DO NOT TOUCH'!C442</f>
        <v>019647</v>
      </c>
      <c r="D441" s="59" t="str">
        <f>'2024 DO NOT TOUCH'!D442</f>
        <v>WATTS</v>
      </c>
      <c r="E441" s="58" t="str">
        <f>'2024 DO NOT TOUCH'!E442</f>
        <v>800M4QT</v>
      </c>
      <c r="F441" s="59" t="str">
        <f>'2024 DO NOT TOUCH'!F442</f>
        <v>PVB</v>
      </c>
      <c r="G441" s="58" t="str">
        <f>'2024 DO NOT TOUCH'!G442</f>
        <v>1.5</v>
      </c>
      <c r="H441" s="59" t="str">
        <f>'2024 DO NOT TOUCH'!H442</f>
        <v>FIELD EAST OF CLASS SIX IRRIGATION</v>
      </c>
      <c r="I441" s="58" t="str">
        <f>'2024 DO NOT TOUCH'!I442</f>
        <v>PREMISE</v>
      </c>
      <c r="J441" s="59" t="str">
        <f>'2024 DO NOT TOUCH'!J442</f>
        <v>IRR</v>
      </c>
      <c r="K441" s="58" t="str">
        <f>'2024 DO NOT TOUCH'!K442</f>
        <v>INACTIVE</v>
      </c>
      <c r="L441" s="71">
        <f>'2024 DO NOT TOUCH'!L442</f>
        <v>0</v>
      </c>
      <c r="M441" s="58" t="b">
        <f>'2024 DO NOT TOUCH'!M442</f>
        <v>0</v>
      </c>
      <c r="N441" s="59">
        <f>'2024 DO NOT TOUCH'!N442</f>
        <v>0</v>
      </c>
      <c r="O441" s="58">
        <f>'2024 DO NOT TOUCH'!O442</f>
        <v>0</v>
      </c>
      <c r="P441" s="67">
        <f>'2024 DO NOT TOUCH'!P442</f>
        <v>0</v>
      </c>
      <c r="Q441" s="67">
        <f>'2024 DO NOT TOUCH'!Q442</f>
        <v>0</v>
      </c>
      <c r="R441" s="67">
        <f>'2024 DO NOT TOUCH'!R442</f>
        <v>0</v>
      </c>
      <c r="S441" s="58" t="str">
        <f>'2024 DO NOT TOUCH'!S442</f>
        <v>UNTESTED</v>
      </c>
      <c r="T441" s="58" t="str">
        <f>'2024 DO NOT TOUCH'!T442</f>
        <v>FAILED</v>
      </c>
      <c r="U441" s="58" t="str">
        <f>'2024 DO NOT TOUCH'!U442</f>
        <v>PASSED</v>
      </c>
      <c r="V441" s="58" t="str">
        <f>'2024 DO NOT TOUCH'!V442</f>
        <v>EXISTING</v>
      </c>
      <c r="W441" s="58" t="str">
        <f>'2024 DO NOT TOUCH'!W442</f>
        <v>EXISTING</v>
      </c>
      <c r="X441" s="67">
        <f>'2024 DO NOT TOUCH'!X442</f>
        <v>0</v>
      </c>
      <c r="Y441" s="58">
        <f>'2024 DO NOT TOUCH'!Y442</f>
        <v>0</v>
      </c>
    </row>
    <row r="442" spans="1:25" ht="19.5" customHeight="1">
      <c r="A442" s="77" t="str">
        <f>'2024 DO NOT TOUCH'!A443</f>
        <v>2463</v>
      </c>
      <c r="B442" s="78" t="str">
        <f>'2024 DO NOT TOUCH'!B443</f>
        <v>CLASS SIX</v>
      </c>
      <c r="C442" s="77" t="str">
        <f>'2024 DO NOT TOUCH'!C443</f>
        <v>1941300</v>
      </c>
      <c r="D442" s="78" t="str">
        <f>'2024 DO NOT TOUCH'!D443</f>
        <v>WILKINS</v>
      </c>
      <c r="E442" s="77" t="str">
        <f>'2024 DO NOT TOUCH'!E443</f>
        <v>950XLT</v>
      </c>
      <c r="F442" s="78" t="str">
        <f>'2024 DO NOT TOUCH'!F443</f>
        <v>DC</v>
      </c>
      <c r="G442" s="77" t="str">
        <f>'2024 DO NOT TOUCH'!G443</f>
        <v>1.5</v>
      </c>
      <c r="H442" s="78" t="str">
        <f>'2024 DO NOT TOUCH'!H443</f>
        <v>MECH RM IRRIGATION</v>
      </c>
      <c r="I442" s="77" t="str">
        <f>'2024 DO NOT TOUCH'!I443</f>
        <v>PREMISE</v>
      </c>
      <c r="J442" s="78" t="str">
        <f>'2024 DO NOT TOUCH'!J443</f>
        <v>IRR</v>
      </c>
      <c r="K442" s="77" t="str">
        <f>'2024 DO NOT TOUCH'!K443</f>
        <v>ACTIVE</v>
      </c>
      <c r="L442" s="79">
        <f>'2024 DO NOT TOUCH'!L443</f>
        <v>44767</v>
      </c>
      <c r="M442" s="77" t="b">
        <f>'2024 DO NOT TOUCH'!M443</f>
        <v>0</v>
      </c>
      <c r="N442" s="78">
        <f>'2024 DO NOT TOUCH'!N443</f>
        <v>0</v>
      </c>
      <c r="O442" s="77">
        <f>'2024 DO NOT TOUCH'!O443</f>
        <v>0</v>
      </c>
      <c r="P442" s="80">
        <f>'2024 DO NOT TOUCH'!P443</f>
        <v>0</v>
      </c>
      <c r="Q442" s="80">
        <f>'2024 DO NOT TOUCH'!Q443</f>
        <v>0</v>
      </c>
      <c r="R442" s="80">
        <f>'2024 DO NOT TOUCH'!R443</f>
        <v>0</v>
      </c>
      <c r="S442" s="81" t="str">
        <f>'2024 DO NOT TOUCH'!S443</f>
        <v>UNTESTED</v>
      </c>
      <c r="T442" s="81" t="str">
        <f>'2024 DO NOT TOUCH'!T443</f>
        <v>FAILED</v>
      </c>
      <c r="U442" s="81" t="str">
        <f>'2024 DO NOT TOUCH'!U443</f>
        <v>PASSED</v>
      </c>
      <c r="V442" s="81" t="str">
        <f>'2024 DO NOT TOUCH'!V443</f>
        <v>EXISTING</v>
      </c>
      <c r="W442" s="81" t="str">
        <f>'2024 DO NOT TOUCH'!W443</f>
        <v>EXISTING</v>
      </c>
      <c r="X442" s="80">
        <f>'2024 DO NOT TOUCH'!X443</f>
        <v>0</v>
      </c>
      <c r="Y442" s="81">
        <f>'2024 DO NOT TOUCH'!Y443</f>
        <v>0</v>
      </c>
    </row>
    <row r="443" spans="1:25" ht="19.5" customHeight="1">
      <c r="A443" s="58" t="str">
        <f>'2024 DO NOT TOUCH'!A444</f>
        <v>2464</v>
      </c>
      <c r="B443" s="59" t="str">
        <f>'2024 DO NOT TOUCH'!B444</f>
        <v>COMMISSARY</v>
      </c>
      <c r="C443" s="58" t="str">
        <f>'2024 DO NOT TOUCH'!C444</f>
        <v>258198</v>
      </c>
      <c r="D443" s="59" t="str">
        <f>'2024 DO NOT TOUCH'!D444</f>
        <v>WILKINS</v>
      </c>
      <c r="E443" s="58" t="str">
        <f>'2024 DO NOT TOUCH'!E444</f>
        <v>950XL</v>
      </c>
      <c r="F443" s="59" t="str">
        <f>'2024 DO NOT TOUCH'!F444</f>
        <v>DC</v>
      </c>
      <c r="G443" s="58" t="str">
        <f>'2024 DO NOT TOUCH'!G444</f>
        <v>2.0</v>
      </c>
      <c r="H443" s="59" t="str">
        <f>'2024 DO NOT TOUCH'!H444</f>
        <v>FRONT OF COMMISSARY IN FRONT OF HYDRANT</v>
      </c>
      <c r="I443" s="58" t="str">
        <f>'2024 DO NOT TOUCH'!I444</f>
        <v>PREMISE</v>
      </c>
      <c r="J443" s="59" t="str">
        <f>'2024 DO NOT TOUCH'!J444</f>
        <v>IRR</v>
      </c>
      <c r="K443" s="58" t="str">
        <f>'2024 DO NOT TOUCH'!K444</f>
        <v>ACTIVE</v>
      </c>
      <c r="L443" s="71">
        <f>'2024 DO NOT TOUCH'!L444</f>
        <v>44739</v>
      </c>
      <c r="M443" s="58" t="b">
        <f>'2024 DO NOT TOUCH'!M444</f>
        <v>0</v>
      </c>
      <c r="N443" s="59">
        <f>'2024 DO NOT TOUCH'!N444</f>
        <v>0</v>
      </c>
      <c r="O443" s="58">
        <f>'2024 DO NOT TOUCH'!O444</f>
        <v>0</v>
      </c>
      <c r="P443" s="65">
        <f>'2024 DO NOT TOUCH'!P444</f>
        <v>0</v>
      </c>
      <c r="Q443" s="65">
        <f>'2024 DO NOT TOUCH'!Q444</f>
        <v>0</v>
      </c>
      <c r="R443" s="65">
        <f>'2024 DO NOT TOUCH'!R444</f>
        <v>0</v>
      </c>
      <c r="S443" s="62" t="str">
        <f>'2024 DO NOT TOUCH'!S444</f>
        <v>TESTED</v>
      </c>
      <c r="T443" s="62" t="str">
        <f>'2024 DO NOT TOUCH'!T444</f>
        <v>PASSED</v>
      </c>
      <c r="U443" s="62">
        <f>'2024 DO NOT TOUCH'!U444</f>
        <v>0</v>
      </c>
      <c r="V443" s="62">
        <f>'2024 DO NOT TOUCH'!V444</f>
        <v>0</v>
      </c>
      <c r="W443" s="62">
        <f>'2024 DO NOT TOUCH'!W444</f>
        <v>0</v>
      </c>
      <c r="X443" s="65">
        <f>'2024 DO NOT TOUCH'!X444</f>
        <v>0</v>
      </c>
      <c r="Y443" s="62">
        <f>'2024 DO NOT TOUCH'!Y444</f>
        <v>0</v>
      </c>
    </row>
    <row r="444" spans="1:25" ht="19.5" customHeight="1">
      <c r="A444" s="77" t="str">
        <f>'2024 DO NOT TOUCH'!A445</f>
        <v>2464</v>
      </c>
      <c r="B444" s="78" t="str">
        <f>'2024 DO NOT TOUCH'!B445</f>
        <v>COMMISSARY</v>
      </c>
      <c r="C444" s="77" t="str">
        <f>'2024 DO NOT TOUCH'!C445</f>
        <v>308696</v>
      </c>
      <c r="D444" s="78" t="str">
        <f>'2024 DO NOT TOUCH'!D445</f>
        <v>WILKINS</v>
      </c>
      <c r="E444" s="77" t="str">
        <f>'2024 DO NOT TOUCH'!E445</f>
        <v>950XL</v>
      </c>
      <c r="F444" s="78" t="str">
        <f>'2024 DO NOT TOUCH'!F445</f>
        <v>DC</v>
      </c>
      <c r="G444" s="77" t="str">
        <f>'2024 DO NOT TOUCH'!G445</f>
        <v>2.0</v>
      </c>
      <c r="H444" s="78" t="str">
        <f>'2024 DO NOT TOUCH'!H445</f>
        <v>MIDDLE OF FIELD IN FORNT OF HYDRANT</v>
      </c>
      <c r="I444" s="77" t="str">
        <f>'2024 DO NOT TOUCH'!I445</f>
        <v>PREMISE</v>
      </c>
      <c r="J444" s="78" t="str">
        <f>'2024 DO NOT TOUCH'!J445</f>
        <v>IRR</v>
      </c>
      <c r="K444" s="77" t="str">
        <f>'2024 DO NOT TOUCH'!K445</f>
        <v>ACTIVE</v>
      </c>
      <c r="L444" s="79">
        <f>'2024 DO NOT TOUCH'!L445</f>
        <v>44739</v>
      </c>
      <c r="M444" s="77" t="b">
        <f>'2024 DO NOT TOUCH'!M445</f>
        <v>0</v>
      </c>
      <c r="N444" s="78">
        <f>'2024 DO NOT TOUCH'!N445</f>
        <v>0</v>
      </c>
      <c r="O444" s="77">
        <f>'2024 DO NOT TOUCH'!O445</f>
        <v>0</v>
      </c>
      <c r="P444" s="80">
        <f>'2024 DO NOT TOUCH'!P445</f>
        <v>0</v>
      </c>
      <c r="Q444" s="80">
        <f>'2024 DO NOT TOUCH'!Q445</f>
        <v>0</v>
      </c>
      <c r="R444" s="80">
        <f>'2024 DO NOT TOUCH'!R445</f>
        <v>0</v>
      </c>
      <c r="S444" s="81" t="str">
        <f>'2024 DO NOT TOUCH'!S445</f>
        <v>TESTED</v>
      </c>
      <c r="T444" s="81" t="str">
        <f>'2024 DO NOT TOUCH'!T445</f>
        <v>PASSED</v>
      </c>
      <c r="U444" s="81">
        <f>'2024 DO NOT TOUCH'!U445</f>
        <v>0</v>
      </c>
      <c r="V444" s="81">
        <f>'2024 DO NOT TOUCH'!V445</f>
        <v>0</v>
      </c>
      <c r="W444" s="81">
        <f>'2024 DO NOT TOUCH'!W445</f>
        <v>0</v>
      </c>
      <c r="X444" s="80" t="str">
        <f>'2024 DO NOT TOUCH'!X445</f>
        <v>208696</v>
      </c>
      <c r="Y444" s="81" t="str">
        <f>'2024 DO NOT TOUCH'!Y445</f>
        <v xml:space="preserve">Old S# </v>
      </c>
    </row>
    <row r="445" spans="1:25" ht="19.5" customHeight="1">
      <c r="A445" s="58" t="str">
        <f>'2024 DO NOT TOUCH'!A446</f>
        <v>2464</v>
      </c>
      <c r="B445" s="59" t="str">
        <f>'2024 DO NOT TOUCH'!B446</f>
        <v>COMMISSARY</v>
      </c>
      <c r="C445" s="58" t="str">
        <f>'2024 DO NOT TOUCH'!C446</f>
        <v>U00356</v>
      </c>
      <c r="D445" s="59" t="str">
        <f>'2024 DO NOT TOUCH'!D446</f>
        <v>WILKINS</v>
      </c>
      <c r="E445" s="58" t="str">
        <f>'2024 DO NOT TOUCH'!E446</f>
        <v>350A</v>
      </c>
      <c r="F445" s="59" t="str">
        <f>'2024 DO NOT TOUCH'!F446</f>
        <v>DC</v>
      </c>
      <c r="G445" s="58" t="str">
        <f>'2024 DO NOT TOUCH'!G446</f>
        <v>6.0</v>
      </c>
      <c r="H445" s="59" t="str">
        <f>'2024 DO NOT TOUCH'!H446</f>
        <v xml:space="preserve">MECH ROOM </v>
      </c>
      <c r="I445" s="58" t="str">
        <f>'2024 DO NOT TOUCH'!I446</f>
        <v>PREMISE</v>
      </c>
      <c r="J445" s="59" t="str">
        <f>'2024 DO NOT TOUCH'!J446</f>
        <v>FIRE</v>
      </c>
      <c r="K445" s="58" t="str">
        <f>'2024 DO NOT TOUCH'!K446</f>
        <v>ACTIVE</v>
      </c>
      <c r="L445" s="71">
        <f>'2024 DO NOT TOUCH'!L446</f>
        <v>44739</v>
      </c>
      <c r="M445" s="58" t="b">
        <f>'2024 DO NOT TOUCH'!M446</f>
        <v>0</v>
      </c>
      <c r="N445" s="59">
        <f>'2024 DO NOT TOUCH'!N446</f>
        <v>0</v>
      </c>
      <c r="O445" s="58">
        <f>'2024 DO NOT TOUCH'!O446</f>
        <v>0</v>
      </c>
      <c r="P445" s="67">
        <f>'2024 DO NOT TOUCH'!P446</f>
        <v>0</v>
      </c>
      <c r="Q445" s="67">
        <f>'2024 DO NOT TOUCH'!Q446</f>
        <v>0</v>
      </c>
      <c r="R445" s="67">
        <f>'2024 DO NOT TOUCH'!R446</f>
        <v>0</v>
      </c>
      <c r="S445" s="58" t="str">
        <f>'2024 DO NOT TOUCH'!S446</f>
        <v>TESTED</v>
      </c>
      <c r="T445" s="58" t="str">
        <f>'2024 DO NOT TOUCH'!T446</f>
        <v>PASSED</v>
      </c>
      <c r="U445" s="58" t="str">
        <f>'2024 DO NOT TOUCH'!U446</f>
        <v>PASSED</v>
      </c>
      <c r="V445" s="58" t="str">
        <f>'2024 DO NOT TOUCH'!V446</f>
        <v>EXISTING</v>
      </c>
      <c r="W445" s="58" t="str">
        <f>'2024 DO NOT TOUCH'!W446</f>
        <v>EXISTING</v>
      </c>
      <c r="X445" s="67">
        <f>'2024 DO NOT TOUCH'!X446</f>
        <v>0</v>
      </c>
      <c r="Y445" s="58">
        <f>'2024 DO NOT TOUCH'!Y446</f>
        <v>0</v>
      </c>
    </row>
    <row r="446" spans="1:25" ht="19.5" customHeight="1">
      <c r="A446" s="77" t="str">
        <f>'2024 DO NOT TOUCH'!A447</f>
        <v>2465</v>
      </c>
      <c r="B446" s="78" t="str">
        <f>'2024 DO NOT TOUCH'!B447</f>
        <v>BASE EXCHANGE</v>
      </c>
      <c r="C446" s="77" t="str">
        <f>'2024 DO NOT TOUCH'!C447</f>
        <v>164610</v>
      </c>
      <c r="D446" s="78" t="str">
        <f>'2024 DO NOT TOUCH'!D447</f>
        <v>WATTS</v>
      </c>
      <c r="E446" s="77" t="str">
        <f>'2024 DO NOT TOUCH'!E447</f>
        <v>909QT</v>
      </c>
      <c r="F446" s="78" t="str">
        <f>'2024 DO NOT TOUCH'!F447</f>
        <v>RP</v>
      </c>
      <c r="G446" s="77" t="str">
        <f>'2024 DO NOT TOUCH'!G447</f>
        <v>0.75</v>
      </c>
      <c r="H446" s="78" t="str">
        <f>'2024 DO NOT TOUCH'!H447</f>
        <v>MECH RM HVAC MAKEUP</v>
      </c>
      <c r="I446" s="77" t="str">
        <f>'2024 DO NOT TOUCH'!I447</f>
        <v>INPREMISE</v>
      </c>
      <c r="J446" s="78" t="str">
        <f>'2024 DO NOT TOUCH'!J447</f>
        <v>AOI</v>
      </c>
      <c r="K446" s="77" t="str">
        <f>'2024 DO NOT TOUCH'!K447</f>
        <v>ACTIVE</v>
      </c>
      <c r="L446" s="79">
        <f>'2024 DO NOT TOUCH'!L447</f>
        <v>44614</v>
      </c>
      <c r="M446" s="77" t="b">
        <f>'2024 DO NOT TOUCH'!M447</f>
        <v>0</v>
      </c>
      <c r="N446" s="78">
        <f>'2024 DO NOT TOUCH'!N447</f>
        <v>0</v>
      </c>
      <c r="O446" s="77">
        <f>'2024 DO NOT TOUCH'!O447</f>
        <v>0</v>
      </c>
      <c r="P446" s="83">
        <f>'2024 DO NOT TOUCH'!P447</f>
        <v>0</v>
      </c>
      <c r="Q446" s="83">
        <f>'2024 DO NOT TOUCH'!Q447</f>
        <v>0</v>
      </c>
      <c r="R446" s="83">
        <f>'2024 DO NOT TOUCH'!R447</f>
        <v>0</v>
      </c>
      <c r="S446" s="77" t="str">
        <f>'2024 DO NOT TOUCH'!S447</f>
        <v>TESTED</v>
      </c>
      <c r="T446" s="77" t="str">
        <f>'2024 DO NOT TOUCH'!T447</f>
        <v>PASSED</v>
      </c>
      <c r="U446" s="77">
        <f>'2024 DO NOT TOUCH'!U447</f>
        <v>0</v>
      </c>
      <c r="V446" s="77">
        <f>'2024 DO NOT TOUCH'!V447</f>
        <v>0</v>
      </c>
      <c r="W446" s="77">
        <f>'2024 DO NOT TOUCH'!W447</f>
        <v>0</v>
      </c>
      <c r="X446" s="83">
        <f>'2024 DO NOT TOUCH'!X447</f>
        <v>0</v>
      </c>
      <c r="Y446" s="77">
        <f>'2024 DO NOT TOUCH'!Y447</f>
        <v>0</v>
      </c>
    </row>
    <row r="447" spans="1:25" ht="19.5" customHeight="1">
      <c r="A447" s="58" t="str">
        <f>'2024 DO NOT TOUCH'!A448</f>
        <v>2465</v>
      </c>
      <c r="B447" s="59" t="str">
        <f>'2024 DO NOT TOUCH'!B448</f>
        <v>BASE EXCHANGE</v>
      </c>
      <c r="C447" s="58" t="str">
        <f>'2024 DO NOT TOUCH'!C448</f>
        <v>W358573</v>
      </c>
      <c r="D447" s="59" t="str">
        <f>'2024 DO NOT TOUCH'!D448</f>
        <v>WILKINS</v>
      </c>
      <c r="E447" s="58" t="str">
        <f>'2024 DO NOT TOUCH'!E448</f>
        <v>975XL</v>
      </c>
      <c r="F447" s="59" t="str">
        <f>'2024 DO NOT TOUCH'!F448</f>
        <v>RP</v>
      </c>
      <c r="G447" s="58" t="str">
        <f>'2024 DO NOT TOUCH'!G448</f>
        <v>0.5</v>
      </c>
      <c r="H447" s="59" t="str">
        <f>'2024 DO NOT TOUCH'!H448</f>
        <v>FOOD COURT SODA MACHINES</v>
      </c>
      <c r="I447" s="58" t="str">
        <f>'2024 DO NOT TOUCH'!I448</f>
        <v>INPREMISE</v>
      </c>
      <c r="J447" s="59" t="str">
        <f>'2024 DO NOT TOUCH'!J448</f>
        <v>AOI</v>
      </c>
      <c r="K447" s="58" t="str">
        <f>'2024 DO NOT TOUCH'!K448</f>
        <v>ACTIVE</v>
      </c>
      <c r="L447" s="71">
        <f>'2024 DO NOT TOUCH'!L448</f>
        <v>44754</v>
      </c>
      <c r="M447" s="58" t="b">
        <f>'2024 DO NOT TOUCH'!M448</f>
        <v>0</v>
      </c>
      <c r="N447" s="59">
        <f>'2024 DO NOT TOUCH'!N448</f>
        <v>0</v>
      </c>
      <c r="O447" s="58">
        <f>'2024 DO NOT TOUCH'!O448</f>
        <v>0</v>
      </c>
      <c r="P447" s="65">
        <f>'2024 DO NOT TOUCH'!P448</f>
        <v>0</v>
      </c>
      <c r="Q447" s="65">
        <f>'2024 DO NOT TOUCH'!Q448</f>
        <v>0</v>
      </c>
      <c r="R447" s="65">
        <f>'2024 DO NOT TOUCH'!R448</f>
        <v>0</v>
      </c>
      <c r="S447" s="62" t="str">
        <f>'2024 DO NOT TOUCH'!S448</f>
        <v>TESTED</v>
      </c>
      <c r="T447" s="62" t="str">
        <f>'2024 DO NOT TOUCH'!T448</f>
        <v>PASSED</v>
      </c>
      <c r="U447" s="62">
        <f>'2024 DO NOT TOUCH'!U448</f>
        <v>0</v>
      </c>
      <c r="V447" s="62">
        <f>'2024 DO NOT TOUCH'!V448</f>
        <v>0</v>
      </c>
      <c r="W447" s="62">
        <f>'2024 DO NOT TOUCH'!W448</f>
        <v>0</v>
      </c>
      <c r="X447" s="65" t="str">
        <f>'2024 DO NOT TOUCH'!X448</f>
        <v>H04972</v>
      </c>
      <c r="Y447" s="62" t="str">
        <f>'2024 DO NOT TOUCH'!Y448</f>
        <v>SODA MACHINES REMOVED</v>
      </c>
    </row>
    <row r="448" spans="1:25" ht="19.5" customHeight="1">
      <c r="A448" s="55" t="str">
        <f>'2024 DO NOT TOUCH'!A449</f>
        <v>2465</v>
      </c>
      <c r="B448" s="3" t="str">
        <f>'2024 DO NOT TOUCH'!B449</f>
        <v>BASE EXCHANGE</v>
      </c>
      <c r="C448" s="55" t="str">
        <f>'2024 DO NOT TOUCH'!C449</f>
        <v>U28854</v>
      </c>
      <c r="D448" s="3" t="str">
        <f>'2024 DO NOT TOUCH'!D449</f>
        <v>WILKINS</v>
      </c>
      <c r="E448" s="55" t="str">
        <f>'2024 DO NOT TOUCH'!E449</f>
        <v>350A</v>
      </c>
      <c r="F448" s="3" t="str">
        <f>'2024 DO NOT TOUCH'!F449</f>
        <v>DC</v>
      </c>
      <c r="G448" s="55" t="str">
        <f>'2024 DO NOT TOUCH'!G449</f>
        <v>8.0</v>
      </c>
      <c r="H448" s="3" t="str">
        <f>'2024 DO NOT TOUCH'!H449</f>
        <v>MECH RM FIRE SYS</v>
      </c>
      <c r="I448" s="55" t="str">
        <f>'2024 DO NOT TOUCH'!I449</f>
        <v>PREMISE</v>
      </c>
      <c r="J448" s="3" t="str">
        <f>'2024 DO NOT TOUCH'!J449</f>
        <v>FIRE</v>
      </c>
      <c r="K448" s="55" t="str">
        <f>'2024 DO NOT TOUCH'!K449</f>
        <v>ACTIVE</v>
      </c>
      <c r="L448" s="72">
        <f>'2024 DO NOT TOUCH'!L449</f>
        <v>44754</v>
      </c>
      <c r="M448" s="55" t="b">
        <f>'2024 DO NOT TOUCH'!M449</f>
        <v>0</v>
      </c>
      <c r="N448" s="3">
        <f>'2024 DO NOT TOUCH'!N449</f>
        <v>0</v>
      </c>
      <c r="O448" s="55">
        <f>'2024 DO NOT TOUCH'!O449</f>
        <v>0</v>
      </c>
      <c r="P448" s="64">
        <f>'2024 DO NOT TOUCH'!P449</f>
        <v>0</v>
      </c>
      <c r="Q448" s="64">
        <f>'2024 DO NOT TOUCH'!Q449</f>
        <v>0</v>
      </c>
      <c r="R448" s="64">
        <f>'2024 DO NOT TOUCH'!R449</f>
        <v>0</v>
      </c>
      <c r="S448" s="57" t="str">
        <f>'2024 DO NOT TOUCH'!S449</f>
        <v>TESTED</v>
      </c>
      <c r="T448" s="57" t="str">
        <f>'2024 DO NOT TOUCH'!T449</f>
        <v>PASSED</v>
      </c>
      <c r="U448" s="57">
        <f>'2024 DO NOT TOUCH'!U449</f>
        <v>0</v>
      </c>
      <c r="V448" s="57">
        <f>'2024 DO NOT TOUCH'!V449</f>
        <v>0</v>
      </c>
      <c r="W448" s="57">
        <f>'2024 DO NOT TOUCH'!W449</f>
        <v>0</v>
      </c>
      <c r="X448" s="64">
        <f>'2024 DO NOT TOUCH'!X449</f>
        <v>0</v>
      </c>
      <c r="Y448" s="57">
        <f>'2024 DO NOT TOUCH'!Y449</f>
        <v>0</v>
      </c>
    </row>
    <row r="449" spans="1:25" ht="19.5" customHeight="1">
      <c r="A449" s="58" t="str">
        <f>'2024 DO NOT TOUCH'!A450</f>
        <v>2465</v>
      </c>
      <c r="B449" s="59" t="str">
        <f>'2024 DO NOT TOUCH'!B450</f>
        <v>BASE EXCHANGE</v>
      </c>
      <c r="C449" s="58" t="str">
        <f>'2024 DO NOT TOUCH'!C450</f>
        <v>9808261335</v>
      </c>
      <c r="D449" s="59" t="str">
        <f>'2024 DO NOT TOUCH'!D450</f>
        <v>FEBCO</v>
      </c>
      <c r="E449" s="58" t="str">
        <f>'2024 DO NOT TOUCH'!E450</f>
        <v>850</v>
      </c>
      <c r="F449" s="59" t="str">
        <f>'2024 DO NOT TOUCH'!F450</f>
        <v>DC</v>
      </c>
      <c r="G449" s="58" t="str">
        <f>'2024 DO NOT TOUCH'!G450</f>
        <v>4.0</v>
      </c>
      <c r="H449" s="59" t="str">
        <f>'2024 DO NOT TOUCH'!H450</f>
        <v>GARDEN CENTER MECH RM FIRE SYS</v>
      </c>
      <c r="I449" s="58" t="str">
        <f>'2024 DO NOT TOUCH'!I450</f>
        <v>PREMISE</v>
      </c>
      <c r="J449" s="59" t="str">
        <f>'2024 DO NOT TOUCH'!J450</f>
        <v>FIRE</v>
      </c>
      <c r="K449" s="58" t="str">
        <f>'2024 DO NOT TOUCH'!K450</f>
        <v>ACTIVE</v>
      </c>
      <c r="L449" s="71">
        <f>'2024 DO NOT TOUCH'!L450</f>
        <v>44754</v>
      </c>
      <c r="M449" s="58" t="b">
        <f>'2024 DO NOT TOUCH'!M450</f>
        <v>0</v>
      </c>
      <c r="N449" s="59">
        <f>'2024 DO NOT TOUCH'!N450</f>
        <v>0</v>
      </c>
      <c r="O449" s="58">
        <f>'2024 DO NOT TOUCH'!O450</f>
        <v>0</v>
      </c>
      <c r="P449" s="65">
        <f>'2024 DO NOT TOUCH'!P450</f>
        <v>0</v>
      </c>
      <c r="Q449" s="65">
        <f>'2024 DO NOT TOUCH'!Q450</f>
        <v>0</v>
      </c>
      <c r="R449" s="65">
        <f>'2024 DO NOT TOUCH'!R450</f>
        <v>0</v>
      </c>
      <c r="S449" s="62" t="str">
        <f>'2024 DO NOT TOUCH'!S450</f>
        <v>TESTED</v>
      </c>
      <c r="T449" s="62" t="str">
        <f>'2024 DO NOT TOUCH'!T450</f>
        <v>PASSED</v>
      </c>
      <c r="U449" s="62">
        <f>'2024 DO NOT TOUCH'!U450</f>
        <v>0</v>
      </c>
      <c r="V449" s="62">
        <f>'2024 DO NOT TOUCH'!V450</f>
        <v>0</v>
      </c>
      <c r="W449" s="62">
        <f>'2024 DO NOT TOUCH'!W450</f>
        <v>0</v>
      </c>
      <c r="X449" s="65">
        <f>'2024 DO NOT TOUCH'!X450</f>
        <v>0</v>
      </c>
      <c r="Y449" s="62">
        <f>'2024 DO NOT TOUCH'!Y450</f>
        <v>0</v>
      </c>
    </row>
    <row r="450" spans="1:25" ht="19.5" customHeight="1">
      <c r="A450" s="55" t="str">
        <f>'2024 DO NOT TOUCH'!A451</f>
        <v>2465</v>
      </c>
      <c r="B450" s="55" t="str">
        <f>'2024 DO NOT TOUCH'!B451</f>
        <v>BASE EXCHANGE</v>
      </c>
      <c r="C450" s="55" t="str">
        <f>'2024 DO NOT TOUCH'!C451</f>
        <v>2EJ0455</v>
      </c>
      <c r="D450" s="55" t="str">
        <f>'2024 DO NOT TOUCH'!D451</f>
        <v>AMES</v>
      </c>
      <c r="E450" s="55" t="str">
        <f>'2024 DO NOT TOUCH'!E451</f>
        <v>2000SS</v>
      </c>
      <c r="F450" s="55" t="str">
        <f>'2024 DO NOT TOUCH'!F451</f>
        <v>DC</v>
      </c>
      <c r="G450" s="55" t="str">
        <f>'2024 DO NOT TOUCH'!G451</f>
        <v>2.5</v>
      </c>
      <c r="H450" s="55" t="str">
        <f>'2024 DO NOT TOUCH'!H451</f>
        <v>IN FRONT MECH RM IRRIGATION</v>
      </c>
      <c r="I450" s="55" t="str">
        <f>'2024 DO NOT TOUCH'!I451</f>
        <v>PREMISE</v>
      </c>
      <c r="J450" s="55" t="str">
        <f>'2024 DO NOT TOUCH'!J451</f>
        <v>IRR</v>
      </c>
      <c r="K450" s="55" t="str">
        <f>'2024 DO NOT TOUCH'!K451</f>
        <v>ACTIVE</v>
      </c>
      <c r="L450" s="56">
        <f>'2024 DO NOT TOUCH'!L451</f>
        <v>44754</v>
      </c>
      <c r="M450" s="56" t="b">
        <f>'2024 DO NOT TOUCH'!M451</f>
        <v>0</v>
      </c>
      <c r="N450" s="56">
        <f>'2024 DO NOT TOUCH'!N451</f>
        <v>45467</v>
      </c>
      <c r="O450" s="55" t="str">
        <f>'2024 DO NOT TOUCH'!O451</f>
        <v>PASS</v>
      </c>
      <c r="P450" s="64">
        <f>'2024 DO NOT TOUCH'!P451</f>
        <v>3.4</v>
      </c>
      <c r="Q450" s="64">
        <f>'2024 DO NOT TOUCH'!Q451</f>
        <v>4.8</v>
      </c>
      <c r="R450" s="64">
        <f>'2024 DO NOT TOUCH'!R451</f>
        <v>0</v>
      </c>
      <c r="S450" s="55" t="str">
        <f>'2024 DO NOT TOUCH'!S451</f>
        <v>TESTED</v>
      </c>
      <c r="T450" s="55" t="str">
        <f>'2024 DO NOT TOUCH'!T451</f>
        <v>PASSED</v>
      </c>
      <c r="U450" s="55">
        <f>'2024 DO NOT TOUCH'!U451</f>
        <v>0</v>
      </c>
      <c r="V450" s="55">
        <f>'2024 DO NOT TOUCH'!V451</f>
        <v>0</v>
      </c>
      <c r="W450" s="55">
        <f>'2024 DO NOT TOUCH'!W451</f>
        <v>0</v>
      </c>
      <c r="X450" s="66">
        <f>'2024 DO NOT TOUCH'!X451</f>
        <v>0</v>
      </c>
      <c r="Y450" s="55">
        <f>'2024 DO NOT TOUCH'!Y451</f>
        <v>0</v>
      </c>
    </row>
    <row r="451" spans="1:25" ht="19.5" customHeight="1">
      <c r="A451" s="58" t="str">
        <f>'2024 DO NOT TOUCH'!A452</f>
        <v>2465</v>
      </c>
      <c r="B451" s="59" t="str">
        <f>'2024 DO NOT TOUCH'!B452</f>
        <v>BASE EXCHANGE</v>
      </c>
      <c r="C451" s="58" t="str">
        <f>'2024 DO NOT TOUCH'!C452</f>
        <v>W407311</v>
      </c>
      <c r="D451" s="59" t="str">
        <f>'2024 DO NOT TOUCH'!D452</f>
        <v>WILKINS</v>
      </c>
      <c r="E451" s="58" t="str">
        <f>'2024 DO NOT TOUCH'!E452</f>
        <v>975XL2</v>
      </c>
      <c r="F451" s="59" t="str">
        <f>'2024 DO NOT TOUCH'!F452</f>
        <v>RP</v>
      </c>
      <c r="G451" s="58" t="str">
        <f>'2024 DO NOT TOUCH'!G452</f>
        <v>0.5</v>
      </c>
      <c r="H451" s="59" t="str">
        <f>'2024 DO NOT TOUCH'!H452</f>
        <v>UNDER SINK IN FOOD COURT</v>
      </c>
      <c r="I451" s="58" t="str">
        <f>'2024 DO NOT TOUCH'!I452</f>
        <v>INPREMISE</v>
      </c>
      <c r="J451" s="59" t="str">
        <f>'2024 DO NOT TOUCH'!J452</f>
        <v>AOI</v>
      </c>
      <c r="K451" s="58" t="str">
        <f>'2024 DO NOT TOUCH'!K452</f>
        <v>INACTIVE</v>
      </c>
      <c r="L451" s="71">
        <f>'2024 DO NOT TOUCH'!L452</f>
        <v>44894</v>
      </c>
      <c r="M451" s="58" t="b">
        <f>'2024 DO NOT TOUCH'!M452</f>
        <v>0</v>
      </c>
      <c r="N451" s="59">
        <f>'2024 DO NOT TOUCH'!N452</f>
        <v>0</v>
      </c>
      <c r="O451" s="58">
        <f>'2024 DO NOT TOUCH'!O452</f>
        <v>0</v>
      </c>
      <c r="P451" s="65">
        <f>'2024 DO NOT TOUCH'!P452</f>
        <v>0</v>
      </c>
      <c r="Q451" s="65">
        <f>'2024 DO NOT TOUCH'!Q452</f>
        <v>0</v>
      </c>
      <c r="R451" s="65">
        <f>'2024 DO NOT TOUCH'!R452</f>
        <v>0</v>
      </c>
      <c r="S451" s="62" t="str">
        <f>'2024 DO NOT TOUCH'!S452</f>
        <v>TESTED</v>
      </c>
      <c r="T451" s="62" t="str">
        <f>'2024 DO NOT TOUCH'!T452</f>
        <v>PASSED</v>
      </c>
      <c r="U451" s="62">
        <f>'2024 DO NOT TOUCH'!U452</f>
        <v>0</v>
      </c>
      <c r="V451" s="62">
        <f>'2024 DO NOT TOUCH'!V452</f>
        <v>0</v>
      </c>
      <c r="W451" s="62">
        <f>'2024 DO NOT TOUCH'!W452</f>
        <v>0</v>
      </c>
      <c r="X451" s="65">
        <f>'2024 DO NOT TOUCH'!X452</f>
        <v>0</v>
      </c>
      <c r="Y451" s="62">
        <f>'2024 DO NOT TOUCH'!Y452</f>
        <v>0</v>
      </c>
    </row>
    <row r="452" spans="1:25" ht="19.5" customHeight="1">
      <c r="A452" s="55" t="str">
        <f>'2024 DO NOT TOUCH'!A453</f>
        <v>2500</v>
      </c>
      <c r="B452" s="3" t="str">
        <f>'2024 DO NOT TOUCH'!B453</f>
        <v>CDC</v>
      </c>
      <c r="C452" s="55" t="str">
        <f>'2024 DO NOT TOUCH'!C453</f>
        <v>W358327</v>
      </c>
      <c r="D452" s="3" t="str">
        <f>'2024 DO NOT TOUCH'!D453</f>
        <v>WILKINS</v>
      </c>
      <c r="E452" s="55" t="str">
        <f>'2024 DO NOT TOUCH'!E453</f>
        <v>975XL</v>
      </c>
      <c r="F452" s="3" t="str">
        <f>'2024 DO NOT TOUCH'!F453</f>
        <v>RP</v>
      </c>
      <c r="G452" s="55" t="str">
        <f>'2024 DO NOT TOUCH'!G453</f>
        <v>0.5</v>
      </c>
      <c r="H452" s="3" t="str">
        <f>'2024 DO NOT TOUCH'!H453</f>
        <v>KITCHEN ICE MACHINE</v>
      </c>
      <c r="I452" s="55" t="str">
        <f>'2024 DO NOT TOUCH'!I453</f>
        <v>INPREMISE</v>
      </c>
      <c r="J452" s="3" t="str">
        <f>'2024 DO NOT TOUCH'!J453</f>
        <v>AOI</v>
      </c>
      <c r="K452" s="55" t="str">
        <f>'2024 DO NOT TOUCH'!K453</f>
        <v>ACTIVE</v>
      </c>
      <c r="L452" s="72">
        <f>'2024 DO NOT TOUCH'!L453</f>
        <v>44704</v>
      </c>
      <c r="M452" s="55" t="b">
        <f>'2024 DO NOT TOUCH'!M453</f>
        <v>0</v>
      </c>
      <c r="N452" s="3">
        <f>'2024 DO NOT TOUCH'!N453</f>
        <v>0</v>
      </c>
      <c r="O452" s="55">
        <f>'2024 DO NOT TOUCH'!O453</f>
        <v>0</v>
      </c>
      <c r="P452" s="64">
        <f>'2024 DO NOT TOUCH'!P453</f>
        <v>0</v>
      </c>
      <c r="Q452" s="64">
        <f>'2024 DO NOT TOUCH'!Q453</f>
        <v>0</v>
      </c>
      <c r="R452" s="64">
        <f>'2024 DO NOT TOUCH'!R453</f>
        <v>0</v>
      </c>
      <c r="S452" s="57" t="str">
        <f>'2024 DO NOT TOUCH'!S453</f>
        <v>TESTED</v>
      </c>
      <c r="T452" s="57" t="str">
        <f>'2024 DO NOT TOUCH'!T453</f>
        <v>PASSED</v>
      </c>
      <c r="U452" s="57">
        <f>'2024 DO NOT TOUCH'!U453</f>
        <v>0</v>
      </c>
      <c r="V452" s="57">
        <f>'2024 DO NOT TOUCH'!V453</f>
        <v>0</v>
      </c>
      <c r="W452" s="57">
        <f>'2024 DO NOT TOUCH'!W453</f>
        <v>0</v>
      </c>
      <c r="X452" s="64">
        <f>'2024 DO NOT TOUCH'!X453</f>
        <v>0</v>
      </c>
      <c r="Y452" s="57">
        <f>'2024 DO NOT TOUCH'!Y453</f>
        <v>0</v>
      </c>
    </row>
    <row r="453" spans="1:25" ht="19.5" customHeight="1">
      <c r="A453" s="58" t="str">
        <f>'2024 DO NOT TOUCH'!A454</f>
        <v>2500</v>
      </c>
      <c r="B453" s="59" t="str">
        <f>'2024 DO NOT TOUCH'!B454</f>
        <v>CDC</v>
      </c>
      <c r="C453" s="58" t="str">
        <f>'2024 DO NOT TOUCH'!C454</f>
        <v>3080372</v>
      </c>
      <c r="D453" s="59" t="str">
        <f>'2024 DO NOT TOUCH'!D454</f>
        <v>WILKINS</v>
      </c>
      <c r="E453" s="58" t="str">
        <f>'2024 DO NOT TOUCH'!E454</f>
        <v>975XL</v>
      </c>
      <c r="F453" s="59" t="str">
        <f>'2024 DO NOT TOUCH'!F454</f>
        <v>RP</v>
      </c>
      <c r="G453" s="58" t="str">
        <f>'2024 DO NOT TOUCH'!G454</f>
        <v>1.5</v>
      </c>
      <c r="H453" s="59" t="str">
        <f>'2024 DO NOT TOUCH'!H454</f>
        <v>MECH RM WATER SOFTNER</v>
      </c>
      <c r="I453" s="58" t="str">
        <f>'2024 DO NOT TOUCH'!I454</f>
        <v>INPREMISE</v>
      </c>
      <c r="J453" s="59" t="str">
        <f>'2024 DO NOT TOUCH'!J454</f>
        <v>AOI</v>
      </c>
      <c r="K453" s="58" t="str">
        <f>'2024 DO NOT TOUCH'!K454</f>
        <v>ACTIVE</v>
      </c>
      <c r="L453" s="71">
        <f>'2024 DO NOT TOUCH'!L454</f>
        <v>44704</v>
      </c>
      <c r="M453" s="58" t="b">
        <f>'2024 DO NOT TOUCH'!M454</f>
        <v>0</v>
      </c>
      <c r="N453" s="59">
        <f>'2024 DO NOT TOUCH'!N454</f>
        <v>45443</v>
      </c>
      <c r="O453" s="58" t="str">
        <f>'2024 DO NOT TOUCH'!O454</f>
        <v>LARIOS</v>
      </c>
      <c r="P453" s="65">
        <f>'2024 DO NOT TOUCH'!P454</f>
        <v>7</v>
      </c>
      <c r="Q453" s="65">
        <f>'2024 DO NOT TOUCH'!Q454</f>
        <v>0</v>
      </c>
      <c r="R453" s="65">
        <f>'2024 DO NOT TOUCH'!R454</f>
        <v>2.2000000000000002</v>
      </c>
      <c r="S453" s="62" t="str">
        <f>'2024 DO NOT TOUCH'!S454</f>
        <v>TESTED</v>
      </c>
      <c r="T453" s="62" t="str">
        <f>'2024 DO NOT TOUCH'!T454</f>
        <v>PASSED</v>
      </c>
      <c r="U453" s="62">
        <f>'2024 DO NOT TOUCH'!U454</f>
        <v>0</v>
      </c>
      <c r="V453" s="62">
        <f>'2024 DO NOT TOUCH'!V454</f>
        <v>0</v>
      </c>
      <c r="W453" s="62">
        <f>'2024 DO NOT TOUCH'!W454</f>
        <v>0</v>
      </c>
      <c r="X453" s="65">
        <f>'2024 DO NOT TOUCH'!X454</f>
        <v>0</v>
      </c>
      <c r="Y453" s="62">
        <f>'2024 DO NOT TOUCH'!Y454</f>
        <v>0</v>
      </c>
    </row>
    <row r="454" spans="1:25" ht="19.5" customHeight="1">
      <c r="A454" s="55" t="str">
        <f>'2024 DO NOT TOUCH'!A455</f>
        <v>2500</v>
      </c>
      <c r="B454" s="3" t="str">
        <f>'2024 DO NOT TOUCH'!B455</f>
        <v>CDC</v>
      </c>
      <c r="C454" s="55" t="str">
        <f>'2024 DO NOT TOUCH'!C455</f>
        <v>H005203</v>
      </c>
      <c r="D454" s="3" t="str">
        <f>'2024 DO NOT TOUCH'!D455</f>
        <v>FEBCO</v>
      </c>
      <c r="E454" s="55" t="str">
        <f>'2024 DO NOT TOUCH'!E455</f>
        <v>825YA</v>
      </c>
      <c r="F454" s="3" t="str">
        <f>'2024 DO NOT TOUCH'!F455</f>
        <v>RP</v>
      </c>
      <c r="G454" s="55" t="str">
        <f>'2024 DO NOT TOUCH'!G455</f>
        <v>0.75</v>
      </c>
      <c r="H454" s="3" t="str">
        <f>'2024 DO NOT TOUCH'!H455</f>
        <v>MECH RM</v>
      </c>
      <c r="I454" s="55" t="str">
        <f>'2024 DO NOT TOUCH'!I455</f>
        <v>INPREMISE</v>
      </c>
      <c r="J454" s="3" t="str">
        <f>'2024 DO NOT TOUCH'!J455</f>
        <v>AOI</v>
      </c>
      <c r="K454" s="55" t="str">
        <f>'2024 DO NOT TOUCH'!K455</f>
        <v>ACTIVE</v>
      </c>
      <c r="L454" s="72">
        <f>'2024 DO NOT TOUCH'!L455</f>
        <v>44704</v>
      </c>
      <c r="M454" s="55" t="b">
        <f>'2024 DO NOT TOUCH'!M455</f>
        <v>0</v>
      </c>
      <c r="N454" s="3">
        <f>'2024 DO NOT TOUCH'!N455</f>
        <v>45443</v>
      </c>
      <c r="O454" s="55" t="str">
        <f>'2024 DO NOT TOUCH'!O455</f>
        <v>LARIOS</v>
      </c>
      <c r="P454" s="66">
        <f>'2024 DO NOT TOUCH'!P455</f>
        <v>7</v>
      </c>
      <c r="Q454" s="66">
        <f>'2024 DO NOT TOUCH'!Q455</f>
        <v>0</v>
      </c>
      <c r="R454" s="66">
        <f>'2024 DO NOT TOUCH'!R455</f>
        <v>1.1000000000000001</v>
      </c>
      <c r="S454" s="55" t="str">
        <f>'2024 DO NOT TOUCH'!S455</f>
        <v>TESTED</v>
      </c>
      <c r="T454" s="55" t="str">
        <f>'2024 DO NOT TOUCH'!T455</f>
        <v>PASSED</v>
      </c>
      <c r="U454" s="55">
        <f>'2024 DO NOT TOUCH'!U455</f>
        <v>0</v>
      </c>
      <c r="V454" s="55">
        <f>'2024 DO NOT TOUCH'!V455</f>
        <v>0</v>
      </c>
      <c r="W454" s="55">
        <f>'2024 DO NOT TOUCH'!W455</f>
        <v>0</v>
      </c>
      <c r="X454" s="66">
        <f>'2024 DO NOT TOUCH'!X455</f>
        <v>0</v>
      </c>
      <c r="Y454" s="55">
        <f>'2024 DO NOT TOUCH'!Y455</f>
        <v>0</v>
      </c>
    </row>
    <row r="455" spans="1:25" ht="19.5" customHeight="1">
      <c r="A455" s="58" t="str">
        <f>'2024 DO NOT TOUCH'!A456</f>
        <v>2500</v>
      </c>
      <c r="B455" s="59" t="str">
        <f>'2024 DO NOT TOUCH'!B456</f>
        <v>CDC</v>
      </c>
      <c r="C455" s="58" t="str">
        <f>'2024 DO NOT TOUCH'!C456</f>
        <v>AF4697</v>
      </c>
      <c r="D455" s="59" t="str">
        <f>'2024 DO NOT TOUCH'!D456</f>
        <v>FEBCO</v>
      </c>
      <c r="E455" s="58" t="str">
        <f>'2024 DO NOT TOUCH'!E456</f>
        <v>805Y</v>
      </c>
      <c r="F455" s="59" t="str">
        <f>'2024 DO NOT TOUCH'!F456</f>
        <v>DC</v>
      </c>
      <c r="G455" s="58" t="str">
        <f>'2024 DO NOT TOUCH'!G456</f>
        <v>2.0</v>
      </c>
      <c r="H455" s="59" t="str">
        <f>'2024 DO NOT TOUCH'!H456</f>
        <v>IRR OUTSIDE UNDER TREE BY MECH RM</v>
      </c>
      <c r="I455" s="58" t="str">
        <f>'2024 DO NOT TOUCH'!I456</f>
        <v>PREMISE</v>
      </c>
      <c r="J455" s="59" t="str">
        <f>'2024 DO NOT TOUCH'!J456</f>
        <v>IRR</v>
      </c>
      <c r="K455" s="58" t="str">
        <f>'2024 DO NOT TOUCH'!K456</f>
        <v>ACTIVE</v>
      </c>
      <c r="L455" s="71">
        <f>'2024 DO NOT TOUCH'!L456</f>
        <v>44704</v>
      </c>
      <c r="M455" s="58" t="b">
        <f>'2024 DO NOT TOUCH'!M456</f>
        <v>0</v>
      </c>
      <c r="N455" s="59">
        <f>'2024 DO NOT TOUCH'!N456</f>
        <v>0</v>
      </c>
      <c r="O455" s="58">
        <f>'2024 DO NOT TOUCH'!O456</f>
        <v>0</v>
      </c>
      <c r="P455" s="67">
        <f>'2024 DO NOT TOUCH'!P456</f>
        <v>0</v>
      </c>
      <c r="Q455" s="67">
        <f>'2024 DO NOT TOUCH'!Q456</f>
        <v>0</v>
      </c>
      <c r="R455" s="67">
        <f>'2024 DO NOT TOUCH'!R456</f>
        <v>0</v>
      </c>
      <c r="S455" s="58" t="str">
        <f>'2024 DO NOT TOUCH'!S456</f>
        <v>TESTED</v>
      </c>
      <c r="T455" s="58" t="str">
        <f>'2024 DO NOT TOUCH'!T456</f>
        <v>PASSED</v>
      </c>
      <c r="U455" s="58" t="str">
        <f>'2024 DO NOT TOUCH'!U456</f>
        <v>Y</v>
      </c>
      <c r="V455" s="58">
        <f>'2024 DO NOT TOUCH'!V456</f>
        <v>0</v>
      </c>
      <c r="W455" s="58">
        <f>'2024 DO NOT TOUCH'!W456</f>
        <v>0</v>
      </c>
      <c r="X455" s="67">
        <f>'2024 DO NOT TOUCH'!X456</f>
        <v>0</v>
      </c>
      <c r="Y455" s="58">
        <f>'2024 DO NOT TOUCH'!Y456</f>
        <v>0</v>
      </c>
    </row>
    <row r="456" spans="1:25" ht="19.5" customHeight="1">
      <c r="A456" s="77" t="str">
        <f>'2024 DO NOT TOUCH'!A457</f>
        <v>2500</v>
      </c>
      <c r="B456" s="78" t="str">
        <f>'2024 DO NOT TOUCH'!B457</f>
        <v>CDC</v>
      </c>
      <c r="C456" s="77" t="str">
        <f>'2024 DO NOT TOUCH'!C457</f>
        <v>2610292</v>
      </c>
      <c r="D456" s="78" t="str">
        <f>'2024 DO NOT TOUCH'!D457</f>
        <v>AMES</v>
      </c>
      <c r="E456" s="77" t="str">
        <f>'2024 DO NOT TOUCH'!E457</f>
        <v>2000SS</v>
      </c>
      <c r="F456" s="78" t="str">
        <f>'2024 DO NOT TOUCH'!F457</f>
        <v>DC</v>
      </c>
      <c r="G456" s="77" t="str">
        <f>'2024 DO NOT TOUCH'!G457</f>
        <v>4.0</v>
      </c>
      <c r="H456" s="78" t="str">
        <f>'2024 DO NOT TOUCH'!H457</f>
        <v>MECH RM ON FIRE SYS</v>
      </c>
      <c r="I456" s="77" t="str">
        <f>'2024 DO NOT TOUCH'!I457</f>
        <v>PREMISE</v>
      </c>
      <c r="J456" s="78" t="str">
        <f>'2024 DO NOT TOUCH'!J457</f>
        <v>FIRE</v>
      </c>
      <c r="K456" s="77" t="str">
        <f>'2024 DO NOT TOUCH'!K457</f>
        <v>ACTIVE</v>
      </c>
      <c r="L456" s="79">
        <f>'2024 DO NOT TOUCH'!L457</f>
        <v>44704</v>
      </c>
      <c r="M456" s="77" t="b">
        <f>'2024 DO NOT TOUCH'!M457</f>
        <v>0</v>
      </c>
      <c r="N456" s="78">
        <f>'2024 DO NOT TOUCH'!N457</f>
        <v>45443</v>
      </c>
      <c r="O456" s="77" t="str">
        <f>'2024 DO NOT TOUCH'!O457</f>
        <v>LARIOS</v>
      </c>
      <c r="P456" s="80">
        <f>'2024 DO NOT TOUCH'!P457</f>
        <v>2.2000000000000002</v>
      </c>
      <c r="Q456" s="80">
        <f>'2024 DO NOT TOUCH'!Q457</f>
        <v>2.4</v>
      </c>
      <c r="R456" s="80">
        <f>'2024 DO NOT TOUCH'!R457</f>
        <v>0</v>
      </c>
      <c r="S456" s="81" t="str">
        <f>'2024 DO NOT TOUCH'!S457</f>
        <v>TESTED</v>
      </c>
      <c r="T456" s="81" t="str">
        <f>'2024 DO NOT TOUCH'!T457</f>
        <v>PASSED</v>
      </c>
      <c r="U456" s="81">
        <f>'2024 DO NOT TOUCH'!U457</f>
        <v>0</v>
      </c>
      <c r="V456" s="81">
        <f>'2024 DO NOT TOUCH'!V457</f>
        <v>0</v>
      </c>
      <c r="W456" s="81">
        <f>'2024 DO NOT TOUCH'!W457</f>
        <v>0</v>
      </c>
      <c r="X456" s="80">
        <f>'2024 DO NOT TOUCH'!X457</f>
        <v>0</v>
      </c>
      <c r="Y456" s="81">
        <f>'2024 DO NOT TOUCH'!Y457</f>
        <v>0</v>
      </c>
    </row>
    <row r="457" spans="1:25" ht="19.5" customHeight="1">
      <c r="A457" s="58" t="str">
        <f>'2024 DO NOT TOUCH'!A458</f>
        <v>2500</v>
      </c>
      <c r="B457" s="59" t="str">
        <f>'2024 DO NOT TOUCH'!B458</f>
        <v>CDC</v>
      </c>
      <c r="C457" s="58" t="str">
        <f>'2024 DO NOT TOUCH'!C458</f>
        <v>W408368</v>
      </c>
      <c r="D457" s="59" t="str">
        <f>'2024 DO NOT TOUCH'!D458</f>
        <v>FEBCO</v>
      </c>
      <c r="E457" s="58" t="str">
        <f>'2024 DO NOT TOUCH'!E458</f>
        <v>975XL2</v>
      </c>
      <c r="F457" s="59" t="str">
        <f>'2024 DO NOT TOUCH'!F458</f>
        <v>RP</v>
      </c>
      <c r="G457" s="58" t="str">
        <f>'2024 DO NOT TOUCH'!G458</f>
        <v>0.5</v>
      </c>
      <c r="H457" s="59" t="str">
        <f>'2024 DO NOT TOUCH'!H458</f>
        <v>IN KITCHEN BEHIND ICE MACHINE</v>
      </c>
      <c r="I457" s="58" t="str">
        <f>'2024 DO NOT TOUCH'!I458</f>
        <v>INPREMISE</v>
      </c>
      <c r="J457" s="59" t="str">
        <f>'2024 DO NOT TOUCH'!J458</f>
        <v>AOI</v>
      </c>
      <c r="K457" s="58" t="str">
        <f>'2024 DO NOT TOUCH'!K458</f>
        <v>INACTIVE</v>
      </c>
      <c r="L457" s="71">
        <f>'2024 DO NOT TOUCH'!L458</f>
        <v>0</v>
      </c>
      <c r="M457" s="58" t="b">
        <f>'2024 DO NOT TOUCH'!M458</f>
        <v>0</v>
      </c>
      <c r="N457" s="59">
        <f>'2024 DO NOT TOUCH'!N458</f>
        <v>0</v>
      </c>
      <c r="O457" s="58">
        <f>'2024 DO NOT TOUCH'!O458</f>
        <v>0</v>
      </c>
      <c r="P457" s="65">
        <f>'2024 DO NOT TOUCH'!P458</f>
        <v>0</v>
      </c>
      <c r="Q457" s="65">
        <f>'2024 DO NOT TOUCH'!Q458</f>
        <v>0</v>
      </c>
      <c r="R457" s="65">
        <f>'2024 DO NOT TOUCH'!R458</f>
        <v>0</v>
      </c>
      <c r="S457" s="62" t="str">
        <f>'2024 DO NOT TOUCH'!S458</f>
        <v>UNTESTED</v>
      </c>
      <c r="T457" s="62" t="str">
        <f>'2024 DO NOT TOUCH'!T458</f>
        <v>FAILED</v>
      </c>
      <c r="U457" s="62" t="str">
        <f>'2024 DO NOT TOUCH'!U458</f>
        <v>PASSED</v>
      </c>
      <c r="V457" s="62" t="str">
        <f>'2024 DO NOT TOUCH'!V458</f>
        <v>EXISTING</v>
      </c>
      <c r="W457" s="62" t="str">
        <f>'2024 DO NOT TOUCH'!W458</f>
        <v>EXISTING</v>
      </c>
      <c r="X457" s="65">
        <f>'2024 DO NOT TOUCH'!X458</f>
        <v>0</v>
      </c>
      <c r="Y457" s="62" t="str">
        <f>'2024 DO NOT TOUCH'!Y458</f>
        <v>Needs removed</v>
      </c>
    </row>
    <row r="458" spans="1:25" ht="19.5" customHeight="1">
      <c r="A458" s="77" t="str">
        <f>'2024 DO NOT TOUCH'!A459</f>
        <v>4200</v>
      </c>
      <c r="B458" s="78" t="str">
        <f>'2024 DO NOT TOUCH'!B459</f>
        <v>CHAPEL &amp; IRRIGATION</v>
      </c>
      <c r="C458" s="77" t="str">
        <f>'2024 DO NOT TOUCH'!C459</f>
        <v>A00085</v>
      </c>
      <c r="D458" s="78" t="str">
        <f>'2024 DO NOT TOUCH'!D459</f>
        <v>FEBCO</v>
      </c>
      <c r="E458" s="77" t="str">
        <f>'2024 DO NOT TOUCH'!E459</f>
        <v>LF850</v>
      </c>
      <c r="F458" s="78" t="str">
        <f>'2024 DO NOT TOUCH'!F459</f>
        <v>DC</v>
      </c>
      <c r="G458" s="77" t="str">
        <f>'2024 DO NOT TOUCH'!G459</f>
        <v>2.0</v>
      </c>
      <c r="H458" s="78" t="str">
        <f>'2024 DO NOT TOUCH'!H459</f>
        <v>BETWEEN COMMANDERS HOUSE &amp; MITCHELL DR.</v>
      </c>
      <c r="I458" s="77" t="str">
        <f>'2024 DO NOT TOUCH'!I459</f>
        <v>PREMISE</v>
      </c>
      <c r="J458" s="78" t="str">
        <f>'2024 DO NOT TOUCH'!J459</f>
        <v>IRR</v>
      </c>
      <c r="K458" s="77" t="str">
        <f>'2024 DO NOT TOUCH'!K459</f>
        <v>INACTIVE</v>
      </c>
      <c r="L458" s="79">
        <f>'2024 DO NOT TOUCH'!L459</f>
        <v>0</v>
      </c>
      <c r="M458" s="77" t="b">
        <f>'2024 DO NOT TOUCH'!M459</f>
        <v>0</v>
      </c>
      <c r="N458" s="78">
        <f>'2024 DO NOT TOUCH'!N459</f>
        <v>45528</v>
      </c>
      <c r="O458" s="77" t="str">
        <f>'2024 DO NOT TOUCH'!O459</f>
        <v>PARK</v>
      </c>
      <c r="P458" s="80">
        <f>'2024 DO NOT TOUCH'!P459</f>
        <v>0</v>
      </c>
      <c r="Q458" s="80">
        <f>'2024 DO NOT TOUCH'!Q459</f>
        <v>0</v>
      </c>
      <c r="R458" s="80">
        <f>'2024 DO NOT TOUCH'!R459</f>
        <v>0</v>
      </c>
      <c r="S458" s="81" t="str">
        <f>'2024 DO NOT TOUCH'!S459</f>
        <v>UNTESTED</v>
      </c>
      <c r="T458" s="81" t="str">
        <f>'2024 DO NOT TOUCH'!T459</f>
        <v>FAILED</v>
      </c>
      <c r="U458" s="81" t="str">
        <f>'2024 DO NOT TOUCH'!U459</f>
        <v>PASSED</v>
      </c>
      <c r="V458" s="81" t="str">
        <f>'2024 DO NOT TOUCH'!V459</f>
        <v>EXISTING</v>
      </c>
      <c r="W458" s="81" t="str">
        <f>'2024 DO NOT TOUCH'!W459</f>
        <v>EXISTING</v>
      </c>
      <c r="X458" s="80">
        <f>'2024 DO NOT TOUCH'!X459</f>
        <v>0</v>
      </c>
      <c r="Y458" s="81">
        <f>'2024 DO NOT TOUCH'!Y459</f>
        <v>0</v>
      </c>
    </row>
    <row r="459" spans="1:25" ht="19.5" customHeight="1">
      <c r="A459" s="58" t="str">
        <f>'2024 DO NOT TOUCH'!A460</f>
        <v>4200</v>
      </c>
      <c r="B459" s="59" t="str">
        <f>'2024 DO NOT TOUCH'!B460</f>
        <v>CHAPEL &amp; IRRIGATION</v>
      </c>
      <c r="C459" s="58" t="str">
        <f>'2024 DO NOT TOUCH'!C460</f>
        <v>AJ9657</v>
      </c>
      <c r="D459" s="59" t="str">
        <f>'2024 DO NOT TOUCH'!D460</f>
        <v>FEBCO</v>
      </c>
      <c r="E459" s="58" t="str">
        <f>'2024 DO NOT TOUCH'!E460</f>
        <v>805Y</v>
      </c>
      <c r="F459" s="59" t="str">
        <f>'2024 DO NOT TOUCH'!F460</f>
        <v>DC</v>
      </c>
      <c r="G459" s="58" t="str">
        <f>'2024 DO NOT TOUCH'!G460</f>
        <v>2.0</v>
      </c>
      <c r="H459" s="59" t="str">
        <f>'2024 DO NOT TOUCH'!H460</f>
        <v>COMMANDER DR. VALVE BOX IS A STORM GRATE</v>
      </c>
      <c r="I459" s="58" t="str">
        <f>'2024 DO NOT TOUCH'!I460</f>
        <v>PREMISE</v>
      </c>
      <c r="J459" s="59" t="str">
        <f>'2024 DO NOT TOUCH'!J460</f>
        <v>IRR</v>
      </c>
      <c r="K459" s="58" t="str">
        <f>'2024 DO NOT TOUCH'!K460</f>
        <v>ACTIVE</v>
      </c>
      <c r="L459" s="71">
        <f>'2024 DO NOT TOUCH'!L460</f>
        <v>44796</v>
      </c>
      <c r="M459" s="58" t="b">
        <f>'2024 DO NOT TOUCH'!M460</f>
        <v>0</v>
      </c>
      <c r="N459" s="59">
        <f>'2024 DO NOT TOUCH'!N460</f>
        <v>45532</v>
      </c>
      <c r="O459" s="58" t="str">
        <f>'2024 DO NOT TOUCH'!O460</f>
        <v>Haveron</v>
      </c>
      <c r="P459" s="67">
        <f>'2024 DO NOT TOUCH'!P460</f>
        <v>2.4</v>
      </c>
      <c r="Q459" s="67">
        <f>'2024 DO NOT TOUCH'!Q461</f>
        <v>3</v>
      </c>
      <c r="R459" s="67">
        <f>'2024 DO NOT TOUCH'!R460</f>
        <v>0</v>
      </c>
      <c r="S459" s="58" t="str">
        <f>'2024 DO NOT TOUCH'!S460</f>
        <v>TESTED</v>
      </c>
      <c r="T459" s="58" t="str">
        <f>'2024 DO NOT TOUCH'!T460</f>
        <v>PASSED</v>
      </c>
      <c r="U459" s="58">
        <f>'2024 DO NOT TOUCH'!U460</f>
        <v>0</v>
      </c>
      <c r="V459" s="58">
        <f>'2024 DO NOT TOUCH'!V460</f>
        <v>0</v>
      </c>
      <c r="W459" s="58">
        <f>'2024 DO NOT TOUCH'!W460</f>
        <v>0</v>
      </c>
      <c r="X459" s="67">
        <f>'2024 DO NOT TOUCH'!X460</f>
        <v>0</v>
      </c>
      <c r="Y459" s="58">
        <f>'2024 DO NOT TOUCH'!Y460</f>
        <v>0</v>
      </c>
    </row>
    <row r="460" spans="1:25" ht="19.5" customHeight="1">
      <c r="A460" s="77" t="str">
        <f>'2024 DO NOT TOUCH'!A461</f>
        <v>4200</v>
      </c>
      <c r="B460" s="78" t="str">
        <f>'2024 DO NOT TOUCH'!B461</f>
        <v>CHAPEL &amp; IRRIGATION</v>
      </c>
      <c r="C460" s="77" t="str">
        <f>'2024 DO NOT TOUCH'!C461</f>
        <v>N05885</v>
      </c>
      <c r="D460" s="78" t="str">
        <f>'2024 DO NOT TOUCH'!D461</f>
        <v>WILKINS</v>
      </c>
      <c r="E460" s="77" t="str">
        <f>'2024 DO NOT TOUCH'!E461</f>
        <v>350ADA</v>
      </c>
      <c r="F460" s="78" t="str">
        <f>'2024 DO NOT TOUCH'!F461</f>
        <v>DCDA</v>
      </c>
      <c r="G460" s="77" t="str">
        <f>'2024 DO NOT TOUCH'!G461</f>
        <v>6.0</v>
      </c>
      <c r="H460" s="78" t="str">
        <f>'2024 DO NOT TOUCH'!H461</f>
        <v>MECH RM ON FIRE SYS DCDA#1</v>
      </c>
      <c r="I460" s="77" t="str">
        <f>'2024 DO NOT TOUCH'!I461</f>
        <v>PREMISE</v>
      </c>
      <c r="J460" s="78" t="str">
        <f>'2024 DO NOT TOUCH'!J461</f>
        <v>FIRE</v>
      </c>
      <c r="K460" s="77" t="str">
        <f>'2024 DO NOT TOUCH'!K461</f>
        <v>ACTIVE</v>
      </c>
      <c r="L460" s="79">
        <f>'2024 DO NOT TOUCH'!L461</f>
        <v>44796</v>
      </c>
      <c r="M460" s="77" t="b">
        <f>'2024 DO NOT TOUCH'!M461</f>
        <v>0</v>
      </c>
      <c r="N460" s="78">
        <f>'2024 DO NOT TOUCH'!N461</f>
        <v>45530</v>
      </c>
      <c r="O460" s="77" t="str">
        <f>'2024 DO NOT TOUCH'!O461</f>
        <v>PARK</v>
      </c>
      <c r="P460" s="83">
        <f>'2024 DO NOT TOUCH'!P461</f>
        <v>4</v>
      </c>
      <c r="Q460" s="83" t="e">
        <f>'2024 DO NOT TOUCH'!#REF!</f>
        <v>#REF!</v>
      </c>
      <c r="R460" s="83">
        <f>'2024 DO NOT TOUCH'!R461</f>
        <v>0</v>
      </c>
      <c r="S460" s="77" t="str">
        <f>'2024 DO NOT TOUCH'!S461</f>
        <v>TESTED</v>
      </c>
      <c r="T460" s="77" t="str">
        <f>'2024 DO NOT TOUCH'!T461</f>
        <v>PASSED</v>
      </c>
      <c r="U460" s="77" t="str">
        <f>'2024 DO NOT TOUCH'!U461</f>
        <v>y</v>
      </c>
      <c r="V460" s="77">
        <f>'2024 DO NOT TOUCH'!V461</f>
        <v>0</v>
      </c>
      <c r="W460" s="77">
        <f>'2024 DO NOT TOUCH'!W461</f>
        <v>0</v>
      </c>
      <c r="X460" s="83">
        <f>'2024 DO NOT TOUCH'!X461</f>
        <v>0</v>
      </c>
      <c r="Y460" s="77">
        <f>'2024 DO NOT TOUCH'!Y461</f>
        <v>0</v>
      </c>
    </row>
    <row r="461" spans="1:25" ht="19.5" customHeight="1">
      <c r="A461" s="58" t="str">
        <f>'2024 DO NOT TOUCH'!A462</f>
        <v>4200</v>
      </c>
      <c r="B461" s="59" t="str">
        <f>'2024 DO NOT TOUCH'!B462</f>
        <v>CHAPEL &amp; IRRIGATION</v>
      </c>
      <c r="C461" s="58" t="str">
        <f>'2024 DO NOT TOUCH'!C462</f>
        <v>1419762XLD</v>
      </c>
      <c r="D461" s="59" t="str">
        <f>'2024 DO NOT TOUCH'!D462</f>
        <v>WILKINS</v>
      </c>
      <c r="E461" s="58" t="str">
        <f>'2024 DO NOT TOUCH'!E462</f>
        <v>950XL</v>
      </c>
      <c r="F461" s="59" t="str">
        <f>'2024 DO NOT TOUCH'!F462</f>
        <v>DCDA</v>
      </c>
      <c r="G461" s="58" t="str">
        <f>'2024 DO NOT TOUCH'!G462</f>
        <v>0.75</v>
      </c>
      <c r="H461" s="59" t="str">
        <f>'2024 DO NOT TOUCH'!H462</f>
        <v>MECH RM ON FIRE SYS DCDA#2</v>
      </c>
      <c r="I461" s="58" t="str">
        <f>'2024 DO NOT TOUCH'!I462</f>
        <v>PREMISE</v>
      </c>
      <c r="J461" s="59" t="str">
        <f>'2024 DO NOT TOUCH'!J462</f>
        <v>FIRE</v>
      </c>
      <c r="K461" s="58" t="str">
        <f>'2024 DO NOT TOUCH'!K462</f>
        <v>ACTIVE</v>
      </c>
      <c r="L461" s="71">
        <f>'2024 DO NOT TOUCH'!L462</f>
        <v>44796</v>
      </c>
      <c r="M461" s="58" t="b">
        <f>'2024 DO NOT TOUCH'!M462</f>
        <v>0</v>
      </c>
      <c r="N461" s="59">
        <f>'2024 DO NOT TOUCH'!N462</f>
        <v>45530</v>
      </c>
      <c r="O461" s="58" t="str">
        <f>'2024 DO NOT TOUCH'!O462</f>
        <v>PARK</v>
      </c>
      <c r="P461" s="65">
        <f>'2024 DO NOT TOUCH'!P462</f>
        <v>2.8</v>
      </c>
      <c r="Q461" s="65">
        <f>'2024 DO NOT TOUCH'!Q462</f>
        <v>2</v>
      </c>
      <c r="R461" s="65">
        <f>'2024 DO NOT TOUCH'!R462</f>
        <v>0</v>
      </c>
      <c r="S461" s="62" t="str">
        <f>'2024 DO NOT TOUCH'!S462</f>
        <v>TESTED</v>
      </c>
      <c r="T461" s="62" t="str">
        <f>'2024 DO NOT TOUCH'!T462</f>
        <v>PASSED</v>
      </c>
      <c r="U461" s="62" t="str">
        <f>'2024 DO NOT TOUCH'!U462</f>
        <v>y</v>
      </c>
      <c r="V461" s="62">
        <f>'2024 DO NOT TOUCH'!V462</f>
        <v>0</v>
      </c>
      <c r="W461" s="62">
        <f>'2024 DO NOT TOUCH'!W462</f>
        <v>0</v>
      </c>
      <c r="X461" s="65">
        <f>'2024 DO NOT TOUCH'!X462</f>
        <v>0</v>
      </c>
      <c r="Y461" s="62">
        <f>'2024 DO NOT TOUCH'!Y462</f>
        <v>0</v>
      </c>
    </row>
    <row r="462" spans="1:25" ht="19.5" customHeight="1">
      <c r="A462" s="55" t="str">
        <f>'2024 DO NOT TOUCH'!A463</f>
        <v>4200</v>
      </c>
      <c r="B462" s="3" t="str">
        <f>'2024 DO NOT TOUCH'!B463</f>
        <v>CHAPEL &amp; IRRIGATION</v>
      </c>
      <c r="C462" s="55" t="str">
        <f>'2024 DO NOT TOUCH'!C463</f>
        <v>H22190</v>
      </c>
      <c r="D462" s="3" t="str">
        <f>'2024 DO NOT TOUCH'!D463</f>
        <v>FEBCO</v>
      </c>
      <c r="E462" s="55" t="str">
        <f>'2024 DO NOT TOUCH'!E463</f>
        <v>850</v>
      </c>
      <c r="F462" s="3" t="str">
        <f>'2024 DO NOT TOUCH'!F463</f>
        <v>DC</v>
      </c>
      <c r="G462" s="55" t="str">
        <f>'2024 DO NOT TOUCH'!G463</f>
        <v>2.0</v>
      </c>
      <c r="H462" s="3" t="str">
        <f>'2024 DO NOT TOUCH'!H463</f>
        <v>AIRPLANE PARK EAKER &amp; BONG ON WEST SIDE</v>
      </c>
      <c r="I462" s="55" t="str">
        <f>'2024 DO NOT TOUCH'!I463</f>
        <v>PREMISE</v>
      </c>
      <c r="J462" s="3" t="str">
        <f>'2024 DO NOT TOUCH'!J463</f>
        <v>IRR</v>
      </c>
      <c r="K462" s="55" t="str">
        <f>'2024 DO NOT TOUCH'!K463</f>
        <v>ACTIVE</v>
      </c>
      <c r="L462" s="72">
        <f>'2024 DO NOT TOUCH'!L463</f>
        <v>44796</v>
      </c>
      <c r="M462" s="55" t="b">
        <f>'2024 DO NOT TOUCH'!M463</f>
        <v>0</v>
      </c>
      <c r="N462" s="3">
        <f>'2024 DO NOT TOUCH'!N463</f>
        <v>45532</v>
      </c>
      <c r="O462" s="55" t="str">
        <f>'2024 DO NOT TOUCH'!O463</f>
        <v>PARK</v>
      </c>
      <c r="P462" s="64">
        <f>'2024 DO NOT TOUCH'!P463</f>
        <v>3</v>
      </c>
      <c r="Q462" s="64">
        <f>'2024 DO NOT TOUCH'!Q463</f>
        <v>2.8</v>
      </c>
      <c r="R462" s="64">
        <f>'2024 DO NOT TOUCH'!R463</f>
        <v>0</v>
      </c>
      <c r="S462" s="57" t="str">
        <f>'2024 DO NOT TOUCH'!S463</f>
        <v>TESTED</v>
      </c>
      <c r="T462" s="57" t="str">
        <f>'2024 DO NOT TOUCH'!T463</f>
        <v>PASSED</v>
      </c>
      <c r="U462" s="57">
        <f>'2024 DO NOT TOUCH'!U463</f>
        <v>0</v>
      </c>
      <c r="V462" s="57">
        <f>'2024 DO NOT TOUCH'!V463</f>
        <v>0</v>
      </c>
      <c r="W462" s="57">
        <f>'2024 DO NOT TOUCH'!W463</f>
        <v>0</v>
      </c>
      <c r="X462" s="64">
        <f>'2024 DO NOT TOUCH'!X463</f>
        <v>0</v>
      </c>
      <c r="Y462" s="57">
        <f>'2024 DO NOT TOUCH'!Y463</f>
        <v>0</v>
      </c>
    </row>
    <row r="463" spans="1:25" ht="19.5" customHeight="1">
      <c r="A463" s="58" t="str">
        <f>'2024 DO NOT TOUCH'!A464</f>
        <v>4200</v>
      </c>
      <c r="B463" s="59" t="str">
        <f>'2024 DO NOT TOUCH'!B464</f>
        <v>CHAPEL &amp; IRRIGATION</v>
      </c>
      <c r="C463" s="58" t="str">
        <f>'2024 DO NOT TOUCH'!C464</f>
        <v>1945057</v>
      </c>
      <c r="D463" s="59" t="str">
        <f>'2024 DO NOT TOUCH'!D464</f>
        <v>WILKINS</v>
      </c>
      <c r="E463" s="58" t="str">
        <f>'2024 DO NOT TOUCH'!E464</f>
        <v>950XLT</v>
      </c>
      <c r="F463" s="59" t="str">
        <f>'2024 DO NOT TOUCH'!F464</f>
        <v>DC</v>
      </c>
      <c r="G463" s="58" t="str">
        <f>'2024 DO NOT TOUCH'!G464</f>
        <v>2.0</v>
      </c>
      <c r="H463" s="59" t="str">
        <f>'2024 DO NOT TOUCH'!H464</f>
        <v xml:space="preserve">AIRPLANE PARK EAKER &amp; BONG </v>
      </c>
      <c r="I463" s="58" t="str">
        <f>'2024 DO NOT TOUCH'!I464</f>
        <v>PREMISE</v>
      </c>
      <c r="J463" s="59" t="str">
        <f>'2024 DO NOT TOUCH'!J464</f>
        <v>IRR</v>
      </c>
      <c r="K463" s="58" t="str">
        <f>'2024 DO NOT TOUCH'!K464</f>
        <v>ACTIVE</v>
      </c>
      <c r="L463" s="71">
        <f>'2024 DO NOT TOUCH'!L464</f>
        <v>44796</v>
      </c>
      <c r="M463" s="58" t="b">
        <f>'2024 DO NOT TOUCH'!M464</f>
        <v>0</v>
      </c>
      <c r="N463" s="59">
        <f>'2024 DO NOT TOUCH'!N464</f>
        <v>45532</v>
      </c>
      <c r="O463" s="58" t="str">
        <f>'2024 DO NOT TOUCH'!O464</f>
        <v>PARK</v>
      </c>
      <c r="P463" s="65">
        <f>'2024 DO NOT TOUCH'!P464</f>
        <v>2.8</v>
      </c>
      <c r="Q463" s="65">
        <f>'2024 DO NOT TOUCH'!Q464</f>
        <v>2.8</v>
      </c>
      <c r="R463" s="65">
        <f>'2024 DO NOT TOUCH'!R464</f>
        <v>0</v>
      </c>
      <c r="S463" s="62" t="str">
        <f>'2024 DO NOT TOUCH'!S464</f>
        <v>TESTED</v>
      </c>
      <c r="T463" s="62" t="str">
        <f>'2024 DO NOT TOUCH'!T464</f>
        <v>PASSED</v>
      </c>
      <c r="U463" s="62">
        <f>'2024 DO NOT TOUCH'!U464</f>
        <v>0</v>
      </c>
      <c r="V463" s="62">
        <f>'2024 DO NOT TOUCH'!V464</f>
        <v>0</v>
      </c>
      <c r="W463" s="62">
        <f>'2024 DO NOT TOUCH'!W464</f>
        <v>0</v>
      </c>
      <c r="X463" s="65">
        <f>'2024 DO NOT TOUCH'!X464</f>
        <v>0</v>
      </c>
      <c r="Y463" s="62">
        <f>'2024 DO NOT TOUCH'!Y464</f>
        <v>0</v>
      </c>
    </row>
    <row r="464" spans="1:25" ht="19.5" customHeight="1">
      <c r="A464" s="55" t="str">
        <f>'2024 DO NOT TOUCH'!A465</f>
        <v>4200</v>
      </c>
      <c r="B464" s="55" t="str">
        <f>'2024 DO NOT TOUCH'!B465</f>
        <v>CHAPEL &amp; IRRIGATION</v>
      </c>
      <c r="C464" s="55" t="str">
        <f>'2024 DO NOT TOUCH'!C465</f>
        <v>B171901</v>
      </c>
      <c r="D464" s="55" t="str">
        <f>'2024 DO NOT TOUCH'!D465</f>
        <v>WILKINS</v>
      </c>
      <c r="E464" s="55" t="str">
        <f>'2024 DO NOT TOUCH'!E465</f>
        <v>350</v>
      </c>
      <c r="F464" s="55" t="str">
        <f>'2024 DO NOT TOUCH'!F465</f>
        <v>DC</v>
      </c>
      <c r="G464" s="55" t="str">
        <f>'2024 DO NOT TOUCH'!G465</f>
        <v>2.0</v>
      </c>
      <c r="H464" s="55" t="str">
        <f>'2024 DO NOT TOUCH'!H465</f>
        <v>EAST OF TLF BY TRANSFORMER</v>
      </c>
      <c r="I464" s="55" t="str">
        <f>'2024 DO NOT TOUCH'!I465</f>
        <v>PREMISE</v>
      </c>
      <c r="J464" s="55" t="str">
        <f>'2024 DO NOT TOUCH'!J465</f>
        <v>IRR</v>
      </c>
      <c r="K464" s="55" t="str">
        <f>'2024 DO NOT TOUCH'!K465</f>
        <v>ACTIVE</v>
      </c>
      <c r="L464" s="56">
        <f>'2024 DO NOT TOUCH'!L465</f>
        <v>44796</v>
      </c>
      <c r="M464" s="56" t="b">
        <f>'2024 DO NOT TOUCH'!M465</f>
        <v>0</v>
      </c>
      <c r="N464" s="56">
        <f>'2024 DO NOT TOUCH'!N465</f>
        <v>45530</v>
      </c>
      <c r="O464" s="55">
        <f>'2024 DO NOT TOUCH'!O465</f>
        <v>0</v>
      </c>
      <c r="P464" s="64">
        <f>'2024 DO NOT TOUCH'!P465</f>
        <v>0</v>
      </c>
      <c r="Q464" s="64">
        <f>'2024 DO NOT TOUCH'!Q465</f>
        <v>0</v>
      </c>
      <c r="R464" s="64">
        <f>'2024 DO NOT TOUCH'!R465</f>
        <v>0</v>
      </c>
      <c r="S464" s="55" t="str">
        <f>'2024 DO NOT TOUCH'!S465</f>
        <v>UNTESTED</v>
      </c>
      <c r="T464" s="55" t="str">
        <f>'2024 DO NOT TOUCH'!T465</f>
        <v>PASSED</v>
      </c>
      <c r="U464" s="55">
        <f>'2024 DO NOT TOUCH'!U465</f>
        <v>0</v>
      </c>
      <c r="V464" s="55">
        <f>'2024 DO NOT TOUCH'!V465</f>
        <v>0</v>
      </c>
      <c r="W464" s="55">
        <f>'2024 DO NOT TOUCH'!W465</f>
        <v>0</v>
      </c>
      <c r="X464" s="66" t="str">
        <f>'2024 DO NOT TOUCH'!X465</f>
        <v>H21070</v>
      </c>
      <c r="Y464" s="55">
        <f>'2024 DO NOT TOUCH'!Y465</f>
        <v>0</v>
      </c>
    </row>
    <row r="465" spans="1:25" ht="19.5" customHeight="1">
      <c r="A465" s="58" t="str">
        <f>'2024 DO NOT TOUCH'!A466</f>
        <v>4200</v>
      </c>
      <c r="B465" s="59" t="str">
        <f>'2024 DO NOT TOUCH'!B466</f>
        <v>CHAPEL &amp; IRRIGATION</v>
      </c>
      <c r="C465" s="58" t="str">
        <f>'2024 DO NOT TOUCH'!C466</f>
        <v>B455182</v>
      </c>
      <c r="D465" s="59" t="str">
        <f>'2024 DO NOT TOUCH'!D466</f>
        <v>WILKINS</v>
      </c>
      <c r="E465" s="58" t="str">
        <f>'2024 DO NOT TOUCH'!E466</f>
        <v>350xl</v>
      </c>
      <c r="F465" s="59" t="str">
        <f>'2024 DO NOT TOUCH'!F466</f>
        <v>DC</v>
      </c>
      <c r="G465" s="58" t="str">
        <f>'2024 DO NOT TOUCH'!G466</f>
        <v>2.0</v>
      </c>
      <c r="H465" s="59" t="str">
        <f>'2024 DO NOT TOUCH'!H466</f>
        <v>AIRPLANE PARK BY B-52 NEAR HYDRANT</v>
      </c>
      <c r="I465" s="58" t="str">
        <f>'2024 DO NOT TOUCH'!I466</f>
        <v>PREMISE</v>
      </c>
      <c r="J465" s="59" t="str">
        <f>'2024 DO NOT TOUCH'!J466</f>
        <v>IRR</v>
      </c>
      <c r="K465" s="58" t="str">
        <f>'2024 DO NOT TOUCH'!K466</f>
        <v>INACTIVE</v>
      </c>
      <c r="L465" s="71">
        <f>'2024 DO NOT TOUCH'!L466</f>
        <v>44796</v>
      </c>
      <c r="M465" s="58" t="b">
        <f>'2024 DO NOT TOUCH'!M466</f>
        <v>0</v>
      </c>
      <c r="N465" s="59">
        <f>'2024 DO NOT TOUCH'!N466</f>
        <v>45530</v>
      </c>
      <c r="O465" s="58" t="str">
        <f>'2024 DO NOT TOUCH'!O466</f>
        <v>PARK</v>
      </c>
      <c r="P465" s="65">
        <f>'2024 DO NOT TOUCH'!P466</f>
        <v>0</v>
      </c>
      <c r="Q465" s="65">
        <f>'2024 DO NOT TOUCH'!Q466</f>
        <v>0</v>
      </c>
      <c r="R465" s="65">
        <f>'2024 DO NOT TOUCH'!R466</f>
        <v>0</v>
      </c>
      <c r="S465" s="62" t="str">
        <f>'2024 DO NOT TOUCH'!S466</f>
        <v>TESTED</v>
      </c>
      <c r="T465" s="62" t="str">
        <f>'2024 DO NOT TOUCH'!T466</f>
        <v>PASSED</v>
      </c>
      <c r="U465" s="62">
        <f>'2024 DO NOT TOUCH'!U466</f>
        <v>0</v>
      </c>
      <c r="V465" s="62">
        <f>'2024 DO NOT TOUCH'!V466</f>
        <v>0</v>
      </c>
      <c r="W465" s="62">
        <f>'2024 DO NOT TOUCH'!W466</f>
        <v>0</v>
      </c>
      <c r="X465" s="65" t="str">
        <f>'2024 DO NOT TOUCH'!X466</f>
        <v>H43054</v>
      </c>
      <c r="Y465" s="62">
        <f>'2024 DO NOT TOUCH'!Y466</f>
        <v>0</v>
      </c>
    </row>
    <row r="466" spans="1:25" ht="19.5" customHeight="1">
      <c r="A466" s="55" t="str">
        <f>'2024 DO NOT TOUCH'!A467</f>
        <v>4200</v>
      </c>
      <c r="B466" s="3" t="str">
        <f>'2024 DO NOT TOUCH'!B467</f>
        <v>CHAPEL &amp; IRRIGATION</v>
      </c>
      <c r="C466" s="55" t="str">
        <f>'2024 DO NOT TOUCH'!C467</f>
        <v>B00917</v>
      </c>
      <c r="D466" s="3" t="str">
        <f>'2024 DO NOT TOUCH'!D467</f>
        <v>FEBCO</v>
      </c>
      <c r="E466" s="55" t="str">
        <f>'2024 DO NOT TOUCH'!E467</f>
        <v>850</v>
      </c>
      <c r="F466" s="3" t="str">
        <f>'2024 DO NOT TOUCH'!F467</f>
        <v>DC</v>
      </c>
      <c r="G466" s="55" t="str">
        <f>'2024 DO NOT TOUCH'!G467</f>
        <v>2.0</v>
      </c>
      <c r="H466" s="3" t="str">
        <f>'2024 DO NOT TOUCH'!H467</f>
        <v>AIRPLANE PARK IRRIGATION EAST OF EAKER</v>
      </c>
      <c r="I466" s="55" t="str">
        <f>'2024 DO NOT TOUCH'!I467</f>
        <v>PREMISE</v>
      </c>
      <c r="J466" s="3" t="str">
        <f>'2024 DO NOT TOUCH'!J467</f>
        <v>IRR</v>
      </c>
      <c r="K466" s="55" t="str">
        <f>'2024 DO NOT TOUCH'!K467</f>
        <v>ACTIVE</v>
      </c>
      <c r="L466" s="72">
        <f>'2024 DO NOT TOUCH'!L467</f>
        <v>44796</v>
      </c>
      <c r="M466" s="55" t="b">
        <f>'2024 DO NOT TOUCH'!M467</f>
        <v>0</v>
      </c>
      <c r="N466" s="3">
        <f>'2024 DO NOT TOUCH'!N467</f>
        <v>45532</v>
      </c>
      <c r="O466" s="55" t="str">
        <f>'2024 DO NOT TOUCH'!O467</f>
        <v>PARK</v>
      </c>
      <c r="P466" s="64">
        <f>'2024 DO NOT TOUCH'!P467</f>
        <v>0</v>
      </c>
      <c r="Q466" s="64">
        <f>'2024 DO NOT TOUCH'!Q467</f>
        <v>0</v>
      </c>
      <c r="R466" s="64">
        <f>'2024 DO NOT TOUCH'!R467</f>
        <v>0</v>
      </c>
      <c r="S466" s="57" t="str">
        <f>'2024 DO NOT TOUCH'!S467</f>
        <v>not TESTED</v>
      </c>
      <c r="T466" s="57" t="str">
        <f>'2024 DO NOT TOUCH'!T467</f>
        <v>PASSED</v>
      </c>
      <c r="U466" s="57">
        <f>'2024 DO NOT TOUCH'!U467</f>
        <v>0</v>
      </c>
      <c r="V466" s="57">
        <f>'2024 DO NOT TOUCH'!V467</f>
        <v>0</v>
      </c>
      <c r="W466" s="57">
        <f>'2024 DO NOT TOUCH'!W467</f>
        <v>0</v>
      </c>
      <c r="X466" s="64">
        <f>'2024 DO NOT TOUCH'!X467</f>
        <v>0</v>
      </c>
      <c r="Y466" s="57" t="str">
        <f>'2024 DO NOT TOUCH'!Y467</f>
        <v>OLD SN: H19968</v>
      </c>
    </row>
    <row r="467" spans="1:25" ht="19.5" customHeight="1">
      <c r="A467" s="58" t="str">
        <f>'2024 DO NOT TOUCH'!A468</f>
        <v>4200</v>
      </c>
      <c r="B467" s="59" t="str">
        <f>'2024 DO NOT TOUCH'!B468</f>
        <v>CHAPEL &amp; IRRIGATION</v>
      </c>
      <c r="C467" s="58" t="str">
        <f>'2024 DO NOT TOUCH'!C468</f>
        <v>H113343</v>
      </c>
      <c r="D467" s="59" t="str">
        <f>'2024 DO NOT TOUCH'!D468</f>
        <v>FEBCO</v>
      </c>
      <c r="E467" s="58" t="str">
        <f>'2024 DO NOT TOUCH'!E468</f>
        <v>850</v>
      </c>
      <c r="F467" s="59" t="str">
        <f>'2024 DO NOT TOUCH'!F468</f>
        <v>DC</v>
      </c>
      <c r="G467" s="58" t="str">
        <f>'2024 DO NOT TOUCH'!G468</f>
        <v>2.0</v>
      </c>
      <c r="H467" s="59" t="str">
        <f>'2024 DO NOT TOUCH'!H468</f>
        <v>BEHIND CHAPEL ALONG MITCHELL</v>
      </c>
      <c r="I467" s="58" t="str">
        <f>'2024 DO NOT TOUCH'!I468</f>
        <v>PREMISE</v>
      </c>
      <c r="J467" s="59" t="str">
        <f>'2024 DO NOT TOUCH'!J468</f>
        <v>IRR</v>
      </c>
      <c r="K467" s="58" t="str">
        <f>'2024 DO NOT TOUCH'!K468</f>
        <v>ACTIVE</v>
      </c>
      <c r="L467" s="71">
        <f>'2024 DO NOT TOUCH'!L468</f>
        <v>44796</v>
      </c>
      <c r="M467" s="58" t="b">
        <f>'2024 DO NOT TOUCH'!M468</f>
        <v>0</v>
      </c>
      <c r="N467" s="59">
        <f>'2024 DO NOT TOUCH'!N468</f>
        <v>0</v>
      </c>
      <c r="O467" s="58">
        <f>'2024 DO NOT TOUCH'!O468</f>
        <v>0</v>
      </c>
      <c r="P467" s="65">
        <f>'2024 DO NOT TOUCH'!P468</f>
        <v>0</v>
      </c>
      <c r="Q467" s="65">
        <f>'2024 DO NOT TOUCH'!Q468</f>
        <v>0</v>
      </c>
      <c r="R467" s="65">
        <f>'2024 DO NOT TOUCH'!R468</f>
        <v>0</v>
      </c>
      <c r="S467" s="62" t="str">
        <f>'2024 DO NOT TOUCH'!S468</f>
        <v>UNTESTED</v>
      </c>
      <c r="T467" s="62">
        <f>'2024 DO NOT TOUCH'!T468</f>
        <v>0</v>
      </c>
      <c r="U467" s="62">
        <f>'2024 DO NOT TOUCH'!U468</f>
        <v>0</v>
      </c>
      <c r="V467" s="62">
        <f>'2024 DO NOT TOUCH'!V468</f>
        <v>0</v>
      </c>
      <c r="W467" s="62">
        <f>'2024 DO NOT TOUCH'!W468</f>
        <v>0</v>
      </c>
      <c r="X467" s="65">
        <f>'2024 DO NOT TOUCH'!X468</f>
        <v>0</v>
      </c>
      <c r="Y467" s="62" t="str">
        <f>'2024 DO NOT TOUCH'!Y468</f>
        <v xml:space="preserve">area under construction </v>
      </c>
    </row>
    <row r="468" spans="1:25" ht="19.5" customHeight="1">
      <c r="A468" s="55" t="str">
        <f>'2024 DO NOT TOUCH'!A469</f>
        <v>4200</v>
      </c>
      <c r="B468" s="3" t="str">
        <f>'2024 DO NOT TOUCH'!B469</f>
        <v>CHAPEL &amp; IRRIGATION</v>
      </c>
      <c r="C468" s="55" t="str">
        <f>'2024 DO NOT TOUCH'!C469</f>
        <v>H007029</v>
      </c>
      <c r="D468" s="3" t="str">
        <f>'2024 DO NOT TOUCH'!D469</f>
        <v>FEBCO</v>
      </c>
      <c r="E468" s="55" t="str">
        <f>'2024 DO NOT TOUCH'!E469</f>
        <v>765</v>
      </c>
      <c r="F468" s="3" t="str">
        <f>'2024 DO NOT TOUCH'!F469</f>
        <v>PVB</v>
      </c>
      <c r="G468" s="55" t="str">
        <f>'2024 DO NOT TOUCH'!G469</f>
        <v>2.0</v>
      </c>
      <c r="H468" s="3" t="str">
        <f>'2024 DO NOT TOUCH'!H469</f>
        <v>IRRIGATION PVB OUTSIDE CHAPLE</v>
      </c>
      <c r="I468" s="55" t="str">
        <f>'2024 DO NOT TOUCH'!I469</f>
        <v>PREMISE</v>
      </c>
      <c r="J468" s="3" t="str">
        <f>'2024 DO NOT TOUCH'!J469</f>
        <v>IRR</v>
      </c>
      <c r="K468" s="55" t="str">
        <f>'2024 DO NOT TOUCH'!K469</f>
        <v>ACTIVE</v>
      </c>
      <c r="L468" s="72">
        <f>'2024 DO NOT TOUCH'!L469</f>
        <v>44796</v>
      </c>
      <c r="M468" s="55" t="b">
        <f>'2024 DO NOT TOUCH'!M469</f>
        <v>0</v>
      </c>
      <c r="N468" s="3">
        <f>'2024 DO NOT TOUCH'!N469</f>
        <v>45345</v>
      </c>
      <c r="O468" s="55" t="str">
        <f>'2024 DO NOT TOUCH'!O469</f>
        <v>Ram</v>
      </c>
      <c r="P468" s="66">
        <f>'2024 DO NOT TOUCH'!P469</f>
        <v>0</v>
      </c>
      <c r="Q468" s="66">
        <f>'2024 DO NOT TOUCH'!Q469</f>
        <v>0</v>
      </c>
      <c r="R468" s="66">
        <f>'2024 DO NOT TOUCH'!R469</f>
        <v>0</v>
      </c>
      <c r="S468" s="55" t="str">
        <f>'2024 DO NOT TOUCH'!S469</f>
        <v>UNTESTED</v>
      </c>
      <c r="T468" s="55">
        <f>'2024 DO NOT TOUCH'!T469</f>
        <v>0</v>
      </c>
      <c r="U468" s="55">
        <f>'2024 DO NOT TOUCH'!U469</f>
        <v>0</v>
      </c>
      <c r="V468" s="55">
        <f>'2024 DO NOT TOUCH'!V469</f>
        <v>0</v>
      </c>
      <c r="W468" s="55">
        <f>'2024 DO NOT TOUCH'!W469</f>
        <v>0</v>
      </c>
      <c r="X468" s="66" t="str">
        <f>'2024 DO NOT TOUCH'!X469</f>
        <v>H007029</v>
      </c>
      <c r="Y468" s="55" t="str">
        <f>'2024 DO NOT TOUCH'!Y469</f>
        <v xml:space="preserve">area under construction </v>
      </c>
    </row>
    <row r="469" spans="1:25" ht="19.5" customHeight="1">
      <c r="A469" s="58" t="str">
        <f>'2024 DO NOT TOUCH'!A470</f>
        <v>4200</v>
      </c>
      <c r="B469" s="59" t="str">
        <f>'2024 DO NOT TOUCH'!B470</f>
        <v>CHAPEL &amp; IRRIGATION</v>
      </c>
      <c r="C469" s="58" t="str">
        <f>'2024 DO NOT TOUCH'!C470</f>
        <v>330127</v>
      </c>
      <c r="D469" s="59" t="str">
        <f>'2024 DO NOT TOUCH'!D470</f>
        <v>FEBCO</v>
      </c>
      <c r="E469" s="58" t="str">
        <f>'2024 DO NOT TOUCH'!E470</f>
        <v>765</v>
      </c>
      <c r="F469" s="59" t="str">
        <f>'2024 DO NOT TOUCH'!F470</f>
        <v>PVB</v>
      </c>
      <c r="G469" s="58" t="str">
        <f>'2024 DO NOT TOUCH'!G470</f>
        <v>2.0</v>
      </c>
      <c r="H469" s="59" t="str">
        <f>'2024 DO NOT TOUCH'!H470</f>
        <v>IRRIGATION PVB OUTSIDE CHAPLE</v>
      </c>
      <c r="I469" s="58" t="str">
        <f>'2024 DO NOT TOUCH'!I470</f>
        <v>PREMISE</v>
      </c>
      <c r="J469" s="59" t="str">
        <f>'2024 DO NOT TOUCH'!J470</f>
        <v>IRR</v>
      </c>
      <c r="K469" s="58" t="str">
        <f>'2024 DO NOT TOUCH'!K470</f>
        <v>ACTIVE</v>
      </c>
      <c r="L469" s="71">
        <f>'2024 DO NOT TOUCH'!L470</f>
        <v>44796</v>
      </c>
      <c r="M469" s="58" t="b">
        <f>'2024 DO NOT TOUCH'!M470</f>
        <v>0</v>
      </c>
      <c r="N469" s="59">
        <f>'2024 DO NOT TOUCH'!N470</f>
        <v>45345</v>
      </c>
      <c r="O469" s="58" t="str">
        <f>'2024 DO NOT TOUCH'!O470</f>
        <v>Ram</v>
      </c>
      <c r="P469" s="67">
        <f>'2024 DO NOT TOUCH'!P470</f>
        <v>0</v>
      </c>
      <c r="Q469" s="67">
        <f>'2024 DO NOT TOUCH'!Q470</f>
        <v>0</v>
      </c>
      <c r="R469" s="67">
        <f>'2024 DO NOT TOUCH'!R470</f>
        <v>0</v>
      </c>
      <c r="S469" s="58" t="str">
        <f>'2024 DO NOT TOUCH'!S470</f>
        <v>NOT TESTED</v>
      </c>
      <c r="T469" s="58">
        <f>'2024 DO NOT TOUCH'!T470</f>
        <v>0</v>
      </c>
      <c r="U469" s="58">
        <f>'2024 DO NOT TOUCH'!U470</f>
        <v>0</v>
      </c>
      <c r="V469" s="58">
        <f>'2024 DO NOT TOUCH'!V470</f>
        <v>0</v>
      </c>
      <c r="W469" s="58">
        <f>'2024 DO NOT TOUCH'!W470</f>
        <v>0</v>
      </c>
      <c r="X469" s="67" t="str">
        <f>'2024 DO NOT TOUCH'!X470</f>
        <v>H005698</v>
      </c>
      <c r="Y469" s="58">
        <f>'2024 DO NOT TOUCH'!Y470</f>
        <v>0</v>
      </c>
    </row>
    <row r="470" spans="1:25" ht="19.5" customHeight="1">
      <c r="A470" s="77" t="str">
        <f>'2024 DO NOT TOUCH'!A471</f>
        <v>4200</v>
      </c>
      <c r="B470" s="78" t="str">
        <f>'2024 DO NOT TOUCH'!B471</f>
        <v>CHAPEL &amp; IRRIGATION</v>
      </c>
      <c r="C470" s="77" t="str">
        <f>'2024 DO NOT TOUCH'!C471</f>
        <v>H06572</v>
      </c>
      <c r="D470" s="78" t="str">
        <f>'2024 DO NOT TOUCH'!D471</f>
        <v>FEBCO</v>
      </c>
      <c r="E470" s="77" t="str">
        <f>'2024 DO NOT TOUCH'!E471</f>
        <v>850</v>
      </c>
      <c r="F470" s="78" t="str">
        <f>'2024 DO NOT TOUCH'!F471</f>
        <v>DC</v>
      </c>
      <c r="G470" s="77" t="str">
        <f>'2024 DO NOT TOUCH'!G471</f>
        <v>2.0</v>
      </c>
      <c r="H470" s="78" t="str">
        <f>'2024 DO NOT TOUCH'!H471</f>
        <v>ACROSS MITCHELL DR. IRRIGATION</v>
      </c>
      <c r="I470" s="77" t="str">
        <f>'2024 DO NOT TOUCH'!I471</f>
        <v>PREMISE</v>
      </c>
      <c r="J470" s="78" t="str">
        <f>'2024 DO NOT TOUCH'!J471</f>
        <v>IRR</v>
      </c>
      <c r="K470" s="77" t="str">
        <f>'2024 DO NOT TOUCH'!K471</f>
        <v>ACTIVE</v>
      </c>
      <c r="L470" s="79">
        <f>'2024 DO NOT TOUCH'!L471</f>
        <v>44796</v>
      </c>
      <c r="M470" s="77" t="b">
        <f>'2024 DO NOT TOUCH'!M471</f>
        <v>0</v>
      </c>
      <c r="N470" s="78">
        <f>'2024 DO NOT TOUCH'!N471</f>
        <v>45532</v>
      </c>
      <c r="O470" s="77" t="str">
        <f>'2024 DO NOT TOUCH'!O471</f>
        <v>Haveron</v>
      </c>
      <c r="P470" s="80">
        <f>'2024 DO NOT TOUCH'!P471</f>
        <v>2.4</v>
      </c>
      <c r="Q470" s="80">
        <f>'2024 DO NOT TOUCH'!Q471</f>
        <v>2</v>
      </c>
      <c r="R470" s="80">
        <f>'2024 DO NOT TOUCH'!R471</f>
        <v>0</v>
      </c>
      <c r="S470" s="81" t="str">
        <f>'2024 DO NOT TOUCH'!S471</f>
        <v>TESTED</v>
      </c>
      <c r="T470" s="81" t="str">
        <f>'2024 DO NOT TOUCH'!T471</f>
        <v>PASSED</v>
      </c>
      <c r="U470" s="81">
        <f>'2024 DO NOT TOUCH'!U471</f>
        <v>0</v>
      </c>
      <c r="V470" s="81">
        <f>'2024 DO NOT TOUCH'!V471</f>
        <v>0</v>
      </c>
      <c r="W470" s="81">
        <f>'2024 DO NOT TOUCH'!W471</f>
        <v>0</v>
      </c>
      <c r="X470" s="80">
        <f>'2024 DO NOT TOUCH'!X471</f>
        <v>0</v>
      </c>
      <c r="Y470" s="81">
        <f>'2024 DO NOT TOUCH'!Y471</f>
        <v>0</v>
      </c>
    </row>
    <row r="471" spans="1:25" ht="19.5" customHeight="1">
      <c r="A471" s="58" t="str">
        <f>'2024 DO NOT TOUCH'!A472</f>
        <v>4200</v>
      </c>
      <c r="B471" s="59" t="str">
        <f>'2024 DO NOT TOUCH'!B472</f>
        <v>CHAPEL &amp; IRRIGATION</v>
      </c>
      <c r="C471" s="58" t="str">
        <f>'2024 DO NOT TOUCH'!C472</f>
        <v>W358318</v>
      </c>
      <c r="D471" s="59" t="str">
        <f>'2024 DO NOT TOUCH'!D472</f>
        <v>WILKINS</v>
      </c>
      <c r="E471" s="58" t="str">
        <f>'2024 DO NOT TOUCH'!E472</f>
        <v>975XL</v>
      </c>
      <c r="F471" s="59" t="str">
        <f>'2024 DO NOT TOUCH'!F472</f>
        <v>RP</v>
      </c>
      <c r="G471" s="58" t="str">
        <f>'2024 DO NOT TOUCH'!G472</f>
        <v>0.5</v>
      </c>
      <c r="H471" s="59" t="str">
        <f>'2024 DO NOT TOUCH'!H472</f>
        <v>KITCHEN ICE MACHINE</v>
      </c>
      <c r="I471" s="58" t="str">
        <f>'2024 DO NOT TOUCH'!I472</f>
        <v>INPREMISE</v>
      </c>
      <c r="J471" s="59" t="str">
        <f>'2024 DO NOT TOUCH'!J472</f>
        <v>AOI</v>
      </c>
      <c r="K471" s="58" t="str">
        <f>'2024 DO NOT TOUCH'!K472</f>
        <v>ACTIVE</v>
      </c>
      <c r="L471" s="71">
        <f>'2024 DO NOT TOUCH'!L472</f>
        <v>44796</v>
      </c>
      <c r="M471" s="58" t="b">
        <f>'2024 DO NOT TOUCH'!M472</f>
        <v>0</v>
      </c>
      <c r="N471" s="59">
        <f>'2024 DO NOT TOUCH'!N472</f>
        <v>45530</v>
      </c>
      <c r="O471" s="58" t="str">
        <f>'2024 DO NOT TOUCH'!O472</f>
        <v>PARK</v>
      </c>
      <c r="P471" s="65">
        <f>'2024 DO NOT TOUCH'!P472</f>
        <v>6</v>
      </c>
      <c r="Q471" s="65">
        <f>'2024 DO NOT TOUCH'!Q472</f>
        <v>0</v>
      </c>
      <c r="R471" s="65">
        <f>'2024 DO NOT TOUCH'!R472</f>
        <v>2.4</v>
      </c>
      <c r="S471" s="62" t="str">
        <f>'2024 DO NOT TOUCH'!S472</f>
        <v>TESTED</v>
      </c>
      <c r="T471" s="62" t="str">
        <f>'2024 DO NOT TOUCH'!T472</f>
        <v>PASSED</v>
      </c>
      <c r="U471" s="62">
        <f>'2024 DO NOT TOUCH'!U472</f>
        <v>0</v>
      </c>
      <c r="V471" s="62">
        <f>'2024 DO NOT TOUCH'!V472</f>
        <v>0</v>
      </c>
      <c r="W471" s="62">
        <f>'2024 DO NOT TOUCH'!W472</f>
        <v>0</v>
      </c>
      <c r="X471" s="65">
        <f>'2024 DO NOT TOUCH'!X472</f>
        <v>0</v>
      </c>
      <c r="Y471" s="62">
        <f>'2024 DO NOT TOUCH'!Y472</f>
        <v>0</v>
      </c>
    </row>
    <row r="472" spans="1:25" ht="19.5" customHeight="1">
      <c r="A472" s="77" t="str">
        <f>'2024 DO NOT TOUCH'!A473</f>
        <v>4200</v>
      </c>
      <c r="B472" s="78" t="str">
        <f>'2024 DO NOT TOUCH'!B473</f>
        <v>CHAPEL &amp; IRRIGATION</v>
      </c>
      <c r="C472" s="77" t="str">
        <f>'2024 DO NOT TOUCH'!C473</f>
        <v>4042101</v>
      </c>
      <c r="D472" s="78" t="str">
        <f>'2024 DO NOT TOUCH'!D473</f>
        <v>WILKINS</v>
      </c>
      <c r="E472" s="77" t="str">
        <f>'2024 DO NOT TOUCH'!E473</f>
        <v>950xlt</v>
      </c>
      <c r="F472" s="78" t="str">
        <f>'2024 DO NOT TOUCH'!F473</f>
        <v>DC</v>
      </c>
      <c r="G472" s="77" t="str">
        <f>'2024 DO NOT TOUCH'!G473</f>
        <v>2.0</v>
      </c>
      <c r="H472" s="78" t="str">
        <f>'2024 DO NOT TOUCH'!H473</f>
        <v>FIELD BETWEEN CHAPEL AND FRONT GATE BY TREE</v>
      </c>
      <c r="I472" s="77" t="str">
        <f>'2024 DO NOT TOUCH'!I473</f>
        <v>PREMISE</v>
      </c>
      <c r="J472" s="78" t="str">
        <f>'2024 DO NOT TOUCH'!J473</f>
        <v>IRR</v>
      </c>
      <c r="K472" s="77" t="str">
        <f>'2024 DO NOT TOUCH'!K473</f>
        <v>ACTIVE</v>
      </c>
      <c r="L472" s="79">
        <f>'2024 DO NOT TOUCH'!L473</f>
        <v>44830</v>
      </c>
      <c r="M472" s="77" t="b">
        <f>'2024 DO NOT TOUCH'!M473</f>
        <v>1</v>
      </c>
      <c r="N472" s="78">
        <f>'2024 DO NOT TOUCH'!N473</f>
        <v>45532</v>
      </c>
      <c r="O472" s="77" t="str">
        <f>'2024 DO NOT TOUCH'!O473</f>
        <v>PARK</v>
      </c>
      <c r="P472" s="80">
        <f>'2024 DO NOT TOUCH'!P473</f>
        <v>1.6</v>
      </c>
      <c r="Q472" s="80">
        <f>'2024 DO NOT TOUCH'!Q473</f>
        <v>1.4</v>
      </c>
      <c r="R472" s="80">
        <f>'2024 DO NOT TOUCH'!R473</f>
        <v>0</v>
      </c>
      <c r="S472" s="81" t="str">
        <f>'2024 DO NOT TOUCH'!S473</f>
        <v>TESTED</v>
      </c>
      <c r="T472" s="81" t="str">
        <f>'2024 DO NOT TOUCH'!T473</f>
        <v>PASSED</v>
      </c>
      <c r="U472" s="81">
        <f>'2024 DO NOT TOUCH'!U473</f>
        <v>0</v>
      </c>
      <c r="V472" s="81">
        <f>'2024 DO NOT TOUCH'!V473</f>
        <v>0</v>
      </c>
      <c r="W472" s="81">
        <f>'2024 DO NOT TOUCH'!W473</f>
        <v>0</v>
      </c>
      <c r="X472" s="80" t="str">
        <f>'2024 DO NOT TOUCH'!X473</f>
        <v>1830332</v>
      </c>
      <c r="Y472" s="81">
        <f>'2024 DO NOT TOUCH'!Y473</f>
        <v>0</v>
      </c>
    </row>
    <row r="473" spans="1:25" ht="19.5" customHeight="1">
      <c r="A473" s="58" t="str">
        <f>'2024 DO NOT TOUCH'!A474</f>
        <v>4203</v>
      </c>
      <c r="B473" s="59" t="str">
        <f>'2024 DO NOT TOUCH'!B474</f>
        <v>VISITOR CENTER</v>
      </c>
      <c r="C473" s="58" t="str">
        <f>'2024 DO NOT TOUCH'!C474</f>
        <v>H05531</v>
      </c>
      <c r="D473" s="59" t="str">
        <f>'2024 DO NOT TOUCH'!D474</f>
        <v>FEBCO</v>
      </c>
      <c r="E473" s="58" t="str">
        <f>'2024 DO NOT TOUCH'!E474</f>
        <v>850</v>
      </c>
      <c r="F473" s="59" t="str">
        <f>'2024 DO NOT TOUCH'!F474</f>
        <v>DC</v>
      </c>
      <c r="G473" s="58" t="str">
        <f>'2024 DO NOT TOUCH'!G474</f>
        <v>2.0</v>
      </c>
      <c r="H473" s="59" t="str">
        <f>'2024 DO NOT TOUCH'!H474</f>
        <v>RIGHT SIDE OF PARKING LOT NEXT TO SIDEWALK</v>
      </c>
      <c r="I473" s="58" t="str">
        <f>'2024 DO NOT TOUCH'!I474</f>
        <v>PREMISE</v>
      </c>
      <c r="J473" s="59" t="str">
        <f>'2024 DO NOT TOUCH'!J474</f>
        <v>IRR</v>
      </c>
      <c r="K473" s="58" t="str">
        <f>'2024 DO NOT TOUCH'!K474</f>
        <v>INACTIVE</v>
      </c>
      <c r="L473" s="71">
        <f>'2024 DO NOT TOUCH'!L474</f>
        <v>0</v>
      </c>
      <c r="M473" s="58" t="b">
        <f>'2024 DO NOT TOUCH'!M474</f>
        <v>0</v>
      </c>
      <c r="N473" s="59">
        <f>'2024 DO NOT TOUCH'!N474</f>
        <v>45558</v>
      </c>
      <c r="O473" s="58" t="str">
        <f>'2024 DO NOT TOUCH'!O474</f>
        <v>PARK</v>
      </c>
      <c r="P473" s="67">
        <f>'2024 DO NOT TOUCH'!P474</f>
        <v>1.3</v>
      </c>
      <c r="Q473" s="67">
        <f>'2024 DO NOT TOUCH'!Q474</f>
        <v>1</v>
      </c>
      <c r="R473" s="67">
        <f>'2024 DO NOT TOUCH'!R474</f>
        <v>0</v>
      </c>
      <c r="S473" s="58" t="str">
        <f>'2024 DO NOT TOUCH'!S474</f>
        <v>TESTED</v>
      </c>
      <c r="T473" s="58" t="str">
        <f>'2024 DO NOT TOUCH'!T474</f>
        <v>PASSED</v>
      </c>
      <c r="U473" s="58" t="str">
        <f>'2024 DO NOT TOUCH'!U474</f>
        <v>PASSED</v>
      </c>
      <c r="V473" s="58" t="str">
        <f>'2024 DO NOT TOUCH'!V474</f>
        <v>EXISTING</v>
      </c>
      <c r="W473" s="58" t="str">
        <f>'2024 DO NOT TOUCH'!W474</f>
        <v>EXISTING</v>
      </c>
      <c r="X473" s="67">
        <f>'2024 DO NOT TOUCH'!X474</f>
        <v>0</v>
      </c>
      <c r="Y473" s="58">
        <f>'2024 DO NOT TOUCH'!Y474</f>
        <v>0</v>
      </c>
    </row>
    <row r="474" spans="1:25" ht="19.5" customHeight="1">
      <c r="A474" s="77" t="str">
        <f>'2024 DO NOT TOUCH'!A475</f>
        <v>4206</v>
      </c>
      <c r="B474" s="78" t="str">
        <f>'2024 DO NOT TOUCH'!B475</f>
        <v>MAIN GATE</v>
      </c>
      <c r="C474" s="77" t="str">
        <f>'2024 DO NOT TOUCH'!C475</f>
        <v>40413</v>
      </c>
      <c r="D474" s="78" t="str">
        <f>'2024 DO NOT TOUCH'!D475</f>
        <v>WATTS</v>
      </c>
      <c r="E474" s="77" t="str">
        <f>'2024 DO NOT TOUCH'!E475</f>
        <v>007M1QT</v>
      </c>
      <c r="F474" s="78" t="str">
        <f>'2024 DO NOT TOUCH'!F475</f>
        <v>DC</v>
      </c>
      <c r="G474" s="77" t="str">
        <f>'2024 DO NOT TOUCH'!G475</f>
        <v>2.0</v>
      </c>
      <c r="H474" s="78" t="str">
        <f>'2024 DO NOT TOUCH'!H475</f>
        <v>OUTBOUND RD NEXT TO HYDRANT</v>
      </c>
      <c r="I474" s="77" t="str">
        <f>'2024 DO NOT TOUCH'!I475</f>
        <v>PREMISE</v>
      </c>
      <c r="J474" s="78" t="str">
        <f>'2024 DO NOT TOUCH'!J475</f>
        <v>IRR</v>
      </c>
      <c r="K474" s="77" t="str">
        <f>'2024 DO NOT TOUCH'!K475</f>
        <v>INACTIVE</v>
      </c>
      <c r="L474" s="79">
        <f>'2024 DO NOT TOUCH'!L475</f>
        <v>0</v>
      </c>
      <c r="M474" s="77" t="b">
        <f>'2024 DO NOT TOUCH'!M475</f>
        <v>0</v>
      </c>
      <c r="N474" s="78">
        <f>'2024 DO NOT TOUCH'!N475</f>
        <v>45559</v>
      </c>
      <c r="O474" s="77" t="str">
        <f>'2024 DO NOT TOUCH'!O475</f>
        <v>PARK</v>
      </c>
      <c r="P474" s="83">
        <f>'2024 DO NOT TOUCH'!P475</f>
        <v>1.8</v>
      </c>
      <c r="Q474" s="83">
        <f>'2024 DO NOT TOUCH'!Q475</f>
        <v>1.6</v>
      </c>
      <c r="R474" s="83">
        <f>'2024 DO NOT TOUCH'!R475</f>
        <v>0</v>
      </c>
      <c r="S474" s="77" t="str">
        <f>'2024 DO NOT TOUCH'!S475</f>
        <v>TESTED</v>
      </c>
      <c r="T474" s="77" t="str">
        <f>'2024 DO NOT TOUCH'!T475</f>
        <v>PASSED</v>
      </c>
      <c r="U474" s="77" t="str">
        <f>'2024 DO NOT TOUCH'!U475</f>
        <v>PASSED</v>
      </c>
      <c r="V474" s="77" t="str">
        <f>'2024 DO NOT TOUCH'!V475</f>
        <v>EXISTING</v>
      </c>
      <c r="W474" s="77" t="str">
        <f>'2024 DO NOT TOUCH'!W475</f>
        <v>EXISTING</v>
      </c>
      <c r="X474" s="83">
        <f>'2024 DO NOT TOUCH'!X475</f>
        <v>0</v>
      </c>
      <c r="Y474" s="77">
        <f>'2024 DO NOT TOUCH'!Y475</f>
        <v>0</v>
      </c>
    </row>
    <row r="475" spans="1:25" ht="19.5" customHeight="1">
      <c r="A475" s="58" t="str">
        <f>'2024 DO NOT TOUCH'!A476</f>
        <v>4206</v>
      </c>
      <c r="B475" s="59" t="str">
        <f>'2024 DO NOT TOUCH'!B476</f>
        <v>MAIN GATE</v>
      </c>
      <c r="C475" s="58" t="str">
        <f>'2024 DO NOT TOUCH'!C476</f>
        <v>2065894</v>
      </c>
      <c r="D475" s="59" t="str">
        <f>'2024 DO NOT TOUCH'!D476</f>
        <v>WILKINS</v>
      </c>
      <c r="E475" s="58" t="str">
        <f>'2024 DO NOT TOUCH'!E476</f>
        <v>950XLT</v>
      </c>
      <c r="F475" s="59" t="str">
        <f>'2024 DO NOT TOUCH'!F476</f>
        <v>DC</v>
      </c>
      <c r="G475" s="58" t="str">
        <f>'2024 DO NOT TOUCH'!G476</f>
        <v>2.0</v>
      </c>
      <c r="H475" s="59" t="str">
        <f>'2024 DO NOT TOUCH'!H476</f>
        <v xml:space="preserve">OUTBOUND RD BEHIND BRICK OVERHANG </v>
      </c>
      <c r="I475" s="58" t="str">
        <f>'2024 DO NOT TOUCH'!I476</f>
        <v>PREMISE</v>
      </c>
      <c r="J475" s="59" t="str">
        <f>'2024 DO NOT TOUCH'!J476</f>
        <v>IRR</v>
      </c>
      <c r="K475" s="58" t="str">
        <f>'2024 DO NOT TOUCH'!K476</f>
        <v>INACTIVE</v>
      </c>
      <c r="L475" s="71">
        <f>'2024 DO NOT TOUCH'!L476</f>
        <v>0</v>
      </c>
      <c r="M475" s="58" t="b">
        <f>'2024 DO NOT TOUCH'!M476</f>
        <v>0</v>
      </c>
      <c r="N475" s="59">
        <f>'2024 DO NOT TOUCH'!N476</f>
        <v>45558</v>
      </c>
      <c r="O475" s="58" t="str">
        <f>'2024 DO NOT TOUCH'!O476</f>
        <v>PARK</v>
      </c>
      <c r="P475" s="65">
        <f>'2024 DO NOT TOUCH'!P476</f>
        <v>2.6</v>
      </c>
      <c r="Q475" s="65">
        <f>'2024 DO NOT TOUCH'!Q476</f>
        <v>2.8</v>
      </c>
      <c r="R475" s="65">
        <f>'2024 DO NOT TOUCH'!R476</f>
        <v>0</v>
      </c>
      <c r="S475" s="62" t="str">
        <f>'2024 DO NOT TOUCH'!S476</f>
        <v>TESTED</v>
      </c>
      <c r="T475" s="62" t="str">
        <f>'2024 DO NOT TOUCH'!T476</f>
        <v>PASSED</v>
      </c>
      <c r="U475" s="62" t="str">
        <f>'2024 DO NOT TOUCH'!U476</f>
        <v>PASSED</v>
      </c>
      <c r="V475" s="62" t="str">
        <f>'2024 DO NOT TOUCH'!V476</f>
        <v>EXISTING</v>
      </c>
      <c r="W475" s="62" t="str">
        <f>'2024 DO NOT TOUCH'!W476</f>
        <v>EXISTING</v>
      </c>
      <c r="X475" s="65" t="str">
        <f>'2024 DO NOT TOUCH'!X476</f>
        <v>2065897</v>
      </c>
      <c r="Y475" s="62">
        <f>'2024 DO NOT TOUCH'!Y476</f>
        <v>0</v>
      </c>
    </row>
    <row r="476" spans="1:25" ht="19.5" customHeight="1">
      <c r="A476" s="55" t="str">
        <f>'2024 DO NOT TOUCH'!A477</f>
        <v>4325</v>
      </c>
      <c r="B476" s="3" t="str">
        <f>'2024 DO NOT TOUCH'!B477</f>
        <v>PASS &amp; ID</v>
      </c>
      <c r="C476" s="55" t="str">
        <f>'2024 DO NOT TOUCH'!C477</f>
        <v>AJ9739</v>
      </c>
      <c r="D476" s="3" t="str">
        <f>'2024 DO NOT TOUCH'!D477</f>
        <v>FEBCO</v>
      </c>
      <c r="E476" s="55" t="str">
        <f>'2024 DO NOT TOUCH'!E477</f>
        <v>805Y</v>
      </c>
      <c r="F476" s="3" t="str">
        <f>'2024 DO NOT TOUCH'!F477</f>
        <v>DC</v>
      </c>
      <c r="G476" s="55" t="str">
        <f>'2024 DO NOT TOUCH'!G477</f>
        <v>2.0</v>
      </c>
      <c r="H476" s="3" t="str">
        <f>'2024 DO NOT TOUCH'!H477</f>
        <v>MIDDLE OF GRASS IN FRONT OF BLDG NEAR POST</v>
      </c>
      <c r="I476" s="55" t="str">
        <f>'2024 DO NOT TOUCH'!I477</f>
        <v>PREMISE</v>
      </c>
      <c r="J476" s="3" t="str">
        <f>'2024 DO NOT TOUCH'!J477</f>
        <v>IRR</v>
      </c>
      <c r="K476" s="55" t="str">
        <f>'2024 DO NOT TOUCH'!K477</f>
        <v>ACTIVE</v>
      </c>
      <c r="L476" s="72">
        <f>'2024 DO NOT TOUCH'!L477</f>
        <v>44830</v>
      </c>
      <c r="M476" s="55" t="b">
        <f>'2024 DO NOT TOUCH'!M477</f>
        <v>1</v>
      </c>
      <c r="N476" s="3">
        <f>'2024 DO NOT TOUCH'!N477</f>
        <v>45558</v>
      </c>
      <c r="O476" s="55" t="str">
        <f>'2024 DO NOT TOUCH'!O477</f>
        <v>PARK</v>
      </c>
      <c r="P476" s="64">
        <f>'2024 DO NOT TOUCH'!P477</f>
        <v>1.6</v>
      </c>
      <c r="Q476" s="64">
        <f>'2024 DO NOT TOUCH'!Q477</f>
        <v>1.4</v>
      </c>
      <c r="R476" s="64">
        <f>'2024 DO NOT TOUCH'!R477</f>
        <v>0</v>
      </c>
      <c r="S476" s="57" t="str">
        <f>'2024 DO NOT TOUCH'!S477</f>
        <v>TESTED</v>
      </c>
      <c r="T476" s="57" t="str">
        <f>'2024 DO NOT TOUCH'!T477</f>
        <v>PASSED</v>
      </c>
      <c r="U476" s="57" t="str">
        <f>'2024 DO NOT TOUCH'!U477</f>
        <v>PASSED</v>
      </c>
      <c r="V476" s="57" t="str">
        <f>'2024 DO NOT TOUCH'!V477</f>
        <v>EXISTING</v>
      </c>
      <c r="W476" s="57" t="str">
        <f>'2024 DO NOT TOUCH'!W477</f>
        <v>EXISTING</v>
      </c>
      <c r="X476" s="64">
        <f>'2024 DO NOT TOUCH'!X477</f>
        <v>0</v>
      </c>
      <c r="Y476" s="57">
        <f>'2024 DO NOT TOUCH'!Y477</f>
        <v>0</v>
      </c>
    </row>
    <row r="477" spans="1:25" ht="19.5" customHeight="1">
      <c r="A477" s="58" t="str">
        <f>'2024 DO NOT TOUCH'!A478</f>
        <v>4400</v>
      </c>
      <c r="B477" s="59" t="str">
        <f>'2024 DO NOT TOUCH'!B478</f>
        <v>ARMY RESERVE CENTER</v>
      </c>
      <c r="C477" s="58" t="str">
        <f>'2024 DO NOT TOUCH'!C478</f>
        <v>3070067XLTCU</v>
      </c>
      <c r="D477" s="59" t="str">
        <f>'2024 DO NOT TOUCH'!D478</f>
        <v>WILKINS</v>
      </c>
      <c r="E477" s="58" t="str">
        <f>'2024 DO NOT TOUCH'!E478</f>
        <v>975XLTCU</v>
      </c>
      <c r="F477" s="59" t="str">
        <f>'2024 DO NOT TOUCH'!F478</f>
        <v>RP</v>
      </c>
      <c r="G477" s="58" t="str">
        <f>'2024 DO NOT TOUCH'!G478</f>
        <v>1.0</v>
      </c>
      <c r="H477" s="59" t="str">
        <f>'2024 DO NOT TOUCH'!H478</f>
        <v xml:space="preserve">MECH RM HVAC </v>
      </c>
      <c r="I477" s="58" t="str">
        <f>'2024 DO NOT TOUCH'!I478</f>
        <v>INPREMISE</v>
      </c>
      <c r="J477" s="59" t="str">
        <f>'2024 DO NOT TOUCH'!J478</f>
        <v>AOI</v>
      </c>
      <c r="K477" s="58" t="str">
        <f>'2024 DO NOT TOUCH'!K478</f>
        <v>ACTIVE</v>
      </c>
      <c r="L477" s="71">
        <f>'2024 DO NOT TOUCH'!L478</f>
        <v>44946</v>
      </c>
      <c r="M477" s="58" t="b">
        <f>'2024 DO NOT TOUCH'!M478</f>
        <v>0</v>
      </c>
      <c r="N477" s="59">
        <f>'2024 DO NOT TOUCH'!N478</f>
        <v>0</v>
      </c>
      <c r="O477" s="58">
        <f>'2024 DO NOT TOUCH'!O478</f>
        <v>0</v>
      </c>
      <c r="P477" s="65">
        <f>'2024 DO NOT TOUCH'!P478</f>
        <v>0</v>
      </c>
      <c r="Q477" s="65">
        <f>'2024 DO NOT TOUCH'!Q478</f>
        <v>0</v>
      </c>
      <c r="R477" s="65">
        <f>'2024 DO NOT TOUCH'!R478</f>
        <v>0</v>
      </c>
      <c r="S477" s="62" t="str">
        <f>'2024 DO NOT TOUCH'!S478</f>
        <v>TESTED</v>
      </c>
      <c r="T477" s="62" t="str">
        <f>'2024 DO NOT TOUCH'!T478</f>
        <v>PASSED</v>
      </c>
      <c r="U477" s="62">
        <f>'2024 DO NOT TOUCH'!U478</f>
        <v>0</v>
      </c>
      <c r="V477" s="62">
        <f>'2024 DO NOT TOUCH'!V478</f>
        <v>0</v>
      </c>
      <c r="W477" s="62">
        <f>'2024 DO NOT TOUCH'!W478</f>
        <v>0</v>
      </c>
      <c r="X477" s="65">
        <f>'2024 DO NOT TOUCH'!X478</f>
        <v>0</v>
      </c>
      <c r="Y477" s="62">
        <f>'2024 DO NOT TOUCH'!Y478</f>
        <v>0</v>
      </c>
    </row>
    <row r="478" spans="1:25" ht="19.5" customHeight="1">
      <c r="A478" s="55" t="str">
        <f>'2024 DO NOT TOUCH'!A479</f>
        <v>4400</v>
      </c>
      <c r="B478" s="55" t="str">
        <f>'2024 DO NOT TOUCH'!B479</f>
        <v>ARMY RESERVE CENTER</v>
      </c>
      <c r="C478" s="55" t="str">
        <f>'2024 DO NOT TOUCH'!C479</f>
        <v>A90731</v>
      </c>
      <c r="D478" s="55" t="str">
        <f>'2024 DO NOT TOUCH'!D479</f>
        <v>WATTS</v>
      </c>
      <c r="E478" s="55" t="str">
        <f>'2024 DO NOT TOUCH'!E479</f>
        <v>009QT</v>
      </c>
      <c r="F478" s="55" t="str">
        <f>'2024 DO NOT TOUCH'!F479</f>
        <v>RP</v>
      </c>
      <c r="G478" s="55" t="str">
        <f>'2024 DO NOT TOUCH'!G479</f>
        <v>0.5</v>
      </c>
      <c r="H478" s="55" t="str">
        <f>'2024 DO NOT TOUCH'!H479</f>
        <v>KITCHEN ICE MACHINE</v>
      </c>
      <c r="I478" s="55" t="str">
        <f>'2024 DO NOT TOUCH'!I479</f>
        <v>INPREMISE</v>
      </c>
      <c r="J478" s="55" t="str">
        <f>'2024 DO NOT TOUCH'!J479</f>
        <v>AOI</v>
      </c>
      <c r="K478" s="55" t="str">
        <f>'2024 DO NOT TOUCH'!K479</f>
        <v>ACTIVE</v>
      </c>
      <c r="L478" s="56">
        <f>'2024 DO NOT TOUCH'!L479</f>
        <v>0</v>
      </c>
      <c r="M478" s="56" t="b">
        <f>'2024 DO NOT TOUCH'!M479</f>
        <v>0</v>
      </c>
      <c r="N478" s="56">
        <f>'2024 DO NOT TOUCH'!N479</f>
        <v>0</v>
      </c>
      <c r="O478" s="55">
        <f>'2024 DO NOT TOUCH'!O479</f>
        <v>0</v>
      </c>
      <c r="P478" s="64">
        <f>'2024 DO NOT TOUCH'!P479</f>
        <v>0</v>
      </c>
      <c r="Q478" s="64">
        <f>'2024 DO NOT TOUCH'!Q479</f>
        <v>0</v>
      </c>
      <c r="R478" s="64">
        <f>'2024 DO NOT TOUCH'!R479</f>
        <v>0</v>
      </c>
      <c r="S478" s="55" t="str">
        <f>'2024 DO NOT TOUCH'!S479</f>
        <v>TESTED</v>
      </c>
      <c r="T478" s="55" t="str">
        <f>'2024 DO NOT TOUCH'!T479</f>
        <v>PASSED</v>
      </c>
      <c r="U478" s="55">
        <f>'2024 DO NOT TOUCH'!U479</f>
        <v>0</v>
      </c>
      <c r="V478" s="55">
        <f>'2024 DO NOT TOUCH'!V479</f>
        <v>0</v>
      </c>
      <c r="W478" s="55">
        <f>'2024 DO NOT TOUCH'!W479</f>
        <v>0</v>
      </c>
      <c r="X478" s="66">
        <f>'2024 DO NOT TOUCH'!X479</f>
        <v>0</v>
      </c>
      <c r="Y478" s="55">
        <f>'2024 DO NOT TOUCH'!Y479</f>
        <v>0</v>
      </c>
    </row>
    <row r="479" spans="1:25" ht="19.5" customHeight="1">
      <c r="A479" s="58" t="str">
        <f>'2024 DO NOT TOUCH'!A480</f>
        <v>4400</v>
      </c>
      <c r="B479" s="59" t="str">
        <f>'2024 DO NOT TOUCH'!B480</f>
        <v>ARMY RESERVE CENTER</v>
      </c>
      <c r="C479" s="58" t="str">
        <f>'2024 DO NOT TOUCH'!C480</f>
        <v>L50784</v>
      </c>
      <c r="D479" s="59" t="str">
        <f>'2024 DO NOT TOUCH'!D480</f>
        <v>WILKINS</v>
      </c>
      <c r="E479" s="58" t="str">
        <f>'2024 DO NOT TOUCH'!E480</f>
        <v>375</v>
      </c>
      <c r="F479" s="59" t="str">
        <f>'2024 DO NOT TOUCH'!F480</f>
        <v>RP</v>
      </c>
      <c r="G479" s="58" t="str">
        <f>'2024 DO NOT TOUCH'!G480</f>
        <v>2.5</v>
      </c>
      <c r="H479" s="59" t="str">
        <f>'2024 DO NOT TOUCH'!H480</f>
        <v>MECH RM PREMISE</v>
      </c>
      <c r="I479" s="58" t="str">
        <f>'2024 DO NOT TOUCH'!I480</f>
        <v>PREMISE</v>
      </c>
      <c r="J479" s="59" t="str">
        <f>'2024 DO NOT TOUCH'!J480</f>
        <v>PREMISE</v>
      </c>
      <c r="K479" s="58" t="str">
        <f>'2024 DO NOT TOUCH'!K480</f>
        <v>ACTIVE</v>
      </c>
      <c r="L479" s="71">
        <f>'2024 DO NOT TOUCH'!L480</f>
        <v>44936</v>
      </c>
      <c r="M479" s="58" t="b">
        <f>'2024 DO NOT TOUCH'!M480</f>
        <v>0</v>
      </c>
      <c r="N479" s="59">
        <f>'2024 DO NOT TOUCH'!N480</f>
        <v>0</v>
      </c>
      <c r="O479" s="58">
        <f>'2024 DO NOT TOUCH'!O480</f>
        <v>0</v>
      </c>
      <c r="P479" s="65">
        <f>'2024 DO NOT TOUCH'!P480</f>
        <v>0</v>
      </c>
      <c r="Q479" s="65">
        <f>'2024 DO NOT TOUCH'!Q480</f>
        <v>0</v>
      </c>
      <c r="R479" s="65">
        <f>'2024 DO NOT TOUCH'!R480</f>
        <v>0</v>
      </c>
      <c r="S479" s="62" t="str">
        <f>'2024 DO NOT TOUCH'!S480</f>
        <v>TESTED</v>
      </c>
      <c r="T479" s="62" t="str">
        <f>'2024 DO NOT TOUCH'!T480</f>
        <v>PASSED</v>
      </c>
      <c r="U479" s="62">
        <f>'2024 DO NOT TOUCH'!U480</f>
        <v>0</v>
      </c>
      <c r="V479" s="62">
        <f>'2024 DO NOT TOUCH'!V480</f>
        <v>0</v>
      </c>
      <c r="W479" s="62">
        <f>'2024 DO NOT TOUCH'!W480</f>
        <v>0</v>
      </c>
      <c r="X479" s="65">
        <f>'2024 DO NOT TOUCH'!X480</f>
        <v>0</v>
      </c>
      <c r="Y479" s="62">
        <f>'2024 DO NOT TOUCH'!Y480</f>
        <v>0</v>
      </c>
    </row>
    <row r="480" spans="1:25" ht="19.5" customHeight="1">
      <c r="A480" s="55" t="str">
        <f>'2024 DO NOT TOUCH'!A481</f>
        <v>4400</v>
      </c>
      <c r="B480" s="3" t="str">
        <f>'2024 DO NOT TOUCH'!B481</f>
        <v>ARMY RESERVE CENTER</v>
      </c>
      <c r="C480" s="55" t="str">
        <f>'2024 DO NOT TOUCH'!C481</f>
        <v>60107</v>
      </c>
      <c r="D480" s="3" t="str">
        <f>'2024 DO NOT TOUCH'!D481</f>
        <v>WATTS</v>
      </c>
      <c r="E480" s="55" t="str">
        <f>'2024 DO NOT TOUCH'!E481</f>
        <v>008PCQT</v>
      </c>
      <c r="F480" s="3" t="str">
        <f>'2024 DO NOT TOUCH'!F481</f>
        <v>SVB</v>
      </c>
      <c r="G480" s="55" t="str">
        <f>'2024 DO NOT TOUCH'!G481</f>
        <v>0.5</v>
      </c>
      <c r="H480" s="3" t="str">
        <f>'2024 DO NOT TOUCH'!H481</f>
        <v>GARBAGE DISPOSAL</v>
      </c>
      <c r="I480" s="55" t="str">
        <f>'2024 DO NOT TOUCH'!I481</f>
        <v>INPREMISE</v>
      </c>
      <c r="J480" s="3" t="str">
        <f>'2024 DO NOT TOUCH'!J481</f>
        <v>AOI</v>
      </c>
      <c r="K480" s="55" t="str">
        <f>'2024 DO NOT TOUCH'!K481</f>
        <v>ACTIVE</v>
      </c>
      <c r="L480" s="72">
        <f>'2024 DO NOT TOUCH'!L481</f>
        <v>0</v>
      </c>
      <c r="M480" s="55" t="b">
        <f>'2024 DO NOT TOUCH'!M481</f>
        <v>0</v>
      </c>
      <c r="N480" s="3">
        <f>'2024 DO NOT TOUCH'!N481</f>
        <v>0</v>
      </c>
      <c r="O480" s="55">
        <f>'2024 DO NOT TOUCH'!O481</f>
        <v>0</v>
      </c>
      <c r="P480" s="64">
        <f>'2024 DO NOT TOUCH'!P481</f>
        <v>0</v>
      </c>
      <c r="Q480" s="64">
        <f>'2024 DO NOT TOUCH'!Q481</f>
        <v>0</v>
      </c>
      <c r="R480" s="64">
        <f>'2024 DO NOT TOUCH'!R481</f>
        <v>0</v>
      </c>
      <c r="S480" s="57" t="str">
        <f>'2024 DO NOT TOUCH'!S481</f>
        <v>TESTED</v>
      </c>
      <c r="T480" s="57" t="str">
        <f>'2024 DO NOT TOUCH'!T481</f>
        <v>PASSED</v>
      </c>
      <c r="U480" s="57">
        <f>'2024 DO NOT TOUCH'!U481</f>
        <v>0</v>
      </c>
      <c r="V480" s="57">
        <f>'2024 DO NOT TOUCH'!V481</f>
        <v>0</v>
      </c>
      <c r="W480" s="57">
        <f>'2024 DO NOT TOUCH'!W481</f>
        <v>0</v>
      </c>
      <c r="X480" s="64">
        <f>'2024 DO NOT TOUCH'!X481</f>
        <v>0</v>
      </c>
      <c r="Y480" s="57">
        <f>'2024 DO NOT TOUCH'!Y481</f>
        <v>0</v>
      </c>
    </row>
    <row r="481" spans="1:25" ht="19.5" customHeight="1">
      <c r="A481" s="58" t="str">
        <f>'2024 DO NOT TOUCH'!A482</f>
        <v>4400</v>
      </c>
      <c r="B481" s="59" t="str">
        <f>'2024 DO NOT TOUCH'!B482</f>
        <v>ARMY RESERVE CENTER</v>
      </c>
      <c r="C481" s="58" t="str">
        <f>'2024 DO NOT TOUCH'!C482</f>
        <v>59682</v>
      </c>
      <c r="D481" s="59" t="str">
        <f>'2024 DO NOT TOUCH'!D482</f>
        <v>WATTS</v>
      </c>
      <c r="E481" s="58" t="str">
        <f>'2024 DO NOT TOUCH'!E482</f>
        <v>008PCQT</v>
      </c>
      <c r="F481" s="59" t="str">
        <f>'2024 DO NOT TOUCH'!F482</f>
        <v>SVB</v>
      </c>
      <c r="G481" s="58" t="str">
        <f>'2024 DO NOT TOUCH'!G482</f>
        <v>0.5</v>
      </c>
      <c r="H481" s="59" t="str">
        <f>'2024 DO NOT TOUCH'!H482</f>
        <v>KITCHEN GARBAGE DISPOSAL</v>
      </c>
      <c r="I481" s="58" t="str">
        <f>'2024 DO NOT TOUCH'!I482</f>
        <v>INPREMISE</v>
      </c>
      <c r="J481" s="59" t="str">
        <f>'2024 DO NOT TOUCH'!J482</f>
        <v>AOI</v>
      </c>
      <c r="K481" s="58" t="str">
        <f>'2024 DO NOT TOUCH'!K482</f>
        <v>ACTIVE</v>
      </c>
      <c r="L481" s="71">
        <f>'2024 DO NOT TOUCH'!L482</f>
        <v>0</v>
      </c>
      <c r="M481" s="58" t="b">
        <f>'2024 DO NOT TOUCH'!M482</f>
        <v>0</v>
      </c>
      <c r="N481" s="59">
        <f>'2024 DO NOT TOUCH'!N482</f>
        <v>0</v>
      </c>
      <c r="O481" s="58">
        <f>'2024 DO NOT TOUCH'!O482</f>
        <v>0</v>
      </c>
      <c r="P481" s="65">
        <f>'2024 DO NOT TOUCH'!P482</f>
        <v>0</v>
      </c>
      <c r="Q481" s="65">
        <f>'2024 DO NOT TOUCH'!Q482</f>
        <v>0</v>
      </c>
      <c r="R481" s="65">
        <f>'2024 DO NOT TOUCH'!R482</f>
        <v>0</v>
      </c>
      <c r="S481" s="62" t="str">
        <f>'2024 DO NOT TOUCH'!S482</f>
        <v>TESTED</v>
      </c>
      <c r="T481" s="62" t="str">
        <f>'2024 DO NOT TOUCH'!T482</f>
        <v>PASSED</v>
      </c>
      <c r="U481" s="62">
        <f>'2024 DO NOT TOUCH'!U482</f>
        <v>0</v>
      </c>
      <c r="V481" s="62">
        <f>'2024 DO NOT TOUCH'!V482</f>
        <v>0</v>
      </c>
      <c r="W481" s="62">
        <f>'2024 DO NOT TOUCH'!W482</f>
        <v>0</v>
      </c>
      <c r="X481" s="65">
        <f>'2024 DO NOT TOUCH'!X482</f>
        <v>0</v>
      </c>
      <c r="Y481" s="62" t="str">
        <f>'2024 DO NOT TOUCH'!Y482</f>
        <v>ISOLATED</v>
      </c>
    </row>
    <row r="482" spans="1:25" ht="19.5" customHeight="1">
      <c r="A482" s="55" t="str">
        <f>'2024 DO NOT TOUCH'!A483</f>
        <v>4400</v>
      </c>
      <c r="B482" s="3" t="str">
        <f>'2024 DO NOT TOUCH'!B483</f>
        <v>ARMY RESERVE CENTER</v>
      </c>
      <c r="C482" s="55" t="str">
        <f>'2024 DO NOT TOUCH'!C483</f>
        <v>28478</v>
      </c>
      <c r="D482" s="3" t="str">
        <f>'2024 DO NOT TOUCH'!D483</f>
        <v>WILKINS</v>
      </c>
      <c r="E482" s="55" t="str">
        <f>'2024 DO NOT TOUCH'!E483</f>
        <v>350</v>
      </c>
      <c r="F482" s="3" t="str">
        <f>'2024 DO NOT TOUCH'!F483</f>
        <v>DC</v>
      </c>
      <c r="G482" s="55" t="str">
        <f>'2024 DO NOT TOUCH'!G483</f>
        <v>4.0</v>
      </c>
      <c r="H482" s="3" t="str">
        <f>'2024 DO NOT TOUCH'!H483</f>
        <v>OUTSIDE MECH RM DOOR IN GRASS</v>
      </c>
      <c r="I482" s="55" t="str">
        <f>'2024 DO NOT TOUCH'!I483</f>
        <v>PREMISE</v>
      </c>
      <c r="J482" s="3" t="str">
        <f>'2024 DO NOT TOUCH'!J483</f>
        <v>PREMISE</v>
      </c>
      <c r="K482" s="55" t="str">
        <f>'2024 DO NOT TOUCH'!K483</f>
        <v>ACTIVE</v>
      </c>
      <c r="L482" s="72">
        <f>'2024 DO NOT TOUCH'!L483</f>
        <v>0</v>
      </c>
      <c r="M482" s="55" t="b">
        <f>'2024 DO NOT TOUCH'!M483</f>
        <v>0</v>
      </c>
      <c r="N482" s="3">
        <f>'2024 DO NOT TOUCH'!N483</f>
        <v>0</v>
      </c>
      <c r="O482" s="55">
        <f>'2024 DO NOT TOUCH'!O483</f>
        <v>0</v>
      </c>
      <c r="P482" s="66">
        <f>'2024 DO NOT TOUCH'!P483</f>
        <v>0</v>
      </c>
      <c r="Q482" s="66">
        <f>'2024 DO NOT TOUCH'!Q483</f>
        <v>0</v>
      </c>
      <c r="R482" s="66">
        <f>'2024 DO NOT TOUCH'!R483</f>
        <v>0</v>
      </c>
      <c r="S482" s="55" t="str">
        <f>'2024 DO NOT TOUCH'!S483</f>
        <v>TESTED</v>
      </c>
      <c r="T482" s="55" t="str">
        <f>'2024 DO NOT TOUCH'!T483</f>
        <v>PASSED</v>
      </c>
      <c r="U482" s="55">
        <f>'2024 DO NOT TOUCH'!U483</f>
        <v>0</v>
      </c>
      <c r="V482" s="55">
        <f>'2024 DO NOT TOUCH'!V483</f>
        <v>0</v>
      </c>
      <c r="W482" s="55">
        <f>'2024 DO NOT TOUCH'!W483</f>
        <v>0</v>
      </c>
      <c r="X482" s="66">
        <f>'2024 DO NOT TOUCH'!X483</f>
        <v>0</v>
      </c>
      <c r="Y482" s="55">
        <f>'2024 DO NOT TOUCH'!Y483</f>
        <v>0</v>
      </c>
    </row>
    <row r="483" spans="1:25" ht="19.5" customHeight="1">
      <c r="A483" s="58" t="str">
        <f>'2024 DO NOT TOUCH'!A484</f>
        <v>4401</v>
      </c>
      <c r="B483" s="59" t="str">
        <f>'2024 DO NOT TOUCH'!B484</f>
        <v>ARMY RESERVE CENTER</v>
      </c>
      <c r="C483" s="58" t="str">
        <f>'2024 DO NOT TOUCH'!C484</f>
        <v>2968490</v>
      </c>
      <c r="D483" s="59" t="str">
        <f>'2024 DO NOT TOUCH'!D484</f>
        <v>WILKINS</v>
      </c>
      <c r="E483" s="58" t="str">
        <f>'2024 DO NOT TOUCH'!E484</f>
        <v>975XL</v>
      </c>
      <c r="F483" s="59" t="str">
        <f>'2024 DO NOT TOUCH'!F484</f>
        <v>RP</v>
      </c>
      <c r="G483" s="58" t="str">
        <f>'2024 DO NOT TOUCH'!G484</f>
        <v>1.5</v>
      </c>
      <c r="H483" s="59" t="str">
        <f>'2024 DO NOT TOUCH'!H484</f>
        <v>MECH RM PREMISE</v>
      </c>
      <c r="I483" s="58" t="str">
        <f>'2024 DO NOT TOUCH'!I484</f>
        <v>PREMISE</v>
      </c>
      <c r="J483" s="59" t="str">
        <f>'2024 DO NOT TOUCH'!J484</f>
        <v>PREMISE</v>
      </c>
      <c r="K483" s="58" t="str">
        <f>'2024 DO NOT TOUCH'!K484</f>
        <v>ACTIVE</v>
      </c>
      <c r="L483" s="71">
        <f>'2024 DO NOT TOUCH'!L484</f>
        <v>44936</v>
      </c>
      <c r="M483" s="58" t="b">
        <f>'2024 DO NOT TOUCH'!M484</f>
        <v>0</v>
      </c>
      <c r="N483" s="59">
        <f>'2024 DO NOT TOUCH'!N484</f>
        <v>0</v>
      </c>
      <c r="O483" s="58">
        <f>'2024 DO NOT TOUCH'!O484</f>
        <v>0</v>
      </c>
      <c r="P483" s="67">
        <f>'2024 DO NOT TOUCH'!P484</f>
        <v>0</v>
      </c>
      <c r="Q483" s="67">
        <f>'2024 DO NOT TOUCH'!Q484</f>
        <v>0</v>
      </c>
      <c r="R483" s="67">
        <f>'2024 DO NOT TOUCH'!R484</f>
        <v>0</v>
      </c>
      <c r="S483" s="58" t="str">
        <f>'2024 DO NOT TOUCH'!S484</f>
        <v>TESTED</v>
      </c>
      <c r="T483" s="58" t="str">
        <f>'2024 DO NOT TOUCH'!T484</f>
        <v>PASSED</v>
      </c>
      <c r="U483" s="58">
        <f>'2024 DO NOT TOUCH'!U484</f>
        <v>0</v>
      </c>
      <c r="V483" s="58">
        <f>'2024 DO NOT TOUCH'!V484</f>
        <v>0</v>
      </c>
      <c r="W483" s="58">
        <f>'2024 DO NOT TOUCH'!W484</f>
        <v>0</v>
      </c>
      <c r="X483" s="67">
        <f>'2024 DO NOT TOUCH'!X484</f>
        <v>0</v>
      </c>
      <c r="Y483" s="58">
        <f>'2024 DO NOT TOUCH'!Y484</f>
        <v>0</v>
      </c>
    </row>
    <row r="484" spans="1:25" ht="19.5" customHeight="1">
      <c r="A484" s="77" t="str">
        <f>'2024 DO NOT TOUCH'!A485</f>
        <v>4401</v>
      </c>
      <c r="B484" s="78" t="str">
        <f>'2024 DO NOT TOUCH'!B485</f>
        <v>ARMY RESERVE CENTER</v>
      </c>
      <c r="C484" s="77" t="str">
        <f>'2024 DO NOT TOUCH'!C485</f>
        <v>3064818</v>
      </c>
      <c r="D484" s="78" t="str">
        <f>'2024 DO NOT TOUCH'!D485</f>
        <v>WILKINS</v>
      </c>
      <c r="E484" s="77" t="str">
        <f>'2024 DO NOT TOUCH'!E485</f>
        <v>975XL</v>
      </c>
      <c r="F484" s="78" t="str">
        <f>'2024 DO NOT TOUCH'!F485</f>
        <v>RP</v>
      </c>
      <c r="G484" s="77" t="str">
        <f>'2024 DO NOT TOUCH'!G485</f>
        <v>2.0</v>
      </c>
      <c r="H484" s="78" t="str">
        <f>'2024 DO NOT TOUCH'!H485</f>
        <v>MECH RM PREMISE</v>
      </c>
      <c r="I484" s="77" t="str">
        <f>'2024 DO NOT TOUCH'!I485</f>
        <v>PREMISE</v>
      </c>
      <c r="J484" s="78" t="str">
        <f>'2024 DO NOT TOUCH'!J485</f>
        <v>PREMISE</v>
      </c>
      <c r="K484" s="77" t="str">
        <f>'2024 DO NOT TOUCH'!K485</f>
        <v>ACTIVE</v>
      </c>
      <c r="L484" s="79">
        <f>'2024 DO NOT TOUCH'!L485</f>
        <v>44936</v>
      </c>
      <c r="M484" s="77" t="b">
        <f>'2024 DO NOT TOUCH'!M485</f>
        <v>0</v>
      </c>
      <c r="N484" s="78">
        <f>'2024 DO NOT TOUCH'!N485</f>
        <v>0</v>
      </c>
      <c r="O484" s="77">
        <f>'2024 DO NOT TOUCH'!O485</f>
        <v>0</v>
      </c>
      <c r="P484" s="80">
        <f>'2024 DO NOT TOUCH'!P485</f>
        <v>0</v>
      </c>
      <c r="Q484" s="80">
        <f>'2024 DO NOT TOUCH'!Q485</f>
        <v>0</v>
      </c>
      <c r="R484" s="80">
        <f>'2024 DO NOT TOUCH'!R485</f>
        <v>0</v>
      </c>
      <c r="S484" s="81" t="str">
        <f>'2024 DO NOT TOUCH'!S485</f>
        <v>TESTED</v>
      </c>
      <c r="T484" s="81" t="str">
        <f>'2024 DO NOT TOUCH'!T485</f>
        <v>PASSED</v>
      </c>
      <c r="U484" s="81" t="str">
        <f>'2024 DO NOT TOUCH'!U485</f>
        <v>PASSED</v>
      </c>
      <c r="V484" s="81" t="str">
        <f>'2024 DO NOT TOUCH'!V485</f>
        <v>EXISTING</v>
      </c>
      <c r="W484" s="81" t="str">
        <f>'2024 DO NOT TOUCH'!W485</f>
        <v>EXISTING</v>
      </c>
      <c r="X484" s="80">
        <f>'2024 DO NOT TOUCH'!X485</f>
        <v>0</v>
      </c>
      <c r="Y484" s="81" t="str">
        <f>'2024 DO NOT TOUCH'!Y485</f>
        <v>BONNIE WROTE 3054818</v>
      </c>
    </row>
    <row r="485" spans="1:25" ht="19.5" customHeight="1">
      <c r="A485" s="58" t="str">
        <f>'2024 DO NOT TOUCH'!A486</f>
        <v>9000</v>
      </c>
      <c r="B485" s="59" t="str">
        <f>'2024 DO NOT TOUCH'!B486</f>
        <v>MEDICAL CLINIC</v>
      </c>
      <c r="C485" s="58" t="str">
        <f>'2024 DO NOT TOUCH'!C486</f>
        <v>533338</v>
      </c>
      <c r="D485" s="59" t="str">
        <f>'2024 DO NOT TOUCH'!D486</f>
        <v>WILKINS</v>
      </c>
      <c r="E485" s="58" t="str">
        <f>'2024 DO NOT TOUCH'!E486</f>
        <v>950XL</v>
      </c>
      <c r="F485" s="59" t="str">
        <f>'2024 DO NOT TOUCH'!F486</f>
        <v>DC</v>
      </c>
      <c r="G485" s="58" t="str">
        <f>'2024 DO NOT TOUCH'!G486</f>
        <v>1.5</v>
      </c>
      <c r="H485" s="59" t="str">
        <f>'2024 DO NOT TOUCH'!H486</f>
        <v>MAIN ENTRANCE BY HYDRANT 11</v>
      </c>
      <c r="I485" s="58" t="str">
        <f>'2024 DO NOT TOUCH'!I486</f>
        <v>PREMISE</v>
      </c>
      <c r="J485" s="59" t="str">
        <f>'2024 DO NOT TOUCH'!J486</f>
        <v>IRR</v>
      </c>
      <c r="K485" s="58" t="str">
        <f>'2024 DO NOT TOUCH'!K486</f>
        <v>ACTIVE</v>
      </c>
      <c r="L485" s="71">
        <f>'2024 DO NOT TOUCH'!L486</f>
        <v>44830</v>
      </c>
      <c r="M485" s="58" t="b">
        <f>'2024 DO NOT TOUCH'!M486</f>
        <v>0</v>
      </c>
      <c r="N485" s="59">
        <f>'2024 DO NOT TOUCH'!N486</f>
        <v>45559</v>
      </c>
      <c r="O485" s="58" t="str">
        <f>'2024 DO NOT TOUCH'!O486</f>
        <v>PARK</v>
      </c>
      <c r="P485" s="65">
        <f>'2024 DO NOT TOUCH'!P486</f>
        <v>3.4</v>
      </c>
      <c r="Q485" s="65">
        <f>'2024 DO NOT TOUCH'!Q486</f>
        <v>3.1</v>
      </c>
      <c r="R485" s="65">
        <f>'2024 DO NOT TOUCH'!R486</f>
        <v>0</v>
      </c>
      <c r="S485" s="62" t="str">
        <f>'2024 DO NOT TOUCH'!S486</f>
        <v>TESTED</v>
      </c>
      <c r="T485" s="62" t="str">
        <f>'2024 DO NOT TOUCH'!T486</f>
        <v>PASSED</v>
      </c>
      <c r="U485" s="62">
        <f>'2024 DO NOT TOUCH'!U486</f>
        <v>0</v>
      </c>
      <c r="V485" s="62">
        <f>'2024 DO NOT TOUCH'!V486</f>
        <v>0</v>
      </c>
      <c r="W485" s="62">
        <f>'2024 DO NOT TOUCH'!W486</f>
        <v>0</v>
      </c>
      <c r="X485" s="65">
        <f>'2024 DO NOT TOUCH'!X486</f>
        <v>0</v>
      </c>
      <c r="Y485" s="62">
        <f>'2024 DO NOT TOUCH'!Y486</f>
        <v>0</v>
      </c>
    </row>
    <row r="486" spans="1:25" ht="19.5" customHeight="1">
      <c r="A486" s="77" t="str">
        <f>'2024 DO NOT TOUCH'!A487</f>
        <v>9000</v>
      </c>
      <c r="B486" s="78" t="str">
        <f>'2024 DO NOT TOUCH'!B487</f>
        <v>MEDICAL CLINIC</v>
      </c>
      <c r="C486" s="77" t="str">
        <f>'2024 DO NOT TOUCH'!C487</f>
        <v>55075</v>
      </c>
      <c r="D486" s="78" t="str">
        <f>'2024 DO NOT TOUCH'!D487</f>
        <v>WILKINS</v>
      </c>
      <c r="E486" s="77" t="str">
        <f>'2024 DO NOT TOUCH'!E487</f>
        <v>950XL</v>
      </c>
      <c r="F486" s="78" t="str">
        <f>'2024 DO NOT TOUCH'!F487</f>
        <v>DC</v>
      </c>
      <c r="G486" s="77" t="str">
        <f>'2024 DO NOT TOUCH'!G487</f>
        <v>1.5</v>
      </c>
      <c r="H486" s="78" t="str">
        <f>'2024 DO NOT TOUCH'!H487</f>
        <v>BACK OF BLDG DENTAL SIDE BY HYDRANT 14</v>
      </c>
      <c r="I486" s="77" t="str">
        <f>'2024 DO NOT TOUCH'!I487</f>
        <v>PREMISE</v>
      </c>
      <c r="J486" s="78" t="str">
        <f>'2024 DO NOT TOUCH'!J487</f>
        <v>IRR</v>
      </c>
      <c r="K486" s="77" t="str">
        <f>'2024 DO NOT TOUCH'!K487</f>
        <v>ACTIVE</v>
      </c>
      <c r="L486" s="79">
        <f>'2024 DO NOT TOUCH'!L487</f>
        <v>44830</v>
      </c>
      <c r="M486" s="77" t="b">
        <f>'2024 DO NOT TOUCH'!M487</f>
        <v>1</v>
      </c>
      <c r="N486" s="78">
        <f>'2024 DO NOT TOUCH'!N487</f>
        <v>45559</v>
      </c>
      <c r="O486" s="77" t="str">
        <f>'2024 DO NOT TOUCH'!O487</f>
        <v>PARK</v>
      </c>
      <c r="P486" s="80">
        <f>'2024 DO NOT TOUCH'!P487</f>
        <v>3</v>
      </c>
      <c r="Q486" s="80">
        <f>'2024 DO NOT TOUCH'!Q487</f>
        <v>3.1</v>
      </c>
      <c r="R486" s="80">
        <f>'2024 DO NOT TOUCH'!R487</f>
        <v>0</v>
      </c>
      <c r="S486" s="81" t="str">
        <f>'2024 DO NOT TOUCH'!S487</f>
        <v>TESTED</v>
      </c>
      <c r="T486" s="81" t="str">
        <f>'2024 DO NOT TOUCH'!T487</f>
        <v>PASSED</v>
      </c>
      <c r="U486" s="81">
        <f>'2024 DO NOT TOUCH'!U487</f>
        <v>0</v>
      </c>
      <c r="V486" s="81">
        <f>'2024 DO NOT TOUCH'!V487</f>
        <v>0</v>
      </c>
      <c r="W486" s="81">
        <f>'2024 DO NOT TOUCH'!W487</f>
        <v>0</v>
      </c>
      <c r="X486" s="80">
        <f>'2024 DO NOT TOUCH'!X487</f>
        <v>0</v>
      </c>
      <c r="Y486" s="81">
        <f>'2024 DO NOT TOUCH'!Y487</f>
        <v>0</v>
      </c>
    </row>
    <row r="487" spans="1:25" ht="19.5" customHeight="1">
      <c r="A487" s="58" t="str">
        <f>'2024 DO NOT TOUCH'!A488</f>
        <v>9000</v>
      </c>
      <c r="B487" s="59" t="str">
        <f>'2024 DO NOT TOUCH'!B488</f>
        <v>MEDICAL CLINIC</v>
      </c>
      <c r="C487" s="58" t="str">
        <f>'2024 DO NOT TOUCH'!C488</f>
        <v>05847</v>
      </c>
      <c r="D487" s="59" t="str">
        <f>'2024 DO NOT TOUCH'!D488</f>
        <v>FEBCO</v>
      </c>
      <c r="E487" s="58" t="str">
        <f>'2024 DO NOT TOUCH'!E488</f>
        <v>765-2</v>
      </c>
      <c r="F487" s="59" t="str">
        <f>'2024 DO NOT TOUCH'!F488</f>
        <v>PVB</v>
      </c>
      <c r="G487" s="58" t="str">
        <f>'2024 DO NOT TOUCH'!G488</f>
        <v>2.0</v>
      </c>
      <c r="H487" s="59" t="str">
        <f>'2024 DO NOT TOUCH'!H488</f>
        <v>NW SIDE OF CLINIC IN GRASS</v>
      </c>
      <c r="I487" s="58" t="str">
        <f>'2024 DO NOT TOUCH'!I488</f>
        <v>PREMISE</v>
      </c>
      <c r="J487" s="59" t="str">
        <f>'2024 DO NOT TOUCH'!J488</f>
        <v>IRR</v>
      </c>
      <c r="K487" s="58" t="str">
        <f>'2024 DO NOT TOUCH'!K488</f>
        <v>ACTIVE</v>
      </c>
      <c r="L487" s="71">
        <f>'2024 DO NOT TOUCH'!L488</f>
        <v>0</v>
      </c>
      <c r="M487" s="58" t="b">
        <f>'2024 DO NOT TOUCH'!M488</f>
        <v>1</v>
      </c>
      <c r="N487" s="59">
        <f>'2024 DO NOT TOUCH'!N488</f>
        <v>45559</v>
      </c>
      <c r="O487" s="58" t="str">
        <f>'2024 DO NOT TOUCH'!O488</f>
        <v>PARK</v>
      </c>
      <c r="P487" s="67">
        <f>'2024 DO NOT TOUCH'!P488</f>
        <v>1.8</v>
      </c>
      <c r="Q487" s="67">
        <f>'2024 DO NOT TOUCH'!Q488</f>
        <v>0</v>
      </c>
      <c r="R487" s="67">
        <f>'2024 DO NOT TOUCH'!R488</f>
        <v>4.4000000000000004</v>
      </c>
      <c r="S487" s="58" t="str">
        <f>'2024 DO NOT TOUCH'!S488</f>
        <v>TESTED</v>
      </c>
      <c r="T487" s="58" t="str">
        <f>'2024 DO NOT TOUCH'!T488</f>
        <v>PASSED</v>
      </c>
      <c r="U487" s="58">
        <f>'2024 DO NOT TOUCH'!U488</f>
        <v>0</v>
      </c>
      <c r="V487" s="58">
        <f>'2024 DO NOT TOUCH'!V488</f>
        <v>0</v>
      </c>
      <c r="W487" s="58">
        <f>'2024 DO NOT TOUCH'!W488</f>
        <v>0</v>
      </c>
      <c r="X487" s="67">
        <f>'2024 DO NOT TOUCH'!X488</f>
        <v>0</v>
      </c>
      <c r="Y487" s="58">
        <f>'2024 DO NOT TOUCH'!Y488</f>
        <v>0</v>
      </c>
    </row>
    <row r="488" spans="1:25" ht="19.5" customHeight="1">
      <c r="A488" s="77" t="str">
        <f>'2024 DO NOT TOUCH'!A489</f>
        <v>9008</v>
      </c>
      <c r="B488" s="78" t="str">
        <f>'2024 DO NOT TOUCH'!B489</f>
        <v>DENTAL CLINIC</v>
      </c>
      <c r="C488" s="77" t="str">
        <f>'2024 DO NOT TOUCH'!C489</f>
        <v>449411</v>
      </c>
      <c r="D488" s="78" t="str">
        <f>'2024 DO NOT TOUCH'!D489</f>
        <v>FEBCO</v>
      </c>
      <c r="E488" s="77" t="str">
        <f>'2024 DO NOT TOUCH'!E489</f>
        <v>765-2</v>
      </c>
      <c r="F488" s="78" t="str">
        <f>'2024 DO NOT TOUCH'!F489</f>
        <v>PVB</v>
      </c>
      <c r="G488" s="77" t="str">
        <f>'2024 DO NOT TOUCH'!G489</f>
        <v>2.0</v>
      </c>
      <c r="H488" s="78" t="str">
        <f>'2024 DO NOT TOUCH'!H489</f>
        <v>NEXT TO ENTRANCE IN GRAVEL</v>
      </c>
      <c r="I488" s="77" t="str">
        <f>'2024 DO NOT TOUCH'!I489</f>
        <v>PREMISE</v>
      </c>
      <c r="J488" s="78" t="str">
        <f>'2024 DO NOT TOUCH'!J489</f>
        <v>IRR</v>
      </c>
      <c r="K488" s="77" t="str">
        <f>'2024 DO NOT TOUCH'!K489</f>
        <v>ACTIVE</v>
      </c>
      <c r="L488" s="79">
        <f>'2024 DO NOT TOUCH'!L489</f>
        <v>44830</v>
      </c>
      <c r="M488" s="77" t="b">
        <f>'2024 DO NOT TOUCH'!M489</f>
        <v>0</v>
      </c>
      <c r="N488" s="78">
        <f>'2024 DO NOT TOUCH'!N489</f>
        <v>45559</v>
      </c>
      <c r="O488" s="77" t="str">
        <f>'2024 DO NOT TOUCH'!O489</f>
        <v>PARK</v>
      </c>
      <c r="P488" s="83">
        <f>'2024 DO NOT TOUCH'!P489</f>
        <v>1.6</v>
      </c>
      <c r="Q488" s="83">
        <f>'2024 DO NOT TOUCH'!Q489</f>
        <v>0</v>
      </c>
      <c r="R488" s="83">
        <f>'2024 DO NOT TOUCH'!R489</f>
        <v>4.5999999999999996</v>
      </c>
      <c r="S488" s="77" t="str">
        <f>'2024 DO NOT TOUCH'!S489</f>
        <v>TESTED</v>
      </c>
      <c r="T488" s="77">
        <f>'2024 DO NOT TOUCH'!T489</f>
        <v>0</v>
      </c>
      <c r="U488" s="77">
        <f>'2024 DO NOT TOUCH'!U489</f>
        <v>0</v>
      </c>
      <c r="V488" s="77">
        <f>'2024 DO NOT TOUCH'!V489</f>
        <v>0</v>
      </c>
      <c r="W488" s="77">
        <f>'2024 DO NOT TOUCH'!W489</f>
        <v>0</v>
      </c>
      <c r="X488" s="83">
        <f>'2024 DO NOT TOUCH'!X489</f>
        <v>0</v>
      </c>
      <c r="Y488" s="77" t="str">
        <f>'2024 DO NOT TOUCH'!Y489</f>
        <v>ISO</v>
      </c>
    </row>
    <row r="489" spans="1:25" ht="19.5" customHeight="1">
      <c r="A489" s="58" t="str">
        <f>'2024 DO NOT TOUCH'!A490</f>
        <v>9010</v>
      </c>
      <c r="B489" s="59" t="str">
        <f>'2024 DO NOT TOUCH'!B490</f>
        <v>ARMY COE</v>
      </c>
      <c r="C489" s="58" t="str">
        <f>'2024 DO NOT TOUCH'!C490</f>
        <v>A132081</v>
      </c>
      <c r="D489" s="59" t="str">
        <f>'2024 DO NOT TOUCH'!D490</f>
        <v>FEBCO</v>
      </c>
      <c r="E489" s="58" t="str">
        <f>'2024 DO NOT TOUCH'!E490</f>
        <v>825Y</v>
      </c>
      <c r="F489" s="59" t="str">
        <f>'2024 DO NOT TOUCH'!F490</f>
        <v>RP</v>
      </c>
      <c r="G489" s="58" t="str">
        <f>'2024 DO NOT TOUCH'!G490</f>
        <v>0.75</v>
      </c>
      <c r="H489" s="59" t="str">
        <f>'2024 DO NOT TOUCH'!H490</f>
        <v>MECH RM ON HVAC</v>
      </c>
      <c r="I489" s="58" t="str">
        <f>'2024 DO NOT TOUCH'!I490</f>
        <v>INPREMISE</v>
      </c>
      <c r="J489" s="59" t="str">
        <f>'2024 DO NOT TOUCH'!J490</f>
        <v>AOI</v>
      </c>
      <c r="K489" s="58" t="str">
        <f>'2024 DO NOT TOUCH'!K490</f>
        <v>ACTIVE</v>
      </c>
      <c r="L489" s="71">
        <f>'2024 DO NOT TOUCH'!L490</f>
        <v>44912</v>
      </c>
      <c r="M489" s="58" t="b">
        <f>'2024 DO NOT TOUCH'!M490</f>
        <v>0</v>
      </c>
      <c r="N489" s="59">
        <f>'2024 DO NOT TOUCH'!N490</f>
        <v>45286</v>
      </c>
      <c r="O489" s="58" t="str">
        <f>'2024 DO NOT TOUCH'!O490</f>
        <v>LARIOS</v>
      </c>
      <c r="P489" s="65">
        <f>'2024 DO NOT TOUCH'!P490</f>
        <v>6.2</v>
      </c>
      <c r="Q489" s="65">
        <f>'2024 DO NOT TOUCH'!Q490</f>
        <v>0</v>
      </c>
      <c r="R489" s="65">
        <f>'2024 DO NOT TOUCH'!R490</f>
        <v>2.2000000000000002</v>
      </c>
      <c r="S489" s="62" t="str">
        <f>'2024 DO NOT TOUCH'!S490</f>
        <v>TESTED</v>
      </c>
      <c r="T489" s="62" t="str">
        <f>'2024 DO NOT TOUCH'!T490</f>
        <v>PASSED</v>
      </c>
      <c r="U489" s="62">
        <f>'2024 DO NOT TOUCH'!U490</f>
        <v>0</v>
      </c>
      <c r="V489" s="62">
        <f>'2024 DO NOT TOUCH'!V490</f>
        <v>0</v>
      </c>
      <c r="W489" s="62">
        <f>'2024 DO NOT TOUCH'!W490</f>
        <v>0</v>
      </c>
      <c r="X489" s="65">
        <f>'2024 DO NOT TOUCH'!X490</f>
        <v>0</v>
      </c>
      <c r="Y489" s="62">
        <f>'2024 DO NOT TOUCH'!Y490</f>
        <v>0</v>
      </c>
    </row>
    <row r="490" spans="1:25" ht="19.5" customHeight="1">
      <c r="A490" s="55" t="str">
        <f>'2024 DO NOT TOUCH'!A491</f>
        <v>9010</v>
      </c>
      <c r="B490" s="3" t="str">
        <f>'2024 DO NOT TOUCH'!B491</f>
        <v>ARMY COE</v>
      </c>
      <c r="C490" s="55" t="str">
        <f>'2024 DO NOT TOUCH'!C491</f>
        <v>U37347</v>
      </c>
      <c r="D490" s="3" t="str">
        <f>'2024 DO NOT TOUCH'!D491</f>
        <v>WILKINS</v>
      </c>
      <c r="E490" s="55" t="str">
        <f>'2024 DO NOT TOUCH'!E491</f>
        <v>350A</v>
      </c>
      <c r="F490" s="3" t="str">
        <f>'2024 DO NOT TOUCH'!F491</f>
        <v>DC</v>
      </c>
      <c r="G490" s="55" t="str">
        <f>'2024 DO NOT TOUCH'!G491</f>
        <v>4.0</v>
      </c>
      <c r="H490" s="3" t="str">
        <f>'2024 DO NOT TOUCH'!H491</f>
        <v>MECH RM PREMISE</v>
      </c>
      <c r="I490" s="55" t="str">
        <f>'2024 DO NOT TOUCH'!I491</f>
        <v>PREMISE</v>
      </c>
      <c r="J490" s="3" t="str">
        <f>'2024 DO NOT TOUCH'!J491</f>
        <v>FIRE</v>
      </c>
      <c r="K490" s="55" t="str">
        <f>'2024 DO NOT TOUCH'!K491</f>
        <v>ACTIVE</v>
      </c>
      <c r="L490" s="72">
        <f>'2024 DO NOT TOUCH'!L491</f>
        <v>44922</v>
      </c>
      <c r="M490" s="55" t="b">
        <f>'2024 DO NOT TOUCH'!M491</f>
        <v>0</v>
      </c>
      <c r="N490" s="3">
        <f>'2024 DO NOT TOUCH'!N491</f>
        <v>45286</v>
      </c>
      <c r="O490" s="55" t="str">
        <f>'2024 DO NOT TOUCH'!O491</f>
        <v>LARIOS</v>
      </c>
      <c r="P490" s="64">
        <f>'2024 DO NOT TOUCH'!P491</f>
        <v>1.4</v>
      </c>
      <c r="Q490" s="64">
        <f>'2024 DO NOT TOUCH'!Q491</f>
        <v>0</v>
      </c>
      <c r="R490" s="64">
        <f>'2024 DO NOT TOUCH'!R491</f>
        <v>1.8</v>
      </c>
      <c r="S490" s="57" t="str">
        <f>'2024 DO NOT TOUCH'!S491</f>
        <v>TESTED</v>
      </c>
      <c r="T490" s="57" t="str">
        <f>'2024 DO NOT TOUCH'!T491</f>
        <v>PASSED</v>
      </c>
      <c r="U490" s="57">
        <f>'2024 DO NOT TOUCH'!U491</f>
        <v>0</v>
      </c>
      <c r="V490" s="57">
        <f>'2024 DO NOT TOUCH'!V491</f>
        <v>0</v>
      </c>
      <c r="W490" s="57">
        <f>'2024 DO NOT TOUCH'!W491</f>
        <v>0</v>
      </c>
      <c r="X490" s="64">
        <f>'2024 DO NOT TOUCH'!X491</f>
        <v>0</v>
      </c>
      <c r="Y490" s="57" t="str">
        <f>'2024 DO NOT TOUCH'!Y491</f>
        <v>CHRIS WROTE U27347</v>
      </c>
    </row>
    <row r="491" spans="1:25" ht="19.5" customHeight="1">
      <c r="A491" s="58">
        <f>'2024 DO NOT TOUCH'!A492</f>
        <v>0</v>
      </c>
      <c r="B491" s="59">
        <f>'2024 DO NOT TOUCH'!B492</f>
        <v>0</v>
      </c>
      <c r="C491" s="58">
        <f>'2024 DO NOT TOUCH'!C492</f>
        <v>0</v>
      </c>
      <c r="D491" s="59">
        <f>'2024 DO NOT TOUCH'!D492</f>
        <v>0</v>
      </c>
      <c r="E491" s="58">
        <f>'2024 DO NOT TOUCH'!E492</f>
        <v>0</v>
      </c>
      <c r="F491" s="59">
        <f>'2024 DO NOT TOUCH'!F492</f>
        <v>0</v>
      </c>
      <c r="G491" s="58">
        <f>'2024 DO NOT TOUCH'!G492</f>
        <v>0</v>
      </c>
      <c r="H491" s="59">
        <f>'2024 DO NOT TOUCH'!H492</f>
        <v>0</v>
      </c>
      <c r="I491" s="58">
        <f>'2024 DO NOT TOUCH'!I492</f>
        <v>0</v>
      </c>
      <c r="J491" s="59">
        <f>'2024 DO NOT TOUCH'!J492</f>
        <v>0</v>
      </c>
      <c r="K491" s="58">
        <f>'2024 DO NOT TOUCH'!K492</f>
        <v>0</v>
      </c>
      <c r="L491" s="71">
        <f>'2024 DO NOT TOUCH'!L492</f>
        <v>0</v>
      </c>
      <c r="M491" s="58">
        <f>'2024 DO NOT TOUCH'!M492</f>
        <v>0</v>
      </c>
      <c r="N491" s="59">
        <f>'2024 DO NOT TOUCH'!N492</f>
        <v>0</v>
      </c>
      <c r="O491" s="58">
        <f>'2024 DO NOT TOUCH'!O492</f>
        <v>0</v>
      </c>
      <c r="P491" s="65">
        <f>'2024 DO NOT TOUCH'!P492</f>
        <v>0</v>
      </c>
      <c r="Q491" s="65">
        <f>'2024 DO NOT TOUCH'!Q492</f>
        <v>0</v>
      </c>
      <c r="R491" s="65">
        <f>'2024 DO NOT TOUCH'!R492</f>
        <v>0</v>
      </c>
      <c r="S491" s="62">
        <f>'2024 DO NOT TOUCH'!S492</f>
        <v>0</v>
      </c>
      <c r="T491" s="62">
        <f>'2024 DO NOT TOUCH'!T492</f>
        <v>0</v>
      </c>
      <c r="U491" s="62">
        <f>'2024 DO NOT TOUCH'!U492</f>
        <v>0</v>
      </c>
      <c r="V491" s="62">
        <f>'2024 DO NOT TOUCH'!V492</f>
        <v>0</v>
      </c>
      <c r="W491" s="62">
        <f>'2024 DO NOT TOUCH'!W492</f>
        <v>0</v>
      </c>
      <c r="X491" s="65">
        <f>'2024 DO NOT TOUCH'!X492</f>
        <v>0</v>
      </c>
      <c r="Y491" s="62">
        <f>'2024 DO NOT TOUCH'!Y492</f>
        <v>0</v>
      </c>
    </row>
    <row r="492" spans="1:25" ht="19.5" customHeight="1">
      <c r="A492" s="55">
        <f>'2024 DO NOT TOUCH'!A493</f>
        <v>0</v>
      </c>
      <c r="B492" s="55">
        <f>'2024 DO NOT TOUCH'!B493</f>
        <v>0</v>
      </c>
      <c r="C492" s="55">
        <f>'2024 DO NOT TOUCH'!C493</f>
        <v>0</v>
      </c>
      <c r="D492" s="55">
        <f>'2024 DO NOT TOUCH'!D493</f>
        <v>0</v>
      </c>
      <c r="E492" s="55">
        <f>'2024 DO NOT TOUCH'!E493</f>
        <v>0</v>
      </c>
      <c r="F492" s="55">
        <f>'2024 DO NOT TOUCH'!F493</f>
        <v>0</v>
      </c>
      <c r="G492" s="55">
        <f>'2024 DO NOT TOUCH'!G493</f>
        <v>0</v>
      </c>
      <c r="H492" s="55">
        <f>'2024 DO NOT TOUCH'!H493</f>
        <v>0</v>
      </c>
      <c r="I492" s="55">
        <f>'2024 DO NOT TOUCH'!I493</f>
        <v>0</v>
      </c>
      <c r="J492" s="55">
        <f>'2024 DO NOT TOUCH'!J493</f>
        <v>0</v>
      </c>
      <c r="K492" s="55">
        <f>'2024 DO NOT TOUCH'!K493</f>
        <v>0</v>
      </c>
      <c r="L492" s="56">
        <f>'2024 DO NOT TOUCH'!L493</f>
        <v>0</v>
      </c>
      <c r="M492" s="56">
        <f>'2024 DO NOT TOUCH'!M493</f>
        <v>0</v>
      </c>
      <c r="N492" s="56">
        <f>'2024 DO NOT TOUCH'!N493</f>
        <v>0</v>
      </c>
      <c r="O492" s="55">
        <f>'2024 DO NOT TOUCH'!O493</f>
        <v>0</v>
      </c>
      <c r="P492" s="64">
        <f>'2024 DO NOT TOUCH'!P493</f>
        <v>0</v>
      </c>
      <c r="Q492" s="64">
        <f>'2024 DO NOT TOUCH'!Q493</f>
        <v>0</v>
      </c>
      <c r="R492" s="64">
        <f>'2024 DO NOT TOUCH'!R493</f>
        <v>0</v>
      </c>
      <c r="S492" s="55">
        <f>'2024 DO NOT TOUCH'!S493</f>
        <v>0</v>
      </c>
      <c r="T492" s="55">
        <f>'2024 DO NOT TOUCH'!T493</f>
        <v>0</v>
      </c>
      <c r="U492" s="55">
        <f>'2024 DO NOT TOUCH'!U493</f>
        <v>0</v>
      </c>
      <c r="V492" s="55">
        <f>'2024 DO NOT TOUCH'!V493</f>
        <v>0</v>
      </c>
      <c r="W492" s="55">
        <f>'2024 DO NOT TOUCH'!W493</f>
        <v>0</v>
      </c>
      <c r="X492" s="66">
        <f>'2024 DO NOT TOUCH'!X493</f>
        <v>0</v>
      </c>
      <c r="Y492" s="55">
        <f>'2024 DO NOT TOUCH'!Y493</f>
        <v>0</v>
      </c>
    </row>
    <row r="493" spans="1:25" ht="19.5" customHeight="1">
      <c r="A493" s="58">
        <f>'2024 DO NOT TOUCH'!A494</f>
        <v>0</v>
      </c>
      <c r="B493" s="59">
        <f>'2024 DO NOT TOUCH'!B494</f>
        <v>0</v>
      </c>
      <c r="C493" s="58">
        <f>'2024 DO NOT TOUCH'!C494</f>
        <v>0</v>
      </c>
      <c r="D493" s="59">
        <f>'2024 DO NOT TOUCH'!D494</f>
        <v>0</v>
      </c>
      <c r="E493" s="58">
        <f>'2024 DO NOT TOUCH'!E494</f>
        <v>0</v>
      </c>
      <c r="F493" s="59">
        <f>'2024 DO NOT TOUCH'!F494</f>
        <v>0</v>
      </c>
      <c r="G493" s="58">
        <f>'2024 DO NOT TOUCH'!G494</f>
        <v>0</v>
      </c>
      <c r="H493" s="59">
        <f>'2024 DO NOT TOUCH'!H494</f>
        <v>0</v>
      </c>
      <c r="I493" s="58">
        <f>'2024 DO NOT TOUCH'!I494</f>
        <v>0</v>
      </c>
      <c r="J493" s="59">
        <f>'2024 DO NOT TOUCH'!J494</f>
        <v>0</v>
      </c>
      <c r="K493" s="58">
        <f>'2024 DO NOT TOUCH'!K494</f>
        <v>0</v>
      </c>
      <c r="L493" s="71">
        <f>'2024 DO NOT TOUCH'!L494</f>
        <v>0</v>
      </c>
      <c r="M493" s="58">
        <f>'2024 DO NOT TOUCH'!M494</f>
        <v>0</v>
      </c>
      <c r="N493" s="59">
        <f>'2024 DO NOT TOUCH'!N494</f>
        <v>0</v>
      </c>
      <c r="O493" s="58">
        <f>'2024 DO NOT TOUCH'!O494</f>
        <v>0</v>
      </c>
      <c r="P493" s="65">
        <f>'2024 DO NOT TOUCH'!P494</f>
        <v>0</v>
      </c>
      <c r="Q493" s="65">
        <f>'2024 DO NOT TOUCH'!Q494</f>
        <v>0</v>
      </c>
      <c r="R493" s="65">
        <f>'2024 DO NOT TOUCH'!R494</f>
        <v>0</v>
      </c>
      <c r="S493" s="62">
        <f>'2024 DO NOT TOUCH'!S494</f>
        <v>0</v>
      </c>
      <c r="T493" s="62">
        <f>'2024 DO NOT TOUCH'!T494</f>
        <v>0</v>
      </c>
      <c r="U493" s="62">
        <f>'2024 DO NOT TOUCH'!U494</f>
        <v>0</v>
      </c>
      <c r="V493" s="62">
        <f>'2024 DO NOT TOUCH'!V494</f>
        <v>0</v>
      </c>
      <c r="W493" s="62">
        <f>'2024 DO NOT TOUCH'!W494</f>
        <v>0</v>
      </c>
      <c r="X493" s="65">
        <f>'2024 DO NOT TOUCH'!X494</f>
        <v>0</v>
      </c>
      <c r="Y493" s="62">
        <f>'2024 DO NOT TOUCH'!Y494</f>
        <v>0</v>
      </c>
    </row>
    <row r="494" spans="1:25" ht="19.5" customHeight="1">
      <c r="A494" s="55">
        <f>'2024 DO NOT TOUCH'!A495</f>
        <v>0</v>
      </c>
      <c r="B494" s="3">
        <f>'2024 DO NOT TOUCH'!B495</f>
        <v>0</v>
      </c>
      <c r="C494" s="55">
        <f>'2024 DO NOT TOUCH'!C495</f>
        <v>0</v>
      </c>
      <c r="D494" s="3">
        <f>'2024 DO NOT TOUCH'!D495</f>
        <v>0</v>
      </c>
      <c r="E494" s="55">
        <f>'2024 DO NOT TOUCH'!E495</f>
        <v>0</v>
      </c>
      <c r="F494" s="3">
        <f>'2024 DO NOT TOUCH'!F495</f>
        <v>0</v>
      </c>
      <c r="G494" s="55">
        <f>'2024 DO NOT TOUCH'!G495</f>
        <v>0</v>
      </c>
      <c r="H494" s="3">
        <f>'2024 DO NOT TOUCH'!H495</f>
        <v>0</v>
      </c>
      <c r="I494" s="55">
        <f>'2024 DO NOT TOUCH'!I495</f>
        <v>0</v>
      </c>
      <c r="J494" s="3">
        <f>'2024 DO NOT TOUCH'!J495</f>
        <v>0</v>
      </c>
      <c r="K494" s="55">
        <f>'2024 DO NOT TOUCH'!K495</f>
        <v>0</v>
      </c>
      <c r="L494" s="72">
        <f>'2024 DO NOT TOUCH'!L495</f>
        <v>0</v>
      </c>
      <c r="M494" s="55">
        <f>'2024 DO NOT TOUCH'!M495</f>
        <v>0</v>
      </c>
      <c r="N494" s="3">
        <f>'2024 DO NOT TOUCH'!N495</f>
        <v>0</v>
      </c>
      <c r="O494" s="55">
        <f>'2024 DO NOT TOUCH'!O495</f>
        <v>0</v>
      </c>
      <c r="P494" s="64">
        <f>'2024 DO NOT TOUCH'!P495</f>
        <v>0</v>
      </c>
      <c r="Q494" s="64">
        <f>'2024 DO NOT TOUCH'!Q495</f>
        <v>0</v>
      </c>
      <c r="R494" s="64">
        <f>'2024 DO NOT TOUCH'!R495</f>
        <v>0</v>
      </c>
      <c r="S494" s="57">
        <f>'2024 DO NOT TOUCH'!S495</f>
        <v>0</v>
      </c>
      <c r="T494" s="57">
        <f>'2024 DO NOT TOUCH'!T495</f>
        <v>0</v>
      </c>
      <c r="U494" s="57">
        <f>'2024 DO NOT TOUCH'!U495</f>
        <v>0</v>
      </c>
      <c r="V494" s="57">
        <f>'2024 DO NOT TOUCH'!V495</f>
        <v>0</v>
      </c>
      <c r="W494" s="57">
        <f>'2024 DO NOT TOUCH'!W495</f>
        <v>0</v>
      </c>
      <c r="X494" s="64">
        <f>'2024 DO NOT TOUCH'!X495</f>
        <v>0</v>
      </c>
      <c r="Y494" s="57">
        <f>'2024 DO NOT TOUCH'!Y495</f>
        <v>0</v>
      </c>
    </row>
    <row r="495" spans="1:25" ht="19.5" customHeight="1">
      <c r="A495" s="58">
        <f>'2024 DO NOT TOUCH'!A496</f>
        <v>0</v>
      </c>
      <c r="B495" s="59">
        <f>'2024 DO NOT TOUCH'!B496</f>
        <v>0</v>
      </c>
      <c r="C495" s="58">
        <f>'2024 DO NOT TOUCH'!C496</f>
        <v>0</v>
      </c>
      <c r="D495" s="59">
        <f>'2024 DO NOT TOUCH'!D496</f>
        <v>0</v>
      </c>
      <c r="E495" s="58">
        <f>'2024 DO NOT TOUCH'!E496</f>
        <v>0</v>
      </c>
      <c r="F495" s="59">
        <f>'2024 DO NOT TOUCH'!F496</f>
        <v>0</v>
      </c>
      <c r="G495" s="58">
        <f>'2024 DO NOT TOUCH'!G496</f>
        <v>0</v>
      </c>
      <c r="H495" s="59">
        <f>'2024 DO NOT TOUCH'!H496</f>
        <v>0</v>
      </c>
      <c r="I495" s="58">
        <f>'2024 DO NOT TOUCH'!I496</f>
        <v>0</v>
      </c>
      <c r="J495" s="59">
        <f>'2024 DO NOT TOUCH'!J496</f>
        <v>0</v>
      </c>
      <c r="K495" s="58">
        <f>'2024 DO NOT TOUCH'!K496</f>
        <v>0</v>
      </c>
      <c r="L495" s="71">
        <f>'2024 DO NOT TOUCH'!L496</f>
        <v>0</v>
      </c>
      <c r="M495" s="58">
        <f>'2024 DO NOT TOUCH'!M496</f>
        <v>0</v>
      </c>
      <c r="N495" s="59">
        <f>'2024 DO NOT TOUCH'!N496</f>
        <v>0</v>
      </c>
      <c r="O495" s="58">
        <f>'2024 DO NOT TOUCH'!O496</f>
        <v>0</v>
      </c>
      <c r="P495" s="65">
        <f>'2024 DO NOT TOUCH'!P496</f>
        <v>0</v>
      </c>
      <c r="Q495" s="65">
        <f>'2024 DO NOT TOUCH'!Q496</f>
        <v>0</v>
      </c>
      <c r="R495" s="65">
        <f>'2024 DO NOT TOUCH'!R496</f>
        <v>0</v>
      </c>
      <c r="S495" s="62">
        <f>'2024 DO NOT TOUCH'!S496</f>
        <v>0</v>
      </c>
      <c r="T495" s="62">
        <f>'2024 DO NOT TOUCH'!T496</f>
        <v>0</v>
      </c>
      <c r="U495" s="62">
        <f>'2024 DO NOT TOUCH'!U496</f>
        <v>0</v>
      </c>
      <c r="V495" s="62">
        <f>'2024 DO NOT TOUCH'!V496</f>
        <v>0</v>
      </c>
      <c r="W495" s="62">
        <f>'2024 DO NOT TOUCH'!W496</f>
        <v>0</v>
      </c>
      <c r="X495" s="65">
        <f>'2024 DO NOT TOUCH'!X496</f>
        <v>0</v>
      </c>
      <c r="Y495" s="62">
        <f>'2024 DO NOT TOUCH'!Y496</f>
        <v>0</v>
      </c>
    </row>
    <row r="496" spans="1:25" ht="19.5" customHeight="1">
      <c r="A496" s="55">
        <f>'2024 DO NOT TOUCH'!A497</f>
        <v>0</v>
      </c>
      <c r="B496" s="3">
        <f>'2024 DO NOT TOUCH'!B497</f>
        <v>0</v>
      </c>
      <c r="C496" s="55">
        <f>'2024 DO NOT TOUCH'!C497</f>
        <v>0</v>
      </c>
      <c r="D496" s="3">
        <f>'2024 DO NOT TOUCH'!D497</f>
        <v>0</v>
      </c>
      <c r="E496" s="55">
        <f>'2024 DO NOT TOUCH'!E497</f>
        <v>0</v>
      </c>
      <c r="F496" s="3">
        <f>'2024 DO NOT TOUCH'!F497</f>
        <v>0</v>
      </c>
      <c r="G496" s="55">
        <f>'2024 DO NOT TOUCH'!G497</f>
        <v>0</v>
      </c>
      <c r="H496" s="3">
        <f>'2024 DO NOT TOUCH'!H497</f>
        <v>0</v>
      </c>
      <c r="I496" s="55">
        <f>'2024 DO NOT TOUCH'!I497</f>
        <v>0</v>
      </c>
      <c r="J496" s="3">
        <f>'2024 DO NOT TOUCH'!J497</f>
        <v>0</v>
      </c>
      <c r="K496" s="55">
        <f>'2024 DO NOT TOUCH'!K497</f>
        <v>0</v>
      </c>
      <c r="L496" s="72">
        <f>'2024 DO NOT TOUCH'!L497</f>
        <v>0</v>
      </c>
      <c r="M496" s="55">
        <f>'2024 DO NOT TOUCH'!M497</f>
        <v>0</v>
      </c>
      <c r="N496" s="3">
        <f>'2024 DO NOT TOUCH'!N497</f>
        <v>0</v>
      </c>
      <c r="O496" s="55">
        <f>'2024 DO NOT TOUCH'!O497</f>
        <v>0</v>
      </c>
      <c r="P496" s="66">
        <f>'2024 DO NOT TOUCH'!P497</f>
        <v>0</v>
      </c>
      <c r="Q496" s="66">
        <f>'2024 DO NOT TOUCH'!Q497</f>
        <v>0</v>
      </c>
      <c r="R496" s="66">
        <f>'2024 DO NOT TOUCH'!R497</f>
        <v>0</v>
      </c>
      <c r="S496" s="55">
        <f>'2024 DO NOT TOUCH'!S497</f>
        <v>0</v>
      </c>
      <c r="T496" s="55">
        <f>'2024 DO NOT TOUCH'!T497</f>
        <v>0</v>
      </c>
      <c r="U496" s="55">
        <f>'2024 DO NOT TOUCH'!U497</f>
        <v>0</v>
      </c>
      <c r="V496" s="55">
        <f>'2024 DO NOT TOUCH'!V497</f>
        <v>0</v>
      </c>
      <c r="W496" s="55">
        <f>'2024 DO NOT TOUCH'!W497</f>
        <v>0</v>
      </c>
      <c r="X496" s="66">
        <f>'2024 DO NOT TOUCH'!X497</f>
        <v>0</v>
      </c>
      <c r="Y496" s="55">
        <f>'2024 DO NOT TOUCH'!Y497</f>
        <v>0</v>
      </c>
    </row>
    <row r="497" spans="1:25" ht="19.5" customHeight="1">
      <c r="A497" s="58">
        <f>'2024 DO NOT TOUCH'!A498</f>
        <v>0</v>
      </c>
      <c r="B497" s="59">
        <f>'2024 DO NOT TOUCH'!B498</f>
        <v>0</v>
      </c>
      <c r="C497" s="58">
        <f>'2024 DO NOT TOUCH'!C498</f>
        <v>0</v>
      </c>
      <c r="D497" s="59">
        <f>'2024 DO NOT TOUCH'!D498</f>
        <v>0</v>
      </c>
      <c r="E497" s="58">
        <f>'2024 DO NOT TOUCH'!E498</f>
        <v>0</v>
      </c>
      <c r="F497" s="59">
        <f>'2024 DO NOT TOUCH'!F498</f>
        <v>0</v>
      </c>
      <c r="G497" s="58">
        <f>'2024 DO NOT TOUCH'!G498</f>
        <v>0</v>
      </c>
      <c r="H497" s="59">
        <f>'2024 DO NOT TOUCH'!H498</f>
        <v>0</v>
      </c>
      <c r="I497" s="58">
        <f>'2024 DO NOT TOUCH'!I498</f>
        <v>0</v>
      </c>
      <c r="J497" s="59">
        <f>'2024 DO NOT TOUCH'!J498</f>
        <v>0</v>
      </c>
      <c r="K497" s="58">
        <f>'2024 DO NOT TOUCH'!K498</f>
        <v>0</v>
      </c>
      <c r="L497" s="71">
        <f>'2024 DO NOT TOUCH'!L498</f>
        <v>0</v>
      </c>
      <c r="M497" s="58">
        <f>'2024 DO NOT TOUCH'!M498</f>
        <v>0</v>
      </c>
      <c r="N497" s="59">
        <f>'2024 DO NOT TOUCH'!N498</f>
        <v>0</v>
      </c>
      <c r="O497" s="58">
        <f>'2024 DO NOT TOUCH'!O498</f>
        <v>0</v>
      </c>
      <c r="P497" s="67">
        <f>'2024 DO NOT TOUCH'!P498</f>
        <v>0</v>
      </c>
      <c r="Q497" s="67">
        <f>'2024 DO NOT TOUCH'!Q498</f>
        <v>0</v>
      </c>
      <c r="R497" s="67">
        <f>'2024 DO NOT TOUCH'!R498</f>
        <v>0</v>
      </c>
      <c r="S497" s="58">
        <f>'2024 DO NOT TOUCH'!S498</f>
        <v>0</v>
      </c>
      <c r="T497" s="58">
        <f>'2024 DO NOT TOUCH'!T498</f>
        <v>0</v>
      </c>
      <c r="U497" s="58">
        <f>'2024 DO NOT TOUCH'!U498</f>
        <v>0</v>
      </c>
      <c r="V497" s="58">
        <f>'2024 DO NOT TOUCH'!V498</f>
        <v>0</v>
      </c>
      <c r="W497" s="58">
        <f>'2024 DO NOT TOUCH'!W498</f>
        <v>0</v>
      </c>
      <c r="X497" s="67">
        <f>'2024 DO NOT TOUCH'!X498</f>
        <v>0</v>
      </c>
      <c r="Y497" s="58">
        <f>'2024 DO NOT TOUCH'!Y498</f>
        <v>0</v>
      </c>
    </row>
    <row r="498" spans="1:25" ht="19.5" customHeight="1">
      <c r="A498" s="77">
        <f>'2024 DO NOT TOUCH'!A499</f>
        <v>0</v>
      </c>
      <c r="B498" s="78">
        <f>'2024 DO NOT TOUCH'!B499</f>
        <v>0</v>
      </c>
      <c r="C498" s="77">
        <f>'2024 DO NOT TOUCH'!C499</f>
        <v>0</v>
      </c>
      <c r="D498" s="78">
        <f>'2024 DO NOT TOUCH'!D499</f>
        <v>0</v>
      </c>
      <c r="E498" s="77">
        <f>'2024 DO NOT TOUCH'!E499</f>
        <v>0</v>
      </c>
      <c r="F498" s="78">
        <f>'2024 DO NOT TOUCH'!F499</f>
        <v>0</v>
      </c>
      <c r="G498" s="77">
        <f>'2024 DO NOT TOUCH'!G499</f>
        <v>0</v>
      </c>
      <c r="H498" s="78">
        <f>'2024 DO NOT TOUCH'!H499</f>
        <v>0</v>
      </c>
      <c r="I498" s="77">
        <f>'2024 DO NOT TOUCH'!I499</f>
        <v>0</v>
      </c>
      <c r="J498" s="78">
        <f>'2024 DO NOT TOUCH'!J499</f>
        <v>0</v>
      </c>
      <c r="K498" s="77">
        <f>'2024 DO NOT TOUCH'!K499</f>
        <v>0</v>
      </c>
      <c r="L498" s="79">
        <f>'2024 DO NOT TOUCH'!L499</f>
        <v>0</v>
      </c>
      <c r="M498" s="77">
        <f>'2024 DO NOT TOUCH'!M499</f>
        <v>0</v>
      </c>
      <c r="N498" s="78">
        <f>'2024 DO NOT TOUCH'!N499</f>
        <v>0</v>
      </c>
      <c r="O498" s="77">
        <f>'2024 DO NOT TOUCH'!O499</f>
        <v>0</v>
      </c>
      <c r="P498" s="80">
        <f>'2024 DO NOT TOUCH'!P499</f>
        <v>0</v>
      </c>
      <c r="Q498" s="80">
        <f>'2024 DO NOT TOUCH'!Q499</f>
        <v>0</v>
      </c>
      <c r="R498" s="80">
        <f>'2024 DO NOT TOUCH'!R499</f>
        <v>0</v>
      </c>
      <c r="S498" s="81">
        <f>'2024 DO NOT TOUCH'!S499</f>
        <v>0</v>
      </c>
      <c r="T498" s="81">
        <f>'2024 DO NOT TOUCH'!T499</f>
        <v>0</v>
      </c>
      <c r="U498" s="81">
        <f>'2024 DO NOT TOUCH'!U499</f>
        <v>0</v>
      </c>
      <c r="V498" s="81">
        <f>'2024 DO NOT TOUCH'!V499</f>
        <v>0</v>
      </c>
      <c r="W498" s="81">
        <f>'2024 DO NOT TOUCH'!W499</f>
        <v>0</v>
      </c>
      <c r="X498" s="80">
        <f>'2024 DO NOT TOUCH'!X499</f>
        <v>0</v>
      </c>
      <c r="Y498" s="81">
        <f>'2024 DO NOT TOUCH'!Y499</f>
        <v>0</v>
      </c>
    </row>
    <row r="499" spans="1:25" ht="19.5" customHeight="1">
      <c r="A499" s="58">
        <f>'2024 DO NOT TOUCH'!A500</f>
        <v>0</v>
      </c>
      <c r="B499" s="59">
        <f>'2024 DO NOT TOUCH'!B500</f>
        <v>0</v>
      </c>
      <c r="C499" s="58">
        <f>'2024 DO NOT TOUCH'!C500</f>
        <v>0</v>
      </c>
      <c r="D499" s="59">
        <f>'2024 DO NOT TOUCH'!D500</f>
        <v>0</v>
      </c>
      <c r="E499" s="58">
        <f>'2024 DO NOT TOUCH'!E500</f>
        <v>0</v>
      </c>
      <c r="F499" s="59">
        <f>'2024 DO NOT TOUCH'!F500</f>
        <v>0</v>
      </c>
      <c r="G499" s="58">
        <f>'2024 DO NOT TOUCH'!G500</f>
        <v>0</v>
      </c>
      <c r="H499" s="59">
        <f>'2024 DO NOT TOUCH'!H500</f>
        <v>0</v>
      </c>
      <c r="I499" s="58">
        <f>'2024 DO NOT TOUCH'!I500</f>
        <v>0</v>
      </c>
      <c r="J499" s="59">
        <f>'2024 DO NOT TOUCH'!J500</f>
        <v>0</v>
      </c>
      <c r="K499" s="58">
        <f>'2024 DO NOT TOUCH'!K500</f>
        <v>0</v>
      </c>
      <c r="L499" s="71">
        <f>'2024 DO NOT TOUCH'!L500</f>
        <v>0</v>
      </c>
      <c r="M499" s="58">
        <f>'2024 DO NOT TOUCH'!M500</f>
        <v>0</v>
      </c>
      <c r="N499" s="59">
        <f>'2024 DO NOT TOUCH'!N500</f>
        <v>0</v>
      </c>
      <c r="O499" s="58">
        <f>'2024 DO NOT TOUCH'!O500</f>
        <v>0</v>
      </c>
      <c r="P499" s="65">
        <f>'2024 DO NOT TOUCH'!P500</f>
        <v>0</v>
      </c>
      <c r="Q499" s="65">
        <f>'2024 DO NOT TOUCH'!Q500</f>
        <v>0</v>
      </c>
      <c r="R499" s="65">
        <f>'2024 DO NOT TOUCH'!R500</f>
        <v>0</v>
      </c>
      <c r="S499" s="62">
        <f>'2024 DO NOT TOUCH'!S500</f>
        <v>0</v>
      </c>
      <c r="T499" s="62">
        <f>'2024 DO NOT TOUCH'!T500</f>
        <v>0</v>
      </c>
      <c r="U499" s="62">
        <f>'2024 DO NOT TOUCH'!U500</f>
        <v>0</v>
      </c>
      <c r="V499" s="62">
        <f>'2024 DO NOT TOUCH'!V500</f>
        <v>0</v>
      </c>
      <c r="W499" s="62">
        <f>'2024 DO NOT TOUCH'!W500</f>
        <v>0</v>
      </c>
      <c r="X499" s="65">
        <f>'2024 DO NOT TOUCH'!X500</f>
        <v>0</v>
      </c>
      <c r="Y499" s="62">
        <f>'2024 DO NOT TOUCH'!Y500</f>
        <v>0</v>
      </c>
    </row>
    <row r="500" spans="1:25" ht="19.5" customHeight="1">
      <c r="A500" s="77">
        <f>'2024 DO NOT TOUCH'!A501</f>
        <v>0</v>
      </c>
      <c r="B500" s="78">
        <f>'2024 DO NOT TOUCH'!B501</f>
        <v>0</v>
      </c>
      <c r="C500" s="77">
        <f>'2024 DO NOT TOUCH'!C501</f>
        <v>0</v>
      </c>
      <c r="D500" s="78">
        <f>'2024 DO NOT TOUCH'!D501</f>
        <v>0</v>
      </c>
      <c r="E500" s="77">
        <f>'2024 DO NOT TOUCH'!E501</f>
        <v>0</v>
      </c>
      <c r="F500" s="78">
        <f>'2024 DO NOT TOUCH'!F501</f>
        <v>0</v>
      </c>
      <c r="G500" s="77">
        <f>'2024 DO NOT TOUCH'!G501</f>
        <v>0</v>
      </c>
      <c r="H500" s="78">
        <f>'2024 DO NOT TOUCH'!H501</f>
        <v>0</v>
      </c>
      <c r="I500" s="77">
        <f>'2024 DO NOT TOUCH'!I501</f>
        <v>0</v>
      </c>
      <c r="J500" s="78">
        <f>'2024 DO NOT TOUCH'!J501</f>
        <v>0</v>
      </c>
      <c r="K500" s="77">
        <f>'2024 DO NOT TOUCH'!K501</f>
        <v>0</v>
      </c>
      <c r="L500" s="79">
        <f>'2024 DO NOT TOUCH'!L501</f>
        <v>0</v>
      </c>
      <c r="M500" s="77">
        <f>'2024 DO NOT TOUCH'!M501</f>
        <v>0</v>
      </c>
      <c r="N500" s="78">
        <f>'2024 DO NOT TOUCH'!N501</f>
        <v>0</v>
      </c>
      <c r="O500" s="77">
        <f>'2024 DO NOT TOUCH'!O501</f>
        <v>0</v>
      </c>
      <c r="P500" s="80">
        <f>'2024 DO NOT TOUCH'!P501</f>
        <v>0</v>
      </c>
      <c r="Q500" s="80">
        <f>'2024 DO NOT TOUCH'!Q501</f>
        <v>0</v>
      </c>
      <c r="R500" s="80">
        <f>'2024 DO NOT TOUCH'!R501</f>
        <v>0</v>
      </c>
      <c r="S500" s="81">
        <f>'2024 DO NOT TOUCH'!S501</f>
        <v>0</v>
      </c>
      <c r="T500" s="81">
        <f>'2024 DO NOT TOUCH'!T501</f>
        <v>0</v>
      </c>
      <c r="U500" s="81">
        <f>'2024 DO NOT TOUCH'!U501</f>
        <v>0</v>
      </c>
      <c r="V500" s="81">
        <f>'2024 DO NOT TOUCH'!V501</f>
        <v>0</v>
      </c>
      <c r="W500" s="81">
        <f>'2024 DO NOT TOUCH'!W501</f>
        <v>0</v>
      </c>
      <c r="X500" s="80">
        <f>'2024 DO NOT TOUCH'!X501</f>
        <v>0</v>
      </c>
      <c r="Y500" s="81">
        <f>'2024 DO NOT TOUCH'!Y501</f>
        <v>0</v>
      </c>
    </row>
    <row r="501" spans="1:25" ht="19.5" customHeight="1">
      <c r="A501" s="58">
        <f>'2024 DO NOT TOUCH'!A502</f>
        <v>0</v>
      </c>
      <c r="B501" s="59">
        <f>'2024 DO NOT TOUCH'!B502</f>
        <v>0</v>
      </c>
      <c r="C501" s="58">
        <f>'2024 DO NOT TOUCH'!C502</f>
        <v>0</v>
      </c>
      <c r="D501" s="59">
        <f>'2024 DO NOT TOUCH'!D502</f>
        <v>0</v>
      </c>
      <c r="E501" s="58">
        <f>'2024 DO NOT TOUCH'!E502</f>
        <v>0</v>
      </c>
      <c r="F501" s="59">
        <f>'2024 DO NOT TOUCH'!F502</f>
        <v>0</v>
      </c>
      <c r="G501" s="58">
        <f>'2024 DO NOT TOUCH'!G502</f>
        <v>0</v>
      </c>
      <c r="H501" s="59">
        <f>'2024 DO NOT TOUCH'!H502</f>
        <v>0</v>
      </c>
      <c r="I501" s="58">
        <f>'2024 DO NOT TOUCH'!I502</f>
        <v>0</v>
      </c>
      <c r="J501" s="59">
        <f>'2024 DO NOT TOUCH'!J502</f>
        <v>0</v>
      </c>
      <c r="K501" s="58">
        <f>'2024 DO NOT TOUCH'!K502</f>
        <v>0</v>
      </c>
      <c r="L501" s="71">
        <f>'2024 DO NOT TOUCH'!L502</f>
        <v>0</v>
      </c>
      <c r="M501" s="58">
        <f>'2024 DO NOT TOUCH'!M502</f>
        <v>0</v>
      </c>
      <c r="N501" s="59">
        <f>'2024 DO NOT TOUCH'!N502</f>
        <v>0</v>
      </c>
      <c r="O501" s="58">
        <f>'2024 DO NOT TOUCH'!O502</f>
        <v>0</v>
      </c>
      <c r="P501" s="67">
        <f>'2024 DO NOT TOUCH'!P502</f>
        <v>0</v>
      </c>
      <c r="Q501" s="67">
        <f>'2024 DO NOT TOUCH'!Q502</f>
        <v>0</v>
      </c>
      <c r="R501" s="67">
        <f>'2024 DO NOT TOUCH'!R502</f>
        <v>0</v>
      </c>
      <c r="S501" s="58">
        <f>'2024 DO NOT TOUCH'!S502</f>
        <v>0</v>
      </c>
      <c r="T501" s="58">
        <f>'2024 DO NOT TOUCH'!T502</f>
        <v>0</v>
      </c>
      <c r="U501" s="58">
        <f>'2024 DO NOT TOUCH'!U502</f>
        <v>0</v>
      </c>
      <c r="V501" s="58">
        <f>'2024 DO NOT TOUCH'!V502</f>
        <v>0</v>
      </c>
      <c r="W501" s="58">
        <f>'2024 DO NOT TOUCH'!W502</f>
        <v>0</v>
      </c>
      <c r="X501" s="67">
        <f>'2024 DO NOT TOUCH'!X502</f>
        <v>0</v>
      </c>
      <c r="Y501" s="58">
        <f>'2024 DO NOT TOUCH'!Y502</f>
        <v>0</v>
      </c>
    </row>
    <row r="502" spans="1:25" ht="19.5" customHeight="1">
      <c r="A502" s="77">
        <f>'2024 DO NOT TOUCH'!A503</f>
        <v>0</v>
      </c>
      <c r="B502" s="78">
        <f>'2024 DO NOT TOUCH'!B503</f>
        <v>0</v>
      </c>
      <c r="C502" s="77">
        <f>'2024 DO NOT TOUCH'!C503</f>
        <v>0</v>
      </c>
      <c r="D502" s="78">
        <f>'2024 DO NOT TOUCH'!D503</f>
        <v>0</v>
      </c>
      <c r="E502" s="77">
        <f>'2024 DO NOT TOUCH'!E503</f>
        <v>0</v>
      </c>
      <c r="F502" s="78">
        <f>'2024 DO NOT TOUCH'!F503</f>
        <v>0</v>
      </c>
      <c r="G502" s="77">
        <f>'2024 DO NOT TOUCH'!G503</f>
        <v>0</v>
      </c>
      <c r="H502" s="78">
        <f>'2024 DO NOT TOUCH'!H503</f>
        <v>0</v>
      </c>
      <c r="I502" s="77">
        <f>'2024 DO NOT TOUCH'!I503</f>
        <v>0</v>
      </c>
      <c r="J502" s="78">
        <f>'2024 DO NOT TOUCH'!J503</f>
        <v>0</v>
      </c>
      <c r="K502" s="77">
        <f>'2024 DO NOT TOUCH'!K503</f>
        <v>0</v>
      </c>
      <c r="L502" s="79">
        <f>'2024 DO NOT TOUCH'!L503</f>
        <v>0</v>
      </c>
      <c r="M502" s="77">
        <f>'2024 DO NOT TOUCH'!M503</f>
        <v>0</v>
      </c>
      <c r="N502" s="78">
        <f>'2024 DO NOT TOUCH'!N503</f>
        <v>0</v>
      </c>
      <c r="O502" s="77">
        <f>'2024 DO NOT TOUCH'!O503</f>
        <v>0</v>
      </c>
      <c r="P502" s="83">
        <f>'2024 DO NOT TOUCH'!P503</f>
        <v>0</v>
      </c>
      <c r="Q502" s="83">
        <f>'2024 DO NOT TOUCH'!Q503</f>
        <v>0</v>
      </c>
      <c r="R502" s="83">
        <f>'2024 DO NOT TOUCH'!R503</f>
        <v>0</v>
      </c>
      <c r="S502" s="77">
        <f>'2024 DO NOT TOUCH'!S503</f>
        <v>0</v>
      </c>
      <c r="T502" s="77">
        <f>'2024 DO NOT TOUCH'!T503</f>
        <v>0</v>
      </c>
      <c r="U502" s="77">
        <f>'2024 DO NOT TOUCH'!U503</f>
        <v>0</v>
      </c>
      <c r="V502" s="77">
        <f>'2024 DO NOT TOUCH'!V503</f>
        <v>0</v>
      </c>
      <c r="W502" s="77">
        <f>'2024 DO NOT TOUCH'!W503</f>
        <v>0</v>
      </c>
      <c r="X502" s="83">
        <f>'2024 DO NOT TOUCH'!X503</f>
        <v>0</v>
      </c>
      <c r="Y502" s="77">
        <f>'2024 DO NOT TOUCH'!Y503</f>
        <v>0</v>
      </c>
    </row>
    <row r="503" spans="1:25" ht="19.5" customHeight="1">
      <c r="A503" s="58">
        <f>'2024 DO NOT TOUCH'!A504</f>
        <v>0</v>
      </c>
      <c r="B503" s="59">
        <f>'2024 DO NOT TOUCH'!B504</f>
        <v>0</v>
      </c>
      <c r="C503" s="58">
        <f>'2024 DO NOT TOUCH'!C504</f>
        <v>0</v>
      </c>
      <c r="D503" s="59">
        <f>'2024 DO NOT TOUCH'!D504</f>
        <v>0</v>
      </c>
      <c r="E503" s="58">
        <f>'2024 DO NOT TOUCH'!E504</f>
        <v>0</v>
      </c>
      <c r="F503" s="59">
        <f>'2024 DO NOT TOUCH'!F504</f>
        <v>0</v>
      </c>
      <c r="G503" s="58">
        <f>'2024 DO NOT TOUCH'!G504</f>
        <v>0</v>
      </c>
      <c r="H503" s="59">
        <f>'2024 DO NOT TOUCH'!H504</f>
        <v>0</v>
      </c>
      <c r="I503" s="58">
        <f>'2024 DO NOT TOUCH'!I504</f>
        <v>0</v>
      </c>
      <c r="J503" s="59">
        <f>'2024 DO NOT TOUCH'!J504</f>
        <v>0</v>
      </c>
      <c r="K503" s="58">
        <f>'2024 DO NOT TOUCH'!K504</f>
        <v>0</v>
      </c>
      <c r="L503" s="71">
        <f>'2024 DO NOT TOUCH'!L504</f>
        <v>0</v>
      </c>
      <c r="M503" s="58">
        <f>'2024 DO NOT TOUCH'!M504</f>
        <v>0</v>
      </c>
      <c r="N503" s="59">
        <f>'2024 DO NOT TOUCH'!N504</f>
        <v>0</v>
      </c>
      <c r="O503" s="58">
        <f>'2024 DO NOT TOUCH'!O504</f>
        <v>0</v>
      </c>
      <c r="P503" s="65">
        <f>'2024 DO NOT TOUCH'!P504</f>
        <v>0</v>
      </c>
      <c r="Q503" s="65">
        <f>'2024 DO NOT TOUCH'!Q504</f>
        <v>0</v>
      </c>
      <c r="R503" s="65">
        <f>'2024 DO NOT TOUCH'!R504</f>
        <v>0</v>
      </c>
      <c r="S503" s="62">
        <f>'2024 DO NOT TOUCH'!S504</f>
        <v>0</v>
      </c>
      <c r="T503" s="62">
        <f>'2024 DO NOT TOUCH'!T504</f>
        <v>0</v>
      </c>
      <c r="U503" s="62">
        <f>'2024 DO NOT TOUCH'!U504</f>
        <v>0</v>
      </c>
      <c r="V503" s="62">
        <f>'2024 DO NOT TOUCH'!V504</f>
        <v>0</v>
      </c>
      <c r="W503" s="62">
        <f>'2024 DO NOT TOUCH'!W504</f>
        <v>0</v>
      </c>
      <c r="X503" s="65">
        <f>'2024 DO NOT TOUCH'!X504</f>
        <v>0</v>
      </c>
      <c r="Y503" s="62">
        <f>'2024 DO NOT TOUCH'!Y504</f>
        <v>0</v>
      </c>
    </row>
    <row r="504" spans="1:25" ht="19.5" customHeight="1">
      <c r="A504" s="55">
        <f>'2024 DO NOT TOUCH'!A505</f>
        <v>0</v>
      </c>
      <c r="B504" s="3">
        <f>'2024 DO NOT TOUCH'!B505</f>
        <v>0</v>
      </c>
      <c r="C504" s="55">
        <f>'2024 DO NOT TOUCH'!C505</f>
        <v>0</v>
      </c>
      <c r="D504" s="3">
        <f>'2024 DO NOT TOUCH'!D505</f>
        <v>0</v>
      </c>
      <c r="E504" s="55">
        <f>'2024 DO NOT TOUCH'!E505</f>
        <v>0</v>
      </c>
      <c r="F504" s="3">
        <f>'2024 DO NOT TOUCH'!F505</f>
        <v>0</v>
      </c>
      <c r="G504" s="55">
        <f>'2024 DO NOT TOUCH'!G505</f>
        <v>0</v>
      </c>
      <c r="H504" s="3">
        <f>'2024 DO NOT TOUCH'!H505</f>
        <v>0</v>
      </c>
      <c r="I504" s="55">
        <f>'2024 DO NOT TOUCH'!I505</f>
        <v>0</v>
      </c>
      <c r="J504" s="3">
        <f>'2024 DO NOT TOUCH'!J505</f>
        <v>0</v>
      </c>
      <c r="K504" s="55">
        <f>'2024 DO NOT TOUCH'!K505</f>
        <v>0</v>
      </c>
      <c r="L504" s="72">
        <f>'2024 DO NOT TOUCH'!L505</f>
        <v>0</v>
      </c>
      <c r="M504" s="55">
        <f>'2024 DO NOT TOUCH'!M505</f>
        <v>0</v>
      </c>
      <c r="N504" s="3">
        <f>'2024 DO NOT TOUCH'!N505</f>
        <v>0</v>
      </c>
      <c r="O504" s="55">
        <f>'2024 DO NOT TOUCH'!O505</f>
        <v>0</v>
      </c>
      <c r="P504" s="64">
        <f>'2024 DO NOT TOUCH'!P505</f>
        <v>0</v>
      </c>
      <c r="Q504" s="64">
        <f>'2024 DO NOT TOUCH'!Q505</f>
        <v>0</v>
      </c>
      <c r="R504" s="64">
        <f>'2024 DO NOT TOUCH'!R505</f>
        <v>0</v>
      </c>
      <c r="S504" s="57">
        <f>'2024 DO NOT TOUCH'!S505</f>
        <v>0</v>
      </c>
      <c r="T504" s="57">
        <f>'2024 DO NOT TOUCH'!T505</f>
        <v>0</v>
      </c>
      <c r="U504" s="57">
        <f>'2024 DO NOT TOUCH'!U505</f>
        <v>0</v>
      </c>
      <c r="V504" s="57">
        <f>'2024 DO NOT TOUCH'!V505</f>
        <v>0</v>
      </c>
      <c r="W504" s="57">
        <f>'2024 DO NOT TOUCH'!W505</f>
        <v>0</v>
      </c>
      <c r="X504" s="64">
        <f>'2024 DO NOT TOUCH'!X505</f>
        <v>0</v>
      </c>
      <c r="Y504" s="57">
        <f>'2024 DO NOT TOUCH'!Y505</f>
        <v>0</v>
      </c>
    </row>
    <row r="505" spans="1:25" ht="19.5" customHeight="1">
      <c r="A505" s="58">
        <f>'2024 DO NOT TOUCH'!A506</f>
        <v>0</v>
      </c>
      <c r="B505" s="59">
        <f>'2024 DO NOT TOUCH'!B506</f>
        <v>0</v>
      </c>
      <c r="C505" s="58">
        <f>'2024 DO NOT TOUCH'!C506</f>
        <v>0</v>
      </c>
      <c r="D505" s="59">
        <f>'2024 DO NOT TOUCH'!D506</f>
        <v>0</v>
      </c>
      <c r="E505" s="58">
        <f>'2024 DO NOT TOUCH'!E506</f>
        <v>0</v>
      </c>
      <c r="F505" s="59">
        <f>'2024 DO NOT TOUCH'!F506</f>
        <v>0</v>
      </c>
      <c r="G505" s="58">
        <f>'2024 DO NOT TOUCH'!G506</f>
        <v>0</v>
      </c>
      <c r="H505" s="59">
        <f>'2024 DO NOT TOUCH'!H506</f>
        <v>0</v>
      </c>
      <c r="I505" s="58">
        <f>'2024 DO NOT TOUCH'!I506</f>
        <v>0</v>
      </c>
      <c r="J505" s="59">
        <f>'2024 DO NOT TOUCH'!J506</f>
        <v>0</v>
      </c>
      <c r="K505" s="58">
        <f>'2024 DO NOT TOUCH'!K506</f>
        <v>0</v>
      </c>
      <c r="L505" s="71">
        <f>'2024 DO NOT TOUCH'!L506</f>
        <v>0</v>
      </c>
      <c r="M505" s="58">
        <f>'2024 DO NOT TOUCH'!M506</f>
        <v>0</v>
      </c>
      <c r="N505" s="59">
        <f>'2024 DO NOT TOUCH'!N506</f>
        <v>0</v>
      </c>
      <c r="O505" s="58">
        <f>'2024 DO NOT TOUCH'!O506</f>
        <v>0</v>
      </c>
      <c r="P505" s="65">
        <f>'2024 DO NOT TOUCH'!P506</f>
        <v>0</v>
      </c>
      <c r="Q505" s="65">
        <f>'2024 DO NOT TOUCH'!Q506</f>
        <v>0</v>
      </c>
      <c r="R505" s="65">
        <f>'2024 DO NOT TOUCH'!R506</f>
        <v>0</v>
      </c>
      <c r="S505" s="62">
        <f>'2024 DO NOT TOUCH'!S506</f>
        <v>0</v>
      </c>
      <c r="T505" s="62">
        <f>'2024 DO NOT TOUCH'!T506</f>
        <v>0</v>
      </c>
      <c r="U505" s="62">
        <f>'2024 DO NOT TOUCH'!U506</f>
        <v>0</v>
      </c>
      <c r="V505" s="62">
        <f>'2024 DO NOT TOUCH'!V506</f>
        <v>0</v>
      </c>
      <c r="W505" s="62">
        <f>'2024 DO NOT TOUCH'!W506</f>
        <v>0</v>
      </c>
      <c r="X505" s="65">
        <f>'2024 DO NOT TOUCH'!X506</f>
        <v>0</v>
      </c>
      <c r="Y505" s="62">
        <f>'2024 DO NOT TOUCH'!Y506</f>
        <v>0</v>
      </c>
    </row>
    <row r="506" spans="1:25" ht="19.5" customHeight="1">
      <c r="A506" s="55">
        <f>'2024 DO NOT TOUCH'!A507</f>
        <v>0</v>
      </c>
      <c r="B506" s="55">
        <f>'2024 DO NOT TOUCH'!B507</f>
        <v>0</v>
      </c>
      <c r="C506" s="55">
        <f>'2024 DO NOT TOUCH'!C507</f>
        <v>0</v>
      </c>
      <c r="D506" s="55">
        <f>'2024 DO NOT TOUCH'!D507</f>
        <v>0</v>
      </c>
      <c r="E506" s="55">
        <f>'2024 DO NOT TOUCH'!E507</f>
        <v>0</v>
      </c>
      <c r="F506" s="55">
        <f>'2024 DO NOT TOUCH'!F507</f>
        <v>0</v>
      </c>
      <c r="G506" s="55">
        <f>'2024 DO NOT TOUCH'!G507</f>
        <v>0</v>
      </c>
      <c r="H506" s="55">
        <f>'2024 DO NOT TOUCH'!H507</f>
        <v>0</v>
      </c>
      <c r="I506" s="55">
        <f>'2024 DO NOT TOUCH'!I507</f>
        <v>0</v>
      </c>
      <c r="J506" s="55">
        <f>'2024 DO NOT TOUCH'!J507</f>
        <v>0</v>
      </c>
      <c r="K506" s="55">
        <f>'2024 DO NOT TOUCH'!K507</f>
        <v>0</v>
      </c>
      <c r="L506" s="56">
        <f>'2024 DO NOT TOUCH'!L507</f>
        <v>0</v>
      </c>
      <c r="M506" s="56">
        <f>'2024 DO NOT TOUCH'!M507</f>
        <v>0</v>
      </c>
      <c r="N506" s="56">
        <f>'2024 DO NOT TOUCH'!N507</f>
        <v>0</v>
      </c>
      <c r="O506" s="55">
        <f>'2024 DO NOT TOUCH'!O507</f>
        <v>0</v>
      </c>
      <c r="P506" s="64">
        <f>'2024 DO NOT TOUCH'!P507</f>
        <v>0</v>
      </c>
      <c r="Q506" s="64">
        <f>'2024 DO NOT TOUCH'!Q507</f>
        <v>0</v>
      </c>
      <c r="R506" s="64">
        <f>'2024 DO NOT TOUCH'!R507</f>
        <v>0</v>
      </c>
      <c r="S506" s="55">
        <f>'2024 DO NOT TOUCH'!S507</f>
        <v>0</v>
      </c>
      <c r="T506" s="55">
        <f>'2024 DO NOT TOUCH'!T507</f>
        <v>0</v>
      </c>
      <c r="U506" s="55">
        <f>'2024 DO NOT TOUCH'!U507</f>
        <v>0</v>
      </c>
      <c r="V506" s="55">
        <f>'2024 DO NOT TOUCH'!V507</f>
        <v>0</v>
      </c>
      <c r="W506" s="55">
        <f>'2024 DO NOT TOUCH'!W507</f>
        <v>0</v>
      </c>
      <c r="X506" s="66">
        <f>'2024 DO NOT TOUCH'!X507</f>
        <v>0</v>
      </c>
      <c r="Y506" s="55">
        <f>'2024 DO NOT TOUCH'!Y507</f>
        <v>0</v>
      </c>
    </row>
    <row r="507" spans="1:25" ht="19.5" customHeight="1">
      <c r="A507" s="58">
        <f>'2024 DO NOT TOUCH'!A508</f>
        <v>0</v>
      </c>
      <c r="B507" s="59">
        <f>'2024 DO NOT TOUCH'!B508</f>
        <v>0</v>
      </c>
      <c r="C507" s="58">
        <f>'2024 DO NOT TOUCH'!C508</f>
        <v>0</v>
      </c>
      <c r="D507" s="59">
        <f>'2024 DO NOT TOUCH'!D508</f>
        <v>0</v>
      </c>
      <c r="E507" s="58">
        <f>'2024 DO NOT TOUCH'!E508</f>
        <v>0</v>
      </c>
      <c r="F507" s="59">
        <f>'2024 DO NOT TOUCH'!F508</f>
        <v>0</v>
      </c>
      <c r="G507" s="58">
        <f>'2024 DO NOT TOUCH'!G508</f>
        <v>0</v>
      </c>
      <c r="H507" s="59">
        <f>'2024 DO NOT TOUCH'!H508</f>
        <v>0</v>
      </c>
      <c r="I507" s="58">
        <f>'2024 DO NOT TOUCH'!I508</f>
        <v>0</v>
      </c>
      <c r="J507" s="59">
        <f>'2024 DO NOT TOUCH'!J508</f>
        <v>0</v>
      </c>
      <c r="K507" s="58">
        <f>'2024 DO NOT TOUCH'!K508</f>
        <v>0</v>
      </c>
      <c r="L507" s="71">
        <f>'2024 DO NOT TOUCH'!L508</f>
        <v>0</v>
      </c>
      <c r="M507" s="58">
        <f>'2024 DO NOT TOUCH'!M508</f>
        <v>0</v>
      </c>
      <c r="N507" s="59">
        <f>'2024 DO NOT TOUCH'!N508</f>
        <v>0</v>
      </c>
      <c r="O507" s="58">
        <f>'2024 DO NOT TOUCH'!O508</f>
        <v>0</v>
      </c>
      <c r="P507" s="65">
        <f>'2024 DO NOT TOUCH'!P508</f>
        <v>0</v>
      </c>
      <c r="Q507" s="65">
        <f>'2024 DO NOT TOUCH'!Q508</f>
        <v>0</v>
      </c>
      <c r="R507" s="65">
        <f>'2024 DO NOT TOUCH'!R508</f>
        <v>0</v>
      </c>
      <c r="S507" s="62">
        <f>'2024 DO NOT TOUCH'!S508</f>
        <v>0</v>
      </c>
      <c r="T507" s="62">
        <f>'2024 DO NOT TOUCH'!T508</f>
        <v>0</v>
      </c>
      <c r="U507" s="62">
        <f>'2024 DO NOT TOUCH'!U508</f>
        <v>0</v>
      </c>
      <c r="V507" s="62">
        <f>'2024 DO NOT TOUCH'!V508</f>
        <v>0</v>
      </c>
      <c r="W507" s="62">
        <f>'2024 DO NOT TOUCH'!W508</f>
        <v>0</v>
      </c>
      <c r="X507" s="65">
        <f>'2024 DO NOT TOUCH'!X508</f>
        <v>0</v>
      </c>
      <c r="Y507" s="62">
        <f>'2024 DO NOT TOUCH'!Y508</f>
        <v>0</v>
      </c>
    </row>
    <row r="508" spans="1:25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73"/>
      <c r="M508" s="2"/>
      <c r="N508" s="2"/>
      <c r="O508" s="2"/>
      <c r="P508" s="68"/>
      <c r="Q508" s="68"/>
      <c r="R508" s="68"/>
      <c r="S508" s="2"/>
      <c r="T508" s="2"/>
      <c r="U508" s="2"/>
      <c r="V508" s="2"/>
      <c r="W508" s="2"/>
      <c r="X508" s="68"/>
      <c r="Y508" s="2"/>
    </row>
    <row r="509" spans="1:25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74"/>
      <c r="M509" s="1"/>
      <c r="N509" s="1"/>
      <c r="O509" s="1"/>
      <c r="P509" s="69"/>
      <c r="Q509" s="69"/>
      <c r="R509" s="69"/>
      <c r="S509" s="1"/>
      <c r="T509" s="1"/>
      <c r="U509" s="1"/>
      <c r="V509" s="1"/>
      <c r="W509" s="1"/>
      <c r="X509" s="69"/>
      <c r="Y509" s="1"/>
    </row>
    <row r="510" spans="1:25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73"/>
      <c r="M510" s="2"/>
      <c r="N510" s="2"/>
      <c r="O510" s="2"/>
      <c r="P510" s="68"/>
      <c r="Q510" s="68"/>
      <c r="R510" s="68"/>
      <c r="S510" s="2"/>
      <c r="T510" s="2"/>
      <c r="U510" s="2"/>
      <c r="V510" s="2"/>
      <c r="W510" s="2"/>
      <c r="X510" s="68"/>
      <c r="Y510" s="2"/>
    </row>
    <row r="511" spans="1:25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74"/>
      <c r="M511" s="1"/>
      <c r="N511" s="1"/>
      <c r="O511" s="1"/>
      <c r="P511" s="69"/>
      <c r="Q511" s="69"/>
      <c r="R511" s="69"/>
      <c r="S511" s="1"/>
      <c r="T511" s="1"/>
      <c r="U511" s="1"/>
      <c r="V511" s="1"/>
      <c r="W511" s="1"/>
      <c r="X511" s="69"/>
      <c r="Y511" s="1"/>
    </row>
    <row r="512" spans="1:25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73"/>
      <c r="M512" s="2"/>
      <c r="N512" s="2"/>
      <c r="O512" s="2"/>
      <c r="P512" s="68"/>
      <c r="Q512" s="68"/>
      <c r="R512" s="68"/>
      <c r="S512" s="2"/>
      <c r="T512" s="2"/>
      <c r="U512" s="2"/>
      <c r="V512" s="2"/>
      <c r="W512" s="2"/>
      <c r="X512" s="68"/>
      <c r="Y512" s="2"/>
    </row>
    <row r="513" spans="1:25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74"/>
      <c r="M513" s="1"/>
      <c r="N513" s="1"/>
      <c r="O513" s="1"/>
      <c r="P513" s="69"/>
      <c r="Q513" s="69"/>
      <c r="R513" s="69"/>
      <c r="S513" s="1"/>
      <c r="T513" s="1"/>
      <c r="U513" s="1"/>
      <c r="V513" s="1"/>
      <c r="W513" s="1"/>
      <c r="X513" s="69"/>
      <c r="Y513" s="1"/>
    </row>
    <row r="514" spans="1:25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73"/>
      <c r="M514" s="2"/>
      <c r="N514" s="2"/>
      <c r="O514" s="2"/>
      <c r="P514" s="68"/>
      <c r="Q514" s="68"/>
      <c r="R514" s="68"/>
      <c r="S514" s="2"/>
      <c r="T514" s="2"/>
      <c r="U514" s="2"/>
      <c r="V514" s="2"/>
      <c r="W514" s="2"/>
      <c r="X514" s="68"/>
      <c r="Y514" s="2"/>
    </row>
    <row r="515" spans="1:2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74"/>
      <c r="M515" s="1"/>
      <c r="N515" s="1"/>
      <c r="O515" s="1"/>
      <c r="P515" s="69"/>
      <c r="Q515" s="69"/>
      <c r="R515" s="69"/>
      <c r="S515" s="1"/>
      <c r="T515" s="1"/>
      <c r="U515" s="1"/>
      <c r="V515" s="1"/>
      <c r="W515" s="1"/>
      <c r="X515" s="69"/>
      <c r="Y515" s="1"/>
    </row>
    <row r="516" spans="1:25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73"/>
      <c r="M516" s="2"/>
      <c r="N516" s="2"/>
      <c r="O516" s="2"/>
      <c r="P516" s="68"/>
      <c r="Q516" s="68"/>
      <c r="R516" s="68"/>
      <c r="S516" s="2"/>
      <c r="T516" s="2"/>
      <c r="U516" s="2"/>
      <c r="V516" s="2"/>
      <c r="W516" s="2"/>
      <c r="X516" s="68"/>
      <c r="Y516" s="2"/>
    </row>
    <row r="517" spans="1:25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74"/>
      <c r="M517" s="1"/>
      <c r="N517" s="1"/>
      <c r="O517" s="1"/>
      <c r="P517" s="69"/>
      <c r="Q517" s="69"/>
      <c r="R517" s="69"/>
      <c r="S517" s="1"/>
      <c r="T517" s="1"/>
      <c r="U517" s="1"/>
      <c r="V517" s="1"/>
      <c r="W517" s="1"/>
      <c r="X517" s="69"/>
      <c r="Y517" s="1"/>
    </row>
    <row r="518" spans="1:25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73"/>
      <c r="M518" s="2"/>
      <c r="N518" s="2"/>
      <c r="O518" s="2"/>
      <c r="P518" s="68"/>
      <c r="Q518" s="68"/>
      <c r="R518" s="68"/>
      <c r="S518" s="2"/>
      <c r="T518" s="2"/>
      <c r="U518" s="2"/>
      <c r="V518" s="2"/>
      <c r="W518" s="2"/>
      <c r="X518" s="68"/>
      <c r="Y518" s="2"/>
    </row>
    <row r="519" spans="1:25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74"/>
      <c r="M519" s="1"/>
      <c r="N519" s="1"/>
      <c r="O519" s="1"/>
      <c r="P519" s="69"/>
      <c r="Q519" s="69"/>
      <c r="R519" s="69"/>
      <c r="S519" s="1"/>
      <c r="T519" s="1"/>
      <c r="U519" s="1"/>
      <c r="V519" s="1"/>
      <c r="W519" s="1"/>
      <c r="X519" s="69"/>
      <c r="Y519" s="1"/>
    </row>
    <row r="520" spans="1:25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73"/>
      <c r="M520" s="2"/>
      <c r="N520" s="2"/>
      <c r="O520" s="2"/>
      <c r="P520" s="68"/>
      <c r="Q520" s="68"/>
      <c r="R520" s="68"/>
      <c r="S520" s="2"/>
      <c r="T520" s="2"/>
      <c r="U520" s="2"/>
      <c r="V520" s="2"/>
      <c r="W520" s="2"/>
      <c r="X520" s="68"/>
      <c r="Y520" s="2"/>
    </row>
    <row r="521" spans="1:25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74"/>
      <c r="M521" s="1"/>
      <c r="N521" s="1"/>
      <c r="O521" s="1"/>
      <c r="P521" s="69"/>
      <c r="Q521" s="69"/>
      <c r="R521" s="69"/>
      <c r="S521" s="1"/>
      <c r="T521" s="1"/>
      <c r="U521" s="1"/>
      <c r="V521" s="1"/>
      <c r="W521" s="1"/>
      <c r="X521" s="69"/>
      <c r="Y521" s="1"/>
    </row>
    <row r="522" spans="1:25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73"/>
      <c r="M522" s="2"/>
      <c r="N522" s="2"/>
      <c r="O522" s="2"/>
      <c r="P522" s="68"/>
      <c r="Q522" s="68"/>
      <c r="R522" s="68"/>
      <c r="S522" s="2"/>
      <c r="T522" s="2"/>
      <c r="U522" s="2"/>
      <c r="V522" s="2"/>
      <c r="W522" s="2"/>
      <c r="X522" s="68"/>
      <c r="Y522" s="2"/>
    </row>
    <row r="523" spans="1:25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74"/>
      <c r="M523" s="1"/>
      <c r="N523" s="1"/>
      <c r="O523" s="1"/>
      <c r="P523" s="69"/>
      <c r="Q523" s="69"/>
      <c r="R523" s="69"/>
      <c r="S523" s="1"/>
      <c r="T523" s="1"/>
      <c r="U523" s="1"/>
      <c r="V523" s="1"/>
      <c r="W523" s="1"/>
      <c r="X523" s="69"/>
      <c r="Y523" s="1"/>
    </row>
    <row r="524" spans="1:25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73"/>
      <c r="M524" s="2"/>
      <c r="N524" s="2"/>
      <c r="O524" s="2"/>
      <c r="P524" s="68"/>
      <c r="Q524" s="68"/>
      <c r="R524" s="68"/>
      <c r="S524" s="2"/>
      <c r="T524" s="2"/>
      <c r="U524" s="2"/>
      <c r="V524" s="2"/>
      <c r="W524" s="2"/>
      <c r="X524" s="68"/>
      <c r="Y524" s="2"/>
    </row>
    <row r="525" spans="1: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74"/>
      <c r="M525" s="1"/>
      <c r="N525" s="1"/>
      <c r="O525" s="1"/>
      <c r="P525" s="69"/>
      <c r="Q525" s="69"/>
      <c r="R525" s="69"/>
      <c r="S525" s="1"/>
      <c r="T525" s="1"/>
      <c r="U525" s="1"/>
      <c r="V525" s="1"/>
      <c r="W525" s="1"/>
      <c r="X525" s="69"/>
      <c r="Y525" s="1"/>
    </row>
    <row r="526" spans="1:25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73"/>
      <c r="M526" s="2"/>
      <c r="N526" s="2"/>
      <c r="O526" s="2"/>
      <c r="P526" s="68"/>
      <c r="Q526" s="68"/>
      <c r="R526" s="68"/>
      <c r="S526" s="2"/>
      <c r="T526" s="2"/>
      <c r="U526" s="2"/>
      <c r="V526" s="2"/>
      <c r="W526" s="2"/>
      <c r="X526" s="68"/>
      <c r="Y526" s="2"/>
    </row>
    <row r="527" spans="1:25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74"/>
      <c r="M527" s="1"/>
      <c r="N527" s="1"/>
      <c r="O527" s="1"/>
      <c r="P527" s="69"/>
      <c r="Q527" s="69"/>
      <c r="R527" s="69"/>
      <c r="S527" s="1"/>
      <c r="T527" s="1"/>
      <c r="U527" s="1"/>
      <c r="V527" s="1"/>
      <c r="W527" s="1"/>
      <c r="X527" s="69"/>
      <c r="Y527" s="1"/>
    </row>
    <row r="528" spans="1:25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73"/>
      <c r="M528" s="2"/>
      <c r="N528" s="2"/>
      <c r="O528" s="2"/>
      <c r="P528" s="68"/>
      <c r="Q528" s="68"/>
      <c r="R528" s="68"/>
      <c r="S528" s="2"/>
      <c r="T528" s="2"/>
      <c r="U528" s="2"/>
      <c r="V528" s="2"/>
      <c r="W528" s="2"/>
      <c r="X528" s="68"/>
      <c r="Y528" s="2"/>
    </row>
    <row r="529" spans="1:25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74"/>
      <c r="M529" s="1"/>
      <c r="N529" s="1"/>
      <c r="O529" s="1"/>
      <c r="P529" s="69"/>
      <c r="Q529" s="69"/>
      <c r="R529" s="69"/>
      <c r="S529" s="1"/>
      <c r="T529" s="1"/>
      <c r="U529" s="1"/>
      <c r="V529" s="1"/>
      <c r="W529" s="1"/>
      <c r="X529" s="69"/>
      <c r="Y529" s="1"/>
    </row>
    <row r="530" spans="1:25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73"/>
      <c r="M530" s="2"/>
      <c r="N530" s="2"/>
      <c r="O530" s="2"/>
      <c r="P530" s="68"/>
      <c r="Q530" s="68"/>
      <c r="R530" s="68"/>
      <c r="S530" s="2"/>
      <c r="T530" s="2"/>
      <c r="U530" s="2"/>
      <c r="V530" s="2"/>
      <c r="W530" s="2"/>
      <c r="X530" s="68"/>
      <c r="Y530" s="2"/>
    </row>
    <row r="531" spans="1:25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74"/>
      <c r="M531" s="1"/>
      <c r="N531" s="1"/>
      <c r="O531" s="1"/>
      <c r="P531" s="69"/>
      <c r="Q531" s="69"/>
      <c r="R531" s="69"/>
      <c r="S531" s="1"/>
      <c r="T531" s="1"/>
      <c r="U531" s="1"/>
      <c r="V531" s="1"/>
      <c r="W531" s="1"/>
      <c r="X531" s="69"/>
      <c r="Y531" s="1"/>
    </row>
    <row r="532" spans="1:25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73"/>
      <c r="M532" s="2"/>
      <c r="N532" s="2"/>
      <c r="O532" s="2"/>
      <c r="P532" s="68"/>
      <c r="Q532" s="68"/>
      <c r="R532" s="68"/>
      <c r="S532" s="2"/>
      <c r="T532" s="2"/>
      <c r="U532" s="2"/>
      <c r="V532" s="2"/>
      <c r="W532" s="2"/>
      <c r="X532" s="68"/>
      <c r="Y532" s="2"/>
    </row>
    <row r="533" spans="1:25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74"/>
      <c r="M533" s="1"/>
      <c r="N533" s="1"/>
      <c r="O533" s="1"/>
      <c r="P533" s="69"/>
      <c r="Q533" s="69"/>
      <c r="R533" s="69"/>
      <c r="S533" s="1"/>
      <c r="T533" s="1"/>
      <c r="U533" s="1"/>
      <c r="V533" s="1"/>
      <c r="W533" s="1"/>
      <c r="X533" s="69"/>
      <c r="Y533" s="1"/>
    </row>
    <row r="534" spans="1:25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73"/>
      <c r="M534" s="2"/>
      <c r="N534" s="2"/>
      <c r="O534" s="2"/>
      <c r="P534" s="68"/>
      <c r="Q534" s="68"/>
      <c r="R534" s="68"/>
      <c r="S534" s="2"/>
      <c r="T534" s="2"/>
      <c r="U534" s="2"/>
      <c r="V534" s="2"/>
      <c r="W534" s="2"/>
      <c r="X534" s="68"/>
      <c r="Y534" s="2"/>
    </row>
    <row r="535" spans="1:2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74"/>
      <c r="M535" s="1"/>
      <c r="N535" s="1"/>
      <c r="O535" s="1"/>
      <c r="P535" s="69"/>
      <c r="Q535" s="69"/>
      <c r="R535" s="69"/>
      <c r="S535" s="1"/>
      <c r="T535" s="1"/>
      <c r="U535" s="1"/>
      <c r="V535" s="1"/>
      <c r="W535" s="1"/>
      <c r="X535" s="69"/>
      <c r="Y535" s="1"/>
    </row>
    <row r="536" spans="1:25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73"/>
      <c r="M536" s="2"/>
      <c r="N536" s="2"/>
      <c r="O536" s="2"/>
      <c r="P536" s="68"/>
      <c r="Q536" s="68"/>
      <c r="R536" s="68"/>
      <c r="S536" s="2"/>
      <c r="T536" s="2"/>
      <c r="U536" s="2"/>
      <c r="V536" s="2"/>
      <c r="W536" s="2"/>
      <c r="X536" s="68"/>
      <c r="Y536" s="2"/>
    </row>
    <row r="537" spans="1:25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74"/>
      <c r="M537" s="1"/>
      <c r="N537" s="1"/>
      <c r="O537" s="1"/>
      <c r="P537" s="69"/>
      <c r="Q537" s="69"/>
      <c r="R537" s="69"/>
      <c r="S537" s="1"/>
      <c r="T537" s="1"/>
      <c r="U537" s="1"/>
      <c r="V537" s="1"/>
      <c r="W537" s="1"/>
      <c r="X537" s="69"/>
      <c r="Y537" s="1"/>
    </row>
    <row r="538" spans="1:25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73"/>
      <c r="M538" s="2"/>
      <c r="N538" s="2"/>
      <c r="O538" s="2"/>
      <c r="P538" s="68"/>
      <c r="Q538" s="68"/>
      <c r="R538" s="68"/>
      <c r="S538" s="2"/>
      <c r="T538" s="2"/>
      <c r="U538" s="2"/>
      <c r="V538" s="2"/>
      <c r="W538" s="2"/>
      <c r="X538" s="68"/>
      <c r="Y538" s="2"/>
    </row>
    <row r="539" spans="1:25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74"/>
      <c r="M539" s="1"/>
      <c r="N539" s="1"/>
      <c r="O539" s="1"/>
      <c r="P539" s="69"/>
      <c r="Q539" s="69"/>
      <c r="R539" s="69"/>
      <c r="S539" s="1"/>
      <c r="T539" s="1"/>
      <c r="U539" s="1"/>
      <c r="V539" s="1"/>
      <c r="W539" s="1"/>
      <c r="X539" s="69"/>
      <c r="Y539" s="1"/>
    </row>
    <row r="540" spans="1:25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73"/>
      <c r="M540" s="2"/>
      <c r="N540" s="2"/>
      <c r="O540" s="2"/>
      <c r="P540" s="68"/>
      <c r="Q540" s="68"/>
      <c r="R540" s="68"/>
      <c r="S540" s="2"/>
      <c r="T540" s="2"/>
      <c r="U540" s="2"/>
      <c r="V540" s="2"/>
      <c r="W540" s="2"/>
      <c r="X540" s="68"/>
      <c r="Y540" s="2"/>
    </row>
  </sheetData>
  <sheetProtection algorithmName="SHA-512" hashValue="/8lsMRsPXTfrTK7RpFzsyDkXjdCWGOCCiqHEXITIVTeO7ybsYQDxEXGVnhBP8yh3aBxMUWZwmXN4/jz/yXUhsg==" saltValue="4K2OSHvtcbKp6PUCJeO75g==" spinCount="100000" sheet="1" objects="1" scenarios="1"/>
  <printOptions horizontalCentered="1" gridLines="1"/>
  <pageMargins left="0.1" right="0.1" top="0.1" bottom="0.1" header="0" footer="0"/>
  <pageSetup scale="42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  <pageSetUpPr fitToPage="1"/>
  </sheetPr>
  <dimension ref="A1:Y84"/>
  <sheetViews>
    <sheetView workbookViewId="0">
      <pane ySplit="1" topLeftCell="A16" activePane="bottomLeft" state="frozen"/>
      <selection pane="bottomLeft" activeCell="E36" sqref="E36"/>
    </sheetView>
  </sheetViews>
  <sheetFormatPr defaultColWidth="11.25" defaultRowHeight="15.75" customHeight="1"/>
  <cols>
    <col min="1" max="1" width="19.625" customWidth="1"/>
    <col min="2" max="2" width="19.25" customWidth="1"/>
    <col min="3" max="3" width="14.75" customWidth="1"/>
    <col min="4" max="4" width="9.375" customWidth="1"/>
    <col min="5" max="5" width="10" customWidth="1"/>
    <col min="6" max="6" width="12.25" customWidth="1"/>
    <col min="7" max="7" width="9.875" customWidth="1"/>
    <col min="8" max="8" width="0.25" customWidth="1"/>
    <col min="9" max="9" width="35" customWidth="1"/>
    <col min="10" max="10" width="9.625" customWidth="1"/>
    <col min="11" max="11" width="6.875" customWidth="1"/>
    <col min="12" max="12" width="7.5" customWidth="1"/>
    <col min="13" max="13" width="9.25" hidden="1" customWidth="1"/>
    <col min="14" max="14" width="8.25" hidden="1" customWidth="1"/>
    <col min="15" max="16" width="5.5" hidden="1" customWidth="1"/>
    <col min="17" max="18" width="5.75" hidden="1" customWidth="1"/>
    <col min="19" max="19" width="6.875" hidden="1" customWidth="1"/>
    <col min="20" max="20" width="7.25" hidden="1" customWidth="1"/>
    <col min="21" max="21" width="8.25" hidden="1" customWidth="1"/>
    <col min="22" max="22" width="8.375" hidden="1" customWidth="1"/>
    <col min="23" max="23" width="8.5" hidden="1" customWidth="1"/>
    <col min="24" max="24" width="7.875" hidden="1" customWidth="1"/>
    <col min="25" max="25" width="18.25" customWidth="1"/>
  </cols>
  <sheetData>
    <row r="1" spans="1:25" s="51" customFormat="1" ht="12.6">
      <c r="A1" s="49" t="s">
        <v>1</v>
      </c>
      <c r="B1" s="49" t="str">
        <f>'2024 CONTRACTOR DO NOT TOUCH'!B1</f>
        <v>BLDG
NAME</v>
      </c>
      <c r="C1" s="49" t="str">
        <f>'2024 CONTRACTOR DO NOT TOUCH'!C1</f>
        <v>SERIAL #</v>
      </c>
      <c r="D1" s="49" t="str">
        <f>'2024 CONTRACTOR DO NOT TOUCH'!D1</f>
        <v>MAKE</v>
      </c>
      <c r="E1" s="49" t="str">
        <f>'2024 CONTRACTOR DO NOT TOUCH'!E1</f>
        <v xml:space="preserve">MODEL </v>
      </c>
      <c r="F1" s="49" t="str">
        <f>'2024 CONTRACTOR DO NOT TOUCH'!F1</f>
        <v>BF 
TYPE</v>
      </c>
      <c r="G1" s="49" t="str">
        <f>'2024 CONTRACTOR DO NOT TOUCH'!G1</f>
        <v>SIZE</v>
      </c>
      <c r="H1" s="49" t="str">
        <f>'2024 CONTRACTOR DO NOT TOUCH'!H1</f>
        <v>LAST
TEST</v>
      </c>
      <c r="I1" s="49" t="str">
        <f>'2024 CONTRACTOR DO NOT TOUCH'!I1</f>
        <v>LOCATION</v>
      </c>
      <c r="J1" s="49" t="str">
        <f>'2024 CONTRACTOR DO NOT TOUCH'!J1</f>
        <v>PREMISE/
INPREMISE</v>
      </c>
      <c r="K1" s="49" t="str">
        <f>'2024 CONTRACTOR DO NOT TOUCH'!K1</f>
        <v>HAZ</v>
      </c>
      <c r="L1" s="49" t="str">
        <f>'2024 CONTRACTOR DO NOT TOUCH'!L1</f>
        <v>Inactive</v>
      </c>
      <c r="M1" s="50" t="str">
        <f>'2024 CONTRACTOR DO NOT TOUCH'!M1</f>
        <v>LAST TEST</v>
      </c>
      <c r="N1" s="49" t="str">
        <f>'2024 CONTRACTOR DO NOT TOUCH'!N1</f>
        <v xml:space="preserve">DATE </v>
      </c>
      <c r="O1" s="49" t="str">
        <f>'2024 CONTRACTOR DO NOT TOUCH'!O1</f>
        <v xml:space="preserve">OPER </v>
      </c>
      <c r="P1" s="49" t="str">
        <f>'2024 CONTRACTOR DO NOT TOUCH'!P1</f>
        <v>CV1</v>
      </c>
      <c r="Q1" s="49" t="str">
        <f>'2024 CONTRACTOR DO NOT TOUCH'!Q1</f>
        <v xml:space="preserve">CV2 </v>
      </c>
      <c r="R1" s="49" t="str">
        <f>'2024 CONTRACTOR DO NOT TOUCH'!R1</f>
        <v>REL/POP</v>
      </c>
      <c r="S1" s="49" t="str">
        <f>'2024 CONTRACTOR DO NOT TOUCH'!S1</f>
        <v>Tested</v>
      </c>
      <c r="T1" s="49" t="str">
        <f>'2024 CONTRACTOR DO NOT TOUCH'!T1</f>
        <v>Passed</v>
      </c>
      <c r="U1" s="49" t="str">
        <f>'2024 CONTRACTOR DO NOT TOUCH'!U1</f>
        <v>Repaired</v>
      </c>
      <c r="V1" s="49" t="str">
        <f>'2024 CONTRACTOR DO NOT TOUCH'!V1</f>
        <v>Replaced</v>
      </c>
      <c r="W1" s="49" t="str">
        <f>'2024 CONTRACTOR DO NOT TOUCH'!W1</f>
        <v>Removed</v>
      </c>
      <c r="X1" s="49" t="str">
        <f>'2024 CONTRACTOR DO NOT TOUCH'!X1</f>
        <v>OLD S/N</v>
      </c>
      <c r="Y1" s="49" t="str">
        <f>'2024 CONTRACTOR DO NOT TOUCH'!Y1</f>
        <v>NOTES</v>
      </c>
    </row>
    <row r="2" spans="1:25" ht="12.6">
      <c r="A2" s="4" t="s">
        <v>2</v>
      </c>
      <c r="B2" s="4" t="str">
        <f>'2024 CONTRACTOR DO NOT TOUCH'!B2</f>
        <v>MICHAEL ANDERSON</v>
      </c>
      <c r="C2" s="4" t="str">
        <f>'2024 CONTRACTOR DO NOT TOUCH'!C2</f>
        <v>F0204080725</v>
      </c>
      <c r="D2" s="4" t="str">
        <f>'2024 CONTRACTOR DO NOT TOUCH'!D2</f>
        <v>FEBCO</v>
      </c>
      <c r="E2" s="4" t="str">
        <f>'2024 CONTRACTOR DO NOT TOUCH'!E2</f>
        <v>850</v>
      </c>
      <c r="F2" s="4" t="str">
        <f>'2024 CONTRACTOR DO NOT TOUCH'!F2</f>
        <v>DC</v>
      </c>
      <c r="G2" s="4" t="str">
        <f>'2024 CONTRACTOR DO NOT TOUCH'!G2</f>
        <v>4.0</v>
      </c>
      <c r="H2" s="4">
        <f>'2024 CONTRACTOR DO NOT TOUCH'!H2</f>
        <v>0</v>
      </c>
      <c r="I2" s="4" t="str">
        <f>'2024 CONTRACTOR DO NOT TOUCH'!I2</f>
        <v>IRR WEST OF SCHOOL FENCED AREA</v>
      </c>
      <c r="J2" s="4" t="str">
        <f>'2024 CONTRACTOR DO NOT TOUCH'!J2</f>
        <v>PREMISE</v>
      </c>
      <c r="K2" s="4" t="str">
        <f>'2024 CONTRACTOR DO NOT TOUCH'!K2</f>
        <v>IRR</v>
      </c>
      <c r="L2" s="4" t="str">
        <f>'2024 CONTRACTOR DO NOT TOUCH'!L2</f>
        <v>ACTIVE</v>
      </c>
      <c r="M2" s="5">
        <f>'2024 CONTRACTOR DO NOT TOUCH'!M2</f>
        <v>44750</v>
      </c>
      <c r="N2" s="4">
        <f>'2024 CONTRACTOR DO NOT TOUCH'!N2</f>
        <v>0</v>
      </c>
      <c r="O2" s="4">
        <f>'2024 CONTRACTOR DO NOT TOUCH'!O2</f>
        <v>0</v>
      </c>
      <c r="P2" s="4">
        <f>'2024 CONTRACTOR DO NOT TOUCH'!P2</f>
        <v>0</v>
      </c>
      <c r="Q2" s="4">
        <f>'2024 CONTRACTOR DO NOT TOUCH'!Q2</f>
        <v>0</v>
      </c>
      <c r="R2" s="4">
        <f>'2024 CONTRACTOR DO NOT TOUCH'!R2</f>
        <v>0</v>
      </c>
      <c r="S2" s="4" t="str">
        <f>'2024 CONTRACTOR DO NOT TOUCH'!S2</f>
        <v>TESTED</v>
      </c>
      <c r="T2" s="4" t="str">
        <f>'2024 CONTRACTOR DO NOT TOUCH'!T2</f>
        <v>PASSED</v>
      </c>
      <c r="U2" s="4">
        <f>'2024 CONTRACTOR DO NOT TOUCH'!U2</f>
        <v>0</v>
      </c>
      <c r="V2" s="4">
        <f>'2024 CONTRACTOR DO NOT TOUCH'!V2</f>
        <v>0</v>
      </c>
      <c r="W2" s="4">
        <f>'2024 CONTRACTOR DO NOT TOUCH'!W2</f>
        <v>0</v>
      </c>
      <c r="X2" s="4">
        <f>'2024 CONTRACTOR DO NOT TOUCH'!X2</f>
        <v>0</v>
      </c>
      <c r="Y2" s="4">
        <f>'2024 CONTRACTOR DO NOT TOUCH'!Y2</f>
        <v>0</v>
      </c>
    </row>
    <row r="3" spans="1:25" ht="12.6">
      <c r="A3" s="6" t="str">
        <f>'2024 CONTRACTOR DO NOT TOUCH'!A3</f>
        <v>SCHOOL</v>
      </c>
      <c r="B3" s="6" t="str">
        <f>'2024 CONTRACTOR DO NOT TOUCH'!B3</f>
        <v>MICHAEL ANDERSON</v>
      </c>
      <c r="C3" s="6" t="str">
        <f>'2024 CONTRACTOR DO NOT TOUCH'!C3</f>
        <v>1339754</v>
      </c>
      <c r="D3" s="6" t="str">
        <f>'2024 CONTRACTOR DO NOT TOUCH'!D3</f>
        <v>WILKINS</v>
      </c>
      <c r="E3" s="6" t="str">
        <f>'2024 CONTRACTOR DO NOT TOUCH'!E3</f>
        <v>975XL</v>
      </c>
      <c r="F3" s="6" t="str">
        <f>'2024 CONTRACTOR DO NOT TOUCH'!F3</f>
        <v>RP</v>
      </c>
      <c r="G3" s="6" t="str">
        <f>'2024 CONTRACTOR DO NOT TOUCH'!G3</f>
        <v>0.75</v>
      </c>
      <c r="H3" s="6">
        <f>'2024 CONTRACTOR DO NOT TOUCH'!H3</f>
        <v>0</v>
      </c>
      <c r="I3" s="6" t="str">
        <f>'2024 CONTRACTOR DO NOT TOUCH'!I3</f>
        <v>MECH ROOM HOT WATER</v>
      </c>
      <c r="J3" s="6" t="str">
        <f>'2024 CONTRACTOR DO NOT TOUCH'!J3</f>
        <v>INPREMISE</v>
      </c>
      <c r="K3" s="6" t="str">
        <f>'2024 CONTRACTOR DO NOT TOUCH'!K3</f>
        <v>AOI</v>
      </c>
      <c r="L3" s="6" t="str">
        <f>'2024 CONTRACTOR DO NOT TOUCH'!L3</f>
        <v>ACTIVE</v>
      </c>
      <c r="M3" s="7">
        <f>'2024 CONTRACTOR DO NOT TOUCH'!M3</f>
        <v>44750</v>
      </c>
      <c r="N3" s="6">
        <f>'2024 CONTRACTOR DO NOT TOUCH'!N3</f>
        <v>0</v>
      </c>
      <c r="O3" s="6">
        <f>'2024 CONTRACTOR DO NOT TOUCH'!O3</f>
        <v>0</v>
      </c>
      <c r="P3" s="6">
        <f>'2024 CONTRACTOR DO NOT TOUCH'!P3</f>
        <v>0</v>
      </c>
      <c r="Q3" s="6">
        <f>'2024 CONTRACTOR DO NOT TOUCH'!Q3</f>
        <v>0</v>
      </c>
      <c r="R3" s="6">
        <f>'2024 CONTRACTOR DO NOT TOUCH'!R3</f>
        <v>0</v>
      </c>
      <c r="S3" s="6" t="str">
        <f>'2024 CONTRACTOR DO NOT TOUCH'!S3</f>
        <v>TESTED</v>
      </c>
      <c r="T3" s="6" t="str">
        <f>'2024 CONTRACTOR DO NOT TOUCH'!T3</f>
        <v>PASSED</v>
      </c>
      <c r="U3" s="6">
        <f>'2024 CONTRACTOR DO NOT TOUCH'!U3</f>
        <v>0</v>
      </c>
      <c r="V3" s="6">
        <f>'2024 CONTRACTOR DO NOT TOUCH'!V3</f>
        <v>0</v>
      </c>
      <c r="W3" s="6">
        <f>'2024 CONTRACTOR DO NOT TOUCH'!W3</f>
        <v>0</v>
      </c>
      <c r="X3" s="6">
        <f>'2024 CONTRACTOR DO NOT TOUCH'!X3</f>
        <v>0</v>
      </c>
      <c r="Y3" s="6">
        <f>'2024 CONTRACTOR DO NOT TOUCH'!Y3</f>
        <v>0</v>
      </c>
    </row>
    <row r="4" spans="1:25" ht="12.6">
      <c r="A4" s="4" t="str">
        <f>'2024 CONTRACTOR DO NOT TOUCH'!A4</f>
        <v>SCHOOL</v>
      </c>
      <c r="B4" s="4" t="str">
        <f>'2024 CONTRACTOR DO NOT TOUCH'!B4</f>
        <v>MICHAEL ANDERSON</v>
      </c>
      <c r="C4" s="4" t="str">
        <f>'2024 CONTRACTOR DO NOT TOUCH'!C4</f>
        <v>U28838</v>
      </c>
      <c r="D4" s="4" t="str">
        <f>'2024 CONTRACTOR DO NOT TOUCH'!D4</f>
        <v>WILKINS</v>
      </c>
      <c r="E4" s="4" t="str">
        <f>'2024 CONTRACTOR DO NOT TOUCH'!E4</f>
        <v>350A</v>
      </c>
      <c r="F4" s="4" t="str">
        <f>'2024 CONTRACTOR DO NOT TOUCH'!F4</f>
        <v>DC</v>
      </c>
      <c r="G4" s="4" t="str">
        <f>'2024 CONTRACTOR DO NOT TOUCH'!G4</f>
        <v>4.0</v>
      </c>
      <c r="H4" s="4">
        <f>'2024 CONTRACTOR DO NOT TOUCH'!H4</f>
        <v>0</v>
      </c>
      <c r="I4" s="4" t="str">
        <f>'2024 CONTRACTOR DO NOT TOUCH'!I4</f>
        <v>MECH ROOM FIRE SYS</v>
      </c>
      <c r="J4" s="4" t="str">
        <f>'2024 CONTRACTOR DO NOT TOUCH'!J4</f>
        <v>PREMISE</v>
      </c>
      <c r="K4" s="4" t="str">
        <f>'2024 CONTRACTOR DO NOT TOUCH'!K4</f>
        <v>FIRE</v>
      </c>
      <c r="L4" s="4" t="str">
        <f>'2024 CONTRACTOR DO NOT TOUCH'!L4</f>
        <v>ACTIVE</v>
      </c>
      <c r="M4" s="5">
        <f>'2024 CONTRACTOR DO NOT TOUCH'!M4</f>
        <v>44750</v>
      </c>
      <c r="N4" s="4">
        <f>'2024 CONTRACTOR DO NOT TOUCH'!N4</f>
        <v>0</v>
      </c>
      <c r="O4" s="4">
        <f>'2024 CONTRACTOR DO NOT TOUCH'!O4</f>
        <v>0</v>
      </c>
      <c r="P4" s="4">
        <f>'2024 CONTRACTOR DO NOT TOUCH'!P4</f>
        <v>0</v>
      </c>
      <c r="Q4" s="4">
        <f>'2024 CONTRACTOR DO NOT TOUCH'!Q4</f>
        <v>0</v>
      </c>
      <c r="R4" s="4">
        <f>'2024 CONTRACTOR DO NOT TOUCH'!R4</f>
        <v>0</v>
      </c>
      <c r="S4" s="4" t="str">
        <f>'2024 CONTRACTOR DO NOT TOUCH'!S4</f>
        <v>TESTED</v>
      </c>
      <c r="T4" s="4" t="str">
        <f>'2024 CONTRACTOR DO NOT TOUCH'!T4</f>
        <v>PASSED</v>
      </c>
      <c r="U4" s="4">
        <f>'2024 CONTRACTOR DO NOT TOUCH'!U4</f>
        <v>0</v>
      </c>
      <c r="V4" s="4">
        <f>'2024 CONTRACTOR DO NOT TOUCH'!V4</f>
        <v>0</v>
      </c>
      <c r="W4" s="4">
        <f>'2024 CONTRACTOR DO NOT TOUCH'!W4</f>
        <v>0</v>
      </c>
      <c r="X4" s="4">
        <f>'2024 CONTRACTOR DO NOT TOUCH'!X4</f>
        <v>0</v>
      </c>
      <c r="Y4" s="4">
        <f>'2024 CONTRACTOR DO NOT TOUCH'!Y4</f>
        <v>0</v>
      </c>
    </row>
    <row r="5" spans="1:25" ht="12.6">
      <c r="A5" s="6" t="str">
        <f>'2024 CONTRACTOR DO NOT TOUCH'!A5</f>
        <v>SCHOOL</v>
      </c>
      <c r="B5" s="6" t="str">
        <f>'2024 CONTRACTOR DO NOT TOUCH'!B5</f>
        <v>MICHAEL ANDERSON</v>
      </c>
      <c r="C5" s="6" t="str">
        <f>'2024 CONTRACTOR DO NOT TOUCH'!C5</f>
        <v>J08247</v>
      </c>
      <c r="D5" s="6" t="str">
        <f>'2024 CONTRACTOR DO NOT TOUCH'!D5</f>
        <v>WILKINS</v>
      </c>
      <c r="E5" s="6" t="str">
        <f>'2024 CONTRACTOR DO NOT TOUCH'!E5</f>
        <v>350</v>
      </c>
      <c r="F5" s="6" t="str">
        <f>'2024 CONTRACTOR DO NOT TOUCH'!F5</f>
        <v>DC</v>
      </c>
      <c r="G5" s="6" t="str">
        <f>'2024 CONTRACTOR DO NOT TOUCH'!G5</f>
        <v>3.0</v>
      </c>
      <c r="H5" s="6">
        <f>'2024 CONTRACTOR DO NOT TOUCH'!H5</f>
        <v>43822</v>
      </c>
      <c r="I5" s="6" t="str">
        <f>'2024 CONTRACTOR DO NOT TOUCH'!I5</f>
        <v>VAULT NEXT TO PIV</v>
      </c>
      <c r="J5" s="6" t="str">
        <f>'2024 CONTRACTOR DO NOT TOUCH'!J5</f>
        <v>PREMISE</v>
      </c>
      <c r="K5" s="6" t="str">
        <f>'2024 CONTRACTOR DO NOT TOUCH'!K5</f>
        <v>PREMISE</v>
      </c>
      <c r="L5" s="6" t="str">
        <f>'2024 CONTRACTOR DO NOT TOUCH'!L5</f>
        <v>ACTIVE</v>
      </c>
      <c r="M5" s="7">
        <f>'2024 CONTRACTOR DO NOT TOUCH'!M5</f>
        <v>44750</v>
      </c>
      <c r="N5" s="6">
        <f>'2024 CONTRACTOR DO NOT TOUCH'!N5</f>
        <v>0</v>
      </c>
      <c r="O5" s="6">
        <f>'2024 CONTRACTOR DO NOT TOUCH'!O5</f>
        <v>0</v>
      </c>
      <c r="P5" s="6">
        <f>'2024 CONTRACTOR DO NOT TOUCH'!P5</f>
        <v>0</v>
      </c>
      <c r="Q5" s="6">
        <f>'2024 CONTRACTOR DO NOT TOUCH'!Q5</f>
        <v>0</v>
      </c>
      <c r="R5" s="6">
        <f>'2024 CONTRACTOR DO NOT TOUCH'!R5</f>
        <v>0</v>
      </c>
      <c r="S5" s="6" t="str">
        <f>'2024 CONTRACTOR DO NOT TOUCH'!S5</f>
        <v>TESTED</v>
      </c>
      <c r="T5" s="6" t="str">
        <f>'2024 CONTRACTOR DO NOT TOUCH'!T5</f>
        <v>PASSED</v>
      </c>
      <c r="U5" s="6">
        <f>'2024 CONTRACTOR DO NOT TOUCH'!U5</f>
        <v>0</v>
      </c>
      <c r="V5" s="6">
        <f>'2024 CONTRACTOR DO NOT TOUCH'!V5</f>
        <v>0</v>
      </c>
      <c r="W5" s="6">
        <f>'2024 CONTRACTOR DO NOT TOUCH'!W5</f>
        <v>0</v>
      </c>
      <c r="X5" s="6">
        <f>'2024 CONTRACTOR DO NOT TOUCH'!X5</f>
        <v>0</v>
      </c>
      <c r="Y5" s="6">
        <f>'2024 CONTRACTOR DO NOT TOUCH'!Y5</f>
        <v>0</v>
      </c>
    </row>
    <row r="6" spans="1:25" ht="12.6">
      <c r="A6" s="4" t="str">
        <f>'2024 CONTRACTOR DO NOT TOUCH'!A6</f>
        <v>HOUSING</v>
      </c>
      <c r="B6" s="4" t="str">
        <f>'2024 CONTRACTOR DO NOT TOUCH'!B6</f>
        <v>FAFB HOUSING</v>
      </c>
      <c r="C6" s="4" t="str">
        <f>'2024 CONTRACTOR DO NOT TOUCH'!C6</f>
        <v>008307</v>
      </c>
      <c r="D6" s="4" t="str">
        <f>'2024 CONTRACTOR DO NOT TOUCH'!D6</f>
        <v>WATTS</v>
      </c>
      <c r="E6" s="4" t="str">
        <f>'2024 CONTRACTOR DO NOT TOUCH'!E6</f>
        <v>LF007M1QT</v>
      </c>
      <c r="F6" s="4" t="str">
        <f>'2024 CONTRACTOR DO NOT TOUCH'!F6</f>
        <v>DC</v>
      </c>
      <c r="G6" s="4" t="str">
        <f>'2024 CONTRACTOR DO NOT TOUCH'!G6</f>
        <v>2.0</v>
      </c>
      <c r="H6" s="4">
        <f>'2024 CONTRACTOR DO NOT TOUCH'!H6</f>
        <v>0</v>
      </c>
      <c r="I6" s="4" t="str">
        <f>'2024 CONTRACTOR DO NOT TOUCH'!I6</f>
        <v>FRONT CIRCLE DRIVE HOT BOX ROCK</v>
      </c>
      <c r="J6" s="4" t="str">
        <f>'2024 CONTRACTOR DO NOT TOUCH'!J6</f>
        <v>PREMISE</v>
      </c>
      <c r="K6" s="4" t="str">
        <f>'2024 CONTRACTOR DO NOT TOUCH'!K6</f>
        <v>PREMISE</v>
      </c>
      <c r="L6" s="4" t="str">
        <f>'2024 CONTRACTOR DO NOT TOUCH'!L6</f>
        <v>ACTIVE</v>
      </c>
      <c r="M6" s="5">
        <f>'2024 CONTRACTOR DO NOT TOUCH'!M6</f>
        <v>44672</v>
      </c>
      <c r="N6" s="4">
        <f>'2024 CONTRACTOR DO NOT TOUCH'!N6</f>
        <v>0</v>
      </c>
      <c r="O6" s="4">
        <f>'2024 CONTRACTOR DO NOT TOUCH'!O6</f>
        <v>0</v>
      </c>
      <c r="P6" s="4">
        <f>'2024 CONTRACTOR DO NOT TOUCH'!P6</f>
        <v>0</v>
      </c>
      <c r="Q6" s="4">
        <f>'2024 CONTRACTOR DO NOT TOUCH'!Q6</f>
        <v>0</v>
      </c>
      <c r="R6" s="4">
        <f>'2024 CONTRACTOR DO NOT TOUCH'!R6</f>
        <v>0</v>
      </c>
      <c r="S6" s="4" t="str">
        <f>'2024 CONTRACTOR DO NOT TOUCH'!S6</f>
        <v>TESTED</v>
      </c>
      <c r="T6" s="4" t="str">
        <f>'2024 CONTRACTOR DO NOT TOUCH'!T6</f>
        <v>PASSED</v>
      </c>
      <c r="U6" s="4">
        <f>'2024 CONTRACTOR DO NOT TOUCH'!U6</f>
        <v>0</v>
      </c>
      <c r="V6" s="4">
        <f>'2024 CONTRACTOR DO NOT TOUCH'!V6</f>
        <v>0</v>
      </c>
      <c r="W6" s="4">
        <f>'2024 CONTRACTOR DO NOT TOUCH'!W6</f>
        <v>0</v>
      </c>
      <c r="X6" s="4">
        <f>'2024 CONTRACTOR DO NOT TOUCH'!X6</f>
        <v>0</v>
      </c>
      <c r="Y6" s="4">
        <f>'2024 CONTRACTOR DO NOT TOUCH'!Y6</f>
        <v>0</v>
      </c>
    </row>
    <row r="7" spans="1:25" ht="12.6">
      <c r="A7" s="6" t="str">
        <f>'2024 CONTRACTOR DO NOT TOUCH'!A7</f>
        <v>HOUSING</v>
      </c>
      <c r="B7" s="6" t="str">
        <f>'2024 CONTRACTOR DO NOT TOUCH'!B7</f>
        <v>FAFB HOUSING</v>
      </c>
      <c r="C7" s="6" t="str">
        <f>'2024 CONTRACTOR DO NOT TOUCH'!C7</f>
        <v>X13788</v>
      </c>
      <c r="D7" s="6" t="str">
        <f>'2024 CONTRACTOR DO NOT TOUCH'!D7</f>
        <v>WILKINS</v>
      </c>
      <c r="E7" s="6" t="str">
        <f>'2024 CONTRACTOR DO NOT TOUCH'!E7</f>
        <v>375A</v>
      </c>
      <c r="F7" s="6" t="str">
        <f>'2024 CONTRACTOR DO NOT TOUCH'!F7</f>
        <v>RP</v>
      </c>
      <c r="G7" s="6" t="str">
        <f>'2024 CONTRACTOR DO NOT TOUCH'!G7</f>
        <v>8.0</v>
      </c>
      <c r="H7" s="6">
        <f>'2024 CONTRACTOR DO NOT TOUCH'!H7</f>
        <v>0</v>
      </c>
      <c r="I7" s="6" t="str">
        <f>'2024 CONTRACTOR DO NOT TOUCH'!I7</f>
        <v>GALENA STATION HOT BOX #1</v>
      </c>
      <c r="J7" s="6" t="str">
        <f>'2024 CONTRACTOR DO NOT TOUCH'!J7</f>
        <v>PREMISE</v>
      </c>
      <c r="K7" s="6" t="str">
        <f>'2024 CONTRACTOR DO NOT TOUCH'!K7</f>
        <v>PREMISE</v>
      </c>
      <c r="L7" s="6" t="str">
        <f>'2024 CONTRACTOR DO NOT TOUCH'!L7</f>
        <v>ACTIVE</v>
      </c>
      <c r="M7" s="7">
        <f>'2024 CONTRACTOR DO NOT TOUCH'!M7</f>
        <v>0</v>
      </c>
      <c r="N7" s="6">
        <f>'2024 CONTRACTOR DO NOT TOUCH'!N7</f>
        <v>0</v>
      </c>
      <c r="O7" s="6">
        <f>'2024 CONTRACTOR DO NOT TOUCH'!O7</f>
        <v>0</v>
      </c>
      <c r="P7" s="6">
        <f>'2024 CONTRACTOR DO NOT TOUCH'!P7</f>
        <v>0</v>
      </c>
      <c r="Q7" s="6">
        <f>'2024 CONTRACTOR DO NOT TOUCH'!Q7</f>
        <v>0</v>
      </c>
      <c r="R7" s="6">
        <f>'2024 CONTRACTOR DO NOT TOUCH'!R7</f>
        <v>0</v>
      </c>
      <c r="S7" s="6" t="str">
        <f>'2024 CONTRACTOR DO NOT TOUCH'!S7</f>
        <v>TESTED</v>
      </c>
      <c r="T7" s="6" t="str">
        <f>'2024 CONTRACTOR DO NOT TOUCH'!T7</f>
        <v>FAILED</v>
      </c>
      <c r="U7" s="6" t="str">
        <f>'2024 CONTRACTOR DO NOT TOUCH'!U7</f>
        <v>Y</v>
      </c>
      <c r="V7" s="6">
        <f>'2024 CONTRACTOR DO NOT TOUCH'!V7</f>
        <v>0</v>
      </c>
      <c r="W7" s="6">
        <f>'2024 CONTRACTOR DO NOT TOUCH'!W7</f>
        <v>0</v>
      </c>
      <c r="X7" s="6">
        <f>'2024 CONTRACTOR DO NOT TOUCH'!X7</f>
        <v>0</v>
      </c>
      <c r="Y7" s="6">
        <f>'2024 CONTRACTOR DO NOT TOUCH'!Y7</f>
        <v>0</v>
      </c>
    </row>
    <row r="8" spans="1:25" ht="12.6">
      <c r="A8" s="4" t="str">
        <f>'2024 CONTRACTOR DO NOT TOUCH'!A8</f>
        <v>HOUSING</v>
      </c>
      <c r="B8" s="4" t="str">
        <f>'2024 CONTRACTOR DO NOT TOUCH'!B8</f>
        <v>FAFB HOUSING</v>
      </c>
      <c r="C8" s="4" t="str">
        <f>'2024 CONTRACTOR DO NOT TOUCH'!C8</f>
        <v>L50441</v>
      </c>
      <c r="D8" s="4" t="str">
        <f>'2024 CONTRACTOR DO NOT TOUCH'!D8</f>
        <v>WILKINS</v>
      </c>
      <c r="E8" s="4" t="str">
        <f>'2024 CONTRACTOR DO NOT TOUCH'!E8</f>
        <v>375</v>
      </c>
      <c r="F8" s="4" t="str">
        <f>'2024 CONTRACTOR DO NOT TOUCH'!F8</f>
        <v>RP</v>
      </c>
      <c r="G8" s="4" t="str">
        <f>'2024 CONTRACTOR DO NOT TOUCH'!G8</f>
        <v>10.0</v>
      </c>
      <c r="H8" s="4">
        <f>'2024 CONTRACTOR DO NOT TOUCH'!H8</f>
        <v>0</v>
      </c>
      <c r="I8" s="4" t="str">
        <f>'2024 CONTRACTOR DO NOT TOUCH'!I8</f>
        <v>GALENA STATION HOT BOX #2</v>
      </c>
      <c r="J8" s="4" t="str">
        <f>'2024 CONTRACTOR DO NOT TOUCH'!J8</f>
        <v>PREMISE</v>
      </c>
      <c r="K8" s="4" t="str">
        <f>'2024 CONTRACTOR DO NOT TOUCH'!K8</f>
        <v>PREMISE</v>
      </c>
      <c r="L8" s="4" t="str">
        <f>'2024 CONTRACTOR DO NOT TOUCH'!L8</f>
        <v>ACTIVE</v>
      </c>
      <c r="M8" s="5">
        <f>'2024 CONTRACTOR DO NOT TOUCH'!M8</f>
        <v>44654</v>
      </c>
      <c r="N8" s="4">
        <f>'2024 CONTRACTOR DO NOT TOUCH'!N8</f>
        <v>0</v>
      </c>
      <c r="O8" s="4">
        <f>'2024 CONTRACTOR DO NOT TOUCH'!O8</f>
        <v>0</v>
      </c>
      <c r="P8" s="4">
        <f>'2024 CONTRACTOR DO NOT TOUCH'!P8</f>
        <v>0</v>
      </c>
      <c r="Q8" s="4">
        <f>'2024 CONTRACTOR DO NOT TOUCH'!Q8</f>
        <v>0</v>
      </c>
      <c r="R8" s="4">
        <f>'2024 CONTRACTOR DO NOT TOUCH'!R8</f>
        <v>0</v>
      </c>
      <c r="S8" s="4" t="str">
        <f>'2024 CONTRACTOR DO NOT TOUCH'!S8</f>
        <v>TESTED</v>
      </c>
      <c r="T8" s="4" t="str">
        <f>'2024 CONTRACTOR DO NOT TOUCH'!T8</f>
        <v>PASSED</v>
      </c>
      <c r="U8" s="4">
        <f>'2024 CONTRACTOR DO NOT TOUCH'!U8</f>
        <v>0</v>
      </c>
      <c r="V8" s="4">
        <f>'2024 CONTRACTOR DO NOT TOUCH'!V8</f>
        <v>0</v>
      </c>
      <c r="W8" s="4">
        <f>'2024 CONTRACTOR DO NOT TOUCH'!W8</f>
        <v>0</v>
      </c>
      <c r="X8" s="4">
        <f>'2024 CONTRACTOR DO NOT TOUCH'!X8</f>
        <v>0</v>
      </c>
      <c r="Y8" s="4">
        <f>'2024 CONTRACTOR DO NOT TOUCH'!Y8</f>
        <v>0</v>
      </c>
    </row>
    <row r="9" spans="1:25" ht="12.6">
      <c r="A9" s="6" t="str">
        <f>'2024 CONTRACTOR DO NOT TOUCH'!A9</f>
        <v>HOUSING</v>
      </c>
      <c r="B9" s="6" t="str">
        <f>'2024 CONTRACTOR DO NOT TOUCH'!B9</f>
        <v>FAFB HOUSING</v>
      </c>
      <c r="C9" s="6" t="str">
        <f>'2024 CONTRACTOR DO NOT TOUCH'!C9</f>
        <v>L50440</v>
      </c>
      <c r="D9" s="6" t="str">
        <f>'2024 CONTRACTOR DO NOT TOUCH'!D9</f>
        <v>WILKINS</v>
      </c>
      <c r="E9" s="6" t="str">
        <f>'2024 CONTRACTOR DO NOT TOUCH'!E9</f>
        <v>375</v>
      </c>
      <c r="F9" s="6" t="str">
        <f>'2024 CONTRACTOR DO NOT TOUCH'!F9</f>
        <v>RP</v>
      </c>
      <c r="G9" s="6" t="str">
        <f>'2024 CONTRACTOR DO NOT TOUCH'!G9</f>
        <v>10.0</v>
      </c>
      <c r="H9" s="6">
        <f>'2024 CONTRACTOR DO NOT TOUCH'!H9</f>
        <v>0</v>
      </c>
      <c r="I9" s="6" t="str">
        <f>'2024 CONTRACTOR DO NOT TOUCH'!I9</f>
        <v>KAMIAKIN HOT BOX #1</v>
      </c>
      <c r="J9" s="6" t="str">
        <f>'2024 CONTRACTOR DO NOT TOUCH'!J9</f>
        <v>PREMISE</v>
      </c>
      <c r="K9" s="6" t="str">
        <f>'2024 CONTRACTOR DO NOT TOUCH'!K9</f>
        <v>PREMISE</v>
      </c>
      <c r="L9" s="6" t="str">
        <f>'2024 CONTRACTOR DO NOT TOUCH'!L9</f>
        <v>ACTIVE</v>
      </c>
      <c r="M9" s="7">
        <f>'2024 CONTRACTOR DO NOT TOUCH'!M9</f>
        <v>44719</v>
      </c>
      <c r="N9" s="6">
        <f>'2024 CONTRACTOR DO NOT TOUCH'!N9</f>
        <v>0</v>
      </c>
      <c r="O9" s="6">
        <f>'2024 CONTRACTOR DO NOT TOUCH'!O9</f>
        <v>0</v>
      </c>
      <c r="P9" s="6">
        <f>'2024 CONTRACTOR DO NOT TOUCH'!P9</f>
        <v>0</v>
      </c>
      <c r="Q9" s="6">
        <f>'2024 CONTRACTOR DO NOT TOUCH'!Q9</f>
        <v>0</v>
      </c>
      <c r="R9" s="6">
        <f>'2024 CONTRACTOR DO NOT TOUCH'!R9</f>
        <v>0</v>
      </c>
      <c r="S9" s="6" t="str">
        <f>'2024 CONTRACTOR DO NOT TOUCH'!S9</f>
        <v>TESTED</v>
      </c>
      <c r="T9" s="6" t="str">
        <f>'2024 CONTRACTOR DO NOT TOUCH'!T9</f>
        <v>PASSED</v>
      </c>
      <c r="U9" s="6">
        <f>'2024 CONTRACTOR DO NOT TOUCH'!U9</f>
        <v>0</v>
      </c>
      <c r="V9" s="6">
        <f>'2024 CONTRACTOR DO NOT TOUCH'!V9</f>
        <v>0</v>
      </c>
      <c r="W9" s="6">
        <f>'2024 CONTRACTOR DO NOT TOUCH'!W9</f>
        <v>0</v>
      </c>
      <c r="X9" s="6">
        <f>'2024 CONTRACTOR DO NOT TOUCH'!X9</f>
        <v>0</v>
      </c>
      <c r="Y9" s="6">
        <f>'2024 CONTRACTOR DO NOT TOUCH'!Y9</f>
        <v>0</v>
      </c>
    </row>
    <row r="10" spans="1:25" ht="12.6">
      <c r="A10" s="4" t="str">
        <f>'2024 CONTRACTOR DO NOT TOUCH'!A10</f>
        <v>HOUSING</v>
      </c>
      <c r="B10" s="4" t="str">
        <f>'2024 CONTRACTOR DO NOT TOUCH'!B10</f>
        <v>FAFB HOUSING</v>
      </c>
      <c r="C10" s="4" t="str">
        <f>'2024 CONTRACTOR DO NOT TOUCH'!C10</f>
        <v>L50442</v>
      </c>
      <c r="D10" s="4" t="str">
        <f>'2024 CONTRACTOR DO NOT TOUCH'!D10</f>
        <v>WILKINS</v>
      </c>
      <c r="E10" s="4" t="str">
        <f>'2024 CONTRACTOR DO NOT TOUCH'!E10</f>
        <v>375A</v>
      </c>
      <c r="F10" s="4" t="str">
        <f>'2024 CONTRACTOR DO NOT TOUCH'!F10</f>
        <v>RP</v>
      </c>
      <c r="G10" s="4" t="str">
        <f>'2024 CONTRACTOR DO NOT TOUCH'!G10</f>
        <v>10.0</v>
      </c>
      <c r="H10" s="4">
        <f>'2024 CONTRACTOR DO NOT TOUCH'!H10</f>
        <v>0</v>
      </c>
      <c r="I10" s="4" t="str">
        <f>'2024 CONTRACTOR DO NOT TOUCH'!I10</f>
        <v>KAMIAKIN HOT BOX #2</v>
      </c>
      <c r="J10" s="4" t="str">
        <f>'2024 CONTRACTOR DO NOT TOUCH'!J10</f>
        <v>PREMISE</v>
      </c>
      <c r="K10" s="4" t="str">
        <f>'2024 CONTRACTOR DO NOT TOUCH'!K10</f>
        <v>PREMISE</v>
      </c>
      <c r="L10" s="4" t="str">
        <f>'2024 CONTRACTOR DO NOT TOUCH'!L10</f>
        <v>ACTIVE</v>
      </c>
      <c r="M10" s="5">
        <f>'2024 CONTRACTOR DO NOT TOUCH'!M10</f>
        <v>44719</v>
      </c>
      <c r="N10" s="4">
        <f>'2024 CONTRACTOR DO NOT TOUCH'!N10</f>
        <v>0</v>
      </c>
      <c r="O10" s="4">
        <f>'2024 CONTRACTOR DO NOT TOUCH'!O10</f>
        <v>0</v>
      </c>
      <c r="P10" s="4">
        <f>'2024 CONTRACTOR DO NOT TOUCH'!P10</f>
        <v>0</v>
      </c>
      <c r="Q10" s="4">
        <f>'2024 CONTRACTOR DO NOT TOUCH'!Q10</f>
        <v>0</v>
      </c>
      <c r="R10" s="4">
        <f>'2024 CONTRACTOR DO NOT TOUCH'!R10</f>
        <v>0</v>
      </c>
      <c r="S10" s="4" t="str">
        <f>'2024 CONTRACTOR DO NOT TOUCH'!S10</f>
        <v>TESTED</v>
      </c>
      <c r="T10" s="4" t="str">
        <f>'2024 CONTRACTOR DO NOT TOUCH'!T10</f>
        <v>PASSED</v>
      </c>
      <c r="U10" s="4">
        <f>'2024 CONTRACTOR DO NOT TOUCH'!U10</f>
        <v>0</v>
      </c>
      <c r="V10" s="4">
        <f>'2024 CONTRACTOR DO NOT TOUCH'!V10</f>
        <v>0</v>
      </c>
      <c r="W10" s="4">
        <f>'2024 CONTRACTOR DO NOT TOUCH'!W10</f>
        <v>0</v>
      </c>
      <c r="X10" s="4">
        <f>'2024 CONTRACTOR DO NOT TOUCH'!X10</f>
        <v>0</v>
      </c>
      <c r="Y10" s="4">
        <f>'2024 CONTRACTOR DO NOT TOUCH'!Y10</f>
        <v>0</v>
      </c>
    </row>
    <row r="11" spans="1:25" ht="12.6">
      <c r="A11" s="6" t="str">
        <f>'2024 CONTRACTOR DO NOT TOUCH'!A11</f>
        <v>0001</v>
      </c>
      <c r="B11" s="6" t="str">
        <f>'2024 CONTRACTOR DO NOT TOUCH'!B11</f>
        <v>ALASKA BOILER</v>
      </c>
      <c r="C11" s="6" t="str">
        <f>'2024 CONTRACTOR DO NOT TOUCH'!C11</f>
        <v>3336495</v>
      </c>
      <c r="D11" s="6" t="str">
        <f>'2024 CONTRACTOR DO NOT TOUCH'!D11</f>
        <v>WILKINS</v>
      </c>
      <c r="E11" s="6" t="str">
        <f>'2024 CONTRACTOR DO NOT TOUCH'!E11</f>
        <v>975XL</v>
      </c>
      <c r="F11" s="6" t="str">
        <f>'2024 CONTRACTOR DO NOT TOUCH'!F11</f>
        <v>RP</v>
      </c>
      <c r="G11" s="6" t="str">
        <f>'2024 CONTRACTOR DO NOT TOUCH'!G11</f>
        <v>0.75</v>
      </c>
      <c r="H11" s="6">
        <f>'2024 CONTRACTOR DO NOT TOUCH'!H11</f>
        <v>0</v>
      </c>
      <c r="I11" s="6" t="str">
        <f>'2024 CONTRACTOR DO NOT TOUCH'!I11</f>
        <v>#1 BOILER</v>
      </c>
      <c r="J11" s="6" t="str">
        <f>'2024 CONTRACTOR DO NOT TOUCH'!J11</f>
        <v>INPREMISE</v>
      </c>
      <c r="K11" s="6" t="str">
        <f>'2024 CONTRACTOR DO NOT TOUCH'!K11</f>
        <v>AOI</v>
      </c>
      <c r="L11" s="6" t="str">
        <f>'2024 CONTRACTOR DO NOT TOUCH'!L11</f>
        <v>ACTIVE</v>
      </c>
      <c r="M11" s="7">
        <f>'2024 CONTRACTOR DO NOT TOUCH'!M11</f>
        <v>44824</v>
      </c>
      <c r="N11" s="6">
        <f>'2024 CONTRACTOR DO NOT TOUCH'!N11</f>
        <v>0</v>
      </c>
      <c r="O11" s="6">
        <f>'2024 CONTRACTOR DO NOT TOUCH'!O11</f>
        <v>0</v>
      </c>
      <c r="P11" s="6">
        <f>'2024 CONTRACTOR DO NOT TOUCH'!P11</f>
        <v>0</v>
      </c>
      <c r="Q11" s="6">
        <f>'2024 CONTRACTOR DO NOT TOUCH'!Q11</f>
        <v>0</v>
      </c>
      <c r="R11" s="6">
        <f>'2024 CONTRACTOR DO NOT TOUCH'!R11</f>
        <v>0</v>
      </c>
      <c r="S11" s="6" t="str">
        <f>'2024 CONTRACTOR DO NOT TOUCH'!S11</f>
        <v>TESTED</v>
      </c>
      <c r="T11" s="6" t="str">
        <f>'2024 CONTRACTOR DO NOT TOUCH'!T11</f>
        <v>PASSED</v>
      </c>
      <c r="U11" s="6">
        <f>'2024 CONTRACTOR DO NOT TOUCH'!U11</f>
        <v>0</v>
      </c>
      <c r="V11" s="6">
        <f>'2024 CONTRACTOR DO NOT TOUCH'!V11</f>
        <v>0</v>
      </c>
      <c r="W11" s="6">
        <f>'2024 CONTRACTOR DO NOT TOUCH'!W11</f>
        <v>0</v>
      </c>
      <c r="X11" s="6">
        <f>'2024 CONTRACTOR DO NOT TOUCH'!X11</f>
        <v>0</v>
      </c>
      <c r="Y11" s="6">
        <f>'2024 CONTRACTOR DO NOT TOUCH'!Y11</f>
        <v>0</v>
      </c>
    </row>
    <row r="12" spans="1:25" ht="12.6">
      <c r="A12" s="4" t="str">
        <f>'2024 CONTRACTOR DO NOT TOUCH'!A12</f>
        <v>0001</v>
      </c>
      <c r="B12" s="4" t="str">
        <f>'2024 CONTRACTOR DO NOT TOUCH'!B12</f>
        <v>ALASKA BOILER</v>
      </c>
      <c r="C12" s="4" t="str">
        <f>'2024 CONTRACTOR DO NOT TOUCH'!C12</f>
        <v>1363820</v>
      </c>
      <c r="D12" s="4" t="str">
        <f>'2024 CONTRACTOR DO NOT TOUCH'!D12</f>
        <v>WILKINS</v>
      </c>
      <c r="E12" s="4" t="str">
        <f>'2024 CONTRACTOR DO NOT TOUCH'!E12</f>
        <v>975XL</v>
      </c>
      <c r="F12" s="4" t="str">
        <f>'2024 CONTRACTOR DO NOT TOUCH'!F12</f>
        <v>RP</v>
      </c>
      <c r="G12" s="4" t="str">
        <f>'2024 CONTRACTOR DO NOT TOUCH'!G12</f>
        <v>0.75</v>
      </c>
      <c r="H12" s="4">
        <f>'2024 CONTRACTOR DO NOT TOUCH'!H12</f>
        <v>0</v>
      </c>
      <c r="I12" s="4" t="str">
        <f>'2024 CONTRACTOR DO NOT TOUCH'!I12</f>
        <v>#2 BOILER</v>
      </c>
      <c r="J12" s="4" t="str">
        <f>'2024 CONTRACTOR DO NOT TOUCH'!J12</f>
        <v>INPREMISE</v>
      </c>
      <c r="K12" s="4" t="str">
        <f>'2024 CONTRACTOR DO NOT TOUCH'!K12</f>
        <v>AOI</v>
      </c>
      <c r="L12" s="4" t="str">
        <f>'2024 CONTRACTOR DO NOT TOUCH'!L12</f>
        <v>ACTIVE</v>
      </c>
      <c r="M12" s="5">
        <f>'2024 CONTRACTOR DO NOT TOUCH'!M12</f>
        <v>44824</v>
      </c>
      <c r="N12" s="4">
        <f>'2024 CONTRACTOR DO NOT TOUCH'!N12</f>
        <v>0</v>
      </c>
      <c r="O12" s="4">
        <f>'2024 CONTRACTOR DO NOT TOUCH'!O12</f>
        <v>0</v>
      </c>
      <c r="P12" s="4">
        <f>'2024 CONTRACTOR DO NOT TOUCH'!P12</f>
        <v>0</v>
      </c>
      <c r="Q12" s="4">
        <f>'2024 CONTRACTOR DO NOT TOUCH'!Q12</f>
        <v>0</v>
      </c>
      <c r="R12" s="4">
        <f>'2024 CONTRACTOR DO NOT TOUCH'!R12</f>
        <v>0</v>
      </c>
      <c r="S12" s="4" t="str">
        <f>'2024 CONTRACTOR DO NOT TOUCH'!S12</f>
        <v>TESTED</v>
      </c>
      <c r="T12" s="4" t="str">
        <f>'2024 CONTRACTOR DO NOT TOUCH'!T12</f>
        <v>PASSED</v>
      </c>
      <c r="U12" s="4">
        <f>'2024 CONTRACTOR DO NOT TOUCH'!U12</f>
        <v>0</v>
      </c>
      <c r="V12" s="4">
        <f>'2024 CONTRACTOR DO NOT TOUCH'!V12</f>
        <v>0</v>
      </c>
      <c r="W12" s="4">
        <f>'2024 CONTRACTOR DO NOT TOUCH'!W12</f>
        <v>0</v>
      </c>
      <c r="X12" s="4">
        <f>'2024 CONTRACTOR DO NOT TOUCH'!X12</f>
        <v>0</v>
      </c>
      <c r="Y12" s="4">
        <f>'2024 CONTRACTOR DO NOT TOUCH'!Y12</f>
        <v>0</v>
      </c>
    </row>
    <row r="13" spans="1:25" ht="12.6">
      <c r="A13" s="6" t="str">
        <f>'2024 CONTRACTOR DO NOT TOUCH'!A13</f>
        <v>0285</v>
      </c>
      <c r="B13" s="6" t="str">
        <f>'2024 CONTRACTOR DO NOT TOUCH'!B13</f>
        <v>ALASKA BOILER</v>
      </c>
      <c r="C13" s="6" t="str">
        <f>'2024 CONTRACTOR DO NOT TOUCH'!C13</f>
        <v>1394537</v>
      </c>
      <c r="D13" s="6" t="str">
        <f>'2024 CONTRACTOR DO NOT TOUCH'!D13</f>
        <v>WILKINS</v>
      </c>
      <c r="E13" s="6" t="str">
        <f>'2024 CONTRACTOR DO NOT TOUCH'!E13</f>
        <v>975XL</v>
      </c>
      <c r="F13" s="6" t="str">
        <f>'2024 CONTRACTOR DO NOT TOUCH'!F13</f>
        <v>RP</v>
      </c>
      <c r="G13" s="6" t="str">
        <f>'2024 CONTRACTOR DO NOT TOUCH'!G13</f>
        <v>0.75</v>
      </c>
      <c r="H13" s="6">
        <f>'2024 CONTRACTOR DO NOT TOUCH'!H13</f>
        <v>0</v>
      </c>
      <c r="I13" s="6" t="str">
        <f>'2024 CONTRACTOR DO NOT TOUCH'!I13</f>
        <v>BOILER</v>
      </c>
      <c r="J13" s="6" t="str">
        <f>'2024 CONTRACTOR DO NOT TOUCH'!J13</f>
        <v>INPREMISE</v>
      </c>
      <c r="K13" s="6" t="str">
        <f>'2024 CONTRACTOR DO NOT TOUCH'!K13</f>
        <v>AOI</v>
      </c>
      <c r="L13" s="6" t="str">
        <f>'2024 CONTRACTOR DO NOT TOUCH'!L13</f>
        <v>ACTIVE</v>
      </c>
      <c r="M13" s="7">
        <f>'2024 CONTRACTOR DO NOT TOUCH'!M13</f>
        <v>44824</v>
      </c>
      <c r="N13" s="6">
        <f>'2024 CONTRACTOR DO NOT TOUCH'!N13</f>
        <v>0</v>
      </c>
      <c r="O13" s="6">
        <f>'2024 CONTRACTOR DO NOT TOUCH'!O13</f>
        <v>0</v>
      </c>
      <c r="P13" s="6">
        <f>'2024 CONTRACTOR DO NOT TOUCH'!P13</f>
        <v>0</v>
      </c>
      <c r="Q13" s="6">
        <f>'2024 CONTRACTOR DO NOT TOUCH'!Q13</f>
        <v>0</v>
      </c>
      <c r="R13" s="6">
        <f>'2024 CONTRACTOR DO NOT TOUCH'!R13</f>
        <v>0</v>
      </c>
      <c r="S13" s="6" t="str">
        <f>'2024 CONTRACTOR DO NOT TOUCH'!S13</f>
        <v>TESTED</v>
      </c>
      <c r="T13" s="6" t="str">
        <f>'2024 CONTRACTOR DO NOT TOUCH'!T13</f>
        <v>PASSED</v>
      </c>
      <c r="U13" s="6" t="str">
        <f>'2024 CONTRACTOR DO NOT TOUCH'!U13</f>
        <v>PASSED</v>
      </c>
      <c r="V13" s="6" t="str">
        <f>'2024 CONTRACTOR DO NOT TOUCH'!V13</f>
        <v>EXISTING</v>
      </c>
      <c r="W13" s="6" t="str">
        <f>'2024 CONTRACTOR DO NOT TOUCH'!W13</f>
        <v>EXISTING</v>
      </c>
      <c r="X13" s="6">
        <f>'2024 CONTRACTOR DO NOT TOUCH'!X13</f>
        <v>0</v>
      </c>
      <c r="Y13" s="6">
        <f>'2024 CONTRACTOR DO NOT TOUCH'!Y13</f>
        <v>0</v>
      </c>
    </row>
    <row r="14" spans="1:25" ht="12.6">
      <c r="A14" s="4" t="str">
        <f>'2024 CONTRACTOR DO NOT TOUCH'!A14</f>
        <v>1029</v>
      </c>
      <c r="B14" s="4" t="str">
        <f>'2024 CONTRACTOR DO NOT TOUCH'!B14</f>
        <v>ALASKA BOILER</v>
      </c>
      <c r="C14" s="4" t="str">
        <f>'2024 CONTRACTOR DO NOT TOUCH'!C14</f>
        <v>1363765</v>
      </c>
      <c r="D14" s="4" t="str">
        <f>'2024 CONTRACTOR DO NOT TOUCH'!D14</f>
        <v>WILKINS</v>
      </c>
      <c r="E14" s="4" t="str">
        <f>'2024 CONTRACTOR DO NOT TOUCH'!E14</f>
        <v>975XL</v>
      </c>
      <c r="F14" s="4" t="str">
        <f>'2024 CONTRACTOR DO NOT TOUCH'!F14</f>
        <v>RP</v>
      </c>
      <c r="G14" s="4" t="str">
        <f>'2024 CONTRACTOR DO NOT TOUCH'!G14</f>
        <v>0.75</v>
      </c>
      <c r="H14" s="4">
        <f>'2024 CONTRACTOR DO NOT TOUCH'!H14</f>
        <v>0</v>
      </c>
      <c r="I14" s="4" t="str">
        <f>'2024 CONTRACTOR DO NOT TOUCH'!I14</f>
        <v>BOILER</v>
      </c>
      <c r="J14" s="4" t="str">
        <f>'2024 CONTRACTOR DO NOT TOUCH'!J14</f>
        <v>INPREMISE</v>
      </c>
      <c r="K14" s="4" t="str">
        <f>'2024 CONTRACTOR DO NOT TOUCH'!K14</f>
        <v>AOI</v>
      </c>
      <c r="L14" s="4" t="str">
        <f>'2024 CONTRACTOR DO NOT TOUCH'!L14</f>
        <v>ACTIVE</v>
      </c>
      <c r="M14" s="5" t="str">
        <f>'2024 CONTRACTOR DO NOT TOUCH'!M14</f>
        <v>10/102022</v>
      </c>
      <c r="N14" s="4">
        <f>'2024 CONTRACTOR DO NOT TOUCH'!N14</f>
        <v>45320</v>
      </c>
      <c r="O14" s="4" t="str">
        <f>'2024 CONTRACTOR DO NOT TOUCH'!O14</f>
        <v>Ted</v>
      </c>
      <c r="P14" s="4" t="str">
        <f>'2024 CONTRACTOR DO NOT TOUCH'!P14</f>
        <v>7.4</v>
      </c>
      <c r="Q14" s="4">
        <f>'2024 CONTRACTOR DO NOT TOUCH'!Q14</f>
        <v>0</v>
      </c>
      <c r="R14" s="4">
        <f>'2024 CONTRACTOR DO NOT TOUCH'!R14</f>
        <v>2.6</v>
      </c>
      <c r="S14" s="4" t="str">
        <f>'2024 CONTRACTOR DO NOT TOUCH'!S14</f>
        <v>TESTED</v>
      </c>
      <c r="T14" s="4" t="str">
        <f>'2024 CONTRACTOR DO NOT TOUCH'!T14</f>
        <v>PASSED</v>
      </c>
      <c r="U14" s="4" t="str">
        <f>'2024 CONTRACTOR DO NOT TOUCH'!U14</f>
        <v>PASSED</v>
      </c>
      <c r="V14" s="4" t="str">
        <f>'2024 CONTRACTOR DO NOT TOUCH'!V14</f>
        <v>EXISTING</v>
      </c>
      <c r="W14" s="4" t="str">
        <f>'2024 CONTRACTOR DO NOT TOUCH'!W14</f>
        <v>EXISTING</v>
      </c>
      <c r="X14" s="4">
        <f>'2024 CONTRACTOR DO NOT TOUCH'!X14</f>
        <v>0</v>
      </c>
      <c r="Y14" s="4">
        <f>'2024 CONTRACTOR DO NOT TOUCH'!Y14</f>
        <v>0</v>
      </c>
    </row>
    <row r="15" spans="1:25" ht="12.6">
      <c r="A15" s="6" t="str">
        <f>'2024 CONTRACTOR DO NOT TOUCH'!A15</f>
        <v>1033</v>
      </c>
      <c r="B15" s="6" t="str">
        <f>'2024 CONTRACTOR DO NOT TOUCH'!B15</f>
        <v>ALASKA BOILER</v>
      </c>
      <c r="C15" s="6" t="str">
        <f>'2024 CONTRACTOR DO NOT TOUCH'!C15</f>
        <v>1363764</v>
      </c>
      <c r="D15" s="6" t="str">
        <f>'2024 CONTRACTOR DO NOT TOUCH'!D15</f>
        <v>WILKINS</v>
      </c>
      <c r="E15" s="6" t="str">
        <f>'2024 CONTRACTOR DO NOT TOUCH'!E15</f>
        <v>975XL</v>
      </c>
      <c r="F15" s="6" t="str">
        <f>'2024 CONTRACTOR DO NOT TOUCH'!F15</f>
        <v>RP</v>
      </c>
      <c r="G15" s="6" t="str">
        <f>'2024 CONTRACTOR DO NOT TOUCH'!G15</f>
        <v>0.75</v>
      </c>
      <c r="H15" s="6">
        <f>'2024 CONTRACTOR DO NOT TOUCH'!H15</f>
        <v>0</v>
      </c>
      <c r="I15" s="6" t="str">
        <f>'2024 CONTRACTOR DO NOT TOUCH'!I15</f>
        <v>BOILER</v>
      </c>
      <c r="J15" s="6" t="str">
        <f>'2024 CONTRACTOR DO NOT TOUCH'!J15</f>
        <v>INPREMISE</v>
      </c>
      <c r="K15" s="6" t="str">
        <f>'2024 CONTRACTOR DO NOT TOUCH'!K15</f>
        <v>AOI</v>
      </c>
      <c r="L15" s="6" t="str">
        <f>'2024 CONTRACTOR DO NOT TOUCH'!L15</f>
        <v>ACTIVE</v>
      </c>
      <c r="M15" s="7">
        <f>'2024 CONTRACTOR DO NOT TOUCH'!M15</f>
        <v>44574</v>
      </c>
      <c r="N15" s="6">
        <f>'2024 CONTRACTOR DO NOT TOUCH'!N15</f>
        <v>0</v>
      </c>
      <c r="O15" s="6">
        <f>'2024 CONTRACTOR DO NOT TOUCH'!O15</f>
        <v>0</v>
      </c>
      <c r="P15" s="6">
        <f>'2024 CONTRACTOR DO NOT TOUCH'!P15</f>
        <v>0</v>
      </c>
      <c r="Q15" s="6">
        <f>'2024 CONTRACTOR DO NOT TOUCH'!Q15</f>
        <v>0</v>
      </c>
      <c r="R15" s="6">
        <f>'2024 CONTRACTOR DO NOT TOUCH'!R15</f>
        <v>0</v>
      </c>
      <c r="S15" s="6" t="str">
        <f>'2024 CONTRACTOR DO NOT TOUCH'!S15</f>
        <v>TESTED</v>
      </c>
      <c r="T15" s="6" t="str">
        <f>'2024 CONTRACTOR DO NOT TOUCH'!T15</f>
        <v>PASSED</v>
      </c>
      <c r="U15" s="6" t="str">
        <f>'2024 CONTRACTOR DO NOT TOUCH'!U15</f>
        <v>PASSED</v>
      </c>
      <c r="V15" s="6" t="str">
        <f>'2024 CONTRACTOR DO NOT TOUCH'!V15</f>
        <v>EXISTING</v>
      </c>
      <c r="W15" s="6" t="str">
        <f>'2024 CONTRACTOR DO NOT TOUCH'!W15</f>
        <v>EXISTING</v>
      </c>
      <c r="X15" s="6">
        <f>'2024 CONTRACTOR DO NOT TOUCH'!X15</f>
        <v>0</v>
      </c>
      <c r="Y15" s="6">
        <f>'2024 CONTRACTOR DO NOT TOUCH'!Y15</f>
        <v>0</v>
      </c>
    </row>
    <row r="16" spans="1:25" ht="12.6">
      <c r="A16" s="4" t="str">
        <f>'2024 CONTRACTOR DO NOT TOUCH'!A16</f>
        <v>1034</v>
      </c>
      <c r="B16" s="4" t="str">
        <f>'2024 CONTRACTOR DO NOT TOUCH'!B16</f>
        <v>ALASKA BOILER</v>
      </c>
      <c r="C16" s="4" t="str">
        <f>'2024 CONTRACTOR DO NOT TOUCH'!C16</f>
        <v>1363757</v>
      </c>
      <c r="D16" s="4" t="str">
        <f>'2024 CONTRACTOR DO NOT TOUCH'!D16</f>
        <v>WILKINS</v>
      </c>
      <c r="E16" s="4" t="str">
        <f>'2024 CONTRACTOR DO NOT TOUCH'!E16</f>
        <v>975XL</v>
      </c>
      <c r="F16" s="4" t="str">
        <f>'2024 CONTRACTOR DO NOT TOUCH'!F16</f>
        <v>RP</v>
      </c>
      <c r="G16" s="4" t="str">
        <f>'2024 CONTRACTOR DO NOT TOUCH'!G16</f>
        <v>0.75</v>
      </c>
      <c r="H16" s="4">
        <f>'2024 CONTRACTOR DO NOT TOUCH'!H16</f>
        <v>0</v>
      </c>
      <c r="I16" s="4" t="str">
        <f>'2024 CONTRACTOR DO NOT TOUCH'!I16</f>
        <v>BOILER</v>
      </c>
      <c r="J16" s="4" t="str">
        <f>'2024 CONTRACTOR DO NOT TOUCH'!J16</f>
        <v>INPREMISE</v>
      </c>
      <c r="K16" s="4" t="str">
        <f>'2024 CONTRACTOR DO NOT TOUCH'!K16</f>
        <v>AOI</v>
      </c>
      <c r="L16" s="4" t="str">
        <f>'2024 CONTRACTOR DO NOT TOUCH'!L16</f>
        <v>ACTIVE</v>
      </c>
      <c r="M16" s="5">
        <f>'2024 CONTRACTOR DO NOT TOUCH'!M16</f>
        <v>44573</v>
      </c>
      <c r="N16" s="4">
        <f>'2024 CONTRACTOR DO NOT TOUCH'!N16</f>
        <v>0</v>
      </c>
      <c r="O16" s="4">
        <f>'2024 CONTRACTOR DO NOT TOUCH'!O16</f>
        <v>0</v>
      </c>
      <c r="P16" s="4">
        <f>'2024 CONTRACTOR DO NOT TOUCH'!P16</f>
        <v>0</v>
      </c>
      <c r="Q16" s="4">
        <f>'2024 CONTRACTOR DO NOT TOUCH'!Q16</f>
        <v>0</v>
      </c>
      <c r="R16" s="4">
        <f>'2024 CONTRACTOR DO NOT TOUCH'!R16</f>
        <v>0</v>
      </c>
      <c r="S16" s="4" t="str">
        <f>'2024 CONTRACTOR DO NOT TOUCH'!S16</f>
        <v>TESTED</v>
      </c>
      <c r="T16" s="4" t="str">
        <f>'2024 CONTRACTOR DO NOT TOUCH'!T16</f>
        <v>PASSED</v>
      </c>
      <c r="U16" s="4" t="str">
        <f>'2024 CONTRACTOR DO NOT TOUCH'!U16</f>
        <v>PASSED</v>
      </c>
      <c r="V16" s="4" t="str">
        <f>'2024 CONTRACTOR DO NOT TOUCH'!V16</f>
        <v>EXISTING</v>
      </c>
      <c r="W16" s="4" t="str">
        <f>'2024 CONTRACTOR DO NOT TOUCH'!W16</f>
        <v>EXISTING</v>
      </c>
      <c r="X16" s="4">
        <f>'2024 CONTRACTOR DO NOT TOUCH'!X16</f>
        <v>0</v>
      </c>
      <c r="Y16" s="4">
        <f>'2024 CONTRACTOR DO NOT TOUCH'!Y16</f>
        <v>0</v>
      </c>
    </row>
    <row r="17" spans="1:25" ht="12.6">
      <c r="A17" s="6" t="str">
        <f>'2024 CONTRACTOR DO NOT TOUCH'!A17</f>
        <v>1037</v>
      </c>
      <c r="B17" s="6" t="str">
        <f>'2024 CONTRACTOR DO NOT TOUCH'!B17</f>
        <v>ALASKA BOILER</v>
      </c>
      <c r="C17" s="6" t="str">
        <f>'2024 CONTRACTOR DO NOT TOUCH'!C17</f>
        <v>1363767</v>
      </c>
      <c r="D17" s="6" t="str">
        <f>'2024 CONTRACTOR DO NOT TOUCH'!D17</f>
        <v>WILKINS</v>
      </c>
      <c r="E17" s="6" t="str">
        <f>'2024 CONTRACTOR DO NOT TOUCH'!E17</f>
        <v>975XL</v>
      </c>
      <c r="F17" s="6" t="str">
        <f>'2024 CONTRACTOR DO NOT TOUCH'!F17</f>
        <v>RP</v>
      </c>
      <c r="G17" s="6" t="str">
        <f>'2024 CONTRACTOR DO NOT TOUCH'!G17</f>
        <v>0.75</v>
      </c>
      <c r="H17" s="6">
        <f>'2024 CONTRACTOR DO NOT TOUCH'!H17</f>
        <v>0</v>
      </c>
      <c r="I17" s="6" t="str">
        <f>'2024 CONTRACTOR DO NOT TOUCH'!I17</f>
        <v>BOILER</v>
      </c>
      <c r="J17" s="6" t="str">
        <f>'2024 CONTRACTOR DO NOT TOUCH'!J17</f>
        <v>INPREMISE</v>
      </c>
      <c r="K17" s="6" t="str">
        <f>'2024 CONTRACTOR DO NOT TOUCH'!K17</f>
        <v>AOI</v>
      </c>
      <c r="L17" s="6" t="str">
        <f>'2024 CONTRACTOR DO NOT TOUCH'!L17</f>
        <v>ACTIVE</v>
      </c>
      <c r="M17" s="7">
        <f>'2024 CONTRACTOR DO NOT TOUCH'!M17</f>
        <v>44573</v>
      </c>
      <c r="N17" s="6">
        <f>'2024 CONTRACTOR DO NOT TOUCH'!N17</f>
        <v>45320</v>
      </c>
      <c r="O17" s="6" t="str">
        <f>'2024 CONTRACTOR DO NOT TOUCH'!O17</f>
        <v>Ted</v>
      </c>
      <c r="P17" s="6" t="str">
        <f>'2024 CONTRACTOR DO NOT TOUCH'!P17</f>
        <v>6.2</v>
      </c>
      <c r="Q17" s="6">
        <f>'2024 CONTRACTOR DO NOT TOUCH'!Q17</f>
        <v>0</v>
      </c>
      <c r="R17" s="6">
        <f>'2024 CONTRACTOR DO NOT TOUCH'!R17</f>
        <v>2.4</v>
      </c>
      <c r="S17" s="6" t="str">
        <f>'2024 CONTRACTOR DO NOT TOUCH'!S17</f>
        <v>TESTED</v>
      </c>
      <c r="T17" s="6" t="str">
        <f>'2024 CONTRACTOR DO NOT TOUCH'!T17</f>
        <v>PASSED</v>
      </c>
      <c r="U17" s="6" t="str">
        <f>'2024 CONTRACTOR DO NOT TOUCH'!U17</f>
        <v>PASSED</v>
      </c>
      <c r="V17" s="6" t="str">
        <f>'2024 CONTRACTOR DO NOT TOUCH'!V17</f>
        <v>EXISTING</v>
      </c>
      <c r="W17" s="6" t="str">
        <f>'2024 CONTRACTOR DO NOT TOUCH'!W17</f>
        <v>EXISTING</v>
      </c>
      <c r="X17" s="6">
        <f>'2024 CONTRACTOR DO NOT TOUCH'!X17</f>
        <v>0</v>
      </c>
      <c r="Y17" s="6">
        <f>'2024 CONTRACTOR DO NOT TOUCH'!Y17</f>
        <v>0</v>
      </c>
    </row>
    <row r="18" spans="1:25" ht="12.6">
      <c r="A18" s="4" t="str">
        <f>'2024 CONTRACTOR DO NOT TOUCH'!A18</f>
        <v>2025</v>
      </c>
      <c r="B18" s="4" t="str">
        <f>'2024 CONTRACTOR DO NOT TOUCH'!B18</f>
        <v>ALASKA BOILER</v>
      </c>
      <c r="C18" s="4" t="str">
        <f>'2024 CONTRACTOR DO NOT TOUCH'!C18</f>
        <v>W043053</v>
      </c>
      <c r="D18" s="4" t="str">
        <f>'2024 CONTRACTOR DO NOT TOUCH'!D18</f>
        <v>WILKINS</v>
      </c>
      <c r="E18" s="4" t="str">
        <f>'2024 CONTRACTOR DO NOT TOUCH'!E18</f>
        <v>975XL</v>
      </c>
      <c r="F18" s="4" t="str">
        <f>'2024 CONTRACTOR DO NOT TOUCH'!F18</f>
        <v>RP</v>
      </c>
      <c r="G18" s="4" t="str">
        <f>'2024 CONTRACTOR DO NOT TOUCH'!G18</f>
        <v>0.75</v>
      </c>
      <c r="H18" s="4">
        <f>'2024 CONTRACTOR DO NOT TOUCH'!H18</f>
        <v>0</v>
      </c>
      <c r="I18" s="4" t="str">
        <f>'2024 CONTRACTOR DO NOT TOUCH'!I18</f>
        <v>BOILER</v>
      </c>
      <c r="J18" s="4" t="str">
        <f>'2024 CONTRACTOR DO NOT TOUCH'!J18</f>
        <v>INPREMISE</v>
      </c>
      <c r="K18" s="4" t="str">
        <f>'2024 CONTRACTOR DO NOT TOUCH'!K18</f>
        <v>AOI</v>
      </c>
      <c r="L18" s="4" t="str">
        <f>'2024 CONTRACTOR DO NOT TOUCH'!L18</f>
        <v>ACTIVE</v>
      </c>
      <c r="M18" s="5">
        <f>'2024 CONTRACTOR DO NOT TOUCH'!M18</f>
        <v>44824</v>
      </c>
      <c r="N18" s="4">
        <f>'2024 CONTRACTOR DO NOT TOUCH'!N18</f>
        <v>0</v>
      </c>
      <c r="O18" s="4">
        <f>'2024 CONTRACTOR DO NOT TOUCH'!O18</f>
        <v>0</v>
      </c>
      <c r="P18" s="4">
        <f>'2024 CONTRACTOR DO NOT TOUCH'!P18</f>
        <v>0</v>
      </c>
      <c r="Q18" s="4">
        <f>'2024 CONTRACTOR DO NOT TOUCH'!Q18</f>
        <v>0</v>
      </c>
      <c r="R18" s="4">
        <f>'2024 CONTRACTOR DO NOT TOUCH'!R18</f>
        <v>0</v>
      </c>
      <c r="S18" s="4" t="str">
        <f>'2024 CONTRACTOR DO NOT TOUCH'!S18</f>
        <v>TESTED</v>
      </c>
      <c r="T18" s="4" t="str">
        <f>'2024 CONTRACTOR DO NOT TOUCH'!T18</f>
        <v>PASSED</v>
      </c>
      <c r="U18" s="4">
        <f>'2024 CONTRACTOR DO NOT TOUCH'!U18</f>
        <v>0</v>
      </c>
      <c r="V18" s="4">
        <f>'2024 CONTRACTOR DO NOT TOUCH'!V18</f>
        <v>0</v>
      </c>
      <c r="W18" s="4">
        <f>'2024 CONTRACTOR DO NOT TOUCH'!W18</f>
        <v>0</v>
      </c>
      <c r="X18" s="4">
        <f>'2024 CONTRACTOR DO NOT TOUCH'!X18</f>
        <v>0</v>
      </c>
      <c r="Y18" s="4">
        <f>'2024 CONTRACTOR DO NOT TOUCH'!Y18</f>
        <v>0</v>
      </c>
    </row>
    <row r="19" spans="1:25" ht="12.6">
      <c r="A19" s="6" t="str">
        <f>'2024 CONTRACTOR DO NOT TOUCH'!A19</f>
        <v>2048</v>
      </c>
      <c r="B19" s="6" t="str">
        <f>'2024 CONTRACTOR DO NOT TOUCH'!B19</f>
        <v>ALASKA BOILER</v>
      </c>
      <c r="C19" s="6" t="str">
        <f>'2024 CONTRACTOR DO NOT TOUCH'!C19</f>
        <v>1419513</v>
      </c>
      <c r="D19" s="6" t="str">
        <f>'2024 CONTRACTOR DO NOT TOUCH'!D19</f>
        <v>WILKINS</v>
      </c>
      <c r="E19" s="6" t="str">
        <f>'2024 CONTRACTOR DO NOT TOUCH'!E19</f>
        <v>975XL</v>
      </c>
      <c r="F19" s="6" t="str">
        <f>'2024 CONTRACTOR DO NOT TOUCH'!F19</f>
        <v>RP</v>
      </c>
      <c r="G19" s="6" t="str">
        <f>'2024 CONTRACTOR DO NOT TOUCH'!G19</f>
        <v>0.75</v>
      </c>
      <c r="H19" s="6">
        <f>'2024 CONTRACTOR DO NOT TOUCH'!H19</f>
        <v>0</v>
      </c>
      <c r="I19" s="6" t="str">
        <f>'2024 CONTRACTOR DO NOT TOUCH'!I19</f>
        <v>BOILER</v>
      </c>
      <c r="J19" s="6" t="str">
        <f>'2024 CONTRACTOR DO NOT TOUCH'!J19</f>
        <v>INPREMISE</v>
      </c>
      <c r="K19" s="6" t="str">
        <f>'2024 CONTRACTOR DO NOT TOUCH'!K19</f>
        <v>AOI</v>
      </c>
      <c r="L19" s="6" t="str">
        <f>'2024 CONTRACTOR DO NOT TOUCH'!L19</f>
        <v>ACTIVE</v>
      </c>
      <c r="M19" s="7">
        <f>'2024 CONTRACTOR DO NOT TOUCH'!M19</f>
        <v>44824</v>
      </c>
      <c r="N19" s="6">
        <f>'2024 CONTRACTOR DO NOT TOUCH'!N19</f>
        <v>0</v>
      </c>
      <c r="O19" s="6">
        <f>'2024 CONTRACTOR DO NOT TOUCH'!O19</f>
        <v>0</v>
      </c>
      <c r="P19" s="6">
        <f>'2024 CONTRACTOR DO NOT TOUCH'!P19</f>
        <v>0</v>
      </c>
      <c r="Q19" s="6">
        <f>'2024 CONTRACTOR DO NOT TOUCH'!Q19</f>
        <v>0</v>
      </c>
      <c r="R19" s="6">
        <f>'2024 CONTRACTOR DO NOT TOUCH'!R19</f>
        <v>0</v>
      </c>
      <c r="S19" s="6" t="str">
        <f>'2024 CONTRACTOR DO NOT TOUCH'!S19</f>
        <v>TESTED</v>
      </c>
      <c r="T19" s="6" t="str">
        <f>'2024 CONTRACTOR DO NOT TOUCH'!T19</f>
        <v>Passed</v>
      </c>
      <c r="U19" s="6">
        <f>'2024 CONTRACTOR DO NOT TOUCH'!U19</f>
        <v>0</v>
      </c>
      <c r="V19" s="6">
        <f>'2024 CONTRACTOR DO NOT TOUCH'!V19</f>
        <v>0</v>
      </c>
      <c r="W19" s="6">
        <f>'2024 CONTRACTOR DO NOT TOUCH'!W19</f>
        <v>0</v>
      </c>
      <c r="X19" s="6">
        <f>'2024 CONTRACTOR DO NOT TOUCH'!X19</f>
        <v>0</v>
      </c>
      <c r="Y19" s="6">
        <f>'2024 CONTRACTOR DO NOT TOUCH'!Y19</f>
        <v>0</v>
      </c>
    </row>
    <row r="20" spans="1:25" ht="12.6">
      <c r="A20" s="4" t="str">
        <f>'2024 CONTRACTOR DO NOT TOUCH'!A20</f>
        <v>2050</v>
      </c>
      <c r="B20" s="4" t="str">
        <f>'2024 CONTRACTOR DO NOT TOUCH'!B20</f>
        <v>ALASKA BOILER</v>
      </c>
      <c r="C20" s="4" t="str">
        <f>'2024 CONTRACTOR DO NOT TOUCH'!C20</f>
        <v>W017036</v>
      </c>
      <c r="D20" s="4" t="str">
        <f>'2024 CONTRACTOR DO NOT TOUCH'!D20</f>
        <v>WILKINS</v>
      </c>
      <c r="E20" s="4" t="str">
        <f>'2024 CONTRACTOR DO NOT TOUCH'!E20</f>
        <v>975XL</v>
      </c>
      <c r="F20" s="4" t="str">
        <f>'2024 CONTRACTOR DO NOT TOUCH'!F20</f>
        <v>RP</v>
      </c>
      <c r="G20" s="4" t="str">
        <f>'2024 CONTRACTOR DO NOT TOUCH'!G20</f>
        <v>0.75</v>
      </c>
      <c r="H20" s="4">
        <f>'2024 CONTRACTOR DO NOT TOUCH'!H20</f>
        <v>0</v>
      </c>
      <c r="I20" s="4" t="str">
        <f>'2024 CONTRACTOR DO NOT TOUCH'!I20</f>
        <v>BOILER</v>
      </c>
      <c r="J20" s="4" t="str">
        <f>'2024 CONTRACTOR DO NOT TOUCH'!J20</f>
        <v>INPREMISE</v>
      </c>
      <c r="K20" s="4" t="str">
        <f>'2024 CONTRACTOR DO NOT TOUCH'!K20</f>
        <v>AOI</v>
      </c>
      <c r="L20" s="4" t="str">
        <f>'2024 CONTRACTOR DO NOT TOUCH'!L20</f>
        <v>ACTIVE</v>
      </c>
      <c r="M20" s="5">
        <f>'2024 CONTRACTOR DO NOT TOUCH'!M20</f>
        <v>44825</v>
      </c>
      <c r="N20" s="4">
        <f>'2024 CONTRACTOR DO NOT TOUCH'!N20</f>
        <v>45355</v>
      </c>
      <c r="O20" s="4" t="str">
        <f>'2024 CONTRACTOR DO NOT TOUCH'!O20</f>
        <v>PASS</v>
      </c>
      <c r="P20" s="4" t="str">
        <f>'2024 CONTRACTOR DO NOT TOUCH'!P20</f>
        <v>7.8</v>
      </c>
      <c r="Q20" s="4">
        <f>'2024 CONTRACTOR DO NOT TOUCH'!Q20</f>
        <v>0</v>
      </c>
      <c r="R20" s="4">
        <f>'2024 CONTRACTOR DO NOT TOUCH'!R20</f>
        <v>3.2</v>
      </c>
      <c r="S20" s="4" t="str">
        <f>'2024 CONTRACTOR DO NOT TOUCH'!S20</f>
        <v>TESTED</v>
      </c>
      <c r="T20" s="4" t="str">
        <f>'2024 CONTRACTOR DO NOT TOUCH'!T20</f>
        <v>PASSED</v>
      </c>
      <c r="U20" s="4">
        <f>'2024 CONTRACTOR DO NOT TOUCH'!U20</f>
        <v>0</v>
      </c>
      <c r="V20" s="4">
        <f>'2024 CONTRACTOR DO NOT TOUCH'!V20</f>
        <v>0</v>
      </c>
      <c r="W20" s="4">
        <f>'2024 CONTRACTOR DO NOT TOUCH'!W20</f>
        <v>0</v>
      </c>
      <c r="X20" s="4">
        <f>'2024 CONTRACTOR DO NOT TOUCH'!X20</f>
        <v>0</v>
      </c>
      <c r="Y20" s="4">
        <f>'2024 CONTRACTOR DO NOT TOUCH'!Y20</f>
        <v>0</v>
      </c>
    </row>
    <row r="21" spans="1:25" ht="12.6">
      <c r="A21" s="6" t="str">
        <f>'2024 CONTRACTOR DO NOT TOUCH'!A21</f>
        <v>2060</v>
      </c>
      <c r="B21" s="6" t="str">
        <f>'2024 CONTRACTOR DO NOT TOUCH'!B21</f>
        <v>ALASKA BOILER</v>
      </c>
      <c r="C21" s="6" t="str">
        <f>'2024 CONTRACTOR DO NOT TOUCH'!C21</f>
        <v>1339756</v>
      </c>
      <c r="D21" s="6" t="str">
        <f>'2024 CONTRACTOR DO NOT TOUCH'!D21</f>
        <v>WILKINS</v>
      </c>
      <c r="E21" s="6" t="str">
        <f>'2024 CONTRACTOR DO NOT TOUCH'!E21</f>
        <v>975XL</v>
      </c>
      <c r="F21" s="6" t="str">
        <f>'2024 CONTRACTOR DO NOT TOUCH'!F21</f>
        <v>RP</v>
      </c>
      <c r="G21" s="6" t="str">
        <f>'2024 CONTRACTOR DO NOT TOUCH'!G21</f>
        <v>0.75</v>
      </c>
      <c r="H21" s="6">
        <f>'2024 CONTRACTOR DO NOT TOUCH'!H21</f>
        <v>0</v>
      </c>
      <c r="I21" s="6" t="str">
        <f>'2024 CONTRACTOR DO NOT TOUCH'!I21</f>
        <v>BOILER</v>
      </c>
      <c r="J21" s="6" t="str">
        <f>'2024 CONTRACTOR DO NOT TOUCH'!J21</f>
        <v>INPREMISE</v>
      </c>
      <c r="K21" s="6" t="str">
        <f>'2024 CONTRACTOR DO NOT TOUCH'!K21</f>
        <v>AOI</v>
      </c>
      <c r="L21" s="6" t="str">
        <f>'2024 CONTRACTOR DO NOT TOUCH'!L21</f>
        <v>ACTIVE</v>
      </c>
      <c r="M21" s="7">
        <f>'2024 CONTRACTOR DO NOT TOUCH'!M21</f>
        <v>44824</v>
      </c>
      <c r="N21" s="6">
        <f>'2024 CONTRACTOR DO NOT TOUCH'!N21</f>
        <v>0</v>
      </c>
      <c r="O21" s="6">
        <f>'2024 CONTRACTOR DO NOT TOUCH'!O21</f>
        <v>0</v>
      </c>
      <c r="P21" s="6">
        <f>'2024 CONTRACTOR DO NOT TOUCH'!P21</f>
        <v>0</v>
      </c>
      <c r="Q21" s="6">
        <f>'2024 CONTRACTOR DO NOT TOUCH'!Q21</f>
        <v>0</v>
      </c>
      <c r="R21" s="6">
        <f>'2024 CONTRACTOR DO NOT TOUCH'!R21</f>
        <v>0</v>
      </c>
      <c r="S21" s="6" t="str">
        <f>'2024 CONTRACTOR DO NOT TOUCH'!S21</f>
        <v>TESTED</v>
      </c>
      <c r="T21" s="6" t="str">
        <f>'2024 CONTRACTOR DO NOT TOUCH'!T21</f>
        <v>PASSED</v>
      </c>
      <c r="U21" s="6">
        <f>'2024 CONTRACTOR DO NOT TOUCH'!U21</f>
        <v>0</v>
      </c>
      <c r="V21" s="6">
        <f>'2024 CONTRACTOR DO NOT TOUCH'!V21</f>
        <v>0</v>
      </c>
      <c r="W21" s="6">
        <f>'2024 CONTRACTOR DO NOT TOUCH'!W21</f>
        <v>0</v>
      </c>
      <c r="X21" s="6">
        <f>'2024 CONTRACTOR DO NOT TOUCH'!X21</f>
        <v>0</v>
      </c>
      <c r="Y21" s="6">
        <f>'2024 CONTRACTOR DO NOT TOUCH'!Y21</f>
        <v>0</v>
      </c>
    </row>
    <row r="22" spans="1:25" ht="12.6">
      <c r="A22" s="4" t="str">
        <f>'2024 CONTRACTOR DO NOT TOUCH'!A22</f>
        <v>2120</v>
      </c>
      <c r="B22" s="4" t="str">
        <f>'2024 CONTRACTOR DO NOT TOUCH'!B22</f>
        <v>ALASKA BOILER</v>
      </c>
      <c r="C22" s="4" t="str">
        <f>'2024 CONTRACTOR DO NOT TOUCH'!C22</f>
        <v>1363777</v>
      </c>
      <c r="D22" s="4" t="str">
        <f>'2024 CONTRACTOR DO NOT TOUCH'!D22</f>
        <v>WILKINS</v>
      </c>
      <c r="E22" s="4" t="str">
        <f>'2024 CONTRACTOR DO NOT TOUCH'!E22</f>
        <v>975XL</v>
      </c>
      <c r="F22" s="4" t="str">
        <f>'2024 CONTRACTOR DO NOT TOUCH'!F22</f>
        <v>RP</v>
      </c>
      <c r="G22" s="4" t="str">
        <f>'2024 CONTRACTOR DO NOT TOUCH'!G22</f>
        <v>0.75</v>
      </c>
      <c r="H22" s="4">
        <f>'2024 CONTRACTOR DO NOT TOUCH'!H22</f>
        <v>0</v>
      </c>
      <c r="I22" s="4" t="str">
        <f>'2024 CONTRACTOR DO NOT TOUCH'!I22</f>
        <v>BOILER</v>
      </c>
      <c r="J22" s="4" t="str">
        <f>'2024 CONTRACTOR DO NOT TOUCH'!J22</f>
        <v>INPREMISE</v>
      </c>
      <c r="K22" s="4" t="str">
        <f>'2024 CONTRACTOR DO NOT TOUCH'!K22</f>
        <v>AOI</v>
      </c>
      <c r="L22" s="4" t="str">
        <f>'2024 CONTRACTOR DO NOT TOUCH'!L22</f>
        <v>ACTIVE</v>
      </c>
      <c r="M22" s="5">
        <f>'2024 CONTRACTOR DO NOT TOUCH'!M22</f>
        <v>44824</v>
      </c>
      <c r="N22" s="4">
        <f>'2024 CONTRACTOR DO NOT TOUCH'!N22</f>
        <v>0</v>
      </c>
      <c r="O22" s="4">
        <f>'2024 CONTRACTOR DO NOT TOUCH'!O22</f>
        <v>0</v>
      </c>
      <c r="P22" s="4">
        <f>'2024 CONTRACTOR DO NOT TOUCH'!P22</f>
        <v>0</v>
      </c>
      <c r="Q22" s="4">
        <f>'2024 CONTRACTOR DO NOT TOUCH'!Q22</f>
        <v>0</v>
      </c>
      <c r="R22" s="4">
        <f>'2024 CONTRACTOR DO NOT TOUCH'!R22</f>
        <v>0</v>
      </c>
      <c r="S22" s="4" t="str">
        <f>'2024 CONTRACTOR DO NOT TOUCH'!S22</f>
        <v>TESTED</v>
      </c>
      <c r="T22" s="4" t="str">
        <f>'2024 CONTRACTOR DO NOT TOUCH'!T22</f>
        <v>Passed</v>
      </c>
      <c r="U22" s="4">
        <f>'2024 CONTRACTOR DO NOT TOUCH'!U22</f>
        <v>0</v>
      </c>
      <c r="V22" s="4">
        <f>'2024 CONTRACTOR DO NOT TOUCH'!V22</f>
        <v>0</v>
      </c>
      <c r="W22" s="4">
        <f>'2024 CONTRACTOR DO NOT TOUCH'!W22</f>
        <v>0</v>
      </c>
      <c r="X22" s="4">
        <f>'2024 CONTRACTOR DO NOT TOUCH'!X22</f>
        <v>0</v>
      </c>
      <c r="Y22" s="4">
        <f>'2024 CONTRACTOR DO NOT TOUCH'!Y22</f>
        <v>0</v>
      </c>
    </row>
    <row r="23" spans="1:25" ht="12.6">
      <c r="A23" s="6" t="str">
        <f>'2024 CONTRACTOR DO NOT TOUCH'!A23</f>
        <v>2185</v>
      </c>
      <c r="B23" s="6" t="str">
        <f>'2024 CONTRACTOR DO NOT TOUCH'!B23</f>
        <v>ALASKA BOILER</v>
      </c>
      <c r="C23" s="6" t="str">
        <f>'2024 CONTRACTOR DO NOT TOUCH'!C23</f>
        <v>W184146</v>
      </c>
      <c r="D23" s="6" t="str">
        <f>'2024 CONTRACTOR DO NOT TOUCH'!D23</f>
        <v>WILKINS</v>
      </c>
      <c r="E23" s="6" t="str">
        <f>'2024 CONTRACTOR DO NOT TOUCH'!E23</f>
        <v>975XL</v>
      </c>
      <c r="F23" s="6" t="str">
        <f>'2024 CONTRACTOR DO NOT TOUCH'!F23</f>
        <v>RP</v>
      </c>
      <c r="G23" s="6" t="str">
        <f>'2024 CONTRACTOR DO NOT TOUCH'!G23</f>
        <v>0.75</v>
      </c>
      <c r="H23" s="6">
        <f>'2024 CONTRACTOR DO NOT TOUCH'!H23</f>
        <v>0</v>
      </c>
      <c r="I23" s="6" t="str">
        <f>'2024 CONTRACTOR DO NOT TOUCH'!I23</f>
        <v>BOILER</v>
      </c>
      <c r="J23" s="6" t="str">
        <f>'2024 CONTRACTOR DO NOT TOUCH'!J23</f>
        <v>INPREMISE</v>
      </c>
      <c r="K23" s="6" t="str">
        <f>'2024 CONTRACTOR DO NOT TOUCH'!K23</f>
        <v>AOI</v>
      </c>
      <c r="L23" s="6" t="str">
        <f>'2024 CONTRACTOR DO NOT TOUCH'!L23</f>
        <v>ACTIVE</v>
      </c>
      <c r="M23" s="7">
        <f>'2024 CONTRACTOR DO NOT TOUCH'!M23</f>
        <v>44824</v>
      </c>
      <c r="N23" s="6">
        <f>'2024 CONTRACTOR DO NOT TOUCH'!N23</f>
        <v>0</v>
      </c>
      <c r="O23" s="6">
        <f>'2024 CONTRACTOR DO NOT TOUCH'!O23</f>
        <v>0</v>
      </c>
      <c r="P23" s="6">
        <f>'2024 CONTRACTOR DO NOT TOUCH'!P23</f>
        <v>0</v>
      </c>
      <c r="Q23" s="6">
        <f>'2024 CONTRACTOR DO NOT TOUCH'!Q23</f>
        <v>0</v>
      </c>
      <c r="R23" s="6">
        <f>'2024 CONTRACTOR DO NOT TOUCH'!R23</f>
        <v>0</v>
      </c>
      <c r="S23" s="6" t="str">
        <f>'2024 CONTRACTOR DO NOT TOUCH'!S23</f>
        <v>TESTED</v>
      </c>
      <c r="T23" s="6" t="str">
        <f>'2024 CONTRACTOR DO NOT TOUCH'!T23</f>
        <v>PASSED</v>
      </c>
      <c r="U23" s="6">
        <f>'2024 CONTRACTOR DO NOT TOUCH'!U23</f>
        <v>0</v>
      </c>
      <c r="V23" s="6">
        <f>'2024 CONTRACTOR DO NOT TOUCH'!V23</f>
        <v>0</v>
      </c>
      <c r="W23" s="6">
        <f>'2024 CONTRACTOR DO NOT TOUCH'!W23</f>
        <v>0</v>
      </c>
      <c r="X23" s="6">
        <f>'2024 CONTRACTOR DO NOT TOUCH'!X23</f>
        <v>0</v>
      </c>
      <c r="Y23" s="6">
        <f>'2024 CONTRACTOR DO NOT TOUCH'!Y23</f>
        <v>0</v>
      </c>
    </row>
    <row r="24" spans="1:25" ht="12.6">
      <c r="A24" s="4" t="str">
        <f>'2024 CONTRACTOR DO NOT TOUCH'!A24</f>
        <v>2262</v>
      </c>
      <c r="B24" s="4" t="str">
        <f>'2024 CONTRACTOR DO NOT TOUCH'!B24</f>
        <v>ALASKA BOILER</v>
      </c>
      <c r="C24" s="4" t="str">
        <f>'2024 CONTRACTOR DO NOT TOUCH'!C24</f>
        <v>1394550</v>
      </c>
      <c r="D24" s="4" t="str">
        <f>'2024 CONTRACTOR DO NOT TOUCH'!D24</f>
        <v>WILKINS</v>
      </c>
      <c r="E24" s="4" t="str">
        <f>'2024 CONTRACTOR DO NOT TOUCH'!E24</f>
        <v>975XL</v>
      </c>
      <c r="F24" s="4" t="str">
        <f>'2024 CONTRACTOR DO NOT TOUCH'!F24</f>
        <v>RP</v>
      </c>
      <c r="G24" s="4" t="str">
        <f>'2024 CONTRACTOR DO NOT TOUCH'!G24</f>
        <v>0.75</v>
      </c>
      <c r="H24" s="4">
        <f>'2024 CONTRACTOR DO NOT TOUCH'!H24</f>
        <v>0</v>
      </c>
      <c r="I24" s="4" t="str">
        <f>'2024 CONTRACTOR DO NOT TOUCH'!I24</f>
        <v>BOILER</v>
      </c>
      <c r="J24" s="4" t="str">
        <f>'2024 CONTRACTOR DO NOT TOUCH'!J24</f>
        <v>INPREMISE</v>
      </c>
      <c r="K24" s="4" t="str">
        <f>'2024 CONTRACTOR DO NOT TOUCH'!K24</f>
        <v>AOI</v>
      </c>
      <c r="L24" s="4" t="str">
        <f>'2024 CONTRACTOR DO NOT TOUCH'!L24</f>
        <v>ACTIVE</v>
      </c>
      <c r="M24" s="5">
        <f>'2024 CONTRACTOR DO NOT TOUCH'!M24</f>
        <v>44824</v>
      </c>
      <c r="N24" s="4">
        <f>'2024 CONTRACTOR DO NOT TOUCH'!N24</f>
        <v>0</v>
      </c>
      <c r="O24" s="4">
        <f>'2024 CONTRACTOR DO NOT TOUCH'!O24</f>
        <v>0</v>
      </c>
      <c r="P24" s="4">
        <f>'2024 CONTRACTOR DO NOT TOUCH'!P24</f>
        <v>0</v>
      </c>
      <c r="Q24" s="4">
        <f>'2024 CONTRACTOR DO NOT TOUCH'!Q24</f>
        <v>0</v>
      </c>
      <c r="R24" s="4">
        <f>'2024 CONTRACTOR DO NOT TOUCH'!R24</f>
        <v>0</v>
      </c>
      <c r="S24" s="4" t="str">
        <f>'2024 CONTRACTOR DO NOT TOUCH'!S24</f>
        <v>TESTED</v>
      </c>
      <c r="T24" s="4" t="str">
        <f>'2024 CONTRACTOR DO NOT TOUCH'!T24</f>
        <v>PASSED</v>
      </c>
      <c r="U24" s="4" t="str">
        <f>'2024 CONTRACTOR DO NOT TOUCH'!U24</f>
        <v>PASSED</v>
      </c>
      <c r="V24" s="4" t="str">
        <f>'2024 CONTRACTOR DO NOT TOUCH'!V24</f>
        <v>EXISTING</v>
      </c>
      <c r="W24" s="4" t="str">
        <f>'2024 CONTRACTOR DO NOT TOUCH'!W24</f>
        <v>EXISTING</v>
      </c>
      <c r="X24" s="4">
        <f>'2024 CONTRACTOR DO NOT TOUCH'!X24</f>
        <v>0</v>
      </c>
      <c r="Y24" s="4">
        <f>'2024 CONTRACTOR DO NOT TOUCH'!Y24</f>
        <v>0</v>
      </c>
    </row>
    <row r="25" spans="1:25" ht="12.6">
      <c r="A25" s="6" t="str">
        <f>'2024 CONTRACTOR DO NOT TOUCH'!A25</f>
        <v>2276</v>
      </c>
      <c r="B25" s="6" t="str">
        <f>'2024 CONTRACTOR DO NOT TOUCH'!B25</f>
        <v>ALASKA BOILER</v>
      </c>
      <c r="C25" s="6" t="str">
        <f>'2024 CONTRACTOR DO NOT TOUCH'!C25</f>
        <v>D8305</v>
      </c>
      <c r="D25" s="6" t="str">
        <f>'2024 CONTRACTOR DO NOT TOUCH'!D25</f>
        <v>FEBCO</v>
      </c>
      <c r="E25" s="6" t="str">
        <f>'2024 CONTRACTOR DO NOT TOUCH'!E25</f>
        <v>825Y</v>
      </c>
      <c r="F25" s="6" t="str">
        <f>'2024 CONTRACTOR DO NOT TOUCH'!F25</f>
        <v>RP</v>
      </c>
      <c r="G25" s="6" t="str">
        <f>'2024 CONTRACTOR DO NOT TOUCH'!G25</f>
        <v>.75</v>
      </c>
      <c r="H25" s="6">
        <f>'2024 CONTRACTOR DO NOT TOUCH'!H25</f>
        <v>0</v>
      </c>
      <c r="I25" s="6" t="str">
        <f>'2024 CONTRACTOR DO NOT TOUCH'!I25</f>
        <v>BOILER</v>
      </c>
      <c r="J25" s="6" t="str">
        <f>'2024 CONTRACTOR DO NOT TOUCH'!J25</f>
        <v>INPREMISE</v>
      </c>
      <c r="K25" s="6" t="str">
        <f>'2024 CONTRACTOR DO NOT TOUCH'!K25</f>
        <v>AOI</v>
      </c>
      <c r="L25" s="6" t="str">
        <f>'2024 CONTRACTOR DO NOT TOUCH'!L25</f>
        <v>ACTIVE</v>
      </c>
      <c r="M25" s="7">
        <f>'2024 CONTRACTOR DO NOT TOUCH'!M25</f>
        <v>44824</v>
      </c>
      <c r="N25" s="6">
        <f>'2024 CONTRACTOR DO NOT TOUCH'!N25</f>
        <v>0</v>
      </c>
      <c r="O25" s="6">
        <f>'2024 CONTRACTOR DO NOT TOUCH'!O25</f>
        <v>0</v>
      </c>
      <c r="P25" s="6">
        <f>'2024 CONTRACTOR DO NOT TOUCH'!P25</f>
        <v>0</v>
      </c>
      <c r="Q25" s="6">
        <f>'2024 CONTRACTOR DO NOT TOUCH'!Q25</f>
        <v>0</v>
      </c>
      <c r="R25" s="6">
        <f>'2024 CONTRACTOR DO NOT TOUCH'!R25</f>
        <v>0</v>
      </c>
      <c r="S25" s="6" t="str">
        <f>'2024 CONTRACTOR DO NOT TOUCH'!S25</f>
        <v>Tested</v>
      </c>
      <c r="T25" s="6" t="str">
        <f>'2024 CONTRACTOR DO NOT TOUCH'!T25</f>
        <v>Passed</v>
      </c>
      <c r="U25" s="6">
        <f>'2024 CONTRACTOR DO NOT TOUCH'!U25</f>
        <v>0</v>
      </c>
      <c r="V25" s="6">
        <f>'2024 CONTRACTOR DO NOT TOUCH'!V25</f>
        <v>0</v>
      </c>
      <c r="W25" s="6">
        <f>'2024 CONTRACTOR DO NOT TOUCH'!W25</f>
        <v>0</v>
      </c>
      <c r="X25" s="6">
        <f>'2024 CONTRACTOR DO NOT TOUCH'!X25</f>
        <v>0</v>
      </c>
      <c r="Y25" s="6">
        <f>'2024 CONTRACTOR DO NOT TOUCH'!Y25</f>
        <v>0</v>
      </c>
    </row>
    <row r="26" spans="1:25" ht="12.6">
      <c r="A26" s="4" t="str">
        <f>'2024 CONTRACTOR DO NOT TOUCH'!A26</f>
        <v>2411</v>
      </c>
      <c r="B26" s="4" t="str">
        <f>'2024 CONTRACTOR DO NOT TOUCH'!B26</f>
        <v>ALASKA BOILER</v>
      </c>
      <c r="C26" s="4" t="str">
        <f>'2024 CONTRACTOR DO NOT TOUCH'!C26</f>
        <v>3105740</v>
      </c>
      <c r="D26" s="4" t="str">
        <f>'2024 CONTRACTOR DO NOT TOUCH'!D26</f>
        <v>WILKINS</v>
      </c>
      <c r="E26" s="4" t="str">
        <f>'2024 CONTRACTOR DO NOT TOUCH'!E26</f>
        <v>975XL</v>
      </c>
      <c r="F26" s="4" t="str">
        <f>'2024 CONTRACTOR DO NOT TOUCH'!F26</f>
        <v>RP</v>
      </c>
      <c r="G26" s="4" t="str">
        <f>'2024 CONTRACTOR DO NOT TOUCH'!G26</f>
        <v>0.75</v>
      </c>
      <c r="H26" s="4">
        <f>'2024 CONTRACTOR DO NOT TOUCH'!H26</f>
        <v>0</v>
      </c>
      <c r="I26" s="4" t="str">
        <f>'2024 CONTRACTOR DO NOT TOUCH'!I26</f>
        <v>BOILER</v>
      </c>
      <c r="J26" s="4" t="str">
        <f>'2024 CONTRACTOR DO NOT TOUCH'!J26</f>
        <v>INPREMISE</v>
      </c>
      <c r="K26" s="4" t="str">
        <f>'2024 CONTRACTOR DO NOT TOUCH'!K26</f>
        <v>AOI</v>
      </c>
      <c r="L26" s="4" t="str">
        <f>'2024 CONTRACTOR DO NOT TOUCH'!L26</f>
        <v>ACTIVE</v>
      </c>
      <c r="M26" s="5">
        <f>'2024 CONTRACTOR DO NOT TOUCH'!M26</f>
        <v>44824</v>
      </c>
      <c r="N26" s="4">
        <f>'2024 CONTRACTOR DO NOT TOUCH'!N26</f>
        <v>0</v>
      </c>
      <c r="O26" s="4">
        <f>'2024 CONTRACTOR DO NOT TOUCH'!O26</f>
        <v>0</v>
      </c>
      <c r="P26" s="4">
        <f>'2024 CONTRACTOR DO NOT TOUCH'!P26</f>
        <v>0</v>
      </c>
      <c r="Q26" s="4">
        <f>'2024 CONTRACTOR DO NOT TOUCH'!Q26</f>
        <v>0</v>
      </c>
      <c r="R26" s="4">
        <f>'2024 CONTRACTOR DO NOT TOUCH'!R26</f>
        <v>0</v>
      </c>
      <c r="S26" s="4" t="str">
        <f>'2024 CONTRACTOR DO NOT TOUCH'!S26</f>
        <v>TESTED</v>
      </c>
      <c r="T26" s="4" t="str">
        <f>'2024 CONTRACTOR DO NOT TOUCH'!T26</f>
        <v>PASSED</v>
      </c>
      <c r="U26" s="4">
        <f>'2024 CONTRACTOR DO NOT TOUCH'!U26</f>
        <v>0</v>
      </c>
      <c r="V26" s="4">
        <f>'2024 CONTRACTOR DO NOT TOUCH'!V26</f>
        <v>0</v>
      </c>
      <c r="W26" s="4">
        <f>'2024 CONTRACTOR DO NOT TOUCH'!W26</f>
        <v>0</v>
      </c>
      <c r="X26" s="4">
        <f>'2024 CONTRACTOR DO NOT TOUCH'!X26</f>
        <v>0</v>
      </c>
      <c r="Y26" s="4">
        <f>'2024 CONTRACTOR DO NOT TOUCH'!Y26</f>
        <v>0</v>
      </c>
    </row>
    <row r="27" spans="1:25" ht="12.6">
      <c r="A27" s="6" t="str">
        <f>'2024 CONTRACTOR DO NOT TOUCH'!A27</f>
        <v>2447</v>
      </c>
      <c r="B27" s="6" t="str">
        <f>'2024 CONTRACTOR DO NOT TOUCH'!B27</f>
        <v>ALASKA BOILER</v>
      </c>
      <c r="C27" s="6" t="str">
        <f>'2024 CONTRACTOR DO NOT TOUCH'!C27</f>
        <v>1419502</v>
      </c>
      <c r="D27" s="6" t="str">
        <f>'2024 CONTRACTOR DO NOT TOUCH'!D27</f>
        <v>WILKINS</v>
      </c>
      <c r="E27" s="6" t="str">
        <f>'2024 CONTRACTOR DO NOT TOUCH'!E27</f>
        <v>975XL</v>
      </c>
      <c r="F27" s="6" t="str">
        <f>'2024 CONTRACTOR DO NOT TOUCH'!F27</f>
        <v>RP</v>
      </c>
      <c r="G27" s="6" t="str">
        <f>'2024 CONTRACTOR DO NOT TOUCH'!G27</f>
        <v>0.75</v>
      </c>
      <c r="H27" s="6">
        <f>'2024 CONTRACTOR DO NOT TOUCH'!H27</f>
        <v>0</v>
      </c>
      <c r="I27" s="6" t="str">
        <f>'2024 CONTRACTOR DO NOT TOUCH'!I27</f>
        <v>BOILER</v>
      </c>
      <c r="J27" s="6" t="str">
        <f>'2024 CONTRACTOR DO NOT TOUCH'!J27</f>
        <v>INPREMISE</v>
      </c>
      <c r="K27" s="6" t="str">
        <f>'2024 CONTRACTOR DO NOT TOUCH'!K27</f>
        <v>AOI</v>
      </c>
      <c r="L27" s="6" t="str">
        <f>'2024 CONTRACTOR DO NOT TOUCH'!L27</f>
        <v>ACTIVE</v>
      </c>
      <c r="M27" s="7">
        <f>'2024 CONTRACTOR DO NOT TOUCH'!M27</f>
        <v>44824</v>
      </c>
      <c r="N27" s="6">
        <f>'2024 CONTRACTOR DO NOT TOUCH'!N27</f>
        <v>0</v>
      </c>
      <c r="O27" s="6">
        <f>'2024 CONTRACTOR DO NOT TOUCH'!O27</f>
        <v>0</v>
      </c>
      <c r="P27" s="6">
        <f>'2024 CONTRACTOR DO NOT TOUCH'!P27</f>
        <v>0</v>
      </c>
      <c r="Q27" s="6">
        <f>'2024 CONTRACTOR DO NOT TOUCH'!Q27</f>
        <v>0</v>
      </c>
      <c r="R27" s="6">
        <f>'2024 CONTRACTOR DO NOT TOUCH'!R27</f>
        <v>0</v>
      </c>
      <c r="S27" s="6" t="str">
        <f>'2024 CONTRACTOR DO NOT TOUCH'!S27</f>
        <v>UNTESTED</v>
      </c>
      <c r="T27" s="6">
        <f>'2024 CONTRACTOR DO NOT TOUCH'!T27</f>
        <v>0</v>
      </c>
      <c r="U27" s="6">
        <f>'2024 CONTRACTOR DO NOT TOUCH'!U27</f>
        <v>0</v>
      </c>
      <c r="V27" s="6">
        <f>'2024 CONTRACTOR DO NOT TOUCH'!V27</f>
        <v>0</v>
      </c>
      <c r="W27" s="6" t="str">
        <f>'2024 CONTRACTOR DO NOT TOUCH'!W27</f>
        <v>yes</v>
      </c>
      <c r="X27" s="6">
        <f>'2024 CONTRACTOR DO NOT TOUCH'!X27</f>
        <v>0</v>
      </c>
      <c r="Y27" s="6">
        <f>'2024 CONTRACTOR DO NOT TOUCH'!Y27</f>
        <v>0</v>
      </c>
    </row>
    <row r="28" spans="1:25" ht="12.6">
      <c r="A28" s="4" t="str">
        <f>'2024 CONTRACTOR DO NOT TOUCH'!A28</f>
        <v>2447</v>
      </c>
      <c r="B28" s="4" t="str">
        <f>'2024 CONTRACTOR DO NOT TOUCH'!B28</f>
        <v>ALASKA BOILER</v>
      </c>
      <c r="C28" s="4" t="str">
        <f>'2024 CONTRACTOR DO NOT TOUCH'!C28</f>
        <v>W254050</v>
      </c>
      <c r="D28" s="4" t="str">
        <f>'2024 CONTRACTOR DO NOT TOUCH'!D28</f>
        <v>WILKINS</v>
      </c>
      <c r="E28" s="4" t="str">
        <f>'2024 CONTRACTOR DO NOT TOUCH'!E28</f>
        <v>975XL</v>
      </c>
      <c r="F28" s="4" t="str">
        <f>'2024 CONTRACTOR DO NOT TOUCH'!F28</f>
        <v>RP</v>
      </c>
      <c r="G28" s="4" t="str">
        <f>'2024 CONTRACTOR DO NOT TOUCH'!G28</f>
        <v>0.75</v>
      </c>
      <c r="H28" s="4">
        <f>'2024 CONTRACTOR DO NOT TOUCH'!H28</f>
        <v>0</v>
      </c>
      <c r="I28" s="4" t="str">
        <f>'2024 CONTRACTOR DO NOT TOUCH'!I28</f>
        <v>BOILER</v>
      </c>
      <c r="J28" s="4" t="str">
        <f>'2024 CONTRACTOR DO NOT TOUCH'!J28</f>
        <v>INPREMISE</v>
      </c>
      <c r="K28" s="4" t="str">
        <f>'2024 CONTRACTOR DO NOT TOUCH'!K28</f>
        <v>AOI</v>
      </c>
      <c r="L28" s="4" t="str">
        <f>'2024 CONTRACTOR DO NOT TOUCH'!L28</f>
        <v>ACTIVE</v>
      </c>
      <c r="M28" s="5">
        <f>'2024 CONTRACTOR DO NOT TOUCH'!M28</f>
        <v>44824</v>
      </c>
      <c r="N28" s="4">
        <f>'2024 CONTRACTOR DO NOT TOUCH'!N28</f>
        <v>0</v>
      </c>
      <c r="O28" s="4">
        <f>'2024 CONTRACTOR DO NOT TOUCH'!O28</f>
        <v>0</v>
      </c>
      <c r="P28" s="4">
        <f>'2024 CONTRACTOR DO NOT TOUCH'!P28</f>
        <v>0</v>
      </c>
      <c r="Q28" s="4">
        <f>'2024 CONTRACTOR DO NOT TOUCH'!Q28</f>
        <v>0</v>
      </c>
      <c r="R28" s="4">
        <f>'2024 CONTRACTOR DO NOT TOUCH'!R28</f>
        <v>0</v>
      </c>
      <c r="S28" s="4" t="str">
        <f>'2024 CONTRACTOR DO NOT TOUCH'!S28</f>
        <v>TESTED</v>
      </c>
      <c r="T28" s="4" t="str">
        <f>'2024 CONTRACTOR DO NOT TOUCH'!T28</f>
        <v>PASSED</v>
      </c>
      <c r="U28" s="4">
        <f>'2024 CONTRACTOR DO NOT TOUCH'!U28</f>
        <v>0</v>
      </c>
      <c r="V28" s="4">
        <f>'2024 CONTRACTOR DO NOT TOUCH'!V28</f>
        <v>0</v>
      </c>
      <c r="W28" s="4">
        <f>'2024 CONTRACTOR DO NOT TOUCH'!W28</f>
        <v>0</v>
      </c>
      <c r="X28" s="4">
        <f>'2024 CONTRACTOR DO NOT TOUCH'!X28</f>
        <v>0</v>
      </c>
      <c r="Y28" s="4">
        <f>'2024 CONTRACTOR DO NOT TOUCH'!Y28</f>
        <v>0</v>
      </c>
    </row>
    <row r="29" spans="1:25" ht="12.6">
      <c r="A29" s="6" t="str">
        <f>'2024 CONTRACTOR DO NOT TOUCH'!A29</f>
        <v>2464</v>
      </c>
      <c r="B29" s="6" t="str">
        <f>'2024 CONTRACTOR DO NOT TOUCH'!B29</f>
        <v>ALASKA BOILER</v>
      </c>
      <c r="C29" s="6" t="str">
        <f>'2024 CONTRACTOR DO NOT TOUCH'!C29</f>
        <v>W358507</v>
      </c>
      <c r="D29" s="6" t="str">
        <f>'2024 CONTRACTOR DO NOT TOUCH'!D29</f>
        <v>WILKINS</v>
      </c>
      <c r="E29" s="6" t="str">
        <f>'2024 CONTRACTOR DO NOT TOUCH'!E29</f>
        <v>975XL</v>
      </c>
      <c r="F29" s="6" t="str">
        <f>'2024 CONTRACTOR DO NOT TOUCH'!F29</f>
        <v>RP</v>
      </c>
      <c r="G29" s="6" t="str">
        <f>'2024 CONTRACTOR DO NOT TOUCH'!G29</f>
        <v>0.5</v>
      </c>
      <c r="H29" s="6">
        <f>'2024 CONTRACTOR DO NOT TOUCH'!H29</f>
        <v>0</v>
      </c>
      <c r="I29" s="6" t="str">
        <f>'2024 CONTRACTOR DO NOT TOUCH'!I29</f>
        <v>PRODUCE PREP</v>
      </c>
      <c r="J29" s="6" t="str">
        <f>'2024 CONTRACTOR DO NOT TOUCH'!J29</f>
        <v>INPREMISE</v>
      </c>
      <c r="K29" s="6" t="str">
        <f>'2024 CONTRACTOR DO NOT TOUCH'!K29</f>
        <v>AOI</v>
      </c>
      <c r="L29" s="6" t="str">
        <f>'2024 CONTRACTOR DO NOT TOUCH'!L29</f>
        <v>ACTIVE</v>
      </c>
      <c r="M29" s="7">
        <f>'2024 CONTRACTOR DO NOT TOUCH'!M29</f>
        <v>44824</v>
      </c>
      <c r="N29" s="6">
        <f>'2024 CONTRACTOR DO NOT TOUCH'!N29</f>
        <v>0</v>
      </c>
      <c r="O29" s="6">
        <f>'2024 CONTRACTOR DO NOT TOUCH'!O29</f>
        <v>0</v>
      </c>
      <c r="P29" s="6">
        <f>'2024 CONTRACTOR DO NOT TOUCH'!P29</f>
        <v>0</v>
      </c>
      <c r="Q29" s="6">
        <f>'2024 CONTRACTOR DO NOT TOUCH'!Q29</f>
        <v>0</v>
      </c>
      <c r="R29" s="6">
        <f>'2024 CONTRACTOR DO NOT TOUCH'!R29</f>
        <v>0</v>
      </c>
      <c r="S29" s="6" t="str">
        <f>'2024 CONTRACTOR DO NOT TOUCH'!S29</f>
        <v>TESTED</v>
      </c>
      <c r="T29" s="6" t="str">
        <f>'2024 CONTRACTOR DO NOT TOUCH'!T29</f>
        <v>PASSED</v>
      </c>
      <c r="U29" s="6" t="str">
        <f>'2024 CONTRACTOR DO NOT TOUCH'!U29</f>
        <v>PASSED</v>
      </c>
      <c r="V29" s="6" t="str">
        <f>'2024 CONTRACTOR DO NOT TOUCH'!V29</f>
        <v>EXISTING</v>
      </c>
      <c r="W29" s="6" t="str">
        <f>'2024 CONTRACTOR DO NOT TOUCH'!W29</f>
        <v>EXISTING</v>
      </c>
      <c r="X29" s="6">
        <f>'2024 CONTRACTOR DO NOT TOUCH'!X29</f>
        <v>0</v>
      </c>
      <c r="Y29" s="6">
        <f>'2024 CONTRACTOR DO NOT TOUCH'!Y29</f>
        <v>0</v>
      </c>
    </row>
    <row r="30" spans="1:25" ht="12.6">
      <c r="A30" s="4" t="str">
        <f>'2024 CONTRACTOR DO NOT TOUCH'!A30</f>
        <v>2464</v>
      </c>
      <c r="B30" s="4" t="str">
        <f>'2024 CONTRACTOR DO NOT TOUCH'!B30</f>
        <v>ALASKA BOILER</v>
      </c>
      <c r="C30" s="4" t="str">
        <f>'2024 CONTRACTOR DO NOT TOUCH'!C30</f>
        <v>A03077</v>
      </c>
      <c r="D30" s="4" t="str">
        <f>'2024 CONTRACTOR DO NOT TOUCH'!D30</f>
        <v>FEBCO</v>
      </c>
      <c r="E30" s="4" t="str">
        <f>'2024 CONTRACTOR DO NOT TOUCH'!E30</f>
        <v>860</v>
      </c>
      <c r="F30" s="4" t="str">
        <f>'2024 CONTRACTOR DO NOT TOUCH'!F30</f>
        <v>RP</v>
      </c>
      <c r="G30" s="4" t="str">
        <f>'2024 CONTRACTOR DO NOT TOUCH'!G30</f>
        <v>.075</v>
      </c>
      <c r="H30" s="4">
        <f>'2024 CONTRACTOR DO NOT TOUCH'!H30</f>
        <v>0</v>
      </c>
      <c r="I30" s="4" t="str">
        <f>'2024 CONTRACTOR DO NOT TOUCH'!I30</f>
        <v>BOILER</v>
      </c>
      <c r="J30" s="4" t="str">
        <f>'2024 CONTRACTOR DO NOT TOUCH'!J30</f>
        <v>INPREMISE</v>
      </c>
      <c r="K30" s="4" t="str">
        <f>'2024 CONTRACTOR DO NOT TOUCH'!K30</f>
        <v>AOI</v>
      </c>
      <c r="L30" s="4" t="str">
        <f>'2024 CONTRACTOR DO NOT TOUCH'!L30</f>
        <v>ACTIVE</v>
      </c>
      <c r="M30" s="5">
        <f>'2024 CONTRACTOR DO NOT TOUCH'!M30</f>
        <v>44824</v>
      </c>
      <c r="N30" s="4">
        <f>'2024 CONTRACTOR DO NOT TOUCH'!N30</f>
        <v>0</v>
      </c>
      <c r="O30" s="4">
        <f>'2024 CONTRACTOR DO NOT TOUCH'!O30</f>
        <v>0</v>
      </c>
      <c r="P30" s="4">
        <f>'2024 CONTRACTOR DO NOT TOUCH'!P30</f>
        <v>0</v>
      </c>
      <c r="Q30" s="4">
        <f>'2024 CONTRACTOR DO NOT TOUCH'!Q30</f>
        <v>0</v>
      </c>
      <c r="R30" s="4">
        <f>'2024 CONTRACTOR DO NOT TOUCH'!R30</f>
        <v>0</v>
      </c>
      <c r="S30" s="4" t="str">
        <f>'2024 CONTRACTOR DO NOT TOUCH'!S30</f>
        <v>TESTED</v>
      </c>
      <c r="T30" s="4" t="str">
        <f>'2024 CONTRACTOR DO NOT TOUCH'!T30</f>
        <v>PASSED</v>
      </c>
      <c r="U30" s="4" t="str">
        <f>'2024 CONTRACTOR DO NOT TOUCH'!U30</f>
        <v>PASSED</v>
      </c>
      <c r="V30" s="4" t="str">
        <f>'2024 CONTRACTOR DO NOT TOUCH'!V30</f>
        <v>EXISTING</v>
      </c>
      <c r="W30" s="4" t="str">
        <f>'2024 CONTRACTOR DO NOT TOUCH'!W30</f>
        <v>EXISTING</v>
      </c>
      <c r="X30" s="4">
        <f>'2024 CONTRACTOR DO NOT TOUCH'!X30</f>
        <v>0</v>
      </c>
      <c r="Y30" s="4">
        <f>'2024 CONTRACTOR DO NOT TOUCH'!Y30</f>
        <v>0</v>
      </c>
    </row>
    <row r="31" spans="1:25" ht="12.6">
      <c r="A31" s="6" t="str">
        <f>'2024 CONTRACTOR DO NOT TOUCH'!A31</f>
        <v>2464</v>
      </c>
      <c r="B31" s="6" t="str">
        <f>'2024 CONTRACTOR DO NOT TOUCH'!B31</f>
        <v>ALASKA BOILER</v>
      </c>
      <c r="C31" s="6" t="str">
        <f>'2024 CONTRACTOR DO NOT TOUCH'!C31</f>
        <v>1363759</v>
      </c>
      <c r="D31" s="6" t="str">
        <f>'2024 CONTRACTOR DO NOT TOUCH'!D31</f>
        <v>WILKINS</v>
      </c>
      <c r="E31" s="6" t="str">
        <f>'2024 CONTRACTOR DO NOT TOUCH'!E31</f>
        <v>975XL</v>
      </c>
      <c r="F31" s="6" t="str">
        <f>'2024 CONTRACTOR DO NOT TOUCH'!F31</f>
        <v>RP</v>
      </c>
      <c r="G31" s="6" t="str">
        <f>'2024 CONTRACTOR DO NOT TOUCH'!G31</f>
        <v>0.75</v>
      </c>
      <c r="H31" s="6">
        <f>'2024 CONTRACTOR DO NOT TOUCH'!H31</f>
        <v>0</v>
      </c>
      <c r="I31" s="6" t="str">
        <f>'2024 CONTRACTOR DO NOT TOUCH'!I31</f>
        <v>BOILER</v>
      </c>
      <c r="J31" s="6" t="str">
        <f>'2024 CONTRACTOR DO NOT TOUCH'!J31</f>
        <v>INPREMISE</v>
      </c>
      <c r="K31" s="6" t="str">
        <f>'2024 CONTRACTOR DO NOT TOUCH'!K31</f>
        <v>AOI</v>
      </c>
      <c r="L31" s="6" t="str">
        <f>'2024 CONTRACTOR DO NOT TOUCH'!L31</f>
        <v>ACTIVE</v>
      </c>
      <c r="M31" s="7">
        <f>'2024 CONTRACTOR DO NOT TOUCH'!M31</f>
        <v>0</v>
      </c>
      <c r="N31" s="6">
        <f>'2024 CONTRACTOR DO NOT TOUCH'!N31</f>
        <v>0</v>
      </c>
      <c r="O31" s="6">
        <f>'2024 CONTRACTOR DO NOT TOUCH'!O31</f>
        <v>0</v>
      </c>
      <c r="P31" s="6">
        <f>'2024 CONTRACTOR DO NOT TOUCH'!P31</f>
        <v>0</v>
      </c>
      <c r="Q31" s="6">
        <f>'2024 CONTRACTOR DO NOT TOUCH'!Q31</f>
        <v>0</v>
      </c>
      <c r="R31" s="6">
        <f>'2024 CONTRACTOR DO NOT TOUCH'!R31</f>
        <v>0</v>
      </c>
      <c r="S31" s="6" t="str">
        <f>'2024 CONTRACTOR DO NOT TOUCH'!S31</f>
        <v>UNTESTED</v>
      </c>
      <c r="T31" s="6" t="str">
        <f>'2024 CONTRACTOR DO NOT TOUCH'!T31</f>
        <v>FAILED</v>
      </c>
      <c r="U31" s="6" t="str">
        <f>'2024 CONTRACTOR DO NOT TOUCH'!U31</f>
        <v>PASSED</v>
      </c>
      <c r="V31" s="6" t="str">
        <f>'2024 CONTRACTOR DO NOT TOUCH'!V31</f>
        <v>EXISTING</v>
      </c>
      <c r="W31" s="6" t="str">
        <f>'2024 CONTRACTOR DO NOT TOUCH'!W31</f>
        <v>EXISTING</v>
      </c>
      <c r="X31" s="6">
        <f>'2024 CONTRACTOR DO NOT TOUCH'!X31</f>
        <v>0</v>
      </c>
      <c r="Y31" s="6">
        <f>'2024 CONTRACTOR DO NOT TOUCH'!Y31</f>
        <v>0</v>
      </c>
    </row>
    <row r="32" spans="1:25" ht="12.6">
      <c r="A32" s="4" t="str">
        <f>'2024 CONTRACTOR DO NOT TOUCH'!A32</f>
        <v>9000</v>
      </c>
      <c r="B32" s="4" t="str">
        <f>'2024 CONTRACTOR DO NOT TOUCH'!B32</f>
        <v>CLINIC</v>
      </c>
      <c r="C32" s="4" t="str">
        <f>'2024 CONTRACTOR DO NOT TOUCH'!C32</f>
        <v>9607081244</v>
      </c>
      <c r="D32" s="4" t="str">
        <f>'2024 CONTRACTOR DO NOT TOUCH'!D32</f>
        <v>FEBCO</v>
      </c>
      <c r="E32" s="4" t="str">
        <f>'2024 CONTRACTOR DO NOT TOUCH'!E32</f>
        <v>805YD</v>
      </c>
      <c r="F32" s="4" t="str">
        <f>'2024 CONTRACTOR DO NOT TOUCH'!F32</f>
        <v>DC</v>
      </c>
      <c r="G32" s="4" t="str">
        <f>'2024 CONTRACTOR DO NOT TOUCH'!G32</f>
        <v>6.0</v>
      </c>
      <c r="H32" s="4">
        <f>'2024 CONTRACTOR DO NOT TOUCH'!H32</f>
        <v>0</v>
      </c>
      <c r="I32" s="4" t="str">
        <f>'2024 CONTRACTOR DO NOT TOUCH'!I32</f>
        <v>FIRE PUMP RM 006A</v>
      </c>
      <c r="J32" s="4" t="str">
        <f>'2024 CONTRACTOR DO NOT TOUCH'!J32</f>
        <v>PREMISE</v>
      </c>
      <c r="K32" s="4" t="str">
        <f>'2024 CONTRACTOR DO NOT TOUCH'!K32</f>
        <v>FIRE</v>
      </c>
      <c r="L32" s="4" t="str">
        <f>'2024 CONTRACTOR DO NOT TOUCH'!L32</f>
        <v>ACTIVE</v>
      </c>
      <c r="M32" s="5">
        <f>'2024 CONTRACTOR DO NOT TOUCH'!M32</f>
        <v>0</v>
      </c>
      <c r="N32" s="4">
        <f>'2024 CONTRACTOR DO NOT TOUCH'!N32</f>
        <v>0</v>
      </c>
      <c r="O32" s="4">
        <f>'2024 CONTRACTOR DO NOT TOUCH'!O32</f>
        <v>0</v>
      </c>
      <c r="P32" s="4">
        <f>'2024 CONTRACTOR DO NOT TOUCH'!P32</f>
        <v>0</v>
      </c>
      <c r="Q32" s="4">
        <f>'2024 CONTRACTOR DO NOT TOUCH'!Q32</f>
        <v>0</v>
      </c>
      <c r="R32" s="4">
        <f>'2024 CONTRACTOR DO NOT TOUCH'!R32</f>
        <v>0</v>
      </c>
      <c r="S32" s="4" t="str">
        <f>'2024 CONTRACTOR DO NOT TOUCH'!S32</f>
        <v>UNTESTED</v>
      </c>
      <c r="T32" s="4" t="str">
        <f>'2024 CONTRACTOR DO NOT TOUCH'!T32</f>
        <v>FAILED</v>
      </c>
      <c r="U32" s="4" t="str">
        <f>'2024 CONTRACTOR DO NOT TOUCH'!U32</f>
        <v>PASSED</v>
      </c>
      <c r="V32" s="4" t="str">
        <f>'2024 CONTRACTOR DO NOT TOUCH'!V32</f>
        <v>EXISTING</v>
      </c>
      <c r="W32" s="4" t="str">
        <f>'2024 CONTRACTOR DO NOT TOUCH'!W32</f>
        <v>EXISTING</v>
      </c>
      <c r="X32" s="4">
        <f>'2024 CONTRACTOR DO NOT TOUCH'!X32</f>
        <v>0</v>
      </c>
      <c r="Y32" s="4">
        <f>'2024 CONTRACTOR DO NOT TOUCH'!Y32</f>
        <v>0</v>
      </c>
    </row>
    <row r="33" spans="1:25" ht="12.6">
      <c r="A33" s="6" t="str">
        <f>'2024 CONTRACTOR DO NOT TOUCH'!A33</f>
        <v>9000</v>
      </c>
      <c r="B33" s="6" t="str">
        <f>'2024 CONTRACTOR DO NOT TOUCH'!B33</f>
        <v>CLINIC</v>
      </c>
      <c r="C33" s="6" t="str">
        <f>'2024 CONTRACTOR DO NOT TOUCH'!C33</f>
        <v>9607081245</v>
      </c>
      <c r="D33" s="6" t="str">
        <f>'2024 CONTRACTOR DO NOT TOUCH'!D33</f>
        <v>FEBCO</v>
      </c>
      <c r="E33" s="6" t="str">
        <f>'2024 CONTRACTOR DO NOT TOUCH'!E33</f>
        <v>805YD</v>
      </c>
      <c r="F33" s="6" t="str">
        <f>'2024 CONTRACTOR DO NOT TOUCH'!F33</f>
        <v>DC</v>
      </c>
      <c r="G33" s="6" t="str">
        <f>'2024 CONTRACTOR DO NOT TOUCH'!G33</f>
        <v>6.0</v>
      </c>
      <c r="H33" s="6">
        <f>'2024 CONTRACTOR DO NOT TOUCH'!H33</f>
        <v>0</v>
      </c>
      <c r="I33" s="6" t="str">
        <f>'2024 CONTRACTOR DO NOT TOUCH'!I33</f>
        <v>FIRE PUMP RM 006A</v>
      </c>
      <c r="J33" s="6" t="str">
        <f>'2024 CONTRACTOR DO NOT TOUCH'!J33</f>
        <v>PREMISE</v>
      </c>
      <c r="K33" s="6" t="str">
        <f>'2024 CONTRACTOR DO NOT TOUCH'!K33</f>
        <v>FIRE</v>
      </c>
      <c r="L33" s="6" t="str">
        <f>'2024 CONTRACTOR DO NOT TOUCH'!L33</f>
        <v>ACTIVE</v>
      </c>
      <c r="M33" s="7">
        <f>'2024 CONTRACTOR DO NOT TOUCH'!M33</f>
        <v>0</v>
      </c>
      <c r="N33" s="6">
        <f>'2024 CONTRACTOR DO NOT TOUCH'!N33</f>
        <v>0</v>
      </c>
      <c r="O33" s="6">
        <f>'2024 CONTRACTOR DO NOT TOUCH'!O33</f>
        <v>0</v>
      </c>
      <c r="P33" s="6">
        <f>'2024 CONTRACTOR DO NOT TOUCH'!P33</f>
        <v>0</v>
      </c>
      <c r="Q33" s="6">
        <f>'2024 CONTRACTOR DO NOT TOUCH'!Q33</f>
        <v>0</v>
      </c>
      <c r="R33" s="6">
        <f>'2024 CONTRACTOR DO NOT TOUCH'!R33</f>
        <v>0</v>
      </c>
      <c r="S33" s="6" t="str">
        <f>'2024 CONTRACTOR DO NOT TOUCH'!S33</f>
        <v>UNTESTED</v>
      </c>
      <c r="T33" s="6" t="str">
        <f>'2024 CONTRACTOR DO NOT TOUCH'!T33</f>
        <v>FAILED</v>
      </c>
      <c r="U33" s="6" t="str">
        <f>'2024 CONTRACTOR DO NOT TOUCH'!U33</f>
        <v>PASSED</v>
      </c>
      <c r="V33" s="6" t="str">
        <f>'2024 CONTRACTOR DO NOT TOUCH'!V33</f>
        <v>EXISTING</v>
      </c>
      <c r="W33" s="6" t="str">
        <f>'2024 CONTRACTOR DO NOT TOUCH'!W33</f>
        <v>EXISTING</v>
      </c>
      <c r="X33" s="6">
        <f>'2024 CONTRACTOR DO NOT TOUCH'!X33</f>
        <v>0</v>
      </c>
      <c r="Y33" s="6">
        <f>'2024 CONTRACTOR DO NOT TOUCH'!Y33</f>
        <v>0</v>
      </c>
    </row>
    <row r="34" spans="1:25" ht="12.6">
      <c r="A34" s="4" t="str">
        <f>'2024 CONTRACTOR DO NOT TOUCH'!A34</f>
        <v>9000</v>
      </c>
      <c r="B34" s="4" t="str">
        <f>'2024 CONTRACTOR DO NOT TOUCH'!B34</f>
        <v>CLINIC</v>
      </c>
      <c r="C34" s="4" t="str">
        <f>'2024 CONTRACTOR DO NOT TOUCH'!C34</f>
        <v>78583</v>
      </c>
      <c r="D34" s="4" t="str">
        <f>'2024 CONTRACTOR DO NOT TOUCH'!D34</f>
        <v>WATTS</v>
      </c>
      <c r="E34" s="4" t="str">
        <f>'2024 CONTRACTOR DO NOT TOUCH'!E34</f>
        <v>LF009M2QT</v>
      </c>
      <c r="F34" s="4" t="str">
        <f>'2024 CONTRACTOR DO NOT TOUCH'!F34</f>
        <v>RP</v>
      </c>
      <c r="G34" s="4" t="str">
        <f>'2024 CONTRACTOR DO NOT TOUCH'!G34</f>
        <v>0.5</v>
      </c>
      <c r="H34" s="4">
        <f>'2024 CONTRACTOR DO NOT TOUCH'!H34</f>
        <v>0</v>
      </c>
      <c r="I34" s="4" t="str">
        <f>'2024 CONTRACTOR DO NOT TOUCH'!I34</f>
        <v>HOUSEKEEPING RM 008</v>
      </c>
      <c r="J34" s="4" t="str">
        <f>'2024 CONTRACTOR DO NOT TOUCH'!J34</f>
        <v>INPREMISE</v>
      </c>
      <c r="K34" s="4" t="str">
        <f>'2024 CONTRACTOR DO NOT TOUCH'!K34</f>
        <v>AOI</v>
      </c>
      <c r="L34" s="4" t="str">
        <f>'2024 CONTRACTOR DO NOT TOUCH'!L34</f>
        <v>ACTIVE</v>
      </c>
      <c r="M34" s="5">
        <f>'2024 CONTRACTOR DO NOT TOUCH'!M34</f>
        <v>44756</v>
      </c>
      <c r="N34" s="4">
        <f>'2024 CONTRACTOR DO NOT TOUCH'!N34</f>
        <v>0</v>
      </c>
      <c r="O34" s="4">
        <f>'2024 CONTRACTOR DO NOT TOUCH'!O34</f>
        <v>0</v>
      </c>
      <c r="P34" s="4">
        <f>'2024 CONTRACTOR DO NOT TOUCH'!P34</f>
        <v>0</v>
      </c>
      <c r="Q34" s="4">
        <f>'2024 CONTRACTOR DO NOT TOUCH'!Q34</f>
        <v>0</v>
      </c>
      <c r="R34" s="4">
        <f>'2024 CONTRACTOR DO NOT TOUCH'!R34</f>
        <v>0</v>
      </c>
      <c r="S34" s="4" t="str">
        <f>'2024 CONTRACTOR DO NOT TOUCH'!S34</f>
        <v>TESTED</v>
      </c>
      <c r="T34" s="4" t="str">
        <f>'2024 CONTRACTOR DO NOT TOUCH'!T34</f>
        <v>PASSED</v>
      </c>
      <c r="U34" s="4" t="str">
        <f>'2024 CONTRACTOR DO NOT TOUCH'!U34</f>
        <v>Y</v>
      </c>
      <c r="V34" s="4">
        <f>'2024 CONTRACTOR DO NOT TOUCH'!V34</f>
        <v>0</v>
      </c>
      <c r="W34" s="4">
        <f>'2024 CONTRACTOR DO NOT TOUCH'!W34</f>
        <v>0</v>
      </c>
      <c r="X34" s="4">
        <f>'2024 CONTRACTOR DO NOT TOUCH'!X34</f>
        <v>0</v>
      </c>
      <c r="Y34" s="4">
        <f>'2024 CONTRACTOR DO NOT TOUCH'!Y34</f>
        <v>0</v>
      </c>
    </row>
    <row r="35" spans="1:25" ht="12.6">
      <c r="A35" s="6" t="str">
        <f>'2024 CONTRACTOR DO NOT TOUCH'!A35</f>
        <v>9000</v>
      </c>
      <c r="B35" s="6" t="str">
        <f>'2024 CONTRACTOR DO NOT TOUCH'!B35</f>
        <v>CLINIC</v>
      </c>
      <c r="C35" s="6" t="str">
        <f>'2024 CONTRACTOR DO NOT TOUCH'!C35</f>
        <v>95606</v>
      </c>
      <c r="D35" s="6" t="str">
        <f>'2024 CONTRACTOR DO NOT TOUCH'!D35</f>
        <v>WATTS</v>
      </c>
      <c r="E35" s="6" t="str">
        <f>'2024 CONTRACTOR DO NOT TOUCH'!E35</f>
        <v>LF009M2QT</v>
      </c>
      <c r="F35" s="6" t="str">
        <f>'2024 CONTRACTOR DO NOT TOUCH'!F35</f>
        <v>RP</v>
      </c>
      <c r="G35" s="6" t="str">
        <f>'2024 CONTRACTOR DO NOT TOUCH'!G35</f>
        <v>0.5</v>
      </c>
      <c r="H35" s="6">
        <f>'2024 CONTRACTOR DO NOT TOUCH'!H35</f>
        <v>0</v>
      </c>
      <c r="I35" s="6" t="str">
        <f>'2024 CONTRACTOR DO NOT TOUCH'!I35</f>
        <v>HOUSEKEEPING RM 008</v>
      </c>
      <c r="J35" s="6" t="str">
        <f>'2024 CONTRACTOR DO NOT TOUCH'!J35</f>
        <v>INPREMISE</v>
      </c>
      <c r="K35" s="6" t="str">
        <f>'2024 CONTRACTOR DO NOT TOUCH'!K35</f>
        <v>AOI</v>
      </c>
      <c r="L35" s="6" t="str">
        <f>'2024 CONTRACTOR DO NOT TOUCH'!L35</f>
        <v>ACTIVE</v>
      </c>
      <c r="M35" s="7">
        <f>'2024 CONTRACTOR DO NOT TOUCH'!M35</f>
        <v>44756</v>
      </c>
      <c r="N35" s="6">
        <f>'2024 CONTRACTOR DO NOT TOUCH'!N35</f>
        <v>0</v>
      </c>
      <c r="O35" s="6">
        <f>'2024 CONTRACTOR DO NOT TOUCH'!O35</f>
        <v>0</v>
      </c>
      <c r="P35" s="6">
        <f>'2024 CONTRACTOR DO NOT TOUCH'!P35</f>
        <v>0</v>
      </c>
      <c r="Q35" s="6">
        <f>'2024 CONTRACTOR DO NOT TOUCH'!Q35</f>
        <v>0</v>
      </c>
      <c r="R35" s="6">
        <f>'2024 CONTRACTOR DO NOT TOUCH'!R35</f>
        <v>0</v>
      </c>
      <c r="S35" s="6" t="str">
        <f>'2024 CONTRACTOR DO NOT TOUCH'!S35</f>
        <v>TESTED</v>
      </c>
      <c r="T35" s="6" t="str">
        <f>'2024 CONTRACTOR DO NOT TOUCH'!T35</f>
        <v>PASSED</v>
      </c>
      <c r="U35" s="6">
        <f>'2024 CONTRACTOR DO NOT TOUCH'!U35</f>
        <v>0</v>
      </c>
      <c r="V35" s="6">
        <f>'2024 CONTRACTOR DO NOT TOUCH'!V35</f>
        <v>0</v>
      </c>
      <c r="W35" s="6">
        <f>'2024 CONTRACTOR DO NOT TOUCH'!W35</f>
        <v>0</v>
      </c>
      <c r="X35" s="6">
        <f>'2024 CONTRACTOR DO NOT TOUCH'!X35</f>
        <v>0</v>
      </c>
      <c r="Y35" s="6">
        <f>'2024 CONTRACTOR DO NOT TOUCH'!Y35</f>
        <v>0</v>
      </c>
    </row>
    <row r="36" spans="1:25" ht="12.6">
      <c r="A36" s="4" t="str">
        <f>'2024 CONTRACTOR DO NOT TOUCH'!A36</f>
        <v>9000</v>
      </c>
      <c r="B36" s="4" t="str">
        <f>'2024 CONTRACTOR DO NOT TOUCH'!B36</f>
        <v>CLINIC</v>
      </c>
      <c r="C36" s="4" t="str">
        <f>'2024 CONTRACTOR DO NOT TOUCH'!C36</f>
        <v>1396006</v>
      </c>
      <c r="D36" s="4" t="str">
        <f>'2024 CONTRACTOR DO NOT TOUCH'!D36</f>
        <v>WILKINS</v>
      </c>
      <c r="E36" s="4" t="str">
        <f>'2024 CONTRACTOR DO NOT TOUCH'!E36</f>
        <v>975XL</v>
      </c>
      <c r="F36" s="4" t="str">
        <f>'2024 CONTRACTOR DO NOT TOUCH'!F36</f>
        <v>RP</v>
      </c>
      <c r="G36" s="4" t="str">
        <f>'2024 CONTRACTOR DO NOT TOUCH'!G36</f>
        <v>1.0</v>
      </c>
      <c r="H36" s="4">
        <f>'2024 CONTRACTOR DO NOT TOUCH'!H36</f>
        <v>0</v>
      </c>
      <c r="I36" s="4" t="str">
        <f>'2024 CONTRACTOR DO NOT TOUCH'!I36</f>
        <v>RM 026 BOILER</v>
      </c>
      <c r="J36" s="4" t="str">
        <f>'2024 CONTRACTOR DO NOT TOUCH'!J36</f>
        <v>INPREMISE</v>
      </c>
      <c r="K36" s="4" t="str">
        <f>'2024 CONTRACTOR DO NOT TOUCH'!K36</f>
        <v>AOI</v>
      </c>
      <c r="L36" s="4" t="str">
        <f>'2024 CONTRACTOR DO NOT TOUCH'!L36</f>
        <v>ACTIVE</v>
      </c>
      <c r="M36" s="5">
        <f>'2024 CONTRACTOR DO NOT TOUCH'!M36</f>
        <v>44764</v>
      </c>
      <c r="N36" s="4">
        <f>'2024 CONTRACTOR DO NOT TOUCH'!N36</f>
        <v>0</v>
      </c>
      <c r="O36" s="4">
        <f>'2024 CONTRACTOR DO NOT TOUCH'!O36</f>
        <v>0</v>
      </c>
      <c r="P36" s="4">
        <f>'2024 CONTRACTOR DO NOT TOUCH'!P36</f>
        <v>0</v>
      </c>
      <c r="Q36" s="4">
        <f>'2024 CONTRACTOR DO NOT TOUCH'!Q36</f>
        <v>0</v>
      </c>
      <c r="R36" s="4">
        <f>'2024 CONTRACTOR DO NOT TOUCH'!R36</f>
        <v>0</v>
      </c>
      <c r="S36" s="4" t="str">
        <f>'2024 CONTRACTOR DO NOT TOUCH'!S36</f>
        <v>TESTED</v>
      </c>
      <c r="T36" s="4" t="str">
        <f>'2024 CONTRACTOR DO NOT TOUCH'!T36</f>
        <v>Passed</v>
      </c>
      <c r="U36" s="4">
        <f>'2024 CONTRACTOR DO NOT TOUCH'!U36</f>
        <v>0</v>
      </c>
      <c r="V36" s="4">
        <f>'2024 CONTRACTOR DO NOT TOUCH'!V36</f>
        <v>0</v>
      </c>
      <c r="W36" s="4">
        <f>'2024 CONTRACTOR DO NOT TOUCH'!W36</f>
        <v>0</v>
      </c>
      <c r="X36" s="4">
        <f>'2024 CONTRACTOR DO NOT TOUCH'!X36</f>
        <v>0</v>
      </c>
      <c r="Y36" s="4">
        <f>'2024 CONTRACTOR DO NOT TOUCH'!Y36</f>
        <v>0</v>
      </c>
    </row>
    <row r="37" spans="1:25" ht="12.6">
      <c r="A37" s="6" t="str">
        <f>'2024 CONTRACTOR DO NOT TOUCH'!A37</f>
        <v>9000</v>
      </c>
      <c r="B37" s="6" t="str">
        <f>'2024 CONTRACTOR DO NOT TOUCH'!B37</f>
        <v>CLINIC</v>
      </c>
      <c r="C37" s="6" t="str">
        <f>'2024 CONTRACTOR DO NOT TOUCH'!C37</f>
        <v>A83116</v>
      </c>
      <c r="D37" s="6" t="str">
        <f>'2024 CONTRACTOR DO NOT TOUCH'!D37</f>
        <v>WATTS</v>
      </c>
      <c r="E37" s="6" t="str">
        <f>'2024 CONTRACTOR DO NOT TOUCH'!E37</f>
        <v>009M2QT</v>
      </c>
      <c r="F37" s="6" t="str">
        <f>'2024 CONTRACTOR DO NOT TOUCH'!F37</f>
        <v>RP</v>
      </c>
      <c r="G37" s="6" t="str">
        <f>'2024 CONTRACTOR DO NOT TOUCH'!G37</f>
        <v>1.0</v>
      </c>
      <c r="H37" s="6">
        <f>'2024 CONTRACTOR DO NOT TOUCH'!H37</f>
        <v>0</v>
      </c>
      <c r="I37" s="6" t="str">
        <f>'2024 CONTRACTOR DO NOT TOUCH'!I37</f>
        <v>RM 031D</v>
      </c>
      <c r="J37" s="6" t="str">
        <f>'2024 CONTRACTOR DO NOT TOUCH'!J37</f>
        <v>INPREMISE</v>
      </c>
      <c r="K37" s="6" t="str">
        <f>'2024 CONTRACTOR DO NOT TOUCH'!K37</f>
        <v>AOI</v>
      </c>
      <c r="L37" s="6" t="str">
        <f>'2024 CONTRACTOR DO NOT TOUCH'!L37</f>
        <v>ACTIVE</v>
      </c>
      <c r="M37" s="7">
        <f>'2024 CONTRACTOR DO NOT TOUCH'!M37</f>
        <v>44764</v>
      </c>
      <c r="N37" s="6">
        <f>'2024 CONTRACTOR DO NOT TOUCH'!N37</f>
        <v>0</v>
      </c>
      <c r="O37" s="6">
        <f>'2024 CONTRACTOR DO NOT TOUCH'!O37</f>
        <v>0</v>
      </c>
      <c r="P37" s="6">
        <f>'2024 CONTRACTOR DO NOT TOUCH'!P37</f>
        <v>0</v>
      </c>
      <c r="Q37" s="6">
        <f>'2024 CONTRACTOR DO NOT TOUCH'!Q37</f>
        <v>0</v>
      </c>
      <c r="R37" s="6">
        <f>'2024 CONTRACTOR DO NOT TOUCH'!R37</f>
        <v>0</v>
      </c>
      <c r="S37" s="6" t="str">
        <f>'2024 CONTRACTOR DO NOT TOUCH'!S37</f>
        <v>TESTED</v>
      </c>
      <c r="T37" s="6" t="str">
        <f>'2024 CONTRACTOR DO NOT TOUCH'!T37</f>
        <v>Passed</v>
      </c>
      <c r="U37" s="6">
        <f>'2024 CONTRACTOR DO NOT TOUCH'!U37</f>
        <v>0</v>
      </c>
      <c r="V37" s="6">
        <f>'2024 CONTRACTOR DO NOT TOUCH'!V37</f>
        <v>0</v>
      </c>
      <c r="W37" s="6">
        <f>'2024 CONTRACTOR DO NOT TOUCH'!W37</f>
        <v>0</v>
      </c>
      <c r="X37" s="6">
        <f>'2024 CONTRACTOR DO NOT TOUCH'!X37</f>
        <v>0</v>
      </c>
      <c r="Y37" s="6">
        <f>'2024 CONTRACTOR DO NOT TOUCH'!Y37</f>
        <v>0</v>
      </c>
    </row>
    <row r="38" spans="1:25" ht="12.6">
      <c r="A38" s="4" t="str">
        <f>'2024 CONTRACTOR DO NOT TOUCH'!A38</f>
        <v>9000</v>
      </c>
      <c r="B38" s="4" t="str">
        <f>'2024 CONTRACTOR DO NOT TOUCH'!B38</f>
        <v>CLINIC</v>
      </c>
      <c r="C38" s="4" t="str">
        <f>'2024 CONTRACTOR DO NOT TOUCH'!C38</f>
        <v>37029</v>
      </c>
      <c r="D38" s="4" t="str">
        <f>'2024 CONTRACTOR DO NOT TOUCH'!D38</f>
        <v>WATTS</v>
      </c>
      <c r="E38" s="4" t="str">
        <f>'2024 CONTRACTOR DO NOT TOUCH'!E38</f>
        <v>LF009M2QT</v>
      </c>
      <c r="F38" s="4" t="str">
        <f>'2024 CONTRACTOR DO NOT TOUCH'!F38</f>
        <v>RP</v>
      </c>
      <c r="G38" s="4" t="str">
        <f>'2024 CONTRACTOR DO NOT TOUCH'!G38</f>
        <v>0.5</v>
      </c>
      <c r="H38" s="4">
        <f>'2024 CONTRACTOR DO NOT TOUCH'!H38</f>
        <v>0</v>
      </c>
      <c r="I38" s="4" t="str">
        <f>'2024 CONTRACTOR DO NOT TOUCH'!I38</f>
        <v>MECH RM 49 ON BOILER</v>
      </c>
      <c r="J38" s="4" t="str">
        <f>'2024 CONTRACTOR DO NOT TOUCH'!J38</f>
        <v>INPREMISE</v>
      </c>
      <c r="K38" s="4" t="str">
        <f>'2024 CONTRACTOR DO NOT TOUCH'!K38</f>
        <v>AOI</v>
      </c>
      <c r="L38" s="4" t="str">
        <f>'2024 CONTRACTOR DO NOT TOUCH'!L38</f>
        <v>ACTIVE</v>
      </c>
      <c r="M38" s="5">
        <f>'2024 CONTRACTOR DO NOT TOUCH'!M38</f>
        <v>44763</v>
      </c>
      <c r="N38" s="4">
        <f>'2024 CONTRACTOR DO NOT TOUCH'!N38</f>
        <v>0</v>
      </c>
      <c r="O38" s="4">
        <f>'2024 CONTRACTOR DO NOT TOUCH'!O38</f>
        <v>0</v>
      </c>
      <c r="P38" s="4">
        <f>'2024 CONTRACTOR DO NOT TOUCH'!P38</f>
        <v>0</v>
      </c>
      <c r="Q38" s="4">
        <f>'2024 CONTRACTOR DO NOT TOUCH'!Q38</f>
        <v>0</v>
      </c>
      <c r="R38" s="4">
        <f>'2024 CONTRACTOR DO NOT TOUCH'!R38</f>
        <v>0</v>
      </c>
      <c r="S38" s="4" t="str">
        <f>'2024 CONTRACTOR DO NOT TOUCH'!S38</f>
        <v>TESTED</v>
      </c>
      <c r="T38" s="4" t="str">
        <f>'2024 CONTRACTOR DO NOT TOUCH'!T38</f>
        <v>FAILED</v>
      </c>
      <c r="U38" s="4" t="str">
        <f>'2024 CONTRACTOR DO NOT TOUCH'!U38</f>
        <v>y</v>
      </c>
      <c r="V38" s="4">
        <f>'2024 CONTRACTOR DO NOT TOUCH'!V38</f>
        <v>0</v>
      </c>
      <c r="W38" s="4">
        <f>'2024 CONTRACTOR DO NOT TOUCH'!W38</f>
        <v>0</v>
      </c>
      <c r="X38" s="4">
        <f>'2024 CONTRACTOR DO NOT TOUCH'!X38</f>
        <v>0</v>
      </c>
      <c r="Y38" s="4">
        <f>'2024 CONTRACTOR DO NOT TOUCH'!Y38</f>
        <v>0</v>
      </c>
    </row>
    <row r="39" spans="1:25" ht="12.6">
      <c r="A39" s="6" t="str">
        <f>'2024 CONTRACTOR DO NOT TOUCH'!A39</f>
        <v>9000</v>
      </c>
      <c r="B39" s="6" t="str">
        <f>'2024 CONTRACTOR DO NOT TOUCH'!B39</f>
        <v>CLINIC</v>
      </c>
      <c r="C39" s="6" t="str">
        <f>'2024 CONTRACTOR DO NOT TOUCH'!C39</f>
        <v>W043005</v>
      </c>
      <c r="D39" s="6" t="str">
        <f>'2024 CONTRACTOR DO NOT TOUCH'!D39</f>
        <v>WILKINS</v>
      </c>
      <c r="E39" s="6" t="str">
        <f>'2024 CONTRACTOR DO NOT TOUCH'!E39</f>
        <v>975XL</v>
      </c>
      <c r="F39" s="6" t="str">
        <f>'2024 CONTRACTOR DO NOT TOUCH'!F39</f>
        <v>RP</v>
      </c>
      <c r="G39" s="6" t="str">
        <f>'2024 CONTRACTOR DO NOT TOUCH'!G39</f>
        <v>1.0</v>
      </c>
      <c r="H39" s="6">
        <f>'2024 CONTRACTOR DO NOT TOUCH'!H39</f>
        <v>0</v>
      </c>
      <c r="I39" s="6" t="str">
        <f>'2024 CONTRACTOR DO NOT TOUCH'!I39</f>
        <v>HALL RM 049</v>
      </c>
      <c r="J39" s="6" t="str">
        <f>'2024 CONTRACTOR DO NOT TOUCH'!J39</f>
        <v>INPREMISE</v>
      </c>
      <c r="K39" s="6" t="str">
        <f>'2024 CONTRACTOR DO NOT TOUCH'!K39</f>
        <v>AOI</v>
      </c>
      <c r="L39" s="6" t="str">
        <f>'2024 CONTRACTOR DO NOT TOUCH'!L39</f>
        <v>ACTIVE</v>
      </c>
      <c r="M39" s="7">
        <f>'2024 CONTRACTOR DO NOT TOUCH'!M39</f>
        <v>44763</v>
      </c>
      <c r="N39" s="6">
        <f>'2024 CONTRACTOR DO NOT TOUCH'!N39</f>
        <v>0</v>
      </c>
      <c r="O39" s="6">
        <f>'2024 CONTRACTOR DO NOT TOUCH'!O39</f>
        <v>0</v>
      </c>
      <c r="P39" s="6">
        <f>'2024 CONTRACTOR DO NOT TOUCH'!P39</f>
        <v>0</v>
      </c>
      <c r="Q39" s="6">
        <f>'2024 CONTRACTOR DO NOT TOUCH'!Q39</f>
        <v>0</v>
      </c>
      <c r="R39" s="6">
        <f>'2024 CONTRACTOR DO NOT TOUCH'!R39</f>
        <v>0</v>
      </c>
      <c r="S39" s="6" t="str">
        <f>'2024 CONTRACTOR DO NOT TOUCH'!S39</f>
        <v>TESTED</v>
      </c>
      <c r="T39" s="6" t="str">
        <f>'2024 CONTRACTOR DO NOT TOUCH'!T39</f>
        <v>Passed</v>
      </c>
      <c r="U39" s="6">
        <f>'2024 CONTRACTOR DO NOT TOUCH'!U39</f>
        <v>0</v>
      </c>
      <c r="V39" s="6">
        <f>'2024 CONTRACTOR DO NOT TOUCH'!V39</f>
        <v>0</v>
      </c>
      <c r="W39" s="6">
        <f>'2024 CONTRACTOR DO NOT TOUCH'!W39</f>
        <v>0</v>
      </c>
      <c r="X39" s="6">
        <f>'2024 CONTRACTOR DO NOT TOUCH'!X39</f>
        <v>0</v>
      </c>
      <c r="Y39" s="6">
        <f>'2024 CONTRACTOR DO NOT TOUCH'!Y39</f>
        <v>0</v>
      </c>
    </row>
    <row r="40" spans="1:25" ht="12.6">
      <c r="A40" s="4" t="str">
        <f>'2024 CONTRACTOR DO NOT TOUCH'!A40</f>
        <v>9000</v>
      </c>
      <c r="B40" s="4" t="str">
        <f>'2024 CONTRACTOR DO NOT TOUCH'!B40</f>
        <v>CLINIC</v>
      </c>
      <c r="C40" s="4" t="str">
        <f>'2024 CONTRACTOR DO NOT TOUCH'!C40</f>
        <v>95622</v>
      </c>
      <c r="D40" s="4" t="str">
        <f>'2024 CONTRACTOR DO NOT TOUCH'!D40</f>
        <v>WATTS</v>
      </c>
      <c r="E40" s="4" t="str">
        <f>'2024 CONTRACTOR DO NOT TOUCH'!E40</f>
        <v>LF009M2QT</v>
      </c>
      <c r="F40" s="4" t="str">
        <f>'2024 CONTRACTOR DO NOT TOUCH'!F40</f>
        <v>RP</v>
      </c>
      <c r="G40" s="4" t="str">
        <f>'2024 CONTRACTOR DO NOT TOUCH'!G40</f>
        <v>0.5</v>
      </c>
      <c r="H40" s="4">
        <f>'2024 CONTRACTOR DO NOT TOUCH'!H40</f>
        <v>0</v>
      </c>
      <c r="I40" s="4" t="str">
        <f>'2024 CONTRACTOR DO NOT TOUCH'!I40</f>
        <v>HALL RM 049</v>
      </c>
      <c r="J40" s="4" t="str">
        <f>'2024 CONTRACTOR DO NOT TOUCH'!J40</f>
        <v>INPREMISE</v>
      </c>
      <c r="K40" s="4" t="str">
        <f>'2024 CONTRACTOR DO NOT TOUCH'!K40</f>
        <v>AOI</v>
      </c>
      <c r="L40" s="4" t="str">
        <f>'2024 CONTRACTOR DO NOT TOUCH'!L40</f>
        <v>ACTIVE</v>
      </c>
      <c r="M40" s="5">
        <f>'2024 CONTRACTOR DO NOT TOUCH'!M40</f>
        <v>44763</v>
      </c>
      <c r="N40" s="4">
        <f>'2024 CONTRACTOR DO NOT TOUCH'!N40</f>
        <v>0</v>
      </c>
      <c r="O40" s="4">
        <f>'2024 CONTRACTOR DO NOT TOUCH'!O40</f>
        <v>0</v>
      </c>
      <c r="P40" s="4">
        <f>'2024 CONTRACTOR DO NOT TOUCH'!P40</f>
        <v>0</v>
      </c>
      <c r="Q40" s="4">
        <f>'2024 CONTRACTOR DO NOT TOUCH'!Q40</f>
        <v>0</v>
      </c>
      <c r="R40" s="4">
        <f>'2024 CONTRACTOR DO NOT TOUCH'!R40</f>
        <v>0</v>
      </c>
      <c r="S40" s="4" t="str">
        <f>'2024 CONTRACTOR DO NOT TOUCH'!S40</f>
        <v>TESTED</v>
      </c>
      <c r="T40" s="4" t="str">
        <f>'2024 CONTRACTOR DO NOT TOUCH'!T40</f>
        <v>Passed</v>
      </c>
      <c r="U40" s="4">
        <f>'2024 CONTRACTOR DO NOT TOUCH'!U40</f>
        <v>0</v>
      </c>
      <c r="V40" s="4">
        <f>'2024 CONTRACTOR DO NOT TOUCH'!V40</f>
        <v>0</v>
      </c>
      <c r="W40" s="4">
        <f>'2024 CONTRACTOR DO NOT TOUCH'!W40</f>
        <v>0</v>
      </c>
      <c r="X40" s="4">
        <f>'2024 CONTRACTOR DO NOT TOUCH'!X40</f>
        <v>0</v>
      </c>
      <c r="Y40" s="4">
        <f>'2024 CONTRACTOR DO NOT TOUCH'!Y40</f>
        <v>0</v>
      </c>
    </row>
    <row r="41" spans="1:25" ht="12.6">
      <c r="A41" s="6" t="str">
        <f>'2024 CONTRACTOR DO NOT TOUCH'!A41</f>
        <v>9000</v>
      </c>
      <c r="B41" s="6" t="str">
        <f>'2024 CONTRACTOR DO NOT TOUCH'!B41</f>
        <v>CLINIC</v>
      </c>
      <c r="C41" s="6" t="str">
        <f>'2024 CONTRACTOR DO NOT TOUCH'!C41</f>
        <v>1044</v>
      </c>
      <c r="D41" s="6" t="str">
        <f>'2024 CONTRACTOR DO NOT TOUCH'!D41</f>
        <v>FEBCO</v>
      </c>
      <c r="E41" s="6" t="str">
        <f>'2024 CONTRACTOR DO NOT TOUCH'!E41</f>
        <v>805YD</v>
      </c>
      <c r="F41" s="6" t="str">
        <f>'2024 CONTRACTOR DO NOT TOUCH'!F41</f>
        <v>RP</v>
      </c>
      <c r="G41" s="6" t="str">
        <f>'2024 CONTRACTOR DO NOT TOUCH'!G41</f>
        <v>6</v>
      </c>
      <c r="H41" s="6">
        <f>'2024 CONTRACTOR DO NOT TOUCH'!H41</f>
        <v>0</v>
      </c>
      <c r="I41" s="6" t="str">
        <f>'2024 CONTRACTOR DO NOT TOUCH'!I41</f>
        <v>RM 050</v>
      </c>
      <c r="J41" s="6" t="str">
        <f>'2024 CONTRACTOR DO NOT TOUCH'!J41</f>
        <v>PREMISE</v>
      </c>
      <c r="K41" s="6" t="str">
        <f>'2024 CONTRACTOR DO NOT TOUCH'!K41</f>
        <v>PREMISE</v>
      </c>
      <c r="L41" s="6" t="str">
        <f>'2024 CONTRACTOR DO NOT TOUCH'!L41</f>
        <v>ACTIVE</v>
      </c>
      <c r="M41" s="7">
        <f>'2024 CONTRACTOR DO NOT TOUCH'!M41</f>
        <v>44764</v>
      </c>
      <c r="N41" s="6">
        <f>'2024 CONTRACTOR DO NOT TOUCH'!N41</f>
        <v>0</v>
      </c>
      <c r="O41" s="6">
        <f>'2024 CONTRACTOR DO NOT TOUCH'!O41</f>
        <v>0</v>
      </c>
      <c r="P41" s="6">
        <f>'2024 CONTRACTOR DO NOT TOUCH'!P41</f>
        <v>0</v>
      </c>
      <c r="Q41" s="6">
        <f>'2024 CONTRACTOR DO NOT TOUCH'!Q41</f>
        <v>0</v>
      </c>
      <c r="R41" s="6">
        <f>'2024 CONTRACTOR DO NOT TOUCH'!R41</f>
        <v>0</v>
      </c>
      <c r="S41" s="6" t="str">
        <f>'2024 CONTRACTOR DO NOT TOUCH'!S41</f>
        <v>TESTED</v>
      </c>
      <c r="T41" s="6" t="str">
        <f>'2024 CONTRACTOR DO NOT TOUCH'!T41</f>
        <v>Passed</v>
      </c>
      <c r="U41" s="6">
        <f>'2024 CONTRACTOR DO NOT TOUCH'!U41</f>
        <v>0</v>
      </c>
      <c r="V41" s="6">
        <f>'2024 CONTRACTOR DO NOT TOUCH'!V41</f>
        <v>0</v>
      </c>
      <c r="W41" s="6">
        <f>'2024 CONTRACTOR DO NOT TOUCH'!W41</f>
        <v>0</v>
      </c>
      <c r="X41" s="6">
        <f>'2024 CONTRACTOR DO NOT TOUCH'!X41</f>
        <v>0</v>
      </c>
      <c r="Y41" s="6">
        <f>'2024 CONTRACTOR DO NOT TOUCH'!Y41</f>
        <v>0</v>
      </c>
    </row>
    <row r="42" spans="1:25" ht="12.6">
      <c r="A42" s="4" t="str">
        <f>'2024 CONTRACTOR DO NOT TOUCH'!A42</f>
        <v>9000</v>
      </c>
      <c r="B42" s="4" t="str">
        <f>'2024 CONTRACTOR DO NOT TOUCH'!B42</f>
        <v>CLINIC</v>
      </c>
      <c r="C42" s="4" t="str">
        <f>'2024 CONTRACTOR DO NOT TOUCH'!C42</f>
        <v>1045</v>
      </c>
      <c r="D42" s="4" t="str">
        <f>'2024 CONTRACTOR DO NOT TOUCH'!D42</f>
        <v>FEBCO</v>
      </c>
      <c r="E42" s="4" t="str">
        <f>'2024 CONTRACTOR DO NOT TOUCH'!E42</f>
        <v>825YD</v>
      </c>
      <c r="F42" s="4" t="str">
        <f>'2024 CONTRACTOR DO NOT TOUCH'!F42</f>
        <v>RP</v>
      </c>
      <c r="G42" s="4" t="str">
        <f>'2024 CONTRACTOR DO NOT TOUCH'!G42</f>
        <v>6.0</v>
      </c>
      <c r="H42" s="4">
        <f>'2024 CONTRACTOR DO NOT TOUCH'!H42</f>
        <v>0</v>
      </c>
      <c r="I42" s="4" t="str">
        <f>'2024 CONTRACTOR DO NOT TOUCH'!I42</f>
        <v>RM 050</v>
      </c>
      <c r="J42" s="4" t="str">
        <f>'2024 CONTRACTOR DO NOT TOUCH'!J42</f>
        <v>PREMISE</v>
      </c>
      <c r="K42" s="4" t="str">
        <f>'2024 CONTRACTOR DO NOT TOUCH'!K42</f>
        <v>PREMISE</v>
      </c>
      <c r="L42" s="4" t="str">
        <f>'2024 CONTRACTOR DO NOT TOUCH'!L42</f>
        <v>ACTIVE</v>
      </c>
      <c r="M42" s="5">
        <f>'2024 CONTRACTOR DO NOT TOUCH'!M42</f>
        <v>44764</v>
      </c>
      <c r="N42" s="4">
        <f>'2024 CONTRACTOR DO NOT TOUCH'!N42</f>
        <v>0</v>
      </c>
      <c r="O42" s="4">
        <f>'2024 CONTRACTOR DO NOT TOUCH'!O42</f>
        <v>0</v>
      </c>
      <c r="P42" s="4">
        <f>'2024 CONTRACTOR DO NOT TOUCH'!P42</f>
        <v>0</v>
      </c>
      <c r="Q42" s="4">
        <f>'2024 CONTRACTOR DO NOT TOUCH'!Q42</f>
        <v>0</v>
      </c>
      <c r="R42" s="4">
        <f>'2024 CONTRACTOR DO NOT TOUCH'!R42</f>
        <v>0</v>
      </c>
      <c r="S42" s="4" t="str">
        <f>'2024 CONTRACTOR DO NOT TOUCH'!S42</f>
        <v>TESTED</v>
      </c>
      <c r="T42" s="4" t="str">
        <f>'2024 CONTRACTOR DO NOT TOUCH'!T42</f>
        <v>Passed</v>
      </c>
      <c r="U42" s="4">
        <f>'2024 CONTRACTOR DO NOT TOUCH'!U42</f>
        <v>0</v>
      </c>
      <c r="V42" s="4">
        <f>'2024 CONTRACTOR DO NOT TOUCH'!V42</f>
        <v>0</v>
      </c>
      <c r="W42" s="4">
        <f>'2024 CONTRACTOR DO NOT TOUCH'!W42</f>
        <v>0</v>
      </c>
      <c r="X42" s="4">
        <f>'2024 CONTRACTOR DO NOT TOUCH'!X42</f>
        <v>0</v>
      </c>
      <c r="Y42" s="4">
        <f>'2024 CONTRACTOR DO NOT TOUCH'!Y42</f>
        <v>0</v>
      </c>
    </row>
    <row r="43" spans="1:25" ht="12.6">
      <c r="A43" s="6" t="str">
        <f>'2024 CONTRACTOR DO NOT TOUCH'!A43</f>
        <v>9000</v>
      </c>
      <c r="B43" s="6" t="str">
        <f>'2024 CONTRACTOR DO NOT TOUCH'!B43</f>
        <v>CLINIC</v>
      </c>
      <c r="C43" s="6" t="str">
        <f>'2024 CONTRACTOR DO NOT TOUCH'!C43</f>
        <v>90275</v>
      </c>
      <c r="D43" s="6" t="str">
        <f>'2024 CONTRACTOR DO NOT TOUCH'!D43</f>
        <v>WATTS</v>
      </c>
      <c r="E43" s="6" t="str">
        <f>'2024 CONTRACTOR DO NOT TOUCH'!E43</f>
        <v>LF009M2QT</v>
      </c>
      <c r="F43" s="6" t="str">
        <f>'2024 CONTRACTOR DO NOT TOUCH'!F43</f>
        <v>RP</v>
      </c>
      <c r="G43" s="6" t="str">
        <f>'2024 CONTRACTOR DO NOT TOUCH'!G43</f>
        <v>0.5</v>
      </c>
      <c r="H43" s="6">
        <f>'2024 CONTRACTOR DO NOT TOUCH'!H43</f>
        <v>0</v>
      </c>
      <c r="I43" s="6" t="str">
        <f>'2024 CONTRACTOR DO NOT TOUCH'!I43</f>
        <v>HOUSEKEEPING RM 125</v>
      </c>
      <c r="J43" s="6" t="str">
        <f>'2024 CONTRACTOR DO NOT TOUCH'!J43</f>
        <v>INPREMISE</v>
      </c>
      <c r="K43" s="6" t="str">
        <f>'2024 CONTRACTOR DO NOT TOUCH'!K43</f>
        <v>AOI</v>
      </c>
      <c r="L43" s="6" t="str">
        <f>'2024 CONTRACTOR DO NOT TOUCH'!L43</f>
        <v>ACTIVE</v>
      </c>
      <c r="M43" s="7">
        <f>'2024 CONTRACTOR DO NOT TOUCH'!M43</f>
        <v>44755</v>
      </c>
      <c r="N43" s="6">
        <f>'2024 CONTRACTOR DO NOT TOUCH'!N43</f>
        <v>0</v>
      </c>
      <c r="O43" s="6">
        <f>'2024 CONTRACTOR DO NOT TOUCH'!O43</f>
        <v>0</v>
      </c>
      <c r="P43" s="6">
        <f>'2024 CONTRACTOR DO NOT TOUCH'!P43</f>
        <v>0</v>
      </c>
      <c r="Q43" s="6">
        <f>'2024 CONTRACTOR DO NOT TOUCH'!Q43</f>
        <v>0</v>
      </c>
      <c r="R43" s="6">
        <f>'2024 CONTRACTOR DO NOT TOUCH'!R43</f>
        <v>0</v>
      </c>
      <c r="S43" s="6" t="str">
        <f>'2024 CONTRACTOR DO NOT TOUCH'!S43</f>
        <v>TESTED</v>
      </c>
      <c r="T43" s="6" t="str">
        <f>'2024 CONTRACTOR DO NOT TOUCH'!T43</f>
        <v>PASSED</v>
      </c>
      <c r="U43" s="6">
        <f>'2024 CONTRACTOR DO NOT TOUCH'!U43</f>
        <v>0</v>
      </c>
      <c r="V43" s="6">
        <f>'2024 CONTRACTOR DO NOT TOUCH'!V43</f>
        <v>0</v>
      </c>
      <c r="W43" s="6">
        <f>'2024 CONTRACTOR DO NOT TOUCH'!W43</f>
        <v>0</v>
      </c>
      <c r="X43" s="6">
        <f>'2024 CONTRACTOR DO NOT TOUCH'!X43</f>
        <v>0</v>
      </c>
      <c r="Y43" s="6">
        <f>'2024 CONTRACTOR DO NOT TOUCH'!Y43</f>
        <v>0</v>
      </c>
    </row>
    <row r="44" spans="1:25" ht="12.6">
      <c r="A44" s="4" t="str">
        <f>'2024 CONTRACTOR DO NOT TOUCH'!A44</f>
        <v>9000</v>
      </c>
      <c r="B44" s="4" t="str">
        <f>'2024 CONTRACTOR DO NOT TOUCH'!B44</f>
        <v>CLINIC</v>
      </c>
      <c r="C44" s="4" t="str">
        <f>'2024 CONTRACTOR DO NOT TOUCH'!C44</f>
        <v>94570</v>
      </c>
      <c r="D44" s="4" t="str">
        <f>'2024 CONTRACTOR DO NOT TOUCH'!D44</f>
        <v>WATTS</v>
      </c>
      <c r="E44" s="4" t="str">
        <f>'2024 CONTRACTOR DO NOT TOUCH'!E44</f>
        <v>LF009M2QT</v>
      </c>
      <c r="F44" s="4" t="str">
        <f>'2024 CONTRACTOR DO NOT TOUCH'!F44</f>
        <v>RP</v>
      </c>
      <c r="G44" s="4" t="str">
        <f>'2024 CONTRACTOR DO NOT TOUCH'!G44</f>
        <v>0.5</v>
      </c>
      <c r="H44" s="4">
        <f>'2024 CONTRACTOR DO NOT TOUCH'!H44</f>
        <v>0</v>
      </c>
      <c r="I44" s="4" t="str">
        <f>'2024 CONTRACTOR DO NOT TOUCH'!I44</f>
        <v>HOUSEKEEPING RM 125</v>
      </c>
      <c r="J44" s="4" t="str">
        <f>'2024 CONTRACTOR DO NOT TOUCH'!J44</f>
        <v>INPREMISE</v>
      </c>
      <c r="K44" s="4" t="str">
        <f>'2024 CONTRACTOR DO NOT TOUCH'!K44</f>
        <v>AOI</v>
      </c>
      <c r="L44" s="4" t="str">
        <f>'2024 CONTRACTOR DO NOT TOUCH'!L44</f>
        <v>ACTIVE</v>
      </c>
      <c r="M44" s="5">
        <f>'2024 CONTRACTOR DO NOT TOUCH'!M44</f>
        <v>44755</v>
      </c>
      <c r="N44" s="4">
        <f>'2024 CONTRACTOR DO NOT TOUCH'!N44</f>
        <v>0</v>
      </c>
      <c r="O44" s="4">
        <f>'2024 CONTRACTOR DO NOT TOUCH'!O44</f>
        <v>0</v>
      </c>
      <c r="P44" s="4">
        <f>'2024 CONTRACTOR DO NOT TOUCH'!P44</f>
        <v>0</v>
      </c>
      <c r="Q44" s="4">
        <f>'2024 CONTRACTOR DO NOT TOUCH'!Q44</f>
        <v>0</v>
      </c>
      <c r="R44" s="4">
        <f>'2024 CONTRACTOR DO NOT TOUCH'!R44</f>
        <v>0</v>
      </c>
      <c r="S44" s="4" t="str">
        <f>'2024 CONTRACTOR DO NOT TOUCH'!S44</f>
        <v>TESTED</v>
      </c>
      <c r="T44" s="4" t="str">
        <f>'2024 CONTRACTOR DO NOT TOUCH'!T44</f>
        <v>PASSED</v>
      </c>
      <c r="U44" s="4">
        <f>'2024 CONTRACTOR DO NOT TOUCH'!U44</f>
        <v>0</v>
      </c>
      <c r="V44" s="4">
        <f>'2024 CONTRACTOR DO NOT TOUCH'!V44</f>
        <v>0</v>
      </c>
      <c r="W44" s="4">
        <f>'2024 CONTRACTOR DO NOT TOUCH'!W44</f>
        <v>0</v>
      </c>
      <c r="X44" s="4">
        <f>'2024 CONTRACTOR DO NOT TOUCH'!X44</f>
        <v>0</v>
      </c>
      <c r="Y44" s="4" t="str">
        <f>'2024 CONTRACTOR DO NOT TOUCH'!Y44</f>
        <v>Serial Number 94570</v>
      </c>
    </row>
    <row r="45" spans="1:25" ht="12.6">
      <c r="A45" s="6" t="str">
        <f>'2024 CONTRACTOR DO NOT TOUCH'!A45</f>
        <v>9000</v>
      </c>
      <c r="B45" s="6" t="str">
        <f>'2024 CONTRACTOR DO NOT TOUCH'!B45</f>
        <v>CLINIC</v>
      </c>
      <c r="C45" s="6" t="str">
        <f>'2024 CONTRACTOR DO NOT TOUCH'!C45</f>
        <v>81969</v>
      </c>
      <c r="D45" s="6" t="str">
        <f>'2024 CONTRACTOR DO NOT TOUCH'!D45</f>
        <v>WATTS</v>
      </c>
      <c r="E45" s="6" t="str">
        <f>'2024 CONTRACTOR DO NOT TOUCH'!E45</f>
        <v>LF009M2QT</v>
      </c>
      <c r="F45" s="6" t="str">
        <f>'2024 CONTRACTOR DO NOT TOUCH'!F45</f>
        <v>RP</v>
      </c>
      <c r="G45" s="6" t="str">
        <f>'2024 CONTRACTOR DO NOT TOUCH'!G45</f>
        <v>0.5</v>
      </c>
      <c r="H45" s="6">
        <f>'2024 CONTRACTOR DO NOT TOUCH'!H45</f>
        <v>0</v>
      </c>
      <c r="I45" s="6" t="str">
        <f>'2024 CONTRACTOR DO NOT TOUCH'!I45</f>
        <v>HOUSEKEEPING RM 126A</v>
      </c>
      <c r="J45" s="6" t="str">
        <f>'2024 CONTRACTOR DO NOT TOUCH'!J45</f>
        <v>INPREMISE</v>
      </c>
      <c r="K45" s="6" t="str">
        <f>'2024 CONTRACTOR DO NOT TOUCH'!K45</f>
        <v>AOI</v>
      </c>
      <c r="L45" s="6" t="str">
        <f>'2024 CONTRACTOR DO NOT TOUCH'!L45</f>
        <v>ACTIVE</v>
      </c>
      <c r="M45" s="7">
        <f>'2024 CONTRACTOR DO NOT TOUCH'!M45</f>
        <v>44755</v>
      </c>
      <c r="N45" s="6">
        <f>'2024 CONTRACTOR DO NOT TOUCH'!N45</f>
        <v>0</v>
      </c>
      <c r="O45" s="6">
        <f>'2024 CONTRACTOR DO NOT TOUCH'!O45</f>
        <v>0</v>
      </c>
      <c r="P45" s="6">
        <f>'2024 CONTRACTOR DO NOT TOUCH'!P45</f>
        <v>0</v>
      </c>
      <c r="Q45" s="6">
        <f>'2024 CONTRACTOR DO NOT TOUCH'!Q45</f>
        <v>0</v>
      </c>
      <c r="R45" s="6">
        <f>'2024 CONTRACTOR DO NOT TOUCH'!R45</f>
        <v>0</v>
      </c>
      <c r="S45" s="6" t="str">
        <f>'2024 CONTRACTOR DO NOT TOUCH'!S45</f>
        <v>TESTED</v>
      </c>
      <c r="T45" s="6" t="str">
        <f>'2024 CONTRACTOR DO NOT TOUCH'!T45</f>
        <v>PASSED</v>
      </c>
      <c r="U45" s="6">
        <f>'2024 CONTRACTOR DO NOT TOUCH'!U45</f>
        <v>0</v>
      </c>
      <c r="V45" s="6">
        <f>'2024 CONTRACTOR DO NOT TOUCH'!V45</f>
        <v>0</v>
      </c>
      <c r="W45" s="6">
        <f>'2024 CONTRACTOR DO NOT TOUCH'!W45</f>
        <v>0</v>
      </c>
      <c r="X45" s="6">
        <f>'2024 CONTRACTOR DO NOT TOUCH'!X45</f>
        <v>0</v>
      </c>
      <c r="Y45" s="6">
        <f>'2024 CONTRACTOR DO NOT TOUCH'!Y45</f>
        <v>0</v>
      </c>
    </row>
    <row r="46" spans="1:25" ht="12.6">
      <c r="A46" s="4" t="str">
        <f>'2024 CONTRACTOR DO NOT TOUCH'!A46</f>
        <v>9000</v>
      </c>
      <c r="B46" s="4" t="str">
        <f>'2024 CONTRACTOR DO NOT TOUCH'!B46</f>
        <v>CLINIC</v>
      </c>
      <c r="C46" s="4" t="str">
        <f>'2024 CONTRACTOR DO NOT TOUCH'!C46</f>
        <v>86203</v>
      </c>
      <c r="D46" s="4" t="str">
        <f>'2024 CONTRACTOR DO NOT TOUCH'!D46</f>
        <v>WATTS</v>
      </c>
      <c r="E46" s="4" t="str">
        <f>'2024 CONTRACTOR DO NOT TOUCH'!E46</f>
        <v>LF009M2QT</v>
      </c>
      <c r="F46" s="4" t="str">
        <f>'2024 CONTRACTOR DO NOT TOUCH'!F46</f>
        <v>RP</v>
      </c>
      <c r="G46" s="4" t="str">
        <f>'2024 CONTRACTOR DO NOT TOUCH'!G46</f>
        <v>0.5</v>
      </c>
      <c r="H46" s="4">
        <f>'2024 CONTRACTOR DO NOT TOUCH'!H46</f>
        <v>0</v>
      </c>
      <c r="I46" s="4" t="str">
        <f>'2024 CONTRACTOR DO NOT TOUCH'!I46</f>
        <v>HOUSEKEEPING RM 126A</v>
      </c>
      <c r="J46" s="4" t="str">
        <f>'2024 CONTRACTOR DO NOT TOUCH'!J46</f>
        <v>INPREMISE</v>
      </c>
      <c r="K46" s="4" t="str">
        <f>'2024 CONTRACTOR DO NOT TOUCH'!K46</f>
        <v>AOI</v>
      </c>
      <c r="L46" s="4" t="str">
        <f>'2024 CONTRACTOR DO NOT TOUCH'!L46</f>
        <v>ACTIVE</v>
      </c>
      <c r="M46" s="5">
        <f>'2024 CONTRACTOR DO NOT TOUCH'!M46</f>
        <v>44755</v>
      </c>
      <c r="N46" s="4">
        <f>'2024 CONTRACTOR DO NOT TOUCH'!N46</f>
        <v>0</v>
      </c>
      <c r="O46" s="4">
        <f>'2024 CONTRACTOR DO NOT TOUCH'!O46</f>
        <v>0</v>
      </c>
      <c r="P46" s="4">
        <f>'2024 CONTRACTOR DO NOT TOUCH'!P46</f>
        <v>0</v>
      </c>
      <c r="Q46" s="4">
        <f>'2024 CONTRACTOR DO NOT TOUCH'!Q46</f>
        <v>0</v>
      </c>
      <c r="R46" s="4">
        <f>'2024 CONTRACTOR DO NOT TOUCH'!R46</f>
        <v>0</v>
      </c>
      <c r="S46" s="4" t="str">
        <f>'2024 CONTRACTOR DO NOT TOUCH'!S46</f>
        <v>TESTED</v>
      </c>
      <c r="T46" s="4" t="str">
        <f>'2024 CONTRACTOR DO NOT TOUCH'!T46</f>
        <v>PASSED</v>
      </c>
      <c r="U46" s="4">
        <f>'2024 CONTRACTOR DO NOT TOUCH'!U46</f>
        <v>0</v>
      </c>
      <c r="V46" s="4">
        <f>'2024 CONTRACTOR DO NOT TOUCH'!V46</f>
        <v>0</v>
      </c>
      <c r="W46" s="4">
        <f>'2024 CONTRACTOR DO NOT TOUCH'!W46</f>
        <v>0</v>
      </c>
      <c r="X46" s="4">
        <f>'2024 CONTRACTOR DO NOT TOUCH'!X46</f>
        <v>0</v>
      </c>
      <c r="Y46" s="4">
        <f>'2024 CONTRACTOR DO NOT TOUCH'!Y46</f>
        <v>0</v>
      </c>
    </row>
    <row r="47" spans="1:25" ht="12.6">
      <c r="A47" s="6" t="str">
        <f>'2024 CONTRACTOR DO NOT TOUCH'!A47</f>
        <v>9000</v>
      </c>
      <c r="B47" s="6" t="str">
        <f>'2024 CONTRACTOR DO NOT TOUCH'!B47</f>
        <v>CLINIC</v>
      </c>
      <c r="C47" s="6" t="str">
        <f>'2024 CONTRACTOR DO NOT TOUCH'!C47</f>
        <v>94531</v>
      </c>
      <c r="D47" s="6" t="str">
        <f>'2024 CONTRACTOR DO NOT TOUCH'!D47</f>
        <v>WATTS</v>
      </c>
      <c r="E47" s="6" t="str">
        <f>'2024 CONTRACTOR DO NOT TOUCH'!E47</f>
        <v>LF009M2QT</v>
      </c>
      <c r="F47" s="6" t="str">
        <f>'2024 CONTRACTOR DO NOT TOUCH'!F47</f>
        <v>RP</v>
      </c>
      <c r="G47" s="6" t="str">
        <f>'2024 CONTRACTOR DO NOT TOUCH'!G47</f>
        <v>0.5</v>
      </c>
      <c r="H47" s="6">
        <f>'2024 CONTRACTOR DO NOT TOUCH'!H47</f>
        <v>0</v>
      </c>
      <c r="I47" s="6" t="str">
        <f>'2024 CONTRACTOR DO NOT TOUCH'!I47</f>
        <v>HOUSEKEEPING RM 136</v>
      </c>
      <c r="J47" s="6" t="str">
        <f>'2024 CONTRACTOR DO NOT TOUCH'!J47</f>
        <v>INPREMISE</v>
      </c>
      <c r="K47" s="6" t="str">
        <f>'2024 CONTRACTOR DO NOT TOUCH'!K47</f>
        <v>AOI</v>
      </c>
      <c r="L47" s="6" t="str">
        <f>'2024 CONTRACTOR DO NOT TOUCH'!L47</f>
        <v>ACTIVE</v>
      </c>
      <c r="M47" s="7">
        <f>'2024 CONTRACTOR DO NOT TOUCH'!M47</f>
        <v>44757</v>
      </c>
      <c r="N47" s="6">
        <f>'2024 CONTRACTOR DO NOT TOUCH'!N47</f>
        <v>0</v>
      </c>
      <c r="O47" s="6">
        <f>'2024 CONTRACTOR DO NOT TOUCH'!O47</f>
        <v>0</v>
      </c>
      <c r="P47" s="6">
        <f>'2024 CONTRACTOR DO NOT TOUCH'!P47</f>
        <v>0</v>
      </c>
      <c r="Q47" s="6">
        <f>'2024 CONTRACTOR DO NOT TOUCH'!Q47</f>
        <v>0</v>
      </c>
      <c r="R47" s="6">
        <f>'2024 CONTRACTOR DO NOT TOUCH'!R47</f>
        <v>0</v>
      </c>
      <c r="S47" s="6" t="str">
        <f>'2024 CONTRACTOR DO NOT TOUCH'!S47</f>
        <v>TESTED</v>
      </c>
      <c r="T47" s="6" t="str">
        <f>'2024 CONTRACTOR DO NOT TOUCH'!T47</f>
        <v>PASSED</v>
      </c>
      <c r="U47" s="6">
        <f>'2024 CONTRACTOR DO NOT TOUCH'!U47</f>
        <v>0</v>
      </c>
      <c r="V47" s="6">
        <f>'2024 CONTRACTOR DO NOT TOUCH'!V47</f>
        <v>0</v>
      </c>
      <c r="W47" s="6">
        <f>'2024 CONTRACTOR DO NOT TOUCH'!W47</f>
        <v>0</v>
      </c>
      <c r="X47" s="6">
        <f>'2024 CONTRACTOR DO NOT TOUCH'!X47</f>
        <v>0</v>
      </c>
      <c r="Y47" s="6">
        <f>'2024 CONTRACTOR DO NOT TOUCH'!Y47</f>
        <v>0</v>
      </c>
    </row>
    <row r="48" spans="1:25" ht="12.6">
      <c r="A48" s="4" t="str">
        <f>'2024 CONTRACTOR DO NOT TOUCH'!A48</f>
        <v>9000</v>
      </c>
      <c r="B48" s="4" t="str">
        <f>'2024 CONTRACTOR DO NOT TOUCH'!B48</f>
        <v>CLINIC</v>
      </c>
      <c r="C48" s="4" t="str">
        <f>'2024 CONTRACTOR DO NOT TOUCH'!C48</f>
        <v>94548</v>
      </c>
      <c r="D48" s="4" t="str">
        <f>'2024 CONTRACTOR DO NOT TOUCH'!D48</f>
        <v>WATTS</v>
      </c>
      <c r="E48" s="4" t="str">
        <f>'2024 CONTRACTOR DO NOT TOUCH'!E48</f>
        <v>LF009M2QT</v>
      </c>
      <c r="F48" s="4" t="str">
        <f>'2024 CONTRACTOR DO NOT TOUCH'!F48</f>
        <v>RP</v>
      </c>
      <c r="G48" s="4" t="str">
        <f>'2024 CONTRACTOR DO NOT TOUCH'!G48</f>
        <v>0.5</v>
      </c>
      <c r="H48" s="4">
        <f>'2024 CONTRACTOR DO NOT TOUCH'!H48</f>
        <v>0</v>
      </c>
      <c r="I48" s="4" t="str">
        <f>'2024 CONTRACTOR DO NOT TOUCH'!I48</f>
        <v>HOUSEKEEPING RM 136</v>
      </c>
      <c r="J48" s="4" t="str">
        <f>'2024 CONTRACTOR DO NOT TOUCH'!J48</f>
        <v>INPREMISE</v>
      </c>
      <c r="K48" s="4" t="str">
        <f>'2024 CONTRACTOR DO NOT TOUCH'!K48</f>
        <v>AOI</v>
      </c>
      <c r="L48" s="4" t="str">
        <f>'2024 CONTRACTOR DO NOT TOUCH'!L48</f>
        <v>ACTIVE</v>
      </c>
      <c r="M48" s="5">
        <f>'2024 CONTRACTOR DO NOT TOUCH'!M48</f>
        <v>44757</v>
      </c>
      <c r="N48" s="4">
        <f>'2024 CONTRACTOR DO NOT TOUCH'!N48</f>
        <v>0</v>
      </c>
      <c r="O48" s="4">
        <f>'2024 CONTRACTOR DO NOT TOUCH'!O48</f>
        <v>0</v>
      </c>
      <c r="P48" s="4">
        <f>'2024 CONTRACTOR DO NOT TOUCH'!P48</f>
        <v>0</v>
      </c>
      <c r="Q48" s="4">
        <f>'2024 CONTRACTOR DO NOT TOUCH'!Q48</f>
        <v>0</v>
      </c>
      <c r="R48" s="4">
        <f>'2024 CONTRACTOR DO NOT TOUCH'!R48</f>
        <v>0</v>
      </c>
      <c r="S48" s="4" t="str">
        <f>'2024 CONTRACTOR DO NOT TOUCH'!S48</f>
        <v>TESTED</v>
      </c>
      <c r="T48" s="4" t="str">
        <f>'2024 CONTRACTOR DO NOT TOUCH'!T48</f>
        <v>PASSED</v>
      </c>
      <c r="U48" s="4">
        <f>'2024 CONTRACTOR DO NOT TOUCH'!U48</f>
        <v>0</v>
      </c>
      <c r="V48" s="4">
        <f>'2024 CONTRACTOR DO NOT TOUCH'!V48</f>
        <v>0</v>
      </c>
      <c r="W48" s="4">
        <f>'2024 CONTRACTOR DO NOT TOUCH'!W48</f>
        <v>0</v>
      </c>
      <c r="X48" s="4">
        <f>'2024 CONTRACTOR DO NOT TOUCH'!X48</f>
        <v>0</v>
      </c>
      <c r="Y48" s="4">
        <f>'2024 CONTRACTOR DO NOT TOUCH'!Y48</f>
        <v>0</v>
      </c>
    </row>
    <row r="49" spans="1:25" ht="12.6">
      <c r="A49" s="6" t="str">
        <f>'2024 CONTRACTOR DO NOT TOUCH'!A49</f>
        <v>9000</v>
      </c>
      <c r="B49" s="6" t="str">
        <f>'2024 CONTRACTOR DO NOT TOUCH'!B49</f>
        <v>CLINIC</v>
      </c>
      <c r="C49" s="6" t="str">
        <f>'2024 CONTRACTOR DO NOT TOUCH'!C49</f>
        <v>92200</v>
      </c>
      <c r="D49" s="6" t="str">
        <f>'2024 CONTRACTOR DO NOT TOUCH'!D49</f>
        <v>WATTS</v>
      </c>
      <c r="E49" s="6" t="str">
        <f>'2024 CONTRACTOR DO NOT TOUCH'!E49</f>
        <v>LF009M2QT</v>
      </c>
      <c r="F49" s="6" t="str">
        <f>'2024 CONTRACTOR DO NOT TOUCH'!F49</f>
        <v>RP</v>
      </c>
      <c r="G49" s="6" t="str">
        <f>'2024 CONTRACTOR DO NOT TOUCH'!G49</f>
        <v>0.5</v>
      </c>
      <c r="H49" s="6">
        <f>'2024 CONTRACTOR DO NOT TOUCH'!H49</f>
        <v>0</v>
      </c>
      <c r="I49" s="6" t="str">
        <f>'2024 CONTRACTOR DO NOT TOUCH'!I49</f>
        <v>HOUSEKEEPING RM 160A</v>
      </c>
      <c r="J49" s="6" t="str">
        <f>'2024 CONTRACTOR DO NOT TOUCH'!J49</f>
        <v>INPREMISE</v>
      </c>
      <c r="K49" s="6" t="str">
        <f>'2024 CONTRACTOR DO NOT TOUCH'!K49</f>
        <v>AOI</v>
      </c>
      <c r="L49" s="6" t="str">
        <f>'2024 CONTRACTOR DO NOT TOUCH'!L49</f>
        <v>ACTIVE</v>
      </c>
      <c r="M49" s="7">
        <f>'2024 CONTRACTOR DO NOT TOUCH'!M49</f>
        <v>44757</v>
      </c>
      <c r="N49" s="6">
        <f>'2024 CONTRACTOR DO NOT TOUCH'!N49</f>
        <v>0</v>
      </c>
      <c r="O49" s="6">
        <f>'2024 CONTRACTOR DO NOT TOUCH'!O49</f>
        <v>0</v>
      </c>
      <c r="P49" s="6">
        <f>'2024 CONTRACTOR DO NOT TOUCH'!P49</f>
        <v>0</v>
      </c>
      <c r="Q49" s="6">
        <f>'2024 CONTRACTOR DO NOT TOUCH'!Q49</f>
        <v>0</v>
      </c>
      <c r="R49" s="6">
        <f>'2024 CONTRACTOR DO NOT TOUCH'!R49</f>
        <v>0</v>
      </c>
      <c r="S49" s="6" t="str">
        <f>'2024 CONTRACTOR DO NOT TOUCH'!S49</f>
        <v>TESTED</v>
      </c>
      <c r="T49" s="6" t="str">
        <f>'2024 CONTRACTOR DO NOT TOUCH'!T49</f>
        <v>PASSED</v>
      </c>
      <c r="U49" s="6">
        <f>'2024 CONTRACTOR DO NOT TOUCH'!U49</f>
        <v>0</v>
      </c>
      <c r="V49" s="6">
        <f>'2024 CONTRACTOR DO NOT TOUCH'!V49</f>
        <v>0</v>
      </c>
      <c r="W49" s="6">
        <f>'2024 CONTRACTOR DO NOT TOUCH'!W49</f>
        <v>0</v>
      </c>
      <c r="X49" s="6">
        <f>'2024 CONTRACTOR DO NOT TOUCH'!X49</f>
        <v>0</v>
      </c>
      <c r="Y49" s="6">
        <f>'2024 CONTRACTOR DO NOT TOUCH'!Y49</f>
        <v>0</v>
      </c>
    </row>
    <row r="50" spans="1:25" ht="12.6">
      <c r="A50" s="4" t="str">
        <f>'2024 CONTRACTOR DO NOT TOUCH'!A50</f>
        <v>9000</v>
      </c>
      <c r="B50" s="4" t="str">
        <f>'2024 CONTRACTOR DO NOT TOUCH'!B50</f>
        <v>CLINIC</v>
      </c>
      <c r="C50" s="4" t="str">
        <f>'2024 CONTRACTOR DO NOT TOUCH'!C50</f>
        <v>95604</v>
      </c>
      <c r="D50" s="4" t="str">
        <f>'2024 CONTRACTOR DO NOT TOUCH'!D50</f>
        <v>WATTS</v>
      </c>
      <c r="E50" s="4" t="str">
        <f>'2024 CONTRACTOR DO NOT TOUCH'!E50</f>
        <v>LF009M2QT</v>
      </c>
      <c r="F50" s="4" t="str">
        <f>'2024 CONTRACTOR DO NOT TOUCH'!F50</f>
        <v>RP</v>
      </c>
      <c r="G50" s="4" t="str">
        <f>'2024 CONTRACTOR DO NOT TOUCH'!G50</f>
        <v>0.5</v>
      </c>
      <c r="H50" s="4">
        <f>'2024 CONTRACTOR DO NOT TOUCH'!H50</f>
        <v>0</v>
      </c>
      <c r="I50" s="4" t="str">
        <f>'2024 CONTRACTOR DO NOT TOUCH'!I50</f>
        <v>HOUSEKEEPING RM 160A</v>
      </c>
      <c r="J50" s="4" t="str">
        <f>'2024 CONTRACTOR DO NOT TOUCH'!J50</f>
        <v>INPREMISE</v>
      </c>
      <c r="K50" s="4" t="str">
        <f>'2024 CONTRACTOR DO NOT TOUCH'!K50</f>
        <v>AOI</v>
      </c>
      <c r="L50" s="4" t="str">
        <f>'2024 CONTRACTOR DO NOT TOUCH'!L50</f>
        <v>ACTIVE</v>
      </c>
      <c r="M50" s="5">
        <f>'2024 CONTRACTOR DO NOT TOUCH'!M50</f>
        <v>44757</v>
      </c>
      <c r="N50" s="4">
        <f>'2024 CONTRACTOR DO NOT TOUCH'!N50</f>
        <v>0</v>
      </c>
      <c r="O50" s="4">
        <f>'2024 CONTRACTOR DO NOT TOUCH'!O50</f>
        <v>0</v>
      </c>
      <c r="P50" s="4">
        <f>'2024 CONTRACTOR DO NOT TOUCH'!P50</f>
        <v>0</v>
      </c>
      <c r="Q50" s="4">
        <f>'2024 CONTRACTOR DO NOT TOUCH'!Q50</f>
        <v>0</v>
      </c>
      <c r="R50" s="4">
        <f>'2024 CONTRACTOR DO NOT TOUCH'!R50</f>
        <v>0</v>
      </c>
      <c r="S50" s="4" t="str">
        <f>'2024 CONTRACTOR DO NOT TOUCH'!S50</f>
        <v>TESTED</v>
      </c>
      <c r="T50" s="4" t="str">
        <f>'2024 CONTRACTOR DO NOT TOUCH'!T50</f>
        <v>PASSED</v>
      </c>
      <c r="U50" s="4">
        <f>'2024 CONTRACTOR DO NOT TOUCH'!U50</f>
        <v>0</v>
      </c>
      <c r="V50" s="4">
        <f>'2024 CONTRACTOR DO NOT TOUCH'!V50</f>
        <v>0</v>
      </c>
      <c r="W50" s="4">
        <f>'2024 CONTRACTOR DO NOT TOUCH'!W50</f>
        <v>0</v>
      </c>
      <c r="X50" s="4">
        <f>'2024 CONTRACTOR DO NOT TOUCH'!X50</f>
        <v>0</v>
      </c>
      <c r="Y50" s="4">
        <f>'2024 CONTRACTOR DO NOT TOUCH'!Y50</f>
        <v>0</v>
      </c>
    </row>
    <row r="51" spans="1:25" ht="12.6">
      <c r="A51" s="6" t="str">
        <f>'2024 CONTRACTOR DO NOT TOUCH'!A51</f>
        <v>9000</v>
      </c>
      <c r="B51" s="6" t="str">
        <f>'2024 CONTRACTOR DO NOT TOUCH'!B51</f>
        <v>CLINIC</v>
      </c>
      <c r="C51" s="6" t="str">
        <f>'2024 CONTRACTOR DO NOT TOUCH'!C51</f>
        <v>77141</v>
      </c>
      <c r="D51" s="6" t="str">
        <f>'2024 CONTRACTOR DO NOT TOUCH'!D51</f>
        <v>WATTS</v>
      </c>
      <c r="E51" s="6" t="str">
        <f>'2024 CONTRACTOR DO NOT TOUCH'!E51</f>
        <v>LF009M2QT</v>
      </c>
      <c r="F51" s="6" t="str">
        <f>'2024 CONTRACTOR DO NOT TOUCH'!F51</f>
        <v>RP</v>
      </c>
      <c r="G51" s="6" t="str">
        <f>'2024 CONTRACTOR DO NOT TOUCH'!G51</f>
        <v>0.5</v>
      </c>
      <c r="H51" s="6">
        <f>'2024 CONTRACTOR DO NOT TOUCH'!H51</f>
        <v>0</v>
      </c>
      <c r="I51" s="6" t="str">
        <f>'2024 CONTRACTOR DO NOT TOUCH'!I51</f>
        <v>HOUSEKEEPING RM 210</v>
      </c>
      <c r="J51" s="6" t="str">
        <f>'2024 CONTRACTOR DO NOT TOUCH'!J51</f>
        <v>INPREMISE</v>
      </c>
      <c r="K51" s="6" t="str">
        <f>'2024 CONTRACTOR DO NOT TOUCH'!K51</f>
        <v>AOI</v>
      </c>
      <c r="L51" s="6" t="str">
        <f>'2024 CONTRACTOR DO NOT TOUCH'!L51</f>
        <v>ACTIVE</v>
      </c>
      <c r="M51" s="7">
        <f>'2024 CONTRACTOR DO NOT TOUCH'!M51</f>
        <v>44757</v>
      </c>
      <c r="N51" s="6">
        <f>'2024 CONTRACTOR DO NOT TOUCH'!N51</f>
        <v>0</v>
      </c>
      <c r="O51" s="6">
        <f>'2024 CONTRACTOR DO NOT TOUCH'!O51</f>
        <v>0</v>
      </c>
      <c r="P51" s="6">
        <f>'2024 CONTRACTOR DO NOT TOUCH'!P51</f>
        <v>0</v>
      </c>
      <c r="Q51" s="6">
        <f>'2024 CONTRACTOR DO NOT TOUCH'!Q51</f>
        <v>0</v>
      </c>
      <c r="R51" s="6">
        <f>'2024 CONTRACTOR DO NOT TOUCH'!R51</f>
        <v>0</v>
      </c>
      <c r="S51" s="6" t="str">
        <f>'2024 CONTRACTOR DO NOT TOUCH'!S51</f>
        <v>TESTED</v>
      </c>
      <c r="T51" s="6" t="str">
        <f>'2024 CONTRACTOR DO NOT TOUCH'!T51</f>
        <v>PASSED</v>
      </c>
      <c r="U51" s="6">
        <f>'2024 CONTRACTOR DO NOT TOUCH'!U51</f>
        <v>0</v>
      </c>
      <c r="V51" s="6">
        <f>'2024 CONTRACTOR DO NOT TOUCH'!V51</f>
        <v>0</v>
      </c>
      <c r="W51" s="6">
        <f>'2024 CONTRACTOR DO NOT TOUCH'!W51</f>
        <v>0</v>
      </c>
      <c r="X51" s="6">
        <f>'2024 CONTRACTOR DO NOT TOUCH'!X51</f>
        <v>0</v>
      </c>
      <c r="Y51" s="6">
        <f>'2024 CONTRACTOR DO NOT TOUCH'!Y51</f>
        <v>0</v>
      </c>
    </row>
    <row r="52" spans="1:25" ht="12.6">
      <c r="A52" s="4" t="str">
        <f>'2024 CONTRACTOR DO NOT TOUCH'!A52</f>
        <v>9000</v>
      </c>
      <c r="B52" s="4" t="str">
        <f>'2024 CONTRACTOR DO NOT TOUCH'!B52</f>
        <v>CLINIC</v>
      </c>
      <c r="C52" s="4" t="str">
        <f>'2024 CONTRACTOR DO NOT TOUCH'!C52</f>
        <v>92870</v>
      </c>
      <c r="D52" s="4" t="str">
        <f>'2024 CONTRACTOR DO NOT TOUCH'!D52</f>
        <v>WATTS</v>
      </c>
      <c r="E52" s="4" t="str">
        <f>'2024 CONTRACTOR DO NOT TOUCH'!E52</f>
        <v>LF009M2QT</v>
      </c>
      <c r="F52" s="4" t="str">
        <f>'2024 CONTRACTOR DO NOT TOUCH'!F52</f>
        <v>RP</v>
      </c>
      <c r="G52" s="4" t="str">
        <f>'2024 CONTRACTOR DO NOT TOUCH'!G52</f>
        <v>0.5</v>
      </c>
      <c r="H52" s="4">
        <f>'2024 CONTRACTOR DO NOT TOUCH'!H52</f>
        <v>0</v>
      </c>
      <c r="I52" s="4" t="str">
        <f>'2024 CONTRACTOR DO NOT TOUCH'!I52</f>
        <v>HOUSEKEEPING RM 210</v>
      </c>
      <c r="J52" s="4" t="str">
        <f>'2024 CONTRACTOR DO NOT TOUCH'!J52</f>
        <v>INPREMISE</v>
      </c>
      <c r="K52" s="4" t="str">
        <f>'2024 CONTRACTOR DO NOT TOUCH'!K52</f>
        <v>AOI</v>
      </c>
      <c r="L52" s="4" t="str">
        <f>'2024 CONTRACTOR DO NOT TOUCH'!L52</f>
        <v>ACTIVE</v>
      </c>
      <c r="M52" s="5">
        <f>'2024 CONTRACTOR DO NOT TOUCH'!M52</f>
        <v>44757</v>
      </c>
      <c r="N52" s="4">
        <f>'2024 CONTRACTOR DO NOT TOUCH'!N52</f>
        <v>0</v>
      </c>
      <c r="O52" s="4">
        <f>'2024 CONTRACTOR DO NOT TOUCH'!O52</f>
        <v>0</v>
      </c>
      <c r="P52" s="4">
        <f>'2024 CONTRACTOR DO NOT TOUCH'!P52</f>
        <v>0</v>
      </c>
      <c r="Q52" s="4">
        <f>'2024 CONTRACTOR DO NOT TOUCH'!Q52</f>
        <v>0</v>
      </c>
      <c r="R52" s="4">
        <f>'2024 CONTRACTOR DO NOT TOUCH'!R52</f>
        <v>0</v>
      </c>
      <c r="S52" s="4" t="str">
        <f>'2024 CONTRACTOR DO NOT TOUCH'!S52</f>
        <v>TESTED</v>
      </c>
      <c r="T52" s="4" t="str">
        <f>'2024 CONTRACTOR DO NOT TOUCH'!T52</f>
        <v>PASSED</v>
      </c>
      <c r="U52" s="4">
        <f>'2024 CONTRACTOR DO NOT TOUCH'!U52</f>
        <v>0</v>
      </c>
      <c r="V52" s="4">
        <f>'2024 CONTRACTOR DO NOT TOUCH'!V52</f>
        <v>0</v>
      </c>
      <c r="W52" s="4">
        <f>'2024 CONTRACTOR DO NOT TOUCH'!W52</f>
        <v>0</v>
      </c>
      <c r="X52" s="4">
        <f>'2024 CONTRACTOR DO NOT TOUCH'!X52</f>
        <v>0</v>
      </c>
      <c r="Y52" s="4">
        <f>'2024 CONTRACTOR DO NOT TOUCH'!Y52</f>
        <v>0</v>
      </c>
    </row>
    <row r="53" spans="1:25" ht="12.6">
      <c r="A53" s="6" t="str">
        <f>'2024 CONTRACTOR DO NOT TOUCH'!A53</f>
        <v>9000</v>
      </c>
      <c r="B53" s="6" t="str">
        <f>'2024 CONTRACTOR DO NOT TOUCH'!B53</f>
        <v>CLINIC</v>
      </c>
      <c r="C53" s="6" t="str">
        <f>'2024 CONTRACTOR DO NOT TOUCH'!C53</f>
        <v>85430</v>
      </c>
      <c r="D53" s="6" t="str">
        <f>'2024 CONTRACTOR DO NOT TOUCH'!D53</f>
        <v>WATTS</v>
      </c>
      <c r="E53" s="6" t="str">
        <f>'2024 CONTRACTOR DO NOT TOUCH'!E53</f>
        <v>LF009M2QT</v>
      </c>
      <c r="F53" s="6" t="str">
        <f>'2024 CONTRACTOR DO NOT TOUCH'!F53</f>
        <v>RP</v>
      </c>
      <c r="G53" s="6" t="str">
        <f>'2024 CONTRACTOR DO NOT TOUCH'!G53</f>
        <v>0.5</v>
      </c>
      <c r="H53" s="6">
        <f>'2024 CONTRACTOR DO NOT TOUCH'!H53</f>
        <v>0</v>
      </c>
      <c r="I53" s="6" t="str">
        <f>'2024 CONTRACTOR DO NOT TOUCH'!I53</f>
        <v>HOUSEKEEPING RM 235</v>
      </c>
      <c r="J53" s="6" t="str">
        <f>'2024 CONTRACTOR DO NOT TOUCH'!J53</f>
        <v>INPREMISE</v>
      </c>
      <c r="K53" s="6" t="str">
        <f>'2024 CONTRACTOR DO NOT TOUCH'!K53</f>
        <v>AOI</v>
      </c>
      <c r="L53" s="6" t="str">
        <f>'2024 CONTRACTOR DO NOT TOUCH'!L53</f>
        <v>ACTIVE</v>
      </c>
      <c r="M53" s="7">
        <f>'2024 CONTRACTOR DO NOT TOUCH'!M53</f>
        <v>44757</v>
      </c>
      <c r="N53" s="6">
        <f>'2024 CONTRACTOR DO NOT TOUCH'!N53</f>
        <v>0</v>
      </c>
      <c r="O53" s="6">
        <f>'2024 CONTRACTOR DO NOT TOUCH'!O53</f>
        <v>0</v>
      </c>
      <c r="P53" s="6">
        <f>'2024 CONTRACTOR DO NOT TOUCH'!P53</f>
        <v>0</v>
      </c>
      <c r="Q53" s="6">
        <f>'2024 CONTRACTOR DO NOT TOUCH'!Q53</f>
        <v>0</v>
      </c>
      <c r="R53" s="6">
        <f>'2024 CONTRACTOR DO NOT TOUCH'!R53</f>
        <v>0</v>
      </c>
      <c r="S53" s="6" t="str">
        <f>'2024 CONTRACTOR DO NOT TOUCH'!S53</f>
        <v>TESTED</v>
      </c>
      <c r="T53" s="6" t="str">
        <f>'2024 CONTRACTOR DO NOT TOUCH'!T53</f>
        <v>PASSED</v>
      </c>
      <c r="U53" s="6">
        <f>'2024 CONTRACTOR DO NOT TOUCH'!U53</f>
        <v>0</v>
      </c>
      <c r="V53" s="6">
        <f>'2024 CONTRACTOR DO NOT TOUCH'!V53</f>
        <v>0</v>
      </c>
      <c r="W53" s="6">
        <f>'2024 CONTRACTOR DO NOT TOUCH'!W53</f>
        <v>0</v>
      </c>
      <c r="X53" s="6">
        <f>'2024 CONTRACTOR DO NOT TOUCH'!X53</f>
        <v>0</v>
      </c>
      <c r="Y53" s="6">
        <f>'2024 CONTRACTOR DO NOT TOUCH'!Y53</f>
        <v>0</v>
      </c>
    </row>
    <row r="54" spans="1:25" ht="12.6">
      <c r="A54" s="4" t="str">
        <f>'2024 CONTRACTOR DO NOT TOUCH'!A54</f>
        <v>9000</v>
      </c>
      <c r="B54" s="4" t="str">
        <f>'2024 CONTRACTOR DO NOT TOUCH'!B54</f>
        <v>CLINIC</v>
      </c>
      <c r="C54" s="4" t="str">
        <f>'2024 CONTRACTOR DO NOT TOUCH'!C54</f>
        <v>90688</v>
      </c>
      <c r="D54" s="4" t="str">
        <f>'2024 CONTRACTOR DO NOT TOUCH'!D54</f>
        <v>WATTS</v>
      </c>
      <c r="E54" s="4" t="str">
        <f>'2024 CONTRACTOR DO NOT TOUCH'!E54</f>
        <v>LF009M2QT</v>
      </c>
      <c r="F54" s="4" t="str">
        <f>'2024 CONTRACTOR DO NOT TOUCH'!F54</f>
        <v>RP</v>
      </c>
      <c r="G54" s="4" t="str">
        <f>'2024 CONTRACTOR DO NOT TOUCH'!G54</f>
        <v>0.5</v>
      </c>
      <c r="H54" s="4">
        <f>'2024 CONTRACTOR DO NOT TOUCH'!H54</f>
        <v>0</v>
      </c>
      <c r="I54" s="4" t="str">
        <f>'2024 CONTRACTOR DO NOT TOUCH'!I54</f>
        <v>HOUSEKEEPING RM 235</v>
      </c>
      <c r="J54" s="4" t="str">
        <f>'2024 CONTRACTOR DO NOT TOUCH'!J54</f>
        <v>INPREMISE</v>
      </c>
      <c r="K54" s="4" t="str">
        <f>'2024 CONTRACTOR DO NOT TOUCH'!K54</f>
        <v>AOI</v>
      </c>
      <c r="L54" s="4" t="str">
        <f>'2024 CONTRACTOR DO NOT TOUCH'!L54</f>
        <v>ACTIVE</v>
      </c>
      <c r="M54" s="5">
        <f>'2024 CONTRACTOR DO NOT TOUCH'!M54</f>
        <v>44757</v>
      </c>
      <c r="N54" s="4">
        <f>'2024 CONTRACTOR DO NOT TOUCH'!N54</f>
        <v>0</v>
      </c>
      <c r="O54" s="4">
        <f>'2024 CONTRACTOR DO NOT TOUCH'!O54</f>
        <v>0</v>
      </c>
      <c r="P54" s="4">
        <f>'2024 CONTRACTOR DO NOT TOUCH'!P54</f>
        <v>0</v>
      </c>
      <c r="Q54" s="4">
        <f>'2024 CONTRACTOR DO NOT TOUCH'!Q54</f>
        <v>0</v>
      </c>
      <c r="R54" s="4">
        <f>'2024 CONTRACTOR DO NOT TOUCH'!R54</f>
        <v>0</v>
      </c>
      <c r="S54" s="4" t="str">
        <f>'2024 CONTRACTOR DO NOT TOUCH'!S54</f>
        <v>TESTED</v>
      </c>
      <c r="T54" s="4" t="str">
        <f>'2024 CONTRACTOR DO NOT TOUCH'!T54</f>
        <v>PASSED</v>
      </c>
      <c r="U54" s="4" t="str">
        <f>'2024 CONTRACTOR DO NOT TOUCH'!U54</f>
        <v>y</v>
      </c>
      <c r="V54" s="4">
        <f>'2024 CONTRACTOR DO NOT TOUCH'!V54</f>
        <v>0</v>
      </c>
      <c r="W54" s="4">
        <f>'2024 CONTRACTOR DO NOT TOUCH'!W54</f>
        <v>0</v>
      </c>
      <c r="X54" s="4">
        <f>'2024 CONTRACTOR DO NOT TOUCH'!X54</f>
        <v>0</v>
      </c>
      <c r="Y54" s="4" t="str">
        <f>'2024 CONTRACTOR DO NOT TOUCH'!Y54</f>
        <v>LABLED AS 90388</v>
      </c>
    </row>
    <row r="55" spans="1:25" ht="12.6">
      <c r="A55" s="6" t="str">
        <f>'2024 CONTRACTOR DO NOT TOUCH'!A55</f>
        <v>9000</v>
      </c>
      <c r="B55" s="6" t="str">
        <f>'2024 CONTRACTOR DO NOT TOUCH'!B55</f>
        <v>CLINIC</v>
      </c>
      <c r="C55" s="6" t="str">
        <f>'2024 CONTRACTOR DO NOT TOUCH'!C55</f>
        <v>88920</v>
      </c>
      <c r="D55" s="6" t="str">
        <f>'2024 CONTRACTOR DO NOT TOUCH'!D55</f>
        <v>WATTS</v>
      </c>
      <c r="E55" s="6" t="str">
        <f>'2024 CONTRACTOR DO NOT TOUCH'!E55</f>
        <v>LF009M2QT</v>
      </c>
      <c r="F55" s="6" t="str">
        <f>'2024 CONTRACTOR DO NOT TOUCH'!F55</f>
        <v>RP</v>
      </c>
      <c r="G55" s="6" t="str">
        <f>'2024 CONTRACTOR DO NOT TOUCH'!G55</f>
        <v>0.5</v>
      </c>
      <c r="H55" s="6">
        <f>'2024 CONTRACTOR DO NOT TOUCH'!H55</f>
        <v>0</v>
      </c>
      <c r="I55" s="6" t="str">
        <f>'2024 CONTRACTOR DO NOT TOUCH'!I55</f>
        <v>HOUSEKEEPING RM 286</v>
      </c>
      <c r="J55" s="6" t="str">
        <f>'2024 CONTRACTOR DO NOT TOUCH'!J55</f>
        <v>INPREMISE</v>
      </c>
      <c r="K55" s="6" t="str">
        <f>'2024 CONTRACTOR DO NOT TOUCH'!K55</f>
        <v>AOI</v>
      </c>
      <c r="L55" s="6" t="str">
        <f>'2024 CONTRACTOR DO NOT TOUCH'!L55</f>
        <v>ACTIVE</v>
      </c>
      <c r="M55" s="7">
        <f>'2024 CONTRACTOR DO NOT TOUCH'!M55</f>
        <v>44757</v>
      </c>
      <c r="N55" s="6">
        <f>'2024 CONTRACTOR DO NOT TOUCH'!N55</f>
        <v>0</v>
      </c>
      <c r="O55" s="6">
        <f>'2024 CONTRACTOR DO NOT TOUCH'!O55</f>
        <v>0</v>
      </c>
      <c r="P55" s="6">
        <f>'2024 CONTRACTOR DO NOT TOUCH'!P55</f>
        <v>0</v>
      </c>
      <c r="Q55" s="6">
        <f>'2024 CONTRACTOR DO NOT TOUCH'!Q55</f>
        <v>0</v>
      </c>
      <c r="R55" s="6">
        <f>'2024 CONTRACTOR DO NOT TOUCH'!R55</f>
        <v>0</v>
      </c>
      <c r="S55" s="6" t="str">
        <f>'2024 CONTRACTOR DO NOT TOUCH'!S55</f>
        <v>TESTED</v>
      </c>
      <c r="T55" s="6" t="str">
        <f>'2024 CONTRACTOR DO NOT TOUCH'!T55</f>
        <v>Passed</v>
      </c>
      <c r="U55" s="6">
        <f>'2024 CONTRACTOR DO NOT TOUCH'!U55</f>
        <v>0</v>
      </c>
      <c r="V55" s="6">
        <f>'2024 CONTRACTOR DO NOT TOUCH'!V55</f>
        <v>0</v>
      </c>
      <c r="W55" s="6">
        <f>'2024 CONTRACTOR DO NOT TOUCH'!W55</f>
        <v>0</v>
      </c>
      <c r="X55" s="6">
        <f>'2024 CONTRACTOR DO NOT TOUCH'!X55</f>
        <v>0</v>
      </c>
      <c r="Y55" s="6">
        <f>'2024 CONTRACTOR DO NOT TOUCH'!Y55</f>
        <v>0</v>
      </c>
    </row>
    <row r="56" spans="1:25" ht="12.6">
      <c r="A56" s="4" t="str">
        <f>'2024 CONTRACTOR DO NOT TOUCH'!A56</f>
        <v>9000</v>
      </c>
      <c r="B56" s="4" t="str">
        <f>'2024 CONTRACTOR DO NOT TOUCH'!B56</f>
        <v>CLINIC</v>
      </c>
      <c r="C56" s="4" t="str">
        <f>'2024 CONTRACTOR DO NOT TOUCH'!C56</f>
        <v>94937</v>
      </c>
      <c r="D56" s="4" t="str">
        <f>'2024 CONTRACTOR DO NOT TOUCH'!D56</f>
        <v>WATTS</v>
      </c>
      <c r="E56" s="4" t="str">
        <f>'2024 CONTRACTOR DO NOT TOUCH'!E56</f>
        <v>LF009M2QT</v>
      </c>
      <c r="F56" s="4" t="str">
        <f>'2024 CONTRACTOR DO NOT TOUCH'!F56</f>
        <v>RP</v>
      </c>
      <c r="G56" s="4" t="str">
        <f>'2024 CONTRACTOR DO NOT TOUCH'!G56</f>
        <v>0.5</v>
      </c>
      <c r="H56" s="4">
        <f>'2024 CONTRACTOR DO NOT TOUCH'!H56</f>
        <v>0</v>
      </c>
      <c r="I56" s="4" t="str">
        <f>'2024 CONTRACTOR DO NOT TOUCH'!I56</f>
        <v>HOUSEKEEPING RM 286</v>
      </c>
      <c r="J56" s="4" t="str">
        <f>'2024 CONTRACTOR DO NOT TOUCH'!J56</f>
        <v>INPREMISE</v>
      </c>
      <c r="K56" s="4" t="str">
        <f>'2024 CONTRACTOR DO NOT TOUCH'!K56</f>
        <v>AOI</v>
      </c>
      <c r="L56" s="4" t="str">
        <f>'2024 CONTRACTOR DO NOT TOUCH'!L56</f>
        <v>ACTIVE</v>
      </c>
      <c r="M56" s="5">
        <f>'2024 CONTRACTOR DO NOT TOUCH'!M56</f>
        <v>44757</v>
      </c>
      <c r="N56" s="4">
        <f>'2024 CONTRACTOR DO NOT TOUCH'!N56</f>
        <v>0</v>
      </c>
      <c r="O56" s="4">
        <f>'2024 CONTRACTOR DO NOT TOUCH'!O56</f>
        <v>0</v>
      </c>
      <c r="P56" s="4">
        <f>'2024 CONTRACTOR DO NOT TOUCH'!P56</f>
        <v>0</v>
      </c>
      <c r="Q56" s="4">
        <f>'2024 CONTRACTOR DO NOT TOUCH'!Q56</f>
        <v>0</v>
      </c>
      <c r="R56" s="4">
        <f>'2024 CONTRACTOR DO NOT TOUCH'!R56</f>
        <v>0</v>
      </c>
      <c r="S56" s="4" t="str">
        <f>'2024 CONTRACTOR DO NOT TOUCH'!S56</f>
        <v>TESTED</v>
      </c>
      <c r="T56" s="4" t="str">
        <f>'2024 CONTRACTOR DO NOT TOUCH'!T56</f>
        <v>PASSED</v>
      </c>
      <c r="U56" s="4">
        <f>'2024 CONTRACTOR DO NOT TOUCH'!U56</f>
        <v>0</v>
      </c>
      <c r="V56" s="4">
        <f>'2024 CONTRACTOR DO NOT TOUCH'!V56</f>
        <v>0</v>
      </c>
      <c r="W56" s="4">
        <f>'2024 CONTRACTOR DO NOT TOUCH'!W56</f>
        <v>0</v>
      </c>
      <c r="X56" s="4">
        <f>'2024 CONTRACTOR DO NOT TOUCH'!X56</f>
        <v>0</v>
      </c>
      <c r="Y56" s="4">
        <f>'2024 CONTRACTOR DO NOT TOUCH'!Y56</f>
        <v>0</v>
      </c>
    </row>
    <row r="57" spans="1:25" ht="12.6">
      <c r="A57" s="6" t="str">
        <f>'2024 CONTRACTOR DO NOT TOUCH'!A57</f>
        <v>9000</v>
      </c>
      <c r="B57" s="6" t="str">
        <f>'2024 CONTRACTOR DO NOT TOUCH'!B57</f>
        <v>CLINIC</v>
      </c>
      <c r="C57" s="6" t="str">
        <f>'2024 CONTRACTOR DO NOT TOUCH'!C57</f>
        <v>1029</v>
      </c>
      <c r="D57" s="6" t="str">
        <f>'2024 CONTRACTOR DO NOT TOUCH'!D57</f>
        <v>FEBCO</v>
      </c>
      <c r="E57" s="6" t="str">
        <f>'2024 CONTRACTOR DO NOT TOUCH'!E57</f>
        <v>825YD</v>
      </c>
      <c r="F57" s="6" t="str">
        <f>'2024 CONTRACTOR DO NOT TOUCH'!F57</f>
        <v>RP</v>
      </c>
      <c r="G57" s="6" t="str">
        <f>'2024 CONTRACTOR DO NOT TOUCH'!G57</f>
        <v>4.0</v>
      </c>
      <c r="H57" s="6">
        <f>'2024 CONTRACTOR DO NOT TOUCH'!H57</f>
        <v>0</v>
      </c>
      <c r="I57" s="6" t="str">
        <f>'2024 CONTRACTOR DO NOT TOUCH'!I57</f>
        <v xml:space="preserve">RM 304 EAST WALL DOMESTIC </v>
      </c>
      <c r="J57" s="6" t="str">
        <f>'2024 CONTRACTOR DO NOT TOUCH'!J57</f>
        <v>PREMISE</v>
      </c>
      <c r="K57" s="6" t="str">
        <f>'2024 CONTRACTOR DO NOT TOUCH'!K57</f>
        <v>PREMISE</v>
      </c>
      <c r="L57" s="6" t="str">
        <f>'2024 CONTRACTOR DO NOT TOUCH'!L57</f>
        <v>ACTIVE</v>
      </c>
      <c r="M57" s="7">
        <f>'2024 CONTRACTOR DO NOT TOUCH'!M57</f>
        <v>44764</v>
      </c>
      <c r="N57" s="6">
        <f>'2024 CONTRACTOR DO NOT TOUCH'!N57</f>
        <v>0</v>
      </c>
      <c r="O57" s="6">
        <f>'2024 CONTRACTOR DO NOT TOUCH'!O57</f>
        <v>0</v>
      </c>
      <c r="P57" s="6">
        <f>'2024 CONTRACTOR DO NOT TOUCH'!P57</f>
        <v>0</v>
      </c>
      <c r="Q57" s="6">
        <f>'2024 CONTRACTOR DO NOT TOUCH'!Q57</f>
        <v>0</v>
      </c>
      <c r="R57" s="6">
        <f>'2024 CONTRACTOR DO NOT TOUCH'!R57</f>
        <v>0</v>
      </c>
      <c r="S57" s="6" t="str">
        <f>'2024 CONTRACTOR DO NOT TOUCH'!S57</f>
        <v>TESTED</v>
      </c>
      <c r="T57" s="6" t="str">
        <f>'2024 CONTRACTOR DO NOT TOUCH'!T57</f>
        <v>PASSED</v>
      </c>
      <c r="U57" s="6">
        <f>'2024 CONTRACTOR DO NOT TOUCH'!U57</f>
        <v>0</v>
      </c>
      <c r="V57" s="6">
        <f>'2024 CONTRACTOR DO NOT TOUCH'!V57</f>
        <v>0</v>
      </c>
      <c r="W57" s="6">
        <f>'2024 CONTRACTOR DO NOT TOUCH'!W57</f>
        <v>0</v>
      </c>
      <c r="X57" s="6">
        <f>'2024 CONTRACTOR DO NOT TOUCH'!X57</f>
        <v>0</v>
      </c>
      <c r="Y57" s="6">
        <f>'2024 CONTRACTOR DO NOT TOUCH'!Y57</f>
        <v>0</v>
      </c>
    </row>
    <row r="58" spans="1:25" ht="12.6">
      <c r="A58" s="4" t="str">
        <f>'2024 CONTRACTOR DO NOT TOUCH'!A58</f>
        <v>9000</v>
      </c>
      <c r="B58" s="4" t="str">
        <f>'2024 CONTRACTOR DO NOT TOUCH'!B58</f>
        <v>CLINIC</v>
      </c>
      <c r="C58" s="4" t="str">
        <f>'2024 CONTRACTOR DO NOT TOUCH'!C58</f>
        <v>1030</v>
      </c>
      <c r="D58" s="4" t="str">
        <f>'2024 CONTRACTOR DO NOT TOUCH'!D58</f>
        <v>FEBCO</v>
      </c>
      <c r="E58" s="4" t="str">
        <f>'2024 CONTRACTOR DO NOT TOUCH'!E58</f>
        <v>825YD</v>
      </c>
      <c r="F58" s="4" t="str">
        <f>'2024 CONTRACTOR DO NOT TOUCH'!F58</f>
        <v>RP</v>
      </c>
      <c r="G58" s="4" t="str">
        <f>'2024 CONTRACTOR DO NOT TOUCH'!G58</f>
        <v>4.0</v>
      </c>
      <c r="H58" s="4">
        <f>'2024 CONTRACTOR DO NOT TOUCH'!H58</f>
        <v>0</v>
      </c>
      <c r="I58" s="4" t="str">
        <f>'2024 CONTRACTOR DO NOT TOUCH'!I58</f>
        <v>RM 304 EAST WALL DOMESTIC</v>
      </c>
      <c r="J58" s="4" t="str">
        <f>'2024 CONTRACTOR DO NOT TOUCH'!J58</f>
        <v>PREMISE</v>
      </c>
      <c r="K58" s="4" t="str">
        <f>'2024 CONTRACTOR DO NOT TOUCH'!K58</f>
        <v>PREMISE</v>
      </c>
      <c r="L58" s="4" t="str">
        <f>'2024 CONTRACTOR DO NOT TOUCH'!L58</f>
        <v>ACTIVE</v>
      </c>
      <c r="M58" s="5">
        <f>'2024 CONTRACTOR DO NOT TOUCH'!M58</f>
        <v>44764</v>
      </c>
      <c r="N58" s="4">
        <f>'2024 CONTRACTOR DO NOT TOUCH'!N58</f>
        <v>0</v>
      </c>
      <c r="O58" s="4">
        <f>'2024 CONTRACTOR DO NOT TOUCH'!O58</f>
        <v>0</v>
      </c>
      <c r="P58" s="4">
        <f>'2024 CONTRACTOR DO NOT TOUCH'!P58</f>
        <v>0</v>
      </c>
      <c r="Q58" s="4">
        <f>'2024 CONTRACTOR DO NOT TOUCH'!Q58</f>
        <v>0</v>
      </c>
      <c r="R58" s="4">
        <f>'2024 CONTRACTOR DO NOT TOUCH'!R58</f>
        <v>0</v>
      </c>
      <c r="S58" s="4" t="str">
        <f>'2024 CONTRACTOR DO NOT TOUCH'!S58</f>
        <v>TESTED</v>
      </c>
      <c r="T58" s="4" t="str">
        <f>'2024 CONTRACTOR DO NOT TOUCH'!T58</f>
        <v>Passed</v>
      </c>
      <c r="U58" s="4">
        <f>'2024 CONTRACTOR DO NOT TOUCH'!U58</f>
        <v>0</v>
      </c>
      <c r="V58" s="4">
        <f>'2024 CONTRACTOR DO NOT TOUCH'!V58</f>
        <v>0</v>
      </c>
      <c r="W58" s="4">
        <f>'2024 CONTRACTOR DO NOT TOUCH'!W58</f>
        <v>0</v>
      </c>
      <c r="X58" s="4">
        <f>'2024 CONTRACTOR DO NOT TOUCH'!X58</f>
        <v>0</v>
      </c>
      <c r="Y58" s="4">
        <f>'2024 CONTRACTOR DO NOT TOUCH'!Y58</f>
        <v>0</v>
      </c>
    </row>
    <row r="59" spans="1:25" ht="12.6">
      <c r="A59" s="6" t="str">
        <f>'2024 CONTRACTOR DO NOT TOUCH'!A59</f>
        <v>9000</v>
      </c>
      <c r="B59" s="6" t="str">
        <f>'2024 CONTRACTOR DO NOT TOUCH'!B59</f>
        <v>CLINIC</v>
      </c>
      <c r="C59" s="6" t="str">
        <f>'2024 CONTRACTOR DO NOT TOUCH'!C59</f>
        <v>88888</v>
      </c>
      <c r="D59" s="6" t="str">
        <f>'2024 CONTRACTOR DO NOT TOUCH'!D59</f>
        <v>WATTS</v>
      </c>
      <c r="E59" s="6" t="str">
        <f>'2024 CONTRACTOR DO NOT TOUCH'!E59</f>
        <v>LF009M2QT</v>
      </c>
      <c r="F59" s="6" t="str">
        <f>'2024 CONTRACTOR DO NOT TOUCH'!F59</f>
        <v>RP</v>
      </c>
      <c r="G59" s="6" t="str">
        <f>'2024 CONTRACTOR DO NOT TOUCH'!G59</f>
        <v>0.5</v>
      </c>
      <c r="H59" s="6">
        <f>'2024 CONTRACTOR DO NOT TOUCH'!H59</f>
        <v>0</v>
      </c>
      <c r="I59" s="6" t="str">
        <f>'2024 CONTRACTOR DO NOT TOUCH'!I59</f>
        <v xml:space="preserve">HOUSEKEEPING RM 345 </v>
      </c>
      <c r="J59" s="6" t="str">
        <f>'2024 CONTRACTOR DO NOT TOUCH'!J59</f>
        <v>INPREMISE</v>
      </c>
      <c r="K59" s="6" t="str">
        <f>'2024 CONTRACTOR DO NOT TOUCH'!K59</f>
        <v>AOI</v>
      </c>
      <c r="L59" s="6" t="str">
        <f>'2024 CONTRACTOR DO NOT TOUCH'!L59</f>
        <v>ACTIVE</v>
      </c>
      <c r="M59" s="7">
        <f>'2024 CONTRACTOR DO NOT TOUCH'!M59</f>
        <v>44757</v>
      </c>
      <c r="N59" s="6">
        <f>'2024 CONTRACTOR DO NOT TOUCH'!N59</f>
        <v>0</v>
      </c>
      <c r="O59" s="6">
        <f>'2024 CONTRACTOR DO NOT TOUCH'!O59</f>
        <v>0</v>
      </c>
      <c r="P59" s="6">
        <f>'2024 CONTRACTOR DO NOT TOUCH'!P59</f>
        <v>0</v>
      </c>
      <c r="Q59" s="6">
        <f>'2024 CONTRACTOR DO NOT TOUCH'!Q59</f>
        <v>0</v>
      </c>
      <c r="R59" s="6">
        <f>'2024 CONTRACTOR DO NOT TOUCH'!R59</f>
        <v>0</v>
      </c>
      <c r="S59" s="6" t="str">
        <f>'2024 CONTRACTOR DO NOT TOUCH'!S59</f>
        <v>TESTED</v>
      </c>
      <c r="T59" s="6" t="str">
        <f>'2024 CONTRACTOR DO NOT TOUCH'!T59</f>
        <v>Passed</v>
      </c>
      <c r="U59" s="6">
        <f>'2024 CONTRACTOR DO NOT TOUCH'!U59</f>
        <v>0</v>
      </c>
      <c r="V59" s="6">
        <f>'2024 CONTRACTOR DO NOT TOUCH'!V59</f>
        <v>0</v>
      </c>
      <c r="W59" s="6">
        <f>'2024 CONTRACTOR DO NOT TOUCH'!W59</f>
        <v>0</v>
      </c>
      <c r="X59" s="6">
        <f>'2024 CONTRACTOR DO NOT TOUCH'!X59</f>
        <v>0</v>
      </c>
      <c r="Y59" s="6">
        <f>'2024 CONTRACTOR DO NOT TOUCH'!Y59</f>
        <v>0</v>
      </c>
    </row>
    <row r="60" spans="1:25" ht="12.6">
      <c r="A60" s="4" t="str">
        <f>'2024 CONTRACTOR DO NOT TOUCH'!A60</f>
        <v>9000</v>
      </c>
      <c r="B60" s="4" t="str">
        <f>'2024 CONTRACTOR DO NOT TOUCH'!B60</f>
        <v>CLINIC</v>
      </c>
      <c r="C60" s="4" t="str">
        <f>'2024 CONTRACTOR DO NOT TOUCH'!C60</f>
        <v>95608</v>
      </c>
      <c r="D60" s="4" t="str">
        <f>'2024 CONTRACTOR DO NOT TOUCH'!D60</f>
        <v>WATTS</v>
      </c>
      <c r="E60" s="4" t="str">
        <f>'2024 CONTRACTOR DO NOT TOUCH'!E60</f>
        <v>LF009M2QT</v>
      </c>
      <c r="F60" s="4" t="str">
        <f>'2024 CONTRACTOR DO NOT TOUCH'!F60</f>
        <v>RP</v>
      </c>
      <c r="G60" s="4" t="str">
        <f>'2024 CONTRACTOR DO NOT TOUCH'!G60</f>
        <v>0.5</v>
      </c>
      <c r="H60" s="4">
        <f>'2024 CONTRACTOR DO NOT TOUCH'!H60</f>
        <v>0</v>
      </c>
      <c r="I60" s="4" t="str">
        <f>'2024 CONTRACTOR DO NOT TOUCH'!I60</f>
        <v xml:space="preserve">HOUSEKEEPING RM 345 </v>
      </c>
      <c r="J60" s="4" t="str">
        <f>'2024 CONTRACTOR DO NOT TOUCH'!J60</f>
        <v>INPREMISE</v>
      </c>
      <c r="K60" s="4" t="str">
        <f>'2024 CONTRACTOR DO NOT TOUCH'!K60</f>
        <v>AOI</v>
      </c>
      <c r="L60" s="4" t="str">
        <f>'2024 CONTRACTOR DO NOT TOUCH'!L60</f>
        <v>ACTIVE</v>
      </c>
      <c r="M60" s="5">
        <f>'2024 CONTRACTOR DO NOT TOUCH'!M60</f>
        <v>44757</v>
      </c>
      <c r="N60" s="4">
        <f>'2024 CONTRACTOR DO NOT TOUCH'!N60</f>
        <v>0</v>
      </c>
      <c r="O60" s="4">
        <f>'2024 CONTRACTOR DO NOT TOUCH'!O60</f>
        <v>0</v>
      </c>
      <c r="P60" s="4">
        <f>'2024 CONTRACTOR DO NOT TOUCH'!P60</f>
        <v>0</v>
      </c>
      <c r="Q60" s="4">
        <f>'2024 CONTRACTOR DO NOT TOUCH'!Q60</f>
        <v>0</v>
      </c>
      <c r="R60" s="4">
        <f>'2024 CONTRACTOR DO NOT TOUCH'!R60</f>
        <v>0</v>
      </c>
      <c r="S60" s="4" t="str">
        <f>'2024 CONTRACTOR DO NOT TOUCH'!S60</f>
        <v>TESTED</v>
      </c>
      <c r="T60" s="4" t="str">
        <f>'2024 CONTRACTOR DO NOT TOUCH'!T60</f>
        <v>Passed</v>
      </c>
      <c r="U60" s="4">
        <f>'2024 CONTRACTOR DO NOT TOUCH'!U60</f>
        <v>0</v>
      </c>
      <c r="V60" s="4">
        <f>'2024 CONTRACTOR DO NOT TOUCH'!V60</f>
        <v>0</v>
      </c>
      <c r="W60" s="4">
        <f>'2024 CONTRACTOR DO NOT TOUCH'!W60</f>
        <v>0</v>
      </c>
      <c r="X60" s="4">
        <f>'2024 CONTRACTOR DO NOT TOUCH'!X60</f>
        <v>0</v>
      </c>
      <c r="Y60" s="4">
        <f>'2024 CONTRACTOR DO NOT TOUCH'!Y60</f>
        <v>0</v>
      </c>
    </row>
    <row r="61" spans="1:25" ht="12.6">
      <c r="A61" s="6" t="str">
        <f>'2024 CONTRACTOR DO NOT TOUCH'!A61</f>
        <v>9002</v>
      </c>
      <c r="B61" s="6" t="str">
        <f>'2024 CONTRACTOR DO NOT TOUCH'!B61</f>
        <v>CLINIC</v>
      </c>
      <c r="C61" s="6" t="str">
        <f>'2024 CONTRACTOR DO NOT TOUCH'!C61</f>
        <v>JK0019</v>
      </c>
      <c r="D61" s="6" t="str">
        <f>'2024 CONTRACTOR DO NOT TOUCH'!D61</f>
        <v>AMES</v>
      </c>
      <c r="E61" s="6" t="str">
        <f>'2024 CONTRACTOR DO NOT TOUCH'!E61</f>
        <v>COLT 200</v>
      </c>
      <c r="F61" s="6" t="str">
        <f>'2024 CONTRACTOR DO NOT TOUCH'!F61</f>
        <v>DC</v>
      </c>
      <c r="G61" s="6" t="str">
        <f>'2024 CONTRACTOR DO NOT TOUCH'!G61</f>
        <v>2.5</v>
      </c>
      <c r="H61" s="6">
        <f>'2024 CONTRACTOR DO NOT TOUCH'!H61</f>
        <v>0</v>
      </c>
      <c r="I61" s="6" t="str">
        <f>'2024 CONTRACTOR DO NOT TOUCH'!I61</f>
        <v>SOUTHWEST CORNER OF BLDG FIRE LINE</v>
      </c>
      <c r="J61" s="6" t="str">
        <f>'2024 CONTRACTOR DO NOT TOUCH'!J61</f>
        <v>PREMISE</v>
      </c>
      <c r="K61" s="6" t="str">
        <f>'2024 CONTRACTOR DO NOT TOUCH'!K61</f>
        <v>FIRE</v>
      </c>
      <c r="L61" s="6" t="str">
        <f>'2024 CONTRACTOR DO NOT TOUCH'!L61</f>
        <v>ACTIVE</v>
      </c>
      <c r="M61" s="7">
        <f>'2024 CONTRACTOR DO NOT TOUCH'!M61</f>
        <v>44757</v>
      </c>
      <c r="N61" s="6">
        <f>'2024 CONTRACTOR DO NOT TOUCH'!N61</f>
        <v>0</v>
      </c>
      <c r="O61" s="6">
        <f>'2024 CONTRACTOR DO NOT TOUCH'!O61</f>
        <v>0</v>
      </c>
      <c r="P61" s="6">
        <f>'2024 CONTRACTOR DO NOT TOUCH'!P61</f>
        <v>0</v>
      </c>
      <c r="Q61" s="6">
        <f>'2024 CONTRACTOR DO NOT TOUCH'!Q61</f>
        <v>0</v>
      </c>
      <c r="R61" s="6">
        <f>'2024 CONTRACTOR DO NOT TOUCH'!R61</f>
        <v>0</v>
      </c>
      <c r="S61" s="6" t="str">
        <f>'2024 CONTRACTOR DO NOT TOUCH'!S61</f>
        <v>TESTED</v>
      </c>
      <c r="T61" s="6" t="str">
        <f>'2024 CONTRACTOR DO NOT TOUCH'!T61</f>
        <v>PASSED</v>
      </c>
      <c r="U61" s="6" t="str">
        <f>'2024 CONTRACTOR DO NOT TOUCH'!U61</f>
        <v>PASSED</v>
      </c>
      <c r="V61" s="6" t="str">
        <f>'2024 CONTRACTOR DO NOT TOUCH'!V61</f>
        <v>EXISTING</v>
      </c>
      <c r="W61" s="6" t="str">
        <f>'2024 CONTRACTOR DO NOT TOUCH'!W61</f>
        <v>EXISTING</v>
      </c>
      <c r="X61" s="6">
        <f>'2024 CONTRACTOR DO NOT TOUCH'!X61</f>
        <v>0</v>
      </c>
      <c r="Y61" s="6">
        <f>'2024 CONTRACTOR DO NOT TOUCH'!Y61</f>
        <v>0</v>
      </c>
    </row>
    <row r="62" spans="1:25" ht="12.6">
      <c r="A62" s="4" t="str">
        <f>'2024 CONTRACTOR DO NOT TOUCH'!A62</f>
        <v>9002</v>
      </c>
      <c r="B62" s="4" t="str">
        <f>'2024 CONTRACTOR DO NOT TOUCH'!B62</f>
        <v>CLINIC</v>
      </c>
      <c r="C62" s="4" t="str">
        <f>'2024 CONTRACTOR DO NOT TOUCH'!C62</f>
        <v>ABK9502</v>
      </c>
      <c r="D62" s="4" t="str">
        <f>'2024 CONTRACTOR DO NOT TOUCH'!D62</f>
        <v>WILKINS</v>
      </c>
      <c r="E62" s="4" t="str">
        <f>'2024 CONTRACTOR DO NOT TOUCH'!E62</f>
        <v>975XL2</v>
      </c>
      <c r="F62" s="4" t="str">
        <f>'2024 CONTRACTOR DO NOT TOUCH'!F62</f>
        <v>DC</v>
      </c>
      <c r="G62" s="4" t="str">
        <f>'2024 CONTRACTOR DO NOT TOUCH'!G62</f>
        <v>0.75</v>
      </c>
      <c r="H62" s="4">
        <f>'2024 CONTRACTOR DO NOT TOUCH'!H62</f>
        <v>0</v>
      </c>
      <c r="I62" s="4" t="str">
        <f>'2024 CONTRACTOR DO NOT TOUCH'!I62</f>
        <v>UNDER SINK IN BATHROOM</v>
      </c>
      <c r="J62" s="4" t="str">
        <f>'2024 CONTRACTOR DO NOT TOUCH'!J62</f>
        <v>INPREMISE</v>
      </c>
      <c r="K62" s="4" t="str">
        <f>'2024 CONTRACTOR DO NOT TOUCH'!K62</f>
        <v>PREMISE</v>
      </c>
      <c r="L62" s="4" t="str">
        <f>'2024 CONTRACTOR DO NOT TOUCH'!L62</f>
        <v>ACTIVE</v>
      </c>
      <c r="M62" s="5">
        <f>'2024 CONTRACTOR DO NOT TOUCH'!M62</f>
        <v>44768</v>
      </c>
      <c r="N62" s="4">
        <f>'2024 CONTRACTOR DO NOT TOUCH'!N62</f>
        <v>0</v>
      </c>
      <c r="O62" s="4">
        <f>'2024 CONTRACTOR DO NOT TOUCH'!O62</f>
        <v>0</v>
      </c>
      <c r="P62" s="4">
        <f>'2024 CONTRACTOR DO NOT TOUCH'!P62</f>
        <v>0</v>
      </c>
      <c r="Q62" s="4">
        <f>'2024 CONTRACTOR DO NOT TOUCH'!Q62</f>
        <v>0</v>
      </c>
      <c r="R62" s="4">
        <f>'2024 CONTRACTOR DO NOT TOUCH'!R62</f>
        <v>0</v>
      </c>
      <c r="S62" s="4" t="str">
        <f>'2024 CONTRACTOR DO NOT TOUCH'!S62</f>
        <v>TESTED</v>
      </c>
      <c r="T62" s="4" t="str">
        <f>'2024 CONTRACTOR DO NOT TOUCH'!T62</f>
        <v>PASSED</v>
      </c>
      <c r="U62" s="4" t="str">
        <f>'2024 CONTRACTOR DO NOT TOUCH'!U62</f>
        <v>Y</v>
      </c>
      <c r="V62" s="4">
        <f>'2024 CONTRACTOR DO NOT TOUCH'!V62</f>
        <v>0</v>
      </c>
      <c r="W62" s="4">
        <f>'2024 CONTRACTOR DO NOT TOUCH'!W62</f>
        <v>0</v>
      </c>
      <c r="X62" s="4">
        <f>'2024 CONTRACTOR DO NOT TOUCH'!X62</f>
        <v>0</v>
      </c>
      <c r="Y62" s="4" t="str">
        <f>'2024 CONTRACTOR DO NOT TOUCH'!Y62</f>
        <v>REPLACED W184134</v>
      </c>
    </row>
    <row r="63" spans="1:25" ht="12.6">
      <c r="A63" s="6" t="str">
        <f>'2024 CONTRACTOR DO NOT TOUCH'!A63</f>
        <v>9008</v>
      </c>
      <c r="B63" s="6" t="str">
        <f>'2024 CONTRACTOR DO NOT TOUCH'!B63</f>
        <v>CLINIC</v>
      </c>
      <c r="C63" s="6" t="str">
        <f>'2024 CONTRACTOR DO NOT TOUCH'!C63</f>
        <v>1060</v>
      </c>
      <c r="D63" s="6" t="str">
        <f>'2024 CONTRACTOR DO NOT TOUCH'!D63</f>
        <v>FEBCO</v>
      </c>
      <c r="E63" s="6" t="str">
        <f>'2024 CONTRACTOR DO NOT TOUCH'!E63</f>
        <v>825YD</v>
      </c>
      <c r="F63" s="6" t="str">
        <f>'2024 CONTRACTOR DO NOT TOUCH'!F63</f>
        <v>RP</v>
      </c>
      <c r="G63" s="6" t="str">
        <f>'2024 CONTRACTOR DO NOT TOUCH'!G63</f>
        <v>3.0</v>
      </c>
      <c r="H63" s="6">
        <f>'2024 CONTRACTOR DO NOT TOUCH'!H63</f>
        <v>0</v>
      </c>
      <c r="I63" s="6" t="str">
        <f>'2024 CONTRACTOR DO NOT TOUCH'!I63</f>
        <v>DOG HOUSE</v>
      </c>
      <c r="J63" s="6" t="str">
        <f>'2024 CONTRACTOR DO NOT TOUCH'!J63</f>
        <v>PREMISE</v>
      </c>
      <c r="K63" s="6" t="str">
        <f>'2024 CONTRACTOR DO NOT TOUCH'!K63</f>
        <v>PREMISE</v>
      </c>
      <c r="L63" s="6" t="str">
        <f>'2024 CONTRACTOR DO NOT TOUCH'!L63</f>
        <v>ACTIVE</v>
      </c>
      <c r="M63" s="7">
        <f>'2024 CONTRACTOR DO NOT TOUCH'!M63</f>
        <v>44768</v>
      </c>
      <c r="N63" s="6">
        <f>'2024 CONTRACTOR DO NOT TOUCH'!N63</f>
        <v>0</v>
      </c>
      <c r="O63" s="6">
        <f>'2024 CONTRACTOR DO NOT TOUCH'!O63</f>
        <v>0</v>
      </c>
      <c r="P63" s="6">
        <f>'2024 CONTRACTOR DO NOT TOUCH'!P63</f>
        <v>0</v>
      </c>
      <c r="Q63" s="6">
        <f>'2024 CONTRACTOR DO NOT TOUCH'!Q63</f>
        <v>0</v>
      </c>
      <c r="R63" s="6">
        <f>'2024 CONTRACTOR DO NOT TOUCH'!R63</f>
        <v>0</v>
      </c>
      <c r="S63" s="6" t="str">
        <f>'2024 CONTRACTOR DO NOT TOUCH'!S63</f>
        <v>TESTED</v>
      </c>
      <c r="T63" s="6" t="str">
        <f>'2024 CONTRACTOR DO NOT TOUCH'!T63</f>
        <v>PASSED</v>
      </c>
      <c r="U63" s="6" t="str">
        <f>'2024 CONTRACTOR DO NOT TOUCH'!U63</f>
        <v>Y</v>
      </c>
      <c r="V63" s="6">
        <f>'2024 CONTRACTOR DO NOT TOUCH'!V63</f>
        <v>0</v>
      </c>
      <c r="W63" s="6">
        <f>'2024 CONTRACTOR DO NOT TOUCH'!W63</f>
        <v>0</v>
      </c>
      <c r="X63" s="6">
        <f>'2024 CONTRACTOR DO NOT TOUCH'!X63</f>
        <v>0</v>
      </c>
      <c r="Y63" s="6">
        <f>'2024 CONTRACTOR DO NOT TOUCH'!Y63</f>
        <v>0</v>
      </c>
    </row>
    <row r="64" spans="1:25" ht="12.6">
      <c r="A64" s="4" t="str">
        <f>'2024 CONTRACTOR DO NOT TOUCH'!A64</f>
        <v>9008</v>
      </c>
      <c r="B64" s="4" t="str">
        <f>'2024 CONTRACTOR DO NOT TOUCH'!B64</f>
        <v>CLINIC</v>
      </c>
      <c r="C64" s="4" t="str">
        <f>'2024 CONTRACTOR DO NOT TOUCH'!C64</f>
        <v>1061</v>
      </c>
      <c r="D64" s="4" t="str">
        <f>'2024 CONTRACTOR DO NOT TOUCH'!D64</f>
        <v>FEBCO</v>
      </c>
      <c r="E64" s="4" t="str">
        <f>'2024 CONTRACTOR DO NOT TOUCH'!E64</f>
        <v>825YD</v>
      </c>
      <c r="F64" s="4" t="str">
        <f>'2024 CONTRACTOR DO NOT TOUCH'!F64</f>
        <v>RP</v>
      </c>
      <c r="G64" s="4" t="str">
        <f>'2024 CONTRACTOR DO NOT TOUCH'!G64</f>
        <v>3.0</v>
      </c>
      <c r="H64" s="4">
        <f>'2024 CONTRACTOR DO NOT TOUCH'!H64</f>
        <v>0</v>
      </c>
      <c r="I64" s="4" t="str">
        <f>'2024 CONTRACTOR DO NOT TOUCH'!I64</f>
        <v>DOG HOUSE</v>
      </c>
      <c r="J64" s="4" t="str">
        <f>'2024 CONTRACTOR DO NOT TOUCH'!J64</f>
        <v>PREMISE</v>
      </c>
      <c r="K64" s="4" t="str">
        <f>'2024 CONTRACTOR DO NOT TOUCH'!K64</f>
        <v>PREMISE</v>
      </c>
      <c r="L64" s="4" t="str">
        <f>'2024 CONTRACTOR DO NOT TOUCH'!L64</f>
        <v>ACTIVE</v>
      </c>
      <c r="M64" s="5">
        <f>'2024 CONTRACTOR DO NOT TOUCH'!M64</f>
        <v>44768</v>
      </c>
      <c r="N64" s="4">
        <f>'2024 CONTRACTOR DO NOT TOUCH'!N64</f>
        <v>0</v>
      </c>
      <c r="O64" s="4">
        <f>'2024 CONTRACTOR DO NOT TOUCH'!O64</f>
        <v>0</v>
      </c>
      <c r="P64" s="4">
        <f>'2024 CONTRACTOR DO NOT TOUCH'!P64</f>
        <v>0</v>
      </c>
      <c r="Q64" s="4">
        <f>'2024 CONTRACTOR DO NOT TOUCH'!Q64</f>
        <v>0</v>
      </c>
      <c r="R64" s="4">
        <f>'2024 CONTRACTOR DO NOT TOUCH'!R64</f>
        <v>0</v>
      </c>
      <c r="S64" s="4" t="str">
        <f>'2024 CONTRACTOR DO NOT TOUCH'!S64</f>
        <v>TESTED</v>
      </c>
      <c r="T64" s="4" t="str">
        <f>'2024 CONTRACTOR DO NOT TOUCH'!T64</f>
        <v>PASSED</v>
      </c>
      <c r="U64" s="4" t="str">
        <f>'2024 CONTRACTOR DO NOT TOUCH'!U64</f>
        <v>Y</v>
      </c>
      <c r="V64" s="4">
        <f>'2024 CONTRACTOR DO NOT TOUCH'!V64</f>
        <v>0</v>
      </c>
      <c r="W64" s="4">
        <f>'2024 CONTRACTOR DO NOT TOUCH'!W64</f>
        <v>0</v>
      </c>
      <c r="X64" s="4">
        <f>'2024 CONTRACTOR DO NOT TOUCH'!X64</f>
        <v>0</v>
      </c>
      <c r="Y64" s="4">
        <f>'2024 CONTRACTOR DO NOT TOUCH'!Y64</f>
        <v>0</v>
      </c>
    </row>
    <row r="65" spans="1:25" ht="12.6">
      <c r="A65" s="6" t="str">
        <f>'2024 CONTRACTOR DO NOT TOUCH'!A65</f>
        <v>9008</v>
      </c>
      <c r="B65" s="6" t="str">
        <f>'2024 CONTRACTOR DO NOT TOUCH'!B65</f>
        <v>CLINIC</v>
      </c>
      <c r="C65" s="6" t="str">
        <f>'2024 CONTRACTOR DO NOT TOUCH'!C65</f>
        <v>04572</v>
      </c>
      <c r="D65" s="6" t="str">
        <f>'2024 CONTRACTOR DO NOT TOUCH'!D65</f>
        <v>WATTS</v>
      </c>
      <c r="E65" s="6" t="str">
        <f>'2024 CONTRACTOR DO NOT TOUCH'!E65</f>
        <v>009M2QT</v>
      </c>
      <c r="F65" s="6" t="str">
        <f>'2024 CONTRACTOR DO NOT TOUCH'!F65</f>
        <v>RP</v>
      </c>
      <c r="G65" s="6" t="str">
        <f>'2024 CONTRACTOR DO NOT TOUCH'!G65</f>
        <v>1.25</v>
      </c>
      <c r="H65" s="6">
        <f>'2024 CONTRACTOR DO NOT TOUCH'!H65</f>
        <v>0</v>
      </c>
      <c r="I65" s="6" t="str">
        <f>'2024 CONTRACTOR DO NOT TOUCH'!I65</f>
        <v>MECH RM 123 ON LEFT RACK #1 FOR STERILIZER</v>
      </c>
      <c r="J65" s="6" t="str">
        <f>'2024 CONTRACTOR DO NOT TOUCH'!J65</f>
        <v>INPREMISE</v>
      </c>
      <c r="K65" s="6" t="str">
        <f>'2024 CONTRACTOR DO NOT TOUCH'!K65</f>
        <v>AOI</v>
      </c>
      <c r="L65" s="6" t="str">
        <f>'2024 CONTRACTOR DO NOT TOUCH'!L65</f>
        <v>ACTIVE</v>
      </c>
      <c r="M65" s="7">
        <f>'2024 CONTRACTOR DO NOT TOUCH'!M65</f>
        <v>44767</v>
      </c>
      <c r="N65" s="6">
        <f>'2024 CONTRACTOR DO NOT TOUCH'!N65</f>
        <v>0</v>
      </c>
      <c r="O65" s="6">
        <f>'2024 CONTRACTOR DO NOT TOUCH'!O65</f>
        <v>0</v>
      </c>
      <c r="P65" s="6">
        <f>'2024 CONTRACTOR DO NOT TOUCH'!P65</f>
        <v>0</v>
      </c>
      <c r="Q65" s="6">
        <f>'2024 CONTRACTOR DO NOT TOUCH'!Q65</f>
        <v>0</v>
      </c>
      <c r="R65" s="6">
        <f>'2024 CONTRACTOR DO NOT TOUCH'!R65</f>
        <v>0</v>
      </c>
      <c r="S65" s="6" t="str">
        <f>'2024 CONTRACTOR DO NOT TOUCH'!S65</f>
        <v>TESTED</v>
      </c>
      <c r="T65" s="6" t="str">
        <f>'2024 CONTRACTOR DO NOT TOUCH'!T65</f>
        <v>PASSED</v>
      </c>
      <c r="U65" s="6">
        <f>'2024 CONTRACTOR DO NOT TOUCH'!U65</f>
        <v>0</v>
      </c>
      <c r="V65" s="6">
        <f>'2024 CONTRACTOR DO NOT TOUCH'!V65</f>
        <v>0</v>
      </c>
      <c r="W65" s="6">
        <f>'2024 CONTRACTOR DO NOT TOUCH'!W65</f>
        <v>0</v>
      </c>
      <c r="X65" s="6">
        <f>'2024 CONTRACTOR DO NOT TOUCH'!X65</f>
        <v>0</v>
      </c>
      <c r="Y65" s="6">
        <f>'2024 CONTRACTOR DO NOT TOUCH'!Y65</f>
        <v>0</v>
      </c>
    </row>
    <row r="66" spans="1:25" ht="12.6">
      <c r="A66" s="4" t="str">
        <f>'2024 CONTRACTOR DO NOT TOUCH'!A66</f>
        <v>9008</v>
      </c>
      <c r="B66" s="4" t="str">
        <f>'2024 CONTRACTOR DO NOT TOUCH'!B66</f>
        <v>CLINIC</v>
      </c>
      <c r="C66" s="4" t="str">
        <f>'2024 CONTRACTOR DO NOT TOUCH'!C66</f>
        <v>16669</v>
      </c>
      <c r="D66" s="4" t="str">
        <f>'2024 CONTRACTOR DO NOT TOUCH'!D66</f>
        <v>WATTS</v>
      </c>
      <c r="E66" s="4" t="str">
        <f>'2024 CONTRACTOR DO NOT TOUCH'!E66</f>
        <v>009M2QT</v>
      </c>
      <c r="F66" s="4" t="str">
        <f>'2024 CONTRACTOR DO NOT TOUCH'!F66</f>
        <v>RP</v>
      </c>
      <c r="G66" s="4" t="str">
        <f>'2024 CONTRACTOR DO NOT TOUCH'!G66</f>
        <v>1.25</v>
      </c>
      <c r="H66" s="4">
        <f>'2024 CONTRACTOR DO NOT TOUCH'!H66</f>
        <v>0</v>
      </c>
      <c r="I66" s="4" t="str">
        <f>'2024 CONTRACTOR DO NOT TOUCH'!I66</f>
        <v>MECH RM 123 ON LEFT RACK #2 FOR STERILIZER</v>
      </c>
      <c r="J66" s="4" t="str">
        <f>'2024 CONTRACTOR DO NOT TOUCH'!J66</f>
        <v>INPREMISE</v>
      </c>
      <c r="K66" s="4" t="str">
        <f>'2024 CONTRACTOR DO NOT TOUCH'!K66</f>
        <v>AOI</v>
      </c>
      <c r="L66" s="4" t="str">
        <f>'2024 CONTRACTOR DO NOT TOUCH'!L66</f>
        <v>ACTIVE</v>
      </c>
      <c r="M66" s="5">
        <f>'2024 CONTRACTOR DO NOT TOUCH'!M66</f>
        <v>44767</v>
      </c>
      <c r="N66" s="4">
        <f>'2024 CONTRACTOR DO NOT TOUCH'!N66</f>
        <v>0</v>
      </c>
      <c r="O66" s="4">
        <f>'2024 CONTRACTOR DO NOT TOUCH'!O66</f>
        <v>0</v>
      </c>
      <c r="P66" s="4">
        <f>'2024 CONTRACTOR DO NOT TOUCH'!P66</f>
        <v>0</v>
      </c>
      <c r="Q66" s="4">
        <f>'2024 CONTRACTOR DO NOT TOUCH'!Q66</f>
        <v>0</v>
      </c>
      <c r="R66" s="4">
        <f>'2024 CONTRACTOR DO NOT TOUCH'!R66</f>
        <v>0</v>
      </c>
      <c r="S66" s="4" t="str">
        <f>'2024 CONTRACTOR DO NOT TOUCH'!S66</f>
        <v>TESTED</v>
      </c>
      <c r="T66" s="4" t="str">
        <f>'2024 CONTRACTOR DO NOT TOUCH'!T66</f>
        <v>PASSED</v>
      </c>
      <c r="U66" s="4">
        <f>'2024 CONTRACTOR DO NOT TOUCH'!U66</f>
        <v>0</v>
      </c>
      <c r="V66" s="4">
        <f>'2024 CONTRACTOR DO NOT TOUCH'!V66</f>
        <v>0</v>
      </c>
      <c r="W66" s="4">
        <f>'2024 CONTRACTOR DO NOT TOUCH'!W66</f>
        <v>0</v>
      </c>
      <c r="X66" s="4">
        <f>'2024 CONTRACTOR DO NOT TOUCH'!X66</f>
        <v>0</v>
      </c>
      <c r="Y66" s="4">
        <f>'2024 CONTRACTOR DO NOT TOUCH'!Y66</f>
        <v>0</v>
      </c>
    </row>
    <row r="67" spans="1:25" ht="12.6">
      <c r="A67" s="6" t="str">
        <f>'2024 CONTRACTOR DO NOT TOUCH'!A67</f>
        <v>9008</v>
      </c>
      <c r="B67" s="6" t="str">
        <f>'2024 CONTRACTOR DO NOT TOUCH'!B67</f>
        <v>CLINIC</v>
      </c>
      <c r="C67" s="6" t="str">
        <f>'2024 CONTRACTOR DO NOT TOUCH'!C67</f>
        <v>125595</v>
      </c>
      <c r="D67" s="6" t="str">
        <f>'2024 CONTRACTOR DO NOT TOUCH'!D67</f>
        <v>WATTS</v>
      </c>
      <c r="E67" s="6" t="str">
        <f>'2024 CONTRACTOR DO NOT TOUCH'!E67</f>
        <v>LF009M2QT</v>
      </c>
      <c r="F67" s="6" t="str">
        <f>'2024 CONTRACTOR DO NOT TOUCH'!F67</f>
        <v>RP</v>
      </c>
      <c r="G67" s="6" t="str">
        <f>'2024 CONTRACTOR DO NOT TOUCH'!G67</f>
        <v>1.0</v>
      </c>
      <c r="H67" s="6">
        <f>'2024 CONTRACTOR DO NOT TOUCH'!H67</f>
        <v>0</v>
      </c>
      <c r="I67" s="6" t="str">
        <f>'2024 CONTRACTOR DO NOT TOUCH'!I67</f>
        <v>MECH RM 123 ON LEFT RACK #3 FOR STERILIZER</v>
      </c>
      <c r="J67" s="6" t="str">
        <f>'2024 CONTRACTOR DO NOT TOUCH'!J67</f>
        <v>INPREMISE</v>
      </c>
      <c r="K67" s="6" t="str">
        <f>'2024 CONTRACTOR DO NOT TOUCH'!K67</f>
        <v>AOI</v>
      </c>
      <c r="L67" s="6" t="str">
        <f>'2024 CONTRACTOR DO NOT TOUCH'!L67</f>
        <v>ACTIVE</v>
      </c>
      <c r="M67" s="7">
        <f>'2024 CONTRACTOR DO NOT TOUCH'!M67</f>
        <v>44767</v>
      </c>
      <c r="N67" s="6">
        <f>'2024 CONTRACTOR DO NOT TOUCH'!N67</f>
        <v>0</v>
      </c>
      <c r="O67" s="6">
        <f>'2024 CONTRACTOR DO NOT TOUCH'!O67</f>
        <v>0</v>
      </c>
      <c r="P67" s="6">
        <f>'2024 CONTRACTOR DO NOT TOUCH'!P67</f>
        <v>0</v>
      </c>
      <c r="Q67" s="6">
        <f>'2024 CONTRACTOR DO NOT TOUCH'!Q67</f>
        <v>0</v>
      </c>
      <c r="R67" s="6">
        <f>'2024 CONTRACTOR DO NOT TOUCH'!R67</f>
        <v>0</v>
      </c>
      <c r="S67" s="6" t="str">
        <f>'2024 CONTRACTOR DO NOT TOUCH'!S67</f>
        <v>TESTED</v>
      </c>
      <c r="T67" s="6" t="str">
        <f>'2024 CONTRACTOR DO NOT TOUCH'!T67</f>
        <v>PASSED</v>
      </c>
      <c r="U67" s="6">
        <f>'2024 CONTRACTOR DO NOT TOUCH'!U67</f>
        <v>0</v>
      </c>
      <c r="V67" s="6">
        <f>'2024 CONTRACTOR DO NOT TOUCH'!V67</f>
        <v>0</v>
      </c>
      <c r="W67" s="6">
        <f>'2024 CONTRACTOR DO NOT TOUCH'!W67</f>
        <v>0</v>
      </c>
      <c r="X67" s="6">
        <f>'2024 CONTRACTOR DO NOT TOUCH'!X67</f>
        <v>0</v>
      </c>
      <c r="Y67" s="6">
        <f>'2024 CONTRACTOR DO NOT TOUCH'!Y67</f>
        <v>0</v>
      </c>
    </row>
    <row r="68" spans="1:25" ht="12.6">
      <c r="A68" s="4" t="str">
        <f>'2024 CONTRACTOR DO NOT TOUCH'!A68</f>
        <v>9008</v>
      </c>
      <c r="B68" s="4" t="str">
        <f>'2024 CONTRACTOR DO NOT TOUCH'!B68</f>
        <v>CLINIC</v>
      </c>
      <c r="C68" s="4" t="str">
        <f>'2024 CONTRACTOR DO NOT TOUCH'!C68</f>
        <v>125609</v>
      </c>
      <c r="D68" s="4" t="str">
        <f>'2024 CONTRACTOR DO NOT TOUCH'!D68</f>
        <v>WATTS</v>
      </c>
      <c r="E68" s="4" t="str">
        <f>'2024 CONTRACTOR DO NOT TOUCH'!E68</f>
        <v>LF009M2QT</v>
      </c>
      <c r="F68" s="4" t="str">
        <f>'2024 CONTRACTOR DO NOT TOUCH'!F68</f>
        <v>RP</v>
      </c>
      <c r="G68" s="4" t="str">
        <f>'2024 CONTRACTOR DO NOT TOUCH'!G68</f>
        <v>1.0</v>
      </c>
      <c r="H68" s="4">
        <f>'2024 CONTRACTOR DO NOT TOUCH'!H68</f>
        <v>0</v>
      </c>
      <c r="I68" s="4" t="str">
        <f>'2024 CONTRACTOR DO NOT TOUCH'!I68</f>
        <v>MECH RM 123 ON LEFT RACK #4 FOR STERILIZER</v>
      </c>
      <c r="J68" s="4" t="str">
        <f>'2024 CONTRACTOR DO NOT TOUCH'!J68</f>
        <v>INPREMISE</v>
      </c>
      <c r="K68" s="4" t="str">
        <f>'2024 CONTRACTOR DO NOT TOUCH'!K68</f>
        <v>AOI</v>
      </c>
      <c r="L68" s="4" t="str">
        <f>'2024 CONTRACTOR DO NOT TOUCH'!L68</f>
        <v>ACTIVE</v>
      </c>
      <c r="M68" s="5">
        <f>'2024 CONTRACTOR DO NOT TOUCH'!M68</f>
        <v>44767</v>
      </c>
      <c r="N68" s="4">
        <f>'2024 CONTRACTOR DO NOT TOUCH'!N68</f>
        <v>0</v>
      </c>
      <c r="O68" s="4">
        <f>'2024 CONTRACTOR DO NOT TOUCH'!O68</f>
        <v>0</v>
      </c>
      <c r="P68" s="4">
        <f>'2024 CONTRACTOR DO NOT TOUCH'!P68</f>
        <v>0</v>
      </c>
      <c r="Q68" s="4">
        <f>'2024 CONTRACTOR DO NOT TOUCH'!Q68</f>
        <v>0</v>
      </c>
      <c r="R68" s="4">
        <f>'2024 CONTRACTOR DO NOT TOUCH'!R68</f>
        <v>0</v>
      </c>
      <c r="S68" s="4" t="str">
        <f>'2024 CONTRACTOR DO NOT TOUCH'!S68</f>
        <v>TESTED</v>
      </c>
      <c r="T68" s="4" t="str">
        <f>'2024 CONTRACTOR DO NOT TOUCH'!T68</f>
        <v>PASSED</v>
      </c>
      <c r="U68" s="4">
        <f>'2024 CONTRACTOR DO NOT TOUCH'!U68</f>
        <v>0</v>
      </c>
      <c r="V68" s="4">
        <f>'2024 CONTRACTOR DO NOT TOUCH'!V68</f>
        <v>0</v>
      </c>
      <c r="W68" s="4">
        <f>'2024 CONTRACTOR DO NOT TOUCH'!W68</f>
        <v>0</v>
      </c>
      <c r="X68" s="4">
        <f>'2024 CONTRACTOR DO NOT TOUCH'!X68</f>
        <v>0</v>
      </c>
      <c r="Y68" s="4">
        <f>'2024 CONTRACTOR DO NOT TOUCH'!Y68</f>
        <v>0</v>
      </c>
    </row>
    <row r="69" spans="1:25" ht="12.6">
      <c r="A69" s="6" t="str">
        <f>'2024 CONTRACTOR DO NOT TOUCH'!A69</f>
        <v>9008</v>
      </c>
      <c r="B69" s="6" t="str">
        <f>'2024 CONTRACTOR DO NOT TOUCH'!B69</f>
        <v>CLINIC</v>
      </c>
      <c r="C69" s="6" t="str">
        <f>'2024 CONTRACTOR DO NOT TOUCH'!C69</f>
        <v>125608</v>
      </c>
      <c r="D69" s="6" t="str">
        <f>'2024 CONTRACTOR DO NOT TOUCH'!D69</f>
        <v>WATTS</v>
      </c>
      <c r="E69" s="6" t="str">
        <f>'2024 CONTRACTOR DO NOT TOUCH'!E69</f>
        <v>LF009M2QT</v>
      </c>
      <c r="F69" s="6" t="str">
        <f>'2024 CONTRACTOR DO NOT TOUCH'!F69</f>
        <v>RP</v>
      </c>
      <c r="G69" s="6" t="str">
        <f>'2024 CONTRACTOR DO NOT TOUCH'!G69</f>
        <v>1.0</v>
      </c>
      <c r="H69" s="6">
        <f>'2024 CONTRACTOR DO NOT TOUCH'!H69</f>
        <v>0</v>
      </c>
      <c r="I69" s="6" t="str">
        <f>'2024 CONTRACTOR DO NOT TOUCH'!I69</f>
        <v>MECH RM 123 ON LEFT RACK #5 FOR STERILIZER</v>
      </c>
      <c r="J69" s="6" t="str">
        <f>'2024 CONTRACTOR DO NOT TOUCH'!J69</f>
        <v>INPREMISE</v>
      </c>
      <c r="K69" s="6" t="str">
        <f>'2024 CONTRACTOR DO NOT TOUCH'!K69</f>
        <v>AOI</v>
      </c>
      <c r="L69" s="6" t="str">
        <f>'2024 CONTRACTOR DO NOT TOUCH'!L69</f>
        <v>ACTIVE</v>
      </c>
      <c r="M69" s="7">
        <f>'2024 CONTRACTOR DO NOT TOUCH'!M69</f>
        <v>44767</v>
      </c>
      <c r="N69" s="6">
        <f>'2024 CONTRACTOR DO NOT TOUCH'!N69</f>
        <v>0</v>
      </c>
      <c r="O69" s="6">
        <f>'2024 CONTRACTOR DO NOT TOUCH'!O69</f>
        <v>0</v>
      </c>
      <c r="P69" s="6">
        <f>'2024 CONTRACTOR DO NOT TOUCH'!P69</f>
        <v>0</v>
      </c>
      <c r="Q69" s="6">
        <f>'2024 CONTRACTOR DO NOT TOUCH'!Q69</f>
        <v>0</v>
      </c>
      <c r="R69" s="6">
        <f>'2024 CONTRACTOR DO NOT TOUCH'!R69</f>
        <v>0</v>
      </c>
      <c r="S69" s="6" t="str">
        <f>'2024 CONTRACTOR DO NOT TOUCH'!S69</f>
        <v>TESTED</v>
      </c>
      <c r="T69" s="6" t="str">
        <f>'2024 CONTRACTOR DO NOT TOUCH'!T69</f>
        <v>PASSED</v>
      </c>
      <c r="U69" s="6">
        <f>'2024 CONTRACTOR DO NOT TOUCH'!U69</f>
        <v>0</v>
      </c>
      <c r="V69" s="6">
        <f>'2024 CONTRACTOR DO NOT TOUCH'!V69</f>
        <v>0</v>
      </c>
      <c r="W69" s="6">
        <f>'2024 CONTRACTOR DO NOT TOUCH'!W69</f>
        <v>0</v>
      </c>
      <c r="X69" s="6">
        <f>'2024 CONTRACTOR DO NOT TOUCH'!X69</f>
        <v>0</v>
      </c>
      <c r="Y69" s="6">
        <f>'2024 CONTRACTOR DO NOT TOUCH'!Y69</f>
        <v>0</v>
      </c>
    </row>
    <row r="70" spans="1:25" ht="12.6">
      <c r="A70" s="4" t="str">
        <f>'2024 CONTRACTOR DO NOT TOUCH'!A70</f>
        <v>9008</v>
      </c>
      <c r="B70" s="4" t="str">
        <f>'2024 CONTRACTOR DO NOT TOUCH'!B70</f>
        <v>CLINIC</v>
      </c>
      <c r="C70" s="4" t="str">
        <f>'2024 CONTRACTOR DO NOT TOUCH'!C70</f>
        <v>16664</v>
      </c>
      <c r="D70" s="4" t="str">
        <f>'2024 CONTRACTOR DO NOT TOUCH'!D70</f>
        <v>WATTS</v>
      </c>
      <c r="E70" s="4" t="str">
        <f>'2024 CONTRACTOR DO NOT TOUCH'!E70</f>
        <v>009M2QT</v>
      </c>
      <c r="F70" s="4" t="str">
        <f>'2024 CONTRACTOR DO NOT TOUCH'!F70</f>
        <v>RP</v>
      </c>
      <c r="G70" s="4" t="str">
        <f>'2024 CONTRACTOR DO NOT TOUCH'!G70</f>
        <v>1.25</v>
      </c>
      <c r="H70" s="4">
        <f>'2024 CONTRACTOR DO NOT TOUCH'!H70</f>
        <v>0</v>
      </c>
      <c r="I70" s="4" t="str">
        <f>'2024 CONTRACTOR DO NOT TOUCH'!I70</f>
        <v>MECH RM 123 ON RIGHT RACK #1 FOR STERILIZER</v>
      </c>
      <c r="J70" s="4" t="str">
        <f>'2024 CONTRACTOR DO NOT TOUCH'!J70</f>
        <v>INPREMISE</v>
      </c>
      <c r="K70" s="4" t="str">
        <f>'2024 CONTRACTOR DO NOT TOUCH'!K70</f>
        <v>AOI</v>
      </c>
      <c r="L70" s="4" t="str">
        <f>'2024 CONTRACTOR DO NOT TOUCH'!L70</f>
        <v>ACTIVE</v>
      </c>
      <c r="M70" s="5">
        <f>'2024 CONTRACTOR DO NOT TOUCH'!M70</f>
        <v>44764</v>
      </c>
      <c r="N70" s="4">
        <f>'2024 CONTRACTOR DO NOT TOUCH'!N70</f>
        <v>0</v>
      </c>
      <c r="O70" s="4">
        <f>'2024 CONTRACTOR DO NOT TOUCH'!O70</f>
        <v>0</v>
      </c>
      <c r="P70" s="4">
        <f>'2024 CONTRACTOR DO NOT TOUCH'!P70</f>
        <v>0</v>
      </c>
      <c r="Q70" s="4">
        <f>'2024 CONTRACTOR DO NOT TOUCH'!Q70</f>
        <v>0</v>
      </c>
      <c r="R70" s="4">
        <f>'2024 CONTRACTOR DO NOT TOUCH'!R70</f>
        <v>0</v>
      </c>
      <c r="S70" s="4" t="str">
        <f>'2024 CONTRACTOR DO NOT TOUCH'!S70</f>
        <v>TESTED</v>
      </c>
      <c r="T70" s="4" t="str">
        <f>'2024 CONTRACTOR DO NOT TOUCH'!T70</f>
        <v>Passed</v>
      </c>
      <c r="U70" s="4">
        <f>'2024 CONTRACTOR DO NOT TOUCH'!U70</f>
        <v>0</v>
      </c>
      <c r="V70" s="4">
        <f>'2024 CONTRACTOR DO NOT TOUCH'!V70</f>
        <v>0</v>
      </c>
      <c r="W70" s="4">
        <f>'2024 CONTRACTOR DO NOT TOUCH'!W70</f>
        <v>0</v>
      </c>
      <c r="X70" s="4">
        <f>'2024 CONTRACTOR DO NOT TOUCH'!X70</f>
        <v>0</v>
      </c>
      <c r="Y70" s="4">
        <f>'2024 CONTRACTOR DO NOT TOUCH'!Y70</f>
        <v>0</v>
      </c>
    </row>
    <row r="71" spans="1:25" ht="12.6">
      <c r="A71" s="6" t="str">
        <f>'2024 CONTRACTOR DO NOT TOUCH'!A71</f>
        <v>9008</v>
      </c>
      <c r="B71" s="6" t="str">
        <f>'2024 CONTRACTOR DO NOT TOUCH'!B71</f>
        <v>CLINIC</v>
      </c>
      <c r="C71" s="6" t="str">
        <f>'2024 CONTRACTOR DO NOT TOUCH'!C71</f>
        <v>12219</v>
      </c>
      <c r="D71" s="6" t="str">
        <f>'2024 CONTRACTOR DO NOT TOUCH'!D71</f>
        <v>WATTS</v>
      </c>
      <c r="E71" s="6" t="str">
        <f>'2024 CONTRACTOR DO NOT TOUCH'!E71</f>
        <v>009M2QT</v>
      </c>
      <c r="F71" s="6" t="str">
        <f>'2024 CONTRACTOR DO NOT TOUCH'!F71</f>
        <v>RP</v>
      </c>
      <c r="G71" s="6" t="str">
        <f>'2024 CONTRACTOR DO NOT TOUCH'!G71</f>
        <v>1.25</v>
      </c>
      <c r="H71" s="6">
        <f>'2024 CONTRACTOR DO NOT TOUCH'!H71</f>
        <v>0</v>
      </c>
      <c r="I71" s="6" t="str">
        <f>'2024 CONTRACTOR DO NOT TOUCH'!I71</f>
        <v>MECH RM 123 ON RIGHT RACK #2 FOR STERILIZER</v>
      </c>
      <c r="J71" s="6" t="str">
        <f>'2024 CONTRACTOR DO NOT TOUCH'!J71</f>
        <v>INPREMISE</v>
      </c>
      <c r="K71" s="6" t="str">
        <f>'2024 CONTRACTOR DO NOT TOUCH'!K71</f>
        <v>AOI</v>
      </c>
      <c r="L71" s="6" t="str">
        <f>'2024 CONTRACTOR DO NOT TOUCH'!L71</f>
        <v>ACTIVE</v>
      </c>
      <c r="M71" s="7">
        <f>'2024 CONTRACTOR DO NOT TOUCH'!M71</f>
        <v>44767</v>
      </c>
      <c r="N71" s="6">
        <f>'2024 CONTRACTOR DO NOT TOUCH'!N71</f>
        <v>0</v>
      </c>
      <c r="O71" s="6">
        <f>'2024 CONTRACTOR DO NOT TOUCH'!O71</f>
        <v>0</v>
      </c>
      <c r="P71" s="6">
        <f>'2024 CONTRACTOR DO NOT TOUCH'!P71</f>
        <v>0</v>
      </c>
      <c r="Q71" s="6">
        <f>'2024 CONTRACTOR DO NOT TOUCH'!Q71</f>
        <v>0</v>
      </c>
      <c r="R71" s="6">
        <f>'2024 CONTRACTOR DO NOT TOUCH'!R71</f>
        <v>0</v>
      </c>
      <c r="S71" s="6" t="str">
        <f>'2024 CONTRACTOR DO NOT TOUCH'!S71</f>
        <v>TESTED</v>
      </c>
      <c r="T71" s="6" t="str">
        <f>'2024 CONTRACTOR DO NOT TOUCH'!T71</f>
        <v>Passed</v>
      </c>
      <c r="U71" s="6" t="str">
        <f>'2024 CONTRACTOR DO NOT TOUCH'!U71</f>
        <v>y</v>
      </c>
      <c r="V71" s="6">
        <f>'2024 CONTRACTOR DO NOT TOUCH'!V71</f>
        <v>0</v>
      </c>
      <c r="W71" s="6">
        <f>'2024 CONTRACTOR DO NOT TOUCH'!W71</f>
        <v>0</v>
      </c>
      <c r="X71" s="6">
        <f>'2024 CONTRACTOR DO NOT TOUCH'!X71</f>
        <v>0</v>
      </c>
      <c r="Y71" s="6">
        <f>'2024 CONTRACTOR DO NOT TOUCH'!Y71</f>
        <v>0</v>
      </c>
    </row>
    <row r="72" spans="1:25" ht="12.6">
      <c r="A72" s="4" t="str">
        <f>'2024 CONTRACTOR DO NOT TOUCH'!A72</f>
        <v>9008</v>
      </c>
      <c r="B72" s="4" t="str">
        <f>'2024 CONTRACTOR DO NOT TOUCH'!B72</f>
        <v>CLINIC</v>
      </c>
      <c r="C72" s="4" t="str">
        <f>'2024 CONTRACTOR DO NOT TOUCH'!C72</f>
        <v>157198</v>
      </c>
      <c r="D72" s="4" t="str">
        <f>'2024 CONTRACTOR DO NOT TOUCH'!D72</f>
        <v>WATTS</v>
      </c>
      <c r="E72" s="4" t="str">
        <f>'2024 CONTRACTOR DO NOT TOUCH'!E72</f>
        <v>LF009QT</v>
      </c>
      <c r="F72" s="4" t="str">
        <f>'2024 CONTRACTOR DO NOT TOUCH'!F72</f>
        <v>RP</v>
      </c>
      <c r="G72" s="4" t="str">
        <f>'2024 CONTRACTOR DO NOT TOUCH'!G72</f>
        <v>0.5</v>
      </c>
      <c r="H72" s="4">
        <f>'2024 CONTRACTOR DO NOT TOUCH'!H72</f>
        <v>0</v>
      </c>
      <c r="I72" s="4" t="str">
        <f>'2024 CONTRACTOR DO NOT TOUCH'!I72</f>
        <v>MECH RM 123 ON RIGHT RACK #3 FOR STERILIZER</v>
      </c>
      <c r="J72" s="4" t="str">
        <f>'2024 CONTRACTOR DO NOT TOUCH'!J72</f>
        <v>INPREMISE</v>
      </c>
      <c r="K72" s="4" t="str">
        <f>'2024 CONTRACTOR DO NOT TOUCH'!K72</f>
        <v>AOI</v>
      </c>
      <c r="L72" s="4" t="str">
        <f>'2024 CONTRACTOR DO NOT TOUCH'!L72</f>
        <v>ACTIVE</v>
      </c>
      <c r="M72" s="5">
        <f>'2024 CONTRACTOR DO NOT TOUCH'!M72</f>
        <v>44767</v>
      </c>
      <c r="N72" s="4">
        <f>'2024 CONTRACTOR DO NOT TOUCH'!N72</f>
        <v>0</v>
      </c>
      <c r="O72" s="4">
        <f>'2024 CONTRACTOR DO NOT TOUCH'!O72</f>
        <v>0</v>
      </c>
      <c r="P72" s="4">
        <f>'2024 CONTRACTOR DO NOT TOUCH'!P72</f>
        <v>0</v>
      </c>
      <c r="Q72" s="4">
        <f>'2024 CONTRACTOR DO NOT TOUCH'!Q72</f>
        <v>0</v>
      </c>
      <c r="R72" s="4">
        <f>'2024 CONTRACTOR DO NOT TOUCH'!R72</f>
        <v>0</v>
      </c>
      <c r="S72" s="4" t="str">
        <f>'2024 CONTRACTOR DO NOT TOUCH'!S72</f>
        <v>TESTED</v>
      </c>
      <c r="T72" s="4" t="str">
        <f>'2024 CONTRACTOR DO NOT TOUCH'!T72</f>
        <v>PASSED</v>
      </c>
      <c r="U72" s="4">
        <f>'2024 CONTRACTOR DO NOT TOUCH'!U72</f>
        <v>0</v>
      </c>
      <c r="V72" s="4">
        <f>'2024 CONTRACTOR DO NOT TOUCH'!V72</f>
        <v>0</v>
      </c>
      <c r="W72" s="4">
        <f>'2024 CONTRACTOR DO NOT TOUCH'!W72</f>
        <v>0</v>
      </c>
      <c r="X72" s="4">
        <f>'2024 CONTRACTOR DO NOT TOUCH'!X72</f>
        <v>0</v>
      </c>
      <c r="Y72" s="4">
        <f>'2024 CONTRACTOR DO NOT TOUCH'!Y72</f>
        <v>0</v>
      </c>
    </row>
    <row r="73" spans="1:25" ht="12.6">
      <c r="A73" s="6" t="str">
        <f>'2024 CONTRACTOR DO NOT TOUCH'!A73</f>
        <v>9008</v>
      </c>
      <c r="B73" s="6" t="str">
        <f>'2024 CONTRACTOR DO NOT TOUCH'!B73</f>
        <v>CLINIC</v>
      </c>
      <c r="C73" s="6" t="str">
        <f>'2024 CONTRACTOR DO NOT TOUCH'!C73</f>
        <v>157215</v>
      </c>
      <c r="D73" s="6" t="str">
        <f>'2024 CONTRACTOR DO NOT TOUCH'!D73</f>
        <v>WATTS</v>
      </c>
      <c r="E73" s="6" t="str">
        <f>'2024 CONTRACTOR DO NOT TOUCH'!E73</f>
        <v>009QT</v>
      </c>
      <c r="F73" s="6" t="str">
        <f>'2024 CONTRACTOR DO NOT TOUCH'!F73</f>
        <v>RP</v>
      </c>
      <c r="G73" s="6" t="str">
        <f>'2024 CONTRACTOR DO NOT TOUCH'!G73</f>
        <v>0.5</v>
      </c>
      <c r="H73" s="6">
        <f>'2024 CONTRACTOR DO NOT TOUCH'!H73</f>
        <v>0</v>
      </c>
      <c r="I73" s="6" t="str">
        <f>'2024 CONTRACTOR DO NOT TOUCH'!I73</f>
        <v>MECH RM 123 ON RIGHT RACK #4 FOR STERILIZER</v>
      </c>
      <c r="J73" s="6" t="str">
        <f>'2024 CONTRACTOR DO NOT TOUCH'!J73</f>
        <v>INPREMISE</v>
      </c>
      <c r="K73" s="6" t="str">
        <f>'2024 CONTRACTOR DO NOT TOUCH'!K73</f>
        <v>AOI</v>
      </c>
      <c r="L73" s="6" t="str">
        <f>'2024 CONTRACTOR DO NOT TOUCH'!L73</f>
        <v>ACTIVE</v>
      </c>
      <c r="M73" s="7">
        <f>'2024 CONTRACTOR DO NOT TOUCH'!M73</f>
        <v>44767</v>
      </c>
      <c r="N73" s="6">
        <f>'2024 CONTRACTOR DO NOT TOUCH'!N73</f>
        <v>0</v>
      </c>
      <c r="O73" s="6">
        <f>'2024 CONTRACTOR DO NOT TOUCH'!O73</f>
        <v>0</v>
      </c>
      <c r="P73" s="6">
        <f>'2024 CONTRACTOR DO NOT TOUCH'!P73</f>
        <v>0</v>
      </c>
      <c r="Q73" s="6">
        <f>'2024 CONTRACTOR DO NOT TOUCH'!Q73</f>
        <v>0</v>
      </c>
      <c r="R73" s="6">
        <f>'2024 CONTRACTOR DO NOT TOUCH'!R73</f>
        <v>0</v>
      </c>
      <c r="S73" s="6" t="str">
        <f>'2024 CONTRACTOR DO NOT TOUCH'!S73</f>
        <v>TESTED</v>
      </c>
      <c r="T73" s="6" t="str">
        <f>'2024 CONTRACTOR DO NOT TOUCH'!T73</f>
        <v>PASSED</v>
      </c>
      <c r="U73" s="6">
        <f>'2024 CONTRACTOR DO NOT TOUCH'!U73</f>
        <v>0</v>
      </c>
      <c r="V73" s="6">
        <f>'2024 CONTRACTOR DO NOT TOUCH'!V73</f>
        <v>0</v>
      </c>
      <c r="W73" s="6">
        <f>'2024 CONTRACTOR DO NOT TOUCH'!W73</f>
        <v>0</v>
      </c>
      <c r="X73" s="6">
        <f>'2024 CONTRACTOR DO NOT TOUCH'!X73</f>
        <v>0</v>
      </c>
      <c r="Y73" s="6">
        <f>'2024 CONTRACTOR DO NOT TOUCH'!Y73</f>
        <v>0</v>
      </c>
    </row>
    <row r="74" spans="1:25" ht="12.6">
      <c r="A74" s="4" t="str">
        <f>'2024 CONTRACTOR DO NOT TOUCH'!A74</f>
        <v>9008</v>
      </c>
      <c r="B74" s="4" t="str">
        <f>'2024 CONTRACTOR DO NOT TOUCH'!B74</f>
        <v>CLINIC</v>
      </c>
      <c r="C74" s="4" t="str">
        <f>'2024 CONTRACTOR DO NOT TOUCH'!C74</f>
        <v>128983</v>
      </c>
      <c r="D74" s="4" t="str">
        <f>'2024 CONTRACTOR DO NOT TOUCH'!D74</f>
        <v>WATTS</v>
      </c>
      <c r="E74" s="4" t="str">
        <f>'2024 CONTRACTOR DO NOT TOUCH'!E74</f>
        <v>LF009M2QR</v>
      </c>
      <c r="F74" s="4" t="str">
        <f>'2024 CONTRACTOR DO NOT TOUCH'!F74</f>
        <v>RP</v>
      </c>
      <c r="G74" s="4" t="str">
        <f>'2024 CONTRACTOR DO NOT TOUCH'!G74</f>
        <v>1.0</v>
      </c>
      <c r="H74" s="4">
        <f>'2024 CONTRACTOR DO NOT TOUCH'!H74</f>
        <v>0</v>
      </c>
      <c r="I74" s="4" t="str">
        <f>'2024 CONTRACTOR DO NOT TOUCH'!I74</f>
        <v>MECH RM 123 ON RIGHT RACK #5 FOR STERILIZER</v>
      </c>
      <c r="J74" s="4" t="str">
        <f>'2024 CONTRACTOR DO NOT TOUCH'!J74</f>
        <v>INPREMISE</v>
      </c>
      <c r="K74" s="4" t="str">
        <f>'2024 CONTRACTOR DO NOT TOUCH'!K74</f>
        <v>AOI</v>
      </c>
      <c r="L74" s="4" t="str">
        <f>'2024 CONTRACTOR DO NOT TOUCH'!L74</f>
        <v>ACTIVE</v>
      </c>
      <c r="M74" s="5">
        <f>'2024 CONTRACTOR DO NOT TOUCH'!M74</f>
        <v>44767</v>
      </c>
      <c r="N74" s="4">
        <f>'2024 CONTRACTOR DO NOT TOUCH'!N74</f>
        <v>0</v>
      </c>
      <c r="O74" s="4">
        <f>'2024 CONTRACTOR DO NOT TOUCH'!O74</f>
        <v>0</v>
      </c>
      <c r="P74" s="4">
        <f>'2024 CONTRACTOR DO NOT TOUCH'!P74</f>
        <v>0</v>
      </c>
      <c r="Q74" s="4">
        <f>'2024 CONTRACTOR DO NOT TOUCH'!Q74</f>
        <v>0</v>
      </c>
      <c r="R74" s="4">
        <f>'2024 CONTRACTOR DO NOT TOUCH'!R74</f>
        <v>0</v>
      </c>
      <c r="S74" s="4" t="str">
        <f>'2024 CONTRACTOR DO NOT TOUCH'!S74</f>
        <v>TESTED</v>
      </c>
      <c r="T74" s="4" t="str">
        <f>'2024 CONTRACTOR DO NOT TOUCH'!T74</f>
        <v>PASSED</v>
      </c>
      <c r="U74" s="4">
        <f>'2024 CONTRACTOR DO NOT TOUCH'!U74</f>
        <v>0</v>
      </c>
      <c r="V74" s="4">
        <f>'2024 CONTRACTOR DO NOT TOUCH'!V74</f>
        <v>0</v>
      </c>
      <c r="W74" s="4">
        <f>'2024 CONTRACTOR DO NOT TOUCH'!W74</f>
        <v>0</v>
      </c>
      <c r="X74" s="4">
        <f>'2024 CONTRACTOR DO NOT TOUCH'!X74</f>
        <v>0</v>
      </c>
      <c r="Y74" s="4">
        <f>'2024 CONTRACTOR DO NOT TOUCH'!Y74</f>
        <v>0</v>
      </c>
    </row>
    <row r="75" spans="1:25" ht="12.6">
      <c r="A75" s="6" t="str">
        <f>'2024 CONTRACTOR DO NOT TOUCH'!A75</f>
        <v>9008</v>
      </c>
      <c r="B75" s="6" t="str">
        <f>'2024 CONTRACTOR DO NOT TOUCH'!B75</f>
        <v>CLINIC</v>
      </c>
      <c r="C75" s="6" t="str">
        <f>'2024 CONTRACTOR DO NOT TOUCH'!C75</f>
        <v>W122795</v>
      </c>
      <c r="D75" s="6" t="str">
        <f>'2024 CONTRACTOR DO NOT TOUCH'!D75</f>
        <v>WILKINS</v>
      </c>
      <c r="E75" s="6" t="str">
        <f>'2024 CONTRACTOR DO NOT TOUCH'!E75</f>
        <v>975XL</v>
      </c>
      <c r="F75" s="6" t="str">
        <f>'2024 CONTRACTOR DO NOT TOUCH'!F75</f>
        <v>RP</v>
      </c>
      <c r="G75" s="6" t="str">
        <f>'2024 CONTRACTOR DO NOT TOUCH'!G75</f>
        <v>1.0</v>
      </c>
      <c r="H75" s="6">
        <f>'2024 CONTRACTOR DO NOT TOUCH'!H75</f>
        <v>0</v>
      </c>
      <c r="I75" s="6" t="str">
        <f>'2024 CONTRACTOR DO NOT TOUCH'!I75</f>
        <v>MECH RM 123 EAST WALL BOILER MAKEUP</v>
      </c>
      <c r="J75" s="6" t="str">
        <f>'2024 CONTRACTOR DO NOT TOUCH'!J75</f>
        <v>INPREMISE</v>
      </c>
      <c r="K75" s="6" t="str">
        <f>'2024 CONTRACTOR DO NOT TOUCH'!K75</f>
        <v>AOI</v>
      </c>
      <c r="L75" s="6" t="str">
        <f>'2024 CONTRACTOR DO NOT TOUCH'!L75</f>
        <v>ACTIVE</v>
      </c>
      <c r="M75" s="7">
        <f>'2024 CONTRACTOR DO NOT TOUCH'!M75</f>
        <v>44767</v>
      </c>
      <c r="N75" s="6">
        <f>'2024 CONTRACTOR DO NOT TOUCH'!N75</f>
        <v>0</v>
      </c>
      <c r="O75" s="6">
        <f>'2024 CONTRACTOR DO NOT TOUCH'!O75</f>
        <v>0</v>
      </c>
      <c r="P75" s="6">
        <f>'2024 CONTRACTOR DO NOT TOUCH'!P75</f>
        <v>0</v>
      </c>
      <c r="Q75" s="6">
        <f>'2024 CONTRACTOR DO NOT TOUCH'!Q75</f>
        <v>0</v>
      </c>
      <c r="R75" s="6">
        <f>'2024 CONTRACTOR DO NOT TOUCH'!R75</f>
        <v>0</v>
      </c>
      <c r="S75" s="6" t="str">
        <f>'2024 CONTRACTOR DO NOT TOUCH'!S75</f>
        <v>TESTED</v>
      </c>
      <c r="T75" s="6" t="str">
        <f>'2024 CONTRACTOR DO NOT TOUCH'!T75</f>
        <v>PASSED</v>
      </c>
      <c r="U75" s="6">
        <f>'2024 CONTRACTOR DO NOT TOUCH'!U75</f>
        <v>0</v>
      </c>
      <c r="V75" s="6">
        <f>'2024 CONTRACTOR DO NOT TOUCH'!V75</f>
        <v>0</v>
      </c>
      <c r="W75" s="6">
        <f>'2024 CONTRACTOR DO NOT TOUCH'!W75</f>
        <v>0</v>
      </c>
      <c r="X75" s="6">
        <f>'2024 CONTRACTOR DO NOT TOUCH'!X75</f>
        <v>0</v>
      </c>
      <c r="Y75" s="6">
        <f>'2024 CONTRACTOR DO NOT TOUCH'!Y75</f>
        <v>0</v>
      </c>
    </row>
    <row r="76" spans="1:25" ht="12.6">
      <c r="A76" s="4" t="str">
        <f>'2024 CONTRACTOR DO NOT TOUCH'!A76</f>
        <v>9008</v>
      </c>
      <c r="B76" s="4" t="str">
        <f>'2024 CONTRACTOR DO NOT TOUCH'!B76</f>
        <v>CLINIC</v>
      </c>
      <c r="C76" s="4" t="str">
        <f>'2024 CONTRACTOR DO NOT TOUCH'!C76</f>
        <v>9902101454</v>
      </c>
      <c r="D76" s="4" t="str">
        <f>'2024 CONTRACTOR DO NOT TOUCH'!D76</f>
        <v>FEBCO</v>
      </c>
      <c r="E76" s="4" t="str">
        <f>'2024 CONTRACTOR DO NOT TOUCH'!E76</f>
        <v>850</v>
      </c>
      <c r="F76" s="4" t="str">
        <f>'2024 CONTRACTOR DO NOT TOUCH'!F76</f>
        <v>DC</v>
      </c>
      <c r="G76" s="4" t="str">
        <f>'2024 CONTRACTOR DO NOT TOUCH'!G76</f>
        <v>6.0</v>
      </c>
      <c r="H76" s="4">
        <f>'2024 CONTRACTOR DO NOT TOUCH'!H76</f>
        <v>0</v>
      </c>
      <c r="I76" s="4" t="str">
        <f>'2024 CONTRACTOR DO NOT TOUCH'!I76</f>
        <v>ROOM 148 ON FIRE LINE</v>
      </c>
      <c r="J76" s="4" t="str">
        <f>'2024 CONTRACTOR DO NOT TOUCH'!J76</f>
        <v>PREMISE</v>
      </c>
      <c r="K76" s="4" t="str">
        <f>'2024 CONTRACTOR DO NOT TOUCH'!K76</f>
        <v>FIRE</v>
      </c>
      <c r="L76" s="4" t="str">
        <f>'2024 CONTRACTOR DO NOT TOUCH'!L76</f>
        <v>ACTIVE</v>
      </c>
      <c r="M76" s="5">
        <f>'2024 CONTRACTOR DO NOT TOUCH'!M76</f>
        <v>0</v>
      </c>
      <c r="N76" s="4">
        <f>'2024 CONTRACTOR DO NOT TOUCH'!N76</f>
        <v>0</v>
      </c>
      <c r="O76" s="4">
        <f>'2024 CONTRACTOR DO NOT TOUCH'!O76</f>
        <v>0</v>
      </c>
      <c r="P76" s="4">
        <f>'2024 CONTRACTOR DO NOT TOUCH'!P76</f>
        <v>0</v>
      </c>
      <c r="Q76" s="4">
        <f>'2024 CONTRACTOR DO NOT TOUCH'!Q76</f>
        <v>0</v>
      </c>
      <c r="R76" s="4">
        <f>'2024 CONTRACTOR DO NOT TOUCH'!R76</f>
        <v>0</v>
      </c>
      <c r="S76" s="4" t="str">
        <f>'2024 CONTRACTOR DO NOT TOUCH'!S76</f>
        <v>UNTESTED</v>
      </c>
      <c r="T76" s="4" t="str">
        <f>'2024 CONTRACTOR DO NOT TOUCH'!T76</f>
        <v>FAILED</v>
      </c>
      <c r="U76" s="4" t="str">
        <f>'2024 CONTRACTOR DO NOT TOUCH'!U76</f>
        <v>PASSED</v>
      </c>
      <c r="V76" s="4" t="str">
        <f>'2024 CONTRACTOR DO NOT TOUCH'!V76</f>
        <v>EXISTING</v>
      </c>
      <c r="W76" s="4" t="str">
        <f>'2024 CONTRACTOR DO NOT TOUCH'!W76</f>
        <v>EXISTING</v>
      </c>
      <c r="X76" s="4">
        <f>'2024 CONTRACTOR DO NOT TOUCH'!X76</f>
        <v>0</v>
      </c>
      <c r="Y76" s="4">
        <f>'2024 CONTRACTOR DO NOT TOUCH'!Y76</f>
        <v>0</v>
      </c>
    </row>
    <row r="77" spans="1:25" ht="12.6">
      <c r="A77" s="6" t="str">
        <f>'2024 CONTRACTOR DO NOT TOUCH'!A77</f>
        <v>REFILL</v>
      </c>
      <c r="B77" s="6" t="str">
        <f>'2024 CONTRACTOR DO NOT TOUCH'!B77</f>
        <v>CLINIC</v>
      </c>
      <c r="C77" s="6" t="str">
        <f>'2024 CONTRACTOR DO NOT TOUCH'!C77</f>
        <v>V311918</v>
      </c>
      <c r="D77" s="6" t="str">
        <f>'2024 CONTRACTOR DO NOT TOUCH'!D77</f>
        <v>WILKINS</v>
      </c>
      <c r="E77" s="6" t="str">
        <f>'2024 CONTRACTOR DO NOT TOUCH'!E77</f>
        <v>350ADA</v>
      </c>
      <c r="F77" s="6" t="str">
        <f>'2024 CONTRACTOR DO NOT TOUCH'!F77</f>
        <v>DCDA</v>
      </c>
      <c r="G77" s="6" t="str">
        <f>'2024 CONTRACTOR DO NOT TOUCH'!G77</f>
        <v>4.0</v>
      </c>
      <c r="H77" s="6">
        <f>'2024 CONTRACTOR DO NOT TOUCH'!H77</f>
        <v>0</v>
      </c>
      <c r="I77" s="6" t="str">
        <f>'2024 CONTRACTOR DO NOT TOUCH'!I77</f>
        <v>FIRE SPRINKLER RM DCDA#1</v>
      </c>
      <c r="J77" s="6" t="str">
        <f>'2024 CONTRACTOR DO NOT TOUCH'!J77</f>
        <v>PREMISE</v>
      </c>
      <c r="K77" s="6" t="str">
        <f>'2024 CONTRACTOR DO NOT TOUCH'!K77</f>
        <v>FIRE</v>
      </c>
      <c r="L77" s="6" t="str">
        <f>'2024 CONTRACTOR DO NOT TOUCH'!L77</f>
        <v>ACTIVE</v>
      </c>
      <c r="M77" s="7">
        <f>'2024 CONTRACTOR DO NOT TOUCH'!M77</f>
        <v>0</v>
      </c>
      <c r="N77" s="6">
        <f>'2024 CONTRACTOR DO NOT TOUCH'!N77</f>
        <v>0</v>
      </c>
      <c r="O77" s="6">
        <f>'2024 CONTRACTOR DO NOT TOUCH'!O77</f>
        <v>0</v>
      </c>
      <c r="P77" s="6">
        <f>'2024 CONTRACTOR DO NOT TOUCH'!P77</f>
        <v>0</v>
      </c>
      <c r="Q77" s="6">
        <f>'2024 CONTRACTOR DO NOT TOUCH'!Q77</f>
        <v>0</v>
      </c>
      <c r="R77" s="6">
        <f>'2024 CONTRACTOR DO NOT TOUCH'!R77</f>
        <v>0</v>
      </c>
      <c r="S77" s="6" t="str">
        <f>'2024 CONTRACTOR DO NOT TOUCH'!S77</f>
        <v>UNTESTED</v>
      </c>
      <c r="T77" s="6" t="str">
        <f>'2024 CONTRACTOR DO NOT TOUCH'!T77</f>
        <v>FAILED</v>
      </c>
      <c r="U77" s="6" t="str">
        <f>'2024 CONTRACTOR DO NOT TOUCH'!U77</f>
        <v>PASSED</v>
      </c>
      <c r="V77" s="6" t="str">
        <f>'2024 CONTRACTOR DO NOT TOUCH'!V77</f>
        <v>EXISTING</v>
      </c>
      <c r="W77" s="6" t="str">
        <f>'2024 CONTRACTOR DO NOT TOUCH'!W77</f>
        <v>EXISTING</v>
      </c>
      <c r="X77" s="6">
        <f>'2024 CONTRACTOR DO NOT TOUCH'!X77</f>
        <v>0</v>
      </c>
      <c r="Y77" s="6">
        <f>'2024 CONTRACTOR DO NOT TOUCH'!Y77</f>
        <v>0</v>
      </c>
    </row>
    <row r="78" spans="1:25" ht="12.6">
      <c r="A78" s="4" t="str">
        <f>'2024 CONTRACTOR DO NOT TOUCH'!A78</f>
        <v>REFILL</v>
      </c>
      <c r="B78" s="4" t="str">
        <f>'2024 CONTRACTOR DO NOT TOUCH'!B78</f>
        <v>CLINIC</v>
      </c>
      <c r="C78" s="4" t="str">
        <f>'2024 CONTRACTOR DO NOT TOUCH'!C78</f>
        <v>3570529</v>
      </c>
      <c r="D78" s="4" t="str">
        <f>'2024 CONTRACTOR DO NOT TOUCH'!D78</f>
        <v>WILKINS</v>
      </c>
      <c r="E78" s="4" t="str">
        <f>'2024 CONTRACTOR DO NOT TOUCH'!E78</f>
        <v>950XL</v>
      </c>
      <c r="F78" s="4" t="str">
        <f>'2024 CONTRACTOR DO NOT TOUCH'!F78</f>
        <v>DCDA</v>
      </c>
      <c r="G78" s="4" t="str">
        <f>'2024 CONTRACTOR DO NOT TOUCH'!G78</f>
        <v>0.75</v>
      </c>
      <c r="H78" s="4">
        <f>'2024 CONTRACTOR DO NOT TOUCH'!H78</f>
        <v>0</v>
      </c>
      <c r="I78" s="4" t="str">
        <f>'2024 CONTRACTOR DO NOT TOUCH'!I78</f>
        <v>FIRE SPRINKLER RM DCDA#2</v>
      </c>
      <c r="J78" s="4" t="str">
        <f>'2024 CONTRACTOR DO NOT TOUCH'!J78</f>
        <v>PREMISE</v>
      </c>
      <c r="K78" s="4" t="str">
        <f>'2024 CONTRACTOR DO NOT TOUCH'!K78</f>
        <v>FIRE</v>
      </c>
      <c r="L78" s="4" t="str">
        <f>'2024 CONTRACTOR DO NOT TOUCH'!L78</f>
        <v>ACTIVE</v>
      </c>
      <c r="M78" s="5">
        <f>'2024 CONTRACTOR DO NOT TOUCH'!M78</f>
        <v>0</v>
      </c>
      <c r="N78" s="4">
        <f>'2024 CONTRACTOR DO NOT TOUCH'!N78</f>
        <v>0</v>
      </c>
      <c r="O78" s="4">
        <f>'2024 CONTRACTOR DO NOT TOUCH'!O78</f>
        <v>0</v>
      </c>
      <c r="P78" s="4">
        <f>'2024 CONTRACTOR DO NOT TOUCH'!P78</f>
        <v>0</v>
      </c>
      <c r="Q78" s="4">
        <f>'2024 CONTRACTOR DO NOT TOUCH'!Q78</f>
        <v>0</v>
      </c>
      <c r="R78" s="4">
        <f>'2024 CONTRACTOR DO NOT TOUCH'!R78</f>
        <v>0</v>
      </c>
      <c r="S78" s="4" t="str">
        <f>'2024 CONTRACTOR DO NOT TOUCH'!S78</f>
        <v>UNTESTED</v>
      </c>
      <c r="T78" s="4" t="str">
        <f>'2024 CONTRACTOR DO NOT TOUCH'!T78</f>
        <v>FAILED</v>
      </c>
      <c r="U78" s="4" t="str">
        <f>'2024 CONTRACTOR DO NOT TOUCH'!U78</f>
        <v>PASSED</v>
      </c>
      <c r="V78" s="4" t="str">
        <f>'2024 CONTRACTOR DO NOT TOUCH'!V78</f>
        <v>EXISTING</v>
      </c>
      <c r="W78" s="4" t="str">
        <f>'2024 CONTRACTOR DO NOT TOUCH'!W78</f>
        <v>EXISTING</v>
      </c>
      <c r="X78" s="4">
        <f>'2024 CONTRACTOR DO NOT TOUCH'!X78</f>
        <v>0</v>
      </c>
      <c r="Y78" s="4">
        <f>'2024 CONTRACTOR DO NOT TOUCH'!Y78</f>
        <v>0</v>
      </c>
    </row>
    <row r="79" spans="1:25" ht="12.6">
      <c r="A79" s="6" t="str">
        <f>'2024 CONTRACTOR DO NOT TOUCH'!A79</f>
        <v>REFILL</v>
      </c>
      <c r="B79" s="6" t="str">
        <f>'2024 CONTRACTOR DO NOT TOUCH'!B79</f>
        <v>CLINIC</v>
      </c>
      <c r="C79" s="6" t="str">
        <f>'2024 CONTRACTOR DO NOT TOUCH'!C79</f>
        <v>A00049</v>
      </c>
      <c r="D79" s="6" t="str">
        <f>'2024 CONTRACTOR DO NOT TOUCH'!D79</f>
        <v>FEBCO</v>
      </c>
      <c r="E79" s="6" t="str">
        <f>'2024 CONTRACTOR DO NOT TOUCH'!E79</f>
        <v>LF860</v>
      </c>
      <c r="F79" s="6" t="str">
        <f>'2024 CONTRACTOR DO NOT TOUCH'!F79</f>
        <v>RP</v>
      </c>
      <c r="G79" s="6" t="str">
        <f>'2024 CONTRACTOR DO NOT TOUCH'!G79</f>
        <v>1.25</v>
      </c>
      <c r="H79" s="6">
        <f>'2024 CONTRACTOR DO NOT TOUCH'!H79</f>
        <v>0</v>
      </c>
      <c r="I79" s="6" t="str">
        <f>'2024 CONTRACTOR DO NOT TOUCH'!I79</f>
        <v>FIRE SPRINKLER RM DOMESTIC</v>
      </c>
      <c r="J79" s="6" t="str">
        <f>'2024 CONTRACTOR DO NOT TOUCH'!J79</f>
        <v>PREMISE</v>
      </c>
      <c r="K79" s="6" t="str">
        <f>'2024 CONTRACTOR DO NOT TOUCH'!K79</f>
        <v>PREMISE</v>
      </c>
      <c r="L79" s="6" t="str">
        <f>'2024 CONTRACTOR DO NOT TOUCH'!L79</f>
        <v>ACTIVE</v>
      </c>
      <c r="M79" s="7">
        <f>'2024 CONTRACTOR DO NOT TOUCH'!M79</f>
        <v>44768</v>
      </c>
      <c r="N79" s="6">
        <f>'2024 CONTRACTOR DO NOT TOUCH'!N79</f>
        <v>0</v>
      </c>
      <c r="O79" s="6">
        <f>'2024 CONTRACTOR DO NOT TOUCH'!O79</f>
        <v>0</v>
      </c>
      <c r="P79" s="6">
        <f>'2024 CONTRACTOR DO NOT TOUCH'!P79</f>
        <v>0</v>
      </c>
      <c r="Q79" s="6">
        <f>'2024 CONTRACTOR DO NOT TOUCH'!Q79</f>
        <v>0</v>
      </c>
      <c r="R79" s="6">
        <f>'2024 CONTRACTOR DO NOT TOUCH'!R79</f>
        <v>0</v>
      </c>
      <c r="S79" s="6" t="str">
        <f>'2024 CONTRACTOR DO NOT TOUCH'!S79</f>
        <v>TESTED</v>
      </c>
      <c r="T79" s="6" t="str">
        <f>'2024 CONTRACTOR DO NOT TOUCH'!T79</f>
        <v>PASSED</v>
      </c>
      <c r="U79" s="6">
        <f>'2024 CONTRACTOR DO NOT TOUCH'!U79</f>
        <v>0</v>
      </c>
      <c r="V79" s="6">
        <f>'2024 CONTRACTOR DO NOT TOUCH'!V79</f>
        <v>0</v>
      </c>
      <c r="W79" s="6">
        <f>'2024 CONTRACTOR DO NOT TOUCH'!W79</f>
        <v>0</v>
      </c>
      <c r="X79" s="6">
        <f>'2024 CONTRACTOR DO NOT TOUCH'!X79</f>
        <v>0</v>
      </c>
      <c r="Y79" s="6">
        <f>'2024 CONTRACTOR DO NOT TOUCH'!Y79</f>
        <v>0</v>
      </c>
    </row>
    <row r="80" spans="1:25" ht="12.6">
      <c r="A80" s="4" t="str">
        <f>'2024 CONTRACTOR DO NOT TOUCH'!A80</f>
        <v>2424</v>
      </c>
      <c r="B80" s="4" t="str">
        <f>'2024 CONTRACTOR DO NOT TOUCH'!B80</f>
        <v>CLINIC</v>
      </c>
      <c r="C80" s="4" t="str">
        <f>'2024 CONTRACTOR DO NOT TOUCH'!C80</f>
        <v>V38798</v>
      </c>
      <c r="D80" s="4" t="str">
        <f>'2024 CONTRACTOR DO NOT TOUCH'!D80</f>
        <v>WILKINS</v>
      </c>
      <c r="E80" s="4" t="str">
        <f>'2024 CONTRACTOR DO NOT TOUCH'!E80</f>
        <v>350ADA</v>
      </c>
      <c r="F80" s="4" t="str">
        <f>'2024 CONTRACTOR DO NOT TOUCH'!F80</f>
        <v>DCDA</v>
      </c>
      <c r="G80" s="4" t="str">
        <f>'2024 CONTRACTOR DO NOT TOUCH'!G80</f>
        <v>2.5</v>
      </c>
      <c r="H80" s="4">
        <f>'2024 CONTRACTOR DO NOT TOUCH'!H80</f>
        <v>0</v>
      </c>
      <c r="I80" s="4" t="str">
        <f>'2024 CONTRACTOR DO NOT TOUCH'!I80</f>
        <v>RISER RM DCDA#1</v>
      </c>
      <c r="J80" s="4" t="str">
        <f>'2024 CONTRACTOR DO NOT TOUCH'!J80</f>
        <v>PREMISE</v>
      </c>
      <c r="K80" s="4" t="str">
        <f>'2024 CONTRACTOR DO NOT TOUCH'!K80</f>
        <v>PREMISE</v>
      </c>
      <c r="L80" s="4" t="str">
        <f>'2024 CONTRACTOR DO NOT TOUCH'!L80</f>
        <v>ACTIVE</v>
      </c>
      <c r="M80" s="5">
        <f>'2024 CONTRACTOR DO NOT TOUCH'!M80</f>
        <v>0</v>
      </c>
      <c r="N80" s="4">
        <f>'2024 CONTRACTOR DO NOT TOUCH'!N80</f>
        <v>0</v>
      </c>
      <c r="O80" s="4">
        <f>'2024 CONTRACTOR DO NOT TOUCH'!O80</f>
        <v>0</v>
      </c>
      <c r="P80" s="4">
        <f>'2024 CONTRACTOR DO NOT TOUCH'!P80</f>
        <v>0</v>
      </c>
      <c r="Q80" s="4">
        <f>'2024 CONTRACTOR DO NOT TOUCH'!Q80</f>
        <v>0</v>
      </c>
      <c r="R80" s="4">
        <f>'2024 CONTRACTOR DO NOT TOUCH'!R80</f>
        <v>0</v>
      </c>
      <c r="S80" s="4" t="str">
        <f>'2024 CONTRACTOR DO NOT TOUCH'!S80</f>
        <v>UNTESTED</v>
      </c>
      <c r="T80" s="4" t="str">
        <f>'2024 CONTRACTOR DO NOT TOUCH'!T80</f>
        <v>FAILED</v>
      </c>
      <c r="U80" s="4" t="str">
        <f>'2024 CONTRACTOR DO NOT TOUCH'!U80</f>
        <v>PASSED</v>
      </c>
      <c r="V80" s="4" t="str">
        <f>'2024 CONTRACTOR DO NOT TOUCH'!V80</f>
        <v>EXISTING</v>
      </c>
      <c r="W80" s="4" t="str">
        <f>'2024 CONTRACTOR DO NOT TOUCH'!W80</f>
        <v>EXISTING</v>
      </c>
      <c r="X80" s="4">
        <f>'2024 CONTRACTOR DO NOT TOUCH'!X80</f>
        <v>0</v>
      </c>
      <c r="Y80" s="4">
        <f>'2024 CONTRACTOR DO NOT TOUCH'!Y80</f>
        <v>0</v>
      </c>
    </row>
    <row r="81" spans="1:25" ht="12.6">
      <c r="A81" s="6" t="str">
        <f>'2024 CONTRACTOR DO NOT TOUCH'!A82</f>
        <v>2424</v>
      </c>
      <c r="B81" s="6" t="str">
        <f>'2024 CONTRACTOR DO NOT TOUCH'!B82</f>
        <v>CLINIC</v>
      </c>
      <c r="C81" s="6" t="str">
        <f>'2024 CONTRACTOR DO NOT TOUCH'!C82</f>
        <v>384426</v>
      </c>
      <c r="D81" s="6" t="str">
        <f>'2024 CONTRACTOR DO NOT TOUCH'!D82</f>
        <v>WILKINS</v>
      </c>
      <c r="E81" s="6" t="str">
        <f>'2024 CONTRACTOR DO NOT TOUCH'!E82</f>
        <v>950XL</v>
      </c>
      <c r="F81" s="6" t="str">
        <f>'2024 CONTRACTOR DO NOT TOUCH'!F82</f>
        <v>DCDA</v>
      </c>
      <c r="G81" s="6" t="str">
        <f>'2024 CONTRACTOR DO NOT TOUCH'!G82</f>
        <v>0.75</v>
      </c>
      <c r="H81" s="6">
        <f>'2024 CONTRACTOR DO NOT TOUCH'!H82</f>
        <v>0</v>
      </c>
      <c r="I81" s="6" t="str">
        <f>'2024 CONTRACTOR DO NOT TOUCH'!I82</f>
        <v>RISER RM DCDA#2</v>
      </c>
      <c r="J81" s="6" t="str">
        <f>'2024 CONTRACTOR DO NOT TOUCH'!J82</f>
        <v>PREMISE</v>
      </c>
      <c r="K81" s="6" t="str">
        <f>'2024 CONTRACTOR DO NOT TOUCH'!K82</f>
        <v>PREMISE</v>
      </c>
      <c r="L81" s="6" t="str">
        <f>'2024 CONTRACTOR DO NOT TOUCH'!L82</f>
        <v>ACTIVE</v>
      </c>
      <c r="M81" s="7">
        <f>'2024 CONTRACTOR DO NOT TOUCH'!M82</f>
        <v>0</v>
      </c>
      <c r="N81" s="6">
        <f>'2024 CONTRACTOR DO NOT TOUCH'!N82</f>
        <v>0</v>
      </c>
      <c r="O81" s="6">
        <f>'2024 CONTRACTOR DO NOT TOUCH'!O82</f>
        <v>0</v>
      </c>
      <c r="P81" s="6">
        <f>'2024 CONTRACTOR DO NOT TOUCH'!P82</f>
        <v>0</v>
      </c>
      <c r="Q81" s="6">
        <f>'2024 CONTRACTOR DO NOT TOUCH'!Q82</f>
        <v>0</v>
      </c>
      <c r="R81" s="6">
        <f>'2024 CONTRACTOR DO NOT TOUCH'!R82</f>
        <v>0</v>
      </c>
      <c r="S81" s="6" t="str">
        <f>'2024 CONTRACTOR DO NOT TOUCH'!S82</f>
        <v>UNTESTED</v>
      </c>
      <c r="T81" s="6" t="str">
        <f>'2024 CONTRACTOR DO NOT TOUCH'!T82</f>
        <v>FAILED</v>
      </c>
      <c r="U81" s="6" t="str">
        <f>'2024 CONTRACTOR DO NOT TOUCH'!U82</f>
        <v>PASSED</v>
      </c>
      <c r="V81" s="6" t="str">
        <f>'2024 CONTRACTOR DO NOT TOUCH'!V82</f>
        <v>EXISTING</v>
      </c>
      <c r="W81" s="6" t="str">
        <f>'2024 CONTRACTOR DO NOT TOUCH'!W82</f>
        <v>EXISTING</v>
      </c>
      <c r="X81" s="6">
        <f>'2024 CONTRACTOR DO NOT TOUCH'!X82</f>
        <v>0</v>
      </c>
      <c r="Y81" s="6">
        <f>'2024 CONTRACTOR DO NOT TOUCH'!Y82</f>
        <v>0</v>
      </c>
    </row>
    <row r="82" spans="1:25" ht="12.6">
      <c r="A82" s="4" t="str">
        <f>'2024 CONTRACTOR DO NOT TOUCH'!A83</f>
        <v>2425</v>
      </c>
      <c r="B82" s="4" t="str">
        <f>'2024 CONTRACTOR DO NOT TOUCH'!B83</f>
        <v>CLINIC</v>
      </c>
      <c r="C82" s="4" t="str">
        <f>'2024 CONTRACTOR DO NOT TOUCH'!C83</f>
        <v>384427</v>
      </c>
      <c r="D82" s="4" t="str">
        <f>'2024 CONTRACTOR DO NOT TOUCH'!D83</f>
        <v>WILKINS</v>
      </c>
      <c r="E82" s="4" t="str">
        <f>'2024 CONTRACTOR DO NOT TOUCH'!E83</f>
        <v>950XL</v>
      </c>
      <c r="F82" s="4" t="str">
        <f>'2024 CONTRACTOR DO NOT TOUCH'!F83</f>
        <v>DCDA</v>
      </c>
      <c r="G82" s="4" t="str">
        <f>'2024 CONTRACTOR DO NOT TOUCH'!G83</f>
        <v>0.76</v>
      </c>
      <c r="H82" s="4">
        <f>'2024 CONTRACTOR DO NOT TOUCH'!H83</f>
        <v>0</v>
      </c>
      <c r="I82" s="4" t="str">
        <f>'2024 CONTRACTOR DO NOT TOUCH'!I83</f>
        <v>RISER RM DCDA#3</v>
      </c>
      <c r="J82" s="4" t="str">
        <f>'2024 CONTRACTOR DO NOT TOUCH'!J83</f>
        <v>PREMISE</v>
      </c>
      <c r="K82" s="4" t="str">
        <f>'2024 CONTRACTOR DO NOT TOUCH'!K83</f>
        <v>PREMISE</v>
      </c>
      <c r="L82" s="4" t="str">
        <f>'2024 CONTRACTOR DO NOT TOUCH'!L83</f>
        <v>ACTIVE</v>
      </c>
      <c r="M82" s="5">
        <f>'2024 CONTRACTOR DO NOT TOUCH'!M83</f>
        <v>0</v>
      </c>
      <c r="N82" s="4">
        <f>'2024 CONTRACTOR DO NOT TOUCH'!N83</f>
        <v>0</v>
      </c>
      <c r="O82" s="4">
        <f>'2024 CONTRACTOR DO NOT TOUCH'!O83</f>
        <v>0</v>
      </c>
      <c r="P82" s="4">
        <f>'2024 CONTRACTOR DO NOT TOUCH'!P83</f>
        <v>0</v>
      </c>
      <c r="Q82" s="4">
        <f>'2024 CONTRACTOR DO NOT TOUCH'!Q83</f>
        <v>0</v>
      </c>
      <c r="R82" s="4">
        <f>'2024 CONTRACTOR DO NOT TOUCH'!R83</f>
        <v>0</v>
      </c>
      <c r="S82" s="4" t="str">
        <f>'2024 CONTRACTOR DO NOT TOUCH'!S83</f>
        <v>UNTESTED</v>
      </c>
      <c r="T82" s="4" t="str">
        <f>'2024 CONTRACTOR DO NOT TOUCH'!T83</f>
        <v>FAILED</v>
      </c>
      <c r="U82" s="4" t="str">
        <f>'2024 CONTRACTOR DO NOT TOUCH'!U83</f>
        <v>PASSED</v>
      </c>
      <c r="V82" s="4" t="str">
        <f>'2024 CONTRACTOR DO NOT TOUCH'!V83</f>
        <v>EXISTING</v>
      </c>
      <c r="W82" s="4" t="str">
        <f>'2024 CONTRACTOR DO NOT TOUCH'!W83</f>
        <v>EXISTING</v>
      </c>
      <c r="X82" s="4">
        <f>'2024 CONTRACTOR DO NOT TOUCH'!X83</f>
        <v>0</v>
      </c>
      <c r="Y82" s="4">
        <f>'2024 CONTRACTOR DO NOT TOUCH'!Y83</f>
        <v>0</v>
      </c>
    </row>
    <row r="83" spans="1:25" ht="12.6">
      <c r="A83" s="6" t="str">
        <f>'2024 CONTRACTOR DO NOT TOUCH'!A84</f>
        <v>2426</v>
      </c>
      <c r="B83" s="6" t="str">
        <f>'2024 CONTRACTOR DO NOT TOUCH'!B84</f>
        <v>CLINIC</v>
      </c>
      <c r="C83" s="6" t="str">
        <f>'2024 CONTRACTOR DO NOT TOUCH'!C84</f>
        <v>384428</v>
      </c>
      <c r="D83" s="6" t="str">
        <f>'2024 CONTRACTOR DO NOT TOUCH'!D84</f>
        <v>WILKINS</v>
      </c>
      <c r="E83" s="6" t="str">
        <f>'2024 CONTRACTOR DO NOT TOUCH'!E84</f>
        <v>950XL</v>
      </c>
      <c r="F83" s="6" t="str">
        <f>'2024 CONTRACTOR DO NOT TOUCH'!F84</f>
        <v>DCDA</v>
      </c>
      <c r="G83" s="6" t="str">
        <f>'2024 CONTRACTOR DO NOT TOUCH'!G84</f>
        <v>0.77</v>
      </c>
      <c r="H83" s="6">
        <f>'2024 CONTRACTOR DO NOT TOUCH'!H84</f>
        <v>0</v>
      </c>
      <c r="I83" s="6" t="str">
        <f>'2024 CONTRACTOR DO NOT TOUCH'!I84</f>
        <v>RISER RM DCDA#4</v>
      </c>
      <c r="J83" s="6" t="str">
        <f>'2024 CONTRACTOR DO NOT TOUCH'!J84</f>
        <v>PREMISE</v>
      </c>
      <c r="K83" s="6" t="str">
        <f>'2024 CONTRACTOR DO NOT TOUCH'!K84</f>
        <v>PREMISE</v>
      </c>
      <c r="L83" s="6" t="str">
        <f>'2024 CONTRACTOR DO NOT TOUCH'!L84</f>
        <v>ACTIVE</v>
      </c>
      <c r="M83" s="7">
        <f>'2024 CONTRACTOR DO NOT TOUCH'!M84</f>
        <v>0</v>
      </c>
      <c r="N83" s="6">
        <f>'2024 CONTRACTOR DO NOT TOUCH'!N84</f>
        <v>0</v>
      </c>
      <c r="O83" s="6">
        <f>'2024 CONTRACTOR DO NOT TOUCH'!O84</f>
        <v>0</v>
      </c>
      <c r="P83" s="6">
        <f>'2024 CONTRACTOR DO NOT TOUCH'!P84</f>
        <v>0</v>
      </c>
      <c r="Q83" s="6">
        <f>'2024 CONTRACTOR DO NOT TOUCH'!Q84</f>
        <v>0</v>
      </c>
      <c r="R83" s="6">
        <f>'2024 CONTRACTOR DO NOT TOUCH'!R84</f>
        <v>0</v>
      </c>
      <c r="S83" s="6" t="str">
        <f>'2024 CONTRACTOR DO NOT TOUCH'!S84</f>
        <v>UNTESTED</v>
      </c>
      <c r="T83" s="6" t="str">
        <f>'2024 CONTRACTOR DO NOT TOUCH'!T84</f>
        <v>FAILED</v>
      </c>
      <c r="U83" s="6" t="str">
        <f>'2024 CONTRACTOR DO NOT TOUCH'!U84</f>
        <v>PASSED</v>
      </c>
      <c r="V83" s="6" t="str">
        <f>'2024 CONTRACTOR DO NOT TOUCH'!V84</f>
        <v>EXISTING</v>
      </c>
      <c r="W83" s="6" t="str">
        <f>'2024 CONTRACTOR DO NOT TOUCH'!W84</f>
        <v>EXISTING</v>
      </c>
      <c r="X83" s="6">
        <f>'2024 CONTRACTOR DO NOT TOUCH'!X84</f>
        <v>0</v>
      </c>
      <c r="Y83" s="6">
        <f>'2024 CONTRACTOR DO NOT TOUCH'!Y84</f>
        <v>0</v>
      </c>
    </row>
    <row r="84" spans="1:25" ht="12.6">
      <c r="A84" s="4" t="str">
        <f>'2024 CONTRACTOR DO NOT TOUCH'!A85</f>
        <v>2427</v>
      </c>
      <c r="B84" s="4" t="str">
        <f>'2024 CONTRACTOR DO NOT TOUCH'!B85</f>
        <v>CLINIC</v>
      </c>
      <c r="C84" s="4" t="str">
        <f>'2024 CONTRACTOR DO NOT TOUCH'!C85</f>
        <v>384429</v>
      </c>
      <c r="D84" s="4" t="str">
        <f>'2024 CONTRACTOR DO NOT TOUCH'!D85</f>
        <v>WILKINS</v>
      </c>
      <c r="E84" s="4" t="str">
        <f>'2024 CONTRACTOR DO NOT TOUCH'!E85</f>
        <v>950XL</v>
      </c>
      <c r="F84" s="4" t="str">
        <f>'2024 CONTRACTOR DO NOT TOUCH'!F85</f>
        <v>DCDA</v>
      </c>
      <c r="G84" s="4" t="str">
        <f>'2024 CONTRACTOR DO NOT TOUCH'!G85</f>
        <v>0.78</v>
      </c>
      <c r="H84" s="4">
        <f>'2024 CONTRACTOR DO NOT TOUCH'!H85</f>
        <v>0</v>
      </c>
      <c r="I84" s="4" t="str">
        <f>'2024 CONTRACTOR DO NOT TOUCH'!I85</f>
        <v>RISER RM DCDA#5</v>
      </c>
      <c r="J84" s="4" t="str">
        <f>'2024 CONTRACTOR DO NOT TOUCH'!J85</f>
        <v>PREMISE</v>
      </c>
      <c r="K84" s="4" t="str">
        <f>'2024 CONTRACTOR DO NOT TOUCH'!K85</f>
        <v>PREMISE</v>
      </c>
      <c r="L84" s="4" t="str">
        <f>'2024 CONTRACTOR DO NOT TOUCH'!L85</f>
        <v>ACTIVE</v>
      </c>
      <c r="M84" s="5">
        <f>'2024 CONTRACTOR DO NOT TOUCH'!M85</f>
        <v>0</v>
      </c>
      <c r="N84" s="4">
        <f>'2024 CONTRACTOR DO NOT TOUCH'!N85</f>
        <v>0</v>
      </c>
      <c r="O84" s="4">
        <f>'2024 CONTRACTOR DO NOT TOUCH'!O85</f>
        <v>0</v>
      </c>
      <c r="P84" s="4">
        <f>'2024 CONTRACTOR DO NOT TOUCH'!P85</f>
        <v>0</v>
      </c>
      <c r="Q84" s="4">
        <f>'2024 CONTRACTOR DO NOT TOUCH'!Q85</f>
        <v>0</v>
      </c>
      <c r="R84" s="4">
        <f>'2024 CONTRACTOR DO NOT TOUCH'!R85</f>
        <v>0</v>
      </c>
      <c r="S84" s="4" t="str">
        <f>'2024 CONTRACTOR DO NOT TOUCH'!S85</f>
        <v>UNTESTED</v>
      </c>
      <c r="T84" s="4" t="str">
        <f>'2024 CONTRACTOR DO NOT TOUCH'!T85</f>
        <v>FAILED</v>
      </c>
      <c r="U84" s="4" t="str">
        <f>'2024 CONTRACTOR DO NOT TOUCH'!U85</f>
        <v>PASSED</v>
      </c>
      <c r="V84" s="4" t="str">
        <f>'2024 CONTRACTOR DO NOT TOUCH'!V85</f>
        <v>EXISTING</v>
      </c>
      <c r="W84" s="4" t="str">
        <f>'2024 CONTRACTOR DO NOT TOUCH'!W85</f>
        <v>EXISTING</v>
      </c>
      <c r="X84" s="4">
        <f>'2024 CONTRACTOR DO NOT TOUCH'!X85</f>
        <v>0</v>
      </c>
      <c r="Y84" s="4">
        <f>'2024 CONTRACTOR DO NOT TOUCH'!Y85</f>
        <v>0</v>
      </c>
    </row>
  </sheetData>
  <sheetProtection algorithmName="SHA-512" hashValue="3j4ImOliCHJpcTXjKN+9k+tNOY84VHqyjKaglwj32ms2HiF6nHivDg7DbihZKlYMlb33gQGbukdl6Ppa0ODcdA==" saltValue="RLU5aYgJNu3JpX4NQZ38Xg==" spinCount="100000" sheet="1" objects="1" scenarios="1"/>
  <autoFilter ref="A1:Y84" xr:uid="{00000000-0009-0000-0000-000004000000}"/>
  <phoneticPr fontId="14" type="noConversion"/>
  <conditionalFormatting sqref="A1:Y84">
    <cfRule type="containsBlanks" dxfId="64" priority="1">
      <formula>LEN(TRIM(A1))=0</formula>
    </cfRule>
  </conditionalFormatting>
  <conditionalFormatting sqref="C1:C84">
    <cfRule type="expression" dxfId="63" priority="4">
      <formula>COUNTIF(C:C,C1)&gt;1</formula>
    </cfRule>
  </conditionalFormatting>
  <conditionalFormatting sqref="H1:H84">
    <cfRule type="cellIs" dxfId="62" priority="2" operator="lessThanOrEqual">
      <formula>"01/01/19"</formula>
    </cfRule>
  </conditionalFormatting>
  <conditionalFormatting sqref="L1:L84 S1:W84">
    <cfRule type="colorScale" priority="3">
      <colorScale>
        <cfvo type="min"/>
        <cfvo type="max"/>
        <color rgb="FF57BB8A"/>
        <color rgb="FFFFFFFF"/>
      </colorScale>
    </cfRule>
  </conditionalFormatting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8"/>
  <sheetViews>
    <sheetView workbookViewId="0">
      <selection activeCell="C20" sqref="C20"/>
    </sheetView>
  </sheetViews>
  <sheetFormatPr defaultColWidth="11.25" defaultRowHeight="15.75" customHeight="1"/>
  <cols>
    <col min="2" max="2" width="8.875" customWidth="1"/>
    <col min="3" max="3" width="12.125" customWidth="1"/>
    <col min="4" max="4" width="12" customWidth="1"/>
    <col min="10" max="10" width="7.5" customWidth="1"/>
    <col min="11" max="11" width="18.625" customWidth="1"/>
    <col min="13" max="13" width="15.5" customWidth="1"/>
    <col min="14" max="14" width="7.5" customWidth="1"/>
    <col min="15" max="15" width="7.625" customWidth="1"/>
    <col min="16" max="16" width="12.625" customWidth="1"/>
    <col min="17" max="17" width="10.5" customWidth="1"/>
    <col min="18" max="18" width="7.75" customWidth="1"/>
    <col min="19" max="19" width="11.5" customWidth="1"/>
  </cols>
  <sheetData>
    <row r="1" spans="1:26" ht="13.9" thickTop="1" thickBot="1">
      <c r="A1" s="327" t="s">
        <v>3</v>
      </c>
      <c r="B1" s="331"/>
      <c r="C1" s="331"/>
      <c r="D1" s="332"/>
      <c r="E1" s="8"/>
      <c r="F1" s="9" t="s">
        <v>4</v>
      </c>
      <c r="G1" s="8"/>
      <c r="H1" s="9" t="s">
        <v>5</v>
      </c>
      <c r="I1" s="8"/>
      <c r="J1" s="327" t="s">
        <v>6</v>
      </c>
      <c r="K1" s="332"/>
      <c r="L1" s="8"/>
      <c r="M1" s="328" t="s">
        <v>7</v>
      </c>
      <c r="N1" s="333"/>
      <c r="O1" s="333"/>
      <c r="P1" s="333"/>
      <c r="Q1" s="333"/>
      <c r="R1" s="333"/>
      <c r="S1" s="334"/>
      <c r="T1" s="8"/>
    </row>
    <row r="2" spans="1:26" ht="13.9" thickTop="1" thickBot="1">
      <c r="A2" s="54" t="s">
        <v>8</v>
      </c>
      <c r="B2" s="54" t="s">
        <v>9</v>
      </c>
      <c r="C2" s="54" t="s">
        <v>10</v>
      </c>
      <c r="D2" s="54" t="s">
        <v>11</v>
      </c>
      <c r="E2" s="11"/>
      <c r="F2" s="10" t="s">
        <v>12</v>
      </c>
      <c r="G2" s="11"/>
      <c r="H2" s="10" t="s">
        <v>13</v>
      </c>
      <c r="I2" s="11"/>
      <c r="J2" s="10" t="s">
        <v>14</v>
      </c>
      <c r="K2" s="10" t="s">
        <v>15</v>
      </c>
      <c r="L2" s="11"/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1"/>
      <c r="U2" s="11"/>
      <c r="V2" s="11"/>
      <c r="W2" s="11"/>
      <c r="X2" s="11"/>
      <c r="Y2" s="11"/>
      <c r="Z2" s="11"/>
    </row>
    <row r="3" spans="1:26" ht="13.15" thickTop="1">
      <c r="A3" s="48" t="s">
        <v>23</v>
      </c>
      <c r="B3" s="48" t="s">
        <v>24</v>
      </c>
      <c r="C3" s="48" t="s">
        <v>24</v>
      </c>
      <c r="D3" s="48" t="s">
        <v>25</v>
      </c>
      <c r="E3" s="8"/>
      <c r="F3" s="13" t="s">
        <v>26</v>
      </c>
      <c r="G3" s="8"/>
      <c r="H3" s="13" t="s">
        <v>27</v>
      </c>
      <c r="I3" s="8"/>
      <c r="J3" s="13" t="s">
        <v>28</v>
      </c>
      <c r="K3" s="13" t="s">
        <v>29</v>
      </c>
      <c r="L3" s="8"/>
      <c r="M3" s="13" t="s">
        <v>30</v>
      </c>
      <c r="N3" s="13" t="s">
        <v>31</v>
      </c>
      <c r="O3" s="13" t="s">
        <v>32</v>
      </c>
      <c r="P3" s="13" t="s">
        <v>33</v>
      </c>
      <c r="Q3" s="13">
        <v>7121204</v>
      </c>
      <c r="R3" s="13" t="s">
        <v>2</v>
      </c>
      <c r="S3" s="13">
        <v>2021</v>
      </c>
      <c r="T3" s="8"/>
      <c r="U3" s="8"/>
      <c r="V3" s="8"/>
      <c r="W3" s="8"/>
      <c r="X3" s="8"/>
      <c r="Y3" s="8"/>
      <c r="Z3" s="8"/>
    </row>
    <row r="4" spans="1:26" ht="12.6">
      <c r="A4" s="48" t="s">
        <v>34</v>
      </c>
      <c r="B4" s="48" t="s">
        <v>35</v>
      </c>
      <c r="C4" s="48" t="s">
        <v>36</v>
      </c>
      <c r="D4" s="48" t="s">
        <v>37</v>
      </c>
      <c r="E4" s="8"/>
      <c r="F4" s="12" t="s">
        <v>38</v>
      </c>
      <c r="G4" s="8"/>
      <c r="H4" s="12" t="s">
        <v>39</v>
      </c>
      <c r="I4" s="8"/>
      <c r="J4" s="12" t="s">
        <v>40</v>
      </c>
      <c r="K4" s="12" t="s">
        <v>41</v>
      </c>
      <c r="L4" s="8"/>
      <c r="M4" s="13" t="s">
        <v>42</v>
      </c>
      <c r="N4" s="13" t="s">
        <v>43</v>
      </c>
      <c r="O4" s="13" t="s">
        <v>44</v>
      </c>
      <c r="P4" s="13" t="s">
        <v>45</v>
      </c>
      <c r="Q4" s="13">
        <v>771454</v>
      </c>
      <c r="R4" s="13" t="s">
        <v>46</v>
      </c>
      <c r="S4" s="13">
        <v>2021</v>
      </c>
      <c r="T4" s="8"/>
      <c r="U4" s="8"/>
      <c r="V4" s="8"/>
      <c r="W4" s="8"/>
      <c r="X4" s="8"/>
      <c r="Y4" s="8"/>
      <c r="Z4" s="8"/>
    </row>
    <row r="5" spans="1:26" ht="12.6">
      <c r="A5" s="48" t="s">
        <v>47</v>
      </c>
      <c r="B5" s="48" t="s">
        <v>48</v>
      </c>
      <c r="C5" s="48" t="s">
        <v>49</v>
      </c>
      <c r="D5" s="48" t="s">
        <v>48</v>
      </c>
      <c r="E5" s="8"/>
      <c r="F5" s="12" t="s">
        <v>50</v>
      </c>
      <c r="G5" s="8"/>
      <c r="H5" s="12" t="s">
        <v>51</v>
      </c>
      <c r="I5" s="8"/>
      <c r="J5" s="12" t="s">
        <v>52</v>
      </c>
      <c r="K5" s="12" t="s">
        <v>53</v>
      </c>
      <c r="L5" s="8"/>
      <c r="M5" s="13" t="s">
        <v>54</v>
      </c>
      <c r="N5" s="13" t="s">
        <v>55</v>
      </c>
      <c r="O5" s="13" t="s">
        <v>56</v>
      </c>
      <c r="P5" s="13" t="s">
        <v>33</v>
      </c>
      <c r="Q5" s="13">
        <v>6132321</v>
      </c>
      <c r="R5" s="13" t="s">
        <v>2</v>
      </c>
      <c r="S5" s="13">
        <v>2023</v>
      </c>
      <c r="T5" s="8"/>
      <c r="U5" s="8"/>
      <c r="V5" s="8"/>
      <c r="W5" s="8"/>
      <c r="X5" s="8"/>
      <c r="Y5" s="8"/>
      <c r="Z5" s="8"/>
    </row>
    <row r="6" spans="1:26" ht="12.6">
      <c r="A6" s="48" t="s">
        <v>57</v>
      </c>
      <c r="B6" s="48" t="s">
        <v>58</v>
      </c>
      <c r="C6" s="48" t="s">
        <v>59</v>
      </c>
      <c r="D6" s="48" t="s">
        <v>60</v>
      </c>
      <c r="E6" s="8"/>
      <c r="F6" s="12" t="s">
        <v>61</v>
      </c>
      <c r="G6" s="8"/>
      <c r="H6" s="12" t="s">
        <v>62</v>
      </c>
      <c r="I6" s="8"/>
      <c r="J6" s="8"/>
      <c r="K6" s="8"/>
      <c r="L6" s="8"/>
      <c r="M6" s="13" t="s">
        <v>63</v>
      </c>
      <c r="N6" s="13" t="s">
        <v>64</v>
      </c>
      <c r="O6" s="13" t="s">
        <v>56</v>
      </c>
      <c r="P6" s="13" t="s">
        <v>65</v>
      </c>
      <c r="Q6" s="13">
        <v>7112810</v>
      </c>
      <c r="R6" s="13" t="s">
        <v>66</v>
      </c>
      <c r="S6" s="13">
        <v>2021</v>
      </c>
      <c r="T6" s="8"/>
      <c r="U6" s="8"/>
      <c r="V6" s="8"/>
      <c r="W6" s="8"/>
      <c r="X6" s="8"/>
      <c r="Y6" s="8"/>
      <c r="Z6" s="8"/>
    </row>
    <row r="7" spans="1:26" ht="12.6">
      <c r="A7" s="48" t="s">
        <v>67</v>
      </c>
      <c r="B7" s="48" t="s">
        <v>68</v>
      </c>
      <c r="C7" s="48" t="s">
        <v>69</v>
      </c>
      <c r="D7" s="48" t="s">
        <v>70</v>
      </c>
      <c r="E7" s="8"/>
      <c r="F7" s="12" t="s">
        <v>71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6">
      <c r="A8" s="48" t="s">
        <v>72</v>
      </c>
      <c r="B8" s="48" t="s">
        <v>73</v>
      </c>
      <c r="C8" s="48" t="s">
        <v>74</v>
      </c>
      <c r="D8" s="48" t="s">
        <v>75</v>
      </c>
      <c r="E8" s="8"/>
      <c r="F8" s="12" t="s">
        <v>76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6">
      <c r="A9" s="48" t="s">
        <v>77</v>
      </c>
      <c r="B9" s="48" t="s">
        <v>78</v>
      </c>
      <c r="C9" s="48" t="s">
        <v>79</v>
      </c>
      <c r="D9" s="48" t="s">
        <v>80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6">
      <c r="A10" s="48" t="s">
        <v>81</v>
      </c>
      <c r="B10" s="48" t="s">
        <v>82</v>
      </c>
      <c r="C10" s="48" t="s">
        <v>83</v>
      </c>
      <c r="D10" s="48" t="s">
        <v>84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6">
      <c r="A11" s="48" t="s">
        <v>85</v>
      </c>
      <c r="B11" s="48" t="s">
        <v>86</v>
      </c>
      <c r="C11" s="48" t="s">
        <v>86</v>
      </c>
      <c r="D11" s="48" t="s">
        <v>87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6">
      <c r="A12" s="48" t="s">
        <v>88</v>
      </c>
      <c r="B12" s="48" t="s">
        <v>89</v>
      </c>
      <c r="C12" s="48" t="s">
        <v>90</v>
      </c>
      <c r="D12" s="48" t="s">
        <v>90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6">
      <c r="A13" s="48" t="s">
        <v>91</v>
      </c>
      <c r="B13" s="48" t="s">
        <v>92</v>
      </c>
      <c r="C13" s="48" t="s">
        <v>92</v>
      </c>
      <c r="D13" s="48" t="s">
        <v>93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6">
      <c r="A14" s="48" t="s">
        <v>94</v>
      </c>
      <c r="B14" s="48" t="s">
        <v>95</v>
      </c>
      <c r="C14" s="48" t="s">
        <v>96</v>
      </c>
      <c r="D14" s="48" t="s">
        <v>95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6">
      <c r="A15" s="48" t="s">
        <v>97</v>
      </c>
      <c r="B15" s="48" t="s">
        <v>98</v>
      </c>
      <c r="C15" s="48" t="s">
        <v>99</v>
      </c>
      <c r="D15" s="48" t="s">
        <v>98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6">
      <c r="A16" s="48" t="s">
        <v>100</v>
      </c>
      <c r="B16" s="48" t="s">
        <v>101</v>
      </c>
      <c r="C16" s="48" t="s">
        <v>101</v>
      </c>
      <c r="D16" s="48" t="s">
        <v>102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6">
      <c r="A17" s="48" t="s">
        <v>103</v>
      </c>
      <c r="B17" s="48" t="s">
        <v>104</v>
      </c>
      <c r="C17" s="48" t="s">
        <v>104</v>
      </c>
      <c r="D17" s="48" t="s">
        <v>105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6">
      <c r="A18" s="48" t="s">
        <v>44</v>
      </c>
      <c r="B18" s="48" t="s">
        <v>106</v>
      </c>
      <c r="C18" s="48" t="s">
        <v>106</v>
      </c>
      <c r="D18" s="48" t="s">
        <v>107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6">
      <c r="A19" s="48" t="s">
        <v>108</v>
      </c>
      <c r="B19" s="48" t="s">
        <v>109</v>
      </c>
      <c r="C19" s="48" t="s">
        <v>109</v>
      </c>
      <c r="D19" s="48" t="s">
        <v>110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6">
      <c r="A20" s="48" t="s">
        <v>111</v>
      </c>
      <c r="B20" s="48" t="s">
        <v>112</v>
      </c>
      <c r="C20" s="48" t="s">
        <v>113</v>
      </c>
      <c r="D20" s="48" t="s">
        <v>114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6">
      <c r="A21" s="48" t="s">
        <v>56</v>
      </c>
      <c r="B21" s="48" t="s">
        <v>54</v>
      </c>
      <c r="C21" s="48" t="s">
        <v>54</v>
      </c>
      <c r="D21" s="48" t="s">
        <v>115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6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6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.6"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.6"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.6"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2.6"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2.6"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5.75" customHeight="1">
      <c r="M1008" s="8"/>
      <c r="N1008" s="8"/>
      <c r="O1008" s="8"/>
      <c r="P1008" s="8"/>
      <c r="Q1008" s="8"/>
      <c r="R1008" s="8"/>
      <c r="S1008" s="8"/>
    </row>
  </sheetData>
  <mergeCells count="3">
    <mergeCell ref="A1:D1"/>
    <mergeCell ref="J1:K1"/>
    <mergeCell ref="M1:S1"/>
  </mergeCells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00"/>
    <outlinePr summaryBelow="0" summaryRight="0"/>
    <pageSetUpPr fitToPage="1"/>
  </sheetPr>
  <dimension ref="A1:O43"/>
  <sheetViews>
    <sheetView showGridLines="0" workbookViewId="0">
      <selection activeCell="L7" sqref="L7"/>
    </sheetView>
  </sheetViews>
  <sheetFormatPr defaultColWidth="11.25" defaultRowHeight="15.75" customHeight="1"/>
  <cols>
    <col min="1" max="1" width="3.125" customWidth="1"/>
    <col min="2" max="2" width="9.375" customWidth="1"/>
    <col min="3" max="3" width="16.625" customWidth="1"/>
    <col min="4" max="4" width="31.25" customWidth="1"/>
    <col min="5" max="5" width="28.125" customWidth="1"/>
    <col min="6" max="6" width="15" customWidth="1"/>
    <col min="7" max="7" width="15.125" customWidth="1"/>
    <col min="8" max="8" width="12.875" customWidth="1"/>
    <col min="9" max="9" width="14.375" customWidth="1"/>
    <col min="10" max="10" width="11.875" customWidth="1"/>
    <col min="11" max="11" width="11.625" customWidth="1"/>
    <col min="12" max="12" width="10.625" customWidth="1"/>
    <col min="13" max="13" width="7" customWidth="1"/>
    <col min="14" max="14" width="21" customWidth="1"/>
    <col min="15" max="15" width="3.125" customWidth="1"/>
  </cols>
  <sheetData>
    <row r="1" spans="1:15" ht="15.75" customHeight="1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7"/>
    </row>
    <row r="2" spans="1:15" ht="12.6">
      <c r="A2" s="17"/>
      <c r="B2" s="330" t="s">
        <v>116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4"/>
      <c r="O2" s="17"/>
    </row>
    <row r="3" spans="1:15" ht="12.6">
      <c r="A3" s="17"/>
      <c r="B3" s="335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7"/>
      <c r="O3" s="17"/>
    </row>
    <row r="4" spans="1:15" ht="15.75" customHeight="1">
      <c r="A4" s="19"/>
      <c r="B4" s="329" t="s">
        <v>117</v>
      </c>
      <c r="C4" s="332"/>
      <c r="D4" s="20" t="s">
        <v>118</v>
      </c>
      <c r="E4" s="326" t="s">
        <v>119</v>
      </c>
      <c r="F4" s="20" t="s">
        <v>120</v>
      </c>
      <c r="G4" s="21"/>
      <c r="H4" s="329" t="s">
        <v>121</v>
      </c>
      <c r="I4" s="332"/>
      <c r="J4" s="326" t="s">
        <v>118</v>
      </c>
      <c r="K4" s="20" t="s">
        <v>119</v>
      </c>
      <c r="L4" s="20" t="s">
        <v>120</v>
      </c>
      <c r="M4" s="22"/>
      <c r="N4" s="23" t="s">
        <v>122</v>
      </c>
      <c r="O4" s="24"/>
    </row>
    <row r="5" spans="1:15" ht="16.149999999999999">
      <c r="A5" s="17"/>
      <c r="B5" s="15" t="s">
        <v>39</v>
      </c>
      <c r="C5" s="25">
        <f>COUNTIFS('2023 MASTER LIST'!I:I,"PREMISE",'2023 MASTER LIST'!F:F,"DC")</f>
        <v>235</v>
      </c>
      <c r="D5" s="26">
        <f>COUNTIFS('2023 MASTER LIST'!I:I,"PREMISE",'2023 MASTER LIST'!F:F,"DC",'2023 MASTER LIST'!K:K,"ACTIVE")</f>
        <v>211</v>
      </c>
      <c r="E5" s="27">
        <f>COUNTIFS('2023 MASTER LIST'!I:I,"PREMISE",'2023 MASTER LIST'!F:F,"DC",'2023 MASTER LIST'!K:K,"ACTIVE",'2023 MASTER LIST'!S:S,"TESTED")</f>
        <v>172</v>
      </c>
      <c r="F5" s="26">
        <f>COUNTIFS('2023 MASTER LIST'!I:I,"PREMISE",'2023 MASTER LIST'!F:F,"DC",'2023 MASTER LIST'!S:S,"TESTED",'2023 MASTER LIST'!T:T,"FAILED")</f>
        <v>0</v>
      </c>
      <c r="G5" s="14"/>
      <c r="H5" s="15" t="s">
        <v>39</v>
      </c>
      <c r="I5" s="25">
        <f>COUNTIFS('2023 MASTER LIST'!I:I,"INPREMISE",'2023 MASTER LIST'!F:F,"DC")</f>
        <v>22</v>
      </c>
      <c r="J5" s="27">
        <f>COUNTIFS('2023 MASTER LIST'!I:I,"INPREMISE",'2023 MASTER LIST'!F:F,"DC",'2023 MASTER LIST'!K:K,"ACTIVE")</f>
        <v>18</v>
      </c>
      <c r="K5" s="26">
        <f>COUNTIFS('2023 MASTER LIST'!I:I,"INPREMISE",'2023 MASTER LIST'!F:F,"DC",'2023 MASTER LIST'!K:K,"ACTIVE",'2023 MASTER LIST'!S:S,"TESTED")</f>
        <v>13</v>
      </c>
      <c r="L5" s="26">
        <f>COUNTIFS('2023 MASTER LIST'!I:I,"PREMISE",'2023 MASTER LIST'!F:F,"DC",'2023 MASTER LIST'!S:S,"TESTED",'2023 MASTER LIST'!T:T,"FAILED")</f>
        <v>0</v>
      </c>
      <c r="M5" s="14"/>
      <c r="N5" s="15">
        <f t="shared" ref="N5:N9" si="0">D5+J5</f>
        <v>229</v>
      </c>
      <c r="O5" s="17"/>
    </row>
    <row r="6" spans="1:15" ht="16.149999999999999">
      <c r="A6" s="17"/>
      <c r="B6" s="15" t="s">
        <v>27</v>
      </c>
      <c r="C6" s="28">
        <f>COUNTIFS('2023 MASTER LIST'!I:I,"PREMISE",'2023 MASTER LIST'!F:F,"RP")</f>
        <v>51</v>
      </c>
      <c r="D6" s="29">
        <f>COUNTIFS('2023 MASTER LIST'!I:I,"PREMISE",'2023 MASTER LIST'!F:F,"RP",'2023 MASTER LIST'!K:K,"ACTIVE")</f>
        <v>50</v>
      </c>
      <c r="E6" s="30">
        <f>COUNTIFS('2023 MASTER LIST'!I:I,"PREMISE",'2023 MASTER LIST'!F:F,"RP",'2023 MASTER LIST'!K:K,"ACTIVE",'2023 MASTER LIST'!S:S,"TESTED")</f>
        <v>48</v>
      </c>
      <c r="F6" s="29">
        <f>COUNTIFS('2023 MASTER LIST'!I:I,"PREMISE",'2023 MASTER LIST'!F:F,"RP",'2023 MASTER LIST'!S:S,"TESTED",'2023 MASTER LIST'!T:T,"FAILED")</f>
        <v>1</v>
      </c>
      <c r="G6" s="14"/>
      <c r="H6" s="15" t="s">
        <v>27</v>
      </c>
      <c r="I6" s="28">
        <f>COUNTIFS('2023 MASTER LIST'!I:I,"INPREMISE",'2023 MASTER LIST'!F:F,"RP")</f>
        <v>149</v>
      </c>
      <c r="J6" s="30">
        <f>COUNTIFS('2023 MASTER LIST'!I:I,"INPREMISE",'2023 MASTER LIST'!F:F,"RP",'2023 MASTER LIST'!K:K,"ACTIVE")</f>
        <v>127</v>
      </c>
      <c r="K6" s="29">
        <f>COUNTIFS('2023 MASTER LIST'!I:I,"INPREMISE",'2023 MASTER LIST'!F:F,"RP",'2023 MASTER LIST'!K:K,"ACTIVE",'2023 MASTER LIST'!S:S,"TESTED")</f>
        <v>110</v>
      </c>
      <c r="L6" s="29">
        <f>COUNTIFS('2023 MASTER LIST'!I:I,"PREMISE",'2023 MASTER LIST'!F:F,"RP",'2023 MASTER LIST'!S:S,"TESTED",'2023 MASTER LIST'!T:T,"FAILED")</f>
        <v>1</v>
      </c>
      <c r="M6" s="14"/>
      <c r="N6" s="15">
        <f t="shared" si="0"/>
        <v>177</v>
      </c>
      <c r="O6" s="17"/>
    </row>
    <row r="7" spans="1:15" ht="16.149999999999999">
      <c r="A7" s="17"/>
      <c r="B7" s="15" t="s">
        <v>123</v>
      </c>
      <c r="C7" s="28">
        <f>COUNTIFS('2023 MASTER LIST'!I:I,"PREMISE",'2023 MASTER LIST'!F:F,"PVB")</f>
        <v>13</v>
      </c>
      <c r="D7" s="29">
        <f>COUNTIFS('2023 MASTER LIST'!I:I,"PREMISE",'2023 MASTER LIST'!F:F,"PVB",'2023 MASTER LIST'!K:K,"ACTIVE")</f>
        <v>6</v>
      </c>
      <c r="E7" s="30">
        <f>COUNTIFS('2023 MASTER LIST'!I:I,"PREMISE",'2023 MASTER LIST'!F:F,"PVB",'2023 MASTER LIST'!K:K,"ACTIVE",'2023 MASTER LIST'!S:S,"TESTED")</f>
        <v>4</v>
      </c>
      <c r="F7" s="29">
        <f>COUNTIFS('2023 MASTER LIST'!I:I,"PREMISE",'2023 MASTER LIST'!F:F,"PVB",'2023 MASTER LIST'!S:S,"TESTED",'2023 MASTER LIST'!T:T,"FAILED")</f>
        <v>1</v>
      </c>
      <c r="G7" s="14"/>
      <c r="H7" s="15" t="s">
        <v>123</v>
      </c>
      <c r="I7" s="28">
        <f>COUNTIFS('2023 MASTER LIST'!I:I,"INPREMISE",'2023 MASTER LIST'!F:F,"PVB")</f>
        <v>2</v>
      </c>
      <c r="J7" s="30">
        <f>COUNTIFS('2023 MASTER LIST'!I:I,"INPREMISE",'2023 MASTER LIST'!F:F,"PVB",'2023 MASTER LIST'!K:K,"ACTIVE")</f>
        <v>2</v>
      </c>
      <c r="K7" s="29">
        <f>COUNTIFS('2023 MASTER LIST'!I:I,"INPREMISE",'2023 MASTER LIST'!F:F,"PVB",'2023 MASTER LIST'!K:K,"ACTIVE",'2023 MASTER LIST'!S:S,"TESTED")</f>
        <v>2</v>
      </c>
      <c r="L7" s="29" t="e">
        <f>COUNTIFS('2024 DO NOT TOUCH'!J:J,"PREMISE",#REF!,"PVB",'2024 DO NOT TOUCH'!S:S,"TESTED",'2024 DO NOT TOUCH'!T:T,"FAILED")</f>
        <v>#REF!</v>
      </c>
      <c r="M7" s="14"/>
      <c r="N7" s="15">
        <f t="shared" si="0"/>
        <v>8</v>
      </c>
      <c r="O7" s="17"/>
    </row>
    <row r="8" spans="1:15" ht="16.149999999999999">
      <c r="A8" s="17"/>
      <c r="B8" s="15" t="s">
        <v>124</v>
      </c>
      <c r="C8" s="28">
        <f>COUNTIFS('2023 MASTER LIST'!I:I,"PREMISE",'2023 MASTER LIST'!F:F,"DCDA")/2</f>
        <v>7.5</v>
      </c>
      <c r="D8" s="29">
        <f>COUNTIFS('2023 MASTER LIST'!I:I,"PREMISE",'2023 MASTER LIST'!F:F,"DCDA",'2023 MASTER LIST'!K:K,"ACTIVE")/2</f>
        <v>7</v>
      </c>
      <c r="E8" s="30">
        <f>COUNTIFS('2023 MASTER LIST'!I:I,"PREMISE",'2023 MASTER LIST'!F:F,"DCDA",'2023 MASTER LIST'!K:K,"ACTIVE",'2023 MASTER LIST'!S:S,"TESTED")/2</f>
        <v>7</v>
      </c>
      <c r="F8" s="29">
        <f>COUNTIFS('2023 MASTER LIST'!I:I,"PREMISE",'2023 MASTER LIST'!F:F,"DCDA",'2023 MASTER LIST'!S:S,"TESTED",'2023 MASTER LIST'!T:T,"FAILED")</f>
        <v>0</v>
      </c>
      <c r="G8" s="14"/>
      <c r="H8" s="15" t="s">
        <v>124</v>
      </c>
      <c r="I8" s="28">
        <f>COUNTIFS('2023 MASTER LIST'!I:I,"INPREMISE",'2023 MASTER LIST'!F:F,"DCDA")/2</f>
        <v>0</v>
      </c>
      <c r="J8" s="30">
        <f>COUNTIFS('2023 MASTER LIST'!I:I,"INPREMISE",'2023 MASTER LIST'!F:F,"DCDA",'2023 MASTER LIST'!K:K,"ACTIVE")/2</f>
        <v>0</v>
      </c>
      <c r="K8" s="29">
        <f>COUNTIFS('2023 MASTER LIST'!I:I,"INPREMISE",'2023 MASTER LIST'!F:F,"DCDA",'2023 MASTER LIST'!K:K,"ACTIVE",'2023 MASTER LIST'!S:S,"TESTED")/2</f>
        <v>0</v>
      </c>
      <c r="L8" s="29">
        <f>COUNTIFS('2023 MASTER LIST'!I:I,"PREMISE",'2023 MASTER LIST'!F:F,"DCDA",'2023 MASTER LIST'!S:S,"TESTED",'2023 MASTER LIST'!T:T,"FAILED")</f>
        <v>0</v>
      </c>
      <c r="M8" s="14"/>
      <c r="N8" s="15">
        <f t="shared" si="0"/>
        <v>7</v>
      </c>
      <c r="O8" s="17"/>
    </row>
    <row r="9" spans="1:15" ht="16.149999999999999">
      <c r="A9" s="17"/>
      <c r="B9" s="15" t="s">
        <v>62</v>
      </c>
      <c r="C9" s="28">
        <f>COUNTIFS('2023 MASTER LIST'!I:I,"PREMISE",'2023 MASTER LIST'!F:F,"SVB")</f>
        <v>0</v>
      </c>
      <c r="D9" s="29">
        <f>COUNTIFS('2023 MASTER LIST'!I:I,"PREMISE",'2023 MASTER LIST'!F:F,"SVB",'2023 MASTER LIST'!K:K,"ACTIVE")</f>
        <v>0</v>
      </c>
      <c r="E9" s="30">
        <f>COUNTIFS('2023 MASTER LIST'!I:I,"PREMISE",'2023 MASTER LIST'!F:F,"SVB",'2023 MASTER LIST'!K:K,"ACTIVE",'2023 MASTER LIST'!S:S,"TESTED")</f>
        <v>0</v>
      </c>
      <c r="F9" s="29">
        <f>COUNTIFS('2023 MASTER LIST'!I:I,"PREMISE",'2023 MASTER LIST'!F:F,"SVB",'2023 MASTER LIST'!S:S,"TESTED",'2023 MASTER LIST'!T:T,"FAILED")</f>
        <v>0</v>
      </c>
      <c r="G9" s="14"/>
      <c r="H9" s="15" t="s">
        <v>62</v>
      </c>
      <c r="I9" s="28">
        <f>COUNTIFS('2023 MASTER LIST'!I:I,"INPREMISE",'2023 MASTER LIST'!F:F,"SVB")</f>
        <v>2</v>
      </c>
      <c r="J9" s="30">
        <f>COUNTIFS('2023 MASTER LIST'!I:I,"INPREMISE",'2023 MASTER LIST'!F:F,"SVB",'2023 MASTER LIST'!K:K,"ACTIVE")</f>
        <v>2</v>
      </c>
      <c r="K9" s="29">
        <f>COUNTIFS('2023 MASTER LIST'!I:I,"INPREMISE",'2023 MASTER LIST'!F:F,"SVB",'2023 MASTER LIST'!K:K,"ACTIVE",'2023 MASTER LIST'!S:S,"TESTED")</f>
        <v>2</v>
      </c>
      <c r="L9" s="29">
        <f>COUNTIFS('2023 MASTER LIST'!I:I,"PREMISE",'2023 MASTER LIST'!F:F,"SVB",'2023 MASTER LIST'!S:S,"TESTED",'2023 MASTER LIST'!T:T,"FAILED")</f>
        <v>0</v>
      </c>
      <c r="M9" s="14"/>
      <c r="N9" s="15">
        <f t="shared" si="0"/>
        <v>2</v>
      </c>
      <c r="O9" s="17"/>
    </row>
    <row r="10" spans="1:15" ht="12.6">
      <c r="A10" s="17"/>
      <c r="B10" s="31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 t="s">
        <v>118</v>
      </c>
      <c r="N10" s="32">
        <f>SUM(N5:N9)</f>
        <v>423</v>
      </c>
      <c r="O10" s="17"/>
    </row>
    <row r="11" spans="1:15" ht="12.6">
      <c r="A11" s="17"/>
      <c r="B11" s="31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33"/>
      <c r="O11" s="17"/>
    </row>
    <row r="12" spans="1:15" ht="12.6">
      <c r="A12" s="17"/>
      <c r="B12" s="31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33"/>
      <c r="O12" s="17"/>
    </row>
    <row r="13" spans="1:15" ht="15.75" customHeight="1">
      <c r="A13" s="34"/>
      <c r="B13" s="35" t="s">
        <v>125</v>
      </c>
      <c r="C13" s="35" t="s">
        <v>126</v>
      </c>
      <c r="D13" s="35" t="s">
        <v>127</v>
      </c>
      <c r="E13" s="35" t="s">
        <v>128</v>
      </c>
      <c r="F13" s="35" t="s">
        <v>129</v>
      </c>
      <c r="G13" s="35" t="s">
        <v>130</v>
      </c>
      <c r="H13" s="36"/>
      <c r="I13" s="36"/>
      <c r="J13" s="37"/>
      <c r="K13" s="16"/>
      <c r="L13" s="16"/>
      <c r="M13" s="14"/>
      <c r="N13" s="38" t="s">
        <v>131</v>
      </c>
      <c r="O13" s="24"/>
    </row>
    <row r="14" spans="1:15" ht="12.6">
      <c r="A14" s="17"/>
      <c r="B14" s="15">
        <f>SUM(C5:C9,I5:I9)</f>
        <v>481.5</v>
      </c>
      <c r="C14" s="15">
        <f>B14-D14</f>
        <v>58.5</v>
      </c>
      <c r="D14" s="15">
        <f>N10</f>
        <v>423</v>
      </c>
      <c r="E14" s="15">
        <f t="shared" ref="E14:F14" si="1">SUM(E5:E9,K5:K9)</f>
        <v>358</v>
      </c>
      <c r="F14" s="15" t="e">
        <f t="shared" si="1"/>
        <v>#REF!</v>
      </c>
      <c r="G14" s="15">
        <f>D14-E14</f>
        <v>65</v>
      </c>
      <c r="H14" s="39"/>
      <c r="I14" s="40"/>
      <c r="J14" s="40"/>
      <c r="K14" s="40"/>
      <c r="L14" s="40"/>
      <c r="M14" s="40"/>
      <c r="N14" s="41">
        <f>E14/D14</f>
        <v>0.84633569739952719</v>
      </c>
      <c r="O14" s="17"/>
    </row>
    <row r="15" spans="1:15" ht="12.6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 ht="12.6">
      <c r="A16" s="17"/>
      <c r="B16" s="330" t="s">
        <v>132</v>
      </c>
      <c r="C16" s="333"/>
      <c r="D16" s="333"/>
      <c r="E16" s="333"/>
      <c r="F16" s="333"/>
      <c r="G16" s="333"/>
      <c r="H16" s="333"/>
      <c r="I16" s="333"/>
      <c r="J16" s="333"/>
      <c r="K16" s="333"/>
      <c r="L16" s="333"/>
      <c r="M16" s="333"/>
      <c r="N16" s="334"/>
      <c r="O16" s="17"/>
    </row>
    <row r="17" spans="1:15" ht="12.6">
      <c r="A17" s="17"/>
      <c r="B17" s="335"/>
      <c r="C17" s="336"/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7"/>
      <c r="O17" s="17"/>
    </row>
    <row r="18" spans="1:15" ht="15.75" customHeight="1">
      <c r="A18" s="17"/>
      <c r="B18" s="329" t="s">
        <v>117</v>
      </c>
      <c r="C18" s="332"/>
      <c r="D18" s="20" t="s">
        <v>118</v>
      </c>
      <c r="E18" s="20" t="s">
        <v>119</v>
      </c>
      <c r="F18" s="20" t="s">
        <v>120</v>
      </c>
      <c r="G18" s="21"/>
      <c r="H18" s="329" t="s">
        <v>121</v>
      </c>
      <c r="I18" s="332"/>
      <c r="J18" s="20" t="s">
        <v>118</v>
      </c>
      <c r="K18" s="20" t="s">
        <v>119</v>
      </c>
      <c r="L18" s="20" t="s">
        <v>120</v>
      </c>
      <c r="M18" s="22"/>
      <c r="N18" s="23" t="s">
        <v>133</v>
      </c>
      <c r="O18" s="17"/>
    </row>
    <row r="19" spans="1:15" ht="16.149999999999999">
      <c r="A19" s="17"/>
      <c r="B19" s="15" t="s">
        <v>39</v>
      </c>
      <c r="C19" s="25">
        <f>COUNTIFS('2023 CONTRACTOR Master List '!J:J,"PREMISE",'2023 CONTRACTOR Master List '!F:F,"DC")</f>
        <v>8</v>
      </c>
      <c r="D19" s="26">
        <f>COUNTIFS('2023 CONTRACTOR Master List '!J:J,"PREMISE",'2023 CONTRACTOR Master List '!F:F,"DC",'2023 CONTRACTOR Master List '!L:L,"ACTIVE")</f>
        <v>8</v>
      </c>
      <c r="E19" s="26">
        <f>COUNTIFS('2023 CONTRACTOR Master List '!J:J,"PREMISE",'2023 CONTRACTOR Master List '!F:F,"DC",'2023 CONTRACTOR Master List '!L:L,"ACTIVE",'2023 CONTRACTOR Master List '!S:S,"TESTED")</f>
        <v>5</v>
      </c>
      <c r="F19" s="26">
        <f>COUNTIFS('2023 CONTRACTOR Master List '!J:J,"PREMISE",'2023 CONTRACTOR Master List '!F:F,"DC",'2023 CONTRACTOR Master List '!L:L,"ACTIVE",'2023 CONTRACTOR Master List '!S:S,"TESTED",'2023 CONTRACTOR Master List '!T:T,"FAILED")</f>
        <v>0</v>
      </c>
      <c r="G19" s="14"/>
      <c r="H19" s="15" t="s">
        <v>39</v>
      </c>
      <c r="I19" s="25">
        <f>COUNTIFS('2023 CONTRACTOR Master List '!J:J,"INPREMISE",'2023 CONTRACTOR Master List '!F:F,"DC")</f>
        <v>1</v>
      </c>
      <c r="J19" s="26">
        <f>COUNTIFS('2023 CONTRACTOR Master List '!J:J,"INPREMISE",'2023 CONTRACTOR Master List '!F:F,"DC",'2023 CONTRACTOR Master List '!L:L,"ACTIVE")</f>
        <v>1</v>
      </c>
      <c r="K19" s="26">
        <f>COUNTIFS('2023 CONTRACTOR Master List '!J:J,"INPREMISE",'2023 CONTRACTOR Master List '!F:F,"DC",'2023 CONTRACTOR Master List '!L:L,"ACTIVE",'2023 CONTRACTOR Master List '!S:S,"TESTED")</f>
        <v>1</v>
      </c>
      <c r="L19" s="26">
        <f>COUNTIFS('2023 CONTRACTOR Master List '!J:J,"INPREMISE",'2023 CONTRACTOR Master List '!F:F,"DC",'2023 CONTRACTOR Master List '!L:L,"ACTIVE",'2023 CONTRACTOR Master List '!S:S,"TESTED",'2023 CONTRACTOR Master List '!T:T,"FAILED")</f>
        <v>0</v>
      </c>
      <c r="M19" s="14"/>
      <c r="N19" s="15">
        <f t="shared" ref="N19:N23" si="2">D19+J19</f>
        <v>9</v>
      </c>
      <c r="O19" s="17"/>
    </row>
    <row r="20" spans="1:15" ht="16.149999999999999">
      <c r="A20" s="17"/>
      <c r="B20" s="15" t="s">
        <v>27</v>
      </c>
      <c r="C20" s="28">
        <f>COUNTIFS('2023 CONTRACTOR Master List '!J:J,"PREMISE",'2023 CONTRACTOR Master List '!F:F,"RP")</f>
        <v>11</v>
      </c>
      <c r="D20" s="29">
        <f>COUNTIFS('2023 CONTRACTOR Master List '!J:J,"PREMISE",'2023 CONTRACTOR Master List '!F:F,"RP",'2023 CONTRACTOR Master List '!L:L,"ACTIVE")</f>
        <v>11</v>
      </c>
      <c r="E20" s="29">
        <f>COUNTIFS('2023 CONTRACTOR Master List '!J:J,"PREMISE",'2023 CONTRACTOR Master List '!F:F,"RP",'2023 CONTRACTOR Master List '!L:L,"ACTIVE",'2023 CONTRACTOR Master List '!S:S,"TESTED")</f>
        <v>11</v>
      </c>
      <c r="F20" s="29">
        <f>COUNTIFS('2023 CONTRACTOR Master List '!J:J,"PREMISE",'2023 CONTRACTOR Master List '!F:F,"RP",'2023 CONTRACTOR Master List '!L:L,"ACTIVE",'2023 CONTRACTOR Master List '!S:S,"TESTED",'2023 CONTRACTOR Master List '!T:T,"FAILED")</f>
        <v>1</v>
      </c>
      <c r="G20" s="14"/>
      <c r="H20" s="15" t="s">
        <v>27</v>
      </c>
      <c r="I20" s="28">
        <f>COUNTIFS('2023 CONTRACTOR Master List '!J:J,"INPREMISE",'2023 CONTRACTOR Master List '!F:F,"RP")</f>
        <v>56</v>
      </c>
      <c r="J20" s="29">
        <f>COUNTIFS('2023 CONTRACTOR Master List '!J:J,"INPREMISE",'2023 CONTRACTOR Master List '!F:F,"RP",'2023 CONTRACTOR Master List '!L:L,"ACTIVE")</f>
        <v>56</v>
      </c>
      <c r="K20" s="29">
        <f>COUNTIFS('2023 CONTRACTOR Master List '!J:J,"INPREMISE",'2023 CONTRACTOR Master List '!F:F,"RP",'2023 CONTRACTOR Master List '!L:L,"ACTIVE",'2023 CONTRACTOR Master List '!S:S,"TESTED")</f>
        <v>54</v>
      </c>
      <c r="L20" s="29">
        <f>COUNTIFS('2023 CONTRACTOR Master List '!J:J,"INPREMISE",'2023 CONTRACTOR Master List '!F:F,"RP",'2023 CONTRACTOR Master List '!L:L,"ACTIVE",'2023 CONTRACTOR Master List '!S:S,"TESTED",'2023 CONTRACTOR Master List '!T:T,"FAILED")</f>
        <v>1</v>
      </c>
      <c r="M20" s="14"/>
      <c r="N20" s="15">
        <f t="shared" si="2"/>
        <v>67</v>
      </c>
      <c r="O20" s="17"/>
    </row>
    <row r="21" spans="1:15" ht="16.149999999999999">
      <c r="A21" s="17"/>
      <c r="B21" s="15" t="s">
        <v>123</v>
      </c>
      <c r="C21" s="28">
        <f>COUNTIFS('2023 CONTRACTOR Master List '!J:J,"PREMISE",'2023 CONTRACTOR Master List '!F:F,"PVB")</f>
        <v>0</v>
      </c>
      <c r="D21" s="29">
        <f>COUNTIFS('2023 CONTRACTOR Master List '!J:J,"PREMISE",'2023 CONTRACTOR Master List '!F:F,"PVB",'2023 CONTRACTOR Master List '!L:L,"ACTIVE")</f>
        <v>0</v>
      </c>
      <c r="E21" s="29">
        <f>COUNTIFS('2023 CONTRACTOR Master List '!J:J,"PREMISE",'2023 CONTRACTOR Master List '!F:F,"PVB",'2023 CONTRACTOR Master List '!L:L,"ACTIVE",'2023 CONTRACTOR Master List '!S:S,"TESTED")</f>
        <v>0</v>
      </c>
      <c r="F21" s="29">
        <f>COUNTIFS('2023 CONTRACTOR Master List '!J:J,"PREMISE",'2023 CONTRACTOR Master List '!F:F,"PVB",'2023 CONTRACTOR Master List '!L:L,"ACTIVE",'2023 CONTRACTOR Master List '!S:S,"TESTED",'2023 CONTRACTOR Master List '!T:T,"FAILED")</f>
        <v>0</v>
      </c>
      <c r="G21" s="14"/>
      <c r="H21" s="15" t="s">
        <v>123</v>
      </c>
      <c r="I21" s="28">
        <f>COUNTIFS('2023 CONTRACTOR Master List '!J:J,"INPREMISE",'2023 CONTRACTOR Master List '!F:F,"PVB")</f>
        <v>0</v>
      </c>
      <c r="J21" s="29">
        <f>COUNTIFS('2023 CONTRACTOR Master List '!J:J,"INPREMISE",'2023 CONTRACTOR Master List '!F:F,"PVB",'2023 CONTRACTOR Master List '!L:L,"ACTIVE")</f>
        <v>0</v>
      </c>
      <c r="K21" s="29">
        <f>COUNTIFS('2023 CONTRACTOR Master List '!J:J,"INPREMISE",'2023 CONTRACTOR Master List '!F:F,"PVB",'2023 CONTRACTOR Master List '!L:L,"ACTIVE",'2023 CONTRACTOR Master List '!S:S,"TESTED")</f>
        <v>0</v>
      </c>
      <c r="L21" s="29">
        <f>COUNTIFS('2023 CONTRACTOR Master List '!J:J,"INPREMISE",'2023 CONTRACTOR Master List '!F:F,"PVB",'2023 CONTRACTOR Master List '!L:L,"ACTIVE",'2023 CONTRACTOR Master List '!S:S,"TESTED",'2023 CONTRACTOR Master List '!T:T,"FAILED")</f>
        <v>0</v>
      </c>
      <c r="M21" s="14"/>
      <c r="N21" s="15">
        <f t="shared" si="2"/>
        <v>0</v>
      </c>
      <c r="O21" s="17"/>
    </row>
    <row r="22" spans="1:15" ht="16.149999999999999">
      <c r="A22" s="17"/>
      <c r="B22" s="15" t="s">
        <v>124</v>
      </c>
      <c r="C22" s="28">
        <f>COUNTIFS('2023 CONTRACTOR Master List '!J:J,"PREMISE",'2023 CONTRACTOR Master List '!F:F,"DCDA")/2</f>
        <v>3.5</v>
      </c>
      <c r="D22" s="29">
        <f>COUNTIFS('2023 CONTRACTOR Master List '!J:J,"PREMISE",'2023 CONTRACTOR Master List '!F:F,"DCDA",'2023 CONTRACTOR Master List '!L:L,"ACTIVE")/2</f>
        <v>3.5</v>
      </c>
      <c r="E22" s="29">
        <f>COUNTIFS('2023 CONTRACTOR Master List '!J:J,"PREMISE",'2023 CONTRACTOR Master List '!F:F,"DCDA",'2023 CONTRACTOR Master List '!L:L,"ACTIVE",'2023 CONTRACTOR Master List '!S:S,"TESTED")</f>
        <v>0</v>
      </c>
      <c r="F22" s="29">
        <f>COUNTIFS('2023 CONTRACTOR Master List '!J:J,"PREMISE",'2023 CONTRACTOR Master List '!F:F,"DCDA",'2023 CONTRACTOR Master List '!L:L,"ACTIVE",'2023 CONTRACTOR Master List '!S:S,"TESTED",'2023 CONTRACTOR Master List '!T:T,"FAILED")</f>
        <v>0</v>
      </c>
      <c r="G22" s="14"/>
      <c r="H22" s="15" t="s">
        <v>124</v>
      </c>
      <c r="I22" s="28">
        <f>COUNTIFS('2023 CONTRACTOR Master List '!J:J,"INPREMISE",'2023 CONTRACTOR Master List '!F:F,"DCDA")/2</f>
        <v>0</v>
      </c>
      <c r="J22" s="29">
        <f>COUNTIFS('2023 CONTRACTOR Master List '!J:J,"INPREMISE",'2023 CONTRACTOR Master List '!F:F,"DCDA",'2023 CONTRACTOR Master List '!L:L,"ACTIVE")/2</f>
        <v>0</v>
      </c>
      <c r="K22" s="29">
        <f>COUNTIFS('2023 CONTRACTOR Master List '!J:J,"INPREMISE",'2023 CONTRACTOR Master List '!F:F,"DCDA",'2023 CONTRACTOR Master List '!L:L,"ACTIVE",'2023 CONTRACTOR Master List '!S:S,"TESTED")/2</f>
        <v>0</v>
      </c>
      <c r="L22" s="29">
        <f>COUNTIFS('2023 CONTRACTOR Master List '!J:J,"INPREMISE",'2023 CONTRACTOR Master List '!F:F,"DCDA",'2023 CONTRACTOR Master List '!L:L,"ACTIVE",'2023 CONTRACTOR Master List '!S:S,"TESTED",'2023 CONTRACTOR Master List '!T:T,"FAILED")</f>
        <v>0</v>
      </c>
      <c r="M22" s="14"/>
      <c r="N22" s="15">
        <f t="shared" si="2"/>
        <v>3.5</v>
      </c>
      <c r="O22" s="17"/>
    </row>
    <row r="23" spans="1:15" ht="16.149999999999999">
      <c r="A23" s="17"/>
      <c r="B23" s="15" t="s">
        <v>62</v>
      </c>
      <c r="C23" s="28">
        <f>COUNTIFS('2023 CONTRACTOR Master List '!J:J,"PREMISE",'2023 CONTRACTOR Master List '!F:F,"SVB")</f>
        <v>0</v>
      </c>
      <c r="D23" s="29">
        <f>COUNTIFS('2023 CONTRACTOR Master List '!J:J,"PREMISE",'2023 CONTRACTOR Master List '!F:F,"SVB",'2023 CONTRACTOR Master List '!L:L,"ACTIVE")</f>
        <v>0</v>
      </c>
      <c r="E23" s="29">
        <f>COUNTIFS('2023 CONTRACTOR Master List '!J:J,"PREMISE",'2023 CONTRACTOR Master List '!F:F,"SVB",'2023 CONTRACTOR Master List '!L:L,"ACTIVE",'2023 CONTRACTOR Master List '!S:S,"TESTED")</f>
        <v>0</v>
      </c>
      <c r="F23" s="29">
        <f>COUNTIFS('2023 CONTRACTOR Master List '!J:J,"PREMISE",'2023 CONTRACTOR Master List '!F:F,"SVB",'2023 CONTRACTOR Master List '!L:L,"ACTIVE",'2023 CONTRACTOR Master List '!S:S,"TESTED",'2023 CONTRACTOR Master List '!T:T,"FAILED")</f>
        <v>0</v>
      </c>
      <c r="G23" s="14"/>
      <c r="H23" s="15" t="s">
        <v>62</v>
      </c>
      <c r="I23" s="28">
        <f>COUNTIFS('2023 CONTRACTOR Master List '!J:J,"INPREMISE",'2023 CONTRACTOR Master List '!F:F,"SVB")</f>
        <v>0</v>
      </c>
      <c r="J23" s="29">
        <f>COUNTIFS('2023 CONTRACTOR Master List '!J:J,"INPREMISE",'2023 CONTRACTOR Master List '!F:F,"SVB",'2023 CONTRACTOR Master List '!L:L,"ACTIVE")</f>
        <v>0</v>
      </c>
      <c r="K23" s="29">
        <f>COUNTIFS('2023 CONTRACTOR Master List '!J:J,"INPREMISE",'2023 CONTRACTOR Master List '!F:F,"SVB",'2023 CONTRACTOR Master List '!L:L,"ACTIVE",'2023 CONTRACTOR Master List '!S:S,"TESTED")</f>
        <v>0</v>
      </c>
      <c r="L23" s="29">
        <f>COUNTIFS('2023 CONTRACTOR Master List '!J:J,"INPREMISE",'2023 CONTRACTOR Master List '!F:F,"SVB",'2023 CONTRACTOR Master List '!L:L,"ACTIVE",'2023 CONTRACTOR Master List '!S:S,"TESTED",'2023 CONTRACTOR Master List '!T:T,"FAILED")</f>
        <v>0</v>
      </c>
      <c r="M23" s="14"/>
      <c r="N23" s="15">
        <f t="shared" si="2"/>
        <v>0</v>
      </c>
      <c r="O23" s="17"/>
    </row>
    <row r="24" spans="1:15" ht="12.6">
      <c r="A24" s="17"/>
      <c r="B24" s="31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 t="s">
        <v>118</v>
      </c>
      <c r="N24" s="32">
        <f>SUM(N19:N23)</f>
        <v>79.5</v>
      </c>
      <c r="O24" s="17"/>
    </row>
    <row r="25" spans="1:15" ht="12.6">
      <c r="A25" s="17"/>
      <c r="B25" s="3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33"/>
      <c r="O25" s="17"/>
    </row>
    <row r="26" spans="1:15" ht="7.5" customHeight="1" thickBot="1">
      <c r="A26" s="17"/>
      <c r="B26" s="31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33"/>
      <c r="O26" s="17"/>
    </row>
    <row r="27" spans="1:15" ht="27.75" customHeight="1" thickTop="1" thickBot="1">
      <c r="A27" s="17"/>
      <c r="B27" s="52" t="s">
        <v>125</v>
      </c>
      <c r="C27" s="52" t="s">
        <v>126</v>
      </c>
      <c r="D27" s="52" t="s">
        <v>127</v>
      </c>
      <c r="E27" s="52" t="s">
        <v>128</v>
      </c>
      <c r="F27" s="52" t="s">
        <v>134</v>
      </c>
      <c r="G27" s="52" t="s">
        <v>130</v>
      </c>
      <c r="H27" s="36"/>
      <c r="I27" s="36"/>
      <c r="J27" s="37"/>
      <c r="K27" s="16"/>
      <c r="L27" s="16"/>
      <c r="M27" s="14"/>
      <c r="N27" s="38" t="s">
        <v>131</v>
      </c>
      <c r="O27" s="17"/>
    </row>
    <row r="28" spans="1:15" ht="29.25" customHeight="1" thickTop="1" thickBot="1">
      <c r="A28" s="17"/>
      <c r="B28" s="15">
        <f>SUM(C19:C23,I19:I23)</f>
        <v>79.5</v>
      </c>
      <c r="C28" s="15">
        <f>B28-D28</f>
        <v>0</v>
      </c>
      <c r="D28" s="15">
        <f>N24</f>
        <v>79.5</v>
      </c>
      <c r="E28" s="15">
        <f t="shared" ref="E28:F28" si="3">SUM(E19:E23,K19:K23)</f>
        <v>71</v>
      </c>
      <c r="F28" s="15">
        <f t="shared" si="3"/>
        <v>2</v>
      </c>
      <c r="G28" s="15">
        <f>D28-E28</f>
        <v>8.5</v>
      </c>
      <c r="H28" s="39"/>
      <c r="I28" s="40"/>
      <c r="J28" s="40"/>
      <c r="K28" s="40"/>
      <c r="L28" s="40"/>
      <c r="M28" s="40"/>
      <c r="N28" s="41">
        <f>E28/D28</f>
        <v>0.89308176100628933</v>
      </c>
      <c r="O28" s="17"/>
    </row>
    <row r="29" spans="1:15" ht="30.6" thickTop="1" thickBot="1">
      <c r="A29" s="17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17"/>
    </row>
    <row r="30" spans="1:15" ht="12.6">
      <c r="A30" s="17"/>
      <c r="B30" s="330" t="s">
        <v>135</v>
      </c>
      <c r="C30" s="333"/>
      <c r="D30" s="333"/>
      <c r="E30" s="333"/>
      <c r="F30" s="333"/>
      <c r="G30" s="333"/>
      <c r="H30" s="333"/>
      <c r="I30" s="333"/>
      <c r="J30" s="333"/>
      <c r="K30" s="333"/>
      <c r="L30" s="333"/>
      <c r="M30" s="333"/>
      <c r="N30" s="334"/>
      <c r="O30" s="17"/>
    </row>
    <row r="31" spans="1:15" ht="12.6">
      <c r="A31" s="17"/>
      <c r="B31" s="335"/>
      <c r="C31" s="336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7"/>
      <c r="O31" s="17"/>
    </row>
    <row r="32" spans="1:15" ht="22.15">
      <c r="A32" s="17"/>
      <c r="B32" s="329" t="s">
        <v>117</v>
      </c>
      <c r="C32" s="332"/>
      <c r="D32" s="20" t="s">
        <v>118</v>
      </c>
      <c r="E32" s="326" t="s">
        <v>119</v>
      </c>
      <c r="F32" s="20" t="s">
        <v>120</v>
      </c>
      <c r="G32" s="21"/>
      <c r="H32" s="329" t="s">
        <v>121</v>
      </c>
      <c r="I32" s="332"/>
      <c r="J32" s="326" t="s">
        <v>118</v>
      </c>
      <c r="K32" s="20" t="s">
        <v>119</v>
      </c>
      <c r="L32" s="20" t="s">
        <v>120</v>
      </c>
      <c r="M32" s="22"/>
      <c r="N32" s="23" t="s">
        <v>133</v>
      </c>
      <c r="O32" s="17"/>
    </row>
    <row r="33" spans="1:15" ht="16.149999999999999">
      <c r="A33" s="17"/>
      <c r="B33" s="15" t="s">
        <v>39</v>
      </c>
      <c r="C33" s="25">
        <f t="shared" ref="C33:F33" si="4">C5+C19</f>
        <v>243</v>
      </c>
      <c r="D33" s="25">
        <f t="shared" si="4"/>
        <v>219</v>
      </c>
      <c r="E33" s="25">
        <f t="shared" si="4"/>
        <v>177</v>
      </c>
      <c r="F33" s="25">
        <f t="shared" si="4"/>
        <v>0</v>
      </c>
      <c r="G33" s="14"/>
      <c r="H33" s="15" t="s">
        <v>39</v>
      </c>
      <c r="I33" s="25">
        <f t="shared" ref="I33:L33" si="5">I5+I19</f>
        <v>23</v>
      </c>
      <c r="J33" s="25">
        <f t="shared" si="5"/>
        <v>19</v>
      </c>
      <c r="K33" s="25">
        <f t="shared" si="5"/>
        <v>14</v>
      </c>
      <c r="L33" s="25">
        <f t="shared" si="5"/>
        <v>0</v>
      </c>
      <c r="M33" s="14"/>
      <c r="N33" s="15">
        <f t="shared" ref="N33:N37" si="6">D33+J33</f>
        <v>238</v>
      </c>
      <c r="O33" s="17"/>
    </row>
    <row r="34" spans="1:15" ht="16.149999999999999">
      <c r="A34" s="17"/>
      <c r="B34" s="15" t="s">
        <v>27</v>
      </c>
      <c r="C34" s="25">
        <f t="shared" ref="C34:F34" si="7">C6+C20</f>
        <v>62</v>
      </c>
      <c r="D34" s="25">
        <f t="shared" si="7"/>
        <v>61</v>
      </c>
      <c r="E34" s="25">
        <f t="shared" si="7"/>
        <v>59</v>
      </c>
      <c r="F34" s="25">
        <f t="shared" si="7"/>
        <v>2</v>
      </c>
      <c r="G34" s="14"/>
      <c r="H34" s="15" t="s">
        <v>27</v>
      </c>
      <c r="I34" s="25">
        <f t="shared" ref="I34:L34" si="8">I6+I20</f>
        <v>205</v>
      </c>
      <c r="J34" s="25">
        <f t="shared" si="8"/>
        <v>183</v>
      </c>
      <c r="K34" s="25">
        <f t="shared" si="8"/>
        <v>164</v>
      </c>
      <c r="L34" s="25">
        <f t="shared" si="8"/>
        <v>2</v>
      </c>
      <c r="M34" s="14"/>
      <c r="N34" s="15">
        <f t="shared" si="6"/>
        <v>244</v>
      </c>
      <c r="O34" s="17"/>
    </row>
    <row r="35" spans="1:15" ht="18">
      <c r="A35" s="17"/>
      <c r="B35" s="15" t="s">
        <v>123</v>
      </c>
      <c r="C35" s="25">
        <f t="shared" ref="C35:F35" si="9">C7+C21</f>
        <v>13</v>
      </c>
      <c r="D35" s="25">
        <f t="shared" si="9"/>
        <v>6</v>
      </c>
      <c r="E35" s="25">
        <f t="shared" si="9"/>
        <v>4</v>
      </c>
      <c r="F35" s="25">
        <f t="shared" si="9"/>
        <v>1</v>
      </c>
      <c r="G35" s="14"/>
      <c r="H35" s="15" t="s">
        <v>123</v>
      </c>
      <c r="I35" s="25">
        <f t="shared" ref="I35:L35" si="10">I7+I21</f>
        <v>2</v>
      </c>
      <c r="J35" s="25">
        <f t="shared" si="10"/>
        <v>2</v>
      </c>
      <c r="K35" s="25">
        <f t="shared" si="10"/>
        <v>2</v>
      </c>
      <c r="L35" s="25" t="e">
        <f t="shared" si="10"/>
        <v>#REF!</v>
      </c>
      <c r="M35" s="14"/>
      <c r="N35" s="15">
        <f t="shared" si="6"/>
        <v>8</v>
      </c>
      <c r="O35" s="43"/>
    </row>
    <row r="36" spans="1:15" ht="16.149999999999999">
      <c r="A36" s="17"/>
      <c r="B36" s="15" t="s">
        <v>124</v>
      </c>
      <c r="C36" s="25">
        <f t="shared" ref="C36:F36" si="11">C8+C22</f>
        <v>11</v>
      </c>
      <c r="D36" s="25">
        <f t="shared" si="11"/>
        <v>10.5</v>
      </c>
      <c r="E36" s="25">
        <f t="shared" si="11"/>
        <v>7</v>
      </c>
      <c r="F36" s="25">
        <f t="shared" si="11"/>
        <v>0</v>
      </c>
      <c r="G36" s="14"/>
      <c r="H36" s="15" t="s">
        <v>124</v>
      </c>
      <c r="I36" s="25">
        <f t="shared" ref="I36:L36" si="12">I8+I22</f>
        <v>0</v>
      </c>
      <c r="J36" s="25">
        <f t="shared" si="12"/>
        <v>0</v>
      </c>
      <c r="K36" s="25">
        <f t="shared" si="12"/>
        <v>0</v>
      </c>
      <c r="L36" s="25">
        <f t="shared" si="12"/>
        <v>0</v>
      </c>
      <c r="M36" s="14"/>
      <c r="N36" s="15">
        <f t="shared" si="6"/>
        <v>10.5</v>
      </c>
      <c r="O36" s="44"/>
    </row>
    <row r="37" spans="1:15" ht="16.149999999999999">
      <c r="A37" s="17"/>
      <c r="B37" s="15" t="s">
        <v>62</v>
      </c>
      <c r="C37" s="25">
        <f t="shared" ref="C37:F37" si="13">C9+C23</f>
        <v>0</v>
      </c>
      <c r="D37" s="25">
        <f t="shared" si="13"/>
        <v>0</v>
      </c>
      <c r="E37" s="25">
        <f t="shared" si="13"/>
        <v>0</v>
      </c>
      <c r="F37" s="25">
        <f t="shared" si="13"/>
        <v>0</v>
      </c>
      <c r="G37" s="14"/>
      <c r="H37" s="15" t="s">
        <v>62</v>
      </c>
      <c r="I37" s="25">
        <f t="shared" ref="I37:L37" si="14">I9+I23</f>
        <v>2</v>
      </c>
      <c r="J37" s="25">
        <f t="shared" si="14"/>
        <v>2</v>
      </c>
      <c r="K37" s="25">
        <f t="shared" si="14"/>
        <v>2</v>
      </c>
      <c r="L37" s="25">
        <f t="shared" si="14"/>
        <v>0</v>
      </c>
      <c r="M37" s="14"/>
      <c r="N37" s="15">
        <f t="shared" si="6"/>
        <v>2</v>
      </c>
      <c r="O37" s="17"/>
    </row>
    <row r="38" spans="1:15" ht="12.6">
      <c r="A38" s="17"/>
      <c r="B38" s="31"/>
      <c r="C38" s="14">
        <f t="shared" ref="C38:D38" si="15">SUM(C33:C37)</f>
        <v>329</v>
      </c>
      <c r="D38" s="14">
        <f t="shared" si="15"/>
        <v>296.5</v>
      </c>
      <c r="E38" s="14"/>
      <c r="F38" s="14"/>
      <c r="G38" s="14"/>
      <c r="H38" s="14"/>
      <c r="I38" s="14">
        <f>SUM(I33:I37)</f>
        <v>232</v>
      </c>
      <c r="J38" s="14"/>
      <c r="K38" s="14"/>
      <c r="L38" s="14"/>
      <c r="M38" s="15" t="s">
        <v>118</v>
      </c>
      <c r="N38" s="32">
        <f>SUM(N33:N37)</f>
        <v>502.5</v>
      </c>
      <c r="O38" s="17"/>
    </row>
    <row r="39" spans="1:15" ht="12.6">
      <c r="A39" s="17"/>
      <c r="B39" s="31"/>
      <c r="C39" s="14">
        <f>C38+D38</f>
        <v>625.5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33"/>
      <c r="O39" s="17"/>
    </row>
    <row r="40" spans="1:15" ht="12.6">
      <c r="A40" s="17"/>
      <c r="B40" s="31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3"/>
      <c r="O40" s="17"/>
    </row>
    <row r="41" spans="1:15" ht="23.45">
      <c r="A41" s="17"/>
      <c r="B41" s="35" t="s">
        <v>125</v>
      </c>
      <c r="C41" s="35" t="s">
        <v>126</v>
      </c>
      <c r="D41" s="35" t="s">
        <v>127</v>
      </c>
      <c r="E41" s="35" t="s">
        <v>128</v>
      </c>
      <c r="F41" s="35" t="s">
        <v>129</v>
      </c>
      <c r="G41" s="35" t="s">
        <v>130</v>
      </c>
      <c r="H41" s="36"/>
      <c r="I41" s="36"/>
      <c r="J41" s="37"/>
      <c r="K41" s="16"/>
      <c r="L41" s="16"/>
      <c r="M41" s="14"/>
      <c r="N41" s="38" t="s">
        <v>131</v>
      </c>
      <c r="O41" s="17"/>
    </row>
    <row r="42" spans="1:15" ht="12.6">
      <c r="A42" s="17"/>
      <c r="B42" s="15">
        <f>SUM(C33:C37,I33:I37)</f>
        <v>561</v>
      </c>
      <c r="C42" s="15">
        <f>B42-D42</f>
        <v>58.5</v>
      </c>
      <c r="D42" s="15">
        <f>N38</f>
        <v>502.5</v>
      </c>
      <c r="E42" s="15">
        <f t="shared" ref="E42:F42" si="16">SUM(E33:E37,K33:K37)</f>
        <v>429</v>
      </c>
      <c r="F42" s="15" t="e">
        <f t="shared" si="16"/>
        <v>#REF!</v>
      </c>
      <c r="G42" s="15">
        <f>D42-E42</f>
        <v>73.5</v>
      </c>
      <c r="H42" s="39"/>
      <c r="I42" s="40"/>
      <c r="J42" s="40"/>
      <c r="K42" s="40"/>
      <c r="L42" s="40"/>
      <c r="M42" s="40"/>
      <c r="N42" s="41">
        <f>E42/D42</f>
        <v>0.85373134328358213</v>
      </c>
      <c r="O42" s="17"/>
    </row>
    <row r="43" spans="1:15" ht="12.6">
      <c r="A43" s="17"/>
      <c r="B43" s="17"/>
      <c r="C43" s="17"/>
      <c r="D43" s="17"/>
      <c r="E43" s="17"/>
      <c r="F43" s="17"/>
      <c r="G43" s="17"/>
      <c r="H43" s="45"/>
      <c r="I43" s="17"/>
      <c r="J43" s="17"/>
      <c r="K43" s="17"/>
      <c r="L43" s="17"/>
      <c r="M43" s="17"/>
      <c r="N43" s="44"/>
      <c r="O43" s="17"/>
    </row>
  </sheetData>
  <sheetProtection algorithmName="SHA-512" hashValue="wI0xxxvhbJhwS2ptGWfG3e04j1zybKMB0oPqvqLeBD5WSmyWeKNQmrd/qy++Ycc8V2k35XFQeGqJgXBqz66BfQ==" saltValue="Y4li2Q9H+C44BPjJUuGxjQ==" spinCount="100000" sheet="1" objects="1" scenarios="1"/>
  <mergeCells count="9">
    <mergeCell ref="B32:C32"/>
    <mergeCell ref="H32:I32"/>
    <mergeCell ref="B2:N3"/>
    <mergeCell ref="B4:C4"/>
    <mergeCell ref="H4:I4"/>
    <mergeCell ref="B16:N17"/>
    <mergeCell ref="B18:C18"/>
    <mergeCell ref="H18:I18"/>
    <mergeCell ref="B30:N31"/>
  </mergeCells>
  <conditionalFormatting sqref="H41">
    <cfRule type="notContainsBlanks" dxfId="61" priority="1">
      <formula>LEN(TRIM(H41))&gt;0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ignoredErrors>
    <ignoredError sqref="F1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  <pageSetUpPr fitToPage="1"/>
  </sheetPr>
  <dimension ref="A1:Z2639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defaultColWidth="11.25" defaultRowHeight="15.75" customHeight="1"/>
  <cols>
    <col min="1" max="1" width="6.5" style="47" customWidth="1"/>
    <col min="2" max="2" width="17.125" style="47" customWidth="1"/>
    <col min="3" max="3" width="10.375" style="47" customWidth="1"/>
    <col min="4" max="4" width="9.375" style="47" customWidth="1"/>
    <col min="5" max="5" width="7.625" style="47" customWidth="1"/>
    <col min="6" max="6" width="6.5" style="47" customWidth="1"/>
    <col min="7" max="7" width="5.75" style="176" customWidth="1"/>
    <col min="8" max="9" width="45.375" style="47" customWidth="1"/>
    <col min="10" max="10" width="8.5" style="47" customWidth="1"/>
    <col min="11" max="11" width="7.5" style="47" customWidth="1"/>
    <col min="12" max="12" width="11" style="47" customWidth="1"/>
    <col min="13" max="13" width="8.75" style="47" customWidth="1"/>
    <col min="14" max="14" width="11.25" style="47" customWidth="1"/>
    <col min="15" max="15" width="8.25" style="136" customWidth="1"/>
    <col min="16" max="17" width="5.5" style="47" customWidth="1"/>
    <col min="18" max="18" width="8.625" style="47" customWidth="1"/>
    <col min="19" max="19" width="9.25" style="47" customWidth="1"/>
    <col min="20" max="20" width="8.125" style="47" customWidth="1"/>
    <col min="21" max="21" width="8.25" style="47" customWidth="1"/>
    <col min="22" max="22" width="8.375" style="47" customWidth="1"/>
    <col min="23" max="23" width="8.5" style="47" customWidth="1"/>
    <col min="24" max="24" width="7.875" style="47" customWidth="1"/>
    <col min="25" max="25" width="18.25" style="47" customWidth="1"/>
    <col min="26" max="16384" width="11.25" style="47"/>
  </cols>
  <sheetData>
    <row r="1" spans="1:26" ht="12.6">
      <c r="A1" s="149" t="s">
        <v>0</v>
      </c>
      <c r="B1" s="149" t="s">
        <v>136</v>
      </c>
      <c r="C1" s="149" t="s">
        <v>137</v>
      </c>
      <c r="D1" s="149" t="s">
        <v>12</v>
      </c>
      <c r="E1" s="149" t="s">
        <v>138</v>
      </c>
      <c r="F1" s="149" t="s">
        <v>139</v>
      </c>
      <c r="G1" s="150" t="s">
        <v>140</v>
      </c>
      <c r="H1" s="149" t="s">
        <v>141</v>
      </c>
      <c r="I1" s="151" t="s">
        <v>142</v>
      </c>
      <c r="J1" s="151" t="s">
        <v>143</v>
      </c>
      <c r="K1" s="151" t="s">
        <v>144</v>
      </c>
      <c r="L1" s="152" t="s">
        <v>145</v>
      </c>
      <c r="M1" s="152" t="s">
        <v>146</v>
      </c>
      <c r="N1" s="152" t="s">
        <v>147</v>
      </c>
      <c r="O1" s="147" t="s">
        <v>148</v>
      </c>
      <c r="P1" s="148" t="s">
        <v>149</v>
      </c>
      <c r="Q1" s="148" t="s">
        <v>150</v>
      </c>
      <c r="R1" s="148" t="s">
        <v>151</v>
      </c>
      <c r="S1" s="151" t="s">
        <v>152</v>
      </c>
      <c r="T1" s="151" t="s">
        <v>153</v>
      </c>
      <c r="U1" s="151" t="s">
        <v>154</v>
      </c>
      <c r="V1" s="151" t="s">
        <v>155</v>
      </c>
      <c r="W1" s="151" t="s">
        <v>156</v>
      </c>
      <c r="X1" s="151" t="s">
        <v>157</v>
      </c>
      <c r="Y1" s="151" t="s">
        <v>158</v>
      </c>
      <c r="Z1" s="153"/>
    </row>
    <row r="2" spans="1:26" ht="12.6">
      <c r="A2" s="85" t="s">
        <v>159</v>
      </c>
      <c r="B2" s="85" t="s">
        <v>160</v>
      </c>
      <c r="C2" s="85" t="s">
        <v>161</v>
      </c>
      <c r="D2" s="85" t="s">
        <v>61</v>
      </c>
      <c r="E2" s="85" t="s">
        <v>162</v>
      </c>
      <c r="F2" s="85" t="s">
        <v>39</v>
      </c>
      <c r="G2" s="89" t="s">
        <v>163</v>
      </c>
      <c r="H2" s="85" t="s">
        <v>164</v>
      </c>
      <c r="I2" s="86" t="s">
        <v>165</v>
      </c>
      <c r="J2" s="86" t="s">
        <v>40</v>
      </c>
      <c r="K2" s="86" t="s">
        <v>118</v>
      </c>
      <c r="L2" s="87"/>
      <c r="M2" s="87" t="b">
        <v>0</v>
      </c>
      <c r="N2" s="87"/>
      <c r="P2" s="88"/>
      <c r="Q2" s="88"/>
      <c r="R2" s="88"/>
      <c r="S2" s="86" t="s">
        <v>166</v>
      </c>
      <c r="T2" s="86" t="s">
        <v>120</v>
      </c>
      <c r="U2" s="86" t="s">
        <v>153</v>
      </c>
      <c r="V2" s="86" t="s">
        <v>167</v>
      </c>
      <c r="W2" s="86" t="s">
        <v>168</v>
      </c>
      <c r="X2" s="86"/>
      <c r="Y2" s="86" t="s">
        <v>169</v>
      </c>
      <c r="Z2" s="153"/>
    </row>
    <row r="3" spans="1:26" ht="12.6">
      <c r="A3" s="85" t="s">
        <v>159</v>
      </c>
      <c r="B3" s="85" t="s">
        <v>170</v>
      </c>
      <c r="C3" s="85" t="s">
        <v>171</v>
      </c>
      <c r="D3" s="85" t="s">
        <v>26</v>
      </c>
      <c r="E3" s="85" t="s">
        <v>172</v>
      </c>
      <c r="F3" s="85" t="s">
        <v>27</v>
      </c>
      <c r="G3" s="89" t="s">
        <v>173</v>
      </c>
      <c r="H3" s="85" t="s">
        <v>174</v>
      </c>
      <c r="I3" s="86" t="s">
        <v>165</v>
      </c>
      <c r="J3" s="86" t="s">
        <v>40</v>
      </c>
      <c r="K3" s="86" t="s">
        <v>118</v>
      </c>
      <c r="L3" s="87">
        <v>44655</v>
      </c>
      <c r="M3" s="87" t="b">
        <v>0</v>
      </c>
      <c r="N3" s="87"/>
      <c r="P3" s="88"/>
      <c r="Q3" s="88"/>
      <c r="R3" s="88"/>
      <c r="S3" s="86" t="s">
        <v>119</v>
      </c>
      <c r="T3" s="86" t="s">
        <v>153</v>
      </c>
      <c r="U3" s="86"/>
      <c r="V3" s="86"/>
      <c r="W3" s="86"/>
      <c r="X3" s="86"/>
      <c r="Y3" s="86"/>
      <c r="Z3" s="153"/>
    </row>
    <row r="4" spans="1:26" ht="12.6">
      <c r="A4" s="85" t="s">
        <v>159</v>
      </c>
      <c r="B4" s="85" t="s">
        <v>160</v>
      </c>
      <c r="C4" s="85" t="s">
        <v>175</v>
      </c>
      <c r="D4" s="85" t="s">
        <v>26</v>
      </c>
      <c r="E4" s="85" t="s">
        <v>176</v>
      </c>
      <c r="F4" s="85" t="s">
        <v>39</v>
      </c>
      <c r="G4" s="89" t="s">
        <v>177</v>
      </c>
      <c r="H4" s="85" t="s">
        <v>178</v>
      </c>
      <c r="I4" s="86" t="s">
        <v>28</v>
      </c>
      <c r="J4" s="86" t="s">
        <v>52</v>
      </c>
      <c r="K4" s="86" t="s">
        <v>118</v>
      </c>
      <c r="L4" s="87">
        <v>44565</v>
      </c>
      <c r="M4" s="87" t="b">
        <v>0</v>
      </c>
      <c r="N4" s="87"/>
      <c r="P4" s="88"/>
      <c r="Q4" s="88"/>
      <c r="R4" s="88"/>
      <c r="S4" s="86" t="s">
        <v>119</v>
      </c>
      <c r="T4" s="86" t="s">
        <v>153</v>
      </c>
      <c r="U4" s="86"/>
      <c r="V4" s="86"/>
      <c r="W4" s="86" t="s">
        <v>179</v>
      </c>
      <c r="X4" s="86"/>
      <c r="Y4" s="86"/>
      <c r="Z4" s="153"/>
    </row>
    <row r="5" spans="1:26" s="188" customFormat="1" ht="12.6">
      <c r="A5" s="180" t="s">
        <v>159</v>
      </c>
      <c r="B5" s="180" t="s">
        <v>160</v>
      </c>
      <c r="C5" s="180" t="s">
        <v>180</v>
      </c>
      <c r="D5" s="180" t="s">
        <v>61</v>
      </c>
      <c r="E5" s="180" t="s">
        <v>162</v>
      </c>
      <c r="F5" s="180" t="s">
        <v>123</v>
      </c>
      <c r="G5" s="181" t="s">
        <v>181</v>
      </c>
      <c r="H5" s="180" t="s">
        <v>182</v>
      </c>
      <c r="I5" s="182" t="s">
        <v>28</v>
      </c>
      <c r="J5" s="182" t="s">
        <v>183</v>
      </c>
      <c r="K5" s="182" t="s">
        <v>184</v>
      </c>
      <c r="L5" s="183"/>
      <c r="M5" s="184" t="b">
        <v>0</v>
      </c>
      <c r="N5" s="183"/>
      <c r="O5" s="185"/>
      <c r="P5" s="186"/>
      <c r="Q5" s="186"/>
      <c r="R5" s="186"/>
      <c r="S5" s="182" t="s">
        <v>166</v>
      </c>
      <c r="T5" s="182" t="s">
        <v>120</v>
      </c>
      <c r="U5" s="182" t="s">
        <v>153</v>
      </c>
      <c r="V5" s="182" t="s">
        <v>167</v>
      </c>
      <c r="W5" s="182" t="s">
        <v>167</v>
      </c>
      <c r="X5" s="182"/>
      <c r="Y5" s="182"/>
      <c r="Z5" s="187"/>
    </row>
    <row r="6" spans="1:26" s="188" customFormat="1" ht="12.6">
      <c r="A6" s="180" t="s">
        <v>185</v>
      </c>
      <c r="B6" s="180" t="s">
        <v>186</v>
      </c>
      <c r="C6" s="180" t="s">
        <v>187</v>
      </c>
      <c r="D6" s="180" t="s">
        <v>50</v>
      </c>
      <c r="E6" s="180" t="s">
        <v>188</v>
      </c>
      <c r="F6" s="180" t="s">
        <v>27</v>
      </c>
      <c r="G6" s="181" t="s">
        <v>173</v>
      </c>
      <c r="H6" s="180" t="s">
        <v>189</v>
      </c>
      <c r="I6" s="182" t="s">
        <v>165</v>
      </c>
      <c r="J6" s="182" t="s">
        <v>40</v>
      </c>
      <c r="K6" s="182" t="s">
        <v>118</v>
      </c>
      <c r="L6" s="183"/>
      <c r="M6" s="183" t="b">
        <v>0</v>
      </c>
      <c r="N6" s="183"/>
      <c r="O6" s="185"/>
      <c r="P6" s="186"/>
      <c r="Q6" s="186"/>
      <c r="R6" s="186"/>
      <c r="S6" s="182" t="s">
        <v>166</v>
      </c>
      <c r="T6" s="182" t="s">
        <v>120</v>
      </c>
      <c r="U6" s="182" t="s">
        <v>153</v>
      </c>
      <c r="V6" s="182" t="s">
        <v>167</v>
      </c>
      <c r="W6" s="182" t="s">
        <v>168</v>
      </c>
      <c r="X6" s="182"/>
      <c r="Y6" s="182"/>
      <c r="Z6" s="187"/>
    </row>
    <row r="7" spans="1:26" s="145" customFormat="1" ht="12.6">
      <c r="A7" s="139" t="s">
        <v>185</v>
      </c>
      <c r="B7" s="139" t="s">
        <v>186</v>
      </c>
      <c r="C7" s="139" t="s">
        <v>190</v>
      </c>
      <c r="D7" s="139" t="s">
        <v>26</v>
      </c>
      <c r="E7" s="139" t="s">
        <v>172</v>
      </c>
      <c r="F7" s="139" t="s">
        <v>27</v>
      </c>
      <c r="G7" s="140" t="s">
        <v>163</v>
      </c>
      <c r="H7" s="139" t="s">
        <v>191</v>
      </c>
      <c r="I7" s="141" t="s">
        <v>165</v>
      </c>
      <c r="J7" s="141" t="s">
        <v>40</v>
      </c>
      <c r="K7" s="141" t="s">
        <v>118</v>
      </c>
      <c r="L7" s="142">
        <v>44810</v>
      </c>
      <c r="M7" s="146" t="b">
        <v>0</v>
      </c>
      <c r="N7" s="142">
        <v>45293</v>
      </c>
      <c r="O7" s="143" t="s">
        <v>58</v>
      </c>
      <c r="P7" s="144"/>
      <c r="Q7" s="144"/>
      <c r="R7" s="144"/>
      <c r="S7" s="141" t="s">
        <v>119</v>
      </c>
      <c r="T7" s="141"/>
      <c r="U7" s="141"/>
      <c r="V7" s="141"/>
      <c r="W7" s="86"/>
      <c r="X7" s="141"/>
      <c r="Y7" s="141"/>
      <c r="Z7" s="208"/>
    </row>
    <row r="8" spans="1:26" s="131" customFormat="1" ht="12.6">
      <c r="A8" s="124" t="s">
        <v>185</v>
      </c>
      <c r="B8" s="124" t="s">
        <v>186</v>
      </c>
      <c r="C8" s="124" t="s">
        <v>192</v>
      </c>
      <c r="D8" s="124" t="s">
        <v>26</v>
      </c>
      <c r="E8" s="124" t="s">
        <v>172</v>
      </c>
      <c r="F8" s="124" t="s">
        <v>27</v>
      </c>
      <c r="G8" s="125" t="s">
        <v>173</v>
      </c>
      <c r="H8" s="124" t="s">
        <v>193</v>
      </c>
      <c r="I8" s="126" t="s">
        <v>165</v>
      </c>
      <c r="J8" s="126" t="s">
        <v>40</v>
      </c>
      <c r="K8" s="126" t="s">
        <v>118</v>
      </c>
      <c r="L8" s="127">
        <v>44566</v>
      </c>
      <c r="M8" s="127" t="b">
        <v>0</v>
      </c>
      <c r="N8" s="127">
        <v>45293</v>
      </c>
      <c r="O8" s="128" t="s">
        <v>58</v>
      </c>
      <c r="P8" s="129"/>
      <c r="Q8" s="129"/>
      <c r="R8" s="129"/>
      <c r="S8" s="126" t="s">
        <v>166</v>
      </c>
      <c r="T8" s="126"/>
      <c r="U8" s="126"/>
      <c r="V8" s="126"/>
      <c r="W8" s="126" t="s">
        <v>194</v>
      </c>
      <c r="X8" s="126"/>
      <c r="Y8" s="126" t="s">
        <v>195</v>
      </c>
      <c r="Z8" s="207"/>
    </row>
    <row r="9" spans="1:26" s="98" customFormat="1" ht="12.6">
      <c r="A9" s="90" t="s">
        <v>185</v>
      </c>
      <c r="B9" s="90" t="s">
        <v>186</v>
      </c>
      <c r="C9" s="90" t="s">
        <v>196</v>
      </c>
      <c r="D9" s="90" t="s">
        <v>50</v>
      </c>
      <c r="E9" s="90" t="s">
        <v>197</v>
      </c>
      <c r="F9" s="90" t="s">
        <v>39</v>
      </c>
      <c r="G9" s="91" t="s">
        <v>163</v>
      </c>
      <c r="H9" s="90" t="s">
        <v>198</v>
      </c>
      <c r="I9" s="92" t="s">
        <v>165</v>
      </c>
      <c r="J9" s="92" t="s">
        <v>40</v>
      </c>
      <c r="K9" s="92" t="s">
        <v>118</v>
      </c>
      <c r="L9" s="97">
        <v>44565</v>
      </c>
      <c r="M9" s="93" t="b">
        <v>0</v>
      </c>
      <c r="N9" s="97">
        <v>45295</v>
      </c>
      <c r="O9" s="94" t="s">
        <v>58</v>
      </c>
      <c r="P9" s="95">
        <v>2</v>
      </c>
      <c r="Q9" s="95">
        <v>3.1</v>
      </c>
      <c r="R9" s="95"/>
      <c r="S9" s="92" t="s">
        <v>119</v>
      </c>
      <c r="T9" s="92" t="s">
        <v>153</v>
      </c>
      <c r="U9" s="92" t="s">
        <v>199</v>
      </c>
      <c r="V9" s="92"/>
      <c r="W9" s="86"/>
      <c r="X9" s="92"/>
      <c r="Y9" s="92"/>
      <c r="Z9" s="93"/>
    </row>
    <row r="10" spans="1:26" s="98" customFormat="1" ht="12.6">
      <c r="A10" s="90" t="s">
        <v>185</v>
      </c>
      <c r="B10" s="90" t="s">
        <v>186</v>
      </c>
      <c r="C10" s="90" t="s">
        <v>200</v>
      </c>
      <c r="D10" s="90" t="s">
        <v>50</v>
      </c>
      <c r="E10" s="90" t="s">
        <v>197</v>
      </c>
      <c r="F10" s="90" t="s">
        <v>39</v>
      </c>
      <c r="G10" s="91" t="s">
        <v>201</v>
      </c>
      <c r="H10" s="90" t="s">
        <v>202</v>
      </c>
      <c r="I10" s="92" t="s">
        <v>28</v>
      </c>
      <c r="J10" s="92" t="s">
        <v>28</v>
      </c>
      <c r="K10" s="92" t="s">
        <v>118</v>
      </c>
      <c r="L10" s="93">
        <v>44566</v>
      </c>
      <c r="M10" s="93" t="b">
        <v>0</v>
      </c>
      <c r="N10" s="93">
        <v>45293</v>
      </c>
      <c r="O10" s="94" t="s">
        <v>58</v>
      </c>
      <c r="P10" s="95">
        <v>1.2</v>
      </c>
      <c r="Q10" s="95">
        <v>1.6</v>
      </c>
      <c r="R10" s="95"/>
      <c r="S10" s="92" t="s">
        <v>119</v>
      </c>
      <c r="T10" s="92" t="s">
        <v>153</v>
      </c>
      <c r="U10" s="92"/>
      <c r="V10" s="92"/>
      <c r="W10" s="86"/>
      <c r="X10" s="92"/>
      <c r="Y10" s="92"/>
      <c r="Z10" s="97">
        <v>44655</v>
      </c>
    </row>
    <row r="11" spans="1:26" s="98" customFormat="1" ht="12.6">
      <c r="A11" s="90" t="s">
        <v>185</v>
      </c>
      <c r="B11" s="90" t="s">
        <v>186</v>
      </c>
      <c r="C11" s="90" t="s">
        <v>203</v>
      </c>
      <c r="D11" s="90" t="s">
        <v>38</v>
      </c>
      <c r="E11" s="90" t="s">
        <v>204</v>
      </c>
      <c r="F11" s="90" t="s">
        <v>39</v>
      </c>
      <c r="G11" s="91" t="s">
        <v>205</v>
      </c>
      <c r="H11" s="90" t="s">
        <v>206</v>
      </c>
      <c r="I11" s="92" t="s">
        <v>28</v>
      </c>
      <c r="J11" s="92" t="s">
        <v>52</v>
      </c>
      <c r="K11" s="92" t="s">
        <v>118</v>
      </c>
      <c r="L11" s="93">
        <v>44566</v>
      </c>
      <c r="M11" s="93" t="b">
        <v>0</v>
      </c>
      <c r="N11" s="93">
        <v>45293</v>
      </c>
      <c r="O11" s="94" t="s">
        <v>58</v>
      </c>
      <c r="P11" s="95">
        <v>4</v>
      </c>
      <c r="Q11" s="95">
        <v>3.1</v>
      </c>
      <c r="R11" s="95"/>
      <c r="S11" s="92" t="s">
        <v>119</v>
      </c>
      <c r="T11" s="92" t="s">
        <v>153</v>
      </c>
      <c r="U11" s="92"/>
      <c r="V11" s="92"/>
      <c r="W11" s="86"/>
      <c r="X11" s="92"/>
      <c r="Y11" s="92"/>
      <c r="Z11" s="99">
        <v>44565</v>
      </c>
    </row>
    <row r="12" spans="1:26" s="131" customFormat="1" ht="12.6">
      <c r="A12" s="124" t="s">
        <v>185</v>
      </c>
      <c r="B12" s="124" t="s">
        <v>186</v>
      </c>
      <c r="C12" s="124" t="s">
        <v>207</v>
      </c>
      <c r="D12" s="124" t="s">
        <v>26</v>
      </c>
      <c r="E12" s="124" t="s">
        <v>176</v>
      </c>
      <c r="F12" s="124" t="s">
        <v>39</v>
      </c>
      <c r="G12" s="125" t="s">
        <v>208</v>
      </c>
      <c r="H12" s="124" t="s">
        <v>209</v>
      </c>
      <c r="I12" s="126" t="s">
        <v>28</v>
      </c>
      <c r="J12" s="126" t="s">
        <v>183</v>
      </c>
      <c r="K12" s="126" t="s">
        <v>118</v>
      </c>
      <c r="L12" s="209">
        <v>44753</v>
      </c>
      <c r="M12" s="134" t="b">
        <v>0</v>
      </c>
      <c r="N12" s="209">
        <v>45509</v>
      </c>
      <c r="O12" s="128" t="s">
        <v>35</v>
      </c>
      <c r="P12" s="129"/>
      <c r="Q12" s="129"/>
      <c r="R12" s="129"/>
      <c r="S12" s="126" t="s">
        <v>166</v>
      </c>
      <c r="T12" s="126"/>
      <c r="U12" s="126"/>
      <c r="V12" s="126"/>
      <c r="W12" s="86"/>
      <c r="X12" s="126"/>
      <c r="Y12" s="126" t="s">
        <v>210</v>
      </c>
      <c r="Z12" s="135"/>
    </row>
    <row r="13" spans="1:26" ht="12.6">
      <c r="A13" s="85" t="s">
        <v>211</v>
      </c>
      <c r="B13" s="85" t="s">
        <v>212</v>
      </c>
      <c r="C13" s="85" t="s">
        <v>213</v>
      </c>
      <c r="D13" s="85" t="s">
        <v>61</v>
      </c>
      <c r="E13" s="85" t="s">
        <v>214</v>
      </c>
      <c r="F13" s="85" t="s">
        <v>39</v>
      </c>
      <c r="G13" s="89" t="s">
        <v>177</v>
      </c>
      <c r="H13" s="85" t="s">
        <v>215</v>
      </c>
      <c r="I13" s="86" t="s">
        <v>28</v>
      </c>
      <c r="J13" s="86" t="s">
        <v>28</v>
      </c>
      <c r="K13" s="86" t="s">
        <v>118</v>
      </c>
      <c r="L13" s="154">
        <v>44564</v>
      </c>
      <c r="M13" s="87" t="b">
        <v>0</v>
      </c>
      <c r="N13" s="154"/>
      <c r="P13" s="88"/>
      <c r="Q13" s="88"/>
      <c r="R13" s="88"/>
      <c r="S13" s="86" t="s">
        <v>119</v>
      </c>
      <c r="T13" s="86" t="s">
        <v>153</v>
      </c>
      <c r="U13" s="86"/>
      <c r="V13" s="86"/>
      <c r="W13" s="86"/>
      <c r="X13" s="86"/>
      <c r="Y13" s="86"/>
      <c r="Z13" s="138"/>
    </row>
    <row r="14" spans="1:26" s="161" customFormat="1" ht="12.6">
      <c r="A14" s="85" t="s">
        <v>216</v>
      </c>
      <c r="B14" s="85" t="s">
        <v>217</v>
      </c>
      <c r="C14" s="85" t="s">
        <v>218</v>
      </c>
      <c r="D14" s="85" t="s">
        <v>50</v>
      </c>
      <c r="E14" s="85" t="s">
        <v>219</v>
      </c>
      <c r="F14" s="85" t="s">
        <v>39</v>
      </c>
      <c r="G14" s="89" t="s">
        <v>208</v>
      </c>
      <c r="H14" s="85" t="s">
        <v>220</v>
      </c>
      <c r="I14" s="156" t="s">
        <v>28</v>
      </c>
      <c r="J14" s="156" t="s">
        <v>183</v>
      </c>
      <c r="K14" s="156" t="s">
        <v>118</v>
      </c>
      <c r="L14" s="157"/>
      <c r="M14" s="158" t="b">
        <v>1</v>
      </c>
      <c r="N14" s="157"/>
      <c r="O14" s="159"/>
      <c r="P14" s="160"/>
      <c r="Q14" s="160"/>
      <c r="R14" s="160"/>
      <c r="S14" s="156" t="s">
        <v>166</v>
      </c>
      <c r="T14" s="156" t="s">
        <v>120</v>
      </c>
      <c r="U14" s="156" t="s">
        <v>153</v>
      </c>
      <c r="V14" s="156" t="s">
        <v>167</v>
      </c>
      <c r="W14" s="156" t="s">
        <v>167</v>
      </c>
      <c r="X14" s="156"/>
      <c r="Y14" s="156"/>
      <c r="Z14" s="157">
        <v>44810</v>
      </c>
    </row>
    <row r="15" spans="1:26" ht="12.6">
      <c r="A15" s="85" t="s">
        <v>221</v>
      </c>
      <c r="B15" s="85" t="s">
        <v>217</v>
      </c>
      <c r="C15" s="85" t="s">
        <v>222</v>
      </c>
      <c r="D15" s="85" t="s">
        <v>26</v>
      </c>
      <c r="E15" s="85" t="s">
        <v>223</v>
      </c>
      <c r="F15" s="85" t="s">
        <v>39</v>
      </c>
      <c r="G15" s="89" t="s">
        <v>201</v>
      </c>
      <c r="H15" s="85" t="s">
        <v>224</v>
      </c>
      <c r="I15" s="86" t="s">
        <v>28</v>
      </c>
      <c r="J15" s="86" t="s">
        <v>52</v>
      </c>
      <c r="K15" s="86" t="s">
        <v>118</v>
      </c>
      <c r="L15" s="154">
        <v>44676</v>
      </c>
      <c r="M15" s="155" t="b">
        <v>0</v>
      </c>
      <c r="N15" s="154"/>
      <c r="P15" s="88"/>
      <c r="Q15" s="88"/>
      <c r="R15" s="88"/>
      <c r="S15" s="86" t="s">
        <v>119</v>
      </c>
      <c r="T15" s="86" t="s">
        <v>153</v>
      </c>
      <c r="U15" s="86" t="s">
        <v>153</v>
      </c>
      <c r="V15" s="86" t="s">
        <v>167</v>
      </c>
      <c r="W15" s="86" t="s">
        <v>167</v>
      </c>
      <c r="X15" s="86"/>
      <c r="Y15" s="86"/>
      <c r="Z15" s="138">
        <v>44566</v>
      </c>
    </row>
    <row r="16" spans="1:26" s="98" customFormat="1" ht="12.6">
      <c r="A16" s="90" t="s">
        <v>225</v>
      </c>
      <c r="B16" s="90" t="s">
        <v>217</v>
      </c>
      <c r="C16" s="90" t="s">
        <v>226</v>
      </c>
      <c r="D16" s="90" t="s">
        <v>50</v>
      </c>
      <c r="E16" s="90" t="s">
        <v>197</v>
      </c>
      <c r="F16" s="90" t="s">
        <v>39</v>
      </c>
      <c r="G16" s="91" t="s">
        <v>227</v>
      </c>
      <c r="H16" s="90" t="s">
        <v>228</v>
      </c>
      <c r="I16" s="92" t="s">
        <v>28</v>
      </c>
      <c r="J16" s="92" t="s">
        <v>40</v>
      </c>
      <c r="K16" s="92" t="s">
        <v>118</v>
      </c>
      <c r="L16" s="97">
        <v>44574</v>
      </c>
      <c r="M16" s="119" t="b">
        <v>0</v>
      </c>
      <c r="N16" s="97">
        <v>45517</v>
      </c>
      <c r="O16" s="94" t="s">
        <v>101</v>
      </c>
      <c r="P16" s="95">
        <v>2</v>
      </c>
      <c r="Q16" s="95">
        <v>2.6</v>
      </c>
      <c r="R16" s="95"/>
      <c r="S16" s="92" t="s">
        <v>119</v>
      </c>
      <c r="T16" s="92" t="s">
        <v>153</v>
      </c>
      <c r="U16" s="92"/>
      <c r="V16" s="92"/>
      <c r="W16" s="92"/>
      <c r="X16" s="92"/>
      <c r="Y16" s="92"/>
      <c r="Z16" s="97">
        <v>44565</v>
      </c>
    </row>
    <row r="17" spans="1:26" ht="12.6">
      <c r="A17" s="85" t="s">
        <v>225</v>
      </c>
      <c r="B17" s="85" t="s">
        <v>217</v>
      </c>
      <c r="C17" s="85" t="s">
        <v>229</v>
      </c>
      <c r="D17" s="85" t="s">
        <v>26</v>
      </c>
      <c r="E17" s="85" t="s">
        <v>172</v>
      </c>
      <c r="F17" s="85" t="s">
        <v>27</v>
      </c>
      <c r="G17" s="89" t="s">
        <v>230</v>
      </c>
      <c r="H17" s="85" t="s">
        <v>231</v>
      </c>
      <c r="I17" s="86" t="s">
        <v>28</v>
      </c>
      <c r="J17" s="86" t="s">
        <v>40</v>
      </c>
      <c r="K17" s="86" t="s">
        <v>118</v>
      </c>
      <c r="L17" s="87">
        <v>44574</v>
      </c>
      <c r="M17" s="87" t="b">
        <v>0</v>
      </c>
      <c r="N17" s="87"/>
      <c r="P17" s="88"/>
      <c r="Q17" s="88"/>
      <c r="R17" s="88"/>
      <c r="S17" s="86" t="s">
        <v>119</v>
      </c>
      <c r="T17" s="86" t="s">
        <v>153</v>
      </c>
      <c r="U17" s="86" t="s">
        <v>153</v>
      </c>
      <c r="V17" s="86" t="s">
        <v>167</v>
      </c>
      <c r="W17" s="86" t="s">
        <v>167</v>
      </c>
      <c r="X17" s="86"/>
      <c r="Y17" s="86"/>
      <c r="Z17" s="138">
        <v>44566</v>
      </c>
    </row>
    <row r="18" spans="1:26" s="98" customFormat="1" ht="12.6">
      <c r="A18" s="90" t="s">
        <v>232</v>
      </c>
      <c r="B18" s="90" t="s">
        <v>233</v>
      </c>
      <c r="C18" s="90" t="s">
        <v>234</v>
      </c>
      <c r="D18" s="90" t="s">
        <v>50</v>
      </c>
      <c r="E18" s="90" t="s">
        <v>235</v>
      </c>
      <c r="F18" s="90" t="s">
        <v>27</v>
      </c>
      <c r="G18" s="91" t="s">
        <v>208</v>
      </c>
      <c r="H18" s="90" t="s">
        <v>236</v>
      </c>
      <c r="I18" s="92" t="s">
        <v>28</v>
      </c>
      <c r="J18" s="92" t="s">
        <v>183</v>
      </c>
      <c r="K18" s="92" t="s">
        <v>118</v>
      </c>
      <c r="L18" s="93">
        <v>44644</v>
      </c>
      <c r="M18" s="93" t="b">
        <v>0</v>
      </c>
      <c r="N18" s="93">
        <v>45454</v>
      </c>
      <c r="O18" s="94" t="s">
        <v>98</v>
      </c>
      <c r="P18" s="95">
        <v>7.6</v>
      </c>
      <c r="Q18" s="96"/>
      <c r="R18" s="96">
        <v>3.2</v>
      </c>
      <c r="S18" s="92" t="s">
        <v>119</v>
      </c>
      <c r="T18" s="92" t="s">
        <v>153</v>
      </c>
      <c r="U18" s="92"/>
      <c r="V18" s="92"/>
      <c r="W18" s="86"/>
      <c r="X18" s="92"/>
      <c r="Y18" s="92"/>
      <c r="Z18" s="97">
        <v>44566</v>
      </c>
    </row>
    <row r="19" spans="1:26" s="170" customFormat="1" ht="12.6">
      <c r="A19" s="162" t="s">
        <v>232</v>
      </c>
      <c r="B19" s="162" t="s">
        <v>233</v>
      </c>
      <c r="C19" s="162" t="s">
        <v>237</v>
      </c>
      <c r="D19" s="162" t="s">
        <v>26</v>
      </c>
      <c r="E19" s="162" t="s">
        <v>172</v>
      </c>
      <c r="F19" s="162" t="s">
        <v>27</v>
      </c>
      <c r="G19" s="163" t="s">
        <v>227</v>
      </c>
      <c r="H19" s="162" t="s">
        <v>238</v>
      </c>
      <c r="I19" s="164" t="s">
        <v>28</v>
      </c>
      <c r="J19" s="164" t="s">
        <v>183</v>
      </c>
      <c r="K19" s="164" t="s">
        <v>118</v>
      </c>
      <c r="L19" s="165"/>
      <c r="M19" s="166" t="b">
        <v>1</v>
      </c>
      <c r="N19" s="165"/>
      <c r="O19" s="167"/>
      <c r="P19" s="168"/>
      <c r="Q19" s="168"/>
      <c r="R19" s="168"/>
      <c r="S19" s="164" t="s">
        <v>166</v>
      </c>
      <c r="T19" s="164"/>
      <c r="U19" s="164"/>
      <c r="V19" s="164"/>
      <c r="W19" s="86"/>
      <c r="X19" s="164" t="s">
        <v>239</v>
      </c>
      <c r="Y19" s="164" t="s">
        <v>210</v>
      </c>
      <c r="Z19" s="169">
        <v>44753</v>
      </c>
    </row>
    <row r="20" spans="1:26" ht="12.6">
      <c r="A20" s="85" t="s">
        <v>232</v>
      </c>
      <c r="B20" s="85" t="s">
        <v>233</v>
      </c>
      <c r="C20" s="85" t="s">
        <v>240</v>
      </c>
      <c r="D20" s="85" t="s">
        <v>26</v>
      </c>
      <c r="E20" s="85" t="s">
        <v>241</v>
      </c>
      <c r="F20" s="85" t="s">
        <v>27</v>
      </c>
      <c r="G20" s="89" t="s">
        <v>208</v>
      </c>
      <c r="H20" s="85" t="s">
        <v>242</v>
      </c>
      <c r="I20" s="86" t="s">
        <v>28</v>
      </c>
      <c r="J20" s="86" t="s">
        <v>28</v>
      </c>
      <c r="K20" s="86" t="s">
        <v>118</v>
      </c>
      <c r="L20" s="87">
        <v>44644</v>
      </c>
      <c r="M20" s="87" t="b">
        <v>0</v>
      </c>
      <c r="N20" s="87"/>
      <c r="P20" s="88"/>
      <c r="Q20" s="137"/>
      <c r="R20" s="88"/>
      <c r="S20" s="86" t="s">
        <v>119</v>
      </c>
      <c r="T20" s="86" t="s">
        <v>153</v>
      </c>
      <c r="U20" s="86"/>
      <c r="V20" s="86"/>
      <c r="W20" s="86"/>
      <c r="X20" s="86"/>
      <c r="Y20" s="86"/>
      <c r="Z20" s="154">
        <v>44564</v>
      </c>
    </row>
    <row r="21" spans="1:26" s="161" customFormat="1" ht="12.6">
      <c r="A21" s="85" t="s">
        <v>243</v>
      </c>
      <c r="B21" s="85" t="s">
        <v>217</v>
      </c>
      <c r="C21" s="85" t="s">
        <v>244</v>
      </c>
      <c r="D21" s="85" t="s">
        <v>50</v>
      </c>
      <c r="E21" s="85" t="s">
        <v>197</v>
      </c>
      <c r="F21" s="85" t="s">
        <v>39</v>
      </c>
      <c r="G21" s="89" t="s">
        <v>208</v>
      </c>
      <c r="H21" s="85" t="s">
        <v>245</v>
      </c>
      <c r="I21" s="156" t="s">
        <v>28</v>
      </c>
      <c r="J21" s="156" t="s">
        <v>28</v>
      </c>
      <c r="K21" s="156" t="s">
        <v>118</v>
      </c>
      <c r="L21" s="171">
        <v>44641</v>
      </c>
      <c r="M21" s="171" t="b">
        <v>0</v>
      </c>
      <c r="N21" s="171"/>
      <c r="O21" s="159"/>
      <c r="P21" s="160"/>
      <c r="Q21" s="160"/>
      <c r="R21" s="189"/>
      <c r="S21" s="156" t="s">
        <v>119</v>
      </c>
      <c r="T21" s="156" t="s">
        <v>153</v>
      </c>
      <c r="U21" s="156" t="s">
        <v>153</v>
      </c>
      <c r="V21" s="156" t="s">
        <v>167</v>
      </c>
      <c r="W21" s="156"/>
      <c r="X21" s="156"/>
      <c r="Y21" s="156"/>
      <c r="Z21" s="157"/>
    </row>
    <row r="22" spans="1:26" s="98" customFormat="1" ht="12.6">
      <c r="A22" s="90" t="s">
        <v>243</v>
      </c>
      <c r="B22" s="90" t="s">
        <v>217</v>
      </c>
      <c r="C22" s="90" t="s">
        <v>246</v>
      </c>
      <c r="D22" s="90" t="s">
        <v>50</v>
      </c>
      <c r="E22" s="90" t="s">
        <v>197</v>
      </c>
      <c r="F22" s="90" t="s">
        <v>39</v>
      </c>
      <c r="G22" s="91" t="s">
        <v>208</v>
      </c>
      <c r="H22" s="90" t="s">
        <v>247</v>
      </c>
      <c r="I22" s="92" t="s">
        <v>28</v>
      </c>
      <c r="J22" s="92" t="s">
        <v>28</v>
      </c>
      <c r="K22" s="92" t="s">
        <v>118</v>
      </c>
      <c r="L22" s="93">
        <v>44673</v>
      </c>
      <c r="M22" s="119" t="b">
        <v>0</v>
      </c>
      <c r="N22" s="93">
        <v>45530</v>
      </c>
      <c r="O22" s="94" t="s">
        <v>101</v>
      </c>
      <c r="P22" s="95">
        <v>2.2000000000000002</v>
      </c>
      <c r="Q22" s="95">
        <v>2.8</v>
      </c>
      <c r="R22" s="96"/>
      <c r="S22" s="92" t="s">
        <v>119</v>
      </c>
      <c r="T22" s="92" t="s">
        <v>153</v>
      </c>
      <c r="U22" s="92" t="s">
        <v>248</v>
      </c>
      <c r="V22" s="92"/>
      <c r="W22" s="92"/>
      <c r="X22" s="92"/>
      <c r="Y22" s="92"/>
      <c r="Z22" s="97">
        <v>44676</v>
      </c>
    </row>
    <row r="23" spans="1:26" ht="12.6">
      <c r="A23" s="85" t="s">
        <v>249</v>
      </c>
      <c r="B23" s="85" t="s">
        <v>217</v>
      </c>
      <c r="C23" s="85" t="s">
        <v>250</v>
      </c>
      <c r="D23" s="85" t="s">
        <v>26</v>
      </c>
      <c r="E23" s="85" t="s">
        <v>223</v>
      </c>
      <c r="F23" s="85" t="s">
        <v>39</v>
      </c>
      <c r="G23" s="89" t="s">
        <v>251</v>
      </c>
      <c r="H23" s="85" t="s">
        <v>247</v>
      </c>
      <c r="I23" s="86" t="s">
        <v>28</v>
      </c>
      <c r="J23" s="86" t="s">
        <v>28</v>
      </c>
      <c r="K23" s="86" t="s">
        <v>118</v>
      </c>
      <c r="L23" s="87">
        <v>44651</v>
      </c>
      <c r="M23" s="155" t="b">
        <v>0</v>
      </c>
      <c r="N23" s="87"/>
      <c r="P23" s="88"/>
      <c r="Q23" s="88"/>
      <c r="R23" s="137"/>
      <c r="S23" s="86" t="s">
        <v>119</v>
      </c>
      <c r="T23" s="86" t="s">
        <v>153</v>
      </c>
      <c r="U23" s="86"/>
      <c r="V23" s="86"/>
      <c r="W23" s="86"/>
      <c r="X23" s="86"/>
      <c r="Y23" s="86"/>
      <c r="Z23" s="154">
        <v>44574</v>
      </c>
    </row>
    <row r="24" spans="1:26" s="98" customFormat="1" ht="12.6">
      <c r="A24" s="90" t="s">
        <v>252</v>
      </c>
      <c r="B24" s="90" t="s">
        <v>217</v>
      </c>
      <c r="C24" s="90" t="s">
        <v>253</v>
      </c>
      <c r="D24" s="90" t="s">
        <v>26</v>
      </c>
      <c r="E24" s="90" t="s">
        <v>254</v>
      </c>
      <c r="F24" s="90" t="s">
        <v>39</v>
      </c>
      <c r="G24" s="91" t="s">
        <v>177</v>
      </c>
      <c r="H24" s="90" t="s">
        <v>245</v>
      </c>
      <c r="I24" s="92" t="s">
        <v>28</v>
      </c>
      <c r="J24" s="92" t="s">
        <v>40</v>
      </c>
      <c r="K24" s="92" t="s">
        <v>118</v>
      </c>
      <c r="L24" s="93">
        <v>44643</v>
      </c>
      <c r="M24" s="119" t="b">
        <v>0</v>
      </c>
      <c r="N24" s="93">
        <v>45517</v>
      </c>
      <c r="O24" s="94" t="s">
        <v>101</v>
      </c>
      <c r="P24" s="95">
        <v>2.8</v>
      </c>
      <c r="Q24" s="95">
        <v>3</v>
      </c>
      <c r="R24" s="96"/>
      <c r="S24" s="92" t="s">
        <v>119</v>
      </c>
      <c r="T24" s="92" t="s">
        <v>153</v>
      </c>
      <c r="U24" s="92"/>
      <c r="V24" s="92"/>
      <c r="W24" s="92"/>
      <c r="X24" s="92"/>
      <c r="Y24" s="92"/>
      <c r="Z24" s="97">
        <v>44574</v>
      </c>
    </row>
    <row r="25" spans="1:26" s="98" customFormat="1" ht="12.6">
      <c r="A25" s="90" t="s">
        <v>252</v>
      </c>
      <c r="B25" s="90" t="s">
        <v>217</v>
      </c>
      <c r="C25" s="90" t="s">
        <v>255</v>
      </c>
      <c r="D25" s="90" t="s">
        <v>26</v>
      </c>
      <c r="E25" s="90" t="s">
        <v>256</v>
      </c>
      <c r="F25" s="90" t="s">
        <v>39</v>
      </c>
      <c r="G25" s="91" t="s">
        <v>230</v>
      </c>
      <c r="H25" s="90" t="s">
        <v>257</v>
      </c>
      <c r="I25" s="92" t="s">
        <v>28</v>
      </c>
      <c r="J25" s="92" t="s">
        <v>52</v>
      </c>
      <c r="K25" s="92" t="s">
        <v>118</v>
      </c>
      <c r="L25" s="93">
        <v>44651</v>
      </c>
      <c r="M25" s="93" t="b">
        <v>0</v>
      </c>
      <c r="N25" s="93">
        <v>45525</v>
      </c>
      <c r="O25" s="94" t="s">
        <v>101</v>
      </c>
      <c r="P25" s="95">
        <v>3</v>
      </c>
      <c r="Q25" s="95">
        <v>2.6</v>
      </c>
      <c r="R25" s="96"/>
      <c r="S25" s="92" t="s">
        <v>119</v>
      </c>
      <c r="T25" s="92"/>
      <c r="U25" s="92"/>
      <c r="V25" s="92"/>
      <c r="W25" s="92"/>
      <c r="X25" s="92"/>
      <c r="Y25" s="92"/>
      <c r="Z25" s="99">
        <v>44644</v>
      </c>
    </row>
    <row r="26" spans="1:26" s="98" customFormat="1" ht="12.6">
      <c r="A26" s="90" t="s">
        <v>258</v>
      </c>
      <c r="B26" s="90" t="s">
        <v>217</v>
      </c>
      <c r="C26" s="90" t="s">
        <v>259</v>
      </c>
      <c r="D26" s="90" t="s">
        <v>26</v>
      </c>
      <c r="E26" s="90" t="s">
        <v>260</v>
      </c>
      <c r="F26" s="90" t="s">
        <v>124</v>
      </c>
      <c r="G26" s="91" t="s">
        <v>205</v>
      </c>
      <c r="H26" s="90" t="s">
        <v>261</v>
      </c>
      <c r="I26" s="92" t="s">
        <v>28</v>
      </c>
      <c r="J26" s="92" t="s">
        <v>52</v>
      </c>
      <c r="K26" s="92" t="s">
        <v>118</v>
      </c>
      <c r="L26" s="93">
        <v>44651</v>
      </c>
      <c r="M26" s="93" t="b">
        <v>0</v>
      </c>
      <c r="N26" s="93">
        <v>45525</v>
      </c>
      <c r="O26" s="94" t="s">
        <v>101</v>
      </c>
      <c r="P26" s="95">
        <v>3.8</v>
      </c>
      <c r="Q26" s="95">
        <v>2.8</v>
      </c>
      <c r="R26" s="96"/>
      <c r="S26" s="92" t="s">
        <v>119</v>
      </c>
      <c r="T26" s="92" t="s">
        <v>153</v>
      </c>
      <c r="U26" s="92"/>
      <c r="V26" s="92"/>
      <c r="W26" s="92"/>
      <c r="X26" s="92"/>
      <c r="Y26" s="92"/>
      <c r="Z26" s="107"/>
    </row>
    <row r="27" spans="1:26" s="98" customFormat="1" ht="12.6">
      <c r="A27" s="90" t="s">
        <v>262</v>
      </c>
      <c r="B27" s="90" t="s">
        <v>217</v>
      </c>
      <c r="C27" s="90" t="s">
        <v>263</v>
      </c>
      <c r="D27" s="90" t="s">
        <v>50</v>
      </c>
      <c r="E27" s="90" t="s">
        <v>197</v>
      </c>
      <c r="F27" s="90" t="s">
        <v>39</v>
      </c>
      <c r="G27" s="91" t="s">
        <v>264</v>
      </c>
      <c r="H27" s="90" t="s">
        <v>265</v>
      </c>
      <c r="I27" s="92" t="s">
        <v>165</v>
      </c>
      <c r="J27" s="92" t="s">
        <v>183</v>
      </c>
      <c r="K27" s="92" t="s">
        <v>118</v>
      </c>
      <c r="L27" s="93">
        <v>44644</v>
      </c>
      <c r="M27" s="119" t="b">
        <v>1</v>
      </c>
      <c r="N27" s="93">
        <v>45517</v>
      </c>
      <c r="O27" s="94" t="s">
        <v>101</v>
      </c>
      <c r="P27" s="95">
        <v>2.8</v>
      </c>
      <c r="Q27" s="95">
        <v>2.6</v>
      </c>
      <c r="R27" s="96"/>
      <c r="S27" s="92" t="s">
        <v>119</v>
      </c>
      <c r="T27" s="92" t="s">
        <v>153</v>
      </c>
      <c r="U27" s="92"/>
      <c r="V27" s="92"/>
      <c r="W27" s="92"/>
      <c r="X27" s="92"/>
      <c r="Y27" s="92"/>
      <c r="Z27" s="99">
        <v>44644</v>
      </c>
    </row>
    <row r="28" spans="1:26" s="98" customFormat="1" ht="12.6">
      <c r="A28" s="90" t="s">
        <v>262</v>
      </c>
      <c r="B28" s="90" t="s">
        <v>217</v>
      </c>
      <c r="C28" s="90" t="s">
        <v>266</v>
      </c>
      <c r="D28" s="90" t="s">
        <v>26</v>
      </c>
      <c r="E28" s="90" t="s">
        <v>267</v>
      </c>
      <c r="F28" s="90" t="s">
        <v>27</v>
      </c>
      <c r="G28" s="91" t="s">
        <v>264</v>
      </c>
      <c r="H28" s="90" t="s">
        <v>245</v>
      </c>
      <c r="I28" s="92" t="s">
        <v>28</v>
      </c>
      <c r="J28" s="92" t="s">
        <v>40</v>
      </c>
      <c r="K28" s="92" t="s">
        <v>118</v>
      </c>
      <c r="L28" s="93">
        <v>44676</v>
      </c>
      <c r="M28" s="93" t="b">
        <v>0</v>
      </c>
      <c r="N28" s="93">
        <v>45320</v>
      </c>
      <c r="O28" s="94" t="s">
        <v>86</v>
      </c>
      <c r="P28" s="95">
        <v>8.6</v>
      </c>
      <c r="Q28" s="95"/>
      <c r="R28" s="95">
        <v>3.8</v>
      </c>
      <c r="S28" s="92" t="s">
        <v>119</v>
      </c>
      <c r="T28" s="92" t="s">
        <v>153</v>
      </c>
      <c r="U28" s="92"/>
      <c r="V28" s="92"/>
      <c r="W28" s="92"/>
      <c r="X28" s="92"/>
      <c r="Y28" s="92"/>
      <c r="Z28" s="97">
        <v>44641</v>
      </c>
    </row>
    <row r="29" spans="1:26" s="98" customFormat="1" ht="12.6">
      <c r="A29" s="90" t="s">
        <v>262</v>
      </c>
      <c r="B29" s="90" t="s">
        <v>217</v>
      </c>
      <c r="C29" s="90" t="s">
        <v>268</v>
      </c>
      <c r="D29" s="90" t="s">
        <v>26</v>
      </c>
      <c r="E29" s="90" t="s">
        <v>269</v>
      </c>
      <c r="F29" s="90" t="s">
        <v>39</v>
      </c>
      <c r="G29" s="91" t="s">
        <v>264</v>
      </c>
      <c r="H29" s="90" t="s">
        <v>245</v>
      </c>
      <c r="I29" s="92" t="s">
        <v>28</v>
      </c>
      <c r="J29" s="92" t="s">
        <v>40</v>
      </c>
      <c r="K29" s="92" t="s">
        <v>118</v>
      </c>
      <c r="L29" s="93">
        <v>44642</v>
      </c>
      <c r="M29" s="93" t="b">
        <v>0</v>
      </c>
      <c r="N29" s="93">
        <v>45517</v>
      </c>
      <c r="O29" s="94" t="s">
        <v>101</v>
      </c>
      <c r="P29" s="95">
        <v>3.2</v>
      </c>
      <c r="Q29" s="95">
        <v>3.2</v>
      </c>
      <c r="R29" s="96"/>
      <c r="S29" s="92" t="s">
        <v>119</v>
      </c>
      <c r="T29" s="92" t="s">
        <v>153</v>
      </c>
      <c r="U29" s="92"/>
      <c r="V29" s="92"/>
      <c r="W29" s="92"/>
      <c r="X29" s="92"/>
      <c r="Y29" s="92"/>
      <c r="Z29" s="99">
        <v>44673</v>
      </c>
    </row>
    <row r="30" spans="1:26" ht="12.6">
      <c r="A30" s="85" t="s">
        <v>270</v>
      </c>
      <c r="B30" s="85" t="s">
        <v>217</v>
      </c>
      <c r="C30" s="85" t="s">
        <v>271</v>
      </c>
      <c r="D30" s="85" t="s">
        <v>272</v>
      </c>
      <c r="E30" s="85" t="s">
        <v>273</v>
      </c>
      <c r="F30" s="85" t="s">
        <v>39</v>
      </c>
      <c r="G30" s="89" t="s">
        <v>251</v>
      </c>
      <c r="H30" s="85" t="s">
        <v>247</v>
      </c>
      <c r="I30" s="86" t="s">
        <v>28</v>
      </c>
      <c r="J30" s="86" t="s">
        <v>52</v>
      </c>
      <c r="K30" s="86" t="s">
        <v>118</v>
      </c>
      <c r="L30" s="87">
        <v>44676</v>
      </c>
      <c r="M30" s="87" t="b">
        <v>0</v>
      </c>
      <c r="N30" s="87"/>
      <c r="P30" s="88"/>
      <c r="Q30" s="88"/>
      <c r="R30" s="137"/>
      <c r="S30" s="86" t="s">
        <v>119</v>
      </c>
      <c r="T30" s="86" t="s">
        <v>153</v>
      </c>
      <c r="U30" s="86" t="s">
        <v>153</v>
      </c>
      <c r="V30" s="86" t="s">
        <v>167</v>
      </c>
      <c r="W30" s="86" t="s">
        <v>167</v>
      </c>
      <c r="X30" s="86"/>
      <c r="Y30" s="86"/>
      <c r="Z30" s="154">
        <v>44651</v>
      </c>
    </row>
    <row r="31" spans="1:26" ht="12.6">
      <c r="A31" s="85" t="s">
        <v>274</v>
      </c>
      <c r="B31" s="85" t="s">
        <v>217</v>
      </c>
      <c r="C31" s="85" t="s">
        <v>275</v>
      </c>
      <c r="D31" s="85" t="s">
        <v>50</v>
      </c>
      <c r="E31" s="85" t="s">
        <v>197</v>
      </c>
      <c r="F31" s="85" t="s">
        <v>39</v>
      </c>
      <c r="G31" s="89" t="s">
        <v>177</v>
      </c>
      <c r="H31" s="85" t="s">
        <v>276</v>
      </c>
      <c r="I31" s="86" t="s">
        <v>28</v>
      </c>
      <c r="J31" s="86" t="s">
        <v>183</v>
      </c>
      <c r="K31" s="86" t="s">
        <v>118</v>
      </c>
      <c r="L31" s="87">
        <v>44643</v>
      </c>
      <c r="M31" s="87" t="b">
        <v>0</v>
      </c>
      <c r="N31" s="87"/>
      <c r="P31" s="88"/>
      <c r="Q31" s="88"/>
      <c r="R31" s="137"/>
      <c r="S31" s="86" t="s">
        <v>119</v>
      </c>
      <c r="T31" s="86" t="s">
        <v>153</v>
      </c>
      <c r="U31" s="86" t="s">
        <v>153</v>
      </c>
      <c r="V31" s="86" t="s">
        <v>167</v>
      </c>
      <c r="W31" s="86" t="s">
        <v>167</v>
      </c>
      <c r="X31" s="86"/>
      <c r="Y31" s="86"/>
      <c r="Z31" s="138">
        <v>44643</v>
      </c>
    </row>
    <row r="32" spans="1:26" s="98" customFormat="1" ht="12.6">
      <c r="A32" s="90" t="s">
        <v>277</v>
      </c>
      <c r="B32" s="90" t="s">
        <v>217</v>
      </c>
      <c r="C32" s="90" t="s">
        <v>278</v>
      </c>
      <c r="D32" s="90" t="s">
        <v>26</v>
      </c>
      <c r="E32" s="90" t="s">
        <v>223</v>
      </c>
      <c r="F32" s="90" t="s">
        <v>39</v>
      </c>
      <c r="G32" s="91" t="s">
        <v>279</v>
      </c>
      <c r="H32" s="90" t="s">
        <v>280</v>
      </c>
      <c r="I32" s="92" t="s">
        <v>28</v>
      </c>
      <c r="J32" s="92" t="s">
        <v>52</v>
      </c>
      <c r="K32" s="92" t="s">
        <v>118</v>
      </c>
      <c r="L32" s="93">
        <v>44573</v>
      </c>
      <c r="M32" s="93" t="b">
        <v>0</v>
      </c>
      <c r="N32" s="324">
        <v>45320</v>
      </c>
      <c r="O32" s="93" t="s">
        <v>86</v>
      </c>
      <c r="P32" s="95">
        <v>4</v>
      </c>
      <c r="Q32" s="95">
        <v>3.6</v>
      </c>
      <c r="R32" s="95"/>
      <c r="S32" s="92" t="s">
        <v>119</v>
      </c>
      <c r="T32" s="92" t="s">
        <v>153</v>
      </c>
      <c r="U32" s="92" t="s">
        <v>248</v>
      </c>
      <c r="V32" s="92"/>
      <c r="W32" s="92"/>
      <c r="X32" s="92"/>
      <c r="Y32" s="92"/>
      <c r="Z32" s="97">
        <v>44651</v>
      </c>
    </row>
    <row r="33" spans="1:26" s="98" customFormat="1" ht="12.6">
      <c r="A33" s="90" t="s">
        <v>277</v>
      </c>
      <c r="B33" s="90" t="s">
        <v>217</v>
      </c>
      <c r="C33" s="90" t="s">
        <v>281</v>
      </c>
      <c r="D33" s="90" t="s">
        <v>26</v>
      </c>
      <c r="E33" s="90" t="s">
        <v>172</v>
      </c>
      <c r="F33" s="90" t="s">
        <v>27</v>
      </c>
      <c r="G33" s="91" t="s">
        <v>230</v>
      </c>
      <c r="H33" s="90" t="s">
        <v>228</v>
      </c>
      <c r="I33" s="92" t="s">
        <v>28</v>
      </c>
      <c r="J33" s="92" t="s">
        <v>40</v>
      </c>
      <c r="K33" s="92" t="s">
        <v>118</v>
      </c>
      <c r="L33" s="93">
        <v>44573</v>
      </c>
      <c r="M33" s="93" t="b">
        <v>0</v>
      </c>
      <c r="N33" s="93">
        <v>45320</v>
      </c>
      <c r="O33" s="94" t="s">
        <v>86</v>
      </c>
      <c r="P33" s="95">
        <v>8.1999999999999993</v>
      </c>
      <c r="Q33" s="95"/>
      <c r="R33" s="95">
        <v>2.6</v>
      </c>
      <c r="S33" s="92" t="s">
        <v>119</v>
      </c>
      <c r="T33" s="92" t="s">
        <v>153</v>
      </c>
      <c r="U33" s="92" t="s">
        <v>199</v>
      </c>
      <c r="V33" s="92"/>
      <c r="W33" s="92"/>
      <c r="X33" s="92"/>
      <c r="Y33" s="92"/>
      <c r="Z33" s="99">
        <v>44651</v>
      </c>
    </row>
    <row r="34" spans="1:26" s="98" customFormat="1" ht="12.6">
      <c r="A34" s="90" t="s">
        <v>282</v>
      </c>
      <c r="B34" s="90" t="s">
        <v>217</v>
      </c>
      <c r="C34" s="90" t="s">
        <v>283</v>
      </c>
      <c r="D34" s="90" t="s">
        <v>50</v>
      </c>
      <c r="E34" s="90" t="s">
        <v>197</v>
      </c>
      <c r="F34" s="90" t="s">
        <v>39</v>
      </c>
      <c r="G34" s="91" t="s">
        <v>264</v>
      </c>
      <c r="H34" s="90" t="s">
        <v>245</v>
      </c>
      <c r="I34" s="92" t="s">
        <v>28</v>
      </c>
      <c r="J34" s="92" t="s">
        <v>183</v>
      </c>
      <c r="K34" s="92" t="s">
        <v>118</v>
      </c>
      <c r="L34" s="93">
        <v>44643</v>
      </c>
      <c r="M34" s="93" t="b">
        <v>0</v>
      </c>
      <c r="N34" s="93">
        <v>45517</v>
      </c>
      <c r="O34" s="94" t="s">
        <v>101</v>
      </c>
      <c r="P34" s="95">
        <v>1.2</v>
      </c>
      <c r="Q34" s="95">
        <v>2</v>
      </c>
      <c r="R34" s="96"/>
      <c r="S34" s="92" t="s">
        <v>119</v>
      </c>
      <c r="T34" s="92" t="s">
        <v>153</v>
      </c>
      <c r="U34" s="92"/>
      <c r="V34" s="92"/>
      <c r="W34" s="92"/>
      <c r="X34" s="92"/>
      <c r="Y34" s="92"/>
      <c r="Z34" s="97">
        <v>44644</v>
      </c>
    </row>
    <row r="35" spans="1:26" s="98" customFormat="1" ht="12.6">
      <c r="A35" s="90" t="s">
        <v>282</v>
      </c>
      <c r="B35" s="90" t="s">
        <v>217</v>
      </c>
      <c r="C35" s="90" t="s">
        <v>284</v>
      </c>
      <c r="D35" s="90" t="s">
        <v>50</v>
      </c>
      <c r="E35" s="90" t="s">
        <v>197</v>
      </c>
      <c r="F35" s="90" t="s">
        <v>39</v>
      </c>
      <c r="G35" s="91" t="s">
        <v>264</v>
      </c>
      <c r="H35" s="90" t="s">
        <v>245</v>
      </c>
      <c r="I35" s="92" t="s">
        <v>28</v>
      </c>
      <c r="J35" s="92" t="s">
        <v>40</v>
      </c>
      <c r="K35" s="92" t="s">
        <v>118</v>
      </c>
      <c r="L35" s="93">
        <v>44844</v>
      </c>
      <c r="M35" s="93" t="b">
        <v>0</v>
      </c>
      <c r="N35" s="93">
        <v>45523</v>
      </c>
      <c r="O35" s="94" t="s">
        <v>101</v>
      </c>
      <c r="P35" s="95">
        <v>2.4</v>
      </c>
      <c r="Q35" s="95">
        <v>3</v>
      </c>
      <c r="R35" s="95"/>
      <c r="S35" s="92" t="s">
        <v>119</v>
      </c>
      <c r="T35" s="92" t="s">
        <v>153</v>
      </c>
      <c r="U35" s="92"/>
      <c r="V35" s="92"/>
      <c r="W35" s="92"/>
      <c r="X35" s="92"/>
      <c r="Y35" s="92"/>
      <c r="Z35" s="99">
        <v>44676</v>
      </c>
    </row>
    <row r="36" spans="1:26" ht="12.6">
      <c r="A36" s="85" t="s">
        <v>285</v>
      </c>
      <c r="B36" s="85" t="s">
        <v>217</v>
      </c>
      <c r="C36" s="85" t="s">
        <v>286</v>
      </c>
      <c r="D36" s="85" t="s">
        <v>50</v>
      </c>
      <c r="E36" s="85" t="s">
        <v>197</v>
      </c>
      <c r="F36" s="85" t="s">
        <v>39</v>
      </c>
      <c r="G36" s="89" t="s">
        <v>163</v>
      </c>
      <c r="H36" s="85" t="s">
        <v>287</v>
      </c>
      <c r="I36" s="86" t="s">
        <v>165</v>
      </c>
      <c r="J36" s="86" t="s">
        <v>40</v>
      </c>
      <c r="K36" s="86" t="s">
        <v>184</v>
      </c>
      <c r="L36" s="87">
        <v>44572</v>
      </c>
      <c r="M36" s="87" t="b">
        <v>0</v>
      </c>
      <c r="N36" s="87"/>
      <c r="P36" s="88"/>
      <c r="Q36" s="88"/>
      <c r="R36" s="88"/>
      <c r="S36" s="86" t="s">
        <v>119</v>
      </c>
      <c r="T36" s="86" t="s">
        <v>153</v>
      </c>
      <c r="U36" s="86" t="s">
        <v>153</v>
      </c>
      <c r="V36" s="86" t="s">
        <v>167</v>
      </c>
      <c r="W36" s="86" t="s">
        <v>167</v>
      </c>
      <c r="X36" s="86"/>
      <c r="Y36" s="86"/>
      <c r="Z36" s="154">
        <v>44642</v>
      </c>
    </row>
    <row r="37" spans="1:26" s="98" customFormat="1" ht="12.6">
      <c r="A37" s="90" t="s">
        <v>285</v>
      </c>
      <c r="B37" s="90" t="s">
        <v>217</v>
      </c>
      <c r="C37" s="90" t="s">
        <v>288</v>
      </c>
      <c r="D37" s="90" t="s">
        <v>50</v>
      </c>
      <c r="E37" s="90" t="s">
        <v>197</v>
      </c>
      <c r="F37" s="90" t="s">
        <v>39</v>
      </c>
      <c r="G37" s="91" t="s">
        <v>264</v>
      </c>
      <c r="H37" s="90" t="s">
        <v>245</v>
      </c>
      <c r="I37" s="92" t="s">
        <v>28</v>
      </c>
      <c r="J37" s="92" t="s">
        <v>183</v>
      </c>
      <c r="K37" s="92" t="s">
        <v>118</v>
      </c>
      <c r="L37" s="93">
        <v>44676</v>
      </c>
      <c r="M37" s="93" t="b">
        <v>0</v>
      </c>
      <c r="N37" s="93">
        <v>45320</v>
      </c>
      <c r="O37" s="94" t="s">
        <v>86</v>
      </c>
      <c r="P37" s="95">
        <v>3.4</v>
      </c>
      <c r="Q37" s="95">
        <v>3</v>
      </c>
      <c r="R37" s="95"/>
      <c r="S37" s="92" t="s">
        <v>119</v>
      </c>
      <c r="T37" s="92" t="s">
        <v>153</v>
      </c>
      <c r="U37" s="92"/>
      <c r="V37" s="92"/>
      <c r="W37" s="92"/>
      <c r="X37" s="92"/>
      <c r="Y37" s="92"/>
      <c r="Z37" s="99">
        <v>44676</v>
      </c>
    </row>
    <row r="38" spans="1:26" s="98" customFormat="1" ht="12.6">
      <c r="A38" s="90" t="s">
        <v>285</v>
      </c>
      <c r="B38" s="90" t="s">
        <v>217</v>
      </c>
      <c r="C38" s="90" t="s">
        <v>289</v>
      </c>
      <c r="D38" s="90" t="s">
        <v>50</v>
      </c>
      <c r="E38" s="90" t="s">
        <v>197</v>
      </c>
      <c r="F38" s="90" t="s">
        <v>39</v>
      </c>
      <c r="G38" s="91" t="s">
        <v>264</v>
      </c>
      <c r="H38" s="90" t="s">
        <v>290</v>
      </c>
      <c r="I38" s="92" t="s">
        <v>28</v>
      </c>
      <c r="J38" s="92" t="s">
        <v>40</v>
      </c>
      <c r="K38" s="92" t="s">
        <v>118</v>
      </c>
      <c r="L38" s="93">
        <v>44572</v>
      </c>
      <c r="M38" s="93" t="b">
        <v>0</v>
      </c>
      <c r="N38" s="93">
        <v>45320</v>
      </c>
      <c r="O38" s="94" t="s">
        <v>86</v>
      </c>
      <c r="P38" s="95">
        <v>2.8</v>
      </c>
      <c r="Q38" s="95">
        <v>2.8</v>
      </c>
      <c r="R38" s="95"/>
      <c r="S38" s="92" t="s">
        <v>119</v>
      </c>
      <c r="T38" s="92" t="s">
        <v>153</v>
      </c>
      <c r="U38" s="92"/>
      <c r="V38" s="92"/>
      <c r="W38" s="92"/>
      <c r="X38" s="92"/>
      <c r="Y38" s="92"/>
      <c r="Z38" s="97">
        <v>44643</v>
      </c>
    </row>
    <row r="39" spans="1:26" ht="12.6">
      <c r="A39" s="85" t="s">
        <v>285</v>
      </c>
      <c r="B39" s="85" t="s">
        <v>217</v>
      </c>
      <c r="C39" s="85" t="s">
        <v>291</v>
      </c>
      <c r="D39" s="85" t="s">
        <v>26</v>
      </c>
      <c r="E39" s="85" t="s">
        <v>172</v>
      </c>
      <c r="F39" s="85" t="s">
        <v>27</v>
      </c>
      <c r="G39" s="89" t="s">
        <v>292</v>
      </c>
      <c r="H39" s="85" t="s">
        <v>293</v>
      </c>
      <c r="I39" s="86" t="s">
        <v>28</v>
      </c>
      <c r="J39" s="86" t="s">
        <v>40</v>
      </c>
      <c r="K39" s="86" t="s">
        <v>118</v>
      </c>
      <c r="L39" s="87">
        <v>44572</v>
      </c>
      <c r="M39" s="87" t="b">
        <v>0</v>
      </c>
      <c r="N39" s="87"/>
      <c r="P39" s="88"/>
      <c r="Q39" s="88"/>
      <c r="R39" s="88"/>
      <c r="S39" s="86" t="s">
        <v>119</v>
      </c>
      <c r="T39" s="86" t="s">
        <v>153</v>
      </c>
      <c r="U39" s="86" t="s">
        <v>153</v>
      </c>
      <c r="V39" s="86" t="s">
        <v>167</v>
      </c>
      <c r="W39" s="86" t="s">
        <v>167</v>
      </c>
      <c r="X39" s="86"/>
      <c r="Y39" s="86"/>
      <c r="Z39" s="138">
        <v>44573</v>
      </c>
    </row>
    <row r="40" spans="1:26" s="98" customFormat="1" ht="12.6">
      <c r="A40" s="90" t="s">
        <v>285</v>
      </c>
      <c r="B40" s="90" t="s">
        <v>217</v>
      </c>
      <c r="C40" s="90" t="s">
        <v>294</v>
      </c>
      <c r="D40" s="90" t="s">
        <v>38</v>
      </c>
      <c r="E40" s="90" t="s">
        <v>295</v>
      </c>
      <c r="F40" s="90" t="s">
        <v>39</v>
      </c>
      <c r="G40" s="91" t="s">
        <v>230</v>
      </c>
      <c r="H40" s="90" t="s">
        <v>296</v>
      </c>
      <c r="I40" s="92" t="s">
        <v>28</v>
      </c>
      <c r="J40" s="92" t="s">
        <v>40</v>
      </c>
      <c r="K40" s="92" t="s">
        <v>118</v>
      </c>
      <c r="L40" s="93">
        <v>44572</v>
      </c>
      <c r="M40" s="93" t="b">
        <v>0</v>
      </c>
      <c r="N40" s="93">
        <v>45320</v>
      </c>
      <c r="O40" s="94" t="s">
        <v>86</v>
      </c>
      <c r="P40" s="95">
        <v>2.8</v>
      </c>
      <c r="Q40" s="95">
        <v>2</v>
      </c>
      <c r="R40" s="95"/>
      <c r="S40" s="92" t="s">
        <v>119</v>
      </c>
      <c r="T40" s="92" t="s">
        <v>153</v>
      </c>
      <c r="U40" s="92"/>
      <c r="V40" s="92"/>
      <c r="W40" s="92"/>
      <c r="X40" s="92"/>
      <c r="Y40" s="92"/>
      <c r="Z40" s="97">
        <v>44573</v>
      </c>
    </row>
    <row r="41" spans="1:26" ht="12.6">
      <c r="A41" s="85" t="s">
        <v>297</v>
      </c>
      <c r="B41" s="85" t="s">
        <v>217</v>
      </c>
      <c r="C41" s="85" t="s">
        <v>298</v>
      </c>
      <c r="D41" s="85" t="s">
        <v>61</v>
      </c>
      <c r="E41" s="85" t="s">
        <v>299</v>
      </c>
      <c r="F41" s="85" t="s">
        <v>39</v>
      </c>
      <c r="G41" s="89" t="s">
        <v>264</v>
      </c>
      <c r="H41" s="85" t="s">
        <v>300</v>
      </c>
      <c r="I41" s="86" t="s">
        <v>28</v>
      </c>
      <c r="J41" s="86" t="s">
        <v>183</v>
      </c>
      <c r="K41" s="86" t="s">
        <v>118</v>
      </c>
      <c r="L41" s="87">
        <v>44644</v>
      </c>
      <c r="M41" s="155" t="b">
        <v>1</v>
      </c>
      <c r="N41" s="87"/>
      <c r="P41" s="88"/>
      <c r="Q41" s="88"/>
      <c r="R41" s="137"/>
      <c r="S41" s="86" t="s">
        <v>119</v>
      </c>
      <c r="T41" s="86" t="s">
        <v>153</v>
      </c>
      <c r="U41" s="86"/>
      <c r="V41" s="86"/>
      <c r="W41" s="86"/>
      <c r="X41" s="86"/>
      <c r="Y41" s="86"/>
      <c r="Z41" s="138">
        <v>44643</v>
      </c>
    </row>
    <row r="42" spans="1:26" s="98" customFormat="1" ht="12.6">
      <c r="A42" s="90" t="s">
        <v>297</v>
      </c>
      <c r="B42" s="90" t="s">
        <v>217</v>
      </c>
      <c r="C42" s="90" t="s">
        <v>301</v>
      </c>
      <c r="D42" s="90" t="s">
        <v>61</v>
      </c>
      <c r="E42" s="90" t="s">
        <v>302</v>
      </c>
      <c r="F42" s="90" t="s">
        <v>39</v>
      </c>
      <c r="G42" s="91" t="s">
        <v>230</v>
      </c>
      <c r="H42" s="90" t="s">
        <v>245</v>
      </c>
      <c r="I42" s="92" t="s">
        <v>165</v>
      </c>
      <c r="J42" s="92" t="s">
        <v>40</v>
      </c>
      <c r="K42" s="92" t="s">
        <v>118</v>
      </c>
      <c r="L42" s="93">
        <v>44651</v>
      </c>
      <c r="M42" s="93" t="b">
        <v>0</v>
      </c>
      <c r="N42" s="93">
        <v>45525</v>
      </c>
      <c r="O42" s="94" t="s">
        <v>101</v>
      </c>
      <c r="P42" s="95">
        <v>2.4</v>
      </c>
      <c r="Q42" s="95">
        <v>2.4</v>
      </c>
      <c r="R42" s="96"/>
      <c r="S42" s="92" t="s">
        <v>119</v>
      </c>
      <c r="T42" s="92" t="s">
        <v>153</v>
      </c>
      <c r="U42" s="92"/>
      <c r="V42" s="92"/>
      <c r="W42" s="92"/>
      <c r="X42" s="92"/>
      <c r="Y42" s="92"/>
      <c r="Z42" s="97">
        <v>44844</v>
      </c>
    </row>
    <row r="43" spans="1:26" s="98" customFormat="1" ht="12.6">
      <c r="A43" s="90" t="s">
        <v>297</v>
      </c>
      <c r="B43" s="90" t="s">
        <v>217</v>
      </c>
      <c r="C43" s="90" t="s">
        <v>303</v>
      </c>
      <c r="D43" s="90" t="s">
        <v>38</v>
      </c>
      <c r="E43" s="90" t="s">
        <v>304</v>
      </c>
      <c r="F43" s="90" t="s">
        <v>39</v>
      </c>
      <c r="G43" s="91" t="s">
        <v>251</v>
      </c>
      <c r="H43" s="90" t="s">
        <v>305</v>
      </c>
      <c r="I43" s="92" t="s">
        <v>28</v>
      </c>
      <c r="J43" s="92" t="s">
        <v>52</v>
      </c>
      <c r="K43" s="92" t="s">
        <v>118</v>
      </c>
      <c r="L43" s="93">
        <v>44676</v>
      </c>
      <c r="M43" s="93" t="b">
        <v>0</v>
      </c>
      <c r="N43" s="93">
        <v>45525</v>
      </c>
      <c r="O43" s="94" t="s">
        <v>101</v>
      </c>
      <c r="P43" s="95">
        <v>4</v>
      </c>
      <c r="Q43" s="95">
        <v>3.4</v>
      </c>
      <c r="R43" s="96"/>
      <c r="S43" s="92" t="s">
        <v>119</v>
      </c>
      <c r="T43" s="92" t="s">
        <v>153</v>
      </c>
      <c r="U43" s="92" t="s">
        <v>153</v>
      </c>
      <c r="V43" s="92" t="s">
        <v>167</v>
      </c>
      <c r="W43" s="92" t="s">
        <v>167</v>
      </c>
      <c r="X43" s="92"/>
      <c r="Y43" s="92"/>
      <c r="Z43" s="99">
        <v>44572</v>
      </c>
    </row>
    <row r="44" spans="1:26" ht="12.6">
      <c r="A44" s="85" t="s">
        <v>306</v>
      </c>
      <c r="B44" s="85" t="s">
        <v>307</v>
      </c>
      <c r="C44" s="85" t="s">
        <v>308</v>
      </c>
      <c r="D44" s="85" t="s">
        <v>50</v>
      </c>
      <c r="E44" s="85" t="s">
        <v>219</v>
      </c>
      <c r="F44" s="85" t="s">
        <v>123</v>
      </c>
      <c r="G44" s="89" t="s">
        <v>208</v>
      </c>
      <c r="H44" s="85" t="s">
        <v>309</v>
      </c>
      <c r="I44" s="86" t="s">
        <v>28</v>
      </c>
      <c r="J44" s="86" t="s">
        <v>183</v>
      </c>
      <c r="K44" s="86" t="s">
        <v>184</v>
      </c>
      <c r="L44" s="87">
        <v>44753</v>
      </c>
      <c r="M44" s="87" t="b">
        <v>0</v>
      </c>
      <c r="N44" s="87"/>
      <c r="P44" s="88"/>
      <c r="Q44" s="88"/>
      <c r="R44" s="88"/>
      <c r="S44" s="86" t="s">
        <v>166</v>
      </c>
      <c r="T44" s="86"/>
      <c r="U44" s="86"/>
      <c r="V44" s="86"/>
      <c r="W44" s="86"/>
      <c r="X44" s="86"/>
      <c r="Y44" s="86" t="s">
        <v>310</v>
      </c>
      <c r="Z44" s="154">
        <v>44676</v>
      </c>
    </row>
    <row r="45" spans="1:26" s="188" customFormat="1" ht="12.6">
      <c r="A45" s="180" t="s">
        <v>311</v>
      </c>
      <c r="B45" s="180" t="s">
        <v>312</v>
      </c>
      <c r="C45" s="180" t="s">
        <v>313</v>
      </c>
      <c r="D45" s="180" t="s">
        <v>50</v>
      </c>
      <c r="E45" s="180" t="s">
        <v>235</v>
      </c>
      <c r="F45" s="180" t="s">
        <v>27</v>
      </c>
      <c r="G45" s="181" t="s">
        <v>227</v>
      </c>
      <c r="H45" s="180" t="s">
        <v>314</v>
      </c>
      <c r="I45" s="182" t="s">
        <v>165</v>
      </c>
      <c r="J45" s="182" t="s">
        <v>40</v>
      </c>
      <c r="K45" s="182" t="s">
        <v>118</v>
      </c>
      <c r="L45" s="183">
        <v>44599</v>
      </c>
      <c r="M45" s="183" t="b">
        <v>0</v>
      </c>
      <c r="N45" s="183"/>
      <c r="O45" s="185"/>
      <c r="P45" s="186"/>
      <c r="Q45" s="186"/>
      <c r="R45" s="186"/>
      <c r="S45" s="182" t="s">
        <v>166</v>
      </c>
      <c r="T45" s="182"/>
      <c r="U45" s="182"/>
      <c r="V45" s="182"/>
      <c r="W45" s="182" t="s">
        <v>168</v>
      </c>
      <c r="X45" s="182"/>
      <c r="Y45" s="182" t="s">
        <v>315</v>
      </c>
      <c r="Z45" s="190">
        <v>44572</v>
      </c>
    </row>
    <row r="46" spans="1:26" s="131" customFormat="1" ht="12.6">
      <c r="A46" s="124" t="s">
        <v>311</v>
      </c>
      <c r="B46" s="124" t="s">
        <v>312</v>
      </c>
      <c r="C46" s="124" t="s">
        <v>316</v>
      </c>
      <c r="D46" s="124" t="s">
        <v>26</v>
      </c>
      <c r="E46" s="124" t="s">
        <v>176</v>
      </c>
      <c r="F46" s="124" t="s">
        <v>39</v>
      </c>
      <c r="G46" s="125" t="s">
        <v>227</v>
      </c>
      <c r="H46" s="124" t="s">
        <v>317</v>
      </c>
      <c r="I46" s="126" t="s">
        <v>28</v>
      </c>
      <c r="J46" s="126" t="s">
        <v>183</v>
      </c>
      <c r="K46" s="126" t="s">
        <v>118</v>
      </c>
      <c r="L46" s="127">
        <v>44599</v>
      </c>
      <c r="M46" s="127" t="b">
        <v>0</v>
      </c>
      <c r="N46" s="127">
        <v>45330</v>
      </c>
      <c r="O46" s="128" t="s">
        <v>48</v>
      </c>
      <c r="P46" s="129"/>
      <c r="Q46" s="129"/>
      <c r="R46" s="129"/>
      <c r="S46" s="126" t="s">
        <v>166</v>
      </c>
      <c r="T46" s="126"/>
      <c r="U46" s="126"/>
      <c r="V46" s="126"/>
      <c r="W46" s="126"/>
      <c r="X46" s="126"/>
      <c r="Y46" s="126" t="s">
        <v>318</v>
      </c>
      <c r="Z46" s="135">
        <v>44572</v>
      </c>
    </row>
    <row r="47" spans="1:26" s="226" customFormat="1" ht="12.6">
      <c r="A47" s="220" t="s">
        <v>311</v>
      </c>
      <c r="B47" s="220" t="s">
        <v>312</v>
      </c>
      <c r="C47" s="220" t="s">
        <v>319</v>
      </c>
      <c r="D47" s="220" t="s">
        <v>38</v>
      </c>
      <c r="E47" s="220" t="s">
        <v>204</v>
      </c>
      <c r="F47" s="220" t="s">
        <v>39</v>
      </c>
      <c r="G47" s="221" t="s">
        <v>205</v>
      </c>
      <c r="H47" s="220" t="s">
        <v>320</v>
      </c>
      <c r="I47" s="222" t="s">
        <v>28</v>
      </c>
      <c r="J47" s="222" t="s">
        <v>52</v>
      </c>
      <c r="K47" s="222" t="s">
        <v>118</v>
      </c>
      <c r="L47" s="223">
        <v>44600</v>
      </c>
      <c r="M47" s="223" t="b">
        <v>0</v>
      </c>
      <c r="N47" s="223">
        <v>45377</v>
      </c>
      <c r="O47" s="219" t="s">
        <v>24</v>
      </c>
      <c r="P47" s="224">
        <v>3.8</v>
      </c>
      <c r="Q47" s="224">
        <v>3.7</v>
      </c>
      <c r="R47" s="224"/>
      <c r="S47" s="222" t="s">
        <v>119</v>
      </c>
      <c r="T47" s="222" t="s">
        <v>153</v>
      </c>
      <c r="U47" s="222" t="s">
        <v>321</v>
      </c>
      <c r="V47" s="222"/>
      <c r="W47" s="86"/>
      <c r="X47" s="222"/>
      <c r="Y47" s="222"/>
      <c r="Z47" s="253">
        <v>44572</v>
      </c>
    </row>
    <row r="48" spans="1:26" s="46" customFormat="1" ht="12" customHeight="1">
      <c r="A48" s="294" t="s">
        <v>322</v>
      </c>
      <c r="B48" s="294" t="s">
        <v>323</v>
      </c>
      <c r="C48" s="294" t="s">
        <v>324</v>
      </c>
      <c r="D48" s="294" t="s">
        <v>50</v>
      </c>
      <c r="E48" s="294" t="s">
        <v>235</v>
      </c>
      <c r="F48" s="294" t="s">
        <v>27</v>
      </c>
      <c r="G48" s="295" t="s">
        <v>227</v>
      </c>
      <c r="H48" s="294" t="s">
        <v>325</v>
      </c>
      <c r="I48" s="296" t="s">
        <v>165</v>
      </c>
      <c r="J48" s="296" t="s">
        <v>40</v>
      </c>
      <c r="K48" s="296" t="s">
        <v>118</v>
      </c>
      <c r="L48" s="297">
        <v>44600</v>
      </c>
      <c r="M48" s="297" t="b">
        <v>0</v>
      </c>
      <c r="N48" s="297">
        <v>45330</v>
      </c>
      <c r="O48" s="298" t="s">
        <v>48</v>
      </c>
      <c r="P48" s="299"/>
      <c r="Q48" s="299"/>
      <c r="R48" s="299"/>
      <c r="S48" s="296" t="s">
        <v>326</v>
      </c>
      <c r="T48" s="296"/>
      <c r="U48" s="296"/>
      <c r="V48" s="296"/>
      <c r="W48" s="86" t="s">
        <v>194</v>
      </c>
      <c r="X48" s="296"/>
      <c r="Y48" s="296" t="s">
        <v>327</v>
      </c>
      <c r="Z48" s="300">
        <v>44644</v>
      </c>
    </row>
    <row r="49" spans="1:26" s="161" customFormat="1" ht="12.6">
      <c r="A49" s="85" t="s">
        <v>322</v>
      </c>
      <c r="B49" s="85" t="s">
        <v>323</v>
      </c>
      <c r="C49" s="85" t="s">
        <v>328</v>
      </c>
      <c r="D49" s="85" t="s">
        <v>26</v>
      </c>
      <c r="E49" s="85" t="s">
        <v>176</v>
      </c>
      <c r="F49" s="85" t="s">
        <v>39</v>
      </c>
      <c r="G49" s="89" t="s">
        <v>227</v>
      </c>
      <c r="H49" s="85" t="s">
        <v>329</v>
      </c>
      <c r="I49" s="156" t="s">
        <v>28</v>
      </c>
      <c r="J49" s="156" t="s">
        <v>183</v>
      </c>
      <c r="K49" s="156" t="s">
        <v>118</v>
      </c>
      <c r="L49" s="171"/>
      <c r="M49" s="158" t="b">
        <v>1</v>
      </c>
      <c r="N49" s="171"/>
      <c r="O49" s="159"/>
      <c r="P49" s="160"/>
      <c r="Q49" s="160"/>
      <c r="R49" s="160"/>
      <c r="S49" s="156" t="s">
        <v>166</v>
      </c>
      <c r="T49" s="156"/>
      <c r="U49" s="156"/>
      <c r="V49" s="156"/>
      <c r="W49" s="86" t="s">
        <v>321</v>
      </c>
      <c r="X49" s="156"/>
      <c r="Y49" s="156" t="s">
        <v>330</v>
      </c>
      <c r="Z49" s="172">
        <v>44651</v>
      </c>
    </row>
    <row r="50" spans="1:26" ht="18" customHeight="1">
      <c r="A50" s="85" t="s">
        <v>331</v>
      </c>
      <c r="B50" s="85" t="s">
        <v>332</v>
      </c>
      <c r="C50" s="85" t="s">
        <v>333</v>
      </c>
      <c r="D50" s="85" t="s">
        <v>26</v>
      </c>
      <c r="E50" s="85" t="s">
        <v>223</v>
      </c>
      <c r="F50" s="85" t="s">
        <v>39</v>
      </c>
      <c r="G50" s="89" t="s">
        <v>205</v>
      </c>
      <c r="H50" s="85" t="s">
        <v>334</v>
      </c>
      <c r="I50" s="86" t="s">
        <v>28</v>
      </c>
      <c r="J50" s="86" t="s">
        <v>52</v>
      </c>
      <c r="K50" s="86" t="s">
        <v>118</v>
      </c>
      <c r="L50" s="87">
        <v>44579</v>
      </c>
      <c r="M50" s="87" t="b">
        <v>0</v>
      </c>
      <c r="N50" s="87"/>
      <c r="P50" s="88"/>
      <c r="Q50" s="88"/>
      <c r="R50" s="88"/>
      <c r="S50" s="86" t="s">
        <v>119</v>
      </c>
      <c r="T50" s="86" t="s">
        <v>153</v>
      </c>
      <c r="U50" s="86"/>
      <c r="V50" s="86"/>
      <c r="W50" s="86"/>
      <c r="X50" s="86"/>
      <c r="Y50" s="86"/>
      <c r="Z50" s="154">
        <v>44676</v>
      </c>
    </row>
    <row r="51" spans="1:26" ht="18" customHeight="1">
      <c r="A51" s="85" t="s">
        <v>331</v>
      </c>
      <c r="B51" s="85" t="s">
        <v>332</v>
      </c>
      <c r="C51" s="85" t="s">
        <v>335</v>
      </c>
      <c r="D51" s="85" t="s">
        <v>26</v>
      </c>
      <c r="E51" s="85" t="s">
        <v>223</v>
      </c>
      <c r="F51" s="85" t="s">
        <v>39</v>
      </c>
      <c r="G51" s="89" t="s">
        <v>251</v>
      </c>
      <c r="H51" s="85" t="s">
        <v>336</v>
      </c>
      <c r="I51" s="86" t="s">
        <v>28</v>
      </c>
      <c r="J51" s="86" t="s">
        <v>28</v>
      </c>
      <c r="K51" s="86" t="s">
        <v>118</v>
      </c>
      <c r="L51" s="87">
        <v>44579</v>
      </c>
      <c r="M51" s="87" t="b">
        <v>0</v>
      </c>
      <c r="N51" s="87"/>
      <c r="P51" s="88"/>
      <c r="Q51" s="88"/>
      <c r="R51" s="88"/>
      <c r="S51" s="86" t="s">
        <v>119</v>
      </c>
      <c r="T51" s="86" t="s">
        <v>153</v>
      </c>
      <c r="U51" s="86"/>
      <c r="V51" s="86"/>
      <c r="W51" s="86"/>
      <c r="X51" s="86"/>
      <c r="Y51" s="86"/>
      <c r="Z51" s="138">
        <v>44753</v>
      </c>
    </row>
    <row r="52" spans="1:26" ht="18" customHeight="1">
      <c r="A52" s="85" t="s">
        <v>331</v>
      </c>
      <c r="B52" s="85" t="s">
        <v>332</v>
      </c>
      <c r="C52" s="85" t="s">
        <v>337</v>
      </c>
      <c r="D52" s="85" t="s">
        <v>61</v>
      </c>
      <c r="E52" s="85" t="s">
        <v>338</v>
      </c>
      <c r="F52" s="85" t="s">
        <v>27</v>
      </c>
      <c r="G52" s="89" t="s">
        <v>208</v>
      </c>
      <c r="H52" s="85" t="s">
        <v>339</v>
      </c>
      <c r="I52" s="86" t="s">
        <v>165</v>
      </c>
      <c r="J52" s="86" t="s">
        <v>40</v>
      </c>
      <c r="K52" s="86" t="s">
        <v>118</v>
      </c>
      <c r="L52" s="87">
        <v>44579</v>
      </c>
      <c r="M52" s="87" t="b">
        <v>0</v>
      </c>
      <c r="N52" s="87"/>
      <c r="P52" s="88"/>
      <c r="Q52" s="88"/>
      <c r="R52" s="88"/>
      <c r="S52" s="86" t="s">
        <v>119</v>
      </c>
      <c r="T52" s="86" t="s">
        <v>153</v>
      </c>
      <c r="U52" s="86"/>
      <c r="V52" s="86"/>
      <c r="W52" s="86"/>
      <c r="X52" s="86"/>
      <c r="Y52" s="86"/>
      <c r="Z52" s="154">
        <v>44599</v>
      </c>
    </row>
    <row r="53" spans="1:26" s="98" customFormat="1" ht="18" customHeight="1">
      <c r="A53" s="90" t="s">
        <v>340</v>
      </c>
      <c r="B53" s="90" t="s">
        <v>341</v>
      </c>
      <c r="C53" s="90" t="s">
        <v>342</v>
      </c>
      <c r="D53" s="90" t="s">
        <v>26</v>
      </c>
      <c r="E53" s="90" t="s">
        <v>223</v>
      </c>
      <c r="F53" s="90" t="s">
        <v>39</v>
      </c>
      <c r="G53" s="91" t="s">
        <v>251</v>
      </c>
      <c r="H53" s="90" t="s">
        <v>343</v>
      </c>
      <c r="I53" s="92" t="s">
        <v>28</v>
      </c>
      <c r="J53" s="92" t="s">
        <v>28</v>
      </c>
      <c r="K53" s="92" t="s">
        <v>118</v>
      </c>
      <c r="L53" s="93">
        <v>44734</v>
      </c>
      <c r="M53" s="93" t="b">
        <v>0</v>
      </c>
      <c r="N53" s="93">
        <v>45461</v>
      </c>
      <c r="O53" s="94" t="s">
        <v>98</v>
      </c>
      <c r="P53" s="95">
        <v>3.2</v>
      </c>
      <c r="Q53" s="95">
        <v>2.4</v>
      </c>
      <c r="R53" s="95"/>
      <c r="S53" s="92" t="s">
        <v>119</v>
      </c>
      <c r="T53" s="92" t="s">
        <v>153</v>
      </c>
      <c r="U53" s="92"/>
      <c r="V53" s="92"/>
      <c r="W53" s="86"/>
      <c r="X53" s="92"/>
      <c r="Y53" s="92"/>
      <c r="Z53" s="99">
        <v>44599</v>
      </c>
    </row>
    <row r="54" spans="1:26" s="98" customFormat="1" ht="18" customHeight="1">
      <c r="A54" s="90" t="s">
        <v>340</v>
      </c>
      <c r="B54" s="90" t="s">
        <v>341</v>
      </c>
      <c r="C54" s="90" t="s">
        <v>344</v>
      </c>
      <c r="D54" s="90" t="s">
        <v>26</v>
      </c>
      <c r="E54" s="90" t="s">
        <v>345</v>
      </c>
      <c r="F54" s="90" t="s">
        <v>27</v>
      </c>
      <c r="G54" s="91" t="s">
        <v>346</v>
      </c>
      <c r="H54" s="90" t="s">
        <v>347</v>
      </c>
      <c r="I54" s="92" t="s">
        <v>28</v>
      </c>
      <c r="J54" s="92" t="s">
        <v>52</v>
      </c>
      <c r="K54" s="92" t="s">
        <v>118</v>
      </c>
      <c r="L54" s="93">
        <v>44734</v>
      </c>
      <c r="M54" s="93" t="b">
        <v>0</v>
      </c>
      <c r="N54" s="93">
        <v>45461</v>
      </c>
      <c r="O54" s="94" t="s">
        <v>98</v>
      </c>
      <c r="P54" s="95">
        <v>7.3</v>
      </c>
      <c r="Q54" s="95"/>
      <c r="R54" s="95">
        <v>2.8</v>
      </c>
      <c r="S54" s="92" t="s">
        <v>119</v>
      </c>
      <c r="T54" s="92" t="s">
        <v>153</v>
      </c>
      <c r="U54" s="92"/>
      <c r="V54" s="92"/>
      <c r="W54" s="86"/>
      <c r="X54" s="92"/>
      <c r="Y54" s="92"/>
      <c r="Z54" s="97">
        <v>44600</v>
      </c>
    </row>
    <row r="55" spans="1:26" s="98" customFormat="1" ht="18" customHeight="1">
      <c r="A55" s="90" t="s">
        <v>348</v>
      </c>
      <c r="B55" s="90" t="s">
        <v>349</v>
      </c>
      <c r="C55" s="90" t="s">
        <v>350</v>
      </c>
      <c r="D55" s="90" t="s">
        <v>26</v>
      </c>
      <c r="E55" s="90" t="s">
        <v>351</v>
      </c>
      <c r="F55" s="90" t="s">
        <v>27</v>
      </c>
      <c r="G55" s="91" t="s">
        <v>208</v>
      </c>
      <c r="H55" s="90" t="s">
        <v>352</v>
      </c>
      <c r="I55" s="92" t="s">
        <v>165</v>
      </c>
      <c r="J55" s="92" t="s">
        <v>40</v>
      </c>
      <c r="K55" s="92" t="s">
        <v>118</v>
      </c>
      <c r="L55" s="93">
        <v>44734</v>
      </c>
      <c r="M55" s="93" t="b">
        <v>0</v>
      </c>
      <c r="N55" s="93">
        <v>45461</v>
      </c>
      <c r="O55" s="94" t="s">
        <v>98</v>
      </c>
      <c r="P55" s="95">
        <v>7.3</v>
      </c>
      <c r="Q55" s="95"/>
      <c r="R55" s="95">
        <v>4.5999999999999996</v>
      </c>
      <c r="S55" s="92" t="s">
        <v>119</v>
      </c>
      <c r="T55" s="92" t="s">
        <v>153</v>
      </c>
      <c r="U55" s="92"/>
      <c r="V55" s="92"/>
      <c r="W55" s="92"/>
      <c r="X55" s="92"/>
      <c r="Y55" s="92"/>
      <c r="Z55" s="99">
        <v>44600</v>
      </c>
    </row>
    <row r="56" spans="1:26" s="98" customFormat="1" ht="12.6">
      <c r="A56" s="90" t="s">
        <v>348</v>
      </c>
      <c r="B56" s="90" t="s">
        <v>349</v>
      </c>
      <c r="C56" s="90" t="s">
        <v>353</v>
      </c>
      <c r="D56" s="90" t="s">
        <v>26</v>
      </c>
      <c r="E56" s="90" t="s">
        <v>351</v>
      </c>
      <c r="F56" s="90" t="s">
        <v>27</v>
      </c>
      <c r="G56" s="91" t="s">
        <v>208</v>
      </c>
      <c r="H56" s="90" t="s">
        <v>354</v>
      </c>
      <c r="I56" s="92" t="s">
        <v>165</v>
      </c>
      <c r="J56" s="92" t="s">
        <v>40</v>
      </c>
      <c r="K56" s="92" t="s">
        <v>118</v>
      </c>
      <c r="L56" s="93">
        <v>44734</v>
      </c>
      <c r="M56" s="93" t="b">
        <v>0</v>
      </c>
      <c r="N56" s="93">
        <v>45461</v>
      </c>
      <c r="O56" s="94" t="s">
        <v>98</v>
      </c>
      <c r="P56" s="95">
        <v>8.1999999999999993</v>
      </c>
      <c r="Q56" s="95"/>
      <c r="R56" s="95">
        <v>3</v>
      </c>
      <c r="S56" s="92" t="s">
        <v>119</v>
      </c>
      <c r="T56" s="92" t="s">
        <v>153</v>
      </c>
      <c r="U56" s="92"/>
      <c r="V56" s="92"/>
      <c r="W56" s="86"/>
      <c r="X56" s="92"/>
      <c r="Y56" s="92"/>
      <c r="Z56" s="107"/>
    </row>
    <row r="57" spans="1:26" s="98" customFormat="1" ht="12.6">
      <c r="A57" s="90" t="s">
        <v>348</v>
      </c>
      <c r="B57" s="90" t="s">
        <v>349</v>
      </c>
      <c r="C57" s="90" t="s">
        <v>355</v>
      </c>
      <c r="D57" s="90" t="s">
        <v>26</v>
      </c>
      <c r="E57" s="90" t="s">
        <v>356</v>
      </c>
      <c r="F57" s="90" t="s">
        <v>39</v>
      </c>
      <c r="G57" s="91" t="s">
        <v>205</v>
      </c>
      <c r="H57" s="90" t="s">
        <v>357</v>
      </c>
      <c r="I57" s="92" t="s">
        <v>28</v>
      </c>
      <c r="J57" s="92" t="s">
        <v>52</v>
      </c>
      <c r="K57" s="92" t="s">
        <v>118</v>
      </c>
      <c r="L57" s="93">
        <v>44734</v>
      </c>
      <c r="M57" s="93" t="b">
        <v>0</v>
      </c>
      <c r="N57" s="93">
        <v>45461</v>
      </c>
      <c r="O57" s="94" t="s">
        <v>98</v>
      </c>
      <c r="P57" s="95">
        <v>3</v>
      </c>
      <c r="Q57" s="95">
        <v>2.2000000000000002</v>
      </c>
      <c r="R57" s="95"/>
      <c r="S57" s="92" t="s">
        <v>119</v>
      </c>
      <c r="T57" s="92" t="s">
        <v>153</v>
      </c>
      <c r="U57" s="92"/>
      <c r="V57" s="92"/>
      <c r="W57" s="86"/>
      <c r="X57" s="92"/>
      <c r="Y57" s="92"/>
      <c r="Z57" s="99">
        <v>44579</v>
      </c>
    </row>
    <row r="58" spans="1:26" s="188" customFormat="1" ht="12" customHeight="1">
      <c r="A58" s="180" t="s">
        <v>358</v>
      </c>
      <c r="B58" s="180" t="s">
        <v>359</v>
      </c>
      <c r="C58" s="180" t="s">
        <v>360</v>
      </c>
      <c r="D58" s="180" t="s">
        <v>26</v>
      </c>
      <c r="E58" s="180" t="s">
        <v>361</v>
      </c>
      <c r="F58" s="180" t="s">
        <v>39</v>
      </c>
      <c r="G58" s="181" t="s">
        <v>251</v>
      </c>
      <c r="H58" s="180" t="s">
        <v>362</v>
      </c>
      <c r="I58" s="182" t="s">
        <v>28</v>
      </c>
      <c r="J58" s="182" t="s">
        <v>28</v>
      </c>
      <c r="K58" s="182" t="s">
        <v>184</v>
      </c>
      <c r="L58" s="183"/>
      <c r="M58" s="183" t="b">
        <v>0</v>
      </c>
      <c r="N58" s="183"/>
      <c r="O58" s="185"/>
      <c r="P58" s="186"/>
      <c r="Q58" s="186"/>
      <c r="R58" s="186"/>
      <c r="S58" s="182" t="s">
        <v>166</v>
      </c>
      <c r="T58" s="182"/>
      <c r="U58" s="182"/>
      <c r="V58" s="182"/>
      <c r="W58" s="86"/>
      <c r="X58" s="182"/>
      <c r="Y58" s="182" t="s">
        <v>168</v>
      </c>
      <c r="Z58" s="191">
        <v>44579</v>
      </c>
    </row>
    <row r="59" spans="1:26" s="234" customFormat="1" ht="12.6">
      <c r="A59" s="228" t="s">
        <v>363</v>
      </c>
      <c r="B59" s="228" t="s">
        <v>364</v>
      </c>
      <c r="C59" s="228" t="s">
        <v>365</v>
      </c>
      <c r="D59" s="228" t="s">
        <v>26</v>
      </c>
      <c r="E59" s="228" t="s">
        <v>223</v>
      </c>
      <c r="F59" s="228" t="s">
        <v>39</v>
      </c>
      <c r="G59" s="229" t="s">
        <v>205</v>
      </c>
      <c r="H59" s="228" t="s">
        <v>366</v>
      </c>
      <c r="I59" s="230" t="s">
        <v>28</v>
      </c>
      <c r="J59" s="230" t="s">
        <v>52</v>
      </c>
      <c r="K59" s="230" t="s">
        <v>184</v>
      </c>
      <c r="L59" s="231"/>
      <c r="M59" s="254" t="b">
        <v>0</v>
      </c>
      <c r="N59" s="231">
        <v>45345</v>
      </c>
      <c r="O59" s="227" t="s">
        <v>82</v>
      </c>
      <c r="P59" s="232"/>
      <c r="Q59" s="232"/>
      <c r="R59" s="232"/>
      <c r="S59" s="230" t="s">
        <v>166</v>
      </c>
      <c r="T59" s="230"/>
      <c r="U59" s="230"/>
      <c r="V59" s="230"/>
      <c r="W59" s="86"/>
      <c r="X59" s="230"/>
      <c r="Y59" s="230" t="s">
        <v>330</v>
      </c>
      <c r="Z59" s="238">
        <v>44579</v>
      </c>
    </row>
    <row r="60" spans="1:26" s="98" customFormat="1" ht="12.6">
      <c r="A60" s="90" t="s">
        <v>367</v>
      </c>
      <c r="B60" s="90" t="s">
        <v>368</v>
      </c>
      <c r="C60" s="90" t="s">
        <v>369</v>
      </c>
      <c r="D60" s="90" t="s">
        <v>61</v>
      </c>
      <c r="E60" s="90" t="s">
        <v>370</v>
      </c>
      <c r="F60" s="90" t="s">
        <v>27</v>
      </c>
      <c r="G60" s="91" t="s">
        <v>205</v>
      </c>
      <c r="H60" s="90" t="s">
        <v>371</v>
      </c>
      <c r="I60" s="92" t="s">
        <v>28</v>
      </c>
      <c r="J60" s="92" t="s">
        <v>52</v>
      </c>
      <c r="K60" s="92" t="s">
        <v>118</v>
      </c>
      <c r="L60" s="93">
        <v>44734</v>
      </c>
      <c r="M60" s="93" t="b">
        <v>0</v>
      </c>
      <c r="N60" s="93">
        <v>45461</v>
      </c>
      <c r="O60" s="94" t="s">
        <v>98</v>
      </c>
      <c r="P60" s="95">
        <v>7.5</v>
      </c>
      <c r="Q60" s="95">
        <v>2.4</v>
      </c>
      <c r="R60" s="95"/>
      <c r="S60" s="92" t="s">
        <v>119</v>
      </c>
      <c r="T60" s="92" t="s">
        <v>153</v>
      </c>
      <c r="U60" s="92" t="s">
        <v>248</v>
      </c>
      <c r="V60" s="92"/>
      <c r="W60" s="86"/>
      <c r="X60" s="92"/>
      <c r="Y60" s="92"/>
      <c r="Z60" s="97">
        <v>44734</v>
      </c>
    </row>
    <row r="61" spans="1:26" ht="12.6">
      <c r="A61" s="85" t="s">
        <v>372</v>
      </c>
      <c r="B61" s="85" t="s">
        <v>373</v>
      </c>
      <c r="C61" s="85" t="s">
        <v>374</v>
      </c>
      <c r="D61" s="85" t="s">
        <v>26</v>
      </c>
      <c r="E61" s="85" t="s">
        <v>361</v>
      </c>
      <c r="F61" s="85" t="s">
        <v>39</v>
      </c>
      <c r="G61" s="89" t="s">
        <v>251</v>
      </c>
      <c r="H61" s="85" t="s">
        <v>375</v>
      </c>
      <c r="I61" s="86" t="s">
        <v>165</v>
      </c>
      <c r="J61" s="86" t="s">
        <v>40</v>
      </c>
      <c r="K61" s="86" t="s">
        <v>118</v>
      </c>
      <c r="L61" s="87">
        <v>44614</v>
      </c>
      <c r="M61" s="87" t="b">
        <v>0</v>
      </c>
      <c r="N61" s="87"/>
      <c r="P61" s="88"/>
      <c r="Q61" s="88"/>
      <c r="R61" s="88"/>
      <c r="S61" s="86" t="s">
        <v>119</v>
      </c>
      <c r="T61" s="86" t="s">
        <v>153</v>
      </c>
      <c r="U61" s="86"/>
      <c r="V61" s="86"/>
      <c r="W61" s="86"/>
      <c r="X61" s="86"/>
      <c r="Y61" s="86"/>
      <c r="Z61" s="138">
        <v>44734</v>
      </c>
    </row>
    <row r="62" spans="1:26" s="98" customFormat="1" ht="12.6">
      <c r="A62" s="90" t="s">
        <v>376</v>
      </c>
      <c r="B62" s="90" t="s">
        <v>217</v>
      </c>
      <c r="C62" s="90" t="s">
        <v>377</v>
      </c>
      <c r="D62" s="90" t="s">
        <v>50</v>
      </c>
      <c r="E62" s="90" t="s">
        <v>197</v>
      </c>
      <c r="F62" s="90" t="s">
        <v>39</v>
      </c>
      <c r="G62" s="91" t="s">
        <v>264</v>
      </c>
      <c r="H62" s="90" t="s">
        <v>378</v>
      </c>
      <c r="I62" s="92" t="s">
        <v>28</v>
      </c>
      <c r="J62" s="92" t="s">
        <v>183</v>
      </c>
      <c r="K62" s="92" t="s">
        <v>118</v>
      </c>
      <c r="L62" s="93">
        <v>44643</v>
      </c>
      <c r="M62" s="93" t="b">
        <v>0</v>
      </c>
      <c r="N62" s="93">
        <v>45517</v>
      </c>
      <c r="O62" s="94" t="s">
        <v>101</v>
      </c>
      <c r="P62" s="95">
        <v>2.6</v>
      </c>
      <c r="Q62" s="95">
        <v>2.4</v>
      </c>
      <c r="R62" s="96"/>
      <c r="S62" s="92" t="s">
        <v>119</v>
      </c>
      <c r="T62" s="92" t="s">
        <v>153</v>
      </c>
      <c r="U62" s="92"/>
      <c r="V62" s="92"/>
      <c r="W62" s="92"/>
      <c r="X62" s="92"/>
      <c r="Y62" s="92"/>
      <c r="Z62" s="97">
        <v>44734</v>
      </c>
    </row>
    <row r="63" spans="1:26" ht="12.6">
      <c r="A63" s="85" t="s">
        <v>376</v>
      </c>
      <c r="B63" s="85" t="s">
        <v>217</v>
      </c>
      <c r="C63" s="85"/>
      <c r="D63" s="85" t="s">
        <v>26</v>
      </c>
      <c r="E63" s="85" t="s">
        <v>223</v>
      </c>
      <c r="F63" s="85" t="s">
        <v>39</v>
      </c>
      <c r="G63" s="89" t="s">
        <v>251</v>
      </c>
      <c r="H63" s="85" t="s">
        <v>379</v>
      </c>
      <c r="I63" s="86" t="s">
        <v>28</v>
      </c>
      <c r="J63" s="86" t="s">
        <v>28</v>
      </c>
      <c r="K63" s="86" t="s">
        <v>118</v>
      </c>
      <c r="L63" s="87">
        <v>44844</v>
      </c>
      <c r="M63" s="87" t="b">
        <v>0</v>
      </c>
      <c r="N63" s="87"/>
      <c r="P63" s="88"/>
      <c r="Q63" s="88"/>
      <c r="R63" s="137"/>
      <c r="S63" s="86" t="s">
        <v>119</v>
      </c>
      <c r="T63" s="86" t="s">
        <v>153</v>
      </c>
      <c r="U63" s="86" t="s">
        <v>153</v>
      </c>
      <c r="V63" s="86" t="s">
        <v>167</v>
      </c>
      <c r="W63" s="86"/>
      <c r="X63" s="86"/>
      <c r="Y63" s="86" t="s">
        <v>380</v>
      </c>
      <c r="Z63" s="138">
        <v>44734</v>
      </c>
    </row>
    <row r="64" spans="1:26" s="98" customFormat="1" ht="15" customHeight="1">
      <c r="A64" s="90" t="s">
        <v>381</v>
      </c>
      <c r="B64" s="90" t="s">
        <v>382</v>
      </c>
      <c r="C64" s="90" t="s">
        <v>383</v>
      </c>
      <c r="D64" s="90" t="s">
        <v>26</v>
      </c>
      <c r="E64" s="90" t="s">
        <v>223</v>
      </c>
      <c r="F64" s="90" t="s">
        <v>39</v>
      </c>
      <c r="G64" s="91">
        <v>4</v>
      </c>
      <c r="H64" s="90" t="s">
        <v>384</v>
      </c>
      <c r="I64" s="92" t="s">
        <v>28</v>
      </c>
      <c r="J64" s="92" t="s">
        <v>28</v>
      </c>
      <c r="K64" s="92" t="s">
        <v>118</v>
      </c>
      <c r="L64" s="93">
        <v>44844</v>
      </c>
      <c r="M64" s="119" t="b">
        <v>0</v>
      </c>
      <c r="N64" s="93">
        <v>45523</v>
      </c>
      <c r="O64" s="94" t="s">
        <v>101</v>
      </c>
      <c r="P64" s="95">
        <v>1.8</v>
      </c>
      <c r="Q64" s="95">
        <v>3.2</v>
      </c>
      <c r="R64" s="95"/>
      <c r="S64" s="92" t="s">
        <v>119</v>
      </c>
      <c r="T64" s="92" t="s">
        <v>153</v>
      </c>
      <c r="U64" s="92"/>
      <c r="V64" s="92"/>
      <c r="W64" s="92"/>
      <c r="X64" s="92"/>
      <c r="Y64" s="92"/>
      <c r="Z64" s="97">
        <v>44734</v>
      </c>
    </row>
    <row r="65" spans="1:26" ht="15" customHeight="1">
      <c r="A65" s="85" t="s">
        <v>381</v>
      </c>
      <c r="B65" s="85" t="s">
        <v>217</v>
      </c>
      <c r="C65" s="85" t="s">
        <v>385</v>
      </c>
      <c r="D65" s="85" t="s">
        <v>26</v>
      </c>
      <c r="E65" s="85" t="s">
        <v>172</v>
      </c>
      <c r="F65" s="85" t="s">
        <v>27</v>
      </c>
      <c r="G65" s="89" t="s">
        <v>230</v>
      </c>
      <c r="H65" s="85" t="s">
        <v>386</v>
      </c>
      <c r="I65" s="86" t="s">
        <v>165</v>
      </c>
      <c r="J65" s="86" t="s">
        <v>40</v>
      </c>
      <c r="K65" s="86" t="s">
        <v>118</v>
      </c>
      <c r="L65" s="87">
        <v>44574</v>
      </c>
      <c r="M65" s="155" t="b">
        <v>0</v>
      </c>
      <c r="N65" s="87"/>
      <c r="P65" s="88"/>
      <c r="Q65" s="88"/>
      <c r="R65" s="88"/>
      <c r="S65" s="86" t="s">
        <v>119</v>
      </c>
      <c r="T65" s="86" t="s">
        <v>153</v>
      </c>
      <c r="U65" s="86"/>
      <c r="V65" s="86"/>
      <c r="W65" s="86"/>
      <c r="X65" s="86"/>
      <c r="Y65" s="86"/>
      <c r="Z65" s="138"/>
    </row>
    <row r="66" spans="1:26" ht="15" customHeight="1">
      <c r="A66" s="85" t="s">
        <v>381</v>
      </c>
      <c r="B66" s="85" t="s">
        <v>217</v>
      </c>
      <c r="C66" s="85" t="s">
        <v>387</v>
      </c>
      <c r="D66" s="85" t="s">
        <v>50</v>
      </c>
      <c r="E66" s="85" t="s">
        <v>197</v>
      </c>
      <c r="F66" s="85" t="s">
        <v>39</v>
      </c>
      <c r="G66" s="89" t="s">
        <v>264</v>
      </c>
      <c r="H66" s="85" t="s">
        <v>388</v>
      </c>
      <c r="I66" s="86" t="s">
        <v>28</v>
      </c>
      <c r="J66" s="86" t="s">
        <v>40</v>
      </c>
      <c r="K66" s="86" t="s">
        <v>118</v>
      </c>
      <c r="L66" s="87">
        <v>44643</v>
      </c>
      <c r="M66" s="87" t="b">
        <v>0</v>
      </c>
      <c r="N66" s="87"/>
      <c r="P66" s="88"/>
      <c r="Q66" s="88"/>
      <c r="R66" s="137"/>
      <c r="S66" s="86" t="s">
        <v>119</v>
      </c>
      <c r="T66" s="86" t="s">
        <v>153</v>
      </c>
      <c r="U66" s="86" t="s">
        <v>153</v>
      </c>
      <c r="V66" s="86" t="s">
        <v>167</v>
      </c>
      <c r="W66" s="86" t="s">
        <v>167</v>
      </c>
      <c r="X66" s="86"/>
      <c r="Y66" s="86"/>
      <c r="Z66" s="154"/>
    </row>
    <row r="67" spans="1:26" s="98" customFormat="1" ht="15" customHeight="1">
      <c r="A67" s="90" t="s">
        <v>389</v>
      </c>
      <c r="B67" s="90" t="s">
        <v>217</v>
      </c>
      <c r="C67" s="90" t="s">
        <v>390</v>
      </c>
      <c r="D67" s="90" t="s">
        <v>26</v>
      </c>
      <c r="E67" s="90" t="s">
        <v>172</v>
      </c>
      <c r="F67" s="90" t="s">
        <v>27</v>
      </c>
      <c r="G67" s="91" t="s">
        <v>230</v>
      </c>
      <c r="H67" s="90" t="s">
        <v>386</v>
      </c>
      <c r="I67" s="92" t="s">
        <v>28</v>
      </c>
      <c r="J67" s="92" t="s">
        <v>40</v>
      </c>
      <c r="K67" s="92" t="s">
        <v>118</v>
      </c>
      <c r="L67" s="93">
        <v>44573</v>
      </c>
      <c r="M67" s="93" t="b">
        <v>0</v>
      </c>
      <c r="N67" s="93">
        <v>45531</v>
      </c>
      <c r="O67" s="94" t="s">
        <v>101</v>
      </c>
      <c r="P67" s="95">
        <v>8</v>
      </c>
      <c r="Q67" s="95"/>
      <c r="R67" s="95">
        <v>3.4</v>
      </c>
      <c r="S67" s="92" t="s">
        <v>119</v>
      </c>
      <c r="T67" s="92" t="s">
        <v>153</v>
      </c>
      <c r="U67" s="92"/>
      <c r="V67" s="92"/>
      <c r="W67" s="92"/>
      <c r="X67" s="92"/>
      <c r="Y67" s="92"/>
      <c r="Z67" s="99">
        <v>44734</v>
      </c>
    </row>
    <row r="68" spans="1:26" s="98" customFormat="1" ht="15" customHeight="1">
      <c r="A68" s="90" t="s">
        <v>389</v>
      </c>
      <c r="B68" s="90" t="s">
        <v>217</v>
      </c>
      <c r="C68" s="90" t="s">
        <v>391</v>
      </c>
      <c r="D68" s="90" t="s">
        <v>26</v>
      </c>
      <c r="E68" s="90" t="s">
        <v>235</v>
      </c>
      <c r="F68" s="90" t="s">
        <v>27</v>
      </c>
      <c r="G68" s="91" t="s">
        <v>208</v>
      </c>
      <c r="H68" s="90" t="s">
        <v>392</v>
      </c>
      <c r="I68" s="92" t="s">
        <v>28</v>
      </c>
      <c r="J68" s="92" t="s">
        <v>28</v>
      </c>
      <c r="K68" s="92" t="s">
        <v>118</v>
      </c>
      <c r="L68" s="93">
        <v>44844</v>
      </c>
      <c r="M68" s="93" t="b">
        <v>0</v>
      </c>
      <c r="N68" s="93">
        <v>45523</v>
      </c>
      <c r="O68" s="94" t="s">
        <v>101</v>
      </c>
      <c r="P68" s="95">
        <v>7</v>
      </c>
      <c r="Q68" s="95"/>
      <c r="R68" s="95">
        <v>3.8</v>
      </c>
      <c r="S68" s="92" t="s">
        <v>119</v>
      </c>
      <c r="T68" s="92" t="s">
        <v>153</v>
      </c>
      <c r="U68" s="92"/>
      <c r="V68" s="92"/>
      <c r="W68" s="92"/>
      <c r="X68" s="92"/>
      <c r="Y68" s="92"/>
      <c r="Z68" s="97">
        <v>44614</v>
      </c>
    </row>
    <row r="69" spans="1:26" ht="14.25" customHeight="1">
      <c r="A69" s="85" t="s">
        <v>393</v>
      </c>
      <c r="B69" s="85" t="s">
        <v>217</v>
      </c>
      <c r="C69" s="85" t="s">
        <v>394</v>
      </c>
      <c r="D69" s="85" t="s">
        <v>26</v>
      </c>
      <c r="E69" s="85" t="s">
        <v>172</v>
      </c>
      <c r="F69" s="85" t="s">
        <v>27</v>
      </c>
      <c r="G69" s="89" t="s">
        <v>230</v>
      </c>
      <c r="H69" s="85" t="s">
        <v>386</v>
      </c>
      <c r="I69" s="86" t="s">
        <v>28</v>
      </c>
      <c r="J69" s="86" t="s">
        <v>40</v>
      </c>
      <c r="K69" s="86" t="s">
        <v>118</v>
      </c>
      <c r="L69" s="87">
        <v>44574</v>
      </c>
      <c r="M69" s="87" t="b">
        <v>0</v>
      </c>
      <c r="N69" s="87"/>
      <c r="P69" s="88"/>
      <c r="Q69" s="88"/>
      <c r="R69" s="88"/>
      <c r="S69" s="86" t="s">
        <v>119</v>
      </c>
      <c r="T69" s="86" t="s">
        <v>153</v>
      </c>
      <c r="U69" s="86"/>
      <c r="V69" s="86"/>
      <c r="W69" s="86"/>
      <c r="X69" s="86"/>
      <c r="Y69" s="86"/>
      <c r="Z69" s="138">
        <v>44643</v>
      </c>
    </row>
    <row r="70" spans="1:26" s="98" customFormat="1" ht="14.25" customHeight="1">
      <c r="A70" s="90" t="s">
        <v>393</v>
      </c>
      <c r="B70" s="90" t="s">
        <v>217</v>
      </c>
      <c r="C70" s="90" t="s">
        <v>395</v>
      </c>
      <c r="D70" s="90" t="s">
        <v>26</v>
      </c>
      <c r="E70" s="90" t="s">
        <v>223</v>
      </c>
      <c r="F70" s="90" t="s">
        <v>39</v>
      </c>
      <c r="G70" s="91" t="s">
        <v>251</v>
      </c>
      <c r="H70" s="90" t="s">
        <v>379</v>
      </c>
      <c r="I70" s="92" t="s">
        <v>28</v>
      </c>
      <c r="J70" s="92" t="s">
        <v>28</v>
      </c>
      <c r="K70" s="92" t="s">
        <v>118</v>
      </c>
      <c r="L70" s="93">
        <v>44657</v>
      </c>
      <c r="M70" s="93" t="b">
        <v>0</v>
      </c>
      <c r="N70" s="93">
        <v>45523</v>
      </c>
      <c r="O70" s="94" t="s">
        <v>101</v>
      </c>
      <c r="P70" s="95">
        <v>4.5999999999999996</v>
      </c>
      <c r="Q70" s="95">
        <v>3.6</v>
      </c>
      <c r="R70" s="95"/>
      <c r="S70" s="92" t="s">
        <v>119</v>
      </c>
      <c r="T70" s="92" t="s">
        <v>153</v>
      </c>
      <c r="U70" s="92"/>
      <c r="V70" s="92"/>
      <c r="W70" s="92"/>
      <c r="X70" s="92"/>
      <c r="Y70" s="92"/>
      <c r="Z70" s="97">
        <v>44844</v>
      </c>
    </row>
    <row r="71" spans="1:26" ht="14.25" customHeight="1">
      <c r="A71" s="85" t="s">
        <v>396</v>
      </c>
      <c r="B71" s="85" t="s">
        <v>217</v>
      </c>
      <c r="C71" s="85" t="s">
        <v>397</v>
      </c>
      <c r="D71" s="85" t="s">
        <v>61</v>
      </c>
      <c r="E71" s="85" t="s">
        <v>398</v>
      </c>
      <c r="F71" s="85" t="s">
        <v>27</v>
      </c>
      <c r="G71" s="89" t="s">
        <v>230</v>
      </c>
      <c r="H71" s="85" t="s">
        <v>245</v>
      </c>
      <c r="I71" s="86" t="s">
        <v>28</v>
      </c>
      <c r="J71" s="86" t="s">
        <v>40</v>
      </c>
      <c r="K71" s="86" t="s">
        <v>118</v>
      </c>
      <c r="L71" s="87">
        <v>44657</v>
      </c>
      <c r="M71" s="87" t="b">
        <v>0</v>
      </c>
      <c r="N71" s="87"/>
      <c r="P71" s="88"/>
      <c r="Q71" s="88"/>
      <c r="R71" s="88"/>
      <c r="S71" s="86" t="s">
        <v>119</v>
      </c>
      <c r="T71" s="86" t="s">
        <v>153</v>
      </c>
      <c r="U71" s="86" t="s">
        <v>153</v>
      </c>
      <c r="V71" s="86" t="s">
        <v>167</v>
      </c>
      <c r="W71" s="86" t="s">
        <v>167</v>
      </c>
      <c r="X71" s="86"/>
      <c r="Y71" s="86"/>
      <c r="Z71" s="138">
        <v>44844</v>
      </c>
    </row>
    <row r="72" spans="1:26" ht="14.25" customHeight="1">
      <c r="A72" s="85" t="s">
        <v>396</v>
      </c>
      <c r="B72" s="85" t="s">
        <v>217</v>
      </c>
      <c r="C72" s="85" t="s">
        <v>399</v>
      </c>
      <c r="D72" s="85" t="s">
        <v>26</v>
      </c>
      <c r="E72" s="85" t="s">
        <v>223</v>
      </c>
      <c r="F72" s="85" t="s">
        <v>39</v>
      </c>
      <c r="G72" s="89" t="s">
        <v>400</v>
      </c>
      <c r="H72" s="85" t="s">
        <v>228</v>
      </c>
      <c r="I72" s="86" t="s">
        <v>28</v>
      </c>
      <c r="J72" s="86" t="s">
        <v>52</v>
      </c>
      <c r="K72" s="86" t="s">
        <v>184</v>
      </c>
      <c r="L72" s="87">
        <v>44657</v>
      </c>
      <c r="M72" s="87" t="b">
        <v>0</v>
      </c>
      <c r="N72" s="87"/>
      <c r="P72" s="88"/>
      <c r="Q72" s="88"/>
      <c r="R72" s="88"/>
      <c r="S72" s="86" t="s">
        <v>119</v>
      </c>
      <c r="T72" s="86" t="s">
        <v>153</v>
      </c>
      <c r="U72" s="86" t="s">
        <v>153</v>
      </c>
      <c r="V72" s="86" t="s">
        <v>167</v>
      </c>
      <c r="W72" s="86" t="s">
        <v>167</v>
      </c>
      <c r="X72" s="86"/>
      <c r="Y72" s="86"/>
      <c r="Z72" s="154">
        <v>44574</v>
      </c>
    </row>
    <row r="73" spans="1:26" s="98" customFormat="1" ht="14.25" customHeight="1">
      <c r="A73" s="90" t="s">
        <v>401</v>
      </c>
      <c r="B73" s="90" t="s">
        <v>217</v>
      </c>
      <c r="C73" s="90" t="s">
        <v>402</v>
      </c>
      <c r="D73" s="90" t="s">
        <v>26</v>
      </c>
      <c r="E73" s="90" t="s">
        <v>370</v>
      </c>
      <c r="F73" s="90" t="s">
        <v>27</v>
      </c>
      <c r="G73" s="91" t="s">
        <v>400</v>
      </c>
      <c r="H73" s="90" t="s">
        <v>403</v>
      </c>
      <c r="I73" s="92" t="s">
        <v>28</v>
      </c>
      <c r="J73" s="92" t="s">
        <v>52</v>
      </c>
      <c r="K73" s="92" t="s">
        <v>118</v>
      </c>
      <c r="L73" s="93">
        <v>44574</v>
      </c>
      <c r="M73" s="93" t="b">
        <v>0</v>
      </c>
      <c r="N73" s="93">
        <v>45517</v>
      </c>
      <c r="O73" s="94" t="s">
        <v>101</v>
      </c>
      <c r="P73" s="95">
        <v>9.6999999999999993</v>
      </c>
      <c r="Q73" s="95"/>
      <c r="R73" s="95">
        <v>4.4000000000000004</v>
      </c>
      <c r="S73" s="92" t="s">
        <v>119</v>
      </c>
      <c r="T73" s="92" t="s">
        <v>153</v>
      </c>
      <c r="U73" s="92"/>
      <c r="V73" s="92"/>
      <c r="W73" s="92"/>
      <c r="X73" s="92"/>
      <c r="Y73" s="92"/>
      <c r="Z73" s="99">
        <v>44643</v>
      </c>
    </row>
    <row r="74" spans="1:26" s="188" customFormat="1" ht="12.6">
      <c r="A74" s="180" t="s">
        <v>404</v>
      </c>
      <c r="B74" s="180" t="s">
        <v>405</v>
      </c>
      <c r="C74" s="180" t="s">
        <v>406</v>
      </c>
      <c r="D74" s="180" t="s">
        <v>50</v>
      </c>
      <c r="E74" s="180" t="s">
        <v>235</v>
      </c>
      <c r="F74" s="180" t="s">
        <v>27</v>
      </c>
      <c r="G74" s="181" t="s">
        <v>173</v>
      </c>
      <c r="H74" s="180" t="s">
        <v>407</v>
      </c>
      <c r="I74" s="182" t="s">
        <v>165</v>
      </c>
      <c r="J74" s="182" t="s">
        <v>40</v>
      </c>
      <c r="K74" s="182" t="s">
        <v>184</v>
      </c>
      <c r="L74" s="183"/>
      <c r="M74" s="183" t="b">
        <v>0</v>
      </c>
      <c r="N74" s="183"/>
      <c r="O74" s="185"/>
      <c r="P74" s="186"/>
      <c r="Q74" s="186"/>
      <c r="R74" s="186"/>
      <c r="S74" s="182" t="s">
        <v>166</v>
      </c>
      <c r="T74" s="182"/>
      <c r="U74" s="182"/>
      <c r="V74" s="182"/>
      <c r="W74" s="86"/>
      <c r="X74" s="182"/>
      <c r="Y74" s="182" t="s">
        <v>408</v>
      </c>
      <c r="Z74" s="191">
        <v>44573</v>
      </c>
    </row>
    <row r="75" spans="1:26" ht="12.6">
      <c r="A75" s="85" t="s">
        <v>404</v>
      </c>
      <c r="B75" s="85" t="s">
        <v>405</v>
      </c>
      <c r="C75" s="85" t="s">
        <v>409</v>
      </c>
      <c r="D75" s="85" t="s">
        <v>26</v>
      </c>
      <c r="E75" s="85" t="s">
        <v>223</v>
      </c>
      <c r="F75" s="85" t="s">
        <v>39</v>
      </c>
      <c r="G75" s="89" t="s">
        <v>181</v>
      </c>
      <c r="H75" s="85" t="s">
        <v>410</v>
      </c>
      <c r="I75" s="86" t="s">
        <v>28</v>
      </c>
      <c r="J75" s="86" t="s">
        <v>52</v>
      </c>
      <c r="K75" s="86" t="s">
        <v>118</v>
      </c>
      <c r="L75" s="87">
        <v>44620</v>
      </c>
      <c r="M75" s="87" t="b">
        <v>0</v>
      </c>
      <c r="N75" s="87"/>
      <c r="P75" s="88"/>
      <c r="Q75" s="88"/>
      <c r="R75" s="88"/>
      <c r="S75" s="86" t="s">
        <v>119</v>
      </c>
      <c r="T75" s="86" t="s">
        <v>153</v>
      </c>
      <c r="U75" s="86"/>
      <c r="V75" s="86"/>
      <c r="W75" s="86"/>
      <c r="X75" s="86"/>
      <c r="Y75" s="86"/>
      <c r="Z75" s="138">
        <v>44844</v>
      </c>
    </row>
    <row r="76" spans="1:26" ht="12.6">
      <c r="A76" s="85" t="s">
        <v>411</v>
      </c>
      <c r="B76" s="85" t="s">
        <v>412</v>
      </c>
      <c r="C76" s="85" t="s">
        <v>413</v>
      </c>
      <c r="D76" s="85" t="s">
        <v>50</v>
      </c>
      <c r="E76" s="85" t="s">
        <v>235</v>
      </c>
      <c r="F76" s="85" t="s">
        <v>27</v>
      </c>
      <c r="G76" s="89" t="s">
        <v>227</v>
      </c>
      <c r="H76" s="85" t="s">
        <v>375</v>
      </c>
      <c r="I76" s="86" t="s">
        <v>165</v>
      </c>
      <c r="J76" s="86" t="s">
        <v>40</v>
      </c>
      <c r="K76" s="86" t="s">
        <v>184</v>
      </c>
      <c r="L76" s="87">
        <v>44614</v>
      </c>
      <c r="M76" s="155" t="b">
        <v>0</v>
      </c>
      <c r="N76" s="87"/>
      <c r="P76" s="88"/>
      <c r="Q76" s="88"/>
      <c r="R76" s="88"/>
      <c r="S76" s="86" t="s">
        <v>119</v>
      </c>
      <c r="T76" s="86" t="s">
        <v>153</v>
      </c>
      <c r="U76" s="86" t="s">
        <v>199</v>
      </c>
      <c r="V76" s="86"/>
      <c r="W76" s="86"/>
      <c r="X76" s="86"/>
      <c r="Y76" s="86"/>
      <c r="Z76" s="154">
        <v>44574</v>
      </c>
    </row>
    <row r="77" spans="1:26" ht="12.6">
      <c r="A77" s="85" t="s">
        <v>414</v>
      </c>
      <c r="B77" s="85" t="s">
        <v>415</v>
      </c>
      <c r="C77" s="85" t="s">
        <v>416</v>
      </c>
      <c r="D77" s="85" t="s">
        <v>26</v>
      </c>
      <c r="E77" s="85" t="s">
        <v>172</v>
      </c>
      <c r="F77" s="85" t="s">
        <v>27</v>
      </c>
      <c r="G77" s="89" t="s">
        <v>417</v>
      </c>
      <c r="H77" s="85" t="s">
        <v>418</v>
      </c>
      <c r="I77" s="86" t="s">
        <v>28</v>
      </c>
      <c r="J77" s="86" t="s">
        <v>28</v>
      </c>
      <c r="K77" s="86" t="s">
        <v>118</v>
      </c>
      <c r="L77" s="87">
        <v>44614</v>
      </c>
      <c r="M77" s="87" t="b">
        <v>0</v>
      </c>
      <c r="N77" s="87"/>
      <c r="P77" s="88"/>
      <c r="Q77" s="88"/>
      <c r="R77" s="88"/>
      <c r="S77" s="86" t="s">
        <v>119</v>
      </c>
      <c r="T77" s="86" t="s">
        <v>153</v>
      </c>
      <c r="U77" s="86" t="s">
        <v>199</v>
      </c>
      <c r="V77" s="86"/>
      <c r="W77" s="86"/>
      <c r="X77" s="86"/>
      <c r="Y77" s="86"/>
      <c r="Z77" s="138">
        <v>44657</v>
      </c>
    </row>
    <row r="78" spans="1:26" ht="12.6">
      <c r="A78" s="85" t="s">
        <v>414</v>
      </c>
      <c r="B78" s="85" t="s">
        <v>415</v>
      </c>
      <c r="C78" s="85" t="s">
        <v>419</v>
      </c>
      <c r="D78" s="85" t="s">
        <v>272</v>
      </c>
      <c r="E78" s="85" t="s">
        <v>420</v>
      </c>
      <c r="F78" s="85" t="s">
        <v>124</v>
      </c>
      <c r="G78" s="89" t="s">
        <v>205</v>
      </c>
      <c r="H78" s="85" t="s">
        <v>421</v>
      </c>
      <c r="I78" s="86" t="s">
        <v>28</v>
      </c>
      <c r="J78" s="86" t="s">
        <v>52</v>
      </c>
      <c r="K78" s="86" t="s">
        <v>118</v>
      </c>
      <c r="L78" s="87">
        <v>44614</v>
      </c>
      <c r="M78" s="87" t="b">
        <v>0</v>
      </c>
      <c r="N78" s="87"/>
      <c r="P78" s="88"/>
      <c r="Q78" s="88"/>
      <c r="R78" s="88"/>
      <c r="S78" s="86" t="s">
        <v>119</v>
      </c>
      <c r="T78" s="86" t="s">
        <v>153</v>
      </c>
      <c r="U78" s="86" t="s">
        <v>199</v>
      </c>
      <c r="V78" s="86"/>
      <c r="W78" s="86"/>
      <c r="X78" s="86"/>
      <c r="Y78" s="86"/>
      <c r="Z78" s="154">
        <v>44657</v>
      </c>
    </row>
    <row r="79" spans="1:26" ht="12.6">
      <c r="A79" s="85" t="s">
        <v>414</v>
      </c>
      <c r="B79" s="85" t="s">
        <v>415</v>
      </c>
      <c r="C79" s="85" t="s">
        <v>422</v>
      </c>
      <c r="D79" s="85" t="s">
        <v>38</v>
      </c>
      <c r="E79" s="85" t="s">
        <v>295</v>
      </c>
      <c r="F79" s="85" t="s">
        <v>124</v>
      </c>
      <c r="G79" s="89" t="s">
        <v>173</v>
      </c>
      <c r="H79" s="85" t="s">
        <v>423</v>
      </c>
      <c r="I79" s="86" t="s">
        <v>28</v>
      </c>
      <c r="J79" s="86" t="s">
        <v>52</v>
      </c>
      <c r="K79" s="86" t="s">
        <v>118</v>
      </c>
      <c r="L79" s="87">
        <v>44614</v>
      </c>
      <c r="M79" s="87" t="b">
        <v>0</v>
      </c>
      <c r="N79" s="87"/>
      <c r="P79" s="88"/>
      <c r="Q79" s="88"/>
      <c r="R79" s="88"/>
      <c r="S79" s="86" t="s">
        <v>119</v>
      </c>
      <c r="T79" s="86" t="s">
        <v>153</v>
      </c>
      <c r="U79" s="86"/>
      <c r="V79" s="86"/>
      <c r="W79" s="86"/>
      <c r="X79" s="86"/>
      <c r="Y79" s="86"/>
      <c r="Z79" s="138">
        <v>44657</v>
      </c>
    </row>
    <row r="80" spans="1:26" ht="12.6">
      <c r="A80" s="85" t="s">
        <v>424</v>
      </c>
      <c r="B80" s="85" t="s">
        <v>425</v>
      </c>
      <c r="C80" s="85" t="s">
        <v>426</v>
      </c>
      <c r="D80" s="85" t="s">
        <v>26</v>
      </c>
      <c r="E80" s="85" t="s">
        <v>223</v>
      </c>
      <c r="F80" s="85" t="s">
        <v>39</v>
      </c>
      <c r="G80" s="89" t="s">
        <v>205</v>
      </c>
      <c r="H80" s="85" t="s">
        <v>427</v>
      </c>
      <c r="I80" s="86" t="s">
        <v>28</v>
      </c>
      <c r="J80" s="86" t="s">
        <v>52</v>
      </c>
      <c r="K80" s="86" t="s">
        <v>118</v>
      </c>
      <c r="L80" s="87">
        <v>44614</v>
      </c>
      <c r="M80" s="87" t="b">
        <v>0</v>
      </c>
      <c r="N80" s="87"/>
      <c r="P80" s="88"/>
      <c r="Q80" s="88"/>
      <c r="R80" s="88"/>
      <c r="S80" s="86" t="s">
        <v>119</v>
      </c>
      <c r="T80" s="86" t="s">
        <v>153</v>
      </c>
      <c r="U80" s="86"/>
      <c r="V80" s="86"/>
      <c r="W80" s="86"/>
      <c r="X80" s="86"/>
      <c r="Y80" s="86"/>
      <c r="Z80" s="154">
        <v>44574</v>
      </c>
    </row>
    <row r="81" spans="1:26" ht="12.6">
      <c r="A81" s="85" t="s">
        <v>428</v>
      </c>
      <c r="B81" s="85" t="s">
        <v>429</v>
      </c>
      <c r="C81" s="85" t="s">
        <v>430</v>
      </c>
      <c r="D81" s="85" t="s">
        <v>26</v>
      </c>
      <c r="E81" s="85" t="s">
        <v>172</v>
      </c>
      <c r="F81" s="85" t="s">
        <v>27</v>
      </c>
      <c r="G81" s="89" t="s">
        <v>173</v>
      </c>
      <c r="H81" s="85" t="s">
        <v>431</v>
      </c>
      <c r="I81" s="86" t="s">
        <v>165</v>
      </c>
      <c r="J81" s="86" t="s">
        <v>40</v>
      </c>
      <c r="K81" s="86" t="s">
        <v>118</v>
      </c>
      <c r="L81" s="87">
        <v>44614</v>
      </c>
      <c r="M81" s="87" t="b">
        <v>0</v>
      </c>
      <c r="N81" s="87"/>
      <c r="P81" s="88"/>
      <c r="Q81" s="88"/>
      <c r="R81" s="88"/>
      <c r="S81" s="86" t="s">
        <v>119</v>
      </c>
      <c r="T81" s="86" t="s">
        <v>153</v>
      </c>
      <c r="U81" s="86"/>
      <c r="V81" s="86"/>
      <c r="W81" s="86"/>
      <c r="X81" s="86"/>
      <c r="Y81" s="86"/>
      <c r="Z81" s="138"/>
    </row>
    <row r="82" spans="1:26" ht="12.6">
      <c r="A82" s="85" t="s">
        <v>428</v>
      </c>
      <c r="B82" s="85" t="s">
        <v>429</v>
      </c>
      <c r="C82" s="85" t="s">
        <v>432</v>
      </c>
      <c r="D82" s="85" t="s">
        <v>26</v>
      </c>
      <c r="E82" s="85" t="s">
        <v>172</v>
      </c>
      <c r="F82" s="85" t="s">
        <v>27</v>
      </c>
      <c r="G82" s="89" t="s">
        <v>173</v>
      </c>
      <c r="H82" s="85" t="s">
        <v>431</v>
      </c>
      <c r="I82" s="86" t="s">
        <v>165</v>
      </c>
      <c r="J82" s="86" t="s">
        <v>40</v>
      </c>
      <c r="K82" s="86" t="s">
        <v>118</v>
      </c>
      <c r="L82" s="87">
        <v>44614</v>
      </c>
      <c r="M82" s="87" t="b">
        <v>0</v>
      </c>
      <c r="N82" s="87"/>
      <c r="P82" s="88"/>
      <c r="Q82" s="88"/>
      <c r="R82" s="88"/>
      <c r="S82" s="86" t="s">
        <v>119</v>
      </c>
      <c r="T82" s="86" t="s">
        <v>153</v>
      </c>
      <c r="U82" s="86"/>
      <c r="V82" s="86"/>
      <c r="W82" s="86"/>
      <c r="X82" s="86"/>
      <c r="Y82" s="86"/>
      <c r="Z82" s="154">
        <v>44620</v>
      </c>
    </row>
    <row r="83" spans="1:26" ht="12.6">
      <c r="A83" s="85" t="s">
        <v>428</v>
      </c>
      <c r="B83" s="85" t="s">
        <v>429</v>
      </c>
      <c r="C83" s="85" t="s">
        <v>433</v>
      </c>
      <c r="D83" s="85" t="s">
        <v>26</v>
      </c>
      <c r="E83" s="85" t="s">
        <v>172</v>
      </c>
      <c r="F83" s="85" t="s">
        <v>27</v>
      </c>
      <c r="G83" s="89" t="s">
        <v>163</v>
      </c>
      <c r="H83" s="85" t="s">
        <v>434</v>
      </c>
      <c r="I83" s="86" t="s">
        <v>165</v>
      </c>
      <c r="J83" s="86" t="s">
        <v>40</v>
      </c>
      <c r="K83" s="86" t="s">
        <v>118</v>
      </c>
      <c r="L83" s="87">
        <v>44818</v>
      </c>
      <c r="M83" s="87" t="b">
        <v>0</v>
      </c>
      <c r="N83" s="87"/>
      <c r="P83" s="88"/>
      <c r="Q83" s="88"/>
      <c r="R83" s="88"/>
      <c r="S83" s="86" t="s">
        <v>119</v>
      </c>
      <c r="T83" s="86" t="s">
        <v>153</v>
      </c>
      <c r="U83" s="86"/>
      <c r="V83" s="86"/>
      <c r="W83" s="86"/>
      <c r="X83" s="86"/>
      <c r="Y83" s="86"/>
      <c r="Z83" s="138">
        <v>44614</v>
      </c>
    </row>
    <row r="84" spans="1:26" ht="12.6">
      <c r="A84" s="85" t="s">
        <v>428</v>
      </c>
      <c r="B84" s="85" t="s">
        <v>429</v>
      </c>
      <c r="C84" s="85" t="s">
        <v>435</v>
      </c>
      <c r="D84" s="85" t="s">
        <v>61</v>
      </c>
      <c r="E84" s="85" t="s">
        <v>436</v>
      </c>
      <c r="F84" s="85" t="s">
        <v>124</v>
      </c>
      <c r="G84" s="89" t="s">
        <v>205</v>
      </c>
      <c r="H84" s="85" t="s">
        <v>437</v>
      </c>
      <c r="I84" s="86" t="s">
        <v>28</v>
      </c>
      <c r="J84" s="86" t="s">
        <v>52</v>
      </c>
      <c r="K84" s="86" t="s">
        <v>118</v>
      </c>
      <c r="L84" s="87">
        <v>44614</v>
      </c>
      <c r="M84" s="87" t="b">
        <v>0</v>
      </c>
      <c r="N84" s="87"/>
      <c r="P84" s="88"/>
      <c r="Q84" s="88"/>
      <c r="R84" s="88"/>
      <c r="S84" s="86" t="s">
        <v>119</v>
      </c>
      <c r="T84" s="86" t="s">
        <v>153</v>
      </c>
      <c r="U84" s="86" t="s">
        <v>199</v>
      </c>
      <c r="V84" s="86"/>
      <c r="W84" s="86"/>
      <c r="X84" s="86"/>
      <c r="Y84" s="86"/>
      <c r="Z84" s="154">
        <v>44614</v>
      </c>
    </row>
    <row r="85" spans="1:26" ht="12.6">
      <c r="A85" s="85" t="s">
        <v>428</v>
      </c>
      <c r="B85" s="85" t="s">
        <v>429</v>
      </c>
      <c r="C85" s="85" t="s">
        <v>438</v>
      </c>
      <c r="D85" s="85" t="s">
        <v>61</v>
      </c>
      <c r="E85" s="85" t="s">
        <v>299</v>
      </c>
      <c r="F85" s="85" t="s">
        <v>124</v>
      </c>
      <c r="G85" s="89" t="s">
        <v>173</v>
      </c>
      <c r="H85" s="85" t="s">
        <v>439</v>
      </c>
      <c r="I85" s="86" t="s">
        <v>28</v>
      </c>
      <c r="J85" s="86" t="s">
        <v>52</v>
      </c>
      <c r="K85" s="86" t="s">
        <v>184</v>
      </c>
      <c r="L85" s="87">
        <v>44614</v>
      </c>
      <c r="M85" s="87" t="b">
        <v>0</v>
      </c>
      <c r="N85" s="87"/>
      <c r="P85" s="88"/>
      <c r="Q85" s="88"/>
      <c r="R85" s="88"/>
      <c r="S85" s="86" t="s">
        <v>119</v>
      </c>
      <c r="T85" s="86" t="s">
        <v>153</v>
      </c>
      <c r="U85" s="86" t="s">
        <v>199</v>
      </c>
      <c r="V85" s="86"/>
      <c r="W85" s="86"/>
      <c r="X85" s="86"/>
      <c r="Y85" s="86"/>
      <c r="Z85" s="138">
        <v>44614</v>
      </c>
    </row>
    <row r="86" spans="1:26" s="98" customFormat="1" ht="12.6">
      <c r="A86" s="90" t="s">
        <v>440</v>
      </c>
      <c r="B86" s="90" t="s">
        <v>441</v>
      </c>
      <c r="C86" s="90" t="s">
        <v>442</v>
      </c>
      <c r="D86" s="90" t="s">
        <v>26</v>
      </c>
      <c r="E86" s="90" t="s">
        <v>172</v>
      </c>
      <c r="F86" s="90" t="s">
        <v>27</v>
      </c>
      <c r="G86" s="91" t="s">
        <v>163</v>
      </c>
      <c r="H86" s="90" t="s">
        <v>443</v>
      </c>
      <c r="I86" s="92" t="s">
        <v>165</v>
      </c>
      <c r="J86" s="92" t="s">
        <v>40</v>
      </c>
      <c r="K86" s="92" t="s">
        <v>118</v>
      </c>
      <c r="L86" s="93">
        <v>44641</v>
      </c>
      <c r="M86" s="93" t="b">
        <v>0</v>
      </c>
      <c r="N86" s="93">
        <v>45370</v>
      </c>
      <c r="O86" s="94" t="s">
        <v>35</v>
      </c>
      <c r="P86" s="95">
        <v>8.6</v>
      </c>
      <c r="Q86" s="96"/>
      <c r="R86" s="95">
        <v>3.6</v>
      </c>
      <c r="S86" s="92" t="s">
        <v>119</v>
      </c>
      <c r="T86" s="92" t="s">
        <v>153</v>
      </c>
      <c r="U86" s="92"/>
      <c r="V86" s="92"/>
      <c r="W86" s="86"/>
      <c r="X86" s="92"/>
      <c r="Y86" s="92"/>
      <c r="Z86" s="97">
        <v>44614</v>
      </c>
    </row>
    <row r="87" spans="1:26" s="98" customFormat="1" ht="12.6">
      <c r="A87" s="90" t="s">
        <v>440</v>
      </c>
      <c r="B87" s="90" t="s">
        <v>441</v>
      </c>
      <c r="C87" s="90" t="s">
        <v>444</v>
      </c>
      <c r="D87" s="90" t="s">
        <v>26</v>
      </c>
      <c r="E87" s="90" t="s">
        <v>172</v>
      </c>
      <c r="F87" s="90" t="s">
        <v>27</v>
      </c>
      <c r="G87" s="91" t="s">
        <v>177</v>
      </c>
      <c r="H87" s="90" t="s">
        <v>445</v>
      </c>
      <c r="I87" s="92" t="s">
        <v>165</v>
      </c>
      <c r="J87" s="92" t="s">
        <v>40</v>
      </c>
      <c r="K87" s="92" t="s">
        <v>118</v>
      </c>
      <c r="L87" s="93">
        <v>44935</v>
      </c>
      <c r="M87" s="93" t="b">
        <v>0</v>
      </c>
      <c r="N87" s="93">
        <v>45370</v>
      </c>
      <c r="O87" s="94" t="s">
        <v>35</v>
      </c>
      <c r="P87" s="95">
        <v>8.4</v>
      </c>
      <c r="Q87" s="95"/>
      <c r="R87" s="95">
        <v>3</v>
      </c>
      <c r="S87" s="92" t="s">
        <v>119</v>
      </c>
      <c r="T87" s="92" t="s">
        <v>153</v>
      </c>
      <c r="U87" s="92"/>
      <c r="V87" s="92"/>
      <c r="W87" s="86"/>
      <c r="X87" s="92"/>
      <c r="Y87" s="92"/>
      <c r="Z87" s="99">
        <v>44614</v>
      </c>
    </row>
    <row r="88" spans="1:26" s="98" customFormat="1" ht="12.6">
      <c r="A88" s="90" t="s">
        <v>440</v>
      </c>
      <c r="B88" s="90" t="s">
        <v>441</v>
      </c>
      <c r="C88" s="90" t="s">
        <v>446</v>
      </c>
      <c r="D88" s="90" t="s">
        <v>26</v>
      </c>
      <c r="E88" s="90" t="s">
        <v>172</v>
      </c>
      <c r="F88" s="90" t="s">
        <v>27</v>
      </c>
      <c r="G88" s="91" t="s">
        <v>163</v>
      </c>
      <c r="H88" s="90" t="s">
        <v>447</v>
      </c>
      <c r="I88" s="92" t="s">
        <v>165</v>
      </c>
      <c r="J88" s="92" t="s">
        <v>40</v>
      </c>
      <c r="K88" s="92" t="s">
        <v>118</v>
      </c>
      <c r="L88" s="93">
        <v>44641</v>
      </c>
      <c r="M88" s="93" t="b">
        <v>0</v>
      </c>
      <c r="N88" s="93">
        <v>45370</v>
      </c>
      <c r="O88" s="94" t="s">
        <v>35</v>
      </c>
      <c r="P88" s="95">
        <v>7.4</v>
      </c>
      <c r="Q88" s="96"/>
      <c r="R88" s="95">
        <v>3.1</v>
      </c>
      <c r="S88" s="92" t="s">
        <v>119</v>
      </c>
      <c r="T88" s="92" t="s">
        <v>153</v>
      </c>
      <c r="U88" s="92"/>
      <c r="V88" s="92"/>
      <c r="W88" s="86"/>
      <c r="X88" s="92"/>
      <c r="Y88" s="92"/>
      <c r="Z88" s="97">
        <v>44614</v>
      </c>
    </row>
    <row r="89" spans="1:26" s="98" customFormat="1" ht="12.6">
      <c r="A89" s="90" t="s">
        <v>440</v>
      </c>
      <c r="B89" s="90" t="s">
        <v>441</v>
      </c>
      <c r="C89" s="90" t="s">
        <v>448</v>
      </c>
      <c r="D89" s="90" t="s">
        <v>26</v>
      </c>
      <c r="E89" s="90" t="s">
        <v>172</v>
      </c>
      <c r="F89" s="90" t="s">
        <v>27</v>
      </c>
      <c r="G89" s="91" t="s">
        <v>177</v>
      </c>
      <c r="H89" s="90" t="s">
        <v>449</v>
      </c>
      <c r="I89" s="92" t="s">
        <v>165</v>
      </c>
      <c r="J89" s="92" t="s">
        <v>40</v>
      </c>
      <c r="K89" s="92" t="s">
        <v>118</v>
      </c>
      <c r="L89" s="93">
        <v>44640</v>
      </c>
      <c r="M89" s="93" t="b">
        <v>0</v>
      </c>
      <c r="N89" s="93" t="s">
        <v>450</v>
      </c>
      <c r="O89" s="94" t="s">
        <v>35</v>
      </c>
      <c r="P89" s="95">
        <v>9</v>
      </c>
      <c r="Q89" s="96"/>
      <c r="R89" s="95">
        <v>3.4</v>
      </c>
      <c r="S89" s="92" t="s">
        <v>119</v>
      </c>
      <c r="T89" s="92" t="s">
        <v>153</v>
      </c>
      <c r="U89" s="92"/>
      <c r="V89" s="92"/>
      <c r="W89" s="86"/>
      <c r="X89" s="92"/>
      <c r="Y89" s="92"/>
      <c r="Z89" s="99">
        <v>44614</v>
      </c>
    </row>
    <row r="90" spans="1:26" s="98" customFormat="1" ht="12.6">
      <c r="A90" s="90" t="s">
        <v>440</v>
      </c>
      <c r="B90" s="90" t="s">
        <v>441</v>
      </c>
      <c r="C90" s="90" t="s">
        <v>451</v>
      </c>
      <c r="D90" s="90" t="s">
        <v>50</v>
      </c>
      <c r="E90" s="90" t="s">
        <v>235</v>
      </c>
      <c r="F90" s="90" t="s">
        <v>27</v>
      </c>
      <c r="G90" s="91" t="s">
        <v>227</v>
      </c>
      <c r="H90" s="90" t="s">
        <v>452</v>
      </c>
      <c r="I90" s="92" t="s">
        <v>165</v>
      </c>
      <c r="J90" s="92" t="s">
        <v>40</v>
      </c>
      <c r="K90" s="92" t="s">
        <v>118</v>
      </c>
      <c r="L90" s="93">
        <v>44613</v>
      </c>
      <c r="M90" s="93" t="b">
        <v>0</v>
      </c>
      <c r="N90" s="93">
        <v>45370</v>
      </c>
      <c r="O90" s="94" t="s">
        <v>35</v>
      </c>
      <c r="P90" s="95">
        <v>7.8</v>
      </c>
      <c r="Q90" s="96"/>
      <c r="R90" s="95">
        <v>3.1</v>
      </c>
      <c r="S90" s="92" t="s">
        <v>119</v>
      </c>
      <c r="T90" s="92" t="s">
        <v>153</v>
      </c>
      <c r="U90" s="92"/>
      <c r="V90" s="92"/>
      <c r="W90" s="86"/>
      <c r="X90" s="92"/>
      <c r="Y90" s="92"/>
      <c r="Z90" s="97">
        <v>44818</v>
      </c>
    </row>
    <row r="91" spans="1:26" s="98" customFormat="1" ht="12.6">
      <c r="A91" s="90" t="s">
        <v>440</v>
      </c>
      <c r="B91" s="90" t="s">
        <v>441</v>
      </c>
      <c r="C91" s="90" t="s">
        <v>453</v>
      </c>
      <c r="D91" s="90" t="s">
        <v>50</v>
      </c>
      <c r="E91" s="90" t="s">
        <v>235</v>
      </c>
      <c r="F91" s="90" t="s">
        <v>27</v>
      </c>
      <c r="G91" s="91" t="s">
        <v>227</v>
      </c>
      <c r="H91" s="90" t="s">
        <v>454</v>
      </c>
      <c r="I91" s="92" t="s">
        <v>165</v>
      </c>
      <c r="J91" s="92" t="s">
        <v>40</v>
      </c>
      <c r="K91" s="92" t="s">
        <v>118</v>
      </c>
      <c r="L91" s="93">
        <v>44641</v>
      </c>
      <c r="M91" s="93" t="b">
        <v>0</v>
      </c>
      <c r="N91" s="93">
        <v>45370</v>
      </c>
      <c r="O91" s="94" t="s">
        <v>35</v>
      </c>
      <c r="P91" s="95">
        <v>2.8</v>
      </c>
      <c r="Q91" s="96">
        <v>3</v>
      </c>
      <c r="R91" s="95"/>
      <c r="S91" s="92" t="s">
        <v>119</v>
      </c>
      <c r="T91" s="92" t="s">
        <v>153</v>
      </c>
      <c r="U91" s="92"/>
      <c r="V91" s="92"/>
      <c r="W91" s="86"/>
      <c r="X91" s="92"/>
      <c r="Y91" s="92"/>
      <c r="Z91" s="99">
        <v>44614</v>
      </c>
    </row>
    <row r="92" spans="1:26" s="98" customFormat="1" ht="12.6">
      <c r="A92" s="90" t="s">
        <v>440</v>
      </c>
      <c r="B92" s="90" t="s">
        <v>441</v>
      </c>
      <c r="C92" s="90" t="s">
        <v>455</v>
      </c>
      <c r="D92" s="90" t="s">
        <v>50</v>
      </c>
      <c r="E92" s="90" t="s">
        <v>197</v>
      </c>
      <c r="F92" s="90" t="s">
        <v>39</v>
      </c>
      <c r="G92" s="91" t="s">
        <v>163</v>
      </c>
      <c r="H92" s="90" t="s">
        <v>456</v>
      </c>
      <c r="I92" s="92" t="s">
        <v>165</v>
      </c>
      <c r="J92" s="92" t="s">
        <v>40</v>
      </c>
      <c r="K92" s="92" t="s">
        <v>118</v>
      </c>
      <c r="L92" s="119" t="s">
        <v>457</v>
      </c>
      <c r="M92" s="93" t="b">
        <v>0</v>
      </c>
      <c r="N92" s="93">
        <v>45370</v>
      </c>
      <c r="O92" s="94" t="s">
        <v>35</v>
      </c>
      <c r="P92" s="95">
        <v>7.6</v>
      </c>
      <c r="Q92" s="95"/>
      <c r="R92" s="96">
        <v>3.2</v>
      </c>
      <c r="S92" s="92" t="s">
        <v>119</v>
      </c>
      <c r="T92" s="92" t="s">
        <v>153</v>
      </c>
      <c r="U92" s="92"/>
      <c r="V92" s="92"/>
      <c r="W92" s="86"/>
      <c r="X92" s="92"/>
      <c r="Y92" s="92"/>
      <c r="Z92" s="97">
        <v>44614</v>
      </c>
    </row>
    <row r="93" spans="1:26" s="98" customFormat="1" ht="12.6">
      <c r="A93" s="90" t="s">
        <v>440</v>
      </c>
      <c r="B93" s="90" t="s">
        <v>441</v>
      </c>
      <c r="C93" s="90" t="s">
        <v>458</v>
      </c>
      <c r="D93" s="90" t="s">
        <v>26</v>
      </c>
      <c r="E93" s="90" t="s">
        <v>223</v>
      </c>
      <c r="F93" s="90" t="s">
        <v>39</v>
      </c>
      <c r="G93" s="91" t="s">
        <v>251</v>
      </c>
      <c r="H93" s="90" t="s">
        <v>459</v>
      </c>
      <c r="I93" s="92" t="s">
        <v>28</v>
      </c>
      <c r="J93" s="92" t="s">
        <v>28</v>
      </c>
      <c r="K93" s="92" t="s">
        <v>118</v>
      </c>
      <c r="L93" s="93">
        <v>44641</v>
      </c>
      <c r="M93" s="93" t="b">
        <v>0</v>
      </c>
      <c r="N93" s="93">
        <v>45370</v>
      </c>
      <c r="O93" s="94" t="s">
        <v>35</v>
      </c>
      <c r="P93" s="95">
        <v>3.1</v>
      </c>
      <c r="Q93" s="95">
        <v>3.4</v>
      </c>
      <c r="R93" s="96"/>
      <c r="S93" s="92" t="s">
        <v>119</v>
      </c>
      <c r="T93" s="92" t="s">
        <v>153</v>
      </c>
      <c r="U93" s="92"/>
      <c r="V93" s="92"/>
      <c r="W93" s="86"/>
      <c r="X93" s="92"/>
      <c r="Y93" s="92"/>
      <c r="Z93" s="99">
        <v>44641</v>
      </c>
    </row>
    <row r="94" spans="1:26" s="98" customFormat="1" ht="12.6">
      <c r="A94" s="90" t="s">
        <v>440</v>
      </c>
      <c r="B94" s="90" t="s">
        <v>441</v>
      </c>
      <c r="C94" s="90" t="s">
        <v>460</v>
      </c>
      <c r="D94" s="90" t="s">
        <v>26</v>
      </c>
      <c r="E94" s="90" t="s">
        <v>223</v>
      </c>
      <c r="F94" s="90" t="s">
        <v>39</v>
      </c>
      <c r="G94" s="91" t="s">
        <v>251</v>
      </c>
      <c r="H94" s="90" t="s">
        <v>461</v>
      </c>
      <c r="I94" s="92" t="s">
        <v>28</v>
      </c>
      <c r="J94" s="92" t="s">
        <v>28</v>
      </c>
      <c r="K94" s="92" t="s">
        <v>118</v>
      </c>
      <c r="L94" s="93">
        <v>44641</v>
      </c>
      <c r="M94" s="93" t="b">
        <v>0</v>
      </c>
      <c r="N94" s="93">
        <v>45370</v>
      </c>
      <c r="O94" s="94" t="s">
        <v>35</v>
      </c>
      <c r="P94" s="95">
        <v>4.2</v>
      </c>
      <c r="Q94" s="95">
        <v>4.4000000000000004</v>
      </c>
      <c r="R94" s="96"/>
      <c r="S94" s="92" t="s">
        <v>119</v>
      </c>
      <c r="T94" s="92" t="s">
        <v>153</v>
      </c>
      <c r="U94" s="92"/>
      <c r="V94" s="92"/>
      <c r="W94" s="86"/>
      <c r="X94" s="92"/>
      <c r="Y94" s="92"/>
      <c r="Z94" s="97">
        <v>44935</v>
      </c>
    </row>
    <row r="95" spans="1:26" s="98" customFormat="1" ht="12.6">
      <c r="A95" s="90" t="s">
        <v>440</v>
      </c>
      <c r="B95" s="90" t="s">
        <v>441</v>
      </c>
      <c r="C95" s="90" t="s">
        <v>462</v>
      </c>
      <c r="D95" s="90" t="s">
        <v>50</v>
      </c>
      <c r="E95" s="90" t="s">
        <v>463</v>
      </c>
      <c r="F95" s="90" t="s">
        <v>39</v>
      </c>
      <c r="G95" s="91" t="s">
        <v>251</v>
      </c>
      <c r="H95" s="90" t="s">
        <v>464</v>
      </c>
      <c r="I95" s="92" t="s">
        <v>28</v>
      </c>
      <c r="J95" s="92" t="s">
        <v>52</v>
      </c>
      <c r="K95" s="92" t="s">
        <v>118</v>
      </c>
      <c r="L95" s="93">
        <v>44641</v>
      </c>
      <c r="M95" s="93" t="b">
        <v>0</v>
      </c>
      <c r="N95" s="93">
        <v>45370</v>
      </c>
      <c r="O95" s="94" t="s">
        <v>35</v>
      </c>
      <c r="P95" s="95">
        <v>3.2</v>
      </c>
      <c r="Q95" s="95">
        <v>3.4</v>
      </c>
      <c r="R95" s="96"/>
      <c r="S95" s="92" t="s">
        <v>119</v>
      </c>
      <c r="T95" s="92" t="s">
        <v>153</v>
      </c>
      <c r="U95" s="92"/>
      <c r="V95" s="92"/>
      <c r="W95" s="86"/>
      <c r="X95" s="92"/>
      <c r="Y95" s="92"/>
      <c r="Z95" s="99">
        <v>44641</v>
      </c>
    </row>
    <row r="96" spans="1:26" s="98" customFormat="1" ht="12.6">
      <c r="A96" s="90" t="s">
        <v>440</v>
      </c>
      <c r="B96" s="90" t="s">
        <v>441</v>
      </c>
      <c r="C96" s="90" t="s">
        <v>465</v>
      </c>
      <c r="D96" s="90" t="s">
        <v>50</v>
      </c>
      <c r="E96" s="90" t="s">
        <v>463</v>
      </c>
      <c r="F96" s="90" t="s">
        <v>39</v>
      </c>
      <c r="G96" s="91" t="s">
        <v>251</v>
      </c>
      <c r="H96" s="90" t="s">
        <v>466</v>
      </c>
      <c r="I96" s="92" t="s">
        <v>28</v>
      </c>
      <c r="J96" s="92" t="s">
        <v>52</v>
      </c>
      <c r="K96" s="92" t="s">
        <v>118</v>
      </c>
      <c r="L96" s="93">
        <v>44641</v>
      </c>
      <c r="M96" s="93" t="b">
        <v>0</v>
      </c>
      <c r="N96" s="93">
        <v>45370</v>
      </c>
      <c r="O96" s="94" t="s">
        <v>35</v>
      </c>
      <c r="P96" s="95"/>
      <c r="Q96" s="95"/>
      <c r="R96" s="96"/>
      <c r="S96" s="92" t="s">
        <v>119</v>
      </c>
      <c r="T96" s="92" t="s">
        <v>153</v>
      </c>
      <c r="U96" s="92"/>
      <c r="V96" s="92"/>
      <c r="W96" s="86"/>
      <c r="X96" s="92"/>
      <c r="Y96" s="92"/>
      <c r="Z96" s="97">
        <v>44640</v>
      </c>
    </row>
    <row r="97" spans="1:26" s="217" customFormat="1" ht="12.6">
      <c r="A97" s="210" t="s">
        <v>440</v>
      </c>
      <c r="B97" s="210" t="s">
        <v>441</v>
      </c>
      <c r="C97" s="210" t="s">
        <v>467</v>
      </c>
      <c r="D97" s="210" t="s">
        <v>26</v>
      </c>
      <c r="E97" s="210" t="s">
        <v>176</v>
      </c>
      <c r="F97" s="210" t="s">
        <v>39</v>
      </c>
      <c r="G97" s="211" t="s">
        <v>177</v>
      </c>
      <c r="H97" s="210" t="s">
        <v>468</v>
      </c>
      <c r="I97" s="212" t="s">
        <v>28</v>
      </c>
      <c r="J97" s="212" t="s">
        <v>183</v>
      </c>
      <c r="K97" s="212" t="s">
        <v>118</v>
      </c>
      <c r="L97" s="213">
        <v>44782</v>
      </c>
      <c r="M97" s="213" t="b">
        <v>0</v>
      </c>
      <c r="N97" s="213">
        <v>45370</v>
      </c>
      <c r="O97" s="214" t="s">
        <v>35</v>
      </c>
      <c r="P97" s="215"/>
      <c r="Q97" s="215"/>
      <c r="R97" s="215"/>
      <c r="S97" s="212" t="s">
        <v>166</v>
      </c>
      <c r="T97" s="212"/>
      <c r="U97" s="212"/>
      <c r="V97" s="212"/>
      <c r="W97" s="86"/>
      <c r="X97" s="212"/>
      <c r="Y97" s="212"/>
      <c r="Z97" s="216">
        <v>44613</v>
      </c>
    </row>
    <row r="98" spans="1:26" s="188" customFormat="1" ht="12.6">
      <c r="A98" s="180" t="s">
        <v>440</v>
      </c>
      <c r="B98" s="180" t="s">
        <v>441</v>
      </c>
      <c r="C98" s="180" t="s">
        <v>469</v>
      </c>
      <c r="D98" s="180" t="s">
        <v>26</v>
      </c>
      <c r="E98" s="180" t="s">
        <v>176</v>
      </c>
      <c r="F98" s="180" t="s">
        <v>39</v>
      </c>
      <c r="G98" s="181" t="s">
        <v>177</v>
      </c>
      <c r="H98" s="180" t="s">
        <v>468</v>
      </c>
      <c r="I98" s="182" t="s">
        <v>28</v>
      </c>
      <c r="J98" s="182" t="s">
        <v>183</v>
      </c>
      <c r="K98" s="182" t="s">
        <v>118</v>
      </c>
      <c r="L98" s="183">
        <v>44750</v>
      </c>
      <c r="M98" s="183" t="b">
        <v>0</v>
      </c>
      <c r="N98" s="183"/>
      <c r="O98" s="185"/>
      <c r="P98" s="186"/>
      <c r="Q98" s="186"/>
      <c r="R98" s="186"/>
      <c r="S98" s="182" t="s">
        <v>119</v>
      </c>
      <c r="T98" s="182" t="s">
        <v>153</v>
      </c>
      <c r="U98" s="182" t="s">
        <v>153</v>
      </c>
      <c r="V98" s="182" t="s">
        <v>167</v>
      </c>
      <c r="W98" s="182" t="s">
        <v>167</v>
      </c>
      <c r="X98" s="182"/>
      <c r="Y98" s="182"/>
      <c r="Z98" s="191">
        <v>44641</v>
      </c>
    </row>
    <row r="99" spans="1:26" s="98" customFormat="1" ht="12.6">
      <c r="A99" s="90" t="s">
        <v>440</v>
      </c>
      <c r="B99" s="90" t="s">
        <v>441</v>
      </c>
      <c r="C99" s="90" t="s">
        <v>470</v>
      </c>
      <c r="D99" s="90" t="s">
        <v>26</v>
      </c>
      <c r="E99" s="90" t="s">
        <v>172</v>
      </c>
      <c r="F99" s="90" t="s">
        <v>27</v>
      </c>
      <c r="G99" s="91" t="s">
        <v>163</v>
      </c>
      <c r="H99" s="90" t="s">
        <v>471</v>
      </c>
      <c r="I99" s="92" t="s">
        <v>165</v>
      </c>
      <c r="J99" s="92" t="s">
        <v>40</v>
      </c>
      <c r="K99" s="92" t="s">
        <v>118</v>
      </c>
      <c r="L99" s="93">
        <v>44641</v>
      </c>
      <c r="M99" s="93" t="b">
        <v>0</v>
      </c>
      <c r="N99" s="93">
        <v>45370</v>
      </c>
      <c r="O99" s="94" t="s">
        <v>35</v>
      </c>
      <c r="P99" s="95">
        <v>8.1999999999999993</v>
      </c>
      <c r="Q99" s="96"/>
      <c r="R99" s="95">
        <v>3.4</v>
      </c>
      <c r="S99" s="92" t="s">
        <v>119</v>
      </c>
      <c r="T99" s="92" t="s">
        <v>153</v>
      </c>
      <c r="U99" s="92"/>
      <c r="V99" s="92"/>
      <c r="W99" s="86"/>
      <c r="X99" s="92"/>
      <c r="Y99" s="92"/>
      <c r="Z99" s="122" t="s">
        <v>457</v>
      </c>
    </row>
    <row r="100" spans="1:26" s="98" customFormat="1" ht="12.6">
      <c r="A100" s="90" t="s">
        <v>440</v>
      </c>
      <c r="B100" s="90" t="s">
        <v>441</v>
      </c>
      <c r="C100" s="90" t="s">
        <v>472</v>
      </c>
      <c r="D100" s="90" t="s">
        <v>26</v>
      </c>
      <c r="E100" s="90" t="s">
        <v>172</v>
      </c>
      <c r="F100" s="90" t="s">
        <v>27</v>
      </c>
      <c r="G100" s="91" t="s">
        <v>173</v>
      </c>
      <c r="H100" s="90" t="s">
        <v>473</v>
      </c>
      <c r="I100" s="92" t="s">
        <v>165</v>
      </c>
      <c r="J100" s="92" t="s">
        <v>40</v>
      </c>
      <c r="K100" s="92" t="s">
        <v>118</v>
      </c>
      <c r="L100" s="256">
        <v>44641</v>
      </c>
      <c r="M100" s="93" t="b">
        <v>0</v>
      </c>
      <c r="N100" s="256">
        <v>45370</v>
      </c>
      <c r="O100" s="94" t="s">
        <v>35</v>
      </c>
      <c r="P100" s="95">
        <v>7.6</v>
      </c>
      <c r="Q100" s="96"/>
      <c r="R100" s="95">
        <v>3.6</v>
      </c>
      <c r="S100" s="92" t="s">
        <v>119</v>
      </c>
      <c r="T100" s="92" t="s">
        <v>153</v>
      </c>
      <c r="U100" s="92"/>
      <c r="V100" s="92" t="s">
        <v>199</v>
      </c>
      <c r="W100" s="86"/>
      <c r="X100" s="92" t="s">
        <v>474</v>
      </c>
      <c r="Y100" s="92"/>
      <c r="Z100" s="97">
        <v>44641</v>
      </c>
    </row>
    <row r="101" spans="1:26" ht="12.6">
      <c r="A101" s="85" t="s">
        <v>475</v>
      </c>
      <c r="B101" s="85" t="s">
        <v>476</v>
      </c>
      <c r="C101" s="85" t="s">
        <v>477</v>
      </c>
      <c r="D101" s="85" t="s">
        <v>50</v>
      </c>
      <c r="E101" s="85" t="s">
        <v>235</v>
      </c>
      <c r="F101" s="85" t="s">
        <v>27</v>
      </c>
      <c r="G101" s="89" t="s">
        <v>173</v>
      </c>
      <c r="H101" s="85" t="s">
        <v>478</v>
      </c>
      <c r="I101" s="86" t="s">
        <v>165</v>
      </c>
      <c r="J101" s="86" t="s">
        <v>40</v>
      </c>
      <c r="K101" s="86" t="s">
        <v>118</v>
      </c>
      <c r="L101" s="87">
        <v>44641</v>
      </c>
      <c r="M101" s="87" t="b">
        <v>0</v>
      </c>
      <c r="N101" s="87"/>
      <c r="P101" s="88"/>
      <c r="Q101" s="137"/>
      <c r="R101" s="88"/>
      <c r="S101" s="86" t="s">
        <v>119</v>
      </c>
      <c r="T101" s="86" t="s">
        <v>153</v>
      </c>
      <c r="U101" s="86"/>
      <c r="V101" s="86"/>
      <c r="W101" s="86"/>
      <c r="X101" s="86"/>
      <c r="Y101" s="86"/>
      <c r="Z101" s="138">
        <v>44641</v>
      </c>
    </row>
    <row r="102" spans="1:26" s="98" customFormat="1" ht="12.6">
      <c r="A102" s="90" t="s">
        <v>475</v>
      </c>
      <c r="B102" s="90" t="s">
        <v>476</v>
      </c>
      <c r="C102" s="90" t="s">
        <v>479</v>
      </c>
      <c r="D102" s="90" t="s">
        <v>50</v>
      </c>
      <c r="E102" s="90" t="s">
        <v>235</v>
      </c>
      <c r="F102" s="90" t="s">
        <v>27</v>
      </c>
      <c r="G102" s="91" t="s">
        <v>208</v>
      </c>
      <c r="H102" s="90" t="s">
        <v>480</v>
      </c>
      <c r="I102" s="92" t="s">
        <v>28</v>
      </c>
      <c r="J102" s="92" t="s">
        <v>28</v>
      </c>
      <c r="K102" s="92" t="s">
        <v>118</v>
      </c>
      <c r="L102" s="93">
        <v>44641</v>
      </c>
      <c r="M102" s="93" t="b">
        <v>0</v>
      </c>
      <c r="N102" s="93">
        <v>45369</v>
      </c>
      <c r="O102" s="94" t="s">
        <v>73</v>
      </c>
      <c r="P102" s="95">
        <v>7</v>
      </c>
      <c r="Q102" s="96"/>
      <c r="R102" s="95">
        <v>2.2000000000000002</v>
      </c>
      <c r="S102" s="92" t="s">
        <v>119</v>
      </c>
      <c r="T102" s="92" t="s">
        <v>153</v>
      </c>
      <c r="U102" s="92"/>
      <c r="V102" s="92"/>
      <c r="W102" s="86"/>
      <c r="X102" s="92"/>
      <c r="Y102" s="92"/>
      <c r="Z102" s="97">
        <v>44641</v>
      </c>
    </row>
    <row r="103" spans="1:26" s="131" customFormat="1" ht="12.6">
      <c r="A103" s="124" t="s">
        <v>475</v>
      </c>
      <c r="B103" s="124" t="s">
        <v>476</v>
      </c>
      <c r="C103" s="124" t="s">
        <v>481</v>
      </c>
      <c r="D103" s="124" t="s">
        <v>50</v>
      </c>
      <c r="E103" s="124" t="s">
        <v>482</v>
      </c>
      <c r="F103" s="124" t="s">
        <v>27</v>
      </c>
      <c r="G103" s="125" t="s">
        <v>201</v>
      </c>
      <c r="H103" s="124" t="s">
        <v>483</v>
      </c>
      <c r="I103" s="126" t="s">
        <v>28</v>
      </c>
      <c r="J103" s="126" t="s">
        <v>183</v>
      </c>
      <c r="K103" s="126" t="s">
        <v>118</v>
      </c>
      <c r="L103" s="127">
        <v>44641</v>
      </c>
      <c r="M103" s="127" t="b">
        <v>0</v>
      </c>
      <c r="N103" s="127">
        <v>45369</v>
      </c>
      <c r="O103" s="128" t="s">
        <v>73</v>
      </c>
      <c r="P103" s="129"/>
      <c r="Q103" s="218"/>
      <c r="R103" s="129"/>
      <c r="S103" s="126" t="s">
        <v>166</v>
      </c>
      <c r="T103" s="126" t="s">
        <v>153</v>
      </c>
      <c r="U103" s="126"/>
      <c r="V103" s="126"/>
      <c r="W103" s="86"/>
      <c r="X103" s="126"/>
      <c r="Y103" s="126"/>
      <c r="Z103" s="130">
        <v>44641</v>
      </c>
    </row>
    <row r="104" spans="1:26" ht="12.6">
      <c r="A104" s="85" t="s">
        <v>475</v>
      </c>
      <c r="B104" s="85" t="s">
        <v>476</v>
      </c>
      <c r="C104" s="85" t="s">
        <v>484</v>
      </c>
      <c r="D104" s="85" t="s">
        <v>26</v>
      </c>
      <c r="E104" s="85" t="s">
        <v>260</v>
      </c>
      <c r="F104" s="85" t="s">
        <v>124</v>
      </c>
      <c r="G104" s="89" t="s">
        <v>205</v>
      </c>
      <c r="H104" s="85" t="s">
        <v>485</v>
      </c>
      <c r="I104" s="86" t="s">
        <v>28</v>
      </c>
      <c r="J104" s="86" t="s">
        <v>52</v>
      </c>
      <c r="K104" s="86" t="s">
        <v>118</v>
      </c>
      <c r="L104" s="87">
        <v>44851</v>
      </c>
      <c r="M104" s="87" t="b">
        <v>0</v>
      </c>
      <c r="N104" s="87"/>
      <c r="P104" s="88"/>
      <c r="Q104" s="88"/>
      <c r="R104" s="88"/>
      <c r="S104" s="86" t="s">
        <v>119</v>
      </c>
      <c r="T104" s="86" t="s">
        <v>153</v>
      </c>
      <c r="U104" s="86"/>
      <c r="V104" s="86"/>
      <c r="W104" s="86"/>
      <c r="X104" s="86"/>
      <c r="Y104" s="86"/>
      <c r="Z104" s="154">
        <v>44782</v>
      </c>
    </row>
    <row r="105" spans="1:26" ht="12.6">
      <c r="A105" s="85" t="s">
        <v>475</v>
      </c>
      <c r="B105" s="85" t="s">
        <v>476</v>
      </c>
      <c r="C105" s="85" t="s">
        <v>486</v>
      </c>
      <c r="D105" s="85" t="s">
        <v>26</v>
      </c>
      <c r="E105" s="85" t="s">
        <v>267</v>
      </c>
      <c r="F105" s="85" t="s">
        <v>124</v>
      </c>
      <c r="G105" s="89" t="s">
        <v>173</v>
      </c>
      <c r="H105" s="85" t="s">
        <v>487</v>
      </c>
      <c r="I105" s="86" t="s">
        <v>28</v>
      </c>
      <c r="J105" s="86" t="s">
        <v>52</v>
      </c>
      <c r="K105" s="86" t="s">
        <v>118</v>
      </c>
      <c r="L105" s="87">
        <v>44935</v>
      </c>
      <c r="M105" s="87" t="b">
        <v>0</v>
      </c>
      <c r="N105" s="87"/>
      <c r="P105" s="88"/>
      <c r="Q105" s="88"/>
      <c r="R105" s="88"/>
      <c r="S105" s="86" t="s">
        <v>119</v>
      </c>
      <c r="T105" s="86" t="s">
        <v>153</v>
      </c>
      <c r="U105" s="86"/>
      <c r="V105" s="86"/>
      <c r="W105" s="86"/>
      <c r="X105" s="86"/>
      <c r="Y105" s="86"/>
      <c r="Z105" s="138">
        <v>44750</v>
      </c>
    </row>
    <row r="106" spans="1:26" s="98" customFormat="1" ht="12.6">
      <c r="A106" s="90" t="s">
        <v>475</v>
      </c>
      <c r="B106" s="90" t="s">
        <v>476</v>
      </c>
      <c r="C106" s="90" t="s">
        <v>488</v>
      </c>
      <c r="D106" s="90" t="s">
        <v>50</v>
      </c>
      <c r="E106" s="90" t="s">
        <v>235</v>
      </c>
      <c r="F106" s="90" t="s">
        <v>27</v>
      </c>
      <c r="G106" s="91" t="s">
        <v>173</v>
      </c>
      <c r="H106" s="90" t="s">
        <v>489</v>
      </c>
      <c r="I106" s="92" t="s">
        <v>165</v>
      </c>
      <c r="J106" s="92" t="s">
        <v>40</v>
      </c>
      <c r="K106" s="92" t="s">
        <v>118</v>
      </c>
      <c r="L106" s="93">
        <v>44935</v>
      </c>
      <c r="M106" s="93" t="b">
        <v>0</v>
      </c>
      <c r="N106" s="93">
        <v>45370</v>
      </c>
      <c r="O106" s="94" t="s">
        <v>73</v>
      </c>
      <c r="P106" s="95">
        <v>6.8</v>
      </c>
      <c r="Q106" s="95"/>
      <c r="R106" s="95">
        <v>1.8</v>
      </c>
      <c r="S106" s="92" t="s">
        <v>119</v>
      </c>
      <c r="T106" s="92" t="s">
        <v>153</v>
      </c>
      <c r="U106" s="92"/>
      <c r="V106" s="92"/>
      <c r="W106" s="86"/>
      <c r="X106" s="92" t="s">
        <v>490</v>
      </c>
      <c r="Y106" s="92"/>
      <c r="Z106" s="97">
        <v>44641</v>
      </c>
    </row>
    <row r="107" spans="1:26" s="98" customFormat="1" ht="12.6">
      <c r="A107" s="90" t="s">
        <v>491</v>
      </c>
      <c r="B107" s="90" t="s">
        <v>492</v>
      </c>
      <c r="C107" s="90" t="s">
        <v>493</v>
      </c>
      <c r="D107" s="90" t="s">
        <v>50</v>
      </c>
      <c r="E107" s="90" t="s">
        <v>494</v>
      </c>
      <c r="F107" s="90" t="s">
        <v>27</v>
      </c>
      <c r="G107" s="91" t="s">
        <v>201</v>
      </c>
      <c r="H107" s="90" t="s">
        <v>495</v>
      </c>
      <c r="I107" s="92" t="s">
        <v>28</v>
      </c>
      <c r="J107" s="92" t="s">
        <v>28</v>
      </c>
      <c r="K107" s="92" t="s">
        <v>118</v>
      </c>
      <c r="L107" s="93">
        <v>44641</v>
      </c>
      <c r="M107" s="93" t="b">
        <v>0</v>
      </c>
      <c r="N107" s="93">
        <v>45369</v>
      </c>
      <c r="O107" s="94" t="s">
        <v>73</v>
      </c>
      <c r="P107" s="95">
        <v>7.2</v>
      </c>
      <c r="Q107" s="96"/>
      <c r="R107" s="95">
        <v>6.6</v>
      </c>
      <c r="S107" s="92" t="s">
        <v>119</v>
      </c>
      <c r="T107" s="92" t="s">
        <v>153</v>
      </c>
      <c r="U107" s="92"/>
      <c r="V107" s="92"/>
      <c r="W107" s="86"/>
      <c r="X107" s="92"/>
      <c r="Y107" s="92"/>
      <c r="Z107" s="121">
        <v>44641</v>
      </c>
    </row>
    <row r="108" spans="1:26" s="98" customFormat="1" ht="12.6">
      <c r="A108" s="90" t="s">
        <v>491</v>
      </c>
      <c r="B108" s="90" t="s">
        <v>492</v>
      </c>
      <c r="C108" s="90" t="s">
        <v>496</v>
      </c>
      <c r="D108" s="90" t="s">
        <v>50</v>
      </c>
      <c r="E108" s="90" t="s">
        <v>197</v>
      </c>
      <c r="F108" s="90" t="s">
        <v>39</v>
      </c>
      <c r="G108" s="91" t="s">
        <v>163</v>
      </c>
      <c r="H108" s="90" t="s">
        <v>497</v>
      </c>
      <c r="I108" s="92" t="s">
        <v>165</v>
      </c>
      <c r="J108" s="92" t="s">
        <v>40</v>
      </c>
      <c r="K108" s="92" t="s">
        <v>118</v>
      </c>
      <c r="L108" s="93"/>
      <c r="M108" s="93" t="b">
        <v>0</v>
      </c>
      <c r="N108" s="93">
        <v>45369</v>
      </c>
      <c r="O108" s="94" t="s">
        <v>73</v>
      </c>
      <c r="P108" s="95">
        <v>2.2000000000000002</v>
      </c>
      <c r="Q108" s="95">
        <v>3.4</v>
      </c>
      <c r="R108" s="95"/>
      <c r="S108" s="92" t="s">
        <v>119</v>
      </c>
      <c r="T108" s="92" t="s">
        <v>153</v>
      </c>
      <c r="U108" s="92"/>
      <c r="V108" s="92"/>
      <c r="W108" s="86"/>
      <c r="X108" s="92"/>
      <c r="Y108" s="92"/>
      <c r="Z108" s="97">
        <v>44641</v>
      </c>
    </row>
    <row r="109" spans="1:26" s="131" customFormat="1" ht="12.6">
      <c r="A109" s="124" t="s">
        <v>491</v>
      </c>
      <c r="B109" s="124" t="s">
        <v>492</v>
      </c>
      <c r="C109" s="124" t="s">
        <v>498</v>
      </c>
      <c r="D109" s="124" t="s">
        <v>50</v>
      </c>
      <c r="E109" s="124" t="s">
        <v>197</v>
      </c>
      <c r="F109" s="124" t="s">
        <v>39</v>
      </c>
      <c r="G109" s="125" t="s">
        <v>208</v>
      </c>
      <c r="H109" s="124" t="s">
        <v>209</v>
      </c>
      <c r="I109" s="126" t="s">
        <v>28</v>
      </c>
      <c r="J109" s="126" t="s">
        <v>183</v>
      </c>
      <c r="K109" s="126" t="s">
        <v>118</v>
      </c>
      <c r="L109" s="134" t="s">
        <v>499</v>
      </c>
      <c r="M109" s="127" t="b">
        <v>0</v>
      </c>
      <c r="N109" s="127">
        <v>45369</v>
      </c>
      <c r="O109" s="128" t="s">
        <v>73</v>
      </c>
      <c r="P109" s="129"/>
      <c r="Q109" s="129"/>
      <c r="R109" s="218"/>
      <c r="S109" s="126" t="s">
        <v>166</v>
      </c>
      <c r="T109" s="126" t="s">
        <v>153</v>
      </c>
      <c r="U109" s="126"/>
      <c r="V109" s="126"/>
      <c r="W109" s="86"/>
      <c r="X109" s="126"/>
      <c r="Y109" s="126" t="s">
        <v>500</v>
      </c>
      <c r="Z109" s="130">
        <v>44641</v>
      </c>
    </row>
    <row r="110" spans="1:26" s="322" customFormat="1" ht="12.6">
      <c r="A110" s="132" t="s">
        <v>491</v>
      </c>
      <c r="B110" s="132" t="s">
        <v>492</v>
      </c>
      <c r="C110" s="132" t="s">
        <v>501</v>
      </c>
      <c r="D110" s="132" t="s">
        <v>38</v>
      </c>
      <c r="E110" s="132" t="s">
        <v>502</v>
      </c>
      <c r="F110" s="132" t="s">
        <v>39</v>
      </c>
      <c r="G110" s="133" t="s">
        <v>205</v>
      </c>
      <c r="H110" s="132" t="s">
        <v>503</v>
      </c>
      <c r="I110" s="316" t="s">
        <v>28</v>
      </c>
      <c r="J110" s="316" t="s">
        <v>52</v>
      </c>
      <c r="K110" s="316" t="s">
        <v>118</v>
      </c>
      <c r="L110" s="317">
        <v>44657</v>
      </c>
      <c r="M110" s="317" t="b">
        <v>0</v>
      </c>
      <c r="N110" s="317">
        <v>45586</v>
      </c>
      <c r="O110" s="318" t="s">
        <v>73</v>
      </c>
      <c r="P110" s="319"/>
      <c r="Q110" s="319"/>
      <c r="R110" s="320"/>
      <c r="S110" s="316" t="s">
        <v>166</v>
      </c>
      <c r="T110" s="316"/>
      <c r="U110" s="316"/>
      <c r="V110" s="316"/>
      <c r="W110" s="316"/>
      <c r="X110" s="316"/>
      <c r="Y110" s="316"/>
      <c r="Z110" s="321">
        <v>44641</v>
      </c>
    </row>
    <row r="111" spans="1:26" s="188" customFormat="1" ht="12.6">
      <c r="A111" s="180" t="s">
        <v>491</v>
      </c>
      <c r="B111" s="180" t="s">
        <v>492</v>
      </c>
      <c r="C111" s="180" t="s">
        <v>504</v>
      </c>
      <c r="D111" s="180" t="s">
        <v>50</v>
      </c>
      <c r="E111" s="180" t="s">
        <v>197</v>
      </c>
      <c r="F111" s="180" t="s">
        <v>39</v>
      </c>
      <c r="G111" s="181" t="s">
        <v>163</v>
      </c>
      <c r="H111" s="180" t="s">
        <v>505</v>
      </c>
      <c r="I111" s="182" t="s">
        <v>165</v>
      </c>
      <c r="J111" s="182" t="s">
        <v>40</v>
      </c>
      <c r="K111" s="182" t="s">
        <v>118</v>
      </c>
      <c r="L111" s="183">
        <v>44657</v>
      </c>
      <c r="M111" s="183" t="b">
        <v>0</v>
      </c>
      <c r="N111" s="183"/>
      <c r="O111" s="185"/>
      <c r="P111" s="186"/>
      <c r="Q111" s="186"/>
      <c r="R111" s="186"/>
      <c r="S111" s="182" t="s">
        <v>166</v>
      </c>
      <c r="T111" s="182"/>
      <c r="U111" s="182"/>
      <c r="V111" s="187"/>
      <c r="W111" s="182" t="s">
        <v>194</v>
      </c>
      <c r="X111" s="182"/>
      <c r="Y111" s="182" t="s">
        <v>168</v>
      </c>
      <c r="Z111" s="190">
        <v>44851</v>
      </c>
    </row>
    <row r="112" spans="1:26" s="188" customFormat="1" ht="12.6">
      <c r="A112" s="180" t="s">
        <v>506</v>
      </c>
      <c r="B112" s="180" t="s">
        <v>507</v>
      </c>
      <c r="C112" s="180" t="s">
        <v>508</v>
      </c>
      <c r="D112" s="180" t="s">
        <v>61</v>
      </c>
      <c r="E112" s="180" t="s">
        <v>509</v>
      </c>
      <c r="F112" s="180" t="s">
        <v>27</v>
      </c>
      <c r="G112" s="181" t="s">
        <v>227</v>
      </c>
      <c r="H112" s="180" t="s">
        <v>325</v>
      </c>
      <c r="I112" s="182" t="s">
        <v>165</v>
      </c>
      <c r="J112" s="182" t="s">
        <v>40</v>
      </c>
      <c r="K112" s="182" t="s">
        <v>118</v>
      </c>
      <c r="L112" s="183">
        <v>44935</v>
      </c>
      <c r="M112" s="183" t="b">
        <v>0</v>
      </c>
      <c r="N112" s="183"/>
      <c r="O112" s="185"/>
      <c r="P112" s="186"/>
      <c r="Q112" s="186"/>
      <c r="R112" s="186"/>
      <c r="S112" s="182" t="s">
        <v>166</v>
      </c>
      <c r="T112" s="182"/>
      <c r="U112" s="182"/>
      <c r="V112" s="182"/>
      <c r="W112" s="86"/>
      <c r="X112" s="182"/>
      <c r="Y112" s="182"/>
      <c r="Z112" s="191">
        <v>44935</v>
      </c>
    </row>
    <row r="113" spans="1:26" s="98" customFormat="1" ht="12.6">
      <c r="A113" s="90" t="s">
        <v>506</v>
      </c>
      <c r="B113" s="90" t="s">
        <v>507</v>
      </c>
      <c r="C113" s="90" t="s">
        <v>510</v>
      </c>
      <c r="D113" s="90" t="s">
        <v>50</v>
      </c>
      <c r="E113" s="90" t="s">
        <v>197</v>
      </c>
      <c r="F113" s="90" t="s">
        <v>39</v>
      </c>
      <c r="G113" s="91" t="s">
        <v>205</v>
      </c>
      <c r="H113" s="90" t="s">
        <v>511</v>
      </c>
      <c r="I113" s="92" t="s">
        <v>28</v>
      </c>
      <c r="J113" s="92" t="s">
        <v>52</v>
      </c>
      <c r="K113" s="92" t="s">
        <v>118</v>
      </c>
      <c r="L113" s="93">
        <v>44851</v>
      </c>
      <c r="M113" s="93" t="b">
        <v>0</v>
      </c>
      <c r="N113" s="93">
        <v>45586</v>
      </c>
      <c r="O113" s="94" t="s">
        <v>73</v>
      </c>
      <c r="P113" s="95">
        <v>2.4</v>
      </c>
      <c r="Q113" s="95">
        <v>2</v>
      </c>
      <c r="R113" s="95"/>
      <c r="S113" s="92" t="s">
        <v>119</v>
      </c>
      <c r="T113" s="92" t="s">
        <v>153</v>
      </c>
      <c r="U113" s="92"/>
      <c r="V113" s="92"/>
      <c r="W113" s="92"/>
      <c r="X113" s="92"/>
      <c r="Y113" s="92"/>
      <c r="Z113" s="99">
        <v>44935</v>
      </c>
    </row>
    <row r="114" spans="1:26" ht="12.6">
      <c r="A114" s="85" t="s">
        <v>506</v>
      </c>
      <c r="B114" s="85" t="s">
        <v>507</v>
      </c>
      <c r="C114" s="85" t="s">
        <v>512</v>
      </c>
      <c r="D114" s="85" t="s">
        <v>61</v>
      </c>
      <c r="E114" s="85" t="s">
        <v>214</v>
      </c>
      <c r="F114" s="85" t="s">
        <v>39</v>
      </c>
      <c r="G114" s="89" t="s">
        <v>177</v>
      </c>
      <c r="H114" s="85" t="s">
        <v>238</v>
      </c>
      <c r="I114" s="86" t="s">
        <v>28</v>
      </c>
      <c r="J114" s="86" t="s">
        <v>183</v>
      </c>
      <c r="K114" s="86" t="s">
        <v>118</v>
      </c>
      <c r="L114" s="87">
        <v>44760</v>
      </c>
      <c r="M114" s="155" t="b">
        <v>0</v>
      </c>
      <c r="N114" s="87"/>
      <c r="P114" s="88"/>
      <c r="Q114" s="88"/>
      <c r="R114" s="88"/>
      <c r="S114" s="86" t="s">
        <v>119</v>
      </c>
      <c r="T114" s="86" t="s">
        <v>153</v>
      </c>
      <c r="U114" s="86"/>
      <c r="V114" s="86"/>
      <c r="W114" s="86"/>
      <c r="X114" s="86"/>
      <c r="Y114" s="86"/>
      <c r="Z114" s="154">
        <v>44641</v>
      </c>
    </row>
    <row r="115" spans="1:26" ht="12.6">
      <c r="A115" s="85" t="s">
        <v>513</v>
      </c>
      <c r="B115" s="85" t="s">
        <v>514</v>
      </c>
      <c r="C115" s="85" t="s">
        <v>515</v>
      </c>
      <c r="D115" s="85" t="s">
        <v>26</v>
      </c>
      <c r="E115" s="85" t="s">
        <v>172</v>
      </c>
      <c r="F115" s="85" t="s">
        <v>27</v>
      </c>
      <c r="G115" s="89" t="s">
        <v>163</v>
      </c>
      <c r="H115" s="85" t="s">
        <v>516</v>
      </c>
      <c r="I115" s="86" t="s">
        <v>165</v>
      </c>
      <c r="J115" s="86" t="s">
        <v>40</v>
      </c>
      <c r="K115" s="86" t="s">
        <v>184</v>
      </c>
      <c r="L115" s="87">
        <v>44854</v>
      </c>
      <c r="M115" s="87" t="b">
        <v>0</v>
      </c>
      <c r="N115" s="87"/>
      <c r="P115" s="88"/>
      <c r="Q115" s="88"/>
      <c r="R115" s="88"/>
      <c r="S115" s="86" t="s">
        <v>119</v>
      </c>
      <c r="T115" s="86" t="s">
        <v>153</v>
      </c>
      <c r="U115" s="86" t="s">
        <v>153</v>
      </c>
      <c r="V115" s="86" t="s">
        <v>167</v>
      </c>
      <c r="W115" s="86"/>
      <c r="X115" s="86"/>
      <c r="Y115" s="86"/>
      <c r="Z115" s="138"/>
    </row>
    <row r="116" spans="1:26" s="98" customFormat="1" ht="12.6">
      <c r="A116" s="90" t="s">
        <v>513</v>
      </c>
      <c r="B116" s="90" t="s">
        <v>514</v>
      </c>
      <c r="C116" s="90" t="s">
        <v>517</v>
      </c>
      <c r="D116" s="90" t="s">
        <v>26</v>
      </c>
      <c r="E116" s="90" t="s">
        <v>172</v>
      </c>
      <c r="F116" s="90" t="s">
        <v>27</v>
      </c>
      <c r="G116" s="91" t="s">
        <v>163</v>
      </c>
      <c r="H116" s="90" t="s">
        <v>518</v>
      </c>
      <c r="I116" s="92" t="s">
        <v>165</v>
      </c>
      <c r="J116" s="92" t="s">
        <v>40</v>
      </c>
      <c r="K116" s="92" t="s">
        <v>118</v>
      </c>
      <c r="L116" s="93">
        <v>44854</v>
      </c>
      <c r="M116" s="93" t="b">
        <v>0</v>
      </c>
      <c r="N116" s="93">
        <v>45589</v>
      </c>
      <c r="O116" s="94" t="s">
        <v>73</v>
      </c>
      <c r="P116" s="95">
        <v>8</v>
      </c>
      <c r="Q116" s="95"/>
      <c r="R116" s="95">
        <v>2.8</v>
      </c>
      <c r="S116" s="92" t="s">
        <v>119</v>
      </c>
      <c r="T116" s="92" t="s">
        <v>153</v>
      </c>
      <c r="U116" s="92"/>
      <c r="V116" s="92"/>
      <c r="W116" s="92"/>
      <c r="X116" s="92"/>
      <c r="Y116" s="92"/>
      <c r="Z116" s="100" t="s">
        <v>499</v>
      </c>
    </row>
    <row r="117" spans="1:26" s="98" customFormat="1" ht="12.6">
      <c r="A117" s="90" t="s">
        <v>513</v>
      </c>
      <c r="B117" s="90" t="s">
        <v>514</v>
      </c>
      <c r="C117" s="90" t="s">
        <v>519</v>
      </c>
      <c r="D117" s="90" t="s">
        <v>50</v>
      </c>
      <c r="E117" s="90" t="s">
        <v>197</v>
      </c>
      <c r="F117" s="90" t="s">
        <v>39</v>
      </c>
      <c r="G117" s="91" t="s">
        <v>251</v>
      </c>
      <c r="H117" s="90" t="s">
        <v>520</v>
      </c>
      <c r="I117" s="92" t="s">
        <v>28</v>
      </c>
      <c r="J117" s="92" t="s">
        <v>52</v>
      </c>
      <c r="K117" s="92" t="s">
        <v>118</v>
      </c>
      <c r="L117" s="93">
        <v>44852</v>
      </c>
      <c r="M117" s="93" t="b">
        <v>0</v>
      </c>
      <c r="N117" s="93">
        <v>45514</v>
      </c>
      <c r="O117" s="94" t="s">
        <v>73</v>
      </c>
      <c r="P117" s="95">
        <v>2</v>
      </c>
      <c r="Q117" s="95">
        <v>2.4</v>
      </c>
      <c r="R117" s="95"/>
      <c r="S117" s="92" t="s">
        <v>119</v>
      </c>
      <c r="T117" s="92" t="s">
        <v>153</v>
      </c>
      <c r="U117" s="92"/>
      <c r="V117" s="92"/>
      <c r="W117" s="92"/>
      <c r="X117" s="92"/>
      <c r="Y117" s="92"/>
      <c r="Z117" s="99">
        <v>44657</v>
      </c>
    </row>
    <row r="118" spans="1:26" s="98" customFormat="1" ht="12.6">
      <c r="A118" s="90" t="s">
        <v>513</v>
      </c>
      <c r="B118" s="90" t="s">
        <v>514</v>
      </c>
      <c r="C118" s="90" t="s">
        <v>521</v>
      </c>
      <c r="D118" s="90" t="s">
        <v>26</v>
      </c>
      <c r="E118" s="90" t="s">
        <v>267</v>
      </c>
      <c r="F118" s="90" t="s">
        <v>39</v>
      </c>
      <c r="G118" s="91" t="s">
        <v>177</v>
      </c>
      <c r="H118" s="90" t="s">
        <v>209</v>
      </c>
      <c r="I118" s="92" t="s">
        <v>28</v>
      </c>
      <c r="J118" s="92" t="s">
        <v>183</v>
      </c>
      <c r="K118" s="92" t="s">
        <v>118</v>
      </c>
      <c r="L118" s="93">
        <v>44767</v>
      </c>
      <c r="M118" s="119" t="b">
        <v>1</v>
      </c>
      <c r="N118" s="93">
        <v>45509</v>
      </c>
      <c r="O118" s="94" t="s">
        <v>35</v>
      </c>
      <c r="P118" s="95">
        <v>3.1</v>
      </c>
      <c r="Q118" s="95">
        <v>3.3</v>
      </c>
      <c r="R118" s="95"/>
      <c r="S118" s="92" t="s">
        <v>119</v>
      </c>
      <c r="T118" s="92" t="s">
        <v>153</v>
      </c>
      <c r="U118" s="92"/>
      <c r="V118" s="92"/>
      <c r="W118" s="86"/>
      <c r="X118" s="92"/>
      <c r="Y118" s="92" t="s">
        <v>522</v>
      </c>
      <c r="Z118" s="97">
        <v>44657</v>
      </c>
    </row>
    <row r="119" spans="1:26" s="98" customFormat="1" ht="12.6">
      <c r="A119" s="90" t="s">
        <v>513</v>
      </c>
      <c r="B119" s="90" t="s">
        <v>514</v>
      </c>
      <c r="C119" s="90" t="s">
        <v>523</v>
      </c>
      <c r="D119" s="90" t="s">
        <v>26</v>
      </c>
      <c r="E119" s="90" t="s">
        <v>267</v>
      </c>
      <c r="F119" s="90" t="s">
        <v>39</v>
      </c>
      <c r="G119" s="91" t="s">
        <v>208</v>
      </c>
      <c r="H119" s="90" t="s">
        <v>418</v>
      </c>
      <c r="I119" s="92" t="s">
        <v>28</v>
      </c>
      <c r="J119" s="92" t="s">
        <v>28</v>
      </c>
      <c r="K119" s="92" t="s">
        <v>118</v>
      </c>
      <c r="L119" s="93">
        <v>44853</v>
      </c>
      <c r="M119" s="93" t="b">
        <v>0</v>
      </c>
      <c r="N119" s="93">
        <v>45585</v>
      </c>
      <c r="O119" s="94" t="s">
        <v>73</v>
      </c>
      <c r="P119" s="95">
        <v>3.6</v>
      </c>
      <c r="Q119" s="95">
        <v>3.8</v>
      </c>
      <c r="R119" s="95"/>
      <c r="S119" s="92" t="s">
        <v>119</v>
      </c>
      <c r="T119" s="92" t="s">
        <v>153</v>
      </c>
      <c r="U119" s="92"/>
      <c r="V119" s="92"/>
      <c r="W119" s="92"/>
      <c r="X119" s="92"/>
      <c r="Y119" s="92"/>
      <c r="Z119" s="99">
        <v>44935</v>
      </c>
    </row>
    <row r="120" spans="1:26" s="98" customFormat="1" ht="12.6">
      <c r="A120" s="90" t="s">
        <v>524</v>
      </c>
      <c r="B120" s="90" t="s">
        <v>525</v>
      </c>
      <c r="C120" s="90" t="s">
        <v>526</v>
      </c>
      <c r="D120" s="90" t="s">
        <v>26</v>
      </c>
      <c r="E120" s="90" t="s">
        <v>172</v>
      </c>
      <c r="F120" s="90" t="s">
        <v>27</v>
      </c>
      <c r="G120" s="91" t="s">
        <v>163</v>
      </c>
      <c r="H120" s="90" t="s">
        <v>527</v>
      </c>
      <c r="I120" s="92" t="s">
        <v>165</v>
      </c>
      <c r="J120" s="92" t="s">
        <v>40</v>
      </c>
      <c r="K120" s="92" t="s">
        <v>118</v>
      </c>
      <c r="L120" s="93">
        <v>44851</v>
      </c>
      <c r="M120" s="93" t="b">
        <v>0</v>
      </c>
      <c r="N120" s="93">
        <v>45585</v>
      </c>
      <c r="O120" s="94" t="s">
        <v>73</v>
      </c>
      <c r="P120" s="95">
        <v>6</v>
      </c>
      <c r="Q120" s="95"/>
      <c r="R120" s="95">
        <v>2.2000000000000002</v>
      </c>
      <c r="S120" s="92" t="s">
        <v>119</v>
      </c>
      <c r="T120" s="92" t="s">
        <v>153</v>
      </c>
      <c r="U120" s="92"/>
      <c r="V120" s="92"/>
      <c r="W120" s="92"/>
      <c r="X120" s="92"/>
      <c r="Y120" s="92"/>
      <c r="Z120" s="97">
        <v>44851</v>
      </c>
    </row>
    <row r="121" spans="1:26" s="98" customFormat="1" ht="12.6">
      <c r="A121" s="90" t="s">
        <v>524</v>
      </c>
      <c r="B121" s="90" t="s">
        <v>525</v>
      </c>
      <c r="C121" s="90" t="s">
        <v>528</v>
      </c>
      <c r="D121" s="90" t="s">
        <v>26</v>
      </c>
      <c r="E121" s="90" t="s">
        <v>172</v>
      </c>
      <c r="F121" s="90" t="s">
        <v>27</v>
      </c>
      <c r="G121" s="91" t="s">
        <v>177</v>
      </c>
      <c r="H121" s="90" t="s">
        <v>529</v>
      </c>
      <c r="I121" s="92" t="s">
        <v>165</v>
      </c>
      <c r="J121" s="92" t="s">
        <v>40</v>
      </c>
      <c r="K121" s="92" t="s">
        <v>118</v>
      </c>
      <c r="L121" s="93">
        <v>44747</v>
      </c>
      <c r="M121" s="93" t="b">
        <v>0</v>
      </c>
      <c r="N121" s="93">
        <v>45590</v>
      </c>
      <c r="O121" s="94" t="s">
        <v>73</v>
      </c>
      <c r="P121" s="95">
        <v>8.4</v>
      </c>
      <c r="Q121" s="95"/>
      <c r="R121" s="95"/>
      <c r="S121" s="92" t="s">
        <v>119</v>
      </c>
      <c r="T121" s="92" t="s">
        <v>153</v>
      </c>
      <c r="U121" s="92"/>
      <c r="V121" s="92"/>
      <c r="W121" s="92"/>
      <c r="X121" s="92"/>
      <c r="Y121" s="92"/>
      <c r="Z121" s="99">
        <v>44760</v>
      </c>
    </row>
    <row r="122" spans="1:26" s="308" customFormat="1" ht="12.6">
      <c r="A122" s="301" t="s">
        <v>524</v>
      </c>
      <c r="B122" s="301" t="s">
        <v>525</v>
      </c>
      <c r="C122" s="301" t="s">
        <v>530</v>
      </c>
      <c r="D122" s="301" t="s">
        <v>26</v>
      </c>
      <c r="E122" s="301" t="s">
        <v>172</v>
      </c>
      <c r="F122" s="301" t="s">
        <v>27</v>
      </c>
      <c r="G122" s="302" t="s">
        <v>163</v>
      </c>
      <c r="H122" s="301" t="s">
        <v>325</v>
      </c>
      <c r="I122" s="303" t="s">
        <v>165</v>
      </c>
      <c r="J122" s="303" t="s">
        <v>40</v>
      </c>
      <c r="K122" s="303" t="s">
        <v>184</v>
      </c>
      <c r="L122" s="304">
        <v>44851</v>
      </c>
      <c r="M122" s="304" t="b">
        <v>0</v>
      </c>
      <c r="N122" s="304">
        <v>45585</v>
      </c>
      <c r="O122" s="305" t="s">
        <v>73</v>
      </c>
      <c r="P122" s="306"/>
      <c r="Q122" s="306"/>
      <c r="R122" s="306"/>
      <c r="S122" s="303" t="s">
        <v>166</v>
      </c>
      <c r="T122" s="303"/>
      <c r="U122" s="303"/>
      <c r="V122" s="303"/>
      <c r="W122" s="303"/>
      <c r="X122" s="303"/>
      <c r="Y122" s="303" t="s">
        <v>522</v>
      </c>
      <c r="Z122" s="309">
        <v>44854</v>
      </c>
    </row>
    <row r="123" spans="1:26" ht="12.6">
      <c r="A123" s="85" t="s">
        <v>524</v>
      </c>
      <c r="B123" s="85" t="s">
        <v>525</v>
      </c>
      <c r="C123" s="85" t="s">
        <v>531</v>
      </c>
      <c r="D123" s="85" t="s">
        <v>61</v>
      </c>
      <c r="E123" s="85" t="s">
        <v>532</v>
      </c>
      <c r="F123" s="85" t="s">
        <v>27</v>
      </c>
      <c r="G123" s="89" t="s">
        <v>173</v>
      </c>
      <c r="H123" s="85" t="s">
        <v>533</v>
      </c>
      <c r="I123" s="86" t="s">
        <v>165</v>
      </c>
      <c r="J123" s="86" t="s">
        <v>40</v>
      </c>
      <c r="K123" s="86" t="s">
        <v>118</v>
      </c>
      <c r="L123" s="87">
        <v>44935</v>
      </c>
      <c r="M123" s="87" t="b">
        <v>0</v>
      </c>
      <c r="N123" s="87"/>
      <c r="P123" s="88"/>
      <c r="Q123" s="88"/>
      <c r="R123" s="88"/>
      <c r="S123" s="86" t="s">
        <v>119</v>
      </c>
      <c r="T123" s="86" t="s">
        <v>153</v>
      </c>
      <c r="U123" s="86"/>
      <c r="V123" s="86"/>
      <c r="W123" s="86"/>
      <c r="X123" s="86"/>
      <c r="Y123" s="86"/>
      <c r="Z123" s="138">
        <v>44854</v>
      </c>
    </row>
    <row r="124" spans="1:26" s="188" customFormat="1" ht="12.6">
      <c r="A124" s="180" t="s">
        <v>524</v>
      </c>
      <c r="B124" s="180" t="s">
        <v>525</v>
      </c>
      <c r="C124" s="180" t="s">
        <v>534</v>
      </c>
      <c r="D124" s="180" t="s">
        <v>61</v>
      </c>
      <c r="E124" s="180" t="s">
        <v>532</v>
      </c>
      <c r="F124" s="180" t="s">
        <v>27</v>
      </c>
      <c r="G124" s="181">
        <v>0.75</v>
      </c>
      <c r="H124" s="180" t="s">
        <v>535</v>
      </c>
      <c r="I124" s="182" t="s">
        <v>165</v>
      </c>
      <c r="J124" s="182" t="s">
        <v>40</v>
      </c>
      <c r="K124" s="182" t="s">
        <v>184</v>
      </c>
      <c r="L124" s="183"/>
      <c r="M124" s="183" t="b">
        <v>0</v>
      </c>
      <c r="N124" s="183"/>
      <c r="O124" s="185"/>
      <c r="P124" s="186"/>
      <c r="Q124" s="186"/>
      <c r="R124" s="186"/>
      <c r="S124" s="182" t="s">
        <v>166</v>
      </c>
      <c r="T124" s="182" t="s">
        <v>120</v>
      </c>
      <c r="U124" s="182" t="s">
        <v>153</v>
      </c>
      <c r="V124" s="182" t="s">
        <v>167</v>
      </c>
      <c r="W124" s="182" t="s">
        <v>167</v>
      </c>
      <c r="X124" s="182"/>
      <c r="Y124" s="182" t="s">
        <v>536</v>
      </c>
      <c r="Z124" s="191">
        <v>44852</v>
      </c>
    </row>
    <row r="125" spans="1:26" s="98" customFormat="1" ht="12.6">
      <c r="A125" s="90" t="s">
        <v>524</v>
      </c>
      <c r="B125" s="90" t="s">
        <v>525</v>
      </c>
      <c r="C125" s="90" t="s">
        <v>537</v>
      </c>
      <c r="D125" s="90" t="s">
        <v>26</v>
      </c>
      <c r="E125" s="90" t="s">
        <v>172</v>
      </c>
      <c r="F125" s="90" t="s">
        <v>27</v>
      </c>
      <c r="G125" s="91" t="s">
        <v>208</v>
      </c>
      <c r="H125" s="90" t="s">
        <v>209</v>
      </c>
      <c r="I125" s="92" t="s">
        <v>28</v>
      </c>
      <c r="J125" s="92" t="s">
        <v>183</v>
      </c>
      <c r="K125" s="92" t="s">
        <v>118</v>
      </c>
      <c r="L125" s="93">
        <v>44781</v>
      </c>
      <c r="M125" s="93" t="b">
        <v>0</v>
      </c>
      <c r="N125" s="93">
        <v>45585</v>
      </c>
      <c r="O125" s="94" t="s">
        <v>73</v>
      </c>
      <c r="P125" s="95">
        <v>8.1999999999999993</v>
      </c>
      <c r="Q125" s="95"/>
      <c r="R125" s="95">
        <v>1.8</v>
      </c>
      <c r="S125" s="92" t="s">
        <v>119</v>
      </c>
      <c r="T125" s="92" t="s">
        <v>153</v>
      </c>
      <c r="U125" s="92"/>
      <c r="V125" s="92"/>
      <c r="W125" s="92"/>
      <c r="X125" s="92"/>
      <c r="Y125" s="92" t="s">
        <v>538</v>
      </c>
      <c r="Z125" s="99">
        <v>44767</v>
      </c>
    </row>
    <row r="126" spans="1:26" s="98" customFormat="1" ht="12.6">
      <c r="A126" s="90" t="s">
        <v>524</v>
      </c>
      <c r="B126" s="90" t="s">
        <v>525</v>
      </c>
      <c r="C126" s="90" t="s">
        <v>539</v>
      </c>
      <c r="D126" s="90" t="s">
        <v>50</v>
      </c>
      <c r="E126" s="90" t="s">
        <v>197</v>
      </c>
      <c r="F126" s="90" t="s">
        <v>39</v>
      </c>
      <c r="G126" s="91" t="s">
        <v>163</v>
      </c>
      <c r="H126" s="90" t="s">
        <v>540</v>
      </c>
      <c r="I126" s="92" t="s">
        <v>165</v>
      </c>
      <c r="J126" s="92" t="s">
        <v>40</v>
      </c>
      <c r="K126" s="92" t="s">
        <v>118</v>
      </c>
      <c r="L126" s="93">
        <v>44851</v>
      </c>
      <c r="M126" s="93" t="b">
        <v>0</v>
      </c>
      <c r="N126" s="93">
        <v>45595</v>
      </c>
      <c r="O126" s="94" t="s">
        <v>98</v>
      </c>
      <c r="P126" s="95">
        <v>2.9</v>
      </c>
      <c r="Q126" s="95">
        <v>2.8</v>
      </c>
      <c r="R126" s="95"/>
      <c r="S126" s="92" t="s">
        <v>119</v>
      </c>
      <c r="T126" s="92" t="s">
        <v>153</v>
      </c>
      <c r="U126" s="92"/>
      <c r="V126" s="92"/>
      <c r="W126" s="92"/>
      <c r="X126" s="92"/>
      <c r="Y126" s="92" t="s">
        <v>541</v>
      </c>
      <c r="Z126" s="97">
        <v>44853</v>
      </c>
    </row>
    <row r="127" spans="1:26" s="98" customFormat="1" ht="12.6">
      <c r="A127" s="90" t="s">
        <v>524</v>
      </c>
      <c r="B127" s="90" t="s">
        <v>525</v>
      </c>
      <c r="C127" s="90" t="s">
        <v>542</v>
      </c>
      <c r="D127" s="90" t="s">
        <v>61</v>
      </c>
      <c r="E127" s="90" t="s">
        <v>543</v>
      </c>
      <c r="F127" s="90" t="s">
        <v>39</v>
      </c>
      <c r="G127" s="91" t="s">
        <v>177</v>
      </c>
      <c r="H127" s="90" t="s">
        <v>544</v>
      </c>
      <c r="I127" s="92" t="s">
        <v>28</v>
      </c>
      <c r="J127" s="92" t="s">
        <v>52</v>
      </c>
      <c r="K127" s="92" t="s">
        <v>118</v>
      </c>
      <c r="L127" s="93">
        <v>44851</v>
      </c>
      <c r="M127" s="93" t="b">
        <v>0</v>
      </c>
      <c r="N127" s="93">
        <v>45585</v>
      </c>
      <c r="O127" s="94" t="s">
        <v>73</v>
      </c>
      <c r="P127" s="95">
        <v>2.2000000000000002</v>
      </c>
      <c r="Q127" s="95">
        <v>2</v>
      </c>
      <c r="R127" s="95"/>
      <c r="S127" s="92" t="s">
        <v>119</v>
      </c>
      <c r="T127" s="92" t="s">
        <v>153</v>
      </c>
      <c r="U127" s="92"/>
      <c r="V127" s="92"/>
      <c r="W127" s="92"/>
      <c r="X127" s="92"/>
      <c r="Y127" s="92"/>
      <c r="Z127" s="99">
        <v>44851</v>
      </c>
    </row>
    <row r="128" spans="1:26" s="98" customFormat="1" ht="12.6">
      <c r="A128" s="313" t="s">
        <v>524</v>
      </c>
      <c r="B128" s="90" t="s">
        <v>525</v>
      </c>
      <c r="C128" s="90" t="s">
        <v>545</v>
      </c>
      <c r="D128" s="90" t="s">
        <v>26</v>
      </c>
      <c r="E128" s="90" t="s">
        <v>172</v>
      </c>
      <c r="F128" s="90" t="s">
        <v>27</v>
      </c>
      <c r="G128" s="91"/>
      <c r="H128" s="90" t="s">
        <v>546</v>
      </c>
      <c r="I128" s="92" t="s">
        <v>165</v>
      </c>
      <c r="J128" s="92" t="s">
        <v>40</v>
      </c>
      <c r="K128" s="92" t="s">
        <v>118</v>
      </c>
      <c r="L128" s="93">
        <v>45595</v>
      </c>
      <c r="M128" s="93" t="b">
        <v>0</v>
      </c>
      <c r="N128" s="93">
        <v>45595</v>
      </c>
      <c r="O128" s="314" t="s">
        <v>98</v>
      </c>
      <c r="P128" s="95">
        <v>8.1999999999999993</v>
      </c>
      <c r="Q128" s="95"/>
      <c r="R128" s="95">
        <v>2.6</v>
      </c>
      <c r="S128" s="92" t="s">
        <v>119</v>
      </c>
      <c r="T128" s="92" t="s">
        <v>153</v>
      </c>
      <c r="U128" s="92"/>
      <c r="V128" s="92"/>
      <c r="W128" s="92"/>
      <c r="X128" s="92"/>
      <c r="Y128" s="315" t="s">
        <v>547</v>
      </c>
      <c r="Z128" s="99"/>
    </row>
    <row r="129" spans="1:26" s="98" customFormat="1" ht="12.6">
      <c r="A129" s="90" t="s">
        <v>548</v>
      </c>
      <c r="B129" s="90" t="s">
        <v>549</v>
      </c>
      <c r="C129" s="90" t="s">
        <v>550</v>
      </c>
      <c r="D129" s="90" t="s">
        <v>26</v>
      </c>
      <c r="E129" s="90" t="s">
        <v>370</v>
      </c>
      <c r="F129" s="90" t="s">
        <v>27</v>
      </c>
      <c r="G129" s="91">
        <v>3</v>
      </c>
      <c r="H129" s="90" t="s">
        <v>551</v>
      </c>
      <c r="I129" s="92" t="s">
        <v>28</v>
      </c>
      <c r="J129" s="92" t="s">
        <v>28</v>
      </c>
      <c r="K129" s="92" t="s">
        <v>118</v>
      </c>
      <c r="L129" s="93">
        <v>44851</v>
      </c>
      <c r="M129" s="93" t="b">
        <v>0</v>
      </c>
      <c r="N129" s="93">
        <v>45585</v>
      </c>
      <c r="O129" s="94" t="s">
        <v>73</v>
      </c>
      <c r="P129" s="95">
        <v>9</v>
      </c>
      <c r="Q129" s="95"/>
      <c r="R129" s="95">
        <v>2</v>
      </c>
      <c r="S129" s="92" t="s">
        <v>119</v>
      </c>
      <c r="T129" s="92" t="s">
        <v>153</v>
      </c>
      <c r="U129" s="92"/>
      <c r="V129" s="92"/>
      <c r="W129" s="92"/>
      <c r="X129" s="92"/>
      <c r="Y129" s="92"/>
      <c r="Z129" s="97">
        <v>44747</v>
      </c>
    </row>
    <row r="130" spans="1:26" s="98" customFormat="1" ht="12.6">
      <c r="A130" s="90" t="s">
        <v>548</v>
      </c>
      <c r="B130" s="90" t="s">
        <v>549</v>
      </c>
      <c r="C130" s="90" t="s">
        <v>552</v>
      </c>
      <c r="D130" s="90" t="s">
        <v>26</v>
      </c>
      <c r="E130" s="90" t="s">
        <v>256</v>
      </c>
      <c r="F130" s="90" t="s">
        <v>39</v>
      </c>
      <c r="G130" s="91" t="s">
        <v>208</v>
      </c>
      <c r="H130" s="90" t="s">
        <v>551</v>
      </c>
      <c r="I130" s="92" t="s">
        <v>28</v>
      </c>
      <c r="J130" s="92" t="s">
        <v>28</v>
      </c>
      <c r="K130" s="92" t="s">
        <v>118</v>
      </c>
      <c r="L130" s="93">
        <v>44851</v>
      </c>
      <c r="M130" s="93" t="b">
        <v>0</v>
      </c>
      <c r="N130" s="93">
        <v>45585</v>
      </c>
      <c r="O130" s="94" t="s">
        <v>73</v>
      </c>
      <c r="P130" s="95">
        <v>2.8</v>
      </c>
      <c r="Q130" s="95">
        <v>2.8</v>
      </c>
      <c r="R130" s="95"/>
      <c r="S130" s="92" t="s">
        <v>119</v>
      </c>
      <c r="T130" s="92" t="s">
        <v>153</v>
      </c>
      <c r="U130" s="92"/>
      <c r="V130" s="92"/>
      <c r="W130" s="92"/>
      <c r="X130" s="92"/>
      <c r="Y130" s="92"/>
      <c r="Z130" s="99">
        <v>44851</v>
      </c>
    </row>
    <row r="131" spans="1:26" s="98" customFormat="1" ht="12" customHeight="1">
      <c r="A131" s="90" t="s">
        <v>548</v>
      </c>
      <c r="B131" s="90" t="s">
        <v>549</v>
      </c>
      <c r="C131" s="90" t="s">
        <v>553</v>
      </c>
      <c r="D131" s="90" t="s">
        <v>26</v>
      </c>
      <c r="E131" s="90" t="s">
        <v>223</v>
      </c>
      <c r="F131" s="90" t="s">
        <v>39</v>
      </c>
      <c r="G131" s="91" t="s">
        <v>205</v>
      </c>
      <c r="H131" s="90" t="s">
        <v>503</v>
      </c>
      <c r="I131" s="92" t="s">
        <v>28</v>
      </c>
      <c r="J131" s="92" t="s">
        <v>52</v>
      </c>
      <c r="K131" s="92" t="s">
        <v>118</v>
      </c>
      <c r="L131" s="93">
        <v>44851</v>
      </c>
      <c r="M131" s="93" t="b">
        <v>0</v>
      </c>
      <c r="N131" s="93">
        <v>45585</v>
      </c>
      <c r="O131" s="94" t="s">
        <v>73</v>
      </c>
      <c r="P131" s="95">
        <v>3.4</v>
      </c>
      <c r="Q131" s="95">
        <v>2.8</v>
      </c>
      <c r="R131" s="95"/>
      <c r="S131" s="92" t="s">
        <v>119</v>
      </c>
      <c r="T131" s="92" t="s">
        <v>153</v>
      </c>
      <c r="U131" s="92"/>
      <c r="V131" s="92"/>
      <c r="W131" s="92"/>
      <c r="X131" s="92"/>
      <c r="Y131" s="92"/>
      <c r="Z131" s="97">
        <v>44935</v>
      </c>
    </row>
    <row r="132" spans="1:26" s="98" customFormat="1" ht="11.25" customHeight="1">
      <c r="A132" s="90" t="s">
        <v>548</v>
      </c>
      <c r="B132" s="90" t="s">
        <v>549</v>
      </c>
      <c r="C132" s="90" t="s">
        <v>554</v>
      </c>
      <c r="D132" s="90" t="s">
        <v>26</v>
      </c>
      <c r="E132" s="90" t="s">
        <v>223</v>
      </c>
      <c r="F132" s="90" t="s">
        <v>39</v>
      </c>
      <c r="G132" s="91" t="s">
        <v>251</v>
      </c>
      <c r="H132" s="90" t="s">
        <v>503</v>
      </c>
      <c r="I132" s="92" t="s">
        <v>28</v>
      </c>
      <c r="J132" s="92" t="s">
        <v>52</v>
      </c>
      <c r="K132" s="92" t="s">
        <v>118</v>
      </c>
      <c r="L132" s="93">
        <v>44851</v>
      </c>
      <c r="M132" s="93" t="b">
        <v>0</v>
      </c>
      <c r="N132" s="93">
        <v>45585</v>
      </c>
      <c r="O132" s="94" t="s">
        <v>73</v>
      </c>
      <c r="P132" s="95">
        <v>5</v>
      </c>
      <c r="Q132" s="95">
        <v>4.8</v>
      </c>
      <c r="R132" s="95"/>
      <c r="S132" s="92" t="s">
        <v>119</v>
      </c>
      <c r="T132" s="92" t="s">
        <v>153</v>
      </c>
      <c r="U132" s="92"/>
      <c r="V132" s="92"/>
      <c r="W132" s="92"/>
      <c r="X132" s="92"/>
      <c r="Y132" s="92"/>
      <c r="Z132" s="99"/>
    </row>
    <row r="133" spans="1:26" s="98" customFormat="1" ht="12.6">
      <c r="A133" s="90" t="s">
        <v>548</v>
      </c>
      <c r="B133" s="90" t="s">
        <v>549</v>
      </c>
      <c r="C133" s="90" t="s">
        <v>555</v>
      </c>
      <c r="D133" s="90" t="s">
        <v>26</v>
      </c>
      <c r="E133" s="90" t="s">
        <v>223</v>
      </c>
      <c r="F133" s="90" t="s">
        <v>39</v>
      </c>
      <c r="G133" s="91" t="s">
        <v>205</v>
      </c>
      <c r="H133" s="90" t="s">
        <v>503</v>
      </c>
      <c r="I133" s="92" t="s">
        <v>28</v>
      </c>
      <c r="J133" s="92" t="s">
        <v>52</v>
      </c>
      <c r="K133" s="92" t="s">
        <v>118</v>
      </c>
      <c r="L133" s="93">
        <v>44851</v>
      </c>
      <c r="M133" s="93" t="b">
        <v>0</v>
      </c>
      <c r="N133" s="93">
        <v>45585</v>
      </c>
      <c r="O133" s="94" t="s">
        <v>73</v>
      </c>
      <c r="P133" s="95">
        <v>3</v>
      </c>
      <c r="Q133" s="95">
        <v>3.8</v>
      </c>
      <c r="R133" s="95"/>
      <c r="S133" s="92" t="s">
        <v>119</v>
      </c>
      <c r="T133" s="92" t="s">
        <v>153</v>
      </c>
      <c r="U133" s="92"/>
      <c r="V133" s="92"/>
      <c r="W133" s="92"/>
      <c r="X133" s="92"/>
      <c r="Y133" s="92"/>
      <c r="Z133" s="97">
        <v>44781</v>
      </c>
    </row>
    <row r="134" spans="1:26" s="98" customFormat="1" ht="12.6">
      <c r="A134" s="90" t="s">
        <v>548</v>
      </c>
      <c r="B134" s="90" t="s">
        <v>549</v>
      </c>
      <c r="C134" s="90" t="s">
        <v>556</v>
      </c>
      <c r="D134" s="90" t="s">
        <v>26</v>
      </c>
      <c r="E134" s="90" t="s">
        <v>256</v>
      </c>
      <c r="F134" s="90" t="s">
        <v>39</v>
      </c>
      <c r="G134" s="91" t="s">
        <v>201</v>
      </c>
      <c r="H134" s="90" t="s">
        <v>557</v>
      </c>
      <c r="I134" s="92" t="s">
        <v>28</v>
      </c>
      <c r="J134" s="92" t="s">
        <v>28</v>
      </c>
      <c r="K134" s="92" t="s">
        <v>118</v>
      </c>
      <c r="L134" s="93">
        <v>44851</v>
      </c>
      <c r="M134" s="93" t="b">
        <v>0</v>
      </c>
      <c r="N134" s="93">
        <v>45585</v>
      </c>
      <c r="O134" s="94" t="s">
        <v>73</v>
      </c>
      <c r="P134" s="95">
        <v>2.8</v>
      </c>
      <c r="Q134" s="95">
        <v>2.6</v>
      </c>
      <c r="R134" s="95"/>
      <c r="S134" s="92" t="s">
        <v>119</v>
      </c>
      <c r="T134" s="92" t="s">
        <v>153</v>
      </c>
      <c r="U134" s="92"/>
      <c r="V134" s="92"/>
      <c r="W134" s="92"/>
      <c r="X134" s="92"/>
      <c r="Y134" s="92"/>
      <c r="Z134" s="99">
        <v>44851</v>
      </c>
    </row>
    <row r="135" spans="1:26" s="161" customFormat="1" ht="12.6">
      <c r="A135" s="85" t="s">
        <v>548</v>
      </c>
      <c r="B135" s="85" t="s">
        <v>549</v>
      </c>
      <c r="C135" s="85" t="s">
        <v>558</v>
      </c>
      <c r="D135" s="85" t="s">
        <v>50</v>
      </c>
      <c r="E135" s="85" t="s">
        <v>197</v>
      </c>
      <c r="F135" s="85" t="s">
        <v>39</v>
      </c>
      <c r="G135" s="89" t="s">
        <v>208</v>
      </c>
      <c r="H135" s="85" t="s">
        <v>559</v>
      </c>
      <c r="I135" s="156" t="s">
        <v>28</v>
      </c>
      <c r="J135" s="156" t="s">
        <v>183</v>
      </c>
      <c r="K135" s="156" t="s">
        <v>184</v>
      </c>
      <c r="L135" s="171">
        <v>45215</v>
      </c>
      <c r="M135" s="158" t="b">
        <v>1</v>
      </c>
      <c r="N135" s="171"/>
      <c r="O135" s="159"/>
      <c r="P135" s="160"/>
      <c r="Q135" s="160"/>
      <c r="R135" s="160"/>
      <c r="S135" s="156" t="s">
        <v>119</v>
      </c>
      <c r="T135" s="156" t="s">
        <v>153</v>
      </c>
      <c r="U135" s="156"/>
      <c r="V135" s="156"/>
      <c r="W135" s="86"/>
      <c r="X135" s="156"/>
      <c r="Y135" s="156"/>
      <c r="Z135" s="157">
        <v>44851</v>
      </c>
    </row>
    <row r="136" spans="1:26" ht="12.6">
      <c r="A136" s="85" t="s">
        <v>560</v>
      </c>
      <c r="B136" s="85" t="s">
        <v>561</v>
      </c>
      <c r="C136" s="85" t="s">
        <v>562</v>
      </c>
      <c r="D136" s="85" t="s">
        <v>38</v>
      </c>
      <c r="E136" s="85" t="s">
        <v>563</v>
      </c>
      <c r="F136" s="85" t="s">
        <v>39</v>
      </c>
      <c r="G136" s="89" t="s">
        <v>251</v>
      </c>
      <c r="H136" s="85" t="s">
        <v>564</v>
      </c>
      <c r="I136" s="86" t="s">
        <v>28</v>
      </c>
      <c r="J136" s="86" t="s">
        <v>52</v>
      </c>
      <c r="K136" s="86" t="s">
        <v>118</v>
      </c>
      <c r="L136" s="87">
        <v>44894</v>
      </c>
      <c r="M136" s="87" t="b">
        <v>0</v>
      </c>
      <c r="N136" s="87"/>
      <c r="P136" s="88"/>
      <c r="Q136" s="88"/>
      <c r="R136" s="88"/>
      <c r="S136" s="86" t="s">
        <v>119</v>
      </c>
      <c r="T136" s="86" t="s">
        <v>153</v>
      </c>
      <c r="U136" s="86" t="s">
        <v>153</v>
      </c>
      <c r="V136" s="86" t="s">
        <v>167</v>
      </c>
      <c r="W136" s="86" t="s">
        <v>167</v>
      </c>
      <c r="X136" s="86"/>
      <c r="Y136" s="86"/>
      <c r="Z136" s="138">
        <v>44851</v>
      </c>
    </row>
    <row r="137" spans="1:26" s="98" customFormat="1" ht="12.6">
      <c r="A137" s="90" t="s">
        <v>565</v>
      </c>
      <c r="B137" s="90" t="s">
        <v>566</v>
      </c>
      <c r="C137" s="90" t="s">
        <v>567</v>
      </c>
      <c r="D137" s="90" t="s">
        <v>50</v>
      </c>
      <c r="E137" s="90" t="s">
        <v>568</v>
      </c>
      <c r="F137" s="90" t="s">
        <v>27</v>
      </c>
      <c r="G137" s="91" t="s">
        <v>208</v>
      </c>
      <c r="H137" s="90" t="s">
        <v>325</v>
      </c>
      <c r="I137" s="92" t="s">
        <v>165</v>
      </c>
      <c r="J137" s="92" t="s">
        <v>40</v>
      </c>
      <c r="K137" s="92" t="s">
        <v>118</v>
      </c>
      <c r="L137" s="93">
        <v>44886</v>
      </c>
      <c r="M137" s="93" t="b">
        <v>0</v>
      </c>
      <c r="N137" s="93">
        <v>45614</v>
      </c>
      <c r="O137" s="94" t="s">
        <v>73</v>
      </c>
      <c r="P137" s="95">
        <v>6.4</v>
      </c>
      <c r="Q137" s="95"/>
      <c r="R137" s="95">
        <v>2.8</v>
      </c>
      <c r="S137" s="92" t="s">
        <v>119</v>
      </c>
      <c r="T137" s="92" t="s">
        <v>153</v>
      </c>
      <c r="U137" s="92"/>
      <c r="V137" s="92"/>
      <c r="W137" s="92"/>
      <c r="X137" s="92"/>
      <c r="Y137" s="92"/>
      <c r="Z137" s="97">
        <v>44851</v>
      </c>
    </row>
    <row r="138" spans="1:26" s="98" customFormat="1" ht="12.6">
      <c r="A138" s="90" t="s">
        <v>565</v>
      </c>
      <c r="B138" s="90" t="s">
        <v>566</v>
      </c>
      <c r="C138" s="90" t="s">
        <v>569</v>
      </c>
      <c r="D138" s="90" t="s">
        <v>26</v>
      </c>
      <c r="E138" s="90" t="s">
        <v>172</v>
      </c>
      <c r="F138" s="90" t="s">
        <v>27</v>
      </c>
      <c r="G138" s="91" t="s">
        <v>417</v>
      </c>
      <c r="H138" s="90" t="s">
        <v>570</v>
      </c>
      <c r="I138" s="92" t="s">
        <v>165</v>
      </c>
      <c r="J138" s="92" t="s">
        <v>40</v>
      </c>
      <c r="K138" s="92" t="s">
        <v>118</v>
      </c>
      <c r="L138" s="93">
        <v>44886</v>
      </c>
      <c r="M138" s="93" t="b">
        <v>0</v>
      </c>
      <c r="N138" s="93">
        <v>45614</v>
      </c>
      <c r="O138" s="94" t="s">
        <v>73</v>
      </c>
      <c r="P138" s="95">
        <v>9</v>
      </c>
      <c r="Q138" s="95"/>
      <c r="R138" s="95">
        <v>4</v>
      </c>
      <c r="S138" s="92" t="s">
        <v>119</v>
      </c>
      <c r="T138" s="92" t="s">
        <v>153</v>
      </c>
      <c r="U138" s="92"/>
      <c r="V138" s="92"/>
      <c r="W138" s="92"/>
      <c r="X138" s="92"/>
      <c r="Y138" s="92"/>
      <c r="Z138" s="99">
        <v>44851</v>
      </c>
    </row>
    <row r="139" spans="1:26" s="98" customFormat="1" ht="12.6">
      <c r="A139" s="90" t="s">
        <v>565</v>
      </c>
      <c r="B139" s="90" t="s">
        <v>566</v>
      </c>
      <c r="C139" s="90" t="s">
        <v>571</v>
      </c>
      <c r="D139" s="90" t="s">
        <v>50</v>
      </c>
      <c r="E139" s="90" t="s">
        <v>197</v>
      </c>
      <c r="F139" s="90" t="s">
        <v>39</v>
      </c>
      <c r="G139" s="91" t="s">
        <v>208</v>
      </c>
      <c r="H139" s="90" t="s">
        <v>209</v>
      </c>
      <c r="I139" s="92" t="s">
        <v>28</v>
      </c>
      <c r="J139" s="92" t="s">
        <v>183</v>
      </c>
      <c r="K139" s="92" t="s">
        <v>118</v>
      </c>
      <c r="L139" s="93">
        <v>44886</v>
      </c>
      <c r="M139" s="93" t="b">
        <v>0</v>
      </c>
      <c r="N139" s="93">
        <v>45614</v>
      </c>
      <c r="O139" s="94" t="s">
        <v>73</v>
      </c>
      <c r="P139" s="95">
        <v>3</v>
      </c>
      <c r="Q139" s="95">
        <v>3.2</v>
      </c>
      <c r="R139" s="95"/>
      <c r="S139" s="92" t="s">
        <v>119</v>
      </c>
      <c r="T139" s="92" t="s">
        <v>153</v>
      </c>
      <c r="U139" s="92"/>
      <c r="V139" s="92"/>
      <c r="W139" s="92"/>
      <c r="X139" s="92"/>
      <c r="Y139" s="92"/>
      <c r="Z139" s="97">
        <v>44851</v>
      </c>
    </row>
    <row r="140" spans="1:26" s="98" customFormat="1" ht="12.6">
      <c r="A140" s="90" t="s">
        <v>565</v>
      </c>
      <c r="B140" s="90" t="s">
        <v>566</v>
      </c>
      <c r="C140" s="90" t="s">
        <v>572</v>
      </c>
      <c r="D140" s="90" t="s">
        <v>26</v>
      </c>
      <c r="E140" s="90" t="s">
        <v>256</v>
      </c>
      <c r="F140" s="90" t="s">
        <v>39</v>
      </c>
      <c r="G140" s="91" t="s">
        <v>205</v>
      </c>
      <c r="H140" s="90" t="s">
        <v>544</v>
      </c>
      <c r="I140" s="92" t="s">
        <v>28</v>
      </c>
      <c r="J140" s="92" t="s">
        <v>52</v>
      </c>
      <c r="K140" s="92" t="s">
        <v>118</v>
      </c>
      <c r="L140" s="93">
        <v>44886</v>
      </c>
      <c r="M140" s="93" t="b">
        <v>0</v>
      </c>
      <c r="N140" s="93">
        <v>45614</v>
      </c>
      <c r="O140" s="94" t="s">
        <v>73</v>
      </c>
      <c r="P140" s="95">
        <v>3.6</v>
      </c>
      <c r="Q140" s="95">
        <v>3.8</v>
      </c>
      <c r="R140" s="95"/>
      <c r="S140" s="92" t="s">
        <v>119</v>
      </c>
      <c r="T140" s="92" t="s">
        <v>153</v>
      </c>
      <c r="U140" s="92"/>
      <c r="V140" s="92"/>
      <c r="W140" s="92"/>
      <c r="X140" s="92"/>
      <c r="Y140" s="92"/>
      <c r="Z140" s="99">
        <v>44851</v>
      </c>
    </row>
    <row r="141" spans="1:26" s="98" customFormat="1" ht="12.6">
      <c r="A141" s="90" t="s">
        <v>573</v>
      </c>
      <c r="B141" s="90" t="s">
        <v>574</v>
      </c>
      <c r="C141" s="90" t="s">
        <v>575</v>
      </c>
      <c r="D141" s="90" t="s">
        <v>26</v>
      </c>
      <c r="E141" s="90" t="s">
        <v>172</v>
      </c>
      <c r="F141" s="90" t="s">
        <v>27</v>
      </c>
      <c r="G141" s="91" t="s">
        <v>417</v>
      </c>
      <c r="H141" s="90" t="s">
        <v>576</v>
      </c>
      <c r="I141" s="92" t="s">
        <v>165</v>
      </c>
      <c r="J141" s="92" t="s">
        <v>40</v>
      </c>
      <c r="K141" s="92" t="s">
        <v>118</v>
      </c>
      <c r="L141" s="93">
        <v>44886</v>
      </c>
      <c r="M141" s="93" t="b">
        <v>0</v>
      </c>
      <c r="N141" s="93">
        <v>45615</v>
      </c>
      <c r="O141" s="94" t="s">
        <v>73</v>
      </c>
      <c r="P141" s="95">
        <v>7.2</v>
      </c>
      <c r="Q141" s="95"/>
      <c r="R141" s="95">
        <v>2</v>
      </c>
      <c r="S141" s="92" t="s">
        <v>119</v>
      </c>
      <c r="T141" s="92" t="s">
        <v>153</v>
      </c>
      <c r="U141" s="92"/>
      <c r="V141" s="92"/>
      <c r="W141" s="92"/>
      <c r="X141" s="92"/>
      <c r="Y141" s="92"/>
      <c r="Z141" s="97">
        <v>44851</v>
      </c>
    </row>
    <row r="142" spans="1:26" s="98" customFormat="1" ht="12.6">
      <c r="A142" s="90" t="s">
        <v>577</v>
      </c>
      <c r="B142" s="90" t="s">
        <v>578</v>
      </c>
      <c r="C142" s="90" t="s">
        <v>579</v>
      </c>
      <c r="D142" s="90" t="s">
        <v>50</v>
      </c>
      <c r="E142" s="90" t="s">
        <v>197</v>
      </c>
      <c r="F142" s="90" t="s">
        <v>39</v>
      </c>
      <c r="G142" s="91" t="s">
        <v>208</v>
      </c>
      <c r="H142" s="90" t="s">
        <v>580</v>
      </c>
      <c r="I142" s="92" t="s">
        <v>28</v>
      </c>
      <c r="J142" s="92" t="s">
        <v>183</v>
      </c>
      <c r="K142" s="92" t="s">
        <v>118</v>
      </c>
      <c r="L142" s="93">
        <v>44792</v>
      </c>
      <c r="M142" s="93" t="b">
        <v>0</v>
      </c>
      <c r="N142" s="93">
        <v>45526</v>
      </c>
      <c r="O142" s="94" t="s">
        <v>48</v>
      </c>
      <c r="P142" s="95">
        <v>2.6</v>
      </c>
      <c r="Q142" s="95">
        <v>2.7</v>
      </c>
      <c r="R142" s="95"/>
      <c r="S142" s="92" t="s">
        <v>119</v>
      </c>
      <c r="T142" s="92" t="s">
        <v>153</v>
      </c>
      <c r="U142" s="92"/>
      <c r="V142" s="92"/>
      <c r="W142" s="92"/>
      <c r="X142" s="92"/>
      <c r="Y142" s="92"/>
      <c r="Z142" s="107"/>
    </row>
    <row r="143" spans="1:26" s="98" customFormat="1" ht="12.6">
      <c r="A143" s="90" t="s">
        <v>577</v>
      </c>
      <c r="B143" s="90" t="s">
        <v>578</v>
      </c>
      <c r="C143" s="90" t="s">
        <v>581</v>
      </c>
      <c r="D143" s="90" t="s">
        <v>50</v>
      </c>
      <c r="E143" s="90" t="s">
        <v>197</v>
      </c>
      <c r="F143" s="90" t="s">
        <v>39</v>
      </c>
      <c r="G143" s="91" t="s">
        <v>208</v>
      </c>
      <c r="H143" s="90" t="s">
        <v>582</v>
      </c>
      <c r="I143" s="92" t="s">
        <v>28</v>
      </c>
      <c r="J143" s="92" t="s">
        <v>183</v>
      </c>
      <c r="K143" s="92" t="s">
        <v>118</v>
      </c>
      <c r="L143" s="93">
        <v>44792</v>
      </c>
      <c r="M143" s="93" t="b">
        <v>0</v>
      </c>
      <c r="N143" s="93">
        <v>45526</v>
      </c>
      <c r="O143" s="94" t="s">
        <v>48</v>
      </c>
      <c r="P143" s="95">
        <v>1.9</v>
      </c>
      <c r="Q143" s="95">
        <v>1.4</v>
      </c>
      <c r="R143" s="95"/>
      <c r="S143" s="92" t="s">
        <v>119</v>
      </c>
      <c r="T143" s="92"/>
      <c r="U143" s="92"/>
      <c r="V143" s="92"/>
      <c r="W143" s="92"/>
      <c r="X143" s="92"/>
      <c r="Y143" s="92"/>
      <c r="Z143" s="97">
        <v>44894</v>
      </c>
    </row>
    <row r="144" spans="1:26" s="98" customFormat="1" ht="12.6">
      <c r="A144" s="90" t="s">
        <v>577</v>
      </c>
      <c r="B144" s="90" t="s">
        <v>578</v>
      </c>
      <c r="C144" s="90" t="s">
        <v>583</v>
      </c>
      <c r="D144" s="90" t="s">
        <v>38</v>
      </c>
      <c r="E144" s="90" t="s">
        <v>204</v>
      </c>
      <c r="F144" s="90" t="s">
        <v>39</v>
      </c>
      <c r="G144" s="91" t="s">
        <v>251</v>
      </c>
      <c r="H144" s="90" t="s">
        <v>584</v>
      </c>
      <c r="I144" s="92" t="s">
        <v>28</v>
      </c>
      <c r="J144" s="92" t="s">
        <v>52</v>
      </c>
      <c r="K144" s="92" t="s">
        <v>118</v>
      </c>
      <c r="L144" s="93">
        <v>44792</v>
      </c>
      <c r="M144" s="93" t="b">
        <v>0</v>
      </c>
      <c r="N144" s="93">
        <v>45523</v>
      </c>
      <c r="O144" s="94" t="s">
        <v>48</v>
      </c>
      <c r="P144" s="95">
        <v>2.1</v>
      </c>
      <c r="Q144" s="95">
        <v>2.4</v>
      </c>
      <c r="R144" s="95"/>
      <c r="S144" s="92" t="s">
        <v>119</v>
      </c>
      <c r="T144" s="92" t="s">
        <v>153</v>
      </c>
      <c r="U144" s="92"/>
      <c r="V144" s="92"/>
      <c r="W144" s="86"/>
      <c r="X144" s="92"/>
      <c r="Y144" s="92"/>
      <c r="Z144" s="99">
        <v>44886</v>
      </c>
    </row>
    <row r="145" spans="1:26" s="98" customFormat="1" ht="12.6">
      <c r="A145" s="90" t="s">
        <v>577</v>
      </c>
      <c r="B145" s="90" t="s">
        <v>578</v>
      </c>
      <c r="C145" s="90" t="s">
        <v>585</v>
      </c>
      <c r="D145" s="90" t="s">
        <v>26</v>
      </c>
      <c r="E145" s="90" t="s">
        <v>172</v>
      </c>
      <c r="F145" s="90" t="s">
        <v>27</v>
      </c>
      <c r="G145" s="91" t="s">
        <v>173</v>
      </c>
      <c r="H145" s="90" t="s">
        <v>586</v>
      </c>
      <c r="I145" s="92" t="s">
        <v>165</v>
      </c>
      <c r="J145" s="92" t="s">
        <v>40</v>
      </c>
      <c r="K145" s="92" t="s">
        <v>118</v>
      </c>
      <c r="L145" s="93">
        <v>44802</v>
      </c>
      <c r="M145" s="93" t="b">
        <v>0</v>
      </c>
      <c r="N145" s="93">
        <v>45523</v>
      </c>
      <c r="O145" s="94" t="s">
        <v>48</v>
      </c>
      <c r="P145" s="95">
        <v>7.4</v>
      </c>
      <c r="Q145" s="95"/>
      <c r="R145" s="95">
        <v>3.4</v>
      </c>
      <c r="S145" s="92" t="s">
        <v>119</v>
      </c>
      <c r="T145" s="92" t="s">
        <v>153</v>
      </c>
      <c r="U145" s="92"/>
      <c r="V145" s="92"/>
      <c r="W145" s="86"/>
      <c r="X145" s="92"/>
      <c r="Y145" s="92"/>
      <c r="Z145" s="97">
        <v>44886</v>
      </c>
    </row>
    <row r="146" spans="1:26" s="188" customFormat="1" ht="12.6">
      <c r="A146" s="180" t="s">
        <v>577</v>
      </c>
      <c r="B146" s="180" t="s">
        <v>578</v>
      </c>
      <c r="C146" s="180" t="s">
        <v>587</v>
      </c>
      <c r="D146" s="180" t="s">
        <v>26</v>
      </c>
      <c r="E146" s="180" t="s">
        <v>172</v>
      </c>
      <c r="F146" s="180" t="s">
        <v>27</v>
      </c>
      <c r="G146" s="181" t="s">
        <v>163</v>
      </c>
      <c r="H146" s="180" t="s">
        <v>586</v>
      </c>
      <c r="I146" s="182" t="s">
        <v>165</v>
      </c>
      <c r="J146" s="182" t="s">
        <v>40</v>
      </c>
      <c r="K146" s="182" t="s">
        <v>118</v>
      </c>
      <c r="L146" s="183"/>
      <c r="M146" s="183" t="b">
        <v>0</v>
      </c>
      <c r="N146" s="183"/>
      <c r="O146" s="185"/>
      <c r="P146" s="186"/>
      <c r="Q146" s="186"/>
      <c r="R146" s="186"/>
      <c r="S146" s="182" t="s">
        <v>166</v>
      </c>
      <c r="T146" s="182" t="s">
        <v>120</v>
      </c>
      <c r="U146" s="182" t="s">
        <v>153</v>
      </c>
      <c r="V146" s="182" t="s">
        <v>167</v>
      </c>
      <c r="W146" s="182" t="s">
        <v>168</v>
      </c>
      <c r="X146" s="182"/>
      <c r="Y146" s="182"/>
      <c r="Z146" s="190">
        <v>44886</v>
      </c>
    </row>
    <row r="147" spans="1:26" s="106" customFormat="1" ht="12.6">
      <c r="A147" s="90" t="s">
        <v>588</v>
      </c>
      <c r="B147" s="90" t="s">
        <v>589</v>
      </c>
      <c r="C147" s="90" t="s">
        <v>590</v>
      </c>
      <c r="D147" s="90" t="s">
        <v>26</v>
      </c>
      <c r="E147" s="90" t="s">
        <v>241</v>
      </c>
      <c r="F147" s="90" t="s">
        <v>27</v>
      </c>
      <c r="G147" s="91" t="s">
        <v>177</v>
      </c>
      <c r="H147" s="90" t="s">
        <v>586</v>
      </c>
      <c r="I147" s="101" t="s">
        <v>28</v>
      </c>
      <c r="J147" s="101" t="s">
        <v>28</v>
      </c>
      <c r="K147" s="101" t="s">
        <v>118</v>
      </c>
      <c r="L147" s="116">
        <v>44886</v>
      </c>
      <c r="M147" s="116" t="b">
        <v>0</v>
      </c>
      <c r="N147" s="116">
        <v>45614</v>
      </c>
      <c r="O147" s="104" t="s">
        <v>73</v>
      </c>
      <c r="P147" s="105">
        <v>7.8</v>
      </c>
      <c r="Q147" s="105"/>
      <c r="R147" s="105">
        <v>2.2000000000000002</v>
      </c>
      <c r="S147" s="101" t="s">
        <v>119</v>
      </c>
      <c r="T147" s="101" t="s">
        <v>153</v>
      </c>
      <c r="U147" s="101"/>
      <c r="V147" s="101"/>
      <c r="W147" s="92"/>
      <c r="X147" s="101"/>
      <c r="Y147" s="101"/>
      <c r="Z147" s="102">
        <v>44886</v>
      </c>
    </row>
    <row r="148" spans="1:26" s="98" customFormat="1" ht="12.6">
      <c r="A148" s="90" t="s">
        <v>588</v>
      </c>
      <c r="B148" s="90" t="s">
        <v>589</v>
      </c>
      <c r="C148" s="90" t="s">
        <v>591</v>
      </c>
      <c r="D148" s="90" t="s">
        <v>26</v>
      </c>
      <c r="E148" s="90" t="s">
        <v>356</v>
      </c>
      <c r="F148" s="90" t="s">
        <v>39</v>
      </c>
      <c r="G148" s="91" t="s">
        <v>205</v>
      </c>
      <c r="H148" s="90" t="s">
        <v>592</v>
      </c>
      <c r="I148" s="92" t="s">
        <v>28</v>
      </c>
      <c r="J148" s="92" t="s">
        <v>52</v>
      </c>
      <c r="K148" s="92" t="s">
        <v>118</v>
      </c>
      <c r="L148" s="93">
        <v>44886</v>
      </c>
      <c r="M148" s="93" t="b">
        <v>0</v>
      </c>
      <c r="N148" s="93">
        <v>45614</v>
      </c>
      <c r="O148" s="94" t="s">
        <v>73</v>
      </c>
      <c r="P148" s="95">
        <v>2.2000000000000002</v>
      </c>
      <c r="Q148" s="95">
        <v>3</v>
      </c>
      <c r="R148" s="95"/>
      <c r="S148" s="92" t="s">
        <v>119</v>
      </c>
      <c r="T148" s="92" t="s">
        <v>153</v>
      </c>
      <c r="U148" s="92"/>
      <c r="V148" s="92"/>
      <c r="W148" s="92"/>
      <c r="X148" s="92"/>
      <c r="Y148" s="92"/>
      <c r="Z148" s="99">
        <v>44886</v>
      </c>
    </row>
    <row r="149" spans="1:26" s="98" customFormat="1" ht="12.6">
      <c r="A149" s="90" t="s">
        <v>593</v>
      </c>
      <c r="B149" s="90" t="s">
        <v>594</v>
      </c>
      <c r="C149" s="90" t="s">
        <v>595</v>
      </c>
      <c r="D149" s="90" t="s">
        <v>26</v>
      </c>
      <c r="E149" s="90" t="s">
        <v>172</v>
      </c>
      <c r="F149" s="90" t="s">
        <v>27</v>
      </c>
      <c r="G149" s="91" t="s">
        <v>163</v>
      </c>
      <c r="H149" s="90" t="s">
        <v>596</v>
      </c>
      <c r="I149" s="92" t="s">
        <v>165</v>
      </c>
      <c r="J149" s="92" t="s">
        <v>40</v>
      </c>
      <c r="K149" s="92" t="s">
        <v>184</v>
      </c>
      <c r="L149" s="93"/>
      <c r="M149" s="93" t="b">
        <v>0</v>
      </c>
      <c r="N149" s="93">
        <v>45614</v>
      </c>
      <c r="O149" s="94" t="s">
        <v>73</v>
      </c>
      <c r="P149" s="95">
        <v>7.8</v>
      </c>
      <c r="Q149" s="95"/>
      <c r="R149" s="95">
        <v>3</v>
      </c>
      <c r="S149" s="92" t="s">
        <v>119</v>
      </c>
      <c r="T149" s="92" t="s">
        <v>153</v>
      </c>
      <c r="U149" s="92"/>
      <c r="V149" s="92"/>
      <c r="W149" s="92"/>
      <c r="X149" s="92"/>
      <c r="Y149" s="92"/>
      <c r="Z149" s="97">
        <v>44792</v>
      </c>
    </row>
    <row r="150" spans="1:26" s="98" customFormat="1" ht="12.6">
      <c r="A150" s="90" t="s">
        <v>593</v>
      </c>
      <c r="B150" s="90" t="s">
        <v>594</v>
      </c>
      <c r="C150" s="90" t="s">
        <v>597</v>
      </c>
      <c r="D150" s="90" t="s">
        <v>26</v>
      </c>
      <c r="E150" s="90" t="s">
        <v>241</v>
      </c>
      <c r="F150" s="90" t="s">
        <v>27</v>
      </c>
      <c r="G150" s="91" t="s">
        <v>227</v>
      </c>
      <c r="H150" s="90" t="s">
        <v>598</v>
      </c>
      <c r="I150" s="92" t="s">
        <v>165</v>
      </c>
      <c r="J150" s="92" t="s">
        <v>40</v>
      </c>
      <c r="K150" s="92" t="s">
        <v>118</v>
      </c>
      <c r="L150" s="93">
        <v>44886</v>
      </c>
      <c r="M150" s="93" t="b">
        <v>0</v>
      </c>
      <c r="N150" s="93">
        <v>45614</v>
      </c>
      <c r="O150" s="94" t="s">
        <v>73</v>
      </c>
      <c r="P150" s="95">
        <v>9.1999999999999993</v>
      </c>
      <c r="Q150" s="95"/>
      <c r="R150" s="95">
        <v>1.8</v>
      </c>
      <c r="S150" s="92" t="s">
        <v>119</v>
      </c>
      <c r="T150" s="92" t="s">
        <v>153</v>
      </c>
      <c r="U150" s="92"/>
      <c r="V150" s="92"/>
      <c r="W150" s="92"/>
      <c r="X150" s="92"/>
      <c r="Y150" s="92"/>
      <c r="Z150" s="99">
        <v>44792</v>
      </c>
    </row>
    <row r="151" spans="1:26" s="98" customFormat="1" ht="12.6">
      <c r="A151" s="90" t="s">
        <v>593</v>
      </c>
      <c r="B151" s="90" t="s">
        <v>594</v>
      </c>
      <c r="C151" s="90" t="s">
        <v>599</v>
      </c>
      <c r="D151" s="90" t="s">
        <v>26</v>
      </c>
      <c r="E151" s="90" t="s">
        <v>172</v>
      </c>
      <c r="F151" s="90" t="s">
        <v>27</v>
      </c>
      <c r="G151" s="91" t="s">
        <v>227</v>
      </c>
      <c r="H151" s="90" t="s">
        <v>600</v>
      </c>
      <c r="I151" s="92" t="s">
        <v>165</v>
      </c>
      <c r="J151" s="92" t="s">
        <v>40</v>
      </c>
      <c r="K151" s="92" t="s">
        <v>118</v>
      </c>
      <c r="L151" s="93">
        <v>44886</v>
      </c>
      <c r="M151" s="93" t="b">
        <v>0</v>
      </c>
      <c r="N151" s="93">
        <v>45614</v>
      </c>
      <c r="O151" s="94" t="s">
        <v>73</v>
      </c>
      <c r="P151" s="95">
        <v>8</v>
      </c>
      <c r="Q151" s="95"/>
      <c r="R151" s="95">
        <v>1.2</v>
      </c>
      <c r="S151" s="92" t="s">
        <v>119</v>
      </c>
      <c r="T151" s="92" t="s">
        <v>153</v>
      </c>
      <c r="U151" s="92"/>
      <c r="V151" s="92"/>
      <c r="W151" s="92"/>
      <c r="X151" s="92"/>
      <c r="Y151" s="92"/>
      <c r="Z151" s="97">
        <v>44792</v>
      </c>
    </row>
    <row r="152" spans="1:26" s="98" customFormat="1" ht="12.6">
      <c r="A152" s="90" t="s">
        <v>593</v>
      </c>
      <c r="B152" s="90" t="s">
        <v>594</v>
      </c>
      <c r="C152" s="90" t="s">
        <v>601</v>
      </c>
      <c r="D152" s="90" t="s">
        <v>26</v>
      </c>
      <c r="E152" s="90" t="s">
        <v>223</v>
      </c>
      <c r="F152" s="90" t="s">
        <v>39</v>
      </c>
      <c r="G152" s="91" t="s">
        <v>205</v>
      </c>
      <c r="H152" s="90" t="s">
        <v>602</v>
      </c>
      <c r="I152" s="92" t="s">
        <v>28</v>
      </c>
      <c r="J152" s="92" t="s">
        <v>52</v>
      </c>
      <c r="K152" s="92" t="s">
        <v>118</v>
      </c>
      <c r="L152" s="93">
        <v>44886</v>
      </c>
      <c r="M152" s="93" t="b">
        <v>0</v>
      </c>
      <c r="N152" s="93">
        <v>45514</v>
      </c>
      <c r="O152" s="94" t="s">
        <v>73</v>
      </c>
      <c r="P152" s="95">
        <v>3.8</v>
      </c>
      <c r="Q152" s="95">
        <v>3.4</v>
      </c>
      <c r="R152" s="95"/>
      <c r="S152" s="92" t="s">
        <v>119</v>
      </c>
      <c r="T152" s="92" t="s">
        <v>153</v>
      </c>
      <c r="U152" s="92"/>
      <c r="V152" s="92"/>
      <c r="W152" s="92"/>
      <c r="X152" s="92"/>
      <c r="Y152" s="92"/>
      <c r="Z152" s="99">
        <v>44802</v>
      </c>
    </row>
    <row r="153" spans="1:26" s="98" customFormat="1" ht="12.6">
      <c r="A153" s="90" t="s">
        <v>603</v>
      </c>
      <c r="B153" s="90" t="s">
        <v>604</v>
      </c>
      <c r="C153" s="90" t="s">
        <v>605</v>
      </c>
      <c r="D153" s="90" t="s">
        <v>26</v>
      </c>
      <c r="E153" s="90" t="s">
        <v>223</v>
      </c>
      <c r="F153" s="90" t="s">
        <v>39</v>
      </c>
      <c r="G153" s="91" t="s">
        <v>205</v>
      </c>
      <c r="H153" s="90" t="s">
        <v>606</v>
      </c>
      <c r="I153" s="92" t="s">
        <v>28</v>
      </c>
      <c r="J153" s="92" t="s">
        <v>52</v>
      </c>
      <c r="K153" s="92" t="s">
        <v>118</v>
      </c>
      <c r="L153" s="93">
        <v>44886</v>
      </c>
      <c r="M153" s="93" t="b">
        <v>0</v>
      </c>
      <c r="N153" s="93">
        <v>45615</v>
      </c>
      <c r="O153" s="94" t="s">
        <v>73</v>
      </c>
      <c r="P153" s="95">
        <v>3.2</v>
      </c>
      <c r="Q153" s="95">
        <v>3.2</v>
      </c>
      <c r="R153" s="95"/>
      <c r="S153" s="92" t="s">
        <v>119</v>
      </c>
      <c r="T153" s="92" t="s">
        <v>153</v>
      </c>
      <c r="U153" s="92"/>
      <c r="V153" s="92"/>
      <c r="W153" s="92"/>
      <c r="X153" s="92"/>
      <c r="Y153" s="92"/>
      <c r="Z153" s="97"/>
    </row>
    <row r="154" spans="1:26" ht="12.6">
      <c r="A154" s="85" t="s">
        <v>607</v>
      </c>
      <c r="B154" s="85" t="s">
        <v>608</v>
      </c>
      <c r="C154" s="85" t="s">
        <v>609</v>
      </c>
      <c r="D154" s="85" t="s">
        <v>272</v>
      </c>
      <c r="E154" s="85" t="s">
        <v>610</v>
      </c>
      <c r="F154" s="85" t="s">
        <v>39</v>
      </c>
      <c r="G154" s="89" t="s">
        <v>251</v>
      </c>
      <c r="H154" s="85" t="s">
        <v>611</v>
      </c>
      <c r="I154" s="86" t="s">
        <v>28</v>
      </c>
      <c r="J154" s="86" t="s">
        <v>52</v>
      </c>
      <c r="K154" s="86" t="s">
        <v>118</v>
      </c>
      <c r="L154" s="87">
        <v>44699</v>
      </c>
      <c r="M154" s="87" t="b">
        <v>0</v>
      </c>
      <c r="N154" s="87"/>
      <c r="P154" s="88"/>
      <c r="Q154" s="88"/>
      <c r="R154" s="88"/>
      <c r="S154" s="86" t="s">
        <v>119</v>
      </c>
      <c r="T154" s="86" t="s">
        <v>153</v>
      </c>
      <c r="U154" s="86"/>
      <c r="V154" s="86"/>
      <c r="W154" s="86"/>
      <c r="X154" s="86"/>
      <c r="Y154" s="86"/>
      <c r="Z154" s="138">
        <v>44886</v>
      </c>
    </row>
    <row r="155" spans="1:26" s="322" customFormat="1" ht="12.6">
      <c r="A155" s="132" t="s">
        <v>612</v>
      </c>
      <c r="B155" s="132" t="s">
        <v>613</v>
      </c>
      <c r="C155" s="132" t="s">
        <v>614</v>
      </c>
      <c r="D155" s="132" t="s">
        <v>26</v>
      </c>
      <c r="E155" s="132" t="s">
        <v>172</v>
      </c>
      <c r="F155" s="132" t="s">
        <v>27</v>
      </c>
      <c r="G155" s="133" t="s">
        <v>173</v>
      </c>
      <c r="H155" s="132" t="s">
        <v>386</v>
      </c>
      <c r="I155" s="316" t="s">
        <v>165</v>
      </c>
      <c r="J155" s="316" t="s">
        <v>40</v>
      </c>
      <c r="K155" s="316" t="s">
        <v>118</v>
      </c>
      <c r="L155" s="317"/>
      <c r="M155" s="317" t="b">
        <v>0</v>
      </c>
      <c r="N155" s="317">
        <v>45614</v>
      </c>
      <c r="O155" s="318" t="s">
        <v>73</v>
      </c>
      <c r="P155" s="319"/>
      <c r="Q155" s="319"/>
      <c r="R155" s="319"/>
      <c r="S155" s="316" t="s">
        <v>119</v>
      </c>
      <c r="T155" s="316" t="s">
        <v>120</v>
      </c>
      <c r="U155" s="316"/>
      <c r="V155" s="316"/>
      <c r="W155" s="316"/>
      <c r="X155" s="316"/>
      <c r="Y155" s="316" t="s">
        <v>522</v>
      </c>
      <c r="Z155" s="321">
        <v>44886</v>
      </c>
    </row>
    <row r="156" spans="1:26" s="98" customFormat="1" ht="12.6">
      <c r="A156" s="90" t="s">
        <v>612</v>
      </c>
      <c r="B156" s="90" t="s">
        <v>613</v>
      </c>
      <c r="C156" s="90" t="s">
        <v>615</v>
      </c>
      <c r="D156" s="90" t="s">
        <v>26</v>
      </c>
      <c r="E156" s="90" t="s">
        <v>256</v>
      </c>
      <c r="F156" s="90" t="s">
        <v>39</v>
      </c>
      <c r="G156" s="91" t="s">
        <v>201</v>
      </c>
      <c r="H156" s="90" t="s">
        <v>616</v>
      </c>
      <c r="I156" s="92" t="s">
        <v>28</v>
      </c>
      <c r="J156" s="92" t="s">
        <v>28</v>
      </c>
      <c r="K156" s="92" t="s">
        <v>118</v>
      </c>
      <c r="L156" s="93"/>
      <c r="M156" s="93" t="b">
        <v>0</v>
      </c>
      <c r="N156" s="93">
        <v>45614</v>
      </c>
      <c r="O156" s="94" t="s">
        <v>73</v>
      </c>
      <c r="P156" s="95">
        <v>2.8</v>
      </c>
      <c r="Q156" s="95">
        <v>3</v>
      </c>
      <c r="R156" s="95"/>
      <c r="S156" s="92" t="s">
        <v>119</v>
      </c>
      <c r="T156" s="92" t="s">
        <v>153</v>
      </c>
      <c r="U156" s="108"/>
      <c r="V156" s="92"/>
      <c r="W156" s="92"/>
      <c r="X156" s="92"/>
      <c r="Y156" s="92"/>
      <c r="Z156" s="99"/>
    </row>
    <row r="157" spans="1:26" s="98" customFormat="1" ht="12.6">
      <c r="A157" s="90" t="s">
        <v>612</v>
      </c>
      <c r="B157" s="90" t="s">
        <v>613</v>
      </c>
      <c r="C157" s="90" t="s">
        <v>617</v>
      </c>
      <c r="D157" s="90" t="s">
        <v>26</v>
      </c>
      <c r="E157" s="90" t="s">
        <v>223</v>
      </c>
      <c r="F157" s="90" t="s">
        <v>39</v>
      </c>
      <c r="G157" s="91" t="s">
        <v>205</v>
      </c>
      <c r="H157" s="90" t="s">
        <v>618</v>
      </c>
      <c r="I157" s="92" t="s">
        <v>28</v>
      </c>
      <c r="J157" s="92" t="s">
        <v>52</v>
      </c>
      <c r="K157" s="92" t="s">
        <v>118</v>
      </c>
      <c r="L157" s="93">
        <v>44901</v>
      </c>
      <c r="M157" s="93" t="b">
        <v>0</v>
      </c>
      <c r="N157" s="93">
        <v>45614</v>
      </c>
      <c r="O157" s="94" t="s">
        <v>73</v>
      </c>
      <c r="P157" s="95">
        <v>4</v>
      </c>
      <c r="Q157" s="95">
        <v>3.6</v>
      </c>
      <c r="R157" s="95"/>
      <c r="S157" s="92" t="s">
        <v>119</v>
      </c>
      <c r="T157" s="92" t="s">
        <v>153</v>
      </c>
      <c r="U157" s="92"/>
      <c r="V157" s="92"/>
      <c r="W157" s="92"/>
      <c r="X157" s="92"/>
      <c r="Y157" s="92"/>
      <c r="Z157" s="97">
        <v>44886</v>
      </c>
    </row>
    <row r="158" spans="1:26" s="131" customFormat="1" ht="12.6">
      <c r="A158" s="124" t="s">
        <v>619</v>
      </c>
      <c r="B158" s="124" t="s">
        <v>620</v>
      </c>
      <c r="C158" s="124" t="s">
        <v>621</v>
      </c>
      <c r="D158" s="124" t="s">
        <v>26</v>
      </c>
      <c r="E158" s="124" t="s">
        <v>172</v>
      </c>
      <c r="F158" s="124" t="s">
        <v>27</v>
      </c>
      <c r="G158" s="125" t="s">
        <v>163</v>
      </c>
      <c r="H158" s="124" t="s">
        <v>622</v>
      </c>
      <c r="I158" s="126" t="s">
        <v>165</v>
      </c>
      <c r="J158" s="126" t="s">
        <v>40</v>
      </c>
      <c r="K158" s="126" t="s">
        <v>118</v>
      </c>
      <c r="L158" s="127">
        <v>44886</v>
      </c>
      <c r="M158" s="127" t="b">
        <v>0</v>
      </c>
      <c r="N158" s="127">
        <v>45614</v>
      </c>
      <c r="O158" s="128" t="s">
        <v>73</v>
      </c>
      <c r="P158" s="129"/>
      <c r="Q158" s="129"/>
      <c r="R158" s="129"/>
      <c r="S158" s="126" t="s">
        <v>166</v>
      </c>
      <c r="T158" s="126" t="s">
        <v>153</v>
      </c>
      <c r="U158" s="126"/>
      <c r="V158" s="126"/>
      <c r="W158" s="126"/>
      <c r="X158" s="126" t="s">
        <v>623</v>
      </c>
      <c r="Y158" s="126" t="s">
        <v>522</v>
      </c>
      <c r="Z158" s="130">
        <v>44886</v>
      </c>
    </row>
    <row r="159" spans="1:26" s="98" customFormat="1" ht="12.6">
      <c r="A159" s="90" t="s">
        <v>619</v>
      </c>
      <c r="B159" s="90" t="s">
        <v>620</v>
      </c>
      <c r="C159" s="90" t="s">
        <v>624</v>
      </c>
      <c r="D159" s="90" t="s">
        <v>26</v>
      </c>
      <c r="E159" s="90" t="s">
        <v>172</v>
      </c>
      <c r="F159" s="90" t="s">
        <v>27</v>
      </c>
      <c r="G159" s="91" t="s">
        <v>227</v>
      </c>
      <c r="H159" s="90" t="s">
        <v>625</v>
      </c>
      <c r="I159" s="92" t="s">
        <v>165</v>
      </c>
      <c r="J159" s="92" t="s">
        <v>40</v>
      </c>
      <c r="K159" s="92" t="s">
        <v>118</v>
      </c>
      <c r="L159" s="93"/>
      <c r="M159" s="93" t="b">
        <v>0</v>
      </c>
      <c r="N159" s="93">
        <v>45614</v>
      </c>
      <c r="O159" s="94" t="s">
        <v>73</v>
      </c>
      <c r="P159" s="95">
        <v>8.4</v>
      </c>
      <c r="Q159" s="95"/>
      <c r="R159" s="95">
        <v>2.6</v>
      </c>
      <c r="S159" s="92" t="s">
        <v>119</v>
      </c>
      <c r="T159" s="92" t="s">
        <v>153</v>
      </c>
      <c r="U159" s="92"/>
      <c r="V159" s="92"/>
      <c r="W159" s="92"/>
      <c r="X159" s="92"/>
      <c r="Y159" s="92"/>
      <c r="Z159" s="97">
        <v>44886</v>
      </c>
    </row>
    <row r="160" spans="1:26" s="161" customFormat="1" ht="12.6">
      <c r="A160" s="85" t="s">
        <v>626</v>
      </c>
      <c r="B160" s="85" t="s">
        <v>627</v>
      </c>
      <c r="C160" s="85" t="s">
        <v>628</v>
      </c>
      <c r="D160" s="85" t="s">
        <v>61</v>
      </c>
      <c r="E160" s="85" t="s">
        <v>509</v>
      </c>
      <c r="F160" s="85" t="s">
        <v>27</v>
      </c>
      <c r="G160" s="89" t="s">
        <v>227</v>
      </c>
      <c r="H160" s="85" t="s">
        <v>629</v>
      </c>
      <c r="I160" s="156" t="s">
        <v>28</v>
      </c>
      <c r="J160" s="156" t="s">
        <v>28</v>
      </c>
      <c r="K160" s="156" t="s">
        <v>118</v>
      </c>
      <c r="L160" s="171"/>
      <c r="M160" s="158" t="b">
        <v>1</v>
      </c>
      <c r="N160" s="171"/>
      <c r="O160" s="159"/>
      <c r="P160" s="160"/>
      <c r="Q160" s="160"/>
      <c r="R160" s="160"/>
      <c r="S160" s="86" t="s">
        <v>119</v>
      </c>
      <c r="T160" s="156" t="s">
        <v>120</v>
      </c>
      <c r="U160" s="156"/>
      <c r="V160" s="156"/>
      <c r="W160" s="86"/>
      <c r="X160" s="156"/>
      <c r="Y160" s="156" t="s">
        <v>630</v>
      </c>
      <c r="Z160" s="172">
        <v>44886</v>
      </c>
    </row>
    <row r="161" spans="1:26" ht="12.6">
      <c r="A161" s="85" t="s">
        <v>626</v>
      </c>
      <c r="B161" s="85" t="s">
        <v>627</v>
      </c>
      <c r="C161" s="85" t="s">
        <v>631</v>
      </c>
      <c r="D161" s="85" t="s">
        <v>38</v>
      </c>
      <c r="E161" s="85" t="s">
        <v>204</v>
      </c>
      <c r="F161" s="85" t="s">
        <v>39</v>
      </c>
      <c r="G161" s="89" t="s">
        <v>251</v>
      </c>
      <c r="H161" s="85" t="s">
        <v>544</v>
      </c>
      <c r="I161" s="86" t="s">
        <v>28</v>
      </c>
      <c r="J161" s="86" t="s">
        <v>52</v>
      </c>
      <c r="K161" s="86" t="s">
        <v>118</v>
      </c>
      <c r="L161" s="87">
        <v>44585</v>
      </c>
      <c r="M161" s="87" t="b">
        <v>0</v>
      </c>
      <c r="N161" s="87"/>
      <c r="P161" s="88"/>
      <c r="Q161" s="88"/>
      <c r="R161" s="88"/>
      <c r="S161" s="86" t="s">
        <v>119</v>
      </c>
      <c r="T161" s="86" t="s">
        <v>153</v>
      </c>
      <c r="U161" s="86"/>
      <c r="V161" s="86"/>
      <c r="W161" s="86"/>
      <c r="X161" s="86"/>
      <c r="Y161" s="86"/>
      <c r="Z161" s="154">
        <v>44699</v>
      </c>
    </row>
    <row r="162" spans="1:26" ht="12.6">
      <c r="A162" s="85" t="s">
        <v>626</v>
      </c>
      <c r="B162" s="85" t="s">
        <v>627</v>
      </c>
      <c r="C162" s="85" t="s">
        <v>632</v>
      </c>
      <c r="D162" s="85" t="s">
        <v>38</v>
      </c>
      <c r="E162" s="85" t="s">
        <v>204</v>
      </c>
      <c r="F162" s="85" t="s">
        <v>39</v>
      </c>
      <c r="G162" s="89" t="s">
        <v>177</v>
      </c>
      <c r="H162" s="85" t="s">
        <v>633</v>
      </c>
      <c r="I162" s="86" t="s">
        <v>28</v>
      </c>
      <c r="J162" s="86" t="s">
        <v>52</v>
      </c>
      <c r="K162" s="86" t="s">
        <v>118</v>
      </c>
      <c r="L162" s="87">
        <v>44585</v>
      </c>
      <c r="M162" s="87" t="b">
        <v>0</v>
      </c>
      <c r="N162" s="87"/>
      <c r="P162" s="88"/>
      <c r="Q162" s="88"/>
      <c r="R162" s="88"/>
      <c r="S162" s="86" t="s">
        <v>119</v>
      </c>
      <c r="T162" s="86" t="s">
        <v>153</v>
      </c>
      <c r="U162" s="86"/>
      <c r="V162" s="86"/>
      <c r="W162" s="86"/>
      <c r="X162" s="86"/>
      <c r="Y162" s="86"/>
      <c r="Z162" s="138"/>
    </row>
    <row r="163" spans="1:26" s="234" customFormat="1" ht="12.6">
      <c r="A163" s="228" t="s">
        <v>626</v>
      </c>
      <c r="B163" s="228" t="s">
        <v>627</v>
      </c>
      <c r="C163" s="228" t="s">
        <v>634</v>
      </c>
      <c r="D163" s="228" t="s">
        <v>50</v>
      </c>
      <c r="E163" s="228" t="s">
        <v>635</v>
      </c>
      <c r="F163" s="228" t="s">
        <v>39</v>
      </c>
      <c r="G163" s="229" t="s">
        <v>208</v>
      </c>
      <c r="H163" s="228" t="s">
        <v>636</v>
      </c>
      <c r="I163" s="230" t="s">
        <v>28</v>
      </c>
      <c r="J163" s="230" t="s">
        <v>183</v>
      </c>
      <c r="K163" s="230" t="s">
        <v>184</v>
      </c>
      <c r="L163" s="231">
        <v>44767</v>
      </c>
      <c r="M163" s="231" t="b">
        <v>0</v>
      </c>
      <c r="N163" s="231">
        <v>45509</v>
      </c>
      <c r="O163" s="227" t="s">
        <v>35</v>
      </c>
      <c r="P163" s="232"/>
      <c r="Q163" s="232"/>
      <c r="R163" s="232"/>
      <c r="S163" s="230" t="s">
        <v>166</v>
      </c>
      <c r="T163" s="230" t="s">
        <v>120</v>
      </c>
      <c r="U163" s="230" t="s">
        <v>153</v>
      </c>
      <c r="V163" s="230" t="s">
        <v>167</v>
      </c>
      <c r="W163" s="230" t="s">
        <v>167</v>
      </c>
      <c r="X163" s="230"/>
      <c r="Y163" s="230" t="s">
        <v>522</v>
      </c>
      <c r="Z163" s="233"/>
    </row>
    <row r="164" spans="1:26" s="98" customFormat="1" ht="12.6">
      <c r="A164" s="90" t="s">
        <v>637</v>
      </c>
      <c r="B164" s="90" t="s">
        <v>638</v>
      </c>
      <c r="C164" s="90" t="s">
        <v>639</v>
      </c>
      <c r="D164" s="90" t="s">
        <v>26</v>
      </c>
      <c r="E164" s="90" t="s">
        <v>176</v>
      </c>
      <c r="F164" s="90" t="s">
        <v>39</v>
      </c>
      <c r="G164" s="91" t="s">
        <v>177</v>
      </c>
      <c r="H164" s="90" t="s">
        <v>640</v>
      </c>
      <c r="I164" s="92" t="s">
        <v>165</v>
      </c>
      <c r="J164" s="92" t="s">
        <v>40</v>
      </c>
      <c r="K164" s="92" t="s">
        <v>118</v>
      </c>
      <c r="L164" s="93">
        <v>44655</v>
      </c>
      <c r="M164" s="93" t="b">
        <v>0</v>
      </c>
      <c r="N164" s="93">
        <v>45390</v>
      </c>
      <c r="O164" s="94" t="s">
        <v>73</v>
      </c>
      <c r="P164" s="95">
        <v>2.6</v>
      </c>
      <c r="Q164" s="95">
        <v>3</v>
      </c>
      <c r="R164" s="95"/>
      <c r="S164" s="92" t="s">
        <v>119</v>
      </c>
      <c r="T164" s="92" t="s">
        <v>153</v>
      </c>
      <c r="U164" s="92"/>
      <c r="V164" s="92"/>
      <c r="W164" s="86"/>
      <c r="X164" s="92"/>
      <c r="Y164" s="92"/>
      <c r="Z164" s="99">
        <v>44901</v>
      </c>
    </row>
    <row r="165" spans="1:26" ht="12.6">
      <c r="A165" s="85" t="s">
        <v>637</v>
      </c>
      <c r="B165" s="85" t="s">
        <v>638</v>
      </c>
      <c r="C165" s="85" t="s">
        <v>641</v>
      </c>
      <c r="D165" s="85" t="s">
        <v>38</v>
      </c>
      <c r="E165" s="85" t="s">
        <v>204</v>
      </c>
      <c r="F165" s="85" t="s">
        <v>39</v>
      </c>
      <c r="G165" s="89" t="s">
        <v>205</v>
      </c>
      <c r="H165" s="85" t="s">
        <v>544</v>
      </c>
      <c r="I165" s="86" t="s">
        <v>28</v>
      </c>
      <c r="J165" s="86" t="s">
        <v>52</v>
      </c>
      <c r="K165" s="86" t="s">
        <v>118</v>
      </c>
      <c r="L165" s="87">
        <v>44655</v>
      </c>
      <c r="M165" s="87" t="b">
        <v>0</v>
      </c>
      <c r="N165" s="87"/>
      <c r="P165" s="88"/>
      <c r="Q165" s="88"/>
      <c r="R165" s="88"/>
      <c r="S165" s="86" t="s">
        <v>119</v>
      </c>
      <c r="T165" s="86" t="s">
        <v>153</v>
      </c>
      <c r="U165" s="86"/>
      <c r="V165" s="86"/>
      <c r="W165" s="86"/>
      <c r="X165" s="86"/>
      <c r="Y165" s="86"/>
      <c r="Z165" s="154">
        <v>44886</v>
      </c>
    </row>
    <row r="166" spans="1:26" s="234" customFormat="1" ht="12.6">
      <c r="A166" s="228" t="s">
        <v>642</v>
      </c>
      <c r="B166" s="228" t="s">
        <v>642</v>
      </c>
      <c r="C166" s="228" t="s">
        <v>643</v>
      </c>
      <c r="D166" s="228" t="s">
        <v>26</v>
      </c>
      <c r="E166" s="228" t="s">
        <v>172</v>
      </c>
      <c r="F166" s="228" t="s">
        <v>27</v>
      </c>
      <c r="G166" s="229" t="s">
        <v>208</v>
      </c>
      <c r="H166" s="228" t="s">
        <v>644</v>
      </c>
      <c r="I166" s="230" t="s">
        <v>165</v>
      </c>
      <c r="J166" s="230" t="s">
        <v>40</v>
      </c>
      <c r="K166" s="230" t="s">
        <v>184</v>
      </c>
      <c r="L166" s="231"/>
      <c r="M166" s="231" t="b">
        <v>0</v>
      </c>
      <c r="N166" s="231">
        <v>45447</v>
      </c>
      <c r="O166" s="227" t="s">
        <v>35</v>
      </c>
      <c r="P166" s="232"/>
      <c r="Q166" s="232"/>
      <c r="R166" s="232"/>
      <c r="S166" s="230" t="s">
        <v>166</v>
      </c>
      <c r="T166" s="230" t="s">
        <v>120</v>
      </c>
      <c r="U166" s="230" t="s">
        <v>153</v>
      </c>
      <c r="V166" s="230" t="s">
        <v>167</v>
      </c>
      <c r="W166" s="230" t="s">
        <v>167</v>
      </c>
      <c r="X166" s="230"/>
      <c r="Y166" s="230" t="s">
        <v>645</v>
      </c>
      <c r="Z166" s="238"/>
    </row>
    <row r="167" spans="1:26" ht="12.6">
      <c r="A167" s="85" t="s">
        <v>646</v>
      </c>
      <c r="B167" s="85" t="s">
        <v>647</v>
      </c>
      <c r="C167" s="85" t="s">
        <v>648</v>
      </c>
      <c r="D167" s="85" t="s">
        <v>26</v>
      </c>
      <c r="E167" s="85" t="s">
        <v>172</v>
      </c>
      <c r="F167" s="85" t="s">
        <v>27</v>
      </c>
      <c r="G167" s="89" t="s">
        <v>173</v>
      </c>
      <c r="H167" s="85" t="s">
        <v>247</v>
      </c>
      <c r="I167" s="86" t="s">
        <v>165</v>
      </c>
      <c r="J167" s="86" t="s">
        <v>40</v>
      </c>
      <c r="K167" s="86" t="s">
        <v>118</v>
      </c>
      <c r="L167" s="87">
        <v>44606</v>
      </c>
      <c r="M167" s="87" t="b">
        <v>0</v>
      </c>
      <c r="N167" s="87"/>
      <c r="P167" s="88"/>
      <c r="Q167" s="88"/>
      <c r="R167" s="88"/>
      <c r="S167" s="86" t="s">
        <v>119</v>
      </c>
      <c r="T167" s="86" t="s">
        <v>153</v>
      </c>
      <c r="U167" s="86"/>
      <c r="V167" s="86"/>
      <c r="W167" s="86"/>
      <c r="X167" s="86"/>
      <c r="Y167" s="86"/>
      <c r="Z167" s="165"/>
    </row>
    <row r="168" spans="1:26" ht="12.6">
      <c r="A168" s="85" t="s">
        <v>646</v>
      </c>
      <c r="B168" s="85" t="s">
        <v>649</v>
      </c>
      <c r="C168" s="85" t="s">
        <v>650</v>
      </c>
      <c r="D168" s="85" t="s">
        <v>26</v>
      </c>
      <c r="E168" s="85" t="s">
        <v>172</v>
      </c>
      <c r="F168" s="85" t="s">
        <v>27</v>
      </c>
      <c r="G168" s="89" t="s">
        <v>163</v>
      </c>
      <c r="H168" s="85" t="s">
        <v>651</v>
      </c>
      <c r="I168" s="86" t="s">
        <v>165</v>
      </c>
      <c r="J168" s="86" t="s">
        <v>40</v>
      </c>
      <c r="K168" s="86" t="s">
        <v>118</v>
      </c>
      <c r="L168" s="87">
        <v>44599</v>
      </c>
      <c r="M168" s="87" t="b">
        <v>0</v>
      </c>
      <c r="N168" s="87"/>
      <c r="P168" s="88"/>
      <c r="Q168" s="88"/>
      <c r="R168" s="88"/>
      <c r="S168" s="86" t="s">
        <v>119</v>
      </c>
      <c r="T168" s="86" t="s">
        <v>153</v>
      </c>
      <c r="U168" s="86" t="s">
        <v>199</v>
      </c>
      <c r="V168" s="86"/>
      <c r="W168" s="86"/>
      <c r="X168" s="86"/>
      <c r="Y168" s="86"/>
      <c r="Z168" s="138">
        <v>44585</v>
      </c>
    </row>
    <row r="169" spans="1:26" s="188" customFormat="1" ht="12.6">
      <c r="A169" s="180" t="s">
        <v>646</v>
      </c>
      <c r="B169" s="180" t="s">
        <v>649</v>
      </c>
      <c r="C169" s="180" t="s">
        <v>652</v>
      </c>
      <c r="D169" s="180" t="s">
        <v>26</v>
      </c>
      <c r="E169" s="180" t="s">
        <v>172</v>
      </c>
      <c r="F169" s="180" t="s">
        <v>27</v>
      </c>
      <c r="G169" s="181" t="s">
        <v>163</v>
      </c>
      <c r="H169" s="180" t="s">
        <v>653</v>
      </c>
      <c r="I169" s="182" t="s">
        <v>165</v>
      </c>
      <c r="J169" s="182" t="s">
        <v>40</v>
      </c>
      <c r="K169" s="182" t="s">
        <v>184</v>
      </c>
      <c r="L169" s="183">
        <v>44599</v>
      </c>
      <c r="M169" s="183" t="b">
        <v>0</v>
      </c>
      <c r="N169" s="183"/>
      <c r="O169" s="185"/>
      <c r="P169" s="186"/>
      <c r="Q169" s="186"/>
      <c r="R169" s="186"/>
      <c r="S169" s="182" t="s">
        <v>166</v>
      </c>
      <c r="T169" s="182" t="s">
        <v>120</v>
      </c>
      <c r="U169" s="182" t="s">
        <v>153</v>
      </c>
      <c r="V169" s="182" t="s">
        <v>167</v>
      </c>
      <c r="W169" s="182" t="s">
        <v>167</v>
      </c>
      <c r="X169" s="182"/>
      <c r="Y169" s="182"/>
      <c r="Z169" s="191">
        <v>44585</v>
      </c>
    </row>
    <row r="170" spans="1:26" ht="12.6">
      <c r="A170" s="85" t="s">
        <v>646</v>
      </c>
      <c r="B170" s="85" t="s">
        <v>649</v>
      </c>
      <c r="C170" s="85" t="s">
        <v>654</v>
      </c>
      <c r="D170" s="85" t="s">
        <v>26</v>
      </c>
      <c r="E170" s="85" t="s">
        <v>172</v>
      </c>
      <c r="F170" s="85" t="s">
        <v>27</v>
      </c>
      <c r="G170" s="89" t="s">
        <v>208</v>
      </c>
      <c r="H170" s="85" t="s">
        <v>655</v>
      </c>
      <c r="I170" s="86" t="s">
        <v>165</v>
      </c>
      <c r="J170" s="86" t="s">
        <v>40</v>
      </c>
      <c r="K170" s="86" t="s">
        <v>118</v>
      </c>
      <c r="L170" s="154">
        <v>44599</v>
      </c>
      <c r="M170" s="87" t="b">
        <v>0</v>
      </c>
      <c r="N170" s="154"/>
      <c r="P170" s="88"/>
      <c r="Q170" s="88"/>
      <c r="R170" s="88"/>
      <c r="S170" s="86" t="s">
        <v>119</v>
      </c>
      <c r="T170" s="86" t="s">
        <v>120</v>
      </c>
      <c r="U170" s="86"/>
      <c r="V170" s="86"/>
      <c r="W170" s="86"/>
      <c r="X170" s="86"/>
      <c r="Y170" s="86"/>
      <c r="Z170" s="138">
        <v>44767</v>
      </c>
    </row>
    <row r="171" spans="1:26" ht="12.6">
      <c r="A171" s="85" t="s">
        <v>646</v>
      </c>
      <c r="B171" s="85" t="s">
        <v>649</v>
      </c>
      <c r="C171" s="85" t="s">
        <v>656</v>
      </c>
      <c r="D171" s="85" t="s">
        <v>26</v>
      </c>
      <c r="E171" s="85" t="s">
        <v>172</v>
      </c>
      <c r="F171" s="85" t="s">
        <v>27</v>
      </c>
      <c r="G171" s="89" t="s">
        <v>208</v>
      </c>
      <c r="H171" s="85" t="s">
        <v>657</v>
      </c>
      <c r="I171" s="86" t="s">
        <v>165</v>
      </c>
      <c r="J171" s="86" t="s">
        <v>40</v>
      </c>
      <c r="K171" s="86" t="s">
        <v>118</v>
      </c>
      <c r="L171" s="87">
        <v>44599</v>
      </c>
      <c r="M171" s="87" t="b">
        <v>0</v>
      </c>
      <c r="N171" s="87"/>
      <c r="P171" s="88"/>
      <c r="Q171" s="88"/>
      <c r="R171" s="88"/>
      <c r="S171" s="86" t="s">
        <v>119</v>
      </c>
      <c r="T171" s="86" t="s">
        <v>153</v>
      </c>
      <c r="U171" s="86"/>
      <c r="V171" s="86"/>
      <c r="W171" s="86"/>
      <c r="X171" s="86"/>
      <c r="Y171" s="86"/>
      <c r="Z171" s="154">
        <v>44655</v>
      </c>
    </row>
    <row r="172" spans="1:26" ht="12.6">
      <c r="A172" s="85" t="s">
        <v>646</v>
      </c>
      <c r="B172" s="85" t="s">
        <v>649</v>
      </c>
      <c r="C172" s="85" t="s">
        <v>658</v>
      </c>
      <c r="D172" s="85" t="s">
        <v>38</v>
      </c>
      <c r="E172" s="85" t="s">
        <v>659</v>
      </c>
      <c r="F172" s="85" t="s">
        <v>39</v>
      </c>
      <c r="G172" s="89" t="s">
        <v>205</v>
      </c>
      <c r="H172" s="85" t="s">
        <v>544</v>
      </c>
      <c r="I172" s="86" t="s">
        <v>28</v>
      </c>
      <c r="J172" s="86" t="s">
        <v>52</v>
      </c>
      <c r="K172" s="86" t="s">
        <v>118</v>
      </c>
      <c r="L172" s="154">
        <v>44599</v>
      </c>
      <c r="M172" s="87" t="b">
        <v>0</v>
      </c>
      <c r="N172" s="154"/>
      <c r="P172" s="88"/>
      <c r="Q172" s="88"/>
      <c r="R172" s="88"/>
      <c r="S172" s="86" t="s">
        <v>119</v>
      </c>
      <c r="T172" s="86" t="s">
        <v>153</v>
      </c>
      <c r="U172" s="86"/>
      <c r="V172" s="86"/>
      <c r="W172" s="86"/>
      <c r="X172" s="86"/>
      <c r="Y172" s="86"/>
      <c r="Z172" s="138">
        <v>44655</v>
      </c>
    </row>
    <row r="173" spans="1:26" s="188" customFormat="1" ht="12.6">
      <c r="A173" s="180" t="s">
        <v>660</v>
      </c>
      <c r="B173" s="180" t="s">
        <v>661</v>
      </c>
      <c r="C173" s="180" t="s">
        <v>662</v>
      </c>
      <c r="D173" s="180" t="s">
        <v>50</v>
      </c>
      <c r="E173" s="180" t="s">
        <v>235</v>
      </c>
      <c r="F173" s="180" t="s">
        <v>27</v>
      </c>
      <c r="G173" s="181" t="s">
        <v>173</v>
      </c>
      <c r="H173" s="180" t="s">
        <v>570</v>
      </c>
      <c r="I173" s="182" t="s">
        <v>165</v>
      </c>
      <c r="J173" s="182" t="s">
        <v>40</v>
      </c>
      <c r="K173" s="182" t="s">
        <v>118</v>
      </c>
      <c r="L173" s="191"/>
      <c r="M173" s="183" t="b">
        <v>0</v>
      </c>
      <c r="N173" s="191">
        <v>44939</v>
      </c>
      <c r="O173" s="185"/>
      <c r="P173" s="186"/>
      <c r="Q173" s="186"/>
      <c r="R173" s="186"/>
      <c r="S173" s="182" t="s">
        <v>166</v>
      </c>
      <c r="T173" s="182" t="s">
        <v>120</v>
      </c>
      <c r="U173" s="182" t="s">
        <v>153</v>
      </c>
      <c r="V173" s="182" t="s">
        <v>167</v>
      </c>
      <c r="W173" s="182" t="s">
        <v>167</v>
      </c>
      <c r="X173" s="182"/>
      <c r="Y173" s="182" t="s">
        <v>645</v>
      </c>
      <c r="Z173" s="191"/>
    </row>
    <row r="174" spans="1:26" s="188" customFormat="1" ht="12.6">
      <c r="A174" s="180" t="s">
        <v>660</v>
      </c>
      <c r="B174" s="180" t="s">
        <v>661</v>
      </c>
      <c r="C174" s="180" t="s">
        <v>663</v>
      </c>
      <c r="D174" s="180" t="s">
        <v>50</v>
      </c>
      <c r="E174" s="180" t="s">
        <v>197</v>
      </c>
      <c r="F174" s="180" t="s">
        <v>39</v>
      </c>
      <c r="G174" s="181" t="s">
        <v>163</v>
      </c>
      <c r="H174" s="180" t="s">
        <v>664</v>
      </c>
      <c r="I174" s="182" t="s">
        <v>165</v>
      </c>
      <c r="J174" s="182" t="s">
        <v>40</v>
      </c>
      <c r="K174" s="182" t="s">
        <v>184</v>
      </c>
      <c r="L174" s="191"/>
      <c r="M174" s="183" t="b">
        <v>0</v>
      </c>
      <c r="N174" s="191"/>
      <c r="O174" s="185"/>
      <c r="P174" s="186"/>
      <c r="Q174" s="186"/>
      <c r="R174" s="186"/>
      <c r="S174" s="182" t="s">
        <v>166</v>
      </c>
      <c r="T174" s="182" t="s">
        <v>120</v>
      </c>
      <c r="U174" s="182" t="s">
        <v>153</v>
      </c>
      <c r="V174" s="182" t="s">
        <v>167</v>
      </c>
      <c r="W174" s="182" t="s">
        <v>167</v>
      </c>
      <c r="X174" s="182"/>
      <c r="Y174" s="182"/>
      <c r="Z174" s="190">
        <v>44606</v>
      </c>
    </row>
    <row r="175" spans="1:26" ht="12.6">
      <c r="A175" s="85" t="s">
        <v>665</v>
      </c>
      <c r="B175" s="85" t="s">
        <v>666</v>
      </c>
      <c r="C175" s="85" t="s">
        <v>667</v>
      </c>
      <c r="D175" s="85" t="s">
        <v>26</v>
      </c>
      <c r="E175" s="85" t="s">
        <v>172</v>
      </c>
      <c r="F175" s="85" t="s">
        <v>27</v>
      </c>
      <c r="G175" s="89" t="s">
        <v>163</v>
      </c>
      <c r="H175" s="85" t="s">
        <v>668</v>
      </c>
      <c r="I175" s="86" t="s">
        <v>165</v>
      </c>
      <c r="J175" s="86" t="s">
        <v>40</v>
      </c>
      <c r="K175" s="86" t="s">
        <v>118</v>
      </c>
      <c r="L175" s="87">
        <v>44600</v>
      </c>
      <c r="M175" s="87" t="b">
        <v>0</v>
      </c>
      <c r="N175" s="87"/>
      <c r="P175" s="88"/>
      <c r="Q175" s="88"/>
      <c r="R175" s="88"/>
      <c r="S175" s="86" t="s">
        <v>119</v>
      </c>
      <c r="T175" s="86" t="s">
        <v>153</v>
      </c>
      <c r="U175" s="86"/>
      <c r="V175" s="86"/>
      <c r="W175" s="86"/>
      <c r="X175" s="86"/>
      <c r="Y175" s="86"/>
      <c r="Z175" s="154">
        <v>44599</v>
      </c>
    </row>
    <row r="176" spans="1:26" ht="12.6">
      <c r="A176" s="85" t="s">
        <v>665</v>
      </c>
      <c r="B176" s="85" t="s">
        <v>666</v>
      </c>
      <c r="C176" s="85" t="s">
        <v>669</v>
      </c>
      <c r="D176" s="85" t="s">
        <v>26</v>
      </c>
      <c r="E176" s="85" t="s">
        <v>370</v>
      </c>
      <c r="F176" s="85" t="s">
        <v>27</v>
      </c>
      <c r="G176" s="89" t="s">
        <v>181</v>
      </c>
      <c r="H176" s="85" t="s">
        <v>670</v>
      </c>
      <c r="I176" s="86" t="s">
        <v>28</v>
      </c>
      <c r="J176" s="86" t="s">
        <v>28</v>
      </c>
      <c r="K176" s="86" t="s">
        <v>118</v>
      </c>
      <c r="L176" s="154">
        <v>44600</v>
      </c>
      <c r="M176" s="87" t="b">
        <v>0</v>
      </c>
      <c r="N176" s="154"/>
      <c r="P176" s="88"/>
      <c r="Q176" s="88"/>
      <c r="R176" s="88"/>
      <c r="S176" s="86" t="s">
        <v>119</v>
      </c>
      <c r="T176" s="86" t="s">
        <v>153</v>
      </c>
      <c r="U176" s="86"/>
      <c r="V176" s="86"/>
      <c r="W176" s="86"/>
      <c r="X176" s="86"/>
      <c r="Y176" s="86"/>
      <c r="Z176" s="138">
        <v>44599</v>
      </c>
    </row>
    <row r="177" spans="1:26" ht="12.6">
      <c r="A177" s="85" t="s">
        <v>665</v>
      </c>
      <c r="B177" s="85" t="s">
        <v>666</v>
      </c>
      <c r="C177" s="85" t="s">
        <v>671</v>
      </c>
      <c r="D177" s="85" t="s">
        <v>672</v>
      </c>
      <c r="E177" s="85" t="s">
        <v>264</v>
      </c>
      <c r="F177" s="85" t="s">
        <v>39</v>
      </c>
      <c r="G177" s="89" t="s">
        <v>673</v>
      </c>
      <c r="H177" s="85" t="s">
        <v>544</v>
      </c>
      <c r="I177" s="86" t="s">
        <v>28</v>
      </c>
      <c r="J177" s="86" t="s">
        <v>52</v>
      </c>
      <c r="K177" s="86" t="s">
        <v>118</v>
      </c>
      <c r="L177" s="87">
        <v>44602</v>
      </c>
      <c r="M177" s="87" t="b">
        <v>0</v>
      </c>
      <c r="N177" s="87"/>
      <c r="P177" s="88"/>
      <c r="Q177" s="88"/>
      <c r="R177" s="88"/>
      <c r="S177" s="86" t="s">
        <v>119</v>
      </c>
      <c r="T177" s="86" t="s">
        <v>153</v>
      </c>
      <c r="U177" s="86"/>
      <c r="V177" s="86"/>
      <c r="W177" s="86"/>
      <c r="X177" s="86"/>
      <c r="Y177" s="86"/>
      <c r="Z177" s="154">
        <v>44599</v>
      </c>
    </row>
    <row r="178" spans="1:26" ht="12.6">
      <c r="A178" s="85" t="s">
        <v>665</v>
      </c>
      <c r="B178" s="85" t="s">
        <v>666</v>
      </c>
      <c r="C178" s="85" t="s">
        <v>674</v>
      </c>
      <c r="D178" s="85" t="s">
        <v>50</v>
      </c>
      <c r="E178" s="85" t="s">
        <v>219</v>
      </c>
      <c r="F178" s="85" t="s">
        <v>123</v>
      </c>
      <c r="G178" s="89" t="s">
        <v>177</v>
      </c>
      <c r="H178" s="85" t="s">
        <v>209</v>
      </c>
      <c r="I178" s="86" t="s">
        <v>28</v>
      </c>
      <c r="J178" s="86" t="s">
        <v>183</v>
      </c>
      <c r="K178" s="86" t="s">
        <v>118</v>
      </c>
      <c r="L178" s="154">
        <v>44936</v>
      </c>
      <c r="M178" s="87" t="b">
        <v>0</v>
      </c>
      <c r="N178" s="154"/>
      <c r="P178" s="88"/>
      <c r="Q178" s="88"/>
      <c r="R178" s="88"/>
      <c r="S178" s="86" t="s">
        <v>119</v>
      </c>
      <c r="T178" s="86" t="s">
        <v>120</v>
      </c>
      <c r="U178" s="86" t="s">
        <v>153</v>
      </c>
      <c r="V178" s="86" t="s">
        <v>167</v>
      </c>
      <c r="W178" s="86" t="s">
        <v>167</v>
      </c>
      <c r="X178" s="86"/>
      <c r="Y178" s="86"/>
      <c r="Z178" s="138">
        <v>44599</v>
      </c>
    </row>
    <row r="179" spans="1:26" ht="12.6">
      <c r="A179" s="85" t="s">
        <v>665</v>
      </c>
      <c r="B179" s="85" t="s">
        <v>666</v>
      </c>
      <c r="C179" s="85" t="s">
        <v>675</v>
      </c>
      <c r="D179" s="85" t="s">
        <v>50</v>
      </c>
      <c r="E179" s="85" t="s">
        <v>219</v>
      </c>
      <c r="F179" s="85" t="s">
        <v>123</v>
      </c>
      <c r="G179" s="89" t="s">
        <v>177</v>
      </c>
      <c r="H179" s="85" t="s">
        <v>209</v>
      </c>
      <c r="I179" s="86" t="s">
        <v>28</v>
      </c>
      <c r="J179" s="86" t="s">
        <v>183</v>
      </c>
      <c r="K179" s="86" t="s">
        <v>184</v>
      </c>
      <c r="L179" s="87"/>
      <c r="M179" s="87" t="b">
        <v>0</v>
      </c>
      <c r="N179" s="87"/>
      <c r="P179" s="88"/>
      <c r="Q179" s="88"/>
      <c r="R179" s="88"/>
      <c r="S179" s="86" t="s">
        <v>166</v>
      </c>
      <c r="T179" s="86" t="s">
        <v>120</v>
      </c>
      <c r="U179" s="86" t="s">
        <v>153</v>
      </c>
      <c r="V179" s="86" t="s">
        <v>167</v>
      </c>
      <c r="W179" s="86" t="s">
        <v>167</v>
      </c>
      <c r="X179" s="86"/>
      <c r="Y179" s="86"/>
      <c r="Z179" s="154">
        <v>44599</v>
      </c>
    </row>
    <row r="180" spans="1:26" ht="12.75" customHeight="1">
      <c r="A180" s="85" t="s">
        <v>665</v>
      </c>
      <c r="B180" s="85" t="s">
        <v>666</v>
      </c>
      <c r="C180" s="85" t="s">
        <v>676</v>
      </c>
      <c r="D180" s="85" t="s">
        <v>50</v>
      </c>
      <c r="E180" s="85" t="s">
        <v>235</v>
      </c>
      <c r="F180" s="85" t="s">
        <v>27</v>
      </c>
      <c r="G180" s="89" t="s">
        <v>173</v>
      </c>
      <c r="H180" s="85" t="s">
        <v>677</v>
      </c>
      <c r="I180" s="86" t="s">
        <v>165</v>
      </c>
      <c r="J180" s="86" t="s">
        <v>40</v>
      </c>
      <c r="K180" s="86" t="s">
        <v>118</v>
      </c>
      <c r="L180" s="154">
        <v>44600</v>
      </c>
      <c r="M180" s="87" t="b">
        <v>0</v>
      </c>
      <c r="N180" s="154"/>
      <c r="P180" s="88"/>
      <c r="Q180" s="88"/>
      <c r="R180" s="88"/>
      <c r="S180" s="86" t="s">
        <v>119</v>
      </c>
      <c r="T180" s="86" t="s">
        <v>153</v>
      </c>
      <c r="U180" s="86"/>
      <c r="V180" s="86"/>
      <c r="W180" s="86"/>
      <c r="X180" s="86"/>
      <c r="Y180" s="86"/>
      <c r="Z180" s="154"/>
    </row>
    <row r="181" spans="1:26" s="98" customFormat="1" ht="12.75" customHeight="1">
      <c r="A181" s="90" t="s">
        <v>678</v>
      </c>
      <c r="B181" s="90" t="s">
        <v>679</v>
      </c>
      <c r="C181" s="90" t="s">
        <v>680</v>
      </c>
      <c r="D181" s="90" t="s">
        <v>26</v>
      </c>
      <c r="E181" s="90" t="s">
        <v>370</v>
      </c>
      <c r="F181" s="90" t="s">
        <v>27</v>
      </c>
      <c r="G181" s="91" t="s">
        <v>208</v>
      </c>
      <c r="H181" s="90" t="s">
        <v>418</v>
      </c>
      <c r="I181" s="92" t="s">
        <v>28</v>
      </c>
      <c r="J181" s="92" t="s">
        <v>28</v>
      </c>
      <c r="K181" s="92" t="s">
        <v>118</v>
      </c>
      <c r="L181" s="93">
        <v>44600</v>
      </c>
      <c r="M181" s="93" t="b">
        <v>0</v>
      </c>
      <c r="N181" s="93">
        <v>45602</v>
      </c>
      <c r="O181" s="94" t="s">
        <v>98</v>
      </c>
      <c r="P181" s="95">
        <v>8.6</v>
      </c>
      <c r="Q181" s="95"/>
      <c r="R181" s="95">
        <v>3</v>
      </c>
      <c r="S181" s="92" t="s">
        <v>119</v>
      </c>
      <c r="T181" s="92" t="s">
        <v>153</v>
      </c>
      <c r="U181" s="92"/>
      <c r="V181" s="92"/>
      <c r="W181" s="92"/>
      <c r="X181" s="92"/>
      <c r="Y181" s="92"/>
      <c r="Z181" s="97"/>
    </row>
    <row r="182" spans="1:26" s="98" customFormat="1" ht="12.6">
      <c r="A182" s="90" t="s">
        <v>678</v>
      </c>
      <c r="B182" s="90" t="s">
        <v>679</v>
      </c>
      <c r="C182" s="90" t="s">
        <v>681</v>
      </c>
      <c r="D182" s="90" t="s">
        <v>26</v>
      </c>
      <c r="E182" s="90" t="s">
        <v>370</v>
      </c>
      <c r="F182" s="90" t="s">
        <v>27</v>
      </c>
      <c r="G182" s="91" t="s">
        <v>208</v>
      </c>
      <c r="H182" s="90" t="s">
        <v>682</v>
      </c>
      <c r="I182" s="92" t="s">
        <v>165</v>
      </c>
      <c r="J182" s="92" t="s">
        <v>40</v>
      </c>
      <c r="K182" s="92" t="s">
        <v>118</v>
      </c>
      <c r="L182" s="93">
        <v>44600</v>
      </c>
      <c r="M182" s="93" t="b">
        <v>0</v>
      </c>
      <c r="N182" s="93">
        <v>45602</v>
      </c>
      <c r="O182" s="94" t="s">
        <v>98</v>
      </c>
      <c r="P182" s="95">
        <v>8.5</v>
      </c>
      <c r="Q182" s="95"/>
      <c r="R182" s="95">
        <v>3.5</v>
      </c>
      <c r="S182" s="92" t="s">
        <v>119</v>
      </c>
      <c r="T182" s="92" t="s">
        <v>153</v>
      </c>
      <c r="U182" s="92"/>
      <c r="V182" s="92"/>
      <c r="W182" s="92"/>
      <c r="X182" s="92"/>
      <c r="Y182" s="92"/>
      <c r="Z182" s="99">
        <v>44600</v>
      </c>
    </row>
    <row r="183" spans="1:26" ht="12.6">
      <c r="A183" s="85" t="s">
        <v>678</v>
      </c>
      <c r="B183" s="85" t="s">
        <v>679</v>
      </c>
      <c r="C183" s="85" t="s">
        <v>683</v>
      </c>
      <c r="D183" s="85" t="s">
        <v>26</v>
      </c>
      <c r="E183" s="85" t="s">
        <v>684</v>
      </c>
      <c r="F183" s="85" t="s">
        <v>27</v>
      </c>
      <c r="G183" s="89" t="s">
        <v>205</v>
      </c>
      <c r="H183" s="85" t="s">
        <v>544</v>
      </c>
      <c r="I183" s="86" t="s">
        <v>28</v>
      </c>
      <c r="J183" s="86" t="s">
        <v>52</v>
      </c>
      <c r="K183" s="86" t="s">
        <v>118</v>
      </c>
      <c r="L183" s="87">
        <v>44600</v>
      </c>
      <c r="M183" s="87" t="b">
        <v>0</v>
      </c>
      <c r="N183" s="87"/>
      <c r="P183" s="88"/>
      <c r="Q183" s="88"/>
      <c r="R183" s="88"/>
      <c r="S183" s="86" t="s">
        <v>119</v>
      </c>
      <c r="T183" s="86" t="s">
        <v>153</v>
      </c>
      <c r="U183" s="86"/>
      <c r="V183" s="86"/>
      <c r="W183" s="86"/>
      <c r="X183" s="86"/>
      <c r="Y183" s="86" t="s">
        <v>685</v>
      </c>
      <c r="Z183" s="154">
        <v>44600</v>
      </c>
    </row>
    <row r="184" spans="1:26" ht="12.6">
      <c r="A184" s="85" t="s">
        <v>686</v>
      </c>
      <c r="B184" s="85" t="s">
        <v>687</v>
      </c>
      <c r="C184" s="85" t="s">
        <v>688</v>
      </c>
      <c r="D184" s="85" t="s">
        <v>26</v>
      </c>
      <c r="E184" s="85" t="s">
        <v>172</v>
      </c>
      <c r="F184" s="85" t="s">
        <v>27</v>
      </c>
      <c r="G184" s="89" t="s">
        <v>163</v>
      </c>
      <c r="H184" s="85" t="s">
        <v>689</v>
      </c>
      <c r="I184" s="86" t="s">
        <v>165</v>
      </c>
      <c r="J184" s="86" t="s">
        <v>40</v>
      </c>
      <c r="K184" s="86" t="s">
        <v>118</v>
      </c>
      <c r="L184" s="154">
        <v>44599</v>
      </c>
      <c r="M184" s="87" t="b">
        <v>0</v>
      </c>
      <c r="N184" s="154"/>
      <c r="P184" s="88"/>
      <c r="Q184" s="88"/>
      <c r="R184" s="88"/>
      <c r="S184" s="86" t="s">
        <v>119</v>
      </c>
      <c r="T184" s="86" t="s">
        <v>153</v>
      </c>
      <c r="U184" s="86"/>
      <c r="V184" s="86"/>
      <c r="W184" s="86"/>
      <c r="X184" s="86"/>
      <c r="Y184" s="86"/>
      <c r="Z184" s="138">
        <v>44602</v>
      </c>
    </row>
    <row r="185" spans="1:26" ht="12.6">
      <c r="A185" s="85" t="s">
        <v>686</v>
      </c>
      <c r="B185" s="85" t="s">
        <v>687</v>
      </c>
      <c r="C185" s="85" t="s">
        <v>690</v>
      </c>
      <c r="D185" s="85" t="s">
        <v>26</v>
      </c>
      <c r="E185" s="85" t="s">
        <v>361</v>
      </c>
      <c r="F185" s="85" t="s">
        <v>39</v>
      </c>
      <c r="G185" s="89" t="s">
        <v>208</v>
      </c>
      <c r="H185" s="85" t="s">
        <v>209</v>
      </c>
      <c r="I185" s="86" t="s">
        <v>28</v>
      </c>
      <c r="J185" s="86" t="s">
        <v>183</v>
      </c>
      <c r="K185" s="86" t="s">
        <v>118</v>
      </c>
      <c r="L185" s="154">
        <v>44606</v>
      </c>
      <c r="M185" s="87" t="b">
        <v>0</v>
      </c>
      <c r="N185" s="154"/>
      <c r="P185" s="88"/>
      <c r="Q185" s="88"/>
      <c r="R185" s="88"/>
      <c r="S185" s="86" t="s">
        <v>119</v>
      </c>
      <c r="T185" s="86" t="s">
        <v>153</v>
      </c>
      <c r="U185" s="86"/>
      <c r="V185" s="86"/>
      <c r="W185" s="86"/>
      <c r="X185" s="86"/>
      <c r="Y185" s="86"/>
      <c r="Z185" s="154">
        <v>44936</v>
      </c>
    </row>
    <row r="186" spans="1:26" ht="12.6">
      <c r="A186" s="85" t="s">
        <v>686</v>
      </c>
      <c r="B186" s="85" t="s">
        <v>687</v>
      </c>
      <c r="C186" s="85" t="s">
        <v>691</v>
      </c>
      <c r="D186" s="85" t="s">
        <v>26</v>
      </c>
      <c r="E186" s="85" t="s">
        <v>361</v>
      </c>
      <c r="F186" s="85" t="s">
        <v>39</v>
      </c>
      <c r="G186" s="89" t="s">
        <v>181</v>
      </c>
      <c r="H186" s="85" t="s">
        <v>418</v>
      </c>
      <c r="I186" s="86" t="s">
        <v>28</v>
      </c>
      <c r="J186" s="86" t="s">
        <v>28</v>
      </c>
      <c r="K186" s="86" t="s">
        <v>118</v>
      </c>
      <c r="L186" s="173">
        <v>44936</v>
      </c>
      <c r="M186" s="87" t="b">
        <v>0</v>
      </c>
      <c r="N186" s="173"/>
      <c r="P186" s="88"/>
      <c r="Q186" s="88"/>
      <c r="R186" s="88"/>
      <c r="S186" s="86" t="s">
        <v>119</v>
      </c>
      <c r="T186" s="86" t="s">
        <v>153</v>
      </c>
      <c r="U186" s="86"/>
      <c r="V186" s="86"/>
      <c r="W186" s="86"/>
      <c r="X186" s="86"/>
      <c r="Y186" s="86"/>
      <c r="Z186" s="138"/>
    </row>
    <row r="187" spans="1:26" s="98" customFormat="1" ht="12.6">
      <c r="A187" s="90" t="s">
        <v>686</v>
      </c>
      <c r="B187" s="90" t="s">
        <v>687</v>
      </c>
      <c r="C187" s="90" t="s">
        <v>692</v>
      </c>
      <c r="D187" s="90" t="s">
        <v>38</v>
      </c>
      <c r="E187" s="90" t="s">
        <v>204</v>
      </c>
      <c r="F187" s="90" t="s">
        <v>39</v>
      </c>
      <c r="G187" s="91" t="s">
        <v>205</v>
      </c>
      <c r="H187" s="90" t="s">
        <v>693</v>
      </c>
      <c r="I187" s="92" t="s">
        <v>28</v>
      </c>
      <c r="J187" s="92" t="s">
        <v>52</v>
      </c>
      <c r="K187" s="92" t="s">
        <v>118</v>
      </c>
      <c r="L187" s="97">
        <v>44629</v>
      </c>
      <c r="M187" s="93" t="b">
        <v>0</v>
      </c>
      <c r="N187" s="97">
        <v>45355</v>
      </c>
      <c r="O187" s="94" t="s">
        <v>95</v>
      </c>
      <c r="P187" s="95">
        <v>2.2000000000000002</v>
      </c>
      <c r="Q187" s="95">
        <v>2</v>
      </c>
      <c r="R187" s="95"/>
      <c r="S187" s="92" t="s">
        <v>119</v>
      </c>
      <c r="T187" s="92" t="s">
        <v>153</v>
      </c>
      <c r="U187" s="92"/>
      <c r="V187" s="92"/>
      <c r="W187" s="86"/>
      <c r="X187" s="92"/>
      <c r="Y187" s="92"/>
      <c r="Z187" s="97">
        <v>44600</v>
      </c>
    </row>
    <row r="188" spans="1:26" s="98" customFormat="1" ht="12.6">
      <c r="A188" s="90" t="s">
        <v>694</v>
      </c>
      <c r="B188" s="90" t="s">
        <v>695</v>
      </c>
      <c r="C188" s="90" t="s">
        <v>696</v>
      </c>
      <c r="D188" s="90" t="s">
        <v>50</v>
      </c>
      <c r="E188" s="90" t="s">
        <v>235</v>
      </c>
      <c r="F188" s="90" t="s">
        <v>27</v>
      </c>
      <c r="G188" s="91" t="s">
        <v>227</v>
      </c>
      <c r="H188" s="90" t="s">
        <v>697</v>
      </c>
      <c r="I188" s="92" t="s">
        <v>165</v>
      </c>
      <c r="J188" s="92" t="s">
        <v>40</v>
      </c>
      <c r="K188" s="92" t="s">
        <v>118</v>
      </c>
      <c r="L188" s="93">
        <v>44628</v>
      </c>
      <c r="M188" s="93" t="b">
        <v>0</v>
      </c>
      <c r="N188" s="93">
        <v>45355</v>
      </c>
      <c r="O188" s="94" t="s">
        <v>35</v>
      </c>
      <c r="P188" s="95">
        <v>7.6</v>
      </c>
      <c r="Q188" s="95"/>
      <c r="R188" s="95">
        <v>2.8</v>
      </c>
      <c r="S188" s="92" t="s">
        <v>119</v>
      </c>
      <c r="T188" s="92" t="s">
        <v>153</v>
      </c>
      <c r="U188" s="92"/>
      <c r="V188" s="92"/>
      <c r="W188" s="86"/>
      <c r="X188" s="92"/>
      <c r="Y188" s="92"/>
      <c r="Z188" s="99">
        <v>44600</v>
      </c>
    </row>
    <row r="189" spans="1:26" s="226" customFormat="1" ht="12.6">
      <c r="A189" s="220" t="s">
        <v>694</v>
      </c>
      <c r="B189" s="220" t="s">
        <v>695</v>
      </c>
      <c r="C189" s="220" t="s">
        <v>698</v>
      </c>
      <c r="D189" s="220" t="s">
        <v>50</v>
      </c>
      <c r="E189" s="220" t="s">
        <v>235</v>
      </c>
      <c r="F189" s="220" t="s">
        <v>27</v>
      </c>
      <c r="G189" s="221" t="s">
        <v>173</v>
      </c>
      <c r="H189" s="220" t="s">
        <v>699</v>
      </c>
      <c r="I189" s="222" t="s">
        <v>165</v>
      </c>
      <c r="J189" s="222" t="s">
        <v>40</v>
      </c>
      <c r="K189" s="222" t="s">
        <v>118</v>
      </c>
      <c r="L189" s="223">
        <v>44936</v>
      </c>
      <c r="M189" s="223" t="b">
        <v>0</v>
      </c>
      <c r="N189" s="223">
        <v>45355</v>
      </c>
      <c r="O189" s="219" t="s">
        <v>35</v>
      </c>
      <c r="P189" s="224">
        <v>7.6</v>
      </c>
      <c r="Q189" s="224"/>
      <c r="R189" s="224">
        <v>3.2</v>
      </c>
      <c r="S189" s="222" t="s">
        <v>119</v>
      </c>
      <c r="T189" s="222"/>
      <c r="U189" s="222"/>
      <c r="V189" s="222"/>
      <c r="W189" s="86"/>
      <c r="X189" s="222"/>
      <c r="Y189" s="222"/>
      <c r="Z189" s="225">
        <v>44600</v>
      </c>
    </row>
    <row r="190" spans="1:26" s="98" customFormat="1" ht="12.6">
      <c r="A190" s="90" t="s">
        <v>694</v>
      </c>
      <c r="B190" s="90" t="s">
        <v>695</v>
      </c>
      <c r="C190" s="90" t="s">
        <v>700</v>
      </c>
      <c r="D190" s="90" t="s">
        <v>38</v>
      </c>
      <c r="E190" s="90" t="s">
        <v>701</v>
      </c>
      <c r="F190" s="90" t="s">
        <v>27</v>
      </c>
      <c r="G190" s="91" t="s">
        <v>201</v>
      </c>
      <c r="H190" s="90" t="s">
        <v>670</v>
      </c>
      <c r="I190" s="92" t="s">
        <v>28</v>
      </c>
      <c r="J190" s="92" t="s">
        <v>28</v>
      </c>
      <c r="K190" s="92" t="s">
        <v>118</v>
      </c>
      <c r="L190" s="93">
        <v>44936</v>
      </c>
      <c r="M190" s="93" t="b">
        <v>0</v>
      </c>
      <c r="N190" s="93">
        <v>45355</v>
      </c>
      <c r="O190" s="94" t="s">
        <v>35</v>
      </c>
      <c r="P190" s="95">
        <v>7</v>
      </c>
      <c r="Q190" s="95"/>
      <c r="R190" s="95">
        <v>2.8</v>
      </c>
      <c r="S190" s="92" t="s">
        <v>119</v>
      </c>
      <c r="T190" s="92" t="s">
        <v>153</v>
      </c>
      <c r="U190" s="92"/>
      <c r="V190" s="92"/>
      <c r="W190" s="86"/>
      <c r="X190" s="92"/>
      <c r="Y190" s="92"/>
      <c r="Z190" s="99">
        <v>44600</v>
      </c>
    </row>
    <row r="191" spans="1:26" s="98" customFormat="1" ht="12.6">
      <c r="A191" s="90" t="s">
        <v>694</v>
      </c>
      <c r="B191" s="90" t="s">
        <v>695</v>
      </c>
      <c r="C191" s="90" t="s">
        <v>702</v>
      </c>
      <c r="D191" s="90" t="s">
        <v>672</v>
      </c>
      <c r="E191" s="90" t="s">
        <v>264</v>
      </c>
      <c r="F191" s="90" t="s">
        <v>39</v>
      </c>
      <c r="G191" s="91" t="s">
        <v>205</v>
      </c>
      <c r="H191" s="90" t="s">
        <v>544</v>
      </c>
      <c r="I191" s="92" t="s">
        <v>28</v>
      </c>
      <c r="J191" s="92" t="s">
        <v>52</v>
      </c>
      <c r="K191" s="92" t="s">
        <v>118</v>
      </c>
      <c r="L191" s="93">
        <v>44936</v>
      </c>
      <c r="M191" s="93" t="b">
        <v>0</v>
      </c>
      <c r="N191" s="93">
        <v>45355</v>
      </c>
      <c r="O191" s="94" t="s">
        <v>35</v>
      </c>
      <c r="P191" s="108">
        <v>2.4</v>
      </c>
      <c r="Q191" s="95">
        <v>3.2</v>
      </c>
      <c r="R191" s="95"/>
      <c r="S191" s="92" t="s">
        <v>119</v>
      </c>
      <c r="T191" s="92" t="s">
        <v>153</v>
      </c>
      <c r="U191" s="92"/>
      <c r="V191" s="92"/>
      <c r="W191" s="86"/>
      <c r="X191" s="92"/>
      <c r="Y191" s="92"/>
      <c r="Z191" s="97">
        <v>44599</v>
      </c>
    </row>
    <row r="192" spans="1:26" s="226" customFormat="1" ht="12.6">
      <c r="A192" s="220" t="s">
        <v>694</v>
      </c>
      <c r="B192" s="220" t="s">
        <v>695</v>
      </c>
      <c r="C192" s="220" t="s">
        <v>703</v>
      </c>
      <c r="D192" s="220" t="s">
        <v>38</v>
      </c>
      <c r="E192" s="220" t="s">
        <v>704</v>
      </c>
      <c r="F192" s="220" t="s">
        <v>39</v>
      </c>
      <c r="G192" s="221" t="s">
        <v>673</v>
      </c>
      <c r="H192" s="220" t="s">
        <v>544</v>
      </c>
      <c r="I192" s="222" t="s">
        <v>28</v>
      </c>
      <c r="J192" s="222" t="s">
        <v>52</v>
      </c>
      <c r="K192" s="222" t="s">
        <v>118</v>
      </c>
      <c r="L192" s="223">
        <v>44936</v>
      </c>
      <c r="M192" s="223" t="b">
        <v>0</v>
      </c>
      <c r="N192" s="223">
        <v>45355</v>
      </c>
      <c r="O192" s="219" t="s">
        <v>35</v>
      </c>
      <c r="P192" s="224">
        <v>2</v>
      </c>
      <c r="Q192" s="224">
        <v>2.4</v>
      </c>
      <c r="R192" s="224"/>
      <c r="S192" s="222" t="s">
        <v>119</v>
      </c>
      <c r="T192" s="222"/>
      <c r="U192" s="222"/>
      <c r="V192" s="222"/>
      <c r="W192" s="86"/>
      <c r="X192" s="222"/>
      <c r="Y192" s="222"/>
      <c r="Z192" s="225">
        <v>44606</v>
      </c>
    </row>
    <row r="193" spans="1:26" s="226" customFormat="1" ht="12.6">
      <c r="A193" s="220" t="s">
        <v>694</v>
      </c>
      <c r="B193" s="220" t="s">
        <v>695</v>
      </c>
      <c r="C193" s="220" t="s">
        <v>705</v>
      </c>
      <c r="D193" s="220" t="s">
        <v>50</v>
      </c>
      <c r="E193" s="220" t="s">
        <v>635</v>
      </c>
      <c r="F193" s="220" t="s">
        <v>39</v>
      </c>
      <c r="G193" s="221" t="s">
        <v>177</v>
      </c>
      <c r="H193" s="220" t="s">
        <v>209</v>
      </c>
      <c r="I193" s="222" t="s">
        <v>28</v>
      </c>
      <c r="J193" s="222" t="s">
        <v>183</v>
      </c>
      <c r="K193" s="222" t="s">
        <v>118</v>
      </c>
      <c r="L193" s="223">
        <v>44936</v>
      </c>
      <c r="M193" s="223" t="b">
        <v>0</v>
      </c>
      <c r="N193" s="223">
        <v>45355</v>
      </c>
      <c r="O193" s="219" t="s">
        <v>35</v>
      </c>
      <c r="P193" s="224">
        <v>3.4</v>
      </c>
      <c r="Q193" s="224">
        <v>3.8</v>
      </c>
      <c r="R193" s="224"/>
      <c r="S193" s="222" t="s">
        <v>119</v>
      </c>
      <c r="T193" s="222" t="s">
        <v>153</v>
      </c>
      <c r="U193" s="222" t="s">
        <v>153</v>
      </c>
      <c r="V193" s="222" t="s">
        <v>167</v>
      </c>
      <c r="W193" s="222" t="s">
        <v>167</v>
      </c>
      <c r="X193" s="222"/>
      <c r="Y193" s="222"/>
      <c r="Z193" s="237">
        <v>44936</v>
      </c>
    </row>
    <row r="194" spans="1:26" s="226" customFormat="1" ht="15.75" customHeight="1">
      <c r="A194" s="220" t="s">
        <v>706</v>
      </c>
      <c r="B194" s="220" t="s">
        <v>707</v>
      </c>
      <c r="C194" s="220" t="s">
        <v>708</v>
      </c>
      <c r="D194" s="220" t="s">
        <v>26</v>
      </c>
      <c r="E194" s="220" t="s">
        <v>172</v>
      </c>
      <c r="F194" s="235" t="s">
        <v>27</v>
      </c>
      <c r="G194" s="221" t="s">
        <v>227</v>
      </c>
      <c r="H194" s="220" t="s">
        <v>709</v>
      </c>
      <c r="I194" s="222" t="s">
        <v>165</v>
      </c>
      <c r="J194" s="222" t="s">
        <v>40</v>
      </c>
      <c r="K194" s="222" t="s">
        <v>118</v>
      </c>
      <c r="L194" s="223">
        <v>44683</v>
      </c>
      <c r="M194" s="223" t="b">
        <v>0</v>
      </c>
      <c r="N194" s="223">
        <v>45356</v>
      </c>
      <c r="O194" s="219" t="s">
        <v>35</v>
      </c>
      <c r="P194" s="224">
        <v>7.6</v>
      </c>
      <c r="Q194" s="224"/>
      <c r="R194" s="224">
        <v>3.2</v>
      </c>
      <c r="S194" s="222" t="s">
        <v>119</v>
      </c>
      <c r="T194" s="222" t="s">
        <v>153</v>
      </c>
      <c r="U194" s="222"/>
      <c r="V194" s="222"/>
      <c r="W194" s="86"/>
      <c r="X194" s="222"/>
      <c r="Y194" s="222"/>
      <c r="Z194" s="225">
        <v>44629</v>
      </c>
    </row>
    <row r="195" spans="1:26" s="98" customFormat="1" ht="12.6">
      <c r="A195" s="90" t="s">
        <v>706</v>
      </c>
      <c r="B195" s="90" t="s">
        <v>707</v>
      </c>
      <c r="C195" s="90" t="s">
        <v>710</v>
      </c>
      <c r="D195" s="90" t="s">
        <v>26</v>
      </c>
      <c r="E195" s="90" t="s">
        <v>172</v>
      </c>
      <c r="F195" s="120" t="s">
        <v>27</v>
      </c>
      <c r="G195" s="91" t="s">
        <v>163</v>
      </c>
      <c r="H195" s="90" t="s">
        <v>711</v>
      </c>
      <c r="I195" s="92" t="s">
        <v>165</v>
      </c>
      <c r="J195" s="92" t="s">
        <v>40</v>
      </c>
      <c r="K195" s="92" t="s">
        <v>118</v>
      </c>
      <c r="L195" s="93">
        <v>44628</v>
      </c>
      <c r="M195" s="93" t="b">
        <v>0</v>
      </c>
      <c r="N195" s="93">
        <v>45356</v>
      </c>
      <c r="O195" s="94" t="s">
        <v>35</v>
      </c>
      <c r="P195" s="95">
        <v>7.2</v>
      </c>
      <c r="Q195" s="95"/>
      <c r="R195" s="95">
        <v>3.2</v>
      </c>
      <c r="S195" s="92" t="s">
        <v>119</v>
      </c>
      <c r="T195" s="92" t="s">
        <v>153</v>
      </c>
      <c r="U195" s="92"/>
      <c r="V195" s="92"/>
      <c r="W195" s="86"/>
      <c r="X195" s="92"/>
      <c r="Y195" s="92"/>
      <c r="Z195" s="97">
        <v>44628</v>
      </c>
    </row>
    <row r="196" spans="1:26" s="188" customFormat="1" ht="12.6">
      <c r="A196" s="180" t="s">
        <v>706</v>
      </c>
      <c r="B196" s="180" t="s">
        <v>707</v>
      </c>
      <c r="C196" s="180" t="s">
        <v>712</v>
      </c>
      <c r="D196" s="180" t="s">
        <v>26</v>
      </c>
      <c r="E196" s="180" t="s">
        <v>713</v>
      </c>
      <c r="F196" s="192" t="s">
        <v>27</v>
      </c>
      <c r="G196" s="181" t="s">
        <v>227</v>
      </c>
      <c r="H196" s="180" t="s">
        <v>714</v>
      </c>
      <c r="I196" s="182" t="s">
        <v>165</v>
      </c>
      <c r="J196" s="182" t="s">
        <v>40</v>
      </c>
      <c r="K196" s="182" t="s">
        <v>184</v>
      </c>
      <c r="L196" s="183"/>
      <c r="M196" s="183" t="b">
        <v>0</v>
      </c>
      <c r="N196" s="183"/>
      <c r="O196" s="185"/>
      <c r="P196" s="186"/>
      <c r="Q196" s="186"/>
      <c r="R196" s="186"/>
      <c r="S196" s="182" t="s">
        <v>166</v>
      </c>
      <c r="T196" s="182"/>
      <c r="U196" s="182"/>
      <c r="V196" s="182"/>
      <c r="W196" s="86"/>
      <c r="X196" s="182"/>
      <c r="Y196" s="182" t="s">
        <v>168</v>
      </c>
      <c r="Z196" s="190">
        <v>44936</v>
      </c>
    </row>
    <row r="197" spans="1:26" s="188" customFormat="1" ht="12.6">
      <c r="A197" s="180" t="s">
        <v>706</v>
      </c>
      <c r="B197" s="180" t="s">
        <v>707</v>
      </c>
      <c r="C197" s="180" t="s">
        <v>715</v>
      </c>
      <c r="D197" s="180" t="s">
        <v>26</v>
      </c>
      <c r="E197" s="180" t="s">
        <v>713</v>
      </c>
      <c r="F197" s="192" t="s">
        <v>27</v>
      </c>
      <c r="G197" s="181" t="s">
        <v>227</v>
      </c>
      <c r="H197" s="180" t="s">
        <v>716</v>
      </c>
      <c r="I197" s="182" t="s">
        <v>165</v>
      </c>
      <c r="J197" s="182" t="s">
        <v>40</v>
      </c>
      <c r="K197" s="182" t="s">
        <v>184</v>
      </c>
      <c r="L197" s="183"/>
      <c r="M197" s="183" t="b">
        <v>0</v>
      </c>
      <c r="N197" s="183"/>
      <c r="O197" s="185"/>
      <c r="P197" s="186"/>
      <c r="Q197" s="186"/>
      <c r="R197" s="186"/>
      <c r="S197" s="182" t="s">
        <v>166</v>
      </c>
      <c r="T197" s="182"/>
      <c r="U197" s="182"/>
      <c r="V197" s="182"/>
      <c r="W197" s="86"/>
      <c r="X197" s="182"/>
      <c r="Y197" s="182" t="s">
        <v>168</v>
      </c>
      <c r="Z197" s="191">
        <v>44936</v>
      </c>
    </row>
    <row r="198" spans="1:26" s="131" customFormat="1" ht="12.6">
      <c r="A198" s="124" t="s">
        <v>706</v>
      </c>
      <c r="B198" s="124" t="s">
        <v>707</v>
      </c>
      <c r="C198" s="124" t="s">
        <v>717</v>
      </c>
      <c r="D198" s="124" t="s">
        <v>26</v>
      </c>
      <c r="E198" s="124" t="s">
        <v>172</v>
      </c>
      <c r="F198" s="236" t="s">
        <v>27</v>
      </c>
      <c r="G198" s="125" t="s">
        <v>227</v>
      </c>
      <c r="H198" s="124" t="s">
        <v>718</v>
      </c>
      <c r="I198" s="126" t="s">
        <v>165</v>
      </c>
      <c r="J198" s="126" t="s">
        <v>40</v>
      </c>
      <c r="K198" s="126" t="s">
        <v>118</v>
      </c>
      <c r="L198" s="127">
        <v>44629</v>
      </c>
      <c r="M198" s="127" t="b">
        <v>0</v>
      </c>
      <c r="N198" s="127">
        <v>45356</v>
      </c>
      <c r="O198" s="128" t="s">
        <v>35</v>
      </c>
      <c r="P198" s="129"/>
      <c r="Q198" s="129"/>
      <c r="R198" s="129"/>
      <c r="S198" s="126" t="s">
        <v>166</v>
      </c>
      <c r="T198" s="126"/>
      <c r="U198" s="126"/>
      <c r="V198" s="126"/>
      <c r="W198" s="86"/>
      <c r="X198" s="126"/>
      <c r="Y198" s="126" t="s">
        <v>719</v>
      </c>
      <c r="Z198" s="130">
        <v>44936</v>
      </c>
    </row>
    <row r="199" spans="1:26" s="98" customFormat="1" ht="12.6">
      <c r="A199" s="90" t="s">
        <v>706</v>
      </c>
      <c r="B199" s="90" t="s">
        <v>707</v>
      </c>
      <c r="C199" s="90" t="s">
        <v>720</v>
      </c>
      <c r="D199" s="90" t="s">
        <v>26</v>
      </c>
      <c r="E199" s="90" t="s">
        <v>684</v>
      </c>
      <c r="F199" s="120" t="s">
        <v>27</v>
      </c>
      <c r="G199" s="91" t="s">
        <v>346</v>
      </c>
      <c r="H199" s="90" t="s">
        <v>721</v>
      </c>
      <c r="I199" s="92" t="s">
        <v>28</v>
      </c>
      <c r="J199" s="92" t="s">
        <v>52</v>
      </c>
      <c r="K199" s="92" t="s">
        <v>118</v>
      </c>
      <c r="L199" s="93">
        <v>44628</v>
      </c>
      <c r="M199" s="93" t="b">
        <v>0</v>
      </c>
      <c r="N199" s="93">
        <v>45356</v>
      </c>
      <c r="O199" s="94" t="s">
        <v>35</v>
      </c>
      <c r="P199" s="95">
        <v>6.2</v>
      </c>
      <c r="Q199" s="95"/>
      <c r="R199" s="95">
        <v>3.8</v>
      </c>
      <c r="S199" s="92" t="s">
        <v>119</v>
      </c>
      <c r="T199" s="92" t="s">
        <v>153</v>
      </c>
      <c r="U199" s="92"/>
      <c r="V199" s="92"/>
      <c r="W199" s="86"/>
      <c r="X199" s="92"/>
      <c r="Y199" s="92"/>
      <c r="Z199" s="97">
        <v>44936</v>
      </c>
    </row>
    <row r="200" spans="1:26" s="98" customFormat="1" ht="12.6">
      <c r="A200" s="90" t="s">
        <v>706</v>
      </c>
      <c r="B200" s="90" t="s">
        <v>707</v>
      </c>
      <c r="C200" s="90" t="s">
        <v>722</v>
      </c>
      <c r="D200" s="90" t="s">
        <v>26</v>
      </c>
      <c r="E200" s="90" t="s">
        <v>684</v>
      </c>
      <c r="F200" s="120" t="s">
        <v>27</v>
      </c>
      <c r="G200" s="91" t="s">
        <v>346</v>
      </c>
      <c r="H200" s="90" t="s">
        <v>721</v>
      </c>
      <c r="I200" s="92" t="s">
        <v>28</v>
      </c>
      <c r="J200" s="92" t="s">
        <v>52</v>
      </c>
      <c r="K200" s="92" t="s">
        <v>118</v>
      </c>
      <c r="L200" s="93">
        <v>44628</v>
      </c>
      <c r="M200" s="93" t="b">
        <v>0</v>
      </c>
      <c r="N200" s="93">
        <v>45356</v>
      </c>
      <c r="O200" s="94" t="s">
        <v>35</v>
      </c>
      <c r="P200" s="95">
        <v>6.6</v>
      </c>
      <c r="Q200" s="95"/>
      <c r="R200" s="95">
        <v>3.4</v>
      </c>
      <c r="S200" s="92" t="s">
        <v>119</v>
      </c>
      <c r="T200" s="92" t="s">
        <v>153</v>
      </c>
      <c r="U200" s="92"/>
      <c r="V200" s="92"/>
      <c r="W200" s="86"/>
      <c r="X200" s="92"/>
      <c r="Y200" s="92"/>
      <c r="Z200" s="99">
        <v>44936</v>
      </c>
    </row>
    <row r="201" spans="1:26" s="98" customFormat="1" ht="12.6">
      <c r="A201" s="90" t="s">
        <v>706</v>
      </c>
      <c r="B201" s="90" t="s">
        <v>707</v>
      </c>
      <c r="C201" s="90" t="s">
        <v>723</v>
      </c>
      <c r="D201" s="90" t="s">
        <v>26</v>
      </c>
      <c r="E201" s="90" t="s">
        <v>256</v>
      </c>
      <c r="F201" s="120" t="s">
        <v>39</v>
      </c>
      <c r="G201" s="91" t="s">
        <v>205</v>
      </c>
      <c r="H201" s="90" t="s">
        <v>724</v>
      </c>
      <c r="I201" s="92" t="s">
        <v>28</v>
      </c>
      <c r="J201" s="92" t="s">
        <v>52</v>
      </c>
      <c r="K201" s="92" t="s">
        <v>118</v>
      </c>
      <c r="L201" s="93">
        <v>44629</v>
      </c>
      <c r="M201" s="93" t="b">
        <v>0</v>
      </c>
      <c r="N201" s="93">
        <v>45356</v>
      </c>
      <c r="O201" s="94" t="s">
        <v>35</v>
      </c>
      <c r="P201" s="95">
        <v>3.2</v>
      </c>
      <c r="Q201" s="95">
        <v>3.3</v>
      </c>
      <c r="R201" s="95"/>
      <c r="S201" s="92" t="s">
        <v>119</v>
      </c>
      <c r="T201" s="92" t="s">
        <v>153</v>
      </c>
      <c r="U201" s="92"/>
      <c r="V201" s="92"/>
      <c r="W201" s="86"/>
      <c r="X201" s="92"/>
      <c r="Y201" s="92"/>
      <c r="Z201" s="97">
        <v>44683</v>
      </c>
    </row>
    <row r="202" spans="1:26" s="131" customFormat="1" ht="12.6">
      <c r="A202" s="124" t="s">
        <v>706</v>
      </c>
      <c r="B202" s="124" t="s">
        <v>707</v>
      </c>
      <c r="C202" s="124" t="s">
        <v>725</v>
      </c>
      <c r="D202" s="124" t="s">
        <v>50</v>
      </c>
      <c r="E202" s="124" t="s">
        <v>235</v>
      </c>
      <c r="F202" s="236" t="s">
        <v>27</v>
      </c>
      <c r="G202" s="125" t="s">
        <v>173</v>
      </c>
      <c r="H202" s="124" t="s">
        <v>726</v>
      </c>
      <c r="I202" s="126" t="s">
        <v>165</v>
      </c>
      <c r="J202" s="126" t="s">
        <v>40</v>
      </c>
      <c r="K202" s="126" t="s">
        <v>118</v>
      </c>
      <c r="L202" s="127">
        <v>44628</v>
      </c>
      <c r="M202" s="127" t="b">
        <v>0</v>
      </c>
      <c r="N202" s="127">
        <v>45355</v>
      </c>
      <c r="O202" s="128" t="s">
        <v>35</v>
      </c>
      <c r="P202" s="129"/>
      <c r="Q202" s="129"/>
      <c r="R202" s="129"/>
      <c r="S202" s="126" t="s">
        <v>166</v>
      </c>
      <c r="T202" s="126"/>
      <c r="U202" s="126"/>
      <c r="V202" s="126"/>
      <c r="W202" s="86"/>
      <c r="X202" s="126"/>
      <c r="Y202" s="126"/>
      <c r="Z202" s="130">
        <v>44628</v>
      </c>
    </row>
    <row r="203" spans="1:26" s="98" customFormat="1" ht="12.6">
      <c r="A203" s="90" t="s">
        <v>706</v>
      </c>
      <c r="B203" s="90" t="s">
        <v>707</v>
      </c>
      <c r="C203" s="90" t="s">
        <v>727</v>
      </c>
      <c r="D203" s="90" t="s">
        <v>50</v>
      </c>
      <c r="E203" s="90" t="s">
        <v>235</v>
      </c>
      <c r="F203" s="120" t="s">
        <v>27</v>
      </c>
      <c r="G203" s="91" t="s">
        <v>173</v>
      </c>
      <c r="H203" s="90" t="s">
        <v>728</v>
      </c>
      <c r="I203" s="92" t="s">
        <v>165</v>
      </c>
      <c r="J203" s="92" t="s">
        <v>40</v>
      </c>
      <c r="K203" s="92" t="s">
        <v>118</v>
      </c>
      <c r="L203" s="93">
        <v>44628</v>
      </c>
      <c r="M203" s="93" t="b">
        <v>0</v>
      </c>
      <c r="N203" s="93">
        <v>45355</v>
      </c>
      <c r="O203" s="94" t="s">
        <v>35</v>
      </c>
      <c r="P203" s="95">
        <v>7.8</v>
      </c>
      <c r="Q203" s="95"/>
      <c r="R203" s="95">
        <v>3.6</v>
      </c>
      <c r="S203" s="92" t="s">
        <v>119</v>
      </c>
      <c r="T203" s="92" t="s">
        <v>153</v>
      </c>
      <c r="U203" s="92"/>
      <c r="V203" s="92"/>
      <c r="W203" s="86"/>
      <c r="X203" s="92"/>
      <c r="Y203" s="92"/>
      <c r="Z203" s="97"/>
    </row>
    <row r="204" spans="1:26" ht="12.6">
      <c r="A204" s="85" t="s">
        <v>729</v>
      </c>
      <c r="B204" s="85" t="s">
        <v>730</v>
      </c>
      <c r="C204" s="85" t="s">
        <v>731</v>
      </c>
      <c r="D204" s="85" t="s">
        <v>26</v>
      </c>
      <c r="E204" s="85" t="s">
        <v>172</v>
      </c>
      <c r="F204" s="85" t="s">
        <v>27</v>
      </c>
      <c r="G204" s="89" t="s">
        <v>177</v>
      </c>
      <c r="H204" s="85" t="s">
        <v>732</v>
      </c>
      <c r="I204" s="86" t="s">
        <v>28</v>
      </c>
      <c r="J204" s="86" t="s">
        <v>28</v>
      </c>
      <c r="K204" s="86" t="s">
        <v>118</v>
      </c>
      <c r="L204" s="87">
        <v>44837</v>
      </c>
      <c r="M204" s="87" t="b">
        <v>0</v>
      </c>
      <c r="N204" s="87"/>
      <c r="P204" s="88"/>
      <c r="Q204" s="88"/>
      <c r="R204" s="88"/>
      <c r="S204" s="86" t="s">
        <v>119</v>
      </c>
      <c r="T204" s="86" t="s">
        <v>153</v>
      </c>
      <c r="U204" s="86"/>
      <c r="V204" s="86"/>
      <c r="W204" s="86"/>
      <c r="X204" s="86" t="s">
        <v>733</v>
      </c>
      <c r="Y204" s="86"/>
      <c r="Z204" s="138"/>
    </row>
    <row r="205" spans="1:26" ht="12.6">
      <c r="A205" s="85" t="s">
        <v>729</v>
      </c>
      <c r="B205" s="85" t="s">
        <v>730</v>
      </c>
      <c r="C205" s="85" t="s">
        <v>734</v>
      </c>
      <c r="D205" s="85" t="s">
        <v>26</v>
      </c>
      <c r="E205" s="85" t="s">
        <v>172</v>
      </c>
      <c r="F205" s="85" t="s">
        <v>27</v>
      </c>
      <c r="G205" s="89" t="s">
        <v>230</v>
      </c>
      <c r="H205" s="85" t="s">
        <v>735</v>
      </c>
      <c r="I205" s="86" t="s">
        <v>165</v>
      </c>
      <c r="J205" s="86" t="s">
        <v>40</v>
      </c>
      <c r="K205" s="86" t="s">
        <v>118</v>
      </c>
      <c r="L205" s="87">
        <v>44837</v>
      </c>
      <c r="M205" s="87" t="b">
        <v>0</v>
      </c>
      <c r="N205" s="87"/>
      <c r="P205" s="88"/>
      <c r="Q205" s="88"/>
      <c r="R205" s="88"/>
      <c r="S205" s="86" t="s">
        <v>119</v>
      </c>
      <c r="T205" s="86" t="s">
        <v>153</v>
      </c>
      <c r="U205" s="86" t="s">
        <v>736</v>
      </c>
      <c r="V205" s="86" t="s">
        <v>167</v>
      </c>
      <c r="W205" s="86" t="s">
        <v>167</v>
      </c>
      <c r="X205" s="86"/>
      <c r="Y205" s="86"/>
      <c r="Z205" s="154">
        <v>44629</v>
      </c>
    </row>
    <row r="206" spans="1:26" ht="12.6">
      <c r="A206" s="85" t="s">
        <v>737</v>
      </c>
      <c r="B206" s="85" t="s">
        <v>738</v>
      </c>
      <c r="C206" s="85" t="s">
        <v>739</v>
      </c>
      <c r="D206" s="85" t="s">
        <v>61</v>
      </c>
      <c r="E206" s="85" t="s">
        <v>740</v>
      </c>
      <c r="F206" s="85" t="s">
        <v>27</v>
      </c>
      <c r="G206" s="89" t="s">
        <v>163</v>
      </c>
      <c r="H206" s="85" t="s">
        <v>741</v>
      </c>
      <c r="I206" s="86" t="s">
        <v>165</v>
      </c>
      <c r="J206" s="86" t="s">
        <v>40</v>
      </c>
      <c r="K206" s="86" t="s">
        <v>184</v>
      </c>
      <c r="L206" s="87">
        <v>44837</v>
      </c>
      <c r="M206" s="87" t="b">
        <v>0</v>
      </c>
      <c r="N206" s="87"/>
      <c r="P206" s="88"/>
      <c r="Q206" s="88"/>
      <c r="R206" s="88"/>
      <c r="S206" s="86" t="s">
        <v>119</v>
      </c>
      <c r="T206" s="86" t="s">
        <v>153</v>
      </c>
      <c r="U206" s="86" t="s">
        <v>153</v>
      </c>
      <c r="V206" s="86" t="s">
        <v>167</v>
      </c>
      <c r="W206" s="86" t="s">
        <v>167</v>
      </c>
      <c r="X206" s="86"/>
      <c r="Y206" s="86"/>
      <c r="Z206" s="138">
        <v>44628</v>
      </c>
    </row>
    <row r="207" spans="1:26" ht="12.6">
      <c r="A207" s="85" t="s">
        <v>737</v>
      </c>
      <c r="B207" s="85" t="s">
        <v>738</v>
      </c>
      <c r="C207" s="85" t="s">
        <v>742</v>
      </c>
      <c r="D207" s="85" t="s">
        <v>26</v>
      </c>
      <c r="E207" s="85" t="s">
        <v>172</v>
      </c>
      <c r="F207" s="85" t="s">
        <v>27</v>
      </c>
      <c r="G207" s="89" t="s">
        <v>163</v>
      </c>
      <c r="H207" s="85" t="s">
        <v>743</v>
      </c>
      <c r="I207" s="86" t="s">
        <v>165</v>
      </c>
      <c r="J207" s="86" t="s">
        <v>40</v>
      </c>
      <c r="K207" s="86" t="s">
        <v>184</v>
      </c>
      <c r="L207" s="87">
        <v>44837</v>
      </c>
      <c r="M207" s="87" t="b">
        <v>0</v>
      </c>
      <c r="N207" s="87"/>
      <c r="P207" s="88"/>
      <c r="Q207" s="88"/>
      <c r="R207" s="88"/>
      <c r="S207" s="86" t="s">
        <v>119</v>
      </c>
      <c r="T207" s="86" t="s">
        <v>153</v>
      </c>
      <c r="U207" s="86" t="s">
        <v>153</v>
      </c>
      <c r="V207" s="86" t="s">
        <v>167</v>
      </c>
      <c r="W207" s="86" t="s">
        <v>167</v>
      </c>
      <c r="X207" s="86"/>
      <c r="Y207" s="86"/>
      <c r="Z207" s="154">
        <v>44628</v>
      </c>
    </row>
    <row r="208" spans="1:26" ht="12.6">
      <c r="A208" s="85" t="s">
        <v>737</v>
      </c>
      <c r="B208" s="85" t="s">
        <v>738</v>
      </c>
      <c r="C208" s="85" t="s">
        <v>744</v>
      </c>
      <c r="D208" s="85" t="s">
        <v>50</v>
      </c>
      <c r="E208" s="85" t="s">
        <v>235</v>
      </c>
      <c r="F208" s="85" t="s">
        <v>27</v>
      </c>
      <c r="G208" s="89" t="s">
        <v>173</v>
      </c>
      <c r="H208" s="85" t="s">
        <v>633</v>
      </c>
      <c r="I208" s="86" t="s">
        <v>165</v>
      </c>
      <c r="J208" s="86" t="s">
        <v>40</v>
      </c>
      <c r="K208" s="86" t="s">
        <v>118</v>
      </c>
      <c r="L208" s="87">
        <v>44837</v>
      </c>
      <c r="M208" s="87" t="b">
        <v>0</v>
      </c>
      <c r="N208" s="87"/>
      <c r="P208" s="88"/>
      <c r="Q208" s="88"/>
      <c r="R208" s="88"/>
      <c r="S208" s="86" t="s">
        <v>119</v>
      </c>
      <c r="T208" s="86" t="s">
        <v>120</v>
      </c>
      <c r="U208" s="86" t="s">
        <v>153</v>
      </c>
      <c r="V208" s="86" t="s">
        <v>167</v>
      </c>
      <c r="W208" s="86" t="s">
        <v>167</v>
      </c>
      <c r="X208" s="86"/>
      <c r="Y208" s="86"/>
      <c r="Z208" s="138">
        <v>44629</v>
      </c>
    </row>
    <row r="209" spans="1:26" s="198" customFormat="1" ht="12.6">
      <c r="A209" s="180" t="s">
        <v>737</v>
      </c>
      <c r="B209" s="180" t="s">
        <v>738</v>
      </c>
      <c r="C209" s="180" t="s">
        <v>745</v>
      </c>
      <c r="D209" s="180" t="s">
        <v>50</v>
      </c>
      <c r="E209" s="180" t="s">
        <v>172</v>
      </c>
      <c r="F209" s="180" t="s">
        <v>39</v>
      </c>
      <c r="G209" s="181" t="s">
        <v>208</v>
      </c>
      <c r="H209" s="180" t="s">
        <v>746</v>
      </c>
      <c r="I209" s="193" t="s">
        <v>28</v>
      </c>
      <c r="J209" s="193" t="s">
        <v>183</v>
      </c>
      <c r="K209" s="193" t="s">
        <v>118</v>
      </c>
      <c r="L209" s="194"/>
      <c r="M209" s="194" t="b">
        <v>1</v>
      </c>
      <c r="N209" s="194"/>
      <c r="O209" s="195"/>
      <c r="P209" s="196"/>
      <c r="Q209" s="196"/>
      <c r="R209" s="196"/>
      <c r="S209" s="193" t="s">
        <v>166</v>
      </c>
      <c r="T209" s="193" t="s">
        <v>120</v>
      </c>
      <c r="U209" s="193" t="s">
        <v>153</v>
      </c>
      <c r="V209" s="193" t="s">
        <v>167</v>
      </c>
      <c r="W209" s="193" t="s">
        <v>167</v>
      </c>
      <c r="X209" s="193"/>
      <c r="Y209" s="193"/>
      <c r="Z209" s="197">
        <v>44628</v>
      </c>
    </row>
    <row r="210" spans="1:26" ht="12.6">
      <c r="A210" s="85" t="s">
        <v>747</v>
      </c>
      <c r="B210" s="85" t="s">
        <v>748</v>
      </c>
      <c r="C210" s="85" t="s">
        <v>749</v>
      </c>
      <c r="D210" s="85" t="s">
        <v>26</v>
      </c>
      <c r="E210" s="85" t="s">
        <v>172</v>
      </c>
      <c r="F210" s="85" t="s">
        <v>27</v>
      </c>
      <c r="G210" s="89" t="s">
        <v>208</v>
      </c>
      <c r="H210" s="85" t="s">
        <v>633</v>
      </c>
      <c r="I210" s="86" t="s">
        <v>165</v>
      </c>
      <c r="J210" s="86" t="s">
        <v>40</v>
      </c>
      <c r="K210" s="86" t="s">
        <v>118</v>
      </c>
      <c r="L210" s="87">
        <v>44725</v>
      </c>
      <c r="M210" s="87" t="b">
        <v>0</v>
      </c>
      <c r="N210" s="87"/>
      <c r="P210" s="88"/>
      <c r="Q210" s="88"/>
      <c r="R210" s="88"/>
      <c r="S210" s="86" t="s">
        <v>119</v>
      </c>
      <c r="T210" s="86" t="s">
        <v>153</v>
      </c>
      <c r="U210" s="86"/>
      <c r="V210" s="86"/>
      <c r="W210" s="86"/>
      <c r="X210" s="86"/>
      <c r="Y210" s="86"/>
      <c r="Z210" s="138">
        <v>44628</v>
      </c>
    </row>
    <row r="211" spans="1:26" ht="12.6">
      <c r="A211" s="85" t="s">
        <v>747</v>
      </c>
      <c r="B211" s="85" t="s">
        <v>748</v>
      </c>
      <c r="C211" s="85" t="s">
        <v>750</v>
      </c>
      <c r="D211" s="85" t="s">
        <v>50</v>
      </c>
      <c r="E211" s="85" t="s">
        <v>235</v>
      </c>
      <c r="F211" s="85" t="s">
        <v>27</v>
      </c>
      <c r="G211" s="89" t="s">
        <v>173</v>
      </c>
      <c r="H211" s="85" t="s">
        <v>633</v>
      </c>
      <c r="I211" s="86" t="s">
        <v>165</v>
      </c>
      <c r="J211" s="86" t="s">
        <v>40</v>
      </c>
      <c r="K211" s="86" t="s">
        <v>118</v>
      </c>
      <c r="L211" s="87">
        <v>44740</v>
      </c>
      <c r="M211" s="87" t="b">
        <v>0</v>
      </c>
      <c r="N211" s="87"/>
      <c r="P211" s="88"/>
      <c r="Q211" s="88"/>
      <c r="R211" s="88"/>
      <c r="S211" s="86" t="s">
        <v>119</v>
      </c>
      <c r="T211" s="86" t="s">
        <v>153</v>
      </c>
      <c r="U211" s="86"/>
      <c r="V211" s="86"/>
      <c r="W211" s="86"/>
      <c r="X211" s="86"/>
      <c r="Y211" s="86"/>
      <c r="Z211" s="154">
        <v>44837</v>
      </c>
    </row>
    <row r="212" spans="1:26" ht="12.6">
      <c r="A212" s="85" t="s">
        <v>747</v>
      </c>
      <c r="B212" s="85" t="s">
        <v>748</v>
      </c>
      <c r="C212" s="85" t="s">
        <v>751</v>
      </c>
      <c r="D212" s="85" t="s">
        <v>50</v>
      </c>
      <c r="E212" s="85" t="s">
        <v>197</v>
      </c>
      <c r="F212" s="85" t="s">
        <v>39</v>
      </c>
      <c r="G212" s="89" t="s">
        <v>163</v>
      </c>
      <c r="H212" s="85" t="s">
        <v>752</v>
      </c>
      <c r="I212" s="86" t="s">
        <v>165</v>
      </c>
      <c r="J212" s="86" t="s">
        <v>40</v>
      </c>
      <c r="K212" s="86" t="s">
        <v>118</v>
      </c>
      <c r="L212" s="87">
        <v>44725</v>
      </c>
      <c r="M212" s="87" t="b">
        <v>0</v>
      </c>
      <c r="N212" s="87"/>
      <c r="P212" s="88"/>
      <c r="Q212" s="88"/>
      <c r="R212" s="88"/>
      <c r="S212" s="86" t="s">
        <v>119</v>
      </c>
      <c r="T212" s="86" t="s">
        <v>153</v>
      </c>
      <c r="U212" s="86"/>
      <c r="V212" s="86"/>
      <c r="W212" s="86"/>
      <c r="X212" s="86"/>
      <c r="Y212" s="86"/>
      <c r="Z212" s="138">
        <v>44837</v>
      </c>
    </row>
    <row r="213" spans="1:26" ht="12.6">
      <c r="A213" s="85" t="s">
        <v>747</v>
      </c>
      <c r="B213" s="85" t="s">
        <v>748</v>
      </c>
      <c r="C213" s="85" t="s">
        <v>753</v>
      </c>
      <c r="D213" s="85" t="s">
        <v>50</v>
      </c>
      <c r="E213" s="85" t="s">
        <v>219</v>
      </c>
      <c r="F213" s="85" t="s">
        <v>123</v>
      </c>
      <c r="G213" s="89" t="s">
        <v>177</v>
      </c>
      <c r="H213" s="85" t="s">
        <v>754</v>
      </c>
      <c r="I213" s="86" t="s">
        <v>28</v>
      </c>
      <c r="J213" s="86" t="s">
        <v>183</v>
      </c>
      <c r="K213" s="86" t="s">
        <v>184</v>
      </c>
      <c r="L213" s="87">
        <v>44725</v>
      </c>
      <c r="M213" s="87" t="b">
        <v>0</v>
      </c>
      <c r="N213" s="87"/>
      <c r="P213" s="88"/>
      <c r="Q213" s="88"/>
      <c r="R213" s="88"/>
      <c r="S213" s="86" t="s">
        <v>119</v>
      </c>
      <c r="T213" s="86" t="s">
        <v>153</v>
      </c>
      <c r="U213" s="86" t="s">
        <v>153</v>
      </c>
      <c r="V213" s="86" t="s">
        <v>167</v>
      </c>
      <c r="W213" s="86" t="s">
        <v>167</v>
      </c>
      <c r="X213" s="86"/>
      <c r="Y213" s="86"/>
      <c r="Z213" s="154">
        <v>44837</v>
      </c>
    </row>
    <row r="214" spans="1:26" s="251" customFormat="1" ht="12.6">
      <c r="A214" s="124" t="s">
        <v>755</v>
      </c>
      <c r="B214" s="124" t="s">
        <v>756</v>
      </c>
      <c r="C214" s="124" t="s">
        <v>757</v>
      </c>
      <c r="D214" s="124" t="s">
        <v>50</v>
      </c>
      <c r="E214" s="124" t="s">
        <v>219</v>
      </c>
      <c r="F214" s="124" t="s">
        <v>123</v>
      </c>
      <c r="G214" s="125" t="s">
        <v>177</v>
      </c>
      <c r="H214" s="124" t="s">
        <v>758</v>
      </c>
      <c r="I214" s="246" t="s">
        <v>28</v>
      </c>
      <c r="J214" s="246" t="s">
        <v>183</v>
      </c>
      <c r="K214" s="246" t="s">
        <v>184</v>
      </c>
      <c r="L214" s="247">
        <v>44896</v>
      </c>
      <c r="M214" s="252" t="b">
        <v>1</v>
      </c>
      <c r="N214" s="247">
        <v>45538</v>
      </c>
      <c r="O214" s="248" t="s">
        <v>112</v>
      </c>
      <c r="P214" s="249"/>
      <c r="Q214" s="249"/>
      <c r="R214" s="249"/>
      <c r="S214" s="246" t="s">
        <v>166</v>
      </c>
      <c r="T214" s="246"/>
      <c r="U214" s="246"/>
      <c r="V214" s="246"/>
      <c r="W214" s="126"/>
      <c r="X214" s="246"/>
      <c r="Y214" s="246"/>
      <c r="Z214" s="310">
        <v>44837</v>
      </c>
    </row>
    <row r="215" spans="1:26" ht="12.6">
      <c r="A215" s="85" t="s">
        <v>759</v>
      </c>
      <c r="B215" s="85" t="s">
        <v>760</v>
      </c>
      <c r="C215" s="85" t="s">
        <v>761</v>
      </c>
      <c r="D215" s="85" t="s">
        <v>50</v>
      </c>
      <c r="E215" s="85" t="s">
        <v>635</v>
      </c>
      <c r="F215" s="85" t="s">
        <v>39</v>
      </c>
      <c r="G215" s="89" t="s">
        <v>177</v>
      </c>
      <c r="H215" s="85" t="s">
        <v>483</v>
      </c>
      <c r="I215" s="86" t="s">
        <v>28</v>
      </c>
      <c r="J215" s="86" t="s">
        <v>183</v>
      </c>
      <c r="K215" s="86" t="s">
        <v>184</v>
      </c>
      <c r="L215" s="87"/>
      <c r="M215" s="87" t="b">
        <v>0</v>
      </c>
      <c r="N215" s="87"/>
      <c r="P215" s="88"/>
      <c r="Q215" s="88"/>
      <c r="R215" s="88"/>
      <c r="S215" s="86" t="s">
        <v>166</v>
      </c>
      <c r="T215" s="86" t="s">
        <v>120</v>
      </c>
      <c r="U215" s="86" t="s">
        <v>153</v>
      </c>
      <c r="V215" s="86"/>
      <c r="W215" s="86"/>
      <c r="X215" s="86"/>
      <c r="Y215" s="86" t="s">
        <v>762</v>
      </c>
      <c r="Z215" s="154">
        <v>44837</v>
      </c>
    </row>
    <row r="216" spans="1:26" ht="12.6">
      <c r="A216" s="85" t="s">
        <v>763</v>
      </c>
      <c r="B216" s="85" t="s">
        <v>349</v>
      </c>
      <c r="C216" s="85" t="s">
        <v>764</v>
      </c>
      <c r="D216" s="85" t="s">
        <v>26</v>
      </c>
      <c r="E216" s="85" t="s">
        <v>172</v>
      </c>
      <c r="F216" s="85" t="s">
        <v>27</v>
      </c>
      <c r="G216" s="89" t="s">
        <v>177</v>
      </c>
      <c r="H216" s="85" t="s">
        <v>765</v>
      </c>
      <c r="I216" s="86" t="s">
        <v>165</v>
      </c>
      <c r="J216" s="86" t="s">
        <v>40</v>
      </c>
      <c r="K216" s="86" t="s">
        <v>118</v>
      </c>
      <c r="L216" s="87">
        <v>44837</v>
      </c>
      <c r="M216" s="87" t="b">
        <v>0</v>
      </c>
      <c r="N216" s="87"/>
      <c r="P216" s="88"/>
      <c r="Q216" s="88"/>
      <c r="R216" s="88"/>
      <c r="S216" s="86" t="s">
        <v>119</v>
      </c>
      <c r="T216" s="86" t="s">
        <v>153</v>
      </c>
      <c r="U216" s="86"/>
      <c r="V216" s="86"/>
      <c r="W216" s="86"/>
      <c r="X216" s="86"/>
      <c r="Y216" s="86"/>
      <c r="Z216" s="165"/>
    </row>
    <row r="217" spans="1:26" s="188" customFormat="1" ht="12.6">
      <c r="A217" s="180" t="s">
        <v>763</v>
      </c>
      <c r="B217" s="180" t="s">
        <v>349</v>
      </c>
      <c r="C217" s="180" t="s">
        <v>766</v>
      </c>
      <c r="D217" s="180" t="s">
        <v>61</v>
      </c>
      <c r="E217" s="180" t="s">
        <v>509</v>
      </c>
      <c r="F217" s="180" t="s">
        <v>27</v>
      </c>
      <c r="G217" s="181" t="s">
        <v>227</v>
      </c>
      <c r="H217" s="180" t="s">
        <v>633</v>
      </c>
      <c r="I217" s="182" t="s">
        <v>165</v>
      </c>
      <c r="J217" s="182" t="s">
        <v>40</v>
      </c>
      <c r="K217" s="182" t="s">
        <v>184</v>
      </c>
      <c r="L217" s="183"/>
      <c r="M217" s="183" t="b">
        <v>0</v>
      </c>
      <c r="N217" s="183"/>
      <c r="O217" s="185"/>
      <c r="P217" s="186"/>
      <c r="Q217" s="186"/>
      <c r="R217" s="186"/>
      <c r="S217" s="182" t="s">
        <v>166</v>
      </c>
      <c r="T217" s="182"/>
      <c r="U217" s="182"/>
      <c r="V217" s="182"/>
      <c r="W217" s="182" t="s">
        <v>194</v>
      </c>
      <c r="X217" s="182"/>
      <c r="Y217" s="182" t="s">
        <v>318</v>
      </c>
      <c r="Z217" s="191">
        <v>44725</v>
      </c>
    </row>
    <row r="218" spans="1:26" ht="12.6">
      <c r="A218" s="85" t="s">
        <v>763</v>
      </c>
      <c r="B218" s="85" t="s">
        <v>349</v>
      </c>
      <c r="C218" s="85" t="s">
        <v>767</v>
      </c>
      <c r="D218" s="85" t="s">
        <v>38</v>
      </c>
      <c r="E218" s="85" t="s">
        <v>204</v>
      </c>
      <c r="F218" s="85" t="s">
        <v>39</v>
      </c>
      <c r="G218" s="89" t="s">
        <v>673</v>
      </c>
      <c r="H218" s="85" t="s">
        <v>544</v>
      </c>
      <c r="I218" s="86" t="s">
        <v>28</v>
      </c>
      <c r="J218" s="86" t="s">
        <v>52</v>
      </c>
      <c r="K218" s="86" t="s">
        <v>118</v>
      </c>
      <c r="L218" s="87">
        <v>44837</v>
      </c>
      <c r="M218" s="87" t="b">
        <v>0</v>
      </c>
      <c r="N218" s="87"/>
      <c r="P218" s="88"/>
      <c r="Q218" s="88"/>
      <c r="R218" s="88"/>
      <c r="S218" s="86" t="s">
        <v>119</v>
      </c>
      <c r="T218" s="86" t="s">
        <v>153</v>
      </c>
      <c r="U218" s="86" t="s">
        <v>153</v>
      </c>
      <c r="V218" s="86" t="s">
        <v>167</v>
      </c>
      <c r="W218" s="86" t="s">
        <v>167</v>
      </c>
      <c r="X218" s="86"/>
      <c r="Y218" s="86"/>
      <c r="Z218" s="138">
        <v>44740</v>
      </c>
    </row>
    <row r="219" spans="1:26" s="98" customFormat="1" ht="12.6">
      <c r="A219" s="90" t="s">
        <v>768</v>
      </c>
      <c r="B219" s="90" t="s">
        <v>769</v>
      </c>
      <c r="C219" s="90" t="s">
        <v>770</v>
      </c>
      <c r="D219" s="90" t="s">
        <v>61</v>
      </c>
      <c r="E219" s="90" t="s">
        <v>532</v>
      </c>
      <c r="F219" s="90" t="s">
        <v>27</v>
      </c>
      <c r="G219" s="91" t="s">
        <v>173</v>
      </c>
      <c r="H219" s="90" t="s">
        <v>771</v>
      </c>
      <c r="I219" s="92" t="s">
        <v>165</v>
      </c>
      <c r="J219" s="92" t="s">
        <v>40</v>
      </c>
      <c r="K219" s="92" t="s">
        <v>118</v>
      </c>
      <c r="L219" s="93">
        <v>44837</v>
      </c>
      <c r="M219" s="93" t="b">
        <v>0</v>
      </c>
      <c r="N219" s="93">
        <v>45602</v>
      </c>
      <c r="O219" s="94" t="s">
        <v>98</v>
      </c>
      <c r="P219" s="95">
        <v>8.3000000000000007</v>
      </c>
      <c r="Q219" s="95"/>
      <c r="R219" s="95">
        <v>2.8</v>
      </c>
      <c r="S219" s="92" t="s">
        <v>119</v>
      </c>
      <c r="T219" s="92" t="s">
        <v>153</v>
      </c>
      <c r="U219" s="92"/>
      <c r="V219" s="92"/>
      <c r="W219" s="92"/>
      <c r="X219" s="92"/>
      <c r="Y219" s="92"/>
      <c r="Z219" s="97">
        <v>44725</v>
      </c>
    </row>
    <row r="220" spans="1:26" s="98" customFormat="1" ht="12.6">
      <c r="A220" s="90" t="s">
        <v>768</v>
      </c>
      <c r="B220" s="90" t="s">
        <v>769</v>
      </c>
      <c r="C220" s="90" t="s">
        <v>772</v>
      </c>
      <c r="D220" s="90" t="s">
        <v>26</v>
      </c>
      <c r="E220" s="90" t="s">
        <v>172</v>
      </c>
      <c r="F220" s="90" t="s">
        <v>27</v>
      </c>
      <c r="G220" s="91" t="s">
        <v>177</v>
      </c>
      <c r="H220" s="90" t="s">
        <v>773</v>
      </c>
      <c r="I220" s="92" t="s">
        <v>165</v>
      </c>
      <c r="J220" s="92" t="s">
        <v>40</v>
      </c>
      <c r="K220" s="92" t="s">
        <v>118</v>
      </c>
      <c r="L220" s="93">
        <v>44837</v>
      </c>
      <c r="M220" s="93" t="b">
        <v>0</v>
      </c>
      <c r="N220" s="93">
        <v>45602</v>
      </c>
      <c r="O220" s="94" t="s">
        <v>98</v>
      </c>
      <c r="P220" s="95">
        <v>8.4</v>
      </c>
      <c r="Q220" s="95"/>
      <c r="R220" s="95">
        <v>2.4</v>
      </c>
      <c r="S220" s="92" t="s">
        <v>119</v>
      </c>
      <c r="T220" s="92" t="s">
        <v>153</v>
      </c>
      <c r="U220" s="92"/>
      <c r="V220" s="92"/>
      <c r="W220" s="92"/>
      <c r="X220" s="92"/>
      <c r="Y220" s="92"/>
      <c r="Z220" s="99">
        <v>44725</v>
      </c>
    </row>
    <row r="221" spans="1:26" s="98" customFormat="1" ht="12.6">
      <c r="A221" s="90" t="s">
        <v>768</v>
      </c>
      <c r="B221" s="90" t="s">
        <v>769</v>
      </c>
      <c r="C221" s="90" t="s">
        <v>774</v>
      </c>
      <c r="D221" s="90" t="s">
        <v>61</v>
      </c>
      <c r="E221" s="90" t="s">
        <v>338</v>
      </c>
      <c r="F221" s="90" t="s">
        <v>27</v>
      </c>
      <c r="G221" s="91" t="s">
        <v>208</v>
      </c>
      <c r="H221" s="90" t="s">
        <v>418</v>
      </c>
      <c r="I221" s="92" t="s">
        <v>28</v>
      </c>
      <c r="J221" s="92" t="s">
        <v>28</v>
      </c>
      <c r="K221" s="92" t="s">
        <v>118</v>
      </c>
      <c r="L221" s="93">
        <v>44837</v>
      </c>
      <c r="M221" s="93" t="b">
        <v>0</v>
      </c>
      <c r="N221" s="93">
        <v>45602</v>
      </c>
      <c r="O221" s="94" t="s">
        <v>98</v>
      </c>
      <c r="P221" s="95">
        <v>7.9</v>
      </c>
      <c r="Q221" s="95"/>
      <c r="R221" s="95">
        <v>2.6</v>
      </c>
      <c r="S221" s="92" t="s">
        <v>119</v>
      </c>
      <c r="T221" s="92" t="s">
        <v>153</v>
      </c>
      <c r="U221" s="92"/>
      <c r="V221" s="92"/>
      <c r="W221" s="92"/>
      <c r="X221" s="92"/>
      <c r="Y221" s="92"/>
      <c r="Z221" s="107">
        <v>44896</v>
      </c>
    </row>
    <row r="222" spans="1:26" s="98" customFormat="1" ht="12.6">
      <c r="A222" s="90" t="s">
        <v>768</v>
      </c>
      <c r="B222" s="90" t="s">
        <v>769</v>
      </c>
      <c r="C222" s="90" t="s">
        <v>775</v>
      </c>
      <c r="D222" s="90" t="s">
        <v>50</v>
      </c>
      <c r="E222" s="90" t="s">
        <v>197</v>
      </c>
      <c r="F222" s="90" t="s">
        <v>39</v>
      </c>
      <c r="G222" s="91" t="s">
        <v>181</v>
      </c>
      <c r="H222" s="90" t="s">
        <v>544</v>
      </c>
      <c r="I222" s="92" t="s">
        <v>28</v>
      </c>
      <c r="J222" s="92" t="s">
        <v>52</v>
      </c>
      <c r="K222" s="92" t="s">
        <v>118</v>
      </c>
      <c r="L222" s="93">
        <v>44837</v>
      </c>
      <c r="M222" s="93" t="b">
        <v>0</v>
      </c>
      <c r="N222" s="93">
        <v>45602</v>
      </c>
      <c r="O222" s="94" t="s">
        <v>98</v>
      </c>
      <c r="P222" s="95">
        <v>1</v>
      </c>
      <c r="Q222" s="95">
        <v>1.5</v>
      </c>
      <c r="R222" s="95"/>
      <c r="S222" s="92" t="s">
        <v>119</v>
      </c>
      <c r="T222" s="92" t="s">
        <v>153</v>
      </c>
      <c r="U222" s="92"/>
      <c r="V222" s="92"/>
      <c r="W222" s="92"/>
      <c r="X222" s="92"/>
      <c r="Y222" s="92"/>
      <c r="Z222" s="99"/>
    </row>
    <row r="223" spans="1:26" s="98" customFormat="1" ht="12.6">
      <c r="A223" s="90" t="s">
        <v>776</v>
      </c>
      <c r="B223" s="90" t="s">
        <v>349</v>
      </c>
      <c r="C223" s="90" t="s">
        <v>777</v>
      </c>
      <c r="D223" s="90" t="s">
        <v>26</v>
      </c>
      <c r="E223" s="90" t="s">
        <v>172</v>
      </c>
      <c r="F223" s="90" t="s">
        <v>27</v>
      </c>
      <c r="G223" s="91" t="s">
        <v>417</v>
      </c>
      <c r="H223" s="90" t="s">
        <v>418</v>
      </c>
      <c r="I223" s="92" t="s">
        <v>28</v>
      </c>
      <c r="J223" s="92" t="s">
        <v>28</v>
      </c>
      <c r="K223" s="92" t="s">
        <v>118</v>
      </c>
      <c r="L223" s="93">
        <v>44837</v>
      </c>
      <c r="M223" s="93" t="b">
        <v>0</v>
      </c>
      <c r="N223" s="93">
        <v>45602</v>
      </c>
      <c r="O223" s="94" t="s">
        <v>98</v>
      </c>
      <c r="P223" s="95">
        <v>8.6999999999999993</v>
      </c>
      <c r="Q223" s="95"/>
      <c r="R223" s="95">
        <v>2.6</v>
      </c>
      <c r="S223" s="92" t="s">
        <v>119</v>
      </c>
      <c r="T223" s="92" t="s">
        <v>153</v>
      </c>
      <c r="U223" s="92"/>
      <c r="V223" s="92"/>
      <c r="W223" s="92"/>
      <c r="X223" s="92"/>
      <c r="Y223" s="92"/>
      <c r="Z223" s="97">
        <v>44837</v>
      </c>
    </row>
    <row r="224" spans="1:26" s="98" customFormat="1" ht="12.6">
      <c r="A224" s="90" t="s">
        <v>776</v>
      </c>
      <c r="B224" s="90" t="s">
        <v>349</v>
      </c>
      <c r="C224" s="90" t="s">
        <v>778</v>
      </c>
      <c r="D224" s="90" t="s">
        <v>61</v>
      </c>
      <c r="E224" s="90" t="s">
        <v>740</v>
      </c>
      <c r="F224" s="90" t="s">
        <v>27</v>
      </c>
      <c r="G224" s="91" t="s">
        <v>227</v>
      </c>
      <c r="H224" s="90" t="s">
        <v>325</v>
      </c>
      <c r="I224" s="92" t="s">
        <v>165</v>
      </c>
      <c r="J224" s="92" t="s">
        <v>40</v>
      </c>
      <c r="K224" s="92" t="s">
        <v>118</v>
      </c>
      <c r="L224" s="93">
        <v>44837</v>
      </c>
      <c r="M224" s="93" t="b">
        <v>0</v>
      </c>
      <c r="N224" s="93">
        <v>45602</v>
      </c>
      <c r="O224" s="94" t="s">
        <v>98</v>
      </c>
      <c r="P224" s="95">
        <v>9.1</v>
      </c>
      <c r="Q224" s="95"/>
      <c r="R224" s="95">
        <v>2</v>
      </c>
      <c r="S224" s="92" t="s">
        <v>119</v>
      </c>
      <c r="T224" s="92" t="s">
        <v>153</v>
      </c>
      <c r="U224" s="92"/>
      <c r="V224" s="92"/>
      <c r="W224" s="92"/>
      <c r="X224" s="92"/>
      <c r="Y224" s="92"/>
      <c r="Z224" s="99"/>
    </row>
    <row r="225" spans="1:26" s="98" customFormat="1" ht="12.6">
      <c r="A225" s="90" t="s">
        <v>776</v>
      </c>
      <c r="B225" s="90" t="s">
        <v>349</v>
      </c>
      <c r="C225" s="90" t="s">
        <v>779</v>
      </c>
      <c r="D225" s="90" t="s">
        <v>38</v>
      </c>
      <c r="E225" s="90" t="s">
        <v>204</v>
      </c>
      <c r="F225" s="90" t="s">
        <v>39</v>
      </c>
      <c r="G225" s="91" t="s">
        <v>251</v>
      </c>
      <c r="H225" s="90" t="s">
        <v>544</v>
      </c>
      <c r="I225" s="92" t="s">
        <v>28</v>
      </c>
      <c r="J225" s="92" t="s">
        <v>52</v>
      </c>
      <c r="K225" s="92" t="s">
        <v>118</v>
      </c>
      <c r="L225" s="93">
        <v>44837</v>
      </c>
      <c r="M225" s="93" t="b">
        <v>0</v>
      </c>
      <c r="N225" s="93">
        <v>45602</v>
      </c>
      <c r="O225" s="94" t="s">
        <v>98</v>
      </c>
      <c r="P225" s="95">
        <v>3.5</v>
      </c>
      <c r="Q225" s="95">
        <v>4.5</v>
      </c>
      <c r="R225" s="95"/>
      <c r="S225" s="92" t="s">
        <v>119</v>
      </c>
      <c r="T225" s="92" t="s">
        <v>153</v>
      </c>
      <c r="U225" s="92"/>
      <c r="V225" s="108"/>
      <c r="W225" s="92"/>
      <c r="X225" s="92"/>
      <c r="Y225" s="92"/>
      <c r="Z225" s="97">
        <v>44837</v>
      </c>
    </row>
    <row r="226" spans="1:26" s="98" customFormat="1" ht="12.6">
      <c r="A226" s="90" t="s">
        <v>780</v>
      </c>
      <c r="B226" s="90" t="s">
        <v>781</v>
      </c>
      <c r="C226" s="90" t="s">
        <v>782</v>
      </c>
      <c r="D226" s="90" t="s">
        <v>61</v>
      </c>
      <c r="E226" s="90" t="s">
        <v>509</v>
      </c>
      <c r="F226" s="90" t="s">
        <v>27</v>
      </c>
      <c r="G226" s="91" t="s">
        <v>173</v>
      </c>
      <c r="H226" s="90" t="s">
        <v>783</v>
      </c>
      <c r="I226" s="92" t="s">
        <v>165</v>
      </c>
      <c r="J226" s="92" t="s">
        <v>40</v>
      </c>
      <c r="K226" s="92" t="s">
        <v>118</v>
      </c>
      <c r="L226" s="93">
        <v>44875</v>
      </c>
      <c r="M226" s="93" t="b">
        <v>0</v>
      </c>
      <c r="N226" s="93">
        <v>45600</v>
      </c>
      <c r="O226" s="94" t="s">
        <v>58</v>
      </c>
      <c r="P226" s="95">
        <v>6.8</v>
      </c>
      <c r="Q226" s="95"/>
      <c r="R226" s="95">
        <v>2.5</v>
      </c>
      <c r="S226" s="92" t="s">
        <v>119</v>
      </c>
      <c r="T226" s="92" t="s">
        <v>153</v>
      </c>
      <c r="U226" s="92"/>
      <c r="V226" s="108"/>
      <c r="W226" s="92"/>
      <c r="X226" s="92"/>
      <c r="Y226" s="92"/>
      <c r="Z226" s="99">
        <v>44837</v>
      </c>
    </row>
    <row r="227" spans="1:26" s="98" customFormat="1" ht="12.6">
      <c r="A227" s="90" t="s">
        <v>780</v>
      </c>
      <c r="B227" s="90" t="s">
        <v>781</v>
      </c>
      <c r="C227" s="90" t="s">
        <v>784</v>
      </c>
      <c r="D227" s="90" t="s">
        <v>26</v>
      </c>
      <c r="E227" s="90" t="s">
        <v>172</v>
      </c>
      <c r="F227" s="90" t="s">
        <v>27</v>
      </c>
      <c r="G227" s="91" t="s">
        <v>227</v>
      </c>
      <c r="H227" s="90" t="s">
        <v>785</v>
      </c>
      <c r="I227" s="92" t="s">
        <v>165</v>
      </c>
      <c r="J227" s="92" t="s">
        <v>40</v>
      </c>
      <c r="K227" s="92" t="s">
        <v>184</v>
      </c>
      <c r="L227" s="93">
        <v>44841</v>
      </c>
      <c r="M227" s="93" t="b">
        <v>0</v>
      </c>
      <c r="N227" s="93">
        <v>45610</v>
      </c>
      <c r="O227" s="94" t="s">
        <v>58</v>
      </c>
      <c r="P227" s="95">
        <v>6</v>
      </c>
      <c r="Q227" s="95"/>
      <c r="R227" s="95">
        <v>2.8</v>
      </c>
      <c r="S227" s="92" t="s">
        <v>119</v>
      </c>
      <c r="T227" s="92" t="s">
        <v>153</v>
      </c>
      <c r="U227" s="92"/>
      <c r="V227" s="92"/>
      <c r="W227" s="92"/>
      <c r="X227" s="92"/>
      <c r="Y227" s="92" t="s">
        <v>786</v>
      </c>
      <c r="Z227" s="97">
        <v>44837</v>
      </c>
    </row>
    <row r="228" spans="1:26" s="131" customFormat="1" ht="12.6">
      <c r="A228" s="124" t="s">
        <v>780</v>
      </c>
      <c r="B228" s="124" t="s">
        <v>781</v>
      </c>
      <c r="C228" s="124" t="s">
        <v>787</v>
      </c>
      <c r="D228" s="124" t="s">
        <v>26</v>
      </c>
      <c r="E228" s="124" t="s">
        <v>172</v>
      </c>
      <c r="F228" s="124" t="s">
        <v>27</v>
      </c>
      <c r="G228" s="125" t="s">
        <v>173</v>
      </c>
      <c r="H228" s="124" t="s">
        <v>788</v>
      </c>
      <c r="I228" s="126" t="s">
        <v>165</v>
      </c>
      <c r="J228" s="126" t="s">
        <v>40</v>
      </c>
      <c r="K228" s="126" t="s">
        <v>184</v>
      </c>
      <c r="L228" s="127">
        <v>44841</v>
      </c>
      <c r="M228" s="127" t="b">
        <v>0</v>
      </c>
      <c r="N228" s="127">
        <v>45600</v>
      </c>
      <c r="O228" s="128" t="s">
        <v>58</v>
      </c>
      <c r="P228" s="129"/>
      <c r="Q228" s="129"/>
      <c r="R228" s="129"/>
      <c r="S228" s="126" t="s">
        <v>166</v>
      </c>
      <c r="T228" s="126" t="s">
        <v>153</v>
      </c>
      <c r="U228" s="126" t="s">
        <v>153</v>
      </c>
      <c r="V228" s="126" t="s">
        <v>167</v>
      </c>
      <c r="W228" s="126" t="s">
        <v>167</v>
      </c>
      <c r="X228" s="126"/>
      <c r="Y228" s="126" t="s">
        <v>522</v>
      </c>
      <c r="Z228" s="130">
        <v>44837</v>
      </c>
    </row>
    <row r="229" spans="1:26" s="98" customFormat="1" ht="12.95" customHeight="1">
      <c r="A229" s="90" t="s">
        <v>780</v>
      </c>
      <c r="B229" s="90" t="s">
        <v>781</v>
      </c>
      <c r="C229" s="90" t="s">
        <v>789</v>
      </c>
      <c r="D229" s="90" t="s">
        <v>38</v>
      </c>
      <c r="E229" s="90" t="s">
        <v>204</v>
      </c>
      <c r="F229" s="90" t="s">
        <v>39</v>
      </c>
      <c r="G229" s="91" t="s">
        <v>673</v>
      </c>
      <c r="H229" s="90" t="s">
        <v>790</v>
      </c>
      <c r="I229" s="92" t="s">
        <v>28</v>
      </c>
      <c r="J229" s="92" t="s">
        <v>52</v>
      </c>
      <c r="K229" s="92" t="s">
        <v>118</v>
      </c>
      <c r="L229" s="93">
        <v>44872</v>
      </c>
      <c r="M229" s="93" t="b">
        <v>0</v>
      </c>
      <c r="N229" s="93">
        <v>45600</v>
      </c>
      <c r="O229" s="94" t="s">
        <v>58</v>
      </c>
      <c r="P229" s="95">
        <v>4.3</v>
      </c>
      <c r="Q229" s="95">
        <v>4.4000000000000004</v>
      </c>
      <c r="R229" s="95"/>
      <c r="S229" s="92" t="s">
        <v>119</v>
      </c>
      <c r="T229" s="92" t="s">
        <v>153</v>
      </c>
      <c r="U229" s="92"/>
      <c r="V229" s="92"/>
      <c r="W229" s="92"/>
      <c r="X229" s="92"/>
      <c r="Y229" s="92"/>
      <c r="Z229" s="97">
        <v>44837</v>
      </c>
    </row>
    <row r="230" spans="1:26" s="98" customFormat="1" ht="12.6">
      <c r="A230" s="90" t="s">
        <v>791</v>
      </c>
      <c r="B230" s="90" t="s">
        <v>792</v>
      </c>
      <c r="C230" s="90" t="s">
        <v>793</v>
      </c>
      <c r="D230" s="90" t="s">
        <v>26</v>
      </c>
      <c r="E230" s="90" t="s">
        <v>172</v>
      </c>
      <c r="F230" s="90" t="s">
        <v>27</v>
      </c>
      <c r="G230" s="91" t="s">
        <v>177</v>
      </c>
      <c r="H230" s="90" t="s">
        <v>551</v>
      </c>
      <c r="I230" s="92" t="s">
        <v>28</v>
      </c>
      <c r="J230" s="92" t="s">
        <v>28</v>
      </c>
      <c r="K230" s="92" t="s">
        <v>118</v>
      </c>
      <c r="L230" s="93">
        <v>44872</v>
      </c>
      <c r="M230" s="93" t="b">
        <v>0</v>
      </c>
      <c r="N230" s="93">
        <v>45427</v>
      </c>
      <c r="O230" s="94" t="s">
        <v>73</v>
      </c>
      <c r="P230" s="95">
        <v>7.8</v>
      </c>
      <c r="Q230" s="95"/>
      <c r="R230" s="95">
        <v>2.8</v>
      </c>
      <c r="S230" s="92" t="s">
        <v>119</v>
      </c>
      <c r="T230" s="92" t="s">
        <v>153</v>
      </c>
      <c r="U230" s="92"/>
      <c r="V230" s="92"/>
      <c r="W230" s="86"/>
      <c r="X230" s="92"/>
      <c r="Y230" s="92"/>
      <c r="Z230" s="99">
        <v>44837</v>
      </c>
    </row>
    <row r="231" spans="1:26" s="188" customFormat="1" ht="12.6">
      <c r="A231" s="180" t="s">
        <v>791</v>
      </c>
      <c r="B231" s="180" t="s">
        <v>792</v>
      </c>
      <c r="C231" s="199" t="s">
        <v>794</v>
      </c>
      <c r="D231" s="180" t="s">
        <v>61</v>
      </c>
      <c r="E231" s="180" t="s">
        <v>795</v>
      </c>
      <c r="F231" s="180" t="s">
        <v>123</v>
      </c>
      <c r="G231" s="181">
        <v>1</v>
      </c>
      <c r="H231" s="180" t="s">
        <v>796</v>
      </c>
      <c r="I231" s="182" t="s">
        <v>28</v>
      </c>
      <c r="J231" s="182" t="s">
        <v>183</v>
      </c>
      <c r="K231" s="182" t="s">
        <v>184</v>
      </c>
      <c r="L231" s="183"/>
      <c r="M231" s="183" t="b">
        <v>0</v>
      </c>
      <c r="N231" s="183">
        <v>45427</v>
      </c>
      <c r="O231" s="185" t="s">
        <v>73</v>
      </c>
      <c r="P231" s="186"/>
      <c r="Q231" s="186"/>
      <c r="R231" s="186"/>
      <c r="S231" s="182" t="s">
        <v>166</v>
      </c>
      <c r="T231" s="182" t="s">
        <v>120</v>
      </c>
      <c r="U231" s="182" t="s">
        <v>153</v>
      </c>
      <c r="V231" s="182" t="s">
        <v>167</v>
      </c>
      <c r="W231" s="182" t="s">
        <v>167</v>
      </c>
      <c r="X231" s="182"/>
      <c r="Y231" s="182" t="s">
        <v>797</v>
      </c>
      <c r="Z231" s="191">
        <v>44837</v>
      </c>
    </row>
    <row r="232" spans="1:26" s="131" customFormat="1" ht="12.6">
      <c r="A232" s="124" t="s">
        <v>798</v>
      </c>
      <c r="B232" s="124" t="s">
        <v>799</v>
      </c>
      <c r="C232" s="124" t="s">
        <v>800</v>
      </c>
      <c r="D232" s="124" t="s">
        <v>26</v>
      </c>
      <c r="E232" s="124" t="s">
        <v>172</v>
      </c>
      <c r="F232" s="124" t="s">
        <v>27</v>
      </c>
      <c r="G232" s="125" t="s">
        <v>163</v>
      </c>
      <c r="H232" s="124" t="s">
        <v>801</v>
      </c>
      <c r="I232" s="126" t="s">
        <v>165</v>
      </c>
      <c r="J232" s="126" t="s">
        <v>40</v>
      </c>
      <c r="K232" s="126" t="s">
        <v>184</v>
      </c>
      <c r="L232" s="127">
        <v>44872</v>
      </c>
      <c r="M232" s="127" t="b">
        <v>0</v>
      </c>
      <c r="N232" s="127">
        <v>45600</v>
      </c>
      <c r="O232" s="128" t="s">
        <v>58</v>
      </c>
      <c r="P232" s="129"/>
      <c r="Q232" s="129"/>
      <c r="R232" s="129"/>
      <c r="S232" s="126" t="s">
        <v>166</v>
      </c>
      <c r="T232" s="126"/>
      <c r="U232" s="126"/>
      <c r="V232" s="126"/>
      <c r="W232" s="126"/>
      <c r="X232" s="126"/>
      <c r="Y232" s="126" t="s">
        <v>522</v>
      </c>
      <c r="Z232" s="130">
        <v>44837</v>
      </c>
    </row>
    <row r="233" spans="1:26" s="98" customFormat="1" ht="12.6">
      <c r="A233" s="90" t="s">
        <v>798</v>
      </c>
      <c r="B233" s="90" t="s">
        <v>799</v>
      </c>
      <c r="C233" s="90" t="s">
        <v>802</v>
      </c>
      <c r="D233" s="90" t="s">
        <v>26</v>
      </c>
      <c r="E233" s="90" t="s">
        <v>351</v>
      </c>
      <c r="F233" s="90" t="s">
        <v>27</v>
      </c>
      <c r="G233" s="91" t="s">
        <v>163</v>
      </c>
      <c r="H233" s="90" t="s">
        <v>803</v>
      </c>
      <c r="I233" s="92" t="s">
        <v>165</v>
      </c>
      <c r="J233" s="92" t="s">
        <v>40</v>
      </c>
      <c r="K233" s="92" t="s">
        <v>118</v>
      </c>
      <c r="L233" s="93">
        <v>44872</v>
      </c>
      <c r="M233" s="93" t="b">
        <v>0</v>
      </c>
      <c r="N233" s="93">
        <v>45600</v>
      </c>
      <c r="O233" s="94" t="s">
        <v>58</v>
      </c>
      <c r="P233" s="95">
        <v>9.4</v>
      </c>
      <c r="Q233" s="95"/>
      <c r="R233" s="95">
        <v>2.4</v>
      </c>
      <c r="S233" s="92" t="s">
        <v>119</v>
      </c>
      <c r="T233" s="92" t="s">
        <v>153</v>
      </c>
      <c r="U233" s="92"/>
      <c r="V233" s="92"/>
      <c r="W233" s="92"/>
      <c r="X233" s="92"/>
      <c r="Y233" s="92"/>
      <c r="Z233" s="97">
        <v>44875</v>
      </c>
    </row>
    <row r="234" spans="1:26" s="188" customFormat="1" ht="12.6">
      <c r="A234" s="180" t="s">
        <v>804</v>
      </c>
      <c r="B234" s="180" t="s">
        <v>805</v>
      </c>
      <c r="C234" s="180" t="s">
        <v>806</v>
      </c>
      <c r="D234" s="180" t="s">
        <v>50</v>
      </c>
      <c r="E234" s="180" t="s">
        <v>235</v>
      </c>
      <c r="F234" s="180" t="s">
        <v>27</v>
      </c>
      <c r="G234" s="181" t="s">
        <v>173</v>
      </c>
      <c r="H234" s="180" t="s">
        <v>807</v>
      </c>
      <c r="I234" s="182" t="s">
        <v>165</v>
      </c>
      <c r="J234" s="182" t="s">
        <v>40</v>
      </c>
      <c r="K234" s="182" t="s">
        <v>118</v>
      </c>
      <c r="L234" s="183">
        <v>44894</v>
      </c>
      <c r="M234" s="183" t="b">
        <v>0</v>
      </c>
      <c r="N234" s="183"/>
      <c r="O234" s="185"/>
      <c r="P234" s="186"/>
      <c r="Q234" s="186"/>
      <c r="R234" s="186"/>
      <c r="S234" s="182" t="s">
        <v>166</v>
      </c>
      <c r="T234" s="182"/>
      <c r="U234" s="182"/>
      <c r="V234" s="182"/>
      <c r="W234" s="182" t="s">
        <v>194</v>
      </c>
      <c r="X234" s="182"/>
      <c r="Y234" s="182" t="s">
        <v>808</v>
      </c>
      <c r="Z234" s="190">
        <v>44841</v>
      </c>
    </row>
    <row r="235" spans="1:26" s="188" customFormat="1" ht="12.6">
      <c r="A235" s="180" t="s">
        <v>804</v>
      </c>
      <c r="B235" s="180" t="s">
        <v>805</v>
      </c>
      <c r="C235" s="180" t="s">
        <v>809</v>
      </c>
      <c r="D235" s="180" t="s">
        <v>50</v>
      </c>
      <c r="E235" s="180" t="s">
        <v>197</v>
      </c>
      <c r="F235" s="180" t="s">
        <v>39</v>
      </c>
      <c r="G235" s="181" t="s">
        <v>163</v>
      </c>
      <c r="H235" s="180" t="s">
        <v>810</v>
      </c>
      <c r="I235" s="182" t="s">
        <v>165</v>
      </c>
      <c r="J235" s="182" t="s">
        <v>40</v>
      </c>
      <c r="K235" s="182" t="s">
        <v>184</v>
      </c>
      <c r="L235" s="183"/>
      <c r="M235" s="183" t="b">
        <v>0</v>
      </c>
      <c r="N235" s="183"/>
      <c r="O235" s="312"/>
      <c r="P235" s="186"/>
      <c r="Q235" s="186"/>
      <c r="R235" s="186"/>
      <c r="S235" s="182" t="s">
        <v>119</v>
      </c>
      <c r="T235" s="182" t="s">
        <v>120</v>
      </c>
      <c r="U235" s="182" t="s">
        <v>153</v>
      </c>
      <c r="V235" s="182" t="s">
        <v>167</v>
      </c>
      <c r="W235" s="182" t="s">
        <v>167</v>
      </c>
      <c r="X235" s="182"/>
      <c r="Y235" s="182"/>
      <c r="Z235" s="191">
        <v>44841</v>
      </c>
    </row>
    <row r="236" spans="1:26" s="98" customFormat="1" ht="12.6">
      <c r="A236" s="90" t="s">
        <v>804</v>
      </c>
      <c r="B236" s="90" t="s">
        <v>805</v>
      </c>
      <c r="C236" s="90" t="s">
        <v>811</v>
      </c>
      <c r="D236" s="90" t="s">
        <v>38</v>
      </c>
      <c r="E236" s="90" t="s">
        <v>812</v>
      </c>
      <c r="F236" s="90" t="s">
        <v>124</v>
      </c>
      <c r="G236" s="91" t="s">
        <v>205</v>
      </c>
      <c r="H236" s="90" t="s">
        <v>813</v>
      </c>
      <c r="I236" s="92" t="s">
        <v>28</v>
      </c>
      <c r="J236" s="92" t="s">
        <v>52</v>
      </c>
      <c r="K236" s="92" t="s">
        <v>118</v>
      </c>
      <c r="L236" s="93">
        <v>44894</v>
      </c>
      <c r="M236" s="93" t="b">
        <v>0</v>
      </c>
      <c r="N236" s="93">
        <v>45600</v>
      </c>
      <c r="O236" s="314" t="s">
        <v>58</v>
      </c>
      <c r="P236" s="95">
        <v>2.5</v>
      </c>
      <c r="Q236" s="95">
        <v>2.2999999999999998</v>
      </c>
      <c r="R236" s="95"/>
      <c r="S236" s="92" t="s">
        <v>119</v>
      </c>
      <c r="T236" s="92" t="s">
        <v>153</v>
      </c>
      <c r="U236" s="92"/>
      <c r="V236" s="92"/>
      <c r="W236" s="92"/>
      <c r="X236" s="92"/>
      <c r="Y236" s="92"/>
      <c r="Z236" s="99">
        <v>44872</v>
      </c>
    </row>
    <row r="237" spans="1:26" s="98" customFormat="1" ht="12.75" customHeight="1">
      <c r="A237" s="90" t="s">
        <v>804</v>
      </c>
      <c r="B237" s="90" t="s">
        <v>805</v>
      </c>
      <c r="C237" s="90" t="s">
        <v>814</v>
      </c>
      <c r="D237" s="90" t="s">
        <v>61</v>
      </c>
      <c r="E237" s="90" t="s">
        <v>299</v>
      </c>
      <c r="F237" s="90" t="s">
        <v>124</v>
      </c>
      <c r="G237" s="91" t="s">
        <v>173</v>
      </c>
      <c r="H237" s="90" t="s">
        <v>815</v>
      </c>
      <c r="I237" s="92" t="s">
        <v>28</v>
      </c>
      <c r="J237" s="92" t="s">
        <v>52</v>
      </c>
      <c r="K237" s="92" t="s">
        <v>118</v>
      </c>
      <c r="L237" s="93">
        <v>44894</v>
      </c>
      <c r="M237" s="93" t="b">
        <v>0</v>
      </c>
      <c r="N237" s="93">
        <v>45600</v>
      </c>
      <c r="O237" s="94" t="s">
        <v>58</v>
      </c>
      <c r="P237" s="95">
        <v>1.9</v>
      </c>
      <c r="Q237" s="95">
        <v>2</v>
      </c>
      <c r="R237" s="95"/>
      <c r="S237" s="92" t="s">
        <v>119</v>
      </c>
      <c r="T237" s="92" t="s">
        <v>153</v>
      </c>
      <c r="U237" s="92"/>
      <c r="V237" s="92"/>
      <c r="W237" s="92"/>
      <c r="X237" s="92"/>
      <c r="Y237" s="92"/>
      <c r="Z237" s="97">
        <v>44872</v>
      </c>
    </row>
    <row r="238" spans="1:26" s="308" customFormat="1" ht="12.6">
      <c r="A238" s="301" t="s">
        <v>804</v>
      </c>
      <c r="B238" s="301" t="s">
        <v>805</v>
      </c>
      <c r="C238" s="301" t="s">
        <v>816</v>
      </c>
      <c r="D238" s="301" t="s">
        <v>26</v>
      </c>
      <c r="E238" s="301" t="s">
        <v>267</v>
      </c>
      <c r="F238" s="301" t="s">
        <v>39</v>
      </c>
      <c r="G238" s="302" t="s">
        <v>208</v>
      </c>
      <c r="H238" s="301" t="s">
        <v>817</v>
      </c>
      <c r="I238" s="303" t="s">
        <v>28</v>
      </c>
      <c r="J238" s="303" t="s">
        <v>183</v>
      </c>
      <c r="K238" s="303" t="s">
        <v>184</v>
      </c>
      <c r="L238" s="304"/>
      <c r="M238" s="304" t="b">
        <v>0</v>
      </c>
      <c r="N238" s="304">
        <v>45600</v>
      </c>
      <c r="O238" s="305" t="s">
        <v>58</v>
      </c>
      <c r="P238" s="306"/>
      <c r="Q238" s="306"/>
      <c r="R238" s="306"/>
      <c r="S238" s="303" t="s">
        <v>166</v>
      </c>
      <c r="T238" s="303"/>
      <c r="U238" s="303"/>
      <c r="V238" s="303"/>
      <c r="W238" s="303"/>
      <c r="X238" s="303"/>
      <c r="Y238" s="303" t="s">
        <v>210</v>
      </c>
      <c r="Z238" s="323"/>
    </row>
    <row r="239" spans="1:26" s="98" customFormat="1" ht="12.6">
      <c r="A239" s="90" t="s">
        <v>818</v>
      </c>
      <c r="B239" s="90" t="s">
        <v>819</v>
      </c>
      <c r="C239" s="90" t="s">
        <v>820</v>
      </c>
      <c r="D239" s="90" t="s">
        <v>26</v>
      </c>
      <c r="E239" s="90" t="s">
        <v>821</v>
      </c>
      <c r="F239" s="90" t="s">
        <v>27</v>
      </c>
      <c r="G239" s="91" t="s">
        <v>173</v>
      </c>
      <c r="H239" s="90" t="s">
        <v>822</v>
      </c>
      <c r="I239" s="92" t="s">
        <v>165</v>
      </c>
      <c r="J239" s="92" t="s">
        <v>40</v>
      </c>
      <c r="K239" s="92" t="s">
        <v>118</v>
      </c>
      <c r="L239" s="93">
        <v>44810</v>
      </c>
      <c r="M239" s="93" t="b">
        <v>0</v>
      </c>
      <c r="N239" s="93">
        <v>45475</v>
      </c>
      <c r="O239" s="94" t="s">
        <v>98</v>
      </c>
      <c r="P239" s="95">
        <v>8.5</v>
      </c>
      <c r="Q239" s="95"/>
      <c r="R239" s="95">
        <v>2.5</v>
      </c>
      <c r="S239" s="92" t="s">
        <v>119</v>
      </c>
      <c r="T239" s="92" t="s">
        <v>153</v>
      </c>
      <c r="U239" s="92"/>
      <c r="V239" s="92"/>
      <c r="W239" s="86"/>
      <c r="X239" s="92"/>
      <c r="Y239" s="255"/>
      <c r="Z239" s="97">
        <v>44872</v>
      </c>
    </row>
    <row r="240" spans="1:26" s="98" customFormat="1" ht="12.6">
      <c r="A240" s="90" t="s">
        <v>818</v>
      </c>
      <c r="B240" s="90" t="s">
        <v>819</v>
      </c>
      <c r="C240" s="90" t="s">
        <v>823</v>
      </c>
      <c r="D240" s="90" t="s">
        <v>26</v>
      </c>
      <c r="E240" s="90" t="s">
        <v>172</v>
      </c>
      <c r="F240" s="90" t="s">
        <v>27</v>
      </c>
      <c r="G240" s="91" t="s">
        <v>208</v>
      </c>
      <c r="H240" s="90" t="s">
        <v>824</v>
      </c>
      <c r="I240" s="92" t="s">
        <v>28</v>
      </c>
      <c r="J240" s="92" t="s">
        <v>28</v>
      </c>
      <c r="K240" s="92" t="s">
        <v>118</v>
      </c>
      <c r="L240" s="93">
        <v>44810</v>
      </c>
      <c r="M240" s="93" t="b">
        <v>0</v>
      </c>
      <c r="N240" s="93">
        <v>45475</v>
      </c>
      <c r="O240" s="94" t="s">
        <v>98</v>
      </c>
      <c r="P240" s="95">
        <v>9</v>
      </c>
      <c r="Q240" s="95"/>
      <c r="R240" s="95">
        <v>2.8</v>
      </c>
      <c r="S240" s="92" t="s">
        <v>119</v>
      </c>
      <c r="T240" s="92" t="s">
        <v>153</v>
      </c>
      <c r="U240" s="92"/>
      <c r="V240" s="92"/>
      <c r="W240" s="86"/>
      <c r="X240" s="92"/>
      <c r="Y240" s="92"/>
      <c r="Z240" s="99">
        <v>44872</v>
      </c>
    </row>
    <row r="241" spans="1:26" s="98" customFormat="1" ht="12.6">
      <c r="A241" s="90" t="s">
        <v>818</v>
      </c>
      <c r="B241" s="90" t="s">
        <v>819</v>
      </c>
      <c r="C241" s="90" t="s">
        <v>825</v>
      </c>
      <c r="D241" s="90" t="s">
        <v>50</v>
      </c>
      <c r="E241" s="90" t="s">
        <v>219</v>
      </c>
      <c r="F241" s="90" t="s">
        <v>123</v>
      </c>
      <c r="G241" s="91" t="s">
        <v>208</v>
      </c>
      <c r="H241" s="90" t="s">
        <v>826</v>
      </c>
      <c r="I241" s="92" t="s">
        <v>28</v>
      </c>
      <c r="J241" s="92" t="s">
        <v>183</v>
      </c>
      <c r="K241" s="92" t="s">
        <v>118</v>
      </c>
      <c r="L241" s="93">
        <v>44753</v>
      </c>
      <c r="M241" s="93" t="b">
        <v>0</v>
      </c>
      <c r="N241" s="93">
        <v>45475</v>
      </c>
      <c r="O241" s="94" t="s">
        <v>98</v>
      </c>
      <c r="P241" s="95">
        <v>1.3</v>
      </c>
      <c r="Q241" s="95"/>
      <c r="R241" s="95">
        <v>4.8</v>
      </c>
      <c r="S241" s="92" t="s">
        <v>119</v>
      </c>
      <c r="T241" s="92" t="s">
        <v>153</v>
      </c>
      <c r="U241" s="92"/>
      <c r="V241" s="92"/>
      <c r="W241" s="86"/>
      <c r="X241" s="92"/>
      <c r="Y241" s="92" t="s">
        <v>210</v>
      </c>
      <c r="Z241" s="97">
        <v>44894</v>
      </c>
    </row>
    <row r="242" spans="1:26" s="98" customFormat="1" ht="12.6">
      <c r="A242" s="90" t="s">
        <v>818</v>
      </c>
      <c r="B242" s="90" t="s">
        <v>819</v>
      </c>
      <c r="C242" s="90" t="s">
        <v>827</v>
      </c>
      <c r="D242" s="90" t="s">
        <v>50</v>
      </c>
      <c r="E242" s="90" t="s">
        <v>828</v>
      </c>
      <c r="F242" s="90" t="s">
        <v>39</v>
      </c>
      <c r="G242" s="91" t="s">
        <v>251</v>
      </c>
      <c r="H242" s="90" t="s">
        <v>503</v>
      </c>
      <c r="I242" s="92" t="s">
        <v>28</v>
      </c>
      <c r="J242" s="92" t="s">
        <v>52</v>
      </c>
      <c r="K242" s="92" t="s">
        <v>118</v>
      </c>
      <c r="L242" s="93">
        <v>44810</v>
      </c>
      <c r="M242" s="93" t="b">
        <v>0</v>
      </c>
      <c r="N242" s="93">
        <v>45475</v>
      </c>
      <c r="O242" s="94" t="s">
        <v>98</v>
      </c>
      <c r="P242" s="95">
        <v>1.5</v>
      </c>
      <c r="Q242" s="95">
        <v>1.3</v>
      </c>
      <c r="R242" s="95"/>
      <c r="S242" s="92" t="s">
        <v>119</v>
      </c>
      <c r="T242" s="92" t="s">
        <v>153</v>
      </c>
      <c r="U242" s="92"/>
      <c r="V242" s="92"/>
      <c r="W242" s="86"/>
      <c r="X242" s="92"/>
      <c r="Y242" s="92"/>
      <c r="Z242" s="99"/>
    </row>
    <row r="243" spans="1:26" s="188" customFormat="1" ht="12.6">
      <c r="A243" s="180" t="s">
        <v>829</v>
      </c>
      <c r="B243" s="180" t="s">
        <v>830</v>
      </c>
      <c r="C243" s="180" t="s">
        <v>831</v>
      </c>
      <c r="D243" s="180" t="s">
        <v>26</v>
      </c>
      <c r="E243" s="180" t="s">
        <v>241</v>
      </c>
      <c r="F243" s="180" t="s">
        <v>27</v>
      </c>
      <c r="G243" s="181" t="s">
        <v>173</v>
      </c>
      <c r="H243" s="180" t="s">
        <v>832</v>
      </c>
      <c r="I243" s="182" t="s">
        <v>165</v>
      </c>
      <c r="J243" s="182" t="s">
        <v>40</v>
      </c>
      <c r="K243" s="182" t="s">
        <v>118</v>
      </c>
      <c r="L243" s="183">
        <v>44937</v>
      </c>
      <c r="M243" s="183" t="b">
        <v>0</v>
      </c>
      <c r="N243" s="183"/>
      <c r="O243" s="185"/>
      <c r="P243" s="186"/>
      <c r="Q243" s="186"/>
      <c r="R243" s="186"/>
      <c r="S243" s="182" t="s">
        <v>119</v>
      </c>
      <c r="T243" s="182" t="s">
        <v>153</v>
      </c>
      <c r="U243" s="182" t="s">
        <v>153</v>
      </c>
      <c r="V243" s="182" t="s">
        <v>167</v>
      </c>
      <c r="W243" s="182" t="s">
        <v>167</v>
      </c>
      <c r="X243" s="182"/>
      <c r="Y243" s="182"/>
      <c r="Z243" s="191">
        <v>44894</v>
      </c>
    </row>
    <row r="244" spans="1:26" ht="12.6">
      <c r="A244" s="85" t="s">
        <v>829</v>
      </c>
      <c r="B244" s="85" t="s">
        <v>830</v>
      </c>
      <c r="C244" s="85" t="s">
        <v>833</v>
      </c>
      <c r="D244" s="85" t="s">
        <v>50</v>
      </c>
      <c r="E244" s="85" t="s">
        <v>834</v>
      </c>
      <c r="F244" s="85" t="s">
        <v>39</v>
      </c>
      <c r="G244" s="89" t="s">
        <v>208</v>
      </c>
      <c r="H244" s="85" t="s">
        <v>835</v>
      </c>
      <c r="I244" s="86" t="s">
        <v>28</v>
      </c>
      <c r="J244" s="86" t="s">
        <v>183</v>
      </c>
      <c r="K244" s="86" t="s">
        <v>118</v>
      </c>
      <c r="L244" s="87">
        <v>44774</v>
      </c>
      <c r="M244" s="87" t="b">
        <v>0</v>
      </c>
      <c r="N244" s="87"/>
      <c r="P244" s="88"/>
      <c r="Q244" s="88"/>
      <c r="R244" s="88"/>
      <c r="S244" s="86" t="s">
        <v>166</v>
      </c>
      <c r="T244" s="86"/>
      <c r="U244" s="86"/>
      <c r="V244" s="86"/>
      <c r="W244" s="86"/>
      <c r="X244" s="86"/>
      <c r="Y244" s="86" t="s">
        <v>210</v>
      </c>
      <c r="Z244" s="138">
        <v>44894</v>
      </c>
    </row>
    <row r="245" spans="1:26" s="98" customFormat="1" ht="12.6">
      <c r="A245" s="90" t="s">
        <v>829</v>
      </c>
      <c r="B245" s="90" t="s">
        <v>830</v>
      </c>
      <c r="C245" s="90" t="s">
        <v>836</v>
      </c>
      <c r="D245" s="90" t="s">
        <v>26</v>
      </c>
      <c r="E245" s="90" t="s">
        <v>223</v>
      </c>
      <c r="F245" s="90" t="s">
        <v>39</v>
      </c>
      <c r="G245" s="91" t="s">
        <v>181</v>
      </c>
      <c r="H245" s="90" t="s">
        <v>837</v>
      </c>
      <c r="I245" s="92" t="s">
        <v>28</v>
      </c>
      <c r="J245" s="92" t="s">
        <v>28</v>
      </c>
      <c r="K245" s="92" t="s">
        <v>118</v>
      </c>
      <c r="L245" s="93">
        <v>44774</v>
      </c>
      <c r="M245" s="93" t="b">
        <v>0</v>
      </c>
      <c r="N245" s="93">
        <v>45509</v>
      </c>
      <c r="O245" s="94" t="s">
        <v>35</v>
      </c>
      <c r="P245" s="95">
        <v>2.8</v>
      </c>
      <c r="Q245" s="95">
        <v>3.2</v>
      </c>
      <c r="R245" s="95"/>
      <c r="S245" s="92" t="s">
        <v>119</v>
      </c>
      <c r="T245" s="92" t="s">
        <v>153</v>
      </c>
      <c r="U245" s="92"/>
      <c r="V245" s="92"/>
      <c r="W245" s="86"/>
      <c r="X245" s="92"/>
      <c r="Y245" s="92"/>
      <c r="Z245" s="97"/>
    </row>
    <row r="246" spans="1:26" s="98" customFormat="1" ht="12.6">
      <c r="A246" s="90" t="s">
        <v>829</v>
      </c>
      <c r="B246" s="90" t="s">
        <v>830</v>
      </c>
      <c r="C246" s="90" t="s">
        <v>838</v>
      </c>
      <c r="D246" s="90" t="s">
        <v>26</v>
      </c>
      <c r="E246" s="90" t="s">
        <v>223</v>
      </c>
      <c r="F246" s="90" t="s">
        <v>39</v>
      </c>
      <c r="G246" s="91" t="s">
        <v>205</v>
      </c>
      <c r="H246" s="90" t="s">
        <v>544</v>
      </c>
      <c r="I246" s="92" t="s">
        <v>28</v>
      </c>
      <c r="J246" s="92" t="s">
        <v>52</v>
      </c>
      <c r="K246" s="92" t="s">
        <v>118</v>
      </c>
      <c r="L246" s="93">
        <v>44937</v>
      </c>
      <c r="M246" s="93" t="b">
        <v>0</v>
      </c>
      <c r="N246" s="93">
        <v>45600</v>
      </c>
      <c r="O246" s="94" t="s">
        <v>58</v>
      </c>
      <c r="P246" s="95">
        <v>3.4</v>
      </c>
      <c r="Q246" s="95">
        <v>3.2</v>
      </c>
      <c r="R246" s="95"/>
      <c r="S246" s="92" t="s">
        <v>119</v>
      </c>
      <c r="T246" s="92" t="s">
        <v>153</v>
      </c>
      <c r="U246" s="92"/>
      <c r="V246" s="92"/>
      <c r="W246" s="92"/>
      <c r="X246" s="92"/>
      <c r="Y246" s="92"/>
      <c r="Z246" s="99">
        <v>44810</v>
      </c>
    </row>
    <row r="247" spans="1:26" s="131" customFormat="1" ht="12.6">
      <c r="A247" s="124" t="s">
        <v>839</v>
      </c>
      <c r="B247" s="124" t="s">
        <v>840</v>
      </c>
      <c r="C247" s="124" t="s">
        <v>841</v>
      </c>
      <c r="D247" s="124" t="s">
        <v>26</v>
      </c>
      <c r="E247" s="124" t="s">
        <v>172</v>
      </c>
      <c r="F247" s="124" t="s">
        <v>27</v>
      </c>
      <c r="G247" s="125" t="s">
        <v>227</v>
      </c>
      <c r="H247" s="124" t="s">
        <v>842</v>
      </c>
      <c r="I247" s="126" t="s">
        <v>165</v>
      </c>
      <c r="J247" s="126" t="s">
        <v>40</v>
      </c>
      <c r="K247" s="126" t="s">
        <v>118</v>
      </c>
      <c r="L247" s="127">
        <v>44937</v>
      </c>
      <c r="M247" s="127" t="b">
        <v>0</v>
      </c>
      <c r="N247" s="127">
        <v>45449</v>
      </c>
      <c r="O247" s="128" t="s">
        <v>95</v>
      </c>
      <c r="P247" s="129"/>
      <c r="Q247" s="129"/>
      <c r="R247" s="129"/>
      <c r="S247" s="126" t="s">
        <v>166</v>
      </c>
      <c r="T247" s="126"/>
      <c r="U247" s="126"/>
      <c r="V247" s="126"/>
      <c r="W247" s="86"/>
      <c r="X247" s="126"/>
      <c r="Y247" s="126"/>
      <c r="Z247" s="135">
        <v>44810</v>
      </c>
    </row>
    <row r="248" spans="1:26" s="98" customFormat="1" ht="12.6">
      <c r="A248" s="90" t="s">
        <v>839</v>
      </c>
      <c r="B248" s="90" t="s">
        <v>840</v>
      </c>
      <c r="C248" s="90" t="s">
        <v>843</v>
      </c>
      <c r="D248" s="90" t="s">
        <v>61</v>
      </c>
      <c r="E248" s="90" t="s">
        <v>338</v>
      </c>
      <c r="F248" s="90" t="s">
        <v>27</v>
      </c>
      <c r="G248" s="91" t="s">
        <v>208</v>
      </c>
      <c r="H248" s="90" t="s">
        <v>844</v>
      </c>
      <c r="I248" s="92" t="s">
        <v>28</v>
      </c>
      <c r="J248" s="92" t="s">
        <v>28</v>
      </c>
      <c r="K248" s="92" t="s">
        <v>118</v>
      </c>
      <c r="L248" s="93">
        <v>44937</v>
      </c>
      <c r="M248" s="93" t="b">
        <v>0</v>
      </c>
      <c r="N248" s="93">
        <v>45443</v>
      </c>
      <c r="O248" s="94" t="s">
        <v>95</v>
      </c>
      <c r="P248" s="95">
        <v>3</v>
      </c>
      <c r="Q248" s="95">
        <v>2.6</v>
      </c>
      <c r="R248" s="95"/>
      <c r="S248" s="92" t="s">
        <v>119</v>
      </c>
      <c r="T248" s="92" t="s">
        <v>153</v>
      </c>
      <c r="U248" s="92"/>
      <c r="V248" s="92"/>
      <c r="W248" s="86"/>
      <c r="X248" s="92"/>
      <c r="Y248" s="92"/>
      <c r="Z248" s="99">
        <v>44753</v>
      </c>
    </row>
    <row r="249" spans="1:26" ht="12.6">
      <c r="A249" s="85" t="s">
        <v>839</v>
      </c>
      <c r="B249" s="85" t="s">
        <v>840</v>
      </c>
      <c r="C249" s="85" t="s">
        <v>845</v>
      </c>
      <c r="D249" s="85" t="s">
        <v>26</v>
      </c>
      <c r="E249" s="85" t="s">
        <v>267</v>
      </c>
      <c r="F249" s="85" t="s">
        <v>39</v>
      </c>
      <c r="G249" s="89" t="s">
        <v>177</v>
      </c>
      <c r="H249" s="85" t="s">
        <v>846</v>
      </c>
      <c r="I249" s="86" t="s">
        <v>28</v>
      </c>
      <c r="J249" s="86" t="s">
        <v>183</v>
      </c>
      <c r="K249" s="86" t="s">
        <v>184</v>
      </c>
      <c r="L249" s="87"/>
      <c r="M249" s="87" t="b">
        <v>0</v>
      </c>
      <c r="N249" s="87"/>
      <c r="P249" s="88"/>
      <c r="Q249" s="88"/>
      <c r="R249" s="88"/>
      <c r="S249" s="86" t="s">
        <v>166</v>
      </c>
      <c r="T249" s="86" t="s">
        <v>120</v>
      </c>
      <c r="U249" s="86" t="s">
        <v>153</v>
      </c>
      <c r="V249" s="86" t="s">
        <v>167</v>
      </c>
      <c r="W249" s="86" t="s">
        <v>167</v>
      </c>
      <c r="X249" s="86"/>
      <c r="Y249" s="86" t="s">
        <v>310</v>
      </c>
      <c r="Z249" s="154">
        <v>44810</v>
      </c>
    </row>
    <row r="250" spans="1:26" s="234" customFormat="1" ht="12.6">
      <c r="A250" s="228" t="s">
        <v>847</v>
      </c>
      <c r="B250" s="228" t="s">
        <v>848</v>
      </c>
      <c r="C250" s="228" t="s">
        <v>849</v>
      </c>
      <c r="D250" s="228" t="s">
        <v>50</v>
      </c>
      <c r="E250" s="228" t="s">
        <v>197</v>
      </c>
      <c r="F250" s="228" t="s">
        <v>39</v>
      </c>
      <c r="G250" s="229" t="s">
        <v>208</v>
      </c>
      <c r="H250" s="228" t="s">
        <v>850</v>
      </c>
      <c r="I250" s="230" t="s">
        <v>28</v>
      </c>
      <c r="J250" s="230" t="s">
        <v>183</v>
      </c>
      <c r="K250" s="230" t="s">
        <v>184</v>
      </c>
      <c r="L250" s="231"/>
      <c r="M250" s="231" t="b">
        <v>0</v>
      </c>
      <c r="N250" s="231">
        <v>45509</v>
      </c>
      <c r="O250" s="227" t="s">
        <v>35</v>
      </c>
      <c r="P250" s="232"/>
      <c r="Q250" s="232"/>
      <c r="R250" s="232"/>
      <c r="S250" s="230" t="s">
        <v>166</v>
      </c>
      <c r="T250" s="230" t="s">
        <v>120</v>
      </c>
      <c r="U250" s="230" t="s">
        <v>153</v>
      </c>
      <c r="V250" s="230" t="s">
        <v>167</v>
      </c>
      <c r="W250" s="230" t="s">
        <v>167</v>
      </c>
      <c r="X250" s="230"/>
      <c r="Y250" s="230"/>
      <c r="Z250" s="238">
        <v>44937</v>
      </c>
    </row>
    <row r="251" spans="1:26" ht="12.6">
      <c r="A251" s="85" t="s">
        <v>847</v>
      </c>
      <c r="B251" s="85" t="s">
        <v>848</v>
      </c>
      <c r="C251" s="85" t="s">
        <v>851</v>
      </c>
      <c r="D251" s="85" t="s">
        <v>50</v>
      </c>
      <c r="E251" s="85" t="s">
        <v>197</v>
      </c>
      <c r="F251" s="85" t="s">
        <v>39</v>
      </c>
      <c r="G251" s="89" t="s">
        <v>673</v>
      </c>
      <c r="H251" s="85" t="s">
        <v>852</v>
      </c>
      <c r="I251" s="86" t="s">
        <v>28</v>
      </c>
      <c r="J251" s="86" t="s">
        <v>52</v>
      </c>
      <c r="K251" s="86" t="s">
        <v>118</v>
      </c>
      <c r="L251" s="87">
        <v>44935</v>
      </c>
      <c r="M251" s="87" t="b">
        <v>0</v>
      </c>
      <c r="N251" s="87"/>
      <c r="P251" s="88"/>
      <c r="Q251" s="88"/>
      <c r="R251" s="88"/>
      <c r="S251" s="86" t="s">
        <v>119</v>
      </c>
      <c r="T251" s="86" t="s">
        <v>153</v>
      </c>
      <c r="U251" s="86" t="s">
        <v>153</v>
      </c>
      <c r="V251" s="86" t="s">
        <v>167</v>
      </c>
      <c r="W251" s="86" t="s">
        <v>167</v>
      </c>
      <c r="X251" s="86"/>
      <c r="Y251" s="86"/>
      <c r="Z251" s="154">
        <v>44774</v>
      </c>
    </row>
    <row r="252" spans="1:26" ht="12.6">
      <c r="A252" s="85" t="s">
        <v>847</v>
      </c>
      <c r="B252" s="85" t="s">
        <v>848</v>
      </c>
      <c r="C252" s="85" t="s">
        <v>853</v>
      </c>
      <c r="D252" s="85" t="s">
        <v>50</v>
      </c>
      <c r="E252" s="85" t="s">
        <v>223</v>
      </c>
      <c r="F252" s="85" t="s">
        <v>39</v>
      </c>
      <c r="G252" s="89" t="s">
        <v>673</v>
      </c>
      <c r="H252" s="85" t="s">
        <v>854</v>
      </c>
      <c r="I252" s="86" t="s">
        <v>28</v>
      </c>
      <c r="J252" s="86" t="s">
        <v>52</v>
      </c>
      <c r="K252" s="86" t="s">
        <v>118</v>
      </c>
      <c r="L252" s="87">
        <v>44935</v>
      </c>
      <c r="M252" s="87" t="b">
        <v>0</v>
      </c>
      <c r="N252" s="87"/>
      <c r="P252" s="88"/>
      <c r="Q252" s="88"/>
      <c r="R252" s="88"/>
      <c r="S252" s="86" t="s">
        <v>119</v>
      </c>
      <c r="T252" s="86" t="s">
        <v>153</v>
      </c>
      <c r="U252" s="86" t="s">
        <v>153</v>
      </c>
      <c r="V252" s="86" t="s">
        <v>167</v>
      </c>
      <c r="W252" s="86" t="s">
        <v>167</v>
      </c>
      <c r="X252" s="86"/>
      <c r="Y252" s="86"/>
      <c r="Z252" s="138">
        <v>44774</v>
      </c>
    </row>
    <row r="253" spans="1:26" ht="12.6">
      <c r="A253" s="85" t="s">
        <v>847</v>
      </c>
      <c r="B253" s="85" t="s">
        <v>848</v>
      </c>
      <c r="C253" s="85" t="s">
        <v>855</v>
      </c>
      <c r="D253" s="85" t="s">
        <v>50</v>
      </c>
      <c r="E253" s="85" t="s">
        <v>223</v>
      </c>
      <c r="F253" s="85" t="s">
        <v>39</v>
      </c>
      <c r="G253" s="89" t="s">
        <v>673</v>
      </c>
      <c r="H253" s="85" t="s">
        <v>856</v>
      </c>
      <c r="I253" s="86" t="s">
        <v>28</v>
      </c>
      <c r="J253" s="86" t="s">
        <v>52</v>
      </c>
      <c r="K253" s="86" t="s">
        <v>118</v>
      </c>
      <c r="L253" s="87">
        <v>44935</v>
      </c>
      <c r="M253" s="87" t="b">
        <v>0</v>
      </c>
      <c r="N253" s="87"/>
      <c r="P253" s="88"/>
      <c r="Q253" s="88"/>
      <c r="R253" s="88"/>
      <c r="S253" s="86" t="s">
        <v>119</v>
      </c>
      <c r="T253" s="86" t="s">
        <v>153</v>
      </c>
      <c r="U253" s="86" t="s">
        <v>153</v>
      </c>
      <c r="V253" s="86" t="s">
        <v>167</v>
      </c>
      <c r="W253" s="86" t="s">
        <v>167</v>
      </c>
      <c r="X253" s="86"/>
      <c r="Y253" s="86"/>
      <c r="Z253" s="154">
        <v>44937</v>
      </c>
    </row>
    <row r="254" spans="1:26" s="131" customFormat="1" ht="12.6">
      <c r="A254" s="124" t="s">
        <v>857</v>
      </c>
      <c r="B254" s="124" t="s">
        <v>858</v>
      </c>
      <c r="C254" s="124" t="s">
        <v>859</v>
      </c>
      <c r="D254" s="124" t="s">
        <v>26</v>
      </c>
      <c r="E254" s="124" t="s">
        <v>267</v>
      </c>
      <c r="F254" s="124" t="s">
        <v>39</v>
      </c>
      <c r="G254" s="125" t="s">
        <v>208</v>
      </c>
      <c r="H254" s="124" t="s">
        <v>860</v>
      </c>
      <c r="I254" s="126" t="s">
        <v>28</v>
      </c>
      <c r="J254" s="126" t="s">
        <v>183</v>
      </c>
      <c r="K254" s="126" t="s">
        <v>184</v>
      </c>
      <c r="L254" s="127">
        <v>44774</v>
      </c>
      <c r="M254" s="127" t="b">
        <v>0</v>
      </c>
      <c r="N254" s="127">
        <v>45509</v>
      </c>
      <c r="O254" s="128" t="s">
        <v>35</v>
      </c>
      <c r="P254" s="129"/>
      <c r="Q254" s="129"/>
      <c r="R254" s="129"/>
      <c r="S254" s="126" t="s">
        <v>119</v>
      </c>
      <c r="T254" s="126" t="s">
        <v>153</v>
      </c>
      <c r="U254" s="126" t="s">
        <v>153</v>
      </c>
      <c r="V254" s="126" t="s">
        <v>167</v>
      </c>
      <c r="W254" s="126" t="s">
        <v>167</v>
      </c>
      <c r="X254" s="126"/>
      <c r="Y254" s="126" t="s">
        <v>210</v>
      </c>
      <c r="Z254" s="130">
        <v>44937</v>
      </c>
    </row>
    <row r="255" spans="1:26" s="98" customFormat="1" ht="12.6">
      <c r="A255" s="90" t="s">
        <v>857</v>
      </c>
      <c r="B255" s="90" t="s">
        <v>858</v>
      </c>
      <c r="C255" s="90" t="s">
        <v>861</v>
      </c>
      <c r="D255" s="90" t="s">
        <v>26</v>
      </c>
      <c r="E255" s="90" t="s">
        <v>267</v>
      </c>
      <c r="F255" s="90" t="s">
        <v>39</v>
      </c>
      <c r="G255" s="91" t="s">
        <v>208</v>
      </c>
      <c r="H255" s="90" t="s">
        <v>862</v>
      </c>
      <c r="I255" s="92" t="s">
        <v>28</v>
      </c>
      <c r="J255" s="92" t="s">
        <v>183</v>
      </c>
      <c r="K255" s="92" t="s">
        <v>118</v>
      </c>
      <c r="L255" s="93">
        <v>44690</v>
      </c>
      <c r="M255" s="119" t="b">
        <v>1</v>
      </c>
      <c r="N255" s="93">
        <v>45461</v>
      </c>
      <c r="O255" s="94" t="s">
        <v>98</v>
      </c>
      <c r="P255" s="95">
        <v>2.6</v>
      </c>
      <c r="Q255" s="95">
        <v>2.6</v>
      </c>
      <c r="R255" s="95"/>
      <c r="S255" s="92" t="s">
        <v>119</v>
      </c>
      <c r="T255" s="92" t="s">
        <v>153</v>
      </c>
      <c r="U255" s="92"/>
      <c r="V255" s="92"/>
      <c r="W255" s="86"/>
      <c r="X255" s="92"/>
      <c r="Y255" s="92"/>
      <c r="Z255" s="97">
        <v>44937</v>
      </c>
    </row>
    <row r="256" spans="1:26" ht="12.6">
      <c r="A256" s="85" t="s">
        <v>857</v>
      </c>
      <c r="B256" s="85" t="s">
        <v>858</v>
      </c>
      <c r="C256" s="85" t="s">
        <v>863</v>
      </c>
      <c r="D256" s="85" t="s">
        <v>26</v>
      </c>
      <c r="E256" s="85" t="s">
        <v>223</v>
      </c>
      <c r="F256" s="85" t="s">
        <v>39</v>
      </c>
      <c r="G256" s="89" t="s">
        <v>673</v>
      </c>
      <c r="H256" s="85" t="s">
        <v>864</v>
      </c>
      <c r="I256" s="86" t="s">
        <v>28</v>
      </c>
      <c r="J256" s="86" t="s">
        <v>52</v>
      </c>
      <c r="K256" s="86" t="s">
        <v>118</v>
      </c>
      <c r="L256" s="87">
        <v>44901</v>
      </c>
      <c r="M256" s="155" t="b">
        <v>0</v>
      </c>
      <c r="N256" s="87"/>
      <c r="P256" s="88"/>
      <c r="Q256" s="88"/>
      <c r="R256" s="88"/>
      <c r="S256" s="86" t="s">
        <v>119</v>
      </c>
      <c r="T256" s="86" t="s">
        <v>153</v>
      </c>
      <c r="U256" s="86"/>
      <c r="V256" s="86"/>
      <c r="W256" s="86"/>
      <c r="X256" s="86"/>
      <c r="Y256" s="86"/>
      <c r="Z256" s="138"/>
    </row>
    <row r="257" spans="1:26" ht="12.6">
      <c r="A257" s="85" t="s">
        <v>857</v>
      </c>
      <c r="B257" s="85" t="s">
        <v>858</v>
      </c>
      <c r="C257" s="85" t="s">
        <v>865</v>
      </c>
      <c r="D257" s="85" t="s">
        <v>26</v>
      </c>
      <c r="E257" s="85" t="s">
        <v>223</v>
      </c>
      <c r="F257" s="85" t="s">
        <v>39</v>
      </c>
      <c r="G257" s="89" t="s">
        <v>673</v>
      </c>
      <c r="H257" s="85" t="s">
        <v>866</v>
      </c>
      <c r="I257" s="86" t="s">
        <v>28</v>
      </c>
      <c r="J257" s="86" t="s">
        <v>52</v>
      </c>
      <c r="K257" s="86" t="s">
        <v>118</v>
      </c>
      <c r="L257" s="87">
        <v>44901</v>
      </c>
      <c r="M257" s="87" t="b">
        <v>0</v>
      </c>
      <c r="N257" s="87"/>
      <c r="P257" s="88"/>
      <c r="Q257" s="88"/>
      <c r="R257" s="88"/>
      <c r="S257" s="86" t="s">
        <v>119</v>
      </c>
      <c r="T257" s="86" t="s">
        <v>153</v>
      </c>
      <c r="U257" s="86"/>
      <c r="V257" s="86"/>
      <c r="W257" s="86"/>
      <c r="X257" s="86"/>
      <c r="Y257" s="86"/>
      <c r="Z257" s="154"/>
    </row>
    <row r="258" spans="1:26" s="98" customFormat="1" ht="12.6">
      <c r="A258" s="90" t="s">
        <v>857</v>
      </c>
      <c r="B258" s="90" t="s">
        <v>858</v>
      </c>
      <c r="C258" s="90" t="s">
        <v>867</v>
      </c>
      <c r="D258" s="92" t="s">
        <v>26</v>
      </c>
      <c r="E258" s="92" t="s">
        <v>172</v>
      </c>
      <c r="F258" s="92" t="s">
        <v>27</v>
      </c>
      <c r="G258" s="258" t="s">
        <v>173</v>
      </c>
      <c r="H258" s="92" t="s">
        <v>633</v>
      </c>
      <c r="I258" s="92" t="s">
        <v>165</v>
      </c>
      <c r="J258" s="92" t="s">
        <v>40</v>
      </c>
      <c r="K258" s="92" t="s">
        <v>118</v>
      </c>
      <c r="L258" s="93">
        <v>44774</v>
      </c>
      <c r="M258" s="93" t="b">
        <v>0</v>
      </c>
      <c r="N258" s="93">
        <v>45509</v>
      </c>
      <c r="O258" s="94" t="s">
        <v>35</v>
      </c>
      <c r="P258" s="95"/>
      <c r="Q258" s="95"/>
      <c r="R258" s="95"/>
      <c r="S258" s="92" t="s">
        <v>119</v>
      </c>
      <c r="T258" s="92" t="s">
        <v>153</v>
      </c>
      <c r="U258" s="92"/>
      <c r="V258" s="92"/>
      <c r="W258" s="86"/>
      <c r="X258" s="92"/>
      <c r="Y258" s="92"/>
      <c r="Z258" s="99">
        <v>44935</v>
      </c>
    </row>
    <row r="259" spans="1:26" s="98" customFormat="1" ht="12.6">
      <c r="A259" s="90" t="s">
        <v>868</v>
      </c>
      <c r="B259" s="90" t="s">
        <v>869</v>
      </c>
      <c r="C259" s="90" t="s">
        <v>870</v>
      </c>
      <c r="D259" s="90" t="s">
        <v>26</v>
      </c>
      <c r="E259" s="90" t="s">
        <v>172</v>
      </c>
      <c r="F259" s="90" t="s">
        <v>27</v>
      </c>
      <c r="G259" s="91" t="s">
        <v>173</v>
      </c>
      <c r="H259" s="90" t="s">
        <v>871</v>
      </c>
      <c r="I259" s="92" t="s">
        <v>165</v>
      </c>
      <c r="J259" s="92" t="s">
        <v>40</v>
      </c>
      <c r="K259" s="92" t="s">
        <v>118</v>
      </c>
      <c r="L259" s="93">
        <v>44690</v>
      </c>
      <c r="M259" s="93" t="b">
        <v>0</v>
      </c>
      <c r="N259" s="93">
        <v>45427</v>
      </c>
      <c r="O259" s="94" t="s">
        <v>73</v>
      </c>
      <c r="P259" s="95">
        <v>9.8000000000000007</v>
      </c>
      <c r="Q259" s="95"/>
      <c r="R259" s="95">
        <v>2.6</v>
      </c>
      <c r="S259" s="92" t="s">
        <v>119</v>
      </c>
      <c r="T259" s="92" t="s">
        <v>153</v>
      </c>
      <c r="U259" s="92"/>
      <c r="V259" s="92"/>
      <c r="W259" s="86"/>
      <c r="X259" s="92"/>
      <c r="Y259" s="92"/>
      <c r="Z259" s="97">
        <v>44935</v>
      </c>
    </row>
    <row r="260" spans="1:26" s="98" customFormat="1" ht="12.6">
      <c r="A260" s="90" t="s">
        <v>868</v>
      </c>
      <c r="B260" s="90" t="s">
        <v>869</v>
      </c>
      <c r="C260" s="90" t="s">
        <v>872</v>
      </c>
      <c r="D260" s="90" t="s">
        <v>26</v>
      </c>
      <c r="E260" s="90" t="s">
        <v>684</v>
      </c>
      <c r="F260" s="90" t="s">
        <v>27</v>
      </c>
      <c r="G260" s="91" t="s">
        <v>251</v>
      </c>
      <c r="H260" s="90" t="s">
        <v>418</v>
      </c>
      <c r="I260" s="92" t="s">
        <v>28</v>
      </c>
      <c r="J260" s="92" t="s">
        <v>28</v>
      </c>
      <c r="K260" s="92" t="s">
        <v>118</v>
      </c>
      <c r="L260" s="93">
        <v>44690</v>
      </c>
      <c r="M260" s="93" t="b">
        <v>0</v>
      </c>
      <c r="N260" s="93">
        <v>45427</v>
      </c>
      <c r="O260" s="94" t="s">
        <v>73</v>
      </c>
      <c r="P260" s="95">
        <v>8</v>
      </c>
      <c r="Q260" s="95"/>
      <c r="R260" s="95">
        <v>2</v>
      </c>
      <c r="S260" s="92" t="s">
        <v>119</v>
      </c>
      <c r="T260" s="92" t="s">
        <v>153</v>
      </c>
      <c r="U260" s="92"/>
      <c r="V260" s="92"/>
      <c r="W260" s="86"/>
      <c r="X260" s="92"/>
      <c r="Y260" s="92"/>
      <c r="Z260" s="99">
        <v>44935</v>
      </c>
    </row>
    <row r="261" spans="1:26" ht="12.6">
      <c r="A261" s="85" t="s">
        <v>868</v>
      </c>
      <c r="B261" s="85" t="s">
        <v>869</v>
      </c>
      <c r="C261" s="85" t="s">
        <v>873</v>
      </c>
      <c r="D261" s="85" t="s">
        <v>26</v>
      </c>
      <c r="E261" s="85" t="s">
        <v>684</v>
      </c>
      <c r="F261" s="85" t="s">
        <v>27</v>
      </c>
      <c r="G261" s="89" t="s">
        <v>205</v>
      </c>
      <c r="H261" s="85" t="s">
        <v>503</v>
      </c>
      <c r="I261" s="86" t="s">
        <v>28</v>
      </c>
      <c r="J261" s="86" t="s">
        <v>52</v>
      </c>
      <c r="K261" s="86" t="s">
        <v>118</v>
      </c>
      <c r="L261" s="87">
        <v>44690</v>
      </c>
      <c r="M261" s="87" t="b">
        <v>0</v>
      </c>
      <c r="N261" s="87"/>
      <c r="P261" s="88"/>
      <c r="Q261" s="88"/>
      <c r="R261" s="88"/>
      <c r="S261" s="86" t="s">
        <v>119</v>
      </c>
      <c r="T261" s="86" t="s">
        <v>153</v>
      </c>
      <c r="U261" s="86"/>
      <c r="V261" s="86"/>
      <c r="W261" s="86"/>
      <c r="X261" s="86"/>
      <c r="Y261" s="86"/>
      <c r="Z261" s="154">
        <v>44774</v>
      </c>
    </row>
    <row r="262" spans="1:26" s="98" customFormat="1" ht="12.6">
      <c r="A262" s="90" t="s">
        <v>868</v>
      </c>
      <c r="B262" s="90" t="s">
        <v>869</v>
      </c>
      <c r="C262" s="90" t="s">
        <v>874</v>
      </c>
      <c r="D262" s="90" t="s">
        <v>26</v>
      </c>
      <c r="E262" s="90" t="s">
        <v>223</v>
      </c>
      <c r="F262" s="90" t="s">
        <v>39</v>
      </c>
      <c r="G262" s="91" t="s">
        <v>208</v>
      </c>
      <c r="H262" s="90" t="s">
        <v>875</v>
      </c>
      <c r="I262" s="92" t="s">
        <v>28</v>
      </c>
      <c r="J262" s="92" t="s">
        <v>183</v>
      </c>
      <c r="K262" s="92" t="s">
        <v>118</v>
      </c>
      <c r="L262" s="93">
        <v>44690</v>
      </c>
      <c r="M262" s="93" t="b">
        <v>0</v>
      </c>
      <c r="N262" s="93">
        <v>45443</v>
      </c>
      <c r="O262" s="94" t="s">
        <v>95</v>
      </c>
      <c r="P262" s="95">
        <v>2.2000000000000002</v>
      </c>
      <c r="Q262" s="95">
        <v>2.4</v>
      </c>
      <c r="R262" s="95"/>
      <c r="S262" s="92" t="s">
        <v>119</v>
      </c>
      <c r="T262" s="92" t="s">
        <v>153</v>
      </c>
      <c r="U262" s="92"/>
      <c r="V262" s="92"/>
      <c r="W262" s="86"/>
      <c r="X262" s="92"/>
      <c r="Y262" s="92"/>
      <c r="Z262" s="99">
        <v>44690</v>
      </c>
    </row>
    <row r="263" spans="1:26" s="98" customFormat="1" ht="12.6">
      <c r="A263" s="90" t="s">
        <v>868</v>
      </c>
      <c r="B263" s="90" t="s">
        <v>869</v>
      </c>
      <c r="C263" s="90" t="s">
        <v>876</v>
      </c>
      <c r="D263" s="90" t="s">
        <v>26</v>
      </c>
      <c r="E263" s="90" t="s">
        <v>370</v>
      </c>
      <c r="F263" s="90" t="s">
        <v>27</v>
      </c>
      <c r="G263" s="91" t="s">
        <v>177</v>
      </c>
      <c r="H263" s="90" t="s">
        <v>877</v>
      </c>
      <c r="I263" s="92" t="s">
        <v>165</v>
      </c>
      <c r="J263" s="92" t="s">
        <v>40</v>
      </c>
      <c r="K263" s="92" t="s">
        <v>118</v>
      </c>
      <c r="L263" s="93">
        <v>44690</v>
      </c>
      <c r="M263" s="93" t="b">
        <v>0</v>
      </c>
      <c r="N263" s="93">
        <v>45443</v>
      </c>
      <c r="O263" s="94" t="s">
        <v>95</v>
      </c>
      <c r="P263" s="95">
        <v>7</v>
      </c>
      <c r="Q263" s="95"/>
      <c r="R263" s="95">
        <v>3.2</v>
      </c>
      <c r="S263" s="92" t="s">
        <v>119</v>
      </c>
      <c r="T263" s="92" t="s">
        <v>153</v>
      </c>
      <c r="U263" s="92"/>
      <c r="V263" s="92"/>
      <c r="W263" s="86"/>
      <c r="X263" s="92"/>
      <c r="Y263" s="92"/>
      <c r="Z263" s="97">
        <v>44901</v>
      </c>
    </row>
    <row r="264" spans="1:26" s="206" customFormat="1" ht="12.6">
      <c r="A264" s="132" t="s">
        <v>868</v>
      </c>
      <c r="B264" s="132" t="s">
        <v>869</v>
      </c>
      <c r="C264" s="132" t="s">
        <v>878</v>
      </c>
      <c r="D264" s="132" t="s">
        <v>26</v>
      </c>
      <c r="E264" s="132" t="s">
        <v>361</v>
      </c>
      <c r="F264" s="132" t="s">
        <v>39</v>
      </c>
      <c r="G264" s="133" t="s">
        <v>208</v>
      </c>
      <c r="H264" s="132" t="s">
        <v>879</v>
      </c>
      <c r="I264" s="201" t="s">
        <v>28</v>
      </c>
      <c r="J264" s="201" t="s">
        <v>183</v>
      </c>
      <c r="K264" s="201" t="s">
        <v>118</v>
      </c>
      <c r="L264" s="202">
        <v>44690</v>
      </c>
      <c r="M264" s="202" t="b">
        <v>1</v>
      </c>
      <c r="N264" s="202"/>
      <c r="O264" s="203"/>
      <c r="P264" s="204"/>
      <c r="Q264" s="204"/>
      <c r="R264" s="204"/>
      <c r="S264" s="201" t="s">
        <v>166</v>
      </c>
      <c r="T264" s="201"/>
      <c r="U264" s="201"/>
      <c r="V264" s="201"/>
      <c r="W264" s="86"/>
      <c r="X264" s="201"/>
      <c r="Y264" s="201" t="s">
        <v>522</v>
      </c>
      <c r="Z264" s="205">
        <v>44901</v>
      </c>
    </row>
    <row r="265" spans="1:26" ht="12.6">
      <c r="A265" s="85" t="s">
        <v>880</v>
      </c>
      <c r="B265" s="85" t="s">
        <v>881</v>
      </c>
      <c r="C265" s="85" t="s">
        <v>882</v>
      </c>
      <c r="D265" s="85" t="s">
        <v>26</v>
      </c>
      <c r="E265" s="85" t="s">
        <v>223</v>
      </c>
      <c r="F265" s="85" t="s">
        <v>39</v>
      </c>
      <c r="G265" s="89" t="s">
        <v>205</v>
      </c>
      <c r="H265" s="85" t="s">
        <v>883</v>
      </c>
      <c r="I265" s="86" t="s">
        <v>28</v>
      </c>
      <c r="J265" s="86" t="s">
        <v>52</v>
      </c>
      <c r="K265" s="86" t="s">
        <v>118</v>
      </c>
      <c r="L265" s="154">
        <v>44572</v>
      </c>
      <c r="M265" s="87" t="b">
        <v>0</v>
      </c>
      <c r="N265" s="154"/>
      <c r="P265" s="88"/>
      <c r="Q265" s="88"/>
      <c r="R265" s="88"/>
      <c r="S265" s="86" t="s">
        <v>119</v>
      </c>
      <c r="T265" s="86" t="s">
        <v>153</v>
      </c>
      <c r="U265" s="86"/>
      <c r="V265" s="86"/>
      <c r="W265" s="86"/>
      <c r="X265" s="86"/>
      <c r="Y265" s="86"/>
      <c r="Z265" s="154">
        <v>44774</v>
      </c>
    </row>
    <row r="266" spans="1:26" s="98" customFormat="1" ht="12.6">
      <c r="A266" s="90" t="s">
        <v>884</v>
      </c>
      <c r="B266" s="90" t="s">
        <v>881</v>
      </c>
      <c r="C266" s="90" t="s">
        <v>885</v>
      </c>
      <c r="D266" s="90" t="s">
        <v>26</v>
      </c>
      <c r="E266" s="90" t="s">
        <v>256</v>
      </c>
      <c r="F266" s="90" t="s">
        <v>39</v>
      </c>
      <c r="G266" s="91" t="s">
        <v>208</v>
      </c>
      <c r="H266" s="90" t="s">
        <v>886</v>
      </c>
      <c r="I266" s="92" t="s">
        <v>28</v>
      </c>
      <c r="J266" s="92" t="s">
        <v>52</v>
      </c>
      <c r="K266" s="92" t="s">
        <v>118</v>
      </c>
      <c r="L266" s="93">
        <v>44572</v>
      </c>
      <c r="M266" s="93" t="b">
        <v>0</v>
      </c>
      <c r="N266" s="93">
        <v>45632</v>
      </c>
      <c r="O266" s="94" t="s">
        <v>73</v>
      </c>
      <c r="P266" s="95">
        <v>4.8</v>
      </c>
      <c r="Q266" s="95">
        <v>4.5999999999999996</v>
      </c>
      <c r="R266" s="95"/>
      <c r="S266" s="92" t="s">
        <v>119</v>
      </c>
      <c r="T266" s="92" t="s">
        <v>153</v>
      </c>
      <c r="U266" s="92"/>
      <c r="V266" s="92"/>
      <c r="W266" s="92"/>
      <c r="X266" s="92"/>
      <c r="Y266" s="92"/>
      <c r="Z266" s="99">
        <v>44690</v>
      </c>
    </row>
    <row r="267" spans="1:26" ht="12.6">
      <c r="A267" s="85" t="s">
        <v>884</v>
      </c>
      <c r="B267" s="85" t="s">
        <v>881</v>
      </c>
      <c r="C267" s="85" t="s">
        <v>887</v>
      </c>
      <c r="D267" s="85" t="s">
        <v>50</v>
      </c>
      <c r="E267" s="85" t="s">
        <v>635</v>
      </c>
      <c r="F267" s="85" t="s">
        <v>39</v>
      </c>
      <c r="G267" s="89" t="s">
        <v>205</v>
      </c>
      <c r="H267" s="85" t="s">
        <v>888</v>
      </c>
      <c r="I267" s="86" t="s">
        <v>28</v>
      </c>
      <c r="J267" s="86" t="s">
        <v>52</v>
      </c>
      <c r="K267" s="86" t="s">
        <v>118</v>
      </c>
      <c r="L267" s="154">
        <v>44572</v>
      </c>
      <c r="M267" s="87" t="b">
        <v>0</v>
      </c>
      <c r="N267" s="154"/>
      <c r="P267" s="88"/>
      <c r="Q267" s="88"/>
      <c r="R267" s="88"/>
      <c r="S267" s="86" t="s">
        <v>119</v>
      </c>
      <c r="T267" s="86" t="s">
        <v>153</v>
      </c>
      <c r="U267" s="86"/>
      <c r="V267" s="86"/>
      <c r="W267" s="86"/>
      <c r="X267" s="86"/>
      <c r="Y267" s="86"/>
      <c r="Z267" s="154">
        <v>44690</v>
      </c>
    </row>
    <row r="268" spans="1:26" ht="12.6">
      <c r="A268" s="85" t="s">
        <v>884</v>
      </c>
      <c r="B268" s="85" t="s">
        <v>881</v>
      </c>
      <c r="C268" s="85" t="s">
        <v>889</v>
      </c>
      <c r="D268" s="85" t="s">
        <v>26</v>
      </c>
      <c r="E268" s="85" t="s">
        <v>223</v>
      </c>
      <c r="F268" s="85" t="s">
        <v>39</v>
      </c>
      <c r="G268" s="89" t="s">
        <v>205</v>
      </c>
      <c r="H268" s="85" t="s">
        <v>890</v>
      </c>
      <c r="I268" s="86" t="s">
        <v>28</v>
      </c>
      <c r="J268" s="86" t="s">
        <v>52</v>
      </c>
      <c r="K268" s="86" t="s">
        <v>118</v>
      </c>
      <c r="L268" s="154">
        <v>44573</v>
      </c>
      <c r="M268" s="87" t="b">
        <v>0</v>
      </c>
      <c r="N268" s="154"/>
      <c r="P268" s="88"/>
      <c r="Q268" s="88"/>
      <c r="R268" s="88"/>
      <c r="S268" s="86" t="s">
        <v>119</v>
      </c>
      <c r="T268" s="86" t="s">
        <v>153</v>
      </c>
      <c r="U268" s="86"/>
      <c r="V268" s="86"/>
      <c r="W268" s="86"/>
      <c r="X268" s="86"/>
      <c r="Y268" s="86"/>
      <c r="Z268" s="138">
        <v>44690</v>
      </c>
    </row>
    <row r="269" spans="1:26" s="98" customFormat="1" ht="12.6">
      <c r="A269" s="90" t="s">
        <v>884</v>
      </c>
      <c r="B269" s="90" t="s">
        <v>881</v>
      </c>
      <c r="C269" s="90" t="s">
        <v>891</v>
      </c>
      <c r="D269" s="90" t="s">
        <v>50</v>
      </c>
      <c r="E269" s="90" t="s">
        <v>635</v>
      </c>
      <c r="F269" s="90" t="s">
        <v>39</v>
      </c>
      <c r="G269" s="91" t="s">
        <v>205</v>
      </c>
      <c r="H269" s="90" t="s">
        <v>892</v>
      </c>
      <c r="I269" s="92" t="s">
        <v>28</v>
      </c>
      <c r="J269" s="92" t="s">
        <v>52</v>
      </c>
      <c r="K269" s="92" t="s">
        <v>118</v>
      </c>
      <c r="L269" s="97">
        <v>44573</v>
      </c>
      <c r="M269" s="93" t="b">
        <v>0</v>
      </c>
      <c r="N269" s="97">
        <v>45299</v>
      </c>
      <c r="O269" s="94" t="s">
        <v>48</v>
      </c>
      <c r="P269" s="95">
        <v>3.2</v>
      </c>
      <c r="Q269" s="95">
        <v>2.7</v>
      </c>
      <c r="R269" s="95"/>
      <c r="S269" s="92" t="s">
        <v>119</v>
      </c>
      <c r="T269" s="92" t="s">
        <v>153</v>
      </c>
      <c r="U269" s="92"/>
      <c r="V269" s="92"/>
      <c r="W269" s="86"/>
      <c r="X269" s="92"/>
      <c r="Y269" s="92"/>
      <c r="Z269" s="97">
        <v>44690</v>
      </c>
    </row>
    <row r="270" spans="1:26" s="98" customFormat="1" ht="12.6">
      <c r="A270" s="90" t="s">
        <v>884</v>
      </c>
      <c r="B270" s="90" t="s">
        <v>881</v>
      </c>
      <c r="C270" s="90" t="s">
        <v>893</v>
      </c>
      <c r="D270" s="90" t="s">
        <v>61</v>
      </c>
      <c r="E270" s="90" t="s">
        <v>398</v>
      </c>
      <c r="F270" s="90" t="s">
        <v>27</v>
      </c>
      <c r="G270" s="91" t="s">
        <v>173</v>
      </c>
      <c r="H270" s="90" t="s">
        <v>699</v>
      </c>
      <c r="I270" s="92" t="s">
        <v>165</v>
      </c>
      <c r="J270" s="92" t="s">
        <v>40</v>
      </c>
      <c r="K270" s="92" t="s">
        <v>118</v>
      </c>
      <c r="L270" s="97">
        <v>44573</v>
      </c>
      <c r="M270" s="93" t="b">
        <v>0</v>
      </c>
      <c r="N270" s="97">
        <v>45632</v>
      </c>
      <c r="O270" s="94" t="s">
        <v>73</v>
      </c>
      <c r="P270" s="95">
        <v>8</v>
      </c>
      <c r="Q270" s="95"/>
      <c r="R270" s="95">
        <v>1.8</v>
      </c>
      <c r="S270" s="92" t="s">
        <v>119</v>
      </c>
      <c r="T270" s="92" t="s">
        <v>153</v>
      </c>
      <c r="U270" s="92"/>
      <c r="V270" s="92"/>
      <c r="W270" s="92"/>
      <c r="X270" s="92"/>
      <c r="Y270" s="92"/>
      <c r="Z270" s="99">
        <v>44690</v>
      </c>
    </row>
    <row r="271" spans="1:26" ht="12.6">
      <c r="A271" s="85" t="s">
        <v>894</v>
      </c>
      <c r="B271" s="85" t="s">
        <v>895</v>
      </c>
      <c r="C271" s="85" t="s">
        <v>896</v>
      </c>
      <c r="D271" s="85" t="s">
        <v>50</v>
      </c>
      <c r="E271" s="85" t="s">
        <v>235</v>
      </c>
      <c r="F271" s="85" t="s">
        <v>27</v>
      </c>
      <c r="G271" s="89" t="s">
        <v>173</v>
      </c>
      <c r="H271" s="85" t="s">
        <v>897</v>
      </c>
      <c r="I271" s="86" t="s">
        <v>165</v>
      </c>
      <c r="J271" s="86" t="s">
        <v>40</v>
      </c>
      <c r="K271" s="86" t="s">
        <v>118</v>
      </c>
      <c r="L271" s="154">
        <v>44573</v>
      </c>
      <c r="M271" s="87" t="b">
        <v>0</v>
      </c>
      <c r="N271" s="154"/>
      <c r="P271" s="88"/>
      <c r="Q271" s="88"/>
      <c r="R271" s="88"/>
      <c r="S271" s="86" t="s">
        <v>119</v>
      </c>
      <c r="T271" s="86" t="s">
        <v>153</v>
      </c>
      <c r="U271" s="86"/>
      <c r="V271" s="86"/>
      <c r="W271" s="86"/>
      <c r="X271" s="86"/>
      <c r="Y271" s="86"/>
      <c r="Z271" s="165">
        <v>44690</v>
      </c>
    </row>
    <row r="272" spans="1:26" s="161" customFormat="1" ht="12.6">
      <c r="A272" s="85" t="s">
        <v>898</v>
      </c>
      <c r="B272" s="85" t="s">
        <v>899</v>
      </c>
      <c r="C272" s="85" t="s">
        <v>900</v>
      </c>
      <c r="D272" s="85" t="s">
        <v>26</v>
      </c>
      <c r="E272" s="85" t="s">
        <v>176</v>
      </c>
      <c r="F272" s="85" t="s">
        <v>39</v>
      </c>
      <c r="G272" s="89" t="s">
        <v>208</v>
      </c>
      <c r="H272" s="85" t="s">
        <v>901</v>
      </c>
      <c r="I272" s="156" t="s">
        <v>28</v>
      </c>
      <c r="J272" s="156" t="s">
        <v>183</v>
      </c>
      <c r="K272" s="156" t="s">
        <v>118</v>
      </c>
      <c r="L272" s="157">
        <v>44573</v>
      </c>
      <c r="M272" s="158" t="b">
        <v>1</v>
      </c>
      <c r="N272" s="157"/>
      <c r="O272" s="159"/>
      <c r="P272" s="160"/>
      <c r="Q272" s="160"/>
      <c r="R272" s="160"/>
      <c r="S272" s="156" t="s">
        <v>166</v>
      </c>
      <c r="T272" s="156"/>
      <c r="U272" s="156"/>
      <c r="V272" s="156"/>
      <c r="W272" s="86"/>
      <c r="X272" s="156"/>
      <c r="Y272" s="156"/>
      <c r="Z272" s="157">
        <v>44572</v>
      </c>
    </row>
    <row r="273" spans="1:26" s="251" customFormat="1" ht="12.6">
      <c r="A273" s="124" t="s">
        <v>898</v>
      </c>
      <c r="B273" s="124" t="s">
        <v>899</v>
      </c>
      <c r="C273" s="124" t="s">
        <v>902</v>
      </c>
      <c r="D273" s="124" t="s">
        <v>61</v>
      </c>
      <c r="E273" s="124" t="s">
        <v>299</v>
      </c>
      <c r="F273" s="124" t="s">
        <v>39</v>
      </c>
      <c r="G273" s="125" t="s">
        <v>208</v>
      </c>
      <c r="H273" s="124" t="s">
        <v>903</v>
      </c>
      <c r="I273" s="246" t="s">
        <v>28</v>
      </c>
      <c r="J273" s="246" t="s">
        <v>183</v>
      </c>
      <c r="K273" s="246" t="s">
        <v>118</v>
      </c>
      <c r="L273" s="250">
        <v>44573</v>
      </c>
      <c r="M273" s="252" t="b">
        <v>1</v>
      </c>
      <c r="N273" s="250">
        <v>45447</v>
      </c>
      <c r="O273" s="248" t="s">
        <v>35</v>
      </c>
      <c r="P273" s="249"/>
      <c r="Q273" s="249"/>
      <c r="R273" s="249"/>
      <c r="S273" s="246" t="s">
        <v>166</v>
      </c>
      <c r="T273" s="246"/>
      <c r="U273" s="246"/>
      <c r="V273" s="246"/>
      <c r="W273" s="86"/>
      <c r="X273" s="246"/>
      <c r="Y273" s="246"/>
      <c r="Z273" s="250">
        <v>44572</v>
      </c>
    </row>
    <row r="274" spans="1:26" s="106" customFormat="1" ht="12.6">
      <c r="A274" s="90" t="s">
        <v>898</v>
      </c>
      <c r="B274" s="90" t="s">
        <v>899</v>
      </c>
      <c r="C274" s="90" t="s">
        <v>904</v>
      </c>
      <c r="D274" s="90" t="s">
        <v>50</v>
      </c>
      <c r="E274" s="90" t="s">
        <v>635</v>
      </c>
      <c r="F274" s="90" t="s">
        <v>39</v>
      </c>
      <c r="G274" s="91" t="s">
        <v>208</v>
      </c>
      <c r="H274" s="90" t="s">
        <v>905</v>
      </c>
      <c r="I274" s="101" t="s">
        <v>28</v>
      </c>
      <c r="J274" s="101" t="s">
        <v>183</v>
      </c>
      <c r="K274" s="101" t="s">
        <v>118</v>
      </c>
      <c r="L274" s="102">
        <v>44573</v>
      </c>
      <c r="M274" s="103" t="b">
        <v>1</v>
      </c>
      <c r="N274" s="102">
        <v>45447</v>
      </c>
      <c r="O274" s="104" t="s">
        <v>35</v>
      </c>
      <c r="P274" s="105">
        <v>2.8</v>
      </c>
      <c r="Q274" s="105">
        <v>3.2</v>
      </c>
      <c r="R274" s="105"/>
      <c r="S274" s="101" t="s">
        <v>119</v>
      </c>
      <c r="T274" s="101" t="s">
        <v>153</v>
      </c>
      <c r="U274" s="101"/>
      <c r="V274" s="101"/>
      <c r="W274" s="86"/>
      <c r="X274" s="101"/>
      <c r="Y274" s="101"/>
      <c r="Z274" s="102">
        <v>44572</v>
      </c>
    </row>
    <row r="275" spans="1:26" s="106" customFormat="1" ht="12.6">
      <c r="A275" s="90" t="s">
        <v>898</v>
      </c>
      <c r="B275" s="90" t="s">
        <v>899</v>
      </c>
      <c r="C275" s="90" t="s">
        <v>906</v>
      </c>
      <c r="D275" s="90" t="s">
        <v>50</v>
      </c>
      <c r="E275" s="90" t="s">
        <v>635</v>
      </c>
      <c r="F275" s="90" t="s">
        <v>39</v>
      </c>
      <c r="G275" s="91" t="s">
        <v>208</v>
      </c>
      <c r="H275" s="90" t="s">
        <v>907</v>
      </c>
      <c r="I275" s="101" t="s">
        <v>28</v>
      </c>
      <c r="J275" s="101" t="s">
        <v>183</v>
      </c>
      <c r="K275" s="101" t="s">
        <v>118</v>
      </c>
      <c r="L275" s="102">
        <v>44573</v>
      </c>
      <c r="M275" s="103" t="b">
        <v>1</v>
      </c>
      <c r="N275" s="102">
        <v>45426</v>
      </c>
      <c r="O275" s="104" t="s">
        <v>48</v>
      </c>
      <c r="P275" s="105">
        <v>1.2</v>
      </c>
      <c r="Q275" s="105">
        <v>1.7</v>
      </c>
      <c r="R275" s="105"/>
      <c r="S275" s="101" t="s">
        <v>119</v>
      </c>
      <c r="T275" s="92" t="s">
        <v>153</v>
      </c>
      <c r="U275" s="101"/>
      <c r="V275" s="101"/>
      <c r="W275" s="86"/>
      <c r="X275" s="101"/>
      <c r="Y275" s="101"/>
      <c r="Z275" s="102">
        <v>44573</v>
      </c>
    </row>
    <row r="276" spans="1:26" s="251" customFormat="1" ht="12.6">
      <c r="A276" s="124" t="s">
        <v>898</v>
      </c>
      <c r="B276" s="124" t="s">
        <v>899</v>
      </c>
      <c r="C276" s="124" t="s">
        <v>908</v>
      </c>
      <c r="D276" s="124" t="s">
        <v>61</v>
      </c>
      <c r="E276" s="124" t="s">
        <v>299</v>
      </c>
      <c r="F276" s="124" t="s">
        <v>39</v>
      </c>
      <c r="G276" s="125" t="s">
        <v>208</v>
      </c>
      <c r="H276" s="124" t="s">
        <v>909</v>
      </c>
      <c r="I276" s="246" t="s">
        <v>28</v>
      </c>
      <c r="J276" s="246" t="s">
        <v>183</v>
      </c>
      <c r="K276" s="246" t="s">
        <v>118</v>
      </c>
      <c r="L276" s="250">
        <v>44573</v>
      </c>
      <c r="M276" s="252" t="b">
        <v>1</v>
      </c>
      <c r="N276" s="250">
        <v>45447</v>
      </c>
      <c r="O276" s="248" t="s">
        <v>35</v>
      </c>
      <c r="P276" s="249"/>
      <c r="Q276" s="249"/>
      <c r="R276" s="249"/>
      <c r="S276" s="246" t="s">
        <v>166</v>
      </c>
      <c r="T276" s="246"/>
      <c r="U276" s="246"/>
      <c r="V276" s="246"/>
      <c r="W276" s="86"/>
      <c r="X276" s="246"/>
      <c r="Y276" s="246" t="s">
        <v>310</v>
      </c>
      <c r="Z276" s="250">
        <v>44573</v>
      </c>
    </row>
    <row r="277" spans="1:26" s="161" customFormat="1" ht="12.6">
      <c r="A277" s="85" t="s">
        <v>898</v>
      </c>
      <c r="B277" s="85" t="s">
        <v>899</v>
      </c>
      <c r="C277" s="85" t="s">
        <v>910</v>
      </c>
      <c r="D277" s="85" t="s">
        <v>61</v>
      </c>
      <c r="E277" s="85" t="s">
        <v>299</v>
      </c>
      <c r="F277" s="85" t="s">
        <v>39</v>
      </c>
      <c r="G277" s="89" t="s">
        <v>208</v>
      </c>
      <c r="H277" s="85" t="s">
        <v>911</v>
      </c>
      <c r="I277" s="156" t="s">
        <v>28</v>
      </c>
      <c r="J277" s="156" t="s">
        <v>183</v>
      </c>
      <c r="K277" s="156" t="s">
        <v>118</v>
      </c>
      <c r="L277" s="157">
        <v>44573</v>
      </c>
      <c r="M277" s="158" t="b">
        <v>1</v>
      </c>
      <c r="N277" s="157"/>
      <c r="O277" s="159"/>
      <c r="P277" s="160"/>
      <c r="Q277" s="160"/>
      <c r="R277" s="160"/>
      <c r="S277" s="156" t="s">
        <v>166</v>
      </c>
      <c r="T277" s="156"/>
      <c r="U277" s="156"/>
      <c r="V277" s="156"/>
      <c r="W277" s="86"/>
      <c r="X277" s="156"/>
      <c r="Y277" s="156" t="s">
        <v>310</v>
      </c>
      <c r="Z277" s="157">
        <v>44573</v>
      </c>
    </row>
    <row r="278" spans="1:26" s="161" customFormat="1" ht="12.6">
      <c r="A278" s="85" t="s">
        <v>898</v>
      </c>
      <c r="B278" s="85" t="s">
        <v>899</v>
      </c>
      <c r="C278" s="85" t="s">
        <v>912</v>
      </c>
      <c r="D278" s="85" t="s">
        <v>61</v>
      </c>
      <c r="E278" s="85" t="s">
        <v>299</v>
      </c>
      <c r="F278" s="85" t="s">
        <v>39</v>
      </c>
      <c r="G278" s="89" t="s">
        <v>208</v>
      </c>
      <c r="H278" s="85" t="s">
        <v>913</v>
      </c>
      <c r="I278" s="156" t="s">
        <v>28</v>
      </c>
      <c r="J278" s="156" t="s">
        <v>183</v>
      </c>
      <c r="K278" s="156" t="s">
        <v>118</v>
      </c>
      <c r="L278" s="157">
        <v>44573</v>
      </c>
      <c r="M278" s="158" t="b">
        <v>1</v>
      </c>
      <c r="N278" s="157"/>
      <c r="O278" s="159"/>
      <c r="P278" s="160"/>
      <c r="Q278" s="160"/>
      <c r="R278" s="160"/>
      <c r="S278" s="156" t="s">
        <v>166</v>
      </c>
      <c r="T278" s="156"/>
      <c r="U278" s="156"/>
      <c r="V278" s="156"/>
      <c r="W278" s="86"/>
      <c r="X278" s="156"/>
      <c r="Y278" s="156" t="s">
        <v>310</v>
      </c>
      <c r="Z278" s="157">
        <v>44573</v>
      </c>
    </row>
    <row r="279" spans="1:26" s="251" customFormat="1" ht="12.6">
      <c r="A279" s="124" t="s">
        <v>898</v>
      </c>
      <c r="B279" s="124" t="s">
        <v>899</v>
      </c>
      <c r="C279" s="124" t="s">
        <v>914</v>
      </c>
      <c r="D279" s="124" t="s">
        <v>61</v>
      </c>
      <c r="E279" s="124" t="s">
        <v>299</v>
      </c>
      <c r="F279" s="124" t="s">
        <v>39</v>
      </c>
      <c r="G279" s="125" t="s">
        <v>208</v>
      </c>
      <c r="H279" s="124" t="s">
        <v>915</v>
      </c>
      <c r="I279" s="246" t="s">
        <v>28</v>
      </c>
      <c r="J279" s="246" t="s">
        <v>183</v>
      </c>
      <c r="K279" s="246" t="s">
        <v>118</v>
      </c>
      <c r="L279" s="250">
        <v>44573</v>
      </c>
      <c r="M279" s="252" t="b">
        <v>1</v>
      </c>
      <c r="N279" s="250">
        <v>45447</v>
      </c>
      <c r="O279" s="248" t="s">
        <v>35</v>
      </c>
      <c r="P279" s="249"/>
      <c r="Q279" s="249"/>
      <c r="R279" s="249"/>
      <c r="S279" s="246" t="s">
        <v>166</v>
      </c>
      <c r="T279" s="246"/>
      <c r="U279" s="246"/>
      <c r="V279" s="246"/>
      <c r="W279" s="86"/>
      <c r="X279" s="246"/>
      <c r="Y279" s="246" t="s">
        <v>310</v>
      </c>
      <c r="Z279" s="250">
        <v>44573</v>
      </c>
    </row>
    <row r="280" spans="1:26" s="251" customFormat="1" ht="12.6">
      <c r="A280" s="124" t="s">
        <v>898</v>
      </c>
      <c r="B280" s="124" t="s">
        <v>899</v>
      </c>
      <c r="C280" s="124" t="s">
        <v>916</v>
      </c>
      <c r="D280" s="124" t="s">
        <v>50</v>
      </c>
      <c r="E280" s="124" t="s">
        <v>635</v>
      </c>
      <c r="F280" s="124" t="s">
        <v>39</v>
      </c>
      <c r="G280" s="125" t="s">
        <v>208</v>
      </c>
      <c r="H280" s="124" t="s">
        <v>917</v>
      </c>
      <c r="I280" s="246" t="s">
        <v>28</v>
      </c>
      <c r="J280" s="246" t="s">
        <v>183</v>
      </c>
      <c r="K280" s="246" t="s">
        <v>118</v>
      </c>
      <c r="L280" s="250">
        <v>44573</v>
      </c>
      <c r="M280" s="252" t="b">
        <v>1</v>
      </c>
      <c r="N280" s="250">
        <v>45447</v>
      </c>
      <c r="O280" s="248" t="s">
        <v>35</v>
      </c>
      <c r="P280" s="249"/>
      <c r="Q280" s="249"/>
      <c r="R280" s="249"/>
      <c r="S280" s="246" t="s">
        <v>166</v>
      </c>
      <c r="T280" s="246"/>
      <c r="U280" s="246"/>
      <c r="V280" s="246"/>
      <c r="W280" s="86"/>
      <c r="X280" s="246"/>
      <c r="Y280" s="246" t="s">
        <v>310</v>
      </c>
      <c r="Z280" s="250">
        <v>44573</v>
      </c>
    </row>
    <row r="281" spans="1:26" s="251" customFormat="1" ht="12.6">
      <c r="A281" s="124" t="s">
        <v>898</v>
      </c>
      <c r="B281" s="124" t="s">
        <v>899</v>
      </c>
      <c r="C281" s="124" t="s">
        <v>918</v>
      </c>
      <c r="D281" s="124" t="s">
        <v>61</v>
      </c>
      <c r="E281" s="124" t="s">
        <v>299</v>
      </c>
      <c r="F281" s="124" t="s">
        <v>39</v>
      </c>
      <c r="G281" s="125" t="s">
        <v>208</v>
      </c>
      <c r="H281" s="124" t="s">
        <v>915</v>
      </c>
      <c r="I281" s="246" t="s">
        <v>28</v>
      </c>
      <c r="J281" s="246" t="s">
        <v>183</v>
      </c>
      <c r="K281" s="246" t="s">
        <v>118</v>
      </c>
      <c r="L281" s="250">
        <v>44573</v>
      </c>
      <c r="M281" s="252" t="b">
        <v>1</v>
      </c>
      <c r="N281" s="250">
        <v>45447</v>
      </c>
      <c r="O281" s="248" t="s">
        <v>35</v>
      </c>
      <c r="P281" s="249"/>
      <c r="Q281" s="249"/>
      <c r="R281" s="249"/>
      <c r="S281" s="246" t="s">
        <v>166</v>
      </c>
      <c r="T281" s="246"/>
      <c r="U281" s="246"/>
      <c r="V281" s="246"/>
      <c r="W281" s="86"/>
      <c r="X281" s="246"/>
      <c r="Y281" s="246" t="s">
        <v>310</v>
      </c>
      <c r="Z281" s="250">
        <v>44573</v>
      </c>
    </row>
    <row r="282" spans="1:26" s="251" customFormat="1" ht="12.6">
      <c r="A282" s="124" t="s">
        <v>898</v>
      </c>
      <c r="B282" s="124" t="s">
        <v>899</v>
      </c>
      <c r="C282" s="124" t="s">
        <v>919</v>
      </c>
      <c r="D282" s="124" t="s">
        <v>61</v>
      </c>
      <c r="E282" s="124" t="s">
        <v>299</v>
      </c>
      <c r="F282" s="124" t="s">
        <v>39</v>
      </c>
      <c r="G282" s="125" t="s">
        <v>208</v>
      </c>
      <c r="H282" s="124" t="s">
        <v>920</v>
      </c>
      <c r="I282" s="246" t="s">
        <v>28</v>
      </c>
      <c r="J282" s="246" t="s">
        <v>183</v>
      </c>
      <c r="K282" s="246" t="s">
        <v>118</v>
      </c>
      <c r="L282" s="250">
        <v>44573</v>
      </c>
      <c r="M282" s="252" t="b">
        <v>1</v>
      </c>
      <c r="N282" s="250">
        <v>45447</v>
      </c>
      <c r="O282" s="248" t="s">
        <v>35</v>
      </c>
      <c r="P282" s="249"/>
      <c r="Q282" s="249"/>
      <c r="R282" s="249"/>
      <c r="S282" s="246" t="s">
        <v>166</v>
      </c>
      <c r="T282" s="246"/>
      <c r="U282" s="246"/>
      <c r="V282" s="246"/>
      <c r="W282" s="86"/>
      <c r="X282" s="246"/>
      <c r="Y282" s="246" t="s">
        <v>210</v>
      </c>
      <c r="Z282" s="250">
        <v>44573</v>
      </c>
    </row>
    <row r="283" spans="1:26" s="251" customFormat="1" ht="12.6">
      <c r="A283" s="124" t="s">
        <v>898</v>
      </c>
      <c r="B283" s="124" t="s">
        <v>899</v>
      </c>
      <c r="C283" s="124" t="s">
        <v>921</v>
      </c>
      <c r="D283" s="124" t="s">
        <v>61</v>
      </c>
      <c r="E283" s="124" t="s">
        <v>299</v>
      </c>
      <c r="F283" s="124" t="s">
        <v>39</v>
      </c>
      <c r="G283" s="125" t="s">
        <v>208</v>
      </c>
      <c r="H283" s="124" t="s">
        <v>922</v>
      </c>
      <c r="I283" s="246" t="s">
        <v>28</v>
      </c>
      <c r="J283" s="246" t="s">
        <v>183</v>
      </c>
      <c r="K283" s="246" t="s">
        <v>118</v>
      </c>
      <c r="L283" s="250">
        <v>44573</v>
      </c>
      <c r="M283" s="252" t="b">
        <v>1</v>
      </c>
      <c r="N283" s="250">
        <v>45447</v>
      </c>
      <c r="O283" s="128" t="s">
        <v>923</v>
      </c>
      <c r="P283" s="249"/>
      <c r="Q283" s="249"/>
      <c r="R283" s="249"/>
      <c r="S283" s="246" t="s">
        <v>166</v>
      </c>
      <c r="T283" s="246"/>
      <c r="U283" s="246"/>
      <c r="V283" s="246"/>
      <c r="W283" s="86"/>
      <c r="X283" s="246"/>
      <c r="Y283" s="246" t="s">
        <v>310</v>
      </c>
      <c r="Z283" s="250">
        <v>44573</v>
      </c>
    </row>
    <row r="284" spans="1:26" s="106" customFormat="1" ht="12.6">
      <c r="A284" s="90" t="s">
        <v>898</v>
      </c>
      <c r="B284" s="90" t="s">
        <v>899</v>
      </c>
      <c r="C284" s="90" t="s">
        <v>924</v>
      </c>
      <c r="D284" s="90" t="s">
        <v>50</v>
      </c>
      <c r="E284" s="90" t="s">
        <v>635</v>
      </c>
      <c r="F284" s="90" t="s">
        <v>39</v>
      </c>
      <c r="G284" s="91" t="s">
        <v>208</v>
      </c>
      <c r="H284" s="90" t="s">
        <v>925</v>
      </c>
      <c r="I284" s="101" t="s">
        <v>28</v>
      </c>
      <c r="J284" s="101" t="s">
        <v>183</v>
      </c>
      <c r="K284" s="101" t="s">
        <v>118</v>
      </c>
      <c r="L284" s="102">
        <v>44573</v>
      </c>
      <c r="M284" s="103" t="b">
        <v>1</v>
      </c>
      <c r="N284" s="102">
        <v>45425</v>
      </c>
      <c r="O284" s="159" t="s">
        <v>48</v>
      </c>
      <c r="P284" s="105">
        <v>1.1000000000000001</v>
      </c>
      <c r="Q284" s="105">
        <v>1.2</v>
      </c>
      <c r="R284" s="105"/>
      <c r="S284" s="101" t="s">
        <v>119</v>
      </c>
      <c r="T284" s="101"/>
      <c r="U284" s="101"/>
      <c r="V284" s="101"/>
      <c r="W284" s="86"/>
      <c r="X284" s="101"/>
      <c r="Y284" s="101"/>
      <c r="Z284" s="102">
        <v>44573</v>
      </c>
    </row>
    <row r="285" spans="1:26" s="106" customFormat="1" ht="12.6">
      <c r="A285" s="90" t="s">
        <v>926</v>
      </c>
      <c r="B285" s="90" t="s">
        <v>927</v>
      </c>
      <c r="C285" s="90" t="s">
        <v>928</v>
      </c>
      <c r="D285" s="90" t="s">
        <v>38</v>
      </c>
      <c r="E285" s="90" t="s">
        <v>704</v>
      </c>
      <c r="F285" s="90" t="s">
        <v>39</v>
      </c>
      <c r="G285" s="91" t="s">
        <v>205</v>
      </c>
      <c r="H285" s="90" t="s">
        <v>544</v>
      </c>
      <c r="I285" s="101" t="s">
        <v>28</v>
      </c>
      <c r="J285" s="101" t="s">
        <v>52</v>
      </c>
      <c r="K285" s="101" t="s">
        <v>118</v>
      </c>
      <c r="L285" s="116">
        <v>44935</v>
      </c>
      <c r="M285" s="116" t="b">
        <v>0</v>
      </c>
      <c r="N285" s="116">
        <v>45453</v>
      </c>
      <c r="O285" s="104" t="s">
        <v>98</v>
      </c>
      <c r="P285" s="105">
        <v>3</v>
      </c>
      <c r="Q285" s="105">
        <v>1.4</v>
      </c>
      <c r="R285" s="105"/>
      <c r="S285" s="101" t="s">
        <v>119</v>
      </c>
      <c r="T285" s="101" t="s">
        <v>153</v>
      </c>
      <c r="U285" s="101"/>
      <c r="V285" s="101"/>
      <c r="W285" s="86"/>
      <c r="X285" s="101"/>
      <c r="Y285" s="101"/>
      <c r="Z285" s="102">
        <v>44573</v>
      </c>
    </row>
    <row r="286" spans="1:26" s="98" customFormat="1" ht="12.6">
      <c r="A286" s="90" t="s">
        <v>926</v>
      </c>
      <c r="B286" s="90" t="s">
        <v>927</v>
      </c>
      <c r="C286" s="90" t="s">
        <v>929</v>
      </c>
      <c r="D286" s="90" t="s">
        <v>26</v>
      </c>
      <c r="E286" s="90" t="s">
        <v>176</v>
      </c>
      <c r="F286" s="90" t="s">
        <v>39</v>
      </c>
      <c r="G286" s="91" t="s">
        <v>177</v>
      </c>
      <c r="H286" s="90" t="s">
        <v>930</v>
      </c>
      <c r="I286" s="92" t="s">
        <v>28</v>
      </c>
      <c r="J286" s="92" t="s">
        <v>183</v>
      </c>
      <c r="K286" s="92" t="s">
        <v>118</v>
      </c>
      <c r="L286" s="123">
        <v>44734</v>
      </c>
      <c r="M286" s="93" t="b">
        <v>0</v>
      </c>
      <c r="N286" s="123">
        <v>45453</v>
      </c>
      <c r="O286" s="94" t="s">
        <v>98</v>
      </c>
      <c r="P286" s="95">
        <v>2.9</v>
      </c>
      <c r="Q286" s="95">
        <v>2.6</v>
      </c>
      <c r="R286" s="95"/>
      <c r="S286" s="92" t="s">
        <v>119</v>
      </c>
      <c r="T286" s="92" t="s">
        <v>153</v>
      </c>
      <c r="U286" s="92"/>
      <c r="V286" s="92"/>
      <c r="W286" s="86"/>
      <c r="X286" s="92"/>
      <c r="Y286" s="92"/>
      <c r="Z286" s="118">
        <v>44573</v>
      </c>
    </row>
    <row r="287" spans="1:26" s="98" customFormat="1" ht="12.6">
      <c r="A287" s="90" t="s">
        <v>926</v>
      </c>
      <c r="B287" s="90" t="s">
        <v>927</v>
      </c>
      <c r="C287" s="90" t="s">
        <v>931</v>
      </c>
      <c r="D287" s="90" t="s">
        <v>26</v>
      </c>
      <c r="E287" s="90" t="s">
        <v>223</v>
      </c>
      <c r="F287" s="90" t="s">
        <v>39</v>
      </c>
      <c r="G287" s="91" t="s">
        <v>181</v>
      </c>
      <c r="H287" s="90" t="s">
        <v>932</v>
      </c>
      <c r="I287" s="92" t="s">
        <v>28</v>
      </c>
      <c r="J287" s="92" t="s">
        <v>28</v>
      </c>
      <c r="K287" s="92" t="s">
        <v>118</v>
      </c>
      <c r="L287" s="93">
        <v>44734</v>
      </c>
      <c r="M287" s="93" t="b">
        <v>0</v>
      </c>
      <c r="N287" s="93">
        <v>45453</v>
      </c>
      <c r="O287" s="94" t="s">
        <v>98</v>
      </c>
      <c r="P287" s="95">
        <v>4.3</v>
      </c>
      <c r="Q287" s="95">
        <v>4.2</v>
      </c>
      <c r="R287" s="95"/>
      <c r="S287" s="92" t="s">
        <v>119</v>
      </c>
      <c r="T287" s="92" t="s">
        <v>153</v>
      </c>
      <c r="U287" s="92"/>
      <c r="V287" s="92"/>
      <c r="W287" s="86"/>
      <c r="X287" s="92"/>
      <c r="Y287" s="92"/>
      <c r="Z287" s="118">
        <v>44573</v>
      </c>
    </row>
    <row r="288" spans="1:26" s="98" customFormat="1" ht="12.6">
      <c r="A288" s="90" t="s">
        <v>926</v>
      </c>
      <c r="B288" s="90" t="s">
        <v>927</v>
      </c>
      <c r="C288" s="90" t="s">
        <v>933</v>
      </c>
      <c r="D288" s="90" t="s">
        <v>26</v>
      </c>
      <c r="E288" s="90" t="s">
        <v>235</v>
      </c>
      <c r="F288" s="90" t="s">
        <v>27</v>
      </c>
      <c r="G288" s="91" t="s">
        <v>173</v>
      </c>
      <c r="H288" s="90" t="s">
        <v>934</v>
      </c>
      <c r="I288" s="92" t="s">
        <v>165</v>
      </c>
      <c r="J288" s="92" t="s">
        <v>40</v>
      </c>
      <c r="K288" s="92" t="s">
        <v>118</v>
      </c>
      <c r="L288" s="93">
        <v>44734</v>
      </c>
      <c r="M288" s="93" t="b">
        <v>0</v>
      </c>
      <c r="N288" s="93">
        <v>45453</v>
      </c>
      <c r="O288" s="94" t="s">
        <v>98</v>
      </c>
      <c r="P288" s="95">
        <v>2.7</v>
      </c>
      <c r="Q288" s="95"/>
      <c r="R288" s="95">
        <v>3.2</v>
      </c>
      <c r="S288" s="92" t="s">
        <v>119</v>
      </c>
      <c r="T288" s="92" t="s">
        <v>153</v>
      </c>
      <c r="U288" s="92" t="s">
        <v>153</v>
      </c>
      <c r="V288" s="92" t="s">
        <v>167</v>
      </c>
      <c r="W288" s="92" t="s">
        <v>167</v>
      </c>
      <c r="X288" s="92"/>
      <c r="Y288" s="92"/>
      <c r="Z288" s="118">
        <v>44573</v>
      </c>
    </row>
    <row r="289" spans="1:26" ht="12.6">
      <c r="A289" s="85" t="s">
        <v>935</v>
      </c>
      <c r="B289" s="85" t="s">
        <v>936</v>
      </c>
      <c r="C289" s="85" t="s">
        <v>937</v>
      </c>
      <c r="D289" s="85" t="s">
        <v>50</v>
      </c>
      <c r="E289" s="85" t="s">
        <v>235</v>
      </c>
      <c r="F289" s="85" t="s">
        <v>27</v>
      </c>
      <c r="G289" s="89" t="s">
        <v>173</v>
      </c>
      <c r="H289" s="85" t="s">
        <v>586</v>
      </c>
      <c r="I289" s="86" t="s">
        <v>165</v>
      </c>
      <c r="J289" s="86" t="s">
        <v>40</v>
      </c>
      <c r="K289" s="86" t="s">
        <v>118</v>
      </c>
      <c r="L289" s="154">
        <v>44823</v>
      </c>
      <c r="M289" s="87" t="b">
        <v>0</v>
      </c>
      <c r="N289" s="154"/>
      <c r="P289" s="88"/>
      <c r="Q289" s="88"/>
      <c r="R289" s="88"/>
      <c r="S289" s="86" t="s">
        <v>119</v>
      </c>
      <c r="T289" s="86" t="s">
        <v>153</v>
      </c>
      <c r="U289" s="86"/>
      <c r="V289" s="86"/>
      <c r="W289" s="86"/>
      <c r="X289" s="86"/>
      <c r="Y289" s="86"/>
      <c r="Z289" s="175">
        <v>44573</v>
      </c>
    </row>
    <row r="290" spans="1:26" ht="12.75" customHeight="1">
      <c r="A290" s="85" t="s">
        <v>935</v>
      </c>
      <c r="B290" s="85" t="s">
        <v>936</v>
      </c>
      <c r="C290" s="85" t="s">
        <v>938</v>
      </c>
      <c r="D290" s="85" t="s">
        <v>26</v>
      </c>
      <c r="E290" s="85" t="s">
        <v>223</v>
      </c>
      <c r="F290" s="85" t="s">
        <v>39</v>
      </c>
      <c r="G290" s="89" t="s">
        <v>181</v>
      </c>
      <c r="H290" s="85" t="s">
        <v>495</v>
      </c>
      <c r="I290" s="86" t="s">
        <v>28</v>
      </c>
      <c r="J290" s="86" t="s">
        <v>28</v>
      </c>
      <c r="K290" s="86" t="s">
        <v>118</v>
      </c>
      <c r="L290" s="154">
        <v>44823</v>
      </c>
      <c r="M290" s="87" t="b">
        <v>0</v>
      </c>
      <c r="N290" s="154"/>
      <c r="P290" s="88"/>
      <c r="Q290" s="88"/>
      <c r="R290" s="88"/>
      <c r="S290" s="86" t="s">
        <v>119</v>
      </c>
      <c r="T290" s="86" t="s">
        <v>153</v>
      </c>
      <c r="U290" s="86" t="s">
        <v>199</v>
      </c>
      <c r="V290" s="86"/>
      <c r="W290" s="86"/>
      <c r="X290" s="86"/>
      <c r="Y290" s="86"/>
      <c r="Z290" s="175">
        <v>44573</v>
      </c>
    </row>
    <row r="291" spans="1:26" ht="12.75" customHeight="1">
      <c r="A291" s="85" t="s">
        <v>935</v>
      </c>
      <c r="B291" s="85" t="s">
        <v>936</v>
      </c>
      <c r="C291" s="85" t="s">
        <v>939</v>
      </c>
      <c r="D291" s="85" t="s">
        <v>26</v>
      </c>
      <c r="E291" s="85" t="s">
        <v>223</v>
      </c>
      <c r="F291" s="85" t="s">
        <v>39</v>
      </c>
      <c r="G291" s="89" t="s">
        <v>205</v>
      </c>
      <c r="H291" s="85" t="s">
        <v>940</v>
      </c>
      <c r="I291" s="86" t="s">
        <v>28</v>
      </c>
      <c r="J291" s="86" t="s">
        <v>52</v>
      </c>
      <c r="K291" s="86" t="s">
        <v>118</v>
      </c>
      <c r="L291" s="154">
        <v>44606</v>
      </c>
      <c r="M291" s="87" t="b">
        <v>0</v>
      </c>
      <c r="N291" s="154"/>
      <c r="P291" s="88"/>
      <c r="Q291" s="88"/>
      <c r="R291" s="88"/>
      <c r="S291" s="86" t="s">
        <v>119</v>
      </c>
      <c r="T291" s="86"/>
      <c r="U291" s="86"/>
      <c r="V291" s="86"/>
      <c r="W291" s="86"/>
      <c r="X291" s="86"/>
      <c r="Y291" s="86"/>
      <c r="Z291" s="175">
        <v>44573</v>
      </c>
    </row>
    <row r="292" spans="1:26" ht="11.25" customHeight="1">
      <c r="A292" s="85" t="s">
        <v>935</v>
      </c>
      <c r="B292" s="85" t="s">
        <v>936</v>
      </c>
      <c r="C292" s="85" t="s">
        <v>941</v>
      </c>
      <c r="D292" s="85" t="s">
        <v>26</v>
      </c>
      <c r="E292" s="85" t="s">
        <v>176</v>
      </c>
      <c r="F292" s="85" t="s">
        <v>39</v>
      </c>
      <c r="G292" s="89" t="s">
        <v>177</v>
      </c>
      <c r="H292" s="85" t="s">
        <v>209</v>
      </c>
      <c r="I292" s="86" t="s">
        <v>28</v>
      </c>
      <c r="J292" s="86" t="s">
        <v>183</v>
      </c>
      <c r="K292" s="86" t="s">
        <v>118</v>
      </c>
      <c r="L292" s="87">
        <v>44734</v>
      </c>
      <c r="M292" s="87" t="b">
        <v>0</v>
      </c>
      <c r="N292" s="87"/>
      <c r="P292" s="88"/>
      <c r="Q292" s="88"/>
      <c r="R292" s="88"/>
      <c r="S292" s="86" t="s">
        <v>166</v>
      </c>
      <c r="T292" s="86"/>
      <c r="U292" s="86"/>
      <c r="V292" s="86"/>
      <c r="W292" s="86"/>
      <c r="X292" s="86"/>
      <c r="Y292" s="86" t="s">
        <v>210</v>
      </c>
      <c r="Z292" s="138">
        <v>44935</v>
      </c>
    </row>
    <row r="293" spans="1:26" ht="11.25" customHeight="1">
      <c r="A293" s="85" t="s">
        <v>942</v>
      </c>
      <c r="B293" s="85" t="s">
        <v>943</v>
      </c>
      <c r="C293" s="85" t="s">
        <v>944</v>
      </c>
      <c r="D293" s="85" t="s">
        <v>26</v>
      </c>
      <c r="E293" s="85" t="s">
        <v>176</v>
      </c>
      <c r="F293" s="85" t="s">
        <v>39</v>
      </c>
      <c r="G293" s="89" t="s">
        <v>177</v>
      </c>
      <c r="H293" s="85" t="s">
        <v>945</v>
      </c>
      <c r="I293" s="86" t="s">
        <v>28</v>
      </c>
      <c r="J293" s="86" t="s">
        <v>183</v>
      </c>
      <c r="K293" s="86" t="s">
        <v>118</v>
      </c>
      <c r="L293" s="87">
        <v>44734</v>
      </c>
      <c r="M293" s="87" t="b">
        <v>0</v>
      </c>
      <c r="N293" s="87"/>
      <c r="P293" s="88"/>
      <c r="Q293" s="88"/>
      <c r="R293" s="88"/>
      <c r="S293" s="86" t="s">
        <v>166</v>
      </c>
      <c r="T293" s="86"/>
      <c r="U293" s="86"/>
      <c r="V293" s="86"/>
      <c r="W293" s="86"/>
      <c r="X293" s="86"/>
      <c r="Y293" s="86" t="s">
        <v>210</v>
      </c>
      <c r="Z293" s="173">
        <v>44734</v>
      </c>
    </row>
    <row r="294" spans="1:26" ht="11.25" customHeight="1">
      <c r="A294" s="85" t="s">
        <v>942</v>
      </c>
      <c r="B294" s="85" t="s">
        <v>946</v>
      </c>
      <c r="C294" s="85" t="s">
        <v>947</v>
      </c>
      <c r="D294" s="85" t="s">
        <v>50</v>
      </c>
      <c r="E294" s="85" t="s">
        <v>235</v>
      </c>
      <c r="F294" s="85" t="s">
        <v>27</v>
      </c>
      <c r="G294" s="89" t="s">
        <v>173</v>
      </c>
      <c r="H294" s="85" t="s">
        <v>948</v>
      </c>
      <c r="I294" s="86" t="s">
        <v>165</v>
      </c>
      <c r="J294" s="86" t="s">
        <v>40</v>
      </c>
      <c r="K294" s="86" t="s">
        <v>118</v>
      </c>
      <c r="L294" s="87">
        <v>44823</v>
      </c>
      <c r="M294" s="87" t="b">
        <v>0</v>
      </c>
      <c r="N294" s="87"/>
      <c r="P294" s="88"/>
      <c r="Q294" s="88"/>
      <c r="R294" s="88"/>
      <c r="S294" s="86" t="s">
        <v>119</v>
      </c>
      <c r="T294" s="86" t="s">
        <v>153</v>
      </c>
      <c r="U294" s="86"/>
      <c r="V294" s="86"/>
      <c r="W294" s="86"/>
      <c r="X294" s="86"/>
      <c r="Y294" s="86"/>
      <c r="Z294" s="138">
        <v>44734</v>
      </c>
    </row>
    <row r="295" spans="1:26" ht="12.75" customHeight="1">
      <c r="A295" s="85" t="s">
        <v>942</v>
      </c>
      <c r="B295" s="85" t="s">
        <v>946</v>
      </c>
      <c r="C295" s="85" t="s">
        <v>949</v>
      </c>
      <c r="D295" s="85" t="s">
        <v>26</v>
      </c>
      <c r="E295" s="85" t="s">
        <v>223</v>
      </c>
      <c r="F295" s="85" t="s">
        <v>39</v>
      </c>
      <c r="G295" s="89" t="s">
        <v>181</v>
      </c>
      <c r="H295" s="85" t="s">
        <v>551</v>
      </c>
      <c r="I295" s="86" t="s">
        <v>28</v>
      </c>
      <c r="J295" s="86" t="s">
        <v>28</v>
      </c>
      <c r="K295" s="86" t="s">
        <v>118</v>
      </c>
      <c r="L295" s="87">
        <v>44823</v>
      </c>
      <c r="M295" s="87" t="b">
        <v>0</v>
      </c>
      <c r="N295" s="87"/>
      <c r="P295" s="88"/>
      <c r="Q295" s="88"/>
      <c r="R295" s="88"/>
      <c r="S295" s="86" t="s">
        <v>119</v>
      </c>
      <c r="T295" s="86" t="s">
        <v>153</v>
      </c>
      <c r="U295" s="86"/>
      <c r="V295" s="86"/>
      <c r="W295" s="86"/>
      <c r="X295" s="86"/>
      <c r="Y295" s="86"/>
      <c r="Z295" s="154">
        <v>44734</v>
      </c>
    </row>
    <row r="296" spans="1:26" ht="13.5" customHeight="1">
      <c r="A296" s="85" t="s">
        <v>942</v>
      </c>
      <c r="B296" s="85" t="s">
        <v>946</v>
      </c>
      <c r="C296" s="85" t="s">
        <v>950</v>
      </c>
      <c r="D296" s="85" t="s">
        <v>38</v>
      </c>
      <c r="E296" s="85" t="s">
        <v>704</v>
      </c>
      <c r="F296" s="85" t="s">
        <v>39</v>
      </c>
      <c r="G296" s="89" t="s">
        <v>205</v>
      </c>
      <c r="H296" s="85" t="s">
        <v>951</v>
      </c>
      <c r="I296" s="86" t="s">
        <v>28</v>
      </c>
      <c r="J296" s="86" t="s">
        <v>52</v>
      </c>
      <c r="K296" s="86" t="s">
        <v>118</v>
      </c>
      <c r="L296" s="154">
        <v>44606</v>
      </c>
      <c r="M296" s="87" t="b">
        <v>0</v>
      </c>
      <c r="N296" s="154"/>
      <c r="P296" s="88"/>
      <c r="Q296" s="88"/>
      <c r="R296" s="88"/>
      <c r="S296" s="86" t="s">
        <v>119</v>
      </c>
      <c r="T296" s="86" t="s">
        <v>153</v>
      </c>
      <c r="U296" s="86" t="s">
        <v>199</v>
      </c>
      <c r="V296" s="86"/>
      <c r="W296" s="86"/>
      <c r="X296" s="86"/>
      <c r="Y296" s="86"/>
      <c r="Z296" s="154">
        <v>44823</v>
      </c>
    </row>
    <row r="297" spans="1:26" s="226" customFormat="1" ht="12.6">
      <c r="A297" s="220" t="s">
        <v>952</v>
      </c>
      <c r="B297" s="220" t="s">
        <v>953</v>
      </c>
      <c r="C297" s="220" t="s">
        <v>954</v>
      </c>
      <c r="D297" s="220" t="s">
        <v>26</v>
      </c>
      <c r="E297" s="220" t="s">
        <v>223</v>
      </c>
      <c r="F297" s="220" t="s">
        <v>39</v>
      </c>
      <c r="G297" s="221" t="s">
        <v>181</v>
      </c>
      <c r="H297" s="220" t="s">
        <v>955</v>
      </c>
      <c r="I297" s="222" t="s">
        <v>28</v>
      </c>
      <c r="J297" s="222" t="s">
        <v>28</v>
      </c>
      <c r="K297" s="222" t="s">
        <v>118</v>
      </c>
      <c r="L297" s="223">
        <v>44753</v>
      </c>
      <c r="M297" s="223" t="b">
        <v>0</v>
      </c>
      <c r="N297" s="223">
        <v>45481</v>
      </c>
      <c r="O297" s="219" t="s">
        <v>112</v>
      </c>
      <c r="P297" s="224">
        <v>3.2</v>
      </c>
      <c r="Q297" s="224">
        <v>3.4</v>
      </c>
      <c r="R297" s="224"/>
      <c r="S297" s="222" t="s">
        <v>119</v>
      </c>
      <c r="T297" s="222" t="s">
        <v>153</v>
      </c>
      <c r="U297" s="222"/>
      <c r="V297" s="222"/>
      <c r="W297" s="86"/>
      <c r="X297" s="222"/>
      <c r="Y297" s="222"/>
      <c r="Z297" s="225">
        <v>44823</v>
      </c>
    </row>
    <row r="298" spans="1:26" s="106" customFormat="1" ht="12.6">
      <c r="A298" s="90" t="s">
        <v>952</v>
      </c>
      <c r="B298" s="90" t="s">
        <v>953</v>
      </c>
      <c r="C298" s="90" t="s">
        <v>956</v>
      </c>
      <c r="D298" s="90" t="s">
        <v>26</v>
      </c>
      <c r="E298" s="90" t="s">
        <v>176</v>
      </c>
      <c r="F298" s="90" t="s">
        <v>39</v>
      </c>
      <c r="G298" s="91" t="s">
        <v>177</v>
      </c>
      <c r="H298" s="90" t="s">
        <v>957</v>
      </c>
      <c r="I298" s="101" t="s">
        <v>28</v>
      </c>
      <c r="J298" s="101" t="s">
        <v>183</v>
      </c>
      <c r="K298" s="101" t="s">
        <v>184</v>
      </c>
      <c r="L298" s="116">
        <v>44753</v>
      </c>
      <c r="M298" s="116" t="b">
        <v>0</v>
      </c>
      <c r="N298" s="116">
        <v>45481</v>
      </c>
      <c r="O298" s="104" t="s">
        <v>112</v>
      </c>
      <c r="P298" s="105">
        <v>2.4</v>
      </c>
      <c r="Q298" s="105">
        <v>1.9</v>
      </c>
      <c r="R298" s="105"/>
      <c r="S298" s="101" t="s">
        <v>119</v>
      </c>
      <c r="T298" s="101" t="s">
        <v>153</v>
      </c>
      <c r="U298" s="101"/>
      <c r="V298" s="101"/>
      <c r="W298" s="86"/>
      <c r="X298" s="101"/>
      <c r="Y298" s="101"/>
      <c r="Z298" s="102">
        <v>44606</v>
      </c>
    </row>
    <row r="299" spans="1:26" ht="12.6">
      <c r="A299" s="85" t="s">
        <v>952</v>
      </c>
      <c r="B299" s="85" t="s">
        <v>953</v>
      </c>
      <c r="C299" s="85" t="s">
        <v>958</v>
      </c>
      <c r="D299" s="85" t="s">
        <v>38</v>
      </c>
      <c r="E299" s="85" t="s">
        <v>704</v>
      </c>
      <c r="F299" s="85" t="s">
        <v>39</v>
      </c>
      <c r="G299" s="89" t="s">
        <v>205</v>
      </c>
      <c r="H299" s="85" t="s">
        <v>940</v>
      </c>
      <c r="I299" s="86" t="s">
        <v>28</v>
      </c>
      <c r="J299" s="86" t="s">
        <v>52</v>
      </c>
      <c r="K299" s="86" t="s">
        <v>118</v>
      </c>
      <c r="L299" s="154">
        <v>44606</v>
      </c>
      <c r="M299" s="87" t="b">
        <v>0</v>
      </c>
      <c r="N299" s="154"/>
      <c r="P299" s="88"/>
      <c r="Q299" s="88"/>
      <c r="R299" s="88"/>
      <c r="S299" s="86" t="s">
        <v>119</v>
      </c>
      <c r="T299" s="86" t="s">
        <v>153</v>
      </c>
      <c r="U299" s="86" t="s">
        <v>199</v>
      </c>
      <c r="V299" s="86"/>
      <c r="W299" s="86"/>
      <c r="X299" s="86"/>
      <c r="Y299" s="86"/>
      <c r="Z299" s="154">
        <v>44734</v>
      </c>
    </row>
    <row r="300" spans="1:26" s="98" customFormat="1" ht="12.6">
      <c r="A300" s="90" t="s">
        <v>952</v>
      </c>
      <c r="B300" s="90" t="s">
        <v>953</v>
      </c>
      <c r="C300" s="90" t="s">
        <v>959</v>
      </c>
      <c r="D300" s="90" t="s">
        <v>26</v>
      </c>
      <c r="E300" s="90" t="s">
        <v>172</v>
      </c>
      <c r="F300" s="90" t="s">
        <v>27</v>
      </c>
      <c r="G300" s="91" t="s">
        <v>173</v>
      </c>
      <c r="H300" s="90" t="s">
        <v>960</v>
      </c>
      <c r="I300" s="92" t="s">
        <v>165</v>
      </c>
      <c r="J300" s="92" t="s">
        <v>40</v>
      </c>
      <c r="K300" s="92" t="s">
        <v>118</v>
      </c>
      <c r="L300" s="93">
        <v>44753</v>
      </c>
      <c r="M300" s="93" t="b">
        <v>0</v>
      </c>
      <c r="N300" s="93">
        <v>45481</v>
      </c>
      <c r="O300" s="94" t="s">
        <v>112</v>
      </c>
      <c r="P300" s="95">
        <v>9</v>
      </c>
      <c r="Q300" s="95"/>
      <c r="R300" s="95">
        <v>2.6</v>
      </c>
      <c r="S300" s="92" t="s">
        <v>119</v>
      </c>
      <c r="T300" s="92" t="s">
        <v>153</v>
      </c>
      <c r="U300" s="92"/>
      <c r="V300" s="92"/>
      <c r="W300" s="86"/>
      <c r="X300" s="92"/>
      <c r="Y300" s="92"/>
      <c r="Z300" s="99">
        <v>44734</v>
      </c>
    </row>
    <row r="301" spans="1:26" s="98" customFormat="1" ht="12.6">
      <c r="A301" s="90" t="s">
        <v>961</v>
      </c>
      <c r="B301" s="90" t="s">
        <v>962</v>
      </c>
      <c r="C301" s="90" t="s">
        <v>963</v>
      </c>
      <c r="D301" s="90" t="s">
        <v>26</v>
      </c>
      <c r="E301" s="90" t="s">
        <v>964</v>
      </c>
      <c r="F301" s="90" t="s">
        <v>27</v>
      </c>
      <c r="G301" s="91" t="s">
        <v>173</v>
      </c>
      <c r="H301" s="90" t="s">
        <v>948</v>
      </c>
      <c r="I301" s="92" t="s">
        <v>165</v>
      </c>
      <c r="J301" s="92" t="s">
        <v>40</v>
      </c>
      <c r="K301" s="92" t="s">
        <v>118</v>
      </c>
      <c r="L301" s="93">
        <v>45362</v>
      </c>
      <c r="M301" s="93" t="b">
        <v>0</v>
      </c>
      <c r="N301" s="93">
        <v>45610</v>
      </c>
      <c r="O301" s="94" t="s">
        <v>58</v>
      </c>
      <c r="P301" s="95">
        <v>7.6</v>
      </c>
      <c r="Q301" s="96"/>
      <c r="R301" s="95">
        <v>2.8</v>
      </c>
      <c r="S301" s="92" t="s">
        <v>119</v>
      </c>
      <c r="T301" s="92" t="s">
        <v>153</v>
      </c>
      <c r="U301" s="92"/>
      <c r="V301" s="92" t="s">
        <v>965</v>
      </c>
      <c r="W301" s="86"/>
      <c r="X301" s="92" t="s">
        <v>966</v>
      </c>
      <c r="Y301" s="92"/>
      <c r="Z301" s="97">
        <v>44823</v>
      </c>
    </row>
    <row r="302" spans="1:26" s="98" customFormat="1" ht="12.6">
      <c r="A302" s="90" t="s">
        <v>967</v>
      </c>
      <c r="B302" s="90" t="s">
        <v>968</v>
      </c>
      <c r="C302" s="90" t="s">
        <v>969</v>
      </c>
      <c r="D302" s="90" t="s">
        <v>26</v>
      </c>
      <c r="E302" s="90" t="s">
        <v>172</v>
      </c>
      <c r="F302" s="90" t="s">
        <v>27</v>
      </c>
      <c r="G302" s="91" t="s">
        <v>173</v>
      </c>
      <c r="H302" s="90" t="s">
        <v>970</v>
      </c>
      <c r="I302" s="92" t="s">
        <v>165</v>
      </c>
      <c r="J302" s="92" t="s">
        <v>40</v>
      </c>
      <c r="K302" s="92" t="s">
        <v>118</v>
      </c>
      <c r="L302" s="93">
        <v>44627</v>
      </c>
      <c r="M302" s="93" t="b">
        <v>0</v>
      </c>
      <c r="N302" s="93">
        <v>45294</v>
      </c>
      <c r="O302" s="94" t="s">
        <v>95</v>
      </c>
      <c r="P302" s="95">
        <v>9.8000000000000007</v>
      </c>
      <c r="Q302" s="95"/>
      <c r="R302" s="95">
        <v>2.2000000000000002</v>
      </c>
      <c r="S302" s="92" t="s">
        <v>119</v>
      </c>
      <c r="T302" s="92" t="s">
        <v>153</v>
      </c>
      <c r="U302" s="92"/>
      <c r="V302" s="92"/>
      <c r="W302" s="86"/>
      <c r="X302" s="92"/>
      <c r="Y302" s="92"/>
      <c r="Z302" s="99">
        <v>44823</v>
      </c>
    </row>
    <row r="303" spans="1:26" s="226" customFormat="1" ht="12.6">
      <c r="A303" s="220" t="s">
        <v>967</v>
      </c>
      <c r="B303" s="220" t="s">
        <v>968</v>
      </c>
      <c r="C303" s="220" t="s">
        <v>971</v>
      </c>
      <c r="D303" s="220" t="s">
        <v>26</v>
      </c>
      <c r="E303" s="220" t="s">
        <v>172</v>
      </c>
      <c r="F303" s="220" t="s">
        <v>27</v>
      </c>
      <c r="G303" s="221" t="s">
        <v>173</v>
      </c>
      <c r="H303" s="220" t="s">
        <v>972</v>
      </c>
      <c r="I303" s="222" t="s">
        <v>165</v>
      </c>
      <c r="J303" s="222" t="s">
        <v>40</v>
      </c>
      <c r="K303" s="222" t="s">
        <v>184</v>
      </c>
      <c r="L303" s="223">
        <v>44935</v>
      </c>
      <c r="M303" s="223" t="b">
        <v>0</v>
      </c>
      <c r="N303" s="223">
        <v>45355</v>
      </c>
      <c r="O303" s="219" t="s">
        <v>95</v>
      </c>
      <c r="P303" s="224">
        <v>5.6</v>
      </c>
      <c r="Q303" s="224"/>
      <c r="R303" s="224">
        <v>2.2000000000000002</v>
      </c>
      <c r="S303" s="222" t="s">
        <v>119</v>
      </c>
      <c r="T303" s="222" t="s">
        <v>153</v>
      </c>
      <c r="U303" s="222"/>
      <c r="V303" s="222"/>
      <c r="W303" s="222"/>
      <c r="X303" s="222"/>
      <c r="Y303" s="222"/>
      <c r="Z303" s="225">
        <v>44606</v>
      </c>
    </row>
    <row r="304" spans="1:26" s="98" customFormat="1" ht="12.6">
      <c r="A304" s="90" t="s">
        <v>967</v>
      </c>
      <c r="B304" s="90" t="s">
        <v>968</v>
      </c>
      <c r="C304" s="90" t="s">
        <v>973</v>
      </c>
      <c r="D304" s="90" t="s">
        <v>26</v>
      </c>
      <c r="E304" s="90" t="s">
        <v>172</v>
      </c>
      <c r="F304" s="90" t="s">
        <v>27</v>
      </c>
      <c r="G304" s="91" t="s">
        <v>173</v>
      </c>
      <c r="H304" s="90" t="s">
        <v>527</v>
      </c>
      <c r="I304" s="92" t="s">
        <v>165</v>
      </c>
      <c r="J304" s="92" t="s">
        <v>40</v>
      </c>
      <c r="K304" s="92" t="s">
        <v>118</v>
      </c>
      <c r="L304" s="93">
        <v>44935</v>
      </c>
      <c r="M304" s="93" t="b">
        <v>0</v>
      </c>
      <c r="N304" s="93">
        <v>45355</v>
      </c>
      <c r="O304" s="94" t="s">
        <v>95</v>
      </c>
      <c r="P304" s="95">
        <v>9.1999999999999993</v>
      </c>
      <c r="Q304" s="95"/>
      <c r="R304" s="95">
        <v>2.2000000000000002</v>
      </c>
      <c r="S304" s="92" t="s">
        <v>119</v>
      </c>
      <c r="T304" s="92" t="s">
        <v>153</v>
      </c>
      <c r="U304" s="92"/>
      <c r="V304" s="92"/>
      <c r="W304" s="86"/>
      <c r="X304" s="92"/>
      <c r="Y304" s="92"/>
      <c r="Z304" s="99">
        <v>44753</v>
      </c>
    </row>
    <row r="305" spans="1:26" s="234" customFormat="1" ht="12.6">
      <c r="A305" s="228" t="s">
        <v>967</v>
      </c>
      <c r="B305" s="228" t="s">
        <v>968</v>
      </c>
      <c r="C305" s="228" t="s">
        <v>974</v>
      </c>
      <c r="D305" s="228" t="s">
        <v>26</v>
      </c>
      <c r="E305" s="228" t="s">
        <v>172</v>
      </c>
      <c r="F305" s="228" t="s">
        <v>27</v>
      </c>
      <c r="G305" s="229">
        <v>0.75</v>
      </c>
      <c r="H305" s="228" t="s">
        <v>975</v>
      </c>
      <c r="I305" s="230" t="s">
        <v>165</v>
      </c>
      <c r="J305" s="230" t="s">
        <v>40</v>
      </c>
      <c r="K305" s="230" t="s">
        <v>184</v>
      </c>
      <c r="L305" s="231">
        <v>44935</v>
      </c>
      <c r="M305" s="231" t="b">
        <v>0</v>
      </c>
      <c r="N305" s="231">
        <v>45355</v>
      </c>
      <c r="O305" s="227" t="s">
        <v>95</v>
      </c>
      <c r="P305" s="232"/>
      <c r="Q305" s="232"/>
      <c r="R305" s="232"/>
      <c r="S305" s="230" t="s">
        <v>166</v>
      </c>
      <c r="T305" s="230"/>
      <c r="U305" s="230"/>
      <c r="V305" s="230"/>
      <c r="W305" s="230" t="s">
        <v>168</v>
      </c>
      <c r="X305" s="230"/>
      <c r="Y305" s="230" t="s">
        <v>318</v>
      </c>
      <c r="Z305" s="233">
        <v>44753</v>
      </c>
    </row>
    <row r="306" spans="1:26" s="98" customFormat="1" ht="12.95" customHeight="1">
      <c r="A306" s="90" t="s">
        <v>967</v>
      </c>
      <c r="B306" s="90" t="s">
        <v>968</v>
      </c>
      <c r="C306" s="90" t="s">
        <v>976</v>
      </c>
      <c r="D306" s="90" t="s">
        <v>50</v>
      </c>
      <c r="E306" s="90" t="s">
        <v>568</v>
      </c>
      <c r="F306" s="90" t="s">
        <v>27</v>
      </c>
      <c r="G306" s="91" t="s">
        <v>163</v>
      </c>
      <c r="H306" s="90" t="s">
        <v>977</v>
      </c>
      <c r="I306" s="92" t="s">
        <v>165</v>
      </c>
      <c r="J306" s="92" t="s">
        <v>40</v>
      </c>
      <c r="K306" s="92" t="s">
        <v>118</v>
      </c>
      <c r="L306" s="93">
        <v>44630</v>
      </c>
      <c r="M306" s="93" t="b">
        <v>0</v>
      </c>
      <c r="N306" s="93">
        <v>45355</v>
      </c>
      <c r="O306" s="94" t="s">
        <v>95</v>
      </c>
      <c r="P306" s="95">
        <v>3.2</v>
      </c>
      <c r="Q306" s="96">
        <v>3</v>
      </c>
      <c r="R306" s="95"/>
      <c r="S306" s="92" t="s">
        <v>119</v>
      </c>
      <c r="T306" s="92" t="s">
        <v>153</v>
      </c>
      <c r="U306" s="92"/>
      <c r="V306" s="92"/>
      <c r="W306" s="86"/>
      <c r="X306" s="92"/>
      <c r="Y306" s="92"/>
      <c r="Z306" s="97">
        <v>44606</v>
      </c>
    </row>
    <row r="307" spans="1:26" s="98" customFormat="1" ht="12.6">
      <c r="A307" s="90" t="s">
        <v>967</v>
      </c>
      <c r="B307" s="90" t="s">
        <v>968</v>
      </c>
      <c r="C307" s="90" t="s">
        <v>978</v>
      </c>
      <c r="D307" s="90" t="s">
        <v>26</v>
      </c>
      <c r="E307" s="90" t="s">
        <v>172</v>
      </c>
      <c r="F307" s="90" t="s">
        <v>27</v>
      </c>
      <c r="G307" s="91" t="s">
        <v>163</v>
      </c>
      <c r="H307" s="90" t="s">
        <v>979</v>
      </c>
      <c r="I307" s="92" t="s">
        <v>165</v>
      </c>
      <c r="J307" s="92" t="s">
        <v>40</v>
      </c>
      <c r="K307" s="92" t="s">
        <v>118</v>
      </c>
      <c r="L307" s="93">
        <v>44627</v>
      </c>
      <c r="M307" s="93" t="b">
        <v>0</v>
      </c>
      <c r="N307" s="93">
        <v>45355</v>
      </c>
      <c r="O307" s="94" t="s">
        <v>95</v>
      </c>
      <c r="P307" s="95">
        <v>9.1999999999999993</v>
      </c>
      <c r="Q307" s="95"/>
      <c r="R307" s="95">
        <v>3.2</v>
      </c>
      <c r="S307" s="92" t="s">
        <v>119</v>
      </c>
      <c r="T307" s="92" t="s">
        <v>153</v>
      </c>
      <c r="U307" s="92"/>
      <c r="V307" s="92" t="s">
        <v>199</v>
      </c>
      <c r="W307" s="86"/>
      <c r="X307" s="92" t="s">
        <v>980</v>
      </c>
      <c r="Y307" s="92"/>
      <c r="Z307" s="97">
        <v>44753</v>
      </c>
    </row>
    <row r="308" spans="1:26" s="131" customFormat="1" ht="12.6">
      <c r="A308" s="124" t="s">
        <v>967</v>
      </c>
      <c r="B308" s="124" t="s">
        <v>968</v>
      </c>
      <c r="C308" s="124" t="s">
        <v>981</v>
      </c>
      <c r="D308" s="124" t="s">
        <v>50</v>
      </c>
      <c r="E308" s="124" t="s">
        <v>197</v>
      </c>
      <c r="F308" s="124" t="s">
        <v>39</v>
      </c>
      <c r="G308" s="125" t="s">
        <v>163</v>
      </c>
      <c r="H308" s="124" t="s">
        <v>982</v>
      </c>
      <c r="I308" s="126" t="s">
        <v>165</v>
      </c>
      <c r="J308" s="126" t="s">
        <v>40</v>
      </c>
      <c r="K308" s="126" t="s">
        <v>118</v>
      </c>
      <c r="L308" s="127">
        <v>44627</v>
      </c>
      <c r="M308" s="127" t="b">
        <v>0</v>
      </c>
      <c r="N308" s="127">
        <v>45355</v>
      </c>
      <c r="O308" s="128" t="s">
        <v>95</v>
      </c>
      <c r="P308" s="129"/>
      <c r="Q308" s="129"/>
      <c r="R308" s="129"/>
      <c r="S308" s="126" t="s">
        <v>166</v>
      </c>
      <c r="T308" s="126"/>
      <c r="U308" s="126"/>
      <c r="V308" s="126"/>
      <c r="W308" s="86"/>
      <c r="X308" s="126"/>
      <c r="Y308" s="126" t="s">
        <v>318</v>
      </c>
      <c r="Z308" s="130">
        <v>44634</v>
      </c>
    </row>
    <row r="309" spans="1:26" s="226" customFormat="1" ht="12.6">
      <c r="A309" s="220" t="s">
        <v>967</v>
      </c>
      <c r="B309" s="220" t="s">
        <v>968</v>
      </c>
      <c r="C309" s="220" t="s">
        <v>983</v>
      </c>
      <c r="D309" s="220" t="s">
        <v>50</v>
      </c>
      <c r="E309" s="220" t="s">
        <v>197</v>
      </c>
      <c r="F309" s="220" t="s">
        <v>39</v>
      </c>
      <c r="G309" s="221" t="s">
        <v>163</v>
      </c>
      <c r="H309" s="220" t="s">
        <v>984</v>
      </c>
      <c r="I309" s="222" t="s">
        <v>165</v>
      </c>
      <c r="J309" s="222" t="s">
        <v>40</v>
      </c>
      <c r="K309" s="222" t="s">
        <v>184</v>
      </c>
      <c r="L309" s="223">
        <v>44935</v>
      </c>
      <c r="M309" s="223" t="b">
        <v>0</v>
      </c>
      <c r="N309" s="223">
        <v>45355</v>
      </c>
      <c r="O309" s="219" t="s">
        <v>95</v>
      </c>
      <c r="P309" s="224">
        <v>2.8</v>
      </c>
      <c r="Q309" s="224">
        <v>2.2000000000000002</v>
      </c>
      <c r="R309" s="224"/>
      <c r="S309" s="222" t="s">
        <v>119</v>
      </c>
      <c r="T309" s="222"/>
      <c r="U309" s="222"/>
      <c r="V309" s="222"/>
      <c r="W309" s="222"/>
      <c r="X309" s="222"/>
      <c r="Y309" s="222"/>
      <c r="Z309" s="225">
        <v>44627</v>
      </c>
    </row>
    <row r="310" spans="1:26" s="98" customFormat="1" ht="12.6">
      <c r="A310" s="90" t="s">
        <v>967</v>
      </c>
      <c r="B310" s="90" t="s">
        <v>968</v>
      </c>
      <c r="C310" s="90" t="s">
        <v>985</v>
      </c>
      <c r="D310" s="90" t="s">
        <v>26</v>
      </c>
      <c r="E310" s="90" t="s">
        <v>223</v>
      </c>
      <c r="F310" s="90" t="s">
        <v>39</v>
      </c>
      <c r="G310" s="91" t="s">
        <v>251</v>
      </c>
      <c r="H310" s="90" t="s">
        <v>986</v>
      </c>
      <c r="I310" s="92" t="s">
        <v>28</v>
      </c>
      <c r="J310" s="92" t="s">
        <v>28</v>
      </c>
      <c r="K310" s="92" t="s">
        <v>118</v>
      </c>
      <c r="L310" s="93">
        <v>44627</v>
      </c>
      <c r="M310" s="93" t="b">
        <v>0</v>
      </c>
      <c r="N310" s="93">
        <v>45355</v>
      </c>
      <c r="O310" s="94" t="s">
        <v>95</v>
      </c>
      <c r="P310" s="95">
        <v>2.4</v>
      </c>
      <c r="Q310" s="95">
        <v>2.8</v>
      </c>
      <c r="R310" s="95"/>
      <c r="S310" s="92" t="s">
        <v>119</v>
      </c>
      <c r="T310" s="92" t="s">
        <v>153</v>
      </c>
      <c r="U310" s="92"/>
      <c r="V310" s="92"/>
      <c r="W310" s="86"/>
      <c r="X310" s="92"/>
      <c r="Y310" s="92"/>
      <c r="Z310" s="99">
        <v>44935</v>
      </c>
    </row>
    <row r="311" spans="1:26" ht="12.6">
      <c r="A311" s="85" t="s">
        <v>967</v>
      </c>
      <c r="B311" s="85" t="s">
        <v>968</v>
      </c>
      <c r="C311" s="85" t="s">
        <v>987</v>
      </c>
      <c r="D311" s="85" t="s">
        <v>26</v>
      </c>
      <c r="E311" s="85" t="s">
        <v>176</v>
      </c>
      <c r="F311" s="85" t="s">
        <v>39</v>
      </c>
      <c r="G311" s="89" t="s">
        <v>173</v>
      </c>
      <c r="H311" s="85" t="s">
        <v>988</v>
      </c>
      <c r="I311" s="86" t="s">
        <v>28</v>
      </c>
      <c r="J311" s="86" t="s">
        <v>52</v>
      </c>
      <c r="K311" s="86" t="s">
        <v>118</v>
      </c>
      <c r="L311" s="87">
        <v>44627</v>
      </c>
      <c r="M311" s="87" t="b">
        <v>0</v>
      </c>
      <c r="N311" s="87"/>
      <c r="P311" s="88"/>
      <c r="Q311" s="88"/>
      <c r="R311" s="88"/>
      <c r="S311" s="86" t="s">
        <v>119</v>
      </c>
      <c r="T311" s="86" t="s">
        <v>153</v>
      </c>
      <c r="U311" s="86"/>
      <c r="V311" s="86"/>
      <c r="W311" s="86"/>
      <c r="X311" s="86"/>
      <c r="Y311" s="86"/>
      <c r="Z311" s="154">
        <v>44935</v>
      </c>
    </row>
    <row r="312" spans="1:26" s="98" customFormat="1" ht="12.6">
      <c r="A312" s="90" t="s">
        <v>967</v>
      </c>
      <c r="B312" s="90" t="s">
        <v>968</v>
      </c>
      <c r="C312" s="90" t="s">
        <v>989</v>
      </c>
      <c r="D312" s="90" t="s">
        <v>26</v>
      </c>
      <c r="E312" s="90" t="s">
        <v>254</v>
      </c>
      <c r="F312" s="90" t="s">
        <v>39</v>
      </c>
      <c r="G312" s="91" t="s">
        <v>173</v>
      </c>
      <c r="H312" s="90" t="s">
        <v>990</v>
      </c>
      <c r="I312" s="92" t="s">
        <v>28</v>
      </c>
      <c r="J312" s="92" t="s">
        <v>52</v>
      </c>
      <c r="K312" s="92" t="s">
        <v>118</v>
      </c>
      <c r="L312" s="93">
        <v>44935</v>
      </c>
      <c r="M312" s="93" t="b">
        <v>0</v>
      </c>
      <c r="N312" s="93">
        <v>45355</v>
      </c>
      <c r="O312" s="94" t="s">
        <v>95</v>
      </c>
      <c r="P312" s="95">
        <v>2.6</v>
      </c>
      <c r="Q312" s="95">
        <v>2.2000000000000002</v>
      </c>
      <c r="R312" s="95"/>
      <c r="S312" s="92" t="s">
        <v>119</v>
      </c>
      <c r="T312" s="92" t="s">
        <v>153</v>
      </c>
      <c r="U312" s="92"/>
      <c r="V312" s="92"/>
      <c r="W312" s="86"/>
      <c r="X312" s="92"/>
      <c r="Y312" s="92"/>
      <c r="Z312" s="99">
        <v>44935</v>
      </c>
    </row>
    <row r="313" spans="1:26" s="131" customFormat="1" ht="12.6">
      <c r="A313" s="124" t="s">
        <v>967</v>
      </c>
      <c r="B313" s="124" t="s">
        <v>968</v>
      </c>
      <c r="C313" s="124" t="s">
        <v>991</v>
      </c>
      <c r="D313" s="124" t="s">
        <v>26</v>
      </c>
      <c r="E313" s="124" t="s">
        <v>254</v>
      </c>
      <c r="F313" s="124" t="s">
        <v>39</v>
      </c>
      <c r="G313" s="125" t="s">
        <v>173</v>
      </c>
      <c r="H313" s="124" t="s">
        <v>988</v>
      </c>
      <c r="I313" s="126" t="s">
        <v>28</v>
      </c>
      <c r="J313" s="126" t="s">
        <v>52</v>
      </c>
      <c r="K313" s="126" t="s">
        <v>118</v>
      </c>
      <c r="L313" s="127">
        <v>44627</v>
      </c>
      <c r="M313" s="127" t="b">
        <v>0</v>
      </c>
      <c r="N313" s="127">
        <v>45355</v>
      </c>
      <c r="O313" s="128" t="s">
        <v>95</v>
      </c>
      <c r="P313" s="129"/>
      <c r="Q313" s="129"/>
      <c r="R313" s="129"/>
      <c r="S313" s="126" t="s">
        <v>166</v>
      </c>
      <c r="T313" s="126"/>
      <c r="U313" s="126"/>
      <c r="V313" s="126"/>
      <c r="W313" s="86"/>
      <c r="X313" s="126"/>
      <c r="Y313" s="126" t="s">
        <v>522</v>
      </c>
      <c r="Z313" s="135">
        <v>44630</v>
      </c>
    </row>
    <row r="314" spans="1:26" s="98" customFormat="1" ht="12.6">
      <c r="A314" s="90" t="s">
        <v>967</v>
      </c>
      <c r="B314" s="90" t="s">
        <v>968</v>
      </c>
      <c r="C314" s="90" t="s">
        <v>992</v>
      </c>
      <c r="D314" s="90" t="s">
        <v>50</v>
      </c>
      <c r="E314" s="90" t="s">
        <v>635</v>
      </c>
      <c r="F314" s="90" t="s">
        <v>39</v>
      </c>
      <c r="G314" s="91" t="s">
        <v>177</v>
      </c>
      <c r="H314" s="90" t="s">
        <v>483</v>
      </c>
      <c r="I314" s="92" t="s">
        <v>28</v>
      </c>
      <c r="J314" s="92" t="s">
        <v>183</v>
      </c>
      <c r="K314" s="92" t="s">
        <v>118</v>
      </c>
      <c r="L314" s="93">
        <v>44750</v>
      </c>
      <c r="M314" s="93" t="b">
        <v>0</v>
      </c>
      <c r="N314" s="93">
        <v>45362</v>
      </c>
      <c r="O314" s="94" t="s">
        <v>24</v>
      </c>
      <c r="P314" s="95">
        <v>2.6</v>
      </c>
      <c r="Q314" s="95">
        <v>2.4</v>
      </c>
      <c r="R314" s="95"/>
      <c r="S314" s="92" t="s">
        <v>119</v>
      </c>
      <c r="T314" s="92" t="s">
        <v>153</v>
      </c>
      <c r="U314" s="92"/>
      <c r="V314" s="92"/>
      <c r="W314" s="86"/>
      <c r="X314" s="92"/>
      <c r="Y314" s="92"/>
      <c r="Z314" s="99">
        <v>44627</v>
      </c>
    </row>
    <row r="315" spans="1:26" s="98" customFormat="1" ht="12.6">
      <c r="A315" s="90" t="s">
        <v>967</v>
      </c>
      <c r="B315" s="90" t="s">
        <v>968</v>
      </c>
      <c r="C315" s="90" t="s">
        <v>993</v>
      </c>
      <c r="D315" s="90" t="s">
        <v>50</v>
      </c>
      <c r="E315" s="90" t="s">
        <v>197</v>
      </c>
      <c r="F315" s="90" t="s">
        <v>39</v>
      </c>
      <c r="G315" s="91" t="s">
        <v>163</v>
      </c>
      <c r="H315" s="90" t="s">
        <v>994</v>
      </c>
      <c r="I315" s="92" t="s">
        <v>165</v>
      </c>
      <c r="J315" s="92" t="s">
        <v>40</v>
      </c>
      <c r="K315" s="92" t="s">
        <v>118</v>
      </c>
      <c r="L315" s="93">
        <v>44630</v>
      </c>
      <c r="M315" s="93" t="b">
        <v>0</v>
      </c>
      <c r="N315" s="93">
        <v>45355</v>
      </c>
      <c r="O315" s="94" t="s">
        <v>95</v>
      </c>
      <c r="P315" s="95">
        <v>1.2</v>
      </c>
      <c r="Q315" s="95">
        <v>1.8</v>
      </c>
      <c r="R315" s="96"/>
      <c r="S315" s="92" t="s">
        <v>119</v>
      </c>
      <c r="T315" s="92" t="s">
        <v>153</v>
      </c>
      <c r="U315" s="92"/>
      <c r="V315" s="92"/>
      <c r="W315" s="86"/>
      <c r="X315" s="92"/>
      <c r="Y315" s="92"/>
      <c r="Z315" s="97">
        <v>44627</v>
      </c>
    </row>
    <row r="316" spans="1:26" s="98" customFormat="1" ht="12.6">
      <c r="A316" s="90" t="s">
        <v>967</v>
      </c>
      <c r="B316" s="90" t="s">
        <v>968</v>
      </c>
      <c r="C316" s="90" t="s">
        <v>995</v>
      </c>
      <c r="D316" s="90" t="s">
        <v>61</v>
      </c>
      <c r="E316" s="90" t="s">
        <v>996</v>
      </c>
      <c r="F316" s="90" t="s">
        <v>27</v>
      </c>
      <c r="G316" s="91" t="s">
        <v>163</v>
      </c>
      <c r="H316" s="90" t="s">
        <v>997</v>
      </c>
      <c r="I316" s="92" t="s">
        <v>165</v>
      </c>
      <c r="J316" s="92" t="s">
        <v>40</v>
      </c>
      <c r="K316" s="92" t="s">
        <v>118</v>
      </c>
      <c r="L316" s="93">
        <v>44627</v>
      </c>
      <c r="M316" s="93" t="b">
        <v>0</v>
      </c>
      <c r="N316" s="93">
        <v>45355</v>
      </c>
      <c r="O316" s="94" t="s">
        <v>95</v>
      </c>
      <c r="P316" s="95">
        <v>2.8</v>
      </c>
      <c r="Q316" s="95">
        <v>2</v>
      </c>
      <c r="R316" s="95"/>
      <c r="S316" s="92" t="s">
        <v>119</v>
      </c>
      <c r="T316" s="92" t="s">
        <v>153</v>
      </c>
      <c r="U316" s="92"/>
      <c r="V316" s="92"/>
      <c r="W316" s="86"/>
      <c r="X316" s="92"/>
      <c r="Y316" s="92"/>
      <c r="Z316" s="99">
        <v>44935</v>
      </c>
    </row>
    <row r="317" spans="1:26" s="188" customFormat="1" ht="12.6">
      <c r="A317" s="180" t="s">
        <v>967</v>
      </c>
      <c r="B317" s="180" t="s">
        <v>968</v>
      </c>
      <c r="C317" s="180" t="s">
        <v>998</v>
      </c>
      <c r="D317" s="180" t="s">
        <v>50</v>
      </c>
      <c r="E317" s="180" t="s">
        <v>197</v>
      </c>
      <c r="F317" s="180" t="s">
        <v>39</v>
      </c>
      <c r="G317" s="181" t="s">
        <v>163</v>
      </c>
      <c r="H317" s="180" t="s">
        <v>999</v>
      </c>
      <c r="I317" s="182" t="s">
        <v>165</v>
      </c>
      <c r="J317" s="182" t="s">
        <v>40</v>
      </c>
      <c r="K317" s="182" t="s">
        <v>118</v>
      </c>
      <c r="L317" s="183">
        <v>44935</v>
      </c>
      <c r="M317" s="183" t="b">
        <v>0</v>
      </c>
      <c r="N317" s="183"/>
      <c r="O317" s="185"/>
      <c r="P317" s="186"/>
      <c r="Q317" s="186"/>
      <c r="R317" s="186"/>
      <c r="S317" s="182" t="s">
        <v>166</v>
      </c>
      <c r="T317" s="182"/>
      <c r="U317" s="182"/>
      <c r="V317" s="182"/>
      <c r="W317" s="86"/>
      <c r="X317" s="182"/>
      <c r="Y317" s="182"/>
      <c r="Z317" s="191">
        <v>44627</v>
      </c>
    </row>
    <row r="318" spans="1:26" s="98" customFormat="1" ht="12.6">
      <c r="A318" s="90" t="s">
        <v>1000</v>
      </c>
      <c r="B318" s="90" t="s">
        <v>1001</v>
      </c>
      <c r="C318" s="90" t="s">
        <v>1002</v>
      </c>
      <c r="D318" s="90" t="s">
        <v>50</v>
      </c>
      <c r="E318" s="90" t="s">
        <v>235</v>
      </c>
      <c r="F318" s="90" t="s">
        <v>27</v>
      </c>
      <c r="G318" s="91" t="s">
        <v>173</v>
      </c>
      <c r="H318" s="90" t="s">
        <v>586</v>
      </c>
      <c r="I318" s="92" t="s">
        <v>165</v>
      </c>
      <c r="J318" s="92" t="s">
        <v>40</v>
      </c>
      <c r="K318" s="92" t="s">
        <v>118</v>
      </c>
      <c r="L318" s="93">
        <v>44662</v>
      </c>
      <c r="M318" s="93" t="b">
        <v>0</v>
      </c>
      <c r="N318" s="93">
        <v>45390</v>
      </c>
      <c r="O318" s="94" t="s">
        <v>73</v>
      </c>
      <c r="P318" s="95">
        <v>7.2</v>
      </c>
      <c r="Q318" s="95"/>
      <c r="R318" s="95">
        <v>3.4</v>
      </c>
      <c r="S318" s="92" t="s">
        <v>119</v>
      </c>
      <c r="T318" s="92" t="s">
        <v>153</v>
      </c>
      <c r="U318" s="92"/>
      <c r="V318" s="92"/>
      <c r="W318" s="86"/>
      <c r="X318" s="92"/>
      <c r="Y318" s="92"/>
      <c r="Z318" s="99">
        <v>44627</v>
      </c>
    </row>
    <row r="319" spans="1:26" s="131" customFormat="1" ht="12.6">
      <c r="A319" s="124" t="s">
        <v>1000</v>
      </c>
      <c r="B319" s="124" t="s">
        <v>1001</v>
      </c>
      <c r="C319" s="124" t="s">
        <v>1003</v>
      </c>
      <c r="D319" s="124" t="s">
        <v>26</v>
      </c>
      <c r="E319" s="124" t="s">
        <v>172</v>
      </c>
      <c r="F319" s="124" t="s">
        <v>27</v>
      </c>
      <c r="G319" s="125" t="s">
        <v>163</v>
      </c>
      <c r="H319" s="124" t="s">
        <v>527</v>
      </c>
      <c r="I319" s="126" t="s">
        <v>165</v>
      </c>
      <c r="J319" s="126" t="s">
        <v>40</v>
      </c>
      <c r="K319" s="126" t="s">
        <v>118</v>
      </c>
      <c r="L319" s="127">
        <v>44662</v>
      </c>
      <c r="M319" s="127" t="b">
        <v>0</v>
      </c>
      <c r="N319" s="127">
        <v>45390</v>
      </c>
      <c r="O319" s="128" t="s">
        <v>73</v>
      </c>
      <c r="P319" s="129"/>
      <c r="Q319" s="129"/>
      <c r="R319" s="129"/>
      <c r="S319" s="126" t="s">
        <v>166</v>
      </c>
      <c r="T319" s="126" t="s">
        <v>153</v>
      </c>
      <c r="U319" s="126"/>
      <c r="V319" s="126"/>
      <c r="W319" s="86"/>
      <c r="X319" s="126"/>
      <c r="Y319" s="126" t="s">
        <v>318</v>
      </c>
      <c r="Z319" s="135">
        <v>44935</v>
      </c>
    </row>
    <row r="320" spans="1:26" s="98" customFormat="1" ht="12.6">
      <c r="A320" s="90" t="s">
        <v>1000</v>
      </c>
      <c r="B320" s="90" t="s">
        <v>1001</v>
      </c>
      <c r="C320" s="90" t="s">
        <v>1004</v>
      </c>
      <c r="D320" s="90" t="s">
        <v>26</v>
      </c>
      <c r="E320" s="90" t="s">
        <v>176</v>
      </c>
      <c r="F320" s="90" t="s">
        <v>39</v>
      </c>
      <c r="G320" s="91" t="s">
        <v>208</v>
      </c>
      <c r="H320" s="90" t="s">
        <v>1005</v>
      </c>
      <c r="I320" s="92" t="s">
        <v>28</v>
      </c>
      <c r="J320" s="92" t="s">
        <v>183</v>
      </c>
      <c r="K320" s="92" t="s">
        <v>118</v>
      </c>
      <c r="L320" s="93">
        <v>44662</v>
      </c>
      <c r="M320" s="93" t="b">
        <v>0</v>
      </c>
      <c r="N320" s="93">
        <v>45443</v>
      </c>
      <c r="O320" s="94" t="s">
        <v>95</v>
      </c>
      <c r="P320" s="95">
        <v>2</v>
      </c>
      <c r="Q320" s="95">
        <v>1.6</v>
      </c>
      <c r="R320" s="95"/>
      <c r="S320" s="92" t="s">
        <v>119</v>
      </c>
      <c r="T320" s="92" t="s">
        <v>153</v>
      </c>
      <c r="U320" s="92"/>
      <c r="V320" s="92"/>
      <c r="W320" s="86"/>
      <c r="X320" s="92"/>
      <c r="Y320" s="92"/>
      <c r="Z320" s="99">
        <v>44627</v>
      </c>
    </row>
    <row r="321" spans="1:26" s="98" customFormat="1" ht="12.6">
      <c r="A321" s="90" t="s">
        <v>1006</v>
      </c>
      <c r="B321" s="90" t="s">
        <v>1007</v>
      </c>
      <c r="C321" s="90" t="s">
        <v>1008</v>
      </c>
      <c r="D321" s="90" t="s">
        <v>26</v>
      </c>
      <c r="E321" s="90" t="s">
        <v>172</v>
      </c>
      <c r="F321" s="90" t="s">
        <v>27</v>
      </c>
      <c r="G321" s="91" t="s">
        <v>173</v>
      </c>
      <c r="H321" s="90" t="s">
        <v>948</v>
      </c>
      <c r="I321" s="92" t="s">
        <v>165</v>
      </c>
      <c r="J321" s="92" t="s">
        <v>40</v>
      </c>
      <c r="K321" s="92" t="s">
        <v>118</v>
      </c>
      <c r="L321" s="93">
        <v>44634</v>
      </c>
      <c r="M321" s="93" t="b">
        <v>0</v>
      </c>
      <c r="N321" s="93">
        <v>45362</v>
      </c>
      <c r="O321" s="94" t="s">
        <v>35</v>
      </c>
      <c r="P321" s="95"/>
      <c r="Q321" s="257"/>
      <c r="R321" s="95"/>
      <c r="S321" s="92" t="s">
        <v>119</v>
      </c>
      <c r="T321" s="92" t="s">
        <v>153</v>
      </c>
      <c r="U321" s="92" t="s">
        <v>153</v>
      </c>
      <c r="V321" s="92" t="s">
        <v>167</v>
      </c>
      <c r="W321" s="92" t="s">
        <v>167</v>
      </c>
      <c r="X321" s="92"/>
      <c r="Y321" s="92"/>
      <c r="Z321" s="97">
        <v>44750</v>
      </c>
    </row>
    <row r="322" spans="1:26" s="98" customFormat="1" ht="12.6">
      <c r="A322" s="90" t="s">
        <v>1006</v>
      </c>
      <c r="B322" s="90" t="s">
        <v>1007</v>
      </c>
      <c r="C322" s="90" t="s">
        <v>1009</v>
      </c>
      <c r="D322" s="90" t="s">
        <v>50</v>
      </c>
      <c r="E322" s="90" t="s">
        <v>235</v>
      </c>
      <c r="F322" s="90" t="s">
        <v>27</v>
      </c>
      <c r="G322" s="91" t="s">
        <v>173</v>
      </c>
      <c r="H322" s="90" t="s">
        <v>948</v>
      </c>
      <c r="I322" s="92" t="s">
        <v>165</v>
      </c>
      <c r="J322" s="92" t="s">
        <v>40</v>
      </c>
      <c r="K322" s="92" t="s">
        <v>118</v>
      </c>
      <c r="L322" s="93">
        <v>44634</v>
      </c>
      <c r="M322" s="93" t="b">
        <v>0</v>
      </c>
      <c r="N322" s="93">
        <v>45362</v>
      </c>
      <c r="O322" s="94" t="s">
        <v>35</v>
      </c>
      <c r="P322" s="95">
        <v>7.8</v>
      </c>
      <c r="Q322" s="96"/>
      <c r="R322" s="95">
        <v>3.6</v>
      </c>
      <c r="S322" s="92" t="s">
        <v>119</v>
      </c>
      <c r="T322" s="92" t="s">
        <v>153</v>
      </c>
      <c r="U322" s="92"/>
      <c r="V322" s="92"/>
      <c r="W322" s="86"/>
      <c r="X322" s="92"/>
      <c r="Y322" s="92"/>
      <c r="Z322" s="99">
        <v>44630</v>
      </c>
    </row>
    <row r="323" spans="1:26" s="98" customFormat="1" ht="12.6">
      <c r="A323" s="90" t="s">
        <v>1006</v>
      </c>
      <c r="B323" s="90" t="s">
        <v>1007</v>
      </c>
      <c r="C323" s="90" t="s">
        <v>1010</v>
      </c>
      <c r="D323" s="90" t="s">
        <v>26</v>
      </c>
      <c r="E323" s="90" t="s">
        <v>223</v>
      </c>
      <c r="F323" s="90" t="s">
        <v>39</v>
      </c>
      <c r="G323" s="91" t="s">
        <v>201</v>
      </c>
      <c r="H323" s="90" t="s">
        <v>1011</v>
      </c>
      <c r="I323" s="92" t="s">
        <v>28</v>
      </c>
      <c r="J323" s="92" t="s">
        <v>28</v>
      </c>
      <c r="K323" s="92" t="s">
        <v>118</v>
      </c>
      <c r="L323" s="119" t="s">
        <v>1012</v>
      </c>
      <c r="M323" s="93" t="b">
        <v>0</v>
      </c>
      <c r="N323" s="93">
        <v>45362</v>
      </c>
      <c r="O323" s="94" t="s">
        <v>35</v>
      </c>
      <c r="P323" s="95">
        <v>3.4</v>
      </c>
      <c r="Q323" s="95">
        <v>3.2</v>
      </c>
      <c r="R323" s="96"/>
      <c r="S323" s="92" t="s">
        <v>119</v>
      </c>
      <c r="T323" s="92" t="s">
        <v>153</v>
      </c>
      <c r="U323" s="92"/>
      <c r="V323" s="92"/>
      <c r="W323" s="86"/>
      <c r="X323" s="92"/>
      <c r="Y323" s="92"/>
      <c r="Z323" s="97">
        <v>44627</v>
      </c>
    </row>
    <row r="324" spans="1:26" s="98" customFormat="1" ht="12.6">
      <c r="A324" s="90" t="s">
        <v>1006</v>
      </c>
      <c r="B324" s="90" t="s">
        <v>1007</v>
      </c>
      <c r="C324" s="90" t="s">
        <v>1013</v>
      </c>
      <c r="D324" s="90" t="s">
        <v>26</v>
      </c>
      <c r="E324" s="90" t="s">
        <v>223</v>
      </c>
      <c r="F324" s="90" t="s">
        <v>39</v>
      </c>
      <c r="G324" s="91" t="s">
        <v>181</v>
      </c>
      <c r="H324" s="90" t="s">
        <v>940</v>
      </c>
      <c r="I324" s="92" t="s">
        <v>28</v>
      </c>
      <c r="J324" s="92" t="s">
        <v>52</v>
      </c>
      <c r="K324" s="92" t="s">
        <v>118</v>
      </c>
      <c r="L324" s="93">
        <v>44641</v>
      </c>
      <c r="M324" s="93" t="b">
        <v>0</v>
      </c>
      <c r="N324" s="93">
        <v>45362</v>
      </c>
      <c r="O324" s="94" t="s">
        <v>35</v>
      </c>
      <c r="P324" s="95">
        <v>3.2</v>
      </c>
      <c r="Q324" s="95">
        <v>3.4</v>
      </c>
      <c r="R324" s="96"/>
      <c r="S324" s="92" t="s">
        <v>119</v>
      </c>
      <c r="T324" s="92" t="s">
        <v>153</v>
      </c>
      <c r="U324" s="92"/>
      <c r="V324" s="92"/>
      <c r="W324" s="86"/>
      <c r="X324" s="92"/>
      <c r="Y324" s="92"/>
      <c r="Z324" s="99">
        <v>44935</v>
      </c>
    </row>
    <row r="325" spans="1:26" s="106" customFormat="1" ht="12.6">
      <c r="A325" s="90" t="s">
        <v>1006</v>
      </c>
      <c r="B325" s="90" t="s">
        <v>1007</v>
      </c>
      <c r="C325" s="90" t="s">
        <v>1014</v>
      </c>
      <c r="D325" s="90" t="s">
        <v>26</v>
      </c>
      <c r="E325" s="90" t="s">
        <v>172</v>
      </c>
      <c r="F325" s="90" t="s">
        <v>27</v>
      </c>
      <c r="G325" s="91" t="s">
        <v>173</v>
      </c>
      <c r="H325" s="90" t="s">
        <v>1015</v>
      </c>
      <c r="I325" s="101" t="s">
        <v>165</v>
      </c>
      <c r="J325" s="101" t="s">
        <v>40</v>
      </c>
      <c r="K325" s="101" t="s">
        <v>118</v>
      </c>
      <c r="L325" s="116">
        <v>44935</v>
      </c>
      <c r="M325" s="116" t="b">
        <v>0</v>
      </c>
      <c r="N325" s="116">
        <v>45581</v>
      </c>
      <c r="O325" s="104" t="s">
        <v>92</v>
      </c>
      <c r="P325" s="105">
        <v>7.6</v>
      </c>
      <c r="Q325" s="105"/>
      <c r="R325" s="105">
        <v>2.6</v>
      </c>
      <c r="S325" s="101" t="s">
        <v>119</v>
      </c>
      <c r="T325" s="101" t="s">
        <v>153</v>
      </c>
      <c r="U325" s="101"/>
      <c r="V325" s="101"/>
      <c r="W325" s="101"/>
      <c r="X325" s="101"/>
      <c r="Y325" s="101"/>
      <c r="Z325" s="102">
        <v>44662</v>
      </c>
    </row>
    <row r="326" spans="1:26" s="98" customFormat="1" ht="12.6">
      <c r="A326" s="90" t="s">
        <v>1016</v>
      </c>
      <c r="B326" s="90" t="s">
        <v>1017</v>
      </c>
      <c r="C326" s="90" t="s">
        <v>1018</v>
      </c>
      <c r="D326" s="90" t="s">
        <v>26</v>
      </c>
      <c r="E326" s="90" t="s">
        <v>172</v>
      </c>
      <c r="F326" s="90" t="s">
        <v>27</v>
      </c>
      <c r="G326" s="91" t="s">
        <v>173</v>
      </c>
      <c r="H326" s="90" t="s">
        <v>1019</v>
      </c>
      <c r="I326" s="92" t="s">
        <v>165</v>
      </c>
      <c r="J326" s="92" t="s">
        <v>40</v>
      </c>
      <c r="K326" s="92" t="s">
        <v>118</v>
      </c>
      <c r="L326" s="93">
        <v>44816</v>
      </c>
      <c r="M326" s="93" t="b">
        <v>0</v>
      </c>
      <c r="N326" s="93">
        <v>45581</v>
      </c>
      <c r="O326" s="94" t="s">
        <v>92</v>
      </c>
      <c r="P326" s="95">
        <v>5.8</v>
      </c>
      <c r="Q326" s="95"/>
      <c r="R326" s="95">
        <v>3</v>
      </c>
      <c r="S326" s="92" t="s">
        <v>119</v>
      </c>
      <c r="T326" s="92" t="s">
        <v>153</v>
      </c>
      <c r="U326" s="92"/>
      <c r="V326" s="92"/>
      <c r="W326" s="92"/>
      <c r="X326" s="92"/>
      <c r="Y326" s="92"/>
      <c r="Z326" s="99">
        <v>44662</v>
      </c>
    </row>
    <row r="327" spans="1:26" s="98" customFormat="1" ht="12.6">
      <c r="A327" s="90" t="s">
        <v>1016</v>
      </c>
      <c r="B327" s="90" t="s">
        <v>1017</v>
      </c>
      <c r="C327" s="90" t="s">
        <v>1020</v>
      </c>
      <c r="D327" s="90" t="s">
        <v>50</v>
      </c>
      <c r="E327" s="90" t="s">
        <v>235</v>
      </c>
      <c r="F327" s="90" t="s">
        <v>27</v>
      </c>
      <c r="G327" s="91" t="s">
        <v>173</v>
      </c>
      <c r="H327" s="90" t="s">
        <v>586</v>
      </c>
      <c r="I327" s="92" t="s">
        <v>165</v>
      </c>
      <c r="J327" s="92" t="s">
        <v>40</v>
      </c>
      <c r="K327" s="92" t="s">
        <v>118</v>
      </c>
      <c r="L327" s="93">
        <v>44816</v>
      </c>
      <c r="M327" s="93" t="b">
        <v>0</v>
      </c>
      <c r="N327" s="93">
        <v>45581</v>
      </c>
      <c r="O327" s="94" t="s">
        <v>92</v>
      </c>
      <c r="P327" s="95">
        <v>6.4</v>
      </c>
      <c r="Q327" s="95"/>
      <c r="R327" s="95">
        <v>3.3</v>
      </c>
      <c r="S327" s="92" t="s">
        <v>119</v>
      </c>
      <c r="T327" s="92" t="s">
        <v>153</v>
      </c>
      <c r="U327" s="92" t="s">
        <v>199</v>
      </c>
      <c r="V327" s="92"/>
      <c r="W327" s="92"/>
      <c r="X327" s="92"/>
      <c r="Y327" s="92"/>
      <c r="Z327" s="97">
        <v>44662</v>
      </c>
    </row>
    <row r="328" spans="1:26" s="98" customFormat="1" ht="12.6">
      <c r="A328" s="90" t="s">
        <v>1016</v>
      </c>
      <c r="B328" s="90" t="s">
        <v>1017</v>
      </c>
      <c r="C328" s="90" t="s">
        <v>1021</v>
      </c>
      <c r="D328" s="90" t="s">
        <v>26</v>
      </c>
      <c r="E328" s="90" t="s">
        <v>223</v>
      </c>
      <c r="F328" s="90" t="s">
        <v>39</v>
      </c>
      <c r="G328" s="91" t="s">
        <v>181</v>
      </c>
      <c r="H328" s="90" t="s">
        <v>544</v>
      </c>
      <c r="I328" s="92" t="s">
        <v>28</v>
      </c>
      <c r="J328" s="92" t="s">
        <v>52</v>
      </c>
      <c r="K328" s="92" t="s">
        <v>118</v>
      </c>
      <c r="L328" s="93">
        <v>44816</v>
      </c>
      <c r="M328" s="93" t="b">
        <v>0</v>
      </c>
      <c r="N328" s="93">
        <v>45581</v>
      </c>
      <c r="O328" s="94" t="s">
        <v>92</v>
      </c>
      <c r="P328" s="95">
        <v>4</v>
      </c>
      <c r="Q328" s="95">
        <v>3.6</v>
      </c>
      <c r="R328" s="95"/>
      <c r="S328" s="92" t="s">
        <v>119</v>
      </c>
      <c r="T328" s="92" t="s">
        <v>153</v>
      </c>
      <c r="U328" s="92"/>
      <c r="V328" s="92"/>
      <c r="W328" s="92"/>
      <c r="X328" s="92"/>
      <c r="Y328" s="92"/>
      <c r="Z328" s="99">
        <v>44634</v>
      </c>
    </row>
    <row r="329" spans="1:26" s="98" customFormat="1" ht="12.6">
      <c r="A329" s="90" t="s">
        <v>1016</v>
      </c>
      <c r="B329" s="90" t="s">
        <v>1017</v>
      </c>
      <c r="C329" s="90" t="s">
        <v>1022</v>
      </c>
      <c r="D329" s="90" t="s">
        <v>26</v>
      </c>
      <c r="E329" s="90" t="s">
        <v>223</v>
      </c>
      <c r="F329" s="90" t="s">
        <v>39</v>
      </c>
      <c r="G329" s="91" t="s">
        <v>201</v>
      </c>
      <c r="H329" s="90" t="s">
        <v>1023</v>
      </c>
      <c r="I329" s="92" t="s">
        <v>28</v>
      </c>
      <c r="J329" s="92" t="s">
        <v>52</v>
      </c>
      <c r="K329" s="92" t="s">
        <v>118</v>
      </c>
      <c r="L329" s="93">
        <v>44816</v>
      </c>
      <c r="M329" s="93" t="b">
        <v>0</v>
      </c>
      <c r="N329" s="93">
        <v>45581</v>
      </c>
      <c r="O329" s="94" t="s">
        <v>92</v>
      </c>
      <c r="P329" s="95">
        <v>4</v>
      </c>
      <c r="Q329" s="95">
        <v>3.6</v>
      </c>
      <c r="R329" s="95"/>
      <c r="S329" s="92" t="s">
        <v>119</v>
      </c>
      <c r="T329" s="92" t="s">
        <v>153</v>
      </c>
      <c r="U329" s="92"/>
      <c r="V329" s="92"/>
      <c r="W329" s="92"/>
      <c r="X329" s="92"/>
      <c r="Y329" s="92"/>
      <c r="Z329" s="97">
        <v>44634</v>
      </c>
    </row>
    <row r="330" spans="1:26" s="308" customFormat="1" ht="12.6">
      <c r="A330" s="301" t="s">
        <v>1016</v>
      </c>
      <c r="B330" s="301" t="s">
        <v>1017</v>
      </c>
      <c r="C330" s="301" t="s">
        <v>1024</v>
      </c>
      <c r="D330" s="301" t="s">
        <v>26</v>
      </c>
      <c r="E330" s="301" t="s">
        <v>176</v>
      </c>
      <c r="F330" s="301" t="s">
        <v>39</v>
      </c>
      <c r="G330" s="302" t="s">
        <v>208</v>
      </c>
      <c r="H330" s="301" t="s">
        <v>1025</v>
      </c>
      <c r="I330" s="303" t="s">
        <v>28</v>
      </c>
      <c r="J330" s="303" t="s">
        <v>183</v>
      </c>
      <c r="K330" s="303" t="s">
        <v>118</v>
      </c>
      <c r="L330" s="304">
        <v>44816</v>
      </c>
      <c r="M330" s="304" t="b">
        <v>0</v>
      </c>
      <c r="N330" s="304">
        <v>45581</v>
      </c>
      <c r="O330" s="305" t="s">
        <v>92</v>
      </c>
      <c r="P330" s="306"/>
      <c r="Q330" s="306"/>
      <c r="R330" s="306"/>
      <c r="S330" s="303" t="s">
        <v>166</v>
      </c>
      <c r="T330" s="303"/>
      <c r="U330" s="303"/>
      <c r="V330" s="303"/>
      <c r="W330" s="303"/>
      <c r="X330" s="303"/>
      <c r="Y330" s="303" t="s">
        <v>1026</v>
      </c>
      <c r="Z330" s="307" t="s">
        <v>1012</v>
      </c>
    </row>
    <row r="331" spans="1:26" s="188" customFormat="1" ht="12.6">
      <c r="A331" s="180" t="s">
        <v>1027</v>
      </c>
      <c r="B331" s="180" t="s">
        <v>1028</v>
      </c>
      <c r="C331" s="180" t="s">
        <v>1029</v>
      </c>
      <c r="D331" s="180" t="s">
        <v>26</v>
      </c>
      <c r="E331" s="180" t="s">
        <v>172</v>
      </c>
      <c r="F331" s="180" t="s">
        <v>27</v>
      </c>
      <c r="G331" s="181" t="s">
        <v>163</v>
      </c>
      <c r="H331" s="180" t="s">
        <v>1030</v>
      </c>
      <c r="I331" s="182" t="s">
        <v>165</v>
      </c>
      <c r="J331" s="182" t="s">
        <v>40</v>
      </c>
      <c r="K331" s="182" t="s">
        <v>184</v>
      </c>
      <c r="L331" s="183"/>
      <c r="M331" s="183" t="b">
        <v>0</v>
      </c>
      <c r="N331" s="183"/>
      <c r="O331" s="185"/>
      <c r="P331" s="186"/>
      <c r="Q331" s="186"/>
      <c r="R331" s="186"/>
      <c r="S331" s="182" t="s">
        <v>166</v>
      </c>
      <c r="T331" s="182"/>
      <c r="U331" s="182"/>
      <c r="V331" s="182"/>
      <c r="W331" s="86"/>
      <c r="X331" s="182"/>
      <c r="Y331" s="182" t="s">
        <v>1031</v>
      </c>
      <c r="Z331" s="191">
        <v>44641</v>
      </c>
    </row>
    <row r="332" spans="1:26" s="98" customFormat="1" ht="12.6">
      <c r="A332" s="90" t="s">
        <v>1027</v>
      </c>
      <c r="B332" s="90" t="s">
        <v>1028</v>
      </c>
      <c r="C332" s="90" t="s">
        <v>1032</v>
      </c>
      <c r="D332" s="90" t="s">
        <v>26</v>
      </c>
      <c r="E332" s="90" t="s">
        <v>223</v>
      </c>
      <c r="F332" s="90" t="s">
        <v>39</v>
      </c>
      <c r="G332" s="91" t="s">
        <v>201</v>
      </c>
      <c r="H332" s="90" t="s">
        <v>633</v>
      </c>
      <c r="I332" s="92" t="s">
        <v>28</v>
      </c>
      <c r="J332" s="92" t="s">
        <v>28</v>
      </c>
      <c r="K332" s="92" t="s">
        <v>118</v>
      </c>
      <c r="L332" s="93">
        <v>44816</v>
      </c>
      <c r="M332" s="93" t="b">
        <v>0</v>
      </c>
      <c r="N332" s="93">
        <v>45581</v>
      </c>
      <c r="O332" s="94" t="s">
        <v>92</v>
      </c>
      <c r="P332" s="95">
        <v>2.8</v>
      </c>
      <c r="Q332" s="95">
        <v>3.6</v>
      </c>
      <c r="R332" s="95"/>
      <c r="S332" s="92" t="s">
        <v>119</v>
      </c>
      <c r="T332" s="92" t="s">
        <v>153</v>
      </c>
      <c r="U332" s="92"/>
      <c r="V332" s="92"/>
      <c r="W332" s="92"/>
      <c r="X332" s="92"/>
      <c r="Y332" s="92"/>
      <c r="Z332" s="99">
        <v>44935</v>
      </c>
    </row>
    <row r="333" spans="1:26" s="308" customFormat="1" ht="12.6">
      <c r="A333" s="301" t="s">
        <v>1027</v>
      </c>
      <c r="B333" s="301" t="s">
        <v>1028</v>
      </c>
      <c r="C333" s="301" t="s">
        <v>1033</v>
      </c>
      <c r="D333" s="301" t="s">
        <v>26</v>
      </c>
      <c r="E333" s="301" t="s">
        <v>176</v>
      </c>
      <c r="F333" s="301" t="s">
        <v>39</v>
      </c>
      <c r="G333" s="302" t="s">
        <v>208</v>
      </c>
      <c r="H333" s="301" t="s">
        <v>1034</v>
      </c>
      <c r="I333" s="303" t="s">
        <v>28</v>
      </c>
      <c r="J333" s="303" t="s">
        <v>183</v>
      </c>
      <c r="K333" s="303" t="s">
        <v>118</v>
      </c>
      <c r="L333" s="304">
        <v>44816</v>
      </c>
      <c r="M333" s="304" t="b">
        <v>0</v>
      </c>
      <c r="N333" s="304">
        <v>45581</v>
      </c>
      <c r="O333" s="305" t="s">
        <v>92</v>
      </c>
      <c r="P333" s="306"/>
      <c r="Q333" s="306"/>
      <c r="R333" s="306"/>
      <c r="S333" s="303" t="s">
        <v>166</v>
      </c>
      <c r="T333" s="303"/>
      <c r="U333" s="303"/>
      <c r="V333" s="303"/>
      <c r="W333" s="303"/>
      <c r="X333" s="303"/>
      <c r="Y333" s="303" t="s">
        <v>1035</v>
      </c>
      <c r="Z333" s="309">
        <v>44816</v>
      </c>
    </row>
    <row r="334" spans="1:26" s="98" customFormat="1" ht="12.6">
      <c r="A334" s="90" t="s">
        <v>1036</v>
      </c>
      <c r="B334" s="90" t="s">
        <v>1037</v>
      </c>
      <c r="C334" s="90" t="s">
        <v>1038</v>
      </c>
      <c r="D334" s="90" t="s">
        <v>26</v>
      </c>
      <c r="E334" s="90" t="s">
        <v>172</v>
      </c>
      <c r="F334" s="90" t="s">
        <v>27</v>
      </c>
      <c r="G334" s="91" t="s">
        <v>173</v>
      </c>
      <c r="H334" s="90" t="s">
        <v>1019</v>
      </c>
      <c r="I334" s="92" t="s">
        <v>165</v>
      </c>
      <c r="J334" s="92" t="s">
        <v>40</v>
      </c>
      <c r="K334" s="92" t="s">
        <v>118</v>
      </c>
      <c r="L334" s="93">
        <v>44846</v>
      </c>
      <c r="M334" s="119" t="b">
        <v>0</v>
      </c>
      <c r="N334" s="93">
        <v>45581</v>
      </c>
      <c r="O334" s="94" t="s">
        <v>92</v>
      </c>
      <c r="P334" s="95">
        <v>6.8</v>
      </c>
      <c r="Q334" s="95"/>
      <c r="R334" s="95">
        <v>2.2000000000000002</v>
      </c>
      <c r="S334" s="92" t="s">
        <v>119</v>
      </c>
      <c r="T334" s="92" t="s">
        <v>153</v>
      </c>
      <c r="U334" s="92"/>
      <c r="V334" s="92"/>
      <c r="W334" s="92"/>
      <c r="X334" s="92"/>
      <c r="Y334" s="92"/>
      <c r="Z334" s="99">
        <v>44816</v>
      </c>
    </row>
    <row r="335" spans="1:26" s="98" customFormat="1" ht="12.6">
      <c r="A335" s="90" t="s">
        <v>1036</v>
      </c>
      <c r="B335" s="90" t="s">
        <v>1037</v>
      </c>
      <c r="C335" s="90" t="s">
        <v>1039</v>
      </c>
      <c r="D335" s="90" t="s">
        <v>26</v>
      </c>
      <c r="E335" s="90" t="s">
        <v>172</v>
      </c>
      <c r="F335" s="90" t="s">
        <v>27</v>
      </c>
      <c r="G335" s="91" t="s">
        <v>173</v>
      </c>
      <c r="H335" s="90" t="s">
        <v>325</v>
      </c>
      <c r="I335" s="92" t="s">
        <v>165</v>
      </c>
      <c r="J335" s="92" t="s">
        <v>40</v>
      </c>
      <c r="K335" s="92" t="s">
        <v>118</v>
      </c>
      <c r="L335" s="93">
        <v>44935</v>
      </c>
      <c r="M335" s="93" t="b">
        <v>0</v>
      </c>
      <c r="N335" s="93">
        <v>45581</v>
      </c>
      <c r="O335" s="94" t="s">
        <v>92</v>
      </c>
      <c r="P335" s="95">
        <v>2.8</v>
      </c>
      <c r="Q335" s="95"/>
      <c r="R335" s="95">
        <v>4.5999999999999996</v>
      </c>
      <c r="S335" s="92" t="s">
        <v>119</v>
      </c>
      <c r="T335" s="92" t="s">
        <v>153</v>
      </c>
      <c r="U335" s="92"/>
      <c r="V335" s="92"/>
      <c r="W335" s="92"/>
      <c r="X335" s="92"/>
      <c r="Y335" s="92"/>
      <c r="Z335" s="97">
        <v>44816</v>
      </c>
    </row>
    <row r="336" spans="1:26" s="98" customFormat="1" ht="12.6">
      <c r="A336" s="90" t="s">
        <v>1036</v>
      </c>
      <c r="B336" s="90" t="s">
        <v>1037</v>
      </c>
      <c r="C336" s="90" t="s">
        <v>1040</v>
      </c>
      <c r="D336" s="90" t="s">
        <v>26</v>
      </c>
      <c r="E336" s="90" t="s">
        <v>223</v>
      </c>
      <c r="F336" s="90" t="s">
        <v>39</v>
      </c>
      <c r="G336" s="91" t="s">
        <v>201</v>
      </c>
      <c r="H336" s="90" t="s">
        <v>418</v>
      </c>
      <c r="I336" s="92" t="s">
        <v>28</v>
      </c>
      <c r="J336" s="92" t="s">
        <v>28</v>
      </c>
      <c r="K336" s="92" t="s">
        <v>118</v>
      </c>
      <c r="L336" s="93">
        <v>44935</v>
      </c>
      <c r="M336" s="93" t="b">
        <v>0</v>
      </c>
      <c r="N336" s="93">
        <v>45581</v>
      </c>
      <c r="O336" s="94" t="s">
        <v>92</v>
      </c>
      <c r="P336" s="95">
        <v>2.4</v>
      </c>
      <c r="Q336" s="95">
        <v>2.6</v>
      </c>
      <c r="R336" s="95"/>
      <c r="S336" s="92" t="s">
        <v>119</v>
      </c>
      <c r="T336" s="92" t="s">
        <v>1041</v>
      </c>
      <c r="U336" s="92"/>
      <c r="V336" s="92"/>
      <c r="W336" s="92"/>
      <c r="X336" s="92"/>
      <c r="Y336" s="92"/>
      <c r="Z336" s="99">
        <v>44816</v>
      </c>
    </row>
    <row r="337" spans="1:26" s="98" customFormat="1" ht="12.6">
      <c r="A337" s="90" t="s">
        <v>1036</v>
      </c>
      <c r="B337" s="90" t="s">
        <v>1037</v>
      </c>
      <c r="C337" s="90" t="s">
        <v>1042</v>
      </c>
      <c r="D337" s="90" t="s">
        <v>26</v>
      </c>
      <c r="E337" s="90" t="s">
        <v>223</v>
      </c>
      <c r="F337" s="90" t="s">
        <v>39</v>
      </c>
      <c r="G337" s="91" t="s">
        <v>181</v>
      </c>
      <c r="H337" s="90" t="s">
        <v>544</v>
      </c>
      <c r="I337" s="92" t="s">
        <v>28</v>
      </c>
      <c r="J337" s="92" t="s">
        <v>52</v>
      </c>
      <c r="K337" s="92" t="s">
        <v>118</v>
      </c>
      <c r="L337" s="93">
        <v>44935</v>
      </c>
      <c r="M337" s="93" t="b">
        <v>0</v>
      </c>
      <c r="N337" s="93">
        <v>45581</v>
      </c>
      <c r="O337" s="94" t="s">
        <v>92</v>
      </c>
      <c r="P337" s="95">
        <v>4.8</v>
      </c>
      <c r="Q337" s="95">
        <v>3.6</v>
      </c>
      <c r="R337" s="95"/>
      <c r="S337" s="92" t="s">
        <v>119</v>
      </c>
      <c r="T337" s="92" t="s">
        <v>153</v>
      </c>
      <c r="U337" s="92"/>
      <c r="V337" s="92"/>
      <c r="W337" s="92"/>
      <c r="X337" s="92"/>
      <c r="Y337" s="92"/>
      <c r="Z337" s="97">
        <v>44816</v>
      </c>
    </row>
    <row r="338" spans="1:26" s="98" customFormat="1" ht="12.6">
      <c r="A338" s="90" t="s">
        <v>1043</v>
      </c>
      <c r="B338" s="90" t="s">
        <v>1044</v>
      </c>
      <c r="C338" s="90" t="s">
        <v>1045</v>
      </c>
      <c r="D338" s="90" t="s">
        <v>26</v>
      </c>
      <c r="E338" s="90" t="s">
        <v>172</v>
      </c>
      <c r="F338" s="90" t="s">
        <v>27</v>
      </c>
      <c r="G338" s="91" t="s">
        <v>173</v>
      </c>
      <c r="H338" s="90" t="s">
        <v>1019</v>
      </c>
      <c r="I338" s="92" t="s">
        <v>165</v>
      </c>
      <c r="J338" s="92" t="s">
        <v>40</v>
      </c>
      <c r="K338" s="92" t="s">
        <v>118</v>
      </c>
      <c r="L338" s="93">
        <v>44935</v>
      </c>
      <c r="M338" s="93" t="b">
        <v>0</v>
      </c>
      <c r="N338" s="93">
        <v>45581</v>
      </c>
      <c r="O338" s="94" t="s">
        <v>92</v>
      </c>
      <c r="P338" s="95">
        <v>3.5</v>
      </c>
      <c r="Q338" s="95"/>
      <c r="R338" s="95">
        <v>2.2000000000000002</v>
      </c>
      <c r="S338" s="92" t="s">
        <v>119</v>
      </c>
      <c r="T338" s="92"/>
      <c r="U338" s="92"/>
      <c r="V338" s="92"/>
      <c r="W338" s="92"/>
      <c r="X338" s="92"/>
      <c r="Y338" s="92"/>
      <c r="Z338" s="99"/>
    </row>
    <row r="339" spans="1:26" s="98" customFormat="1" ht="12.6">
      <c r="A339" s="90" t="s">
        <v>1043</v>
      </c>
      <c r="B339" s="90" t="s">
        <v>1044</v>
      </c>
      <c r="C339" s="90" t="s">
        <v>1046</v>
      </c>
      <c r="D339" s="90" t="s">
        <v>38</v>
      </c>
      <c r="E339" s="90" t="s">
        <v>659</v>
      </c>
      <c r="F339" s="90" t="s">
        <v>39</v>
      </c>
      <c r="G339" s="91" t="s">
        <v>201</v>
      </c>
      <c r="H339" s="90" t="s">
        <v>544</v>
      </c>
      <c r="I339" s="92" t="s">
        <v>28</v>
      </c>
      <c r="J339" s="92" t="s">
        <v>52</v>
      </c>
      <c r="K339" s="92" t="s">
        <v>118</v>
      </c>
      <c r="L339" s="93">
        <v>44935</v>
      </c>
      <c r="M339" s="93" t="b">
        <v>0</v>
      </c>
      <c r="N339" s="93">
        <v>45581</v>
      </c>
      <c r="O339" s="136"/>
      <c r="P339" s="94"/>
      <c r="Q339" s="95"/>
      <c r="R339" s="95"/>
      <c r="S339" s="92" t="s">
        <v>119</v>
      </c>
      <c r="T339" s="92" t="s">
        <v>153</v>
      </c>
      <c r="U339" s="92"/>
      <c r="V339" s="92"/>
      <c r="W339" s="92"/>
      <c r="X339" s="92"/>
      <c r="Y339" s="92"/>
      <c r="Z339" s="97">
        <v>44816</v>
      </c>
    </row>
    <row r="340" spans="1:26" s="98" customFormat="1" ht="12.6">
      <c r="A340" s="90" t="s">
        <v>1043</v>
      </c>
      <c r="B340" s="90" t="s">
        <v>1044</v>
      </c>
      <c r="C340" s="90" t="s">
        <v>1047</v>
      </c>
      <c r="D340" s="90" t="s">
        <v>26</v>
      </c>
      <c r="E340" s="90" t="s">
        <v>223</v>
      </c>
      <c r="F340" s="90" t="s">
        <v>39</v>
      </c>
      <c r="G340" s="91" t="s">
        <v>201</v>
      </c>
      <c r="H340" s="90" t="s">
        <v>418</v>
      </c>
      <c r="I340" s="92" t="s">
        <v>28</v>
      </c>
      <c r="J340" s="92" t="s">
        <v>28</v>
      </c>
      <c r="K340" s="92" t="s">
        <v>118</v>
      </c>
      <c r="L340" s="93">
        <v>44935</v>
      </c>
      <c r="M340" s="93" t="b">
        <v>0</v>
      </c>
      <c r="N340" s="93">
        <v>45581</v>
      </c>
      <c r="O340" s="94" t="s">
        <v>92</v>
      </c>
      <c r="P340" s="95">
        <v>2.2000000000000002</v>
      </c>
      <c r="Q340" s="95">
        <v>2.8</v>
      </c>
      <c r="R340" s="95"/>
      <c r="S340" s="92" t="s">
        <v>119</v>
      </c>
      <c r="T340" s="92" t="s">
        <v>153</v>
      </c>
      <c r="U340" s="92"/>
      <c r="V340" s="92"/>
      <c r="W340" s="92"/>
      <c r="X340" s="92"/>
      <c r="Y340" s="92"/>
      <c r="Z340" s="99">
        <v>44816</v>
      </c>
    </row>
    <row r="341" spans="1:26" ht="12.6">
      <c r="A341" s="85" t="s">
        <v>1048</v>
      </c>
      <c r="B341" s="85" t="s">
        <v>1049</v>
      </c>
      <c r="C341" s="85" t="s">
        <v>1050</v>
      </c>
      <c r="D341" s="85" t="s">
        <v>26</v>
      </c>
      <c r="E341" s="85" t="s">
        <v>172</v>
      </c>
      <c r="F341" s="85" t="s">
        <v>27</v>
      </c>
      <c r="G341" s="89" t="s">
        <v>173</v>
      </c>
      <c r="H341" s="85" t="s">
        <v>1051</v>
      </c>
      <c r="I341" s="86" t="s">
        <v>165</v>
      </c>
      <c r="J341" s="86" t="s">
        <v>40</v>
      </c>
      <c r="K341" s="86" t="s">
        <v>118</v>
      </c>
      <c r="L341" s="87">
        <v>44879</v>
      </c>
      <c r="M341" s="87" t="b">
        <v>0</v>
      </c>
      <c r="N341" s="87"/>
      <c r="P341" s="88"/>
      <c r="Q341" s="88"/>
      <c r="R341" s="88"/>
      <c r="S341" s="86" t="s">
        <v>119</v>
      </c>
      <c r="T341" s="86" t="s">
        <v>153</v>
      </c>
      <c r="U341" s="86"/>
      <c r="V341" s="86"/>
      <c r="W341" s="86"/>
      <c r="X341" s="86"/>
      <c r="Y341" s="86"/>
      <c r="Z341" s="154">
        <v>44846</v>
      </c>
    </row>
    <row r="342" spans="1:26" ht="12.6">
      <c r="A342" s="85" t="s">
        <v>1048</v>
      </c>
      <c r="B342" s="85" t="s">
        <v>1049</v>
      </c>
      <c r="C342" s="85" t="s">
        <v>1052</v>
      </c>
      <c r="D342" s="85" t="s">
        <v>26</v>
      </c>
      <c r="E342" s="85" t="s">
        <v>223</v>
      </c>
      <c r="F342" s="85" t="s">
        <v>39</v>
      </c>
      <c r="G342" s="89" t="s">
        <v>201</v>
      </c>
      <c r="H342" s="85" t="s">
        <v>418</v>
      </c>
      <c r="I342" s="86" t="s">
        <v>28</v>
      </c>
      <c r="J342" s="86" t="s">
        <v>28</v>
      </c>
      <c r="K342" s="86" t="s">
        <v>118</v>
      </c>
      <c r="L342" s="87">
        <v>44879</v>
      </c>
      <c r="M342" s="87" t="b">
        <v>0</v>
      </c>
      <c r="N342" s="87"/>
      <c r="P342" s="88"/>
      <c r="Q342" s="88"/>
      <c r="R342" s="88"/>
      <c r="S342" s="86" t="s">
        <v>119</v>
      </c>
      <c r="T342" s="86" t="s">
        <v>153</v>
      </c>
      <c r="U342" s="86"/>
      <c r="V342" s="86"/>
      <c r="W342" s="86"/>
      <c r="X342" s="86"/>
      <c r="Y342" s="86"/>
      <c r="Z342" s="138">
        <v>44935</v>
      </c>
    </row>
    <row r="343" spans="1:26" ht="12.6">
      <c r="A343" s="85" t="s">
        <v>1048</v>
      </c>
      <c r="B343" s="85" t="s">
        <v>1049</v>
      </c>
      <c r="C343" s="85" t="s">
        <v>1053</v>
      </c>
      <c r="D343" s="85" t="s">
        <v>38</v>
      </c>
      <c r="E343" s="85" t="s">
        <v>563</v>
      </c>
      <c r="F343" s="85" t="s">
        <v>39</v>
      </c>
      <c r="G343" s="89" t="s">
        <v>201</v>
      </c>
      <c r="H343" s="85" t="s">
        <v>544</v>
      </c>
      <c r="I343" s="86" t="s">
        <v>28</v>
      </c>
      <c r="J343" s="86" t="s">
        <v>52</v>
      </c>
      <c r="K343" s="86" t="s">
        <v>118</v>
      </c>
      <c r="L343" s="87">
        <v>44935</v>
      </c>
      <c r="M343" s="87" t="b">
        <v>0</v>
      </c>
      <c r="N343" s="87"/>
      <c r="P343" s="88"/>
      <c r="Q343" s="88"/>
      <c r="R343" s="88"/>
      <c r="S343" s="86" t="s">
        <v>119</v>
      </c>
      <c r="T343" s="86" t="s">
        <v>153</v>
      </c>
      <c r="U343" s="86"/>
      <c r="V343" s="86"/>
      <c r="W343" s="86"/>
      <c r="X343" s="86"/>
      <c r="Y343" s="86"/>
      <c r="Z343" s="154">
        <v>44935</v>
      </c>
    </row>
    <row r="344" spans="1:26" ht="12.6">
      <c r="A344" s="85" t="s">
        <v>1048</v>
      </c>
      <c r="B344" s="85" t="s">
        <v>1049</v>
      </c>
      <c r="C344" s="85" t="s">
        <v>1054</v>
      </c>
      <c r="D344" s="85" t="s">
        <v>50</v>
      </c>
      <c r="E344" s="85" t="s">
        <v>235</v>
      </c>
      <c r="F344" s="85" t="s">
        <v>27</v>
      </c>
      <c r="G344" s="89" t="s">
        <v>173</v>
      </c>
      <c r="H344" s="85" t="s">
        <v>325</v>
      </c>
      <c r="I344" s="86" t="s">
        <v>165</v>
      </c>
      <c r="J344" s="86" t="s">
        <v>40</v>
      </c>
      <c r="K344" s="86" t="s">
        <v>118</v>
      </c>
      <c r="L344" s="87">
        <v>44879</v>
      </c>
      <c r="M344" s="87" t="b">
        <v>0</v>
      </c>
      <c r="N344" s="87"/>
      <c r="P344" s="88"/>
      <c r="Q344" s="88"/>
      <c r="R344" s="88"/>
      <c r="S344" s="86" t="s">
        <v>119</v>
      </c>
      <c r="T344" s="86" t="s">
        <v>153</v>
      </c>
      <c r="U344" s="86"/>
      <c r="V344" s="86"/>
      <c r="W344" s="86"/>
      <c r="X344" s="86"/>
      <c r="Y344" s="86"/>
      <c r="Z344" s="138">
        <v>44935</v>
      </c>
    </row>
    <row r="345" spans="1:26" ht="14.1" customHeight="1">
      <c r="A345" s="85" t="s">
        <v>1055</v>
      </c>
      <c r="B345" s="85" t="s">
        <v>1056</v>
      </c>
      <c r="C345" s="85" t="s">
        <v>1057</v>
      </c>
      <c r="D345" s="85" t="s">
        <v>50</v>
      </c>
      <c r="E345" s="85" t="s">
        <v>235</v>
      </c>
      <c r="F345" s="85" t="s">
        <v>27</v>
      </c>
      <c r="G345" s="89" t="s">
        <v>173</v>
      </c>
      <c r="H345" s="85" t="s">
        <v>325</v>
      </c>
      <c r="I345" s="86" t="s">
        <v>165</v>
      </c>
      <c r="J345" s="86" t="s">
        <v>40</v>
      </c>
      <c r="K345" s="86" t="s">
        <v>118</v>
      </c>
      <c r="L345" s="87">
        <v>44879</v>
      </c>
      <c r="M345" s="87" t="b">
        <v>0</v>
      </c>
      <c r="N345" s="87"/>
      <c r="P345" s="88"/>
      <c r="Q345" s="88"/>
      <c r="R345" s="88"/>
      <c r="S345" s="86" t="s">
        <v>119</v>
      </c>
      <c r="T345" s="86" t="s">
        <v>153</v>
      </c>
      <c r="U345" s="86"/>
      <c r="V345" s="86"/>
      <c r="W345" s="86"/>
      <c r="X345" s="86"/>
      <c r="Y345" s="86"/>
      <c r="Z345" s="154">
        <v>44935</v>
      </c>
    </row>
    <row r="346" spans="1:26" ht="12.6">
      <c r="A346" s="85" t="s">
        <v>1055</v>
      </c>
      <c r="B346" s="85" t="s">
        <v>1056</v>
      </c>
      <c r="C346" s="85" t="s">
        <v>1058</v>
      </c>
      <c r="D346" s="85" t="s">
        <v>26</v>
      </c>
      <c r="E346" s="85" t="s">
        <v>172</v>
      </c>
      <c r="F346" s="85" t="s">
        <v>27</v>
      </c>
      <c r="G346" s="89" t="s">
        <v>173</v>
      </c>
      <c r="H346" s="85" t="s">
        <v>1019</v>
      </c>
      <c r="I346" s="86" t="s">
        <v>165</v>
      </c>
      <c r="J346" s="86" t="s">
        <v>40</v>
      </c>
      <c r="K346" s="86" t="s">
        <v>118</v>
      </c>
      <c r="L346" s="87">
        <v>44879</v>
      </c>
      <c r="M346" s="87" t="b">
        <v>0</v>
      </c>
      <c r="N346" s="87"/>
      <c r="P346" s="88"/>
      <c r="Q346" s="88"/>
      <c r="R346" s="88"/>
      <c r="S346" s="86" t="s">
        <v>166</v>
      </c>
      <c r="T346" s="86"/>
      <c r="U346" s="86"/>
      <c r="V346" s="86"/>
      <c r="W346" s="86"/>
      <c r="X346" s="86"/>
      <c r="Y346" s="86" t="s">
        <v>538</v>
      </c>
      <c r="Z346" s="138">
        <v>44935</v>
      </c>
    </row>
    <row r="347" spans="1:26" ht="12.6">
      <c r="A347" s="85" t="s">
        <v>1055</v>
      </c>
      <c r="B347" s="85" t="s">
        <v>1056</v>
      </c>
      <c r="C347" s="85" t="s">
        <v>1059</v>
      </c>
      <c r="D347" s="85" t="s">
        <v>26</v>
      </c>
      <c r="E347" s="85" t="s">
        <v>223</v>
      </c>
      <c r="F347" s="85" t="s">
        <v>39</v>
      </c>
      <c r="G347" s="89" t="s">
        <v>251</v>
      </c>
      <c r="H347" s="85" t="s">
        <v>544</v>
      </c>
      <c r="I347" s="86" t="s">
        <v>28</v>
      </c>
      <c r="J347" s="86" t="s">
        <v>52</v>
      </c>
      <c r="K347" s="86" t="s">
        <v>118</v>
      </c>
      <c r="L347" s="87">
        <v>44879</v>
      </c>
      <c r="M347" s="87" t="b">
        <v>0</v>
      </c>
      <c r="N347" s="87"/>
      <c r="P347" s="88"/>
      <c r="Q347" s="88"/>
      <c r="R347" s="88"/>
      <c r="S347" s="86" t="s">
        <v>119</v>
      </c>
      <c r="T347" s="86" t="s">
        <v>153</v>
      </c>
      <c r="U347" s="86"/>
      <c r="V347" s="86"/>
      <c r="W347" s="86"/>
      <c r="X347" s="86"/>
      <c r="Y347" s="86"/>
      <c r="Z347" s="154">
        <v>44935</v>
      </c>
    </row>
    <row r="348" spans="1:26" ht="12.6">
      <c r="A348" s="85" t="s">
        <v>1055</v>
      </c>
      <c r="B348" s="85" t="s">
        <v>1056</v>
      </c>
      <c r="C348" s="85" t="s">
        <v>1060</v>
      </c>
      <c r="D348" s="85" t="s">
        <v>26</v>
      </c>
      <c r="E348" s="85" t="s">
        <v>223</v>
      </c>
      <c r="F348" s="85" t="s">
        <v>39</v>
      </c>
      <c r="G348" s="89" t="s">
        <v>201</v>
      </c>
      <c r="H348" s="85" t="s">
        <v>418</v>
      </c>
      <c r="I348" s="86" t="s">
        <v>28</v>
      </c>
      <c r="J348" s="86" t="s">
        <v>52</v>
      </c>
      <c r="K348" s="86" t="s">
        <v>118</v>
      </c>
      <c r="L348" s="87">
        <v>44879</v>
      </c>
      <c r="M348" s="87" t="b">
        <v>0</v>
      </c>
      <c r="N348" s="87"/>
      <c r="P348" s="88"/>
      <c r="Q348" s="88"/>
      <c r="R348" s="88"/>
      <c r="S348" s="86" t="s">
        <v>119</v>
      </c>
      <c r="T348" s="86" t="s">
        <v>153</v>
      </c>
      <c r="U348" s="86"/>
      <c r="V348" s="86"/>
      <c r="W348" s="86"/>
      <c r="X348" s="86"/>
      <c r="Y348" s="86"/>
      <c r="Z348" s="138">
        <v>44879</v>
      </c>
    </row>
    <row r="349" spans="1:26" s="46" customFormat="1" ht="12.6">
      <c r="A349" s="294" t="s">
        <v>1061</v>
      </c>
      <c r="B349" s="294" t="s">
        <v>1062</v>
      </c>
      <c r="C349" s="294" t="s">
        <v>1063</v>
      </c>
      <c r="D349" s="294" t="s">
        <v>26</v>
      </c>
      <c r="E349" s="294" t="s">
        <v>172</v>
      </c>
      <c r="F349" s="294" t="s">
        <v>27</v>
      </c>
      <c r="G349" s="295" t="s">
        <v>173</v>
      </c>
      <c r="H349" s="294" t="s">
        <v>1064</v>
      </c>
      <c r="I349" s="296" t="s">
        <v>165</v>
      </c>
      <c r="J349" s="296" t="s">
        <v>40</v>
      </c>
      <c r="K349" s="296" t="s">
        <v>118</v>
      </c>
      <c r="L349" s="297">
        <v>44781</v>
      </c>
      <c r="M349" s="297" t="b">
        <v>0</v>
      </c>
      <c r="N349" s="297"/>
      <c r="O349" s="298"/>
      <c r="P349" s="299"/>
      <c r="Q349" s="299"/>
      <c r="R349" s="299"/>
      <c r="S349" s="296" t="s">
        <v>119</v>
      </c>
      <c r="T349" s="296" t="s">
        <v>153</v>
      </c>
      <c r="U349" s="296"/>
      <c r="V349" s="296"/>
      <c r="W349" s="296"/>
      <c r="X349" s="296"/>
      <c r="Y349" s="296"/>
      <c r="Z349" s="300">
        <v>44879</v>
      </c>
    </row>
    <row r="350" spans="1:26" s="131" customFormat="1" ht="12.6">
      <c r="A350" s="124" t="s">
        <v>1061</v>
      </c>
      <c r="B350" s="124" t="s">
        <v>1062</v>
      </c>
      <c r="C350" s="124" t="s">
        <v>1065</v>
      </c>
      <c r="D350" s="124" t="s">
        <v>50</v>
      </c>
      <c r="E350" s="124" t="s">
        <v>635</v>
      </c>
      <c r="F350" s="124" t="s">
        <v>39</v>
      </c>
      <c r="G350" s="125" t="s">
        <v>208</v>
      </c>
      <c r="H350" s="124" t="s">
        <v>1066</v>
      </c>
      <c r="I350" s="126" t="s">
        <v>28</v>
      </c>
      <c r="J350" s="126" t="s">
        <v>183</v>
      </c>
      <c r="K350" s="126" t="s">
        <v>184</v>
      </c>
      <c r="L350" s="127">
        <v>44782</v>
      </c>
      <c r="M350" s="127" t="b">
        <v>0</v>
      </c>
      <c r="N350" s="127">
        <v>45425</v>
      </c>
      <c r="O350" s="128" t="s">
        <v>95</v>
      </c>
      <c r="P350" s="129"/>
      <c r="Q350" s="129"/>
      <c r="R350" s="129"/>
      <c r="S350" s="126" t="s">
        <v>166</v>
      </c>
      <c r="T350" s="126"/>
      <c r="U350" s="126"/>
      <c r="V350" s="126"/>
      <c r="W350" s="86"/>
      <c r="X350" s="126"/>
      <c r="Y350" s="126" t="s">
        <v>1067</v>
      </c>
      <c r="Z350" s="130">
        <v>44935</v>
      </c>
    </row>
    <row r="351" spans="1:26" s="98" customFormat="1" ht="12.6">
      <c r="A351" s="90" t="s">
        <v>1061</v>
      </c>
      <c r="B351" s="90" t="s">
        <v>1062</v>
      </c>
      <c r="C351" s="90" t="s">
        <v>1068</v>
      </c>
      <c r="D351" s="90" t="s">
        <v>50</v>
      </c>
      <c r="E351" s="90" t="s">
        <v>197</v>
      </c>
      <c r="F351" s="90" t="s">
        <v>39</v>
      </c>
      <c r="G351" s="91" t="s">
        <v>208</v>
      </c>
      <c r="H351" s="90" t="s">
        <v>1069</v>
      </c>
      <c r="I351" s="92" t="s">
        <v>28</v>
      </c>
      <c r="J351" s="92" t="s">
        <v>183</v>
      </c>
      <c r="K351" s="92" t="s">
        <v>118</v>
      </c>
      <c r="L351" s="93">
        <v>44781</v>
      </c>
      <c r="M351" s="93" t="b">
        <v>0</v>
      </c>
      <c r="N351" s="93">
        <v>45443</v>
      </c>
      <c r="O351" s="94" t="s">
        <v>95</v>
      </c>
      <c r="P351" s="95">
        <v>2.4</v>
      </c>
      <c r="Q351" s="95">
        <v>2</v>
      </c>
      <c r="R351" s="95"/>
      <c r="S351" s="92" t="s">
        <v>119</v>
      </c>
      <c r="T351" s="92" t="s">
        <v>153</v>
      </c>
      <c r="U351" s="92"/>
      <c r="V351" s="92"/>
      <c r="W351" s="86"/>
      <c r="X351" s="92"/>
      <c r="Y351" s="92"/>
      <c r="Z351" s="97">
        <v>44879</v>
      </c>
    </row>
    <row r="352" spans="1:26" s="98" customFormat="1" ht="12.6">
      <c r="A352" s="90" t="s">
        <v>1061</v>
      </c>
      <c r="B352" s="90" t="s">
        <v>1062</v>
      </c>
      <c r="C352" s="90" t="s">
        <v>1070</v>
      </c>
      <c r="D352" s="90" t="s">
        <v>50</v>
      </c>
      <c r="E352" s="90" t="s">
        <v>635</v>
      </c>
      <c r="F352" s="90" t="s">
        <v>39</v>
      </c>
      <c r="G352" s="91" t="s">
        <v>208</v>
      </c>
      <c r="H352" s="90" t="s">
        <v>1071</v>
      </c>
      <c r="I352" s="92" t="s">
        <v>28</v>
      </c>
      <c r="J352" s="92" t="s">
        <v>183</v>
      </c>
      <c r="K352" s="92" t="s">
        <v>118</v>
      </c>
      <c r="L352" s="93">
        <v>44781</v>
      </c>
      <c r="M352" s="93" t="b">
        <v>0</v>
      </c>
      <c r="N352" s="93">
        <v>45523</v>
      </c>
      <c r="O352" s="94" t="s">
        <v>95</v>
      </c>
      <c r="P352" s="95">
        <v>1.6</v>
      </c>
      <c r="Q352" s="95">
        <v>1.8</v>
      </c>
      <c r="R352" s="95"/>
      <c r="S352" s="92" t="s">
        <v>119</v>
      </c>
      <c r="T352" s="92" t="s">
        <v>153</v>
      </c>
      <c r="U352" s="92"/>
      <c r="V352" s="92"/>
      <c r="W352" s="86"/>
      <c r="X352" s="92"/>
      <c r="Y352" s="92"/>
      <c r="Z352" s="99">
        <v>44879</v>
      </c>
    </row>
    <row r="353" spans="1:26" s="98" customFormat="1" ht="12.6">
      <c r="A353" s="90" t="s">
        <v>1061</v>
      </c>
      <c r="B353" s="90" t="s">
        <v>1062</v>
      </c>
      <c r="C353" s="90" t="s">
        <v>1072</v>
      </c>
      <c r="D353" s="90" t="s">
        <v>50</v>
      </c>
      <c r="E353" s="90" t="s">
        <v>635</v>
      </c>
      <c r="F353" s="90" t="s">
        <v>39</v>
      </c>
      <c r="G353" s="91" t="s">
        <v>208</v>
      </c>
      <c r="H353" s="90" t="s">
        <v>1073</v>
      </c>
      <c r="I353" s="92" t="s">
        <v>28</v>
      </c>
      <c r="J353" s="92" t="s">
        <v>183</v>
      </c>
      <c r="K353" s="92" t="s">
        <v>118</v>
      </c>
      <c r="L353" s="93">
        <v>44781</v>
      </c>
      <c r="M353" s="93" t="b">
        <v>0</v>
      </c>
      <c r="N353" s="93">
        <v>45517</v>
      </c>
      <c r="O353" s="94" t="s">
        <v>95</v>
      </c>
      <c r="P353" s="95">
        <v>2</v>
      </c>
      <c r="Q353" s="95">
        <v>1.8</v>
      </c>
      <c r="R353" s="95"/>
      <c r="S353" s="92" t="s">
        <v>119</v>
      </c>
      <c r="T353" s="92" t="s">
        <v>153</v>
      </c>
      <c r="U353" s="92"/>
      <c r="V353" s="92"/>
      <c r="W353" s="86"/>
      <c r="X353" s="92"/>
      <c r="Y353" s="92"/>
      <c r="Z353" s="97">
        <v>44879</v>
      </c>
    </row>
    <row r="354" spans="1:26" s="131" customFormat="1" ht="12" customHeight="1">
      <c r="A354" s="124" t="s">
        <v>1061</v>
      </c>
      <c r="B354" s="124" t="s">
        <v>1062</v>
      </c>
      <c r="C354" s="124" t="s">
        <v>1074</v>
      </c>
      <c r="D354" s="124" t="s">
        <v>50</v>
      </c>
      <c r="E354" s="124" t="s">
        <v>635</v>
      </c>
      <c r="F354" s="124" t="s">
        <v>39</v>
      </c>
      <c r="G354" s="125" t="s">
        <v>208</v>
      </c>
      <c r="H354" s="124" t="s">
        <v>1075</v>
      </c>
      <c r="I354" s="126" t="s">
        <v>28</v>
      </c>
      <c r="J354" s="126" t="s">
        <v>183</v>
      </c>
      <c r="K354" s="126" t="s">
        <v>118</v>
      </c>
      <c r="L354" s="127">
        <v>44781</v>
      </c>
      <c r="M354" s="127" t="b">
        <v>0</v>
      </c>
      <c r="N354" s="127">
        <v>45516</v>
      </c>
      <c r="O354" s="128" t="s">
        <v>95</v>
      </c>
      <c r="P354" s="129"/>
      <c r="Q354" s="129"/>
      <c r="R354" s="129"/>
      <c r="S354" s="126" t="s">
        <v>119</v>
      </c>
      <c r="T354" s="126" t="s">
        <v>153</v>
      </c>
      <c r="U354" s="126"/>
      <c r="V354" s="126"/>
      <c r="W354" s="86"/>
      <c r="X354" s="126"/>
      <c r="Y354" s="126" t="s">
        <v>1076</v>
      </c>
      <c r="Z354" s="130">
        <v>44879</v>
      </c>
    </row>
    <row r="355" spans="1:26" s="46" customFormat="1" ht="12.6">
      <c r="A355" s="294" t="s">
        <v>1061</v>
      </c>
      <c r="B355" s="294" t="s">
        <v>1062</v>
      </c>
      <c r="C355" s="294" t="s">
        <v>1077</v>
      </c>
      <c r="D355" s="294" t="s">
        <v>26</v>
      </c>
      <c r="E355" s="294" t="s">
        <v>176</v>
      </c>
      <c r="F355" s="294" t="s">
        <v>39</v>
      </c>
      <c r="G355" s="295" t="s">
        <v>208</v>
      </c>
      <c r="H355" s="294" t="s">
        <v>418</v>
      </c>
      <c r="I355" s="296" t="s">
        <v>28</v>
      </c>
      <c r="J355" s="296" t="s">
        <v>28</v>
      </c>
      <c r="K355" s="296" t="s">
        <v>118</v>
      </c>
      <c r="L355" s="297">
        <v>45061</v>
      </c>
      <c r="M355" s="297" t="b">
        <v>0</v>
      </c>
      <c r="N355" s="297"/>
      <c r="O355" s="298"/>
      <c r="P355" s="299"/>
      <c r="Q355" s="299"/>
      <c r="R355" s="299"/>
      <c r="S355" s="296" t="s">
        <v>119</v>
      </c>
      <c r="T355" s="296" t="s">
        <v>153</v>
      </c>
      <c r="U355" s="296"/>
      <c r="V355" s="296"/>
      <c r="W355" s="296"/>
      <c r="X355" s="296"/>
      <c r="Y355" s="296"/>
      <c r="Z355" s="300">
        <v>44879</v>
      </c>
    </row>
    <row r="356" spans="1:26" s="98" customFormat="1" ht="12.6">
      <c r="A356" s="90" t="s">
        <v>1061</v>
      </c>
      <c r="B356" s="90" t="s">
        <v>1062</v>
      </c>
      <c r="C356" s="90" t="s">
        <v>1078</v>
      </c>
      <c r="D356" s="90" t="s">
        <v>50</v>
      </c>
      <c r="E356" s="90" t="s">
        <v>197</v>
      </c>
      <c r="F356" s="90" t="s">
        <v>39</v>
      </c>
      <c r="G356" s="91" t="s">
        <v>208</v>
      </c>
      <c r="H356" s="90" t="s">
        <v>1079</v>
      </c>
      <c r="I356" s="92" t="s">
        <v>28</v>
      </c>
      <c r="J356" s="92" t="s">
        <v>183</v>
      </c>
      <c r="K356" s="92" t="s">
        <v>118</v>
      </c>
      <c r="L356" s="93">
        <v>44781</v>
      </c>
      <c r="M356" s="93" t="b">
        <v>0</v>
      </c>
      <c r="N356" s="93">
        <v>45443</v>
      </c>
      <c r="O356" s="94" t="s">
        <v>95</v>
      </c>
      <c r="P356" s="95">
        <v>2.4</v>
      </c>
      <c r="Q356" s="95">
        <v>2.2000000000000002</v>
      </c>
      <c r="R356" s="95"/>
      <c r="S356" s="92" t="s">
        <v>119</v>
      </c>
      <c r="T356" s="92" t="s">
        <v>153</v>
      </c>
      <c r="U356" s="92"/>
      <c r="V356" s="92"/>
      <c r="W356" s="86"/>
      <c r="X356" s="92"/>
      <c r="Y356" s="92"/>
      <c r="Z356" s="99">
        <v>44781</v>
      </c>
    </row>
    <row r="357" spans="1:26" s="131" customFormat="1" ht="12.6">
      <c r="A357" s="124" t="s">
        <v>1061</v>
      </c>
      <c r="B357" s="124" t="s">
        <v>1062</v>
      </c>
      <c r="C357" s="124" t="s">
        <v>1080</v>
      </c>
      <c r="D357" s="124" t="s">
        <v>50</v>
      </c>
      <c r="E357" s="124" t="s">
        <v>635</v>
      </c>
      <c r="F357" s="124" t="s">
        <v>39</v>
      </c>
      <c r="G357" s="125" t="s">
        <v>208</v>
      </c>
      <c r="H357" s="124" t="s">
        <v>1081</v>
      </c>
      <c r="I357" s="126" t="s">
        <v>28</v>
      </c>
      <c r="J357" s="126" t="s">
        <v>183</v>
      </c>
      <c r="K357" s="126" t="s">
        <v>118</v>
      </c>
      <c r="L357" s="127">
        <v>44781</v>
      </c>
      <c r="M357" s="127" t="b">
        <v>0</v>
      </c>
      <c r="N357" s="127"/>
      <c r="O357" s="128"/>
      <c r="P357" s="129"/>
      <c r="Q357" s="129"/>
      <c r="R357" s="129"/>
      <c r="S357" s="126" t="s">
        <v>166</v>
      </c>
      <c r="T357" s="126"/>
      <c r="U357" s="126"/>
      <c r="V357" s="126"/>
      <c r="W357" s="126"/>
      <c r="X357" s="126"/>
      <c r="Y357" s="126" t="s">
        <v>538</v>
      </c>
      <c r="Z357" s="135">
        <v>44782</v>
      </c>
    </row>
    <row r="358" spans="1:26" s="131" customFormat="1" ht="12.6">
      <c r="A358" s="124" t="s">
        <v>1082</v>
      </c>
      <c r="B358" s="124" t="s">
        <v>1083</v>
      </c>
      <c r="C358" s="124" t="s">
        <v>1084</v>
      </c>
      <c r="D358" s="124" t="s">
        <v>50</v>
      </c>
      <c r="E358" s="124" t="s">
        <v>197</v>
      </c>
      <c r="F358" s="124" t="s">
        <v>39</v>
      </c>
      <c r="G358" s="125" t="s">
        <v>208</v>
      </c>
      <c r="H358" s="124" t="s">
        <v>1085</v>
      </c>
      <c r="I358" s="126" t="s">
        <v>28</v>
      </c>
      <c r="J358" s="126" t="s">
        <v>183</v>
      </c>
      <c r="K358" s="126" t="s">
        <v>118</v>
      </c>
      <c r="L358" s="134" t="s">
        <v>1086</v>
      </c>
      <c r="M358" s="127" t="b">
        <v>0</v>
      </c>
      <c r="N358" s="127">
        <v>45517</v>
      </c>
      <c r="O358" s="128" t="s">
        <v>95</v>
      </c>
      <c r="P358" s="129"/>
      <c r="Q358" s="129"/>
      <c r="R358" s="129"/>
      <c r="S358" s="126" t="s">
        <v>166</v>
      </c>
      <c r="T358" s="126"/>
      <c r="U358" s="126"/>
      <c r="V358" s="126"/>
      <c r="W358" s="86"/>
      <c r="X358" s="126"/>
      <c r="Y358" s="126" t="s">
        <v>1087</v>
      </c>
      <c r="Z358" s="130">
        <v>44781</v>
      </c>
    </row>
    <row r="359" spans="1:26" s="131" customFormat="1" ht="12.6">
      <c r="A359" s="124" t="s">
        <v>1082</v>
      </c>
      <c r="B359" s="124" t="s">
        <v>1083</v>
      </c>
      <c r="C359" s="124" t="s">
        <v>1088</v>
      </c>
      <c r="D359" s="124" t="s">
        <v>50</v>
      </c>
      <c r="E359" s="124" t="s">
        <v>197</v>
      </c>
      <c r="F359" s="124" t="s">
        <v>39</v>
      </c>
      <c r="G359" s="125" t="s">
        <v>208</v>
      </c>
      <c r="H359" s="124" t="s">
        <v>1089</v>
      </c>
      <c r="I359" s="126" t="s">
        <v>28</v>
      </c>
      <c r="J359" s="126" t="s">
        <v>183</v>
      </c>
      <c r="K359" s="126" t="s">
        <v>118</v>
      </c>
      <c r="L359" s="127">
        <v>44782</v>
      </c>
      <c r="M359" s="134" t="b">
        <v>0</v>
      </c>
      <c r="N359" s="127">
        <v>45517</v>
      </c>
      <c r="O359" s="128" t="s">
        <v>95</v>
      </c>
      <c r="P359" s="129"/>
      <c r="Q359" s="129"/>
      <c r="R359" s="129"/>
      <c r="S359" s="126" t="s">
        <v>166</v>
      </c>
      <c r="T359" s="126"/>
      <c r="U359" s="126"/>
      <c r="V359" s="126"/>
      <c r="W359" s="86"/>
      <c r="X359" s="126"/>
      <c r="Y359" s="126"/>
      <c r="Z359" s="135">
        <v>44781</v>
      </c>
    </row>
    <row r="360" spans="1:26" ht="12.6">
      <c r="A360" s="85" t="s">
        <v>1082</v>
      </c>
      <c r="B360" s="85" t="s">
        <v>1028</v>
      </c>
      <c r="C360" s="85" t="s">
        <v>1090</v>
      </c>
      <c r="D360" s="85" t="s">
        <v>26</v>
      </c>
      <c r="E360" s="85" t="s">
        <v>1091</v>
      </c>
      <c r="F360" s="85" t="s">
        <v>39</v>
      </c>
      <c r="G360" s="89" t="s">
        <v>181</v>
      </c>
      <c r="H360" s="85" t="s">
        <v>1092</v>
      </c>
      <c r="I360" s="86" t="s">
        <v>28</v>
      </c>
      <c r="J360" s="86" t="s">
        <v>28</v>
      </c>
      <c r="K360" s="86" t="s">
        <v>118</v>
      </c>
      <c r="L360" s="87">
        <v>44782</v>
      </c>
      <c r="M360" s="87" t="b">
        <v>0</v>
      </c>
      <c r="N360" s="87"/>
      <c r="P360" s="88"/>
      <c r="Q360" s="88"/>
      <c r="R360" s="88"/>
      <c r="S360" s="86" t="s">
        <v>166</v>
      </c>
      <c r="T360" s="86"/>
      <c r="U360" s="86"/>
      <c r="V360" s="86"/>
      <c r="W360" s="86"/>
      <c r="X360" s="86"/>
      <c r="Y360" s="86"/>
      <c r="Z360" s="138">
        <v>44781</v>
      </c>
    </row>
    <row r="361" spans="1:26" s="98" customFormat="1" ht="12.6">
      <c r="A361" s="90" t="s">
        <v>1093</v>
      </c>
      <c r="B361" s="90" t="s">
        <v>858</v>
      </c>
      <c r="C361" s="90" t="s">
        <v>1094</v>
      </c>
      <c r="D361" s="90" t="s">
        <v>26</v>
      </c>
      <c r="E361" s="90" t="s">
        <v>176</v>
      </c>
      <c r="F361" s="90" t="s">
        <v>39</v>
      </c>
      <c r="G361" s="91" t="s">
        <v>173</v>
      </c>
      <c r="H361" s="90" t="s">
        <v>1095</v>
      </c>
      <c r="I361" s="92" t="s">
        <v>165</v>
      </c>
      <c r="J361" s="92" t="s">
        <v>40</v>
      </c>
      <c r="K361" s="92" t="s">
        <v>118</v>
      </c>
      <c r="L361" s="93">
        <v>44879</v>
      </c>
      <c r="M361" s="93" t="b">
        <v>0</v>
      </c>
      <c r="N361" s="93">
        <v>45608</v>
      </c>
      <c r="O361" s="94" t="s">
        <v>58</v>
      </c>
      <c r="P361" s="95">
        <v>1.8</v>
      </c>
      <c r="Q361" s="95">
        <v>2.1</v>
      </c>
      <c r="R361" s="95"/>
      <c r="S361" s="92" t="s">
        <v>119</v>
      </c>
      <c r="T361" s="92" t="s">
        <v>153</v>
      </c>
      <c r="U361" s="92"/>
      <c r="V361" s="92"/>
      <c r="W361" s="92"/>
      <c r="X361" s="92"/>
      <c r="Y361" s="92"/>
      <c r="Z361" s="97">
        <v>44781</v>
      </c>
    </row>
    <row r="362" spans="1:26" s="98" customFormat="1" ht="12.6">
      <c r="A362" s="90" t="s">
        <v>1093</v>
      </c>
      <c r="B362" s="90" t="s">
        <v>858</v>
      </c>
      <c r="C362" s="90" t="s">
        <v>1096</v>
      </c>
      <c r="D362" s="90" t="s">
        <v>26</v>
      </c>
      <c r="E362" s="90" t="s">
        <v>1097</v>
      </c>
      <c r="F362" s="90" t="s">
        <v>39</v>
      </c>
      <c r="G362" s="91" t="s">
        <v>181</v>
      </c>
      <c r="H362" s="90" t="s">
        <v>544</v>
      </c>
      <c r="I362" s="92" t="s">
        <v>28</v>
      </c>
      <c r="J362" s="92" t="s">
        <v>52</v>
      </c>
      <c r="K362" s="92" t="s">
        <v>118</v>
      </c>
      <c r="L362" s="93">
        <v>44879</v>
      </c>
      <c r="M362" s="93" t="b">
        <v>0</v>
      </c>
      <c r="N362" s="93">
        <v>45608</v>
      </c>
      <c r="O362" s="94" t="s">
        <v>58</v>
      </c>
      <c r="P362" s="95">
        <v>3.4</v>
      </c>
      <c r="Q362" s="95">
        <v>3</v>
      </c>
      <c r="R362" s="95"/>
      <c r="S362" s="92" t="s">
        <v>119</v>
      </c>
      <c r="T362" s="92" t="s">
        <v>153</v>
      </c>
      <c r="U362" s="94"/>
      <c r="V362" s="92"/>
      <c r="W362" s="92"/>
      <c r="X362" s="92"/>
      <c r="Y362" s="92"/>
      <c r="Z362" s="99">
        <v>45061</v>
      </c>
    </row>
    <row r="363" spans="1:26" s="308" customFormat="1" ht="12.6">
      <c r="A363" s="301" t="s">
        <v>1093</v>
      </c>
      <c r="B363" s="301" t="s">
        <v>858</v>
      </c>
      <c r="C363" s="301" t="s">
        <v>1098</v>
      </c>
      <c r="D363" s="301" t="s">
        <v>26</v>
      </c>
      <c r="E363" s="301" t="s">
        <v>176</v>
      </c>
      <c r="F363" s="301" t="s">
        <v>39</v>
      </c>
      <c r="G363" s="302" t="s">
        <v>177</v>
      </c>
      <c r="H363" s="301" t="s">
        <v>209</v>
      </c>
      <c r="I363" s="303" t="s">
        <v>28</v>
      </c>
      <c r="J363" s="303" t="s">
        <v>183</v>
      </c>
      <c r="K363" s="303" t="s">
        <v>184</v>
      </c>
      <c r="L363" s="304">
        <v>44879</v>
      </c>
      <c r="M363" s="304" t="b">
        <v>0</v>
      </c>
      <c r="N363" s="304">
        <v>45608</v>
      </c>
      <c r="O363" s="305" t="s">
        <v>58</v>
      </c>
      <c r="P363" s="306"/>
      <c r="Q363" s="306"/>
      <c r="R363" s="306"/>
      <c r="S363" s="303" t="s">
        <v>166</v>
      </c>
      <c r="T363" s="303"/>
      <c r="U363" s="303"/>
      <c r="V363" s="303"/>
      <c r="W363" s="303"/>
      <c r="X363" s="303"/>
      <c r="Y363" s="303" t="s">
        <v>210</v>
      </c>
      <c r="Z363" s="309">
        <v>44781</v>
      </c>
    </row>
    <row r="364" spans="1:26" s="98" customFormat="1" ht="12.6">
      <c r="A364" s="90" t="s">
        <v>1093</v>
      </c>
      <c r="B364" s="90" t="s">
        <v>858</v>
      </c>
      <c r="C364" s="90" t="s">
        <v>1099</v>
      </c>
      <c r="D364" s="90" t="s">
        <v>26</v>
      </c>
      <c r="E364" s="90" t="s">
        <v>172</v>
      </c>
      <c r="F364" s="90" t="s">
        <v>27</v>
      </c>
      <c r="G364" s="91" t="s">
        <v>163</v>
      </c>
      <c r="H364" s="90" t="s">
        <v>743</v>
      </c>
      <c r="I364" s="92" t="s">
        <v>165</v>
      </c>
      <c r="J364" s="92" t="s">
        <v>40</v>
      </c>
      <c r="K364" s="92" t="s">
        <v>118</v>
      </c>
      <c r="L364" s="93">
        <v>44879</v>
      </c>
      <c r="M364" s="93" t="b">
        <v>0</v>
      </c>
      <c r="N364" s="93">
        <v>45633</v>
      </c>
      <c r="O364" s="94" t="s">
        <v>95</v>
      </c>
      <c r="P364" s="95">
        <v>7.2</v>
      </c>
      <c r="Q364" s="95"/>
      <c r="R364" s="95">
        <v>2.2000000000000002</v>
      </c>
      <c r="S364" s="92" t="s">
        <v>119</v>
      </c>
      <c r="T364" s="92" t="s">
        <v>153</v>
      </c>
      <c r="U364" s="92" t="s">
        <v>248</v>
      </c>
      <c r="V364" s="92"/>
      <c r="W364" s="92"/>
      <c r="X364" s="92"/>
      <c r="Y364" s="92"/>
      <c r="Z364" s="99">
        <v>44781</v>
      </c>
    </row>
    <row r="365" spans="1:26" s="98" customFormat="1" ht="12.6">
      <c r="A365" s="90" t="s">
        <v>1100</v>
      </c>
      <c r="B365" s="90" t="s">
        <v>1101</v>
      </c>
      <c r="C365" s="90" t="s">
        <v>1102</v>
      </c>
      <c r="D365" s="90" t="s">
        <v>26</v>
      </c>
      <c r="E365" s="90" t="s">
        <v>172</v>
      </c>
      <c r="F365" s="90" t="s">
        <v>27</v>
      </c>
      <c r="G365" s="91" t="s">
        <v>417</v>
      </c>
      <c r="H365" s="90" t="s">
        <v>418</v>
      </c>
      <c r="I365" s="92" t="s">
        <v>28</v>
      </c>
      <c r="J365" s="92" t="s">
        <v>28</v>
      </c>
      <c r="K365" s="92" t="s">
        <v>118</v>
      </c>
      <c r="L365" s="93">
        <v>44662</v>
      </c>
      <c r="M365" s="93" t="b">
        <v>0</v>
      </c>
      <c r="N365" s="93">
        <v>45390</v>
      </c>
      <c r="O365" s="94" t="s">
        <v>73</v>
      </c>
      <c r="P365" s="95">
        <v>8</v>
      </c>
      <c r="Q365" s="95"/>
      <c r="R365" s="95">
        <v>3.4</v>
      </c>
      <c r="S365" s="92" t="s">
        <v>119</v>
      </c>
      <c r="T365" s="92" t="s">
        <v>153</v>
      </c>
      <c r="U365" s="92"/>
      <c r="V365" s="92"/>
      <c r="W365" s="86"/>
      <c r="X365" s="92"/>
      <c r="Y365" s="92"/>
      <c r="Z365" s="100" t="s">
        <v>1086</v>
      </c>
    </row>
    <row r="366" spans="1:26" s="106" customFormat="1" ht="12.6">
      <c r="A366" s="90" t="s">
        <v>1100</v>
      </c>
      <c r="B366" s="90" t="s">
        <v>1101</v>
      </c>
      <c r="C366" s="90" t="s">
        <v>1103</v>
      </c>
      <c r="D366" s="90" t="s">
        <v>61</v>
      </c>
      <c r="E366" s="90" t="s">
        <v>299</v>
      </c>
      <c r="F366" s="90" t="s">
        <v>39</v>
      </c>
      <c r="G366" s="91" t="s">
        <v>208</v>
      </c>
      <c r="H366" s="90" t="s">
        <v>238</v>
      </c>
      <c r="I366" s="101" t="s">
        <v>28</v>
      </c>
      <c r="J366" s="101" t="s">
        <v>183</v>
      </c>
      <c r="K366" s="101" t="s">
        <v>118</v>
      </c>
      <c r="L366" s="116"/>
      <c r="M366" s="116" t="b">
        <v>0</v>
      </c>
      <c r="N366" s="116">
        <v>45443</v>
      </c>
      <c r="O366" s="104" t="s">
        <v>95</v>
      </c>
      <c r="P366" s="105">
        <v>1.2</v>
      </c>
      <c r="Q366" s="105">
        <v>1.4</v>
      </c>
      <c r="R366" s="105"/>
      <c r="S366" s="101" t="s">
        <v>119</v>
      </c>
      <c r="T366" s="101" t="s">
        <v>153</v>
      </c>
      <c r="U366" s="101"/>
      <c r="V366" s="101"/>
      <c r="W366" s="86"/>
      <c r="X366" s="101"/>
      <c r="Y366" s="92"/>
      <c r="Z366" s="117">
        <v>44782</v>
      </c>
    </row>
    <row r="367" spans="1:26" s="251" customFormat="1" ht="12.6">
      <c r="A367" s="124" t="s">
        <v>1100</v>
      </c>
      <c r="B367" s="124" t="s">
        <v>1101</v>
      </c>
      <c r="C367" s="124" t="s">
        <v>1104</v>
      </c>
      <c r="D367" s="124" t="s">
        <v>50</v>
      </c>
      <c r="E367" s="124" t="s">
        <v>635</v>
      </c>
      <c r="F367" s="124" t="s">
        <v>39</v>
      </c>
      <c r="G367" s="125" t="s">
        <v>208</v>
      </c>
      <c r="H367" s="124" t="s">
        <v>1105</v>
      </c>
      <c r="I367" s="246" t="s">
        <v>28</v>
      </c>
      <c r="J367" s="246" t="s">
        <v>183</v>
      </c>
      <c r="K367" s="246" t="s">
        <v>118</v>
      </c>
      <c r="L367" s="247"/>
      <c r="M367" s="247" t="b">
        <v>0</v>
      </c>
      <c r="N367" s="247">
        <v>45443</v>
      </c>
      <c r="O367" s="248" t="s">
        <v>95</v>
      </c>
      <c r="P367" s="249"/>
      <c r="Q367" s="249"/>
      <c r="R367" s="249"/>
      <c r="S367" s="246" t="s">
        <v>166</v>
      </c>
      <c r="T367" s="246"/>
      <c r="U367" s="246"/>
      <c r="V367" s="246"/>
      <c r="W367" s="86"/>
      <c r="X367" s="246"/>
      <c r="Y367" s="126" t="s">
        <v>1106</v>
      </c>
      <c r="Z367" s="250">
        <v>44782</v>
      </c>
    </row>
    <row r="368" spans="1:26" ht="12.6">
      <c r="A368" s="85" t="s">
        <v>1107</v>
      </c>
      <c r="B368" s="85" t="s">
        <v>1108</v>
      </c>
      <c r="C368" s="85" t="s">
        <v>1109</v>
      </c>
      <c r="D368" s="85" t="s">
        <v>26</v>
      </c>
      <c r="E368" s="85" t="s">
        <v>172</v>
      </c>
      <c r="F368" s="85" t="s">
        <v>27</v>
      </c>
      <c r="G368" s="89" t="s">
        <v>177</v>
      </c>
      <c r="H368" s="85" t="s">
        <v>1110</v>
      </c>
      <c r="I368" s="86" t="s">
        <v>165</v>
      </c>
      <c r="J368" s="86" t="s">
        <v>40</v>
      </c>
      <c r="K368" s="86" t="s">
        <v>118</v>
      </c>
      <c r="L368" s="87">
        <v>44937</v>
      </c>
      <c r="M368" s="87" t="b">
        <v>0</v>
      </c>
      <c r="N368" s="87"/>
      <c r="P368" s="88"/>
      <c r="Q368" s="88"/>
      <c r="R368" s="88"/>
      <c r="S368" s="86" t="s">
        <v>119</v>
      </c>
      <c r="T368" s="86" t="s">
        <v>153</v>
      </c>
      <c r="U368" s="86"/>
      <c r="V368" s="86"/>
      <c r="W368" s="86"/>
      <c r="X368" s="86"/>
      <c r="Y368" s="86"/>
      <c r="Z368" s="138">
        <v>44879</v>
      </c>
    </row>
    <row r="369" spans="1:26" ht="12.6">
      <c r="A369" s="85" t="s">
        <v>1107</v>
      </c>
      <c r="B369" s="85" t="s">
        <v>1108</v>
      </c>
      <c r="C369" s="85" t="s">
        <v>1111</v>
      </c>
      <c r="D369" s="85" t="s">
        <v>26</v>
      </c>
      <c r="E369" s="85" t="s">
        <v>172</v>
      </c>
      <c r="F369" s="85" t="s">
        <v>27</v>
      </c>
      <c r="G369" s="89" t="s">
        <v>177</v>
      </c>
      <c r="H369" s="85" t="s">
        <v>1110</v>
      </c>
      <c r="I369" s="86" t="s">
        <v>165</v>
      </c>
      <c r="J369" s="86" t="s">
        <v>40</v>
      </c>
      <c r="K369" s="86" t="s">
        <v>118</v>
      </c>
      <c r="L369" s="87">
        <v>44937</v>
      </c>
      <c r="M369" s="87" t="b">
        <v>0</v>
      </c>
      <c r="N369" s="87"/>
      <c r="P369" s="88"/>
      <c r="Q369" s="88"/>
      <c r="R369" s="88"/>
      <c r="S369" s="86" t="s">
        <v>119</v>
      </c>
      <c r="T369" s="86" t="s">
        <v>153</v>
      </c>
      <c r="U369" s="86" t="s">
        <v>199</v>
      </c>
      <c r="V369" s="86"/>
      <c r="W369" s="86"/>
      <c r="X369" s="86"/>
      <c r="Y369" s="86" t="s">
        <v>1112</v>
      </c>
      <c r="Z369" s="154">
        <v>44879</v>
      </c>
    </row>
    <row r="370" spans="1:26" ht="12.6">
      <c r="A370" s="85" t="s">
        <v>1107</v>
      </c>
      <c r="B370" s="85" t="s">
        <v>1108</v>
      </c>
      <c r="C370" s="85" t="s">
        <v>1113</v>
      </c>
      <c r="D370" s="85" t="s">
        <v>61</v>
      </c>
      <c r="E370" s="85" t="s">
        <v>740</v>
      </c>
      <c r="F370" s="85" t="s">
        <v>27</v>
      </c>
      <c r="G370" s="89" t="s">
        <v>163</v>
      </c>
      <c r="H370" s="85" t="s">
        <v>1110</v>
      </c>
      <c r="I370" s="86" t="s">
        <v>165</v>
      </c>
      <c r="J370" s="86" t="s">
        <v>40</v>
      </c>
      <c r="K370" s="86" t="s">
        <v>184</v>
      </c>
      <c r="L370" s="87"/>
      <c r="M370" s="87" t="b">
        <v>0</v>
      </c>
      <c r="N370" s="87"/>
      <c r="P370" s="88"/>
      <c r="Q370" s="88"/>
      <c r="R370" s="88"/>
      <c r="S370" s="86" t="s">
        <v>166</v>
      </c>
      <c r="T370" s="86"/>
      <c r="U370" s="86"/>
      <c r="V370" s="86"/>
      <c r="W370" s="86"/>
      <c r="X370" s="86"/>
      <c r="Y370" s="86" t="s">
        <v>1114</v>
      </c>
      <c r="Z370" s="138">
        <v>44879</v>
      </c>
    </row>
    <row r="371" spans="1:26" ht="12.6">
      <c r="A371" s="85" t="s">
        <v>1107</v>
      </c>
      <c r="B371" s="85" t="s">
        <v>1108</v>
      </c>
      <c r="C371" s="85" t="s">
        <v>1115</v>
      </c>
      <c r="D371" s="85" t="s">
        <v>50</v>
      </c>
      <c r="E371" s="85" t="s">
        <v>635</v>
      </c>
      <c r="F371" s="85" t="s">
        <v>39</v>
      </c>
      <c r="G371" s="89">
        <v>0.5</v>
      </c>
      <c r="H371" s="85" t="s">
        <v>1110</v>
      </c>
      <c r="I371" s="86" t="s">
        <v>28</v>
      </c>
      <c r="J371" s="86" t="s">
        <v>183</v>
      </c>
      <c r="K371" s="86" t="s">
        <v>118</v>
      </c>
      <c r="L371" s="87">
        <v>44937</v>
      </c>
      <c r="M371" s="87" t="b">
        <v>0</v>
      </c>
      <c r="N371" s="87"/>
      <c r="P371" s="88"/>
      <c r="Q371" s="88"/>
      <c r="R371" s="88"/>
      <c r="S371" s="86" t="s">
        <v>166</v>
      </c>
      <c r="T371" s="86"/>
      <c r="U371" s="86"/>
      <c r="V371" s="86"/>
      <c r="W371" s="86"/>
      <c r="X371" s="86"/>
      <c r="Y371" s="86"/>
      <c r="Z371" s="154">
        <v>44879</v>
      </c>
    </row>
    <row r="372" spans="1:26" ht="12.6">
      <c r="A372" s="86" t="s">
        <v>1116</v>
      </c>
      <c r="B372" s="86" t="s">
        <v>1117</v>
      </c>
      <c r="C372" s="86" t="s">
        <v>1118</v>
      </c>
      <c r="D372" s="86" t="s">
        <v>50</v>
      </c>
      <c r="E372" s="86" t="s">
        <v>635</v>
      </c>
      <c r="F372" s="86" t="s">
        <v>39</v>
      </c>
      <c r="G372" s="174" t="s">
        <v>208</v>
      </c>
      <c r="H372" s="86" t="s">
        <v>1119</v>
      </c>
      <c r="I372" s="86" t="s">
        <v>28</v>
      </c>
      <c r="J372" s="86" t="s">
        <v>183</v>
      </c>
      <c r="K372" s="86" t="s">
        <v>118</v>
      </c>
      <c r="L372" s="87"/>
      <c r="M372" s="155" t="b">
        <v>1</v>
      </c>
      <c r="N372" s="87"/>
      <c r="P372" s="88"/>
      <c r="Q372" s="88"/>
      <c r="R372" s="88"/>
      <c r="S372" s="86" t="s">
        <v>166</v>
      </c>
      <c r="T372" s="86"/>
      <c r="U372" s="86"/>
      <c r="V372" s="86"/>
      <c r="W372" s="86"/>
      <c r="X372" s="86"/>
      <c r="Y372" s="86"/>
      <c r="Z372" s="87">
        <v>44662</v>
      </c>
    </row>
    <row r="373" spans="1:26" s="244" customFormat="1" ht="12.6">
      <c r="A373" s="220" t="s">
        <v>1116</v>
      </c>
      <c r="B373" s="220" t="s">
        <v>1117</v>
      </c>
      <c r="C373" s="220" t="s">
        <v>1120</v>
      </c>
      <c r="D373" s="220" t="s">
        <v>26</v>
      </c>
      <c r="E373" s="220" t="s">
        <v>267</v>
      </c>
      <c r="F373" s="220" t="s">
        <v>39</v>
      </c>
      <c r="G373" s="221" t="s">
        <v>208</v>
      </c>
      <c r="H373" s="220" t="s">
        <v>1121</v>
      </c>
      <c r="I373" s="239" t="s">
        <v>28</v>
      </c>
      <c r="J373" s="239" t="s">
        <v>183</v>
      </c>
      <c r="K373" s="239" t="s">
        <v>184</v>
      </c>
      <c r="L373" s="240"/>
      <c r="M373" s="241" t="b">
        <v>0</v>
      </c>
      <c r="N373" s="240">
        <v>45443</v>
      </c>
      <c r="O373" s="219" t="s">
        <v>95</v>
      </c>
      <c r="P373" s="242">
        <v>3</v>
      </c>
      <c r="Q373" s="242">
        <v>2.8</v>
      </c>
      <c r="R373" s="242"/>
      <c r="S373" s="239" t="s">
        <v>119</v>
      </c>
      <c r="T373" s="239"/>
      <c r="U373" s="239"/>
      <c r="V373" s="239"/>
      <c r="W373" s="86"/>
      <c r="X373" s="239"/>
      <c r="Y373" s="239"/>
      <c r="Z373" s="243"/>
    </row>
    <row r="374" spans="1:26" s="106" customFormat="1" ht="12.95" customHeight="1">
      <c r="A374" s="90" t="s">
        <v>1116</v>
      </c>
      <c r="B374" s="90" t="s">
        <v>1117</v>
      </c>
      <c r="C374" s="90" t="s">
        <v>1122</v>
      </c>
      <c r="D374" s="90" t="s">
        <v>50</v>
      </c>
      <c r="E374" s="90" t="s">
        <v>635</v>
      </c>
      <c r="F374" s="90" t="s">
        <v>39</v>
      </c>
      <c r="G374" s="91" t="s">
        <v>208</v>
      </c>
      <c r="H374" s="90" t="s">
        <v>1123</v>
      </c>
      <c r="I374" s="101" t="s">
        <v>28</v>
      </c>
      <c r="J374" s="101" t="s">
        <v>183</v>
      </c>
      <c r="K374" s="101" t="s">
        <v>118</v>
      </c>
      <c r="L374" s="116"/>
      <c r="M374" s="103" t="b">
        <v>1</v>
      </c>
      <c r="N374" s="116">
        <v>45426</v>
      </c>
      <c r="O374" s="104" t="s">
        <v>48</v>
      </c>
      <c r="P374" s="105">
        <v>1.2</v>
      </c>
      <c r="Q374" s="105">
        <v>1.3</v>
      </c>
      <c r="R374" s="105"/>
      <c r="S374" s="101" t="s">
        <v>119</v>
      </c>
      <c r="T374" s="101" t="s">
        <v>153</v>
      </c>
      <c r="U374" s="101"/>
      <c r="V374" s="101"/>
      <c r="W374" s="86"/>
      <c r="X374" s="101"/>
      <c r="Y374" s="101"/>
      <c r="Z374" s="116"/>
    </row>
    <row r="375" spans="1:26" s="244" customFormat="1" ht="12.6">
      <c r="A375" s="220" t="s">
        <v>1116</v>
      </c>
      <c r="B375" s="220" t="s">
        <v>1117</v>
      </c>
      <c r="C375" s="220" t="s">
        <v>1124</v>
      </c>
      <c r="D375" s="220" t="s">
        <v>50</v>
      </c>
      <c r="E375" s="220" t="s">
        <v>635</v>
      </c>
      <c r="F375" s="220" t="s">
        <v>39</v>
      </c>
      <c r="G375" s="221" t="s">
        <v>208</v>
      </c>
      <c r="H375" s="220" t="s">
        <v>1125</v>
      </c>
      <c r="I375" s="239" t="s">
        <v>28</v>
      </c>
      <c r="J375" s="239" t="s">
        <v>183</v>
      </c>
      <c r="K375" s="239" t="s">
        <v>184</v>
      </c>
      <c r="L375" s="245"/>
      <c r="M375" s="240" t="b">
        <v>0</v>
      </c>
      <c r="N375" s="240">
        <v>45443</v>
      </c>
      <c r="O375" s="219" t="s">
        <v>95</v>
      </c>
      <c r="P375" s="242">
        <v>3.2</v>
      </c>
      <c r="Q375" s="242">
        <v>3</v>
      </c>
      <c r="R375" s="242"/>
      <c r="S375" s="239" t="s">
        <v>119</v>
      </c>
      <c r="T375" s="239"/>
      <c r="U375" s="239"/>
      <c r="V375" s="239"/>
      <c r="W375" s="86"/>
      <c r="X375" s="239"/>
      <c r="Y375" s="239"/>
      <c r="Z375" s="225">
        <v>44937</v>
      </c>
    </row>
    <row r="376" spans="1:26" s="106" customFormat="1" ht="12.6">
      <c r="A376" s="90" t="s">
        <v>1116</v>
      </c>
      <c r="B376" s="90" t="s">
        <v>1117</v>
      </c>
      <c r="C376" s="90" t="s">
        <v>1126</v>
      </c>
      <c r="D376" s="90" t="s">
        <v>50</v>
      </c>
      <c r="E376" s="90" t="s">
        <v>635</v>
      </c>
      <c r="F376" s="90" t="s">
        <v>39</v>
      </c>
      <c r="G376" s="91" t="s">
        <v>208</v>
      </c>
      <c r="H376" s="90" t="s">
        <v>1127</v>
      </c>
      <c r="I376" s="101" t="s">
        <v>28</v>
      </c>
      <c r="J376" s="101" t="s">
        <v>183</v>
      </c>
      <c r="K376" s="101" t="s">
        <v>118</v>
      </c>
      <c r="L376" s="116"/>
      <c r="M376" s="116" t="b">
        <v>1</v>
      </c>
      <c r="N376" s="116">
        <v>45426</v>
      </c>
      <c r="O376" s="104" t="s">
        <v>48</v>
      </c>
      <c r="P376" s="105">
        <v>1.8</v>
      </c>
      <c r="Q376" s="105">
        <v>1.5</v>
      </c>
      <c r="R376" s="105"/>
      <c r="S376" s="101" t="s">
        <v>119</v>
      </c>
      <c r="T376" s="101" t="s">
        <v>153</v>
      </c>
      <c r="U376" s="101"/>
      <c r="V376" s="101"/>
      <c r="W376" s="86"/>
      <c r="X376" s="101"/>
      <c r="Y376" s="101"/>
      <c r="Z376" s="117">
        <v>44937</v>
      </c>
    </row>
    <row r="377" spans="1:26" s="161" customFormat="1" ht="12.6">
      <c r="A377" s="85" t="s">
        <v>1116</v>
      </c>
      <c r="B377" s="85" t="s">
        <v>1117</v>
      </c>
      <c r="C377" s="85" t="s">
        <v>1128</v>
      </c>
      <c r="D377" s="85" t="s">
        <v>50</v>
      </c>
      <c r="E377" s="85" t="s">
        <v>828</v>
      </c>
      <c r="F377" s="85" t="s">
        <v>39</v>
      </c>
      <c r="G377" s="89" t="s">
        <v>208</v>
      </c>
      <c r="H377" s="85" t="s">
        <v>1129</v>
      </c>
      <c r="I377" s="156" t="s">
        <v>28</v>
      </c>
      <c r="J377" s="156" t="s">
        <v>183</v>
      </c>
      <c r="K377" s="156" t="s">
        <v>184</v>
      </c>
      <c r="L377" s="171"/>
      <c r="M377" s="171" t="b">
        <v>0</v>
      </c>
      <c r="N377" s="171"/>
      <c r="O377" s="136"/>
      <c r="P377" s="160"/>
      <c r="Q377" s="160"/>
      <c r="R377" s="160"/>
      <c r="S377" s="156" t="s">
        <v>119</v>
      </c>
      <c r="T377" s="156" t="s">
        <v>153</v>
      </c>
      <c r="U377" s="156" t="s">
        <v>153</v>
      </c>
      <c r="V377" s="156"/>
      <c r="W377" s="86"/>
      <c r="X377" s="156"/>
      <c r="Y377" s="156"/>
      <c r="Z377" s="154"/>
    </row>
    <row r="378" spans="1:26" ht="12.6">
      <c r="A378" s="85" t="s">
        <v>1130</v>
      </c>
      <c r="B378" s="85" t="s">
        <v>1131</v>
      </c>
      <c r="C378" s="85" t="s">
        <v>1132</v>
      </c>
      <c r="D378" s="85" t="s">
        <v>50</v>
      </c>
      <c r="E378" s="85" t="s">
        <v>235</v>
      </c>
      <c r="F378" s="85" t="s">
        <v>27</v>
      </c>
      <c r="G378" s="89" t="s">
        <v>173</v>
      </c>
      <c r="H378" s="85" t="s">
        <v>1133</v>
      </c>
      <c r="I378" s="86" t="s">
        <v>165</v>
      </c>
      <c r="J378" s="86" t="s">
        <v>40</v>
      </c>
      <c r="K378" s="86" t="s">
        <v>118</v>
      </c>
      <c r="L378" s="87">
        <v>44750</v>
      </c>
      <c r="M378" s="87" t="b">
        <v>0</v>
      </c>
      <c r="N378" s="87"/>
      <c r="P378" s="88"/>
      <c r="Q378" s="88"/>
      <c r="R378" s="88"/>
      <c r="S378" s="86" t="s">
        <v>119</v>
      </c>
      <c r="T378" s="86" t="s">
        <v>153</v>
      </c>
      <c r="U378" s="86"/>
      <c r="V378" s="86"/>
      <c r="W378" s="86"/>
      <c r="X378" s="86"/>
      <c r="Y378" s="86"/>
      <c r="Z378" s="138">
        <v>44937</v>
      </c>
    </row>
    <row r="379" spans="1:26" s="98" customFormat="1" ht="12.6">
      <c r="A379" s="90" t="s">
        <v>1134</v>
      </c>
      <c r="B379" s="90" t="s">
        <v>1135</v>
      </c>
      <c r="C379" s="90" t="s">
        <v>1136</v>
      </c>
      <c r="D379" s="90" t="s">
        <v>50</v>
      </c>
      <c r="E379" s="90" t="s">
        <v>235</v>
      </c>
      <c r="F379" s="90" t="s">
        <v>27</v>
      </c>
      <c r="G379" s="91" t="s">
        <v>173</v>
      </c>
      <c r="H379" s="90" t="s">
        <v>1137</v>
      </c>
      <c r="I379" s="92" t="s">
        <v>165</v>
      </c>
      <c r="J379" s="92" t="s">
        <v>40</v>
      </c>
      <c r="K379" s="92" t="s">
        <v>118</v>
      </c>
      <c r="L379" s="93">
        <v>44907</v>
      </c>
      <c r="M379" s="93" t="b">
        <v>0</v>
      </c>
      <c r="N379" s="93">
        <v>45638</v>
      </c>
      <c r="O379" s="94" t="s">
        <v>95</v>
      </c>
      <c r="P379" s="95">
        <v>7.2</v>
      </c>
      <c r="Q379" s="95"/>
      <c r="R379" s="95">
        <v>2</v>
      </c>
      <c r="S379" s="92" t="s">
        <v>119</v>
      </c>
      <c r="T379" s="92" t="s">
        <v>153</v>
      </c>
      <c r="U379" s="92"/>
      <c r="V379" s="92"/>
      <c r="W379" s="92"/>
      <c r="X379" s="92"/>
      <c r="Y379" s="92"/>
      <c r="Z379" s="107"/>
    </row>
    <row r="380" spans="1:26" s="98" customFormat="1" ht="12.6">
      <c r="A380" s="90" t="s">
        <v>1134</v>
      </c>
      <c r="B380" s="90" t="s">
        <v>1135</v>
      </c>
      <c r="C380" s="90" t="s">
        <v>1138</v>
      </c>
      <c r="D380" s="90" t="s">
        <v>50</v>
      </c>
      <c r="E380" s="90" t="s">
        <v>568</v>
      </c>
      <c r="F380" s="90" t="s">
        <v>27</v>
      </c>
      <c r="G380" s="91" t="s">
        <v>181</v>
      </c>
      <c r="H380" s="90" t="s">
        <v>1139</v>
      </c>
      <c r="I380" s="92" t="s">
        <v>28</v>
      </c>
      <c r="J380" s="92" t="s">
        <v>28</v>
      </c>
      <c r="K380" s="92" t="s">
        <v>184</v>
      </c>
      <c r="L380" s="93">
        <v>44935</v>
      </c>
      <c r="M380" s="93" t="b">
        <v>0</v>
      </c>
      <c r="N380" s="93">
        <v>45638</v>
      </c>
      <c r="O380" s="94" t="s">
        <v>95</v>
      </c>
      <c r="P380" s="95">
        <v>6.8</v>
      </c>
      <c r="Q380" s="95"/>
      <c r="R380" s="95">
        <v>2.2000000000000002</v>
      </c>
      <c r="S380" s="92" t="s">
        <v>119</v>
      </c>
      <c r="T380" s="92" t="s">
        <v>153</v>
      </c>
      <c r="U380" s="92"/>
      <c r="V380" s="92"/>
      <c r="W380" s="92"/>
      <c r="X380" s="92"/>
      <c r="Y380" s="92"/>
      <c r="Z380" s="116"/>
    </row>
    <row r="381" spans="1:26" s="98" customFormat="1" ht="12.6">
      <c r="A381" s="90" t="s">
        <v>1134</v>
      </c>
      <c r="B381" s="90" t="s">
        <v>1135</v>
      </c>
      <c r="C381" s="90" t="s">
        <v>1140</v>
      </c>
      <c r="D381" s="90" t="s">
        <v>50</v>
      </c>
      <c r="E381" s="90" t="s">
        <v>568</v>
      </c>
      <c r="F381" s="90" t="s">
        <v>27</v>
      </c>
      <c r="G381" s="91" t="s">
        <v>181</v>
      </c>
      <c r="H381" s="90" t="s">
        <v>1141</v>
      </c>
      <c r="I381" s="92" t="s">
        <v>28</v>
      </c>
      <c r="J381" s="92" t="s">
        <v>28</v>
      </c>
      <c r="K381" s="92" t="s">
        <v>118</v>
      </c>
      <c r="L381" s="93">
        <v>44935</v>
      </c>
      <c r="M381" s="93" t="b">
        <v>0</v>
      </c>
      <c r="N381" s="93">
        <v>45638</v>
      </c>
      <c r="O381" s="94" t="s">
        <v>95</v>
      </c>
      <c r="P381" s="95">
        <v>7.2</v>
      </c>
      <c r="Q381" s="95"/>
      <c r="R381" s="95">
        <v>2.2000000000000002</v>
      </c>
      <c r="S381" s="92" t="s">
        <v>119</v>
      </c>
      <c r="T381" s="92" t="s">
        <v>153</v>
      </c>
      <c r="U381" s="92"/>
      <c r="V381" s="92"/>
      <c r="W381" s="92"/>
      <c r="X381" s="92"/>
      <c r="Y381" s="92"/>
      <c r="Z381" s="107"/>
    </row>
    <row r="382" spans="1:26" s="98" customFormat="1" ht="12.6">
      <c r="A382" s="90" t="s">
        <v>1134</v>
      </c>
      <c r="B382" s="90" t="s">
        <v>1135</v>
      </c>
      <c r="C382" s="90" t="s">
        <v>1142</v>
      </c>
      <c r="D382" s="90" t="s">
        <v>50</v>
      </c>
      <c r="E382" s="90" t="s">
        <v>568</v>
      </c>
      <c r="F382" s="90" t="s">
        <v>27</v>
      </c>
      <c r="G382" s="91" t="s">
        <v>181</v>
      </c>
      <c r="H382" s="90" t="s">
        <v>1143</v>
      </c>
      <c r="I382" s="92" t="s">
        <v>28</v>
      </c>
      <c r="J382" s="92" t="s">
        <v>28</v>
      </c>
      <c r="K382" s="92" t="s">
        <v>118</v>
      </c>
      <c r="L382" s="93">
        <v>44907</v>
      </c>
      <c r="M382" s="93" t="b">
        <v>0</v>
      </c>
      <c r="N382" s="93">
        <v>45638</v>
      </c>
      <c r="O382" s="94" t="s">
        <v>95</v>
      </c>
      <c r="P382" s="95">
        <v>5.2</v>
      </c>
      <c r="Q382" s="95"/>
      <c r="R382" s="95">
        <v>2.2000000000000002</v>
      </c>
      <c r="S382" s="92" t="s">
        <v>119</v>
      </c>
      <c r="T382" s="92" t="s">
        <v>153</v>
      </c>
      <c r="U382" s="92"/>
      <c r="V382" s="92"/>
      <c r="W382" s="92"/>
      <c r="X382" s="92"/>
      <c r="Y382" s="92"/>
      <c r="Z382" s="116"/>
    </row>
    <row r="383" spans="1:26" s="98" customFormat="1" ht="12.6">
      <c r="A383" s="90" t="s">
        <v>1134</v>
      </c>
      <c r="B383" s="90" t="s">
        <v>1135</v>
      </c>
      <c r="C383" s="90" t="s">
        <v>1144</v>
      </c>
      <c r="D383" s="90" t="s">
        <v>50</v>
      </c>
      <c r="E383" s="90" t="s">
        <v>568</v>
      </c>
      <c r="F383" s="90" t="s">
        <v>27</v>
      </c>
      <c r="G383" s="91" t="s">
        <v>181</v>
      </c>
      <c r="H383" s="90" t="s">
        <v>1143</v>
      </c>
      <c r="I383" s="92" t="s">
        <v>28</v>
      </c>
      <c r="J383" s="92" t="s">
        <v>28</v>
      </c>
      <c r="K383" s="92" t="s">
        <v>118</v>
      </c>
      <c r="L383" s="93">
        <v>44907</v>
      </c>
      <c r="M383" s="93" t="b">
        <v>0</v>
      </c>
      <c r="N383" s="93">
        <v>45638</v>
      </c>
      <c r="O383" s="94" t="s">
        <v>95</v>
      </c>
      <c r="P383" s="95">
        <v>6.2</v>
      </c>
      <c r="Q383" s="95"/>
      <c r="R383" s="95">
        <v>2</v>
      </c>
      <c r="S383" s="92" t="s">
        <v>119</v>
      </c>
      <c r="T383" s="92" t="s">
        <v>153</v>
      </c>
      <c r="U383" s="92"/>
      <c r="V383" s="92"/>
      <c r="W383" s="92"/>
      <c r="X383" s="92"/>
      <c r="Y383" s="92"/>
      <c r="Z383" s="107"/>
    </row>
    <row r="384" spans="1:26" ht="12.6">
      <c r="A384" s="85" t="s">
        <v>1134</v>
      </c>
      <c r="B384" s="85" t="s">
        <v>1135</v>
      </c>
      <c r="C384" s="85" t="s">
        <v>1145</v>
      </c>
      <c r="D384" s="85" t="s">
        <v>50</v>
      </c>
      <c r="E384" s="85" t="s">
        <v>1146</v>
      </c>
      <c r="F384" s="85" t="s">
        <v>124</v>
      </c>
      <c r="G384" s="89" t="s">
        <v>205</v>
      </c>
      <c r="H384" s="85" t="s">
        <v>1147</v>
      </c>
      <c r="I384" s="86" t="s">
        <v>28</v>
      </c>
      <c r="J384" s="86" t="s">
        <v>52</v>
      </c>
      <c r="K384" s="86" t="s">
        <v>118</v>
      </c>
      <c r="L384" s="87">
        <v>44907</v>
      </c>
      <c r="M384" s="87" t="b">
        <v>0</v>
      </c>
      <c r="N384" s="87"/>
      <c r="P384" s="88"/>
      <c r="Q384" s="88"/>
      <c r="R384" s="88"/>
      <c r="S384" s="86" t="s">
        <v>119</v>
      </c>
      <c r="T384" s="86" t="s">
        <v>153</v>
      </c>
      <c r="U384" s="86"/>
      <c r="V384" s="86"/>
      <c r="W384" s="86"/>
      <c r="X384" s="86"/>
      <c r="Y384" s="86"/>
      <c r="Z384" s="171"/>
    </row>
    <row r="385" spans="1:26" s="98" customFormat="1" ht="12.6">
      <c r="A385" s="90" t="s">
        <v>1134</v>
      </c>
      <c r="B385" s="90" t="s">
        <v>1135</v>
      </c>
      <c r="C385" s="90" t="s">
        <v>1148</v>
      </c>
      <c r="D385" s="90" t="s">
        <v>50</v>
      </c>
      <c r="E385" s="90" t="s">
        <v>1149</v>
      </c>
      <c r="F385" s="90" t="s">
        <v>124</v>
      </c>
      <c r="G385" s="91" t="s">
        <v>173</v>
      </c>
      <c r="H385" s="90" t="s">
        <v>1150</v>
      </c>
      <c r="I385" s="92" t="s">
        <v>28</v>
      </c>
      <c r="J385" s="92" t="s">
        <v>52</v>
      </c>
      <c r="K385" s="92" t="s">
        <v>118</v>
      </c>
      <c r="L385" s="93">
        <v>44907</v>
      </c>
      <c r="M385" s="93" t="b">
        <v>0</v>
      </c>
      <c r="N385" s="93">
        <v>45638</v>
      </c>
      <c r="O385" s="94" t="s">
        <v>95</v>
      </c>
      <c r="P385" s="95">
        <v>2.2000000000000002</v>
      </c>
      <c r="Q385" s="95">
        <v>2</v>
      </c>
      <c r="R385" s="95"/>
      <c r="S385" s="92" t="s">
        <v>119</v>
      </c>
      <c r="T385" s="92" t="s">
        <v>153</v>
      </c>
      <c r="U385" s="92"/>
      <c r="V385" s="92"/>
      <c r="W385" s="92"/>
      <c r="X385" s="92"/>
      <c r="Y385" s="92"/>
      <c r="Z385" s="97">
        <v>44750</v>
      </c>
    </row>
    <row r="386" spans="1:26" s="98" customFormat="1" ht="12.6">
      <c r="A386" s="92" t="s">
        <v>1151</v>
      </c>
      <c r="B386" s="92" t="s">
        <v>1152</v>
      </c>
      <c r="C386" s="92" t="s">
        <v>1153</v>
      </c>
      <c r="D386" s="92" t="s">
        <v>50</v>
      </c>
      <c r="E386" s="92" t="s">
        <v>235</v>
      </c>
      <c r="F386" s="92" t="s">
        <v>27</v>
      </c>
      <c r="G386" s="258" t="s">
        <v>208</v>
      </c>
      <c r="H386" s="92" t="s">
        <v>1154</v>
      </c>
      <c r="I386" s="92" t="s">
        <v>28</v>
      </c>
      <c r="J386" s="92" t="s">
        <v>28</v>
      </c>
      <c r="K386" s="92" t="s">
        <v>118</v>
      </c>
      <c r="L386" s="93">
        <v>44585</v>
      </c>
      <c r="M386" s="93" t="b">
        <v>0</v>
      </c>
      <c r="N386" s="93">
        <v>45315</v>
      </c>
      <c r="O386" s="94" t="s">
        <v>95</v>
      </c>
      <c r="P386" s="95">
        <v>8</v>
      </c>
      <c r="Q386" s="95"/>
      <c r="R386" s="95">
        <v>2.2000000000000002</v>
      </c>
      <c r="S386" s="92" t="s">
        <v>119</v>
      </c>
      <c r="T386" s="92" t="s">
        <v>153</v>
      </c>
      <c r="U386" s="92"/>
      <c r="V386" s="92"/>
      <c r="W386" s="92"/>
      <c r="X386" s="92"/>
      <c r="Y386" s="92"/>
      <c r="Z386" s="93">
        <v>44907</v>
      </c>
    </row>
    <row r="387" spans="1:26" ht="12.6">
      <c r="A387" s="85" t="s">
        <v>1151</v>
      </c>
      <c r="B387" s="85" t="s">
        <v>1152</v>
      </c>
      <c r="C387" s="85" t="s">
        <v>1155</v>
      </c>
      <c r="D387" s="85" t="s">
        <v>50</v>
      </c>
      <c r="E387" s="85" t="s">
        <v>197</v>
      </c>
      <c r="F387" s="85" t="s">
        <v>39</v>
      </c>
      <c r="G387" s="89" t="s">
        <v>251</v>
      </c>
      <c r="H387" s="85" t="s">
        <v>1156</v>
      </c>
      <c r="I387" s="86" t="s">
        <v>28</v>
      </c>
      <c r="J387" s="86" t="s">
        <v>52</v>
      </c>
      <c r="K387" s="86" t="s">
        <v>118</v>
      </c>
      <c r="L387" s="154">
        <v>44585</v>
      </c>
      <c r="M387" s="87" t="b">
        <v>0</v>
      </c>
      <c r="N387" s="154"/>
      <c r="P387" s="88"/>
      <c r="Q387" s="88"/>
      <c r="R387" s="88"/>
      <c r="S387" s="86" t="s">
        <v>119</v>
      </c>
      <c r="T387" s="86" t="s">
        <v>153</v>
      </c>
      <c r="U387" s="86"/>
      <c r="V387" s="86"/>
      <c r="W387" s="86"/>
      <c r="X387" s="86"/>
      <c r="Y387" s="86"/>
      <c r="Z387" s="154">
        <v>44935</v>
      </c>
    </row>
    <row r="388" spans="1:26" ht="12.6">
      <c r="A388" s="85" t="s">
        <v>1151</v>
      </c>
      <c r="B388" s="85" t="s">
        <v>1152</v>
      </c>
      <c r="C388" s="85" t="s">
        <v>1157</v>
      </c>
      <c r="D388" s="85" t="s">
        <v>50</v>
      </c>
      <c r="E388" s="85" t="s">
        <v>197</v>
      </c>
      <c r="F388" s="85" t="s">
        <v>39</v>
      </c>
      <c r="G388" s="89" t="s">
        <v>251</v>
      </c>
      <c r="H388" s="85" t="s">
        <v>1158</v>
      </c>
      <c r="I388" s="86" t="s">
        <v>28</v>
      </c>
      <c r="J388" s="86" t="s">
        <v>52</v>
      </c>
      <c r="K388" s="86" t="s">
        <v>118</v>
      </c>
      <c r="L388" s="154">
        <v>44585</v>
      </c>
      <c r="M388" s="87" t="b">
        <v>0</v>
      </c>
      <c r="N388" s="154"/>
      <c r="P388" s="88"/>
      <c r="Q388" s="88"/>
      <c r="R388" s="88"/>
      <c r="S388" s="86" t="s">
        <v>119</v>
      </c>
      <c r="T388" s="86" t="s">
        <v>153</v>
      </c>
      <c r="U388" s="86"/>
      <c r="V388" s="86"/>
      <c r="W388" s="86"/>
      <c r="X388" s="86"/>
      <c r="Y388" s="86"/>
      <c r="Z388" s="138">
        <v>44935</v>
      </c>
    </row>
    <row r="389" spans="1:26" ht="12.6">
      <c r="A389" s="85" t="s">
        <v>1151</v>
      </c>
      <c r="B389" s="85" t="s">
        <v>1152</v>
      </c>
      <c r="C389" s="85" t="s">
        <v>1159</v>
      </c>
      <c r="D389" s="85" t="s">
        <v>50</v>
      </c>
      <c r="E389" s="85" t="s">
        <v>197</v>
      </c>
      <c r="F389" s="85" t="s">
        <v>39</v>
      </c>
      <c r="G389" s="89" t="s">
        <v>208</v>
      </c>
      <c r="H389" s="85" t="s">
        <v>1160</v>
      </c>
      <c r="I389" s="86" t="s">
        <v>28</v>
      </c>
      <c r="J389" s="86" t="s">
        <v>28</v>
      </c>
      <c r="K389" s="86" t="s">
        <v>118</v>
      </c>
      <c r="L389" s="154">
        <v>44585</v>
      </c>
      <c r="M389" s="87" t="b">
        <v>0</v>
      </c>
      <c r="N389" s="154"/>
      <c r="P389" s="88"/>
      <c r="Q389" s="88"/>
      <c r="R389" s="88"/>
      <c r="S389" s="86" t="s">
        <v>119</v>
      </c>
      <c r="T389" s="86" t="s">
        <v>153</v>
      </c>
      <c r="U389" s="86"/>
      <c r="V389" s="86"/>
      <c r="W389" s="86"/>
      <c r="X389" s="86"/>
      <c r="Y389" s="86"/>
      <c r="Z389" s="154">
        <v>44907</v>
      </c>
    </row>
    <row r="390" spans="1:26" s="131" customFormat="1" ht="12.6">
      <c r="A390" s="124" t="s">
        <v>1151</v>
      </c>
      <c r="B390" s="124" t="s">
        <v>1152</v>
      </c>
      <c r="C390" s="124" t="s">
        <v>1161</v>
      </c>
      <c r="D390" s="124" t="s">
        <v>26</v>
      </c>
      <c r="E390" s="124" t="s">
        <v>267</v>
      </c>
      <c r="F390" s="124" t="s">
        <v>39</v>
      </c>
      <c r="G390" s="125" t="s">
        <v>208</v>
      </c>
      <c r="H390" s="124" t="s">
        <v>1162</v>
      </c>
      <c r="I390" s="126" t="s">
        <v>28</v>
      </c>
      <c r="J390" s="126" t="s">
        <v>183</v>
      </c>
      <c r="K390" s="126" t="s">
        <v>118</v>
      </c>
      <c r="L390" s="135">
        <v>44585</v>
      </c>
      <c r="M390" s="134" t="b">
        <v>1</v>
      </c>
      <c r="N390" s="135">
        <v>45314</v>
      </c>
      <c r="O390" s="128" t="s">
        <v>95</v>
      </c>
      <c r="P390" s="129"/>
      <c r="Q390" s="129"/>
      <c r="R390" s="129"/>
      <c r="S390" s="126" t="s">
        <v>166</v>
      </c>
      <c r="T390" s="126" t="s">
        <v>153</v>
      </c>
      <c r="U390" s="126"/>
      <c r="V390" s="126"/>
      <c r="W390" s="126"/>
      <c r="X390" s="126"/>
      <c r="Y390" s="126" t="s">
        <v>318</v>
      </c>
      <c r="Z390" s="130">
        <v>44907</v>
      </c>
    </row>
    <row r="391" spans="1:26" s="131" customFormat="1" ht="12.75" customHeight="1">
      <c r="A391" s="124" t="s">
        <v>1163</v>
      </c>
      <c r="B391" s="124" t="s">
        <v>1164</v>
      </c>
      <c r="C391" s="124" t="s">
        <v>1165</v>
      </c>
      <c r="D391" s="124" t="s">
        <v>50</v>
      </c>
      <c r="E391" s="124" t="s">
        <v>635</v>
      </c>
      <c r="F391" s="124" t="s">
        <v>39</v>
      </c>
      <c r="G391" s="125" t="s">
        <v>208</v>
      </c>
      <c r="H391" s="124" t="s">
        <v>1166</v>
      </c>
      <c r="I391" s="126" t="s">
        <v>28</v>
      </c>
      <c r="J391" s="126" t="s">
        <v>183</v>
      </c>
      <c r="K391" s="126" t="s">
        <v>118</v>
      </c>
      <c r="L391" s="127">
        <v>44585</v>
      </c>
      <c r="M391" s="134" t="b">
        <v>0</v>
      </c>
      <c r="N391" s="127">
        <v>45314</v>
      </c>
      <c r="O391" s="128" t="s">
        <v>95</v>
      </c>
      <c r="P391" s="129"/>
      <c r="Q391" s="129"/>
      <c r="R391" s="129"/>
      <c r="S391" s="126" t="s">
        <v>119</v>
      </c>
      <c r="T391" s="126" t="s">
        <v>153</v>
      </c>
      <c r="U391" s="126" t="s">
        <v>153</v>
      </c>
      <c r="V391" s="126" t="s">
        <v>167</v>
      </c>
      <c r="W391" s="126" t="s">
        <v>167</v>
      </c>
      <c r="X391" s="126"/>
      <c r="Y391" s="126" t="s">
        <v>1167</v>
      </c>
      <c r="Z391" s="135">
        <v>44907</v>
      </c>
    </row>
    <row r="392" spans="1:26" s="161" customFormat="1" ht="12.6">
      <c r="A392" s="85" t="s">
        <v>1163</v>
      </c>
      <c r="B392" s="85" t="s">
        <v>1164</v>
      </c>
      <c r="C392" s="85" t="s">
        <v>1168</v>
      </c>
      <c r="D392" s="85" t="s">
        <v>26</v>
      </c>
      <c r="E392" s="85" t="s">
        <v>172</v>
      </c>
      <c r="F392" s="85" t="s">
        <v>27</v>
      </c>
      <c r="G392" s="89" t="s">
        <v>163</v>
      </c>
      <c r="H392" s="85" t="s">
        <v>1169</v>
      </c>
      <c r="I392" s="156" t="s">
        <v>165</v>
      </c>
      <c r="J392" s="156" t="s">
        <v>40</v>
      </c>
      <c r="K392" s="156" t="s">
        <v>118</v>
      </c>
      <c r="L392" s="171">
        <v>44585</v>
      </c>
      <c r="M392" s="171" t="b">
        <v>0</v>
      </c>
      <c r="N392" s="171"/>
      <c r="O392" s="159"/>
      <c r="P392" s="160"/>
      <c r="Q392" s="160"/>
      <c r="R392" s="160"/>
      <c r="S392" s="156" t="s">
        <v>119</v>
      </c>
      <c r="T392" s="156" t="s">
        <v>153</v>
      </c>
      <c r="U392" s="156" t="s">
        <v>153</v>
      </c>
      <c r="V392" s="156" t="s">
        <v>167</v>
      </c>
      <c r="W392" s="156" t="s">
        <v>167</v>
      </c>
      <c r="X392" s="156"/>
      <c r="Y392" s="156" t="s">
        <v>1170</v>
      </c>
      <c r="Z392" s="172">
        <v>44907</v>
      </c>
    </row>
    <row r="393" spans="1:26" ht="12.6">
      <c r="A393" s="85" t="s">
        <v>1171</v>
      </c>
      <c r="B393" s="85" t="s">
        <v>1164</v>
      </c>
      <c r="C393" s="85" t="s">
        <v>1172</v>
      </c>
      <c r="D393" s="85" t="s">
        <v>26</v>
      </c>
      <c r="E393" s="85" t="s">
        <v>1173</v>
      </c>
      <c r="F393" s="85" t="s">
        <v>39</v>
      </c>
      <c r="G393" s="89" t="s">
        <v>177</v>
      </c>
      <c r="H393" s="85" t="s">
        <v>1174</v>
      </c>
      <c r="I393" s="86" t="s">
        <v>28</v>
      </c>
      <c r="J393" s="86" t="s">
        <v>183</v>
      </c>
      <c r="K393" s="86" t="s">
        <v>118</v>
      </c>
      <c r="L393" s="87">
        <v>44750</v>
      </c>
      <c r="M393" s="87" t="b">
        <v>0</v>
      </c>
      <c r="N393" s="87"/>
      <c r="P393" s="88"/>
      <c r="Q393" s="88"/>
      <c r="R393" s="88"/>
      <c r="S393" s="86" t="s">
        <v>119</v>
      </c>
      <c r="T393" s="86" t="s">
        <v>153</v>
      </c>
      <c r="U393" s="86" t="s">
        <v>153</v>
      </c>
      <c r="V393" s="86" t="s">
        <v>167</v>
      </c>
      <c r="W393" s="86" t="s">
        <v>167</v>
      </c>
      <c r="X393" s="86"/>
      <c r="Y393" s="86" t="s">
        <v>1175</v>
      </c>
      <c r="Z393" s="154">
        <v>44585</v>
      </c>
    </row>
    <row r="394" spans="1:26" s="98" customFormat="1" ht="12.6">
      <c r="A394" s="90" t="s">
        <v>1176</v>
      </c>
      <c r="B394" s="90" t="s">
        <v>1177</v>
      </c>
      <c r="C394" s="90" t="s">
        <v>1178</v>
      </c>
      <c r="D394" s="90" t="s">
        <v>26</v>
      </c>
      <c r="E394" s="90" t="s">
        <v>370</v>
      </c>
      <c r="F394" s="90" t="s">
        <v>27</v>
      </c>
      <c r="G394" s="91" t="s">
        <v>208</v>
      </c>
      <c r="H394" s="90" t="s">
        <v>1179</v>
      </c>
      <c r="I394" s="92" t="s">
        <v>165</v>
      </c>
      <c r="J394" s="92" t="s">
        <v>40</v>
      </c>
      <c r="K394" s="92" t="s">
        <v>118</v>
      </c>
      <c r="L394" s="93">
        <v>44621</v>
      </c>
      <c r="M394" s="93" t="b">
        <v>0</v>
      </c>
      <c r="N394" s="93">
        <v>45351</v>
      </c>
      <c r="O394" s="94" t="s">
        <v>114</v>
      </c>
      <c r="P394" s="95">
        <v>8.6</v>
      </c>
      <c r="Q394" s="95"/>
      <c r="R394" s="95">
        <v>3.2</v>
      </c>
      <c r="S394" s="92" t="s">
        <v>119</v>
      </c>
      <c r="T394" s="92" t="s">
        <v>153</v>
      </c>
      <c r="U394" s="92"/>
      <c r="V394" s="92"/>
      <c r="W394" s="86"/>
      <c r="X394" s="92"/>
      <c r="Y394" s="92"/>
      <c r="Z394" s="97">
        <v>44585</v>
      </c>
    </row>
    <row r="395" spans="1:26" s="98" customFormat="1" ht="12.6">
      <c r="A395" s="90" t="s">
        <v>1176</v>
      </c>
      <c r="B395" s="90" t="s">
        <v>1177</v>
      </c>
      <c r="C395" s="90" t="s">
        <v>1180</v>
      </c>
      <c r="D395" s="90" t="s">
        <v>50</v>
      </c>
      <c r="E395" s="90" t="s">
        <v>235</v>
      </c>
      <c r="F395" s="90" t="s">
        <v>27</v>
      </c>
      <c r="G395" s="91" t="s">
        <v>173</v>
      </c>
      <c r="H395" s="90" t="s">
        <v>325</v>
      </c>
      <c r="I395" s="92" t="s">
        <v>165</v>
      </c>
      <c r="J395" s="92" t="s">
        <v>40</v>
      </c>
      <c r="K395" s="92" t="s">
        <v>118</v>
      </c>
      <c r="L395" s="93">
        <v>44621</v>
      </c>
      <c r="M395" s="93" t="b">
        <v>0</v>
      </c>
      <c r="N395" s="93">
        <v>45351</v>
      </c>
      <c r="O395" s="94" t="s">
        <v>114</v>
      </c>
      <c r="P395" s="95">
        <v>6.8</v>
      </c>
      <c r="Q395" s="95"/>
      <c r="R395" s="95">
        <v>2.2000000000000002</v>
      </c>
      <c r="S395" s="92" t="s">
        <v>119</v>
      </c>
      <c r="T395" s="92" t="s">
        <v>153</v>
      </c>
      <c r="U395" s="92" t="s">
        <v>248</v>
      </c>
      <c r="V395" s="92"/>
      <c r="W395" s="86"/>
      <c r="X395" s="92"/>
      <c r="Y395" s="92"/>
      <c r="Z395" s="97">
        <v>44585</v>
      </c>
    </row>
    <row r="396" spans="1:26" s="98" customFormat="1" ht="12.6">
      <c r="A396" s="90" t="s">
        <v>1176</v>
      </c>
      <c r="B396" s="90" t="s">
        <v>1177</v>
      </c>
      <c r="C396" s="90" t="s">
        <v>1181</v>
      </c>
      <c r="D396" s="90" t="s">
        <v>26</v>
      </c>
      <c r="E396" s="90" t="s">
        <v>172</v>
      </c>
      <c r="F396" s="90" t="s">
        <v>27</v>
      </c>
      <c r="G396" s="91" t="s">
        <v>163</v>
      </c>
      <c r="H396" s="90" t="s">
        <v>1182</v>
      </c>
      <c r="I396" s="92" t="s">
        <v>165</v>
      </c>
      <c r="J396" s="92" t="s">
        <v>40</v>
      </c>
      <c r="K396" s="92" t="s">
        <v>118</v>
      </c>
      <c r="L396" s="93">
        <v>44683</v>
      </c>
      <c r="M396" s="93" t="b">
        <v>0</v>
      </c>
      <c r="N396" s="93">
        <v>45351</v>
      </c>
      <c r="O396" s="94" t="s">
        <v>114</v>
      </c>
      <c r="P396" s="95">
        <v>5.8</v>
      </c>
      <c r="Q396" s="95"/>
      <c r="R396" s="95">
        <v>2.8</v>
      </c>
      <c r="S396" s="92" t="s">
        <v>119</v>
      </c>
      <c r="T396" s="92" t="s">
        <v>153</v>
      </c>
      <c r="U396" s="92"/>
      <c r="V396" s="92"/>
      <c r="W396" s="86"/>
      <c r="X396" s="92"/>
      <c r="Y396" s="92"/>
      <c r="Z396" s="97">
        <v>44585</v>
      </c>
    </row>
    <row r="397" spans="1:26" s="98" customFormat="1" ht="12.6">
      <c r="A397" s="90" t="s">
        <v>1176</v>
      </c>
      <c r="B397" s="90" t="s">
        <v>1177</v>
      </c>
      <c r="C397" s="90" t="s">
        <v>1183</v>
      </c>
      <c r="D397" s="90" t="s">
        <v>50</v>
      </c>
      <c r="E397" s="90" t="s">
        <v>197</v>
      </c>
      <c r="F397" s="90" t="s">
        <v>39</v>
      </c>
      <c r="G397" s="91" t="s">
        <v>163</v>
      </c>
      <c r="H397" s="90" t="s">
        <v>1184</v>
      </c>
      <c r="I397" s="92" t="s">
        <v>165</v>
      </c>
      <c r="J397" s="92" t="s">
        <v>40</v>
      </c>
      <c r="K397" s="92" t="s">
        <v>118</v>
      </c>
      <c r="L397" s="93">
        <v>44622</v>
      </c>
      <c r="M397" s="93" t="b">
        <v>0</v>
      </c>
      <c r="N397" s="93">
        <v>45351</v>
      </c>
      <c r="O397" s="94" t="s">
        <v>112</v>
      </c>
      <c r="P397" s="95">
        <v>2</v>
      </c>
      <c r="Q397" s="95">
        <v>1</v>
      </c>
      <c r="R397" s="95"/>
      <c r="S397" s="92" t="s">
        <v>119</v>
      </c>
      <c r="T397" s="92" t="s">
        <v>153</v>
      </c>
      <c r="U397" s="92" t="s">
        <v>199</v>
      </c>
      <c r="V397" s="92"/>
      <c r="W397" s="86"/>
      <c r="X397" s="92"/>
      <c r="Y397" s="92"/>
      <c r="Z397" s="97">
        <v>44585</v>
      </c>
    </row>
    <row r="398" spans="1:26" s="98" customFormat="1" ht="12.6">
      <c r="A398" s="90" t="s">
        <v>1176</v>
      </c>
      <c r="B398" s="90" t="s">
        <v>1177</v>
      </c>
      <c r="C398" s="90" t="s">
        <v>1185</v>
      </c>
      <c r="D398" s="90" t="s">
        <v>50</v>
      </c>
      <c r="E398" s="90" t="s">
        <v>635</v>
      </c>
      <c r="F398" s="90" t="s">
        <v>39</v>
      </c>
      <c r="G398" s="91" t="s">
        <v>208</v>
      </c>
      <c r="H398" s="90" t="s">
        <v>544</v>
      </c>
      <c r="I398" s="92" t="s">
        <v>28</v>
      </c>
      <c r="J398" s="92" t="s">
        <v>52</v>
      </c>
      <c r="K398" s="92" t="s">
        <v>118</v>
      </c>
      <c r="L398" s="93">
        <v>44621</v>
      </c>
      <c r="M398" s="93" t="b">
        <v>0</v>
      </c>
      <c r="N398" s="93">
        <v>45351</v>
      </c>
      <c r="O398" s="94" t="s">
        <v>114</v>
      </c>
      <c r="P398" s="95">
        <v>2.2000000000000002</v>
      </c>
      <c r="Q398" s="95">
        <v>2</v>
      </c>
      <c r="R398" s="95"/>
      <c r="S398" s="92" t="s">
        <v>119</v>
      </c>
      <c r="T398" s="92" t="s">
        <v>153</v>
      </c>
      <c r="U398" s="92"/>
      <c r="V398" s="92"/>
      <c r="W398" s="86"/>
      <c r="X398" s="92"/>
      <c r="Y398" s="92"/>
      <c r="Z398" s="99">
        <v>44585</v>
      </c>
    </row>
    <row r="399" spans="1:26" s="98" customFormat="1" ht="12.6">
      <c r="A399" s="90" t="s">
        <v>1186</v>
      </c>
      <c r="B399" s="90" t="s">
        <v>1187</v>
      </c>
      <c r="C399" s="90" t="s">
        <v>1188</v>
      </c>
      <c r="D399" s="90" t="s">
        <v>26</v>
      </c>
      <c r="E399" s="90" t="s">
        <v>684</v>
      </c>
      <c r="F399" s="90" t="s">
        <v>27</v>
      </c>
      <c r="G399" s="91" t="s">
        <v>181</v>
      </c>
      <c r="H399" s="90" t="s">
        <v>557</v>
      </c>
      <c r="I399" s="92" t="s">
        <v>28</v>
      </c>
      <c r="J399" s="92" t="s">
        <v>28</v>
      </c>
      <c r="K399" s="92" t="s">
        <v>118</v>
      </c>
      <c r="L399" s="93">
        <v>44623</v>
      </c>
      <c r="M399" s="93" t="b">
        <v>0</v>
      </c>
      <c r="N399" s="93">
        <v>45351</v>
      </c>
      <c r="O399" s="94" t="s">
        <v>114</v>
      </c>
      <c r="P399" s="95">
        <v>8.8000000000000007</v>
      </c>
      <c r="Q399" s="95">
        <v>4.5999999999999996</v>
      </c>
      <c r="R399" s="95"/>
      <c r="S399" s="92" t="s">
        <v>119</v>
      </c>
      <c r="T399" s="92" t="s">
        <v>153</v>
      </c>
      <c r="U399" s="92" t="s">
        <v>199</v>
      </c>
      <c r="V399" s="92"/>
      <c r="W399" s="86"/>
      <c r="X399" s="92"/>
      <c r="Y399" s="92"/>
      <c r="Z399" s="97">
        <v>44585</v>
      </c>
    </row>
    <row r="400" spans="1:26" s="98" customFormat="1" ht="12.6">
      <c r="A400" s="90" t="s">
        <v>1186</v>
      </c>
      <c r="B400" s="90" t="s">
        <v>1189</v>
      </c>
      <c r="C400" s="90" t="s">
        <v>1190</v>
      </c>
      <c r="D400" s="90" t="s">
        <v>26</v>
      </c>
      <c r="E400" s="90" t="s">
        <v>256</v>
      </c>
      <c r="F400" s="90" t="s">
        <v>39</v>
      </c>
      <c r="G400" s="91" t="s">
        <v>201</v>
      </c>
      <c r="H400" s="90" t="s">
        <v>544</v>
      </c>
      <c r="I400" s="92" t="s">
        <v>28</v>
      </c>
      <c r="J400" s="92" t="s">
        <v>52</v>
      </c>
      <c r="K400" s="92" t="s">
        <v>118</v>
      </c>
      <c r="L400" s="93">
        <v>44622</v>
      </c>
      <c r="M400" s="93" t="b">
        <v>0</v>
      </c>
      <c r="N400" s="93">
        <v>45351</v>
      </c>
      <c r="O400" s="94" t="s">
        <v>114</v>
      </c>
      <c r="P400" s="108">
        <v>2.6</v>
      </c>
      <c r="Q400" s="95">
        <v>6.8</v>
      </c>
      <c r="R400" s="95"/>
      <c r="S400" s="92" t="s">
        <v>119</v>
      </c>
      <c r="T400" s="92" t="s">
        <v>153</v>
      </c>
      <c r="U400" s="92"/>
      <c r="V400" s="92"/>
      <c r="W400" s="86"/>
      <c r="X400" s="92"/>
      <c r="Y400" s="92"/>
      <c r="Z400" s="99">
        <v>44750</v>
      </c>
    </row>
    <row r="401" spans="1:26" s="98" customFormat="1" ht="12.6">
      <c r="A401" s="90" t="s">
        <v>1186</v>
      </c>
      <c r="B401" s="90" t="s">
        <v>1191</v>
      </c>
      <c r="C401" s="90" t="s">
        <v>1192</v>
      </c>
      <c r="D401" s="90" t="s">
        <v>50</v>
      </c>
      <c r="E401" s="90" t="s">
        <v>197</v>
      </c>
      <c r="F401" s="90" t="s">
        <v>39</v>
      </c>
      <c r="G401" s="91" t="s">
        <v>163</v>
      </c>
      <c r="H401" s="90" t="s">
        <v>1193</v>
      </c>
      <c r="I401" s="92" t="s">
        <v>165</v>
      </c>
      <c r="J401" s="92" t="s">
        <v>40</v>
      </c>
      <c r="K401" s="92" t="s">
        <v>118</v>
      </c>
      <c r="L401" s="93">
        <v>44629</v>
      </c>
      <c r="M401" s="93" t="b">
        <v>0</v>
      </c>
      <c r="N401" s="93">
        <v>45314</v>
      </c>
      <c r="O401" s="94" t="s">
        <v>95</v>
      </c>
      <c r="P401" s="95">
        <v>7.8</v>
      </c>
      <c r="Q401" s="95"/>
      <c r="R401" s="95">
        <v>3.2</v>
      </c>
      <c r="S401" s="92" t="s">
        <v>119</v>
      </c>
      <c r="T401" s="92" t="s">
        <v>153</v>
      </c>
      <c r="U401" s="92"/>
      <c r="V401" s="92"/>
      <c r="W401" s="86"/>
      <c r="X401" s="92"/>
      <c r="Y401" s="92"/>
      <c r="Z401" s="97">
        <v>44621</v>
      </c>
    </row>
    <row r="402" spans="1:26" s="98" customFormat="1" ht="12.6">
      <c r="A402" s="90" t="s">
        <v>1194</v>
      </c>
      <c r="B402" s="90" t="s">
        <v>1028</v>
      </c>
      <c r="C402" s="90" t="s">
        <v>1195</v>
      </c>
      <c r="D402" s="90" t="s">
        <v>50</v>
      </c>
      <c r="E402" s="90" t="s">
        <v>235</v>
      </c>
      <c r="F402" s="90" t="s">
        <v>27</v>
      </c>
      <c r="G402" s="91" t="s">
        <v>208</v>
      </c>
      <c r="H402" s="90" t="s">
        <v>1196</v>
      </c>
      <c r="I402" s="92" t="s">
        <v>28</v>
      </c>
      <c r="J402" s="92" t="s">
        <v>28</v>
      </c>
      <c r="K402" s="92" t="s">
        <v>118</v>
      </c>
      <c r="L402" s="93">
        <v>44621</v>
      </c>
      <c r="M402" s="93" t="b">
        <v>0</v>
      </c>
      <c r="N402" s="93">
        <v>45314</v>
      </c>
      <c r="O402" s="94" t="s">
        <v>95</v>
      </c>
      <c r="P402" s="95">
        <v>7</v>
      </c>
      <c r="Q402" s="95"/>
      <c r="R402" s="95">
        <v>2.2000000000000002</v>
      </c>
      <c r="S402" s="92" t="s">
        <v>119</v>
      </c>
      <c r="T402" s="92" t="s">
        <v>153</v>
      </c>
      <c r="U402" s="92"/>
      <c r="V402" s="92"/>
      <c r="W402" s="86"/>
      <c r="X402" s="92"/>
      <c r="Y402" s="92"/>
      <c r="Z402" s="99">
        <v>44621</v>
      </c>
    </row>
    <row r="403" spans="1:26" s="98" customFormat="1" ht="12.6">
      <c r="A403" s="90" t="s">
        <v>1197</v>
      </c>
      <c r="B403" s="90" t="s">
        <v>1198</v>
      </c>
      <c r="C403" s="90" t="s">
        <v>1199</v>
      </c>
      <c r="D403" s="90" t="s">
        <v>71</v>
      </c>
      <c r="E403" s="90" t="s">
        <v>1200</v>
      </c>
      <c r="F403" s="90" t="s">
        <v>27</v>
      </c>
      <c r="G403" s="91" t="s">
        <v>673</v>
      </c>
      <c r="H403" s="90" t="s">
        <v>503</v>
      </c>
      <c r="I403" s="92" t="s">
        <v>28</v>
      </c>
      <c r="J403" s="92" t="s">
        <v>52</v>
      </c>
      <c r="K403" s="92" t="s">
        <v>118</v>
      </c>
      <c r="L403" s="93">
        <v>44621</v>
      </c>
      <c r="M403" s="93" t="b">
        <v>0</v>
      </c>
      <c r="N403" s="93">
        <v>45351</v>
      </c>
      <c r="O403" s="94" t="s">
        <v>73</v>
      </c>
      <c r="P403" s="95">
        <v>6</v>
      </c>
      <c r="Q403" s="95"/>
      <c r="R403" s="95">
        <v>2.8</v>
      </c>
      <c r="S403" s="92" t="s">
        <v>119</v>
      </c>
      <c r="T403" s="92" t="s">
        <v>153</v>
      </c>
      <c r="U403" s="92"/>
      <c r="V403" s="92"/>
      <c r="W403" s="86"/>
      <c r="X403" s="92"/>
      <c r="Y403" s="92"/>
      <c r="Z403" s="97">
        <v>44683</v>
      </c>
    </row>
    <row r="404" spans="1:26" s="98" customFormat="1" ht="12.6">
      <c r="A404" s="90" t="s">
        <v>1197</v>
      </c>
      <c r="B404" s="90" t="s">
        <v>1201</v>
      </c>
      <c r="C404" s="90" t="s">
        <v>1202</v>
      </c>
      <c r="D404" s="90" t="s">
        <v>26</v>
      </c>
      <c r="E404" s="90" t="s">
        <v>172</v>
      </c>
      <c r="F404" s="90" t="s">
        <v>27</v>
      </c>
      <c r="G404" s="91" t="s">
        <v>173</v>
      </c>
      <c r="H404" s="90" t="s">
        <v>247</v>
      </c>
      <c r="I404" s="92" t="s">
        <v>165</v>
      </c>
      <c r="J404" s="92" t="s">
        <v>40</v>
      </c>
      <c r="K404" s="92" t="s">
        <v>118</v>
      </c>
      <c r="L404" s="93">
        <v>44622</v>
      </c>
      <c r="M404" s="93" t="b">
        <v>0</v>
      </c>
      <c r="N404" s="93">
        <v>45351</v>
      </c>
      <c r="O404" s="94" t="s">
        <v>73</v>
      </c>
      <c r="P404" s="95">
        <v>7.4</v>
      </c>
      <c r="Q404" s="95"/>
      <c r="R404" s="95">
        <v>4</v>
      </c>
      <c r="S404" s="92" t="s">
        <v>119</v>
      </c>
      <c r="T404" s="92" t="s">
        <v>153</v>
      </c>
      <c r="U404" s="92"/>
      <c r="V404" s="92"/>
      <c r="W404" s="86"/>
      <c r="X404" s="92"/>
      <c r="Y404" s="92"/>
      <c r="Z404" s="99">
        <v>44622</v>
      </c>
    </row>
    <row r="405" spans="1:26" s="98" customFormat="1" ht="12.6">
      <c r="A405" s="90" t="s">
        <v>1203</v>
      </c>
      <c r="B405" s="90" t="s">
        <v>1204</v>
      </c>
      <c r="C405" s="90" t="s">
        <v>1205</v>
      </c>
      <c r="D405" s="90" t="s">
        <v>61</v>
      </c>
      <c r="E405" s="90" t="s">
        <v>1206</v>
      </c>
      <c r="F405" s="90" t="s">
        <v>39</v>
      </c>
      <c r="G405" s="91" t="s">
        <v>227</v>
      </c>
      <c r="H405" s="90" t="s">
        <v>247</v>
      </c>
      <c r="I405" s="92" t="s">
        <v>28</v>
      </c>
      <c r="J405" s="92" t="s">
        <v>28</v>
      </c>
      <c r="K405" s="92" t="s">
        <v>118</v>
      </c>
      <c r="L405" s="93">
        <v>44621</v>
      </c>
      <c r="M405" s="93" t="b">
        <v>0</v>
      </c>
      <c r="N405" s="93">
        <v>45351</v>
      </c>
      <c r="O405" s="94" t="s">
        <v>114</v>
      </c>
      <c r="P405" s="95">
        <v>2.4</v>
      </c>
      <c r="Q405" s="95">
        <v>2.2000000000000002</v>
      </c>
      <c r="R405" s="95"/>
      <c r="S405" s="92" t="s">
        <v>119</v>
      </c>
      <c r="T405" s="92" t="s">
        <v>153</v>
      </c>
      <c r="U405" s="92"/>
      <c r="V405" s="92"/>
      <c r="W405" s="86"/>
      <c r="X405" s="92"/>
      <c r="Y405" s="92"/>
      <c r="Z405" s="97">
        <v>44621</v>
      </c>
    </row>
    <row r="406" spans="1:26" ht="12.6">
      <c r="A406" s="85" t="s">
        <v>1207</v>
      </c>
      <c r="B406" s="85" t="s">
        <v>1208</v>
      </c>
      <c r="C406" s="85" t="s">
        <v>1209</v>
      </c>
      <c r="D406" s="85" t="s">
        <v>38</v>
      </c>
      <c r="E406" s="85" t="s">
        <v>563</v>
      </c>
      <c r="F406" s="85" t="s">
        <v>39</v>
      </c>
      <c r="G406" s="89" t="s">
        <v>201</v>
      </c>
      <c r="H406" s="85" t="s">
        <v>544</v>
      </c>
      <c r="I406" s="86" t="s">
        <v>28</v>
      </c>
      <c r="J406" s="86" t="s">
        <v>52</v>
      </c>
      <c r="K406" s="86" t="s">
        <v>118</v>
      </c>
      <c r="L406" s="87">
        <v>44600</v>
      </c>
      <c r="M406" s="87" t="b">
        <v>0</v>
      </c>
      <c r="N406" s="87"/>
      <c r="P406" s="88"/>
      <c r="Q406" s="88"/>
      <c r="R406" s="88"/>
      <c r="S406" s="86" t="s">
        <v>119</v>
      </c>
      <c r="T406" s="86" t="s">
        <v>153</v>
      </c>
      <c r="U406" s="86"/>
      <c r="V406" s="86"/>
      <c r="W406" s="86"/>
      <c r="X406" s="86"/>
      <c r="Y406" s="86"/>
      <c r="Z406" s="138">
        <v>44623</v>
      </c>
    </row>
    <row r="407" spans="1:26" ht="12.6">
      <c r="A407" s="85" t="s">
        <v>1207</v>
      </c>
      <c r="B407" s="85" t="s">
        <v>1208</v>
      </c>
      <c r="C407" s="85" t="s">
        <v>1210</v>
      </c>
      <c r="D407" s="85" t="s">
        <v>26</v>
      </c>
      <c r="E407" s="85" t="s">
        <v>1211</v>
      </c>
      <c r="F407" s="85" t="s">
        <v>27</v>
      </c>
      <c r="G407" s="89" t="s">
        <v>208</v>
      </c>
      <c r="H407" s="85" t="s">
        <v>418</v>
      </c>
      <c r="I407" s="86" t="s">
        <v>28</v>
      </c>
      <c r="J407" s="86" t="s">
        <v>28</v>
      </c>
      <c r="K407" s="86" t="s">
        <v>118</v>
      </c>
      <c r="L407" s="87">
        <v>44600</v>
      </c>
      <c r="M407" s="87" t="b">
        <v>0</v>
      </c>
      <c r="N407" s="87"/>
      <c r="P407" s="88"/>
      <c r="Q407" s="88"/>
      <c r="R407" s="88"/>
      <c r="S407" s="86" t="s">
        <v>119</v>
      </c>
      <c r="T407" s="86" t="s">
        <v>153</v>
      </c>
      <c r="U407" s="86"/>
      <c r="V407" s="86"/>
      <c r="W407" s="86"/>
      <c r="X407" s="86"/>
      <c r="Y407" s="86"/>
      <c r="Z407" s="154">
        <v>44622</v>
      </c>
    </row>
    <row r="408" spans="1:26" s="98" customFormat="1" ht="12.6">
      <c r="A408" s="90" t="s">
        <v>1212</v>
      </c>
      <c r="B408" s="90" t="s">
        <v>1213</v>
      </c>
      <c r="C408" s="90" t="s">
        <v>1214</v>
      </c>
      <c r="D408" s="90" t="s">
        <v>26</v>
      </c>
      <c r="E408" s="90" t="s">
        <v>351</v>
      </c>
      <c r="F408" s="90" t="s">
        <v>27</v>
      </c>
      <c r="G408" s="91" t="s">
        <v>163</v>
      </c>
      <c r="H408" s="90" t="s">
        <v>1215</v>
      </c>
      <c r="I408" s="92" t="s">
        <v>165</v>
      </c>
      <c r="J408" s="92" t="s">
        <v>40</v>
      </c>
      <c r="K408" s="92" t="s">
        <v>118</v>
      </c>
      <c r="L408" s="93">
        <v>44704</v>
      </c>
      <c r="M408" s="93" t="b">
        <v>0</v>
      </c>
      <c r="N408" s="93">
        <v>45443</v>
      </c>
      <c r="O408" s="94" t="s">
        <v>48</v>
      </c>
      <c r="P408" s="95">
        <v>6.8</v>
      </c>
      <c r="Q408" s="95"/>
      <c r="R408" s="95">
        <v>3.3</v>
      </c>
      <c r="S408" s="92" t="s">
        <v>119</v>
      </c>
      <c r="T408" s="92" t="s">
        <v>153</v>
      </c>
      <c r="U408" s="92"/>
      <c r="V408" s="92"/>
      <c r="W408" s="86"/>
      <c r="X408" s="92"/>
      <c r="Y408" s="92"/>
      <c r="Z408" s="99">
        <v>44629</v>
      </c>
    </row>
    <row r="409" spans="1:26" s="98" customFormat="1" ht="12.6">
      <c r="A409" s="90" t="s">
        <v>1212</v>
      </c>
      <c r="B409" s="90" t="s">
        <v>1213</v>
      </c>
      <c r="C409" s="90" t="s">
        <v>1216</v>
      </c>
      <c r="D409" s="90" t="s">
        <v>26</v>
      </c>
      <c r="E409" s="90" t="s">
        <v>351</v>
      </c>
      <c r="F409" s="90" t="s">
        <v>27</v>
      </c>
      <c r="G409" s="91" t="s">
        <v>208</v>
      </c>
      <c r="H409" s="90" t="s">
        <v>633</v>
      </c>
      <c r="I409" s="92" t="s">
        <v>28</v>
      </c>
      <c r="J409" s="92" t="s">
        <v>28</v>
      </c>
      <c r="K409" s="92" t="s">
        <v>118</v>
      </c>
      <c r="L409" s="93">
        <v>44704</v>
      </c>
      <c r="M409" s="93" t="b">
        <v>0</v>
      </c>
      <c r="N409" s="93">
        <v>45443</v>
      </c>
      <c r="O409" s="94" t="s">
        <v>48</v>
      </c>
      <c r="P409" s="95">
        <v>7.2</v>
      </c>
      <c r="Q409" s="95"/>
      <c r="R409" s="95">
        <v>4</v>
      </c>
      <c r="S409" s="92" t="s">
        <v>119</v>
      </c>
      <c r="T409" s="92" t="s">
        <v>153</v>
      </c>
      <c r="U409" s="92"/>
      <c r="V409" s="92"/>
      <c r="W409" s="86"/>
      <c r="X409" s="92"/>
      <c r="Y409" s="92"/>
      <c r="Z409" s="97">
        <v>44621</v>
      </c>
    </row>
    <row r="410" spans="1:26" s="98" customFormat="1" ht="12.6">
      <c r="A410" s="90" t="s">
        <v>1212</v>
      </c>
      <c r="B410" s="90" t="s">
        <v>1213</v>
      </c>
      <c r="C410" s="90" t="s">
        <v>1217</v>
      </c>
      <c r="D410" s="90" t="s">
        <v>76</v>
      </c>
      <c r="E410" s="90" t="s">
        <v>1218</v>
      </c>
      <c r="F410" s="90" t="s">
        <v>39</v>
      </c>
      <c r="G410" s="91" t="s">
        <v>251</v>
      </c>
      <c r="H410" s="90" t="s">
        <v>1219</v>
      </c>
      <c r="I410" s="92" t="s">
        <v>28</v>
      </c>
      <c r="J410" s="92" t="s">
        <v>52</v>
      </c>
      <c r="K410" s="92" t="s">
        <v>118</v>
      </c>
      <c r="L410" s="93">
        <v>44704</v>
      </c>
      <c r="M410" s="93" t="b">
        <v>0</v>
      </c>
      <c r="N410" s="93">
        <v>45443</v>
      </c>
      <c r="O410" s="94" t="s">
        <v>48</v>
      </c>
      <c r="P410" s="95">
        <v>2.5</v>
      </c>
      <c r="Q410" s="95">
        <v>1.4</v>
      </c>
      <c r="R410" s="95"/>
      <c r="S410" s="92" t="s">
        <v>119</v>
      </c>
      <c r="T410" s="92" t="s">
        <v>153</v>
      </c>
      <c r="U410" s="92"/>
      <c r="V410" s="92"/>
      <c r="W410" s="86"/>
      <c r="X410" s="92"/>
      <c r="Y410" s="92"/>
      <c r="Z410" s="99">
        <v>44621</v>
      </c>
    </row>
    <row r="411" spans="1:26" s="98" customFormat="1" ht="12.6">
      <c r="A411" s="90" t="s">
        <v>1212</v>
      </c>
      <c r="B411" s="90" t="s">
        <v>1213</v>
      </c>
      <c r="C411" s="90" t="s">
        <v>1220</v>
      </c>
      <c r="D411" s="90" t="s">
        <v>26</v>
      </c>
      <c r="E411" s="90" t="s">
        <v>267</v>
      </c>
      <c r="F411" s="90" t="s">
        <v>39</v>
      </c>
      <c r="G411" s="91" t="s">
        <v>208</v>
      </c>
      <c r="H411" s="90" t="s">
        <v>1221</v>
      </c>
      <c r="I411" s="92" t="s">
        <v>28</v>
      </c>
      <c r="J411" s="92" t="s">
        <v>183</v>
      </c>
      <c r="K411" s="92" t="s">
        <v>184</v>
      </c>
      <c r="L411" s="93">
        <v>44704</v>
      </c>
      <c r="M411" s="93" t="b">
        <v>0</v>
      </c>
      <c r="N411" s="93">
        <v>45443</v>
      </c>
      <c r="O411" s="94" t="s">
        <v>48</v>
      </c>
      <c r="P411" s="95">
        <v>1.8</v>
      </c>
      <c r="Q411" s="95">
        <v>2</v>
      </c>
      <c r="R411" s="95"/>
      <c r="S411" s="92" t="s">
        <v>119</v>
      </c>
      <c r="T411" s="92" t="s">
        <v>153</v>
      </c>
      <c r="U411" s="92"/>
      <c r="V411" s="92"/>
      <c r="W411" s="86"/>
      <c r="X411" s="92"/>
      <c r="Y411" s="92"/>
      <c r="Z411" s="97">
        <v>44622</v>
      </c>
    </row>
    <row r="412" spans="1:26" ht="12.6">
      <c r="A412" s="85" t="s">
        <v>1212</v>
      </c>
      <c r="B412" s="85" t="s">
        <v>1213</v>
      </c>
      <c r="C412" s="85" t="s">
        <v>1222</v>
      </c>
      <c r="D412" s="85" t="s">
        <v>26</v>
      </c>
      <c r="E412" s="85" t="s">
        <v>176</v>
      </c>
      <c r="F412" s="85" t="s">
        <v>39</v>
      </c>
      <c r="G412" s="89" t="s">
        <v>208</v>
      </c>
      <c r="H412" s="85" t="s">
        <v>1223</v>
      </c>
      <c r="I412" s="86" t="s">
        <v>28</v>
      </c>
      <c r="J412" s="86" t="s">
        <v>183</v>
      </c>
      <c r="K412" s="86" t="s">
        <v>118</v>
      </c>
      <c r="L412" s="87">
        <v>44704</v>
      </c>
      <c r="M412" s="87" t="b">
        <v>0</v>
      </c>
      <c r="N412" s="87"/>
      <c r="P412" s="88"/>
      <c r="Q412" s="88"/>
      <c r="R412" s="88"/>
      <c r="S412" s="86" t="s">
        <v>166</v>
      </c>
      <c r="T412" s="86"/>
      <c r="U412" s="86"/>
      <c r="V412" s="86"/>
      <c r="W412" s="86"/>
      <c r="X412" s="86"/>
      <c r="Y412" s="86"/>
      <c r="Z412" s="138">
        <v>44621</v>
      </c>
    </row>
    <row r="413" spans="1:26" ht="12.6">
      <c r="A413" s="85" t="s">
        <v>1212</v>
      </c>
      <c r="B413" s="85" t="s">
        <v>1213</v>
      </c>
      <c r="C413" s="85" t="s">
        <v>1224</v>
      </c>
      <c r="D413" s="85" t="s">
        <v>26</v>
      </c>
      <c r="E413" s="85" t="s">
        <v>254</v>
      </c>
      <c r="F413" s="85" t="s">
        <v>39</v>
      </c>
      <c r="G413" s="89" t="s">
        <v>208</v>
      </c>
      <c r="H413" s="85" t="s">
        <v>1223</v>
      </c>
      <c r="I413" s="86" t="s">
        <v>28</v>
      </c>
      <c r="J413" s="86" t="s">
        <v>183</v>
      </c>
      <c r="K413" s="86" t="s">
        <v>118</v>
      </c>
      <c r="L413" s="87">
        <v>44704</v>
      </c>
      <c r="M413" s="87" t="b">
        <v>0</v>
      </c>
      <c r="N413" s="87">
        <v>45427</v>
      </c>
      <c r="O413" s="136" t="s">
        <v>73</v>
      </c>
      <c r="P413" s="88"/>
      <c r="Q413" s="88"/>
      <c r="R413" s="88"/>
      <c r="S413" s="86" t="s">
        <v>166</v>
      </c>
      <c r="T413" s="86"/>
      <c r="U413" s="86"/>
      <c r="V413" s="86"/>
      <c r="W413" s="86"/>
      <c r="X413" s="86"/>
      <c r="Y413" s="86"/>
      <c r="Z413" s="154">
        <v>44600</v>
      </c>
    </row>
    <row r="414" spans="1:26" s="98" customFormat="1" ht="12.6">
      <c r="A414" s="90" t="s">
        <v>1212</v>
      </c>
      <c r="B414" s="90" t="s">
        <v>1213</v>
      </c>
      <c r="C414" s="90" t="s">
        <v>1225</v>
      </c>
      <c r="D414" s="90" t="s">
        <v>26</v>
      </c>
      <c r="E414" s="90" t="s">
        <v>1226</v>
      </c>
      <c r="F414" s="90" t="s">
        <v>123</v>
      </c>
      <c r="G414" s="91" t="s">
        <v>173</v>
      </c>
      <c r="H414" s="90" t="s">
        <v>1227</v>
      </c>
      <c r="I414" s="92" t="s">
        <v>165</v>
      </c>
      <c r="J414" s="92" t="s">
        <v>40</v>
      </c>
      <c r="K414" s="92" t="s">
        <v>118</v>
      </c>
      <c r="L414" s="93">
        <v>44704</v>
      </c>
      <c r="M414" s="93" t="b">
        <v>0</v>
      </c>
      <c r="N414" s="93">
        <v>45443</v>
      </c>
      <c r="O414" s="95" t="s">
        <v>48</v>
      </c>
      <c r="P414" s="108">
        <v>1.9</v>
      </c>
      <c r="Q414" s="95"/>
      <c r="R414" s="95">
        <v>1.5</v>
      </c>
      <c r="S414" s="92" t="s">
        <v>119</v>
      </c>
      <c r="T414" s="92" t="s">
        <v>153</v>
      </c>
      <c r="U414" s="92"/>
      <c r="V414" s="92"/>
      <c r="W414" s="86"/>
      <c r="X414" s="92"/>
      <c r="Y414" s="92"/>
      <c r="Z414" s="99">
        <v>44600</v>
      </c>
    </row>
    <row r="415" spans="1:26" s="98" customFormat="1" ht="12.6">
      <c r="A415" s="90" t="s">
        <v>1212</v>
      </c>
      <c r="B415" s="90" t="s">
        <v>1213</v>
      </c>
      <c r="C415" s="90" t="s">
        <v>1228</v>
      </c>
      <c r="D415" s="90" t="s">
        <v>26</v>
      </c>
      <c r="E415" s="90" t="s">
        <v>1226</v>
      </c>
      <c r="F415" s="90" t="s">
        <v>123</v>
      </c>
      <c r="G415" s="91" t="s">
        <v>173</v>
      </c>
      <c r="H415" s="90" t="s">
        <v>1229</v>
      </c>
      <c r="I415" s="92" t="s">
        <v>165</v>
      </c>
      <c r="J415" s="92" t="s">
        <v>40</v>
      </c>
      <c r="K415" s="92" t="s">
        <v>118</v>
      </c>
      <c r="L415" s="93">
        <v>44704</v>
      </c>
      <c r="M415" s="93" t="b">
        <v>0</v>
      </c>
      <c r="N415" s="93">
        <v>45443</v>
      </c>
      <c r="O415" s="94" t="s">
        <v>48</v>
      </c>
      <c r="P415" s="95">
        <v>1.4</v>
      </c>
      <c r="Q415" s="95"/>
      <c r="R415" s="95">
        <v>1.7</v>
      </c>
      <c r="S415" s="92" t="s">
        <v>119</v>
      </c>
      <c r="T415" s="92" t="s">
        <v>153</v>
      </c>
      <c r="U415" s="92"/>
      <c r="V415" s="92"/>
      <c r="W415" s="86"/>
      <c r="X415" s="92"/>
      <c r="Y415" s="92"/>
      <c r="Z415" s="97">
        <v>44704</v>
      </c>
    </row>
    <row r="416" spans="1:26" s="98" customFormat="1" ht="12.6">
      <c r="A416" s="90" t="s">
        <v>1230</v>
      </c>
      <c r="B416" s="90" t="s">
        <v>1231</v>
      </c>
      <c r="C416" s="90" t="s">
        <v>1232</v>
      </c>
      <c r="D416" s="90" t="s">
        <v>26</v>
      </c>
      <c r="E416" s="90" t="s">
        <v>256</v>
      </c>
      <c r="F416" s="90" t="s">
        <v>39</v>
      </c>
      <c r="G416" s="91" t="s">
        <v>205</v>
      </c>
      <c r="H416" s="90" t="s">
        <v>1233</v>
      </c>
      <c r="I416" s="92" t="s">
        <v>28</v>
      </c>
      <c r="J416" s="92" t="s">
        <v>52</v>
      </c>
      <c r="K416" s="92" t="s">
        <v>118</v>
      </c>
      <c r="L416" s="93">
        <v>44621</v>
      </c>
      <c r="M416" s="93" t="b">
        <v>0</v>
      </c>
      <c r="N416" s="93">
        <v>45352</v>
      </c>
      <c r="O416" s="94" t="s">
        <v>114</v>
      </c>
      <c r="P416" s="95">
        <v>3</v>
      </c>
      <c r="Q416" s="95">
        <v>3.2</v>
      </c>
      <c r="R416" s="95"/>
      <c r="S416" s="92" t="s">
        <v>119</v>
      </c>
      <c r="T416" s="92" t="s">
        <v>153</v>
      </c>
      <c r="U416" s="92"/>
      <c r="V416" s="92"/>
      <c r="W416" s="86"/>
      <c r="X416" s="92"/>
      <c r="Y416" s="92"/>
      <c r="Z416" s="99">
        <v>44704</v>
      </c>
    </row>
    <row r="417" spans="1:26" ht="12" customHeight="1">
      <c r="A417" s="85" t="s">
        <v>1230</v>
      </c>
      <c r="B417" s="85" t="s">
        <v>1231</v>
      </c>
      <c r="C417" s="85" t="s">
        <v>1234</v>
      </c>
      <c r="D417" s="85" t="s">
        <v>26</v>
      </c>
      <c r="E417" s="85" t="s">
        <v>256</v>
      </c>
      <c r="F417" s="85" t="s">
        <v>39</v>
      </c>
      <c r="G417" s="89" t="s">
        <v>673</v>
      </c>
      <c r="H417" s="85" t="s">
        <v>1235</v>
      </c>
      <c r="I417" s="86" t="s">
        <v>28</v>
      </c>
      <c r="J417" s="86" t="s">
        <v>52</v>
      </c>
      <c r="K417" s="86" t="s">
        <v>118</v>
      </c>
      <c r="L417" s="87">
        <v>44621</v>
      </c>
      <c r="M417" s="87" t="b">
        <v>0</v>
      </c>
      <c r="N417" s="87"/>
      <c r="P417" s="88"/>
      <c r="Q417" s="88"/>
      <c r="R417" s="88"/>
      <c r="S417" s="86" t="s">
        <v>119</v>
      </c>
      <c r="T417" s="86" t="s">
        <v>153</v>
      </c>
      <c r="U417" s="86"/>
      <c r="V417" s="86"/>
      <c r="W417" s="86"/>
      <c r="X417" s="86"/>
      <c r="Y417" s="86"/>
      <c r="Z417" s="154">
        <v>44704</v>
      </c>
    </row>
    <row r="418" spans="1:26" ht="12.6">
      <c r="A418" s="85" t="s">
        <v>1230</v>
      </c>
      <c r="B418" s="85" t="s">
        <v>1231</v>
      </c>
      <c r="C418" s="85" t="s">
        <v>1236</v>
      </c>
      <c r="D418" s="85" t="s">
        <v>50</v>
      </c>
      <c r="E418" s="85" t="s">
        <v>197</v>
      </c>
      <c r="F418" s="85" t="s">
        <v>39</v>
      </c>
      <c r="G418" s="89" t="s">
        <v>208</v>
      </c>
      <c r="H418" s="85" t="s">
        <v>209</v>
      </c>
      <c r="I418" s="86" t="s">
        <v>28</v>
      </c>
      <c r="J418" s="86" t="s">
        <v>183</v>
      </c>
      <c r="K418" s="86" t="s">
        <v>184</v>
      </c>
      <c r="L418" s="87">
        <v>44750</v>
      </c>
      <c r="M418" s="87" t="b">
        <v>0</v>
      </c>
      <c r="N418" s="87"/>
      <c r="P418" s="88"/>
      <c r="Q418" s="88"/>
      <c r="R418" s="88"/>
      <c r="S418" s="86" t="s">
        <v>166</v>
      </c>
      <c r="T418" s="86"/>
      <c r="U418" s="86"/>
      <c r="V418" s="86"/>
      <c r="W418" s="86"/>
      <c r="X418" s="86"/>
      <c r="Y418" s="86" t="s">
        <v>318</v>
      </c>
      <c r="Z418" s="138">
        <v>44704</v>
      </c>
    </row>
    <row r="419" spans="1:26" ht="12.6">
      <c r="A419" s="85" t="s">
        <v>1230</v>
      </c>
      <c r="B419" s="85" t="s">
        <v>1231</v>
      </c>
      <c r="C419" s="85" t="s">
        <v>1237</v>
      </c>
      <c r="D419" s="85" t="s">
        <v>26</v>
      </c>
      <c r="E419" s="85" t="s">
        <v>172</v>
      </c>
      <c r="F419" s="85" t="s">
        <v>27</v>
      </c>
      <c r="G419" s="89" t="s">
        <v>173</v>
      </c>
      <c r="H419" s="85" t="s">
        <v>633</v>
      </c>
      <c r="I419" s="86" t="s">
        <v>165</v>
      </c>
      <c r="J419" s="86" t="s">
        <v>40</v>
      </c>
      <c r="K419" s="86" t="s">
        <v>118</v>
      </c>
      <c r="L419" s="87">
        <v>44648</v>
      </c>
      <c r="M419" s="87" t="b">
        <v>0</v>
      </c>
      <c r="N419" s="87"/>
      <c r="P419" s="88"/>
      <c r="Q419" s="137"/>
      <c r="R419" s="88"/>
      <c r="S419" s="86" t="s">
        <v>119</v>
      </c>
      <c r="T419" s="86" t="s">
        <v>153</v>
      </c>
      <c r="U419" s="86" t="s">
        <v>153</v>
      </c>
      <c r="V419" s="86"/>
      <c r="W419" s="86"/>
      <c r="X419" s="86"/>
      <c r="Y419" s="86"/>
      <c r="Z419" s="154">
        <v>44704</v>
      </c>
    </row>
    <row r="420" spans="1:26" ht="12.6">
      <c r="A420" s="85" t="s">
        <v>1238</v>
      </c>
      <c r="B420" s="85" t="s">
        <v>1239</v>
      </c>
      <c r="C420" s="85" t="s">
        <v>1240</v>
      </c>
      <c r="D420" s="85" t="s">
        <v>26</v>
      </c>
      <c r="E420" s="85" t="s">
        <v>172</v>
      </c>
      <c r="F420" s="85" t="s">
        <v>27</v>
      </c>
      <c r="G420" s="89" t="s">
        <v>163</v>
      </c>
      <c r="H420" s="85" t="s">
        <v>1241</v>
      </c>
      <c r="I420" s="86" t="s">
        <v>165</v>
      </c>
      <c r="J420" s="86" t="s">
        <v>40</v>
      </c>
      <c r="K420" s="86" t="s">
        <v>118</v>
      </c>
      <c r="L420" s="87">
        <v>44648</v>
      </c>
      <c r="M420" s="87" t="b">
        <v>0</v>
      </c>
      <c r="N420" s="87"/>
      <c r="P420" s="88"/>
      <c r="Q420" s="137"/>
      <c r="R420" s="88"/>
      <c r="S420" s="86" t="s">
        <v>119</v>
      </c>
      <c r="T420" s="86" t="s">
        <v>153</v>
      </c>
      <c r="U420" s="86" t="s">
        <v>199</v>
      </c>
      <c r="V420" s="86"/>
      <c r="W420" s="86"/>
      <c r="X420" s="86"/>
      <c r="Y420" s="86"/>
      <c r="Z420" s="138">
        <v>44704</v>
      </c>
    </row>
    <row r="421" spans="1:26" ht="12.6">
      <c r="A421" s="85" t="s">
        <v>1238</v>
      </c>
      <c r="B421" s="85" t="s">
        <v>1239</v>
      </c>
      <c r="C421" s="85" t="s">
        <v>1242</v>
      </c>
      <c r="D421" s="85" t="s">
        <v>26</v>
      </c>
      <c r="E421" s="85" t="s">
        <v>172</v>
      </c>
      <c r="F421" s="85" t="s">
        <v>27</v>
      </c>
      <c r="G421" s="89" t="s">
        <v>173</v>
      </c>
      <c r="H421" s="85" t="s">
        <v>1243</v>
      </c>
      <c r="I421" s="86" t="s">
        <v>165</v>
      </c>
      <c r="J421" s="86" t="s">
        <v>40</v>
      </c>
      <c r="K421" s="86" t="s">
        <v>118</v>
      </c>
      <c r="L421" s="87">
        <v>44648</v>
      </c>
      <c r="M421" s="87" t="b">
        <v>0</v>
      </c>
      <c r="N421" s="87"/>
      <c r="P421" s="88"/>
      <c r="Q421" s="137"/>
      <c r="R421" s="88"/>
      <c r="S421" s="86" t="s">
        <v>166</v>
      </c>
      <c r="T421" s="86"/>
      <c r="U421" s="86"/>
      <c r="V421" s="86"/>
      <c r="W421" s="86"/>
      <c r="X421" s="86"/>
      <c r="Y421" s="86" t="s">
        <v>1244</v>
      </c>
      <c r="Z421" s="154">
        <v>44704</v>
      </c>
    </row>
    <row r="422" spans="1:26" s="188" customFormat="1" ht="13.5" customHeight="1">
      <c r="A422" s="180" t="s">
        <v>1238</v>
      </c>
      <c r="B422" s="180" t="s">
        <v>1239</v>
      </c>
      <c r="C422" s="180" t="s">
        <v>1245</v>
      </c>
      <c r="D422" s="180" t="s">
        <v>50</v>
      </c>
      <c r="E422" s="180" t="s">
        <v>568</v>
      </c>
      <c r="F422" s="180" t="s">
        <v>27</v>
      </c>
      <c r="G422" s="181" t="s">
        <v>173</v>
      </c>
      <c r="H422" s="180" t="s">
        <v>1246</v>
      </c>
      <c r="I422" s="182" t="s">
        <v>165</v>
      </c>
      <c r="J422" s="182" t="s">
        <v>40</v>
      </c>
      <c r="K422" s="182" t="s">
        <v>118</v>
      </c>
      <c r="L422" s="183">
        <v>44648</v>
      </c>
      <c r="M422" s="183" t="b">
        <v>0</v>
      </c>
      <c r="N422" s="183"/>
      <c r="O422" s="185"/>
      <c r="P422" s="186"/>
      <c r="Q422" s="200"/>
      <c r="R422" s="186"/>
      <c r="S422" s="182" t="s">
        <v>119</v>
      </c>
      <c r="T422" s="182" t="s">
        <v>153</v>
      </c>
      <c r="U422" s="182" t="s">
        <v>153</v>
      </c>
      <c r="V422" s="182" t="s">
        <v>167</v>
      </c>
      <c r="W422" s="182" t="s">
        <v>167</v>
      </c>
      <c r="X422" s="182"/>
      <c r="Y422" s="182"/>
      <c r="Z422" s="190">
        <v>44704</v>
      </c>
    </row>
    <row r="423" spans="1:26" s="188" customFormat="1" ht="13.5" customHeight="1">
      <c r="A423" s="180" t="s">
        <v>1238</v>
      </c>
      <c r="B423" s="180" t="s">
        <v>1239</v>
      </c>
      <c r="C423" s="180" t="s">
        <v>1247</v>
      </c>
      <c r="D423" s="180" t="s">
        <v>50</v>
      </c>
      <c r="E423" s="180" t="s">
        <v>235</v>
      </c>
      <c r="F423" s="180" t="s">
        <v>27</v>
      </c>
      <c r="G423" s="181" t="s">
        <v>173</v>
      </c>
      <c r="H423" s="180" t="s">
        <v>1248</v>
      </c>
      <c r="I423" s="182" t="s">
        <v>165</v>
      </c>
      <c r="J423" s="182" t="s">
        <v>40</v>
      </c>
      <c r="K423" s="182" t="s">
        <v>118</v>
      </c>
      <c r="L423" s="183">
        <v>44648</v>
      </c>
      <c r="M423" s="183" t="b">
        <v>0</v>
      </c>
      <c r="N423" s="183"/>
      <c r="O423" s="185"/>
      <c r="P423" s="186"/>
      <c r="Q423" s="186"/>
      <c r="R423" s="186"/>
      <c r="S423" s="182" t="s">
        <v>166</v>
      </c>
      <c r="T423" s="182"/>
      <c r="U423" s="182"/>
      <c r="V423" s="182"/>
      <c r="W423" s="182" t="s">
        <v>194</v>
      </c>
      <c r="X423" s="182"/>
      <c r="Y423" s="182" t="s">
        <v>1249</v>
      </c>
      <c r="Z423" s="191">
        <v>44621</v>
      </c>
    </row>
    <row r="424" spans="1:26" s="188" customFormat="1" ht="12.75" customHeight="1">
      <c r="A424" s="180" t="s">
        <v>1238</v>
      </c>
      <c r="B424" s="180" t="s">
        <v>1239</v>
      </c>
      <c r="C424" s="180" t="s">
        <v>1250</v>
      </c>
      <c r="D424" s="180" t="s">
        <v>50</v>
      </c>
      <c r="E424" s="180" t="s">
        <v>197</v>
      </c>
      <c r="F424" s="180" t="s">
        <v>39</v>
      </c>
      <c r="G424" s="181" t="s">
        <v>163</v>
      </c>
      <c r="H424" s="180" t="s">
        <v>1251</v>
      </c>
      <c r="I424" s="182" t="s">
        <v>165</v>
      </c>
      <c r="J424" s="182" t="s">
        <v>40</v>
      </c>
      <c r="K424" s="182" t="s">
        <v>118</v>
      </c>
      <c r="L424" s="183">
        <v>44648</v>
      </c>
      <c r="M424" s="183" t="b">
        <v>0</v>
      </c>
      <c r="N424" s="183"/>
      <c r="O424" s="185"/>
      <c r="P424" s="186"/>
      <c r="Q424" s="186"/>
      <c r="R424" s="186"/>
      <c r="S424" s="182" t="s">
        <v>166</v>
      </c>
      <c r="T424" s="182"/>
      <c r="U424" s="182"/>
      <c r="V424" s="182"/>
      <c r="W424" s="182" t="s">
        <v>194</v>
      </c>
      <c r="X424" s="182" t="s">
        <v>1252</v>
      </c>
      <c r="Y424" s="182"/>
      <c r="Z424" s="190">
        <v>44621</v>
      </c>
    </row>
    <row r="425" spans="1:26" ht="13.5" customHeight="1">
      <c r="A425" s="85" t="s">
        <v>1238</v>
      </c>
      <c r="B425" s="85" t="s">
        <v>1239</v>
      </c>
      <c r="C425" s="85" t="s">
        <v>1253</v>
      </c>
      <c r="D425" s="85" t="s">
        <v>26</v>
      </c>
      <c r="E425" s="85" t="s">
        <v>223</v>
      </c>
      <c r="F425" s="85" t="s">
        <v>39</v>
      </c>
      <c r="G425" s="89" t="s">
        <v>673</v>
      </c>
      <c r="H425" s="85" t="s">
        <v>1254</v>
      </c>
      <c r="I425" s="86" t="s">
        <v>28</v>
      </c>
      <c r="J425" s="86" t="s">
        <v>52</v>
      </c>
      <c r="K425" s="86" t="s">
        <v>118</v>
      </c>
      <c r="L425" s="87">
        <v>44648</v>
      </c>
      <c r="M425" s="87" t="b">
        <v>0</v>
      </c>
      <c r="N425" s="87"/>
      <c r="P425" s="88"/>
      <c r="Q425" s="88"/>
      <c r="R425" s="137"/>
      <c r="S425" s="86" t="s">
        <v>119</v>
      </c>
      <c r="T425" s="86" t="s">
        <v>153</v>
      </c>
      <c r="U425" s="86"/>
      <c r="V425" s="86"/>
      <c r="W425" s="86"/>
      <c r="X425" s="86"/>
      <c r="Y425" s="86"/>
      <c r="Z425" s="154">
        <v>44750</v>
      </c>
    </row>
    <row r="426" spans="1:26" ht="13.5" customHeight="1">
      <c r="A426" s="85" t="s">
        <v>1238</v>
      </c>
      <c r="B426" s="85" t="s">
        <v>1239</v>
      </c>
      <c r="C426" s="85" t="s">
        <v>1255</v>
      </c>
      <c r="D426" s="85" t="s">
        <v>26</v>
      </c>
      <c r="E426" s="85" t="s">
        <v>223</v>
      </c>
      <c r="F426" s="85" t="s">
        <v>39</v>
      </c>
      <c r="G426" s="89" t="s">
        <v>673</v>
      </c>
      <c r="H426" s="85" t="s">
        <v>1256</v>
      </c>
      <c r="I426" s="86" t="s">
        <v>28</v>
      </c>
      <c r="J426" s="86" t="s">
        <v>52</v>
      </c>
      <c r="K426" s="86" t="s">
        <v>118</v>
      </c>
      <c r="L426" s="87">
        <v>44648</v>
      </c>
      <c r="M426" s="87" t="b">
        <v>0</v>
      </c>
      <c r="N426" s="87"/>
      <c r="P426" s="88"/>
      <c r="Q426" s="88"/>
      <c r="R426" s="137"/>
      <c r="S426" s="86" t="s">
        <v>119</v>
      </c>
      <c r="T426" s="86" t="s">
        <v>153</v>
      </c>
      <c r="U426" s="86"/>
      <c r="V426" s="86"/>
      <c r="W426" s="86"/>
      <c r="X426" s="86"/>
      <c r="Y426" s="86"/>
      <c r="Z426" s="138">
        <v>44648</v>
      </c>
    </row>
    <row r="427" spans="1:26" ht="13.5" customHeight="1">
      <c r="A427" s="85" t="s">
        <v>1238</v>
      </c>
      <c r="B427" s="85" t="s">
        <v>1239</v>
      </c>
      <c r="C427" s="85" t="s">
        <v>1257</v>
      </c>
      <c r="D427" s="85" t="s">
        <v>26</v>
      </c>
      <c r="E427" s="85" t="s">
        <v>223</v>
      </c>
      <c r="F427" s="85" t="s">
        <v>39</v>
      </c>
      <c r="G427" s="89" t="s">
        <v>673</v>
      </c>
      <c r="H427" s="85" t="s">
        <v>1258</v>
      </c>
      <c r="I427" s="86" t="s">
        <v>28</v>
      </c>
      <c r="J427" s="86" t="s">
        <v>52</v>
      </c>
      <c r="K427" s="86" t="s">
        <v>118</v>
      </c>
      <c r="L427" s="87">
        <v>44648</v>
      </c>
      <c r="M427" s="87" t="b">
        <v>0</v>
      </c>
      <c r="N427" s="87"/>
      <c r="P427" s="88"/>
      <c r="Q427" s="88"/>
      <c r="R427" s="137"/>
      <c r="S427" s="86" t="s">
        <v>119</v>
      </c>
      <c r="T427" s="86" t="s">
        <v>153</v>
      </c>
      <c r="U427" s="86"/>
      <c r="V427" s="86"/>
      <c r="W427" s="86"/>
      <c r="X427" s="86"/>
      <c r="Y427" s="86"/>
      <c r="Z427" s="154">
        <v>44648</v>
      </c>
    </row>
    <row r="428" spans="1:26" ht="12.6">
      <c r="A428" s="85" t="s">
        <v>1238</v>
      </c>
      <c r="B428" s="85" t="s">
        <v>1239</v>
      </c>
      <c r="C428" s="85" t="s">
        <v>1259</v>
      </c>
      <c r="D428" s="85" t="s">
        <v>26</v>
      </c>
      <c r="E428" s="85" t="s">
        <v>256</v>
      </c>
      <c r="F428" s="85" t="s">
        <v>39</v>
      </c>
      <c r="G428" s="89" t="s">
        <v>673</v>
      </c>
      <c r="H428" s="85" t="s">
        <v>1260</v>
      </c>
      <c r="I428" s="86" t="s">
        <v>28</v>
      </c>
      <c r="J428" s="86" t="s">
        <v>52</v>
      </c>
      <c r="K428" s="86" t="s">
        <v>118</v>
      </c>
      <c r="L428" s="87">
        <v>44648</v>
      </c>
      <c r="M428" s="87" t="b">
        <v>0</v>
      </c>
      <c r="N428" s="87"/>
      <c r="P428" s="88"/>
      <c r="Q428" s="88"/>
      <c r="R428" s="137"/>
      <c r="S428" s="86" t="s">
        <v>119</v>
      </c>
      <c r="T428" s="86" t="s">
        <v>153</v>
      </c>
      <c r="U428" s="86"/>
      <c r="V428" s="86"/>
      <c r="W428" s="86"/>
      <c r="X428" s="86"/>
      <c r="Y428" s="86"/>
      <c r="Z428" s="138">
        <v>44648</v>
      </c>
    </row>
    <row r="429" spans="1:26" s="98" customFormat="1" ht="12.6">
      <c r="A429" s="90" t="s">
        <v>1261</v>
      </c>
      <c r="B429" s="90" t="s">
        <v>1262</v>
      </c>
      <c r="C429" s="90" t="s">
        <v>1263</v>
      </c>
      <c r="D429" s="90" t="s">
        <v>26</v>
      </c>
      <c r="E429" s="90" t="s">
        <v>1173</v>
      </c>
      <c r="F429" s="90" t="s">
        <v>39</v>
      </c>
      <c r="G429" s="91" t="s">
        <v>1264</v>
      </c>
      <c r="H429" s="90" t="s">
        <v>1265</v>
      </c>
      <c r="I429" s="92" t="s">
        <v>28</v>
      </c>
      <c r="J429" s="92" t="s">
        <v>28</v>
      </c>
      <c r="K429" s="92" t="s">
        <v>118</v>
      </c>
      <c r="L429" s="93">
        <v>44936</v>
      </c>
      <c r="M429" s="93" t="b">
        <v>0</v>
      </c>
      <c r="N429" s="93" t="s">
        <v>1266</v>
      </c>
      <c r="O429" s="94" t="s">
        <v>35</v>
      </c>
      <c r="P429" s="95">
        <v>3.8</v>
      </c>
      <c r="Q429" s="95">
        <v>3.6</v>
      </c>
      <c r="R429" s="95"/>
      <c r="S429" s="92" t="s">
        <v>119</v>
      </c>
      <c r="T429" s="92" t="s">
        <v>153</v>
      </c>
      <c r="U429" s="92"/>
      <c r="V429" s="92"/>
      <c r="W429" s="92"/>
      <c r="X429" s="92"/>
      <c r="Y429" s="92"/>
      <c r="Z429" s="97">
        <v>44648</v>
      </c>
    </row>
    <row r="430" spans="1:26" s="161" customFormat="1" ht="12.6">
      <c r="A430" s="85" t="s">
        <v>1261</v>
      </c>
      <c r="B430" s="85" t="s">
        <v>1262</v>
      </c>
      <c r="C430" s="85" t="s">
        <v>1267</v>
      </c>
      <c r="D430" s="85" t="s">
        <v>26</v>
      </c>
      <c r="E430" s="85" t="s">
        <v>256</v>
      </c>
      <c r="F430" s="85" t="s">
        <v>39</v>
      </c>
      <c r="G430" s="89" t="s">
        <v>673</v>
      </c>
      <c r="H430" s="85" t="s">
        <v>1268</v>
      </c>
      <c r="I430" s="156" t="s">
        <v>28</v>
      </c>
      <c r="J430" s="156" t="s">
        <v>52</v>
      </c>
      <c r="K430" s="156" t="s">
        <v>118</v>
      </c>
      <c r="L430" s="171">
        <v>44873</v>
      </c>
      <c r="M430" s="171" t="b">
        <v>0</v>
      </c>
      <c r="N430" s="171"/>
      <c r="O430" s="159"/>
      <c r="P430" s="160"/>
      <c r="Q430" s="160"/>
      <c r="R430" s="160"/>
      <c r="S430" s="156" t="s">
        <v>119</v>
      </c>
      <c r="T430" s="156" t="s">
        <v>153</v>
      </c>
      <c r="U430" s="156"/>
      <c r="V430" s="156"/>
      <c r="W430" s="86"/>
      <c r="X430" s="156"/>
      <c r="Y430" s="156"/>
      <c r="Z430" s="172">
        <v>44648</v>
      </c>
    </row>
    <row r="431" spans="1:26" s="131" customFormat="1" ht="12.6">
      <c r="A431" s="124" t="s">
        <v>1261</v>
      </c>
      <c r="B431" s="124" t="s">
        <v>1262</v>
      </c>
      <c r="C431" s="124" t="s">
        <v>1269</v>
      </c>
      <c r="D431" s="124" t="s">
        <v>26</v>
      </c>
      <c r="E431" s="124" t="s">
        <v>172</v>
      </c>
      <c r="F431" s="124" t="s">
        <v>27</v>
      </c>
      <c r="G431" s="125" t="s">
        <v>173</v>
      </c>
      <c r="H431" s="124" t="s">
        <v>640</v>
      </c>
      <c r="I431" s="126" t="s">
        <v>165</v>
      </c>
      <c r="J431" s="126" t="s">
        <v>40</v>
      </c>
      <c r="K431" s="126" t="s">
        <v>118</v>
      </c>
      <c r="L431" s="127">
        <v>44873</v>
      </c>
      <c r="M431" s="127" t="b">
        <v>0</v>
      </c>
      <c r="N431" s="127">
        <v>45467</v>
      </c>
      <c r="O431" s="128" t="s">
        <v>35</v>
      </c>
      <c r="P431" s="129"/>
      <c r="Q431" s="129"/>
      <c r="R431" s="129"/>
      <c r="S431" s="126" t="s">
        <v>119</v>
      </c>
      <c r="T431" s="126" t="s">
        <v>153</v>
      </c>
      <c r="U431" s="126"/>
      <c r="V431" s="126"/>
      <c r="W431" s="126"/>
      <c r="X431" s="126"/>
      <c r="Y431" s="126"/>
      <c r="Z431" s="135">
        <v>44648</v>
      </c>
    </row>
    <row r="432" spans="1:26" s="106" customFormat="1" ht="12.6">
      <c r="A432" s="90" t="s">
        <v>1261</v>
      </c>
      <c r="B432" s="90" t="s">
        <v>1262</v>
      </c>
      <c r="C432" s="90" t="s">
        <v>1270</v>
      </c>
      <c r="D432" s="90" t="s">
        <v>50</v>
      </c>
      <c r="E432" s="90" t="s">
        <v>1271</v>
      </c>
      <c r="F432" s="90" t="s">
        <v>39</v>
      </c>
      <c r="G432" s="91" t="s">
        <v>205</v>
      </c>
      <c r="H432" s="90" t="s">
        <v>1272</v>
      </c>
      <c r="I432" s="101" t="s">
        <v>28</v>
      </c>
      <c r="J432" s="101" t="s">
        <v>52</v>
      </c>
      <c r="K432" s="101" t="s">
        <v>118</v>
      </c>
      <c r="L432" s="116">
        <v>44873</v>
      </c>
      <c r="M432" s="116" t="b">
        <v>0</v>
      </c>
      <c r="N432" s="116">
        <v>45595</v>
      </c>
      <c r="O432" s="104" t="s">
        <v>98</v>
      </c>
      <c r="P432" s="105">
        <v>1.8</v>
      </c>
      <c r="Q432" s="105">
        <v>1.7</v>
      </c>
      <c r="R432" s="105"/>
      <c r="S432" s="101" t="s">
        <v>119</v>
      </c>
      <c r="T432" s="101" t="s">
        <v>153</v>
      </c>
      <c r="U432" s="101"/>
      <c r="V432" s="101"/>
      <c r="W432" s="101"/>
      <c r="X432" s="101"/>
      <c r="Y432" s="101"/>
      <c r="Z432" s="117">
        <v>44648</v>
      </c>
    </row>
    <row r="433" spans="1:26" s="131" customFormat="1" ht="12.6">
      <c r="A433" s="124" t="s">
        <v>1273</v>
      </c>
      <c r="B433" s="124" t="s">
        <v>1274</v>
      </c>
      <c r="C433" s="124" t="s">
        <v>1275</v>
      </c>
      <c r="D433" s="124" t="s">
        <v>26</v>
      </c>
      <c r="E433" s="124" t="s">
        <v>172</v>
      </c>
      <c r="F433" s="124" t="s">
        <v>27</v>
      </c>
      <c r="G433" s="125" t="s">
        <v>163</v>
      </c>
      <c r="H433" s="124" t="s">
        <v>1276</v>
      </c>
      <c r="I433" s="126" t="s">
        <v>165</v>
      </c>
      <c r="J433" s="126" t="s">
        <v>40</v>
      </c>
      <c r="K433" s="126" t="s">
        <v>118</v>
      </c>
      <c r="L433" s="127">
        <v>44853</v>
      </c>
      <c r="M433" s="127" t="b">
        <v>0</v>
      </c>
      <c r="N433" s="127">
        <v>45352</v>
      </c>
      <c r="O433" s="128" t="s">
        <v>114</v>
      </c>
      <c r="P433" s="129"/>
      <c r="Q433" s="129"/>
      <c r="R433" s="129"/>
      <c r="S433" s="126" t="s">
        <v>119</v>
      </c>
      <c r="T433" s="126" t="s">
        <v>153</v>
      </c>
      <c r="U433" s="126"/>
      <c r="V433" s="126"/>
      <c r="W433" s="86"/>
      <c r="X433" s="126"/>
      <c r="Y433" s="126"/>
      <c r="Z433" s="135">
        <v>44648</v>
      </c>
    </row>
    <row r="434" spans="1:26" s="131" customFormat="1" ht="12.6">
      <c r="A434" s="124" t="s">
        <v>1273</v>
      </c>
      <c r="B434" s="124" t="s">
        <v>1274</v>
      </c>
      <c r="C434" s="124" t="s">
        <v>1277</v>
      </c>
      <c r="D434" s="124" t="s">
        <v>26</v>
      </c>
      <c r="E434" s="124" t="s">
        <v>172</v>
      </c>
      <c r="F434" s="124" t="s">
        <v>27</v>
      </c>
      <c r="G434" s="125" t="s">
        <v>163</v>
      </c>
      <c r="H434" s="124" t="s">
        <v>1278</v>
      </c>
      <c r="I434" s="126" t="s">
        <v>165</v>
      </c>
      <c r="J434" s="126" t="s">
        <v>40</v>
      </c>
      <c r="K434" s="126" t="s">
        <v>118</v>
      </c>
      <c r="L434" s="127">
        <v>44614</v>
      </c>
      <c r="M434" s="127" t="b">
        <v>0</v>
      </c>
      <c r="N434" s="127">
        <v>45352</v>
      </c>
      <c r="O434" s="128" t="s">
        <v>114</v>
      </c>
      <c r="P434" s="129"/>
      <c r="Q434" s="129"/>
      <c r="R434" s="129"/>
      <c r="S434" s="126" t="s">
        <v>119</v>
      </c>
      <c r="T434" s="126" t="s">
        <v>153</v>
      </c>
      <c r="U434" s="126"/>
      <c r="V434" s="126"/>
      <c r="W434" s="86"/>
      <c r="X434" s="126"/>
      <c r="Y434" s="126"/>
      <c r="Z434" s="130">
        <v>44648</v>
      </c>
    </row>
    <row r="435" spans="1:26" s="131" customFormat="1" ht="12.6">
      <c r="A435" s="124" t="s">
        <v>1273</v>
      </c>
      <c r="B435" s="124" t="s">
        <v>1274</v>
      </c>
      <c r="C435" s="124" t="s">
        <v>1279</v>
      </c>
      <c r="D435" s="124" t="s">
        <v>26</v>
      </c>
      <c r="E435" s="124" t="s">
        <v>223</v>
      </c>
      <c r="F435" s="124" t="s">
        <v>39</v>
      </c>
      <c r="G435" s="125" t="s">
        <v>251</v>
      </c>
      <c r="H435" s="124" t="s">
        <v>1280</v>
      </c>
      <c r="I435" s="126" t="s">
        <v>28</v>
      </c>
      <c r="J435" s="126" t="s">
        <v>52</v>
      </c>
      <c r="K435" s="126" t="s">
        <v>118</v>
      </c>
      <c r="L435" s="127">
        <v>44614</v>
      </c>
      <c r="M435" s="127" t="b">
        <v>0</v>
      </c>
      <c r="N435" s="127">
        <v>45352</v>
      </c>
      <c r="O435" s="128" t="s">
        <v>114</v>
      </c>
      <c r="P435" s="129"/>
      <c r="Q435" s="129"/>
      <c r="R435" s="129"/>
      <c r="S435" s="126" t="s">
        <v>119</v>
      </c>
      <c r="T435" s="126" t="s">
        <v>153</v>
      </c>
      <c r="U435" s="126"/>
      <c r="V435" s="126"/>
      <c r="W435" s="86"/>
      <c r="X435" s="126"/>
      <c r="Y435" s="126"/>
      <c r="Z435" s="135">
        <v>44648</v>
      </c>
    </row>
    <row r="436" spans="1:26" s="234" customFormat="1" ht="16.5" customHeight="1">
      <c r="A436" s="228" t="s">
        <v>1273</v>
      </c>
      <c r="B436" s="228" t="s">
        <v>1274</v>
      </c>
      <c r="C436" s="228" t="s">
        <v>1281</v>
      </c>
      <c r="D436" s="228" t="s">
        <v>50</v>
      </c>
      <c r="E436" s="228" t="s">
        <v>828</v>
      </c>
      <c r="F436" s="228" t="s">
        <v>39</v>
      </c>
      <c r="G436" s="229" t="s">
        <v>208</v>
      </c>
      <c r="H436" s="228" t="s">
        <v>1282</v>
      </c>
      <c r="I436" s="230" t="s">
        <v>28</v>
      </c>
      <c r="J436" s="230" t="s">
        <v>183</v>
      </c>
      <c r="K436" s="230" t="s">
        <v>184</v>
      </c>
      <c r="L436" s="231"/>
      <c r="M436" s="231" t="b">
        <v>0</v>
      </c>
      <c r="N436" s="231">
        <v>45352</v>
      </c>
      <c r="O436" s="227" t="s">
        <v>114</v>
      </c>
      <c r="P436" s="232"/>
      <c r="Q436" s="232"/>
      <c r="R436" s="232"/>
      <c r="S436" s="230" t="s">
        <v>166</v>
      </c>
      <c r="T436" s="230" t="s">
        <v>120</v>
      </c>
      <c r="U436" s="230" t="s">
        <v>153</v>
      </c>
      <c r="V436" s="230" t="s">
        <v>167</v>
      </c>
      <c r="W436" s="230" t="s">
        <v>167</v>
      </c>
      <c r="X436" s="230"/>
      <c r="Y436" s="230" t="s">
        <v>318</v>
      </c>
      <c r="Z436" s="238">
        <v>44936</v>
      </c>
    </row>
    <row r="437" spans="1:26" ht="12.6">
      <c r="A437" s="85" t="s">
        <v>1283</v>
      </c>
      <c r="B437" s="85" t="s">
        <v>1284</v>
      </c>
      <c r="C437" s="85" t="s">
        <v>1285</v>
      </c>
      <c r="D437" s="85" t="s">
        <v>50</v>
      </c>
      <c r="E437" s="85" t="s">
        <v>494</v>
      </c>
      <c r="F437" s="85" t="s">
        <v>27</v>
      </c>
      <c r="G437" s="89" t="s">
        <v>177</v>
      </c>
      <c r="H437" s="85" t="s">
        <v>1286</v>
      </c>
      <c r="I437" s="86" t="s">
        <v>28</v>
      </c>
      <c r="J437" s="86" t="s">
        <v>28</v>
      </c>
      <c r="K437" s="86" t="s">
        <v>118</v>
      </c>
      <c r="L437" s="87">
        <v>44896</v>
      </c>
      <c r="M437" s="87" t="b">
        <v>0</v>
      </c>
      <c r="N437" s="87"/>
      <c r="P437" s="88"/>
      <c r="Q437" s="88"/>
      <c r="R437" s="88"/>
      <c r="S437" s="86" t="s">
        <v>119</v>
      </c>
      <c r="T437" s="86" t="s">
        <v>153</v>
      </c>
      <c r="U437" s="86"/>
      <c r="V437" s="86"/>
      <c r="W437" s="86"/>
      <c r="X437" s="86"/>
      <c r="Y437" s="86"/>
      <c r="Z437" s="154">
        <v>44873</v>
      </c>
    </row>
    <row r="438" spans="1:26" ht="12.6">
      <c r="A438" s="85" t="s">
        <v>1283</v>
      </c>
      <c r="B438" s="85" t="s">
        <v>1284</v>
      </c>
      <c r="C438" s="85" t="s">
        <v>1287</v>
      </c>
      <c r="D438" s="85" t="s">
        <v>26</v>
      </c>
      <c r="E438" s="85" t="s">
        <v>260</v>
      </c>
      <c r="F438" s="85" t="s">
        <v>124</v>
      </c>
      <c r="G438" s="89" t="s">
        <v>251</v>
      </c>
      <c r="H438" s="85" t="s">
        <v>245</v>
      </c>
      <c r="I438" s="86" t="s">
        <v>28</v>
      </c>
      <c r="J438" s="86" t="s">
        <v>52</v>
      </c>
      <c r="K438" s="86" t="s">
        <v>118</v>
      </c>
      <c r="L438" s="87">
        <v>44896</v>
      </c>
      <c r="M438" s="87" t="b">
        <v>0</v>
      </c>
      <c r="N438" s="87"/>
      <c r="P438" s="88"/>
      <c r="Q438" s="88"/>
      <c r="R438" s="88"/>
      <c r="S438" s="86" t="s">
        <v>119</v>
      </c>
      <c r="T438" s="86" t="s">
        <v>153</v>
      </c>
      <c r="U438" s="86"/>
      <c r="V438" s="86"/>
      <c r="W438" s="86"/>
      <c r="X438" s="86"/>
      <c r="Y438" s="86"/>
      <c r="Z438" s="138">
        <v>44873</v>
      </c>
    </row>
    <row r="439" spans="1:26" s="161" customFormat="1" ht="12.6">
      <c r="A439" s="85" t="s">
        <v>1283</v>
      </c>
      <c r="B439" s="85" t="s">
        <v>1284</v>
      </c>
      <c r="C439" s="85" t="s">
        <v>1288</v>
      </c>
      <c r="D439" s="85" t="s">
        <v>26</v>
      </c>
      <c r="E439" s="85" t="s">
        <v>267</v>
      </c>
      <c r="F439" s="85" t="s">
        <v>124</v>
      </c>
      <c r="G439" s="89" t="s">
        <v>230</v>
      </c>
      <c r="H439" s="85" t="s">
        <v>1289</v>
      </c>
      <c r="I439" s="156" t="s">
        <v>28</v>
      </c>
      <c r="J439" s="156" t="s">
        <v>28</v>
      </c>
      <c r="K439" s="156" t="s">
        <v>118</v>
      </c>
      <c r="L439" s="171">
        <v>44896</v>
      </c>
      <c r="M439" s="171" t="b">
        <v>0</v>
      </c>
      <c r="N439" s="171"/>
      <c r="O439" s="159"/>
      <c r="P439" s="160"/>
      <c r="Q439" s="160"/>
      <c r="R439" s="160"/>
      <c r="S439" s="156" t="s">
        <v>119</v>
      </c>
      <c r="T439" s="156" t="s">
        <v>153</v>
      </c>
      <c r="U439" s="156" t="s">
        <v>153</v>
      </c>
      <c r="V439" s="156" t="s">
        <v>167</v>
      </c>
      <c r="W439" s="156" t="s">
        <v>167</v>
      </c>
      <c r="X439" s="156"/>
      <c r="Y439" s="156"/>
      <c r="Z439" s="157">
        <v>44873</v>
      </c>
    </row>
    <row r="440" spans="1:26" ht="12.6">
      <c r="A440" s="85" t="s">
        <v>1290</v>
      </c>
      <c r="B440" s="85" t="s">
        <v>1291</v>
      </c>
      <c r="C440" s="85" t="s">
        <v>1292</v>
      </c>
      <c r="D440" s="85" t="s">
        <v>26</v>
      </c>
      <c r="E440" s="85" t="s">
        <v>172</v>
      </c>
      <c r="F440" s="85" t="s">
        <v>27</v>
      </c>
      <c r="G440" s="89" t="s">
        <v>163</v>
      </c>
      <c r="H440" s="85" t="s">
        <v>1293</v>
      </c>
      <c r="I440" s="86" t="s">
        <v>165</v>
      </c>
      <c r="J440" s="86" t="s">
        <v>40</v>
      </c>
      <c r="K440" s="86" t="s">
        <v>118</v>
      </c>
      <c r="L440" s="87">
        <v>44861</v>
      </c>
      <c r="M440" s="87" t="b">
        <v>0</v>
      </c>
      <c r="N440" s="87"/>
      <c r="P440" s="88"/>
      <c r="Q440" s="88"/>
      <c r="R440" s="88"/>
      <c r="S440" s="86" t="s">
        <v>166</v>
      </c>
      <c r="T440" s="86"/>
      <c r="U440" s="86"/>
      <c r="V440" s="86"/>
      <c r="W440" s="86"/>
      <c r="X440" s="86"/>
      <c r="Y440" s="86" t="s">
        <v>1294</v>
      </c>
      <c r="Z440" s="138">
        <v>44853</v>
      </c>
    </row>
    <row r="441" spans="1:26" ht="12.6">
      <c r="A441" s="85" t="s">
        <v>1290</v>
      </c>
      <c r="B441" s="85" t="s">
        <v>1291</v>
      </c>
      <c r="C441" s="85" t="s">
        <v>1295</v>
      </c>
      <c r="D441" s="85" t="s">
        <v>26</v>
      </c>
      <c r="E441" s="85" t="s">
        <v>223</v>
      </c>
      <c r="F441" s="85" t="s">
        <v>39</v>
      </c>
      <c r="G441" s="89" t="s">
        <v>251</v>
      </c>
      <c r="H441" s="85" t="s">
        <v>544</v>
      </c>
      <c r="I441" s="86" t="s">
        <v>28</v>
      </c>
      <c r="J441" s="86" t="s">
        <v>52</v>
      </c>
      <c r="K441" s="86" t="s">
        <v>118</v>
      </c>
      <c r="L441" s="87">
        <v>44861</v>
      </c>
      <c r="M441" s="87" t="b">
        <v>0</v>
      </c>
      <c r="N441" s="87"/>
      <c r="P441" s="88"/>
      <c r="Q441" s="88"/>
      <c r="R441" s="88"/>
      <c r="S441" s="86" t="s">
        <v>119</v>
      </c>
      <c r="T441" s="86" t="s">
        <v>153</v>
      </c>
      <c r="U441" s="86"/>
      <c r="V441" s="86"/>
      <c r="W441" s="86"/>
      <c r="X441" s="86"/>
      <c r="Y441" s="86"/>
      <c r="Z441" s="154">
        <v>44614</v>
      </c>
    </row>
    <row r="442" spans="1:26" ht="12.6">
      <c r="A442" s="85" t="s">
        <v>1290</v>
      </c>
      <c r="B442" s="85" t="s">
        <v>1291</v>
      </c>
      <c r="C442" s="85" t="s">
        <v>1296</v>
      </c>
      <c r="D442" s="85" t="s">
        <v>61</v>
      </c>
      <c r="E442" s="85" t="s">
        <v>1297</v>
      </c>
      <c r="F442" s="85" t="s">
        <v>123</v>
      </c>
      <c r="G442" s="89" t="s">
        <v>177</v>
      </c>
      <c r="H442" s="85" t="s">
        <v>1298</v>
      </c>
      <c r="I442" s="86" t="s">
        <v>28</v>
      </c>
      <c r="J442" s="86" t="s">
        <v>183</v>
      </c>
      <c r="K442" s="86" t="s">
        <v>184</v>
      </c>
      <c r="L442" s="87"/>
      <c r="M442" s="87" t="b">
        <v>0</v>
      </c>
      <c r="N442" s="87"/>
      <c r="P442" s="88"/>
      <c r="Q442" s="88"/>
      <c r="R442" s="88"/>
      <c r="S442" s="86" t="s">
        <v>166</v>
      </c>
      <c r="T442" s="86" t="s">
        <v>120</v>
      </c>
      <c r="U442" s="86" t="s">
        <v>153</v>
      </c>
      <c r="V442" s="86" t="s">
        <v>167</v>
      </c>
      <c r="W442" s="86" t="s">
        <v>167</v>
      </c>
      <c r="X442" s="86"/>
      <c r="Y442" s="86"/>
      <c r="Z442" s="138">
        <v>44614</v>
      </c>
    </row>
    <row r="443" spans="1:26" ht="12.6">
      <c r="A443" s="85" t="s">
        <v>1290</v>
      </c>
      <c r="B443" s="85" t="s">
        <v>1291</v>
      </c>
      <c r="C443" s="85" t="s">
        <v>1299</v>
      </c>
      <c r="D443" s="85" t="s">
        <v>26</v>
      </c>
      <c r="E443" s="85" t="s">
        <v>176</v>
      </c>
      <c r="F443" s="85" t="s">
        <v>39</v>
      </c>
      <c r="G443" s="89" t="s">
        <v>177</v>
      </c>
      <c r="H443" s="85" t="s">
        <v>209</v>
      </c>
      <c r="I443" s="86" t="s">
        <v>28</v>
      </c>
      <c r="J443" s="86" t="s">
        <v>183</v>
      </c>
      <c r="K443" s="86" t="s">
        <v>118</v>
      </c>
      <c r="L443" s="87">
        <v>44767</v>
      </c>
      <c r="M443" s="87" t="b">
        <v>0</v>
      </c>
      <c r="N443" s="87"/>
      <c r="P443" s="88"/>
      <c r="Q443" s="88"/>
      <c r="R443" s="88"/>
      <c r="S443" s="86" t="s">
        <v>166</v>
      </c>
      <c r="T443" s="86" t="s">
        <v>120</v>
      </c>
      <c r="U443" s="86" t="s">
        <v>153</v>
      </c>
      <c r="V443" s="86" t="s">
        <v>167</v>
      </c>
      <c r="W443" s="86" t="s">
        <v>167</v>
      </c>
      <c r="X443" s="86"/>
      <c r="Y443" s="86"/>
      <c r="Z443" s="154"/>
    </row>
    <row r="444" spans="1:26" ht="12.6">
      <c r="A444" s="85" t="s">
        <v>1300</v>
      </c>
      <c r="B444" s="85" t="s">
        <v>1301</v>
      </c>
      <c r="C444" s="85" t="s">
        <v>1302</v>
      </c>
      <c r="D444" s="85" t="s">
        <v>26</v>
      </c>
      <c r="E444" s="85" t="s">
        <v>267</v>
      </c>
      <c r="F444" s="85" t="s">
        <v>39</v>
      </c>
      <c r="G444" s="89" t="s">
        <v>208</v>
      </c>
      <c r="H444" s="85" t="s">
        <v>1303</v>
      </c>
      <c r="I444" s="86" t="s">
        <v>28</v>
      </c>
      <c r="J444" s="86" t="s">
        <v>183</v>
      </c>
      <c r="K444" s="86" t="s">
        <v>118</v>
      </c>
      <c r="L444" s="87">
        <v>44739</v>
      </c>
      <c r="M444" s="87" t="b">
        <v>0</v>
      </c>
      <c r="N444" s="87"/>
      <c r="P444" s="88"/>
      <c r="Q444" s="88"/>
      <c r="R444" s="88"/>
      <c r="S444" s="86" t="s">
        <v>119</v>
      </c>
      <c r="T444" s="86" t="s">
        <v>153</v>
      </c>
      <c r="U444" s="86"/>
      <c r="V444" s="86"/>
      <c r="W444" s="86"/>
      <c r="X444" s="86"/>
      <c r="Y444" s="86"/>
      <c r="Z444" s="138">
        <v>44896</v>
      </c>
    </row>
    <row r="445" spans="1:26" ht="12.6">
      <c r="A445" s="85" t="s">
        <v>1300</v>
      </c>
      <c r="B445" s="85" t="s">
        <v>1301</v>
      </c>
      <c r="C445" s="85" t="s">
        <v>1304</v>
      </c>
      <c r="D445" s="85" t="s">
        <v>26</v>
      </c>
      <c r="E445" s="85" t="s">
        <v>267</v>
      </c>
      <c r="F445" s="85" t="s">
        <v>39</v>
      </c>
      <c r="G445" s="89" t="s">
        <v>208</v>
      </c>
      <c r="H445" s="85" t="s">
        <v>1305</v>
      </c>
      <c r="I445" s="86" t="s">
        <v>28</v>
      </c>
      <c r="J445" s="86" t="s">
        <v>183</v>
      </c>
      <c r="K445" s="86" t="s">
        <v>118</v>
      </c>
      <c r="L445" s="87">
        <v>44739</v>
      </c>
      <c r="M445" s="87" t="b">
        <v>0</v>
      </c>
      <c r="N445" s="87"/>
      <c r="P445" s="88"/>
      <c r="Q445" s="88"/>
      <c r="R445" s="88"/>
      <c r="S445" s="86" t="s">
        <v>119</v>
      </c>
      <c r="T445" s="86" t="s">
        <v>153</v>
      </c>
      <c r="U445" s="86"/>
      <c r="V445" s="86"/>
      <c r="W445" s="86"/>
      <c r="X445" s="86" t="s">
        <v>1306</v>
      </c>
      <c r="Y445" s="86" t="s">
        <v>1307</v>
      </c>
      <c r="Z445" s="154">
        <v>44896</v>
      </c>
    </row>
    <row r="446" spans="1:26" s="188" customFormat="1" ht="12.6">
      <c r="A446" s="180" t="s">
        <v>1300</v>
      </c>
      <c r="B446" s="180" t="s">
        <v>1301</v>
      </c>
      <c r="C446" s="180" t="s">
        <v>1308</v>
      </c>
      <c r="D446" s="180" t="s">
        <v>26</v>
      </c>
      <c r="E446" s="180" t="s">
        <v>223</v>
      </c>
      <c r="F446" s="180" t="s">
        <v>39</v>
      </c>
      <c r="G446" s="181" t="s">
        <v>205</v>
      </c>
      <c r="H446" s="180" t="s">
        <v>228</v>
      </c>
      <c r="I446" s="182" t="s">
        <v>28</v>
      </c>
      <c r="J446" s="182" t="s">
        <v>52</v>
      </c>
      <c r="K446" s="182" t="s">
        <v>118</v>
      </c>
      <c r="L446" s="183">
        <v>44739</v>
      </c>
      <c r="M446" s="183" t="b">
        <v>0</v>
      </c>
      <c r="N446" s="183"/>
      <c r="O446" s="185"/>
      <c r="P446" s="186"/>
      <c r="Q446" s="186"/>
      <c r="R446" s="186"/>
      <c r="S446" s="182" t="s">
        <v>119</v>
      </c>
      <c r="T446" s="182" t="s">
        <v>153</v>
      </c>
      <c r="U446" s="182" t="s">
        <v>153</v>
      </c>
      <c r="V446" s="182" t="s">
        <v>167</v>
      </c>
      <c r="W446" s="182" t="s">
        <v>167</v>
      </c>
      <c r="X446" s="182"/>
      <c r="Y446" s="182"/>
      <c r="Z446" s="190">
        <v>44896</v>
      </c>
    </row>
    <row r="447" spans="1:26" ht="12.6">
      <c r="A447" s="85" t="s">
        <v>1309</v>
      </c>
      <c r="B447" s="85" t="s">
        <v>1310</v>
      </c>
      <c r="C447" s="85" t="s">
        <v>1311</v>
      </c>
      <c r="D447" s="85" t="s">
        <v>61</v>
      </c>
      <c r="E447" s="85" t="s">
        <v>509</v>
      </c>
      <c r="F447" s="85" t="s">
        <v>27</v>
      </c>
      <c r="G447" s="89" t="s">
        <v>173</v>
      </c>
      <c r="H447" s="85" t="s">
        <v>640</v>
      </c>
      <c r="I447" s="86" t="s">
        <v>165</v>
      </c>
      <c r="J447" s="86" t="s">
        <v>40</v>
      </c>
      <c r="K447" s="86" t="s">
        <v>118</v>
      </c>
      <c r="L447" s="87">
        <v>44614</v>
      </c>
      <c r="M447" s="87" t="b">
        <v>0</v>
      </c>
      <c r="N447" s="87"/>
      <c r="P447" s="88"/>
      <c r="Q447" s="88"/>
      <c r="R447" s="88"/>
      <c r="S447" s="86" t="s">
        <v>119</v>
      </c>
      <c r="T447" s="86" t="s">
        <v>153</v>
      </c>
      <c r="U447" s="86"/>
      <c r="V447" s="86"/>
      <c r="W447" s="86"/>
      <c r="X447" s="86"/>
      <c r="Y447" s="86"/>
      <c r="Z447" s="154">
        <v>44861</v>
      </c>
    </row>
    <row r="448" spans="1:26" ht="12.6">
      <c r="A448" s="85" t="s">
        <v>1309</v>
      </c>
      <c r="B448" s="85" t="s">
        <v>1310</v>
      </c>
      <c r="C448" s="85" t="s">
        <v>1312</v>
      </c>
      <c r="D448" s="85" t="s">
        <v>26</v>
      </c>
      <c r="E448" s="85" t="s">
        <v>172</v>
      </c>
      <c r="F448" s="85" t="s">
        <v>27</v>
      </c>
      <c r="G448" s="89" t="s">
        <v>163</v>
      </c>
      <c r="H448" s="85" t="s">
        <v>1313</v>
      </c>
      <c r="I448" s="86" t="s">
        <v>165</v>
      </c>
      <c r="J448" s="86" t="s">
        <v>40</v>
      </c>
      <c r="K448" s="86" t="s">
        <v>118</v>
      </c>
      <c r="L448" s="87">
        <v>44754</v>
      </c>
      <c r="M448" s="87" t="b">
        <v>0</v>
      </c>
      <c r="N448" s="87"/>
      <c r="P448" s="88"/>
      <c r="Q448" s="88"/>
      <c r="R448" s="88"/>
      <c r="S448" s="86" t="s">
        <v>119</v>
      </c>
      <c r="T448" s="86" t="s">
        <v>153</v>
      </c>
      <c r="U448" s="86"/>
      <c r="V448" s="86"/>
      <c r="W448" s="86"/>
      <c r="X448" s="85" t="s">
        <v>1314</v>
      </c>
      <c r="Y448" s="86" t="s">
        <v>1315</v>
      </c>
      <c r="Z448" s="138">
        <v>44861</v>
      </c>
    </row>
    <row r="449" spans="1:26" ht="12.6">
      <c r="A449" s="85" t="s">
        <v>1309</v>
      </c>
      <c r="B449" s="85" t="s">
        <v>1310</v>
      </c>
      <c r="C449" s="85" t="s">
        <v>1316</v>
      </c>
      <c r="D449" s="85" t="s">
        <v>26</v>
      </c>
      <c r="E449" s="85" t="s">
        <v>223</v>
      </c>
      <c r="F449" s="85" t="s">
        <v>39</v>
      </c>
      <c r="G449" s="89" t="s">
        <v>673</v>
      </c>
      <c r="H449" s="85" t="s">
        <v>544</v>
      </c>
      <c r="I449" s="86" t="s">
        <v>28</v>
      </c>
      <c r="J449" s="86" t="s">
        <v>52</v>
      </c>
      <c r="K449" s="86" t="s">
        <v>118</v>
      </c>
      <c r="L449" s="87">
        <v>44754</v>
      </c>
      <c r="M449" s="87" t="b">
        <v>0</v>
      </c>
      <c r="N449" s="87"/>
      <c r="P449" s="88"/>
      <c r="Q449" s="88"/>
      <c r="R449" s="88"/>
      <c r="S449" s="86" t="s">
        <v>119</v>
      </c>
      <c r="T449" s="86" t="s">
        <v>153</v>
      </c>
      <c r="U449" s="86"/>
      <c r="V449" s="86"/>
      <c r="W449" s="86"/>
      <c r="X449" s="86"/>
      <c r="Y449" s="86"/>
      <c r="Z449" s="154"/>
    </row>
    <row r="450" spans="1:26" ht="12.6">
      <c r="A450" s="85" t="s">
        <v>1309</v>
      </c>
      <c r="B450" s="85" t="s">
        <v>1310</v>
      </c>
      <c r="C450" s="85" t="s">
        <v>1317</v>
      </c>
      <c r="D450" s="85" t="s">
        <v>50</v>
      </c>
      <c r="E450" s="85" t="s">
        <v>197</v>
      </c>
      <c r="F450" s="85" t="s">
        <v>39</v>
      </c>
      <c r="G450" s="89" t="s">
        <v>251</v>
      </c>
      <c r="H450" s="85" t="s">
        <v>1318</v>
      </c>
      <c r="I450" s="86" t="s">
        <v>28</v>
      </c>
      <c r="J450" s="86" t="s">
        <v>52</v>
      </c>
      <c r="K450" s="86" t="s">
        <v>118</v>
      </c>
      <c r="L450" s="87">
        <v>44754</v>
      </c>
      <c r="M450" s="87" t="b">
        <v>0</v>
      </c>
      <c r="N450" s="87"/>
      <c r="P450" s="88"/>
      <c r="Q450" s="88"/>
      <c r="R450" s="88"/>
      <c r="S450" s="86" t="s">
        <v>119</v>
      </c>
      <c r="T450" s="86" t="s">
        <v>153</v>
      </c>
      <c r="U450" s="86"/>
      <c r="V450" s="86"/>
      <c r="W450" s="86"/>
      <c r="X450" s="86"/>
      <c r="Y450" s="86"/>
      <c r="Z450" s="138">
        <v>44767</v>
      </c>
    </row>
    <row r="451" spans="1:26" s="98" customFormat="1" ht="12.6">
      <c r="A451" s="90" t="s">
        <v>1309</v>
      </c>
      <c r="B451" s="90" t="s">
        <v>1310</v>
      </c>
      <c r="C451" s="90" t="s">
        <v>1319</v>
      </c>
      <c r="D451" s="90" t="s">
        <v>38</v>
      </c>
      <c r="E451" s="90" t="s">
        <v>204</v>
      </c>
      <c r="F451" s="90" t="s">
        <v>39</v>
      </c>
      <c r="G451" s="91" t="s">
        <v>201</v>
      </c>
      <c r="H451" s="90" t="s">
        <v>1320</v>
      </c>
      <c r="I451" s="92" t="s">
        <v>28</v>
      </c>
      <c r="J451" s="92" t="s">
        <v>183</v>
      </c>
      <c r="K451" s="92" t="s">
        <v>118</v>
      </c>
      <c r="L451" s="93">
        <v>44754</v>
      </c>
      <c r="M451" s="93" t="b">
        <v>0</v>
      </c>
      <c r="N451" s="93">
        <v>45467</v>
      </c>
      <c r="O451" s="94" t="s">
        <v>35</v>
      </c>
      <c r="P451" s="95">
        <v>3.4</v>
      </c>
      <c r="Q451" s="95">
        <v>4.8</v>
      </c>
      <c r="R451" s="95"/>
      <c r="S451" s="92" t="s">
        <v>119</v>
      </c>
      <c r="T451" s="92" t="s">
        <v>153</v>
      </c>
      <c r="U451" s="92"/>
      <c r="V451" s="92"/>
      <c r="W451" s="92"/>
      <c r="X451" s="92"/>
      <c r="Y451" s="92"/>
      <c r="Z451" s="97">
        <v>44739</v>
      </c>
    </row>
    <row r="452" spans="1:26" ht="12.6">
      <c r="A452" s="85" t="s">
        <v>1309</v>
      </c>
      <c r="B452" s="85" t="s">
        <v>1310</v>
      </c>
      <c r="C452" s="85" t="s">
        <v>1321</v>
      </c>
      <c r="D452" s="85" t="s">
        <v>26</v>
      </c>
      <c r="E452" s="85" t="s">
        <v>241</v>
      </c>
      <c r="F452" s="85" t="s">
        <v>27</v>
      </c>
      <c r="G452" s="89" t="s">
        <v>163</v>
      </c>
      <c r="H452" s="85" t="s">
        <v>1322</v>
      </c>
      <c r="I452" s="86" t="s">
        <v>165</v>
      </c>
      <c r="J452" s="86" t="s">
        <v>40</v>
      </c>
      <c r="K452" s="86" t="s">
        <v>184</v>
      </c>
      <c r="L452" s="87">
        <v>44894</v>
      </c>
      <c r="M452" s="87" t="b">
        <v>0</v>
      </c>
      <c r="N452" s="87"/>
      <c r="P452" s="88"/>
      <c r="Q452" s="88"/>
      <c r="R452" s="88"/>
      <c r="S452" s="86" t="s">
        <v>119</v>
      </c>
      <c r="T452" s="86" t="s">
        <v>153</v>
      </c>
      <c r="U452" s="86"/>
      <c r="V452" s="86"/>
      <c r="W452" s="86"/>
      <c r="X452" s="86"/>
      <c r="Y452" s="86"/>
      <c r="Z452" s="138">
        <v>44739</v>
      </c>
    </row>
    <row r="453" spans="1:26" ht="12.6">
      <c r="A453" s="85" t="s">
        <v>1323</v>
      </c>
      <c r="B453" s="85" t="s">
        <v>1324</v>
      </c>
      <c r="C453" s="85" t="s">
        <v>1325</v>
      </c>
      <c r="D453" s="85" t="s">
        <v>26</v>
      </c>
      <c r="E453" s="85" t="s">
        <v>172</v>
      </c>
      <c r="F453" s="85" t="s">
        <v>27</v>
      </c>
      <c r="G453" s="89" t="s">
        <v>163</v>
      </c>
      <c r="H453" s="85" t="s">
        <v>743</v>
      </c>
      <c r="I453" s="86" t="s">
        <v>165</v>
      </c>
      <c r="J453" s="86" t="s">
        <v>40</v>
      </c>
      <c r="K453" s="86" t="s">
        <v>118</v>
      </c>
      <c r="L453" s="87">
        <v>44704</v>
      </c>
      <c r="M453" s="87" t="b">
        <v>0</v>
      </c>
      <c r="N453" s="87"/>
      <c r="P453" s="88"/>
      <c r="Q453" s="88"/>
      <c r="R453" s="88"/>
      <c r="S453" s="86" t="s">
        <v>119</v>
      </c>
      <c r="T453" s="86" t="s">
        <v>153</v>
      </c>
      <c r="U453" s="86"/>
      <c r="V453" s="86"/>
      <c r="W453" s="86"/>
      <c r="X453" s="86"/>
      <c r="Y453" s="86"/>
      <c r="Z453" s="154">
        <v>44739</v>
      </c>
    </row>
    <row r="454" spans="1:26" s="98" customFormat="1" ht="12.6">
      <c r="A454" s="90" t="s">
        <v>1323</v>
      </c>
      <c r="B454" s="90" t="s">
        <v>1324</v>
      </c>
      <c r="C454" s="90" t="s">
        <v>1326</v>
      </c>
      <c r="D454" s="90" t="s">
        <v>26</v>
      </c>
      <c r="E454" s="90" t="s">
        <v>172</v>
      </c>
      <c r="F454" s="90" t="s">
        <v>27</v>
      </c>
      <c r="G454" s="91" t="s">
        <v>177</v>
      </c>
      <c r="H454" s="90" t="s">
        <v>803</v>
      </c>
      <c r="I454" s="92" t="s">
        <v>165</v>
      </c>
      <c r="J454" s="92" t="s">
        <v>40</v>
      </c>
      <c r="K454" s="92" t="s">
        <v>118</v>
      </c>
      <c r="L454" s="93">
        <v>44704</v>
      </c>
      <c r="M454" s="93" t="b">
        <v>0</v>
      </c>
      <c r="N454" s="93">
        <v>45443</v>
      </c>
      <c r="O454" s="94" t="s">
        <v>95</v>
      </c>
      <c r="P454" s="95">
        <v>7</v>
      </c>
      <c r="Q454" s="95"/>
      <c r="R454" s="95">
        <v>2.2000000000000002</v>
      </c>
      <c r="S454" s="92" t="s">
        <v>119</v>
      </c>
      <c r="T454" s="92" t="s">
        <v>153</v>
      </c>
      <c r="U454" s="92"/>
      <c r="V454" s="92"/>
      <c r="W454" s="86"/>
      <c r="X454" s="92"/>
      <c r="Y454" s="92"/>
      <c r="Z454" s="99">
        <v>44614</v>
      </c>
    </row>
    <row r="455" spans="1:26" s="98" customFormat="1" ht="12.6">
      <c r="A455" s="90" t="s">
        <v>1323</v>
      </c>
      <c r="B455" s="90" t="s">
        <v>1324</v>
      </c>
      <c r="C455" s="90" t="s">
        <v>1327</v>
      </c>
      <c r="D455" s="90" t="s">
        <v>50</v>
      </c>
      <c r="E455" s="90" t="s">
        <v>188</v>
      </c>
      <c r="F455" s="90" t="s">
        <v>27</v>
      </c>
      <c r="G455" s="91" t="s">
        <v>173</v>
      </c>
      <c r="H455" s="90" t="s">
        <v>633</v>
      </c>
      <c r="I455" s="92" t="s">
        <v>165</v>
      </c>
      <c r="J455" s="92" t="s">
        <v>40</v>
      </c>
      <c r="K455" s="92" t="s">
        <v>118</v>
      </c>
      <c r="L455" s="93">
        <v>44704</v>
      </c>
      <c r="M455" s="93" t="b">
        <v>0</v>
      </c>
      <c r="N455" s="93">
        <v>45443</v>
      </c>
      <c r="O455" s="94" t="s">
        <v>95</v>
      </c>
      <c r="P455" s="95">
        <v>7</v>
      </c>
      <c r="Q455" s="95"/>
      <c r="R455" s="95">
        <v>1.1000000000000001</v>
      </c>
      <c r="S455" s="92" t="s">
        <v>119</v>
      </c>
      <c r="T455" s="92" t="s">
        <v>153</v>
      </c>
      <c r="U455" s="92"/>
      <c r="V455" s="92"/>
      <c r="W455" s="86"/>
      <c r="X455" s="92"/>
      <c r="Y455" s="92"/>
      <c r="Z455" s="97">
        <v>44754</v>
      </c>
    </row>
    <row r="456" spans="1:26" ht="12.6">
      <c r="A456" s="85" t="s">
        <v>1323</v>
      </c>
      <c r="B456" s="85" t="s">
        <v>1324</v>
      </c>
      <c r="C456" s="85" t="s">
        <v>1328</v>
      </c>
      <c r="D456" s="85" t="s">
        <v>50</v>
      </c>
      <c r="E456" s="85" t="s">
        <v>635</v>
      </c>
      <c r="F456" s="85" t="s">
        <v>39</v>
      </c>
      <c r="G456" s="89" t="s">
        <v>208</v>
      </c>
      <c r="H456" s="85" t="s">
        <v>1329</v>
      </c>
      <c r="I456" s="86" t="s">
        <v>28</v>
      </c>
      <c r="J456" s="86" t="s">
        <v>183</v>
      </c>
      <c r="K456" s="86" t="s">
        <v>118</v>
      </c>
      <c r="L456" s="87">
        <v>44704</v>
      </c>
      <c r="M456" s="87" t="b">
        <v>0</v>
      </c>
      <c r="N456" s="87"/>
      <c r="P456" s="88"/>
      <c r="Q456" s="88"/>
      <c r="R456" s="88"/>
      <c r="S456" s="86" t="s">
        <v>119</v>
      </c>
      <c r="T456" s="86" t="s">
        <v>153</v>
      </c>
      <c r="U456" s="86" t="s">
        <v>199</v>
      </c>
      <c r="V456" s="86"/>
      <c r="W456" s="86"/>
      <c r="X456" s="86"/>
      <c r="Y456" s="86"/>
      <c r="Z456" s="138">
        <v>44754</v>
      </c>
    </row>
    <row r="457" spans="1:26" s="98" customFormat="1" ht="12.6">
      <c r="A457" s="90" t="s">
        <v>1323</v>
      </c>
      <c r="B457" s="90" t="s">
        <v>1324</v>
      </c>
      <c r="C457" s="90" t="s">
        <v>1330</v>
      </c>
      <c r="D457" s="90" t="s">
        <v>38</v>
      </c>
      <c r="E457" s="90" t="s">
        <v>204</v>
      </c>
      <c r="F457" s="90" t="s">
        <v>39</v>
      </c>
      <c r="G457" s="91" t="s">
        <v>251</v>
      </c>
      <c r="H457" s="90" t="s">
        <v>503</v>
      </c>
      <c r="I457" s="92" t="s">
        <v>28</v>
      </c>
      <c r="J457" s="92" t="s">
        <v>52</v>
      </c>
      <c r="K457" s="92" t="s">
        <v>118</v>
      </c>
      <c r="L457" s="93">
        <v>44704</v>
      </c>
      <c r="M457" s="93" t="b">
        <v>0</v>
      </c>
      <c r="N457" s="93">
        <v>45443</v>
      </c>
      <c r="O457" s="94" t="s">
        <v>95</v>
      </c>
      <c r="P457" s="95">
        <v>2.2000000000000002</v>
      </c>
      <c r="Q457" s="95">
        <v>2.4</v>
      </c>
      <c r="R457" s="95"/>
      <c r="S457" s="92" t="s">
        <v>119</v>
      </c>
      <c r="T457" s="92" t="s">
        <v>153</v>
      </c>
      <c r="U457" s="92"/>
      <c r="V457" s="92"/>
      <c r="W457" s="86"/>
      <c r="X457" s="92"/>
      <c r="Y457" s="92"/>
      <c r="Z457" s="97">
        <v>44754</v>
      </c>
    </row>
    <row r="458" spans="1:26" s="188" customFormat="1" ht="12.6">
      <c r="A458" s="180" t="s">
        <v>1323</v>
      </c>
      <c r="B458" s="180" t="s">
        <v>1324</v>
      </c>
      <c r="C458" s="180" t="s">
        <v>1331</v>
      </c>
      <c r="D458" s="180" t="s">
        <v>50</v>
      </c>
      <c r="E458" s="180" t="s">
        <v>241</v>
      </c>
      <c r="F458" s="180" t="s">
        <v>27</v>
      </c>
      <c r="G458" s="181" t="s">
        <v>163</v>
      </c>
      <c r="H458" s="180" t="s">
        <v>1332</v>
      </c>
      <c r="I458" s="182" t="s">
        <v>165</v>
      </c>
      <c r="J458" s="182" t="s">
        <v>40</v>
      </c>
      <c r="K458" s="182" t="s">
        <v>184</v>
      </c>
      <c r="L458" s="183"/>
      <c r="M458" s="183" t="b">
        <v>0</v>
      </c>
      <c r="N458" s="183"/>
      <c r="O458" s="185"/>
      <c r="P458" s="186"/>
      <c r="Q458" s="186"/>
      <c r="R458" s="186"/>
      <c r="S458" s="182" t="s">
        <v>166</v>
      </c>
      <c r="T458" s="182" t="s">
        <v>120</v>
      </c>
      <c r="U458" s="182" t="s">
        <v>153</v>
      </c>
      <c r="V458" s="182" t="s">
        <v>167</v>
      </c>
      <c r="W458" s="182" t="s">
        <v>167</v>
      </c>
      <c r="X458" s="182"/>
      <c r="Y458" s="182" t="s">
        <v>1333</v>
      </c>
      <c r="Z458" s="190">
        <v>44754</v>
      </c>
    </row>
    <row r="459" spans="1:26" s="234" customFormat="1" ht="12.6">
      <c r="A459" s="228" t="s">
        <v>1334</v>
      </c>
      <c r="B459" s="228" t="s">
        <v>1335</v>
      </c>
      <c r="C459" s="228" t="s">
        <v>1336</v>
      </c>
      <c r="D459" s="228" t="s">
        <v>50</v>
      </c>
      <c r="E459" s="228" t="s">
        <v>1337</v>
      </c>
      <c r="F459" s="228" t="s">
        <v>39</v>
      </c>
      <c r="G459" s="229" t="s">
        <v>208</v>
      </c>
      <c r="H459" s="228" t="s">
        <v>1338</v>
      </c>
      <c r="I459" s="230" t="s">
        <v>28</v>
      </c>
      <c r="J459" s="230" t="s">
        <v>183</v>
      </c>
      <c r="K459" s="230" t="s">
        <v>184</v>
      </c>
      <c r="L459" s="231"/>
      <c r="M459" s="231" t="b">
        <v>0</v>
      </c>
      <c r="N459" s="231">
        <v>45528</v>
      </c>
      <c r="O459" s="227" t="s">
        <v>73</v>
      </c>
      <c r="P459" s="232"/>
      <c r="Q459" s="232"/>
      <c r="R459" s="232"/>
      <c r="S459" s="230" t="s">
        <v>166</v>
      </c>
      <c r="T459" s="230" t="s">
        <v>120</v>
      </c>
      <c r="U459" s="230" t="s">
        <v>153</v>
      </c>
      <c r="V459" s="230" t="s">
        <v>167</v>
      </c>
      <c r="W459" s="230" t="s">
        <v>167</v>
      </c>
      <c r="X459" s="230"/>
      <c r="Y459" s="230"/>
      <c r="Z459" s="233">
        <v>44894</v>
      </c>
    </row>
    <row r="460" spans="1:26" s="98" customFormat="1" ht="12.6">
      <c r="A460" s="90" t="s">
        <v>1334</v>
      </c>
      <c r="B460" s="90" t="s">
        <v>1335</v>
      </c>
      <c r="C460" s="90" t="s">
        <v>1339</v>
      </c>
      <c r="D460" s="90" t="s">
        <v>50</v>
      </c>
      <c r="E460" s="90" t="s">
        <v>635</v>
      </c>
      <c r="F460" s="90" t="s">
        <v>39</v>
      </c>
      <c r="G460" s="91" t="s">
        <v>208</v>
      </c>
      <c r="H460" s="90" t="s">
        <v>1340</v>
      </c>
      <c r="I460" s="92" t="s">
        <v>28</v>
      </c>
      <c r="J460" s="92" t="s">
        <v>183</v>
      </c>
      <c r="K460" s="92" t="s">
        <v>118</v>
      </c>
      <c r="L460" s="93">
        <v>44796</v>
      </c>
      <c r="M460" s="93" t="b">
        <v>0</v>
      </c>
      <c r="N460" s="93">
        <v>45532</v>
      </c>
      <c r="O460" s="94" t="s">
        <v>112</v>
      </c>
      <c r="P460" s="95">
        <v>2.4</v>
      </c>
      <c r="Q460" s="94">
        <v>1.5</v>
      </c>
      <c r="R460" s="95"/>
      <c r="S460" s="92" t="s">
        <v>119</v>
      </c>
      <c r="T460" s="92" t="s">
        <v>153</v>
      </c>
      <c r="U460" s="92"/>
      <c r="V460" s="92"/>
      <c r="W460" s="92"/>
      <c r="X460" s="92"/>
      <c r="Y460" s="92"/>
      <c r="Z460" s="99">
        <v>44704</v>
      </c>
    </row>
    <row r="461" spans="1:26" s="106" customFormat="1" ht="12.6">
      <c r="A461" s="90" t="s">
        <v>1334</v>
      </c>
      <c r="B461" s="90" t="s">
        <v>1335</v>
      </c>
      <c r="C461" s="90" t="s">
        <v>1341</v>
      </c>
      <c r="D461" s="90" t="s">
        <v>26</v>
      </c>
      <c r="E461" s="90" t="s">
        <v>260</v>
      </c>
      <c r="F461" s="90" t="s">
        <v>124</v>
      </c>
      <c r="G461" s="91" t="s">
        <v>205</v>
      </c>
      <c r="H461" s="90" t="s">
        <v>1342</v>
      </c>
      <c r="I461" s="101" t="s">
        <v>28</v>
      </c>
      <c r="J461" s="101" t="s">
        <v>52</v>
      </c>
      <c r="K461" s="101" t="s">
        <v>118</v>
      </c>
      <c r="L461" s="116">
        <v>44796</v>
      </c>
      <c r="M461" s="116" t="b">
        <v>0</v>
      </c>
      <c r="N461" s="116">
        <v>45530</v>
      </c>
      <c r="O461" s="104" t="s">
        <v>73</v>
      </c>
      <c r="P461" s="105">
        <v>4</v>
      </c>
      <c r="Q461" s="95">
        <v>3</v>
      </c>
      <c r="R461" s="105"/>
      <c r="S461" s="101" t="s">
        <v>119</v>
      </c>
      <c r="T461" s="101" t="s">
        <v>153</v>
      </c>
      <c r="U461" s="101" t="s">
        <v>248</v>
      </c>
      <c r="V461" s="101"/>
      <c r="W461" s="92"/>
      <c r="X461" s="101"/>
      <c r="Y461" s="101"/>
      <c r="Z461" s="102">
        <v>44704</v>
      </c>
    </row>
    <row r="462" spans="1:26" s="98" customFormat="1" ht="12.6">
      <c r="A462" s="90" t="s">
        <v>1334</v>
      </c>
      <c r="B462" s="90" t="s">
        <v>1335</v>
      </c>
      <c r="C462" s="90" t="s">
        <v>1343</v>
      </c>
      <c r="D462" s="90" t="s">
        <v>26</v>
      </c>
      <c r="E462" s="90" t="s">
        <v>267</v>
      </c>
      <c r="F462" s="90" t="s">
        <v>124</v>
      </c>
      <c r="G462" s="91" t="s">
        <v>173</v>
      </c>
      <c r="H462" s="90" t="s">
        <v>1344</v>
      </c>
      <c r="I462" s="92" t="s">
        <v>28</v>
      </c>
      <c r="J462" s="92" t="s">
        <v>52</v>
      </c>
      <c r="K462" s="92" t="s">
        <v>118</v>
      </c>
      <c r="L462" s="93">
        <v>44796</v>
      </c>
      <c r="M462" s="93" t="b">
        <v>0</v>
      </c>
      <c r="N462" s="93">
        <v>45530</v>
      </c>
      <c r="O462" s="94" t="s">
        <v>73</v>
      </c>
      <c r="P462" s="95">
        <v>2.8</v>
      </c>
      <c r="Q462" s="95">
        <v>2</v>
      </c>
      <c r="R462" s="95"/>
      <c r="S462" s="92" t="s">
        <v>119</v>
      </c>
      <c r="T462" s="92" t="s">
        <v>153</v>
      </c>
      <c r="U462" s="92" t="s">
        <v>248</v>
      </c>
      <c r="V462" s="92"/>
      <c r="W462" s="92"/>
      <c r="X462" s="92"/>
      <c r="Y462" s="92"/>
      <c r="Z462" s="99">
        <v>44704</v>
      </c>
    </row>
    <row r="463" spans="1:26" s="98" customFormat="1" ht="12.6">
      <c r="A463" s="90" t="s">
        <v>1334</v>
      </c>
      <c r="B463" s="90" t="s">
        <v>1335</v>
      </c>
      <c r="C463" s="90" t="s">
        <v>1345</v>
      </c>
      <c r="D463" s="90" t="s">
        <v>50</v>
      </c>
      <c r="E463" s="90" t="s">
        <v>197</v>
      </c>
      <c r="F463" s="90" t="s">
        <v>39</v>
      </c>
      <c r="G463" s="91" t="s">
        <v>208</v>
      </c>
      <c r="H463" s="90" t="s">
        <v>1346</v>
      </c>
      <c r="I463" s="92" t="s">
        <v>28</v>
      </c>
      <c r="J463" s="92" t="s">
        <v>183</v>
      </c>
      <c r="K463" s="92" t="s">
        <v>118</v>
      </c>
      <c r="L463" s="93">
        <v>44796</v>
      </c>
      <c r="M463" s="93" t="b">
        <v>0</v>
      </c>
      <c r="N463" s="93">
        <v>45532</v>
      </c>
      <c r="O463" s="94" t="s">
        <v>73</v>
      </c>
      <c r="P463" s="95">
        <v>3</v>
      </c>
      <c r="Q463" s="95">
        <v>2.8</v>
      </c>
      <c r="R463" s="95"/>
      <c r="S463" s="92" t="s">
        <v>119</v>
      </c>
      <c r="T463" s="92" t="s">
        <v>153</v>
      </c>
      <c r="U463" s="92"/>
      <c r="V463" s="92"/>
      <c r="W463" s="92"/>
      <c r="X463" s="92"/>
      <c r="Y463" s="92"/>
      <c r="Z463" s="97">
        <v>44704</v>
      </c>
    </row>
    <row r="464" spans="1:26" s="98" customFormat="1" ht="12.6">
      <c r="A464" s="90" t="s">
        <v>1334</v>
      </c>
      <c r="B464" s="90" t="s">
        <v>1335</v>
      </c>
      <c r="C464" s="90" t="s">
        <v>1347</v>
      </c>
      <c r="D464" s="90" t="s">
        <v>26</v>
      </c>
      <c r="E464" s="90" t="s">
        <v>176</v>
      </c>
      <c r="F464" s="90" t="s">
        <v>39</v>
      </c>
      <c r="G464" s="91" t="s">
        <v>208</v>
      </c>
      <c r="H464" s="90" t="s">
        <v>1348</v>
      </c>
      <c r="I464" s="92" t="s">
        <v>28</v>
      </c>
      <c r="J464" s="92" t="s">
        <v>183</v>
      </c>
      <c r="K464" s="92" t="s">
        <v>118</v>
      </c>
      <c r="L464" s="93">
        <v>44796</v>
      </c>
      <c r="M464" s="93" t="b">
        <v>0</v>
      </c>
      <c r="N464" s="93">
        <v>45532</v>
      </c>
      <c r="O464" s="94" t="s">
        <v>73</v>
      </c>
      <c r="P464" s="95">
        <v>2.8</v>
      </c>
      <c r="Q464" s="95">
        <v>2.8</v>
      </c>
      <c r="R464" s="95"/>
      <c r="S464" s="92" t="s">
        <v>119</v>
      </c>
      <c r="T464" s="92" t="s">
        <v>153</v>
      </c>
      <c r="U464" s="92"/>
      <c r="V464" s="92"/>
      <c r="W464" s="92"/>
      <c r="X464" s="92"/>
      <c r="Y464" s="92"/>
      <c r="Z464" s="99">
        <v>44704</v>
      </c>
    </row>
    <row r="465" spans="1:26" s="98" customFormat="1" ht="12.6">
      <c r="A465" s="90" t="s">
        <v>1334</v>
      </c>
      <c r="B465" s="90" t="s">
        <v>1335</v>
      </c>
      <c r="C465" s="90" t="s">
        <v>1349</v>
      </c>
      <c r="D465" s="90" t="s">
        <v>26</v>
      </c>
      <c r="E465" s="90" t="s">
        <v>256</v>
      </c>
      <c r="F465" s="90" t="s">
        <v>39</v>
      </c>
      <c r="G465" s="91" t="s">
        <v>208</v>
      </c>
      <c r="H465" s="90" t="s">
        <v>1350</v>
      </c>
      <c r="I465" s="92" t="s">
        <v>28</v>
      </c>
      <c r="J465" s="92" t="s">
        <v>183</v>
      </c>
      <c r="K465" s="92" t="s">
        <v>118</v>
      </c>
      <c r="L465" s="93">
        <v>44796</v>
      </c>
      <c r="M465" s="93" t="b">
        <v>0</v>
      </c>
      <c r="N465" s="93">
        <v>45530</v>
      </c>
      <c r="O465" s="94"/>
      <c r="P465" s="95"/>
      <c r="Q465" s="95"/>
      <c r="R465" s="95"/>
      <c r="S465" s="92" t="s">
        <v>166</v>
      </c>
      <c r="T465" s="92" t="s">
        <v>153</v>
      </c>
      <c r="U465" s="92"/>
      <c r="V465" s="92"/>
      <c r="W465" s="92"/>
      <c r="X465" s="92" t="s">
        <v>1351</v>
      </c>
      <c r="Y465" s="92"/>
      <c r="Z465" s="97"/>
    </row>
    <row r="466" spans="1:26" s="98" customFormat="1" ht="12.6">
      <c r="A466" s="90" t="s">
        <v>1334</v>
      </c>
      <c r="B466" s="90" t="s">
        <v>1335</v>
      </c>
      <c r="C466" s="90" t="s">
        <v>1352</v>
      </c>
      <c r="D466" s="90" t="s">
        <v>26</v>
      </c>
      <c r="E466" s="90" t="s">
        <v>1353</v>
      </c>
      <c r="F466" s="90" t="s">
        <v>39</v>
      </c>
      <c r="G466" s="91" t="s">
        <v>208</v>
      </c>
      <c r="H466" s="90" t="s">
        <v>1354</v>
      </c>
      <c r="I466" s="92" t="s">
        <v>28</v>
      </c>
      <c r="J466" s="92" t="s">
        <v>183</v>
      </c>
      <c r="K466" s="92" t="s">
        <v>184</v>
      </c>
      <c r="L466" s="93">
        <v>44796</v>
      </c>
      <c r="M466" s="93" t="b">
        <v>0</v>
      </c>
      <c r="N466" s="93">
        <v>45530</v>
      </c>
      <c r="O466" s="94" t="s">
        <v>73</v>
      </c>
      <c r="P466" s="95"/>
      <c r="Q466" s="95"/>
      <c r="R466" s="95"/>
      <c r="S466" s="92" t="s">
        <v>119</v>
      </c>
      <c r="T466" s="92" t="s">
        <v>153</v>
      </c>
      <c r="U466" s="92"/>
      <c r="V466" s="92"/>
      <c r="W466" s="92"/>
      <c r="X466" s="92" t="s">
        <v>1355</v>
      </c>
      <c r="Y466" s="92"/>
      <c r="Z466" s="99"/>
    </row>
    <row r="467" spans="1:26" s="131" customFormat="1" ht="12.6">
      <c r="A467" s="124" t="s">
        <v>1334</v>
      </c>
      <c r="B467" s="124" t="s">
        <v>1335</v>
      </c>
      <c r="C467" s="124" t="s">
        <v>1356</v>
      </c>
      <c r="D467" s="124" t="s">
        <v>50</v>
      </c>
      <c r="E467" s="124" t="s">
        <v>197</v>
      </c>
      <c r="F467" s="124" t="s">
        <v>39</v>
      </c>
      <c r="G467" s="125" t="s">
        <v>208</v>
      </c>
      <c r="H467" s="124" t="s">
        <v>1357</v>
      </c>
      <c r="I467" s="126" t="s">
        <v>28</v>
      </c>
      <c r="J467" s="126" t="s">
        <v>183</v>
      </c>
      <c r="K467" s="126" t="s">
        <v>118</v>
      </c>
      <c r="L467" s="127">
        <v>44796</v>
      </c>
      <c r="M467" s="127" t="b">
        <v>0</v>
      </c>
      <c r="N467" s="127">
        <v>45532</v>
      </c>
      <c r="O467" s="128" t="s">
        <v>73</v>
      </c>
      <c r="P467" s="129"/>
      <c r="Q467" s="129"/>
      <c r="R467" s="129"/>
      <c r="S467" s="126" t="s">
        <v>1358</v>
      </c>
      <c r="T467" s="126" t="s">
        <v>153</v>
      </c>
      <c r="U467" s="126"/>
      <c r="V467" s="126"/>
      <c r="W467" s="126"/>
      <c r="X467" s="126"/>
      <c r="Y467" s="126" t="s">
        <v>1359</v>
      </c>
      <c r="Z467" s="135">
        <v>44796</v>
      </c>
    </row>
    <row r="468" spans="1:26" ht="12.6">
      <c r="A468" s="85" t="s">
        <v>1334</v>
      </c>
      <c r="B468" s="85" t="s">
        <v>1335</v>
      </c>
      <c r="C468" s="85" t="s">
        <v>1360</v>
      </c>
      <c r="D468" s="85" t="s">
        <v>50</v>
      </c>
      <c r="E468" s="85" t="s">
        <v>197</v>
      </c>
      <c r="F468" s="85" t="s">
        <v>39</v>
      </c>
      <c r="G468" s="89" t="s">
        <v>208</v>
      </c>
      <c r="H468" s="85" t="s">
        <v>1361</v>
      </c>
      <c r="I468" s="86" t="s">
        <v>28</v>
      </c>
      <c r="J468" s="86" t="s">
        <v>183</v>
      </c>
      <c r="K468" s="86" t="s">
        <v>118</v>
      </c>
      <c r="L468" s="87">
        <v>44796</v>
      </c>
      <c r="M468" s="87" t="b">
        <v>0</v>
      </c>
      <c r="N468" s="87"/>
      <c r="P468" s="88"/>
      <c r="Q468" s="88"/>
      <c r="R468" s="88"/>
      <c r="S468" s="86" t="s">
        <v>166</v>
      </c>
      <c r="T468" s="86"/>
      <c r="U468" s="86"/>
      <c r="V468" s="86"/>
      <c r="W468" s="86"/>
      <c r="X468" s="86"/>
      <c r="Y468" s="86" t="s">
        <v>1362</v>
      </c>
      <c r="Z468" s="138">
        <v>44796</v>
      </c>
    </row>
    <row r="469" spans="1:26" s="131" customFormat="1" ht="12.6">
      <c r="A469" s="124" t="s">
        <v>1334</v>
      </c>
      <c r="B469" s="124" t="s">
        <v>1335</v>
      </c>
      <c r="C469" s="124" t="s">
        <v>1363</v>
      </c>
      <c r="D469" s="124" t="s">
        <v>50</v>
      </c>
      <c r="E469" s="124" t="s">
        <v>219</v>
      </c>
      <c r="F469" s="124" t="s">
        <v>123</v>
      </c>
      <c r="G469" s="125" t="s">
        <v>208</v>
      </c>
      <c r="H469" s="124" t="s">
        <v>1364</v>
      </c>
      <c r="I469" s="126" t="s">
        <v>28</v>
      </c>
      <c r="J469" s="126" t="s">
        <v>183</v>
      </c>
      <c r="K469" s="126" t="s">
        <v>118</v>
      </c>
      <c r="L469" s="127">
        <v>44796</v>
      </c>
      <c r="M469" s="127" t="b">
        <v>0</v>
      </c>
      <c r="N469" s="127">
        <v>45345</v>
      </c>
      <c r="O469" s="128" t="s">
        <v>58</v>
      </c>
      <c r="P469" s="129"/>
      <c r="Q469" s="129"/>
      <c r="R469" s="129"/>
      <c r="S469" s="126" t="s">
        <v>166</v>
      </c>
      <c r="T469" s="126"/>
      <c r="U469" s="126"/>
      <c r="V469" s="126"/>
      <c r="W469" s="86"/>
      <c r="X469" s="126" t="s">
        <v>1363</v>
      </c>
      <c r="Y469" s="126" t="s">
        <v>1362</v>
      </c>
      <c r="Z469" s="135">
        <v>44796</v>
      </c>
    </row>
    <row r="470" spans="1:26" s="131" customFormat="1" ht="12.6">
      <c r="A470" s="124" t="s">
        <v>1334</v>
      </c>
      <c r="B470" s="124" t="s">
        <v>1335</v>
      </c>
      <c r="C470" s="124" t="s">
        <v>1365</v>
      </c>
      <c r="D470" s="124" t="s">
        <v>50</v>
      </c>
      <c r="E470" s="124" t="s">
        <v>219</v>
      </c>
      <c r="F470" s="124" t="s">
        <v>123</v>
      </c>
      <c r="G470" s="125" t="s">
        <v>208</v>
      </c>
      <c r="H470" s="124" t="s">
        <v>1364</v>
      </c>
      <c r="I470" s="126" t="s">
        <v>28</v>
      </c>
      <c r="J470" s="126" t="s">
        <v>183</v>
      </c>
      <c r="K470" s="126" t="s">
        <v>118</v>
      </c>
      <c r="L470" s="127">
        <v>44796</v>
      </c>
      <c r="M470" s="127" t="b">
        <v>0</v>
      </c>
      <c r="N470" s="127">
        <v>45345</v>
      </c>
      <c r="O470" s="128" t="s">
        <v>58</v>
      </c>
      <c r="P470" s="129"/>
      <c r="Q470" s="129"/>
      <c r="R470" s="129"/>
      <c r="S470" s="126" t="s">
        <v>1366</v>
      </c>
      <c r="T470" s="126"/>
      <c r="U470" s="126"/>
      <c r="V470" s="126"/>
      <c r="W470" s="86"/>
      <c r="X470" s="126" t="s">
        <v>1367</v>
      </c>
      <c r="Y470" s="126"/>
      <c r="Z470" s="130">
        <v>44796</v>
      </c>
    </row>
    <row r="471" spans="1:26" s="98" customFormat="1" ht="12.6">
      <c r="A471" s="90" t="s">
        <v>1334</v>
      </c>
      <c r="B471" s="90" t="s">
        <v>1335</v>
      </c>
      <c r="C471" s="90" t="s">
        <v>1368</v>
      </c>
      <c r="D471" s="90" t="s">
        <v>50</v>
      </c>
      <c r="E471" s="90" t="s">
        <v>197</v>
      </c>
      <c r="F471" s="90" t="s">
        <v>39</v>
      </c>
      <c r="G471" s="91" t="s">
        <v>208</v>
      </c>
      <c r="H471" s="90" t="s">
        <v>1369</v>
      </c>
      <c r="I471" s="92" t="s">
        <v>28</v>
      </c>
      <c r="J471" s="92" t="s">
        <v>183</v>
      </c>
      <c r="K471" s="92" t="s">
        <v>118</v>
      </c>
      <c r="L471" s="93">
        <v>44796</v>
      </c>
      <c r="M471" s="93" t="b">
        <v>0</v>
      </c>
      <c r="N471" s="93">
        <v>45532</v>
      </c>
      <c r="O471" s="94" t="s">
        <v>112</v>
      </c>
      <c r="P471" s="95">
        <v>2.4</v>
      </c>
      <c r="Q471" s="95">
        <v>2</v>
      </c>
      <c r="R471" s="95"/>
      <c r="S471" s="92" t="s">
        <v>119</v>
      </c>
      <c r="T471" s="92" t="s">
        <v>153</v>
      </c>
      <c r="U471" s="92"/>
      <c r="V471" s="92"/>
      <c r="W471" s="92"/>
      <c r="X471" s="92"/>
      <c r="Y471" s="92"/>
      <c r="Z471" s="97">
        <v>44796</v>
      </c>
    </row>
    <row r="472" spans="1:26" s="98" customFormat="1" ht="12.6">
      <c r="A472" s="90" t="s">
        <v>1334</v>
      </c>
      <c r="B472" s="90" t="s">
        <v>1335</v>
      </c>
      <c r="C472" s="90" t="s">
        <v>1370</v>
      </c>
      <c r="D472" s="90" t="s">
        <v>26</v>
      </c>
      <c r="E472" s="90" t="s">
        <v>172</v>
      </c>
      <c r="F472" s="90" t="s">
        <v>27</v>
      </c>
      <c r="G472" s="91" t="s">
        <v>163</v>
      </c>
      <c r="H472" s="90" t="s">
        <v>743</v>
      </c>
      <c r="I472" s="92" t="s">
        <v>165</v>
      </c>
      <c r="J472" s="92" t="s">
        <v>40</v>
      </c>
      <c r="K472" s="92" t="s">
        <v>118</v>
      </c>
      <c r="L472" s="93">
        <v>44796</v>
      </c>
      <c r="M472" s="93" t="b">
        <v>0</v>
      </c>
      <c r="N472" s="93">
        <v>45530</v>
      </c>
      <c r="O472" s="94" t="s">
        <v>73</v>
      </c>
      <c r="P472" s="95">
        <v>6</v>
      </c>
      <c r="Q472" s="95"/>
      <c r="R472" s="95">
        <v>2.4</v>
      </c>
      <c r="S472" s="92" t="s">
        <v>119</v>
      </c>
      <c r="T472" s="92" t="s">
        <v>153</v>
      </c>
      <c r="U472" s="92"/>
      <c r="V472" s="92"/>
      <c r="W472" s="92"/>
      <c r="X472" s="92"/>
      <c r="Y472" s="92"/>
      <c r="Z472" s="99">
        <v>44796</v>
      </c>
    </row>
    <row r="473" spans="1:26" s="106" customFormat="1" ht="12.6">
      <c r="A473" s="90" t="s">
        <v>1334</v>
      </c>
      <c r="B473" s="90" t="s">
        <v>1335</v>
      </c>
      <c r="C473" s="90" t="s">
        <v>1371</v>
      </c>
      <c r="D473" s="90" t="s">
        <v>26</v>
      </c>
      <c r="E473" s="90" t="s">
        <v>1372</v>
      </c>
      <c r="F473" s="90" t="s">
        <v>39</v>
      </c>
      <c r="G473" s="91" t="s">
        <v>208</v>
      </c>
      <c r="H473" s="90" t="s">
        <v>1373</v>
      </c>
      <c r="I473" s="101" t="s">
        <v>28</v>
      </c>
      <c r="J473" s="101" t="s">
        <v>183</v>
      </c>
      <c r="K473" s="101" t="s">
        <v>118</v>
      </c>
      <c r="L473" s="116">
        <v>44830</v>
      </c>
      <c r="M473" s="103" t="b">
        <v>1</v>
      </c>
      <c r="N473" s="116">
        <v>45532</v>
      </c>
      <c r="O473" s="104" t="s">
        <v>73</v>
      </c>
      <c r="P473" s="105">
        <v>1.6</v>
      </c>
      <c r="Q473" s="105">
        <v>1.4</v>
      </c>
      <c r="R473" s="105"/>
      <c r="S473" s="101" t="s">
        <v>119</v>
      </c>
      <c r="T473" s="101" t="s">
        <v>153</v>
      </c>
      <c r="U473" s="101"/>
      <c r="V473" s="101"/>
      <c r="W473" s="101"/>
      <c r="X473" s="90" t="s">
        <v>1374</v>
      </c>
      <c r="Y473" s="101"/>
      <c r="Z473" s="102">
        <v>44796</v>
      </c>
    </row>
    <row r="474" spans="1:26" s="244" customFormat="1" ht="12.6">
      <c r="A474" s="220" t="s">
        <v>1375</v>
      </c>
      <c r="B474" s="220" t="s">
        <v>1376</v>
      </c>
      <c r="C474" s="220" t="s">
        <v>1377</v>
      </c>
      <c r="D474" s="220" t="s">
        <v>50</v>
      </c>
      <c r="E474" s="220" t="s">
        <v>197</v>
      </c>
      <c r="F474" s="220" t="s">
        <v>39</v>
      </c>
      <c r="G474" s="221" t="s">
        <v>208</v>
      </c>
      <c r="H474" s="220" t="s">
        <v>1378</v>
      </c>
      <c r="I474" s="239" t="s">
        <v>28</v>
      </c>
      <c r="J474" s="239" t="s">
        <v>183</v>
      </c>
      <c r="K474" s="239" t="s">
        <v>184</v>
      </c>
      <c r="L474" s="240"/>
      <c r="M474" s="241" t="b">
        <v>0</v>
      </c>
      <c r="N474" s="240">
        <v>45558</v>
      </c>
      <c r="O474" s="219" t="s">
        <v>73</v>
      </c>
      <c r="P474" s="242">
        <v>1.3</v>
      </c>
      <c r="Q474" s="242">
        <v>1</v>
      </c>
      <c r="R474" s="242"/>
      <c r="S474" s="239" t="s">
        <v>119</v>
      </c>
      <c r="T474" s="239" t="s">
        <v>153</v>
      </c>
      <c r="U474" s="239" t="s">
        <v>153</v>
      </c>
      <c r="V474" s="239" t="s">
        <v>167</v>
      </c>
      <c r="W474" s="239" t="s">
        <v>167</v>
      </c>
      <c r="X474" s="239"/>
      <c r="Y474" s="239"/>
      <c r="Z474" s="253">
        <v>44796</v>
      </c>
    </row>
    <row r="475" spans="1:26" s="244" customFormat="1" ht="12.6">
      <c r="A475" s="220" t="s">
        <v>1379</v>
      </c>
      <c r="B475" s="220" t="s">
        <v>1380</v>
      </c>
      <c r="C475" s="220" t="s">
        <v>1381</v>
      </c>
      <c r="D475" s="220" t="s">
        <v>61</v>
      </c>
      <c r="E475" s="220" t="s">
        <v>299</v>
      </c>
      <c r="F475" s="220" t="s">
        <v>39</v>
      </c>
      <c r="G475" s="221" t="s">
        <v>208</v>
      </c>
      <c r="H475" s="220" t="s">
        <v>1382</v>
      </c>
      <c r="I475" s="239" t="s">
        <v>28</v>
      </c>
      <c r="J475" s="239" t="s">
        <v>183</v>
      </c>
      <c r="K475" s="239" t="s">
        <v>184</v>
      </c>
      <c r="L475" s="240"/>
      <c r="M475" s="241" t="b">
        <v>0</v>
      </c>
      <c r="N475" s="240">
        <v>45559</v>
      </c>
      <c r="O475" s="219" t="s">
        <v>73</v>
      </c>
      <c r="P475" s="242">
        <v>1.8</v>
      </c>
      <c r="Q475" s="242">
        <v>1.6</v>
      </c>
      <c r="R475" s="242"/>
      <c r="S475" s="239" t="s">
        <v>119</v>
      </c>
      <c r="T475" s="239" t="s">
        <v>153</v>
      </c>
      <c r="U475" s="239" t="s">
        <v>153</v>
      </c>
      <c r="V475" s="239" t="s">
        <v>167</v>
      </c>
      <c r="W475" s="239" t="s">
        <v>167</v>
      </c>
      <c r="X475" s="239"/>
      <c r="Y475" s="239"/>
      <c r="Z475" s="225">
        <v>44796</v>
      </c>
    </row>
    <row r="476" spans="1:26" s="244" customFormat="1" ht="12.6">
      <c r="A476" s="220" t="s">
        <v>1379</v>
      </c>
      <c r="B476" s="220" t="s">
        <v>1380</v>
      </c>
      <c r="C476" s="220" t="s">
        <v>1383</v>
      </c>
      <c r="D476" s="220" t="s">
        <v>26</v>
      </c>
      <c r="E476" s="220" t="s">
        <v>176</v>
      </c>
      <c r="F476" s="220" t="s">
        <v>39</v>
      </c>
      <c r="G476" s="221" t="s">
        <v>208</v>
      </c>
      <c r="H476" s="220" t="s">
        <v>1384</v>
      </c>
      <c r="I476" s="239" t="s">
        <v>28</v>
      </c>
      <c r="J476" s="239" t="s">
        <v>183</v>
      </c>
      <c r="K476" s="239" t="s">
        <v>184</v>
      </c>
      <c r="L476" s="240"/>
      <c r="M476" s="241" t="b">
        <v>0</v>
      </c>
      <c r="N476" s="240">
        <v>45558</v>
      </c>
      <c r="O476" s="219" t="s">
        <v>73</v>
      </c>
      <c r="P476" s="242">
        <v>2.6</v>
      </c>
      <c r="Q476" s="242">
        <v>2.8</v>
      </c>
      <c r="R476" s="242"/>
      <c r="S476" s="239" t="s">
        <v>119</v>
      </c>
      <c r="T476" s="239" t="s">
        <v>153</v>
      </c>
      <c r="U476" s="239" t="s">
        <v>153</v>
      </c>
      <c r="V476" s="239" t="s">
        <v>167</v>
      </c>
      <c r="W476" s="239" t="s">
        <v>167</v>
      </c>
      <c r="X476" s="239" t="s">
        <v>1385</v>
      </c>
      <c r="Y476" s="239"/>
      <c r="Z476" s="253">
        <v>44796</v>
      </c>
    </row>
    <row r="477" spans="1:26" s="226" customFormat="1" ht="12.6">
      <c r="A477" s="220" t="s">
        <v>1386</v>
      </c>
      <c r="B477" s="220" t="s">
        <v>1387</v>
      </c>
      <c r="C477" s="220" t="s">
        <v>1388</v>
      </c>
      <c r="D477" s="220" t="s">
        <v>50</v>
      </c>
      <c r="E477" s="220" t="s">
        <v>635</v>
      </c>
      <c r="F477" s="220" t="s">
        <v>39</v>
      </c>
      <c r="G477" s="221" t="s">
        <v>208</v>
      </c>
      <c r="H477" s="220" t="s">
        <v>1389</v>
      </c>
      <c r="I477" s="222" t="s">
        <v>28</v>
      </c>
      <c r="J477" s="222" t="s">
        <v>183</v>
      </c>
      <c r="K477" s="222" t="s">
        <v>118</v>
      </c>
      <c r="L477" s="223">
        <v>44830</v>
      </c>
      <c r="M477" s="311" t="b">
        <v>1</v>
      </c>
      <c r="N477" s="223">
        <v>45558</v>
      </c>
      <c r="O477" s="219" t="s">
        <v>73</v>
      </c>
      <c r="P477" s="224">
        <v>1.6</v>
      </c>
      <c r="Q477" s="224">
        <v>1.4</v>
      </c>
      <c r="R477" s="224"/>
      <c r="S477" s="222" t="s">
        <v>119</v>
      </c>
      <c r="T477" s="222" t="s">
        <v>153</v>
      </c>
      <c r="U477" s="222" t="s">
        <v>153</v>
      </c>
      <c r="V477" s="222" t="s">
        <v>167</v>
      </c>
      <c r="W477" s="222" t="s">
        <v>167</v>
      </c>
      <c r="X477" s="222"/>
      <c r="Y477" s="222"/>
      <c r="Z477" s="225">
        <v>44796</v>
      </c>
    </row>
    <row r="478" spans="1:26" ht="12.6">
      <c r="A478" s="85" t="s">
        <v>1390</v>
      </c>
      <c r="B478" s="85" t="s">
        <v>1391</v>
      </c>
      <c r="C478" s="85" t="s">
        <v>1392</v>
      </c>
      <c r="D478" s="85" t="s">
        <v>26</v>
      </c>
      <c r="E478" s="85" t="s">
        <v>1211</v>
      </c>
      <c r="F478" s="85" t="s">
        <v>27</v>
      </c>
      <c r="G478" s="89" t="s">
        <v>227</v>
      </c>
      <c r="H478" s="85" t="s">
        <v>697</v>
      </c>
      <c r="I478" s="86" t="s">
        <v>165</v>
      </c>
      <c r="J478" s="86" t="s">
        <v>40</v>
      </c>
      <c r="K478" s="86" t="s">
        <v>118</v>
      </c>
      <c r="L478" s="87">
        <v>44946</v>
      </c>
      <c r="M478" s="87" t="b">
        <v>0</v>
      </c>
      <c r="N478" s="87"/>
      <c r="P478" s="88"/>
      <c r="Q478" s="88"/>
      <c r="R478" s="88"/>
      <c r="S478" s="86" t="s">
        <v>119</v>
      </c>
      <c r="T478" s="86" t="s">
        <v>153</v>
      </c>
      <c r="U478" s="86"/>
      <c r="V478" s="86"/>
      <c r="W478" s="86"/>
      <c r="X478" s="86"/>
      <c r="Y478" s="86"/>
      <c r="Z478" s="138">
        <v>44796</v>
      </c>
    </row>
    <row r="479" spans="1:26" ht="12.6">
      <c r="A479" s="85" t="s">
        <v>1390</v>
      </c>
      <c r="B479" s="85" t="s">
        <v>1391</v>
      </c>
      <c r="C479" s="85" t="s">
        <v>1393</v>
      </c>
      <c r="D479" s="85" t="s">
        <v>61</v>
      </c>
      <c r="E479" s="85" t="s">
        <v>740</v>
      </c>
      <c r="F479" s="85" t="s">
        <v>27</v>
      </c>
      <c r="G479" s="89" t="s">
        <v>163</v>
      </c>
      <c r="H479" s="85" t="s">
        <v>743</v>
      </c>
      <c r="I479" s="86" t="s">
        <v>165</v>
      </c>
      <c r="J479" s="86" t="s">
        <v>40</v>
      </c>
      <c r="K479" s="86" t="s">
        <v>118</v>
      </c>
      <c r="L479" s="87"/>
      <c r="M479" s="87" t="b">
        <v>0</v>
      </c>
      <c r="N479" s="87"/>
      <c r="P479" s="88"/>
      <c r="Q479" s="88"/>
      <c r="R479" s="88"/>
      <c r="S479" s="86" t="s">
        <v>119</v>
      </c>
      <c r="T479" s="86" t="s">
        <v>153</v>
      </c>
      <c r="U479" s="86"/>
      <c r="V479" s="86"/>
      <c r="W479" s="86"/>
      <c r="X479" s="86"/>
      <c r="Y479" s="86"/>
      <c r="Z479" s="154">
        <v>44796</v>
      </c>
    </row>
    <row r="480" spans="1:26" ht="12.6">
      <c r="A480" s="85" t="s">
        <v>1390</v>
      </c>
      <c r="B480" s="85" t="s">
        <v>1391</v>
      </c>
      <c r="C480" s="85" t="s">
        <v>1394</v>
      </c>
      <c r="D480" s="85" t="s">
        <v>26</v>
      </c>
      <c r="E480" s="85" t="s">
        <v>370</v>
      </c>
      <c r="F480" s="85" t="s">
        <v>27</v>
      </c>
      <c r="G480" s="89" t="s">
        <v>201</v>
      </c>
      <c r="H480" s="85" t="s">
        <v>418</v>
      </c>
      <c r="I480" s="86" t="s">
        <v>28</v>
      </c>
      <c r="J480" s="86" t="s">
        <v>28</v>
      </c>
      <c r="K480" s="86" t="s">
        <v>118</v>
      </c>
      <c r="L480" s="87">
        <v>44936</v>
      </c>
      <c r="M480" s="87" t="b">
        <v>0</v>
      </c>
      <c r="N480" s="87"/>
      <c r="P480" s="88"/>
      <c r="Q480" s="88"/>
      <c r="R480" s="88"/>
      <c r="S480" s="86" t="s">
        <v>119</v>
      </c>
      <c r="T480" s="86" t="s">
        <v>153</v>
      </c>
      <c r="U480" s="86"/>
      <c r="V480" s="86"/>
      <c r="W480" s="86"/>
      <c r="X480" s="86"/>
      <c r="Y480" s="86"/>
      <c r="Z480" s="165">
        <v>44830</v>
      </c>
    </row>
    <row r="481" spans="1:26" ht="12.6">
      <c r="A481" s="85" t="s">
        <v>1390</v>
      </c>
      <c r="B481" s="85" t="s">
        <v>1391</v>
      </c>
      <c r="C481" s="85" t="s">
        <v>1395</v>
      </c>
      <c r="D481" s="85" t="s">
        <v>61</v>
      </c>
      <c r="E481" s="85" t="s">
        <v>1396</v>
      </c>
      <c r="F481" s="85" t="s">
        <v>62</v>
      </c>
      <c r="G481" s="89" t="s">
        <v>163</v>
      </c>
      <c r="H481" s="85" t="s">
        <v>1397</v>
      </c>
      <c r="I481" s="86" t="s">
        <v>165</v>
      </c>
      <c r="J481" s="86" t="s">
        <v>40</v>
      </c>
      <c r="K481" s="86" t="s">
        <v>118</v>
      </c>
      <c r="L481" s="87"/>
      <c r="M481" s="87" t="b">
        <v>0</v>
      </c>
      <c r="N481" s="87"/>
      <c r="P481" s="88"/>
      <c r="Q481" s="88"/>
      <c r="R481" s="88"/>
      <c r="S481" s="86" t="s">
        <v>119</v>
      </c>
      <c r="T481" s="86" t="s">
        <v>153</v>
      </c>
      <c r="U481" s="86"/>
      <c r="V481" s="86"/>
      <c r="W481" s="86"/>
      <c r="X481" s="86"/>
      <c r="Y481" s="86"/>
      <c r="Z481" s="171"/>
    </row>
    <row r="482" spans="1:26" s="161" customFormat="1" ht="12.6">
      <c r="A482" s="85" t="s">
        <v>1390</v>
      </c>
      <c r="B482" s="85" t="s">
        <v>1391</v>
      </c>
      <c r="C482" s="85" t="s">
        <v>1398</v>
      </c>
      <c r="D482" s="85" t="s">
        <v>61</v>
      </c>
      <c r="E482" s="85" t="s">
        <v>1396</v>
      </c>
      <c r="F482" s="85" t="s">
        <v>62</v>
      </c>
      <c r="G482" s="89" t="s">
        <v>163</v>
      </c>
      <c r="H482" s="85" t="s">
        <v>1399</v>
      </c>
      <c r="I482" s="156" t="s">
        <v>165</v>
      </c>
      <c r="J482" s="156" t="s">
        <v>40</v>
      </c>
      <c r="K482" s="156" t="s">
        <v>118</v>
      </c>
      <c r="L482" s="171"/>
      <c r="M482" s="171" t="b">
        <v>0</v>
      </c>
      <c r="N482" s="171"/>
      <c r="O482" s="159"/>
      <c r="P482" s="160"/>
      <c r="Q482" s="160"/>
      <c r="R482" s="160"/>
      <c r="S482" s="156" t="s">
        <v>119</v>
      </c>
      <c r="T482" s="156" t="s">
        <v>153</v>
      </c>
      <c r="U482" s="156"/>
      <c r="V482" s="156"/>
      <c r="W482" s="86"/>
      <c r="X482" s="156"/>
      <c r="Y482" s="156" t="s">
        <v>318</v>
      </c>
      <c r="Z482" s="171"/>
    </row>
    <row r="483" spans="1:26" s="161" customFormat="1" ht="12.6">
      <c r="A483" s="85" t="s">
        <v>1390</v>
      </c>
      <c r="B483" s="85" t="s">
        <v>1391</v>
      </c>
      <c r="C483" s="85" t="s">
        <v>1400</v>
      </c>
      <c r="D483" s="85" t="s">
        <v>26</v>
      </c>
      <c r="E483" s="85" t="s">
        <v>256</v>
      </c>
      <c r="F483" s="85" t="s">
        <v>39</v>
      </c>
      <c r="G483" s="89" t="s">
        <v>251</v>
      </c>
      <c r="H483" s="85" t="s">
        <v>1401</v>
      </c>
      <c r="I483" s="156" t="s">
        <v>28</v>
      </c>
      <c r="J483" s="156" t="s">
        <v>28</v>
      </c>
      <c r="K483" s="156" t="s">
        <v>118</v>
      </c>
      <c r="L483" s="171"/>
      <c r="M483" s="171" t="b">
        <v>0</v>
      </c>
      <c r="N483" s="171"/>
      <c r="O483" s="159"/>
      <c r="P483" s="160"/>
      <c r="Q483" s="160"/>
      <c r="R483" s="160"/>
      <c r="S483" s="156" t="s">
        <v>119</v>
      </c>
      <c r="T483" s="156" t="s">
        <v>153</v>
      </c>
      <c r="U483" s="156"/>
      <c r="V483" s="156"/>
      <c r="W483" s="86"/>
      <c r="X483" s="156"/>
      <c r="Y483" s="156"/>
      <c r="Z483" s="171"/>
    </row>
    <row r="484" spans="1:26" ht="12.6">
      <c r="A484" s="85" t="s">
        <v>1402</v>
      </c>
      <c r="B484" s="85" t="s">
        <v>1391</v>
      </c>
      <c r="C484" s="85" t="s">
        <v>1403</v>
      </c>
      <c r="D484" s="85" t="s">
        <v>26</v>
      </c>
      <c r="E484" s="85" t="s">
        <v>172</v>
      </c>
      <c r="F484" s="85" t="s">
        <v>27</v>
      </c>
      <c r="G484" s="89" t="s">
        <v>177</v>
      </c>
      <c r="H484" s="85" t="s">
        <v>418</v>
      </c>
      <c r="I484" s="86" t="s">
        <v>28</v>
      </c>
      <c r="J484" s="86" t="s">
        <v>28</v>
      </c>
      <c r="K484" s="86" t="s">
        <v>118</v>
      </c>
      <c r="L484" s="87">
        <v>44936</v>
      </c>
      <c r="M484" s="87" t="b">
        <v>0</v>
      </c>
      <c r="N484" s="87"/>
      <c r="P484" s="88"/>
      <c r="Q484" s="88"/>
      <c r="R484" s="88"/>
      <c r="S484" s="86" t="s">
        <v>119</v>
      </c>
      <c r="T484" s="86" t="s">
        <v>153</v>
      </c>
      <c r="U484" s="86"/>
      <c r="V484" s="86"/>
      <c r="W484" s="86"/>
      <c r="X484" s="86"/>
      <c r="Y484" s="86"/>
      <c r="Z484" s="138">
        <v>44830</v>
      </c>
    </row>
    <row r="485" spans="1:26" ht="12.6">
      <c r="A485" s="85" t="s">
        <v>1402</v>
      </c>
      <c r="B485" s="85" t="s">
        <v>1391</v>
      </c>
      <c r="C485" s="85" t="s">
        <v>1404</v>
      </c>
      <c r="D485" s="85" t="s">
        <v>26</v>
      </c>
      <c r="E485" s="85" t="s">
        <v>172</v>
      </c>
      <c r="F485" s="85" t="s">
        <v>27</v>
      </c>
      <c r="G485" s="89" t="s">
        <v>208</v>
      </c>
      <c r="H485" s="85" t="s">
        <v>418</v>
      </c>
      <c r="I485" s="86" t="s">
        <v>28</v>
      </c>
      <c r="J485" s="86" t="s">
        <v>28</v>
      </c>
      <c r="K485" s="86" t="s">
        <v>118</v>
      </c>
      <c r="L485" s="87">
        <v>44936</v>
      </c>
      <c r="M485" s="87" t="b">
        <v>0</v>
      </c>
      <c r="N485" s="87"/>
      <c r="P485" s="88"/>
      <c r="Q485" s="88"/>
      <c r="R485" s="88"/>
      <c r="S485" s="86" t="s">
        <v>119</v>
      </c>
      <c r="T485" s="86" t="s">
        <v>153</v>
      </c>
      <c r="U485" s="86" t="s">
        <v>153</v>
      </c>
      <c r="V485" s="86" t="s">
        <v>167</v>
      </c>
      <c r="W485" s="86" t="s">
        <v>167</v>
      </c>
      <c r="X485" s="86"/>
      <c r="Y485" s="86" t="s">
        <v>1405</v>
      </c>
      <c r="Z485" s="154">
        <v>44946</v>
      </c>
    </row>
    <row r="486" spans="1:26" s="98" customFormat="1" ht="12.6">
      <c r="A486" s="90" t="s">
        <v>1406</v>
      </c>
      <c r="B486" s="90" t="s">
        <v>1407</v>
      </c>
      <c r="C486" s="90" t="s">
        <v>1408</v>
      </c>
      <c r="D486" s="90" t="s">
        <v>26</v>
      </c>
      <c r="E486" s="90" t="s">
        <v>267</v>
      </c>
      <c r="F486" s="90" t="s">
        <v>39</v>
      </c>
      <c r="G486" s="91" t="s">
        <v>177</v>
      </c>
      <c r="H486" s="90" t="s">
        <v>1409</v>
      </c>
      <c r="I486" s="92" t="s">
        <v>28</v>
      </c>
      <c r="J486" s="92" t="s">
        <v>183</v>
      </c>
      <c r="K486" s="92" t="s">
        <v>118</v>
      </c>
      <c r="L486" s="93">
        <v>44830</v>
      </c>
      <c r="M486" s="93" t="b">
        <v>0</v>
      </c>
      <c r="N486" s="93">
        <v>45559</v>
      </c>
      <c r="O486" s="94" t="s">
        <v>73</v>
      </c>
      <c r="P486" s="95">
        <v>3.4</v>
      </c>
      <c r="Q486" s="95">
        <v>3.1</v>
      </c>
      <c r="R486" s="95"/>
      <c r="S486" s="92" t="s">
        <v>119</v>
      </c>
      <c r="T486" s="92" t="s">
        <v>153</v>
      </c>
      <c r="U486" s="92"/>
      <c r="V486" s="92"/>
      <c r="W486" s="92"/>
      <c r="X486" s="92"/>
      <c r="Y486" s="92"/>
      <c r="Z486" s="99"/>
    </row>
    <row r="487" spans="1:26" s="98" customFormat="1" ht="12.6">
      <c r="A487" s="90" t="s">
        <v>1406</v>
      </c>
      <c r="B487" s="90" t="s">
        <v>1407</v>
      </c>
      <c r="C487" s="90" t="s">
        <v>1410</v>
      </c>
      <c r="D487" s="90" t="s">
        <v>26</v>
      </c>
      <c r="E487" s="90" t="s">
        <v>267</v>
      </c>
      <c r="F487" s="90" t="s">
        <v>39</v>
      </c>
      <c r="G487" s="91" t="s">
        <v>177</v>
      </c>
      <c r="H487" s="90" t="s">
        <v>1411</v>
      </c>
      <c r="I487" s="92" t="s">
        <v>28</v>
      </c>
      <c r="J487" s="92" t="s">
        <v>183</v>
      </c>
      <c r="K487" s="92" t="s">
        <v>118</v>
      </c>
      <c r="L487" s="93">
        <v>44830</v>
      </c>
      <c r="M487" s="119" t="b">
        <v>1</v>
      </c>
      <c r="N487" s="93">
        <v>45559</v>
      </c>
      <c r="O487" s="94" t="s">
        <v>73</v>
      </c>
      <c r="P487" s="95">
        <v>3</v>
      </c>
      <c r="Q487" s="95">
        <v>3.1</v>
      </c>
      <c r="R487" s="95"/>
      <c r="S487" s="92" t="s">
        <v>119</v>
      </c>
      <c r="T487" s="92" t="s">
        <v>153</v>
      </c>
      <c r="U487" s="92"/>
      <c r="V487" s="92"/>
      <c r="W487" s="92"/>
      <c r="X487" s="92"/>
      <c r="Y487" s="92"/>
      <c r="Z487" s="97">
        <v>44936</v>
      </c>
    </row>
    <row r="488" spans="1:26" s="98" customFormat="1" ht="12.6">
      <c r="A488" s="90" t="s">
        <v>1406</v>
      </c>
      <c r="B488" s="90" t="s">
        <v>1407</v>
      </c>
      <c r="C488" s="90" t="s">
        <v>1412</v>
      </c>
      <c r="D488" s="90" t="s">
        <v>50</v>
      </c>
      <c r="E488" s="90" t="s">
        <v>1413</v>
      </c>
      <c r="F488" s="90" t="s">
        <v>123</v>
      </c>
      <c r="G488" s="91" t="s">
        <v>208</v>
      </c>
      <c r="H488" s="90" t="s">
        <v>1414</v>
      </c>
      <c r="I488" s="92" t="s">
        <v>28</v>
      </c>
      <c r="J488" s="92" t="s">
        <v>183</v>
      </c>
      <c r="K488" s="92" t="s">
        <v>118</v>
      </c>
      <c r="L488" s="93"/>
      <c r="M488" s="119" t="b">
        <v>1</v>
      </c>
      <c r="N488" s="93">
        <v>45559</v>
      </c>
      <c r="O488" s="94" t="s">
        <v>73</v>
      </c>
      <c r="P488" s="95">
        <v>1.8</v>
      </c>
      <c r="Q488" s="95"/>
      <c r="R488" s="95">
        <v>4.4000000000000004</v>
      </c>
      <c r="S488" s="92" t="s">
        <v>119</v>
      </c>
      <c r="T488" s="92" t="s">
        <v>153</v>
      </c>
      <c r="U488" s="92"/>
      <c r="V488" s="92"/>
      <c r="W488" s="92"/>
      <c r="X488" s="92"/>
      <c r="Y488" s="92"/>
      <c r="Z488" s="99"/>
    </row>
    <row r="489" spans="1:26" s="98" customFormat="1" ht="12.6">
      <c r="A489" s="90" t="s">
        <v>1415</v>
      </c>
      <c r="B489" s="90" t="s">
        <v>1416</v>
      </c>
      <c r="C489" s="90" t="s">
        <v>1417</v>
      </c>
      <c r="D489" s="90" t="s">
        <v>50</v>
      </c>
      <c r="E489" s="90" t="s">
        <v>1413</v>
      </c>
      <c r="F489" s="90" t="s">
        <v>123</v>
      </c>
      <c r="G489" s="91" t="s">
        <v>208</v>
      </c>
      <c r="H489" s="90" t="s">
        <v>1418</v>
      </c>
      <c r="I489" s="92" t="s">
        <v>28</v>
      </c>
      <c r="J489" s="92" t="s">
        <v>183</v>
      </c>
      <c r="K489" s="92" t="s">
        <v>118</v>
      </c>
      <c r="L489" s="93">
        <v>44830</v>
      </c>
      <c r="M489" s="93" t="b">
        <v>0</v>
      </c>
      <c r="N489" s="93">
        <v>45559</v>
      </c>
      <c r="O489" s="94" t="s">
        <v>73</v>
      </c>
      <c r="P489" s="95">
        <v>1.6</v>
      </c>
      <c r="Q489" s="95"/>
      <c r="R489" s="95">
        <v>4.5999999999999996</v>
      </c>
      <c r="S489" s="92" t="s">
        <v>119</v>
      </c>
      <c r="T489" s="92"/>
      <c r="U489" s="92"/>
      <c r="V489" s="92"/>
      <c r="W489" s="92"/>
      <c r="X489" s="92"/>
      <c r="Y489" s="92" t="s">
        <v>522</v>
      </c>
      <c r="Z489" s="97"/>
    </row>
    <row r="490" spans="1:26" s="98" customFormat="1" ht="12.6">
      <c r="A490" s="90" t="s">
        <v>1419</v>
      </c>
      <c r="B490" s="90" t="s">
        <v>1420</v>
      </c>
      <c r="C490" s="90" t="s">
        <v>1421</v>
      </c>
      <c r="D490" s="90" t="s">
        <v>50</v>
      </c>
      <c r="E490" s="90" t="s">
        <v>235</v>
      </c>
      <c r="F490" s="90" t="s">
        <v>27</v>
      </c>
      <c r="G490" s="91" t="s">
        <v>173</v>
      </c>
      <c r="H490" s="90" t="s">
        <v>189</v>
      </c>
      <c r="I490" s="92" t="s">
        <v>165</v>
      </c>
      <c r="J490" s="92" t="s">
        <v>40</v>
      </c>
      <c r="K490" s="92" t="s">
        <v>118</v>
      </c>
      <c r="L490" s="93">
        <v>44912</v>
      </c>
      <c r="M490" s="93" t="b">
        <v>0</v>
      </c>
      <c r="N490" s="93">
        <v>45286</v>
      </c>
      <c r="O490" s="94" t="s">
        <v>95</v>
      </c>
      <c r="P490" s="95">
        <v>6.2</v>
      </c>
      <c r="Q490" s="95"/>
      <c r="R490" s="95">
        <v>2.2000000000000002</v>
      </c>
      <c r="S490" s="92" t="s">
        <v>119</v>
      </c>
      <c r="T490" s="92" t="s">
        <v>153</v>
      </c>
      <c r="U490" s="92"/>
      <c r="V490" s="92"/>
      <c r="W490" s="86"/>
      <c r="X490" s="92"/>
      <c r="Y490" s="92"/>
      <c r="Z490" s="107"/>
    </row>
    <row r="491" spans="1:26" s="98" customFormat="1" ht="12.6">
      <c r="A491" s="90" t="s">
        <v>1419</v>
      </c>
      <c r="B491" s="90" t="s">
        <v>1420</v>
      </c>
      <c r="C491" s="90" t="s">
        <v>1422</v>
      </c>
      <c r="D491" s="90" t="s">
        <v>26</v>
      </c>
      <c r="E491" s="90" t="s">
        <v>223</v>
      </c>
      <c r="F491" s="90" t="s">
        <v>39</v>
      </c>
      <c r="G491" s="91" t="s">
        <v>251</v>
      </c>
      <c r="H491" s="90" t="s">
        <v>418</v>
      </c>
      <c r="I491" s="92" t="s">
        <v>28</v>
      </c>
      <c r="J491" s="92" t="s">
        <v>52</v>
      </c>
      <c r="K491" s="92" t="s">
        <v>118</v>
      </c>
      <c r="L491" s="93">
        <v>44922</v>
      </c>
      <c r="M491" s="93" t="b">
        <v>0</v>
      </c>
      <c r="N491" s="93">
        <v>45286</v>
      </c>
      <c r="O491" s="94" t="s">
        <v>95</v>
      </c>
      <c r="P491" s="95">
        <v>1.4</v>
      </c>
      <c r="Q491" s="95"/>
      <c r="R491" s="95">
        <v>1.8</v>
      </c>
      <c r="S491" s="92" t="s">
        <v>119</v>
      </c>
      <c r="T491" s="92" t="s">
        <v>153</v>
      </c>
      <c r="U491" s="92"/>
      <c r="V491" s="92"/>
      <c r="W491" s="86"/>
      <c r="X491" s="92"/>
      <c r="Y491" s="92" t="s">
        <v>1423</v>
      </c>
      <c r="Z491" s="97">
        <v>44936</v>
      </c>
    </row>
    <row r="492" spans="1:26" ht="15.75" customHeight="1">
      <c r="O492" s="177"/>
      <c r="Z492" s="178"/>
    </row>
    <row r="493" spans="1:26" ht="15.75" customHeight="1">
      <c r="O493" s="177"/>
      <c r="Z493" s="179"/>
    </row>
    <row r="494" spans="1:26" ht="15.75" customHeight="1">
      <c r="O494" s="177"/>
      <c r="Z494" s="178"/>
    </row>
    <row r="495" spans="1:26" ht="15.75" customHeight="1">
      <c r="O495" s="177"/>
      <c r="Z495" s="179"/>
    </row>
    <row r="496" spans="1:26" ht="15.75" customHeight="1">
      <c r="O496" s="177"/>
      <c r="Z496" s="178"/>
    </row>
    <row r="497" spans="15:26" ht="15.75" customHeight="1">
      <c r="O497" s="177"/>
      <c r="Z497" s="179"/>
    </row>
    <row r="498" spans="15:26" ht="15.75" customHeight="1">
      <c r="O498" s="177"/>
      <c r="Z498" s="178"/>
    </row>
    <row r="499" spans="15:26" ht="15.75" customHeight="1">
      <c r="O499" s="177"/>
      <c r="Z499" s="161"/>
    </row>
    <row r="500" spans="15:26" ht="15.75" customHeight="1">
      <c r="O500" s="177"/>
    </row>
    <row r="501" spans="15:26" ht="15.75" customHeight="1">
      <c r="O501" s="177"/>
    </row>
    <row r="502" spans="15:26" ht="15.75" customHeight="1">
      <c r="O502" s="177"/>
    </row>
    <row r="503" spans="15:26" ht="15.75" customHeight="1">
      <c r="O503" s="177"/>
    </row>
    <row r="504" spans="15:26" ht="15.75" customHeight="1">
      <c r="O504" s="177"/>
    </row>
    <row r="505" spans="15:26" ht="15.75" customHeight="1">
      <c r="O505" s="177"/>
    </row>
    <row r="506" spans="15:26" ht="15.75" customHeight="1">
      <c r="O506" s="177"/>
    </row>
    <row r="507" spans="15:26" ht="15.75" customHeight="1">
      <c r="O507" s="177"/>
    </row>
    <row r="508" spans="15:26" ht="15.75" customHeight="1">
      <c r="O508" s="177"/>
    </row>
    <row r="509" spans="15:26" ht="15.75" customHeight="1">
      <c r="O509" s="177"/>
    </row>
    <row r="510" spans="15:26" ht="15.75" customHeight="1">
      <c r="O510" s="177"/>
    </row>
    <row r="511" spans="15:26" ht="15.75" customHeight="1">
      <c r="O511" s="177"/>
    </row>
    <row r="512" spans="15:26" ht="15.75" customHeight="1">
      <c r="O512" s="177"/>
    </row>
    <row r="513" spans="15:15" ht="15.75" customHeight="1">
      <c r="O513" s="177"/>
    </row>
    <row r="514" spans="15:15" ht="15.75" customHeight="1">
      <c r="O514" s="177"/>
    </row>
    <row r="515" spans="15:15" ht="15.75" customHeight="1">
      <c r="O515" s="177"/>
    </row>
    <row r="516" spans="15:15" ht="15.75" customHeight="1">
      <c r="O516" s="177"/>
    </row>
    <row r="517" spans="15:15" ht="15.75" customHeight="1">
      <c r="O517" s="177"/>
    </row>
    <row r="518" spans="15:15" ht="15.75" customHeight="1">
      <c r="O518" s="177"/>
    </row>
    <row r="519" spans="15:15" ht="15.75" customHeight="1">
      <c r="O519" s="177"/>
    </row>
    <row r="520" spans="15:15" ht="15.75" customHeight="1">
      <c r="O520" s="177"/>
    </row>
    <row r="521" spans="15:15" ht="15.75" customHeight="1">
      <c r="O521" s="177"/>
    </row>
    <row r="522" spans="15:15" ht="15.75" customHeight="1">
      <c r="O522" s="177"/>
    </row>
    <row r="523" spans="15:15" ht="15.75" customHeight="1">
      <c r="O523" s="177"/>
    </row>
    <row r="524" spans="15:15" ht="15.75" customHeight="1">
      <c r="O524" s="177"/>
    </row>
    <row r="525" spans="15:15" ht="15.75" customHeight="1">
      <c r="O525" s="177"/>
    </row>
    <row r="526" spans="15:15" ht="15.75" customHeight="1">
      <c r="O526" s="177"/>
    </row>
    <row r="527" spans="15:15" ht="15.75" customHeight="1">
      <c r="O527" s="177"/>
    </row>
    <row r="528" spans="15:15" ht="15.75" customHeight="1">
      <c r="O528" s="177"/>
    </row>
    <row r="529" spans="15:15" ht="15.75" customHeight="1">
      <c r="O529" s="177"/>
    </row>
    <row r="530" spans="15:15" ht="15.75" customHeight="1">
      <c r="O530" s="177"/>
    </row>
    <row r="531" spans="15:15" ht="15.75" customHeight="1">
      <c r="O531" s="177"/>
    </row>
    <row r="532" spans="15:15" ht="15.75" customHeight="1">
      <c r="O532" s="177"/>
    </row>
    <row r="533" spans="15:15" ht="15.75" customHeight="1">
      <c r="O533" s="177"/>
    </row>
    <row r="534" spans="15:15" ht="15.75" customHeight="1">
      <c r="O534" s="177"/>
    </row>
    <row r="535" spans="15:15" ht="15.75" customHeight="1">
      <c r="O535" s="177"/>
    </row>
    <row r="536" spans="15:15" ht="15.75" customHeight="1">
      <c r="O536" s="177"/>
    </row>
    <row r="537" spans="15:15" ht="15.75" customHeight="1">
      <c r="O537" s="177"/>
    </row>
    <row r="538" spans="15:15" ht="15.75" customHeight="1">
      <c r="O538" s="177"/>
    </row>
    <row r="539" spans="15:15" ht="15.75" customHeight="1">
      <c r="O539" s="177"/>
    </row>
    <row r="540" spans="15:15" ht="15.75" customHeight="1">
      <c r="O540" s="177"/>
    </row>
    <row r="541" spans="15:15" ht="15.75" customHeight="1">
      <c r="O541" s="177"/>
    </row>
    <row r="542" spans="15:15" ht="15.75" customHeight="1">
      <c r="O542" s="177"/>
    </row>
    <row r="543" spans="15:15" ht="15.75" customHeight="1">
      <c r="O543" s="177"/>
    </row>
    <row r="544" spans="15:15" ht="15.75" customHeight="1">
      <c r="O544" s="177"/>
    </row>
    <row r="545" spans="15:15" ht="15.75" customHeight="1">
      <c r="O545" s="177"/>
    </row>
    <row r="546" spans="15:15" ht="15.75" customHeight="1">
      <c r="O546" s="177"/>
    </row>
    <row r="547" spans="15:15" ht="15.75" customHeight="1">
      <c r="O547" s="177"/>
    </row>
    <row r="548" spans="15:15" ht="15.75" customHeight="1">
      <c r="O548" s="177"/>
    </row>
    <row r="549" spans="15:15" ht="15.75" customHeight="1">
      <c r="O549" s="177"/>
    </row>
    <row r="550" spans="15:15" ht="15.75" customHeight="1">
      <c r="O550" s="177"/>
    </row>
    <row r="551" spans="15:15" ht="15.75" customHeight="1">
      <c r="O551" s="177"/>
    </row>
    <row r="552" spans="15:15" ht="15.75" customHeight="1">
      <c r="O552" s="177"/>
    </row>
    <row r="553" spans="15:15" ht="15.75" customHeight="1">
      <c r="O553" s="177"/>
    </row>
    <row r="554" spans="15:15" ht="15.75" customHeight="1">
      <c r="O554" s="177"/>
    </row>
    <row r="555" spans="15:15" ht="15.75" customHeight="1">
      <c r="O555" s="177"/>
    </row>
    <row r="556" spans="15:15" ht="15.75" customHeight="1">
      <c r="O556" s="177"/>
    </row>
    <row r="557" spans="15:15" ht="15.75" customHeight="1">
      <c r="O557" s="177"/>
    </row>
    <row r="558" spans="15:15" ht="15.75" customHeight="1">
      <c r="O558" s="177"/>
    </row>
    <row r="559" spans="15:15" ht="15.75" customHeight="1">
      <c r="O559" s="177"/>
    </row>
    <row r="560" spans="15:15" ht="15.75" customHeight="1">
      <c r="O560" s="177"/>
    </row>
    <row r="561" spans="15:15" ht="15.75" customHeight="1">
      <c r="O561" s="177"/>
    </row>
    <row r="562" spans="15:15" ht="15.75" customHeight="1">
      <c r="O562" s="177"/>
    </row>
    <row r="563" spans="15:15" ht="15.75" customHeight="1">
      <c r="O563" s="177"/>
    </row>
    <row r="564" spans="15:15" ht="15.75" customHeight="1">
      <c r="O564" s="177"/>
    </row>
    <row r="565" spans="15:15" ht="15.75" customHeight="1">
      <c r="O565" s="177"/>
    </row>
    <row r="566" spans="15:15" ht="15.75" customHeight="1">
      <c r="O566" s="177"/>
    </row>
    <row r="567" spans="15:15" ht="15.75" customHeight="1">
      <c r="O567" s="177"/>
    </row>
    <row r="568" spans="15:15" ht="15.75" customHeight="1">
      <c r="O568" s="177"/>
    </row>
    <row r="569" spans="15:15" ht="15.75" customHeight="1">
      <c r="O569" s="177"/>
    </row>
    <row r="570" spans="15:15" ht="15.75" customHeight="1">
      <c r="O570" s="177"/>
    </row>
    <row r="571" spans="15:15" ht="15.75" customHeight="1">
      <c r="O571" s="177"/>
    </row>
    <row r="572" spans="15:15" ht="15.75" customHeight="1">
      <c r="O572" s="177"/>
    </row>
    <row r="573" spans="15:15" ht="15.75" customHeight="1">
      <c r="O573" s="177"/>
    </row>
    <row r="574" spans="15:15" ht="15.75" customHeight="1">
      <c r="O574" s="177"/>
    </row>
    <row r="575" spans="15:15" ht="15.75" customHeight="1">
      <c r="O575" s="177"/>
    </row>
    <row r="576" spans="15:15" ht="15.75" customHeight="1">
      <c r="O576" s="177"/>
    </row>
    <row r="577" spans="15:15" ht="15.75" customHeight="1">
      <c r="O577" s="177"/>
    </row>
    <row r="578" spans="15:15" ht="15.75" customHeight="1">
      <c r="O578" s="177"/>
    </row>
    <row r="579" spans="15:15" ht="15.75" customHeight="1">
      <c r="O579" s="177"/>
    </row>
    <row r="580" spans="15:15" ht="15.75" customHeight="1">
      <c r="O580" s="177"/>
    </row>
    <row r="581" spans="15:15" ht="15.75" customHeight="1">
      <c r="O581" s="177"/>
    </row>
    <row r="582" spans="15:15" ht="15.75" customHeight="1">
      <c r="O582" s="177"/>
    </row>
    <row r="583" spans="15:15" ht="15.75" customHeight="1">
      <c r="O583" s="177"/>
    </row>
    <row r="584" spans="15:15" ht="15.75" customHeight="1">
      <c r="O584" s="177"/>
    </row>
    <row r="585" spans="15:15" ht="15.75" customHeight="1">
      <c r="O585" s="177"/>
    </row>
    <row r="586" spans="15:15" ht="15.75" customHeight="1">
      <c r="O586" s="177"/>
    </row>
    <row r="587" spans="15:15" ht="15.75" customHeight="1">
      <c r="O587" s="177"/>
    </row>
    <row r="588" spans="15:15" ht="15.75" customHeight="1">
      <c r="O588" s="177"/>
    </row>
    <row r="589" spans="15:15" ht="15.75" customHeight="1">
      <c r="O589" s="177"/>
    </row>
    <row r="590" spans="15:15" ht="15.75" customHeight="1">
      <c r="O590" s="177"/>
    </row>
    <row r="591" spans="15:15" ht="15.75" customHeight="1">
      <c r="O591" s="177"/>
    </row>
    <row r="592" spans="15:15" ht="15.75" customHeight="1">
      <c r="O592" s="177"/>
    </row>
    <row r="593" spans="15:15" ht="15.75" customHeight="1">
      <c r="O593" s="177"/>
    </row>
    <row r="594" spans="15:15" ht="15.75" customHeight="1">
      <c r="O594" s="177"/>
    </row>
    <row r="595" spans="15:15" ht="15.75" customHeight="1">
      <c r="O595" s="177"/>
    </row>
    <row r="596" spans="15:15" ht="15.75" customHeight="1">
      <c r="O596" s="177"/>
    </row>
    <row r="597" spans="15:15" ht="15.75" customHeight="1">
      <c r="O597" s="177"/>
    </row>
    <row r="598" spans="15:15" ht="15.75" customHeight="1">
      <c r="O598" s="177"/>
    </row>
    <row r="599" spans="15:15" ht="15.75" customHeight="1">
      <c r="O599" s="177"/>
    </row>
    <row r="600" spans="15:15" ht="15.75" customHeight="1">
      <c r="O600" s="177"/>
    </row>
    <row r="601" spans="15:15" ht="15.75" customHeight="1">
      <c r="O601" s="177"/>
    </row>
    <row r="602" spans="15:15" ht="15.75" customHeight="1">
      <c r="O602" s="177"/>
    </row>
    <row r="603" spans="15:15" ht="15.75" customHeight="1">
      <c r="O603" s="177"/>
    </row>
    <row r="604" spans="15:15" ht="15.75" customHeight="1">
      <c r="O604" s="177"/>
    </row>
    <row r="605" spans="15:15" ht="15.75" customHeight="1">
      <c r="O605" s="177"/>
    </row>
    <row r="606" spans="15:15" ht="15.75" customHeight="1">
      <c r="O606" s="177"/>
    </row>
    <row r="607" spans="15:15" ht="15.75" customHeight="1">
      <c r="O607" s="177"/>
    </row>
    <row r="608" spans="15:15" ht="15.75" customHeight="1">
      <c r="O608" s="177"/>
    </row>
    <row r="609" spans="15:15" ht="15.75" customHeight="1">
      <c r="O609" s="177"/>
    </row>
    <row r="610" spans="15:15" ht="15.75" customHeight="1">
      <c r="O610" s="177"/>
    </row>
    <row r="611" spans="15:15" ht="15.75" customHeight="1">
      <c r="O611" s="177"/>
    </row>
    <row r="612" spans="15:15" ht="15.75" customHeight="1">
      <c r="O612" s="177"/>
    </row>
    <row r="613" spans="15:15" ht="15.75" customHeight="1">
      <c r="O613" s="177"/>
    </row>
    <row r="614" spans="15:15" ht="15.75" customHeight="1">
      <c r="O614" s="177"/>
    </row>
    <row r="615" spans="15:15" ht="15.75" customHeight="1">
      <c r="O615" s="177"/>
    </row>
    <row r="616" spans="15:15" ht="15.75" customHeight="1">
      <c r="O616" s="177"/>
    </row>
    <row r="617" spans="15:15" ht="15.75" customHeight="1">
      <c r="O617" s="177"/>
    </row>
    <row r="618" spans="15:15" ht="15.75" customHeight="1">
      <c r="O618" s="177"/>
    </row>
    <row r="619" spans="15:15" ht="15.75" customHeight="1">
      <c r="O619" s="177"/>
    </row>
    <row r="620" spans="15:15" ht="15.75" customHeight="1">
      <c r="O620" s="177"/>
    </row>
    <row r="621" spans="15:15" ht="15.75" customHeight="1">
      <c r="O621" s="177"/>
    </row>
    <row r="622" spans="15:15" ht="15.75" customHeight="1">
      <c r="O622" s="177"/>
    </row>
    <row r="623" spans="15:15" ht="15.75" customHeight="1">
      <c r="O623" s="177"/>
    </row>
    <row r="624" spans="15:15" ht="15.75" customHeight="1">
      <c r="O624" s="177"/>
    </row>
    <row r="625" spans="15:15" ht="15.75" customHeight="1">
      <c r="O625" s="177"/>
    </row>
    <row r="626" spans="15:15" ht="15.75" customHeight="1">
      <c r="O626" s="177"/>
    </row>
    <row r="627" spans="15:15" ht="15.75" customHeight="1">
      <c r="O627" s="177"/>
    </row>
    <row r="628" spans="15:15" ht="15.75" customHeight="1">
      <c r="O628" s="177"/>
    </row>
    <row r="629" spans="15:15" ht="15.75" customHeight="1">
      <c r="O629" s="177"/>
    </row>
    <row r="630" spans="15:15" ht="15.75" customHeight="1">
      <c r="O630" s="177"/>
    </row>
    <row r="631" spans="15:15" ht="15.75" customHeight="1">
      <c r="O631" s="177"/>
    </row>
    <row r="632" spans="15:15" ht="15.75" customHeight="1">
      <c r="O632" s="177"/>
    </row>
    <row r="633" spans="15:15" ht="15.75" customHeight="1">
      <c r="O633" s="177"/>
    </row>
    <row r="634" spans="15:15" ht="15.75" customHeight="1">
      <c r="O634" s="177"/>
    </row>
    <row r="635" spans="15:15" ht="15.75" customHeight="1">
      <c r="O635" s="177"/>
    </row>
    <row r="636" spans="15:15" ht="15.75" customHeight="1">
      <c r="O636" s="177"/>
    </row>
    <row r="637" spans="15:15" ht="15.75" customHeight="1">
      <c r="O637" s="177"/>
    </row>
    <row r="638" spans="15:15" ht="15.75" customHeight="1">
      <c r="O638" s="177"/>
    </row>
    <row r="639" spans="15:15" ht="15.75" customHeight="1">
      <c r="O639" s="177"/>
    </row>
    <row r="640" spans="15:15" ht="15.75" customHeight="1">
      <c r="O640" s="177"/>
    </row>
    <row r="641" spans="15:15" ht="15.75" customHeight="1">
      <c r="O641" s="177"/>
    </row>
    <row r="642" spans="15:15" ht="15.75" customHeight="1">
      <c r="O642" s="177"/>
    </row>
    <row r="643" spans="15:15" ht="15.75" customHeight="1">
      <c r="O643" s="177"/>
    </row>
    <row r="644" spans="15:15" ht="15.75" customHeight="1">
      <c r="O644" s="177"/>
    </row>
    <row r="645" spans="15:15" ht="15.75" customHeight="1">
      <c r="O645" s="177"/>
    </row>
    <row r="646" spans="15:15" ht="15.75" customHeight="1">
      <c r="O646" s="177"/>
    </row>
    <row r="647" spans="15:15" ht="15.75" customHeight="1">
      <c r="O647" s="177"/>
    </row>
    <row r="648" spans="15:15" ht="15.75" customHeight="1">
      <c r="O648" s="177"/>
    </row>
    <row r="649" spans="15:15" ht="15.75" customHeight="1">
      <c r="O649" s="177"/>
    </row>
    <row r="650" spans="15:15" ht="15.75" customHeight="1">
      <c r="O650" s="177"/>
    </row>
    <row r="651" spans="15:15" ht="15.75" customHeight="1">
      <c r="O651" s="177"/>
    </row>
    <row r="652" spans="15:15" ht="15.75" customHeight="1">
      <c r="O652" s="177"/>
    </row>
    <row r="653" spans="15:15" ht="15.75" customHeight="1">
      <c r="O653" s="177"/>
    </row>
    <row r="654" spans="15:15" ht="15.75" customHeight="1">
      <c r="O654" s="177"/>
    </row>
    <row r="655" spans="15:15" ht="15.75" customHeight="1">
      <c r="O655" s="177"/>
    </row>
    <row r="656" spans="15:15" ht="15.75" customHeight="1">
      <c r="O656" s="177"/>
    </row>
    <row r="657" spans="15:15" ht="15.75" customHeight="1">
      <c r="O657" s="177"/>
    </row>
    <row r="658" spans="15:15" ht="15.75" customHeight="1">
      <c r="O658" s="177"/>
    </row>
    <row r="659" spans="15:15" ht="15.75" customHeight="1">
      <c r="O659" s="177"/>
    </row>
    <row r="660" spans="15:15" ht="15.75" customHeight="1">
      <c r="O660" s="177"/>
    </row>
    <row r="661" spans="15:15" ht="15.75" customHeight="1">
      <c r="O661" s="177"/>
    </row>
    <row r="662" spans="15:15" ht="15.75" customHeight="1">
      <c r="O662" s="177"/>
    </row>
    <row r="663" spans="15:15" ht="15.75" customHeight="1">
      <c r="O663" s="177"/>
    </row>
    <row r="664" spans="15:15" ht="15.75" customHeight="1">
      <c r="O664" s="177"/>
    </row>
    <row r="665" spans="15:15" ht="15.75" customHeight="1">
      <c r="O665" s="177"/>
    </row>
    <row r="666" spans="15:15" ht="15.75" customHeight="1">
      <c r="O666" s="177"/>
    </row>
    <row r="667" spans="15:15" ht="15.75" customHeight="1">
      <c r="O667" s="177"/>
    </row>
    <row r="668" spans="15:15" ht="15.75" customHeight="1">
      <c r="O668" s="177"/>
    </row>
    <row r="669" spans="15:15" ht="15.75" customHeight="1">
      <c r="O669" s="177"/>
    </row>
    <row r="670" spans="15:15" ht="15.75" customHeight="1">
      <c r="O670" s="177"/>
    </row>
    <row r="671" spans="15:15" ht="15.75" customHeight="1">
      <c r="O671" s="177"/>
    </row>
    <row r="672" spans="15:15" ht="15.75" customHeight="1">
      <c r="O672" s="177"/>
    </row>
    <row r="673" spans="15:15" ht="15.75" customHeight="1">
      <c r="O673" s="177"/>
    </row>
    <row r="674" spans="15:15" ht="15.75" customHeight="1">
      <c r="O674" s="177"/>
    </row>
    <row r="675" spans="15:15" ht="15.75" customHeight="1">
      <c r="O675" s="177"/>
    </row>
    <row r="676" spans="15:15" ht="15.75" customHeight="1">
      <c r="O676" s="177"/>
    </row>
    <row r="677" spans="15:15" ht="15.75" customHeight="1">
      <c r="O677" s="177"/>
    </row>
    <row r="678" spans="15:15" ht="15.75" customHeight="1">
      <c r="O678" s="177"/>
    </row>
    <row r="679" spans="15:15" ht="15.75" customHeight="1">
      <c r="O679" s="177"/>
    </row>
    <row r="680" spans="15:15" ht="15.75" customHeight="1">
      <c r="O680" s="177"/>
    </row>
    <row r="681" spans="15:15" ht="15.75" customHeight="1">
      <c r="O681" s="177"/>
    </row>
    <row r="682" spans="15:15" ht="15.75" customHeight="1">
      <c r="O682" s="177"/>
    </row>
    <row r="683" spans="15:15" ht="15.75" customHeight="1">
      <c r="O683" s="177"/>
    </row>
    <row r="684" spans="15:15" ht="15.75" customHeight="1">
      <c r="O684" s="177"/>
    </row>
    <row r="685" spans="15:15" ht="15.75" customHeight="1">
      <c r="O685" s="177"/>
    </row>
    <row r="686" spans="15:15" ht="15.75" customHeight="1">
      <c r="O686" s="177"/>
    </row>
    <row r="687" spans="15:15" ht="15.75" customHeight="1">
      <c r="O687" s="177"/>
    </row>
    <row r="688" spans="15:15" ht="15.75" customHeight="1">
      <c r="O688" s="177"/>
    </row>
    <row r="689" spans="15:15" ht="15.75" customHeight="1">
      <c r="O689" s="177"/>
    </row>
    <row r="690" spans="15:15" ht="15.75" customHeight="1">
      <c r="O690" s="177"/>
    </row>
    <row r="691" spans="15:15" ht="15.75" customHeight="1">
      <c r="O691" s="177"/>
    </row>
    <row r="692" spans="15:15" ht="15.75" customHeight="1">
      <c r="O692" s="177"/>
    </row>
    <row r="693" spans="15:15" ht="15.75" customHeight="1">
      <c r="O693" s="177"/>
    </row>
    <row r="694" spans="15:15" ht="15.75" customHeight="1">
      <c r="O694" s="177"/>
    </row>
    <row r="695" spans="15:15" ht="15.75" customHeight="1">
      <c r="O695" s="177"/>
    </row>
    <row r="696" spans="15:15" ht="15.75" customHeight="1">
      <c r="O696" s="177"/>
    </row>
    <row r="697" spans="15:15" ht="15.75" customHeight="1">
      <c r="O697" s="177"/>
    </row>
    <row r="698" spans="15:15" ht="15.75" customHeight="1">
      <c r="O698" s="177"/>
    </row>
    <row r="699" spans="15:15" ht="15.75" customHeight="1">
      <c r="O699" s="177"/>
    </row>
    <row r="700" spans="15:15" ht="15.75" customHeight="1">
      <c r="O700" s="177"/>
    </row>
    <row r="701" spans="15:15" ht="15.75" customHeight="1">
      <c r="O701" s="177"/>
    </row>
    <row r="702" spans="15:15" ht="15.75" customHeight="1">
      <c r="O702" s="177"/>
    </row>
    <row r="703" spans="15:15" ht="15.75" customHeight="1">
      <c r="O703" s="177"/>
    </row>
    <row r="704" spans="15:15" ht="15.75" customHeight="1">
      <c r="O704" s="177"/>
    </row>
    <row r="705" spans="15:15" ht="15.75" customHeight="1">
      <c r="O705" s="177"/>
    </row>
    <row r="706" spans="15:15" ht="15.75" customHeight="1">
      <c r="O706" s="177"/>
    </row>
    <row r="707" spans="15:15" ht="15.75" customHeight="1">
      <c r="O707" s="177"/>
    </row>
    <row r="708" spans="15:15" ht="15.75" customHeight="1">
      <c r="O708" s="177"/>
    </row>
    <row r="709" spans="15:15" ht="15.75" customHeight="1">
      <c r="O709" s="177"/>
    </row>
    <row r="710" spans="15:15" ht="15.75" customHeight="1">
      <c r="O710" s="177"/>
    </row>
    <row r="711" spans="15:15" ht="15.75" customHeight="1">
      <c r="O711" s="177"/>
    </row>
    <row r="712" spans="15:15" ht="15.75" customHeight="1">
      <c r="O712" s="177"/>
    </row>
    <row r="713" spans="15:15" ht="15.75" customHeight="1">
      <c r="O713" s="177"/>
    </row>
    <row r="714" spans="15:15" ht="15.75" customHeight="1">
      <c r="O714" s="177"/>
    </row>
    <row r="715" spans="15:15" ht="15.75" customHeight="1">
      <c r="O715" s="177"/>
    </row>
    <row r="716" spans="15:15" ht="15.75" customHeight="1">
      <c r="O716" s="177"/>
    </row>
    <row r="717" spans="15:15" ht="15.75" customHeight="1">
      <c r="O717" s="177"/>
    </row>
    <row r="718" spans="15:15" ht="15.75" customHeight="1">
      <c r="O718" s="177"/>
    </row>
    <row r="719" spans="15:15" ht="15.75" customHeight="1">
      <c r="O719" s="177"/>
    </row>
    <row r="720" spans="15:15" ht="15.75" customHeight="1">
      <c r="O720" s="177"/>
    </row>
    <row r="721" spans="15:15" ht="15.75" customHeight="1">
      <c r="O721" s="177"/>
    </row>
    <row r="722" spans="15:15" ht="15.75" customHeight="1">
      <c r="O722" s="177"/>
    </row>
    <row r="723" spans="15:15" ht="15.75" customHeight="1">
      <c r="O723" s="177"/>
    </row>
    <row r="724" spans="15:15" ht="15.75" customHeight="1">
      <c r="O724" s="177"/>
    </row>
    <row r="725" spans="15:15" ht="15.75" customHeight="1">
      <c r="O725" s="177"/>
    </row>
    <row r="726" spans="15:15" ht="15.75" customHeight="1">
      <c r="O726" s="177"/>
    </row>
    <row r="727" spans="15:15" ht="15.75" customHeight="1">
      <c r="O727" s="177"/>
    </row>
    <row r="728" spans="15:15" ht="15.75" customHeight="1">
      <c r="O728" s="177"/>
    </row>
    <row r="729" spans="15:15" ht="15.75" customHeight="1">
      <c r="O729" s="177"/>
    </row>
    <row r="730" spans="15:15" ht="15.75" customHeight="1">
      <c r="O730" s="177"/>
    </row>
    <row r="731" spans="15:15" ht="15.75" customHeight="1">
      <c r="O731" s="177"/>
    </row>
    <row r="732" spans="15:15" ht="15.75" customHeight="1">
      <c r="O732" s="177"/>
    </row>
    <row r="733" spans="15:15" ht="15.75" customHeight="1">
      <c r="O733" s="177"/>
    </row>
    <row r="734" spans="15:15" ht="15.75" customHeight="1">
      <c r="O734" s="177"/>
    </row>
    <row r="735" spans="15:15" ht="15.75" customHeight="1">
      <c r="O735" s="177"/>
    </row>
    <row r="736" spans="15:15" ht="15.75" customHeight="1">
      <c r="O736" s="177"/>
    </row>
    <row r="737" spans="15:15" ht="15.75" customHeight="1">
      <c r="O737" s="177"/>
    </row>
    <row r="738" spans="15:15" ht="15.75" customHeight="1">
      <c r="O738" s="177"/>
    </row>
    <row r="739" spans="15:15" ht="15.75" customHeight="1">
      <c r="O739" s="177"/>
    </row>
    <row r="740" spans="15:15" ht="15.75" customHeight="1">
      <c r="O740" s="177"/>
    </row>
    <row r="741" spans="15:15" ht="15.75" customHeight="1">
      <c r="O741" s="177"/>
    </row>
    <row r="742" spans="15:15" ht="15.75" customHeight="1">
      <c r="O742" s="177"/>
    </row>
    <row r="743" spans="15:15" ht="15.75" customHeight="1">
      <c r="O743" s="177"/>
    </row>
    <row r="744" spans="15:15" ht="15.75" customHeight="1">
      <c r="O744" s="177"/>
    </row>
    <row r="745" spans="15:15" ht="15.75" customHeight="1">
      <c r="O745" s="177"/>
    </row>
    <row r="746" spans="15:15" ht="15.75" customHeight="1">
      <c r="O746" s="177"/>
    </row>
    <row r="747" spans="15:15" ht="15.75" customHeight="1">
      <c r="O747" s="177"/>
    </row>
    <row r="748" spans="15:15" ht="15.75" customHeight="1">
      <c r="O748" s="177"/>
    </row>
    <row r="749" spans="15:15" ht="15.75" customHeight="1">
      <c r="O749" s="177"/>
    </row>
    <row r="750" spans="15:15" ht="15.75" customHeight="1">
      <c r="O750" s="177"/>
    </row>
    <row r="751" spans="15:15" ht="15.75" customHeight="1">
      <c r="O751" s="177"/>
    </row>
    <row r="752" spans="15:15" ht="15.75" customHeight="1">
      <c r="O752" s="177"/>
    </row>
    <row r="753" spans="15:15" ht="15.75" customHeight="1">
      <c r="O753" s="177"/>
    </row>
    <row r="754" spans="15:15" ht="15.75" customHeight="1">
      <c r="O754" s="177"/>
    </row>
    <row r="755" spans="15:15" ht="15.75" customHeight="1">
      <c r="O755" s="177"/>
    </row>
    <row r="756" spans="15:15" ht="15.75" customHeight="1">
      <c r="O756" s="177"/>
    </row>
    <row r="757" spans="15:15" ht="15.75" customHeight="1">
      <c r="O757" s="177"/>
    </row>
    <row r="758" spans="15:15" ht="15.75" customHeight="1">
      <c r="O758" s="177"/>
    </row>
    <row r="759" spans="15:15" ht="15.75" customHeight="1">
      <c r="O759" s="177"/>
    </row>
    <row r="760" spans="15:15" ht="15.75" customHeight="1">
      <c r="O760" s="177"/>
    </row>
    <row r="761" spans="15:15" ht="15.75" customHeight="1">
      <c r="O761" s="177"/>
    </row>
    <row r="762" spans="15:15" ht="15.75" customHeight="1">
      <c r="O762" s="177"/>
    </row>
    <row r="763" spans="15:15" ht="15.75" customHeight="1">
      <c r="O763" s="177"/>
    </row>
    <row r="764" spans="15:15" ht="15.75" customHeight="1">
      <c r="O764" s="177"/>
    </row>
    <row r="765" spans="15:15" ht="15.75" customHeight="1">
      <c r="O765" s="177"/>
    </row>
    <row r="766" spans="15:15" ht="15.75" customHeight="1">
      <c r="O766" s="177"/>
    </row>
    <row r="767" spans="15:15" ht="15.75" customHeight="1">
      <c r="O767" s="177"/>
    </row>
    <row r="768" spans="15:15" ht="15.75" customHeight="1">
      <c r="O768" s="177"/>
    </row>
    <row r="769" spans="15:15" ht="15.75" customHeight="1">
      <c r="O769" s="177"/>
    </row>
    <row r="770" spans="15:15" ht="15.75" customHeight="1">
      <c r="O770" s="177"/>
    </row>
    <row r="771" spans="15:15" ht="15.75" customHeight="1">
      <c r="O771" s="177"/>
    </row>
    <row r="772" spans="15:15" ht="15.75" customHeight="1">
      <c r="O772" s="177"/>
    </row>
    <row r="773" spans="15:15" ht="15.75" customHeight="1">
      <c r="O773" s="177"/>
    </row>
    <row r="774" spans="15:15" ht="15.75" customHeight="1">
      <c r="O774" s="177"/>
    </row>
    <row r="775" spans="15:15" ht="15.75" customHeight="1">
      <c r="O775" s="177"/>
    </row>
    <row r="776" spans="15:15" ht="15.75" customHeight="1">
      <c r="O776" s="177"/>
    </row>
    <row r="777" spans="15:15" ht="15.75" customHeight="1">
      <c r="O777" s="177"/>
    </row>
    <row r="778" spans="15:15" ht="15.75" customHeight="1">
      <c r="O778" s="177"/>
    </row>
    <row r="779" spans="15:15" ht="15.75" customHeight="1">
      <c r="O779" s="177"/>
    </row>
    <row r="780" spans="15:15" ht="15.75" customHeight="1">
      <c r="O780" s="177"/>
    </row>
    <row r="781" spans="15:15" ht="15.75" customHeight="1">
      <c r="O781" s="177"/>
    </row>
    <row r="782" spans="15:15" ht="15.75" customHeight="1">
      <c r="O782" s="177"/>
    </row>
    <row r="783" spans="15:15" ht="15.75" customHeight="1">
      <c r="O783" s="177"/>
    </row>
    <row r="784" spans="15:15" ht="15.75" customHeight="1">
      <c r="O784" s="177"/>
    </row>
    <row r="785" spans="15:15" ht="15.75" customHeight="1">
      <c r="O785" s="177"/>
    </row>
    <row r="786" spans="15:15" ht="15.75" customHeight="1">
      <c r="O786" s="177"/>
    </row>
    <row r="787" spans="15:15" ht="15.75" customHeight="1">
      <c r="O787" s="177"/>
    </row>
    <row r="788" spans="15:15" ht="15.75" customHeight="1">
      <c r="O788" s="177"/>
    </row>
    <row r="789" spans="15:15" ht="15.75" customHeight="1">
      <c r="O789" s="177"/>
    </row>
    <row r="790" spans="15:15" ht="15.75" customHeight="1">
      <c r="O790" s="177"/>
    </row>
    <row r="791" spans="15:15" ht="15.75" customHeight="1">
      <c r="O791" s="177"/>
    </row>
    <row r="792" spans="15:15" ht="15.75" customHeight="1">
      <c r="O792" s="177"/>
    </row>
    <row r="793" spans="15:15" ht="15.75" customHeight="1">
      <c r="O793" s="177"/>
    </row>
    <row r="794" spans="15:15" ht="15.75" customHeight="1">
      <c r="O794" s="177"/>
    </row>
    <row r="795" spans="15:15" ht="15.75" customHeight="1">
      <c r="O795" s="177"/>
    </row>
    <row r="796" spans="15:15" ht="15.75" customHeight="1">
      <c r="O796" s="177"/>
    </row>
    <row r="797" spans="15:15" ht="15.75" customHeight="1">
      <c r="O797" s="177"/>
    </row>
    <row r="798" spans="15:15" ht="15.75" customHeight="1">
      <c r="O798" s="177"/>
    </row>
    <row r="799" spans="15:15" ht="15.75" customHeight="1">
      <c r="O799" s="177"/>
    </row>
    <row r="800" spans="15:15" ht="15.75" customHeight="1">
      <c r="O800" s="177"/>
    </row>
    <row r="801" spans="15:15" ht="15.75" customHeight="1">
      <c r="O801" s="177"/>
    </row>
    <row r="802" spans="15:15" ht="15.75" customHeight="1">
      <c r="O802" s="177"/>
    </row>
    <row r="803" spans="15:15" ht="15.75" customHeight="1">
      <c r="O803" s="177"/>
    </row>
    <row r="804" spans="15:15" ht="15.75" customHeight="1">
      <c r="O804" s="177"/>
    </row>
    <row r="805" spans="15:15" ht="15.75" customHeight="1">
      <c r="O805" s="177"/>
    </row>
    <row r="806" spans="15:15" ht="15.75" customHeight="1">
      <c r="O806" s="177"/>
    </row>
    <row r="807" spans="15:15" ht="15.75" customHeight="1">
      <c r="O807" s="177"/>
    </row>
    <row r="808" spans="15:15" ht="15.75" customHeight="1">
      <c r="O808" s="177"/>
    </row>
    <row r="809" spans="15:15" ht="15.75" customHeight="1">
      <c r="O809" s="177"/>
    </row>
    <row r="810" spans="15:15" ht="15.75" customHeight="1">
      <c r="O810" s="177"/>
    </row>
    <row r="811" spans="15:15" ht="15.75" customHeight="1">
      <c r="O811" s="177"/>
    </row>
    <row r="812" spans="15:15" ht="15.75" customHeight="1">
      <c r="O812" s="177"/>
    </row>
    <row r="813" spans="15:15" ht="15.75" customHeight="1">
      <c r="O813" s="177"/>
    </row>
    <row r="814" spans="15:15" ht="15.75" customHeight="1">
      <c r="O814" s="177"/>
    </row>
    <row r="815" spans="15:15" ht="15.75" customHeight="1">
      <c r="O815" s="177"/>
    </row>
    <row r="816" spans="15:15" ht="15.75" customHeight="1">
      <c r="O816" s="177"/>
    </row>
    <row r="817" spans="15:15" ht="15.75" customHeight="1">
      <c r="O817" s="177"/>
    </row>
    <row r="818" spans="15:15" ht="15.75" customHeight="1">
      <c r="O818" s="177"/>
    </row>
    <row r="819" spans="15:15" ht="15.75" customHeight="1">
      <c r="O819" s="177"/>
    </row>
    <row r="820" spans="15:15" ht="15.75" customHeight="1">
      <c r="O820" s="177"/>
    </row>
    <row r="821" spans="15:15" ht="15.75" customHeight="1">
      <c r="O821" s="177"/>
    </row>
    <row r="822" spans="15:15" ht="15.75" customHeight="1">
      <c r="O822" s="177"/>
    </row>
    <row r="823" spans="15:15" ht="15.75" customHeight="1">
      <c r="O823" s="177"/>
    </row>
    <row r="824" spans="15:15" ht="15.75" customHeight="1">
      <c r="O824" s="177"/>
    </row>
    <row r="825" spans="15:15" ht="15.75" customHeight="1">
      <c r="O825" s="177"/>
    </row>
    <row r="826" spans="15:15" ht="15.75" customHeight="1">
      <c r="O826" s="177"/>
    </row>
    <row r="827" spans="15:15" ht="15.75" customHeight="1">
      <c r="O827" s="177"/>
    </row>
    <row r="828" spans="15:15" ht="15.75" customHeight="1">
      <c r="O828" s="177"/>
    </row>
    <row r="829" spans="15:15" ht="15.75" customHeight="1">
      <c r="O829" s="177"/>
    </row>
    <row r="830" spans="15:15" ht="15.75" customHeight="1">
      <c r="O830" s="177"/>
    </row>
    <row r="831" spans="15:15" ht="15.75" customHeight="1">
      <c r="O831" s="177"/>
    </row>
    <row r="832" spans="15:15" ht="15.75" customHeight="1">
      <c r="O832" s="177"/>
    </row>
    <row r="833" spans="15:15" ht="15.75" customHeight="1">
      <c r="O833" s="177"/>
    </row>
    <row r="834" spans="15:15" ht="15.75" customHeight="1">
      <c r="O834" s="177"/>
    </row>
    <row r="835" spans="15:15" ht="15.75" customHeight="1">
      <c r="O835" s="177"/>
    </row>
    <row r="836" spans="15:15" ht="15.75" customHeight="1">
      <c r="O836" s="177"/>
    </row>
    <row r="837" spans="15:15" ht="15.75" customHeight="1">
      <c r="O837" s="177"/>
    </row>
    <row r="838" spans="15:15" ht="15.75" customHeight="1">
      <c r="O838" s="177"/>
    </row>
    <row r="839" spans="15:15" ht="15.75" customHeight="1">
      <c r="O839" s="177"/>
    </row>
    <row r="840" spans="15:15" ht="15.75" customHeight="1">
      <c r="O840" s="177"/>
    </row>
    <row r="841" spans="15:15" ht="15.75" customHeight="1">
      <c r="O841" s="177"/>
    </row>
    <row r="842" spans="15:15" ht="15.75" customHeight="1">
      <c r="O842" s="177"/>
    </row>
    <row r="843" spans="15:15" ht="15.75" customHeight="1">
      <c r="O843" s="177"/>
    </row>
    <row r="844" spans="15:15" ht="15.75" customHeight="1">
      <c r="O844" s="177"/>
    </row>
    <row r="845" spans="15:15" ht="15.75" customHeight="1">
      <c r="O845" s="177"/>
    </row>
    <row r="846" spans="15:15" ht="15.75" customHeight="1">
      <c r="O846" s="177"/>
    </row>
    <row r="847" spans="15:15" ht="15.75" customHeight="1">
      <c r="O847" s="177"/>
    </row>
    <row r="848" spans="15:15" ht="15.75" customHeight="1">
      <c r="O848" s="177"/>
    </row>
    <row r="849" spans="15:15" ht="15.75" customHeight="1">
      <c r="O849" s="177"/>
    </row>
    <row r="850" spans="15:15" ht="15.75" customHeight="1">
      <c r="O850" s="177"/>
    </row>
    <row r="851" spans="15:15" ht="15.75" customHeight="1">
      <c r="O851" s="177"/>
    </row>
    <row r="852" spans="15:15" ht="15.75" customHeight="1">
      <c r="O852" s="177"/>
    </row>
    <row r="853" spans="15:15" ht="15.75" customHeight="1">
      <c r="O853" s="177"/>
    </row>
    <row r="854" spans="15:15" ht="15.75" customHeight="1">
      <c r="O854" s="177"/>
    </row>
    <row r="855" spans="15:15" ht="15.75" customHeight="1">
      <c r="O855" s="177"/>
    </row>
    <row r="856" spans="15:15" ht="15.75" customHeight="1">
      <c r="O856" s="177"/>
    </row>
    <row r="857" spans="15:15" ht="15.75" customHeight="1">
      <c r="O857" s="177"/>
    </row>
    <row r="858" spans="15:15" ht="15.75" customHeight="1">
      <c r="O858" s="177"/>
    </row>
    <row r="859" spans="15:15" ht="15.75" customHeight="1">
      <c r="O859" s="177"/>
    </row>
    <row r="860" spans="15:15" ht="15.75" customHeight="1">
      <c r="O860" s="177"/>
    </row>
    <row r="861" spans="15:15" ht="15.75" customHeight="1">
      <c r="O861" s="177"/>
    </row>
    <row r="862" spans="15:15" ht="15.75" customHeight="1">
      <c r="O862" s="177"/>
    </row>
    <row r="863" spans="15:15" ht="15.75" customHeight="1">
      <c r="O863" s="177"/>
    </row>
    <row r="864" spans="15:15" ht="15.75" customHeight="1">
      <c r="O864" s="177"/>
    </row>
    <row r="865" spans="15:15" ht="15.75" customHeight="1">
      <c r="O865" s="177"/>
    </row>
    <row r="866" spans="15:15" ht="15.75" customHeight="1">
      <c r="O866" s="177"/>
    </row>
    <row r="867" spans="15:15" ht="15.75" customHeight="1">
      <c r="O867" s="177"/>
    </row>
    <row r="868" spans="15:15" ht="15.75" customHeight="1">
      <c r="O868" s="177"/>
    </row>
    <row r="869" spans="15:15" ht="15.75" customHeight="1">
      <c r="O869" s="177"/>
    </row>
    <row r="870" spans="15:15" ht="15.75" customHeight="1">
      <c r="O870" s="177"/>
    </row>
    <row r="871" spans="15:15" ht="15.75" customHeight="1">
      <c r="O871" s="177"/>
    </row>
    <row r="872" spans="15:15" ht="15.75" customHeight="1">
      <c r="O872" s="177"/>
    </row>
    <row r="873" spans="15:15" ht="15.75" customHeight="1">
      <c r="O873" s="177"/>
    </row>
    <row r="874" spans="15:15" ht="15.75" customHeight="1">
      <c r="O874" s="177"/>
    </row>
    <row r="875" spans="15:15" ht="15.75" customHeight="1">
      <c r="O875" s="177"/>
    </row>
    <row r="876" spans="15:15" ht="15.75" customHeight="1">
      <c r="O876" s="177"/>
    </row>
    <row r="877" spans="15:15" ht="15.75" customHeight="1">
      <c r="O877" s="177"/>
    </row>
    <row r="878" spans="15:15" ht="15.75" customHeight="1">
      <c r="O878" s="177"/>
    </row>
    <row r="879" spans="15:15" ht="15.75" customHeight="1">
      <c r="O879" s="177"/>
    </row>
    <row r="880" spans="15:15" ht="15.75" customHeight="1">
      <c r="O880" s="177"/>
    </row>
    <row r="881" spans="15:15" ht="15.75" customHeight="1">
      <c r="O881" s="177"/>
    </row>
    <row r="882" spans="15:15" ht="15.75" customHeight="1">
      <c r="O882" s="177"/>
    </row>
    <row r="883" spans="15:15" ht="15.75" customHeight="1">
      <c r="O883" s="177"/>
    </row>
    <row r="884" spans="15:15" ht="15.75" customHeight="1">
      <c r="O884" s="177"/>
    </row>
    <row r="885" spans="15:15" ht="15.75" customHeight="1">
      <c r="O885" s="177"/>
    </row>
    <row r="886" spans="15:15" ht="15.75" customHeight="1">
      <c r="O886" s="177"/>
    </row>
    <row r="887" spans="15:15" ht="15.75" customHeight="1">
      <c r="O887" s="177"/>
    </row>
    <row r="888" spans="15:15" ht="15.75" customHeight="1">
      <c r="O888" s="177"/>
    </row>
    <row r="889" spans="15:15" ht="15.75" customHeight="1">
      <c r="O889" s="177"/>
    </row>
    <row r="890" spans="15:15" ht="15.75" customHeight="1">
      <c r="O890" s="177"/>
    </row>
    <row r="891" spans="15:15" ht="15.75" customHeight="1">
      <c r="O891" s="177"/>
    </row>
    <row r="892" spans="15:15" ht="15.75" customHeight="1">
      <c r="O892" s="177"/>
    </row>
    <row r="893" spans="15:15" ht="15.75" customHeight="1">
      <c r="O893" s="177"/>
    </row>
    <row r="894" spans="15:15" ht="15.75" customHeight="1">
      <c r="O894" s="177"/>
    </row>
    <row r="895" spans="15:15" ht="15.75" customHeight="1">
      <c r="O895" s="177"/>
    </row>
    <row r="896" spans="15:15" ht="15.75" customHeight="1">
      <c r="O896" s="177"/>
    </row>
    <row r="897" spans="15:15" ht="15.75" customHeight="1">
      <c r="O897" s="177"/>
    </row>
    <row r="898" spans="15:15" ht="15.75" customHeight="1">
      <c r="O898" s="177"/>
    </row>
    <row r="899" spans="15:15" ht="15.75" customHeight="1">
      <c r="O899" s="177"/>
    </row>
    <row r="900" spans="15:15" ht="15.75" customHeight="1">
      <c r="O900" s="177"/>
    </row>
    <row r="901" spans="15:15" ht="15.75" customHeight="1">
      <c r="O901" s="177"/>
    </row>
    <row r="902" spans="15:15" ht="15.75" customHeight="1">
      <c r="O902" s="177"/>
    </row>
    <row r="903" spans="15:15" ht="15.75" customHeight="1">
      <c r="O903" s="177"/>
    </row>
    <row r="904" spans="15:15" ht="15.75" customHeight="1">
      <c r="O904" s="177"/>
    </row>
    <row r="905" spans="15:15" ht="15.75" customHeight="1">
      <c r="O905" s="177"/>
    </row>
    <row r="906" spans="15:15" ht="15.75" customHeight="1">
      <c r="O906" s="177"/>
    </row>
    <row r="907" spans="15:15" ht="15.75" customHeight="1">
      <c r="O907" s="177"/>
    </row>
    <row r="908" spans="15:15" ht="15.75" customHeight="1">
      <c r="O908" s="177"/>
    </row>
    <row r="909" spans="15:15" ht="15.75" customHeight="1">
      <c r="O909" s="177"/>
    </row>
    <row r="910" spans="15:15" ht="15.75" customHeight="1">
      <c r="O910" s="177"/>
    </row>
    <row r="911" spans="15:15" ht="15.75" customHeight="1">
      <c r="O911" s="177"/>
    </row>
    <row r="912" spans="15:15" ht="15.75" customHeight="1">
      <c r="O912" s="177"/>
    </row>
    <row r="913" spans="15:15" ht="15.75" customHeight="1">
      <c r="O913" s="177"/>
    </row>
    <row r="914" spans="15:15" ht="15.75" customHeight="1">
      <c r="O914" s="177"/>
    </row>
    <row r="915" spans="15:15" ht="15.75" customHeight="1">
      <c r="O915" s="177"/>
    </row>
    <row r="916" spans="15:15" ht="15.75" customHeight="1">
      <c r="O916" s="177"/>
    </row>
    <row r="917" spans="15:15" ht="15.75" customHeight="1">
      <c r="O917" s="177"/>
    </row>
    <row r="918" spans="15:15" ht="15.75" customHeight="1">
      <c r="O918" s="177"/>
    </row>
    <row r="919" spans="15:15" ht="15.75" customHeight="1">
      <c r="O919" s="177"/>
    </row>
    <row r="920" spans="15:15" ht="15.75" customHeight="1">
      <c r="O920" s="177"/>
    </row>
    <row r="921" spans="15:15" ht="15.75" customHeight="1">
      <c r="O921" s="177"/>
    </row>
    <row r="922" spans="15:15" ht="15.75" customHeight="1">
      <c r="O922" s="177"/>
    </row>
    <row r="923" spans="15:15" ht="15.75" customHeight="1">
      <c r="O923" s="177"/>
    </row>
    <row r="924" spans="15:15" ht="15.75" customHeight="1">
      <c r="O924" s="177"/>
    </row>
    <row r="925" spans="15:15" ht="15.75" customHeight="1">
      <c r="O925" s="177"/>
    </row>
    <row r="926" spans="15:15" ht="15.75" customHeight="1">
      <c r="O926" s="177"/>
    </row>
    <row r="927" spans="15:15" ht="15.75" customHeight="1">
      <c r="O927" s="177"/>
    </row>
    <row r="928" spans="15:15" ht="15.75" customHeight="1">
      <c r="O928" s="177"/>
    </row>
    <row r="929" spans="15:15" ht="15.75" customHeight="1">
      <c r="O929" s="177"/>
    </row>
    <row r="930" spans="15:15" ht="15.75" customHeight="1">
      <c r="O930" s="177"/>
    </row>
    <row r="931" spans="15:15" ht="15.75" customHeight="1">
      <c r="O931" s="177"/>
    </row>
    <row r="932" spans="15:15" ht="15.75" customHeight="1">
      <c r="O932" s="177"/>
    </row>
    <row r="933" spans="15:15" ht="15.75" customHeight="1">
      <c r="O933" s="177"/>
    </row>
    <row r="934" spans="15:15" ht="15.75" customHeight="1">
      <c r="O934" s="177"/>
    </row>
    <row r="935" spans="15:15" ht="15.75" customHeight="1">
      <c r="O935" s="177"/>
    </row>
    <row r="936" spans="15:15" ht="15.75" customHeight="1">
      <c r="O936" s="177"/>
    </row>
    <row r="937" spans="15:15" ht="15.75" customHeight="1">
      <c r="O937" s="177"/>
    </row>
    <row r="938" spans="15:15" ht="15.75" customHeight="1">
      <c r="O938" s="177"/>
    </row>
    <row r="939" spans="15:15" ht="15.75" customHeight="1">
      <c r="O939" s="177"/>
    </row>
    <row r="940" spans="15:15" ht="15.75" customHeight="1">
      <c r="O940" s="177"/>
    </row>
    <row r="941" spans="15:15" ht="15.75" customHeight="1">
      <c r="O941" s="177"/>
    </row>
    <row r="942" spans="15:15" ht="15.75" customHeight="1">
      <c r="O942" s="177"/>
    </row>
    <row r="943" spans="15:15" ht="15.75" customHeight="1">
      <c r="O943" s="177"/>
    </row>
    <row r="944" spans="15:15" ht="15.75" customHeight="1">
      <c r="O944" s="177"/>
    </row>
    <row r="945" spans="15:15" ht="15.75" customHeight="1">
      <c r="O945" s="177"/>
    </row>
    <row r="946" spans="15:15" ht="15.75" customHeight="1">
      <c r="O946" s="177"/>
    </row>
    <row r="947" spans="15:15" ht="15.75" customHeight="1">
      <c r="O947" s="177"/>
    </row>
    <row r="948" spans="15:15" ht="15.75" customHeight="1">
      <c r="O948" s="177"/>
    </row>
    <row r="949" spans="15:15" ht="15.75" customHeight="1">
      <c r="O949" s="177"/>
    </row>
    <row r="950" spans="15:15" ht="15.75" customHeight="1">
      <c r="O950" s="177"/>
    </row>
    <row r="951" spans="15:15" ht="15.75" customHeight="1">
      <c r="O951" s="177"/>
    </row>
    <row r="952" spans="15:15" ht="15.75" customHeight="1">
      <c r="O952" s="177"/>
    </row>
    <row r="953" spans="15:15" ht="15.75" customHeight="1">
      <c r="O953" s="177"/>
    </row>
    <row r="954" spans="15:15" ht="15.75" customHeight="1">
      <c r="O954" s="177"/>
    </row>
    <row r="955" spans="15:15" ht="15.75" customHeight="1">
      <c r="O955" s="177"/>
    </row>
    <row r="956" spans="15:15" ht="15.75" customHeight="1">
      <c r="O956" s="177"/>
    </row>
    <row r="957" spans="15:15" ht="15.75" customHeight="1">
      <c r="O957" s="177"/>
    </row>
    <row r="958" spans="15:15" ht="15.75" customHeight="1">
      <c r="O958" s="177"/>
    </row>
    <row r="959" spans="15:15" ht="15.75" customHeight="1">
      <c r="O959" s="177"/>
    </row>
    <row r="960" spans="15:15" ht="15.75" customHeight="1">
      <c r="O960" s="177"/>
    </row>
    <row r="961" spans="15:15" ht="15.75" customHeight="1">
      <c r="O961" s="177"/>
    </row>
    <row r="962" spans="15:15" ht="15.75" customHeight="1">
      <c r="O962" s="177"/>
    </row>
    <row r="963" spans="15:15" ht="15.75" customHeight="1">
      <c r="O963" s="177"/>
    </row>
    <row r="964" spans="15:15" ht="15.75" customHeight="1">
      <c r="O964" s="177"/>
    </row>
    <row r="965" spans="15:15" ht="15.75" customHeight="1">
      <c r="O965" s="177"/>
    </row>
    <row r="966" spans="15:15" ht="15.75" customHeight="1">
      <c r="O966" s="177"/>
    </row>
    <row r="967" spans="15:15" ht="15.75" customHeight="1">
      <c r="O967" s="177"/>
    </row>
    <row r="968" spans="15:15" ht="15.75" customHeight="1">
      <c r="O968" s="177"/>
    </row>
    <row r="969" spans="15:15" ht="15.75" customHeight="1">
      <c r="O969" s="177"/>
    </row>
    <row r="970" spans="15:15" ht="15.75" customHeight="1">
      <c r="O970" s="177"/>
    </row>
    <row r="971" spans="15:15" ht="15.75" customHeight="1">
      <c r="O971" s="177"/>
    </row>
    <row r="972" spans="15:15" ht="15.75" customHeight="1">
      <c r="O972" s="177"/>
    </row>
    <row r="973" spans="15:15" ht="15.75" customHeight="1">
      <c r="O973" s="177"/>
    </row>
    <row r="974" spans="15:15" ht="15.75" customHeight="1">
      <c r="O974" s="177"/>
    </row>
    <row r="975" spans="15:15" ht="15.75" customHeight="1">
      <c r="O975" s="177"/>
    </row>
    <row r="976" spans="15:15" ht="15.75" customHeight="1">
      <c r="O976" s="177"/>
    </row>
    <row r="977" spans="15:15" ht="15.75" customHeight="1">
      <c r="O977" s="177"/>
    </row>
    <row r="978" spans="15:15" ht="15.75" customHeight="1">
      <c r="O978" s="177"/>
    </row>
    <row r="979" spans="15:15" ht="15.75" customHeight="1">
      <c r="O979" s="177"/>
    </row>
    <row r="980" spans="15:15" ht="15.75" customHeight="1">
      <c r="O980" s="177"/>
    </row>
    <row r="981" spans="15:15" ht="15.75" customHeight="1">
      <c r="O981" s="177"/>
    </row>
    <row r="982" spans="15:15" ht="15.75" customHeight="1">
      <c r="O982" s="177"/>
    </row>
    <row r="983" spans="15:15" ht="15.75" customHeight="1">
      <c r="O983" s="177"/>
    </row>
    <row r="984" spans="15:15" ht="15.75" customHeight="1">
      <c r="O984" s="177"/>
    </row>
    <row r="985" spans="15:15" ht="15.75" customHeight="1">
      <c r="O985" s="177"/>
    </row>
    <row r="986" spans="15:15" ht="15.75" customHeight="1">
      <c r="O986" s="177"/>
    </row>
    <row r="987" spans="15:15" ht="15.75" customHeight="1">
      <c r="O987" s="177"/>
    </row>
    <row r="988" spans="15:15" ht="15.75" customHeight="1">
      <c r="O988" s="177"/>
    </row>
    <row r="989" spans="15:15" ht="15.75" customHeight="1">
      <c r="O989" s="177"/>
    </row>
    <row r="990" spans="15:15" ht="15.75" customHeight="1">
      <c r="O990" s="177"/>
    </row>
    <row r="991" spans="15:15" ht="15.75" customHeight="1">
      <c r="O991" s="177"/>
    </row>
    <row r="992" spans="15:15" ht="15.75" customHeight="1">
      <c r="O992" s="177"/>
    </row>
    <row r="993" spans="15:15" ht="15.75" customHeight="1">
      <c r="O993" s="177"/>
    </row>
    <row r="994" spans="15:15" ht="15.75" customHeight="1">
      <c r="O994" s="177"/>
    </row>
    <row r="995" spans="15:15" ht="15.75" customHeight="1">
      <c r="O995" s="177"/>
    </row>
    <row r="996" spans="15:15" ht="15.75" customHeight="1">
      <c r="O996" s="177"/>
    </row>
    <row r="997" spans="15:15" ht="15.75" customHeight="1">
      <c r="O997" s="177"/>
    </row>
    <row r="998" spans="15:15" ht="15.75" customHeight="1">
      <c r="O998" s="177"/>
    </row>
    <row r="999" spans="15:15" ht="15.75" customHeight="1">
      <c r="O999" s="177"/>
    </row>
    <row r="1000" spans="15:15" ht="15.75" customHeight="1">
      <c r="O1000" s="177"/>
    </row>
    <row r="1001" spans="15:15" ht="15.75" customHeight="1">
      <c r="O1001" s="177"/>
    </row>
    <row r="1002" spans="15:15" ht="15.75" customHeight="1">
      <c r="O1002" s="177"/>
    </row>
    <row r="1003" spans="15:15" ht="15.75" customHeight="1">
      <c r="O1003" s="177"/>
    </row>
    <row r="1004" spans="15:15" ht="15.75" customHeight="1">
      <c r="O1004" s="177"/>
    </row>
    <row r="1005" spans="15:15" ht="15.75" customHeight="1">
      <c r="O1005" s="177"/>
    </row>
    <row r="1006" spans="15:15" ht="15.75" customHeight="1">
      <c r="O1006" s="177"/>
    </row>
    <row r="1007" spans="15:15" ht="15.75" customHeight="1">
      <c r="O1007" s="177"/>
    </row>
    <row r="1008" spans="15:15" ht="15.75" customHeight="1">
      <c r="O1008" s="177"/>
    </row>
    <row r="1009" spans="15:15" ht="15.75" customHeight="1">
      <c r="O1009" s="177"/>
    </row>
    <row r="1010" spans="15:15" ht="15.75" customHeight="1">
      <c r="O1010" s="177"/>
    </row>
    <row r="1011" spans="15:15" ht="15.75" customHeight="1">
      <c r="O1011" s="177"/>
    </row>
    <row r="1012" spans="15:15" ht="15.75" customHeight="1">
      <c r="O1012" s="177"/>
    </row>
    <row r="1013" spans="15:15" ht="15.75" customHeight="1">
      <c r="O1013" s="177"/>
    </row>
    <row r="1014" spans="15:15" ht="15.75" customHeight="1">
      <c r="O1014" s="177"/>
    </row>
    <row r="1015" spans="15:15" ht="15.75" customHeight="1">
      <c r="O1015" s="177"/>
    </row>
    <row r="1016" spans="15:15" ht="15.75" customHeight="1">
      <c r="O1016" s="177"/>
    </row>
    <row r="1017" spans="15:15" ht="15.75" customHeight="1">
      <c r="O1017" s="177"/>
    </row>
    <row r="1018" spans="15:15" ht="15.75" customHeight="1">
      <c r="O1018" s="177"/>
    </row>
    <row r="1019" spans="15:15" ht="15.75" customHeight="1">
      <c r="O1019" s="177"/>
    </row>
    <row r="1020" spans="15:15" ht="15.75" customHeight="1">
      <c r="O1020" s="177"/>
    </row>
    <row r="1021" spans="15:15" ht="15.75" customHeight="1">
      <c r="O1021" s="177"/>
    </row>
    <row r="1022" spans="15:15" ht="15.75" customHeight="1">
      <c r="O1022" s="177"/>
    </row>
    <row r="1023" spans="15:15" ht="15.75" customHeight="1">
      <c r="O1023" s="177"/>
    </row>
    <row r="1024" spans="15:15" ht="15.75" customHeight="1">
      <c r="O1024" s="177"/>
    </row>
    <row r="1025" spans="15:15" ht="15.75" customHeight="1">
      <c r="O1025" s="177"/>
    </row>
    <row r="1026" spans="15:15" ht="15.75" customHeight="1">
      <c r="O1026" s="177"/>
    </row>
    <row r="1027" spans="15:15" ht="15.75" customHeight="1">
      <c r="O1027" s="177"/>
    </row>
    <row r="1028" spans="15:15" ht="15.75" customHeight="1">
      <c r="O1028" s="177"/>
    </row>
    <row r="1029" spans="15:15" ht="15.75" customHeight="1">
      <c r="O1029" s="177"/>
    </row>
    <row r="1030" spans="15:15" ht="15.75" customHeight="1">
      <c r="O1030" s="177"/>
    </row>
    <row r="1031" spans="15:15" ht="15.75" customHeight="1">
      <c r="O1031" s="177"/>
    </row>
    <row r="1032" spans="15:15" ht="15.75" customHeight="1">
      <c r="O1032" s="177"/>
    </row>
    <row r="1033" spans="15:15" ht="15.75" customHeight="1">
      <c r="O1033" s="177"/>
    </row>
    <row r="1034" spans="15:15" ht="15.75" customHeight="1">
      <c r="O1034" s="177"/>
    </row>
    <row r="1035" spans="15:15" ht="15.75" customHeight="1">
      <c r="O1035" s="177"/>
    </row>
    <row r="1036" spans="15:15" ht="15.75" customHeight="1">
      <c r="O1036" s="177"/>
    </row>
    <row r="1037" spans="15:15" ht="15.75" customHeight="1">
      <c r="O1037" s="177"/>
    </row>
    <row r="1038" spans="15:15" ht="15.75" customHeight="1">
      <c r="O1038" s="177"/>
    </row>
    <row r="1039" spans="15:15" ht="15.75" customHeight="1">
      <c r="O1039" s="177"/>
    </row>
    <row r="1040" spans="15:15" ht="15.75" customHeight="1">
      <c r="O1040" s="177"/>
    </row>
    <row r="1041" spans="15:15" ht="15.75" customHeight="1">
      <c r="O1041" s="177"/>
    </row>
    <row r="1042" spans="15:15" ht="15.75" customHeight="1">
      <c r="O1042" s="177"/>
    </row>
    <row r="1043" spans="15:15" ht="15.75" customHeight="1">
      <c r="O1043" s="177"/>
    </row>
    <row r="1044" spans="15:15" ht="15.75" customHeight="1">
      <c r="O1044" s="177"/>
    </row>
    <row r="1045" spans="15:15" ht="15.75" customHeight="1">
      <c r="O1045" s="177"/>
    </row>
    <row r="1046" spans="15:15" ht="15.75" customHeight="1">
      <c r="O1046" s="177"/>
    </row>
    <row r="1047" spans="15:15" ht="15.75" customHeight="1">
      <c r="O1047" s="177"/>
    </row>
    <row r="1048" spans="15:15" ht="15.75" customHeight="1">
      <c r="O1048" s="177"/>
    </row>
    <row r="1049" spans="15:15" ht="15.75" customHeight="1">
      <c r="O1049" s="177"/>
    </row>
    <row r="1050" spans="15:15" ht="15.75" customHeight="1">
      <c r="O1050" s="177"/>
    </row>
    <row r="1051" spans="15:15" ht="15.75" customHeight="1">
      <c r="O1051" s="177"/>
    </row>
    <row r="1052" spans="15:15" ht="15.75" customHeight="1">
      <c r="O1052" s="177"/>
    </row>
    <row r="1053" spans="15:15" ht="15.75" customHeight="1">
      <c r="O1053" s="177"/>
    </row>
    <row r="1054" spans="15:15" ht="15.75" customHeight="1">
      <c r="O1054" s="177"/>
    </row>
    <row r="1055" spans="15:15" ht="15.75" customHeight="1">
      <c r="O1055" s="177"/>
    </row>
    <row r="1056" spans="15:15" ht="15.75" customHeight="1">
      <c r="O1056" s="177"/>
    </row>
    <row r="1057" spans="15:15" ht="15.75" customHeight="1">
      <c r="O1057" s="177"/>
    </row>
    <row r="1058" spans="15:15" ht="15.75" customHeight="1">
      <c r="O1058" s="177"/>
    </row>
    <row r="1059" spans="15:15" ht="15.75" customHeight="1">
      <c r="O1059" s="177"/>
    </row>
    <row r="1060" spans="15:15" ht="15.75" customHeight="1">
      <c r="O1060" s="177"/>
    </row>
    <row r="1061" spans="15:15" ht="15.75" customHeight="1">
      <c r="O1061" s="177"/>
    </row>
    <row r="1062" spans="15:15" ht="15.75" customHeight="1">
      <c r="O1062" s="177"/>
    </row>
    <row r="1063" spans="15:15" ht="15.75" customHeight="1">
      <c r="O1063" s="177"/>
    </row>
    <row r="1064" spans="15:15" ht="15.75" customHeight="1">
      <c r="O1064" s="177"/>
    </row>
    <row r="1065" spans="15:15" ht="15.75" customHeight="1">
      <c r="O1065" s="177"/>
    </row>
    <row r="1066" spans="15:15" ht="15.75" customHeight="1">
      <c r="O1066" s="177"/>
    </row>
    <row r="1067" spans="15:15" ht="15.75" customHeight="1">
      <c r="O1067" s="177"/>
    </row>
    <row r="1068" spans="15:15" ht="15.75" customHeight="1">
      <c r="O1068" s="177"/>
    </row>
    <row r="1069" spans="15:15" ht="15.75" customHeight="1">
      <c r="O1069" s="177"/>
    </row>
    <row r="1070" spans="15:15" ht="15.75" customHeight="1">
      <c r="O1070" s="177"/>
    </row>
    <row r="1071" spans="15:15" ht="15.75" customHeight="1">
      <c r="O1071" s="177"/>
    </row>
    <row r="1072" spans="15:15" ht="15.75" customHeight="1">
      <c r="O1072" s="177"/>
    </row>
    <row r="1073" spans="15:15" ht="15.75" customHeight="1">
      <c r="O1073" s="177"/>
    </row>
    <row r="1074" spans="15:15" ht="15.75" customHeight="1">
      <c r="O1074" s="177"/>
    </row>
    <row r="1075" spans="15:15" ht="15.75" customHeight="1">
      <c r="O1075" s="177"/>
    </row>
    <row r="1076" spans="15:15" ht="15.75" customHeight="1">
      <c r="O1076" s="177"/>
    </row>
    <row r="1077" spans="15:15" ht="15.75" customHeight="1">
      <c r="O1077" s="177"/>
    </row>
    <row r="1078" spans="15:15" ht="15.75" customHeight="1">
      <c r="O1078" s="177"/>
    </row>
    <row r="1079" spans="15:15" ht="15.75" customHeight="1">
      <c r="O1079" s="177"/>
    </row>
    <row r="1080" spans="15:15" ht="15.75" customHeight="1">
      <c r="O1080" s="177"/>
    </row>
    <row r="1081" spans="15:15" ht="15.75" customHeight="1">
      <c r="O1081" s="177"/>
    </row>
    <row r="1082" spans="15:15" ht="15.75" customHeight="1">
      <c r="O1082" s="177"/>
    </row>
    <row r="1083" spans="15:15" ht="15.75" customHeight="1">
      <c r="O1083" s="177"/>
    </row>
    <row r="1084" spans="15:15" ht="15.75" customHeight="1">
      <c r="O1084" s="177"/>
    </row>
    <row r="1085" spans="15:15" ht="15.75" customHeight="1">
      <c r="O1085" s="177"/>
    </row>
    <row r="1086" spans="15:15" ht="15.75" customHeight="1">
      <c r="O1086" s="177"/>
    </row>
    <row r="1087" spans="15:15" ht="15.75" customHeight="1">
      <c r="O1087" s="177"/>
    </row>
    <row r="1088" spans="15:15" ht="15.75" customHeight="1">
      <c r="O1088" s="177"/>
    </row>
    <row r="1089" spans="15:15" ht="15.75" customHeight="1">
      <c r="O1089" s="177"/>
    </row>
    <row r="1090" spans="15:15" ht="15.75" customHeight="1">
      <c r="O1090" s="177"/>
    </row>
    <row r="1091" spans="15:15" ht="15.75" customHeight="1">
      <c r="O1091" s="177"/>
    </row>
    <row r="1092" spans="15:15" ht="15.75" customHeight="1">
      <c r="O1092" s="177"/>
    </row>
    <row r="1093" spans="15:15" ht="15.75" customHeight="1">
      <c r="O1093" s="177"/>
    </row>
    <row r="1094" spans="15:15" ht="15.75" customHeight="1">
      <c r="O1094" s="177"/>
    </row>
    <row r="1095" spans="15:15" ht="15.75" customHeight="1">
      <c r="O1095" s="177"/>
    </row>
    <row r="1096" spans="15:15" ht="15.75" customHeight="1">
      <c r="O1096" s="177"/>
    </row>
    <row r="1097" spans="15:15" ht="15.75" customHeight="1">
      <c r="O1097" s="177"/>
    </row>
    <row r="1098" spans="15:15" ht="15.75" customHeight="1">
      <c r="O1098" s="177"/>
    </row>
    <row r="1099" spans="15:15" ht="15.75" customHeight="1">
      <c r="O1099" s="177"/>
    </row>
    <row r="1100" spans="15:15" ht="15.75" customHeight="1">
      <c r="O1100" s="177"/>
    </row>
    <row r="1101" spans="15:15" ht="15.75" customHeight="1">
      <c r="O1101" s="177"/>
    </row>
    <row r="1102" spans="15:15" ht="15.75" customHeight="1">
      <c r="O1102" s="177"/>
    </row>
    <row r="1103" spans="15:15" ht="15.75" customHeight="1">
      <c r="O1103" s="177"/>
    </row>
    <row r="1104" spans="15:15" ht="15.75" customHeight="1">
      <c r="O1104" s="177"/>
    </row>
    <row r="1105" spans="15:15" ht="15.75" customHeight="1">
      <c r="O1105" s="177"/>
    </row>
    <row r="1106" spans="15:15" ht="15.75" customHeight="1">
      <c r="O1106" s="177"/>
    </row>
    <row r="1107" spans="15:15" ht="15.75" customHeight="1">
      <c r="O1107" s="177"/>
    </row>
    <row r="1108" spans="15:15" ht="15.75" customHeight="1">
      <c r="O1108" s="177"/>
    </row>
    <row r="1109" spans="15:15" ht="15.75" customHeight="1">
      <c r="O1109" s="177"/>
    </row>
    <row r="1110" spans="15:15" ht="15.75" customHeight="1">
      <c r="O1110" s="177"/>
    </row>
    <row r="1111" spans="15:15" ht="15.75" customHeight="1">
      <c r="O1111" s="177"/>
    </row>
    <row r="1112" spans="15:15" ht="15.75" customHeight="1">
      <c r="O1112" s="177"/>
    </row>
    <row r="1113" spans="15:15" ht="15.75" customHeight="1">
      <c r="O1113" s="177"/>
    </row>
    <row r="1114" spans="15:15" ht="15.75" customHeight="1">
      <c r="O1114" s="177"/>
    </row>
    <row r="1115" spans="15:15" ht="15.75" customHeight="1">
      <c r="O1115" s="177"/>
    </row>
    <row r="1116" spans="15:15" ht="15.75" customHeight="1">
      <c r="O1116" s="177"/>
    </row>
    <row r="1117" spans="15:15" ht="15.75" customHeight="1">
      <c r="O1117" s="177"/>
    </row>
    <row r="1118" spans="15:15" ht="15.75" customHeight="1">
      <c r="O1118" s="177"/>
    </row>
    <row r="1119" spans="15:15" ht="15.75" customHeight="1">
      <c r="O1119" s="177"/>
    </row>
    <row r="1120" spans="15:15" ht="15.75" customHeight="1">
      <c r="O1120" s="177"/>
    </row>
    <row r="1121" spans="15:15" ht="15.75" customHeight="1">
      <c r="O1121" s="177"/>
    </row>
    <row r="1122" spans="15:15" ht="15.75" customHeight="1">
      <c r="O1122" s="177"/>
    </row>
    <row r="1123" spans="15:15" ht="15.75" customHeight="1">
      <c r="O1123" s="177"/>
    </row>
    <row r="1124" spans="15:15" ht="15.75" customHeight="1">
      <c r="O1124" s="177"/>
    </row>
    <row r="1125" spans="15:15" ht="15.75" customHeight="1">
      <c r="O1125" s="177"/>
    </row>
    <row r="1126" spans="15:15" ht="15.75" customHeight="1">
      <c r="O1126" s="177"/>
    </row>
    <row r="1127" spans="15:15" ht="15.75" customHeight="1">
      <c r="O1127" s="177"/>
    </row>
    <row r="1128" spans="15:15" ht="15.75" customHeight="1">
      <c r="O1128" s="177"/>
    </row>
    <row r="1129" spans="15:15" ht="15.75" customHeight="1">
      <c r="O1129" s="177"/>
    </row>
    <row r="1130" spans="15:15" ht="15.75" customHeight="1">
      <c r="O1130" s="177"/>
    </row>
    <row r="1131" spans="15:15" ht="15.75" customHeight="1">
      <c r="O1131" s="177"/>
    </row>
    <row r="1132" spans="15:15" ht="15.75" customHeight="1">
      <c r="O1132" s="177"/>
    </row>
    <row r="1133" spans="15:15" ht="15.75" customHeight="1">
      <c r="O1133" s="177"/>
    </row>
    <row r="1134" spans="15:15" ht="15.75" customHeight="1">
      <c r="O1134" s="177"/>
    </row>
    <row r="1135" spans="15:15" ht="15.75" customHeight="1">
      <c r="O1135" s="177"/>
    </row>
    <row r="1136" spans="15:15" ht="15.75" customHeight="1">
      <c r="O1136" s="177"/>
    </row>
    <row r="1137" spans="15:15" ht="15.75" customHeight="1">
      <c r="O1137" s="177"/>
    </row>
    <row r="1138" spans="15:15" ht="15.75" customHeight="1">
      <c r="O1138" s="177"/>
    </row>
    <row r="1139" spans="15:15" ht="15.75" customHeight="1">
      <c r="O1139" s="177"/>
    </row>
    <row r="1140" spans="15:15" ht="15.75" customHeight="1">
      <c r="O1140" s="177"/>
    </row>
    <row r="1141" spans="15:15" ht="15.75" customHeight="1">
      <c r="O1141" s="177"/>
    </row>
    <row r="1142" spans="15:15" ht="15.75" customHeight="1">
      <c r="O1142" s="177"/>
    </row>
    <row r="1143" spans="15:15" ht="15.75" customHeight="1">
      <c r="O1143" s="177"/>
    </row>
    <row r="1144" spans="15:15" ht="15.75" customHeight="1">
      <c r="O1144" s="177"/>
    </row>
    <row r="1145" spans="15:15" ht="15.75" customHeight="1">
      <c r="O1145" s="177"/>
    </row>
    <row r="1146" spans="15:15" ht="15.75" customHeight="1">
      <c r="O1146" s="177"/>
    </row>
    <row r="1147" spans="15:15" ht="15.75" customHeight="1">
      <c r="O1147" s="177"/>
    </row>
    <row r="1148" spans="15:15" ht="15.75" customHeight="1">
      <c r="O1148" s="177"/>
    </row>
    <row r="1149" spans="15:15" ht="15.75" customHeight="1">
      <c r="O1149" s="177"/>
    </row>
    <row r="1150" spans="15:15" ht="15.75" customHeight="1">
      <c r="O1150" s="177"/>
    </row>
    <row r="1151" spans="15:15" ht="15.75" customHeight="1">
      <c r="O1151" s="177"/>
    </row>
    <row r="1152" spans="15:15" ht="15.75" customHeight="1">
      <c r="O1152" s="177"/>
    </row>
    <row r="1153" spans="15:15" ht="15.75" customHeight="1">
      <c r="O1153" s="177"/>
    </row>
    <row r="1154" spans="15:15" ht="15.75" customHeight="1">
      <c r="O1154" s="177"/>
    </row>
    <row r="1155" spans="15:15" ht="15.75" customHeight="1">
      <c r="O1155" s="177"/>
    </row>
    <row r="1156" spans="15:15" ht="15.75" customHeight="1">
      <c r="O1156" s="177"/>
    </row>
    <row r="1157" spans="15:15" ht="15.75" customHeight="1">
      <c r="O1157" s="177"/>
    </row>
    <row r="1158" spans="15:15" ht="15.75" customHeight="1">
      <c r="O1158" s="177"/>
    </row>
    <row r="1159" spans="15:15" ht="15.75" customHeight="1">
      <c r="O1159" s="177"/>
    </row>
    <row r="1160" spans="15:15" ht="15.75" customHeight="1">
      <c r="O1160" s="177"/>
    </row>
    <row r="1161" spans="15:15" ht="15.75" customHeight="1">
      <c r="O1161" s="177"/>
    </row>
    <row r="1162" spans="15:15" ht="15.75" customHeight="1">
      <c r="O1162" s="177"/>
    </row>
    <row r="1163" spans="15:15" ht="15.75" customHeight="1">
      <c r="O1163" s="177"/>
    </row>
    <row r="1164" spans="15:15" ht="15.75" customHeight="1">
      <c r="O1164" s="177"/>
    </row>
    <row r="1165" spans="15:15" ht="15.75" customHeight="1">
      <c r="O1165" s="177"/>
    </row>
    <row r="1166" spans="15:15" ht="15.75" customHeight="1">
      <c r="O1166" s="177"/>
    </row>
    <row r="1167" spans="15:15" ht="15.75" customHeight="1">
      <c r="O1167" s="177"/>
    </row>
    <row r="1168" spans="15:15" ht="15.75" customHeight="1">
      <c r="O1168" s="177"/>
    </row>
    <row r="1169" spans="15:15" ht="15.75" customHeight="1">
      <c r="O1169" s="177"/>
    </row>
    <row r="1170" spans="15:15" ht="15.75" customHeight="1">
      <c r="O1170" s="177"/>
    </row>
    <row r="1171" spans="15:15" ht="15.75" customHeight="1">
      <c r="O1171" s="177"/>
    </row>
    <row r="1172" spans="15:15" ht="15.75" customHeight="1">
      <c r="O1172" s="177"/>
    </row>
    <row r="1173" spans="15:15" ht="15.75" customHeight="1">
      <c r="O1173" s="177"/>
    </row>
    <row r="1174" spans="15:15" ht="15.75" customHeight="1">
      <c r="O1174" s="177"/>
    </row>
    <row r="1175" spans="15:15" ht="15.75" customHeight="1">
      <c r="O1175" s="177"/>
    </row>
    <row r="1176" spans="15:15" ht="15.75" customHeight="1">
      <c r="O1176" s="177"/>
    </row>
    <row r="1177" spans="15:15" ht="15.75" customHeight="1">
      <c r="O1177" s="177"/>
    </row>
    <row r="1178" spans="15:15" ht="15.75" customHeight="1">
      <c r="O1178" s="177"/>
    </row>
    <row r="1179" spans="15:15" ht="15.75" customHeight="1">
      <c r="O1179" s="177"/>
    </row>
    <row r="1180" spans="15:15" ht="15.75" customHeight="1">
      <c r="O1180" s="177"/>
    </row>
    <row r="1181" spans="15:15" ht="15.75" customHeight="1">
      <c r="O1181" s="177"/>
    </row>
    <row r="1182" spans="15:15" ht="15.75" customHeight="1">
      <c r="O1182" s="177"/>
    </row>
    <row r="1183" spans="15:15" ht="15.75" customHeight="1">
      <c r="O1183" s="177"/>
    </row>
    <row r="1184" spans="15:15" ht="15.75" customHeight="1">
      <c r="O1184" s="177"/>
    </row>
    <row r="1185" spans="15:15" ht="15.75" customHeight="1">
      <c r="O1185" s="177"/>
    </row>
    <row r="1186" spans="15:15" ht="15.75" customHeight="1">
      <c r="O1186" s="177"/>
    </row>
    <row r="1187" spans="15:15" ht="15.75" customHeight="1">
      <c r="O1187" s="177"/>
    </row>
    <row r="1188" spans="15:15" ht="15.75" customHeight="1">
      <c r="O1188" s="177"/>
    </row>
    <row r="1189" spans="15:15" ht="15.75" customHeight="1">
      <c r="O1189" s="177"/>
    </row>
    <row r="1190" spans="15:15" ht="15.75" customHeight="1">
      <c r="O1190" s="177"/>
    </row>
    <row r="1191" spans="15:15" ht="15.75" customHeight="1">
      <c r="O1191" s="177"/>
    </row>
    <row r="1192" spans="15:15" ht="15.75" customHeight="1">
      <c r="O1192" s="177"/>
    </row>
    <row r="1193" spans="15:15" ht="15.75" customHeight="1">
      <c r="O1193" s="177"/>
    </row>
    <row r="1194" spans="15:15" ht="15.75" customHeight="1">
      <c r="O1194" s="177"/>
    </row>
    <row r="1195" spans="15:15" ht="15.75" customHeight="1">
      <c r="O1195" s="177"/>
    </row>
    <row r="1196" spans="15:15" ht="15.75" customHeight="1">
      <c r="O1196" s="177"/>
    </row>
    <row r="1197" spans="15:15" ht="15.75" customHeight="1">
      <c r="O1197" s="177"/>
    </row>
    <row r="1198" spans="15:15" ht="15.75" customHeight="1">
      <c r="O1198" s="177"/>
    </row>
    <row r="1199" spans="15:15" ht="15.75" customHeight="1">
      <c r="O1199" s="177"/>
    </row>
    <row r="1200" spans="15:15" ht="15.75" customHeight="1">
      <c r="O1200" s="177"/>
    </row>
    <row r="1201" spans="15:15" ht="15.75" customHeight="1">
      <c r="O1201" s="177"/>
    </row>
    <row r="1202" spans="15:15" ht="15.75" customHeight="1">
      <c r="O1202" s="177"/>
    </row>
    <row r="1203" spans="15:15" ht="15.75" customHeight="1">
      <c r="O1203" s="177"/>
    </row>
    <row r="1204" spans="15:15" ht="15.75" customHeight="1">
      <c r="O1204" s="177"/>
    </row>
    <row r="1205" spans="15:15" ht="15.75" customHeight="1">
      <c r="O1205" s="177"/>
    </row>
    <row r="1206" spans="15:15" ht="15.75" customHeight="1">
      <c r="O1206" s="177"/>
    </row>
    <row r="1207" spans="15:15" ht="15.75" customHeight="1">
      <c r="O1207" s="177"/>
    </row>
    <row r="1208" spans="15:15" ht="15.75" customHeight="1">
      <c r="O1208" s="177"/>
    </row>
    <row r="1209" spans="15:15" ht="15.75" customHeight="1">
      <c r="O1209" s="177"/>
    </row>
    <row r="1210" spans="15:15" ht="15.75" customHeight="1">
      <c r="O1210" s="177"/>
    </row>
    <row r="1211" spans="15:15" ht="15.75" customHeight="1">
      <c r="O1211" s="177"/>
    </row>
    <row r="1212" spans="15:15" ht="15.75" customHeight="1">
      <c r="O1212" s="177"/>
    </row>
    <row r="1213" spans="15:15" ht="15.75" customHeight="1">
      <c r="O1213" s="177"/>
    </row>
    <row r="1214" spans="15:15" ht="15.75" customHeight="1">
      <c r="O1214" s="177"/>
    </row>
    <row r="1215" spans="15:15" ht="15.75" customHeight="1">
      <c r="O1215" s="177"/>
    </row>
    <row r="1216" spans="15:15" ht="15.75" customHeight="1">
      <c r="O1216" s="177"/>
    </row>
    <row r="1217" spans="15:15" ht="15.75" customHeight="1">
      <c r="O1217" s="177"/>
    </row>
    <row r="1218" spans="15:15" ht="15.75" customHeight="1">
      <c r="O1218" s="177"/>
    </row>
    <row r="1219" spans="15:15" ht="15.75" customHeight="1">
      <c r="O1219" s="177"/>
    </row>
    <row r="1220" spans="15:15" ht="15.75" customHeight="1">
      <c r="O1220" s="177"/>
    </row>
    <row r="1221" spans="15:15" ht="15.75" customHeight="1">
      <c r="O1221" s="177"/>
    </row>
    <row r="1222" spans="15:15" ht="15.75" customHeight="1">
      <c r="O1222" s="177"/>
    </row>
    <row r="1223" spans="15:15" ht="15.75" customHeight="1">
      <c r="O1223" s="177"/>
    </row>
    <row r="1224" spans="15:15" ht="15.75" customHeight="1">
      <c r="O1224" s="177"/>
    </row>
    <row r="1225" spans="15:15" ht="15.75" customHeight="1">
      <c r="O1225" s="177"/>
    </row>
    <row r="1226" spans="15:15" ht="15.75" customHeight="1">
      <c r="O1226" s="177"/>
    </row>
    <row r="1227" spans="15:15" ht="15.75" customHeight="1">
      <c r="O1227" s="177"/>
    </row>
    <row r="1228" spans="15:15" ht="15.75" customHeight="1">
      <c r="O1228" s="177"/>
    </row>
    <row r="1229" spans="15:15" ht="15.75" customHeight="1">
      <c r="O1229" s="177"/>
    </row>
    <row r="1230" spans="15:15" ht="15.75" customHeight="1">
      <c r="O1230" s="177"/>
    </row>
    <row r="1231" spans="15:15" ht="15.75" customHeight="1">
      <c r="O1231" s="177"/>
    </row>
    <row r="1232" spans="15:15" ht="15.75" customHeight="1">
      <c r="O1232" s="177"/>
    </row>
    <row r="1233" spans="15:15" ht="15.75" customHeight="1">
      <c r="O1233" s="177"/>
    </row>
    <row r="1234" spans="15:15" ht="15.75" customHeight="1">
      <c r="O1234" s="177"/>
    </row>
    <row r="1235" spans="15:15" ht="15.75" customHeight="1">
      <c r="O1235" s="177"/>
    </row>
    <row r="1236" spans="15:15" ht="15.75" customHeight="1">
      <c r="O1236" s="177"/>
    </row>
    <row r="1237" spans="15:15" ht="15.75" customHeight="1">
      <c r="O1237" s="177"/>
    </row>
    <row r="1238" spans="15:15" ht="15.75" customHeight="1">
      <c r="O1238" s="177"/>
    </row>
    <row r="1239" spans="15:15" ht="15.75" customHeight="1">
      <c r="O1239" s="177"/>
    </row>
    <row r="1240" spans="15:15" ht="15.75" customHeight="1">
      <c r="O1240" s="177"/>
    </row>
    <row r="1241" spans="15:15" ht="15.75" customHeight="1">
      <c r="O1241" s="177"/>
    </row>
    <row r="1242" spans="15:15" ht="15.75" customHeight="1">
      <c r="O1242" s="177"/>
    </row>
    <row r="1243" spans="15:15" ht="15.75" customHeight="1">
      <c r="O1243" s="177"/>
    </row>
    <row r="1244" spans="15:15" ht="15.75" customHeight="1">
      <c r="O1244" s="177"/>
    </row>
    <row r="1245" spans="15:15" ht="15.75" customHeight="1">
      <c r="O1245" s="177"/>
    </row>
    <row r="1246" spans="15:15" ht="15.75" customHeight="1">
      <c r="O1246" s="177"/>
    </row>
    <row r="1247" spans="15:15" ht="15.75" customHeight="1">
      <c r="O1247" s="177"/>
    </row>
    <row r="1248" spans="15:15" ht="15.75" customHeight="1">
      <c r="O1248" s="177"/>
    </row>
    <row r="1249" spans="15:15" ht="15.75" customHeight="1">
      <c r="O1249" s="177"/>
    </row>
    <row r="1250" spans="15:15" ht="15.75" customHeight="1">
      <c r="O1250" s="177"/>
    </row>
    <row r="1251" spans="15:15" ht="15.75" customHeight="1">
      <c r="O1251" s="177"/>
    </row>
    <row r="1252" spans="15:15" ht="15.75" customHeight="1">
      <c r="O1252" s="177"/>
    </row>
    <row r="1253" spans="15:15" ht="15.75" customHeight="1">
      <c r="O1253" s="177"/>
    </row>
    <row r="1254" spans="15:15" ht="15.75" customHeight="1">
      <c r="O1254" s="177"/>
    </row>
    <row r="1255" spans="15:15" ht="15.75" customHeight="1">
      <c r="O1255" s="177"/>
    </row>
    <row r="1256" spans="15:15" ht="15.75" customHeight="1">
      <c r="O1256" s="177"/>
    </row>
    <row r="1257" spans="15:15" ht="15.75" customHeight="1">
      <c r="O1257" s="177"/>
    </row>
    <row r="1258" spans="15:15" ht="15.75" customHeight="1">
      <c r="O1258" s="177"/>
    </row>
    <row r="1259" spans="15:15" ht="15.75" customHeight="1">
      <c r="O1259" s="177"/>
    </row>
    <row r="1260" spans="15:15" ht="15.75" customHeight="1">
      <c r="O1260" s="177"/>
    </row>
    <row r="1261" spans="15:15" ht="15.75" customHeight="1">
      <c r="O1261" s="177"/>
    </row>
    <row r="1262" spans="15:15" ht="15.75" customHeight="1">
      <c r="O1262" s="177"/>
    </row>
    <row r="1263" spans="15:15" ht="15.75" customHeight="1">
      <c r="O1263" s="177"/>
    </row>
    <row r="1264" spans="15:15" ht="15.75" customHeight="1">
      <c r="O1264" s="177"/>
    </row>
    <row r="1265" spans="15:15" ht="15.75" customHeight="1">
      <c r="O1265" s="177"/>
    </row>
    <row r="1266" spans="15:15" ht="15.75" customHeight="1">
      <c r="O1266" s="177"/>
    </row>
    <row r="1267" spans="15:15" ht="15.75" customHeight="1">
      <c r="O1267" s="177"/>
    </row>
    <row r="1268" spans="15:15" ht="15.75" customHeight="1">
      <c r="O1268" s="177"/>
    </row>
    <row r="1269" spans="15:15" ht="15.75" customHeight="1">
      <c r="O1269" s="177"/>
    </row>
    <row r="1270" spans="15:15" ht="15.75" customHeight="1">
      <c r="O1270" s="177"/>
    </row>
    <row r="1271" spans="15:15" ht="15.75" customHeight="1">
      <c r="O1271" s="177"/>
    </row>
    <row r="1272" spans="15:15" ht="15.75" customHeight="1">
      <c r="O1272" s="177"/>
    </row>
    <row r="1273" spans="15:15" ht="15.75" customHeight="1">
      <c r="O1273" s="177"/>
    </row>
    <row r="1274" spans="15:15" ht="15.75" customHeight="1">
      <c r="O1274" s="177"/>
    </row>
    <row r="1275" spans="15:15" ht="15.75" customHeight="1">
      <c r="O1275" s="177"/>
    </row>
    <row r="1276" spans="15:15" ht="15.75" customHeight="1">
      <c r="O1276" s="177"/>
    </row>
    <row r="1277" spans="15:15" ht="15.75" customHeight="1">
      <c r="O1277" s="177"/>
    </row>
    <row r="1278" spans="15:15" ht="15.75" customHeight="1">
      <c r="O1278" s="177"/>
    </row>
    <row r="1279" spans="15:15" ht="15.75" customHeight="1">
      <c r="O1279" s="177"/>
    </row>
    <row r="1280" spans="15:15" ht="15.75" customHeight="1">
      <c r="O1280" s="177"/>
    </row>
    <row r="1281" spans="15:15" ht="15.75" customHeight="1">
      <c r="O1281" s="177"/>
    </row>
    <row r="1282" spans="15:15" ht="15.75" customHeight="1">
      <c r="O1282" s="177"/>
    </row>
    <row r="1283" spans="15:15" ht="15.75" customHeight="1">
      <c r="O1283" s="177"/>
    </row>
    <row r="1284" spans="15:15" ht="15.75" customHeight="1">
      <c r="O1284" s="177"/>
    </row>
    <row r="1285" spans="15:15" ht="15.75" customHeight="1">
      <c r="O1285" s="177"/>
    </row>
    <row r="1286" spans="15:15" ht="15.75" customHeight="1">
      <c r="O1286" s="177"/>
    </row>
    <row r="1287" spans="15:15" ht="15.75" customHeight="1">
      <c r="O1287" s="177"/>
    </row>
    <row r="1288" spans="15:15" ht="15.75" customHeight="1">
      <c r="O1288" s="177"/>
    </row>
    <row r="1289" spans="15:15" ht="15.75" customHeight="1">
      <c r="O1289" s="177"/>
    </row>
    <row r="1290" spans="15:15" ht="15.75" customHeight="1">
      <c r="O1290" s="177"/>
    </row>
    <row r="1291" spans="15:15" ht="15.75" customHeight="1">
      <c r="O1291" s="177"/>
    </row>
    <row r="1292" spans="15:15" ht="15.75" customHeight="1">
      <c r="O1292" s="177"/>
    </row>
    <row r="1293" spans="15:15" ht="15.75" customHeight="1">
      <c r="O1293" s="177"/>
    </row>
    <row r="1294" spans="15:15" ht="15.75" customHeight="1">
      <c r="O1294" s="177"/>
    </row>
    <row r="1295" spans="15:15" ht="15.75" customHeight="1">
      <c r="O1295" s="177"/>
    </row>
    <row r="1296" spans="15:15" ht="15.75" customHeight="1">
      <c r="O1296" s="177"/>
    </row>
    <row r="1297" spans="15:15" ht="15.75" customHeight="1">
      <c r="O1297" s="177"/>
    </row>
    <row r="1298" spans="15:15" ht="15.75" customHeight="1">
      <c r="O1298" s="177"/>
    </row>
    <row r="1299" spans="15:15" ht="15.75" customHeight="1">
      <c r="O1299" s="177"/>
    </row>
    <row r="1300" spans="15:15" ht="15.75" customHeight="1">
      <c r="O1300" s="177"/>
    </row>
    <row r="1301" spans="15:15" ht="15.75" customHeight="1">
      <c r="O1301" s="177"/>
    </row>
    <row r="1302" spans="15:15" ht="15.75" customHeight="1">
      <c r="O1302" s="177"/>
    </row>
    <row r="1303" spans="15:15" ht="15.75" customHeight="1">
      <c r="O1303" s="177"/>
    </row>
    <row r="1304" spans="15:15" ht="15.75" customHeight="1">
      <c r="O1304" s="177"/>
    </row>
    <row r="1305" spans="15:15" ht="15.75" customHeight="1">
      <c r="O1305" s="177"/>
    </row>
    <row r="1306" spans="15:15" ht="15.75" customHeight="1">
      <c r="O1306" s="177"/>
    </row>
    <row r="1307" spans="15:15" ht="15.75" customHeight="1">
      <c r="O1307" s="177"/>
    </row>
    <row r="1308" spans="15:15" ht="15.75" customHeight="1">
      <c r="O1308" s="177"/>
    </row>
    <row r="1309" spans="15:15" ht="15.75" customHeight="1">
      <c r="O1309" s="177"/>
    </row>
    <row r="1310" spans="15:15" ht="15.75" customHeight="1">
      <c r="O1310" s="177"/>
    </row>
    <row r="1311" spans="15:15" ht="15.75" customHeight="1">
      <c r="O1311" s="177"/>
    </row>
    <row r="1312" spans="15:15" ht="15.75" customHeight="1">
      <c r="O1312" s="177"/>
    </row>
    <row r="1313" spans="15:15" ht="15.75" customHeight="1">
      <c r="O1313" s="177"/>
    </row>
    <row r="1314" spans="15:15" ht="15.75" customHeight="1">
      <c r="O1314" s="177"/>
    </row>
    <row r="1315" spans="15:15" ht="15.75" customHeight="1">
      <c r="O1315" s="177"/>
    </row>
    <row r="1316" spans="15:15" ht="15.75" customHeight="1">
      <c r="O1316" s="177"/>
    </row>
    <row r="1317" spans="15:15" ht="15.75" customHeight="1">
      <c r="O1317" s="177"/>
    </row>
    <row r="1318" spans="15:15" ht="15.75" customHeight="1">
      <c r="O1318" s="177"/>
    </row>
    <row r="1319" spans="15:15" ht="15.75" customHeight="1">
      <c r="O1319" s="177"/>
    </row>
    <row r="1320" spans="15:15" ht="15.75" customHeight="1">
      <c r="O1320" s="177"/>
    </row>
    <row r="1321" spans="15:15" ht="15.75" customHeight="1">
      <c r="O1321" s="177"/>
    </row>
    <row r="1322" spans="15:15" ht="15.75" customHeight="1">
      <c r="O1322" s="177"/>
    </row>
    <row r="1323" spans="15:15" ht="15.75" customHeight="1">
      <c r="O1323" s="177"/>
    </row>
    <row r="1324" spans="15:15" ht="15.75" customHeight="1">
      <c r="O1324" s="177"/>
    </row>
    <row r="1325" spans="15:15" ht="15.75" customHeight="1">
      <c r="O1325" s="177"/>
    </row>
    <row r="1326" spans="15:15" ht="15.75" customHeight="1">
      <c r="O1326" s="177"/>
    </row>
    <row r="1327" spans="15:15" ht="15.75" customHeight="1">
      <c r="O1327" s="177"/>
    </row>
    <row r="1328" spans="15:15" ht="15.75" customHeight="1">
      <c r="O1328" s="177"/>
    </row>
    <row r="1329" spans="15:15" ht="15.75" customHeight="1">
      <c r="O1329" s="177"/>
    </row>
    <row r="1330" spans="15:15" ht="15.75" customHeight="1">
      <c r="O1330" s="177"/>
    </row>
    <row r="1331" spans="15:15" ht="15.75" customHeight="1">
      <c r="O1331" s="177"/>
    </row>
    <row r="1332" spans="15:15" ht="15.75" customHeight="1">
      <c r="O1332" s="177"/>
    </row>
    <row r="1333" spans="15:15" ht="15.75" customHeight="1">
      <c r="O1333" s="177"/>
    </row>
    <row r="1334" spans="15:15" ht="15.75" customHeight="1">
      <c r="O1334" s="177"/>
    </row>
    <row r="1335" spans="15:15" ht="15.75" customHeight="1">
      <c r="O1335" s="177"/>
    </row>
    <row r="1336" spans="15:15" ht="15.75" customHeight="1">
      <c r="O1336" s="177"/>
    </row>
    <row r="1337" spans="15:15" ht="15.75" customHeight="1">
      <c r="O1337" s="177"/>
    </row>
    <row r="1338" spans="15:15" ht="15.75" customHeight="1">
      <c r="O1338" s="177"/>
    </row>
    <row r="1339" spans="15:15" ht="15.75" customHeight="1">
      <c r="O1339" s="177"/>
    </row>
    <row r="1340" spans="15:15" ht="15.75" customHeight="1">
      <c r="O1340" s="177"/>
    </row>
    <row r="1341" spans="15:15" ht="15.75" customHeight="1">
      <c r="O1341" s="177"/>
    </row>
    <row r="1342" spans="15:15" ht="15.75" customHeight="1">
      <c r="O1342" s="177"/>
    </row>
    <row r="1343" spans="15:15" ht="15.75" customHeight="1">
      <c r="O1343" s="177"/>
    </row>
    <row r="1344" spans="15:15" ht="15.75" customHeight="1">
      <c r="O1344" s="177"/>
    </row>
    <row r="1345" spans="15:15" ht="15.75" customHeight="1">
      <c r="O1345" s="177"/>
    </row>
    <row r="1346" spans="15:15" ht="15.75" customHeight="1">
      <c r="O1346" s="177"/>
    </row>
    <row r="1347" spans="15:15" ht="15.75" customHeight="1">
      <c r="O1347" s="177"/>
    </row>
    <row r="1348" spans="15:15" ht="15.75" customHeight="1">
      <c r="O1348" s="177"/>
    </row>
    <row r="1349" spans="15:15" ht="15.75" customHeight="1">
      <c r="O1349" s="177"/>
    </row>
    <row r="1350" spans="15:15" ht="15.75" customHeight="1">
      <c r="O1350" s="177"/>
    </row>
    <row r="1351" spans="15:15" ht="15.75" customHeight="1">
      <c r="O1351" s="177"/>
    </row>
    <row r="1352" spans="15:15" ht="15.75" customHeight="1">
      <c r="O1352" s="177"/>
    </row>
    <row r="1353" spans="15:15" ht="15.75" customHeight="1">
      <c r="O1353" s="177"/>
    </row>
    <row r="1354" spans="15:15" ht="15.75" customHeight="1">
      <c r="O1354" s="177"/>
    </row>
    <row r="1355" spans="15:15" ht="15.75" customHeight="1">
      <c r="O1355" s="177"/>
    </row>
    <row r="1356" spans="15:15" ht="15.75" customHeight="1">
      <c r="O1356" s="177"/>
    </row>
    <row r="1357" spans="15:15" ht="15.75" customHeight="1">
      <c r="O1357" s="177"/>
    </row>
    <row r="1358" spans="15:15" ht="15.75" customHeight="1">
      <c r="O1358" s="177"/>
    </row>
    <row r="1359" spans="15:15" ht="15.75" customHeight="1">
      <c r="O1359" s="177"/>
    </row>
    <row r="1360" spans="15:15" ht="15.75" customHeight="1">
      <c r="O1360" s="177"/>
    </row>
    <row r="1361" spans="15:15" ht="15.75" customHeight="1">
      <c r="O1361" s="177"/>
    </row>
    <row r="1362" spans="15:15" ht="15.75" customHeight="1">
      <c r="O1362" s="177"/>
    </row>
    <row r="1363" spans="15:15" ht="15.75" customHeight="1">
      <c r="O1363" s="177"/>
    </row>
    <row r="1364" spans="15:15" ht="15.75" customHeight="1">
      <c r="O1364" s="177"/>
    </row>
    <row r="1365" spans="15:15" ht="15.75" customHeight="1">
      <c r="O1365" s="177"/>
    </row>
    <row r="1366" spans="15:15" ht="15.75" customHeight="1">
      <c r="O1366" s="177"/>
    </row>
    <row r="1367" spans="15:15" ht="15.75" customHeight="1">
      <c r="O1367" s="177"/>
    </row>
    <row r="1368" spans="15:15" ht="15.75" customHeight="1">
      <c r="O1368" s="177"/>
    </row>
    <row r="1369" spans="15:15" ht="15.75" customHeight="1">
      <c r="O1369" s="177"/>
    </row>
    <row r="1370" spans="15:15" ht="15.75" customHeight="1">
      <c r="O1370" s="177"/>
    </row>
    <row r="1371" spans="15:15" ht="15.75" customHeight="1">
      <c r="O1371" s="177"/>
    </row>
    <row r="1372" spans="15:15" ht="15.75" customHeight="1">
      <c r="O1372" s="177"/>
    </row>
    <row r="1373" spans="15:15" ht="15.75" customHeight="1">
      <c r="O1373" s="177"/>
    </row>
    <row r="1374" spans="15:15" ht="15.75" customHeight="1">
      <c r="O1374" s="177"/>
    </row>
    <row r="1375" spans="15:15" ht="15.75" customHeight="1">
      <c r="O1375" s="177"/>
    </row>
    <row r="1376" spans="15:15" ht="15.75" customHeight="1">
      <c r="O1376" s="177"/>
    </row>
    <row r="1377" spans="15:15" ht="15.75" customHeight="1">
      <c r="O1377" s="177"/>
    </row>
    <row r="1378" spans="15:15" ht="15.75" customHeight="1">
      <c r="O1378" s="177"/>
    </row>
    <row r="1379" spans="15:15" ht="15.75" customHeight="1">
      <c r="O1379" s="177"/>
    </row>
    <row r="1380" spans="15:15" ht="15.75" customHeight="1">
      <c r="O1380" s="177"/>
    </row>
    <row r="1381" spans="15:15" ht="15.75" customHeight="1">
      <c r="O1381" s="177"/>
    </row>
    <row r="1382" spans="15:15" ht="15.75" customHeight="1">
      <c r="O1382" s="177"/>
    </row>
    <row r="1383" spans="15:15" ht="15.75" customHeight="1">
      <c r="O1383" s="177"/>
    </row>
    <row r="1384" spans="15:15" ht="15.75" customHeight="1">
      <c r="O1384" s="177"/>
    </row>
    <row r="1385" spans="15:15" ht="15.75" customHeight="1">
      <c r="O1385" s="177"/>
    </row>
    <row r="1386" spans="15:15" ht="15.75" customHeight="1">
      <c r="O1386" s="177"/>
    </row>
    <row r="1387" spans="15:15" ht="15.75" customHeight="1">
      <c r="O1387" s="177"/>
    </row>
    <row r="1388" spans="15:15" ht="15.75" customHeight="1">
      <c r="O1388" s="177"/>
    </row>
    <row r="1389" spans="15:15" ht="15.75" customHeight="1">
      <c r="O1389" s="177"/>
    </row>
    <row r="1390" spans="15:15" ht="15.75" customHeight="1">
      <c r="O1390" s="177"/>
    </row>
    <row r="1391" spans="15:15" ht="15.75" customHeight="1">
      <c r="O1391" s="177"/>
    </row>
    <row r="1392" spans="15:15" ht="15.75" customHeight="1">
      <c r="O1392" s="177"/>
    </row>
    <row r="1393" spans="15:15" ht="15.75" customHeight="1">
      <c r="O1393" s="177"/>
    </row>
    <row r="1394" spans="15:15" ht="15.75" customHeight="1">
      <c r="O1394" s="177"/>
    </row>
    <row r="1395" spans="15:15" ht="15.75" customHeight="1">
      <c r="O1395" s="177"/>
    </row>
    <row r="1396" spans="15:15" ht="15.75" customHeight="1">
      <c r="O1396" s="177"/>
    </row>
    <row r="1397" spans="15:15" ht="15.75" customHeight="1">
      <c r="O1397" s="177"/>
    </row>
    <row r="1398" spans="15:15" ht="15.75" customHeight="1">
      <c r="O1398" s="177"/>
    </row>
    <row r="1399" spans="15:15" ht="15.75" customHeight="1">
      <c r="O1399" s="177"/>
    </row>
    <row r="1400" spans="15:15" ht="15.75" customHeight="1">
      <c r="O1400" s="177"/>
    </row>
    <row r="1401" spans="15:15" ht="15.75" customHeight="1">
      <c r="O1401" s="177"/>
    </row>
    <row r="1402" spans="15:15" ht="15.75" customHeight="1">
      <c r="O1402" s="177"/>
    </row>
    <row r="1403" spans="15:15" ht="15.75" customHeight="1">
      <c r="O1403" s="177"/>
    </row>
    <row r="1404" spans="15:15" ht="15.75" customHeight="1">
      <c r="O1404" s="177"/>
    </row>
    <row r="1405" spans="15:15" ht="15.75" customHeight="1">
      <c r="O1405" s="177"/>
    </row>
    <row r="1406" spans="15:15" ht="15.75" customHeight="1">
      <c r="O1406" s="177"/>
    </row>
    <row r="1407" spans="15:15" ht="15.75" customHeight="1">
      <c r="O1407" s="177"/>
    </row>
    <row r="1408" spans="15:15" ht="15.75" customHeight="1">
      <c r="O1408" s="177"/>
    </row>
    <row r="1409" spans="15:15" ht="15.75" customHeight="1">
      <c r="O1409" s="177"/>
    </row>
    <row r="1410" spans="15:15" ht="15.75" customHeight="1">
      <c r="O1410" s="177"/>
    </row>
    <row r="1411" spans="15:15" ht="15.75" customHeight="1">
      <c r="O1411" s="177"/>
    </row>
    <row r="1412" spans="15:15" ht="15.75" customHeight="1">
      <c r="O1412" s="177"/>
    </row>
    <row r="1413" spans="15:15" ht="15.75" customHeight="1">
      <c r="O1413" s="177"/>
    </row>
    <row r="1414" spans="15:15" ht="15.75" customHeight="1">
      <c r="O1414" s="177"/>
    </row>
    <row r="1415" spans="15:15" ht="15.75" customHeight="1">
      <c r="O1415" s="177"/>
    </row>
    <row r="1416" spans="15:15" ht="15.75" customHeight="1">
      <c r="O1416" s="177"/>
    </row>
    <row r="1417" spans="15:15" ht="15.75" customHeight="1">
      <c r="O1417" s="177"/>
    </row>
    <row r="1418" spans="15:15" ht="15.75" customHeight="1">
      <c r="O1418" s="177"/>
    </row>
    <row r="1419" spans="15:15" ht="15.75" customHeight="1">
      <c r="O1419" s="177"/>
    </row>
    <row r="1420" spans="15:15" ht="15.75" customHeight="1">
      <c r="O1420" s="177"/>
    </row>
    <row r="1421" spans="15:15" ht="15.75" customHeight="1">
      <c r="O1421" s="177"/>
    </row>
    <row r="1422" spans="15:15" ht="15.75" customHeight="1">
      <c r="O1422" s="177"/>
    </row>
    <row r="1423" spans="15:15" ht="15.75" customHeight="1">
      <c r="O1423" s="177"/>
    </row>
    <row r="1424" spans="15:15" ht="15.75" customHeight="1">
      <c r="O1424" s="177"/>
    </row>
    <row r="1425" spans="15:15" ht="15.75" customHeight="1">
      <c r="O1425" s="177"/>
    </row>
    <row r="1426" spans="15:15" ht="15.75" customHeight="1">
      <c r="O1426" s="177"/>
    </row>
    <row r="1427" spans="15:15" ht="15.75" customHeight="1">
      <c r="O1427" s="177"/>
    </row>
    <row r="1428" spans="15:15" ht="15.75" customHeight="1">
      <c r="O1428" s="177"/>
    </row>
    <row r="1429" spans="15:15" ht="15.75" customHeight="1">
      <c r="O1429" s="177"/>
    </row>
    <row r="1430" spans="15:15" ht="15.75" customHeight="1">
      <c r="O1430" s="177"/>
    </row>
    <row r="1431" spans="15:15" ht="15.75" customHeight="1">
      <c r="O1431" s="177"/>
    </row>
    <row r="1432" spans="15:15" ht="15.75" customHeight="1">
      <c r="O1432" s="177"/>
    </row>
    <row r="1433" spans="15:15" ht="15.75" customHeight="1">
      <c r="O1433" s="177"/>
    </row>
    <row r="1434" spans="15:15" ht="15.75" customHeight="1">
      <c r="O1434" s="177"/>
    </row>
    <row r="1435" spans="15:15" ht="15.75" customHeight="1">
      <c r="O1435" s="177"/>
    </row>
    <row r="1436" spans="15:15" ht="15.75" customHeight="1">
      <c r="O1436" s="177"/>
    </row>
    <row r="1437" spans="15:15" ht="15.75" customHeight="1">
      <c r="O1437" s="177"/>
    </row>
    <row r="1438" spans="15:15" ht="15.75" customHeight="1">
      <c r="O1438" s="177"/>
    </row>
    <row r="1439" spans="15:15" ht="15.75" customHeight="1">
      <c r="O1439" s="177"/>
    </row>
    <row r="1440" spans="15:15" ht="15.75" customHeight="1">
      <c r="O1440" s="177"/>
    </row>
    <row r="1441" spans="15:15" ht="15.75" customHeight="1">
      <c r="O1441" s="177"/>
    </row>
    <row r="1442" spans="15:15" ht="15.75" customHeight="1">
      <c r="O1442" s="177"/>
    </row>
    <row r="1443" spans="15:15" ht="15.75" customHeight="1">
      <c r="O1443" s="177"/>
    </row>
    <row r="1444" spans="15:15" ht="15.75" customHeight="1">
      <c r="O1444" s="177"/>
    </row>
    <row r="1445" spans="15:15" ht="15.75" customHeight="1">
      <c r="O1445" s="177"/>
    </row>
    <row r="1446" spans="15:15" ht="15.75" customHeight="1">
      <c r="O1446" s="177"/>
    </row>
    <row r="1447" spans="15:15" ht="15.75" customHeight="1">
      <c r="O1447" s="177"/>
    </row>
    <row r="1448" spans="15:15" ht="15.75" customHeight="1">
      <c r="O1448" s="177"/>
    </row>
    <row r="1449" spans="15:15" ht="15.75" customHeight="1">
      <c r="O1449" s="177"/>
    </row>
    <row r="1450" spans="15:15" ht="15.75" customHeight="1">
      <c r="O1450" s="177"/>
    </row>
    <row r="1451" spans="15:15" ht="15.75" customHeight="1">
      <c r="O1451" s="177"/>
    </row>
    <row r="1452" spans="15:15" ht="15.75" customHeight="1">
      <c r="O1452" s="177"/>
    </row>
    <row r="1453" spans="15:15" ht="15.75" customHeight="1">
      <c r="O1453" s="177"/>
    </row>
    <row r="1454" spans="15:15" ht="15.75" customHeight="1">
      <c r="O1454" s="177"/>
    </row>
    <row r="1455" spans="15:15" ht="15.75" customHeight="1">
      <c r="O1455" s="177"/>
    </row>
    <row r="1456" spans="15:15" ht="15.75" customHeight="1">
      <c r="O1456" s="177"/>
    </row>
    <row r="1457" spans="15:15" ht="15.75" customHeight="1">
      <c r="O1457" s="177"/>
    </row>
    <row r="1458" spans="15:15" ht="15.75" customHeight="1">
      <c r="O1458" s="177"/>
    </row>
    <row r="1459" spans="15:15" ht="15.75" customHeight="1">
      <c r="O1459" s="177"/>
    </row>
    <row r="1460" spans="15:15" ht="15.75" customHeight="1">
      <c r="O1460" s="177"/>
    </row>
    <row r="1461" spans="15:15" ht="15.75" customHeight="1">
      <c r="O1461" s="177"/>
    </row>
    <row r="1462" spans="15:15" ht="15.75" customHeight="1">
      <c r="O1462" s="177"/>
    </row>
    <row r="1463" spans="15:15" ht="15.75" customHeight="1">
      <c r="O1463" s="177"/>
    </row>
    <row r="1464" spans="15:15" ht="15.75" customHeight="1">
      <c r="O1464" s="177"/>
    </row>
    <row r="1465" spans="15:15" ht="15.75" customHeight="1">
      <c r="O1465" s="177"/>
    </row>
    <row r="1466" spans="15:15" ht="15.75" customHeight="1">
      <c r="O1466" s="177"/>
    </row>
    <row r="1467" spans="15:15" ht="15.75" customHeight="1">
      <c r="O1467" s="177"/>
    </row>
    <row r="1468" spans="15:15" ht="15.75" customHeight="1">
      <c r="O1468" s="177"/>
    </row>
    <row r="1469" spans="15:15" ht="15.75" customHeight="1">
      <c r="O1469" s="177"/>
    </row>
    <row r="1470" spans="15:15" ht="15.75" customHeight="1">
      <c r="O1470" s="177"/>
    </row>
    <row r="1471" spans="15:15" ht="15.75" customHeight="1">
      <c r="O1471" s="177"/>
    </row>
    <row r="1472" spans="15:15" ht="15.75" customHeight="1">
      <c r="O1472" s="177"/>
    </row>
    <row r="1473" spans="15:15" ht="15.75" customHeight="1">
      <c r="O1473" s="177"/>
    </row>
    <row r="1474" spans="15:15" ht="15.75" customHeight="1">
      <c r="O1474" s="177"/>
    </row>
    <row r="1475" spans="15:15" ht="15.75" customHeight="1">
      <c r="O1475" s="177"/>
    </row>
    <row r="1476" spans="15:15" ht="15.75" customHeight="1">
      <c r="O1476" s="177"/>
    </row>
    <row r="1477" spans="15:15" ht="15.75" customHeight="1">
      <c r="O1477" s="177"/>
    </row>
    <row r="1478" spans="15:15" ht="15.75" customHeight="1">
      <c r="O1478" s="177"/>
    </row>
    <row r="1479" spans="15:15" ht="15.75" customHeight="1">
      <c r="O1479" s="177"/>
    </row>
    <row r="1480" spans="15:15" ht="15.75" customHeight="1">
      <c r="O1480" s="177"/>
    </row>
    <row r="1481" spans="15:15" ht="15.75" customHeight="1">
      <c r="O1481" s="177"/>
    </row>
    <row r="1482" spans="15:15" ht="15.75" customHeight="1">
      <c r="O1482" s="177"/>
    </row>
    <row r="1483" spans="15:15" ht="15.75" customHeight="1">
      <c r="O1483" s="177"/>
    </row>
    <row r="1484" spans="15:15" ht="15.75" customHeight="1">
      <c r="O1484" s="177"/>
    </row>
    <row r="1485" spans="15:15" ht="15.75" customHeight="1">
      <c r="O1485" s="177"/>
    </row>
    <row r="1486" spans="15:15" ht="15.75" customHeight="1">
      <c r="O1486" s="177"/>
    </row>
    <row r="1487" spans="15:15" ht="15.75" customHeight="1">
      <c r="O1487" s="177"/>
    </row>
    <row r="1488" spans="15:15" ht="15.75" customHeight="1">
      <c r="O1488" s="177"/>
    </row>
    <row r="1489" spans="15:15" ht="15.75" customHeight="1">
      <c r="O1489" s="177"/>
    </row>
    <row r="1490" spans="15:15" ht="15.75" customHeight="1">
      <c r="O1490" s="177"/>
    </row>
    <row r="1491" spans="15:15" ht="15.75" customHeight="1">
      <c r="O1491" s="177"/>
    </row>
    <row r="1492" spans="15:15" ht="15.75" customHeight="1">
      <c r="O1492" s="177"/>
    </row>
    <row r="1493" spans="15:15" ht="15.75" customHeight="1">
      <c r="O1493" s="177"/>
    </row>
    <row r="1494" spans="15:15" ht="15.75" customHeight="1">
      <c r="O1494" s="177"/>
    </row>
    <row r="1495" spans="15:15" ht="15.75" customHeight="1">
      <c r="O1495" s="177"/>
    </row>
    <row r="1496" spans="15:15" ht="15.75" customHeight="1">
      <c r="O1496" s="177"/>
    </row>
    <row r="1497" spans="15:15" ht="15.75" customHeight="1">
      <c r="O1497" s="177"/>
    </row>
    <row r="1498" spans="15:15" ht="15.75" customHeight="1">
      <c r="O1498" s="177"/>
    </row>
    <row r="1499" spans="15:15" ht="15.75" customHeight="1">
      <c r="O1499" s="177"/>
    </row>
    <row r="1500" spans="15:15" ht="15.75" customHeight="1">
      <c r="O1500" s="177"/>
    </row>
    <row r="1501" spans="15:15" ht="15.75" customHeight="1">
      <c r="O1501" s="177"/>
    </row>
    <row r="1502" spans="15:15" ht="15.75" customHeight="1">
      <c r="O1502" s="177"/>
    </row>
    <row r="1503" spans="15:15" ht="15.75" customHeight="1">
      <c r="O1503" s="177"/>
    </row>
    <row r="1504" spans="15:15" ht="15.75" customHeight="1">
      <c r="O1504" s="177"/>
    </row>
    <row r="1505" spans="15:15" ht="15.75" customHeight="1">
      <c r="O1505" s="177"/>
    </row>
    <row r="1506" spans="15:15" ht="15.75" customHeight="1">
      <c r="O1506" s="177"/>
    </row>
    <row r="1507" spans="15:15" ht="15.75" customHeight="1">
      <c r="O1507" s="177"/>
    </row>
    <row r="1508" spans="15:15" ht="15.75" customHeight="1">
      <c r="O1508" s="177"/>
    </row>
    <row r="1509" spans="15:15" ht="15.75" customHeight="1">
      <c r="O1509" s="177"/>
    </row>
    <row r="1510" spans="15:15" ht="15.75" customHeight="1">
      <c r="O1510" s="177"/>
    </row>
    <row r="1511" spans="15:15" ht="15.75" customHeight="1">
      <c r="O1511" s="177"/>
    </row>
    <row r="1512" spans="15:15" ht="15.75" customHeight="1">
      <c r="O1512" s="177"/>
    </row>
    <row r="1513" spans="15:15" ht="15.75" customHeight="1">
      <c r="O1513" s="177"/>
    </row>
    <row r="1514" spans="15:15" ht="15.75" customHeight="1">
      <c r="O1514" s="177"/>
    </row>
    <row r="1515" spans="15:15" ht="15.75" customHeight="1">
      <c r="O1515" s="177"/>
    </row>
    <row r="1516" spans="15:15" ht="15.75" customHeight="1">
      <c r="O1516" s="177"/>
    </row>
    <row r="1517" spans="15:15" ht="15.75" customHeight="1">
      <c r="O1517" s="177"/>
    </row>
    <row r="1518" spans="15:15" ht="15.75" customHeight="1">
      <c r="O1518" s="177"/>
    </row>
    <row r="1519" spans="15:15" ht="15.75" customHeight="1">
      <c r="O1519" s="177"/>
    </row>
    <row r="1520" spans="15:15" ht="15.75" customHeight="1">
      <c r="O1520" s="177"/>
    </row>
    <row r="1521" spans="15:15" ht="15.75" customHeight="1">
      <c r="O1521" s="177"/>
    </row>
    <row r="1522" spans="15:15" ht="15.75" customHeight="1">
      <c r="O1522" s="177"/>
    </row>
    <row r="1523" spans="15:15" ht="15.75" customHeight="1">
      <c r="O1523" s="177"/>
    </row>
    <row r="1524" spans="15:15" ht="15.75" customHeight="1">
      <c r="O1524" s="177"/>
    </row>
    <row r="1525" spans="15:15" ht="15.75" customHeight="1">
      <c r="O1525" s="177"/>
    </row>
    <row r="1526" spans="15:15" ht="15.75" customHeight="1">
      <c r="O1526" s="177"/>
    </row>
    <row r="1527" spans="15:15" ht="15.75" customHeight="1">
      <c r="O1527" s="177"/>
    </row>
    <row r="1528" spans="15:15" ht="15.75" customHeight="1">
      <c r="O1528" s="177"/>
    </row>
    <row r="1529" spans="15:15" ht="15.75" customHeight="1">
      <c r="O1529" s="177"/>
    </row>
    <row r="1530" spans="15:15" ht="15.75" customHeight="1">
      <c r="O1530" s="177"/>
    </row>
    <row r="1531" spans="15:15" ht="15.75" customHeight="1">
      <c r="O1531" s="177"/>
    </row>
    <row r="1532" spans="15:15" ht="15.75" customHeight="1">
      <c r="O1532" s="177"/>
    </row>
    <row r="1533" spans="15:15" ht="15.75" customHeight="1">
      <c r="O1533" s="177"/>
    </row>
    <row r="1534" spans="15:15" ht="15.75" customHeight="1">
      <c r="O1534" s="177"/>
    </row>
    <row r="1535" spans="15:15" ht="15.75" customHeight="1">
      <c r="O1535" s="177"/>
    </row>
    <row r="1536" spans="15:15" ht="15.75" customHeight="1">
      <c r="O1536" s="177"/>
    </row>
    <row r="1537" spans="15:15" ht="15.75" customHeight="1">
      <c r="O1537" s="177"/>
    </row>
    <row r="1538" spans="15:15" ht="15.75" customHeight="1">
      <c r="O1538" s="177"/>
    </row>
    <row r="1539" spans="15:15" ht="15.75" customHeight="1">
      <c r="O1539" s="177"/>
    </row>
    <row r="1540" spans="15:15" ht="15.75" customHeight="1">
      <c r="O1540" s="177"/>
    </row>
    <row r="1541" spans="15:15" ht="15.75" customHeight="1">
      <c r="O1541" s="177"/>
    </row>
    <row r="1542" spans="15:15" ht="15.75" customHeight="1">
      <c r="O1542" s="177"/>
    </row>
    <row r="1543" spans="15:15" ht="15.75" customHeight="1">
      <c r="O1543" s="177"/>
    </row>
    <row r="1544" spans="15:15" ht="15.75" customHeight="1">
      <c r="O1544" s="177"/>
    </row>
    <row r="1545" spans="15:15" ht="15.75" customHeight="1">
      <c r="O1545" s="177"/>
    </row>
    <row r="1546" spans="15:15" ht="15.75" customHeight="1">
      <c r="O1546" s="177"/>
    </row>
    <row r="1547" spans="15:15" ht="15.75" customHeight="1">
      <c r="O1547" s="177"/>
    </row>
    <row r="1548" spans="15:15" ht="15.75" customHeight="1">
      <c r="O1548" s="177"/>
    </row>
    <row r="1549" spans="15:15" ht="15.75" customHeight="1">
      <c r="O1549" s="177"/>
    </row>
    <row r="1550" spans="15:15" ht="15.75" customHeight="1">
      <c r="O1550" s="177"/>
    </row>
    <row r="1551" spans="15:15" ht="15.75" customHeight="1">
      <c r="O1551" s="177"/>
    </row>
    <row r="1552" spans="15:15" ht="15.75" customHeight="1">
      <c r="O1552" s="177"/>
    </row>
    <row r="1553" spans="15:15" ht="15.75" customHeight="1">
      <c r="O1553" s="177"/>
    </row>
    <row r="1554" spans="15:15" ht="15.75" customHeight="1">
      <c r="O1554" s="177"/>
    </row>
    <row r="1555" spans="15:15" ht="15.75" customHeight="1">
      <c r="O1555" s="177"/>
    </row>
    <row r="1556" spans="15:15" ht="15.75" customHeight="1">
      <c r="O1556" s="177"/>
    </row>
    <row r="1557" spans="15:15" ht="15.75" customHeight="1">
      <c r="O1557" s="177"/>
    </row>
    <row r="1558" spans="15:15" ht="15.75" customHeight="1">
      <c r="O1558" s="177"/>
    </row>
    <row r="1559" spans="15:15" ht="15.75" customHeight="1">
      <c r="O1559" s="177"/>
    </row>
    <row r="1560" spans="15:15" ht="15.75" customHeight="1">
      <c r="O1560" s="177"/>
    </row>
    <row r="1561" spans="15:15" ht="15.75" customHeight="1">
      <c r="O1561" s="177"/>
    </row>
    <row r="1562" spans="15:15" ht="15.75" customHeight="1">
      <c r="O1562" s="177"/>
    </row>
    <row r="1563" spans="15:15" ht="15.75" customHeight="1">
      <c r="O1563" s="177"/>
    </row>
    <row r="1564" spans="15:15" ht="15.75" customHeight="1">
      <c r="O1564" s="177"/>
    </row>
    <row r="1565" spans="15:15" ht="15.75" customHeight="1">
      <c r="O1565" s="177"/>
    </row>
    <row r="1566" spans="15:15" ht="15.75" customHeight="1">
      <c r="O1566" s="177"/>
    </row>
    <row r="1567" spans="15:15" ht="15.75" customHeight="1">
      <c r="O1567" s="177"/>
    </row>
    <row r="1568" spans="15:15" ht="15.75" customHeight="1">
      <c r="O1568" s="177"/>
    </row>
    <row r="1569" spans="15:15" ht="15.75" customHeight="1">
      <c r="O1569" s="177"/>
    </row>
    <row r="1570" spans="15:15" ht="15.75" customHeight="1">
      <c r="O1570" s="177"/>
    </row>
    <row r="1571" spans="15:15" ht="15.75" customHeight="1">
      <c r="O1571" s="177"/>
    </row>
    <row r="1572" spans="15:15" ht="15.75" customHeight="1">
      <c r="O1572" s="177"/>
    </row>
    <row r="1573" spans="15:15" ht="15.75" customHeight="1">
      <c r="O1573" s="177"/>
    </row>
    <row r="1574" spans="15:15" ht="15.75" customHeight="1">
      <c r="O1574" s="177"/>
    </row>
    <row r="1575" spans="15:15" ht="15.75" customHeight="1">
      <c r="O1575" s="177"/>
    </row>
    <row r="1576" spans="15:15" ht="15.75" customHeight="1">
      <c r="O1576" s="177"/>
    </row>
    <row r="1577" spans="15:15" ht="15.75" customHeight="1">
      <c r="O1577" s="177"/>
    </row>
    <row r="1578" spans="15:15" ht="15.75" customHeight="1">
      <c r="O1578" s="177"/>
    </row>
    <row r="1579" spans="15:15" ht="15.75" customHeight="1">
      <c r="O1579" s="177"/>
    </row>
    <row r="1580" spans="15:15" ht="15.75" customHeight="1">
      <c r="O1580" s="177"/>
    </row>
    <row r="1581" spans="15:15" ht="15.75" customHeight="1">
      <c r="O1581" s="177"/>
    </row>
    <row r="1582" spans="15:15" ht="15.75" customHeight="1">
      <c r="O1582" s="177"/>
    </row>
    <row r="1583" spans="15:15" ht="15.75" customHeight="1">
      <c r="O1583" s="177"/>
    </row>
    <row r="1584" spans="15:15" ht="15.75" customHeight="1">
      <c r="O1584" s="177"/>
    </row>
    <row r="1585" spans="15:15" ht="15.75" customHeight="1">
      <c r="O1585" s="177"/>
    </row>
    <row r="1586" spans="15:15" ht="15.75" customHeight="1">
      <c r="O1586" s="177"/>
    </row>
    <row r="1587" spans="15:15" ht="15.75" customHeight="1">
      <c r="O1587" s="177"/>
    </row>
    <row r="1588" spans="15:15" ht="15.75" customHeight="1">
      <c r="O1588" s="177"/>
    </row>
    <row r="1589" spans="15:15" ht="15.75" customHeight="1">
      <c r="O1589" s="177"/>
    </row>
    <row r="1590" spans="15:15" ht="15.75" customHeight="1">
      <c r="O1590" s="177"/>
    </row>
    <row r="1591" spans="15:15" ht="15.75" customHeight="1">
      <c r="O1591" s="177"/>
    </row>
    <row r="1592" spans="15:15" ht="15.75" customHeight="1">
      <c r="O1592" s="177"/>
    </row>
    <row r="1593" spans="15:15" ht="15.75" customHeight="1">
      <c r="O1593" s="177"/>
    </row>
    <row r="1594" spans="15:15" ht="15.75" customHeight="1">
      <c r="O1594" s="177"/>
    </row>
    <row r="1595" spans="15:15" ht="15.75" customHeight="1">
      <c r="O1595" s="177"/>
    </row>
    <row r="1596" spans="15:15" ht="15.75" customHeight="1">
      <c r="O1596" s="177"/>
    </row>
    <row r="1597" spans="15:15" ht="15.75" customHeight="1">
      <c r="O1597" s="177"/>
    </row>
    <row r="1598" spans="15:15" ht="15.75" customHeight="1">
      <c r="O1598" s="177"/>
    </row>
    <row r="1599" spans="15:15" ht="15.75" customHeight="1">
      <c r="O1599" s="177"/>
    </row>
    <row r="1600" spans="15:15" ht="15.75" customHeight="1">
      <c r="O1600" s="177"/>
    </row>
    <row r="1601" spans="15:15" ht="15.75" customHeight="1">
      <c r="O1601" s="177"/>
    </row>
    <row r="1602" spans="15:15" ht="15.75" customHeight="1">
      <c r="O1602" s="177"/>
    </row>
    <row r="1603" spans="15:15" ht="15.75" customHeight="1">
      <c r="O1603" s="177"/>
    </row>
    <row r="1604" spans="15:15" ht="15.75" customHeight="1">
      <c r="O1604" s="177"/>
    </row>
    <row r="1605" spans="15:15" ht="15.75" customHeight="1">
      <c r="O1605" s="177"/>
    </row>
    <row r="1606" spans="15:15" ht="15.75" customHeight="1">
      <c r="O1606" s="177"/>
    </row>
    <row r="1607" spans="15:15" ht="15.75" customHeight="1">
      <c r="O1607" s="177"/>
    </row>
    <row r="1608" spans="15:15" ht="15.75" customHeight="1">
      <c r="O1608" s="177"/>
    </row>
    <row r="1609" spans="15:15" ht="15.75" customHeight="1">
      <c r="O1609" s="177"/>
    </row>
    <row r="1610" spans="15:15" ht="15.75" customHeight="1">
      <c r="O1610" s="177"/>
    </row>
    <row r="1611" spans="15:15" ht="15.75" customHeight="1">
      <c r="O1611" s="177"/>
    </row>
    <row r="1612" spans="15:15" ht="15.75" customHeight="1">
      <c r="O1612" s="177"/>
    </row>
    <row r="1613" spans="15:15" ht="15.75" customHeight="1">
      <c r="O1613" s="177"/>
    </row>
    <row r="1614" spans="15:15" ht="15.75" customHeight="1">
      <c r="O1614" s="177"/>
    </row>
    <row r="1615" spans="15:15" ht="15.75" customHeight="1">
      <c r="O1615" s="177"/>
    </row>
    <row r="1616" spans="15:15" ht="15.75" customHeight="1">
      <c r="O1616" s="177"/>
    </row>
    <row r="1617" spans="15:15" ht="15.75" customHeight="1">
      <c r="O1617" s="177"/>
    </row>
    <row r="1618" spans="15:15" ht="15.75" customHeight="1">
      <c r="O1618" s="177"/>
    </row>
    <row r="1619" spans="15:15" ht="15.75" customHeight="1">
      <c r="O1619" s="177"/>
    </row>
    <row r="1620" spans="15:15" ht="15.75" customHeight="1">
      <c r="O1620" s="177"/>
    </row>
    <row r="1621" spans="15:15" ht="15.75" customHeight="1">
      <c r="O1621" s="177"/>
    </row>
    <row r="1622" spans="15:15" ht="15.75" customHeight="1">
      <c r="O1622" s="177"/>
    </row>
    <row r="1623" spans="15:15" ht="15.75" customHeight="1">
      <c r="O1623" s="177"/>
    </row>
    <row r="1624" spans="15:15" ht="15.75" customHeight="1">
      <c r="O1624" s="177"/>
    </row>
    <row r="1625" spans="15:15" ht="15.75" customHeight="1">
      <c r="O1625" s="177"/>
    </row>
    <row r="1626" spans="15:15" ht="15.75" customHeight="1">
      <c r="O1626" s="177"/>
    </row>
    <row r="1627" spans="15:15" ht="15.75" customHeight="1">
      <c r="O1627" s="177"/>
    </row>
    <row r="1628" spans="15:15" ht="15.75" customHeight="1">
      <c r="O1628" s="177"/>
    </row>
    <row r="1629" spans="15:15" ht="15.75" customHeight="1">
      <c r="O1629" s="177"/>
    </row>
    <row r="1630" spans="15:15" ht="15.75" customHeight="1">
      <c r="O1630" s="177"/>
    </row>
    <row r="1631" spans="15:15" ht="15.75" customHeight="1">
      <c r="O1631" s="177"/>
    </row>
    <row r="1632" spans="15:15" ht="15.75" customHeight="1">
      <c r="O1632" s="177"/>
    </row>
    <row r="1633" spans="15:15" ht="15.75" customHeight="1">
      <c r="O1633" s="177"/>
    </row>
    <row r="1634" spans="15:15" ht="15.75" customHeight="1">
      <c r="O1634" s="177"/>
    </row>
    <row r="1635" spans="15:15" ht="15.75" customHeight="1">
      <c r="O1635" s="177"/>
    </row>
    <row r="1636" spans="15:15" ht="15.75" customHeight="1">
      <c r="O1636" s="177"/>
    </row>
    <row r="1637" spans="15:15" ht="15.75" customHeight="1">
      <c r="O1637" s="177"/>
    </row>
    <row r="1638" spans="15:15" ht="15.75" customHeight="1">
      <c r="O1638" s="177"/>
    </row>
    <row r="1639" spans="15:15" ht="15.75" customHeight="1">
      <c r="O1639" s="177"/>
    </row>
    <row r="1640" spans="15:15" ht="15.75" customHeight="1">
      <c r="O1640" s="177"/>
    </row>
    <row r="1641" spans="15:15" ht="15.75" customHeight="1">
      <c r="O1641" s="177"/>
    </row>
    <row r="1642" spans="15:15" ht="15.75" customHeight="1">
      <c r="O1642" s="177"/>
    </row>
    <row r="1643" spans="15:15" ht="15.75" customHeight="1">
      <c r="O1643" s="177"/>
    </row>
    <row r="1644" spans="15:15" ht="15.75" customHeight="1">
      <c r="O1644" s="177"/>
    </row>
    <row r="1645" spans="15:15" ht="15.75" customHeight="1">
      <c r="O1645" s="177"/>
    </row>
    <row r="1646" spans="15:15" ht="15.75" customHeight="1">
      <c r="O1646" s="177"/>
    </row>
    <row r="1647" spans="15:15" ht="15.75" customHeight="1">
      <c r="O1647" s="177"/>
    </row>
    <row r="1648" spans="15:15" ht="15.75" customHeight="1">
      <c r="O1648" s="177"/>
    </row>
    <row r="1649" spans="15:15" ht="15.75" customHeight="1">
      <c r="O1649" s="177"/>
    </row>
    <row r="1650" spans="15:15" ht="15.75" customHeight="1">
      <c r="O1650" s="177"/>
    </row>
    <row r="1651" spans="15:15" ht="15.75" customHeight="1">
      <c r="O1651" s="177"/>
    </row>
    <row r="1652" spans="15:15" ht="15.75" customHeight="1">
      <c r="O1652" s="177"/>
    </row>
    <row r="1653" spans="15:15" ht="15.75" customHeight="1">
      <c r="O1653" s="177"/>
    </row>
    <row r="1654" spans="15:15" ht="15.75" customHeight="1">
      <c r="O1654" s="177"/>
    </row>
    <row r="1655" spans="15:15" ht="15.75" customHeight="1">
      <c r="O1655" s="177"/>
    </row>
    <row r="1656" spans="15:15" ht="15.75" customHeight="1">
      <c r="O1656" s="177"/>
    </row>
    <row r="1657" spans="15:15" ht="15.75" customHeight="1">
      <c r="O1657" s="177"/>
    </row>
    <row r="1658" spans="15:15" ht="15.75" customHeight="1">
      <c r="O1658" s="177"/>
    </row>
    <row r="1659" spans="15:15" ht="15.75" customHeight="1">
      <c r="O1659" s="177"/>
    </row>
    <row r="1660" spans="15:15" ht="15.75" customHeight="1">
      <c r="O1660" s="177"/>
    </row>
    <row r="1661" spans="15:15" ht="15.75" customHeight="1">
      <c r="O1661" s="177"/>
    </row>
    <row r="1662" spans="15:15" ht="15.75" customHeight="1">
      <c r="O1662" s="177"/>
    </row>
    <row r="1663" spans="15:15" ht="15.75" customHeight="1">
      <c r="O1663" s="177"/>
    </row>
    <row r="1664" spans="15:15" ht="15.75" customHeight="1">
      <c r="O1664" s="177"/>
    </row>
    <row r="1665" spans="15:15" ht="15.75" customHeight="1">
      <c r="O1665" s="177"/>
    </row>
    <row r="1666" spans="15:15" ht="15.75" customHeight="1">
      <c r="O1666" s="177"/>
    </row>
    <row r="1667" spans="15:15" ht="15.75" customHeight="1">
      <c r="O1667" s="177"/>
    </row>
    <row r="1668" spans="15:15" ht="15.75" customHeight="1">
      <c r="O1668" s="177"/>
    </row>
    <row r="1669" spans="15:15" ht="15.75" customHeight="1">
      <c r="O1669" s="177"/>
    </row>
    <row r="1670" spans="15:15" ht="15.75" customHeight="1">
      <c r="O1670" s="177"/>
    </row>
    <row r="1671" spans="15:15" ht="15.75" customHeight="1">
      <c r="O1671" s="177"/>
    </row>
    <row r="1672" spans="15:15" ht="15.75" customHeight="1">
      <c r="O1672" s="177"/>
    </row>
    <row r="1673" spans="15:15" ht="15.75" customHeight="1">
      <c r="O1673" s="177"/>
    </row>
    <row r="1674" spans="15:15" ht="15.75" customHeight="1">
      <c r="O1674" s="177"/>
    </row>
    <row r="1675" spans="15:15" ht="15.75" customHeight="1">
      <c r="O1675" s="177"/>
    </row>
    <row r="1676" spans="15:15" ht="15.75" customHeight="1">
      <c r="O1676" s="177"/>
    </row>
    <row r="1677" spans="15:15" ht="15.75" customHeight="1">
      <c r="O1677" s="177"/>
    </row>
    <row r="1678" spans="15:15" ht="15.75" customHeight="1">
      <c r="O1678" s="177"/>
    </row>
    <row r="1679" spans="15:15" ht="15.75" customHeight="1">
      <c r="O1679" s="177"/>
    </row>
    <row r="1680" spans="15:15" ht="15.75" customHeight="1">
      <c r="O1680" s="177"/>
    </row>
    <row r="1681" spans="15:15" ht="15.75" customHeight="1">
      <c r="O1681" s="177"/>
    </row>
    <row r="1682" spans="15:15" ht="15.75" customHeight="1">
      <c r="O1682" s="177"/>
    </row>
    <row r="1683" spans="15:15" ht="15.75" customHeight="1">
      <c r="O1683" s="177"/>
    </row>
    <row r="1684" spans="15:15" ht="15.75" customHeight="1">
      <c r="O1684" s="177"/>
    </row>
    <row r="1685" spans="15:15" ht="15.75" customHeight="1">
      <c r="O1685" s="177"/>
    </row>
    <row r="1686" spans="15:15" ht="15.75" customHeight="1">
      <c r="O1686" s="177"/>
    </row>
    <row r="1687" spans="15:15" ht="15.75" customHeight="1">
      <c r="O1687" s="177"/>
    </row>
    <row r="1688" spans="15:15" ht="15.75" customHeight="1">
      <c r="O1688" s="177"/>
    </row>
    <row r="1689" spans="15:15" ht="15.75" customHeight="1">
      <c r="O1689" s="177"/>
    </row>
    <row r="1690" spans="15:15" ht="15.75" customHeight="1">
      <c r="O1690" s="177"/>
    </row>
    <row r="1691" spans="15:15" ht="15.75" customHeight="1">
      <c r="O1691" s="177"/>
    </row>
    <row r="1692" spans="15:15" ht="15.75" customHeight="1">
      <c r="O1692" s="177"/>
    </row>
    <row r="1693" spans="15:15" ht="15.75" customHeight="1">
      <c r="O1693" s="177"/>
    </row>
    <row r="1694" spans="15:15" ht="15.75" customHeight="1">
      <c r="O1694" s="177"/>
    </row>
    <row r="1695" spans="15:15" ht="15.75" customHeight="1">
      <c r="O1695" s="177"/>
    </row>
    <row r="1696" spans="15:15" ht="15.75" customHeight="1">
      <c r="O1696" s="177"/>
    </row>
    <row r="1697" spans="15:15" ht="15.75" customHeight="1">
      <c r="O1697" s="177"/>
    </row>
    <row r="1698" spans="15:15" ht="15.75" customHeight="1">
      <c r="O1698" s="177"/>
    </row>
    <row r="1699" spans="15:15" ht="15.75" customHeight="1">
      <c r="O1699" s="177"/>
    </row>
    <row r="1700" spans="15:15" ht="15.75" customHeight="1">
      <c r="O1700" s="177"/>
    </row>
    <row r="1701" spans="15:15" ht="15.75" customHeight="1">
      <c r="O1701" s="177"/>
    </row>
    <row r="1702" spans="15:15" ht="15.75" customHeight="1">
      <c r="O1702" s="177"/>
    </row>
    <row r="1703" spans="15:15" ht="15.75" customHeight="1">
      <c r="O1703" s="177"/>
    </row>
    <row r="1704" spans="15:15" ht="15.75" customHeight="1">
      <c r="O1704" s="177"/>
    </row>
    <row r="1705" spans="15:15" ht="15.75" customHeight="1">
      <c r="O1705" s="177"/>
    </row>
    <row r="1706" spans="15:15" ht="15.75" customHeight="1">
      <c r="O1706" s="177"/>
    </row>
    <row r="1707" spans="15:15" ht="15.75" customHeight="1">
      <c r="O1707" s="177"/>
    </row>
    <row r="1708" spans="15:15" ht="15.75" customHeight="1">
      <c r="O1708" s="177"/>
    </row>
    <row r="1709" spans="15:15" ht="15.75" customHeight="1">
      <c r="O1709" s="177"/>
    </row>
    <row r="1710" spans="15:15" ht="15.75" customHeight="1">
      <c r="O1710" s="177"/>
    </row>
    <row r="1711" spans="15:15" ht="15.75" customHeight="1">
      <c r="O1711" s="177"/>
    </row>
    <row r="1712" spans="15:15" ht="15.75" customHeight="1">
      <c r="O1712" s="177"/>
    </row>
    <row r="1713" spans="15:15" ht="15.75" customHeight="1">
      <c r="O1713" s="177"/>
    </row>
    <row r="1714" spans="15:15" ht="15.75" customHeight="1">
      <c r="O1714" s="177"/>
    </row>
    <row r="1715" spans="15:15" ht="15.75" customHeight="1">
      <c r="O1715" s="177"/>
    </row>
    <row r="1716" spans="15:15" ht="15.75" customHeight="1">
      <c r="O1716" s="177"/>
    </row>
    <row r="1717" spans="15:15" ht="15.75" customHeight="1">
      <c r="O1717" s="177"/>
    </row>
    <row r="1718" spans="15:15" ht="15.75" customHeight="1">
      <c r="O1718" s="177"/>
    </row>
    <row r="1719" spans="15:15" ht="15.75" customHeight="1">
      <c r="O1719" s="177"/>
    </row>
    <row r="1720" spans="15:15" ht="15.75" customHeight="1">
      <c r="O1720" s="177"/>
    </row>
    <row r="1721" spans="15:15" ht="15.75" customHeight="1">
      <c r="O1721" s="177"/>
    </row>
    <row r="1722" spans="15:15" ht="15.75" customHeight="1">
      <c r="O1722" s="177"/>
    </row>
    <row r="1723" spans="15:15" ht="15.75" customHeight="1">
      <c r="O1723" s="177"/>
    </row>
    <row r="1724" spans="15:15" ht="15.75" customHeight="1">
      <c r="O1724" s="177"/>
    </row>
    <row r="1725" spans="15:15" ht="15.75" customHeight="1">
      <c r="O1725" s="177"/>
    </row>
    <row r="1726" spans="15:15" ht="15.75" customHeight="1">
      <c r="O1726" s="177"/>
    </row>
    <row r="1727" spans="15:15" ht="15.75" customHeight="1">
      <c r="O1727" s="177"/>
    </row>
    <row r="1728" spans="15:15" ht="15.75" customHeight="1">
      <c r="O1728" s="177"/>
    </row>
    <row r="1729" spans="15:15" ht="15.75" customHeight="1">
      <c r="O1729" s="177"/>
    </row>
    <row r="1730" spans="15:15" ht="15.75" customHeight="1">
      <c r="O1730" s="177"/>
    </row>
    <row r="1731" spans="15:15" ht="15.75" customHeight="1">
      <c r="O1731" s="177"/>
    </row>
    <row r="1732" spans="15:15" ht="15.75" customHeight="1">
      <c r="O1732" s="177"/>
    </row>
    <row r="1733" spans="15:15" ht="15.75" customHeight="1">
      <c r="O1733" s="177"/>
    </row>
    <row r="1734" spans="15:15" ht="15.75" customHeight="1">
      <c r="O1734" s="177"/>
    </row>
    <row r="1735" spans="15:15" ht="15.75" customHeight="1">
      <c r="O1735" s="177"/>
    </row>
    <row r="1736" spans="15:15" ht="15.75" customHeight="1">
      <c r="O1736" s="177"/>
    </row>
    <row r="1737" spans="15:15" ht="15.75" customHeight="1">
      <c r="O1737" s="177"/>
    </row>
    <row r="1738" spans="15:15" ht="15.75" customHeight="1">
      <c r="O1738" s="177"/>
    </row>
    <row r="1739" spans="15:15" ht="15.75" customHeight="1">
      <c r="O1739" s="177"/>
    </row>
    <row r="1740" spans="15:15" ht="15.75" customHeight="1">
      <c r="O1740" s="177"/>
    </row>
    <row r="1741" spans="15:15" ht="15.75" customHeight="1">
      <c r="O1741" s="177"/>
    </row>
    <row r="1742" spans="15:15" ht="15.75" customHeight="1">
      <c r="O1742" s="177"/>
    </row>
    <row r="1743" spans="15:15" ht="15.75" customHeight="1">
      <c r="O1743" s="177"/>
    </row>
    <row r="1744" spans="15:15" ht="15.75" customHeight="1">
      <c r="O1744" s="177"/>
    </row>
    <row r="1745" spans="15:15" ht="15.75" customHeight="1">
      <c r="O1745" s="177"/>
    </row>
    <row r="1746" spans="15:15" ht="15.75" customHeight="1">
      <c r="O1746" s="177"/>
    </row>
    <row r="1747" spans="15:15" ht="15.75" customHeight="1">
      <c r="O1747" s="177"/>
    </row>
    <row r="1748" spans="15:15" ht="15.75" customHeight="1">
      <c r="O1748" s="177"/>
    </row>
    <row r="1749" spans="15:15" ht="15.75" customHeight="1">
      <c r="O1749" s="177"/>
    </row>
    <row r="1750" spans="15:15" ht="15.75" customHeight="1">
      <c r="O1750" s="177"/>
    </row>
    <row r="1751" spans="15:15" ht="15.75" customHeight="1">
      <c r="O1751" s="177"/>
    </row>
    <row r="1752" spans="15:15" ht="15.75" customHeight="1">
      <c r="O1752" s="177"/>
    </row>
    <row r="1753" spans="15:15" ht="15.75" customHeight="1">
      <c r="O1753" s="177"/>
    </row>
    <row r="1754" spans="15:15" ht="15.75" customHeight="1">
      <c r="O1754" s="177"/>
    </row>
    <row r="1755" spans="15:15" ht="15.75" customHeight="1">
      <c r="O1755" s="177"/>
    </row>
    <row r="1756" spans="15:15" ht="15.75" customHeight="1">
      <c r="O1756" s="177"/>
    </row>
    <row r="1757" spans="15:15" ht="15.75" customHeight="1">
      <c r="O1757" s="177"/>
    </row>
    <row r="1758" spans="15:15" ht="15.75" customHeight="1">
      <c r="O1758" s="177"/>
    </row>
    <row r="1759" spans="15:15" ht="15.75" customHeight="1">
      <c r="O1759" s="177"/>
    </row>
    <row r="1760" spans="15:15" ht="15.75" customHeight="1">
      <c r="O1760" s="177"/>
    </row>
    <row r="1761" spans="15:15" ht="15.75" customHeight="1">
      <c r="O1761" s="177"/>
    </row>
    <row r="1762" spans="15:15" ht="15.75" customHeight="1">
      <c r="O1762" s="177"/>
    </row>
    <row r="1763" spans="15:15" ht="15.75" customHeight="1">
      <c r="O1763" s="177"/>
    </row>
    <row r="1764" spans="15:15" ht="15.75" customHeight="1">
      <c r="O1764" s="177"/>
    </row>
    <row r="1765" spans="15:15" ht="15.75" customHeight="1">
      <c r="O1765" s="177"/>
    </row>
    <row r="1766" spans="15:15" ht="15.75" customHeight="1">
      <c r="O1766" s="177"/>
    </row>
    <row r="1767" spans="15:15" ht="15.75" customHeight="1">
      <c r="O1767" s="177"/>
    </row>
    <row r="1768" spans="15:15" ht="15.75" customHeight="1">
      <c r="O1768" s="177"/>
    </row>
    <row r="1769" spans="15:15" ht="15.75" customHeight="1">
      <c r="O1769" s="177"/>
    </row>
    <row r="1770" spans="15:15" ht="15.75" customHeight="1">
      <c r="O1770" s="177"/>
    </row>
    <row r="1771" spans="15:15" ht="15.75" customHeight="1">
      <c r="O1771" s="177"/>
    </row>
    <row r="1772" spans="15:15" ht="15.75" customHeight="1">
      <c r="O1772" s="177"/>
    </row>
    <row r="1773" spans="15:15" ht="15.75" customHeight="1">
      <c r="O1773" s="177"/>
    </row>
    <row r="1774" spans="15:15" ht="15.75" customHeight="1">
      <c r="O1774" s="177"/>
    </row>
    <row r="1775" spans="15:15" ht="15.75" customHeight="1">
      <c r="O1775" s="177"/>
    </row>
    <row r="1776" spans="15:15" ht="15.75" customHeight="1">
      <c r="O1776" s="177"/>
    </row>
    <row r="1777" spans="15:15" ht="15.75" customHeight="1">
      <c r="O1777" s="177"/>
    </row>
    <row r="1778" spans="15:15" ht="15.75" customHeight="1">
      <c r="O1778" s="177"/>
    </row>
    <row r="1779" spans="15:15" ht="15.75" customHeight="1">
      <c r="O1779" s="177"/>
    </row>
    <row r="1780" spans="15:15" ht="15.75" customHeight="1">
      <c r="O1780" s="177"/>
    </row>
    <row r="1781" spans="15:15" ht="15.75" customHeight="1">
      <c r="O1781" s="177"/>
    </row>
    <row r="1782" spans="15:15" ht="15.75" customHeight="1">
      <c r="O1782" s="177"/>
    </row>
    <row r="1783" spans="15:15" ht="15.75" customHeight="1">
      <c r="O1783" s="177"/>
    </row>
    <row r="1784" spans="15:15" ht="15.75" customHeight="1">
      <c r="O1784" s="177"/>
    </row>
    <row r="1785" spans="15:15" ht="15.75" customHeight="1">
      <c r="O1785" s="177"/>
    </row>
    <row r="1786" spans="15:15" ht="15.75" customHeight="1">
      <c r="O1786" s="177"/>
    </row>
    <row r="1787" spans="15:15" ht="15.75" customHeight="1">
      <c r="O1787" s="177"/>
    </row>
    <row r="1788" spans="15:15" ht="15.75" customHeight="1">
      <c r="O1788" s="177"/>
    </row>
    <row r="1789" spans="15:15" ht="15.75" customHeight="1">
      <c r="O1789" s="177"/>
    </row>
    <row r="1790" spans="15:15" ht="15.75" customHeight="1">
      <c r="O1790" s="177"/>
    </row>
    <row r="1791" spans="15:15" ht="15.75" customHeight="1">
      <c r="O1791" s="177"/>
    </row>
    <row r="1792" spans="15:15" ht="15.75" customHeight="1">
      <c r="O1792" s="177"/>
    </row>
    <row r="1793" spans="15:15" ht="15.75" customHeight="1">
      <c r="O1793" s="177"/>
    </row>
    <row r="1794" spans="15:15" ht="15.75" customHeight="1">
      <c r="O1794" s="177"/>
    </row>
    <row r="1795" spans="15:15" ht="15.75" customHeight="1">
      <c r="O1795" s="177"/>
    </row>
    <row r="1796" spans="15:15" ht="15.75" customHeight="1">
      <c r="O1796" s="177"/>
    </row>
    <row r="1797" spans="15:15" ht="15.75" customHeight="1">
      <c r="O1797" s="177"/>
    </row>
    <row r="1798" spans="15:15" ht="15.75" customHeight="1">
      <c r="O1798" s="177"/>
    </row>
    <row r="1799" spans="15:15" ht="15.75" customHeight="1">
      <c r="O1799" s="177"/>
    </row>
    <row r="1800" spans="15:15" ht="15.75" customHeight="1">
      <c r="O1800" s="177"/>
    </row>
    <row r="1801" spans="15:15" ht="15.75" customHeight="1">
      <c r="O1801" s="177"/>
    </row>
    <row r="1802" spans="15:15" ht="15.75" customHeight="1">
      <c r="O1802" s="177"/>
    </row>
    <row r="1803" spans="15:15" ht="15.75" customHeight="1">
      <c r="O1803" s="177"/>
    </row>
    <row r="1804" spans="15:15" ht="15.75" customHeight="1">
      <c r="O1804" s="177"/>
    </row>
    <row r="1805" spans="15:15" ht="15.75" customHeight="1">
      <c r="O1805" s="177"/>
    </row>
    <row r="1806" spans="15:15" ht="15.75" customHeight="1">
      <c r="O1806" s="177"/>
    </row>
    <row r="1807" spans="15:15" ht="15.75" customHeight="1">
      <c r="O1807" s="177"/>
    </row>
    <row r="1808" spans="15:15" ht="15.75" customHeight="1">
      <c r="O1808" s="177"/>
    </row>
    <row r="1809" spans="15:15" ht="15.75" customHeight="1">
      <c r="O1809" s="177"/>
    </row>
    <row r="1810" spans="15:15" ht="15.75" customHeight="1">
      <c r="O1810" s="177"/>
    </row>
    <row r="1811" spans="15:15" ht="15.75" customHeight="1">
      <c r="O1811" s="177"/>
    </row>
    <row r="1812" spans="15:15" ht="15.75" customHeight="1">
      <c r="O1812" s="177"/>
    </row>
    <row r="1813" spans="15:15" ht="15.75" customHeight="1">
      <c r="O1813" s="177"/>
    </row>
    <row r="1814" spans="15:15" ht="15.75" customHeight="1">
      <c r="O1814" s="177"/>
    </row>
    <row r="1815" spans="15:15" ht="15.75" customHeight="1">
      <c r="O1815" s="177"/>
    </row>
    <row r="1816" spans="15:15" ht="15.75" customHeight="1">
      <c r="O1816" s="177"/>
    </row>
    <row r="1817" spans="15:15" ht="15.75" customHeight="1">
      <c r="O1817" s="177"/>
    </row>
    <row r="1818" spans="15:15" ht="15.75" customHeight="1">
      <c r="O1818" s="177"/>
    </row>
    <row r="1819" spans="15:15" ht="15.75" customHeight="1">
      <c r="O1819" s="177"/>
    </row>
    <row r="1820" spans="15:15" ht="15.75" customHeight="1">
      <c r="O1820" s="177"/>
    </row>
    <row r="1821" spans="15:15" ht="15.75" customHeight="1">
      <c r="O1821" s="177"/>
    </row>
    <row r="1822" spans="15:15" ht="15.75" customHeight="1">
      <c r="O1822" s="177"/>
    </row>
    <row r="1823" spans="15:15" ht="15.75" customHeight="1">
      <c r="O1823" s="177"/>
    </row>
    <row r="1824" spans="15:15" ht="15.75" customHeight="1">
      <c r="O1824" s="177"/>
    </row>
    <row r="1825" spans="15:15" ht="15.75" customHeight="1">
      <c r="O1825" s="177"/>
    </row>
    <row r="1826" spans="15:15" ht="15.75" customHeight="1">
      <c r="O1826" s="177"/>
    </row>
    <row r="1827" spans="15:15" ht="15.75" customHeight="1">
      <c r="O1827" s="177"/>
    </row>
    <row r="1828" spans="15:15" ht="15.75" customHeight="1">
      <c r="O1828" s="177"/>
    </row>
    <row r="1829" spans="15:15" ht="15.75" customHeight="1">
      <c r="O1829" s="177"/>
    </row>
    <row r="1830" spans="15:15" ht="15.75" customHeight="1">
      <c r="O1830" s="177"/>
    </row>
    <row r="1831" spans="15:15" ht="15.75" customHeight="1">
      <c r="O1831" s="177"/>
    </row>
    <row r="1832" spans="15:15" ht="15.75" customHeight="1">
      <c r="O1832" s="177"/>
    </row>
    <row r="1833" spans="15:15" ht="15.75" customHeight="1">
      <c r="O1833" s="177"/>
    </row>
    <row r="1834" spans="15:15" ht="15.75" customHeight="1">
      <c r="O1834" s="177"/>
    </row>
    <row r="1835" spans="15:15" ht="15.75" customHeight="1">
      <c r="O1835" s="177"/>
    </row>
    <row r="1836" spans="15:15" ht="15.75" customHeight="1">
      <c r="O1836" s="177"/>
    </row>
    <row r="1837" spans="15:15" ht="15.75" customHeight="1">
      <c r="O1837" s="177"/>
    </row>
    <row r="1838" spans="15:15" ht="15.75" customHeight="1">
      <c r="O1838" s="177"/>
    </row>
    <row r="1839" spans="15:15" ht="15.75" customHeight="1">
      <c r="O1839" s="177"/>
    </row>
    <row r="1840" spans="15:15" ht="15.75" customHeight="1">
      <c r="O1840" s="177"/>
    </row>
    <row r="1841" spans="15:15" ht="15.75" customHeight="1">
      <c r="O1841" s="177"/>
    </row>
    <row r="1842" spans="15:15" ht="15.75" customHeight="1">
      <c r="O1842" s="177"/>
    </row>
    <row r="1843" spans="15:15" ht="15.75" customHeight="1">
      <c r="O1843" s="177"/>
    </row>
    <row r="1844" spans="15:15" ht="15.75" customHeight="1">
      <c r="O1844" s="177"/>
    </row>
    <row r="1845" spans="15:15" ht="15.75" customHeight="1">
      <c r="O1845" s="177"/>
    </row>
    <row r="1846" spans="15:15" ht="15.75" customHeight="1">
      <c r="O1846" s="177"/>
    </row>
    <row r="1847" spans="15:15" ht="15.75" customHeight="1">
      <c r="O1847" s="177"/>
    </row>
    <row r="1848" spans="15:15" ht="15.75" customHeight="1">
      <c r="O1848" s="177"/>
    </row>
    <row r="1849" spans="15:15" ht="15.75" customHeight="1">
      <c r="O1849" s="177"/>
    </row>
    <row r="1850" spans="15:15" ht="15.75" customHeight="1">
      <c r="O1850" s="177"/>
    </row>
    <row r="1851" spans="15:15" ht="15.75" customHeight="1">
      <c r="O1851" s="177"/>
    </row>
    <row r="1852" spans="15:15" ht="15.75" customHeight="1">
      <c r="O1852" s="177"/>
    </row>
    <row r="1853" spans="15:15" ht="15.75" customHeight="1">
      <c r="O1853" s="177"/>
    </row>
    <row r="1854" spans="15:15" ht="15.75" customHeight="1">
      <c r="O1854" s="177"/>
    </row>
    <row r="1855" spans="15:15" ht="15.75" customHeight="1">
      <c r="O1855" s="177"/>
    </row>
    <row r="1856" spans="15:15" ht="15.75" customHeight="1">
      <c r="O1856" s="177"/>
    </row>
    <row r="1857" spans="15:15" ht="15.75" customHeight="1">
      <c r="O1857" s="177"/>
    </row>
    <row r="1858" spans="15:15" ht="15.75" customHeight="1">
      <c r="O1858" s="177"/>
    </row>
    <row r="1859" spans="15:15" ht="15.75" customHeight="1">
      <c r="O1859" s="177"/>
    </row>
    <row r="1860" spans="15:15" ht="15.75" customHeight="1">
      <c r="O1860" s="177"/>
    </row>
    <row r="1861" spans="15:15" ht="15.75" customHeight="1">
      <c r="O1861" s="177"/>
    </row>
    <row r="1862" spans="15:15" ht="15.75" customHeight="1">
      <c r="O1862" s="177"/>
    </row>
    <row r="1863" spans="15:15" ht="15.75" customHeight="1">
      <c r="O1863" s="177"/>
    </row>
    <row r="1864" spans="15:15" ht="15.75" customHeight="1">
      <c r="O1864" s="177"/>
    </row>
    <row r="1865" spans="15:15" ht="15.75" customHeight="1">
      <c r="O1865" s="177"/>
    </row>
    <row r="1866" spans="15:15" ht="15.75" customHeight="1">
      <c r="O1866" s="177"/>
    </row>
    <row r="1867" spans="15:15" ht="15.75" customHeight="1">
      <c r="O1867" s="177"/>
    </row>
    <row r="1868" spans="15:15" ht="15.75" customHeight="1">
      <c r="O1868" s="177"/>
    </row>
    <row r="1869" spans="15:15" ht="15.75" customHeight="1">
      <c r="O1869" s="177"/>
    </row>
    <row r="1870" spans="15:15" ht="15.75" customHeight="1">
      <c r="O1870" s="177"/>
    </row>
    <row r="1871" spans="15:15" ht="15.75" customHeight="1">
      <c r="O1871" s="177"/>
    </row>
    <row r="1872" spans="15:15" ht="15.75" customHeight="1">
      <c r="O1872" s="177"/>
    </row>
    <row r="1873" spans="15:15" ht="15.75" customHeight="1">
      <c r="O1873" s="177"/>
    </row>
    <row r="1874" spans="15:15" ht="15.75" customHeight="1">
      <c r="O1874" s="177"/>
    </row>
    <row r="1875" spans="15:15" ht="15.75" customHeight="1">
      <c r="O1875" s="177"/>
    </row>
    <row r="1876" spans="15:15" ht="15.75" customHeight="1">
      <c r="O1876" s="177"/>
    </row>
    <row r="1877" spans="15:15" ht="15.75" customHeight="1">
      <c r="O1877" s="177"/>
    </row>
    <row r="1878" spans="15:15" ht="15.75" customHeight="1">
      <c r="O1878" s="177"/>
    </row>
    <row r="1879" spans="15:15" ht="15.75" customHeight="1">
      <c r="O1879" s="177"/>
    </row>
    <row r="1880" spans="15:15" ht="15.75" customHeight="1">
      <c r="O1880" s="177"/>
    </row>
    <row r="1881" spans="15:15" ht="15.75" customHeight="1">
      <c r="O1881" s="177"/>
    </row>
    <row r="1882" spans="15:15" ht="15.75" customHeight="1">
      <c r="O1882" s="177"/>
    </row>
    <row r="1883" spans="15:15" ht="15.75" customHeight="1">
      <c r="O1883" s="177"/>
    </row>
    <row r="1884" spans="15:15" ht="15.75" customHeight="1">
      <c r="O1884" s="177"/>
    </row>
    <row r="1885" spans="15:15" ht="15.75" customHeight="1">
      <c r="O1885" s="177"/>
    </row>
    <row r="1886" spans="15:15" ht="15.75" customHeight="1">
      <c r="O1886" s="177"/>
    </row>
    <row r="1887" spans="15:15" ht="15.75" customHeight="1">
      <c r="O1887" s="177"/>
    </row>
    <row r="1888" spans="15:15" ht="15.75" customHeight="1">
      <c r="O1888" s="177"/>
    </row>
    <row r="1889" spans="15:15" ht="15.75" customHeight="1">
      <c r="O1889" s="177"/>
    </row>
    <row r="1890" spans="15:15" ht="15.75" customHeight="1">
      <c r="O1890" s="177"/>
    </row>
    <row r="1891" spans="15:15" ht="15.75" customHeight="1">
      <c r="O1891" s="177"/>
    </row>
    <row r="1892" spans="15:15" ht="15.75" customHeight="1">
      <c r="O1892" s="177"/>
    </row>
    <row r="1893" spans="15:15" ht="15.75" customHeight="1">
      <c r="O1893" s="177"/>
    </row>
    <row r="1894" spans="15:15" ht="15.75" customHeight="1">
      <c r="O1894" s="177"/>
    </row>
    <row r="1895" spans="15:15" ht="15.75" customHeight="1">
      <c r="O1895" s="177"/>
    </row>
    <row r="1896" spans="15:15" ht="15.75" customHeight="1">
      <c r="O1896" s="177"/>
    </row>
    <row r="1897" spans="15:15" ht="15.75" customHeight="1">
      <c r="O1897" s="177"/>
    </row>
    <row r="1898" spans="15:15" ht="15.75" customHeight="1">
      <c r="O1898" s="177"/>
    </row>
    <row r="1899" spans="15:15" ht="15.75" customHeight="1">
      <c r="O1899" s="177"/>
    </row>
    <row r="1900" spans="15:15" ht="15.75" customHeight="1">
      <c r="O1900" s="177"/>
    </row>
    <row r="1901" spans="15:15" ht="15.75" customHeight="1">
      <c r="O1901" s="177"/>
    </row>
    <row r="1902" spans="15:15" ht="15.75" customHeight="1">
      <c r="O1902" s="177"/>
    </row>
    <row r="1903" spans="15:15" ht="15.75" customHeight="1">
      <c r="O1903" s="177"/>
    </row>
    <row r="1904" spans="15:15" ht="15.75" customHeight="1">
      <c r="O1904" s="177"/>
    </row>
    <row r="1905" spans="15:15" ht="15.75" customHeight="1">
      <c r="O1905" s="177"/>
    </row>
    <row r="1906" spans="15:15" ht="15.75" customHeight="1">
      <c r="O1906" s="177"/>
    </row>
    <row r="1907" spans="15:15" ht="15.75" customHeight="1">
      <c r="O1907" s="177"/>
    </row>
    <row r="1908" spans="15:15" ht="15.75" customHeight="1">
      <c r="O1908" s="177"/>
    </row>
    <row r="1909" spans="15:15" ht="15.75" customHeight="1">
      <c r="O1909" s="177"/>
    </row>
    <row r="1910" spans="15:15" ht="15.75" customHeight="1">
      <c r="O1910" s="177"/>
    </row>
    <row r="1911" spans="15:15" ht="15.75" customHeight="1">
      <c r="O1911" s="177"/>
    </row>
    <row r="1912" spans="15:15" ht="15.75" customHeight="1">
      <c r="O1912" s="177"/>
    </row>
    <row r="1913" spans="15:15" ht="15.75" customHeight="1">
      <c r="O1913" s="177"/>
    </row>
    <row r="1914" spans="15:15" ht="15.75" customHeight="1">
      <c r="O1914" s="177"/>
    </row>
    <row r="1915" spans="15:15" ht="15.75" customHeight="1">
      <c r="O1915" s="177"/>
    </row>
    <row r="1916" spans="15:15" ht="15.75" customHeight="1">
      <c r="O1916" s="177"/>
    </row>
    <row r="1917" spans="15:15" ht="15.75" customHeight="1">
      <c r="O1917" s="177"/>
    </row>
    <row r="1918" spans="15:15" ht="15.75" customHeight="1">
      <c r="O1918" s="177"/>
    </row>
    <row r="1919" spans="15:15" ht="15.75" customHeight="1">
      <c r="O1919" s="177"/>
    </row>
    <row r="1920" spans="15:15" ht="15.75" customHeight="1">
      <c r="O1920" s="177"/>
    </row>
    <row r="1921" spans="15:15" ht="15.75" customHeight="1">
      <c r="O1921" s="177"/>
    </row>
    <row r="1922" spans="15:15" ht="15.75" customHeight="1">
      <c r="O1922" s="177"/>
    </row>
    <row r="1923" spans="15:15" ht="15.75" customHeight="1">
      <c r="O1923" s="177"/>
    </row>
    <row r="1924" spans="15:15" ht="15.75" customHeight="1">
      <c r="O1924" s="177"/>
    </row>
    <row r="1925" spans="15:15" ht="15.75" customHeight="1">
      <c r="O1925" s="177"/>
    </row>
    <row r="1926" spans="15:15" ht="15.75" customHeight="1">
      <c r="O1926" s="177"/>
    </row>
    <row r="1927" spans="15:15" ht="15.75" customHeight="1">
      <c r="O1927" s="177"/>
    </row>
    <row r="1928" spans="15:15" ht="15.75" customHeight="1">
      <c r="O1928" s="177"/>
    </row>
    <row r="1929" spans="15:15" ht="15.75" customHeight="1">
      <c r="O1929" s="177"/>
    </row>
    <row r="1930" spans="15:15" ht="15.75" customHeight="1">
      <c r="O1930" s="177"/>
    </row>
    <row r="1931" spans="15:15" ht="15.75" customHeight="1">
      <c r="O1931" s="177"/>
    </row>
    <row r="1932" spans="15:15" ht="15.75" customHeight="1">
      <c r="O1932" s="177"/>
    </row>
    <row r="1933" spans="15:15" ht="15.75" customHeight="1">
      <c r="O1933" s="177"/>
    </row>
    <row r="1934" spans="15:15" ht="15.75" customHeight="1">
      <c r="O1934" s="177"/>
    </row>
    <row r="1935" spans="15:15" ht="15.75" customHeight="1">
      <c r="O1935" s="177"/>
    </row>
    <row r="1936" spans="15:15" ht="15.75" customHeight="1">
      <c r="O1936" s="177"/>
    </row>
    <row r="1937" spans="15:15" ht="15.75" customHeight="1">
      <c r="O1937" s="177"/>
    </row>
    <row r="1938" spans="15:15" ht="15.75" customHeight="1">
      <c r="O1938" s="177"/>
    </row>
    <row r="1939" spans="15:15" ht="15.75" customHeight="1">
      <c r="O1939" s="177"/>
    </row>
    <row r="1940" spans="15:15" ht="15.75" customHeight="1">
      <c r="O1940" s="177"/>
    </row>
    <row r="1941" spans="15:15" ht="15.75" customHeight="1">
      <c r="O1941" s="177"/>
    </row>
    <row r="1942" spans="15:15" ht="15.75" customHeight="1">
      <c r="O1942" s="177"/>
    </row>
    <row r="1943" spans="15:15" ht="15.75" customHeight="1">
      <c r="O1943" s="177"/>
    </row>
    <row r="1944" spans="15:15" ht="15.75" customHeight="1">
      <c r="O1944" s="177"/>
    </row>
    <row r="1945" spans="15:15" ht="15.75" customHeight="1">
      <c r="O1945" s="177"/>
    </row>
    <row r="1946" spans="15:15" ht="15.75" customHeight="1">
      <c r="O1946" s="177"/>
    </row>
    <row r="1947" spans="15:15" ht="15.75" customHeight="1">
      <c r="O1947" s="177"/>
    </row>
    <row r="1948" spans="15:15" ht="15.75" customHeight="1">
      <c r="O1948" s="177"/>
    </row>
    <row r="1949" spans="15:15" ht="15.75" customHeight="1">
      <c r="O1949" s="177"/>
    </row>
    <row r="1950" spans="15:15" ht="15.75" customHeight="1">
      <c r="O1950" s="177"/>
    </row>
    <row r="1951" spans="15:15" ht="15.75" customHeight="1">
      <c r="O1951" s="177"/>
    </row>
    <row r="1952" spans="15:15" ht="15.75" customHeight="1">
      <c r="O1952" s="177"/>
    </row>
    <row r="1953" spans="15:15" ht="15.75" customHeight="1">
      <c r="O1953" s="177"/>
    </row>
    <row r="1954" spans="15:15" ht="15.75" customHeight="1">
      <c r="O1954" s="177"/>
    </row>
    <row r="1955" spans="15:15" ht="15.75" customHeight="1">
      <c r="O1955" s="177"/>
    </row>
    <row r="1956" spans="15:15" ht="15.75" customHeight="1">
      <c r="O1956" s="177"/>
    </row>
    <row r="1957" spans="15:15" ht="15.75" customHeight="1">
      <c r="O1957" s="177"/>
    </row>
    <row r="1958" spans="15:15" ht="15.75" customHeight="1">
      <c r="O1958" s="177"/>
    </row>
    <row r="1959" spans="15:15" ht="15.75" customHeight="1">
      <c r="O1959" s="177"/>
    </row>
    <row r="1960" spans="15:15" ht="15.75" customHeight="1">
      <c r="O1960" s="177"/>
    </row>
    <row r="1961" spans="15:15" ht="15.75" customHeight="1">
      <c r="O1961" s="177"/>
    </row>
    <row r="1962" spans="15:15" ht="15.75" customHeight="1">
      <c r="O1962" s="177"/>
    </row>
    <row r="1963" spans="15:15" ht="15.75" customHeight="1">
      <c r="O1963" s="177"/>
    </row>
    <row r="1964" spans="15:15" ht="15.75" customHeight="1">
      <c r="O1964" s="177"/>
    </row>
    <row r="1965" spans="15:15" ht="15.75" customHeight="1">
      <c r="O1965" s="177"/>
    </row>
    <row r="1966" spans="15:15" ht="15.75" customHeight="1">
      <c r="O1966" s="177"/>
    </row>
    <row r="1967" spans="15:15" ht="15.75" customHeight="1">
      <c r="O1967" s="177"/>
    </row>
    <row r="1968" spans="15:15" ht="15.75" customHeight="1">
      <c r="O1968" s="177"/>
    </row>
    <row r="1969" spans="15:15" ht="15.75" customHeight="1">
      <c r="O1969" s="177"/>
    </row>
    <row r="1970" spans="15:15" ht="15.75" customHeight="1">
      <c r="O1970" s="177"/>
    </row>
    <row r="1971" spans="15:15" ht="15.75" customHeight="1">
      <c r="O1971" s="177"/>
    </row>
    <row r="1972" spans="15:15" ht="15.75" customHeight="1">
      <c r="O1972" s="177"/>
    </row>
    <row r="1973" spans="15:15" ht="15.75" customHeight="1">
      <c r="O1973" s="177"/>
    </row>
    <row r="1974" spans="15:15" ht="15.75" customHeight="1">
      <c r="O1974" s="177"/>
    </row>
    <row r="1975" spans="15:15" ht="15.75" customHeight="1">
      <c r="O1975" s="177"/>
    </row>
    <row r="1976" spans="15:15" ht="15.75" customHeight="1">
      <c r="O1976" s="177"/>
    </row>
    <row r="1977" spans="15:15" ht="15.75" customHeight="1">
      <c r="O1977" s="177"/>
    </row>
    <row r="1978" spans="15:15" ht="15.75" customHeight="1">
      <c r="O1978" s="177"/>
    </row>
    <row r="1979" spans="15:15" ht="15.75" customHeight="1">
      <c r="O1979" s="177"/>
    </row>
    <row r="1980" spans="15:15" ht="15.75" customHeight="1">
      <c r="O1980" s="177"/>
    </row>
    <row r="1981" spans="15:15" ht="15.75" customHeight="1">
      <c r="O1981" s="177"/>
    </row>
    <row r="1982" spans="15:15" ht="15.75" customHeight="1">
      <c r="O1982" s="177"/>
    </row>
    <row r="1983" spans="15:15" ht="15.75" customHeight="1">
      <c r="O1983" s="177"/>
    </row>
    <row r="1984" spans="15:15" ht="15.75" customHeight="1">
      <c r="O1984" s="177"/>
    </row>
    <row r="1985" spans="15:15" ht="15.75" customHeight="1">
      <c r="O1985" s="177"/>
    </row>
    <row r="1986" spans="15:15" ht="15.75" customHeight="1">
      <c r="O1986" s="177"/>
    </row>
    <row r="1987" spans="15:15" ht="15.75" customHeight="1">
      <c r="O1987" s="177"/>
    </row>
    <row r="1988" spans="15:15" ht="15.75" customHeight="1">
      <c r="O1988" s="177"/>
    </row>
    <row r="1989" spans="15:15" ht="15.75" customHeight="1">
      <c r="O1989" s="177"/>
    </row>
    <row r="1990" spans="15:15" ht="15.75" customHeight="1">
      <c r="O1990" s="177"/>
    </row>
    <row r="1991" spans="15:15" ht="15.75" customHeight="1">
      <c r="O1991" s="177"/>
    </row>
    <row r="1992" spans="15:15" ht="15.75" customHeight="1">
      <c r="O1992" s="177"/>
    </row>
    <row r="1993" spans="15:15" ht="15.75" customHeight="1">
      <c r="O1993" s="177"/>
    </row>
    <row r="1994" spans="15:15" ht="15.75" customHeight="1">
      <c r="O1994" s="177"/>
    </row>
    <row r="1995" spans="15:15" ht="15.75" customHeight="1">
      <c r="O1995" s="177"/>
    </row>
    <row r="1996" spans="15:15" ht="15.75" customHeight="1">
      <c r="O1996" s="177"/>
    </row>
    <row r="1997" spans="15:15" ht="15.75" customHeight="1">
      <c r="O1997" s="177"/>
    </row>
    <row r="1998" spans="15:15" ht="15.75" customHeight="1">
      <c r="O1998" s="177"/>
    </row>
    <row r="1999" spans="15:15" ht="15.75" customHeight="1">
      <c r="O1999" s="177"/>
    </row>
    <row r="2000" spans="15:15" ht="15.75" customHeight="1">
      <c r="O2000" s="177"/>
    </row>
    <row r="2001" spans="15:15" ht="15.75" customHeight="1">
      <c r="O2001" s="177"/>
    </row>
    <row r="2002" spans="15:15" ht="15.75" customHeight="1">
      <c r="O2002" s="177"/>
    </row>
    <row r="2003" spans="15:15" ht="15.75" customHeight="1">
      <c r="O2003" s="177"/>
    </row>
    <row r="2004" spans="15:15" ht="15.75" customHeight="1">
      <c r="O2004" s="177"/>
    </row>
    <row r="2005" spans="15:15" ht="15.75" customHeight="1">
      <c r="O2005" s="177"/>
    </row>
    <row r="2006" spans="15:15" ht="15.75" customHeight="1">
      <c r="O2006" s="177"/>
    </row>
    <row r="2007" spans="15:15" ht="15.75" customHeight="1">
      <c r="O2007" s="177"/>
    </row>
    <row r="2008" spans="15:15" ht="15.75" customHeight="1">
      <c r="O2008" s="177"/>
    </row>
    <row r="2009" spans="15:15" ht="15.75" customHeight="1">
      <c r="O2009" s="177"/>
    </row>
    <row r="2010" spans="15:15" ht="15.75" customHeight="1">
      <c r="O2010" s="177"/>
    </row>
    <row r="2011" spans="15:15" ht="15.75" customHeight="1">
      <c r="O2011" s="177"/>
    </row>
    <row r="2012" spans="15:15" ht="15.75" customHeight="1">
      <c r="O2012" s="177"/>
    </row>
    <row r="2013" spans="15:15" ht="15.75" customHeight="1">
      <c r="O2013" s="177"/>
    </row>
    <row r="2014" spans="15:15" ht="15.75" customHeight="1">
      <c r="O2014" s="177"/>
    </row>
    <row r="2015" spans="15:15" ht="15.75" customHeight="1">
      <c r="O2015" s="177"/>
    </row>
    <row r="2016" spans="15:15" ht="15.75" customHeight="1">
      <c r="O2016" s="177"/>
    </row>
    <row r="2017" spans="15:15" ht="15.75" customHeight="1">
      <c r="O2017" s="177"/>
    </row>
    <row r="2018" spans="15:15" ht="15.75" customHeight="1">
      <c r="O2018" s="177"/>
    </row>
    <row r="2019" spans="15:15" ht="15.75" customHeight="1">
      <c r="O2019" s="177"/>
    </row>
    <row r="2020" spans="15:15" ht="15.75" customHeight="1">
      <c r="O2020" s="177"/>
    </row>
    <row r="2021" spans="15:15" ht="15.75" customHeight="1">
      <c r="O2021" s="177"/>
    </row>
    <row r="2022" spans="15:15" ht="15.75" customHeight="1">
      <c r="O2022" s="177"/>
    </row>
    <row r="2023" spans="15:15" ht="15.75" customHeight="1">
      <c r="O2023" s="177"/>
    </row>
    <row r="2024" spans="15:15" ht="15.75" customHeight="1">
      <c r="O2024" s="177"/>
    </row>
    <row r="2025" spans="15:15" ht="15.75" customHeight="1">
      <c r="O2025" s="177"/>
    </row>
    <row r="2026" spans="15:15" ht="15.75" customHeight="1">
      <c r="O2026" s="177"/>
    </row>
    <row r="2027" spans="15:15" ht="15.75" customHeight="1">
      <c r="O2027" s="177"/>
    </row>
    <row r="2028" spans="15:15" ht="15.75" customHeight="1">
      <c r="O2028" s="177"/>
    </row>
    <row r="2029" spans="15:15" ht="15.75" customHeight="1">
      <c r="O2029" s="177"/>
    </row>
    <row r="2030" spans="15:15" ht="15.75" customHeight="1">
      <c r="O2030" s="177"/>
    </row>
    <row r="2031" spans="15:15" ht="15.75" customHeight="1">
      <c r="O2031" s="177"/>
    </row>
    <row r="2032" spans="15:15" ht="15.75" customHeight="1">
      <c r="O2032" s="177"/>
    </row>
    <row r="2033" spans="15:15" ht="15.75" customHeight="1">
      <c r="O2033" s="177"/>
    </row>
    <row r="2034" spans="15:15" ht="15.75" customHeight="1">
      <c r="O2034" s="177"/>
    </row>
    <row r="2035" spans="15:15" ht="15.75" customHeight="1">
      <c r="O2035" s="177"/>
    </row>
    <row r="2036" spans="15:15" ht="15.75" customHeight="1">
      <c r="O2036" s="177"/>
    </row>
    <row r="2037" spans="15:15" ht="15.75" customHeight="1">
      <c r="O2037" s="177"/>
    </row>
    <row r="2038" spans="15:15" ht="15.75" customHeight="1">
      <c r="O2038" s="177"/>
    </row>
    <row r="2039" spans="15:15" ht="15.75" customHeight="1">
      <c r="O2039" s="177"/>
    </row>
    <row r="2040" spans="15:15" ht="15.75" customHeight="1">
      <c r="O2040" s="177"/>
    </row>
    <row r="2041" spans="15:15" ht="15.75" customHeight="1">
      <c r="O2041" s="177"/>
    </row>
    <row r="2042" spans="15:15" ht="15.75" customHeight="1">
      <c r="O2042" s="177"/>
    </row>
    <row r="2043" spans="15:15" ht="15.75" customHeight="1">
      <c r="O2043" s="177"/>
    </row>
    <row r="2044" spans="15:15" ht="15.75" customHeight="1">
      <c r="O2044" s="177"/>
    </row>
    <row r="2045" spans="15:15" ht="15.75" customHeight="1">
      <c r="O2045" s="177"/>
    </row>
    <row r="2046" spans="15:15" ht="15.75" customHeight="1">
      <c r="O2046" s="177"/>
    </row>
    <row r="2047" spans="15:15" ht="15.75" customHeight="1">
      <c r="O2047" s="177"/>
    </row>
    <row r="2048" spans="15:15" ht="15.75" customHeight="1">
      <c r="O2048" s="177"/>
    </row>
    <row r="2049" spans="15:15" ht="15.75" customHeight="1">
      <c r="O2049" s="177"/>
    </row>
    <row r="2050" spans="15:15" ht="15.75" customHeight="1">
      <c r="O2050" s="177"/>
    </row>
    <row r="2051" spans="15:15" ht="15.75" customHeight="1">
      <c r="O2051" s="177"/>
    </row>
    <row r="2052" spans="15:15" ht="15.75" customHeight="1">
      <c r="O2052" s="177"/>
    </row>
    <row r="2053" spans="15:15" ht="15.75" customHeight="1">
      <c r="O2053" s="177"/>
    </row>
    <row r="2054" spans="15:15" ht="15.75" customHeight="1">
      <c r="O2054" s="177"/>
    </row>
    <row r="2055" spans="15:15" ht="15.75" customHeight="1">
      <c r="O2055" s="177"/>
    </row>
    <row r="2056" spans="15:15" ht="15.75" customHeight="1">
      <c r="O2056" s="177"/>
    </row>
    <row r="2057" spans="15:15" ht="15.75" customHeight="1">
      <c r="O2057" s="177"/>
    </row>
    <row r="2058" spans="15:15" ht="15.75" customHeight="1">
      <c r="O2058" s="177"/>
    </row>
    <row r="2059" spans="15:15" ht="15.75" customHeight="1">
      <c r="O2059" s="177"/>
    </row>
    <row r="2060" spans="15:15" ht="15.75" customHeight="1">
      <c r="O2060" s="177"/>
    </row>
    <row r="2061" spans="15:15" ht="15.75" customHeight="1">
      <c r="O2061" s="177"/>
    </row>
    <row r="2062" spans="15:15" ht="15.75" customHeight="1">
      <c r="O2062" s="177"/>
    </row>
    <row r="2063" spans="15:15" ht="15.75" customHeight="1">
      <c r="O2063" s="177"/>
    </row>
    <row r="2064" spans="15:15" ht="15.75" customHeight="1">
      <c r="O2064" s="177"/>
    </row>
    <row r="2065" spans="15:15" ht="15.75" customHeight="1">
      <c r="O2065" s="177"/>
    </row>
    <row r="2066" spans="15:15" ht="15.75" customHeight="1">
      <c r="O2066" s="177"/>
    </row>
    <row r="2067" spans="15:15" ht="15.75" customHeight="1">
      <c r="O2067" s="177"/>
    </row>
    <row r="2068" spans="15:15" ht="15.75" customHeight="1">
      <c r="O2068" s="177"/>
    </row>
    <row r="2069" spans="15:15" ht="15.75" customHeight="1">
      <c r="O2069" s="177"/>
    </row>
    <row r="2070" spans="15:15" ht="15.75" customHeight="1">
      <c r="O2070" s="177"/>
    </row>
    <row r="2071" spans="15:15" ht="15.75" customHeight="1">
      <c r="O2071" s="177"/>
    </row>
    <row r="2072" spans="15:15" ht="15.75" customHeight="1">
      <c r="O2072" s="177"/>
    </row>
    <row r="2073" spans="15:15" ht="15.75" customHeight="1">
      <c r="O2073" s="177"/>
    </row>
    <row r="2074" spans="15:15" ht="15.75" customHeight="1">
      <c r="O2074" s="177"/>
    </row>
    <row r="2075" spans="15:15" ht="15.75" customHeight="1">
      <c r="O2075" s="177"/>
    </row>
    <row r="2076" spans="15:15" ht="15.75" customHeight="1">
      <c r="O2076" s="177"/>
    </row>
    <row r="2077" spans="15:15" ht="15.75" customHeight="1">
      <c r="O2077" s="177"/>
    </row>
    <row r="2078" spans="15:15" ht="15.75" customHeight="1">
      <c r="O2078" s="177"/>
    </row>
    <row r="2079" spans="15:15" ht="15.75" customHeight="1">
      <c r="O2079" s="177"/>
    </row>
    <row r="2080" spans="15:15" ht="15.75" customHeight="1">
      <c r="O2080" s="177"/>
    </row>
    <row r="2081" spans="15:15" ht="15.75" customHeight="1">
      <c r="O2081" s="177"/>
    </row>
    <row r="2082" spans="15:15" ht="15.75" customHeight="1">
      <c r="O2082" s="177"/>
    </row>
    <row r="2083" spans="15:15" ht="15.75" customHeight="1">
      <c r="O2083" s="177"/>
    </row>
    <row r="2084" spans="15:15" ht="15.75" customHeight="1">
      <c r="O2084" s="177"/>
    </row>
    <row r="2085" spans="15:15" ht="15.75" customHeight="1">
      <c r="O2085" s="177"/>
    </row>
    <row r="2086" spans="15:15" ht="15.75" customHeight="1">
      <c r="O2086" s="177"/>
    </row>
    <row r="2087" spans="15:15" ht="15.75" customHeight="1">
      <c r="O2087" s="177"/>
    </row>
    <row r="2088" spans="15:15" ht="15.75" customHeight="1">
      <c r="O2088" s="177"/>
    </row>
    <row r="2089" spans="15:15" ht="15.75" customHeight="1">
      <c r="O2089" s="177"/>
    </row>
    <row r="2090" spans="15:15" ht="15.75" customHeight="1">
      <c r="O2090" s="177"/>
    </row>
    <row r="2091" spans="15:15" ht="15.75" customHeight="1">
      <c r="O2091" s="177"/>
    </row>
    <row r="2092" spans="15:15" ht="15.75" customHeight="1">
      <c r="O2092" s="177"/>
    </row>
    <row r="2093" spans="15:15" ht="15.75" customHeight="1">
      <c r="O2093" s="177"/>
    </row>
    <row r="2094" spans="15:15" ht="15.75" customHeight="1">
      <c r="O2094" s="177"/>
    </row>
    <row r="2095" spans="15:15" ht="15.75" customHeight="1">
      <c r="O2095" s="177"/>
    </row>
    <row r="2096" spans="15:15" ht="15.75" customHeight="1">
      <c r="O2096" s="177"/>
    </row>
    <row r="2097" spans="15:15" ht="15.75" customHeight="1">
      <c r="O2097" s="177"/>
    </row>
    <row r="2098" spans="15:15" ht="15.75" customHeight="1">
      <c r="O2098" s="177"/>
    </row>
    <row r="2099" spans="15:15" ht="15.75" customHeight="1">
      <c r="O2099" s="177"/>
    </row>
    <row r="2100" spans="15:15" ht="15.75" customHeight="1">
      <c r="O2100" s="177"/>
    </row>
    <row r="2101" spans="15:15" ht="15.75" customHeight="1">
      <c r="O2101" s="177"/>
    </row>
    <row r="2102" spans="15:15" ht="15.75" customHeight="1">
      <c r="O2102" s="177"/>
    </row>
    <row r="2103" spans="15:15" ht="15.75" customHeight="1">
      <c r="O2103" s="177"/>
    </row>
    <row r="2104" spans="15:15" ht="15.75" customHeight="1">
      <c r="O2104" s="177"/>
    </row>
    <row r="2105" spans="15:15" ht="15.75" customHeight="1">
      <c r="O2105" s="177"/>
    </row>
    <row r="2106" spans="15:15" ht="15.75" customHeight="1">
      <c r="O2106" s="177"/>
    </row>
    <row r="2107" spans="15:15" ht="15.75" customHeight="1">
      <c r="O2107" s="177"/>
    </row>
    <row r="2108" spans="15:15" ht="15.75" customHeight="1">
      <c r="O2108" s="177"/>
    </row>
    <row r="2109" spans="15:15" ht="15.75" customHeight="1">
      <c r="O2109" s="177"/>
    </row>
    <row r="2110" spans="15:15" ht="15.75" customHeight="1">
      <c r="O2110" s="177"/>
    </row>
    <row r="2111" spans="15:15" ht="15.75" customHeight="1">
      <c r="O2111" s="177"/>
    </row>
    <row r="2112" spans="15:15" ht="15.75" customHeight="1">
      <c r="O2112" s="177"/>
    </row>
    <row r="2113" spans="15:15" ht="15.75" customHeight="1">
      <c r="O2113" s="177"/>
    </row>
    <row r="2114" spans="15:15" ht="15.75" customHeight="1">
      <c r="O2114" s="177"/>
    </row>
    <row r="2115" spans="15:15" ht="15.75" customHeight="1">
      <c r="O2115" s="177"/>
    </row>
    <row r="2116" spans="15:15" ht="15.75" customHeight="1">
      <c r="O2116" s="177"/>
    </row>
    <row r="2117" spans="15:15" ht="15.75" customHeight="1">
      <c r="O2117" s="177"/>
    </row>
    <row r="2118" spans="15:15" ht="15.75" customHeight="1">
      <c r="O2118" s="177"/>
    </row>
    <row r="2119" spans="15:15" ht="15.75" customHeight="1">
      <c r="O2119" s="177"/>
    </row>
    <row r="2120" spans="15:15" ht="15.75" customHeight="1">
      <c r="O2120" s="177"/>
    </row>
    <row r="2121" spans="15:15" ht="15.75" customHeight="1">
      <c r="O2121" s="177"/>
    </row>
    <row r="2122" spans="15:15" ht="15.75" customHeight="1">
      <c r="O2122" s="177"/>
    </row>
    <row r="2123" spans="15:15" ht="15.75" customHeight="1">
      <c r="O2123" s="177"/>
    </row>
    <row r="2124" spans="15:15" ht="15.75" customHeight="1">
      <c r="O2124" s="177"/>
    </row>
    <row r="2125" spans="15:15" ht="15.75" customHeight="1">
      <c r="O2125" s="177"/>
    </row>
    <row r="2126" spans="15:15" ht="15.75" customHeight="1">
      <c r="O2126" s="177"/>
    </row>
    <row r="2127" spans="15:15" ht="15.75" customHeight="1">
      <c r="O2127" s="177"/>
    </row>
    <row r="2128" spans="15:15" ht="15.75" customHeight="1">
      <c r="O2128" s="177"/>
    </row>
    <row r="2129" spans="15:15" ht="15.75" customHeight="1">
      <c r="O2129" s="177"/>
    </row>
    <row r="2130" spans="15:15" ht="15.75" customHeight="1">
      <c r="O2130" s="177"/>
    </row>
    <row r="2131" spans="15:15" ht="15.75" customHeight="1">
      <c r="O2131" s="177"/>
    </row>
    <row r="2132" spans="15:15" ht="15.75" customHeight="1">
      <c r="O2132" s="177"/>
    </row>
    <row r="2133" spans="15:15" ht="15.75" customHeight="1">
      <c r="O2133" s="177"/>
    </row>
    <row r="2134" spans="15:15" ht="15.75" customHeight="1">
      <c r="O2134" s="177"/>
    </row>
    <row r="2135" spans="15:15" ht="15.75" customHeight="1">
      <c r="O2135" s="177"/>
    </row>
    <row r="2136" spans="15:15" ht="15.75" customHeight="1">
      <c r="O2136" s="177"/>
    </row>
    <row r="2137" spans="15:15" ht="15.75" customHeight="1">
      <c r="O2137" s="177"/>
    </row>
    <row r="2138" spans="15:15" ht="15.75" customHeight="1">
      <c r="O2138" s="177"/>
    </row>
    <row r="2139" spans="15:15" ht="15.75" customHeight="1">
      <c r="O2139" s="177"/>
    </row>
    <row r="2140" spans="15:15" ht="15.75" customHeight="1">
      <c r="O2140" s="177"/>
    </row>
    <row r="2141" spans="15:15" ht="15.75" customHeight="1">
      <c r="O2141" s="177"/>
    </row>
    <row r="2142" spans="15:15" ht="15.75" customHeight="1">
      <c r="O2142" s="177"/>
    </row>
    <row r="2143" spans="15:15" ht="15.75" customHeight="1">
      <c r="O2143" s="177"/>
    </row>
    <row r="2144" spans="15:15" ht="15.75" customHeight="1">
      <c r="O2144" s="177"/>
    </row>
    <row r="2145" spans="15:15" ht="15.75" customHeight="1">
      <c r="O2145" s="177"/>
    </row>
    <row r="2146" spans="15:15" ht="15.75" customHeight="1">
      <c r="O2146" s="177"/>
    </row>
    <row r="2147" spans="15:15" ht="15.75" customHeight="1">
      <c r="O2147" s="177"/>
    </row>
    <row r="2148" spans="15:15" ht="15.75" customHeight="1">
      <c r="O2148" s="177"/>
    </row>
    <row r="2149" spans="15:15" ht="15.75" customHeight="1">
      <c r="O2149" s="177"/>
    </row>
    <row r="2150" spans="15:15" ht="15.75" customHeight="1">
      <c r="O2150" s="177"/>
    </row>
    <row r="2151" spans="15:15" ht="15.75" customHeight="1">
      <c r="O2151" s="177"/>
    </row>
    <row r="2152" spans="15:15" ht="15.75" customHeight="1">
      <c r="O2152" s="177"/>
    </row>
    <row r="2153" spans="15:15" ht="15.75" customHeight="1">
      <c r="O2153" s="177"/>
    </row>
    <row r="2154" spans="15:15" ht="15.75" customHeight="1">
      <c r="O2154" s="177"/>
    </row>
    <row r="2155" spans="15:15" ht="15.75" customHeight="1">
      <c r="O2155" s="177"/>
    </row>
    <row r="2156" spans="15:15" ht="15.75" customHeight="1">
      <c r="O2156" s="177"/>
    </row>
    <row r="2157" spans="15:15" ht="15.75" customHeight="1">
      <c r="O2157" s="177"/>
    </row>
    <row r="2158" spans="15:15" ht="15.75" customHeight="1">
      <c r="O2158" s="177"/>
    </row>
    <row r="2159" spans="15:15" ht="15.75" customHeight="1">
      <c r="O2159" s="177"/>
    </row>
    <row r="2160" spans="15:15" ht="15.75" customHeight="1">
      <c r="O2160" s="177"/>
    </row>
    <row r="2161" spans="15:15" ht="15.75" customHeight="1">
      <c r="O2161" s="177"/>
    </row>
    <row r="2162" spans="15:15" ht="15.75" customHeight="1">
      <c r="O2162" s="177"/>
    </row>
    <row r="2163" spans="15:15" ht="15.75" customHeight="1">
      <c r="O2163" s="177"/>
    </row>
    <row r="2164" spans="15:15" ht="15.75" customHeight="1">
      <c r="O2164" s="177"/>
    </row>
    <row r="2165" spans="15:15" ht="15.75" customHeight="1">
      <c r="O2165" s="177"/>
    </row>
    <row r="2166" spans="15:15" ht="15.75" customHeight="1">
      <c r="O2166" s="177"/>
    </row>
    <row r="2167" spans="15:15" ht="15.75" customHeight="1">
      <c r="O2167" s="177"/>
    </row>
    <row r="2168" spans="15:15" ht="15.75" customHeight="1">
      <c r="O2168" s="177"/>
    </row>
    <row r="2169" spans="15:15" ht="15.75" customHeight="1">
      <c r="O2169" s="177"/>
    </row>
    <row r="2170" spans="15:15" ht="15.75" customHeight="1">
      <c r="O2170" s="177"/>
    </row>
    <row r="2171" spans="15:15" ht="15.75" customHeight="1">
      <c r="O2171" s="177"/>
    </row>
    <row r="2172" spans="15:15" ht="15.75" customHeight="1">
      <c r="O2172" s="177"/>
    </row>
    <row r="2173" spans="15:15" ht="15.75" customHeight="1">
      <c r="O2173" s="177"/>
    </row>
    <row r="2174" spans="15:15" ht="15.75" customHeight="1">
      <c r="O2174" s="177"/>
    </row>
    <row r="2175" spans="15:15" ht="15.75" customHeight="1">
      <c r="O2175" s="177"/>
    </row>
    <row r="2176" spans="15:15" ht="15.75" customHeight="1">
      <c r="O2176" s="177"/>
    </row>
    <row r="2177" spans="15:15" ht="15.75" customHeight="1">
      <c r="O2177" s="177"/>
    </row>
    <row r="2178" spans="15:15" ht="15.75" customHeight="1">
      <c r="O2178" s="177"/>
    </row>
    <row r="2179" spans="15:15" ht="15.75" customHeight="1">
      <c r="O2179" s="177"/>
    </row>
    <row r="2180" spans="15:15" ht="15.75" customHeight="1">
      <c r="O2180" s="177"/>
    </row>
    <row r="2181" spans="15:15" ht="15.75" customHeight="1">
      <c r="O2181" s="177"/>
    </row>
    <row r="2182" spans="15:15" ht="15.75" customHeight="1">
      <c r="O2182" s="177"/>
    </row>
    <row r="2183" spans="15:15" ht="15.75" customHeight="1">
      <c r="O2183" s="177"/>
    </row>
    <row r="2184" spans="15:15" ht="15.75" customHeight="1">
      <c r="O2184" s="177"/>
    </row>
    <row r="2185" spans="15:15" ht="15.75" customHeight="1">
      <c r="O2185" s="177"/>
    </row>
    <row r="2186" spans="15:15" ht="15.75" customHeight="1">
      <c r="O2186" s="177"/>
    </row>
    <row r="2187" spans="15:15" ht="15.75" customHeight="1">
      <c r="O2187" s="177"/>
    </row>
    <row r="2188" spans="15:15" ht="15.75" customHeight="1">
      <c r="O2188" s="177"/>
    </row>
    <row r="2189" spans="15:15" ht="15.75" customHeight="1">
      <c r="O2189" s="177"/>
    </row>
    <row r="2190" spans="15:15" ht="15.75" customHeight="1">
      <c r="O2190" s="177"/>
    </row>
    <row r="2191" spans="15:15" ht="15.75" customHeight="1">
      <c r="O2191" s="177"/>
    </row>
    <row r="2192" spans="15:15" ht="15.75" customHeight="1">
      <c r="O2192" s="177"/>
    </row>
    <row r="2193" spans="15:15" ht="15.75" customHeight="1">
      <c r="O2193" s="177"/>
    </row>
    <row r="2194" spans="15:15" ht="15.75" customHeight="1">
      <c r="O2194" s="177"/>
    </row>
    <row r="2195" spans="15:15" ht="15.75" customHeight="1">
      <c r="O2195" s="177"/>
    </row>
    <row r="2196" spans="15:15" ht="15.75" customHeight="1">
      <c r="O2196" s="177"/>
    </row>
    <row r="2197" spans="15:15" ht="15.75" customHeight="1">
      <c r="O2197" s="177"/>
    </row>
    <row r="2198" spans="15:15" ht="15.75" customHeight="1">
      <c r="O2198" s="177"/>
    </row>
    <row r="2199" spans="15:15" ht="15.75" customHeight="1">
      <c r="O2199" s="177"/>
    </row>
    <row r="2200" spans="15:15" ht="15.75" customHeight="1">
      <c r="O2200" s="177"/>
    </row>
    <row r="2201" spans="15:15" ht="15.75" customHeight="1">
      <c r="O2201" s="177"/>
    </row>
    <row r="2202" spans="15:15" ht="15.75" customHeight="1">
      <c r="O2202" s="177"/>
    </row>
    <row r="2203" spans="15:15" ht="15.75" customHeight="1">
      <c r="O2203" s="177"/>
    </row>
    <row r="2204" spans="15:15" ht="15.75" customHeight="1">
      <c r="O2204" s="177"/>
    </row>
    <row r="2205" spans="15:15" ht="15.75" customHeight="1">
      <c r="O2205" s="177"/>
    </row>
    <row r="2206" spans="15:15" ht="15.75" customHeight="1">
      <c r="O2206" s="177"/>
    </row>
    <row r="2207" spans="15:15" ht="15.75" customHeight="1">
      <c r="O2207" s="177"/>
    </row>
    <row r="2208" spans="15:15" ht="15.75" customHeight="1">
      <c r="O2208" s="177"/>
    </row>
    <row r="2209" spans="15:15" ht="15.75" customHeight="1">
      <c r="O2209" s="177"/>
    </row>
    <row r="2210" spans="15:15" ht="15.75" customHeight="1">
      <c r="O2210" s="177"/>
    </row>
    <row r="2211" spans="15:15" ht="15.75" customHeight="1">
      <c r="O2211" s="177"/>
    </row>
    <row r="2212" spans="15:15" ht="15.75" customHeight="1">
      <c r="O2212" s="177"/>
    </row>
    <row r="2213" spans="15:15" ht="15.75" customHeight="1">
      <c r="O2213" s="177"/>
    </row>
    <row r="2214" spans="15:15" ht="15.75" customHeight="1">
      <c r="O2214" s="177"/>
    </row>
    <row r="2215" spans="15:15" ht="15.75" customHeight="1">
      <c r="O2215" s="177"/>
    </row>
    <row r="2216" spans="15:15" ht="15.75" customHeight="1">
      <c r="O2216" s="177"/>
    </row>
    <row r="2217" spans="15:15" ht="15.75" customHeight="1">
      <c r="O2217" s="177"/>
    </row>
    <row r="2218" spans="15:15" ht="15.75" customHeight="1">
      <c r="O2218" s="177"/>
    </row>
    <row r="2219" spans="15:15" ht="15.75" customHeight="1">
      <c r="O2219" s="177"/>
    </row>
    <row r="2220" spans="15:15" ht="15.75" customHeight="1">
      <c r="O2220" s="177"/>
    </row>
    <row r="2221" spans="15:15" ht="15.75" customHeight="1">
      <c r="O2221" s="177"/>
    </row>
    <row r="2222" spans="15:15" ht="15.75" customHeight="1">
      <c r="O2222" s="177"/>
    </row>
    <row r="2223" spans="15:15" ht="15.75" customHeight="1">
      <c r="O2223" s="177"/>
    </row>
    <row r="2224" spans="15:15" ht="15.75" customHeight="1">
      <c r="O2224" s="177"/>
    </row>
    <row r="2225" spans="15:15" ht="15.75" customHeight="1">
      <c r="O2225" s="177"/>
    </row>
    <row r="2226" spans="15:15" ht="15.75" customHeight="1">
      <c r="O2226" s="177"/>
    </row>
    <row r="2227" spans="15:15" ht="15.75" customHeight="1">
      <c r="O2227" s="177"/>
    </row>
    <row r="2228" spans="15:15" ht="15.75" customHeight="1">
      <c r="O2228" s="177"/>
    </row>
    <row r="2229" spans="15:15" ht="15.75" customHeight="1">
      <c r="O2229" s="177"/>
    </row>
    <row r="2230" spans="15:15" ht="15.75" customHeight="1">
      <c r="O2230" s="177"/>
    </row>
    <row r="2231" spans="15:15" ht="15.75" customHeight="1">
      <c r="O2231" s="177"/>
    </row>
    <row r="2232" spans="15:15" ht="15.75" customHeight="1">
      <c r="O2232" s="177"/>
    </row>
    <row r="2233" spans="15:15" ht="15.75" customHeight="1">
      <c r="O2233" s="177"/>
    </row>
    <row r="2234" spans="15:15" ht="15.75" customHeight="1">
      <c r="O2234" s="177"/>
    </row>
    <row r="2235" spans="15:15" ht="15.75" customHeight="1">
      <c r="O2235" s="177"/>
    </row>
    <row r="2236" spans="15:15" ht="15.75" customHeight="1">
      <c r="O2236" s="177"/>
    </row>
    <row r="2237" spans="15:15" ht="15.75" customHeight="1">
      <c r="O2237" s="177"/>
    </row>
    <row r="2238" spans="15:15" ht="15.75" customHeight="1">
      <c r="O2238" s="177"/>
    </row>
    <row r="2239" spans="15:15" ht="15.75" customHeight="1">
      <c r="O2239" s="177"/>
    </row>
    <row r="2240" spans="15:15" ht="15.75" customHeight="1">
      <c r="O2240" s="177"/>
    </row>
    <row r="2241" spans="15:15" ht="15.75" customHeight="1">
      <c r="O2241" s="177"/>
    </row>
    <row r="2242" spans="15:15" ht="15.75" customHeight="1">
      <c r="O2242" s="177"/>
    </row>
    <row r="2243" spans="15:15" ht="15.75" customHeight="1">
      <c r="O2243" s="177"/>
    </row>
    <row r="2244" spans="15:15" ht="15.75" customHeight="1">
      <c r="O2244" s="177"/>
    </row>
    <row r="2245" spans="15:15" ht="15.75" customHeight="1">
      <c r="O2245" s="177"/>
    </row>
    <row r="2246" spans="15:15" ht="15.75" customHeight="1">
      <c r="O2246" s="177"/>
    </row>
    <row r="2247" spans="15:15" ht="15.75" customHeight="1">
      <c r="O2247" s="177"/>
    </row>
    <row r="2248" spans="15:15" ht="15.75" customHeight="1">
      <c r="O2248" s="177"/>
    </row>
    <row r="2249" spans="15:15" ht="15.75" customHeight="1">
      <c r="O2249" s="177"/>
    </row>
    <row r="2250" spans="15:15" ht="15.75" customHeight="1">
      <c r="O2250" s="177"/>
    </row>
    <row r="2251" spans="15:15" ht="15.75" customHeight="1">
      <c r="O2251" s="177"/>
    </row>
    <row r="2252" spans="15:15" ht="15.75" customHeight="1">
      <c r="O2252" s="177"/>
    </row>
    <row r="2253" spans="15:15" ht="15.75" customHeight="1">
      <c r="O2253" s="177"/>
    </row>
    <row r="2254" spans="15:15" ht="15.75" customHeight="1">
      <c r="O2254" s="177"/>
    </row>
    <row r="2255" spans="15:15" ht="15.75" customHeight="1">
      <c r="O2255" s="177"/>
    </row>
    <row r="2256" spans="15:15" ht="15.75" customHeight="1">
      <c r="O2256" s="177"/>
    </row>
    <row r="2257" spans="15:15" ht="15.75" customHeight="1">
      <c r="O2257" s="177"/>
    </row>
    <row r="2258" spans="15:15" ht="15.75" customHeight="1">
      <c r="O2258" s="177"/>
    </row>
    <row r="2259" spans="15:15" ht="15.75" customHeight="1">
      <c r="O2259" s="177"/>
    </row>
    <row r="2260" spans="15:15" ht="15.75" customHeight="1">
      <c r="O2260" s="177"/>
    </row>
    <row r="2261" spans="15:15" ht="15.75" customHeight="1">
      <c r="O2261" s="177"/>
    </row>
    <row r="2262" spans="15:15" ht="15.75" customHeight="1">
      <c r="O2262" s="177"/>
    </row>
    <row r="2263" spans="15:15" ht="15.75" customHeight="1">
      <c r="O2263" s="177"/>
    </row>
    <row r="2264" spans="15:15" ht="15.75" customHeight="1">
      <c r="O2264" s="177"/>
    </row>
    <row r="2265" spans="15:15" ht="15.75" customHeight="1">
      <c r="O2265" s="177"/>
    </row>
    <row r="2266" spans="15:15" ht="15.75" customHeight="1">
      <c r="O2266" s="177"/>
    </row>
    <row r="2267" spans="15:15" ht="15.75" customHeight="1">
      <c r="O2267" s="177"/>
    </row>
    <row r="2268" spans="15:15" ht="15.75" customHeight="1">
      <c r="O2268" s="177"/>
    </row>
    <row r="2269" spans="15:15" ht="15.75" customHeight="1">
      <c r="O2269" s="177"/>
    </row>
    <row r="2270" spans="15:15" ht="15.75" customHeight="1">
      <c r="O2270" s="177"/>
    </row>
    <row r="2271" spans="15:15" ht="15.75" customHeight="1">
      <c r="O2271" s="177"/>
    </row>
    <row r="2272" spans="15:15" ht="15.75" customHeight="1">
      <c r="O2272" s="177"/>
    </row>
    <row r="2273" spans="15:15" ht="15.75" customHeight="1">
      <c r="O2273" s="177"/>
    </row>
    <row r="2274" spans="15:15" ht="15.75" customHeight="1">
      <c r="O2274" s="177"/>
    </row>
    <row r="2275" spans="15:15" ht="15.75" customHeight="1">
      <c r="O2275" s="177"/>
    </row>
    <row r="2276" spans="15:15" ht="15.75" customHeight="1">
      <c r="O2276" s="177"/>
    </row>
    <row r="2277" spans="15:15" ht="15.75" customHeight="1">
      <c r="O2277" s="177"/>
    </row>
    <row r="2278" spans="15:15" ht="15.75" customHeight="1">
      <c r="O2278" s="177"/>
    </row>
    <row r="2279" spans="15:15" ht="15.75" customHeight="1">
      <c r="O2279" s="177"/>
    </row>
    <row r="2280" spans="15:15" ht="15.75" customHeight="1">
      <c r="O2280" s="177"/>
    </row>
    <row r="2281" spans="15:15" ht="15.75" customHeight="1">
      <c r="O2281" s="177"/>
    </row>
    <row r="2282" spans="15:15" ht="15.75" customHeight="1">
      <c r="O2282" s="177"/>
    </row>
    <row r="2283" spans="15:15" ht="15.75" customHeight="1">
      <c r="O2283" s="177"/>
    </row>
    <row r="2284" spans="15:15" ht="15.75" customHeight="1">
      <c r="O2284" s="177"/>
    </row>
    <row r="2285" spans="15:15" ht="15.75" customHeight="1">
      <c r="O2285" s="177"/>
    </row>
    <row r="2286" spans="15:15" ht="15.75" customHeight="1">
      <c r="O2286" s="177"/>
    </row>
    <row r="2287" spans="15:15" ht="15.75" customHeight="1">
      <c r="O2287" s="177"/>
    </row>
    <row r="2288" spans="15:15" ht="15.75" customHeight="1">
      <c r="O2288" s="177"/>
    </row>
    <row r="2289" spans="15:15" ht="15.75" customHeight="1">
      <c r="O2289" s="177"/>
    </row>
    <row r="2290" spans="15:15" ht="15.75" customHeight="1">
      <c r="O2290" s="177"/>
    </row>
    <row r="2291" spans="15:15" ht="15.75" customHeight="1">
      <c r="O2291" s="177"/>
    </row>
    <row r="2292" spans="15:15" ht="15.75" customHeight="1">
      <c r="O2292" s="177"/>
    </row>
    <row r="2293" spans="15:15" ht="15.75" customHeight="1">
      <c r="O2293" s="177"/>
    </row>
    <row r="2294" spans="15:15" ht="15.75" customHeight="1">
      <c r="O2294" s="177"/>
    </row>
    <row r="2295" spans="15:15" ht="15.75" customHeight="1">
      <c r="O2295" s="177"/>
    </row>
    <row r="2296" spans="15:15" ht="15.75" customHeight="1">
      <c r="O2296" s="177"/>
    </row>
    <row r="2297" spans="15:15" ht="15.75" customHeight="1">
      <c r="O2297" s="177"/>
    </row>
    <row r="2298" spans="15:15" ht="15.75" customHeight="1">
      <c r="O2298" s="177"/>
    </row>
    <row r="2299" spans="15:15" ht="15.75" customHeight="1">
      <c r="O2299" s="177"/>
    </row>
    <row r="2300" spans="15:15" ht="15.75" customHeight="1">
      <c r="O2300" s="177"/>
    </row>
    <row r="2301" spans="15:15" ht="15.75" customHeight="1">
      <c r="O2301" s="177"/>
    </row>
    <row r="2302" spans="15:15" ht="15.75" customHeight="1">
      <c r="O2302" s="177"/>
    </row>
    <row r="2303" spans="15:15" ht="15.75" customHeight="1">
      <c r="O2303" s="177"/>
    </row>
    <row r="2304" spans="15:15" ht="15.75" customHeight="1">
      <c r="O2304" s="177"/>
    </row>
    <row r="2305" spans="15:15" ht="15.75" customHeight="1">
      <c r="O2305" s="177"/>
    </row>
    <row r="2306" spans="15:15" ht="15.75" customHeight="1">
      <c r="O2306" s="177"/>
    </row>
    <row r="2307" spans="15:15" ht="15.75" customHeight="1">
      <c r="O2307" s="177"/>
    </row>
    <row r="2308" spans="15:15" ht="15.75" customHeight="1">
      <c r="O2308" s="177"/>
    </row>
    <row r="2309" spans="15:15" ht="15.75" customHeight="1">
      <c r="O2309" s="177"/>
    </row>
    <row r="2310" spans="15:15" ht="15.75" customHeight="1">
      <c r="O2310" s="177"/>
    </row>
    <row r="2311" spans="15:15" ht="15.75" customHeight="1">
      <c r="O2311" s="177"/>
    </row>
    <row r="2312" spans="15:15" ht="15.75" customHeight="1">
      <c r="O2312" s="177"/>
    </row>
    <row r="2313" spans="15:15" ht="15.75" customHeight="1">
      <c r="O2313" s="177"/>
    </row>
    <row r="2314" spans="15:15" ht="15.75" customHeight="1">
      <c r="O2314" s="177"/>
    </row>
    <row r="2315" spans="15:15" ht="15.75" customHeight="1">
      <c r="O2315" s="177"/>
    </row>
    <row r="2316" spans="15:15" ht="15.75" customHeight="1">
      <c r="O2316" s="177"/>
    </row>
    <row r="2317" spans="15:15" ht="15.75" customHeight="1">
      <c r="O2317" s="177"/>
    </row>
    <row r="2318" spans="15:15" ht="15.75" customHeight="1">
      <c r="O2318" s="177"/>
    </row>
    <row r="2319" spans="15:15" ht="15.75" customHeight="1">
      <c r="O2319" s="177"/>
    </row>
    <row r="2320" spans="15:15" ht="15.75" customHeight="1">
      <c r="O2320" s="177"/>
    </row>
    <row r="2321" spans="15:15" ht="15.75" customHeight="1">
      <c r="O2321" s="177"/>
    </row>
    <row r="2322" spans="15:15" ht="15.75" customHeight="1">
      <c r="O2322" s="177"/>
    </row>
    <row r="2323" spans="15:15" ht="15.75" customHeight="1">
      <c r="O2323" s="177"/>
    </row>
    <row r="2324" spans="15:15" ht="15.75" customHeight="1">
      <c r="O2324" s="177"/>
    </row>
    <row r="2325" spans="15:15" ht="15.75" customHeight="1">
      <c r="O2325" s="177"/>
    </row>
    <row r="2326" spans="15:15" ht="15.75" customHeight="1">
      <c r="O2326" s="177"/>
    </row>
    <row r="2327" spans="15:15" ht="15.75" customHeight="1">
      <c r="O2327" s="177"/>
    </row>
    <row r="2328" spans="15:15" ht="15.75" customHeight="1">
      <c r="O2328" s="177"/>
    </row>
    <row r="2329" spans="15:15" ht="15.75" customHeight="1">
      <c r="O2329" s="177"/>
    </row>
    <row r="2330" spans="15:15" ht="15.75" customHeight="1">
      <c r="O2330" s="177"/>
    </row>
    <row r="2331" spans="15:15" ht="15.75" customHeight="1">
      <c r="O2331" s="177"/>
    </row>
    <row r="2332" spans="15:15" ht="15.75" customHeight="1">
      <c r="O2332" s="177"/>
    </row>
    <row r="2333" spans="15:15" ht="15.75" customHeight="1">
      <c r="O2333" s="177"/>
    </row>
    <row r="2334" spans="15:15" ht="15.75" customHeight="1">
      <c r="O2334" s="177"/>
    </row>
    <row r="2335" spans="15:15" ht="15.75" customHeight="1">
      <c r="O2335" s="177"/>
    </row>
    <row r="2336" spans="15:15" ht="15.75" customHeight="1">
      <c r="O2336" s="177"/>
    </row>
    <row r="2337" spans="15:15" ht="15.75" customHeight="1">
      <c r="O2337" s="177"/>
    </row>
    <row r="2338" spans="15:15" ht="15.75" customHeight="1">
      <c r="O2338" s="177"/>
    </row>
    <row r="2339" spans="15:15" ht="15.75" customHeight="1">
      <c r="O2339" s="177"/>
    </row>
    <row r="2340" spans="15:15" ht="15.75" customHeight="1">
      <c r="O2340" s="177"/>
    </row>
    <row r="2341" spans="15:15" ht="15.75" customHeight="1">
      <c r="O2341" s="177"/>
    </row>
    <row r="2342" spans="15:15" ht="15.75" customHeight="1">
      <c r="O2342" s="177"/>
    </row>
    <row r="2343" spans="15:15" ht="15.75" customHeight="1">
      <c r="O2343" s="177"/>
    </row>
    <row r="2344" spans="15:15" ht="15.75" customHeight="1">
      <c r="O2344" s="177"/>
    </row>
    <row r="2345" spans="15:15" ht="15.75" customHeight="1">
      <c r="O2345" s="177"/>
    </row>
    <row r="2346" spans="15:15" ht="15.75" customHeight="1">
      <c r="O2346" s="177"/>
    </row>
    <row r="2347" spans="15:15" ht="15.75" customHeight="1">
      <c r="O2347" s="177"/>
    </row>
    <row r="2348" spans="15:15" ht="15.75" customHeight="1">
      <c r="O2348" s="177"/>
    </row>
    <row r="2349" spans="15:15" ht="15.75" customHeight="1">
      <c r="O2349" s="177"/>
    </row>
    <row r="2350" spans="15:15" ht="15.75" customHeight="1">
      <c r="O2350" s="177"/>
    </row>
    <row r="2351" spans="15:15" ht="15.75" customHeight="1">
      <c r="O2351" s="177"/>
    </row>
    <row r="2352" spans="15:15" ht="15.75" customHeight="1">
      <c r="O2352" s="177"/>
    </row>
    <row r="2353" spans="15:15" ht="15.75" customHeight="1">
      <c r="O2353" s="177"/>
    </row>
    <row r="2354" spans="15:15" ht="15.75" customHeight="1">
      <c r="O2354" s="177"/>
    </row>
    <row r="2355" spans="15:15" ht="15.75" customHeight="1">
      <c r="O2355" s="177"/>
    </row>
    <row r="2356" spans="15:15" ht="15.75" customHeight="1">
      <c r="O2356" s="177"/>
    </row>
    <row r="2357" spans="15:15" ht="15.75" customHeight="1">
      <c r="O2357" s="177"/>
    </row>
    <row r="2358" spans="15:15" ht="15.75" customHeight="1">
      <c r="O2358" s="177"/>
    </row>
    <row r="2359" spans="15:15" ht="15.75" customHeight="1">
      <c r="O2359" s="177"/>
    </row>
    <row r="2360" spans="15:15" ht="15.75" customHeight="1">
      <c r="O2360" s="177"/>
    </row>
    <row r="2361" spans="15:15" ht="15.75" customHeight="1">
      <c r="O2361" s="177"/>
    </row>
    <row r="2362" spans="15:15" ht="15.75" customHeight="1">
      <c r="O2362" s="177"/>
    </row>
    <row r="2363" spans="15:15" ht="15.75" customHeight="1">
      <c r="O2363" s="177"/>
    </row>
    <row r="2364" spans="15:15" ht="15.75" customHeight="1">
      <c r="O2364" s="177"/>
    </row>
    <row r="2365" spans="15:15" ht="15.75" customHeight="1">
      <c r="O2365" s="177"/>
    </row>
    <row r="2366" spans="15:15" ht="15.75" customHeight="1">
      <c r="O2366" s="177"/>
    </row>
    <row r="2367" spans="15:15" ht="15.75" customHeight="1">
      <c r="O2367" s="177"/>
    </row>
    <row r="2368" spans="15:15" ht="15.75" customHeight="1">
      <c r="O2368" s="177"/>
    </row>
    <row r="2369" spans="15:15" ht="15.75" customHeight="1">
      <c r="O2369" s="177"/>
    </row>
    <row r="2370" spans="15:15" ht="15.75" customHeight="1">
      <c r="O2370" s="177"/>
    </row>
    <row r="2371" spans="15:15" ht="15.75" customHeight="1">
      <c r="O2371" s="177"/>
    </row>
    <row r="2372" spans="15:15" ht="15.75" customHeight="1">
      <c r="O2372" s="177"/>
    </row>
    <row r="2373" spans="15:15" ht="15.75" customHeight="1">
      <c r="O2373" s="177"/>
    </row>
    <row r="2374" spans="15:15" ht="15.75" customHeight="1">
      <c r="O2374" s="177"/>
    </row>
    <row r="2375" spans="15:15" ht="15.75" customHeight="1">
      <c r="O2375" s="177"/>
    </row>
    <row r="2376" spans="15:15" ht="15.75" customHeight="1">
      <c r="O2376" s="177"/>
    </row>
    <row r="2377" spans="15:15" ht="15.75" customHeight="1">
      <c r="O2377" s="177"/>
    </row>
    <row r="2378" spans="15:15" ht="15.75" customHeight="1">
      <c r="O2378" s="177"/>
    </row>
    <row r="2379" spans="15:15" ht="15.75" customHeight="1">
      <c r="O2379" s="177"/>
    </row>
    <row r="2380" spans="15:15" ht="15.75" customHeight="1">
      <c r="O2380" s="177"/>
    </row>
    <row r="2381" spans="15:15" ht="15.75" customHeight="1">
      <c r="O2381" s="177"/>
    </row>
    <row r="2382" spans="15:15" ht="15.75" customHeight="1">
      <c r="O2382" s="177"/>
    </row>
    <row r="2383" spans="15:15" ht="15.75" customHeight="1">
      <c r="O2383" s="177"/>
    </row>
    <row r="2384" spans="15:15" ht="15.75" customHeight="1">
      <c r="O2384" s="177"/>
    </row>
    <row r="2385" spans="15:15" ht="15.75" customHeight="1">
      <c r="O2385" s="177"/>
    </row>
    <row r="2386" spans="15:15" ht="15.75" customHeight="1">
      <c r="O2386" s="177"/>
    </row>
    <row r="2387" spans="15:15" ht="15.75" customHeight="1">
      <c r="O2387" s="177"/>
    </row>
    <row r="2388" spans="15:15" ht="15.75" customHeight="1">
      <c r="O2388" s="177"/>
    </row>
    <row r="2389" spans="15:15" ht="15.75" customHeight="1">
      <c r="O2389" s="177"/>
    </row>
    <row r="2390" spans="15:15" ht="15.75" customHeight="1">
      <c r="O2390" s="177"/>
    </row>
    <row r="2391" spans="15:15" ht="15.75" customHeight="1">
      <c r="O2391" s="177"/>
    </row>
    <row r="2392" spans="15:15" ht="15.75" customHeight="1">
      <c r="O2392" s="177"/>
    </row>
    <row r="2393" spans="15:15" ht="15.75" customHeight="1">
      <c r="O2393" s="177"/>
    </row>
    <row r="2394" spans="15:15" ht="15.75" customHeight="1">
      <c r="O2394" s="177"/>
    </row>
    <row r="2395" spans="15:15" ht="15.75" customHeight="1">
      <c r="O2395" s="177"/>
    </row>
    <row r="2396" spans="15:15" ht="15.75" customHeight="1">
      <c r="O2396" s="177"/>
    </row>
    <row r="2397" spans="15:15" ht="15.75" customHeight="1">
      <c r="O2397" s="177"/>
    </row>
    <row r="2398" spans="15:15" ht="15.75" customHeight="1">
      <c r="O2398" s="177"/>
    </row>
    <row r="2399" spans="15:15" ht="15.75" customHeight="1">
      <c r="O2399" s="177"/>
    </row>
    <row r="2400" spans="15:15" ht="15.75" customHeight="1">
      <c r="O2400" s="177"/>
    </row>
    <row r="2401" spans="15:15" ht="15.75" customHeight="1">
      <c r="O2401" s="177"/>
    </row>
    <row r="2402" spans="15:15" ht="15.75" customHeight="1">
      <c r="O2402" s="177"/>
    </row>
    <row r="2403" spans="15:15" ht="15.75" customHeight="1">
      <c r="O2403" s="177"/>
    </row>
    <row r="2404" spans="15:15" ht="15.75" customHeight="1">
      <c r="O2404" s="177"/>
    </row>
    <row r="2405" spans="15:15" ht="15.75" customHeight="1">
      <c r="O2405" s="177"/>
    </row>
    <row r="2406" spans="15:15" ht="15.75" customHeight="1">
      <c r="O2406" s="177"/>
    </row>
    <row r="2407" spans="15:15" ht="15.75" customHeight="1">
      <c r="O2407" s="177"/>
    </row>
    <row r="2408" spans="15:15" ht="15.75" customHeight="1">
      <c r="O2408" s="177"/>
    </row>
    <row r="2409" spans="15:15" ht="15.75" customHeight="1">
      <c r="O2409" s="177"/>
    </row>
    <row r="2410" spans="15:15" ht="15.75" customHeight="1">
      <c r="O2410" s="177"/>
    </row>
    <row r="2411" spans="15:15" ht="15.75" customHeight="1">
      <c r="O2411" s="177"/>
    </row>
    <row r="2412" spans="15:15" ht="15.75" customHeight="1">
      <c r="O2412" s="177"/>
    </row>
    <row r="2413" spans="15:15" ht="15.75" customHeight="1">
      <c r="O2413" s="177"/>
    </row>
    <row r="2414" spans="15:15" ht="15.75" customHeight="1">
      <c r="O2414" s="177"/>
    </row>
    <row r="2415" spans="15:15" ht="15.75" customHeight="1">
      <c r="O2415" s="177"/>
    </row>
    <row r="2416" spans="15:15" ht="15.75" customHeight="1">
      <c r="O2416" s="177"/>
    </row>
    <row r="2417" spans="15:15" ht="15.75" customHeight="1">
      <c r="O2417" s="177"/>
    </row>
    <row r="2418" spans="15:15" ht="15.75" customHeight="1">
      <c r="O2418" s="177"/>
    </row>
    <row r="2419" spans="15:15" ht="15.75" customHeight="1">
      <c r="O2419" s="177"/>
    </row>
    <row r="2420" spans="15:15" ht="15.75" customHeight="1">
      <c r="O2420" s="177"/>
    </row>
    <row r="2421" spans="15:15" ht="15.75" customHeight="1">
      <c r="O2421" s="177"/>
    </row>
    <row r="2422" spans="15:15" ht="15.75" customHeight="1">
      <c r="O2422" s="177"/>
    </row>
    <row r="2423" spans="15:15" ht="15.75" customHeight="1">
      <c r="O2423" s="177"/>
    </row>
    <row r="2424" spans="15:15" ht="15.75" customHeight="1">
      <c r="O2424" s="177"/>
    </row>
    <row r="2425" spans="15:15" ht="15.75" customHeight="1">
      <c r="O2425" s="177"/>
    </row>
    <row r="2426" spans="15:15" ht="15.75" customHeight="1">
      <c r="O2426" s="177"/>
    </row>
    <row r="2427" spans="15:15" ht="15.75" customHeight="1">
      <c r="O2427" s="177"/>
    </row>
    <row r="2428" spans="15:15" ht="15.75" customHeight="1">
      <c r="O2428" s="177"/>
    </row>
    <row r="2429" spans="15:15" ht="15.75" customHeight="1">
      <c r="O2429" s="177"/>
    </row>
    <row r="2430" spans="15:15" ht="15.75" customHeight="1">
      <c r="O2430" s="177"/>
    </row>
    <row r="2431" spans="15:15" ht="15.75" customHeight="1">
      <c r="O2431" s="177"/>
    </row>
    <row r="2432" spans="15:15" ht="15.75" customHeight="1">
      <c r="O2432" s="177"/>
    </row>
    <row r="2433" spans="15:15" ht="15.75" customHeight="1">
      <c r="O2433" s="177"/>
    </row>
    <row r="2434" spans="15:15" ht="15.75" customHeight="1">
      <c r="O2434" s="177"/>
    </row>
    <row r="2435" spans="15:15" ht="15.75" customHeight="1">
      <c r="O2435" s="177"/>
    </row>
    <row r="2436" spans="15:15" ht="15.75" customHeight="1">
      <c r="O2436" s="177"/>
    </row>
    <row r="2437" spans="15:15" ht="15.75" customHeight="1">
      <c r="O2437" s="177"/>
    </row>
    <row r="2438" spans="15:15" ht="15.75" customHeight="1">
      <c r="O2438" s="177"/>
    </row>
    <row r="2439" spans="15:15" ht="15.75" customHeight="1">
      <c r="O2439" s="177"/>
    </row>
    <row r="2440" spans="15:15" ht="15.75" customHeight="1">
      <c r="O2440" s="177"/>
    </row>
    <row r="2441" spans="15:15" ht="15.75" customHeight="1">
      <c r="O2441" s="177"/>
    </row>
    <row r="2442" spans="15:15" ht="15.75" customHeight="1">
      <c r="O2442" s="177"/>
    </row>
    <row r="2443" spans="15:15" ht="15.75" customHeight="1">
      <c r="O2443" s="177"/>
    </row>
    <row r="2444" spans="15:15" ht="15.75" customHeight="1">
      <c r="O2444" s="177"/>
    </row>
    <row r="2445" spans="15:15" ht="15.75" customHeight="1">
      <c r="O2445" s="177"/>
    </row>
    <row r="2446" spans="15:15" ht="15.75" customHeight="1">
      <c r="O2446" s="177"/>
    </row>
    <row r="2447" spans="15:15" ht="15.75" customHeight="1">
      <c r="O2447" s="177"/>
    </row>
    <row r="2448" spans="15:15" ht="15.75" customHeight="1">
      <c r="O2448" s="177"/>
    </row>
    <row r="2449" spans="15:15" ht="15.75" customHeight="1">
      <c r="O2449" s="177"/>
    </row>
    <row r="2450" spans="15:15" ht="15.75" customHeight="1">
      <c r="O2450" s="177"/>
    </row>
    <row r="2451" spans="15:15" ht="15.75" customHeight="1">
      <c r="O2451" s="177"/>
    </row>
    <row r="2452" spans="15:15" ht="15.75" customHeight="1">
      <c r="O2452" s="177"/>
    </row>
    <row r="2453" spans="15:15" ht="15.75" customHeight="1">
      <c r="O2453" s="177"/>
    </row>
    <row r="2454" spans="15:15" ht="15.75" customHeight="1">
      <c r="O2454" s="177"/>
    </row>
    <row r="2455" spans="15:15" ht="15.75" customHeight="1">
      <c r="O2455" s="177"/>
    </row>
    <row r="2456" spans="15:15" ht="15.75" customHeight="1">
      <c r="O2456" s="177"/>
    </row>
    <row r="2457" spans="15:15" ht="15.75" customHeight="1">
      <c r="O2457" s="177"/>
    </row>
    <row r="2458" spans="15:15" ht="15.75" customHeight="1">
      <c r="O2458" s="177"/>
    </row>
    <row r="2459" spans="15:15" ht="15.75" customHeight="1">
      <c r="O2459" s="177"/>
    </row>
    <row r="2460" spans="15:15" ht="15.75" customHeight="1">
      <c r="O2460" s="177"/>
    </row>
    <row r="2461" spans="15:15" ht="15.75" customHeight="1">
      <c r="O2461" s="177"/>
    </row>
    <row r="2462" spans="15:15" ht="15.75" customHeight="1">
      <c r="O2462" s="177"/>
    </row>
    <row r="2463" spans="15:15" ht="15.75" customHeight="1">
      <c r="O2463" s="177"/>
    </row>
    <row r="2464" spans="15:15" ht="15.75" customHeight="1">
      <c r="O2464" s="177"/>
    </row>
    <row r="2465" spans="15:15" ht="15.75" customHeight="1">
      <c r="O2465" s="177"/>
    </row>
    <row r="2466" spans="15:15" ht="15.75" customHeight="1">
      <c r="O2466" s="177"/>
    </row>
    <row r="2467" spans="15:15" ht="15.75" customHeight="1">
      <c r="O2467" s="177"/>
    </row>
    <row r="2468" spans="15:15" ht="15.75" customHeight="1">
      <c r="O2468" s="177"/>
    </row>
    <row r="2469" spans="15:15" ht="15.75" customHeight="1">
      <c r="O2469" s="177"/>
    </row>
    <row r="2470" spans="15:15" ht="15.75" customHeight="1">
      <c r="O2470" s="177"/>
    </row>
    <row r="2471" spans="15:15" ht="15.75" customHeight="1">
      <c r="O2471" s="177"/>
    </row>
    <row r="2472" spans="15:15" ht="15.75" customHeight="1">
      <c r="O2472" s="177"/>
    </row>
    <row r="2473" spans="15:15" ht="15.75" customHeight="1">
      <c r="O2473" s="177"/>
    </row>
    <row r="2474" spans="15:15" ht="15.75" customHeight="1">
      <c r="O2474" s="177"/>
    </row>
    <row r="2475" spans="15:15" ht="15.75" customHeight="1">
      <c r="O2475" s="177"/>
    </row>
    <row r="2476" spans="15:15" ht="15.75" customHeight="1">
      <c r="O2476" s="177"/>
    </row>
    <row r="2477" spans="15:15" ht="15.75" customHeight="1">
      <c r="O2477" s="177"/>
    </row>
    <row r="2478" spans="15:15" ht="15.75" customHeight="1">
      <c r="O2478" s="177"/>
    </row>
    <row r="2479" spans="15:15" ht="15.75" customHeight="1">
      <c r="O2479" s="177"/>
    </row>
    <row r="2480" spans="15:15" ht="15.75" customHeight="1">
      <c r="O2480" s="177"/>
    </row>
    <row r="2481" spans="15:15" ht="15.75" customHeight="1">
      <c r="O2481" s="177"/>
    </row>
    <row r="2482" spans="15:15" ht="15.75" customHeight="1">
      <c r="O2482" s="177"/>
    </row>
    <row r="2483" spans="15:15" ht="15.75" customHeight="1">
      <c r="O2483" s="177"/>
    </row>
    <row r="2484" spans="15:15" ht="15.75" customHeight="1">
      <c r="O2484" s="177"/>
    </row>
    <row r="2485" spans="15:15" ht="15.75" customHeight="1">
      <c r="O2485" s="177"/>
    </row>
    <row r="2486" spans="15:15" ht="15.75" customHeight="1">
      <c r="O2486" s="177"/>
    </row>
    <row r="2487" spans="15:15" ht="15.75" customHeight="1">
      <c r="O2487" s="177"/>
    </row>
    <row r="2488" spans="15:15" ht="15.75" customHeight="1">
      <c r="O2488" s="177"/>
    </row>
    <row r="2489" spans="15:15" ht="15.75" customHeight="1">
      <c r="O2489" s="177"/>
    </row>
    <row r="2490" spans="15:15" ht="15.75" customHeight="1">
      <c r="O2490" s="177"/>
    </row>
    <row r="2491" spans="15:15" ht="15.75" customHeight="1">
      <c r="O2491" s="177"/>
    </row>
    <row r="2492" spans="15:15" ht="15.75" customHeight="1">
      <c r="O2492" s="177"/>
    </row>
    <row r="2493" spans="15:15" ht="15.75" customHeight="1">
      <c r="O2493" s="177"/>
    </row>
    <row r="2494" spans="15:15" ht="15.75" customHeight="1">
      <c r="O2494" s="177"/>
    </row>
    <row r="2495" spans="15:15" ht="15.75" customHeight="1">
      <c r="O2495" s="177"/>
    </row>
    <row r="2496" spans="15:15" ht="15.75" customHeight="1">
      <c r="O2496" s="177"/>
    </row>
    <row r="2497" spans="15:15" ht="15.75" customHeight="1">
      <c r="O2497" s="177"/>
    </row>
    <row r="2498" spans="15:15" ht="15.75" customHeight="1">
      <c r="O2498" s="177"/>
    </row>
    <row r="2499" spans="15:15" ht="15.75" customHeight="1">
      <c r="O2499" s="177"/>
    </row>
    <row r="2500" spans="15:15" ht="15.75" customHeight="1">
      <c r="O2500" s="177"/>
    </row>
    <row r="2501" spans="15:15" ht="15.75" customHeight="1">
      <c r="O2501" s="177"/>
    </row>
    <row r="2502" spans="15:15" ht="15.75" customHeight="1">
      <c r="O2502" s="177"/>
    </row>
    <row r="2503" spans="15:15" ht="15.75" customHeight="1">
      <c r="O2503" s="177"/>
    </row>
    <row r="2504" spans="15:15" ht="15.75" customHeight="1">
      <c r="O2504" s="177"/>
    </row>
    <row r="2505" spans="15:15" ht="15.75" customHeight="1">
      <c r="O2505" s="177"/>
    </row>
    <row r="2506" spans="15:15" ht="15.75" customHeight="1">
      <c r="O2506" s="177"/>
    </row>
    <row r="2507" spans="15:15" ht="15.75" customHeight="1">
      <c r="O2507" s="177"/>
    </row>
    <row r="2508" spans="15:15" ht="15.75" customHeight="1">
      <c r="O2508" s="177"/>
    </row>
    <row r="2509" spans="15:15" ht="15.75" customHeight="1">
      <c r="O2509" s="177"/>
    </row>
    <row r="2510" spans="15:15" ht="15.75" customHeight="1">
      <c r="O2510" s="177"/>
    </row>
    <row r="2511" spans="15:15" ht="15.75" customHeight="1">
      <c r="O2511" s="177"/>
    </row>
    <row r="2512" spans="15:15" ht="15.75" customHeight="1">
      <c r="O2512" s="177"/>
    </row>
    <row r="2513" spans="15:15" ht="15.75" customHeight="1">
      <c r="O2513" s="177"/>
    </row>
    <row r="2514" spans="15:15" ht="15.75" customHeight="1">
      <c r="O2514" s="177"/>
    </row>
    <row r="2515" spans="15:15" ht="15.75" customHeight="1">
      <c r="O2515" s="177"/>
    </row>
    <row r="2516" spans="15:15" ht="15.75" customHeight="1">
      <c r="O2516" s="177"/>
    </row>
    <row r="2517" spans="15:15" ht="15.75" customHeight="1">
      <c r="O2517" s="177"/>
    </row>
    <row r="2518" spans="15:15" ht="15.75" customHeight="1">
      <c r="O2518" s="177"/>
    </row>
    <row r="2519" spans="15:15" ht="15.75" customHeight="1">
      <c r="O2519" s="177"/>
    </row>
    <row r="2520" spans="15:15" ht="15.75" customHeight="1">
      <c r="O2520" s="177"/>
    </row>
    <row r="2521" spans="15:15" ht="15.75" customHeight="1">
      <c r="O2521" s="177"/>
    </row>
    <row r="2522" spans="15:15" ht="15.75" customHeight="1">
      <c r="O2522" s="177"/>
    </row>
    <row r="2523" spans="15:15" ht="15.75" customHeight="1">
      <c r="O2523" s="177"/>
    </row>
    <row r="2524" spans="15:15" ht="15.75" customHeight="1">
      <c r="O2524" s="177"/>
    </row>
    <row r="2525" spans="15:15" ht="15.75" customHeight="1">
      <c r="O2525" s="177"/>
    </row>
    <row r="2526" spans="15:15" ht="15.75" customHeight="1">
      <c r="O2526" s="177"/>
    </row>
    <row r="2527" spans="15:15" ht="15.75" customHeight="1">
      <c r="O2527" s="177"/>
    </row>
    <row r="2528" spans="15:15" ht="15.75" customHeight="1">
      <c r="O2528" s="177"/>
    </row>
    <row r="2529" spans="15:15" ht="15.75" customHeight="1">
      <c r="O2529" s="177"/>
    </row>
    <row r="2530" spans="15:15" ht="15.75" customHeight="1">
      <c r="O2530" s="177"/>
    </row>
    <row r="2531" spans="15:15" ht="15.75" customHeight="1">
      <c r="O2531" s="177"/>
    </row>
    <row r="2532" spans="15:15" ht="15.75" customHeight="1">
      <c r="O2532" s="177"/>
    </row>
    <row r="2533" spans="15:15" ht="15.75" customHeight="1">
      <c r="O2533" s="177"/>
    </row>
    <row r="2534" spans="15:15" ht="15.75" customHeight="1">
      <c r="O2534" s="177"/>
    </row>
    <row r="2535" spans="15:15" ht="15.75" customHeight="1">
      <c r="O2535" s="177"/>
    </row>
    <row r="2536" spans="15:15" ht="15.75" customHeight="1">
      <c r="O2536" s="177"/>
    </row>
    <row r="2537" spans="15:15" ht="15.75" customHeight="1">
      <c r="O2537" s="177"/>
    </row>
    <row r="2538" spans="15:15" ht="15.75" customHeight="1">
      <c r="O2538" s="177"/>
    </row>
    <row r="2539" spans="15:15" ht="15.75" customHeight="1">
      <c r="O2539" s="177"/>
    </row>
    <row r="2540" spans="15:15" ht="15.75" customHeight="1">
      <c r="O2540" s="177"/>
    </row>
    <row r="2541" spans="15:15" ht="15.75" customHeight="1">
      <c r="O2541" s="177"/>
    </row>
    <row r="2542" spans="15:15" ht="15.75" customHeight="1">
      <c r="O2542" s="177"/>
    </row>
    <row r="2543" spans="15:15" ht="15.75" customHeight="1">
      <c r="O2543" s="177"/>
    </row>
    <row r="2544" spans="15:15" ht="15.75" customHeight="1">
      <c r="O2544" s="177"/>
    </row>
    <row r="2545" spans="15:15" ht="15.75" customHeight="1">
      <c r="O2545" s="177"/>
    </row>
    <row r="2546" spans="15:15" ht="15.75" customHeight="1">
      <c r="O2546" s="177"/>
    </row>
    <row r="2547" spans="15:15" ht="15.75" customHeight="1">
      <c r="O2547" s="177"/>
    </row>
    <row r="2548" spans="15:15" ht="15.75" customHeight="1">
      <c r="O2548" s="177"/>
    </row>
    <row r="2549" spans="15:15" ht="15.75" customHeight="1">
      <c r="O2549" s="177"/>
    </row>
    <row r="2550" spans="15:15" ht="15.75" customHeight="1">
      <c r="O2550" s="177"/>
    </row>
    <row r="2551" spans="15:15" ht="15.75" customHeight="1">
      <c r="O2551" s="177"/>
    </row>
    <row r="2552" spans="15:15" ht="15.75" customHeight="1">
      <c r="O2552" s="177"/>
    </row>
    <row r="2553" spans="15:15" ht="15.75" customHeight="1">
      <c r="O2553" s="177"/>
    </row>
    <row r="2554" spans="15:15" ht="15.75" customHeight="1">
      <c r="O2554" s="177"/>
    </row>
    <row r="2555" spans="15:15" ht="15.75" customHeight="1">
      <c r="O2555" s="177"/>
    </row>
    <row r="2556" spans="15:15" ht="15.75" customHeight="1">
      <c r="O2556" s="177"/>
    </row>
    <row r="2557" spans="15:15" ht="15.75" customHeight="1">
      <c r="O2557" s="177"/>
    </row>
    <row r="2558" spans="15:15" ht="15.75" customHeight="1">
      <c r="O2558" s="177"/>
    </row>
    <row r="2559" spans="15:15" ht="15.75" customHeight="1">
      <c r="O2559" s="177"/>
    </row>
    <row r="2560" spans="15:15" ht="15.75" customHeight="1">
      <c r="O2560" s="177"/>
    </row>
    <row r="2561" spans="15:15" ht="15.75" customHeight="1">
      <c r="O2561" s="177"/>
    </row>
    <row r="2562" spans="15:15" ht="15.75" customHeight="1">
      <c r="O2562" s="177"/>
    </row>
    <row r="2563" spans="15:15" ht="15.75" customHeight="1">
      <c r="O2563" s="177"/>
    </row>
    <row r="2564" spans="15:15" ht="15.75" customHeight="1">
      <c r="O2564" s="177"/>
    </row>
    <row r="2565" spans="15:15" ht="15.75" customHeight="1">
      <c r="O2565" s="177"/>
    </row>
    <row r="2566" spans="15:15" ht="15.75" customHeight="1">
      <c r="O2566" s="177"/>
    </row>
    <row r="2567" spans="15:15" ht="15.75" customHeight="1">
      <c r="O2567" s="177"/>
    </row>
    <row r="2568" spans="15:15" ht="15.75" customHeight="1">
      <c r="O2568" s="177"/>
    </row>
    <row r="2569" spans="15:15" ht="15.75" customHeight="1">
      <c r="O2569" s="177"/>
    </row>
    <row r="2570" spans="15:15" ht="15.75" customHeight="1">
      <c r="O2570" s="177"/>
    </row>
    <row r="2571" spans="15:15" ht="15.75" customHeight="1">
      <c r="O2571" s="177"/>
    </row>
    <row r="2572" spans="15:15" ht="15.75" customHeight="1">
      <c r="O2572" s="177"/>
    </row>
    <row r="2573" spans="15:15" ht="15.75" customHeight="1">
      <c r="O2573" s="177"/>
    </row>
    <row r="2574" spans="15:15" ht="15.75" customHeight="1">
      <c r="O2574" s="177"/>
    </row>
    <row r="2575" spans="15:15" ht="15.75" customHeight="1">
      <c r="O2575" s="177"/>
    </row>
    <row r="2576" spans="15:15" ht="15.75" customHeight="1">
      <c r="O2576" s="177"/>
    </row>
    <row r="2577" spans="15:15" ht="15.75" customHeight="1">
      <c r="O2577" s="177"/>
    </row>
    <row r="2578" spans="15:15" ht="15.75" customHeight="1">
      <c r="O2578" s="177"/>
    </row>
    <row r="2579" spans="15:15" ht="15.75" customHeight="1">
      <c r="O2579" s="177"/>
    </row>
    <row r="2580" spans="15:15" ht="15.75" customHeight="1">
      <c r="O2580" s="177"/>
    </row>
    <row r="2581" spans="15:15" ht="15.75" customHeight="1">
      <c r="O2581" s="177"/>
    </row>
    <row r="2582" spans="15:15" ht="15.75" customHeight="1">
      <c r="O2582" s="177"/>
    </row>
    <row r="2583" spans="15:15" ht="15.75" customHeight="1">
      <c r="O2583" s="177"/>
    </row>
    <row r="2584" spans="15:15" ht="15.75" customHeight="1">
      <c r="O2584" s="177"/>
    </row>
    <row r="2585" spans="15:15" ht="15.75" customHeight="1">
      <c r="O2585" s="177"/>
    </row>
    <row r="2586" spans="15:15" ht="15.75" customHeight="1">
      <c r="O2586" s="177"/>
    </row>
    <row r="2587" spans="15:15" ht="15.75" customHeight="1">
      <c r="O2587" s="177"/>
    </row>
    <row r="2588" spans="15:15" ht="15.75" customHeight="1">
      <c r="O2588" s="177"/>
    </row>
    <row r="2589" spans="15:15" ht="15.75" customHeight="1">
      <c r="O2589" s="177"/>
    </row>
    <row r="2590" spans="15:15" ht="15.75" customHeight="1">
      <c r="O2590" s="177"/>
    </row>
    <row r="2591" spans="15:15" ht="15.75" customHeight="1">
      <c r="O2591" s="177"/>
    </row>
    <row r="2592" spans="15:15" ht="15.75" customHeight="1">
      <c r="O2592" s="177"/>
    </row>
    <row r="2593" spans="15:15" ht="15.75" customHeight="1">
      <c r="O2593" s="177"/>
    </row>
    <row r="2594" spans="15:15" ht="15.75" customHeight="1">
      <c r="O2594" s="177"/>
    </row>
    <row r="2595" spans="15:15" ht="15.75" customHeight="1">
      <c r="O2595" s="177"/>
    </row>
    <row r="2596" spans="15:15" ht="15.75" customHeight="1">
      <c r="O2596" s="177"/>
    </row>
    <row r="2597" spans="15:15" ht="15.75" customHeight="1">
      <c r="O2597" s="177"/>
    </row>
    <row r="2598" spans="15:15" ht="15.75" customHeight="1">
      <c r="O2598" s="177"/>
    </row>
    <row r="2599" spans="15:15" ht="15.75" customHeight="1">
      <c r="O2599" s="177"/>
    </row>
    <row r="2600" spans="15:15" ht="15.75" customHeight="1">
      <c r="O2600" s="177"/>
    </row>
    <row r="2601" spans="15:15" ht="15.75" customHeight="1">
      <c r="O2601" s="177"/>
    </row>
    <row r="2602" spans="15:15" ht="15.75" customHeight="1">
      <c r="O2602" s="177"/>
    </row>
    <row r="2603" spans="15:15" ht="15.75" customHeight="1">
      <c r="O2603" s="177"/>
    </row>
    <row r="2604" spans="15:15" ht="15.75" customHeight="1">
      <c r="O2604" s="177"/>
    </row>
    <row r="2605" spans="15:15" ht="15.75" customHeight="1">
      <c r="O2605" s="177"/>
    </row>
    <row r="2606" spans="15:15" ht="15.75" customHeight="1">
      <c r="O2606" s="177"/>
    </row>
    <row r="2607" spans="15:15" ht="15.75" customHeight="1">
      <c r="O2607" s="177"/>
    </row>
    <row r="2608" spans="15:15" ht="15.75" customHeight="1">
      <c r="O2608" s="177"/>
    </row>
    <row r="2609" spans="15:15" ht="15.75" customHeight="1">
      <c r="O2609" s="177"/>
    </row>
    <row r="2610" spans="15:15" ht="15.75" customHeight="1">
      <c r="O2610" s="177"/>
    </row>
    <row r="2611" spans="15:15" ht="15.75" customHeight="1">
      <c r="O2611" s="177"/>
    </row>
    <row r="2612" spans="15:15" ht="15.75" customHeight="1">
      <c r="O2612" s="177"/>
    </row>
    <row r="2613" spans="15:15" ht="15.75" customHeight="1">
      <c r="O2613" s="177"/>
    </row>
    <row r="2614" spans="15:15" ht="15.75" customHeight="1">
      <c r="O2614" s="177"/>
    </row>
    <row r="2615" spans="15:15" ht="15.75" customHeight="1">
      <c r="O2615" s="177"/>
    </row>
    <row r="2616" spans="15:15" ht="15.75" customHeight="1">
      <c r="O2616" s="177"/>
    </row>
    <row r="2617" spans="15:15" ht="15.75" customHeight="1">
      <c r="O2617" s="177"/>
    </row>
    <row r="2618" spans="15:15" ht="15.75" customHeight="1">
      <c r="O2618" s="177"/>
    </row>
    <row r="2619" spans="15:15" ht="15.75" customHeight="1">
      <c r="O2619" s="177"/>
    </row>
    <row r="2620" spans="15:15" ht="15.75" customHeight="1">
      <c r="O2620" s="177"/>
    </row>
    <row r="2621" spans="15:15" ht="15.75" customHeight="1">
      <c r="O2621" s="177"/>
    </row>
    <row r="2622" spans="15:15" ht="15.75" customHeight="1">
      <c r="O2622" s="177"/>
    </row>
    <row r="2623" spans="15:15" ht="15.75" customHeight="1">
      <c r="O2623" s="177"/>
    </row>
    <row r="2624" spans="15:15" ht="15.75" customHeight="1">
      <c r="O2624" s="177"/>
    </row>
    <row r="2625" spans="15:15" ht="15.75" customHeight="1">
      <c r="O2625" s="177"/>
    </row>
    <row r="2626" spans="15:15" ht="15.75" customHeight="1">
      <c r="O2626" s="177"/>
    </row>
    <row r="2627" spans="15:15" ht="15.75" customHeight="1">
      <c r="O2627" s="177"/>
    </row>
    <row r="2628" spans="15:15" ht="15.75" customHeight="1">
      <c r="O2628" s="177"/>
    </row>
    <row r="2629" spans="15:15" ht="15.75" customHeight="1">
      <c r="O2629" s="177"/>
    </row>
    <row r="2630" spans="15:15" ht="15.75" customHeight="1">
      <c r="O2630" s="177"/>
    </row>
    <row r="2631" spans="15:15" ht="15.75" customHeight="1">
      <c r="O2631" s="177"/>
    </row>
    <row r="2632" spans="15:15" ht="15.75" customHeight="1">
      <c r="O2632" s="177"/>
    </row>
    <row r="2633" spans="15:15" ht="15.75" customHeight="1">
      <c r="O2633" s="177"/>
    </row>
    <row r="2634" spans="15:15" ht="15.75" customHeight="1">
      <c r="O2634" s="177"/>
    </row>
    <row r="2635" spans="15:15" ht="15.75" customHeight="1">
      <c r="O2635" s="177"/>
    </row>
    <row r="2636" spans="15:15" ht="15.75" customHeight="1">
      <c r="O2636" s="177"/>
    </row>
    <row r="2637" spans="15:15" ht="15.75" customHeight="1">
      <c r="O2637" s="177"/>
    </row>
    <row r="2638" spans="15:15" ht="15.75" customHeight="1">
      <c r="O2638" s="177"/>
    </row>
    <row r="2639" spans="15:15" ht="15.75" customHeight="1">
      <c r="O2639" s="177"/>
    </row>
  </sheetData>
  <conditionalFormatting sqref="C1:C491 X448 X473">
    <cfRule type="expression" dxfId="60" priority="4">
      <formula>COUNTIF(C:C,C1)&gt;1</formula>
    </cfRule>
  </conditionalFormatting>
  <conditionalFormatting sqref="F1:F193 A1:E491 G1:I491 F204:F491 X448 X473">
    <cfRule type="containsBlanks" dxfId="59" priority="1">
      <formula>LEN(TRIM(A1))=0</formula>
    </cfRule>
  </conditionalFormatting>
  <conditionalFormatting sqref="K1:K491 V156:W156 S156:T156 S223:W224 S222:V222 S157:W157 S158:V158 S159:W221 S225:U226 W225:W226 S227:W361 S362:T362 V362:W362 S432:V432 S363:W431 S2:W110 S111:U111 W111 S112:W121 S123:W155 S122:V122 X122 S433:W491">
    <cfRule type="colorScale" priority="30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491" xr:uid="{00000000-0002-0000-0C00-000003000000}">
      <formula1>"INPREMISE,PREMISE"</formula1>
    </dataValidation>
  </dataValidations>
  <printOptions horizontalCentered="1" gridLines="1"/>
  <pageMargins left="0.25" right="0.25" top="0.75" bottom="0.75" header="0" footer="0"/>
  <pageSetup scale="45" fitToHeight="0" pageOrder="overThenDown" orientation="landscape" cellComments="atEnd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C00-000001000000}">
          <x14:formula1>
            <xm:f>'Data Sets'!$J$3:$J$5</xm:f>
          </x14:formula1>
          <xm:sqref>J2:J491</xm:sqref>
        </x14:dataValidation>
        <x14:dataValidation type="list" allowBlank="1" showErrorMessage="1" xr:uid="{00000000-0002-0000-0C00-000002000000}">
          <x14:formula1>
            <xm:f>'Data Sets'!$F$3:$F$8</xm:f>
          </x14:formula1>
          <xm:sqref>D2:D491</xm:sqref>
        </x14:dataValidation>
        <x14:dataValidation type="list" allowBlank="1" xr:uid="{00000000-0002-0000-0C00-000004000000}">
          <x14:formula1>
            <xm:f>'Data Sets'!$H$3:$H$6</xm:f>
          </x14:formula1>
          <xm:sqref>F2:F491</xm:sqref>
        </x14:dataValidation>
        <x14:dataValidation type="list" allowBlank="1" xr:uid="{00000000-0002-0000-0C00-000000000000}">
          <x14:formula1>
            <xm:f>'Data Sets'!$B$3:$B$26</xm:f>
          </x14:formula1>
          <xm:sqref>O390:O491 P339 O284:O338 O340:O388 O2:O234 O236:O282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outlinePr summaryBelow="0" summaryRight="0"/>
    <pageSetUpPr fitToPage="1"/>
  </sheetPr>
  <dimension ref="A1:Y85"/>
  <sheetViews>
    <sheetView zoomScale="130" zoomScaleNormal="130" workbookViewId="0">
      <pane ySplit="1" topLeftCell="A2" activePane="bottomLeft" state="frozen"/>
      <selection pane="bottomLeft" sqref="A1:A1048576"/>
    </sheetView>
  </sheetViews>
  <sheetFormatPr defaultColWidth="11.25" defaultRowHeight="15.75" customHeight="1"/>
  <cols>
    <col min="1" max="1" width="6.5" style="47" customWidth="1"/>
    <col min="2" max="2" width="16.125" style="47" customWidth="1"/>
    <col min="3" max="3" width="9.75" style="47" customWidth="1"/>
    <col min="4" max="4" width="9.375" style="47" customWidth="1"/>
    <col min="5" max="5" width="7.625" style="47" customWidth="1"/>
    <col min="6" max="6" width="6.5" style="47" customWidth="1"/>
    <col min="7" max="7" width="5.75" style="47" customWidth="1"/>
    <col min="8" max="8" width="6.25" style="47" hidden="1" customWidth="1"/>
    <col min="9" max="9" width="32.5" style="47" customWidth="1"/>
    <col min="10" max="10" width="9.625" style="47" customWidth="1"/>
    <col min="11" max="11" width="8.5" style="47" customWidth="1"/>
    <col min="12" max="12" width="7.5" style="47" customWidth="1"/>
    <col min="13" max="13" width="9.5" style="47" customWidth="1"/>
    <col min="14" max="14" width="11" style="293" customWidth="1"/>
    <col min="15" max="15" width="8.25" style="47" customWidth="1"/>
    <col min="16" max="17" width="5.5" style="47" customWidth="1"/>
    <col min="18" max="18" width="8" style="47" customWidth="1"/>
    <col min="19" max="19" width="8.5" style="47" customWidth="1"/>
    <col min="20" max="20" width="11.25" style="47" customWidth="1"/>
    <col min="21" max="21" width="8.25" style="47" customWidth="1"/>
    <col min="22" max="22" width="8.375" style="47" customWidth="1"/>
    <col min="23" max="23" width="8.5" style="47" customWidth="1"/>
    <col min="24" max="24" width="7.875" style="47" customWidth="1"/>
    <col min="25" max="25" width="18.25" style="47" customWidth="1"/>
    <col min="26" max="16384" width="11.25" style="47"/>
  </cols>
  <sheetData>
    <row r="1" spans="1:25" ht="15.75" customHeight="1">
      <c r="A1" s="259" t="s">
        <v>0</v>
      </c>
      <c r="B1" s="259" t="s">
        <v>136</v>
      </c>
      <c r="C1" s="259" t="s">
        <v>137</v>
      </c>
      <c r="D1" s="259" t="s">
        <v>12</v>
      </c>
      <c r="E1" s="259" t="s">
        <v>138</v>
      </c>
      <c r="F1" s="259" t="s">
        <v>139</v>
      </c>
      <c r="G1" s="259" t="s">
        <v>140</v>
      </c>
      <c r="H1" s="260" t="s">
        <v>1424</v>
      </c>
      <c r="I1" s="259" t="s">
        <v>141</v>
      </c>
      <c r="J1" s="261" t="s">
        <v>142</v>
      </c>
      <c r="K1" s="261" t="s">
        <v>143</v>
      </c>
      <c r="L1" s="261" t="s">
        <v>144</v>
      </c>
      <c r="M1" s="262" t="s">
        <v>1425</v>
      </c>
      <c r="N1" s="263" t="s">
        <v>1426</v>
      </c>
      <c r="O1" s="261" t="s">
        <v>1427</v>
      </c>
      <c r="P1" s="261" t="s">
        <v>149</v>
      </c>
      <c r="Q1" s="264" t="s">
        <v>1428</v>
      </c>
      <c r="R1" s="264" t="s">
        <v>151</v>
      </c>
      <c r="S1" s="261" t="s">
        <v>152</v>
      </c>
      <c r="T1" s="261" t="s">
        <v>1429</v>
      </c>
      <c r="U1" s="261" t="s">
        <v>154</v>
      </c>
      <c r="V1" s="261" t="s">
        <v>155</v>
      </c>
      <c r="W1" s="261" t="s">
        <v>156</v>
      </c>
      <c r="X1" s="261" t="s">
        <v>157</v>
      </c>
      <c r="Y1" s="261" t="s">
        <v>158</v>
      </c>
    </row>
    <row r="2" spans="1:25" ht="15.75" customHeight="1">
      <c r="A2" s="265" t="s">
        <v>2</v>
      </c>
      <c r="B2" s="265" t="s">
        <v>1430</v>
      </c>
      <c r="C2" s="265" t="s">
        <v>1431</v>
      </c>
      <c r="D2" s="265" t="s">
        <v>50</v>
      </c>
      <c r="E2" s="265" t="s">
        <v>197</v>
      </c>
      <c r="F2" s="265" t="s">
        <v>39</v>
      </c>
      <c r="G2" s="265" t="s">
        <v>251</v>
      </c>
      <c r="H2" s="266"/>
      <c r="I2" s="265" t="s">
        <v>1432</v>
      </c>
      <c r="J2" s="267" t="s">
        <v>28</v>
      </c>
      <c r="K2" s="267" t="s">
        <v>183</v>
      </c>
      <c r="L2" s="267" t="s">
        <v>118</v>
      </c>
      <c r="M2" s="268">
        <v>44750</v>
      </c>
      <c r="N2" s="268"/>
      <c r="O2" s="267"/>
      <c r="P2" s="269"/>
      <c r="Q2" s="270"/>
      <c r="R2" s="270"/>
      <c r="S2" s="267" t="s">
        <v>119</v>
      </c>
      <c r="T2" s="267" t="s">
        <v>153</v>
      </c>
      <c r="U2" s="267"/>
      <c r="V2" s="267"/>
      <c r="W2" s="267"/>
      <c r="X2" s="267"/>
      <c r="Y2" s="267"/>
    </row>
    <row r="3" spans="1:25" ht="15.75" customHeight="1">
      <c r="A3" s="265" t="s">
        <v>2</v>
      </c>
      <c r="B3" s="265" t="s">
        <v>1430</v>
      </c>
      <c r="C3" s="265" t="s">
        <v>1433</v>
      </c>
      <c r="D3" s="265" t="s">
        <v>26</v>
      </c>
      <c r="E3" s="265" t="s">
        <v>172</v>
      </c>
      <c r="F3" s="265" t="s">
        <v>27</v>
      </c>
      <c r="G3" s="265" t="s">
        <v>173</v>
      </c>
      <c r="H3" s="266"/>
      <c r="I3" s="265" t="s">
        <v>1434</v>
      </c>
      <c r="J3" s="267" t="s">
        <v>165</v>
      </c>
      <c r="K3" s="267" t="s">
        <v>40</v>
      </c>
      <c r="L3" s="267" t="s">
        <v>118</v>
      </c>
      <c r="M3" s="268">
        <v>44750</v>
      </c>
      <c r="N3" s="268"/>
      <c r="O3" s="267"/>
      <c r="P3" s="269"/>
      <c r="Q3" s="270"/>
      <c r="R3" s="270"/>
      <c r="S3" s="267" t="s">
        <v>119</v>
      </c>
      <c r="T3" s="267" t="s">
        <v>153</v>
      </c>
      <c r="U3" s="267"/>
      <c r="V3" s="267"/>
      <c r="W3" s="267"/>
      <c r="X3" s="267"/>
      <c r="Y3" s="267"/>
    </row>
    <row r="4" spans="1:25" ht="15.75" customHeight="1">
      <c r="A4" s="265" t="s">
        <v>2</v>
      </c>
      <c r="B4" s="265" t="s">
        <v>1430</v>
      </c>
      <c r="C4" s="265" t="s">
        <v>1435</v>
      </c>
      <c r="D4" s="265" t="s">
        <v>26</v>
      </c>
      <c r="E4" s="265" t="s">
        <v>223</v>
      </c>
      <c r="F4" s="265" t="s">
        <v>39</v>
      </c>
      <c r="G4" s="265" t="s">
        <v>251</v>
      </c>
      <c r="H4" s="266"/>
      <c r="I4" s="265" t="s">
        <v>1436</v>
      </c>
      <c r="J4" s="267" t="s">
        <v>28</v>
      </c>
      <c r="K4" s="267" t="s">
        <v>52</v>
      </c>
      <c r="L4" s="267" t="s">
        <v>118</v>
      </c>
      <c r="M4" s="268">
        <v>44750</v>
      </c>
      <c r="N4" s="268"/>
      <c r="O4" s="267"/>
      <c r="P4" s="269"/>
      <c r="Q4" s="270"/>
      <c r="R4" s="270"/>
      <c r="S4" s="267" t="s">
        <v>119</v>
      </c>
      <c r="T4" s="267" t="s">
        <v>153</v>
      </c>
      <c r="U4" s="267"/>
      <c r="V4" s="267"/>
      <c r="W4" s="267"/>
      <c r="X4" s="267"/>
      <c r="Y4" s="267"/>
    </row>
    <row r="5" spans="1:25" ht="15.75" customHeight="1">
      <c r="A5" s="271" t="s">
        <v>2</v>
      </c>
      <c r="B5" s="271" t="s">
        <v>1430</v>
      </c>
      <c r="C5" s="271" t="s">
        <v>1437</v>
      </c>
      <c r="D5" s="271" t="s">
        <v>26</v>
      </c>
      <c r="E5" s="271" t="s">
        <v>256</v>
      </c>
      <c r="F5" s="271" t="s">
        <v>39</v>
      </c>
      <c r="G5" s="271" t="s">
        <v>181</v>
      </c>
      <c r="H5" s="272">
        <v>43822</v>
      </c>
      <c r="I5" s="271" t="s">
        <v>1438</v>
      </c>
      <c r="J5" s="273" t="s">
        <v>28</v>
      </c>
      <c r="K5" s="273" t="s">
        <v>28</v>
      </c>
      <c r="L5" s="273" t="s">
        <v>118</v>
      </c>
      <c r="M5" s="274">
        <v>44750</v>
      </c>
      <c r="N5" s="274"/>
      <c r="O5" s="267"/>
      <c r="P5" s="269"/>
      <c r="Q5" s="270"/>
      <c r="R5" s="270"/>
      <c r="S5" s="267" t="s">
        <v>119</v>
      </c>
      <c r="T5" s="267" t="s">
        <v>153</v>
      </c>
      <c r="U5" s="267"/>
      <c r="V5" s="267"/>
      <c r="W5" s="267"/>
      <c r="X5" s="273"/>
      <c r="Y5" s="273"/>
    </row>
    <row r="6" spans="1:25" ht="15.75" customHeight="1">
      <c r="A6" s="265" t="s">
        <v>46</v>
      </c>
      <c r="B6" s="265" t="s">
        <v>1439</v>
      </c>
      <c r="C6" s="265" t="s">
        <v>1440</v>
      </c>
      <c r="D6" s="265" t="s">
        <v>61</v>
      </c>
      <c r="E6" s="265" t="s">
        <v>1441</v>
      </c>
      <c r="F6" s="265" t="s">
        <v>39</v>
      </c>
      <c r="G6" s="265" t="s">
        <v>208</v>
      </c>
      <c r="H6" s="266"/>
      <c r="I6" s="265" t="s">
        <v>1442</v>
      </c>
      <c r="J6" s="267" t="s">
        <v>28</v>
      </c>
      <c r="K6" s="267" t="s">
        <v>28</v>
      </c>
      <c r="L6" s="267" t="s">
        <v>118</v>
      </c>
      <c r="M6" s="268">
        <v>44672</v>
      </c>
      <c r="N6" s="268"/>
      <c r="O6" s="267"/>
      <c r="P6" s="269"/>
      <c r="Q6" s="270"/>
      <c r="R6" s="270"/>
      <c r="S6" s="267" t="s">
        <v>119</v>
      </c>
      <c r="T6" s="267" t="s">
        <v>153</v>
      </c>
      <c r="U6" s="267"/>
      <c r="V6" s="267"/>
      <c r="W6" s="267"/>
      <c r="X6" s="273"/>
      <c r="Y6" s="273"/>
    </row>
    <row r="7" spans="1:25" ht="15.75" customHeight="1">
      <c r="A7" s="265" t="s">
        <v>46</v>
      </c>
      <c r="B7" s="265" t="s">
        <v>1439</v>
      </c>
      <c r="C7" s="265" t="s">
        <v>1443</v>
      </c>
      <c r="D7" s="265" t="s">
        <v>26</v>
      </c>
      <c r="E7" s="265" t="s">
        <v>684</v>
      </c>
      <c r="F7" s="265" t="s">
        <v>27</v>
      </c>
      <c r="G7" s="265" t="s">
        <v>673</v>
      </c>
      <c r="H7" s="266"/>
      <c r="I7" s="265" t="s">
        <v>1444</v>
      </c>
      <c r="J7" s="267" t="s">
        <v>28</v>
      </c>
      <c r="K7" s="267" t="s">
        <v>28</v>
      </c>
      <c r="L7" s="267" t="s">
        <v>118</v>
      </c>
      <c r="M7" s="268"/>
      <c r="N7" s="268"/>
      <c r="O7" s="267"/>
      <c r="P7" s="269"/>
      <c r="Q7" s="270"/>
      <c r="R7" s="270"/>
      <c r="S7" s="267" t="s">
        <v>119</v>
      </c>
      <c r="T7" s="267" t="s">
        <v>120</v>
      </c>
      <c r="U7" s="267" t="s">
        <v>199</v>
      </c>
      <c r="V7" s="267"/>
      <c r="W7" s="267"/>
      <c r="X7" s="273"/>
      <c r="Y7" s="273"/>
    </row>
    <row r="8" spans="1:25" ht="15.75" customHeight="1">
      <c r="A8" s="265" t="s">
        <v>46</v>
      </c>
      <c r="B8" s="265" t="s">
        <v>1439</v>
      </c>
      <c r="C8" s="265" t="s">
        <v>1445</v>
      </c>
      <c r="D8" s="265" t="s">
        <v>26</v>
      </c>
      <c r="E8" s="265" t="s">
        <v>370</v>
      </c>
      <c r="F8" s="265" t="s">
        <v>27</v>
      </c>
      <c r="G8" s="265" t="s">
        <v>346</v>
      </c>
      <c r="H8" s="266"/>
      <c r="I8" s="265" t="s">
        <v>1446</v>
      </c>
      <c r="J8" s="267" t="s">
        <v>28</v>
      </c>
      <c r="K8" s="267" t="s">
        <v>28</v>
      </c>
      <c r="L8" s="267" t="s">
        <v>118</v>
      </c>
      <c r="M8" s="268">
        <v>44654</v>
      </c>
      <c r="N8" s="268"/>
      <c r="O8" s="267"/>
      <c r="P8" s="269"/>
      <c r="Q8" s="270"/>
      <c r="R8" s="270"/>
      <c r="S8" s="267" t="s">
        <v>119</v>
      </c>
      <c r="T8" s="267" t="s">
        <v>153</v>
      </c>
      <c r="U8" s="267"/>
      <c r="V8" s="267"/>
      <c r="W8" s="267"/>
      <c r="X8" s="273"/>
      <c r="Y8" s="273"/>
    </row>
    <row r="9" spans="1:25" ht="15.75" customHeight="1">
      <c r="A9" s="265" t="s">
        <v>46</v>
      </c>
      <c r="B9" s="265" t="s">
        <v>1439</v>
      </c>
      <c r="C9" s="265" t="s">
        <v>1447</v>
      </c>
      <c r="D9" s="265" t="s">
        <v>26</v>
      </c>
      <c r="E9" s="265" t="s">
        <v>370</v>
      </c>
      <c r="F9" s="265" t="s">
        <v>27</v>
      </c>
      <c r="G9" s="265" t="s">
        <v>346</v>
      </c>
      <c r="H9" s="266"/>
      <c r="I9" s="265" t="s">
        <v>1448</v>
      </c>
      <c r="J9" s="267" t="s">
        <v>28</v>
      </c>
      <c r="K9" s="267" t="s">
        <v>28</v>
      </c>
      <c r="L9" s="267" t="s">
        <v>118</v>
      </c>
      <c r="M9" s="268">
        <v>44719</v>
      </c>
      <c r="N9" s="268"/>
      <c r="O9" s="267"/>
      <c r="P9" s="269"/>
      <c r="Q9" s="270"/>
      <c r="R9" s="270"/>
      <c r="S9" s="267" t="s">
        <v>119</v>
      </c>
      <c r="T9" s="267" t="s">
        <v>153</v>
      </c>
      <c r="U9" s="267"/>
      <c r="V9" s="267"/>
      <c r="W9" s="267"/>
      <c r="X9" s="273"/>
      <c r="Y9" s="273"/>
    </row>
    <row r="10" spans="1:25" ht="15.75" customHeight="1">
      <c r="A10" s="265" t="s">
        <v>46</v>
      </c>
      <c r="B10" s="265" t="s">
        <v>1439</v>
      </c>
      <c r="C10" s="265" t="s">
        <v>1449</v>
      </c>
      <c r="D10" s="265" t="s">
        <v>26</v>
      </c>
      <c r="E10" s="265" t="s">
        <v>684</v>
      </c>
      <c r="F10" s="265" t="s">
        <v>27</v>
      </c>
      <c r="G10" s="265" t="s">
        <v>346</v>
      </c>
      <c r="H10" s="266"/>
      <c r="I10" s="265" t="s">
        <v>1450</v>
      </c>
      <c r="J10" s="267" t="s">
        <v>28</v>
      </c>
      <c r="K10" s="267" t="s">
        <v>28</v>
      </c>
      <c r="L10" s="267" t="s">
        <v>118</v>
      </c>
      <c r="M10" s="268">
        <v>44719</v>
      </c>
      <c r="N10" s="268"/>
      <c r="O10" s="267"/>
      <c r="P10" s="269"/>
      <c r="Q10" s="270"/>
      <c r="R10" s="270"/>
      <c r="S10" s="267" t="s">
        <v>119</v>
      </c>
      <c r="T10" s="267" t="s">
        <v>153</v>
      </c>
      <c r="U10" s="267"/>
      <c r="V10" s="267"/>
      <c r="W10" s="267"/>
      <c r="X10" s="273"/>
      <c r="Y10" s="273"/>
    </row>
    <row r="11" spans="1:25" ht="15.75" customHeight="1">
      <c r="A11" s="265" t="s">
        <v>159</v>
      </c>
      <c r="B11" s="265" t="s">
        <v>1451</v>
      </c>
      <c r="C11" s="265" t="s">
        <v>171</v>
      </c>
      <c r="D11" s="265" t="s">
        <v>26</v>
      </c>
      <c r="E11" s="265" t="s">
        <v>172</v>
      </c>
      <c r="F11" s="265" t="s">
        <v>27</v>
      </c>
      <c r="G11" s="265" t="s">
        <v>173</v>
      </c>
      <c r="H11" s="266"/>
      <c r="I11" s="265" t="s">
        <v>1452</v>
      </c>
      <c r="J11" s="267" t="s">
        <v>165</v>
      </c>
      <c r="K11" s="267" t="s">
        <v>40</v>
      </c>
      <c r="L11" s="267" t="s">
        <v>118</v>
      </c>
      <c r="M11" s="268">
        <v>44824</v>
      </c>
      <c r="N11" s="268"/>
      <c r="O11" s="267"/>
      <c r="P11" s="269"/>
      <c r="Q11" s="270"/>
      <c r="R11" s="270"/>
      <c r="S11" s="267" t="s">
        <v>119</v>
      </c>
      <c r="T11" s="267" t="s">
        <v>153</v>
      </c>
      <c r="U11" s="267"/>
      <c r="V11" s="267"/>
      <c r="W11" s="267"/>
      <c r="X11" s="273"/>
      <c r="Y11" s="273"/>
    </row>
    <row r="12" spans="1:25" ht="15.75" customHeight="1">
      <c r="A12" s="265" t="s">
        <v>159</v>
      </c>
      <c r="B12" s="265" t="s">
        <v>1451</v>
      </c>
      <c r="C12" s="265" t="s">
        <v>1453</v>
      </c>
      <c r="D12" s="265" t="s">
        <v>26</v>
      </c>
      <c r="E12" s="265" t="s">
        <v>172</v>
      </c>
      <c r="F12" s="265" t="s">
        <v>27</v>
      </c>
      <c r="G12" s="265" t="s">
        <v>173</v>
      </c>
      <c r="H12" s="266"/>
      <c r="I12" s="265" t="s">
        <v>1454</v>
      </c>
      <c r="J12" s="267" t="s">
        <v>165</v>
      </c>
      <c r="K12" s="267" t="s">
        <v>40</v>
      </c>
      <c r="L12" s="267" t="s">
        <v>118</v>
      </c>
      <c r="M12" s="268">
        <v>44824</v>
      </c>
      <c r="N12" s="268"/>
      <c r="O12" s="267"/>
      <c r="P12" s="269"/>
      <c r="Q12" s="270"/>
      <c r="R12" s="270"/>
      <c r="S12" s="267" t="s">
        <v>119</v>
      </c>
      <c r="T12" s="267" t="s">
        <v>153</v>
      </c>
      <c r="U12" s="267"/>
      <c r="V12" s="267"/>
      <c r="W12" s="267"/>
      <c r="X12" s="273"/>
      <c r="Y12" s="273"/>
    </row>
    <row r="13" spans="1:25" ht="15.75" customHeight="1">
      <c r="A13" s="265" t="s">
        <v>225</v>
      </c>
      <c r="B13" s="265" t="s">
        <v>1451</v>
      </c>
      <c r="C13" s="265" t="s">
        <v>229</v>
      </c>
      <c r="D13" s="265" t="s">
        <v>26</v>
      </c>
      <c r="E13" s="265" t="s">
        <v>172</v>
      </c>
      <c r="F13" s="265" t="s">
        <v>27</v>
      </c>
      <c r="G13" s="265" t="s">
        <v>173</v>
      </c>
      <c r="H13" s="266"/>
      <c r="I13" s="265" t="s">
        <v>1455</v>
      </c>
      <c r="J13" s="267" t="s">
        <v>165</v>
      </c>
      <c r="K13" s="267" t="s">
        <v>40</v>
      </c>
      <c r="L13" s="267" t="s">
        <v>118</v>
      </c>
      <c r="M13" s="268">
        <v>44824</v>
      </c>
      <c r="N13" s="268"/>
      <c r="O13" s="267"/>
      <c r="P13" s="269"/>
      <c r="Q13" s="270"/>
      <c r="R13" s="270"/>
      <c r="S13" s="267" t="s">
        <v>119</v>
      </c>
      <c r="T13" s="267" t="s">
        <v>153</v>
      </c>
      <c r="U13" s="267" t="s">
        <v>153</v>
      </c>
      <c r="V13" s="267" t="s">
        <v>167</v>
      </c>
      <c r="W13" s="267" t="s">
        <v>167</v>
      </c>
      <c r="X13" s="273"/>
      <c r="Y13" s="273"/>
    </row>
    <row r="14" spans="1:25" s="98" customFormat="1" ht="15.75" customHeight="1">
      <c r="A14" s="109" t="s">
        <v>376</v>
      </c>
      <c r="B14" s="109" t="s">
        <v>1451</v>
      </c>
      <c r="C14" s="109" t="s">
        <v>394</v>
      </c>
      <c r="D14" s="109" t="s">
        <v>26</v>
      </c>
      <c r="E14" s="109" t="s">
        <v>172</v>
      </c>
      <c r="F14" s="109" t="s">
        <v>27</v>
      </c>
      <c r="G14" s="109" t="s">
        <v>173</v>
      </c>
      <c r="H14" s="110"/>
      <c r="I14" s="109" t="s">
        <v>1455</v>
      </c>
      <c r="J14" s="111" t="s">
        <v>165</v>
      </c>
      <c r="K14" s="111" t="s">
        <v>40</v>
      </c>
      <c r="L14" s="111" t="s">
        <v>118</v>
      </c>
      <c r="M14" s="325" t="s">
        <v>1456</v>
      </c>
      <c r="N14" s="112">
        <v>45320</v>
      </c>
      <c r="O14" s="111" t="s">
        <v>86</v>
      </c>
      <c r="P14" s="113" t="s">
        <v>1457</v>
      </c>
      <c r="Q14" s="114"/>
      <c r="R14" s="114">
        <v>2.6</v>
      </c>
      <c r="S14" s="111" t="s">
        <v>119</v>
      </c>
      <c r="T14" s="111" t="s">
        <v>153</v>
      </c>
      <c r="U14" s="111" t="s">
        <v>153</v>
      </c>
      <c r="V14" s="111" t="s">
        <v>167</v>
      </c>
      <c r="W14" s="111" t="s">
        <v>167</v>
      </c>
      <c r="X14" s="115"/>
      <c r="Y14" s="115"/>
    </row>
    <row r="15" spans="1:25" ht="15.75" customHeight="1">
      <c r="A15" s="265" t="s">
        <v>381</v>
      </c>
      <c r="B15" s="265" t="s">
        <v>1451</v>
      </c>
      <c r="C15" s="265" t="s">
        <v>1458</v>
      </c>
      <c r="D15" s="265" t="s">
        <v>26</v>
      </c>
      <c r="E15" s="265" t="s">
        <v>172</v>
      </c>
      <c r="F15" s="265" t="s">
        <v>27</v>
      </c>
      <c r="G15" s="265" t="s">
        <v>173</v>
      </c>
      <c r="H15" s="266"/>
      <c r="I15" s="265" t="s">
        <v>1455</v>
      </c>
      <c r="J15" s="267" t="s">
        <v>165</v>
      </c>
      <c r="K15" s="267" t="s">
        <v>40</v>
      </c>
      <c r="L15" s="267" t="s">
        <v>118</v>
      </c>
      <c r="M15" s="268">
        <v>44574</v>
      </c>
      <c r="N15" s="268"/>
      <c r="O15" s="267"/>
      <c r="P15" s="269"/>
      <c r="Q15" s="270"/>
      <c r="R15" s="270"/>
      <c r="S15" s="267" t="s">
        <v>119</v>
      </c>
      <c r="T15" s="267" t="s">
        <v>153</v>
      </c>
      <c r="U15" s="267" t="s">
        <v>153</v>
      </c>
      <c r="V15" s="267" t="s">
        <v>167</v>
      </c>
      <c r="W15" s="267" t="s">
        <v>167</v>
      </c>
      <c r="X15" s="273"/>
      <c r="Y15" s="273"/>
    </row>
    <row r="16" spans="1:25" ht="15.75" customHeight="1">
      <c r="A16" s="265" t="s">
        <v>389</v>
      </c>
      <c r="B16" s="265" t="s">
        <v>1451</v>
      </c>
      <c r="C16" s="265" t="s">
        <v>390</v>
      </c>
      <c r="D16" s="265" t="s">
        <v>26</v>
      </c>
      <c r="E16" s="265" t="s">
        <v>172</v>
      </c>
      <c r="F16" s="265" t="s">
        <v>27</v>
      </c>
      <c r="G16" s="265" t="s">
        <v>173</v>
      </c>
      <c r="H16" s="266"/>
      <c r="I16" s="265" t="s">
        <v>1455</v>
      </c>
      <c r="J16" s="267" t="s">
        <v>165</v>
      </c>
      <c r="K16" s="267" t="s">
        <v>40</v>
      </c>
      <c r="L16" s="267" t="s">
        <v>118</v>
      </c>
      <c r="M16" s="268">
        <v>44573</v>
      </c>
      <c r="N16" s="268"/>
      <c r="O16" s="267"/>
      <c r="P16" s="269"/>
      <c r="Q16" s="270"/>
      <c r="R16" s="270"/>
      <c r="S16" s="267" t="s">
        <v>119</v>
      </c>
      <c r="T16" s="267" t="s">
        <v>153</v>
      </c>
      <c r="U16" s="267" t="s">
        <v>153</v>
      </c>
      <c r="V16" s="267" t="s">
        <v>167</v>
      </c>
      <c r="W16" s="267" t="s">
        <v>167</v>
      </c>
      <c r="X16" s="273"/>
      <c r="Y16" s="273"/>
    </row>
    <row r="17" spans="1:25" s="98" customFormat="1" ht="15.75" customHeight="1">
      <c r="A17" s="109" t="s">
        <v>393</v>
      </c>
      <c r="B17" s="109" t="s">
        <v>1451</v>
      </c>
      <c r="C17" s="109" t="s">
        <v>385</v>
      </c>
      <c r="D17" s="109" t="s">
        <v>26</v>
      </c>
      <c r="E17" s="109" t="s">
        <v>172</v>
      </c>
      <c r="F17" s="109" t="s">
        <v>27</v>
      </c>
      <c r="G17" s="109" t="s">
        <v>173</v>
      </c>
      <c r="H17" s="110"/>
      <c r="I17" s="109" t="s">
        <v>1455</v>
      </c>
      <c r="J17" s="111" t="s">
        <v>165</v>
      </c>
      <c r="K17" s="111" t="s">
        <v>40</v>
      </c>
      <c r="L17" s="111" t="s">
        <v>118</v>
      </c>
      <c r="M17" s="112">
        <v>44573</v>
      </c>
      <c r="N17" s="112">
        <v>45320</v>
      </c>
      <c r="O17" s="111" t="s">
        <v>86</v>
      </c>
      <c r="P17" s="113" t="s">
        <v>1459</v>
      </c>
      <c r="Q17" s="114"/>
      <c r="R17" s="114">
        <v>2.4</v>
      </c>
      <c r="S17" s="111" t="s">
        <v>119</v>
      </c>
      <c r="T17" s="111" t="s">
        <v>153</v>
      </c>
      <c r="U17" s="111" t="s">
        <v>153</v>
      </c>
      <c r="V17" s="111" t="s">
        <v>167</v>
      </c>
      <c r="W17" s="111" t="s">
        <v>167</v>
      </c>
      <c r="X17" s="115"/>
      <c r="Y17" s="115"/>
    </row>
    <row r="18" spans="1:25" ht="15.75" customHeight="1">
      <c r="A18" s="265" t="s">
        <v>646</v>
      </c>
      <c r="B18" s="265" t="s">
        <v>1451</v>
      </c>
      <c r="C18" s="265" t="s">
        <v>648</v>
      </c>
      <c r="D18" s="265" t="s">
        <v>26</v>
      </c>
      <c r="E18" s="265" t="s">
        <v>172</v>
      </c>
      <c r="F18" s="265" t="s">
        <v>27</v>
      </c>
      <c r="G18" s="265" t="s">
        <v>173</v>
      </c>
      <c r="H18" s="266"/>
      <c r="I18" s="265" t="s">
        <v>1455</v>
      </c>
      <c r="J18" s="267" t="s">
        <v>165</v>
      </c>
      <c r="K18" s="267" t="s">
        <v>40</v>
      </c>
      <c r="L18" s="267" t="s">
        <v>118</v>
      </c>
      <c r="M18" s="268">
        <v>44824</v>
      </c>
      <c r="N18" s="268"/>
      <c r="O18" s="267"/>
      <c r="P18" s="269"/>
      <c r="Q18" s="270"/>
      <c r="R18" s="270"/>
      <c r="S18" s="267" t="s">
        <v>119</v>
      </c>
      <c r="T18" s="267" t="s">
        <v>153</v>
      </c>
      <c r="U18" s="267"/>
      <c r="V18" s="267"/>
      <c r="W18" s="267"/>
      <c r="X18" s="273"/>
      <c r="Y18" s="273"/>
    </row>
    <row r="19" spans="1:25" ht="15.75" customHeight="1">
      <c r="A19" s="265" t="s">
        <v>694</v>
      </c>
      <c r="B19" s="265" t="s">
        <v>1451</v>
      </c>
      <c r="C19" s="265" t="s">
        <v>1460</v>
      </c>
      <c r="D19" s="265" t="s">
        <v>26</v>
      </c>
      <c r="E19" s="265" t="s">
        <v>172</v>
      </c>
      <c r="F19" s="265" t="s">
        <v>27</v>
      </c>
      <c r="G19" s="265" t="s">
        <v>173</v>
      </c>
      <c r="H19" s="266"/>
      <c r="I19" s="265" t="s">
        <v>1455</v>
      </c>
      <c r="J19" s="267" t="s">
        <v>165</v>
      </c>
      <c r="K19" s="267" t="s">
        <v>40</v>
      </c>
      <c r="L19" s="267" t="s">
        <v>118</v>
      </c>
      <c r="M19" s="268">
        <v>44824</v>
      </c>
      <c r="N19" s="268"/>
      <c r="O19" s="267"/>
      <c r="P19" s="269"/>
      <c r="Q19" s="270"/>
      <c r="R19" s="270"/>
      <c r="S19" s="267" t="s">
        <v>119</v>
      </c>
      <c r="T19" s="267" t="s">
        <v>1429</v>
      </c>
      <c r="U19" s="267"/>
      <c r="V19" s="267"/>
      <c r="W19" s="267"/>
      <c r="X19" s="273"/>
      <c r="Y19" s="273"/>
    </row>
    <row r="20" spans="1:25" s="98" customFormat="1" ht="15.75" customHeight="1">
      <c r="A20" s="109" t="s">
        <v>706</v>
      </c>
      <c r="B20" s="109" t="s">
        <v>1451</v>
      </c>
      <c r="C20" s="109" t="s">
        <v>1461</v>
      </c>
      <c r="D20" s="109" t="s">
        <v>26</v>
      </c>
      <c r="E20" s="109" t="s">
        <v>172</v>
      </c>
      <c r="F20" s="109" t="s">
        <v>27</v>
      </c>
      <c r="G20" s="109" t="s">
        <v>173</v>
      </c>
      <c r="H20" s="110"/>
      <c r="I20" s="109" t="s">
        <v>1455</v>
      </c>
      <c r="J20" s="111" t="s">
        <v>165</v>
      </c>
      <c r="K20" s="111" t="s">
        <v>40</v>
      </c>
      <c r="L20" s="111" t="s">
        <v>118</v>
      </c>
      <c r="M20" s="112">
        <v>44825</v>
      </c>
      <c r="N20" s="112">
        <v>45355</v>
      </c>
      <c r="O20" s="111" t="s">
        <v>35</v>
      </c>
      <c r="P20" s="113" t="s">
        <v>1462</v>
      </c>
      <c r="Q20" s="114"/>
      <c r="R20" s="114">
        <v>3.2</v>
      </c>
      <c r="S20" s="111" t="s">
        <v>119</v>
      </c>
      <c r="T20" s="111" t="s">
        <v>153</v>
      </c>
      <c r="U20" s="111"/>
      <c r="V20" s="111"/>
      <c r="W20" s="111"/>
      <c r="X20" s="115"/>
      <c r="Y20" s="115"/>
    </row>
    <row r="21" spans="1:25" ht="15.75" customHeight="1">
      <c r="A21" s="265" t="s">
        <v>729</v>
      </c>
      <c r="B21" s="265" t="s">
        <v>1451</v>
      </c>
      <c r="C21" s="265" t="s">
        <v>1463</v>
      </c>
      <c r="D21" s="265" t="s">
        <v>26</v>
      </c>
      <c r="E21" s="265" t="s">
        <v>172</v>
      </c>
      <c r="F21" s="265" t="s">
        <v>27</v>
      </c>
      <c r="G21" s="265" t="s">
        <v>173</v>
      </c>
      <c r="H21" s="266"/>
      <c r="I21" s="265" t="s">
        <v>1455</v>
      </c>
      <c r="J21" s="267" t="s">
        <v>165</v>
      </c>
      <c r="K21" s="267" t="s">
        <v>40</v>
      </c>
      <c r="L21" s="267" t="s">
        <v>118</v>
      </c>
      <c r="M21" s="268">
        <v>44824</v>
      </c>
      <c r="N21" s="268"/>
      <c r="O21" s="267"/>
      <c r="P21" s="269"/>
      <c r="Q21" s="270"/>
      <c r="R21" s="270"/>
      <c r="S21" s="267" t="s">
        <v>119</v>
      </c>
      <c r="T21" s="267" t="s">
        <v>153</v>
      </c>
      <c r="U21" s="267"/>
      <c r="V21" s="267"/>
      <c r="W21" s="267"/>
      <c r="X21" s="273"/>
      <c r="Y21" s="273"/>
    </row>
    <row r="22" spans="1:25" ht="15.75" customHeight="1">
      <c r="A22" s="265" t="s">
        <v>798</v>
      </c>
      <c r="B22" s="265" t="s">
        <v>1451</v>
      </c>
      <c r="C22" s="265" t="s">
        <v>1464</v>
      </c>
      <c r="D22" s="265" t="s">
        <v>26</v>
      </c>
      <c r="E22" s="265" t="s">
        <v>172</v>
      </c>
      <c r="F22" s="265" t="s">
        <v>27</v>
      </c>
      <c r="G22" s="265" t="s">
        <v>173</v>
      </c>
      <c r="H22" s="266"/>
      <c r="I22" s="265" t="s">
        <v>1455</v>
      </c>
      <c r="J22" s="267" t="s">
        <v>165</v>
      </c>
      <c r="K22" s="267" t="s">
        <v>40</v>
      </c>
      <c r="L22" s="267" t="s">
        <v>118</v>
      </c>
      <c r="M22" s="268">
        <v>44824</v>
      </c>
      <c r="N22" s="268"/>
      <c r="O22" s="267"/>
      <c r="P22" s="269"/>
      <c r="Q22" s="270"/>
      <c r="R22" s="270"/>
      <c r="S22" s="267" t="s">
        <v>119</v>
      </c>
      <c r="T22" s="267" t="s">
        <v>1429</v>
      </c>
      <c r="U22" s="267"/>
      <c r="V22" s="267"/>
      <c r="W22" s="267"/>
      <c r="X22" s="267"/>
      <c r="Y22" s="267"/>
    </row>
    <row r="23" spans="1:25" ht="12.6">
      <c r="A23" s="265" t="s">
        <v>857</v>
      </c>
      <c r="B23" s="265" t="s">
        <v>1451</v>
      </c>
      <c r="C23" s="265" t="s">
        <v>867</v>
      </c>
      <c r="D23" s="265" t="s">
        <v>26</v>
      </c>
      <c r="E23" s="265" t="s">
        <v>172</v>
      </c>
      <c r="F23" s="265" t="s">
        <v>27</v>
      </c>
      <c r="G23" s="265" t="s">
        <v>173</v>
      </c>
      <c r="H23" s="266"/>
      <c r="I23" s="265" t="s">
        <v>1455</v>
      </c>
      <c r="J23" s="267" t="s">
        <v>165</v>
      </c>
      <c r="K23" s="267" t="s">
        <v>40</v>
      </c>
      <c r="L23" s="267" t="s">
        <v>118</v>
      </c>
      <c r="M23" s="268">
        <v>44824</v>
      </c>
      <c r="N23" s="268"/>
      <c r="O23" s="267"/>
      <c r="P23" s="269"/>
      <c r="Q23" s="270"/>
      <c r="R23" s="270"/>
      <c r="S23" s="267" t="s">
        <v>119</v>
      </c>
      <c r="T23" s="267" t="s">
        <v>153</v>
      </c>
      <c r="U23" s="267"/>
      <c r="V23" s="267"/>
      <c r="W23" s="267"/>
      <c r="X23" s="267"/>
      <c r="Y23" s="267"/>
    </row>
    <row r="24" spans="1:25" ht="12.6">
      <c r="A24" s="265" t="s">
        <v>967</v>
      </c>
      <c r="B24" s="265" t="s">
        <v>1451</v>
      </c>
      <c r="C24" s="265" t="s">
        <v>971</v>
      </c>
      <c r="D24" s="265" t="s">
        <v>26</v>
      </c>
      <c r="E24" s="265" t="s">
        <v>172</v>
      </c>
      <c r="F24" s="265" t="s">
        <v>27</v>
      </c>
      <c r="G24" s="265" t="s">
        <v>173</v>
      </c>
      <c r="H24" s="266"/>
      <c r="I24" s="265" t="s">
        <v>1455</v>
      </c>
      <c r="J24" s="267" t="s">
        <v>165</v>
      </c>
      <c r="K24" s="267" t="s">
        <v>40</v>
      </c>
      <c r="L24" s="267" t="s">
        <v>118</v>
      </c>
      <c r="M24" s="268">
        <v>44824</v>
      </c>
      <c r="N24" s="268"/>
      <c r="O24" s="267"/>
      <c r="P24" s="269"/>
      <c r="Q24" s="270"/>
      <c r="R24" s="270"/>
      <c r="S24" s="267" t="s">
        <v>119</v>
      </c>
      <c r="T24" s="267" t="s">
        <v>153</v>
      </c>
      <c r="U24" s="267" t="s">
        <v>153</v>
      </c>
      <c r="V24" s="267" t="s">
        <v>167</v>
      </c>
      <c r="W24" s="267" t="s">
        <v>167</v>
      </c>
      <c r="X24" s="267"/>
      <c r="Y24" s="267"/>
    </row>
    <row r="25" spans="1:25" ht="12.6">
      <c r="A25" s="265" t="s">
        <v>1043</v>
      </c>
      <c r="B25" s="265" t="s">
        <v>1451</v>
      </c>
      <c r="C25" s="265" t="s">
        <v>1465</v>
      </c>
      <c r="D25" s="265" t="s">
        <v>50</v>
      </c>
      <c r="E25" s="265" t="s">
        <v>235</v>
      </c>
      <c r="F25" s="265" t="s">
        <v>27</v>
      </c>
      <c r="G25" s="265" t="s">
        <v>230</v>
      </c>
      <c r="H25" s="266"/>
      <c r="I25" s="265" t="s">
        <v>1455</v>
      </c>
      <c r="J25" s="267" t="s">
        <v>165</v>
      </c>
      <c r="K25" s="267" t="s">
        <v>40</v>
      </c>
      <c r="L25" s="267" t="s">
        <v>118</v>
      </c>
      <c r="M25" s="268">
        <v>44824</v>
      </c>
      <c r="N25" s="268"/>
      <c r="O25" s="267"/>
      <c r="P25" s="269"/>
      <c r="Q25" s="270"/>
      <c r="R25" s="270"/>
      <c r="S25" s="267" t="s">
        <v>152</v>
      </c>
      <c r="T25" s="267" t="s">
        <v>1429</v>
      </c>
      <c r="U25" s="267"/>
      <c r="V25" s="267"/>
      <c r="W25" s="267"/>
      <c r="X25" s="267"/>
      <c r="Y25" s="267"/>
    </row>
    <row r="26" spans="1:25" ht="12.6">
      <c r="A26" s="265" t="s">
        <v>1197</v>
      </c>
      <c r="B26" s="265" t="s">
        <v>1451</v>
      </c>
      <c r="C26" s="265" t="s">
        <v>1466</v>
      </c>
      <c r="D26" s="265" t="s">
        <v>26</v>
      </c>
      <c r="E26" s="265" t="s">
        <v>172</v>
      </c>
      <c r="F26" s="265" t="s">
        <v>27</v>
      </c>
      <c r="G26" s="265" t="s">
        <v>173</v>
      </c>
      <c r="H26" s="266"/>
      <c r="I26" s="265" t="s">
        <v>1455</v>
      </c>
      <c r="J26" s="267" t="s">
        <v>165</v>
      </c>
      <c r="K26" s="267" t="s">
        <v>40</v>
      </c>
      <c r="L26" s="267" t="s">
        <v>118</v>
      </c>
      <c r="M26" s="268">
        <v>44824</v>
      </c>
      <c r="N26" s="268"/>
      <c r="O26" s="267"/>
      <c r="P26" s="269"/>
      <c r="Q26" s="270"/>
      <c r="R26" s="270"/>
      <c r="S26" s="267" t="s">
        <v>119</v>
      </c>
      <c r="T26" s="267" t="s">
        <v>153</v>
      </c>
      <c r="U26" s="267"/>
      <c r="V26" s="267"/>
      <c r="W26" s="267"/>
      <c r="X26" s="267"/>
      <c r="Y26" s="267"/>
    </row>
    <row r="27" spans="1:25" ht="12.6">
      <c r="A27" s="265" t="s">
        <v>1230</v>
      </c>
      <c r="B27" s="265" t="s">
        <v>1451</v>
      </c>
      <c r="C27" s="265" t="s">
        <v>1467</v>
      </c>
      <c r="D27" s="265" t="s">
        <v>26</v>
      </c>
      <c r="E27" s="265" t="s">
        <v>172</v>
      </c>
      <c r="F27" s="265" t="s">
        <v>27</v>
      </c>
      <c r="G27" s="265" t="s">
        <v>173</v>
      </c>
      <c r="H27" s="266"/>
      <c r="I27" s="265" t="s">
        <v>1455</v>
      </c>
      <c r="J27" s="267" t="s">
        <v>165</v>
      </c>
      <c r="K27" s="267" t="s">
        <v>40</v>
      </c>
      <c r="L27" s="267" t="s">
        <v>118</v>
      </c>
      <c r="M27" s="268">
        <v>44824</v>
      </c>
      <c r="N27" s="268"/>
      <c r="O27" s="267"/>
      <c r="P27" s="269"/>
      <c r="Q27" s="270"/>
      <c r="R27" s="270"/>
      <c r="S27" s="267" t="s">
        <v>166</v>
      </c>
      <c r="T27" s="267"/>
      <c r="U27" s="267"/>
      <c r="V27" s="267"/>
      <c r="W27" s="267" t="s">
        <v>321</v>
      </c>
      <c r="X27" s="267"/>
      <c r="Y27" s="267"/>
    </row>
    <row r="28" spans="1:25" ht="12.6">
      <c r="A28" s="265" t="s">
        <v>1230</v>
      </c>
      <c r="B28" s="265" t="s">
        <v>1451</v>
      </c>
      <c r="C28" s="265" t="s">
        <v>1237</v>
      </c>
      <c r="D28" s="265" t="s">
        <v>26</v>
      </c>
      <c r="E28" s="265" t="s">
        <v>172</v>
      </c>
      <c r="F28" s="265" t="s">
        <v>27</v>
      </c>
      <c r="G28" s="265" t="s">
        <v>173</v>
      </c>
      <c r="H28" s="266"/>
      <c r="I28" s="265" t="s">
        <v>1455</v>
      </c>
      <c r="J28" s="267" t="s">
        <v>165</v>
      </c>
      <c r="K28" s="267" t="s">
        <v>40</v>
      </c>
      <c r="L28" s="267" t="s">
        <v>118</v>
      </c>
      <c r="M28" s="268">
        <v>44824</v>
      </c>
      <c r="N28" s="268"/>
      <c r="O28" s="267"/>
      <c r="P28" s="269"/>
      <c r="Q28" s="270"/>
      <c r="R28" s="270"/>
      <c r="S28" s="267" t="s">
        <v>119</v>
      </c>
      <c r="T28" s="267" t="s">
        <v>153</v>
      </c>
      <c r="U28" s="267"/>
      <c r="V28" s="267"/>
      <c r="W28" s="267"/>
      <c r="X28" s="267"/>
      <c r="Y28" s="267"/>
    </row>
    <row r="29" spans="1:25" ht="12.6">
      <c r="A29" s="265" t="s">
        <v>1300</v>
      </c>
      <c r="B29" s="265" t="s">
        <v>1451</v>
      </c>
      <c r="C29" s="265" t="s">
        <v>1468</v>
      </c>
      <c r="D29" s="265" t="s">
        <v>26</v>
      </c>
      <c r="E29" s="265" t="s">
        <v>172</v>
      </c>
      <c r="F29" s="265" t="s">
        <v>27</v>
      </c>
      <c r="G29" s="265" t="s">
        <v>163</v>
      </c>
      <c r="H29" s="266"/>
      <c r="I29" s="265" t="s">
        <v>1469</v>
      </c>
      <c r="J29" s="267" t="s">
        <v>165</v>
      </c>
      <c r="K29" s="267" t="s">
        <v>40</v>
      </c>
      <c r="L29" s="267" t="s">
        <v>118</v>
      </c>
      <c r="M29" s="268">
        <v>44824</v>
      </c>
      <c r="N29" s="268"/>
      <c r="O29" s="267"/>
      <c r="P29" s="269"/>
      <c r="Q29" s="270"/>
      <c r="R29" s="270"/>
      <c r="S29" s="267" t="s">
        <v>119</v>
      </c>
      <c r="T29" s="267" t="s">
        <v>153</v>
      </c>
      <c r="U29" s="267" t="s">
        <v>153</v>
      </c>
      <c r="V29" s="267" t="s">
        <v>167</v>
      </c>
      <c r="W29" s="267" t="s">
        <v>167</v>
      </c>
      <c r="X29" s="267"/>
      <c r="Y29" s="267"/>
    </row>
    <row r="30" spans="1:25" ht="12.6">
      <c r="A30" s="265" t="s">
        <v>1300</v>
      </c>
      <c r="B30" s="265" t="s">
        <v>1451</v>
      </c>
      <c r="C30" s="265" t="s">
        <v>1470</v>
      </c>
      <c r="D30" s="265" t="s">
        <v>50</v>
      </c>
      <c r="E30" s="265" t="s">
        <v>568</v>
      </c>
      <c r="F30" s="265" t="s">
        <v>27</v>
      </c>
      <c r="G30" s="265" t="s">
        <v>1471</v>
      </c>
      <c r="H30" s="266"/>
      <c r="I30" s="265" t="s">
        <v>1455</v>
      </c>
      <c r="J30" s="267" t="s">
        <v>165</v>
      </c>
      <c r="K30" s="267" t="s">
        <v>40</v>
      </c>
      <c r="L30" s="267" t="s">
        <v>118</v>
      </c>
      <c r="M30" s="268">
        <v>44824</v>
      </c>
      <c r="N30" s="268"/>
      <c r="O30" s="267"/>
      <c r="P30" s="269"/>
      <c r="Q30" s="270"/>
      <c r="R30" s="270"/>
      <c r="S30" s="267" t="s">
        <v>119</v>
      </c>
      <c r="T30" s="267" t="s">
        <v>153</v>
      </c>
      <c r="U30" s="267" t="s">
        <v>153</v>
      </c>
      <c r="V30" s="267" t="s">
        <v>167</v>
      </c>
      <c r="W30" s="267" t="s">
        <v>167</v>
      </c>
      <c r="X30" s="267"/>
      <c r="Y30" s="267"/>
    </row>
    <row r="31" spans="1:25" ht="12.6">
      <c r="A31" s="265" t="s">
        <v>1300</v>
      </c>
      <c r="B31" s="265" t="s">
        <v>1451</v>
      </c>
      <c r="C31" s="265" t="s">
        <v>1472</v>
      </c>
      <c r="D31" s="265" t="s">
        <v>26</v>
      </c>
      <c r="E31" s="265" t="s">
        <v>172</v>
      </c>
      <c r="F31" s="265" t="s">
        <v>27</v>
      </c>
      <c r="G31" s="265" t="s">
        <v>173</v>
      </c>
      <c r="H31" s="266"/>
      <c r="I31" s="265" t="s">
        <v>1455</v>
      </c>
      <c r="J31" s="267" t="s">
        <v>165</v>
      </c>
      <c r="K31" s="267" t="s">
        <v>40</v>
      </c>
      <c r="L31" s="267" t="s">
        <v>118</v>
      </c>
      <c r="M31" s="268"/>
      <c r="N31" s="268"/>
      <c r="O31" s="267"/>
      <c r="P31" s="269"/>
      <c r="Q31" s="270"/>
      <c r="R31" s="270"/>
      <c r="S31" s="267" t="s">
        <v>166</v>
      </c>
      <c r="T31" s="267" t="s">
        <v>120</v>
      </c>
      <c r="U31" s="267" t="s">
        <v>153</v>
      </c>
      <c r="V31" s="267" t="s">
        <v>167</v>
      </c>
      <c r="W31" s="267" t="s">
        <v>167</v>
      </c>
      <c r="X31" s="267"/>
      <c r="Y31" s="267"/>
    </row>
    <row r="32" spans="1:25" ht="12.6">
      <c r="A32" s="265" t="s">
        <v>1406</v>
      </c>
      <c r="B32" s="265" t="s">
        <v>66</v>
      </c>
      <c r="C32" s="265" t="s">
        <v>1473</v>
      </c>
      <c r="D32" s="265" t="s">
        <v>50</v>
      </c>
      <c r="E32" s="265" t="s">
        <v>463</v>
      </c>
      <c r="F32" s="265" t="s">
        <v>39</v>
      </c>
      <c r="G32" s="265" t="s">
        <v>205</v>
      </c>
      <c r="H32" s="266"/>
      <c r="I32" s="265" t="s">
        <v>1474</v>
      </c>
      <c r="J32" s="267" t="s">
        <v>28</v>
      </c>
      <c r="K32" s="267" t="s">
        <v>52</v>
      </c>
      <c r="L32" s="267" t="s">
        <v>118</v>
      </c>
      <c r="M32" s="268"/>
      <c r="N32" s="268"/>
      <c r="O32" s="267"/>
      <c r="P32" s="269"/>
      <c r="Q32" s="270"/>
      <c r="R32" s="270"/>
      <c r="S32" s="267" t="s">
        <v>166</v>
      </c>
      <c r="T32" s="267" t="s">
        <v>120</v>
      </c>
      <c r="U32" s="267" t="s">
        <v>153</v>
      </c>
      <c r="V32" s="267" t="s">
        <v>167</v>
      </c>
      <c r="W32" s="267" t="s">
        <v>167</v>
      </c>
      <c r="X32" s="267"/>
      <c r="Y32" s="267"/>
    </row>
    <row r="33" spans="1:25" ht="12.6">
      <c r="A33" s="265" t="s">
        <v>1406</v>
      </c>
      <c r="B33" s="265" t="s">
        <v>66</v>
      </c>
      <c r="C33" s="265" t="s">
        <v>1475</v>
      </c>
      <c r="D33" s="265" t="s">
        <v>50</v>
      </c>
      <c r="E33" s="265" t="s">
        <v>463</v>
      </c>
      <c r="F33" s="265" t="s">
        <v>39</v>
      </c>
      <c r="G33" s="265" t="s">
        <v>205</v>
      </c>
      <c r="H33" s="266"/>
      <c r="I33" s="265" t="s">
        <v>1474</v>
      </c>
      <c r="J33" s="267" t="s">
        <v>28</v>
      </c>
      <c r="K33" s="267" t="s">
        <v>52</v>
      </c>
      <c r="L33" s="267" t="s">
        <v>118</v>
      </c>
      <c r="M33" s="268"/>
      <c r="N33" s="268"/>
      <c r="O33" s="267"/>
      <c r="P33" s="269"/>
      <c r="Q33" s="270"/>
      <c r="R33" s="270"/>
      <c r="S33" s="267" t="s">
        <v>166</v>
      </c>
      <c r="T33" s="267" t="s">
        <v>120</v>
      </c>
      <c r="U33" s="267" t="s">
        <v>153</v>
      </c>
      <c r="V33" s="267" t="s">
        <v>167</v>
      </c>
      <c r="W33" s="267" t="s">
        <v>167</v>
      </c>
      <c r="X33" s="267"/>
      <c r="Y33" s="267"/>
    </row>
    <row r="34" spans="1:25" ht="12.6">
      <c r="A34" s="265" t="s">
        <v>1406</v>
      </c>
      <c r="B34" s="265" t="s">
        <v>66</v>
      </c>
      <c r="C34" s="265" t="s">
        <v>1476</v>
      </c>
      <c r="D34" s="265" t="s">
        <v>61</v>
      </c>
      <c r="E34" s="265" t="s">
        <v>1477</v>
      </c>
      <c r="F34" s="265" t="s">
        <v>27</v>
      </c>
      <c r="G34" s="265" t="s">
        <v>163</v>
      </c>
      <c r="H34" s="266"/>
      <c r="I34" s="265" t="s">
        <v>1478</v>
      </c>
      <c r="J34" s="267" t="s">
        <v>165</v>
      </c>
      <c r="K34" s="267" t="s">
        <v>40</v>
      </c>
      <c r="L34" s="267" t="s">
        <v>118</v>
      </c>
      <c r="M34" s="268">
        <v>44756</v>
      </c>
      <c r="N34" s="268"/>
      <c r="O34" s="267"/>
      <c r="P34" s="269"/>
      <c r="Q34" s="270"/>
      <c r="R34" s="270"/>
      <c r="S34" s="267" t="s">
        <v>119</v>
      </c>
      <c r="T34" s="267" t="s">
        <v>153</v>
      </c>
      <c r="U34" s="267" t="s">
        <v>199</v>
      </c>
      <c r="V34" s="267"/>
      <c r="W34" s="267"/>
      <c r="X34" s="267"/>
      <c r="Y34" s="267"/>
    </row>
    <row r="35" spans="1:25" ht="12.6">
      <c r="A35" s="265" t="s">
        <v>1406</v>
      </c>
      <c r="B35" s="265" t="s">
        <v>66</v>
      </c>
      <c r="C35" s="265" t="s">
        <v>1479</v>
      </c>
      <c r="D35" s="265" t="s">
        <v>61</v>
      </c>
      <c r="E35" s="265" t="s">
        <v>1477</v>
      </c>
      <c r="F35" s="265" t="s">
        <v>27</v>
      </c>
      <c r="G35" s="265" t="s">
        <v>163</v>
      </c>
      <c r="H35" s="266"/>
      <c r="I35" s="265" t="s">
        <v>1478</v>
      </c>
      <c r="J35" s="267" t="s">
        <v>165</v>
      </c>
      <c r="K35" s="267" t="s">
        <v>40</v>
      </c>
      <c r="L35" s="267" t="s">
        <v>118</v>
      </c>
      <c r="M35" s="268">
        <v>44756</v>
      </c>
      <c r="N35" s="268"/>
      <c r="O35" s="267"/>
      <c r="P35" s="269"/>
      <c r="Q35" s="270"/>
      <c r="R35" s="270"/>
      <c r="S35" s="267" t="s">
        <v>119</v>
      </c>
      <c r="T35" s="267" t="s">
        <v>153</v>
      </c>
      <c r="U35" s="267"/>
      <c r="V35" s="267"/>
      <c r="W35" s="267"/>
      <c r="X35" s="267"/>
      <c r="Y35" s="267"/>
    </row>
    <row r="36" spans="1:25" ht="12.6">
      <c r="A36" s="265" t="s">
        <v>1406</v>
      </c>
      <c r="B36" s="265" t="s">
        <v>66</v>
      </c>
      <c r="C36" s="265" t="s">
        <v>1480</v>
      </c>
      <c r="D36" s="265" t="s">
        <v>26</v>
      </c>
      <c r="E36" s="265" t="s">
        <v>172</v>
      </c>
      <c r="F36" s="265" t="s">
        <v>27</v>
      </c>
      <c r="G36" s="265" t="s">
        <v>227</v>
      </c>
      <c r="H36" s="266"/>
      <c r="I36" s="265" t="s">
        <v>1481</v>
      </c>
      <c r="J36" s="267" t="s">
        <v>165</v>
      </c>
      <c r="K36" s="267" t="s">
        <v>40</v>
      </c>
      <c r="L36" s="267" t="s">
        <v>118</v>
      </c>
      <c r="M36" s="268">
        <v>44764</v>
      </c>
      <c r="N36" s="268"/>
      <c r="O36" s="267"/>
      <c r="P36" s="269"/>
      <c r="Q36" s="270"/>
      <c r="R36" s="270"/>
      <c r="S36" s="267" t="s">
        <v>119</v>
      </c>
      <c r="T36" s="267" t="s">
        <v>1429</v>
      </c>
      <c r="U36" s="267"/>
      <c r="V36" s="267"/>
      <c r="W36" s="267"/>
      <c r="X36" s="267"/>
      <c r="Y36" s="267"/>
    </row>
    <row r="37" spans="1:25" ht="12.6">
      <c r="A37" s="265" t="s">
        <v>1406</v>
      </c>
      <c r="B37" s="265" t="s">
        <v>66</v>
      </c>
      <c r="C37" s="265" t="s">
        <v>1482</v>
      </c>
      <c r="D37" s="265" t="s">
        <v>61</v>
      </c>
      <c r="E37" s="265" t="s">
        <v>338</v>
      </c>
      <c r="F37" s="265" t="s">
        <v>27</v>
      </c>
      <c r="G37" s="265" t="s">
        <v>227</v>
      </c>
      <c r="H37" s="266"/>
      <c r="I37" s="265" t="s">
        <v>1483</v>
      </c>
      <c r="J37" s="267" t="s">
        <v>165</v>
      </c>
      <c r="K37" s="267" t="s">
        <v>40</v>
      </c>
      <c r="L37" s="267" t="s">
        <v>118</v>
      </c>
      <c r="M37" s="268">
        <v>44764</v>
      </c>
      <c r="N37" s="268"/>
      <c r="O37" s="267"/>
      <c r="P37" s="269"/>
      <c r="Q37" s="270"/>
      <c r="R37" s="270"/>
      <c r="S37" s="267" t="s">
        <v>119</v>
      </c>
      <c r="T37" s="267" t="s">
        <v>1429</v>
      </c>
      <c r="U37" s="267"/>
      <c r="V37" s="267"/>
      <c r="W37" s="267"/>
      <c r="X37" s="267"/>
      <c r="Y37" s="267"/>
    </row>
    <row r="38" spans="1:25" ht="12.6">
      <c r="A38" s="265" t="s">
        <v>1406</v>
      </c>
      <c r="B38" s="265" t="s">
        <v>66</v>
      </c>
      <c r="C38" s="265" t="s">
        <v>1484</v>
      </c>
      <c r="D38" s="265" t="s">
        <v>61</v>
      </c>
      <c r="E38" s="265" t="s">
        <v>1477</v>
      </c>
      <c r="F38" s="265" t="s">
        <v>27</v>
      </c>
      <c r="G38" s="265" t="s">
        <v>163</v>
      </c>
      <c r="H38" s="266"/>
      <c r="I38" s="265" t="s">
        <v>1485</v>
      </c>
      <c r="J38" s="267" t="s">
        <v>165</v>
      </c>
      <c r="K38" s="267" t="s">
        <v>40</v>
      </c>
      <c r="L38" s="267" t="s">
        <v>118</v>
      </c>
      <c r="M38" s="268">
        <v>44763</v>
      </c>
      <c r="N38" s="268"/>
      <c r="O38" s="267"/>
      <c r="P38" s="269"/>
      <c r="Q38" s="270"/>
      <c r="R38" s="270"/>
      <c r="S38" s="267" t="s">
        <v>119</v>
      </c>
      <c r="T38" s="267" t="s">
        <v>120</v>
      </c>
      <c r="U38" s="267" t="s">
        <v>248</v>
      </c>
      <c r="V38" s="267"/>
      <c r="W38" s="267"/>
      <c r="X38" s="267"/>
      <c r="Y38" s="267"/>
    </row>
    <row r="39" spans="1:25" ht="12.6">
      <c r="A39" s="265" t="s">
        <v>1406</v>
      </c>
      <c r="B39" s="265" t="s">
        <v>66</v>
      </c>
      <c r="C39" s="265" t="s">
        <v>1486</v>
      </c>
      <c r="D39" s="265" t="s">
        <v>26</v>
      </c>
      <c r="E39" s="265" t="s">
        <v>172</v>
      </c>
      <c r="F39" s="265" t="s">
        <v>27</v>
      </c>
      <c r="G39" s="265" t="s">
        <v>227</v>
      </c>
      <c r="H39" s="266"/>
      <c r="I39" s="265" t="s">
        <v>1487</v>
      </c>
      <c r="J39" s="267" t="s">
        <v>165</v>
      </c>
      <c r="K39" s="267" t="s">
        <v>40</v>
      </c>
      <c r="L39" s="267" t="s">
        <v>118</v>
      </c>
      <c r="M39" s="268">
        <v>44763</v>
      </c>
      <c r="N39" s="268"/>
      <c r="O39" s="267"/>
      <c r="P39" s="269"/>
      <c r="Q39" s="270"/>
      <c r="R39" s="270"/>
      <c r="S39" s="267" t="s">
        <v>119</v>
      </c>
      <c r="T39" s="267" t="s">
        <v>1429</v>
      </c>
      <c r="U39" s="267"/>
      <c r="V39" s="267"/>
      <c r="W39" s="267"/>
      <c r="X39" s="267"/>
      <c r="Y39" s="267"/>
    </row>
    <row r="40" spans="1:25" ht="12.6">
      <c r="A40" s="265" t="s">
        <v>1406</v>
      </c>
      <c r="B40" s="265" t="s">
        <v>66</v>
      </c>
      <c r="C40" s="265" t="s">
        <v>1488</v>
      </c>
      <c r="D40" s="265" t="s">
        <v>61</v>
      </c>
      <c r="E40" s="265" t="s">
        <v>1477</v>
      </c>
      <c r="F40" s="265" t="s">
        <v>27</v>
      </c>
      <c r="G40" s="265" t="s">
        <v>163</v>
      </c>
      <c r="H40" s="266"/>
      <c r="I40" s="265" t="s">
        <v>1487</v>
      </c>
      <c r="J40" s="267" t="s">
        <v>165</v>
      </c>
      <c r="K40" s="267" t="s">
        <v>40</v>
      </c>
      <c r="L40" s="267" t="s">
        <v>118</v>
      </c>
      <c r="M40" s="268">
        <v>44763</v>
      </c>
      <c r="N40" s="268"/>
      <c r="O40" s="267"/>
      <c r="P40" s="269"/>
      <c r="Q40" s="270"/>
      <c r="R40" s="270"/>
      <c r="S40" s="267" t="s">
        <v>119</v>
      </c>
      <c r="T40" s="267" t="s">
        <v>1429</v>
      </c>
      <c r="U40" s="267"/>
      <c r="V40" s="267"/>
      <c r="W40" s="267"/>
      <c r="X40" s="267"/>
      <c r="Y40" s="267"/>
    </row>
    <row r="41" spans="1:25" ht="12.6">
      <c r="A41" s="265" t="s">
        <v>1406</v>
      </c>
      <c r="B41" s="265" t="s">
        <v>66</v>
      </c>
      <c r="C41" s="265" t="s">
        <v>1489</v>
      </c>
      <c r="D41" s="265" t="s">
        <v>50</v>
      </c>
      <c r="E41" s="265" t="s">
        <v>463</v>
      </c>
      <c r="F41" s="265" t="s">
        <v>27</v>
      </c>
      <c r="G41" s="265" t="s">
        <v>279</v>
      </c>
      <c r="H41" s="266"/>
      <c r="I41" s="265" t="s">
        <v>1490</v>
      </c>
      <c r="J41" s="267" t="s">
        <v>28</v>
      </c>
      <c r="K41" s="267" t="s">
        <v>28</v>
      </c>
      <c r="L41" s="267" t="s">
        <v>118</v>
      </c>
      <c r="M41" s="268">
        <v>44764</v>
      </c>
      <c r="N41" s="268"/>
      <c r="O41" s="267"/>
      <c r="P41" s="269"/>
      <c r="Q41" s="270"/>
      <c r="R41" s="270"/>
      <c r="S41" s="267" t="s">
        <v>119</v>
      </c>
      <c r="T41" s="267" t="s">
        <v>1429</v>
      </c>
      <c r="U41" s="267"/>
      <c r="V41" s="267"/>
      <c r="W41" s="267"/>
      <c r="X41" s="267"/>
      <c r="Y41" s="267"/>
    </row>
    <row r="42" spans="1:25" ht="12.6">
      <c r="A42" s="265" t="s">
        <v>1406</v>
      </c>
      <c r="B42" s="265" t="s">
        <v>66</v>
      </c>
      <c r="C42" s="265" t="s">
        <v>1491</v>
      </c>
      <c r="D42" s="265" t="s">
        <v>50</v>
      </c>
      <c r="E42" s="265" t="s">
        <v>482</v>
      </c>
      <c r="F42" s="265" t="s">
        <v>27</v>
      </c>
      <c r="G42" s="265" t="s">
        <v>205</v>
      </c>
      <c r="H42" s="266"/>
      <c r="I42" s="265" t="s">
        <v>1490</v>
      </c>
      <c r="J42" s="267" t="s">
        <v>28</v>
      </c>
      <c r="K42" s="267" t="s">
        <v>28</v>
      </c>
      <c r="L42" s="267" t="s">
        <v>118</v>
      </c>
      <c r="M42" s="268">
        <v>44764</v>
      </c>
      <c r="N42" s="268"/>
      <c r="O42" s="267"/>
      <c r="P42" s="269"/>
      <c r="Q42" s="270"/>
      <c r="R42" s="270"/>
      <c r="S42" s="267" t="s">
        <v>119</v>
      </c>
      <c r="T42" s="267" t="s">
        <v>1429</v>
      </c>
      <c r="U42" s="267"/>
      <c r="V42" s="267"/>
      <c r="W42" s="267"/>
      <c r="X42" s="267"/>
      <c r="Y42" s="267"/>
    </row>
    <row r="43" spans="1:25" ht="12.6">
      <c r="A43" s="265" t="s">
        <v>1406</v>
      </c>
      <c r="B43" s="265" t="s">
        <v>66</v>
      </c>
      <c r="C43" s="265" t="s">
        <v>1492</v>
      </c>
      <c r="D43" s="265" t="s">
        <v>61</v>
      </c>
      <c r="E43" s="265" t="s">
        <v>1477</v>
      </c>
      <c r="F43" s="265" t="s">
        <v>27</v>
      </c>
      <c r="G43" s="265" t="s">
        <v>163</v>
      </c>
      <c r="H43" s="266"/>
      <c r="I43" s="265" t="s">
        <v>1493</v>
      </c>
      <c r="J43" s="267" t="s">
        <v>165</v>
      </c>
      <c r="K43" s="267" t="s">
        <v>40</v>
      </c>
      <c r="L43" s="267" t="s">
        <v>118</v>
      </c>
      <c r="M43" s="268">
        <v>44755</v>
      </c>
      <c r="N43" s="268"/>
      <c r="O43" s="267"/>
      <c r="P43" s="269"/>
      <c r="Q43" s="270"/>
      <c r="R43" s="270"/>
      <c r="S43" s="267" t="s">
        <v>119</v>
      </c>
      <c r="T43" s="267" t="s">
        <v>153</v>
      </c>
      <c r="U43" s="267"/>
      <c r="V43" s="267"/>
      <c r="W43" s="267"/>
      <c r="X43" s="267"/>
      <c r="Y43" s="267"/>
    </row>
    <row r="44" spans="1:25" ht="12.6">
      <c r="A44" s="265" t="s">
        <v>1406</v>
      </c>
      <c r="B44" s="265" t="s">
        <v>66</v>
      </c>
      <c r="C44" s="265" t="s">
        <v>1494</v>
      </c>
      <c r="D44" s="265" t="s">
        <v>61</v>
      </c>
      <c r="E44" s="265" t="s">
        <v>1477</v>
      </c>
      <c r="F44" s="265" t="s">
        <v>27</v>
      </c>
      <c r="G44" s="265" t="s">
        <v>163</v>
      </c>
      <c r="H44" s="266"/>
      <c r="I44" s="265" t="s">
        <v>1493</v>
      </c>
      <c r="J44" s="267" t="s">
        <v>165</v>
      </c>
      <c r="K44" s="267" t="s">
        <v>40</v>
      </c>
      <c r="L44" s="267" t="s">
        <v>118</v>
      </c>
      <c r="M44" s="268">
        <v>44755</v>
      </c>
      <c r="N44" s="268"/>
      <c r="O44" s="267"/>
      <c r="P44" s="269"/>
      <c r="Q44" s="270"/>
      <c r="R44" s="270"/>
      <c r="S44" s="267" t="s">
        <v>119</v>
      </c>
      <c r="T44" s="267" t="s">
        <v>153</v>
      </c>
      <c r="U44" s="267"/>
      <c r="V44" s="267"/>
      <c r="W44" s="267"/>
      <c r="X44" s="267"/>
      <c r="Y44" s="267" t="s">
        <v>1495</v>
      </c>
    </row>
    <row r="45" spans="1:25" ht="12.6">
      <c r="A45" s="265" t="s">
        <v>1406</v>
      </c>
      <c r="B45" s="265" t="s">
        <v>66</v>
      </c>
      <c r="C45" s="265" t="s">
        <v>1496</v>
      </c>
      <c r="D45" s="265" t="s">
        <v>61</v>
      </c>
      <c r="E45" s="265" t="s">
        <v>1477</v>
      </c>
      <c r="F45" s="265" t="s">
        <v>27</v>
      </c>
      <c r="G45" s="265" t="s">
        <v>163</v>
      </c>
      <c r="H45" s="266"/>
      <c r="I45" s="265" t="s">
        <v>1497</v>
      </c>
      <c r="J45" s="267" t="s">
        <v>165</v>
      </c>
      <c r="K45" s="267" t="s">
        <v>40</v>
      </c>
      <c r="L45" s="267" t="s">
        <v>118</v>
      </c>
      <c r="M45" s="268">
        <v>44755</v>
      </c>
      <c r="N45" s="268"/>
      <c r="O45" s="267"/>
      <c r="P45" s="269"/>
      <c r="Q45" s="270"/>
      <c r="R45" s="270"/>
      <c r="S45" s="267" t="s">
        <v>119</v>
      </c>
      <c r="T45" s="267" t="s">
        <v>153</v>
      </c>
      <c r="U45" s="267"/>
      <c r="V45" s="267"/>
      <c r="W45" s="267"/>
      <c r="X45" s="267"/>
      <c r="Y45" s="267"/>
    </row>
    <row r="46" spans="1:25" ht="12.6">
      <c r="A46" s="265" t="s">
        <v>1406</v>
      </c>
      <c r="B46" s="265" t="s">
        <v>66</v>
      </c>
      <c r="C46" s="265" t="s">
        <v>1498</v>
      </c>
      <c r="D46" s="265" t="s">
        <v>61</v>
      </c>
      <c r="E46" s="265" t="s">
        <v>1477</v>
      </c>
      <c r="F46" s="265" t="s">
        <v>27</v>
      </c>
      <c r="G46" s="265" t="s">
        <v>163</v>
      </c>
      <c r="H46" s="266"/>
      <c r="I46" s="265" t="s">
        <v>1497</v>
      </c>
      <c r="J46" s="267" t="s">
        <v>165</v>
      </c>
      <c r="K46" s="267" t="s">
        <v>40</v>
      </c>
      <c r="L46" s="267" t="s">
        <v>118</v>
      </c>
      <c r="M46" s="268">
        <v>44755</v>
      </c>
      <c r="N46" s="268"/>
      <c r="O46" s="267"/>
      <c r="P46" s="269"/>
      <c r="Q46" s="270"/>
      <c r="R46" s="270"/>
      <c r="S46" s="267" t="s">
        <v>119</v>
      </c>
      <c r="T46" s="267" t="s">
        <v>153</v>
      </c>
      <c r="U46" s="267"/>
      <c r="V46" s="267"/>
      <c r="W46" s="267"/>
      <c r="X46" s="267"/>
      <c r="Y46" s="267"/>
    </row>
    <row r="47" spans="1:25" ht="12.6">
      <c r="A47" s="265" t="s">
        <v>1406</v>
      </c>
      <c r="B47" s="265" t="s">
        <v>66</v>
      </c>
      <c r="C47" s="265" t="s">
        <v>1499</v>
      </c>
      <c r="D47" s="265" t="s">
        <v>61</v>
      </c>
      <c r="E47" s="265" t="s">
        <v>1477</v>
      </c>
      <c r="F47" s="265" t="s">
        <v>27</v>
      </c>
      <c r="G47" s="265" t="s">
        <v>163</v>
      </c>
      <c r="H47" s="266"/>
      <c r="I47" s="265" t="s">
        <v>1500</v>
      </c>
      <c r="J47" s="267" t="s">
        <v>165</v>
      </c>
      <c r="K47" s="267" t="s">
        <v>40</v>
      </c>
      <c r="L47" s="267" t="s">
        <v>118</v>
      </c>
      <c r="M47" s="268">
        <v>44757</v>
      </c>
      <c r="N47" s="268"/>
      <c r="O47" s="267"/>
      <c r="P47" s="269"/>
      <c r="Q47" s="270"/>
      <c r="R47" s="270"/>
      <c r="S47" s="267" t="s">
        <v>119</v>
      </c>
      <c r="T47" s="267" t="s">
        <v>153</v>
      </c>
      <c r="U47" s="267"/>
      <c r="V47" s="267"/>
      <c r="W47" s="267"/>
      <c r="X47" s="267"/>
      <c r="Y47" s="267"/>
    </row>
    <row r="48" spans="1:25" ht="12.6">
      <c r="A48" s="265" t="s">
        <v>1406</v>
      </c>
      <c r="B48" s="265" t="s">
        <v>66</v>
      </c>
      <c r="C48" s="265" t="s">
        <v>1501</v>
      </c>
      <c r="D48" s="265" t="s">
        <v>61</v>
      </c>
      <c r="E48" s="265" t="s">
        <v>1477</v>
      </c>
      <c r="F48" s="265" t="s">
        <v>27</v>
      </c>
      <c r="G48" s="265" t="s">
        <v>163</v>
      </c>
      <c r="H48" s="266"/>
      <c r="I48" s="265" t="s">
        <v>1500</v>
      </c>
      <c r="J48" s="267" t="s">
        <v>165</v>
      </c>
      <c r="K48" s="267" t="s">
        <v>40</v>
      </c>
      <c r="L48" s="267" t="s">
        <v>118</v>
      </c>
      <c r="M48" s="268">
        <v>44757</v>
      </c>
      <c r="N48" s="268"/>
      <c r="O48" s="267"/>
      <c r="P48" s="269"/>
      <c r="Q48" s="270"/>
      <c r="R48" s="270"/>
      <c r="S48" s="267" t="s">
        <v>119</v>
      </c>
      <c r="T48" s="267" t="s">
        <v>153</v>
      </c>
      <c r="U48" s="267"/>
      <c r="V48" s="267"/>
      <c r="W48" s="267"/>
      <c r="X48" s="267"/>
      <c r="Y48" s="267"/>
    </row>
    <row r="49" spans="1:25" ht="12.6">
      <c r="A49" s="265" t="s">
        <v>1406</v>
      </c>
      <c r="B49" s="265" t="s">
        <v>66</v>
      </c>
      <c r="C49" s="265" t="s">
        <v>1502</v>
      </c>
      <c r="D49" s="265" t="s">
        <v>61</v>
      </c>
      <c r="E49" s="265" t="s">
        <v>1477</v>
      </c>
      <c r="F49" s="265" t="s">
        <v>27</v>
      </c>
      <c r="G49" s="265" t="s">
        <v>163</v>
      </c>
      <c r="H49" s="266"/>
      <c r="I49" s="265" t="s">
        <v>1503</v>
      </c>
      <c r="J49" s="267" t="s">
        <v>165</v>
      </c>
      <c r="K49" s="267" t="s">
        <v>40</v>
      </c>
      <c r="L49" s="267" t="s">
        <v>118</v>
      </c>
      <c r="M49" s="268">
        <v>44757</v>
      </c>
      <c r="N49" s="268"/>
      <c r="O49" s="267"/>
      <c r="P49" s="269"/>
      <c r="Q49" s="270"/>
      <c r="R49" s="270"/>
      <c r="S49" s="267" t="s">
        <v>119</v>
      </c>
      <c r="T49" s="267" t="s">
        <v>153</v>
      </c>
      <c r="U49" s="267"/>
      <c r="V49" s="267"/>
      <c r="W49" s="267"/>
      <c r="X49" s="267"/>
      <c r="Y49" s="267"/>
    </row>
    <row r="50" spans="1:25" ht="12.6">
      <c r="A50" s="265" t="s">
        <v>1406</v>
      </c>
      <c r="B50" s="265" t="s">
        <v>66</v>
      </c>
      <c r="C50" s="265" t="s">
        <v>1504</v>
      </c>
      <c r="D50" s="265" t="s">
        <v>61</v>
      </c>
      <c r="E50" s="265" t="s">
        <v>1477</v>
      </c>
      <c r="F50" s="265" t="s">
        <v>27</v>
      </c>
      <c r="G50" s="265" t="s">
        <v>163</v>
      </c>
      <c r="H50" s="266"/>
      <c r="I50" s="265" t="s">
        <v>1503</v>
      </c>
      <c r="J50" s="267" t="s">
        <v>165</v>
      </c>
      <c r="K50" s="267" t="s">
        <v>40</v>
      </c>
      <c r="L50" s="267" t="s">
        <v>118</v>
      </c>
      <c r="M50" s="268">
        <v>44757</v>
      </c>
      <c r="N50" s="268"/>
      <c r="O50" s="267"/>
      <c r="P50" s="269"/>
      <c r="Q50" s="270"/>
      <c r="R50" s="270"/>
      <c r="S50" s="267" t="s">
        <v>119</v>
      </c>
      <c r="T50" s="267" t="s">
        <v>153</v>
      </c>
      <c r="U50" s="267"/>
      <c r="V50" s="267"/>
      <c r="W50" s="267"/>
      <c r="X50" s="267"/>
      <c r="Y50" s="267"/>
    </row>
    <row r="51" spans="1:25" ht="12.6">
      <c r="A51" s="265" t="s">
        <v>1406</v>
      </c>
      <c r="B51" s="265" t="s">
        <v>66</v>
      </c>
      <c r="C51" s="265" t="s">
        <v>1505</v>
      </c>
      <c r="D51" s="265" t="s">
        <v>61</v>
      </c>
      <c r="E51" s="265" t="s">
        <v>1477</v>
      </c>
      <c r="F51" s="265" t="s">
        <v>27</v>
      </c>
      <c r="G51" s="265" t="s">
        <v>163</v>
      </c>
      <c r="H51" s="266"/>
      <c r="I51" s="265" t="s">
        <v>1506</v>
      </c>
      <c r="J51" s="267" t="s">
        <v>165</v>
      </c>
      <c r="K51" s="267" t="s">
        <v>40</v>
      </c>
      <c r="L51" s="267" t="s">
        <v>118</v>
      </c>
      <c r="M51" s="268">
        <v>44757</v>
      </c>
      <c r="N51" s="268"/>
      <c r="O51" s="267"/>
      <c r="P51" s="269"/>
      <c r="Q51" s="270"/>
      <c r="R51" s="270"/>
      <c r="S51" s="267" t="s">
        <v>119</v>
      </c>
      <c r="T51" s="267" t="s">
        <v>153</v>
      </c>
      <c r="U51" s="267"/>
      <c r="V51" s="267"/>
      <c r="W51" s="267"/>
      <c r="X51" s="267"/>
      <c r="Y51" s="267"/>
    </row>
    <row r="52" spans="1:25" ht="12.6">
      <c r="A52" s="265" t="s">
        <v>1406</v>
      </c>
      <c r="B52" s="265" t="s">
        <v>66</v>
      </c>
      <c r="C52" s="265" t="s">
        <v>1507</v>
      </c>
      <c r="D52" s="265" t="s">
        <v>61</v>
      </c>
      <c r="E52" s="265" t="s">
        <v>1477</v>
      </c>
      <c r="F52" s="265" t="s">
        <v>27</v>
      </c>
      <c r="G52" s="265" t="s">
        <v>163</v>
      </c>
      <c r="H52" s="266"/>
      <c r="I52" s="265" t="s">
        <v>1506</v>
      </c>
      <c r="J52" s="267" t="s">
        <v>165</v>
      </c>
      <c r="K52" s="267" t="s">
        <v>40</v>
      </c>
      <c r="L52" s="267" t="s">
        <v>118</v>
      </c>
      <c r="M52" s="268">
        <v>44757</v>
      </c>
      <c r="N52" s="268"/>
      <c r="O52" s="267"/>
      <c r="P52" s="269"/>
      <c r="Q52" s="270"/>
      <c r="R52" s="270"/>
      <c r="S52" s="267" t="s">
        <v>119</v>
      </c>
      <c r="T52" s="267" t="s">
        <v>153</v>
      </c>
      <c r="U52" s="267"/>
      <c r="V52" s="267"/>
      <c r="W52" s="267"/>
      <c r="X52" s="267"/>
      <c r="Y52" s="267"/>
    </row>
    <row r="53" spans="1:25" ht="12.6">
      <c r="A53" s="265" t="s">
        <v>1406</v>
      </c>
      <c r="B53" s="265" t="s">
        <v>66</v>
      </c>
      <c r="C53" s="265" t="s">
        <v>1508</v>
      </c>
      <c r="D53" s="265" t="s">
        <v>61</v>
      </c>
      <c r="E53" s="265" t="s">
        <v>1477</v>
      </c>
      <c r="F53" s="265" t="s">
        <v>27</v>
      </c>
      <c r="G53" s="265" t="s">
        <v>163</v>
      </c>
      <c r="H53" s="266"/>
      <c r="I53" s="265" t="s">
        <v>1509</v>
      </c>
      <c r="J53" s="267" t="s">
        <v>165</v>
      </c>
      <c r="K53" s="267" t="s">
        <v>40</v>
      </c>
      <c r="L53" s="267" t="s">
        <v>118</v>
      </c>
      <c r="M53" s="268">
        <v>44757</v>
      </c>
      <c r="N53" s="268"/>
      <c r="O53" s="267"/>
      <c r="P53" s="269"/>
      <c r="Q53" s="270"/>
      <c r="R53" s="270"/>
      <c r="S53" s="267" t="s">
        <v>119</v>
      </c>
      <c r="T53" s="267" t="s">
        <v>153</v>
      </c>
      <c r="U53" s="267"/>
      <c r="V53" s="267"/>
      <c r="W53" s="267"/>
      <c r="X53" s="267"/>
      <c r="Y53" s="267"/>
    </row>
    <row r="54" spans="1:25" ht="12.6">
      <c r="A54" s="265" t="s">
        <v>1406</v>
      </c>
      <c r="B54" s="265" t="s">
        <v>66</v>
      </c>
      <c r="C54" s="265" t="s">
        <v>1510</v>
      </c>
      <c r="D54" s="265" t="s">
        <v>61</v>
      </c>
      <c r="E54" s="265" t="s">
        <v>1477</v>
      </c>
      <c r="F54" s="265" t="s">
        <v>27</v>
      </c>
      <c r="G54" s="265" t="s">
        <v>163</v>
      </c>
      <c r="H54" s="266"/>
      <c r="I54" s="265" t="s">
        <v>1509</v>
      </c>
      <c r="J54" s="267" t="s">
        <v>165</v>
      </c>
      <c r="K54" s="267" t="s">
        <v>40</v>
      </c>
      <c r="L54" s="267" t="s">
        <v>118</v>
      </c>
      <c r="M54" s="268">
        <v>44757</v>
      </c>
      <c r="N54" s="268"/>
      <c r="O54" s="267"/>
      <c r="P54" s="269"/>
      <c r="Q54" s="270"/>
      <c r="R54" s="270"/>
      <c r="S54" s="267" t="s">
        <v>119</v>
      </c>
      <c r="T54" s="267" t="s">
        <v>153</v>
      </c>
      <c r="U54" s="267" t="s">
        <v>248</v>
      </c>
      <c r="V54" s="267"/>
      <c r="W54" s="267"/>
      <c r="X54" s="267"/>
      <c r="Y54" s="267" t="s">
        <v>1511</v>
      </c>
    </row>
    <row r="55" spans="1:25" ht="12.6">
      <c r="A55" s="265" t="s">
        <v>1406</v>
      </c>
      <c r="B55" s="265" t="s">
        <v>66</v>
      </c>
      <c r="C55" s="265" t="s">
        <v>1512</v>
      </c>
      <c r="D55" s="265" t="s">
        <v>61</v>
      </c>
      <c r="E55" s="265" t="s">
        <v>1477</v>
      </c>
      <c r="F55" s="265" t="s">
        <v>27</v>
      </c>
      <c r="G55" s="265" t="s">
        <v>163</v>
      </c>
      <c r="H55" s="266"/>
      <c r="I55" s="265" t="s">
        <v>1513</v>
      </c>
      <c r="J55" s="267" t="s">
        <v>165</v>
      </c>
      <c r="K55" s="267" t="s">
        <v>40</v>
      </c>
      <c r="L55" s="267" t="s">
        <v>118</v>
      </c>
      <c r="M55" s="268">
        <v>44757</v>
      </c>
      <c r="N55" s="268"/>
      <c r="O55" s="267"/>
      <c r="P55" s="269"/>
      <c r="Q55" s="270"/>
      <c r="R55" s="270"/>
      <c r="S55" s="267" t="s">
        <v>119</v>
      </c>
      <c r="T55" s="267" t="s">
        <v>1429</v>
      </c>
      <c r="U55" s="267"/>
      <c r="V55" s="267"/>
      <c r="W55" s="267"/>
      <c r="X55" s="267"/>
      <c r="Y55" s="267"/>
    </row>
    <row r="56" spans="1:25" ht="12.6">
      <c r="A56" s="265" t="s">
        <v>1406</v>
      </c>
      <c r="B56" s="265" t="s">
        <v>66</v>
      </c>
      <c r="C56" s="265" t="s">
        <v>1514</v>
      </c>
      <c r="D56" s="265" t="s">
        <v>61</v>
      </c>
      <c r="E56" s="265" t="s">
        <v>1477</v>
      </c>
      <c r="F56" s="265" t="s">
        <v>27</v>
      </c>
      <c r="G56" s="265" t="s">
        <v>163</v>
      </c>
      <c r="H56" s="266"/>
      <c r="I56" s="265" t="s">
        <v>1513</v>
      </c>
      <c r="J56" s="267" t="s">
        <v>165</v>
      </c>
      <c r="K56" s="267" t="s">
        <v>40</v>
      </c>
      <c r="L56" s="267" t="s">
        <v>118</v>
      </c>
      <c r="M56" s="268">
        <v>44757</v>
      </c>
      <c r="N56" s="268"/>
      <c r="O56" s="267"/>
      <c r="P56" s="269"/>
      <c r="Q56" s="270"/>
      <c r="R56" s="270"/>
      <c r="S56" s="267" t="s">
        <v>119</v>
      </c>
      <c r="T56" s="267" t="s">
        <v>153</v>
      </c>
      <c r="U56" s="267"/>
      <c r="V56" s="267"/>
      <c r="W56" s="267"/>
      <c r="X56" s="267"/>
      <c r="Y56" s="267"/>
    </row>
    <row r="57" spans="1:25" ht="12.6">
      <c r="A57" s="265" t="s">
        <v>1406</v>
      </c>
      <c r="B57" s="265" t="s">
        <v>66</v>
      </c>
      <c r="C57" s="265" t="s">
        <v>376</v>
      </c>
      <c r="D57" s="265" t="s">
        <v>50</v>
      </c>
      <c r="E57" s="265" t="s">
        <v>482</v>
      </c>
      <c r="F57" s="265" t="s">
        <v>27</v>
      </c>
      <c r="G57" s="265" t="s">
        <v>251</v>
      </c>
      <c r="H57" s="266"/>
      <c r="I57" s="265" t="s">
        <v>1515</v>
      </c>
      <c r="J57" s="267" t="s">
        <v>28</v>
      </c>
      <c r="K57" s="267" t="s">
        <v>28</v>
      </c>
      <c r="L57" s="267" t="s">
        <v>118</v>
      </c>
      <c r="M57" s="268">
        <v>44764</v>
      </c>
      <c r="N57" s="268"/>
      <c r="O57" s="267"/>
      <c r="P57" s="269"/>
      <c r="Q57" s="270"/>
      <c r="R57" s="270"/>
      <c r="S57" s="267" t="s">
        <v>119</v>
      </c>
      <c r="T57" s="267" t="s">
        <v>153</v>
      </c>
      <c r="U57" s="267"/>
      <c r="V57" s="267"/>
      <c r="W57" s="267"/>
      <c r="X57" s="267"/>
      <c r="Y57" s="267"/>
    </row>
    <row r="58" spans="1:25" ht="12.6">
      <c r="A58" s="265" t="s">
        <v>1406</v>
      </c>
      <c r="B58" s="265" t="s">
        <v>66</v>
      </c>
      <c r="C58" s="265" t="s">
        <v>1516</v>
      </c>
      <c r="D58" s="265" t="s">
        <v>50</v>
      </c>
      <c r="E58" s="265" t="s">
        <v>482</v>
      </c>
      <c r="F58" s="265" t="s">
        <v>27</v>
      </c>
      <c r="G58" s="265" t="s">
        <v>251</v>
      </c>
      <c r="H58" s="266"/>
      <c r="I58" s="265" t="s">
        <v>1517</v>
      </c>
      <c r="J58" s="267" t="s">
        <v>28</v>
      </c>
      <c r="K58" s="267" t="s">
        <v>28</v>
      </c>
      <c r="L58" s="267" t="s">
        <v>118</v>
      </c>
      <c r="M58" s="268">
        <v>44764</v>
      </c>
      <c r="N58" s="268"/>
      <c r="O58" s="267"/>
      <c r="P58" s="269"/>
      <c r="Q58" s="270"/>
      <c r="R58" s="270"/>
      <c r="S58" s="267" t="s">
        <v>119</v>
      </c>
      <c r="T58" s="267" t="s">
        <v>1429</v>
      </c>
      <c r="U58" s="267"/>
      <c r="V58" s="267"/>
      <c r="W58" s="267"/>
      <c r="X58" s="267"/>
      <c r="Y58" s="267"/>
    </row>
    <row r="59" spans="1:25" ht="12.6">
      <c r="A59" s="265" t="s">
        <v>1406</v>
      </c>
      <c r="B59" s="265" t="s">
        <v>66</v>
      </c>
      <c r="C59" s="265" t="s">
        <v>1518</v>
      </c>
      <c r="D59" s="265" t="s">
        <v>61</v>
      </c>
      <c r="E59" s="265" t="s">
        <v>1477</v>
      </c>
      <c r="F59" s="265" t="s">
        <v>27</v>
      </c>
      <c r="G59" s="265" t="s">
        <v>163</v>
      </c>
      <c r="H59" s="266"/>
      <c r="I59" s="265" t="s">
        <v>1519</v>
      </c>
      <c r="J59" s="267" t="s">
        <v>165</v>
      </c>
      <c r="K59" s="267" t="s">
        <v>40</v>
      </c>
      <c r="L59" s="267" t="s">
        <v>118</v>
      </c>
      <c r="M59" s="268">
        <v>44757</v>
      </c>
      <c r="N59" s="268"/>
      <c r="O59" s="267"/>
      <c r="P59" s="269"/>
      <c r="Q59" s="270"/>
      <c r="R59" s="270"/>
      <c r="S59" s="267" t="s">
        <v>119</v>
      </c>
      <c r="T59" s="267" t="s">
        <v>1429</v>
      </c>
      <c r="U59" s="267"/>
      <c r="V59" s="267"/>
      <c r="W59" s="267"/>
      <c r="X59" s="267"/>
      <c r="Y59" s="267"/>
    </row>
    <row r="60" spans="1:25" ht="12.6">
      <c r="A60" s="265" t="s">
        <v>1406</v>
      </c>
      <c r="B60" s="265" t="s">
        <v>66</v>
      </c>
      <c r="C60" s="265" t="s">
        <v>1520</v>
      </c>
      <c r="D60" s="265" t="s">
        <v>61</v>
      </c>
      <c r="E60" s="265" t="s">
        <v>1477</v>
      </c>
      <c r="F60" s="265" t="s">
        <v>27</v>
      </c>
      <c r="G60" s="265" t="s">
        <v>163</v>
      </c>
      <c r="H60" s="266"/>
      <c r="I60" s="265" t="s">
        <v>1519</v>
      </c>
      <c r="J60" s="267" t="s">
        <v>165</v>
      </c>
      <c r="K60" s="267" t="s">
        <v>40</v>
      </c>
      <c r="L60" s="267" t="s">
        <v>118</v>
      </c>
      <c r="M60" s="268">
        <v>44757</v>
      </c>
      <c r="N60" s="268"/>
      <c r="O60" s="267"/>
      <c r="P60" s="269"/>
      <c r="Q60" s="270"/>
      <c r="R60" s="270"/>
      <c r="S60" s="267" t="s">
        <v>119</v>
      </c>
      <c r="T60" s="267" t="s">
        <v>1429</v>
      </c>
      <c r="U60" s="267"/>
      <c r="V60" s="267"/>
      <c r="W60" s="267"/>
      <c r="X60" s="267"/>
      <c r="Y60" s="267"/>
    </row>
    <row r="61" spans="1:25" ht="12.6">
      <c r="A61" s="265" t="s">
        <v>1521</v>
      </c>
      <c r="B61" s="265" t="s">
        <v>66</v>
      </c>
      <c r="C61" s="265" t="s">
        <v>1522</v>
      </c>
      <c r="D61" s="265" t="s">
        <v>38</v>
      </c>
      <c r="E61" s="265" t="s">
        <v>563</v>
      </c>
      <c r="F61" s="265" t="s">
        <v>39</v>
      </c>
      <c r="G61" s="265" t="s">
        <v>201</v>
      </c>
      <c r="H61" s="266"/>
      <c r="I61" s="265" t="s">
        <v>1523</v>
      </c>
      <c r="J61" s="267" t="s">
        <v>28</v>
      </c>
      <c r="K61" s="267" t="s">
        <v>52</v>
      </c>
      <c r="L61" s="267" t="s">
        <v>118</v>
      </c>
      <c r="M61" s="268">
        <v>44757</v>
      </c>
      <c r="N61" s="268"/>
      <c r="O61" s="267"/>
      <c r="P61" s="269"/>
      <c r="Q61" s="270"/>
      <c r="R61" s="270"/>
      <c r="S61" s="267" t="s">
        <v>119</v>
      </c>
      <c r="T61" s="267" t="s">
        <v>153</v>
      </c>
      <c r="U61" s="267" t="s">
        <v>153</v>
      </c>
      <c r="V61" s="267" t="s">
        <v>167</v>
      </c>
      <c r="W61" s="267" t="s">
        <v>167</v>
      </c>
      <c r="X61" s="267"/>
      <c r="Y61" s="267"/>
    </row>
    <row r="62" spans="1:25" ht="12.6">
      <c r="A62" s="265" t="s">
        <v>1521</v>
      </c>
      <c r="B62" s="265" t="s">
        <v>66</v>
      </c>
      <c r="C62" s="265" t="s">
        <v>1524</v>
      </c>
      <c r="D62" s="265" t="s">
        <v>26</v>
      </c>
      <c r="E62" s="265" t="s">
        <v>241</v>
      </c>
      <c r="F62" s="265" t="s">
        <v>39</v>
      </c>
      <c r="G62" s="265" t="s">
        <v>173</v>
      </c>
      <c r="H62" s="266"/>
      <c r="I62" s="265" t="s">
        <v>1525</v>
      </c>
      <c r="J62" s="267" t="s">
        <v>165</v>
      </c>
      <c r="K62" s="267" t="s">
        <v>28</v>
      </c>
      <c r="L62" s="267" t="s">
        <v>118</v>
      </c>
      <c r="M62" s="268">
        <v>44768</v>
      </c>
      <c r="N62" s="268"/>
      <c r="O62" s="267"/>
      <c r="P62" s="269"/>
      <c r="Q62" s="270"/>
      <c r="R62" s="270"/>
      <c r="S62" s="267" t="s">
        <v>119</v>
      </c>
      <c r="T62" s="267" t="s">
        <v>153</v>
      </c>
      <c r="U62" s="267" t="s">
        <v>199</v>
      </c>
      <c r="V62" s="267"/>
      <c r="W62" s="267"/>
      <c r="X62" s="267"/>
      <c r="Y62" s="267" t="s">
        <v>1526</v>
      </c>
    </row>
    <row r="63" spans="1:25" ht="12.6">
      <c r="A63" s="265" t="s">
        <v>1415</v>
      </c>
      <c r="B63" s="265" t="s">
        <v>66</v>
      </c>
      <c r="C63" s="265" t="s">
        <v>1527</v>
      </c>
      <c r="D63" s="265" t="s">
        <v>50</v>
      </c>
      <c r="E63" s="265" t="s">
        <v>482</v>
      </c>
      <c r="F63" s="265" t="s">
        <v>27</v>
      </c>
      <c r="G63" s="265" t="s">
        <v>181</v>
      </c>
      <c r="H63" s="266"/>
      <c r="I63" s="265" t="s">
        <v>1528</v>
      </c>
      <c r="J63" s="267" t="s">
        <v>28</v>
      </c>
      <c r="K63" s="267" t="s">
        <v>28</v>
      </c>
      <c r="L63" s="267" t="s">
        <v>118</v>
      </c>
      <c r="M63" s="268">
        <v>44768</v>
      </c>
      <c r="N63" s="268"/>
      <c r="O63" s="267"/>
      <c r="P63" s="269"/>
      <c r="Q63" s="270"/>
      <c r="R63" s="270"/>
      <c r="S63" s="267" t="s">
        <v>119</v>
      </c>
      <c r="T63" s="267" t="s">
        <v>153</v>
      </c>
      <c r="U63" s="267" t="s">
        <v>199</v>
      </c>
      <c r="V63" s="267"/>
      <c r="W63" s="267"/>
      <c r="X63" s="267"/>
      <c r="Y63" s="267"/>
    </row>
    <row r="64" spans="1:25" ht="12.6">
      <c r="A64" s="265" t="s">
        <v>1415</v>
      </c>
      <c r="B64" s="265" t="s">
        <v>66</v>
      </c>
      <c r="C64" s="265" t="s">
        <v>1529</v>
      </c>
      <c r="D64" s="265" t="s">
        <v>50</v>
      </c>
      <c r="E64" s="265" t="s">
        <v>482</v>
      </c>
      <c r="F64" s="265" t="s">
        <v>27</v>
      </c>
      <c r="G64" s="265" t="s">
        <v>181</v>
      </c>
      <c r="H64" s="266"/>
      <c r="I64" s="265" t="s">
        <v>1528</v>
      </c>
      <c r="J64" s="267" t="s">
        <v>28</v>
      </c>
      <c r="K64" s="267" t="s">
        <v>28</v>
      </c>
      <c r="L64" s="267" t="s">
        <v>118</v>
      </c>
      <c r="M64" s="268">
        <v>44768</v>
      </c>
      <c r="N64" s="268"/>
      <c r="O64" s="267"/>
      <c r="P64" s="269"/>
      <c r="Q64" s="270"/>
      <c r="R64" s="270"/>
      <c r="S64" s="267" t="s">
        <v>119</v>
      </c>
      <c r="T64" s="267" t="s">
        <v>153</v>
      </c>
      <c r="U64" s="267" t="s">
        <v>199</v>
      </c>
      <c r="V64" s="267"/>
      <c r="W64" s="267"/>
      <c r="X64" s="267"/>
      <c r="Y64" s="267"/>
    </row>
    <row r="65" spans="1:25" ht="12.6">
      <c r="A65" s="265" t="s">
        <v>1415</v>
      </c>
      <c r="B65" s="265" t="s">
        <v>66</v>
      </c>
      <c r="C65" s="265" t="s">
        <v>1530</v>
      </c>
      <c r="D65" s="265" t="s">
        <v>61</v>
      </c>
      <c r="E65" s="265" t="s">
        <v>338</v>
      </c>
      <c r="F65" s="265" t="s">
        <v>27</v>
      </c>
      <c r="G65" s="265" t="s">
        <v>417</v>
      </c>
      <c r="H65" s="266"/>
      <c r="I65" s="265" t="s">
        <v>1531</v>
      </c>
      <c r="J65" s="267" t="s">
        <v>165</v>
      </c>
      <c r="K65" s="267" t="s">
        <v>40</v>
      </c>
      <c r="L65" s="267" t="s">
        <v>118</v>
      </c>
      <c r="M65" s="268">
        <v>44767</v>
      </c>
      <c r="N65" s="268"/>
      <c r="O65" s="267"/>
      <c r="P65" s="269"/>
      <c r="Q65" s="270"/>
      <c r="R65" s="270"/>
      <c r="S65" s="267" t="s">
        <v>119</v>
      </c>
      <c r="T65" s="267" t="s">
        <v>153</v>
      </c>
      <c r="U65" s="267"/>
      <c r="V65" s="267"/>
      <c r="W65" s="267"/>
      <c r="X65" s="267"/>
      <c r="Y65" s="267"/>
    </row>
    <row r="66" spans="1:25" ht="12.6">
      <c r="A66" s="265" t="s">
        <v>1415</v>
      </c>
      <c r="B66" s="265" t="s">
        <v>66</v>
      </c>
      <c r="C66" s="265" t="s">
        <v>1532</v>
      </c>
      <c r="D66" s="265" t="s">
        <v>61</v>
      </c>
      <c r="E66" s="265" t="s">
        <v>338</v>
      </c>
      <c r="F66" s="265" t="s">
        <v>27</v>
      </c>
      <c r="G66" s="265" t="s">
        <v>417</v>
      </c>
      <c r="H66" s="266"/>
      <c r="I66" s="265" t="s">
        <v>1533</v>
      </c>
      <c r="J66" s="267" t="s">
        <v>165</v>
      </c>
      <c r="K66" s="267" t="s">
        <v>40</v>
      </c>
      <c r="L66" s="267" t="s">
        <v>118</v>
      </c>
      <c r="M66" s="268">
        <v>44767</v>
      </c>
      <c r="N66" s="268"/>
      <c r="O66" s="267"/>
      <c r="P66" s="269"/>
      <c r="Q66" s="270"/>
      <c r="R66" s="270"/>
      <c r="S66" s="267" t="s">
        <v>119</v>
      </c>
      <c r="T66" s="267" t="s">
        <v>153</v>
      </c>
      <c r="U66" s="267"/>
      <c r="V66" s="267"/>
      <c r="W66" s="267"/>
      <c r="X66" s="267"/>
      <c r="Y66" s="267"/>
    </row>
    <row r="67" spans="1:25" ht="12.6">
      <c r="A67" s="265" t="s">
        <v>1415</v>
      </c>
      <c r="B67" s="265" t="s">
        <v>66</v>
      </c>
      <c r="C67" s="265" t="s">
        <v>1534</v>
      </c>
      <c r="D67" s="265" t="s">
        <v>61</v>
      </c>
      <c r="E67" s="265" t="s">
        <v>1477</v>
      </c>
      <c r="F67" s="265" t="s">
        <v>27</v>
      </c>
      <c r="G67" s="265" t="s">
        <v>227</v>
      </c>
      <c r="H67" s="266"/>
      <c r="I67" s="265" t="s">
        <v>1535</v>
      </c>
      <c r="J67" s="267" t="s">
        <v>165</v>
      </c>
      <c r="K67" s="267" t="s">
        <v>40</v>
      </c>
      <c r="L67" s="267" t="s">
        <v>118</v>
      </c>
      <c r="M67" s="268">
        <v>44767</v>
      </c>
      <c r="N67" s="268"/>
      <c r="O67" s="267"/>
      <c r="P67" s="269"/>
      <c r="Q67" s="270"/>
      <c r="R67" s="270"/>
      <c r="S67" s="267" t="s">
        <v>119</v>
      </c>
      <c r="T67" s="267" t="s">
        <v>153</v>
      </c>
      <c r="U67" s="267"/>
      <c r="V67" s="267"/>
      <c r="W67" s="267"/>
      <c r="X67" s="267"/>
      <c r="Y67" s="267"/>
    </row>
    <row r="68" spans="1:25" ht="12.6">
      <c r="A68" s="265" t="s">
        <v>1415</v>
      </c>
      <c r="B68" s="265" t="s">
        <v>66</v>
      </c>
      <c r="C68" s="265" t="s">
        <v>1536</v>
      </c>
      <c r="D68" s="265" t="s">
        <v>61</v>
      </c>
      <c r="E68" s="265" t="s">
        <v>1477</v>
      </c>
      <c r="F68" s="265" t="s">
        <v>27</v>
      </c>
      <c r="G68" s="265" t="s">
        <v>227</v>
      </c>
      <c r="H68" s="266"/>
      <c r="I68" s="265" t="s">
        <v>1537</v>
      </c>
      <c r="J68" s="267" t="s">
        <v>165</v>
      </c>
      <c r="K68" s="267" t="s">
        <v>40</v>
      </c>
      <c r="L68" s="267" t="s">
        <v>118</v>
      </c>
      <c r="M68" s="268">
        <v>44767</v>
      </c>
      <c r="N68" s="268"/>
      <c r="O68" s="267"/>
      <c r="P68" s="269"/>
      <c r="Q68" s="270"/>
      <c r="R68" s="270"/>
      <c r="S68" s="267" t="s">
        <v>119</v>
      </c>
      <c r="T68" s="267" t="s">
        <v>153</v>
      </c>
      <c r="U68" s="267"/>
      <c r="V68" s="267"/>
      <c r="W68" s="267"/>
      <c r="X68" s="267"/>
      <c r="Y68" s="267"/>
    </row>
    <row r="69" spans="1:25" ht="12.6">
      <c r="A69" s="265" t="s">
        <v>1415</v>
      </c>
      <c r="B69" s="265" t="s">
        <v>66</v>
      </c>
      <c r="C69" s="265" t="s">
        <v>1538</v>
      </c>
      <c r="D69" s="265" t="s">
        <v>61</v>
      </c>
      <c r="E69" s="265" t="s">
        <v>1477</v>
      </c>
      <c r="F69" s="265" t="s">
        <v>27</v>
      </c>
      <c r="G69" s="265" t="s">
        <v>227</v>
      </c>
      <c r="H69" s="266"/>
      <c r="I69" s="265" t="s">
        <v>1539</v>
      </c>
      <c r="J69" s="267" t="s">
        <v>165</v>
      </c>
      <c r="K69" s="267" t="s">
        <v>40</v>
      </c>
      <c r="L69" s="267" t="s">
        <v>118</v>
      </c>
      <c r="M69" s="268">
        <v>44767</v>
      </c>
      <c r="N69" s="268"/>
      <c r="O69" s="267"/>
      <c r="P69" s="269"/>
      <c r="Q69" s="270"/>
      <c r="R69" s="270"/>
      <c r="S69" s="267" t="s">
        <v>119</v>
      </c>
      <c r="T69" s="267" t="s">
        <v>153</v>
      </c>
      <c r="U69" s="267"/>
      <c r="V69" s="267"/>
      <c r="W69" s="267"/>
      <c r="X69" s="267"/>
      <c r="Y69" s="267"/>
    </row>
    <row r="70" spans="1:25" ht="12.6">
      <c r="A70" s="265" t="s">
        <v>1415</v>
      </c>
      <c r="B70" s="265" t="s">
        <v>66</v>
      </c>
      <c r="C70" s="265" t="s">
        <v>1540</v>
      </c>
      <c r="D70" s="265" t="s">
        <v>61</v>
      </c>
      <c r="E70" s="265" t="s">
        <v>338</v>
      </c>
      <c r="F70" s="265" t="s">
        <v>27</v>
      </c>
      <c r="G70" s="265" t="s">
        <v>417</v>
      </c>
      <c r="H70" s="266"/>
      <c r="I70" s="265" t="s">
        <v>1541</v>
      </c>
      <c r="J70" s="267" t="s">
        <v>165</v>
      </c>
      <c r="K70" s="267" t="s">
        <v>40</v>
      </c>
      <c r="L70" s="267" t="s">
        <v>118</v>
      </c>
      <c r="M70" s="268">
        <v>44764</v>
      </c>
      <c r="N70" s="268"/>
      <c r="O70" s="267"/>
      <c r="P70" s="269"/>
      <c r="Q70" s="270"/>
      <c r="R70" s="270"/>
      <c r="S70" s="267" t="s">
        <v>119</v>
      </c>
      <c r="T70" s="267" t="s">
        <v>1429</v>
      </c>
      <c r="U70" s="267"/>
      <c r="V70" s="267"/>
      <c r="W70" s="267"/>
      <c r="X70" s="267"/>
      <c r="Y70" s="267"/>
    </row>
    <row r="71" spans="1:25" ht="14.1" customHeight="1">
      <c r="A71" s="265" t="s">
        <v>1415</v>
      </c>
      <c r="B71" s="265" t="s">
        <v>66</v>
      </c>
      <c r="C71" s="265" t="s">
        <v>1542</v>
      </c>
      <c r="D71" s="265" t="s">
        <v>61</v>
      </c>
      <c r="E71" s="265" t="s">
        <v>338</v>
      </c>
      <c r="F71" s="265" t="s">
        <v>27</v>
      </c>
      <c r="G71" s="265" t="s">
        <v>417</v>
      </c>
      <c r="H71" s="266"/>
      <c r="I71" s="265" t="s">
        <v>1543</v>
      </c>
      <c r="J71" s="267" t="s">
        <v>165</v>
      </c>
      <c r="K71" s="267" t="s">
        <v>40</v>
      </c>
      <c r="L71" s="267" t="s">
        <v>118</v>
      </c>
      <c r="M71" s="268">
        <v>44767</v>
      </c>
      <c r="N71" s="268"/>
      <c r="O71" s="267"/>
      <c r="P71" s="269"/>
      <c r="Q71" s="270"/>
      <c r="R71" s="270"/>
      <c r="S71" s="267" t="s">
        <v>119</v>
      </c>
      <c r="T71" s="267" t="s">
        <v>1429</v>
      </c>
      <c r="U71" s="267" t="s">
        <v>248</v>
      </c>
      <c r="V71" s="267"/>
      <c r="W71" s="267"/>
      <c r="X71" s="267"/>
      <c r="Y71" s="267"/>
    </row>
    <row r="72" spans="1:25" ht="12.6">
      <c r="A72" s="265" t="s">
        <v>1415</v>
      </c>
      <c r="B72" s="265" t="s">
        <v>66</v>
      </c>
      <c r="C72" s="265" t="s">
        <v>1544</v>
      </c>
      <c r="D72" s="265" t="s">
        <v>61</v>
      </c>
      <c r="E72" s="265" t="s">
        <v>996</v>
      </c>
      <c r="F72" s="265" t="s">
        <v>27</v>
      </c>
      <c r="G72" s="265" t="s">
        <v>163</v>
      </c>
      <c r="H72" s="266"/>
      <c r="I72" s="265" t="s">
        <v>1545</v>
      </c>
      <c r="J72" s="267" t="s">
        <v>165</v>
      </c>
      <c r="K72" s="267" t="s">
        <v>40</v>
      </c>
      <c r="L72" s="267" t="s">
        <v>118</v>
      </c>
      <c r="M72" s="268">
        <v>44767</v>
      </c>
      <c r="N72" s="268"/>
      <c r="O72" s="267"/>
      <c r="P72" s="269"/>
      <c r="Q72" s="270"/>
      <c r="R72" s="270"/>
      <c r="S72" s="267" t="s">
        <v>119</v>
      </c>
      <c r="T72" s="267" t="s">
        <v>153</v>
      </c>
      <c r="U72" s="267"/>
      <c r="V72" s="267"/>
      <c r="W72" s="267"/>
      <c r="X72" s="267"/>
      <c r="Y72" s="267"/>
    </row>
    <row r="73" spans="1:25" ht="12.6">
      <c r="A73" s="265" t="s">
        <v>1415</v>
      </c>
      <c r="B73" s="265" t="s">
        <v>66</v>
      </c>
      <c r="C73" s="265" t="s">
        <v>1546</v>
      </c>
      <c r="D73" s="265" t="s">
        <v>61</v>
      </c>
      <c r="E73" s="265" t="s">
        <v>740</v>
      </c>
      <c r="F73" s="265" t="s">
        <v>27</v>
      </c>
      <c r="G73" s="265" t="s">
        <v>163</v>
      </c>
      <c r="H73" s="266"/>
      <c r="I73" s="265" t="s">
        <v>1547</v>
      </c>
      <c r="J73" s="267" t="s">
        <v>165</v>
      </c>
      <c r="K73" s="267" t="s">
        <v>40</v>
      </c>
      <c r="L73" s="267" t="s">
        <v>118</v>
      </c>
      <c r="M73" s="268">
        <v>44767</v>
      </c>
      <c r="N73" s="268"/>
      <c r="O73" s="267"/>
      <c r="P73" s="269"/>
      <c r="Q73" s="270"/>
      <c r="R73" s="270"/>
      <c r="S73" s="267" t="s">
        <v>119</v>
      </c>
      <c r="T73" s="267" t="s">
        <v>153</v>
      </c>
      <c r="U73" s="267"/>
      <c r="V73" s="267"/>
      <c r="W73" s="267"/>
      <c r="X73" s="267"/>
      <c r="Y73" s="267"/>
    </row>
    <row r="74" spans="1:25" ht="12.6">
      <c r="A74" s="265" t="s">
        <v>1415</v>
      </c>
      <c r="B74" s="265" t="s">
        <v>66</v>
      </c>
      <c r="C74" s="265" t="s">
        <v>1548</v>
      </c>
      <c r="D74" s="265" t="s">
        <v>61</v>
      </c>
      <c r="E74" s="265" t="s">
        <v>1549</v>
      </c>
      <c r="F74" s="265" t="s">
        <v>27</v>
      </c>
      <c r="G74" s="265" t="s">
        <v>227</v>
      </c>
      <c r="H74" s="266"/>
      <c r="I74" s="265" t="s">
        <v>1550</v>
      </c>
      <c r="J74" s="267" t="s">
        <v>165</v>
      </c>
      <c r="K74" s="267" t="s">
        <v>40</v>
      </c>
      <c r="L74" s="267" t="s">
        <v>118</v>
      </c>
      <c r="M74" s="268">
        <v>44767</v>
      </c>
      <c r="N74" s="268"/>
      <c r="O74" s="267"/>
      <c r="P74" s="269"/>
      <c r="Q74" s="270"/>
      <c r="R74" s="270"/>
      <c r="S74" s="267" t="s">
        <v>119</v>
      </c>
      <c r="T74" s="267" t="s">
        <v>153</v>
      </c>
      <c r="U74" s="267"/>
      <c r="V74" s="267"/>
      <c r="W74" s="267"/>
      <c r="X74" s="267"/>
      <c r="Y74" s="267"/>
    </row>
    <row r="75" spans="1:25" ht="12.6">
      <c r="A75" s="265" t="s">
        <v>1415</v>
      </c>
      <c r="B75" s="265" t="s">
        <v>66</v>
      </c>
      <c r="C75" s="265" t="s">
        <v>1551</v>
      </c>
      <c r="D75" s="265" t="s">
        <v>26</v>
      </c>
      <c r="E75" s="265" t="s">
        <v>172</v>
      </c>
      <c r="F75" s="265" t="s">
        <v>27</v>
      </c>
      <c r="G75" s="265" t="s">
        <v>227</v>
      </c>
      <c r="H75" s="266"/>
      <c r="I75" s="265" t="s">
        <v>1552</v>
      </c>
      <c r="J75" s="267" t="s">
        <v>165</v>
      </c>
      <c r="K75" s="267" t="s">
        <v>40</v>
      </c>
      <c r="L75" s="267" t="s">
        <v>118</v>
      </c>
      <c r="M75" s="268">
        <v>44767</v>
      </c>
      <c r="N75" s="268"/>
      <c r="O75" s="267"/>
      <c r="P75" s="269"/>
      <c r="Q75" s="270"/>
      <c r="R75" s="270"/>
      <c r="S75" s="267" t="s">
        <v>119</v>
      </c>
      <c r="T75" s="267" t="s">
        <v>153</v>
      </c>
      <c r="U75" s="267"/>
      <c r="V75" s="267"/>
      <c r="W75" s="267"/>
      <c r="X75" s="267"/>
      <c r="Y75" s="267"/>
    </row>
    <row r="76" spans="1:25" ht="12.6">
      <c r="A76" s="271" t="s">
        <v>1415</v>
      </c>
      <c r="B76" s="271" t="s">
        <v>66</v>
      </c>
      <c r="C76" s="271" t="s">
        <v>1553</v>
      </c>
      <c r="D76" s="271" t="s">
        <v>50</v>
      </c>
      <c r="E76" s="271" t="s">
        <v>197</v>
      </c>
      <c r="F76" s="271" t="s">
        <v>39</v>
      </c>
      <c r="G76" s="271" t="s">
        <v>205</v>
      </c>
      <c r="H76" s="272"/>
      <c r="I76" s="271" t="s">
        <v>1554</v>
      </c>
      <c r="J76" s="273" t="s">
        <v>28</v>
      </c>
      <c r="K76" s="273" t="s">
        <v>52</v>
      </c>
      <c r="L76" s="273" t="s">
        <v>118</v>
      </c>
      <c r="M76" s="274"/>
      <c r="N76" s="274"/>
      <c r="O76" s="273"/>
      <c r="P76" s="269"/>
      <c r="Q76" s="270"/>
      <c r="R76" s="270"/>
      <c r="S76" s="267" t="s">
        <v>166</v>
      </c>
      <c r="T76" s="267" t="s">
        <v>120</v>
      </c>
      <c r="U76" s="267" t="s">
        <v>153</v>
      </c>
      <c r="V76" s="267" t="s">
        <v>167</v>
      </c>
      <c r="W76" s="267" t="s">
        <v>167</v>
      </c>
      <c r="X76" s="267"/>
      <c r="Y76" s="267"/>
    </row>
    <row r="77" spans="1:25" ht="12.6">
      <c r="A77" s="85" t="s">
        <v>1555</v>
      </c>
      <c r="B77" s="85" t="s">
        <v>66</v>
      </c>
      <c r="C77" s="85" t="s">
        <v>1556</v>
      </c>
      <c r="D77" s="85" t="s">
        <v>26</v>
      </c>
      <c r="E77" s="85" t="s">
        <v>260</v>
      </c>
      <c r="F77" s="85" t="s">
        <v>124</v>
      </c>
      <c r="G77" s="85" t="s">
        <v>251</v>
      </c>
      <c r="H77" s="275"/>
      <c r="I77" s="85" t="s">
        <v>1557</v>
      </c>
      <c r="J77" s="86" t="s">
        <v>28</v>
      </c>
      <c r="K77" s="86" t="s">
        <v>52</v>
      </c>
      <c r="L77" s="86" t="s">
        <v>118</v>
      </c>
      <c r="M77" s="87"/>
      <c r="N77" s="87"/>
      <c r="O77" s="86"/>
      <c r="P77" s="276"/>
      <c r="Q77" s="270"/>
      <c r="R77" s="270"/>
      <c r="S77" s="267" t="s">
        <v>166</v>
      </c>
      <c r="T77" s="267" t="s">
        <v>120</v>
      </c>
      <c r="U77" s="267" t="s">
        <v>153</v>
      </c>
      <c r="V77" s="267" t="s">
        <v>167</v>
      </c>
      <c r="W77" s="267" t="s">
        <v>167</v>
      </c>
      <c r="X77" s="267"/>
      <c r="Y77" s="267"/>
    </row>
    <row r="78" spans="1:25" ht="12.95" customHeight="1">
      <c r="A78" s="85" t="s">
        <v>1555</v>
      </c>
      <c r="B78" s="85" t="s">
        <v>66</v>
      </c>
      <c r="C78" s="85" t="s">
        <v>1558</v>
      </c>
      <c r="D78" s="85" t="s">
        <v>26</v>
      </c>
      <c r="E78" s="85" t="s">
        <v>267</v>
      </c>
      <c r="F78" s="85" t="s">
        <v>124</v>
      </c>
      <c r="G78" s="85" t="s">
        <v>173</v>
      </c>
      <c r="H78" s="275"/>
      <c r="I78" s="85" t="s">
        <v>1559</v>
      </c>
      <c r="J78" s="86" t="s">
        <v>28</v>
      </c>
      <c r="K78" s="86" t="s">
        <v>52</v>
      </c>
      <c r="L78" s="86" t="s">
        <v>118</v>
      </c>
      <c r="M78" s="87"/>
      <c r="N78" s="87"/>
      <c r="O78" s="86"/>
      <c r="P78" s="276"/>
      <c r="Q78" s="270"/>
      <c r="R78" s="270"/>
      <c r="S78" s="267" t="s">
        <v>166</v>
      </c>
      <c r="T78" s="267" t="s">
        <v>120</v>
      </c>
      <c r="U78" s="267" t="s">
        <v>153</v>
      </c>
      <c r="V78" s="267" t="s">
        <v>167</v>
      </c>
      <c r="W78" s="267" t="s">
        <v>167</v>
      </c>
      <c r="X78" s="267"/>
      <c r="Y78" s="267"/>
    </row>
    <row r="79" spans="1:25" ht="12.6">
      <c r="A79" s="85" t="s">
        <v>1555</v>
      </c>
      <c r="B79" s="85" t="s">
        <v>66</v>
      </c>
      <c r="C79" s="85" t="s">
        <v>1285</v>
      </c>
      <c r="D79" s="85" t="s">
        <v>50</v>
      </c>
      <c r="E79" s="85" t="s">
        <v>494</v>
      </c>
      <c r="F79" s="85" t="s">
        <v>27</v>
      </c>
      <c r="G79" s="85" t="s">
        <v>417</v>
      </c>
      <c r="H79" s="275"/>
      <c r="I79" s="85" t="s">
        <v>1560</v>
      </c>
      <c r="J79" s="86" t="s">
        <v>28</v>
      </c>
      <c r="K79" s="86" t="s">
        <v>28</v>
      </c>
      <c r="L79" s="86" t="s">
        <v>118</v>
      </c>
      <c r="M79" s="87">
        <v>44768</v>
      </c>
      <c r="N79" s="87"/>
      <c r="O79" s="86"/>
      <c r="P79" s="276"/>
      <c r="Q79" s="270"/>
      <c r="R79" s="270"/>
      <c r="S79" s="267" t="s">
        <v>119</v>
      </c>
      <c r="T79" s="267" t="s">
        <v>153</v>
      </c>
      <c r="U79" s="267"/>
      <c r="V79" s="267"/>
      <c r="W79" s="267"/>
      <c r="X79" s="267"/>
      <c r="Y79" s="267"/>
    </row>
    <row r="80" spans="1:25" ht="12.6">
      <c r="A80" s="85" t="s">
        <v>1561</v>
      </c>
      <c r="B80" s="85" t="s">
        <v>66</v>
      </c>
      <c r="C80" s="85" t="s">
        <v>1562</v>
      </c>
      <c r="D80" s="85" t="s">
        <v>26</v>
      </c>
      <c r="E80" s="85" t="s">
        <v>260</v>
      </c>
      <c r="F80" s="85" t="s">
        <v>124</v>
      </c>
      <c r="G80" s="85" t="s">
        <v>201</v>
      </c>
      <c r="H80" s="275"/>
      <c r="I80" s="85" t="s">
        <v>1563</v>
      </c>
      <c r="J80" s="86" t="s">
        <v>28</v>
      </c>
      <c r="K80" s="86" t="s">
        <v>28</v>
      </c>
      <c r="L80" s="86" t="s">
        <v>118</v>
      </c>
      <c r="M80" s="277"/>
      <c r="N80" s="277"/>
      <c r="O80" s="278"/>
      <c r="P80" s="279"/>
      <c r="Q80" s="280"/>
      <c r="R80" s="280"/>
      <c r="S80" s="267" t="s">
        <v>166</v>
      </c>
      <c r="T80" s="267" t="s">
        <v>120</v>
      </c>
      <c r="U80" s="267" t="s">
        <v>153</v>
      </c>
      <c r="V80" s="267" t="s">
        <v>167</v>
      </c>
      <c r="W80" s="267" t="s">
        <v>167</v>
      </c>
      <c r="X80" s="273"/>
      <c r="Y80" s="273"/>
    </row>
    <row r="81" spans="1:25" ht="12.6">
      <c r="A81" s="85" t="s">
        <v>1561</v>
      </c>
      <c r="B81" s="85" t="s">
        <v>1564</v>
      </c>
      <c r="C81" s="85" t="s">
        <v>1565</v>
      </c>
      <c r="D81" s="85" t="s">
        <v>50</v>
      </c>
      <c r="E81" s="85" t="s">
        <v>1566</v>
      </c>
      <c r="F81" s="85" t="s">
        <v>27</v>
      </c>
      <c r="G81" s="85" t="s">
        <v>417</v>
      </c>
      <c r="H81" s="275"/>
      <c r="I81" s="85" t="s">
        <v>1567</v>
      </c>
      <c r="J81" s="86" t="s">
        <v>28</v>
      </c>
      <c r="K81" s="86" t="s">
        <v>28</v>
      </c>
      <c r="L81" s="86" t="s">
        <v>118</v>
      </c>
      <c r="M81" s="87">
        <v>44768</v>
      </c>
      <c r="N81" s="87"/>
      <c r="O81" s="86"/>
      <c r="P81" s="281"/>
      <c r="Q81" s="282"/>
      <c r="R81" s="282"/>
      <c r="S81" s="283" t="s">
        <v>119</v>
      </c>
      <c r="T81" s="267" t="s">
        <v>153</v>
      </c>
      <c r="U81" s="267"/>
      <c r="V81" s="267"/>
      <c r="W81" s="267"/>
      <c r="X81" s="284"/>
      <c r="Y81" s="284"/>
    </row>
    <row r="82" spans="1:25" ht="12.6">
      <c r="A82" s="85" t="s">
        <v>1561</v>
      </c>
      <c r="B82" s="85" t="s">
        <v>66</v>
      </c>
      <c r="C82" s="85" t="s">
        <v>1568</v>
      </c>
      <c r="D82" s="85" t="s">
        <v>26</v>
      </c>
      <c r="E82" s="85" t="s">
        <v>267</v>
      </c>
      <c r="F82" s="85" t="s">
        <v>124</v>
      </c>
      <c r="G82" s="85" t="s">
        <v>173</v>
      </c>
      <c r="H82" s="275"/>
      <c r="I82" s="85" t="s">
        <v>1569</v>
      </c>
      <c r="J82" s="86" t="s">
        <v>28</v>
      </c>
      <c r="K82" s="86" t="s">
        <v>28</v>
      </c>
      <c r="L82" s="86" t="s">
        <v>118</v>
      </c>
      <c r="M82" s="285"/>
      <c r="N82" s="285"/>
      <c r="O82" s="286"/>
      <c r="P82" s="287"/>
      <c r="Q82" s="288"/>
      <c r="R82" s="288"/>
      <c r="S82" s="267" t="s">
        <v>166</v>
      </c>
      <c r="T82" s="267" t="s">
        <v>120</v>
      </c>
      <c r="U82" s="267" t="s">
        <v>153</v>
      </c>
      <c r="V82" s="267" t="s">
        <v>167</v>
      </c>
      <c r="W82" s="267" t="s">
        <v>167</v>
      </c>
      <c r="X82" s="289"/>
      <c r="Y82" s="289"/>
    </row>
    <row r="83" spans="1:25" ht="12.6">
      <c r="A83" s="85" t="s">
        <v>1570</v>
      </c>
      <c r="B83" s="85" t="s">
        <v>66</v>
      </c>
      <c r="C83" s="85" t="s">
        <v>1571</v>
      </c>
      <c r="D83" s="85" t="s">
        <v>26</v>
      </c>
      <c r="E83" s="85" t="s">
        <v>267</v>
      </c>
      <c r="F83" s="85" t="s">
        <v>124</v>
      </c>
      <c r="G83" s="85" t="s">
        <v>1572</v>
      </c>
      <c r="H83" s="275"/>
      <c r="I83" s="85" t="s">
        <v>1573</v>
      </c>
      <c r="J83" s="86" t="s">
        <v>28</v>
      </c>
      <c r="K83" s="86" t="s">
        <v>28</v>
      </c>
      <c r="L83" s="86" t="s">
        <v>118</v>
      </c>
      <c r="M83" s="87"/>
      <c r="N83" s="87"/>
      <c r="O83" s="86"/>
      <c r="P83" s="290"/>
      <c r="Q83" s="291"/>
      <c r="R83" s="291"/>
      <c r="S83" s="267" t="s">
        <v>166</v>
      </c>
      <c r="T83" s="267" t="s">
        <v>120</v>
      </c>
      <c r="U83" s="267" t="s">
        <v>153</v>
      </c>
      <c r="V83" s="267" t="s">
        <v>167</v>
      </c>
      <c r="W83" s="267" t="s">
        <v>167</v>
      </c>
      <c r="X83" s="289"/>
      <c r="Y83" s="289"/>
    </row>
    <row r="84" spans="1:25" ht="12.6">
      <c r="A84" s="85" t="s">
        <v>1212</v>
      </c>
      <c r="B84" s="85" t="s">
        <v>66</v>
      </c>
      <c r="C84" s="85" t="s">
        <v>1574</v>
      </c>
      <c r="D84" s="85" t="s">
        <v>26</v>
      </c>
      <c r="E84" s="85" t="s">
        <v>267</v>
      </c>
      <c r="F84" s="85" t="s">
        <v>124</v>
      </c>
      <c r="G84" s="85" t="s">
        <v>1575</v>
      </c>
      <c r="H84" s="275"/>
      <c r="I84" s="85" t="s">
        <v>1576</v>
      </c>
      <c r="J84" s="86" t="s">
        <v>28</v>
      </c>
      <c r="K84" s="86" t="s">
        <v>28</v>
      </c>
      <c r="L84" s="86" t="s">
        <v>118</v>
      </c>
      <c r="M84" s="87"/>
      <c r="N84" s="87"/>
      <c r="O84" s="86"/>
      <c r="P84" s="290"/>
      <c r="Q84" s="291"/>
      <c r="R84" s="291"/>
      <c r="S84" s="267" t="s">
        <v>166</v>
      </c>
      <c r="T84" s="267" t="s">
        <v>120</v>
      </c>
      <c r="U84" s="267" t="s">
        <v>153</v>
      </c>
      <c r="V84" s="267" t="s">
        <v>167</v>
      </c>
      <c r="W84" s="267" t="s">
        <v>167</v>
      </c>
      <c r="X84" s="289"/>
      <c r="Y84" s="289"/>
    </row>
    <row r="85" spans="1:25" ht="12.6">
      <c r="A85" s="292" t="s">
        <v>1577</v>
      </c>
      <c r="B85" s="85" t="s">
        <v>66</v>
      </c>
      <c r="C85" s="85" t="s">
        <v>1578</v>
      </c>
      <c r="D85" s="85" t="s">
        <v>26</v>
      </c>
      <c r="E85" s="85" t="s">
        <v>267</v>
      </c>
      <c r="F85" s="85" t="s">
        <v>124</v>
      </c>
      <c r="G85" s="85" t="s">
        <v>1579</v>
      </c>
      <c r="H85" s="275"/>
      <c r="I85" s="85" t="s">
        <v>1580</v>
      </c>
      <c r="J85" s="86" t="s">
        <v>28</v>
      </c>
      <c r="K85" s="86" t="s">
        <v>28</v>
      </c>
      <c r="L85" s="86" t="s">
        <v>118</v>
      </c>
      <c r="M85" s="87"/>
      <c r="N85" s="87"/>
      <c r="O85" s="86"/>
      <c r="P85" s="290"/>
      <c r="Q85" s="291"/>
      <c r="R85" s="291"/>
      <c r="S85" s="267" t="s">
        <v>166</v>
      </c>
      <c r="T85" s="267" t="s">
        <v>120</v>
      </c>
      <c r="U85" s="267" t="s">
        <v>153</v>
      </c>
      <c r="V85" s="267" t="s">
        <v>167</v>
      </c>
      <c r="W85" s="267" t="s">
        <v>167</v>
      </c>
      <c r="X85" s="289"/>
      <c r="Y85" s="289"/>
    </row>
  </sheetData>
  <conditionalFormatting sqref="A1:J85">
    <cfRule type="containsBlanks" dxfId="30" priority="1">
      <formula>LEN(TRIM(A1))=0</formula>
    </cfRule>
  </conditionalFormatting>
  <conditionalFormatting sqref="C1:C85">
    <cfRule type="expression" dxfId="29" priority="4">
      <formula>COUNTIF(C:C,C1)&gt;1</formula>
    </cfRule>
  </conditionalFormatting>
  <conditionalFormatting sqref="H1:H85">
    <cfRule type="cellIs" dxfId="28" priority="2" operator="lessThanOrEqual">
      <formula>"01/01/19"</formula>
    </cfRule>
  </conditionalFormatting>
  <conditionalFormatting sqref="L1:L85 S2:W85">
    <cfRule type="colorScale" priority="3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J2:J85" xr:uid="{00000000-0002-0000-0E00-000003000000}">
      <formula1>"INPREMISE,PREMISE"</formula1>
    </dataValidation>
  </dataValidations>
  <printOptions horizontalCentered="1" gridLines="1"/>
  <pageMargins left="0.25" right="0.25" top="0.75" bottom="0.75" header="0" footer="0"/>
  <pageSetup paperSize="3" scale="78" fitToHeight="0" pageOrder="overThenDown" orientation="landscape" cellComments="atEnd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E00-000000000000}">
          <x14:formula1>
            <xm:f>'Data Sets'!$B$3:$B$26</xm:f>
          </x14:formula1>
          <xm:sqref>O2:O85</xm:sqref>
        </x14:dataValidation>
        <x14:dataValidation type="list" allowBlank="1" xr:uid="{00000000-0002-0000-0E00-000001000000}">
          <x14:formula1>
            <xm:f>'Data Sets'!$J$3:$J$5</xm:f>
          </x14:formula1>
          <xm:sqref>K2:K85</xm:sqref>
        </x14:dataValidation>
        <x14:dataValidation type="list" allowBlank="1" showErrorMessage="1" xr:uid="{00000000-0002-0000-0E00-000002000000}">
          <x14:formula1>
            <xm:f>'Data Sets'!$F$3:$F$8</xm:f>
          </x14:formula1>
          <xm:sqref>D2:D85</xm:sqref>
        </x14:dataValidation>
        <x14:dataValidation type="list" allowBlank="1" xr:uid="{00000000-0002-0000-0E00-000004000000}">
          <x14:formula1>
            <xm:f>'Data Sets'!$H$3:$H$6</xm:f>
          </x14:formula1>
          <xm:sqref>F2:F85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F5AF-D906-4B02-97F6-758C37A42E18}">
  <sheetPr>
    <tabColor rgb="FFFF0000"/>
  </sheetPr>
  <dimension ref="A1:A6"/>
  <sheetViews>
    <sheetView workbookViewId="0">
      <selection sqref="A1:A6"/>
    </sheetView>
  </sheetViews>
  <sheetFormatPr defaultRowHeight="12.6"/>
  <cols>
    <col min="1" max="1" width="59.125" customWidth="1"/>
  </cols>
  <sheetData>
    <row r="1" spans="1:1">
      <c r="A1" s="14" t="s">
        <v>1581</v>
      </c>
    </row>
    <row r="2" spans="1:1">
      <c r="A2" s="14" t="s">
        <v>1582</v>
      </c>
    </row>
    <row r="3" spans="1:1">
      <c r="A3" s="14" t="s">
        <v>1583</v>
      </c>
    </row>
    <row r="4" spans="1:1">
      <c r="A4" s="14" t="s">
        <v>1584</v>
      </c>
    </row>
    <row r="5" spans="1:1">
      <c r="A5" s="14" t="s">
        <v>1585</v>
      </c>
    </row>
    <row r="6" spans="1:1">
      <c r="A6" s="14" t="s">
        <v>1586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b893db40-52ec-422a-b3d1-972b0da551c8" xsi:nil="true"/>
    <TaxCatchAll xmlns="bac4e3eb-747f-43bc-bf10-c1bbb893ecac" xsi:nil="true"/>
    <Workable xmlns="b893db40-52ec-422a-b3d1-972b0da551c8">true</Workable>
    <lcf76f155ced4ddcb4097134ff3c332f xmlns="b893db40-52ec-422a-b3d1-972b0da551c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Comments xmlns="b893db40-52ec-422a-b3d1-972b0da551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7717CDAFDDD448DFEB6D30228B63C" ma:contentTypeVersion="20" ma:contentTypeDescription="Create a new document." ma:contentTypeScope="" ma:versionID="ab4837cc5f2970008d5d64555062206a">
  <xsd:schema xmlns:xsd="http://www.w3.org/2001/XMLSchema" xmlns:xs="http://www.w3.org/2001/XMLSchema" xmlns:p="http://schemas.microsoft.com/office/2006/metadata/properties" xmlns:ns1="http://schemas.microsoft.com/sharepoint/v3" xmlns:ns2="b893db40-52ec-422a-b3d1-972b0da551c8" xmlns:ns3="bac4e3eb-747f-43bc-bf10-c1bbb893ecac" xmlns:ns4="2045f60f-9619-4410-938b-80ecedfc6cb6" targetNamespace="http://schemas.microsoft.com/office/2006/metadata/properties" ma:root="true" ma:fieldsID="f9a189e1ea09104d8f5d34cba7abed13" ns1:_="" ns2:_="" ns3:_="" ns4:_="">
    <xsd:import namespace="http://schemas.microsoft.com/sharepoint/v3"/>
    <xsd:import namespace="b893db40-52ec-422a-b3d1-972b0da551c8"/>
    <xsd:import namespace="bac4e3eb-747f-43bc-bf10-c1bbb893ecac"/>
    <xsd:import namespace="2045f60f-9619-4410-938b-80ecedfc6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Workabl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Date" minOccurs="0"/>
                <xsd:element ref="ns2:Comme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3db40-52ec-422a-b3d1-972b0da55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Workable" ma:index="20" nillable="true" ma:displayName="Workable" ma:default="1" ma:format="Dropdown" ma:internalName="Workable">
      <xsd:simpleType>
        <xsd:restriction base="dms:Boolea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4" nillable="true" ma:displayName="Date" ma:description="Date" ma:format="DateOnly" ma:internalName="Date">
      <xsd:simpleType>
        <xsd:restriction base="dms:DateTime"/>
      </xsd:simpleType>
    </xsd:element>
    <xsd:element name="Comments" ma:index="25" nillable="true" ma:displayName="Comments" ma:format="Dropdown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619193-db2b-44a5-a1b3-5720b870645e}" ma:internalName="TaxCatchAll" ma:showField="CatchAllData" ma:web="2045f60f-9619-4410-938b-80ecedfc6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45f60f-9619-4410-938b-80ecedfc6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0A0FE-9189-41E0-8F49-DDD12B68CCD3}"/>
</file>

<file path=customXml/itemProps2.xml><?xml version="1.0" encoding="utf-8"?>
<ds:datastoreItem xmlns:ds="http://schemas.openxmlformats.org/officeDocument/2006/customXml" ds:itemID="{F25A8D72-4D48-48B6-B255-C819C74AE389}"/>
</file>

<file path=customXml/itemProps3.xml><?xml version="1.0" encoding="utf-8"?>
<ds:datastoreItem xmlns:ds="http://schemas.openxmlformats.org/officeDocument/2006/customXml" ds:itemID="{B4F85D5D-70FB-4226-B05A-9106CDF04C29}"/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SAUER, JACOB L CIV USAF AMC 92 CES/CEOIU</dc:creator>
  <cp:keywords/>
  <dc:description/>
  <cp:lastModifiedBy>EHRMAN, MICHAEL E CIV USAF AMC 92 CES/CEOES</cp:lastModifiedBy>
  <cp:revision/>
  <dcterms:created xsi:type="dcterms:W3CDTF">2023-05-23T17:24:50Z</dcterms:created>
  <dcterms:modified xsi:type="dcterms:W3CDTF">2025-02-27T15:55:07Z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0x0101005F07717CDAFDDD448DFEB6D30228B63C</vt:lpwstr>
  </property>
  <property fmtid="{D5CDD505-2E9C-101B-9397-08002B2CF9AE}" pid="3" name="MediaServiceImageTags">
    <vt:lpwstr/>
  </property>
</Properties>
</file>