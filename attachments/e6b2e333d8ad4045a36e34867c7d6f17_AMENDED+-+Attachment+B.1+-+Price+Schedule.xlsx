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dicgov-my.sharepoint.com/personal/ditoles_fdic_gov/Documents/002 ASB/001 Pending Requirements/2025 - 2026 Actions/22408 - Palo Alto Renewal/02 Solicitation/"/>
    </mc:Choice>
  </mc:AlternateContent>
  <xr:revisionPtr revIDLastSave="1" documentId="8_{7EF76EE8-B8EA-43F0-8299-1083116B272A}" xr6:coauthVersionLast="47" xr6:coauthVersionMax="47" xr10:uidLastSave="{2F5BBD0F-486E-4F9A-A15E-B4961796087A}"/>
  <bookViews>
    <workbookView xWindow="-28920" yWindow="-120" windowWidth="29040" windowHeight="15720" activeTab="1" xr2:uid="{2F8E0A03-9BB2-407C-9FBF-DE704206E152}"/>
  </bookViews>
  <sheets>
    <sheet name="Cover Page - Info." sheetId="2" r:id="rId1"/>
    <sheet name="Price Schedule" sheetId="1" r:id="rId2"/>
  </sheets>
  <definedNames>
    <definedName name="CategoryName">#REF!</definedName>
    <definedName name="_xlnm.Print_Area" localSheetId="0">'Cover Page - Info.'!$A$1:$E$10</definedName>
    <definedName name="_xlnm.Print_Area" localSheetId="1">'Price Schedule'!$A$1:$M$146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5" i="1" l="1"/>
  <c r="J145" i="1"/>
  <c r="L144" i="1"/>
  <c r="J144" i="1"/>
  <c r="L143" i="1"/>
  <c r="J143" i="1"/>
  <c r="L142" i="1"/>
  <c r="J142" i="1"/>
  <c r="L141" i="1"/>
  <c r="J141" i="1"/>
  <c r="L140" i="1"/>
  <c r="J140" i="1"/>
  <c r="L139" i="1"/>
  <c r="J139" i="1"/>
  <c r="L138" i="1"/>
  <c r="J138" i="1"/>
  <c r="L137" i="1"/>
  <c r="J137" i="1"/>
  <c r="L136" i="1"/>
  <c r="J136" i="1"/>
  <c r="L135" i="1"/>
  <c r="J135" i="1"/>
  <c r="L134" i="1"/>
  <c r="J134" i="1"/>
  <c r="L133" i="1"/>
  <c r="J133" i="1"/>
  <c r="L132" i="1"/>
  <c r="J132" i="1"/>
  <c r="L131" i="1"/>
  <c r="J131" i="1"/>
  <c r="L130" i="1"/>
  <c r="J130" i="1"/>
  <c r="L129" i="1"/>
  <c r="J129" i="1"/>
  <c r="L128" i="1"/>
  <c r="J128" i="1"/>
  <c r="L127" i="1"/>
  <c r="J127" i="1"/>
  <c r="L126" i="1"/>
  <c r="J126" i="1"/>
  <c r="L125" i="1"/>
  <c r="J125" i="1"/>
  <c r="L124" i="1"/>
  <c r="J124" i="1"/>
  <c r="L123" i="1"/>
  <c r="J123" i="1"/>
  <c r="L122" i="1"/>
  <c r="J122" i="1"/>
  <c r="L121" i="1"/>
  <c r="J121" i="1"/>
  <c r="L120" i="1"/>
  <c r="J120" i="1"/>
  <c r="L119" i="1"/>
  <c r="J119" i="1"/>
  <c r="L118" i="1"/>
  <c r="J118" i="1"/>
  <c r="L117" i="1"/>
  <c r="J117" i="1"/>
  <c r="L116" i="1"/>
  <c r="J116" i="1"/>
  <c r="L115" i="1"/>
  <c r="J115" i="1"/>
  <c r="L114" i="1"/>
  <c r="J114" i="1"/>
  <c r="L113" i="1"/>
  <c r="J113" i="1"/>
  <c r="L112" i="1"/>
  <c r="J112" i="1"/>
  <c r="L111" i="1"/>
  <c r="J111" i="1"/>
  <c r="L110" i="1"/>
  <c r="J110" i="1"/>
  <c r="L109" i="1"/>
  <c r="J109" i="1"/>
  <c r="L108" i="1"/>
  <c r="J108" i="1"/>
  <c r="L107" i="1"/>
  <c r="J107" i="1"/>
  <c r="L106" i="1"/>
  <c r="J106" i="1"/>
  <c r="L105" i="1"/>
  <c r="J105" i="1"/>
  <c r="L104" i="1"/>
  <c r="J104" i="1"/>
  <c r="L103" i="1"/>
  <c r="J103" i="1"/>
  <c r="L102" i="1"/>
  <c r="J102" i="1"/>
  <c r="L101" i="1"/>
  <c r="J101" i="1"/>
  <c r="L100" i="1"/>
  <c r="J100" i="1"/>
  <c r="L99" i="1"/>
  <c r="J99" i="1"/>
  <c r="L98" i="1"/>
  <c r="J98" i="1"/>
  <c r="L97" i="1"/>
  <c r="J97" i="1"/>
  <c r="L96" i="1"/>
  <c r="J96" i="1"/>
  <c r="L95" i="1"/>
  <c r="J95" i="1"/>
  <c r="L94" i="1"/>
  <c r="J94" i="1"/>
  <c r="L93" i="1"/>
  <c r="J93" i="1"/>
  <c r="L92" i="1"/>
  <c r="J92" i="1"/>
  <c r="L91" i="1"/>
  <c r="J91" i="1"/>
  <c r="L90" i="1"/>
  <c r="J90" i="1"/>
  <c r="L89" i="1"/>
  <c r="J89" i="1"/>
  <c r="L88" i="1"/>
  <c r="J88" i="1"/>
  <c r="L87" i="1"/>
  <c r="J87" i="1"/>
  <c r="L86" i="1"/>
  <c r="J86" i="1"/>
  <c r="L85" i="1"/>
  <c r="J85" i="1"/>
  <c r="L84" i="1"/>
  <c r="J84" i="1"/>
  <c r="L83" i="1"/>
  <c r="J83" i="1"/>
  <c r="L82" i="1"/>
  <c r="J82" i="1"/>
  <c r="L81" i="1"/>
  <c r="J81" i="1"/>
  <c r="L80" i="1"/>
  <c r="J80" i="1"/>
  <c r="L79" i="1"/>
  <c r="J79" i="1"/>
  <c r="L78" i="1"/>
  <c r="J78" i="1"/>
  <c r="L77" i="1"/>
  <c r="J77" i="1"/>
  <c r="L76" i="1"/>
  <c r="J76" i="1"/>
  <c r="L75" i="1"/>
  <c r="J75" i="1"/>
  <c r="L74" i="1"/>
  <c r="J74" i="1"/>
  <c r="L73" i="1"/>
  <c r="J73" i="1"/>
  <c r="L72" i="1"/>
  <c r="J72" i="1"/>
  <c r="L71" i="1"/>
  <c r="J71" i="1"/>
  <c r="L70" i="1"/>
  <c r="J70" i="1"/>
  <c r="L69" i="1"/>
  <c r="J69" i="1"/>
  <c r="L68" i="1"/>
  <c r="J68" i="1"/>
  <c r="L67" i="1"/>
  <c r="J67" i="1"/>
  <c r="L66" i="1"/>
  <c r="J66" i="1"/>
  <c r="L65" i="1"/>
  <c r="J65" i="1"/>
  <c r="L64" i="1"/>
  <c r="J64" i="1"/>
  <c r="L63" i="1"/>
  <c r="J63" i="1"/>
  <c r="L62" i="1"/>
  <c r="J62" i="1"/>
  <c r="L61" i="1"/>
  <c r="J61" i="1"/>
  <c r="L60" i="1"/>
  <c r="J60" i="1"/>
  <c r="L59" i="1"/>
  <c r="J59" i="1"/>
  <c r="L58" i="1"/>
  <c r="J58" i="1"/>
  <c r="L57" i="1"/>
  <c r="J57" i="1"/>
  <c r="L56" i="1"/>
  <c r="J56" i="1"/>
  <c r="L55" i="1"/>
  <c r="J55" i="1"/>
  <c r="L54" i="1"/>
  <c r="J54" i="1"/>
  <c r="L53" i="1"/>
  <c r="J53" i="1"/>
  <c r="L52" i="1"/>
  <c r="J52" i="1"/>
  <c r="L51" i="1"/>
  <c r="J51" i="1"/>
  <c r="L50" i="1"/>
  <c r="J50" i="1"/>
  <c r="L49" i="1"/>
  <c r="J49" i="1"/>
  <c r="L48" i="1"/>
  <c r="J48" i="1"/>
  <c r="L47" i="1"/>
  <c r="J47" i="1"/>
  <c r="L46" i="1"/>
  <c r="J46" i="1"/>
  <c r="L45" i="1"/>
  <c r="J45" i="1"/>
  <c r="L44" i="1"/>
  <c r="J44" i="1"/>
  <c r="L43" i="1"/>
  <c r="J43" i="1"/>
  <c r="L42" i="1"/>
  <c r="J42" i="1"/>
  <c r="L41" i="1"/>
  <c r="J41" i="1"/>
  <c r="L40" i="1"/>
  <c r="J40" i="1"/>
  <c r="L39" i="1"/>
  <c r="J39" i="1"/>
  <c r="L38" i="1"/>
  <c r="J38" i="1"/>
  <c r="L37" i="1"/>
  <c r="J37" i="1"/>
  <c r="L36" i="1"/>
  <c r="J36" i="1"/>
  <c r="L35" i="1"/>
  <c r="J35" i="1"/>
  <c r="L34" i="1"/>
  <c r="J34" i="1"/>
  <c r="L33" i="1"/>
  <c r="J33" i="1"/>
  <c r="L32" i="1"/>
  <c r="J32" i="1"/>
  <c r="L31" i="1"/>
  <c r="J31" i="1"/>
  <c r="L30" i="1"/>
  <c r="J30" i="1"/>
  <c r="L29" i="1"/>
  <c r="J29" i="1"/>
  <c r="L28" i="1"/>
  <c r="J28" i="1"/>
  <c r="L27" i="1"/>
  <c r="J27" i="1"/>
  <c r="L26" i="1"/>
  <c r="J26" i="1"/>
  <c r="L25" i="1"/>
  <c r="J25" i="1"/>
  <c r="L24" i="1"/>
  <c r="J24" i="1"/>
  <c r="L23" i="1"/>
  <c r="J23" i="1"/>
  <c r="L22" i="1"/>
  <c r="J22" i="1"/>
  <c r="L21" i="1"/>
  <c r="J21" i="1"/>
  <c r="L20" i="1"/>
  <c r="J20" i="1"/>
  <c r="L19" i="1"/>
  <c r="J19" i="1"/>
  <c r="L18" i="1"/>
  <c r="J18" i="1"/>
  <c r="L17" i="1"/>
  <c r="J17" i="1"/>
  <c r="L16" i="1"/>
  <c r="J16" i="1"/>
  <c r="L15" i="1"/>
  <c r="J15" i="1"/>
  <c r="L14" i="1"/>
  <c r="J14" i="1"/>
  <c r="L13" i="1"/>
  <c r="J13" i="1"/>
  <c r="L12" i="1"/>
  <c r="J12" i="1"/>
  <c r="L11" i="1"/>
  <c r="J11" i="1"/>
  <c r="L10" i="1"/>
  <c r="J10" i="1"/>
  <c r="L9" i="1"/>
  <c r="J9" i="1"/>
  <c r="L8" i="1"/>
  <c r="J8" i="1"/>
  <c r="L7" i="1"/>
  <c r="J7" i="1"/>
  <c r="L5" i="1"/>
  <c r="J5" i="1"/>
  <c r="L6" i="1"/>
  <c r="J6" i="1"/>
  <c r="L146" i="1" l="1"/>
  <c r="B1" i="2" s="1"/>
</calcChain>
</file>

<file path=xl/sharedStrings.xml><?xml version="1.0" encoding="utf-8"?>
<sst xmlns="http://schemas.openxmlformats.org/spreadsheetml/2006/main" count="755" uniqueCount="154">
  <si>
    <t>Price Schedule</t>
  </si>
  <si>
    <t>Purchase Category</t>
  </si>
  <si>
    <t>Description</t>
  </si>
  <si>
    <t>Part #</t>
  </si>
  <si>
    <t>Qty</t>
  </si>
  <si>
    <t>List Price</t>
  </si>
  <si>
    <t>Discount</t>
  </si>
  <si>
    <t xml:space="preserve">Net Price </t>
  </si>
  <si>
    <t>Extended Price</t>
  </si>
  <si>
    <t>Period of Performance</t>
  </si>
  <si>
    <t>Item #</t>
  </si>
  <si>
    <t>Purchase Type</t>
  </si>
  <si>
    <t>MAINTENANCE</t>
  </si>
  <si>
    <t xml:space="preserve">Total Price </t>
  </si>
  <si>
    <t xml:space="preserve">Time of Delivery: </t>
  </si>
  <si>
    <t xml:space="preserve">Technical Point of Contact: </t>
  </si>
  <si>
    <t xml:space="preserve">Company:  </t>
  </si>
  <si>
    <t xml:space="preserve">Phone: </t>
  </si>
  <si>
    <t xml:space="preserve">Email Address: </t>
  </si>
  <si>
    <t>Description of Requirement</t>
  </si>
  <si>
    <t>HARDWARE</t>
  </si>
  <si>
    <t>Serial #</t>
  </si>
  <si>
    <t xml:space="preserve">Instructions to Offerors: </t>
  </si>
  <si>
    <t>SUBSCRIPTION</t>
  </si>
  <si>
    <t>PA-5450, Advanced Threat Prevention subscription, for one (1) device in an HA pair, 1 year (12 months), term, renewal.</t>
  </si>
  <si>
    <t>PA-5450, Advanced URL Filtering subscription, for one (1) device in an HA pair, 1 year (12 months), term, renewal.</t>
  </si>
  <si>
    <t>PA-5450, Advanced URL Filtering subscription, for one (1) device in an HA pair, 1 year (12 months),term, renewal.</t>
  </si>
  <si>
    <t>Advanced WildFire subscription for device in an HA pair renewal, PA-3220</t>
  </si>
  <si>
    <t>GlobalProtect subscription for device in an HA pair renewal, PA- 3220</t>
  </si>
  <si>
    <t>GlobalProtect subscription for device in an HA pair renewal, PA-3220</t>
  </si>
  <si>
    <t>Subscription Advanced URL Filtering, 1- year, PA-3250, HA Pair Renewal</t>
  </si>
  <si>
    <t>Subscription Advanced URL Filtering, 1-year, PA-3250, HA Pair Renewal</t>
  </si>
  <si>
    <t>Subscription Advanced URL Filtering, 1- year, PA-3260, HA Pair Renewal</t>
  </si>
  <si>
    <t>Subscription Advanced URL Filtering, 1-year, PA-3260, HA Pair Renewal</t>
  </si>
  <si>
    <t>Subscription Advanced URL Filtering, 1- year, PA-5260, HA Pair Renewal</t>
  </si>
  <si>
    <t>Subscription Advanced URL Filtering, 1-year, PA-5260, HA Pair Renewal</t>
  </si>
  <si>
    <t>GlobalProtect subscription for device in an HA pair renewal, PA- 5260</t>
  </si>
  <si>
    <t>GlobalProtect subscription for device in an HA pair renewal, PA-5260</t>
  </si>
  <si>
    <t>Subscription Advanced URL Filtering, 1- year, PA-5280, HA Pair Renewal</t>
  </si>
  <si>
    <t>Advanced Threat Prevention subscription for device in an HA pair renewal, PA-3220</t>
  </si>
  <si>
    <t>Advanced Threat Prevention subscription for device in an HA pair renewal, PA-5280</t>
  </si>
  <si>
    <t>Advanced Threat Prevention subscription for device in an HA pair renewal, PA-3250</t>
  </si>
  <si>
    <t>Advanced Threat Prevention subscription for device in an HA pair renewal, PA-3260</t>
  </si>
  <si>
    <t>Advanced Threat Prevention subscription for device in an HA pair renewal, PA-5260</t>
  </si>
  <si>
    <t>Prisma Access Mobile User Enterprise Edition includes private app access and outbound internet security for mobile users, premium security subscription, worldwide service locations, 5 service connections, and standard success per mobile user per year</t>
  </si>
  <si>
    <t>Prisma Access MU SaaS Inline add- on, includes SaaS Inline Security for Prisma Access Mobile Users, Standard Success Plan per unit  per year - at no cost with Enterprise</t>
  </si>
  <si>
    <t>Prisma Access Premium Success. For US Government accounts only.</t>
  </si>
  <si>
    <t>Cortex Data Lake with 1TB of storage, 1- year, includes US Government Premium Support</t>
  </si>
  <si>
    <t>Prisma SASE environment for US regulated industries and US Public Sector has a FedRAMP Moderate ATO. The Unit Price represents $0.15 per $1 of all Prisma SASE related SKUs quoted (a 15% uplift), excluding hw, support &amp; professional services.</t>
  </si>
  <si>
    <t>Maintenance</t>
  </si>
  <si>
    <t>Palo Alto Networks : Autonomous Digital Experience Management Add-On for Prisma Access for Mobile User</t>
  </si>
  <si>
    <t>Prisma Access Private App Access Service Connection Quantity add- on includes the number of additional service connections and standard success per unit per year</t>
  </si>
  <si>
    <t>PA-460, Advanced Threat Prevention subscription, 1 year (12 months), term, renewal.</t>
  </si>
  <si>
    <t>PA-460, Advanced Threat Prevention subscription, for one (1) device in an HA pair, 1 year (12 months), term, renewal.</t>
  </si>
  <si>
    <t>Advanced Threat Prevention subscription renewal, PA-1410</t>
  </si>
  <si>
    <t>For US Government accounts only. Premium support renewal, Panorama M- 700 100 devices</t>
  </si>
  <si>
    <t>Advanced Threat Prevention subscription renewal, PA-3420</t>
  </si>
  <si>
    <t>Software NGFW Credits to deploy VM- Series, CN-Series, Subscription Services, and Virtual</t>
  </si>
  <si>
    <t>PA-3220 Lab Unit First Year Service Bundle (Advanced Threat Prevention, Advance DNS, Advanced URL Filtering, GlobalProtect, Advanced
WildFire, Advanced SD-WAN, VSYS- 5, US Government standard support)</t>
  </si>
  <si>
    <t>PA-3420, Lab bundle subscription (Advanced Threat Prevention, Advance DNS, Advanced URL filtering, GlobalProtect, Advanced WildFire, Advanced SD-WAN, US Government Standard support), 1 year (12 months) term.</t>
  </si>
  <si>
    <t>PA-1410, For US Government accounts only, Premium support, 1 year (12 months) term, renewal.</t>
  </si>
  <si>
    <t>For US Government accounts only. Premium support renewal, PA-3220</t>
  </si>
  <si>
    <t>For US Government accounts only. Premium support renewal, PA-3250</t>
  </si>
  <si>
    <t>For US Government accounts only. Premium support renewal, PA-3260</t>
  </si>
  <si>
    <t>PA-460, For US Government accounts only, Premium support, 1 year (12 months), term, renewal.</t>
  </si>
  <si>
    <t>For US Government accounts only. Premium support renewal, PA-5260</t>
  </si>
  <si>
    <t>For US Government accounts only. Premium support renewal, PA-5280</t>
  </si>
  <si>
    <t>PA-5450, For US Government accounts only, Premium support, 1 year (12 months), term, renewal.</t>
  </si>
  <si>
    <t>For US Government accounts only. Premium support renewal, Panorama M- 200 25 devices or log collector</t>
  </si>
  <si>
    <t>For US Government accounts only. Premium support renewal, Panorama M- 300 25 devices or log collector</t>
  </si>
  <si>
    <t>For US Government Only. M-200 Lab First Year US Government Standard Support</t>
  </si>
  <si>
    <t>For US Government accounts only. Premium support year 1, PA-3420</t>
  </si>
  <si>
    <t>For US Government accounts only. Premium support year 1, PA-3410</t>
  </si>
  <si>
    <t>Advanced Threat Prevention subscription year 1, PA-3410</t>
  </si>
  <si>
    <t>PA-3420,Lab bundle subscription (Advanced Threat Prevention,Advance DNS,Advanced URL filtering,Prisma Access Agent,Advanced WildFire,Advanced SD-WAN,US Government Standard support), 1 year (12 months) term.</t>
  </si>
  <si>
    <t>PA-5445, For US Government accounts only, Premium support, 1 year (12 months) term.</t>
  </si>
  <si>
    <t>PA-5445, Advanced Threat, for one (1) device in an HA pair, 1 year (12 months) term.</t>
  </si>
  <si>
    <t>PAN-PA-5450-ATP-HA2-R</t>
  </si>
  <si>
    <t>PAN-PA-5450-ADVURL-HA2-R</t>
  </si>
  <si>
    <t>PAN-PA-3220-AWF-HA2-R</t>
  </si>
  <si>
    <t>PAN-PA-3220-GP-HA2-R</t>
  </si>
  <si>
    <t>PAN-PA-3250-ADVURL-HA2-R</t>
  </si>
  <si>
    <t>PAN-PA-3260-ADVURL-HA2-R</t>
  </si>
  <si>
    <t>PAN-PA-5260-ADVURL-HA2-R</t>
  </si>
  <si>
    <t>PAN-PA-5260-GP-HA2-R</t>
  </si>
  <si>
    <t>PAN-PA-5280-ADVURL-HA2-R</t>
  </si>
  <si>
    <t>PAN-PA-3220-ATP-HA2-R</t>
  </si>
  <si>
    <t>PAN-PA-5280-ATP-HA2-R</t>
  </si>
  <si>
    <t>PAN-PA-3250-ATP-HA2-R</t>
  </si>
  <si>
    <t>PAN-PA-3260-ATP-HA2-R</t>
  </si>
  <si>
    <t>PAN-PA-5260-ATP-HA2-R</t>
  </si>
  <si>
    <t>PAN-PRISMA-ACCESS-MU-ENTERPRISE</t>
  </si>
  <si>
    <t>PAN-PRISMA-ACCESS-MU-SAAS-INLINE</t>
  </si>
  <si>
    <t>PAN-PRISMA-ACCESS-PREMUSG SUCCESS</t>
  </si>
  <si>
    <t>PAN-CDL-1TB-USG</t>
  </si>
  <si>
    <t>PAN-SASE-PUBSEC-CLOUD</t>
  </si>
  <si>
    <t>PAN-PRISMA-ACCESS-MU-DEM</t>
  </si>
  <si>
    <t>PAN-PRISMA-ACCESS-PRIV-APPS-SC-QTY</t>
  </si>
  <si>
    <t>PAN-PA-460-ATP-R</t>
  </si>
  <si>
    <t>PAN-PA-460-ATP-HA2-R</t>
  </si>
  <si>
    <t>PAN-PA-1410-ATP-HA-R</t>
  </si>
  <si>
    <t>PAN-SVC-PREMUSG-M-700-P-100-R</t>
  </si>
  <si>
    <t>PAN-PA-3420-ATP-R</t>
  </si>
  <si>
    <t>PAN-SOFTWARENGFW-CR</t>
  </si>
  <si>
    <t>PAN-PA-3220-USG-BND-LAB4</t>
  </si>
  <si>
    <t>PAN-PA-3420-USG-BND-LAB4</t>
  </si>
  <si>
    <t>PAN-SVC-PREMUSG-1410-R</t>
  </si>
  <si>
    <t>PAN-SVC-PREMUSG-3220-R</t>
  </si>
  <si>
    <t>PAN-SVC-PREMUSG-3250-R</t>
  </si>
  <si>
    <t>PAN-SVC-PREMUSG-3260-R</t>
  </si>
  <si>
    <t>PAN-SVC-PREMUSG-460-R</t>
  </si>
  <si>
    <t>PAN-SVC-PREMUSG-5260-R</t>
  </si>
  <si>
    <t>PAN-SVC-PREMUSG-5280-R</t>
  </si>
  <si>
    <t>PAN-SVC-PREMUSG-5450-R</t>
  </si>
  <si>
    <t>PAN-SVC-PREMUSG-M-200-P-25-R</t>
  </si>
  <si>
    <t>PAN-SVC-PREMUSG-M-300-P-25-R</t>
  </si>
  <si>
    <t>PAN-SVC-LAB-USG-M-200- P-25-R</t>
  </si>
  <si>
    <t>PAN-SVC-PREMUSG-3420</t>
  </si>
  <si>
    <t>PAN-SVC-PREMUSG-3410</t>
  </si>
  <si>
    <t>PAN-PA-3410-ATP</t>
  </si>
  <si>
    <t>PAN-SVC-PREMUSG-5445</t>
  </si>
  <si>
    <t>PAN-PA-5445-ATP-HA2</t>
  </si>
  <si>
    <t>027007001905
027007001909</t>
  </si>
  <si>
    <t>027007001915
027007001922</t>
  </si>
  <si>
    <t>016201020431
016201020422
016201020415
016201020427</t>
  </si>
  <si>
    <t>024201007140
024201007142
024201007145
024201007160</t>
  </si>
  <si>
    <t>026701007224
026701007906
026701007927</t>
  </si>
  <si>
    <t>0 16201020428</t>
  </si>
  <si>
    <t>016301000806
016301000808
016301001390
016301001403</t>
  </si>
  <si>
    <t>023001023860
023001023870
023001023876
023009000914
023009000919
023009000942
023009000949
023009000951
023009000958</t>
  </si>
  <si>
    <t>017607001762
017607001764</t>
  </si>
  <si>
    <t>017607003803
017607003904</t>
  </si>
  <si>
    <t>027107001787
027107001803</t>
  </si>
  <si>
    <t>017607001758,
017607001767</t>
  </si>
  <si>
    <t>024209000689
024209000684</t>
  </si>
  <si>
    <t>026109000620
026109000622</t>
  </si>
  <si>
    <t xml:space="preserve">016201025799
016201025805
</t>
  </si>
  <si>
    <t xml:space="preserve">The FDIC’s Palo Alto firewalls have been deployed at various network segments to enforce network security boundaries, inspect network traffic, and improve the FDIC’s network security posture. This requirement is to renew mainteance on the items listed in this schedule. </t>
  </si>
  <si>
    <t>7/1/2026 - 6/30/2029</t>
  </si>
  <si>
    <t>Requirement Description: Palo Alto Hardware and Subscription Maintenance</t>
  </si>
  <si>
    <t>Credit Pool: 5818474630</t>
  </si>
  <si>
    <t>024209000689          
024209000684</t>
  </si>
  <si>
    <r>
      <rPr>
        <sz val="10"/>
        <color rgb="FFFF0000"/>
        <rFont val="Source Sans Pro"/>
        <family val="2"/>
      </rPr>
      <t>015701002012</t>
    </r>
    <r>
      <rPr>
        <sz val="10"/>
        <color rgb="FF000000"/>
        <rFont val="Source Sans Pro"/>
        <family val="2"/>
      </rPr>
      <t xml:space="preserve">
015701000559
015701000597
015701000806
015701001326
015701000598</t>
    </r>
  </si>
  <si>
    <t>Total Price</t>
  </si>
  <si>
    <r>
      <t xml:space="preserve">019901002740
019901002911
</t>
    </r>
    <r>
      <rPr>
        <sz val="10"/>
        <color rgb="FFFF0000"/>
        <rFont val="Source Sans Pro"/>
        <family val="2"/>
      </rPr>
      <t xml:space="preserve">019901004627 </t>
    </r>
    <r>
      <rPr>
        <sz val="10"/>
        <color rgb="FF000000"/>
        <rFont val="Source Sans Pro"/>
        <family val="2"/>
      </rPr>
      <t xml:space="preserve">
019901002944</t>
    </r>
  </si>
  <si>
    <t>019901004627 019901002740
019901002911 019901002944</t>
  </si>
  <si>
    <t xml:space="preserve">Included in Enterprise Agreement (EA)? </t>
  </si>
  <si>
    <t>024109009830
024109009831
024109009832
024109009833
024109009834
024109009835
024109009836
024109009837</t>
  </si>
  <si>
    <t>024209005582
024209005648
024209005736
024209005745</t>
  </si>
  <si>
    <r>
      <rPr>
        <b/>
        <sz val="10"/>
        <color rgb="FF000000"/>
        <rFont val="&quot;Source Sans Pro&quot;"/>
      </rPr>
      <t xml:space="preserve">1/10/2027 </t>
    </r>
    <r>
      <rPr>
        <sz val="10"/>
        <color rgb="FF000000"/>
        <rFont val="&quot;Source Sans Pro&quot;"/>
      </rPr>
      <t>- 6/30/2029</t>
    </r>
  </si>
  <si>
    <r>
      <rPr>
        <b/>
        <sz val="10"/>
        <color rgb="FF000000"/>
        <rFont val="&quot;Source Sans Pro&quot;"/>
      </rPr>
      <t xml:space="preserve">3/11/2027 </t>
    </r>
    <r>
      <rPr>
        <sz val="10"/>
        <color rgb="FF000000"/>
        <rFont val="&quot;Source Sans Pro&quot;"/>
      </rPr>
      <t>- 6/30/2029</t>
    </r>
  </si>
  <si>
    <r>
      <rPr>
        <b/>
        <sz val="10"/>
        <color rgb="FF000000"/>
        <rFont val="&quot;Source Sans Pro&quot;"/>
      </rPr>
      <t>1/10/2027</t>
    </r>
    <r>
      <rPr>
        <sz val="10"/>
        <color rgb="FF000000"/>
        <rFont val="&quot;Source Sans Pro&quot;"/>
      </rPr>
      <t xml:space="preserve"> - 6/30/2029</t>
    </r>
  </si>
  <si>
    <r>
      <rPr>
        <b/>
        <sz val="10"/>
        <color rgb="FF000000"/>
        <rFont val="&quot;Source Sans Pro&quot;"/>
      </rPr>
      <t>8/23/2026</t>
    </r>
    <r>
      <rPr>
        <sz val="10"/>
        <color rgb="FF000000"/>
        <rFont val="&quot;Source Sans Pro&quot;"/>
      </rPr>
      <t xml:space="preserve"> - 6/30/2029</t>
    </r>
  </si>
  <si>
    <r>
      <t>Offeror is to input amounts into the "List Price" and "Net Price" cells. "Discount", "Extended Price", and "Total Price" cells will all be automated based on Offerors inputs for List Price and Net Price.</t>
    </r>
    <r>
      <rPr>
        <b/>
        <i/>
        <sz val="11"/>
        <color theme="1"/>
        <rFont val="Times New Roman"/>
        <family val="1"/>
      </rPr>
      <t xml:space="preserve"> </t>
    </r>
    <r>
      <rPr>
        <b/>
        <i/>
        <sz val="11"/>
        <color rgb="FFFF0000"/>
        <rFont val="Times New Roman"/>
        <family val="1"/>
      </rPr>
      <t>Offeror is to respond "yes" or "no" in column M for each line items to indicate if the line items is included in the EA</t>
    </r>
    <r>
      <rPr>
        <b/>
        <i/>
        <sz val="11"/>
        <color theme="1"/>
        <rFont val="Times New Roman"/>
        <family val="1"/>
      </rPr>
      <t>.</t>
    </r>
    <r>
      <rPr>
        <i/>
        <sz val="11"/>
        <color theme="1"/>
        <rFont val="Times New Roman"/>
        <family val="1"/>
      </rPr>
      <t xml:space="preserve"> FDIC requests Offerors to provide the most favorable discount to the Government.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</si>
</sst>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0000000000"/>
    <numFmt numFmtId="166" formatCode="00000000000"/>
  </numFmts>
  <fonts count="24">
    <font>
      <sz val="11"/>
      <color theme="1"/>
      <name val="Aptos Narrow"/>
      <family val="2"/>
      <scheme val="minor"/>
    </font>
    <font>
      <b/>
      <sz val="12"/>
      <color theme="1"/>
      <name val="Times New Roman"/>
      <family val="1"/>
    </font>
    <font>
      <sz val="12"/>
      <name val="Times New Roman"/>
      <family val="1"/>
    </font>
    <font>
      <b/>
      <sz val="11"/>
      <color theme="1"/>
      <name val="Times New Roman"/>
      <family val="1"/>
    </font>
    <font>
      <sz val="12"/>
      <color theme="1"/>
      <name val="Aptos Narrow"/>
      <family val="2"/>
      <scheme val="minor"/>
    </font>
    <font>
      <u/>
      <sz val="11"/>
      <color theme="10"/>
      <name val="Aptos Narrow"/>
      <family val="2"/>
      <scheme val="minor"/>
    </font>
    <font>
      <sz val="11"/>
      <color theme="1"/>
      <name val="Aptos Narrow"/>
      <family val="2"/>
      <scheme val="minor"/>
    </font>
    <font>
      <sz val="11"/>
      <color theme="1"/>
      <name val="Times New Roman"/>
      <family val="1"/>
    </font>
    <font>
      <b/>
      <sz val="10"/>
      <name val="Times New Roman"/>
      <family val="1"/>
    </font>
    <font>
      <sz val="10"/>
      <name val="Source Sans Pro"/>
      <family val="2"/>
    </font>
    <font>
      <i/>
      <sz val="11"/>
      <color theme="1"/>
      <name val="Times New Roman"/>
      <family val="1"/>
    </font>
    <font>
      <sz val="10"/>
      <color rgb="FF000000"/>
      <name val="Source Sans Pro"/>
      <family val="2"/>
    </font>
    <font>
      <sz val="10"/>
      <color theme="1"/>
      <name val="Source Sans Pro"/>
      <family val="2"/>
    </font>
    <font>
      <sz val="10"/>
      <color rgb="FFFF0000"/>
      <name val="Source Sans Pro"/>
      <family val="2"/>
    </font>
    <font>
      <sz val="10"/>
      <color rgb="FF000000"/>
      <name val="Aptos Narrow"/>
      <family val="2"/>
      <scheme val="minor"/>
    </font>
    <font>
      <strike/>
      <sz val="11"/>
      <color theme="1"/>
      <name val="Aptos Display"/>
      <family val="2"/>
    </font>
    <font>
      <strike/>
      <sz val="11"/>
      <color theme="1"/>
      <name val="Times New Roman"/>
      <family val="1"/>
    </font>
    <font>
      <sz val="10"/>
      <color theme="1"/>
      <name val="Times New Roman"/>
      <family val="1"/>
    </font>
    <font>
      <b/>
      <i/>
      <sz val="11"/>
      <color theme="1"/>
      <name val="Times New Roman"/>
      <family val="1"/>
    </font>
    <font>
      <strike/>
      <sz val="10"/>
      <color rgb="FFFF0000"/>
      <name val="Aptos Display"/>
      <family val="2"/>
    </font>
    <font>
      <strike/>
      <sz val="11"/>
      <color rgb="FFFF0000"/>
      <name val="Aptos Display"/>
      <family val="2"/>
    </font>
    <font>
      <sz val="10"/>
      <color rgb="FF000000"/>
      <name val="&quot;Source Sans Pro&quot;"/>
    </font>
    <font>
      <b/>
      <sz val="10"/>
      <color rgb="FF000000"/>
      <name val="&quot;Source Sans Pro&quot;"/>
    </font>
    <font>
      <b/>
      <i/>
      <sz val="11"/>
      <color rgb="FFFF0000"/>
      <name val="Times New Roman"/>
      <family val="1"/>
    </font>
  </fonts>
  <fills count="9">
    <fill>
      <patternFill patternType="none"/>
    </fill>
    <fill>
      <patternFill patternType="gray125"/>
    </fill>
    <fill>
      <patternFill patternType="solid">
        <fgColor theme="4" tint="0.79998168889431442"/>
        <bgColor rgb="FF000000"/>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00"/>
        <bgColor rgb="FF000000"/>
      </patternFill>
    </fill>
    <fill>
      <patternFill patternType="solid">
        <fgColor rgb="FFFFFF00"/>
        <bgColor rgb="FFFFF2CC"/>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indexed="64"/>
      </bottom>
      <diagonal/>
    </border>
    <border>
      <left/>
      <right/>
      <top style="thick">
        <color indexed="64"/>
      </top>
      <bottom/>
      <diagonal/>
    </border>
    <border>
      <left/>
      <right/>
      <top style="thick">
        <color indexed="64"/>
      </top>
      <bottom style="thick">
        <color indexed="64"/>
      </bottom>
      <diagonal/>
    </border>
    <border>
      <left style="thin">
        <color rgb="FF000000"/>
      </left>
      <right/>
      <top style="thin">
        <color theme="4" tint="0.39997558519241921"/>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3">
    <xf numFmtId="0" fontId="0" fillId="0" borderId="0"/>
    <xf numFmtId="0" fontId="5" fillId="0" borderId="0" applyNumberFormat="0" applyFill="0" applyBorder="0" applyAlignment="0" applyProtection="0"/>
    <xf numFmtId="44" fontId="6" fillId="0" borderId="0" applyFont="0" applyFill="0" applyBorder="0" applyAlignment="0" applyProtection="0"/>
  </cellStyleXfs>
  <cellXfs count="66">
    <xf numFmtId="0" fontId="0" fillId="0" borderId="0" xfId="0"/>
    <xf numFmtId="0" fontId="1" fillId="0" borderId="2" xfId="0" applyFont="1" applyBorder="1" applyAlignment="1">
      <alignment horizontal="center" vertical="center" wrapText="1"/>
    </xf>
    <xf numFmtId="44" fontId="2" fillId="0" borderId="3" xfId="0" applyNumberFormat="1" applyFont="1" applyBorder="1" applyAlignment="1">
      <alignment horizontal="center" vertical="center" wrapText="1"/>
    </xf>
    <xf numFmtId="0" fontId="1" fillId="0" borderId="0" xfId="0" applyFont="1" applyAlignment="1">
      <alignment horizontal="center" vertical="center" wrapText="1"/>
    </xf>
    <xf numFmtId="44" fontId="2" fillId="0" borderId="0" xfId="0" applyNumberFormat="1"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left" vertic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7" fillId="0" borderId="0" xfId="0" applyFont="1"/>
    <xf numFmtId="164" fontId="7" fillId="0" borderId="1" xfId="2" applyNumberFormat="1" applyFont="1" applyBorder="1" applyAlignment="1">
      <alignment horizontal="center" vertical="center"/>
    </xf>
    <xf numFmtId="164" fontId="7" fillId="0" borderId="1" xfId="0" applyNumberFormat="1" applyFont="1" applyBorder="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pplyProtection="1">
      <alignment horizontal="center" vertical="center" wrapText="1"/>
      <protection locked="0"/>
    </xf>
    <xf numFmtId="49" fontId="9" fillId="2" borderId="1" xfId="0" applyNumberFormat="1" applyFont="1" applyFill="1" applyBorder="1" applyAlignment="1">
      <alignment horizontal="center" vertical="center"/>
    </xf>
    <xf numFmtId="164" fontId="7" fillId="3" borderId="1" xfId="2" applyNumberFormat="1" applyFont="1" applyFill="1" applyBorder="1" applyAlignment="1">
      <alignment horizontal="center" vertical="center"/>
    </xf>
    <xf numFmtId="0" fontId="9" fillId="4" borderId="1" xfId="0" applyFont="1" applyFill="1" applyBorder="1" applyAlignment="1">
      <alignment horizontal="center" vertical="center" wrapText="1"/>
    </xf>
    <xf numFmtId="0" fontId="9" fillId="4" borderId="1" xfId="0" applyFont="1" applyFill="1" applyBorder="1" applyAlignment="1" applyProtection="1">
      <alignment horizontal="center" vertical="center" wrapText="1"/>
      <protection locked="0"/>
    </xf>
    <xf numFmtId="165" fontId="11" fillId="4" borderId="7" xfId="0" applyNumberFormat="1" applyFont="1" applyFill="1" applyBorder="1" applyAlignment="1">
      <alignment horizontal="center" vertical="center" shrinkToFit="1"/>
    </xf>
    <xf numFmtId="165" fontId="11" fillId="4" borderId="8" xfId="0" applyNumberFormat="1" applyFont="1" applyFill="1" applyBorder="1" applyAlignment="1">
      <alignment horizontal="center" vertical="center" shrinkToFit="1"/>
    </xf>
    <xf numFmtId="0" fontId="9" fillId="4" borderId="8" xfId="0" applyFont="1" applyFill="1" applyBorder="1" applyAlignment="1">
      <alignment horizontal="center" vertical="center" wrapText="1"/>
    </xf>
    <xf numFmtId="166" fontId="11" fillId="4" borderId="8" xfId="0" applyNumberFormat="1" applyFont="1" applyFill="1" applyBorder="1" applyAlignment="1">
      <alignment horizontal="center" vertical="center" shrinkToFit="1"/>
    </xf>
    <xf numFmtId="165" fontId="11" fillId="4" borderId="8" xfId="0" applyNumberFormat="1" applyFont="1" applyFill="1" applyBorder="1" applyAlignment="1">
      <alignment horizontal="center" vertical="center" wrapText="1" shrinkToFit="1"/>
    </xf>
    <xf numFmtId="0" fontId="11" fillId="4" borderId="8" xfId="0" applyFont="1" applyFill="1" applyBorder="1" applyAlignment="1">
      <alignment horizontal="center" vertical="center" wrapText="1"/>
    </xf>
    <xf numFmtId="0" fontId="3" fillId="0" borderId="1" xfId="0" applyFont="1" applyBorder="1" applyAlignment="1">
      <alignment horizontal="center" vertical="center" wrapText="1"/>
    </xf>
    <xf numFmtId="0" fontId="11" fillId="4" borderId="9"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11" fillId="4" borderId="1" xfId="0" applyFont="1" applyFill="1" applyBorder="1" applyAlignment="1">
      <alignment horizontal="center" vertical="center" wrapText="1"/>
    </xf>
    <xf numFmtId="165" fontId="11" fillId="6" borderId="8" xfId="0" applyNumberFormat="1" applyFont="1" applyFill="1" applyBorder="1" applyAlignment="1">
      <alignment horizontal="center" vertical="center" shrinkToFit="1"/>
    </xf>
    <xf numFmtId="0" fontId="12" fillId="6" borderId="1" xfId="0" applyFont="1" applyFill="1" applyBorder="1" applyAlignment="1">
      <alignment horizontal="center" vertical="center" wrapText="1"/>
    </xf>
    <xf numFmtId="0" fontId="9" fillId="6" borderId="8" xfId="0" applyFont="1" applyFill="1" applyBorder="1" applyAlignment="1">
      <alignment horizontal="center" vertical="center" wrapText="1"/>
    </xf>
    <xf numFmtId="165" fontId="11" fillId="6" borderId="8" xfId="0" applyNumberFormat="1" applyFont="1" applyFill="1" applyBorder="1" applyAlignment="1">
      <alignment horizontal="center" vertical="center" wrapText="1" shrinkToFit="1"/>
    </xf>
    <xf numFmtId="0" fontId="9" fillId="7" borderId="1" xfId="0" applyFont="1" applyFill="1" applyBorder="1" applyAlignment="1">
      <alignment horizontal="center" vertical="center" wrapText="1"/>
    </xf>
    <xf numFmtId="0" fontId="9" fillId="6" borderId="1" xfId="0" applyFont="1" applyFill="1" applyBorder="1" applyAlignment="1" applyProtection="1">
      <alignment horizontal="center" vertical="center" wrapText="1"/>
      <protection locked="0"/>
    </xf>
    <xf numFmtId="0" fontId="9" fillId="6" borderId="1" xfId="0" applyFont="1" applyFill="1" applyBorder="1" applyAlignment="1">
      <alignment horizontal="center" vertical="center" wrapText="1"/>
    </xf>
    <xf numFmtId="0" fontId="11" fillId="6" borderId="9" xfId="0" applyFont="1" applyFill="1" applyBorder="1" applyAlignment="1">
      <alignment horizontal="center" vertical="center" wrapText="1"/>
    </xf>
    <xf numFmtId="49" fontId="9" fillId="7" borderId="1" xfId="0" applyNumberFormat="1" applyFont="1" applyFill="1" applyBorder="1" applyAlignment="1">
      <alignment horizontal="center" vertical="center"/>
    </xf>
    <xf numFmtId="164" fontId="7" fillId="6" borderId="1" xfId="2" applyNumberFormat="1" applyFont="1" applyFill="1" applyBorder="1" applyAlignment="1">
      <alignment horizontal="center" vertical="center"/>
    </xf>
    <xf numFmtId="0" fontId="15" fillId="0" borderId="0" xfId="0" applyFont="1"/>
    <xf numFmtId="0" fontId="14" fillId="0" borderId="0" xfId="0" applyFont="1" applyAlignment="1">
      <alignment wrapText="1"/>
    </xf>
    <xf numFmtId="0" fontId="7" fillId="0" borderId="0" xfId="0" applyFont="1" applyAlignment="1">
      <alignment wrapText="1"/>
    </xf>
    <xf numFmtId="0" fontId="3" fillId="5"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1" xfId="0" applyFont="1" applyFill="1" applyBorder="1" applyAlignment="1" applyProtection="1">
      <alignment horizontal="center" vertical="center" wrapText="1"/>
      <protection locked="0"/>
    </xf>
    <xf numFmtId="165" fontId="19" fillId="4" borderId="8" xfId="0" applyNumberFormat="1" applyFont="1" applyFill="1" applyBorder="1" applyAlignment="1">
      <alignment horizontal="center" vertical="center" shrinkToFit="1"/>
    </xf>
    <xf numFmtId="49" fontId="19" fillId="2" borderId="1" xfId="0" applyNumberFormat="1" applyFont="1" applyFill="1" applyBorder="1" applyAlignment="1">
      <alignment horizontal="center" vertical="center"/>
    </xf>
    <xf numFmtId="164" fontId="20" fillId="3" borderId="1" xfId="2" applyNumberFormat="1" applyFont="1" applyFill="1" applyBorder="1" applyAlignment="1">
      <alignment horizontal="center" vertical="center"/>
    </xf>
    <xf numFmtId="164" fontId="20" fillId="0" borderId="1" xfId="2" applyNumberFormat="1" applyFont="1" applyBorder="1" applyAlignment="1">
      <alignment horizontal="center" vertical="center"/>
    </xf>
    <xf numFmtId="0" fontId="7" fillId="3" borderId="1" xfId="0" applyFont="1" applyFill="1" applyBorder="1"/>
    <xf numFmtId="0" fontId="16" fillId="3" borderId="1" xfId="0" applyFont="1" applyFill="1" applyBorder="1"/>
    <xf numFmtId="0" fontId="17" fillId="3" borderId="1" xfId="0" applyFont="1" applyFill="1" applyBorder="1" applyAlignment="1">
      <alignment wrapText="1"/>
    </xf>
    <xf numFmtId="0" fontId="21" fillId="8" borderId="1" xfId="0" applyFont="1" applyFill="1" applyBorder="1" applyAlignment="1">
      <alignment horizontal="center"/>
    </xf>
    <xf numFmtId="0" fontId="5" fillId="0" borderId="6" xfId="1" applyBorder="1" applyAlignment="1">
      <alignment horizontal="center"/>
    </xf>
    <xf numFmtId="0" fontId="4" fillId="0" borderId="6" xfId="0" applyFont="1" applyBorder="1" applyAlignment="1">
      <alignment horizontal="center"/>
    </xf>
    <xf numFmtId="0" fontId="2" fillId="0" borderId="0" xfId="0" applyFont="1" applyAlignment="1">
      <alignment horizontal="center" vertical="center" wrapText="1"/>
    </xf>
    <xf numFmtId="14" fontId="4" fillId="0" borderId="4" xfId="0" applyNumberFormat="1" applyFont="1" applyBorder="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center"/>
    </xf>
    <xf numFmtId="0" fontId="10" fillId="0" borderId="0" xfId="0" applyFont="1" applyAlignment="1">
      <alignment horizontal="left" wrapText="1"/>
    </xf>
    <xf numFmtId="0" fontId="3" fillId="0" borderId="0" xfId="0" applyFont="1" applyAlignment="1">
      <alignment horizontal="center" vertical="center"/>
    </xf>
    <xf numFmtId="0" fontId="1" fillId="5" borderId="1" xfId="0" applyFont="1" applyFill="1" applyBorder="1" applyAlignment="1">
      <alignment horizontal="center"/>
    </xf>
  </cellXfs>
  <cellStyles count="3">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C89D-088B-4271-A959-99F31EBB280B}">
  <sheetPr>
    <pageSetUpPr fitToPage="1"/>
  </sheetPr>
  <dimension ref="A1:E11"/>
  <sheetViews>
    <sheetView workbookViewId="0">
      <selection activeCell="B18" sqref="B18"/>
    </sheetView>
  </sheetViews>
  <sheetFormatPr defaultRowHeight="15"/>
  <cols>
    <col min="1" max="1" width="27.7109375" bestFit="1" customWidth="1"/>
    <col min="2" max="2" width="34.7109375" customWidth="1"/>
    <col min="5" max="5" width="18" customWidth="1"/>
  </cols>
  <sheetData>
    <row r="1" spans="1:5" ht="48" customHeight="1" thickBot="1">
      <c r="A1" s="1" t="s">
        <v>13</v>
      </c>
      <c r="B1" s="2">
        <f>'Price Schedule'!L146</f>
        <v>0</v>
      </c>
    </row>
    <row r="2" spans="1:5" ht="15.75">
      <c r="A2" s="3"/>
      <c r="B2" s="4"/>
    </row>
    <row r="3" spans="1:5" ht="132" customHeight="1">
      <c r="A3" s="3" t="s">
        <v>19</v>
      </c>
      <c r="B3" s="58" t="s">
        <v>137</v>
      </c>
      <c r="C3" s="58"/>
      <c r="D3" s="58"/>
      <c r="E3" s="58"/>
    </row>
    <row r="4" spans="1:5">
      <c r="A4" s="5"/>
    </row>
    <row r="6" spans="1:5" ht="31.15" customHeight="1" thickBot="1">
      <c r="A6" s="6" t="s">
        <v>14</v>
      </c>
      <c r="B6" s="59"/>
      <c r="C6" s="60"/>
      <c r="D6" s="60"/>
      <c r="E6" s="7"/>
    </row>
    <row r="7" spans="1:5" ht="27" customHeight="1" thickTop="1" thickBot="1">
      <c r="A7" s="6" t="s">
        <v>15</v>
      </c>
      <c r="B7" s="61"/>
      <c r="C7" s="61"/>
      <c r="D7" s="61"/>
      <c r="E7" s="8"/>
    </row>
    <row r="8" spans="1:5" ht="24" customHeight="1" thickTop="1" thickBot="1">
      <c r="A8" s="6" t="s">
        <v>16</v>
      </c>
      <c r="B8" s="62"/>
      <c r="C8" s="62"/>
      <c r="D8" s="62"/>
      <c r="E8" s="9"/>
    </row>
    <row r="9" spans="1:5" ht="26.45" customHeight="1" thickTop="1" thickBot="1">
      <c r="A9" s="6" t="s">
        <v>17</v>
      </c>
      <c r="B9" s="62"/>
      <c r="C9" s="62"/>
      <c r="D9" s="62"/>
      <c r="E9" s="9"/>
    </row>
    <row r="10" spans="1:5" ht="25.9" customHeight="1" thickTop="1" thickBot="1">
      <c r="A10" s="6" t="s">
        <v>18</v>
      </c>
      <c r="B10" s="56"/>
      <c r="C10" s="57"/>
      <c r="D10" s="57"/>
      <c r="E10" s="9"/>
    </row>
    <row r="11" spans="1:5" ht="15.75" thickTop="1"/>
  </sheetData>
  <mergeCells count="6">
    <mergeCell ref="B10:D10"/>
    <mergeCell ref="B3:E3"/>
    <mergeCell ref="B6:D6"/>
    <mergeCell ref="B7:D7"/>
    <mergeCell ref="B8:D8"/>
    <mergeCell ref="B9:D9"/>
  </mergeCells>
  <pageMargins left="0.7" right="0.7" top="0.75" bottom="0.75" header="0.3" footer="0.3"/>
  <pageSetup scale="91" orientation="portrait" horizontalDpi="1200" verticalDpi="1200" r:id="rId1"/>
  <headerFooter>
    <oddHeader>&amp;C&amp;"Source Sans Pro SemiBold"&amp;12&amp;K000000 NONPUBLIC//FDIC INTERNAL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C2AD-7A5A-46C6-ADF4-8FACC021B9C4}">
  <sheetPr>
    <pageSetUpPr fitToPage="1"/>
  </sheetPr>
  <dimension ref="A1:N146"/>
  <sheetViews>
    <sheetView tabSelected="1" workbookViewId="0">
      <selection activeCell="L7" sqref="L7"/>
    </sheetView>
  </sheetViews>
  <sheetFormatPr defaultRowHeight="15"/>
  <cols>
    <col min="1" max="1" width="8.7109375" style="10" customWidth="1"/>
    <col min="2" max="2" width="15.85546875" style="10" customWidth="1"/>
    <col min="3" max="3" width="16.5703125" style="10" customWidth="1"/>
    <col min="4" max="4" width="35.7109375" style="10" customWidth="1"/>
    <col min="5" max="5" width="22.7109375" style="10" customWidth="1"/>
    <col min="6" max="6" width="17.28515625" style="10" customWidth="1"/>
    <col min="7" max="7" width="25.7109375" style="10" customWidth="1"/>
    <col min="8" max="8" width="8.28515625" style="10" customWidth="1"/>
    <col min="9" max="9" width="17.28515625" style="10" bestFit="1" customWidth="1"/>
    <col min="10" max="10" width="16.42578125" style="10" customWidth="1"/>
    <col min="11" max="11" width="17.140625" style="10" customWidth="1"/>
    <col min="12" max="12" width="20.28515625" style="10" customWidth="1"/>
    <col min="13" max="13" width="31.85546875" style="10" customWidth="1"/>
    <col min="14" max="14" width="30.42578125" style="10" customWidth="1"/>
    <col min="15" max="16384" width="9.140625" style="10"/>
  </cols>
  <sheetData>
    <row r="1" spans="1:13" ht="67.5" customHeight="1">
      <c r="A1" s="64" t="s">
        <v>22</v>
      </c>
      <c r="B1" s="64"/>
      <c r="C1" s="63" t="s">
        <v>153</v>
      </c>
      <c r="D1" s="63"/>
      <c r="E1" s="63"/>
      <c r="F1" s="63"/>
      <c r="G1" s="63"/>
      <c r="H1" s="44"/>
      <c r="I1" s="44"/>
      <c r="J1" s="44"/>
      <c r="K1" s="44"/>
      <c r="L1" s="44"/>
    </row>
    <row r="2" spans="1:13" ht="15.75">
      <c r="A2" s="65" t="s">
        <v>0</v>
      </c>
      <c r="B2" s="65"/>
      <c r="C2" s="65"/>
      <c r="D2" s="65"/>
      <c r="E2" s="65"/>
      <c r="F2" s="65"/>
      <c r="G2" s="65"/>
      <c r="H2" s="65"/>
      <c r="I2" s="65"/>
      <c r="J2" s="65"/>
      <c r="K2" s="65"/>
      <c r="L2" s="65"/>
      <c r="M2" s="65"/>
    </row>
    <row r="3" spans="1:13" ht="15.75">
      <c r="A3" s="65" t="s">
        <v>139</v>
      </c>
      <c r="B3" s="65"/>
      <c r="C3" s="65"/>
      <c r="D3" s="65"/>
      <c r="E3" s="65"/>
      <c r="F3" s="65"/>
      <c r="G3" s="65"/>
      <c r="H3" s="65"/>
      <c r="I3" s="65"/>
      <c r="J3" s="65"/>
      <c r="K3" s="65"/>
      <c r="L3" s="65"/>
      <c r="M3" s="65"/>
    </row>
    <row r="4" spans="1:13" ht="28.5">
      <c r="A4" s="28" t="s">
        <v>10</v>
      </c>
      <c r="B4" s="28" t="s">
        <v>1</v>
      </c>
      <c r="C4" s="29" t="s">
        <v>11</v>
      </c>
      <c r="D4" s="29" t="s">
        <v>2</v>
      </c>
      <c r="E4" s="29" t="s">
        <v>3</v>
      </c>
      <c r="F4" s="29" t="s">
        <v>21</v>
      </c>
      <c r="G4" s="30" t="s">
        <v>9</v>
      </c>
      <c r="H4" s="30" t="s">
        <v>4</v>
      </c>
      <c r="I4" s="30" t="s">
        <v>5</v>
      </c>
      <c r="J4" s="30" t="s">
        <v>6</v>
      </c>
      <c r="K4" s="30" t="s">
        <v>7</v>
      </c>
      <c r="L4" s="30" t="s">
        <v>8</v>
      </c>
      <c r="M4" s="45" t="s">
        <v>146</v>
      </c>
    </row>
    <row r="5" spans="1:13" ht="40.5">
      <c r="A5" s="13">
        <v>1</v>
      </c>
      <c r="B5" s="14" t="s">
        <v>23</v>
      </c>
      <c r="C5" s="14" t="s">
        <v>12</v>
      </c>
      <c r="D5" s="14" t="s">
        <v>24</v>
      </c>
      <c r="E5" s="13" t="s">
        <v>77</v>
      </c>
      <c r="F5" s="19">
        <v>19901002740</v>
      </c>
      <c r="G5" s="15" t="s">
        <v>138</v>
      </c>
      <c r="H5" s="13">
        <v>1</v>
      </c>
      <c r="I5" s="16">
        <v>0</v>
      </c>
      <c r="J5" s="11">
        <f t="shared" ref="J5" si="0">I5-K5</f>
        <v>0</v>
      </c>
      <c r="K5" s="16">
        <v>0</v>
      </c>
      <c r="L5" s="11">
        <f t="shared" ref="L5" si="1">K5*H5</f>
        <v>0</v>
      </c>
      <c r="M5" s="52"/>
    </row>
    <row r="6" spans="1:13" ht="40.5">
      <c r="A6" s="13">
        <v>2</v>
      </c>
      <c r="B6" s="14" t="s">
        <v>23</v>
      </c>
      <c r="C6" s="14" t="s">
        <v>12</v>
      </c>
      <c r="D6" s="14" t="s">
        <v>24</v>
      </c>
      <c r="E6" s="13" t="s">
        <v>77</v>
      </c>
      <c r="F6" s="20">
        <v>19901002944</v>
      </c>
      <c r="G6" s="15" t="s">
        <v>138</v>
      </c>
      <c r="H6" s="13">
        <v>1</v>
      </c>
      <c r="I6" s="16">
        <v>0</v>
      </c>
      <c r="J6" s="11">
        <f>I6-K6</f>
        <v>0</v>
      </c>
      <c r="K6" s="16">
        <v>0</v>
      </c>
      <c r="L6" s="11">
        <f>K6*H6</f>
        <v>0</v>
      </c>
      <c r="M6" s="52"/>
    </row>
    <row r="7" spans="1:13" ht="40.5">
      <c r="A7" s="13">
        <v>3</v>
      </c>
      <c r="B7" s="14" t="s">
        <v>23</v>
      </c>
      <c r="C7" s="14" t="s">
        <v>12</v>
      </c>
      <c r="D7" s="14" t="s">
        <v>24</v>
      </c>
      <c r="E7" s="13" t="s">
        <v>77</v>
      </c>
      <c r="F7" s="32">
        <v>19901004627</v>
      </c>
      <c r="G7" s="15" t="s">
        <v>138</v>
      </c>
      <c r="H7" s="13">
        <v>1</v>
      </c>
      <c r="I7" s="16">
        <v>0</v>
      </c>
      <c r="J7" s="11">
        <f t="shared" ref="J7:J41" si="2">I7-K7</f>
        <v>0</v>
      </c>
      <c r="K7" s="16">
        <v>0</v>
      </c>
      <c r="L7" s="11">
        <f t="shared" ref="L7:L41" si="3">K7*H7</f>
        <v>0</v>
      </c>
      <c r="M7" s="52"/>
    </row>
    <row r="8" spans="1:13" ht="40.5">
      <c r="A8" s="13">
        <v>4</v>
      </c>
      <c r="B8" s="14" t="s">
        <v>23</v>
      </c>
      <c r="C8" s="14" t="s">
        <v>12</v>
      </c>
      <c r="D8" s="14" t="s">
        <v>24</v>
      </c>
      <c r="E8" s="13" t="s">
        <v>77</v>
      </c>
      <c r="F8" s="20">
        <v>19901002911</v>
      </c>
      <c r="G8" s="15" t="s">
        <v>138</v>
      </c>
      <c r="H8" s="13">
        <v>1</v>
      </c>
      <c r="I8" s="16">
        <v>0</v>
      </c>
      <c r="J8" s="11">
        <f t="shared" si="2"/>
        <v>0</v>
      </c>
      <c r="K8" s="16">
        <v>0</v>
      </c>
      <c r="L8" s="11">
        <f t="shared" si="3"/>
        <v>0</v>
      </c>
      <c r="M8" s="52"/>
    </row>
    <row r="9" spans="1:13" s="42" customFormat="1" ht="40.5">
      <c r="A9" s="46">
        <v>5</v>
      </c>
      <c r="B9" s="47" t="s">
        <v>23</v>
      </c>
      <c r="C9" s="47" t="s">
        <v>12</v>
      </c>
      <c r="D9" s="47" t="s">
        <v>25</v>
      </c>
      <c r="E9" s="46" t="s">
        <v>78</v>
      </c>
      <c r="F9" s="48">
        <v>19901002740</v>
      </c>
      <c r="G9" s="49" t="s">
        <v>138</v>
      </c>
      <c r="H9" s="46">
        <v>1</v>
      </c>
      <c r="I9" s="50">
        <v>0</v>
      </c>
      <c r="J9" s="51">
        <f t="shared" si="2"/>
        <v>0</v>
      </c>
      <c r="K9" s="50">
        <v>0</v>
      </c>
      <c r="L9" s="51">
        <f t="shared" si="3"/>
        <v>0</v>
      </c>
      <c r="M9" s="53"/>
    </row>
    <row r="10" spans="1:13" s="42" customFormat="1" ht="40.5">
      <c r="A10" s="46">
        <v>6</v>
      </c>
      <c r="B10" s="47" t="s">
        <v>23</v>
      </c>
      <c r="C10" s="47" t="s">
        <v>12</v>
      </c>
      <c r="D10" s="47" t="s">
        <v>26</v>
      </c>
      <c r="E10" s="46" t="s">
        <v>78</v>
      </c>
      <c r="F10" s="48">
        <v>19901002944</v>
      </c>
      <c r="G10" s="49" t="s">
        <v>138</v>
      </c>
      <c r="H10" s="46">
        <v>1</v>
      </c>
      <c r="I10" s="50">
        <v>0</v>
      </c>
      <c r="J10" s="51">
        <f t="shared" si="2"/>
        <v>0</v>
      </c>
      <c r="K10" s="50">
        <v>0</v>
      </c>
      <c r="L10" s="51">
        <f t="shared" si="3"/>
        <v>0</v>
      </c>
      <c r="M10" s="53"/>
    </row>
    <row r="11" spans="1:13" s="42" customFormat="1" ht="40.5">
      <c r="A11" s="46">
        <v>7</v>
      </c>
      <c r="B11" s="47" t="s">
        <v>23</v>
      </c>
      <c r="C11" s="47" t="s">
        <v>12</v>
      </c>
      <c r="D11" s="47" t="s">
        <v>25</v>
      </c>
      <c r="E11" s="46" t="s">
        <v>78</v>
      </c>
      <c r="F11" s="48">
        <v>19901002911</v>
      </c>
      <c r="G11" s="49" t="s">
        <v>138</v>
      </c>
      <c r="H11" s="46">
        <v>1</v>
      </c>
      <c r="I11" s="50">
        <v>0</v>
      </c>
      <c r="J11" s="51">
        <f t="shared" si="2"/>
        <v>0</v>
      </c>
      <c r="K11" s="50">
        <v>0</v>
      </c>
      <c r="L11" s="51">
        <f t="shared" si="3"/>
        <v>0</v>
      </c>
      <c r="M11" s="53"/>
    </row>
    <row r="12" spans="1:13" ht="54">
      <c r="A12" s="13">
        <v>8</v>
      </c>
      <c r="B12" s="14" t="s">
        <v>23</v>
      </c>
      <c r="C12" s="14" t="s">
        <v>12</v>
      </c>
      <c r="D12" s="14" t="s">
        <v>25</v>
      </c>
      <c r="E12" s="13" t="s">
        <v>78</v>
      </c>
      <c r="F12" s="35" t="s">
        <v>145</v>
      </c>
      <c r="G12" s="15" t="s">
        <v>138</v>
      </c>
      <c r="H12" s="36">
        <v>4</v>
      </c>
      <c r="I12" s="16">
        <v>0</v>
      </c>
      <c r="J12" s="11">
        <f t="shared" si="2"/>
        <v>0</v>
      </c>
      <c r="K12" s="16">
        <v>0</v>
      </c>
      <c r="L12" s="11">
        <f t="shared" si="3"/>
        <v>0</v>
      </c>
      <c r="M12" s="52"/>
    </row>
    <row r="13" spans="1:13" ht="27">
      <c r="A13" s="13">
        <v>9</v>
      </c>
      <c r="B13" s="14" t="s">
        <v>23</v>
      </c>
      <c r="C13" s="14" t="s">
        <v>12</v>
      </c>
      <c r="D13" s="14" t="s">
        <v>27</v>
      </c>
      <c r="E13" s="13" t="s">
        <v>79</v>
      </c>
      <c r="F13" s="20">
        <v>16201007928</v>
      </c>
      <c r="G13" s="15" t="s">
        <v>138</v>
      </c>
      <c r="H13" s="13">
        <v>1</v>
      </c>
      <c r="I13" s="16">
        <v>0</v>
      </c>
      <c r="J13" s="11">
        <f t="shared" si="2"/>
        <v>0</v>
      </c>
      <c r="K13" s="16">
        <v>0</v>
      </c>
      <c r="L13" s="11">
        <f t="shared" si="3"/>
        <v>0</v>
      </c>
      <c r="M13" s="52"/>
    </row>
    <row r="14" spans="1:13" ht="27">
      <c r="A14" s="13">
        <v>10</v>
      </c>
      <c r="B14" s="14" t="s">
        <v>23</v>
      </c>
      <c r="C14" s="14" t="s">
        <v>12</v>
      </c>
      <c r="D14" s="14" t="s">
        <v>27</v>
      </c>
      <c r="E14" s="13" t="s">
        <v>79</v>
      </c>
      <c r="F14" s="20">
        <v>16201008687</v>
      </c>
      <c r="G14" s="15" t="s">
        <v>138</v>
      </c>
      <c r="H14" s="13">
        <v>1</v>
      </c>
      <c r="I14" s="16">
        <v>0</v>
      </c>
      <c r="J14" s="11">
        <f t="shared" si="2"/>
        <v>0</v>
      </c>
      <c r="K14" s="16">
        <v>0</v>
      </c>
      <c r="L14" s="11">
        <f t="shared" si="3"/>
        <v>0</v>
      </c>
      <c r="M14" s="52"/>
    </row>
    <row r="15" spans="1:13" ht="27">
      <c r="A15" s="13">
        <v>11</v>
      </c>
      <c r="B15" s="14" t="s">
        <v>23</v>
      </c>
      <c r="C15" s="14" t="s">
        <v>12</v>
      </c>
      <c r="D15" s="14" t="s">
        <v>28</v>
      </c>
      <c r="E15" s="13" t="s">
        <v>80</v>
      </c>
      <c r="F15" s="20">
        <v>16201020420</v>
      </c>
      <c r="G15" s="15" t="s">
        <v>138</v>
      </c>
      <c r="H15" s="13">
        <v>1</v>
      </c>
      <c r="I15" s="16">
        <v>0</v>
      </c>
      <c r="J15" s="11">
        <f t="shared" si="2"/>
        <v>0</v>
      </c>
      <c r="K15" s="16">
        <v>0</v>
      </c>
      <c r="L15" s="11">
        <f t="shared" si="3"/>
        <v>0</v>
      </c>
      <c r="M15" s="52"/>
    </row>
    <row r="16" spans="1:13" ht="27">
      <c r="A16" s="13">
        <v>12</v>
      </c>
      <c r="B16" s="14" t="s">
        <v>23</v>
      </c>
      <c r="C16" s="14" t="s">
        <v>12</v>
      </c>
      <c r="D16" s="14" t="s">
        <v>29</v>
      </c>
      <c r="E16" s="13" t="s">
        <v>80</v>
      </c>
      <c r="F16" s="20">
        <v>16201020428</v>
      </c>
      <c r="G16" s="15" t="s">
        <v>138</v>
      </c>
      <c r="H16" s="13">
        <v>1</v>
      </c>
      <c r="I16" s="16">
        <v>0</v>
      </c>
      <c r="J16" s="11">
        <f t="shared" si="2"/>
        <v>0</v>
      </c>
      <c r="K16" s="16">
        <v>0</v>
      </c>
      <c r="L16" s="11">
        <f t="shared" si="3"/>
        <v>0</v>
      </c>
      <c r="M16" s="52"/>
    </row>
    <row r="17" spans="1:13" ht="27">
      <c r="A17" s="13">
        <v>13</v>
      </c>
      <c r="B17" s="14" t="s">
        <v>23</v>
      </c>
      <c r="C17" s="14" t="s">
        <v>12</v>
      </c>
      <c r="D17" s="14" t="s">
        <v>28</v>
      </c>
      <c r="E17" s="13" t="s">
        <v>80</v>
      </c>
      <c r="F17" s="20">
        <v>16201020419</v>
      </c>
      <c r="G17" s="15" t="s">
        <v>138</v>
      </c>
      <c r="H17" s="13">
        <v>1</v>
      </c>
      <c r="I17" s="16">
        <v>0</v>
      </c>
      <c r="J17" s="11">
        <f t="shared" si="2"/>
        <v>0</v>
      </c>
      <c r="K17" s="16">
        <v>0</v>
      </c>
      <c r="L17" s="11">
        <f t="shared" si="3"/>
        <v>0</v>
      </c>
      <c r="M17" s="52"/>
    </row>
    <row r="18" spans="1:13" ht="27">
      <c r="A18" s="13">
        <v>14</v>
      </c>
      <c r="B18" s="18" t="s">
        <v>23</v>
      </c>
      <c r="C18" s="18" t="s">
        <v>12</v>
      </c>
      <c r="D18" s="18" t="s">
        <v>28</v>
      </c>
      <c r="E18" s="17" t="s">
        <v>80</v>
      </c>
      <c r="F18" s="20">
        <v>16201020426</v>
      </c>
      <c r="G18" s="15" t="s">
        <v>138</v>
      </c>
      <c r="H18" s="17">
        <v>1</v>
      </c>
      <c r="I18" s="16">
        <v>0</v>
      </c>
      <c r="J18" s="11">
        <f t="shared" si="2"/>
        <v>0</v>
      </c>
      <c r="K18" s="16">
        <v>0</v>
      </c>
      <c r="L18" s="11">
        <f t="shared" si="3"/>
        <v>0</v>
      </c>
      <c r="M18" s="52"/>
    </row>
    <row r="19" spans="1:13" ht="27">
      <c r="A19" s="13">
        <v>15</v>
      </c>
      <c r="B19" s="18" t="s">
        <v>23</v>
      </c>
      <c r="C19" s="18" t="s">
        <v>12</v>
      </c>
      <c r="D19" s="18" t="s">
        <v>29</v>
      </c>
      <c r="E19" s="17" t="s">
        <v>80</v>
      </c>
      <c r="F19" s="20">
        <v>16201008687</v>
      </c>
      <c r="G19" s="15" t="s">
        <v>138</v>
      </c>
      <c r="H19" s="17">
        <v>1</v>
      </c>
      <c r="I19" s="16">
        <v>0</v>
      </c>
      <c r="J19" s="11">
        <f t="shared" si="2"/>
        <v>0</v>
      </c>
      <c r="K19" s="16">
        <v>0</v>
      </c>
      <c r="L19" s="11">
        <f t="shared" si="3"/>
        <v>0</v>
      </c>
      <c r="M19" s="52"/>
    </row>
    <row r="20" spans="1:13" ht="27">
      <c r="A20" s="13">
        <v>16</v>
      </c>
      <c r="B20" s="18" t="s">
        <v>23</v>
      </c>
      <c r="C20" s="18" t="s">
        <v>12</v>
      </c>
      <c r="D20" s="18" t="s">
        <v>28</v>
      </c>
      <c r="E20" s="17" t="s">
        <v>80</v>
      </c>
      <c r="F20" s="20">
        <v>16201007928</v>
      </c>
      <c r="G20" s="15" t="s">
        <v>138</v>
      </c>
      <c r="H20" s="17">
        <v>1</v>
      </c>
      <c r="I20" s="16">
        <v>0</v>
      </c>
      <c r="J20" s="11">
        <f t="shared" si="2"/>
        <v>0</v>
      </c>
      <c r="K20" s="16">
        <v>0</v>
      </c>
      <c r="L20" s="11">
        <f t="shared" si="3"/>
        <v>0</v>
      </c>
      <c r="M20" s="52"/>
    </row>
    <row r="21" spans="1:13" ht="27">
      <c r="A21" s="13">
        <v>17</v>
      </c>
      <c r="B21" s="18" t="s">
        <v>23</v>
      </c>
      <c r="C21" s="18" t="s">
        <v>12</v>
      </c>
      <c r="D21" s="18" t="s">
        <v>30</v>
      </c>
      <c r="E21" s="17" t="s">
        <v>81</v>
      </c>
      <c r="F21" s="20">
        <v>16301001403</v>
      </c>
      <c r="G21" s="15" t="s">
        <v>138</v>
      </c>
      <c r="H21" s="17">
        <v>1</v>
      </c>
      <c r="I21" s="16">
        <v>0</v>
      </c>
      <c r="J21" s="11">
        <f t="shared" si="2"/>
        <v>0</v>
      </c>
      <c r="K21" s="16">
        <v>0</v>
      </c>
      <c r="L21" s="11">
        <f t="shared" si="3"/>
        <v>0</v>
      </c>
      <c r="M21" s="52"/>
    </row>
    <row r="22" spans="1:13" ht="27">
      <c r="A22" s="13">
        <v>18</v>
      </c>
      <c r="B22" s="18" t="s">
        <v>23</v>
      </c>
      <c r="C22" s="18" t="s">
        <v>12</v>
      </c>
      <c r="D22" s="18" t="s">
        <v>31</v>
      </c>
      <c r="E22" s="17" t="s">
        <v>81</v>
      </c>
      <c r="F22" s="20">
        <v>16301000808</v>
      </c>
      <c r="G22" s="15" t="s">
        <v>138</v>
      </c>
      <c r="H22" s="17">
        <v>1</v>
      </c>
      <c r="I22" s="16">
        <v>0</v>
      </c>
      <c r="J22" s="11">
        <f t="shared" si="2"/>
        <v>0</v>
      </c>
      <c r="K22" s="16">
        <v>0</v>
      </c>
      <c r="L22" s="11">
        <f t="shared" si="3"/>
        <v>0</v>
      </c>
      <c r="M22" s="52"/>
    </row>
    <row r="23" spans="1:13" ht="27">
      <c r="A23" s="13">
        <v>19</v>
      </c>
      <c r="B23" s="14" t="s">
        <v>23</v>
      </c>
      <c r="C23" s="14" t="s">
        <v>12</v>
      </c>
      <c r="D23" s="14" t="s">
        <v>30</v>
      </c>
      <c r="E23" s="13" t="s">
        <v>81</v>
      </c>
      <c r="F23" s="20">
        <v>16301000806</v>
      </c>
      <c r="G23" s="15" t="s">
        <v>138</v>
      </c>
      <c r="H23" s="13">
        <v>1</v>
      </c>
      <c r="I23" s="16">
        <v>0</v>
      </c>
      <c r="J23" s="11">
        <f t="shared" si="2"/>
        <v>0</v>
      </c>
      <c r="K23" s="16">
        <v>0</v>
      </c>
      <c r="L23" s="11">
        <f t="shared" si="3"/>
        <v>0</v>
      </c>
      <c r="M23" s="52"/>
    </row>
    <row r="24" spans="1:13" ht="27">
      <c r="A24" s="13">
        <v>20</v>
      </c>
      <c r="B24" s="14" t="s">
        <v>23</v>
      </c>
      <c r="C24" s="14" t="s">
        <v>12</v>
      </c>
      <c r="D24" s="14" t="s">
        <v>30</v>
      </c>
      <c r="E24" s="13" t="s">
        <v>81</v>
      </c>
      <c r="F24" s="20">
        <v>16301001390</v>
      </c>
      <c r="G24" s="15" t="s">
        <v>138</v>
      </c>
      <c r="H24" s="13">
        <v>1</v>
      </c>
      <c r="I24" s="16">
        <v>0</v>
      </c>
      <c r="J24" s="11">
        <f t="shared" si="2"/>
        <v>0</v>
      </c>
      <c r="K24" s="16">
        <v>0</v>
      </c>
      <c r="L24" s="11">
        <f t="shared" si="3"/>
        <v>0</v>
      </c>
      <c r="M24" s="52"/>
    </row>
    <row r="25" spans="1:13" ht="27">
      <c r="A25" s="13">
        <v>21</v>
      </c>
      <c r="B25" s="14" t="s">
        <v>23</v>
      </c>
      <c r="C25" s="14" t="s">
        <v>12</v>
      </c>
      <c r="D25" s="14" t="s">
        <v>32</v>
      </c>
      <c r="E25" s="13" t="s">
        <v>82</v>
      </c>
      <c r="F25" s="20">
        <v>16401008189</v>
      </c>
      <c r="G25" s="15" t="s">
        <v>138</v>
      </c>
      <c r="H25" s="13">
        <v>1</v>
      </c>
      <c r="I25" s="16">
        <v>0</v>
      </c>
      <c r="J25" s="11">
        <f t="shared" si="2"/>
        <v>0</v>
      </c>
      <c r="K25" s="16">
        <v>0</v>
      </c>
      <c r="L25" s="11">
        <f t="shared" si="3"/>
        <v>0</v>
      </c>
      <c r="M25" s="52"/>
    </row>
    <row r="26" spans="1:13" ht="27">
      <c r="A26" s="13">
        <v>22</v>
      </c>
      <c r="B26" s="14" t="s">
        <v>23</v>
      </c>
      <c r="C26" s="14" t="s">
        <v>12</v>
      </c>
      <c r="D26" s="14" t="s">
        <v>33</v>
      </c>
      <c r="E26" s="13" t="s">
        <v>82</v>
      </c>
      <c r="F26" s="20">
        <v>16401008184</v>
      </c>
      <c r="G26" s="15" t="s">
        <v>138</v>
      </c>
      <c r="H26" s="13">
        <v>1</v>
      </c>
      <c r="I26" s="16">
        <v>0</v>
      </c>
      <c r="J26" s="11">
        <f t="shared" si="2"/>
        <v>0</v>
      </c>
      <c r="K26" s="16">
        <v>0</v>
      </c>
      <c r="L26" s="11">
        <f t="shared" si="3"/>
        <v>0</v>
      </c>
      <c r="M26" s="52"/>
    </row>
    <row r="27" spans="1:13" ht="27">
      <c r="A27" s="13">
        <v>23</v>
      </c>
      <c r="B27" s="14" t="s">
        <v>23</v>
      </c>
      <c r="C27" s="14" t="s">
        <v>12</v>
      </c>
      <c r="D27" s="14" t="s">
        <v>34</v>
      </c>
      <c r="E27" s="13" t="s">
        <v>83</v>
      </c>
      <c r="F27" s="20">
        <v>12501001105</v>
      </c>
      <c r="G27" s="15" t="s">
        <v>138</v>
      </c>
      <c r="H27" s="13">
        <v>1</v>
      </c>
      <c r="I27" s="16">
        <v>0</v>
      </c>
      <c r="J27" s="11">
        <f t="shared" si="2"/>
        <v>0</v>
      </c>
      <c r="K27" s="16">
        <v>0</v>
      </c>
      <c r="L27" s="11">
        <f t="shared" si="3"/>
        <v>0</v>
      </c>
      <c r="M27" s="52"/>
    </row>
    <row r="28" spans="1:13" ht="27">
      <c r="A28" s="13">
        <v>24</v>
      </c>
      <c r="B28" s="14" t="s">
        <v>23</v>
      </c>
      <c r="C28" s="14" t="s">
        <v>12</v>
      </c>
      <c r="D28" s="14" t="s">
        <v>35</v>
      </c>
      <c r="E28" s="13" t="s">
        <v>83</v>
      </c>
      <c r="F28" s="20">
        <v>12501004847</v>
      </c>
      <c r="G28" s="15" t="s">
        <v>138</v>
      </c>
      <c r="H28" s="13">
        <v>1</v>
      </c>
      <c r="I28" s="16">
        <v>0</v>
      </c>
      <c r="J28" s="11">
        <f t="shared" si="2"/>
        <v>0</v>
      </c>
      <c r="K28" s="16">
        <v>0</v>
      </c>
      <c r="L28" s="11">
        <f t="shared" si="3"/>
        <v>0</v>
      </c>
      <c r="M28" s="52"/>
    </row>
    <row r="29" spans="1:13" ht="27">
      <c r="A29" s="13">
        <v>25</v>
      </c>
      <c r="B29" s="14" t="s">
        <v>23</v>
      </c>
      <c r="C29" s="14" t="s">
        <v>12</v>
      </c>
      <c r="D29" s="14" t="s">
        <v>35</v>
      </c>
      <c r="E29" s="13" t="s">
        <v>83</v>
      </c>
      <c r="F29" s="20">
        <v>12501004785</v>
      </c>
      <c r="G29" s="15" t="s">
        <v>138</v>
      </c>
      <c r="H29" s="13">
        <v>1</v>
      </c>
      <c r="I29" s="16">
        <v>0</v>
      </c>
      <c r="J29" s="11">
        <f t="shared" si="2"/>
        <v>0</v>
      </c>
      <c r="K29" s="16">
        <v>0</v>
      </c>
      <c r="L29" s="11">
        <f t="shared" si="3"/>
        <v>0</v>
      </c>
      <c r="M29" s="52"/>
    </row>
    <row r="30" spans="1:13" ht="27">
      <c r="A30" s="13">
        <v>26</v>
      </c>
      <c r="B30" s="14" t="s">
        <v>23</v>
      </c>
      <c r="C30" s="14" t="s">
        <v>12</v>
      </c>
      <c r="D30" s="14" t="s">
        <v>34</v>
      </c>
      <c r="E30" s="13" t="s">
        <v>83</v>
      </c>
      <c r="F30" s="20">
        <v>12501000613</v>
      </c>
      <c r="G30" s="15" t="s">
        <v>138</v>
      </c>
      <c r="H30" s="13">
        <v>1</v>
      </c>
      <c r="I30" s="16">
        <v>0</v>
      </c>
      <c r="J30" s="11">
        <f t="shared" si="2"/>
        <v>0</v>
      </c>
      <c r="K30" s="16">
        <v>0</v>
      </c>
      <c r="L30" s="11">
        <f t="shared" si="3"/>
        <v>0</v>
      </c>
      <c r="M30" s="52"/>
    </row>
    <row r="31" spans="1:13" ht="27">
      <c r="A31" s="13">
        <v>27</v>
      </c>
      <c r="B31" s="14" t="s">
        <v>23</v>
      </c>
      <c r="C31" s="14" t="s">
        <v>12</v>
      </c>
      <c r="D31" s="14" t="s">
        <v>35</v>
      </c>
      <c r="E31" s="13" t="s">
        <v>83</v>
      </c>
      <c r="F31" s="20">
        <v>12501004838</v>
      </c>
      <c r="G31" s="15" t="s">
        <v>138</v>
      </c>
      <c r="H31" s="13">
        <v>1</v>
      </c>
      <c r="I31" s="16">
        <v>0</v>
      </c>
      <c r="J31" s="11">
        <f t="shared" si="2"/>
        <v>0</v>
      </c>
      <c r="K31" s="16">
        <v>0</v>
      </c>
      <c r="L31" s="11">
        <f t="shared" si="3"/>
        <v>0</v>
      </c>
      <c r="M31" s="52"/>
    </row>
    <row r="32" spans="1:13" ht="27">
      <c r="A32" s="13">
        <v>28</v>
      </c>
      <c r="B32" s="14" t="s">
        <v>23</v>
      </c>
      <c r="C32" s="14" t="s">
        <v>12</v>
      </c>
      <c r="D32" s="14" t="s">
        <v>34</v>
      </c>
      <c r="E32" s="13" t="s">
        <v>83</v>
      </c>
      <c r="F32" s="20">
        <v>12501004374</v>
      </c>
      <c r="G32" s="15" t="s">
        <v>138</v>
      </c>
      <c r="H32" s="13">
        <v>1</v>
      </c>
      <c r="I32" s="16">
        <v>0</v>
      </c>
      <c r="J32" s="11">
        <f t="shared" si="2"/>
        <v>0</v>
      </c>
      <c r="K32" s="16">
        <v>0</v>
      </c>
      <c r="L32" s="11">
        <f t="shared" si="3"/>
        <v>0</v>
      </c>
      <c r="M32" s="52"/>
    </row>
    <row r="33" spans="1:13" ht="27">
      <c r="A33" s="13">
        <v>29</v>
      </c>
      <c r="B33" s="14" t="s">
        <v>23</v>
      </c>
      <c r="C33" s="14" t="s">
        <v>12</v>
      </c>
      <c r="D33" s="14" t="s">
        <v>36</v>
      </c>
      <c r="E33" s="13" t="s">
        <v>84</v>
      </c>
      <c r="F33" s="20">
        <v>12501004840</v>
      </c>
      <c r="G33" s="15" t="s">
        <v>138</v>
      </c>
      <c r="H33" s="13">
        <v>1</v>
      </c>
      <c r="I33" s="16">
        <v>0</v>
      </c>
      <c r="J33" s="11">
        <f t="shared" si="2"/>
        <v>0</v>
      </c>
      <c r="K33" s="16">
        <v>0</v>
      </c>
      <c r="L33" s="11">
        <f t="shared" si="3"/>
        <v>0</v>
      </c>
      <c r="M33" s="52"/>
    </row>
    <row r="34" spans="1:13" ht="27">
      <c r="A34" s="13">
        <v>30</v>
      </c>
      <c r="B34" s="14" t="s">
        <v>23</v>
      </c>
      <c r="C34" s="14" t="s">
        <v>12</v>
      </c>
      <c r="D34" s="14" t="s">
        <v>37</v>
      </c>
      <c r="E34" s="13" t="s">
        <v>84</v>
      </c>
      <c r="F34" s="20">
        <v>12501008123</v>
      </c>
      <c r="G34" s="15" t="s">
        <v>138</v>
      </c>
      <c r="H34" s="13">
        <v>1</v>
      </c>
      <c r="I34" s="16">
        <v>0</v>
      </c>
      <c r="J34" s="11">
        <f t="shared" si="2"/>
        <v>0</v>
      </c>
      <c r="K34" s="16">
        <v>0</v>
      </c>
      <c r="L34" s="11">
        <f t="shared" si="3"/>
        <v>0</v>
      </c>
      <c r="M34" s="52"/>
    </row>
    <row r="35" spans="1:13" ht="27">
      <c r="A35" s="13">
        <v>31</v>
      </c>
      <c r="B35" s="18" t="s">
        <v>23</v>
      </c>
      <c r="C35" s="18" t="s">
        <v>12</v>
      </c>
      <c r="D35" s="18" t="s">
        <v>37</v>
      </c>
      <c r="E35" s="17" t="s">
        <v>84</v>
      </c>
      <c r="F35" s="20">
        <v>12501004842</v>
      </c>
      <c r="G35" s="15" t="s">
        <v>138</v>
      </c>
      <c r="H35" s="17">
        <v>1</v>
      </c>
      <c r="I35" s="16">
        <v>0</v>
      </c>
      <c r="J35" s="11">
        <f t="shared" si="2"/>
        <v>0</v>
      </c>
      <c r="K35" s="16">
        <v>0</v>
      </c>
      <c r="L35" s="11">
        <f t="shared" si="3"/>
        <v>0</v>
      </c>
      <c r="M35" s="52"/>
    </row>
    <row r="36" spans="1:13" ht="27">
      <c r="A36" s="13">
        <v>32</v>
      </c>
      <c r="B36" s="18" t="s">
        <v>23</v>
      </c>
      <c r="C36" s="18" t="s">
        <v>12</v>
      </c>
      <c r="D36" s="18" t="s">
        <v>36</v>
      </c>
      <c r="E36" s="17" t="s">
        <v>84</v>
      </c>
      <c r="F36" s="20">
        <v>12501004841</v>
      </c>
      <c r="G36" s="15" t="s">
        <v>138</v>
      </c>
      <c r="H36" s="17">
        <v>1</v>
      </c>
      <c r="I36" s="16">
        <v>0</v>
      </c>
      <c r="J36" s="11">
        <f t="shared" si="2"/>
        <v>0</v>
      </c>
      <c r="K36" s="16">
        <v>0</v>
      </c>
      <c r="L36" s="11">
        <f t="shared" si="3"/>
        <v>0</v>
      </c>
      <c r="M36" s="52"/>
    </row>
    <row r="37" spans="1:13" ht="27">
      <c r="A37" s="13">
        <v>33</v>
      </c>
      <c r="B37" s="18" t="s">
        <v>23</v>
      </c>
      <c r="C37" s="18" t="s">
        <v>12</v>
      </c>
      <c r="D37" s="18" t="s">
        <v>38</v>
      </c>
      <c r="E37" s="17" t="s">
        <v>85</v>
      </c>
      <c r="F37" s="20">
        <v>15701000597</v>
      </c>
      <c r="G37" s="15" t="s">
        <v>138</v>
      </c>
      <c r="H37" s="17">
        <v>1</v>
      </c>
      <c r="I37" s="16">
        <v>0</v>
      </c>
      <c r="J37" s="11">
        <f t="shared" si="2"/>
        <v>0</v>
      </c>
      <c r="K37" s="16">
        <v>0</v>
      </c>
      <c r="L37" s="11">
        <f t="shared" si="3"/>
        <v>0</v>
      </c>
      <c r="M37" s="52"/>
    </row>
    <row r="38" spans="1:13" ht="27">
      <c r="A38" s="13">
        <v>34</v>
      </c>
      <c r="B38" s="18" t="s">
        <v>23</v>
      </c>
      <c r="C38" s="18" t="s">
        <v>12</v>
      </c>
      <c r="D38" s="18" t="s">
        <v>38</v>
      </c>
      <c r="E38" s="17" t="s">
        <v>85</v>
      </c>
      <c r="F38" s="20">
        <v>15701000806</v>
      </c>
      <c r="G38" s="15" t="s">
        <v>138</v>
      </c>
      <c r="H38" s="17">
        <v>1</v>
      </c>
      <c r="I38" s="16">
        <v>0</v>
      </c>
      <c r="J38" s="11">
        <f t="shared" si="2"/>
        <v>0</v>
      </c>
      <c r="K38" s="16">
        <v>0</v>
      </c>
      <c r="L38" s="11">
        <f t="shared" si="3"/>
        <v>0</v>
      </c>
      <c r="M38" s="52"/>
    </row>
    <row r="39" spans="1:13" ht="27">
      <c r="A39" s="13">
        <v>35</v>
      </c>
      <c r="B39" s="18" t="s">
        <v>23</v>
      </c>
      <c r="C39" s="18" t="s">
        <v>12</v>
      </c>
      <c r="D39" s="18" t="s">
        <v>39</v>
      </c>
      <c r="E39" s="17" t="s">
        <v>86</v>
      </c>
      <c r="F39" s="20">
        <v>16201008687</v>
      </c>
      <c r="G39" s="15" t="s">
        <v>138</v>
      </c>
      <c r="H39" s="17">
        <v>1</v>
      </c>
      <c r="I39" s="16">
        <v>0</v>
      </c>
      <c r="J39" s="11">
        <f t="shared" si="2"/>
        <v>0</v>
      </c>
      <c r="K39" s="16">
        <v>0</v>
      </c>
      <c r="L39" s="11">
        <f t="shared" si="3"/>
        <v>0</v>
      </c>
      <c r="M39" s="52"/>
    </row>
    <row r="40" spans="1:13" ht="27">
      <c r="A40" s="13">
        <v>36</v>
      </c>
      <c r="B40" s="18" t="s">
        <v>23</v>
      </c>
      <c r="C40" s="18" t="s">
        <v>12</v>
      </c>
      <c r="D40" s="18" t="s">
        <v>39</v>
      </c>
      <c r="E40" s="17" t="s">
        <v>86</v>
      </c>
      <c r="F40" s="20">
        <v>16201007928</v>
      </c>
      <c r="G40" s="15" t="s">
        <v>138</v>
      </c>
      <c r="H40" s="17">
        <v>1</v>
      </c>
      <c r="I40" s="16">
        <v>0</v>
      </c>
      <c r="J40" s="11">
        <f t="shared" si="2"/>
        <v>0</v>
      </c>
      <c r="K40" s="16">
        <v>0</v>
      </c>
      <c r="L40" s="11">
        <f t="shared" si="3"/>
        <v>0</v>
      </c>
      <c r="M40" s="52"/>
    </row>
    <row r="41" spans="1:13" ht="27">
      <c r="A41" s="13">
        <v>37</v>
      </c>
      <c r="B41" s="18" t="s">
        <v>23</v>
      </c>
      <c r="C41" s="18" t="s">
        <v>12</v>
      </c>
      <c r="D41" s="18" t="s">
        <v>40</v>
      </c>
      <c r="E41" s="17" t="s">
        <v>87</v>
      </c>
      <c r="F41" s="20">
        <v>15701000598</v>
      </c>
      <c r="G41" s="15" t="s">
        <v>138</v>
      </c>
      <c r="H41" s="17">
        <v>1</v>
      </c>
      <c r="I41" s="16">
        <v>0</v>
      </c>
      <c r="J41" s="11">
        <f t="shared" si="2"/>
        <v>0</v>
      </c>
      <c r="K41" s="16">
        <v>0</v>
      </c>
      <c r="L41" s="11">
        <f t="shared" si="3"/>
        <v>0</v>
      </c>
      <c r="M41" s="52"/>
    </row>
    <row r="42" spans="1:13" ht="45" customHeight="1">
      <c r="A42" s="13">
        <v>38</v>
      </c>
      <c r="B42" s="14" t="s">
        <v>23</v>
      </c>
      <c r="C42" s="14" t="s">
        <v>12</v>
      </c>
      <c r="D42" s="14" t="s">
        <v>40</v>
      </c>
      <c r="E42" s="13" t="s">
        <v>87</v>
      </c>
      <c r="F42" s="20">
        <v>15701000559</v>
      </c>
      <c r="G42" s="15" t="s">
        <v>138</v>
      </c>
      <c r="H42" s="13">
        <v>1</v>
      </c>
      <c r="I42" s="16">
        <v>0</v>
      </c>
      <c r="J42" s="11">
        <f t="shared" ref="J42:J105" si="4">I42-K42</f>
        <v>0</v>
      </c>
      <c r="K42" s="16">
        <v>0</v>
      </c>
      <c r="L42" s="11">
        <f t="shared" ref="L42:L105" si="5">K42*H42</f>
        <v>0</v>
      </c>
      <c r="M42" s="52"/>
    </row>
    <row r="43" spans="1:13" ht="27">
      <c r="A43" s="13">
        <v>39</v>
      </c>
      <c r="B43" s="14" t="s">
        <v>23</v>
      </c>
      <c r="C43" s="14" t="s">
        <v>12</v>
      </c>
      <c r="D43" s="14" t="s">
        <v>40</v>
      </c>
      <c r="E43" s="13" t="s">
        <v>87</v>
      </c>
      <c r="F43" s="20">
        <v>15701000806</v>
      </c>
      <c r="G43" s="15" t="s">
        <v>138</v>
      </c>
      <c r="H43" s="13">
        <v>1</v>
      </c>
      <c r="I43" s="16">
        <v>0</v>
      </c>
      <c r="J43" s="11">
        <f t="shared" si="4"/>
        <v>0</v>
      </c>
      <c r="K43" s="16">
        <v>0</v>
      </c>
      <c r="L43" s="11">
        <f t="shared" si="5"/>
        <v>0</v>
      </c>
      <c r="M43" s="52"/>
    </row>
    <row r="44" spans="1:13" ht="27">
      <c r="A44" s="13">
        <v>40</v>
      </c>
      <c r="B44" s="14" t="s">
        <v>23</v>
      </c>
      <c r="C44" s="14" t="s">
        <v>12</v>
      </c>
      <c r="D44" s="14" t="s">
        <v>40</v>
      </c>
      <c r="E44" s="13" t="s">
        <v>87</v>
      </c>
      <c r="F44" s="32">
        <v>15701002012</v>
      </c>
      <c r="G44" s="15" t="s">
        <v>138</v>
      </c>
      <c r="H44" s="13">
        <v>1</v>
      </c>
      <c r="I44" s="16">
        <v>0</v>
      </c>
      <c r="J44" s="11">
        <f t="shared" si="4"/>
        <v>0</v>
      </c>
      <c r="K44" s="16">
        <v>0</v>
      </c>
      <c r="L44" s="11">
        <f t="shared" si="5"/>
        <v>0</v>
      </c>
      <c r="M44" s="52"/>
    </row>
    <row r="45" spans="1:13" ht="27">
      <c r="A45" s="13">
        <v>41</v>
      </c>
      <c r="B45" s="14" t="s">
        <v>23</v>
      </c>
      <c r="C45" s="14" t="s">
        <v>12</v>
      </c>
      <c r="D45" s="14" t="s">
        <v>40</v>
      </c>
      <c r="E45" s="13" t="s">
        <v>87</v>
      </c>
      <c r="F45" s="20">
        <v>15701000597</v>
      </c>
      <c r="G45" s="15" t="s">
        <v>138</v>
      </c>
      <c r="H45" s="13">
        <v>1</v>
      </c>
      <c r="I45" s="16">
        <v>0</v>
      </c>
      <c r="J45" s="11">
        <f t="shared" si="4"/>
        <v>0</v>
      </c>
      <c r="K45" s="16">
        <v>0</v>
      </c>
      <c r="L45" s="11">
        <f t="shared" si="5"/>
        <v>0</v>
      </c>
      <c r="M45" s="52"/>
    </row>
    <row r="46" spans="1:13" ht="27">
      <c r="A46" s="13">
        <v>42</v>
      </c>
      <c r="B46" s="14" t="s">
        <v>23</v>
      </c>
      <c r="C46" s="14" t="s">
        <v>12</v>
      </c>
      <c r="D46" s="14" t="s">
        <v>40</v>
      </c>
      <c r="E46" s="13" t="s">
        <v>87</v>
      </c>
      <c r="F46" s="20">
        <v>15701001326</v>
      </c>
      <c r="G46" s="15" t="s">
        <v>138</v>
      </c>
      <c r="H46" s="13">
        <v>1</v>
      </c>
      <c r="I46" s="16">
        <v>0</v>
      </c>
      <c r="J46" s="11">
        <f t="shared" si="4"/>
        <v>0</v>
      </c>
      <c r="K46" s="16">
        <v>0</v>
      </c>
      <c r="L46" s="11">
        <f t="shared" si="5"/>
        <v>0</v>
      </c>
      <c r="M46" s="52"/>
    </row>
    <row r="47" spans="1:13" ht="27">
      <c r="A47" s="13">
        <v>43</v>
      </c>
      <c r="B47" s="14" t="s">
        <v>23</v>
      </c>
      <c r="C47" s="14" t="s">
        <v>12</v>
      </c>
      <c r="D47" s="14" t="s">
        <v>41</v>
      </c>
      <c r="E47" s="13" t="s">
        <v>88</v>
      </c>
      <c r="F47" s="20">
        <v>16301001390</v>
      </c>
      <c r="G47" s="15" t="s">
        <v>138</v>
      </c>
      <c r="H47" s="13">
        <v>1</v>
      </c>
      <c r="I47" s="16">
        <v>0</v>
      </c>
      <c r="J47" s="11">
        <f t="shared" si="4"/>
        <v>0</v>
      </c>
      <c r="K47" s="16">
        <v>0</v>
      </c>
      <c r="L47" s="11">
        <f t="shared" si="5"/>
        <v>0</v>
      </c>
      <c r="M47" s="52"/>
    </row>
    <row r="48" spans="1:13" ht="27">
      <c r="A48" s="13">
        <v>44</v>
      </c>
      <c r="B48" s="14" t="s">
        <v>23</v>
      </c>
      <c r="C48" s="14" t="s">
        <v>12</v>
      </c>
      <c r="D48" s="14" t="s">
        <v>41</v>
      </c>
      <c r="E48" s="13" t="s">
        <v>88</v>
      </c>
      <c r="F48" s="20">
        <v>16301001403</v>
      </c>
      <c r="G48" s="15" t="s">
        <v>138</v>
      </c>
      <c r="H48" s="13">
        <v>1</v>
      </c>
      <c r="I48" s="16">
        <v>0</v>
      </c>
      <c r="J48" s="11">
        <f t="shared" si="4"/>
        <v>0</v>
      </c>
      <c r="K48" s="16">
        <v>0</v>
      </c>
      <c r="L48" s="11">
        <f t="shared" si="5"/>
        <v>0</v>
      </c>
      <c r="M48" s="52"/>
    </row>
    <row r="49" spans="1:13" ht="27">
      <c r="A49" s="13">
        <v>45</v>
      </c>
      <c r="B49" s="14" t="s">
        <v>23</v>
      </c>
      <c r="C49" s="14" t="s">
        <v>12</v>
      </c>
      <c r="D49" s="14" t="s">
        <v>41</v>
      </c>
      <c r="E49" s="13" t="s">
        <v>88</v>
      </c>
      <c r="F49" s="20">
        <v>16301000808</v>
      </c>
      <c r="G49" s="15" t="s">
        <v>138</v>
      </c>
      <c r="H49" s="13">
        <v>1</v>
      </c>
      <c r="I49" s="16">
        <v>0</v>
      </c>
      <c r="J49" s="11">
        <f t="shared" si="4"/>
        <v>0</v>
      </c>
      <c r="K49" s="16">
        <v>0</v>
      </c>
      <c r="L49" s="11">
        <f t="shared" si="5"/>
        <v>0</v>
      </c>
      <c r="M49" s="52"/>
    </row>
    <row r="50" spans="1:13" ht="27">
      <c r="A50" s="13">
        <v>46</v>
      </c>
      <c r="B50" s="14" t="s">
        <v>23</v>
      </c>
      <c r="C50" s="14" t="s">
        <v>12</v>
      </c>
      <c r="D50" s="14" t="s">
        <v>41</v>
      </c>
      <c r="E50" s="13" t="s">
        <v>88</v>
      </c>
      <c r="F50" s="20">
        <v>16301000806</v>
      </c>
      <c r="G50" s="15" t="s">
        <v>138</v>
      </c>
      <c r="H50" s="13">
        <v>1</v>
      </c>
      <c r="I50" s="16">
        <v>0</v>
      </c>
      <c r="J50" s="11">
        <f t="shared" si="4"/>
        <v>0</v>
      </c>
      <c r="K50" s="16">
        <v>0</v>
      </c>
      <c r="L50" s="11">
        <f t="shared" si="5"/>
        <v>0</v>
      </c>
      <c r="M50" s="52"/>
    </row>
    <row r="51" spans="1:13" ht="27">
      <c r="A51" s="13">
        <v>47</v>
      </c>
      <c r="B51" s="14" t="s">
        <v>23</v>
      </c>
      <c r="C51" s="14" t="s">
        <v>12</v>
      </c>
      <c r="D51" s="14" t="s">
        <v>42</v>
      </c>
      <c r="E51" s="13" t="s">
        <v>89</v>
      </c>
      <c r="F51" s="20">
        <v>16401008287</v>
      </c>
      <c r="G51" s="15" t="s">
        <v>138</v>
      </c>
      <c r="H51" s="13">
        <v>1</v>
      </c>
      <c r="I51" s="16">
        <v>0</v>
      </c>
      <c r="J51" s="11">
        <f t="shared" si="4"/>
        <v>0</v>
      </c>
      <c r="K51" s="16">
        <v>0</v>
      </c>
      <c r="L51" s="11">
        <f t="shared" si="5"/>
        <v>0</v>
      </c>
      <c r="M51" s="52"/>
    </row>
    <row r="52" spans="1:13" ht="27">
      <c r="A52" s="13">
        <v>48</v>
      </c>
      <c r="B52" s="14" t="s">
        <v>23</v>
      </c>
      <c r="C52" s="14" t="s">
        <v>12</v>
      </c>
      <c r="D52" s="14" t="s">
        <v>42</v>
      </c>
      <c r="E52" s="13" t="s">
        <v>89</v>
      </c>
      <c r="F52" s="20">
        <v>16401008308</v>
      </c>
      <c r="G52" s="15" t="s">
        <v>138</v>
      </c>
      <c r="H52" s="13">
        <v>1</v>
      </c>
      <c r="I52" s="16">
        <v>0</v>
      </c>
      <c r="J52" s="11">
        <f t="shared" si="4"/>
        <v>0</v>
      </c>
      <c r="K52" s="16">
        <v>0</v>
      </c>
      <c r="L52" s="11">
        <f t="shared" si="5"/>
        <v>0</v>
      </c>
      <c r="M52" s="52"/>
    </row>
    <row r="53" spans="1:13" ht="27">
      <c r="A53" s="13">
        <v>49</v>
      </c>
      <c r="B53" s="14" t="s">
        <v>23</v>
      </c>
      <c r="C53" s="14" t="s">
        <v>12</v>
      </c>
      <c r="D53" s="14" t="s">
        <v>42</v>
      </c>
      <c r="E53" s="13" t="s">
        <v>89</v>
      </c>
      <c r="F53" s="20">
        <v>16401008311</v>
      </c>
      <c r="G53" s="15" t="s">
        <v>138</v>
      </c>
      <c r="H53" s="13">
        <v>1</v>
      </c>
      <c r="I53" s="16">
        <v>0</v>
      </c>
      <c r="J53" s="11">
        <f t="shared" si="4"/>
        <v>0</v>
      </c>
      <c r="K53" s="16">
        <v>0</v>
      </c>
      <c r="L53" s="11">
        <f t="shared" si="5"/>
        <v>0</v>
      </c>
      <c r="M53" s="52"/>
    </row>
    <row r="54" spans="1:13" ht="27">
      <c r="A54" s="13">
        <v>50</v>
      </c>
      <c r="B54" s="14" t="s">
        <v>23</v>
      </c>
      <c r="C54" s="14" t="s">
        <v>12</v>
      </c>
      <c r="D54" s="14" t="s">
        <v>42</v>
      </c>
      <c r="E54" s="13" t="s">
        <v>89</v>
      </c>
      <c r="F54" s="20">
        <v>16401003949</v>
      </c>
      <c r="G54" s="15" t="s">
        <v>138</v>
      </c>
      <c r="H54" s="13">
        <v>1</v>
      </c>
      <c r="I54" s="16">
        <v>0</v>
      </c>
      <c r="J54" s="11">
        <f t="shared" si="4"/>
        <v>0</v>
      </c>
      <c r="K54" s="16">
        <v>0</v>
      </c>
      <c r="L54" s="11">
        <f t="shared" si="5"/>
        <v>0</v>
      </c>
      <c r="M54" s="52"/>
    </row>
    <row r="55" spans="1:13" ht="27">
      <c r="A55" s="13">
        <v>51</v>
      </c>
      <c r="B55" s="14" t="s">
        <v>23</v>
      </c>
      <c r="C55" s="14" t="s">
        <v>12</v>
      </c>
      <c r="D55" s="14" t="s">
        <v>42</v>
      </c>
      <c r="E55" s="13" t="s">
        <v>89</v>
      </c>
      <c r="F55" s="20">
        <v>16401008324</v>
      </c>
      <c r="G55" s="15" t="s">
        <v>138</v>
      </c>
      <c r="H55" s="13">
        <v>1</v>
      </c>
      <c r="I55" s="16">
        <v>0</v>
      </c>
      <c r="J55" s="11">
        <f t="shared" si="4"/>
        <v>0</v>
      </c>
      <c r="K55" s="16">
        <v>0</v>
      </c>
      <c r="L55" s="11">
        <f t="shared" si="5"/>
        <v>0</v>
      </c>
      <c r="M55" s="52"/>
    </row>
    <row r="56" spans="1:13" ht="27">
      <c r="A56" s="13">
        <v>52</v>
      </c>
      <c r="B56" s="14" t="s">
        <v>23</v>
      </c>
      <c r="C56" s="14" t="s">
        <v>12</v>
      </c>
      <c r="D56" s="14" t="s">
        <v>42</v>
      </c>
      <c r="E56" s="13" t="s">
        <v>89</v>
      </c>
      <c r="F56" s="20">
        <v>16401008305</v>
      </c>
      <c r="G56" s="15" t="s">
        <v>138</v>
      </c>
      <c r="H56" s="13">
        <v>1</v>
      </c>
      <c r="I56" s="16">
        <v>0</v>
      </c>
      <c r="J56" s="11">
        <f t="shared" si="4"/>
        <v>0</v>
      </c>
      <c r="K56" s="16">
        <v>0</v>
      </c>
      <c r="L56" s="11">
        <f t="shared" si="5"/>
        <v>0</v>
      </c>
      <c r="M56" s="52"/>
    </row>
    <row r="57" spans="1:13" ht="27">
      <c r="A57" s="13">
        <v>53</v>
      </c>
      <c r="B57" s="14" t="s">
        <v>23</v>
      </c>
      <c r="C57" s="14" t="s">
        <v>12</v>
      </c>
      <c r="D57" s="14" t="s">
        <v>42</v>
      </c>
      <c r="E57" s="13" t="s">
        <v>89</v>
      </c>
      <c r="F57" s="20">
        <v>16401008288</v>
      </c>
      <c r="G57" s="15" t="s">
        <v>138</v>
      </c>
      <c r="H57" s="13">
        <v>1</v>
      </c>
      <c r="I57" s="16">
        <v>0</v>
      </c>
      <c r="J57" s="11">
        <f t="shared" si="4"/>
        <v>0</v>
      </c>
      <c r="K57" s="16">
        <v>0</v>
      </c>
      <c r="L57" s="11">
        <f t="shared" si="5"/>
        <v>0</v>
      </c>
      <c r="M57" s="52"/>
    </row>
    <row r="58" spans="1:13" ht="27">
      <c r="A58" s="13">
        <v>54</v>
      </c>
      <c r="B58" s="14" t="s">
        <v>23</v>
      </c>
      <c r="C58" s="14" t="s">
        <v>12</v>
      </c>
      <c r="D58" s="14" t="s">
        <v>42</v>
      </c>
      <c r="E58" s="13" t="s">
        <v>89</v>
      </c>
      <c r="F58" s="20">
        <v>16401008292</v>
      </c>
      <c r="G58" s="15" t="s">
        <v>138</v>
      </c>
      <c r="H58" s="13">
        <v>1</v>
      </c>
      <c r="I58" s="16">
        <v>0</v>
      </c>
      <c r="J58" s="11">
        <f t="shared" si="4"/>
        <v>0</v>
      </c>
      <c r="K58" s="16">
        <v>0</v>
      </c>
      <c r="L58" s="11">
        <f t="shared" si="5"/>
        <v>0</v>
      </c>
      <c r="M58" s="52"/>
    </row>
    <row r="59" spans="1:13" ht="27">
      <c r="A59" s="13">
        <v>55</v>
      </c>
      <c r="B59" s="14" t="s">
        <v>23</v>
      </c>
      <c r="C59" s="14" t="s">
        <v>12</v>
      </c>
      <c r="D59" s="14" t="s">
        <v>43</v>
      </c>
      <c r="E59" s="13" t="s">
        <v>90</v>
      </c>
      <c r="F59" s="20">
        <v>12501004785</v>
      </c>
      <c r="G59" s="15" t="s">
        <v>138</v>
      </c>
      <c r="H59" s="13">
        <v>1</v>
      </c>
      <c r="I59" s="16">
        <v>0</v>
      </c>
      <c r="J59" s="11">
        <f t="shared" si="4"/>
        <v>0</v>
      </c>
      <c r="K59" s="16">
        <v>0</v>
      </c>
      <c r="L59" s="11">
        <f t="shared" si="5"/>
        <v>0</v>
      </c>
      <c r="M59" s="52"/>
    </row>
    <row r="60" spans="1:13" ht="27">
      <c r="A60" s="13">
        <v>56</v>
      </c>
      <c r="B60" s="14" t="s">
        <v>23</v>
      </c>
      <c r="C60" s="14" t="s">
        <v>12</v>
      </c>
      <c r="D60" s="14" t="s">
        <v>43</v>
      </c>
      <c r="E60" s="13" t="s">
        <v>90</v>
      </c>
      <c r="F60" s="20">
        <v>12501004847</v>
      </c>
      <c r="G60" s="15" t="s">
        <v>138</v>
      </c>
      <c r="H60" s="13">
        <v>1</v>
      </c>
      <c r="I60" s="16">
        <v>0</v>
      </c>
      <c r="J60" s="11">
        <f t="shared" si="4"/>
        <v>0</v>
      </c>
      <c r="K60" s="16">
        <v>0</v>
      </c>
      <c r="L60" s="11">
        <f t="shared" si="5"/>
        <v>0</v>
      </c>
      <c r="M60" s="52"/>
    </row>
    <row r="61" spans="1:13" ht="27">
      <c r="A61" s="13">
        <v>57</v>
      </c>
      <c r="B61" s="14" t="s">
        <v>23</v>
      </c>
      <c r="C61" s="14" t="s">
        <v>12</v>
      </c>
      <c r="D61" s="14" t="s">
        <v>43</v>
      </c>
      <c r="E61" s="13" t="s">
        <v>90</v>
      </c>
      <c r="F61" s="20">
        <v>12501004838</v>
      </c>
      <c r="G61" s="15" t="s">
        <v>138</v>
      </c>
      <c r="H61" s="13">
        <v>1</v>
      </c>
      <c r="I61" s="16">
        <v>0</v>
      </c>
      <c r="J61" s="11">
        <f t="shared" si="4"/>
        <v>0</v>
      </c>
      <c r="K61" s="16">
        <v>0</v>
      </c>
      <c r="L61" s="11">
        <f t="shared" si="5"/>
        <v>0</v>
      </c>
      <c r="M61" s="52"/>
    </row>
    <row r="62" spans="1:13" ht="27">
      <c r="A62" s="13">
        <v>58</v>
      </c>
      <c r="B62" s="14" t="s">
        <v>23</v>
      </c>
      <c r="C62" s="14" t="s">
        <v>12</v>
      </c>
      <c r="D62" s="14" t="s">
        <v>43</v>
      </c>
      <c r="E62" s="13" t="s">
        <v>90</v>
      </c>
      <c r="F62" s="20">
        <v>12501000613</v>
      </c>
      <c r="G62" s="15" t="s">
        <v>138</v>
      </c>
      <c r="H62" s="13">
        <v>1</v>
      </c>
      <c r="I62" s="16">
        <v>0</v>
      </c>
      <c r="J62" s="11">
        <f t="shared" si="4"/>
        <v>0</v>
      </c>
      <c r="K62" s="16">
        <v>0</v>
      </c>
      <c r="L62" s="11">
        <f t="shared" si="5"/>
        <v>0</v>
      </c>
      <c r="M62" s="52"/>
    </row>
    <row r="63" spans="1:13" ht="27">
      <c r="A63" s="13">
        <v>59</v>
      </c>
      <c r="B63" s="14" t="s">
        <v>23</v>
      </c>
      <c r="C63" s="14" t="s">
        <v>12</v>
      </c>
      <c r="D63" s="14" t="s">
        <v>43</v>
      </c>
      <c r="E63" s="13" t="s">
        <v>90</v>
      </c>
      <c r="F63" s="20">
        <v>12501004374</v>
      </c>
      <c r="G63" s="15" t="s">
        <v>138</v>
      </c>
      <c r="H63" s="13">
        <v>1</v>
      </c>
      <c r="I63" s="16">
        <v>0</v>
      </c>
      <c r="J63" s="11">
        <f t="shared" si="4"/>
        <v>0</v>
      </c>
      <c r="K63" s="16">
        <v>0</v>
      </c>
      <c r="L63" s="11">
        <f t="shared" si="5"/>
        <v>0</v>
      </c>
      <c r="M63" s="52"/>
    </row>
    <row r="64" spans="1:13" ht="27">
      <c r="A64" s="13">
        <v>60</v>
      </c>
      <c r="B64" s="14" t="s">
        <v>23</v>
      </c>
      <c r="C64" s="14" t="s">
        <v>12</v>
      </c>
      <c r="D64" s="14" t="s">
        <v>43</v>
      </c>
      <c r="E64" s="13" t="s">
        <v>90</v>
      </c>
      <c r="F64" s="20">
        <v>12501001105</v>
      </c>
      <c r="G64" s="15" t="s">
        <v>138</v>
      </c>
      <c r="H64" s="13">
        <v>1</v>
      </c>
      <c r="I64" s="16">
        <v>0</v>
      </c>
      <c r="J64" s="11">
        <f t="shared" si="4"/>
        <v>0</v>
      </c>
      <c r="K64" s="16">
        <v>0</v>
      </c>
      <c r="L64" s="11">
        <f t="shared" si="5"/>
        <v>0</v>
      </c>
      <c r="M64" s="52"/>
    </row>
    <row r="65" spans="1:13" ht="27">
      <c r="A65" s="13">
        <v>61</v>
      </c>
      <c r="B65" s="14" t="s">
        <v>23</v>
      </c>
      <c r="C65" s="14" t="s">
        <v>12</v>
      </c>
      <c r="D65" s="14" t="s">
        <v>42</v>
      </c>
      <c r="E65" s="13" t="s">
        <v>89</v>
      </c>
      <c r="F65" s="20">
        <v>16401008184</v>
      </c>
      <c r="G65" s="15" t="s">
        <v>138</v>
      </c>
      <c r="H65" s="13">
        <v>1</v>
      </c>
      <c r="I65" s="16">
        <v>0</v>
      </c>
      <c r="J65" s="11">
        <f t="shared" si="4"/>
        <v>0</v>
      </c>
      <c r="K65" s="16">
        <v>0</v>
      </c>
      <c r="L65" s="11">
        <f t="shared" si="5"/>
        <v>0</v>
      </c>
      <c r="M65" s="52"/>
    </row>
    <row r="66" spans="1:13" ht="27">
      <c r="A66" s="13">
        <v>62</v>
      </c>
      <c r="B66" s="18" t="s">
        <v>23</v>
      </c>
      <c r="C66" s="18" t="s">
        <v>12</v>
      </c>
      <c r="D66" s="18" t="s">
        <v>42</v>
      </c>
      <c r="E66" s="17" t="s">
        <v>89</v>
      </c>
      <c r="F66" s="20">
        <v>16401008189</v>
      </c>
      <c r="G66" s="15" t="s">
        <v>138</v>
      </c>
      <c r="H66" s="17">
        <v>1</v>
      </c>
      <c r="I66" s="16">
        <v>0</v>
      </c>
      <c r="J66" s="11">
        <f t="shared" si="4"/>
        <v>0</v>
      </c>
      <c r="K66" s="16">
        <v>0</v>
      </c>
      <c r="L66" s="11">
        <f t="shared" si="5"/>
        <v>0</v>
      </c>
      <c r="M66" s="52"/>
    </row>
    <row r="67" spans="1:13" ht="81">
      <c r="A67" s="13">
        <v>63</v>
      </c>
      <c r="B67" s="18" t="s">
        <v>23</v>
      </c>
      <c r="C67" s="18" t="s">
        <v>12</v>
      </c>
      <c r="D67" s="18" t="s">
        <v>44</v>
      </c>
      <c r="E67" s="17" t="s">
        <v>91</v>
      </c>
      <c r="F67" s="20">
        <v>124000000012336</v>
      </c>
      <c r="G67" s="15" t="s">
        <v>138</v>
      </c>
      <c r="H67" s="17">
        <v>300</v>
      </c>
      <c r="I67" s="16">
        <v>0</v>
      </c>
      <c r="J67" s="11">
        <f t="shared" si="4"/>
        <v>0</v>
      </c>
      <c r="K67" s="16">
        <v>0</v>
      </c>
      <c r="L67" s="11">
        <f t="shared" si="5"/>
        <v>0</v>
      </c>
      <c r="M67" s="52"/>
    </row>
    <row r="68" spans="1:13" ht="67.5">
      <c r="A68" s="13">
        <v>64</v>
      </c>
      <c r="B68" s="18" t="s">
        <v>23</v>
      </c>
      <c r="C68" s="18" t="s">
        <v>12</v>
      </c>
      <c r="D68" s="18" t="s">
        <v>45</v>
      </c>
      <c r="E68" s="17" t="s">
        <v>92</v>
      </c>
      <c r="F68" s="32">
        <v>124000000012336</v>
      </c>
      <c r="G68" s="15" t="s">
        <v>138</v>
      </c>
      <c r="H68" s="17">
        <v>300</v>
      </c>
      <c r="I68" s="16">
        <v>0</v>
      </c>
      <c r="J68" s="11">
        <f t="shared" si="4"/>
        <v>0</v>
      </c>
      <c r="K68" s="16">
        <v>0</v>
      </c>
      <c r="L68" s="11">
        <f t="shared" si="5"/>
        <v>0</v>
      </c>
      <c r="M68" s="52"/>
    </row>
    <row r="69" spans="1:13" ht="27">
      <c r="A69" s="13">
        <v>65</v>
      </c>
      <c r="B69" s="18" t="s">
        <v>23</v>
      </c>
      <c r="C69" s="18" t="s">
        <v>12</v>
      </c>
      <c r="D69" s="18" t="s">
        <v>46</v>
      </c>
      <c r="E69" s="17" t="s">
        <v>93</v>
      </c>
      <c r="F69" s="20">
        <v>124000000012336</v>
      </c>
      <c r="G69" s="15" t="s">
        <v>138</v>
      </c>
      <c r="H69" s="17">
        <v>1</v>
      </c>
      <c r="I69" s="16">
        <v>0</v>
      </c>
      <c r="J69" s="11">
        <f t="shared" si="4"/>
        <v>0</v>
      </c>
      <c r="K69" s="16">
        <v>0</v>
      </c>
      <c r="L69" s="11">
        <f t="shared" si="5"/>
        <v>0</v>
      </c>
      <c r="M69" s="52"/>
    </row>
    <row r="70" spans="1:13" ht="40.5">
      <c r="A70" s="13">
        <v>66</v>
      </c>
      <c r="B70" s="18" t="s">
        <v>23</v>
      </c>
      <c r="C70" s="18" t="s">
        <v>12</v>
      </c>
      <c r="D70" s="18" t="s">
        <v>47</v>
      </c>
      <c r="E70" s="17" t="s">
        <v>94</v>
      </c>
      <c r="F70" s="22">
        <v>1790083518</v>
      </c>
      <c r="G70" s="15" t="s">
        <v>138</v>
      </c>
      <c r="H70" s="17">
        <v>2</v>
      </c>
      <c r="I70" s="16">
        <v>0</v>
      </c>
      <c r="J70" s="11">
        <f t="shared" si="4"/>
        <v>0</v>
      </c>
      <c r="K70" s="16">
        <v>0</v>
      </c>
      <c r="L70" s="11">
        <f t="shared" si="5"/>
        <v>0</v>
      </c>
      <c r="M70" s="52"/>
    </row>
    <row r="71" spans="1:13" ht="94.5">
      <c r="A71" s="13">
        <v>67</v>
      </c>
      <c r="B71" s="18" t="s">
        <v>23</v>
      </c>
      <c r="C71" s="18" t="s">
        <v>12</v>
      </c>
      <c r="D71" s="18" t="s">
        <v>48</v>
      </c>
      <c r="E71" s="17" t="s">
        <v>95</v>
      </c>
      <c r="F71" s="20">
        <v>124000000012336</v>
      </c>
      <c r="G71" s="15" t="s">
        <v>138</v>
      </c>
      <c r="H71" s="17">
        <v>1</v>
      </c>
      <c r="I71" s="16">
        <v>0</v>
      </c>
      <c r="J71" s="11">
        <f t="shared" si="4"/>
        <v>0</v>
      </c>
      <c r="K71" s="16">
        <v>0</v>
      </c>
      <c r="L71" s="11">
        <f t="shared" si="5"/>
        <v>0</v>
      </c>
      <c r="M71" s="52"/>
    </row>
    <row r="72" spans="1:13" ht="27">
      <c r="A72" s="13">
        <v>68</v>
      </c>
      <c r="B72" s="18" t="s">
        <v>23</v>
      </c>
      <c r="C72" s="18" t="s">
        <v>12</v>
      </c>
      <c r="D72" s="18" t="s">
        <v>43</v>
      </c>
      <c r="E72" s="17" t="s">
        <v>90</v>
      </c>
      <c r="F72" s="20">
        <v>12501010375</v>
      </c>
      <c r="G72" s="15" t="s">
        <v>138</v>
      </c>
      <c r="H72" s="17">
        <v>1</v>
      </c>
      <c r="I72" s="16">
        <v>0</v>
      </c>
      <c r="J72" s="11">
        <f t="shared" si="4"/>
        <v>0</v>
      </c>
      <c r="K72" s="16">
        <v>0</v>
      </c>
      <c r="L72" s="11">
        <f t="shared" si="5"/>
        <v>0</v>
      </c>
      <c r="M72" s="52"/>
    </row>
    <row r="73" spans="1:13" ht="27">
      <c r="A73" s="13">
        <v>69</v>
      </c>
      <c r="B73" s="18" t="s">
        <v>23</v>
      </c>
      <c r="C73" s="18" t="s">
        <v>12</v>
      </c>
      <c r="D73" s="18" t="s">
        <v>43</v>
      </c>
      <c r="E73" s="17" t="s">
        <v>90</v>
      </c>
      <c r="F73" s="20">
        <v>12501008638</v>
      </c>
      <c r="G73" s="15" t="s">
        <v>138</v>
      </c>
      <c r="H73" s="17">
        <v>1</v>
      </c>
      <c r="I73" s="16">
        <v>0</v>
      </c>
      <c r="J73" s="11">
        <f t="shared" si="4"/>
        <v>0</v>
      </c>
      <c r="K73" s="16">
        <v>0</v>
      </c>
      <c r="L73" s="11">
        <f t="shared" si="5"/>
        <v>0</v>
      </c>
      <c r="M73" s="52"/>
    </row>
    <row r="74" spans="1:13" ht="27">
      <c r="A74" s="13">
        <v>70</v>
      </c>
      <c r="B74" s="18" t="s">
        <v>23</v>
      </c>
      <c r="C74" s="18" t="s">
        <v>12</v>
      </c>
      <c r="D74" s="18" t="s">
        <v>43</v>
      </c>
      <c r="E74" s="17" t="s">
        <v>90</v>
      </c>
      <c r="F74" s="20">
        <v>12501008616</v>
      </c>
      <c r="G74" s="15" t="s">
        <v>138</v>
      </c>
      <c r="H74" s="17">
        <v>1</v>
      </c>
      <c r="I74" s="16">
        <v>0</v>
      </c>
      <c r="J74" s="11">
        <f t="shared" si="4"/>
        <v>0</v>
      </c>
      <c r="K74" s="16">
        <v>0</v>
      </c>
      <c r="L74" s="11">
        <f t="shared" si="5"/>
        <v>0</v>
      </c>
      <c r="M74" s="52"/>
    </row>
    <row r="75" spans="1:13" ht="27">
      <c r="A75" s="13">
        <v>71</v>
      </c>
      <c r="B75" s="18" t="s">
        <v>23</v>
      </c>
      <c r="C75" s="18" t="s">
        <v>12</v>
      </c>
      <c r="D75" s="18" t="s">
        <v>43</v>
      </c>
      <c r="E75" s="17" t="s">
        <v>90</v>
      </c>
      <c r="F75" s="20">
        <v>12501008635</v>
      </c>
      <c r="G75" s="15" t="s">
        <v>138</v>
      </c>
      <c r="H75" s="17">
        <v>1</v>
      </c>
      <c r="I75" s="16">
        <v>0</v>
      </c>
      <c r="J75" s="11">
        <f t="shared" si="4"/>
        <v>0</v>
      </c>
      <c r="K75" s="16">
        <v>0</v>
      </c>
      <c r="L75" s="11">
        <f t="shared" si="5"/>
        <v>0</v>
      </c>
      <c r="M75" s="52"/>
    </row>
    <row r="76" spans="1:13" ht="40.5">
      <c r="A76" s="13">
        <v>72</v>
      </c>
      <c r="B76" s="18" t="s">
        <v>23</v>
      </c>
      <c r="C76" s="18" t="s">
        <v>49</v>
      </c>
      <c r="D76" s="18" t="s">
        <v>50</v>
      </c>
      <c r="E76" s="17" t="s">
        <v>96</v>
      </c>
      <c r="F76" s="23">
        <v>124000000012336</v>
      </c>
      <c r="G76" s="15" t="s">
        <v>138</v>
      </c>
      <c r="H76" s="17">
        <v>300</v>
      </c>
      <c r="I76" s="16">
        <v>0</v>
      </c>
      <c r="J76" s="11">
        <f t="shared" si="4"/>
        <v>0</v>
      </c>
      <c r="K76" s="16">
        <v>0</v>
      </c>
      <c r="L76" s="11">
        <f t="shared" si="5"/>
        <v>0</v>
      </c>
      <c r="M76" s="52"/>
    </row>
    <row r="77" spans="1:13" ht="54">
      <c r="A77" s="13">
        <v>73</v>
      </c>
      <c r="B77" s="18" t="s">
        <v>23</v>
      </c>
      <c r="C77" s="18" t="s">
        <v>49</v>
      </c>
      <c r="D77" s="18" t="s">
        <v>51</v>
      </c>
      <c r="E77" s="17" t="s">
        <v>97</v>
      </c>
      <c r="F77" s="35">
        <v>124000000012336</v>
      </c>
      <c r="G77" s="15" t="s">
        <v>138</v>
      </c>
      <c r="H77" s="17">
        <v>1</v>
      </c>
      <c r="I77" s="16">
        <v>0</v>
      </c>
      <c r="J77" s="11">
        <f t="shared" si="4"/>
        <v>0</v>
      </c>
      <c r="K77" s="16">
        <v>0</v>
      </c>
      <c r="L77" s="11">
        <f t="shared" si="5"/>
        <v>0</v>
      </c>
      <c r="M77" s="52"/>
    </row>
    <row r="78" spans="1:13" ht="27">
      <c r="A78" s="13">
        <v>74</v>
      </c>
      <c r="B78" s="18" t="s">
        <v>23</v>
      </c>
      <c r="C78" s="18" t="s">
        <v>49</v>
      </c>
      <c r="D78" s="18" t="s">
        <v>35</v>
      </c>
      <c r="E78" s="17" t="s">
        <v>83</v>
      </c>
      <c r="F78" s="20">
        <v>12501008635</v>
      </c>
      <c r="G78" s="15" t="s">
        <v>138</v>
      </c>
      <c r="H78" s="17">
        <v>1</v>
      </c>
      <c r="I78" s="16">
        <v>0</v>
      </c>
      <c r="J78" s="11">
        <f t="shared" si="4"/>
        <v>0</v>
      </c>
      <c r="K78" s="16">
        <v>0</v>
      </c>
      <c r="L78" s="11">
        <f t="shared" si="5"/>
        <v>0</v>
      </c>
      <c r="M78" s="52"/>
    </row>
    <row r="79" spans="1:13" ht="27">
      <c r="A79" s="13">
        <v>75</v>
      </c>
      <c r="B79" s="18" t="s">
        <v>23</v>
      </c>
      <c r="C79" s="18" t="s">
        <v>49</v>
      </c>
      <c r="D79" s="18" t="s">
        <v>34</v>
      </c>
      <c r="E79" s="17" t="s">
        <v>83</v>
      </c>
      <c r="F79" s="20">
        <v>12501010375</v>
      </c>
      <c r="G79" s="15" t="s">
        <v>138</v>
      </c>
      <c r="H79" s="17">
        <v>1</v>
      </c>
      <c r="I79" s="16">
        <v>0</v>
      </c>
      <c r="J79" s="11">
        <f t="shared" si="4"/>
        <v>0</v>
      </c>
      <c r="K79" s="16">
        <v>0</v>
      </c>
      <c r="L79" s="11">
        <f t="shared" si="5"/>
        <v>0</v>
      </c>
      <c r="M79" s="52"/>
    </row>
    <row r="80" spans="1:13" ht="27">
      <c r="A80" s="13">
        <v>76</v>
      </c>
      <c r="B80" s="18" t="s">
        <v>23</v>
      </c>
      <c r="C80" s="18" t="s">
        <v>49</v>
      </c>
      <c r="D80" s="18" t="s">
        <v>35</v>
      </c>
      <c r="E80" s="17" t="s">
        <v>83</v>
      </c>
      <c r="F80" s="20">
        <v>12501008638</v>
      </c>
      <c r="G80" s="15" t="s">
        <v>138</v>
      </c>
      <c r="H80" s="17">
        <v>1</v>
      </c>
      <c r="I80" s="16">
        <v>0</v>
      </c>
      <c r="J80" s="11">
        <f t="shared" si="4"/>
        <v>0</v>
      </c>
      <c r="K80" s="16">
        <v>0</v>
      </c>
      <c r="L80" s="11">
        <f t="shared" si="5"/>
        <v>0</v>
      </c>
      <c r="M80" s="52"/>
    </row>
    <row r="81" spans="1:13" ht="27">
      <c r="A81" s="13">
        <v>77</v>
      </c>
      <c r="B81" s="18" t="s">
        <v>23</v>
      </c>
      <c r="C81" s="18" t="s">
        <v>49</v>
      </c>
      <c r="D81" s="18" t="s">
        <v>34</v>
      </c>
      <c r="E81" s="17" t="s">
        <v>83</v>
      </c>
      <c r="F81" s="20">
        <v>12501008616</v>
      </c>
      <c r="G81" s="15" t="s">
        <v>138</v>
      </c>
      <c r="H81" s="17">
        <v>1</v>
      </c>
      <c r="I81" s="16">
        <v>0</v>
      </c>
      <c r="J81" s="11">
        <f t="shared" si="4"/>
        <v>0</v>
      </c>
      <c r="K81" s="16">
        <v>0</v>
      </c>
      <c r="L81" s="11">
        <f t="shared" si="5"/>
        <v>0</v>
      </c>
      <c r="M81" s="52"/>
    </row>
    <row r="82" spans="1:13" ht="40.5">
      <c r="A82" s="13">
        <v>78</v>
      </c>
      <c r="B82" s="18" t="s">
        <v>23</v>
      </c>
      <c r="C82" s="18" t="s">
        <v>12</v>
      </c>
      <c r="D82" s="18" t="s">
        <v>52</v>
      </c>
      <c r="E82" s="17" t="s">
        <v>98</v>
      </c>
      <c r="F82" s="20">
        <v>23001023860</v>
      </c>
      <c r="G82" s="15" t="s">
        <v>138</v>
      </c>
      <c r="H82" s="17">
        <v>1</v>
      </c>
      <c r="I82" s="16">
        <v>0</v>
      </c>
      <c r="J82" s="11">
        <f t="shared" si="4"/>
        <v>0</v>
      </c>
      <c r="K82" s="16">
        <v>0</v>
      </c>
      <c r="L82" s="11">
        <f t="shared" si="5"/>
        <v>0</v>
      </c>
      <c r="M82" s="52"/>
    </row>
    <row r="83" spans="1:13" ht="40.5">
      <c r="A83" s="13">
        <v>79</v>
      </c>
      <c r="B83" s="18" t="s">
        <v>23</v>
      </c>
      <c r="C83" s="18" t="s">
        <v>12</v>
      </c>
      <c r="D83" s="18" t="s">
        <v>53</v>
      </c>
      <c r="E83" s="17" t="s">
        <v>99</v>
      </c>
      <c r="F83" s="20">
        <v>23001023870</v>
      </c>
      <c r="G83" s="15" t="s">
        <v>138</v>
      </c>
      <c r="H83" s="17">
        <v>1</v>
      </c>
      <c r="I83" s="16">
        <v>0</v>
      </c>
      <c r="J83" s="11">
        <f t="shared" si="4"/>
        <v>0</v>
      </c>
      <c r="K83" s="16">
        <v>0</v>
      </c>
      <c r="L83" s="11">
        <f t="shared" si="5"/>
        <v>0</v>
      </c>
      <c r="M83" s="52"/>
    </row>
    <row r="84" spans="1:13" ht="40.5">
      <c r="A84" s="13">
        <v>80</v>
      </c>
      <c r="B84" s="18" t="s">
        <v>23</v>
      </c>
      <c r="C84" s="18" t="s">
        <v>12</v>
      </c>
      <c r="D84" s="18" t="s">
        <v>53</v>
      </c>
      <c r="E84" s="17" t="s">
        <v>99</v>
      </c>
      <c r="F84" s="20">
        <v>23001023876</v>
      </c>
      <c r="G84" s="15" t="s">
        <v>138</v>
      </c>
      <c r="H84" s="17">
        <v>1</v>
      </c>
      <c r="I84" s="16">
        <v>0</v>
      </c>
      <c r="J84" s="11">
        <f t="shared" si="4"/>
        <v>0</v>
      </c>
      <c r="K84" s="16">
        <v>0</v>
      </c>
      <c r="L84" s="11">
        <f t="shared" si="5"/>
        <v>0</v>
      </c>
      <c r="M84" s="52"/>
    </row>
    <row r="85" spans="1:13" ht="27">
      <c r="A85" s="13">
        <v>81</v>
      </c>
      <c r="B85" s="18" t="s">
        <v>23</v>
      </c>
      <c r="C85" s="18" t="s">
        <v>12</v>
      </c>
      <c r="D85" s="18" t="s">
        <v>54</v>
      </c>
      <c r="E85" s="17" t="s">
        <v>100</v>
      </c>
      <c r="F85" s="20">
        <v>26701007224</v>
      </c>
      <c r="G85" s="15" t="s">
        <v>138</v>
      </c>
      <c r="H85" s="17">
        <v>1</v>
      </c>
      <c r="I85" s="16">
        <v>0</v>
      </c>
      <c r="J85" s="11">
        <f t="shared" si="4"/>
        <v>0</v>
      </c>
      <c r="K85" s="16">
        <v>0</v>
      </c>
      <c r="L85" s="11">
        <f t="shared" si="5"/>
        <v>0</v>
      </c>
      <c r="M85" s="52"/>
    </row>
    <row r="86" spans="1:13" ht="27">
      <c r="A86" s="13">
        <v>82</v>
      </c>
      <c r="B86" s="18" t="s">
        <v>23</v>
      </c>
      <c r="C86" s="18" t="s">
        <v>12</v>
      </c>
      <c r="D86" s="18" t="s">
        <v>54</v>
      </c>
      <c r="E86" s="17" t="s">
        <v>100</v>
      </c>
      <c r="F86" s="20">
        <v>26701007906</v>
      </c>
      <c r="G86" s="15" t="s">
        <v>138</v>
      </c>
      <c r="H86" s="17">
        <v>1</v>
      </c>
      <c r="I86" s="16">
        <v>0</v>
      </c>
      <c r="J86" s="11">
        <f t="shared" si="4"/>
        <v>0</v>
      </c>
      <c r="K86" s="16">
        <v>0</v>
      </c>
      <c r="L86" s="11">
        <f t="shared" si="5"/>
        <v>0</v>
      </c>
      <c r="M86" s="52"/>
    </row>
    <row r="87" spans="1:13" ht="27">
      <c r="A87" s="13">
        <v>83</v>
      </c>
      <c r="B87" s="18" t="s">
        <v>23</v>
      </c>
      <c r="C87" s="18" t="s">
        <v>12</v>
      </c>
      <c r="D87" s="18" t="s">
        <v>54</v>
      </c>
      <c r="E87" s="17" t="s">
        <v>100</v>
      </c>
      <c r="F87" s="20">
        <v>26701007927</v>
      </c>
      <c r="G87" s="15" t="s">
        <v>138</v>
      </c>
      <c r="H87" s="17">
        <v>1</v>
      </c>
      <c r="I87" s="16">
        <v>0</v>
      </c>
      <c r="J87" s="11">
        <f t="shared" si="4"/>
        <v>0</v>
      </c>
      <c r="K87" s="16">
        <v>0</v>
      </c>
      <c r="L87" s="11">
        <f t="shared" si="5"/>
        <v>0</v>
      </c>
      <c r="M87" s="52"/>
    </row>
    <row r="88" spans="1:13" ht="40.5">
      <c r="A88" s="13">
        <v>84</v>
      </c>
      <c r="B88" s="18" t="s">
        <v>23</v>
      </c>
      <c r="C88" s="18" t="s">
        <v>12</v>
      </c>
      <c r="D88" s="18" t="s">
        <v>53</v>
      </c>
      <c r="E88" s="17" t="s">
        <v>99</v>
      </c>
      <c r="F88" s="20">
        <v>23009000914</v>
      </c>
      <c r="G88" s="15" t="s">
        <v>138</v>
      </c>
      <c r="H88" s="17">
        <v>1</v>
      </c>
      <c r="I88" s="16">
        <v>0</v>
      </c>
      <c r="J88" s="11">
        <f t="shared" si="4"/>
        <v>0</v>
      </c>
      <c r="K88" s="16">
        <v>0</v>
      </c>
      <c r="L88" s="11">
        <f t="shared" si="5"/>
        <v>0</v>
      </c>
      <c r="M88" s="52"/>
    </row>
    <row r="89" spans="1:13" ht="40.5">
      <c r="A89" s="13">
        <v>85</v>
      </c>
      <c r="B89" s="14" t="s">
        <v>23</v>
      </c>
      <c r="C89" s="14" t="s">
        <v>12</v>
      </c>
      <c r="D89" s="14" t="s">
        <v>53</v>
      </c>
      <c r="E89" s="13" t="s">
        <v>99</v>
      </c>
      <c r="F89" s="20">
        <v>23009000919</v>
      </c>
      <c r="G89" s="15" t="s">
        <v>138</v>
      </c>
      <c r="H89" s="13">
        <v>1</v>
      </c>
      <c r="I89" s="16">
        <v>0</v>
      </c>
      <c r="J89" s="11">
        <f t="shared" si="4"/>
        <v>0</v>
      </c>
      <c r="K89" s="16">
        <v>0</v>
      </c>
      <c r="L89" s="11">
        <f t="shared" si="5"/>
        <v>0</v>
      </c>
      <c r="M89" s="52"/>
    </row>
    <row r="90" spans="1:13" ht="40.5">
      <c r="A90" s="13">
        <v>86</v>
      </c>
      <c r="B90" s="14" t="s">
        <v>23</v>
      </c>
      <c r="C90" s="14" t="s">
        <v>12</v>
      </c>
      <c r="D90" s="14" t="s">
        <v>53</v>
      </c>
      <c r="E90" s="13" t="s">
        <v>99</v>
      </c>
      <c r="F90" s="20">
        <v>23009000942</v>
      </c>
      <c r="G90" s="15" t="s">
        <v>138</v>
      </c>
      <c r="H90" s="13">
        <v>1</v>
      </c>
      <c r="I90" s="16">
        <v>0</v>
      </c>
      <c r="J90" s="11">
        <f t="shared" si="4"/>
        <v>0</v>
      </c>
      <c r="K90" s="16">
        <v>0</v>
      </c>
      <c r="L90" s="11">
        <f t="shared" si="5"/>
        <v>0</v>
      </c>
      <c r="M90" s="52"/>
    </row>
    <row r="91" spans="1:13" ht="40.5">
      <c r="A91" s="13">
        <v>87</v>
      </c>
      <c r="B91" s="14" t="s">
        <v>23</v>
      </c>
      <c r="C91" s="14" t="s">
        <v>12</v>
      </c>
      <c r="D91" s="14" t="s">
        <v>53</v>
      </c>
      <c r="E91" s="13" t="s">
        <v>99</v>
      </c>
      <c r="F91" s="20">
        <v>23009000949</v>
      </c>
      <c r="G91" s="15" t="s">
        <v>138</v>
      </c>
      <c r="H91" s="13">
        <v>1</v>
      </c>
      <c r="I91" s="16">
        <v>0</v>
      </c>
      <c r="J91" s="11">
        <f t="shared" si="4"/>
        <v>0</v>
      </c>
      <c r="K91" s="16">
        <v>0</v>
      </c>
      <c r="L91" s="11">
        <f t="shared" si="5"/>
        <v>0</v>
      </c>
      <c r="M91" s="52"/>
    </row>
    <row r="92" spans="1:13" ht="40.5">
      <c r="A92" s="13">
        <v>88</v>
      </c>
      <c r="B92" s="14" t="s">
        <v>23</v>
      </c>
      <c r="C92" s="14" t="s">
        <v>12</v>
      </c>
      <c r="D92" s="14" t="s">
        <v>53</v>
      </c>
      <c r="E92" s="13" t="s">
        <v>99</v>
      </c>
      <c r="F92" s="20">
        <v>23009000951</v>
      </c>
      <c r="G92" s="15" t="s">
        <v>138</v>
      </c>
      <c r="H92" s="13">
        <v>1</v>
      </c>
      <c r="I92" s="16">
        <v>0</v>
      </c>
      <c r="J92" s="11">
        <f t="shared" si="4"/>
        <v>0</v>
      </c>
      <c r="K92" s="16">
        <v>0</v>
      </c>
      <c r="L92" s="11">
        <f t="shared" si="5"/>
        <v>0</v>
      </c>
      <c r="M92" s="52"/>
    </row>
    <row r="93" spans="1:13" ht="40.5">
      <c r="A93" s="13">
        <v>89</v>
      </c>
      <c r="B93" s="14" t="s">
        <v>23</v>
      </c>
      <c r="C93" s="14" t="s">
        <v>12</v>
      </c>
      <c r="D93" s="14" t="s">
        <v>53</v>
      </c>
      <c r="E93" s="13" t="s">
        <v>99</v>
      </c>
      <c r="F93" s="20">
        <v>23009000958</v>
      </c>
      <c r="G93" s="15" t="s">
        <v>138</v>
      </c>
      <c r="H93" s="13">
        <v>1</v>
      </c>
      <c r="I93" s="16">
        <v>0</v>
      </c>
      <c r="J93" s="11">
        <f t="shared" si="4"/>
        <v>0</v>
      </c>
      <c r="K93" s="16">
        <v>0</v>
      </c>
      <c r="L93" s="11">
        <f t="shared" si="5"/>
        <v>0</v>
      </c>
      <c r="M93" s="52"/>
    </row>
    <row r="94" spans="1:13" ht="40.5">
      <c r="A94" s="13">
        <v>90</v>
      </c>
      <c r="B94" s="14" t="s">
        <v>23</v>
      </c>
      <c r="C94" s="14" t="s">
        <v>12</v>
      </c>
      <c r="D94" s="14" t="s">
        <v>55</v>
      </c>
      <c r="E94" s="13" t="s">
        <v>101</v>
      </c>
      <c r="F94" s="24" t="s">
        <v>122</v>
      </c>
      <c r="G94" s="15" t="s">
        <v>138</v>
      </c>
      <c r="H94" s="13">
        <v>2</v>
      </c>
      <c r="I94" s="16">
        <v>0</v>
      </c>
      <c r="J94" s="11">
        <f t="shared" si="4"/>
        <v>0</v>
      </c>
      <c r="K94" s="16">
        <v>0</v>
      </c>
      <c r="L94" s="11">
        <f t="shared" si="5"/>
        <v>0</v>
      </c>
      <c r="M94" s="52"/>
    </row>
    <row r="95" spans="1:13" ht="40.5">
      <c r="A95" s="13">
        <v>91</v>
      </c>
      <c r="B95" s="18" t="s">
        <v>23</v>
      </c>
      <c r="C95" s="18" t="s">
        <v>12</v>
      </c>
      <c r="D95" s="18" t="s">
        <v>55</v>
      </c>
      <c r="E95" s="17" t="s">
        <v>101</v>
      </c>
      <c r="F95" s="24" t="s">
        <v>123</v>
      </c>
      <c r="G95" s="15" t="s">
        <v>138</v>
      </c>
      <c r="H95" s="17">
        <v>2</v>
      </c>
      <c r="I95" s="16">
        <v>0</v>
      </c>
      <c r="J95" s="11">
        <f t="shared" si="4"/>
        <v>0</v>
      </c>
      <c r="K95" s="16">
        <v>0</v>
      </c>
      <c r="L95" s="11">
        <f t="shared" si="5"/>
        <v>0</v>
      </c>
      <c r="M95" s="52"/>
    </row>
    <row r="96" spans="1:13" ht="27">
      <c r="A96" s="13">
        <v>92</v>
      </c>
      <c r="B96" s="14" t="s">
        <v>23</v>
      </c>
      <c r="C96" s="14" t="s">
        <v>12</v>
      </c>
      <c r="D96" s="14" t="s">
        <v>56</v>
      </c>
      <c r="E96" s="13" t="s">
        <v>102</v>
      </c>
      <c r="F96" s="34" t="s">
        <v>141</v>
      </c>
      <c r="G96" s="15" t="s">
        <v>138</v>
      </c>
      <c r="H96" s="13">
        <v>2</v>
      </c>
      <c r="I96" s="16">
        <v>0</v>
      </c>
      <c r="J96" s="11">
        <f t="shared" si="4"/>
        <v>0</v>
      </c>
      <c r="K96" s="16">
        <v>0</v>
      </c>
      <c r="L96" s="11">
        <f t="shared" si="5"/>
        <v>0</v>
      </c>
      <c r="M96" s="52"/>
    </row>
    <row r="97" spans="1:13" ht="40.5">
      <c r="A97" s="13">
        <v>93</v>
      </c>
      <c r="B97" s="18" t="s">
        <v>23</v>
      </c>
      <c r="C97" s="18" t="s">
        <v>12</v>
      </c>
      <c r="D97" s="18" t="s">
        <v>57</v>
      </c>
      <c r="E97" s="17" t="s">
        <v>103</v>
      </c>
      <c r="F97" s="34" t="s">
        <v>140</v>
      </c>
      <c r="G97" s="15" t="s">
        <v>138</v>
      </c>
      <c r="H97" s="33">
        <v>1331</v>
      </c>
      <c r="I97" s="16">
        <v>0</v>
      </c>
      <c r="J97" s="11">
        <f t="shared" si="4"/>
        <v>0</v>
      </c>
      <c r="K97" s="16">
        <v>0</v>
      </c>
      <c r="L97" s="11">
        <f t="shared" si="5"/>
        <v>0</v>
      </c>
      <c r="M97" s="52"/>
    </row>
    <row r="98" spans="1:13" ht="81">
      <c r="A98" s="13">
        <v>94</v>
      </c>
      <c r="B98" s="18" t="s">
        <v>20</v>
      </c>
      <c r="C98" s="18" t="s">
        <v>12</v>
      </c>
      <c r="D98" s="18" t="s">
        <v>58</v>
      </c>
      <c r="E98" s="17" t="s">
        <v>104</v>
      </c>
      <c r="F98" s="24" t="s">
        <v>124</v>
      </c>
      <c r="G98" s="15" t="s">
        <v>138</v>
      </c>
      <c r="H98" s="17">
        <v>4</v>
      </c>
      <c r="I98" s="16">
        <v>0</v>
      </c>
      <c r="J98" s="11">
        <f t="shared" si="4"/>
        <v>0</v>
      </c>
      <c r="K98" s="16">
        <v>0</v>
      </c>
      <c r="L98" s="11">
        <f t="shared" si="5"/>
        <v>0</v>
      </c>
      <c r="M98" s="52"/>
    </row>
    <row r="99" spans="1:13" ht="81">
      <c r="A99" s="13">
        <v>95</v>
      </c>
      <c r="B99" s="18" t="s">
        <v>20</v>
      </c>
      <c r="C99" s="18" t="s">
        <v>12</v>
      </c>
      <c r="D99" s="18" t="s">
        <v>58</v>
      </c>
      <c r="E99" s="17" t="s">
        <v>104</v>
      </c>
      <c r="F99" s="24" t="s">
        <v>136</v>
      </c>
      <c r="G99" s="15" t="s">
        <v>138</v>
      </c>
      <c r="H99" s="27">
        <v>2</v>
      </c>
      <c r="I99" s="16">
        <v>0</v>
      </c>
      <c r="J99" s="11">
        <f t="shared" si="4"/>
        <v>0</v>
      </c>
      <c r="K99" s="16">
        <v>0</v>
      </c>
      <c r="L99" s="11">
        <f t="shared" si="5"/>
        <v>0</v>
      </c>
      <c r="M99" s="52"/>
    </row>
    <row r="100" spans="1:13" ht="81">
      <c r="A100" s="13">
        <v>96</v>
      </c>
      <c r="B100" s="18" t="s">
        <v>20</v>
      </c>
      <c r="C100" s="18" t="s">
        <v>12</v>
      </c>
      <c r="D100" s="18" t="s">
        <v>59</v>
      </c>
      <c r="E100" s="17" t="s">
        <v>105</v>
      </c>
      <c r="F100" s="24" t="s">
        <v>125</v>
      </c>
      <c r="G100" s="15" t="s">
        <v>138</v>
      </c>
      <c r="H100" s="17">
        <v>4</v>
      </c>
      <c r="I100" s="16">
        <v>0</v>
      </c>
      <c r="J100" s="11">
        <f t="shared" si="4"/>
        <v>0</v>
      </c>
      <c r="K100" s="16">
        <v>0</v>
      </c>
      <c r="L100" s="11">
        <f t="shared" si="5"/>
        <v>0</v>
      </c>
      <c r="M100" s="52"/>
    </row>
    <row r="101" spans="1:13" ht="40.5">
      <c r="A101" s="13">
        <v>97</v>
      </c>
      <c r="B101" s="18" t="s">
        <v>20</v>
      </c>
      <c r="C101" s="18" t="s">
        <v>12</v>
      </c>
      <c r="D101" s="18" t="s">
        <v>60</v>
      </c>
      <c r="E101" s="17" t="s">
        <v>106</v>
      </c>
      <c r="F101" s="24" t="s">
        <v>126</v>
      </c>
      <c r="G101" s="15" t="s">
        <v>138</v>
      </c>
      <c r="H101" s="17">
        <v>3</v>
      </c>
      <c r="I101" s="16">
        <v>0</v>
      </c>
      <c r="J101" s="11">
        <f t="shared" si="4"/>
        <v>0</v>
      </c>
      <c r="K101" s="16">
        <v>0</v>
      </c>
      <c r="L101" s="11">
        <f t="shared" si="5"/>
        <v>0</v>
      </c>
      <c r="M101" s="52"/>
    </row>
    <row r="102" spans="1:13" ht="27">
      <c r="A102" s="13">
        <v>98</v>
      </c>
      <c r="B102" s="18" t="s">
        <v>20</v>
      </c>
      <c r="C102" s="18" t="s">
        <v>12</v>
      </c>
      <c r="D102" s="18" t="s">
        <v>61</v>
      </c>
      <c r="E102" s="17" t="s">
        <v>107</v>
      </c>
      <c r="F102" s="21" t="s">
        <v>127</v>
      </c>
      <c r="G102" s="15" t="s">
        <v>138</v>
      </c>
      <c r="H102" s="17">
        <v>1</v>
      </c>
      <c r="I102" s="16">
        <v>0</v>
      </c>
      <c r="J102" s="11">
        <f t="shared" si="4"/>
        <v>0</v>
      </c>
      <c r="K102" s="16">
        <v>0</v>
      </c>
      <c r="L102" s="11">
        <f t="shared" si="5"/>
        <v>0</v>
      </c>
      <c r="M102" s="52"/>
    </row>
    <row r="103" spans="1:13" ht="27">
      <c r="A103" s="13">
        <v>99</v>
      </c>
      <c r="B103" s="18" t="s">
        <v>20</v>
      </c>
      <c r="C103" s="18" t="s">
        <v>12</v>
      </c>
      <c r="D103" s="18" t="s">
        <v>61</v>
      </c>
      <c r="E103" s="17" t="s">
        <v>107</v>
      </c>
      <c r="F103" s="20">
        <v>16201007928</v>
      </c>
      <c r="G103" s="15" t="s">
        <v>138</v>
      </c>
      <c r="H103" s="17">
        <v>1</v>
      </c>
      <c r="I103" s="16">
        <v>0</v>
      </c>
      <c r="J103" s="11">
        <f t="shared" si="4"/>
        <v>0</v>
      </c>
      <c r="K103" s="16">
        <v>0</v>
      </c>
      <c r="L103" s="11">
        <f t="shared" si="5"/>
        <v>0</v>
      </c>
      <c r="M103" s="52"/>
    </row>
    <row r="104" spans="1:13" ht="27">
      <c r="A104" s="13">
        <v>100</v>
      </c>
      <c r="B104" s="18" t="s">
        <v>20</v>
      </c>
      <c r="C104" s="18" t="s">
        <v>12</v>
      </c>
      <c r="D104" s="18" t="s">
        <v>61</v>
      </c>
      <c r="E104" s="17" t="s">
        <v>107</v>
      </c>
      <c r="F104" s="20">
        <v>16201008687</v>
      </c>
      <c r="G104" s="15" t="s">
        <v>138</v>
      </c>
      <c r="H104" s="17">
        <v>1</v>
      </c>
      <c r="I104" s="16">
        <v>0</v>
      </c>
      <c r="J104" s="11">
        <f t="shared" si="4"/>
        <v>0</v>
      </c>
      <c r="K104" s="16">
        <v>0</v>
      </c>
      <c r="L104" s="11">
        <f t="shared" si="5"/>
        <v>0</v>
      </c>
      <c r="M104" s="52"/>
    </row>
    <row r="105" spans="1:13" ht="27">
      <c r="A105" s="13">
        <v>101</v>
      </c>
      <c r="B105" s="18" t="s">
        <v>20</v>
      </c>
      <c r="C105" s="18" t="s">
        <v>12</v>
      </c>
      <c r="D105" s="18" t="s">
        <v>61</v>
      </c>
      <c r="E105" s="17" t="s">
        <v>107</v>
      </c>
      <c r="F105" s="20">
        <v>16201020419</v>
      </c>
      <c r="G105" s="15" t="s">
        <v>138</v>
      </c>
      <c r="H105" s="17">
        <v>1</v>
      </c>
      <c r="I105" s="16">
        <v>0</v>
      </c>
      <c r="J105" s="11">
        <f t="shared" si="4"/>
        <v>0</v>
      </c>
      <c r="K105" s="16">
        <v>0</v>
      </c>
      <c r="L105" s="11">
        <f t="shared" si="5"/>
        <v>0</v>
      </c>
      <c r="M105" s="52"/>
    </row>
    <row r="106" spans="1:13" ht="27">
      <c r="A106" s="13">
        <v>102</v>
      </c>
      <c r="B106" s="18" t="s">
        <v>20</v>
      </c>
      <c r="C106" s="18" t="s">
        <v>12</v>
      </c>
      <c r="D106" s="18" t="s">
        <v>61</v>
      </c>
      <c r="E106" s="17" t="s">
        <v>107</v>
      </c>
      <c r="F106" s="20">
        <v>16201020420</v>
      </c>
      <c r="G106" s="15" t="s">
        <v>138</v>
      </c>
      <c r="H106" s="17">
        <v>1</v>
      </c>
      <c r="I106" s="16">
        <v>0</v>
      </c>
      <c r="J106" s="11">
        <f t="shared" ref="J106:J145" si="6">I106-K106</f>
        <v>0</v>
      </c>
      <c r="K106" s="16">
        <v>0</v>
      </c>
      <c r="L106" s="11">
        <f t="shared" ref="L106:L145" si="7">K106*H106</f>
        <v>0</v>
      </c>
      <c r="M106" s="52"/>
    </row>
    <row r="107" spans="1:13" ht="27">
      <c r="A107" s="13">
        <v>103</v>
      </c>
      <c r="B107" s="18" t="s">
        <v>20</v>
      </c>
      <c r="C107" s="18" t="s">
        <v>12</v>
      </c>
      <c r="D107" s="18" t="s">
        <v>61</v>
      </c>
      <c r="E107" s="17" t="s">
        <v>107</v>
      </c>
      <c r="F107" s="20">
        <v>16201020426</v>
      </c>
      <c r="G107" s="15" t="s">
        <v>138</v>
      </c>
      <c r="H107" s="17">
        <v>1</v>
      </c>
      <c r="I107" s="16">
        <v>0</v>
      </c>
      <c r="J107" s="11">
        <f t="shared" si="6"/>
        <v>0</v>
      </c>
      <c r="K107" s="16">
        <v>0</v>
      </c>
      <c r="L107" s="11">
        <f t="shared" si="7"/>
        <v>0</v>
      </c>
      <c r="M107" s="52"/>
    </row>
    <row r="108" spans="1:13" ht="54">
      <c r="A108" s="13">
        <v>104</v>
      </c>
      <c r="B108" s="14" t="s">
        <v>20</v>
      </c>
      <c r="C108" s="14" t="s">
        <v>12</v>
      </c>
      <c r="D108" s="14" t="s">
        <v>62</v>
      </c>
      <c r="E108" s="13" t="s">
        <v>108</v>
      </c>
      <c r="F108" s="24" t="s">
        <v>128</v>
      </c>
      <c r="G108" s="15" t="s">
        <v>138</v>
      </c>
      <c r="H108" s="13">
        <v>4</v>
      </c>
      <c r="I108" s="16">
        <v>0</v>
      </c>
      <c r="J108" s="11">
        <f t="shared" si="6"/>
        <v>0</v>
      </c>
      <c r="K108" s="16">
        <v>0</v>
      </c>
      <c r="L108" s="11">
        <f t="shared" si="7"/>
        <v>0</v>
      </c>
      <c r="M108" s="52"/>
    </row>
    <row r="109" spans="1:13" ht="27">
      <c r="A109" s="13">
        <v>105</v>
      </c>
      <c r="B109" s="14" t="s">
        <v>20</v>
      </c>
      <c r="C109" s="14" t="s">
        <v>12</v>
      </c>
      <c r="D109" s="14" t="s">
        <v>63</v>
      </c>
      <c r="E109" s="13" t="s">
        <v>109</v>
      </c>
      <c r="F109" s="20">
        <v>16401008311</v>
      </c>
      <c r="G109" s="15" t="s">
        <v>138</v>
      </c>
      <c r="H109" s="13">
        <v>1</v>
      </c>
      <c r="I109" s="16">
        <v>0</v>
      </c>
      <c r="J109" s="11">
        <f t="shared" si="6"/>
        <v>0</v>
      </c>
      <c r="K109" s="16">
        <v>0</v>
      </c>
      <c r="L109" s="11">
        <f t="shared" si="7"/>
        <v>0</v>
      </c>
      <c r="M109" s="52"/>
    </row>
    <row r="110" spans="1:13" ht="27">
      <c r="A110" s="13">
        <v>106</v>
      </c>
      <c r="B110" s="14" t="s">
        <v>20</v>
      </c>
      <c r="C110" s="14" t="s">
        <v>12</v>
      </c>
      <c r="D110" s="14" t="s">
        <v>63</v>
      </c>
      <c r="E110" s="13" t="s">
        <v>109</v>
      </c>
      <c r="F110" s="20">
        <v>16401003949</v>
      </c>
      <c r="G110" s="15" t="s">
        <v>138</v>
      </c>
      <c r="H110" s="13">
        <v>1</v>
      </c>
      <c r="I110" s="16">
        <v>0</v>
      </c>
      <c r="J110" s="11">
        <f t="shared" si="6"/>
        <v>0</v>
      </c>
      <c r="K110" s="16">
        <v>0</v>
      </c>
      <c r="L110" s="11">
        <f t="shared" si="7"/>
        <v>0</v>
      </c>
      <c r="M110" s="52"/>
    </row>
    <row r="111" spans="1:13" ht="27">
      <c r="A111" s="13">
        <v>107</v>
      </c>
      <c r="B111" s="14" t="s">
        <v>20</v>
      </c>
      <c r="C111" s="14" t="s">
        <v>12</v>
      </c>
      <c r="D111" s="14" t="s">
        <v>63</v>
      </c>
      <c r="E111" s="13" t="s">
        <v>109</v>
      </c>
      <c r="F111" s="20">
        <v>16401008287</v>
      </c>
      <c r="G111" s="15" t="s">
        <v>138</v>
      </c>
      <c r="H111" s="13">
        <v>1</v>
      </c>
      <c r="I111" s="16">
        <v>0</v>
      </c>
      <c r="J111" s="11">
        <f t="shared" si="6"/>
        <v>0</v>
      </c>
      <c r="K111" s="16">
        <v>0</v>
      </c>
      <c r="L111" s="11">
        <f t="shared" si="7"/>
        <v>0</v>
      </c>
      <c r="M111" s="52"/>
    </row>
    <row r="112" spans="1:13" ht="27">
      <c r="A112" s="13">
        <v>108</v>
      </c>
      <c r="B112" s="14" t="s">
        <v>20</v>
      </c>
      <c r="C112" s="14" t="s">
        <v>12</v>
      </c>
      <c r="D112" s="14" t="s">
        <v>63</v>
      </c>
      <c r="E112" s="13" t="s">
        <v>109</v>
      </c>
      <c r="F112" s="20">
        <v>16401008288</v>
      </c>
      <c r="G112" s="15" t="s">
        <v>138</v>
      </c>
      <c r="H112" s="13">
        <v>1</v>
      </c>
      <c r="I112" s="16">
        <v>0</v>
      </c>
      <c r="J112" s="11">
        <f t="shared" si="6"/>
        <v>0</v>
      </c>
      <c r="K112" s="16">
        <v>0</v>
      </c>
      <c r="L112" s="11">
        <f t="shared" si="7"/>
        <v>0</v>
      </c>
      <c r="M112" s="52"/>
    </row>
    <row r="113" spans="1:13" ht="27">
      <c r="A113" s="13">
        <v>109</v>
      </c>
      <c r="B113" s="14" t="s">
        <v>20</v>
      </c>
      <c r="C113" s="14" t="s">
        <v>12</v>
      </c>
      <c r="D113" s="14" t="s">
        <v>63</v>
      </c>
      <c r="E113" s="13" t="s">
        <v>109</v>
      </c>
      <c r="F113" s="20">
        <v>16401008292</v>
      </c>
      <c r="G113" s="15" t="s">
        <v>138</v>
      </c>
      <c r="H113" s="13">
        <v>1</v>
      </c>
      <c r="I113" s="16">
        <v>0</v>
      </c>
      <c r="J113" s="11">
        <f t="shared" si="6"/>
        <v>0</v>
      </c>
      <c r="K113" s="16">
        <v>0</v>
      </c>
      <c r="L113" s="11">
        <f t="shared" si="7"/>
        <v>0</v>
      </c>
      <c r="M113" s="52"/>
    </row>
    <row r="114" spans="1:13" ht="27">
      <c r="A114" s="13">
        <v>110</v>
      </c>
      <c r="B114" s="14" t="s">
        <v>20</v>
      </c>
      <c r="C114" s="14" t="s">
        <v>12</v>
      </c>
      <c r="D114" s="14" t="s">
        <v>63</v>
      </c>
      <c r="E114" s="13" t="s">
        <v>109</v>
      </c>
      <c r="F114" s="20">
        <v>16401008305</v>
      </c>
      <c r="G114" s="15" t="s">
        <v>138</v>
      </c>
      <c r="H114" s="13">
        <v>1</v>
      </c>
      <c r="I114" s="16">
        <v>0</v>
      </c>
      <c r="J114" s="11">
        <f t="shared" si="6"/>
        <v>0</v>
      </c>
      <c r="K114" s="16">
        <v>0</v>
      </c>
      <c r="L114" s="11">
        <f t="shared" si="7"/>
        <v>0</v>
      </c>
      <c r="M114" s="52"/>
    </row>
    <row r="115" spans="1:13" ht="27">
      <c r="A115" s="13">
        <v>111</v>
      </c>
      <c r="B115" s="14" t="s">
        <v>20</v>
      </c>
      <c r="C115" s="14" t="s">
        <v>12</v>
      </c>
      <c r="D115" s="14" t="s">
        <v>63</v>
      </c>
      <c r="E115" s="13" t="s">
        <v>109</v>
      </c>
      <c r="F115" s="20">
        <v>16401008308</v>
      </c>
      <c r="G115" s="15" t="s">
        <v>138</v>
      </c>
      <c r="H115" s="13">
        <v>1</v>
      </c>
      <c r="I115" s="16">
        <v>0</v>
      </c>
      <c r="J115" s="11">
        <f t="shared" si="6"/>
        <v>0</v>
      </c>
      <c r="K115" s="16">
        <v>0</v>
      </c>
      <c r="L115" s="11">
        <f t="shared" si="7"/>
        <v>0</v>
      </c>
      <c r="M115" s="52"/>
    </row>
    <row r="116" spans="1:13" ht="27">
      <c r="A116" s="13">
        <v>112</v>
      </c>
      <c r="B116" s="14" t="s">
        <v>20</v>
      </c>
      <c r="C116" s="14" t="s">
        <v>12</v>
      </c>
      <c r="D116" s="14" t="s">
        <v>63</v>
      </c>
      <c r="E116" s="13" t="s">
        <v>109</v>
      </c>
      <c r="F116" s="20">
        <v>16401008324</v>
      </c>
      <c r="G116" s="15" t="s">
        <v>138</v>
      </c>
      <c r="H116" s="13">
        <v>1</v>
      </c>
      <c r="I116" s="16">
        <v>0</v>
      </c>
      <c r="J116" s="11">
        <f t="shared" si="6"/>
        <v>0</v>
      </c>
      <c r="K116" s="16">
        <v>0</v>
      </c>
      <c r="L116" s="11">
        <f t="shared" si="7"/>
        <v>0</v>
      </c>
      <c r="M116" s="52"/>
    </row>
    <row r="117" spans="1:13" ht="27">
      <c r="A117" s="13">
        <v>113</v>
      </c>
      <c r="B117" s="14" t="s">
        <v>20</v>
      </c>
      <c r="C117" s="14" t="s">
        <v>12</v>
      </c>
      <c r="D117" s="14" t="s">
        <v>63</v>
      </c>
      <c r="E117" s="13" t="s">
        <v>109</v>
      </c>
      <c r="F117" s="20">
        <v>16401008184</v>
      </c>
      <c r="G117" s="15" t="s">
        <v>138</v>
      </c>
      <c r="H117" s="13">
        <v>1</v>
      </c>
      <c r="I117" s="16">
        <v>0</v>
      </c>
      <c r="J117" s="11">
        <f t="shared" si="6"/>
        <v>0</v>
      </c>
      <c r="K117" s="16">
        <v>0</v>
      </c>
      <c r="L117" s="11">
        <f t="shared" si="7"/>
        <v>0</v>
      </c>
      <c r="M117" s="52"/>
    </row>
    <row r="118" spans="1:13" ht="27">
      <c r="A118" s="13">
        <v>114</v>
      </c>
      <c r="B118" s="14" t="s">
        <v>20</v>
      </c>
      <c r="C118" s="14" t="s">
        <v>12</v>
      </c>
      <c r="D118" s="14" t="s">
        <v>63</v>
      </c>
      <c r="E118" s="13" t="s">
        <v>109</v>
      </c>
      <c r="F118" s="20">
        <v>16401008189</v>
      </c>
      <c r="G118" s="15" t="s">
        <v>138</v>
      </c>
      <c r="H118" s="13">
        <v>1</v>
      </c>
      <c r="I118" s="16">
        <v>0</v>
      </c>
      <c r="J118" s="11">
        <f t="shared" si="6"/>
        <v>0</v>
      </c>
      <c r="K118" s="16">
        <v>0</v>
      </c>
      <c r="L118" s="11">
        <f t="shared" si="7"/>
        <v>0</v>
      </c>
      <c r="M118" s="52"/>
    </row>
    <row r="119" spans="1:13" ht="121.5">
      <c r="A119" s="13">
        <v>115</v>
      </c>
      <c r="B119" s="14" t="s">
        <v>20</v>
      </c>
      <c r="C119" s="14" t="s">
        <v>12</v>
      </c>
      <c r="D119" s="14" t="s">
        <v>64</v>
      </c>
      <c r="E119" s="13" t="s">
        <v>110</v>
      </c>
      <c r="F119" s="24" t="s">
        <v>129</v>
      </c>
      <c r="G119" s="15" t="s">
        <v>138</v>
      </c>
      <c r="H119" s="13">
        <v>9</v>
      </c>
      <c r="I119" s="16">
        <v>0</v>
      </c>
      <c r="J119" s="11">
        <f t="shared" si="6"/>
        <v>0</v>
      </c>
      <c r="K119" s="16">
        <v>0</v>
      </c>
      <c r="L119" s="11">
        <f t="shared" si="7"/>
        <v>0</v>
      </c>
      <c r="M119" s="52"/>
    </row>
    <row r="120" spans="1:13" ht="27">
      <c r="A120" s="13">
        <v>116</v>
      </c>
      <c r="B120" s="14" t="s">
        <v>20</v>
      </c>
      <c r="C120" s="14" t="s">
        <v>12</v>
      </c>
      <c r="D120" s="14" t="s">
        <v>65</v>
      </c>
      <c r="E120" s="13" t="s">
        <v>111</v>
      </c>
      <c r="F120" s="20">
        <v>12501000613</v>
      </c>
      <c r="G120" s="15" t="s">
        <v>138</v>
      </c>
      <c r="H120" s="13">
        <v>1</v>
      </c>
      <c r="I120" s="16">
        <v>0</v>
      </c>
      <c r="J120" s="11">
        <f t="shared" si="6"/>
        <v>0</v>
      </c>
      <c r="K120" s="16">
        <v>0</v>
      </c>
      <c r="L120" s="11">
        <f t="shared" si="7"/>
        <v>0</v>
      </c>
      <c r="M120" s="52"/>
    </row>
    <row r="121" spans="1:13" ht="27">
      <c r="A121" s="13">
        <v>117</v>
      </c>
      <c r="B121" s="14" t="s">
        <v>20</v>
      </c>
      <c r="C121" s="14" t="s">
        <v>12</v>
      </c>
      <c r="D121" s="14" t="s">
        <v>65</v>
      </c>
      <c r="E121" s="13" t="s">
        <v>111</v>
      </c>
      <c r="F121" s="20">
        <v>12501001105</v>
      </c>
      <c r="G121" s="15" t="s">
        <v>138</v>
      </c>
      <c r="H121" s="13">
        <v>1</v>
      </c>
      <c r="I121" s="16">
        <v>0</v>
      </c>
      <c r="J121" s="11">
        <f t="shared" si="6"/>
        <v>0</v>
      </c>
      <c r="K121" s="16">
        <v>0</v>
      </c>
      <c r="L121" s="11">
        <f t="shared" si="7"/>
        <v>0</v>
      </c>
      <c r="M121" s="52"/>
    </row>
    <row r="122" spans="1:13" ht="27">
      <c r="A122" s="13">
        <v>118</v>
      </c>
      <c r="B122" s="14" t="s">
        <v>20</v>
      </c>
      <c r="C122" s="14" t="s">
        <v>12</v>
      </c>
      <c r="D122" s="14" t="s">
        <v>65</v>
      </c>
      <c r="E122" s="13" t="s">
        <v>111</v>
      </c>
      <c r="F122" s="20">
        <v>12501004374</v>
      </c>
      <c r="G122" s="15" t="s">
        <v>138</v>
      </c>
      <c r="H122" s="13">
        <v>1</v>
      </c>
      <c r="I122" s="16">
        <v>0</v>
      </c>
      <c r="J122" s="11">
        <f t="shared" si="6"/>
        <v>0</v>
      </c>
      <c r="K122" s="16">
        <v>0</v>
      </c>
      <c r="L122" s="11">
        <f t="shared" si="7"/>
        <v>0</v>
      </c>
      <c r="M122" s="52"/>
    </row>
    <row r="123" spans="1:13" ht="27">
      <c r="A123" s="13">
        <v>119</v>
      </c>
      <c r="B123" s="14" t="s">
        <v>20</v>
      </c>
      <c r="C123" s="14" t="s">
        <v>12</v>
      </c>
      <c r="D123" s="14" t="s">
        <v>65</v>
      </c>
      <c r="E123" s="13" t="s">
        <v>111</v>
      </c>
      <c r="F123" s="20">
        <v>12501004847</v>
      </c>
      <c r="G123" s="15" t="s">
        <v>138</v>
      </c>
      <c r="H123" s="13">
        <v>1</v>
      </c>
      <c r="I123" s="16">
        <v>0</v>
      </c>
      <c r="J123" s="11">
        <f t="shared" si="6"/>
        <v>0</v>
      </c>
      <c r="K123" s="16">
        <v>0</v>
      </c>
      <c r="L123" s="11">
        <f t="shared" si="7"/>
        <v>0</v>
      </c>
      <c r="M123" s="52"/>
    </row>
    <row r="124" spans="1:13" ht="27">
      <c r="A124" s="13">
        <v>120</v>
      </c>
      <c r="B124" s="14" t="s">
        <v>20</v>
      </c>
      <c r="C124" s="14" t="s">
        <v>12</v>
      </c>
      <c r="D124" s="14" t="s">
        <v>65</v>
      </c>
      <c r="E124" s="13" t="s">
        <v>111</v>
      </c>
      <c r="F124" s="20">
        <v>12501008616</v>
      </c>
      <c r="G124" s="15" t="s">
        <v>138</v>
      </c>
      <c r="H124" s="13">
        <v>1</v>
      </c>
      <c r="I124" s="16">
        <v>0</v>
      </c>
      <c r="J124" s="11">
        <f t="shared" si="6"/>
        <v>0</v>
      </c>
      <c r="K124" s="16">
        <v>0</v>
      </c>
      <c r="L124" s="11">
        <f t="shared" si="7"/>
        <v>0</v>
      </c>
      <c r="M124" s="52"/>
    </row>
    <row r="125" spans="1:13" ht="27">
      <c r="A125" s="13">
        <v>121</v>
      </c>
      <c r="B125" s="14" t="s">
        <v>20</v>
      </c>
      <c r="C125" s="14" t="s">
        <v>12</v>
      </c>
      <c r="D125" s="14" t="s">
        <v>65</v>
      </c>
      <c r="E125" s="13" t="s">
        <v>111</v>
      </c>
      <c r="F125" s="20">
        <v>12501008635</v>
      </c>
      <c r="G125" s="15" t="s">
        <v>138</v>
      </c>
      <c r="H125" s="13">
        <v>1</v>
      </c>
      <c r="I125" s="16">
        <v>0</v>
      </c>
      <c r="J125" s="11">
        <f t="shared" si="6"/>
        <v>0</v>
      </c>
      <c r="K125" s="16">
        <v>0</v>
      </c>
      <c r="L125" s="11">
        <f t="shared" si="7"/>
        <v>0</v>
      </c>
      <c r="M125" s="52"/>
    </row>
    <row r="126" spans="1:13" ht="27">
      <c r="A126" s="13">
        <v>122</v>
      </c>
      <c r="B126" s="14" t="s">
        <v>20</v>
      </c>
      <c r="C126" s="14" t="s">
        <v>12</v>
      </c>
      <c r="D126" s="14" t="s">
        <v>65</v>
      </c>
      <c r="E126" s="13" t="s">
        <v>111</v>
      </c>
      <c r="F126" s="20">
        <v>12501004785</v>
      </c>
      <c r="G126" s="15" t="s">
        <v>138</v>
      </c>
      <c r="H126" s="13">
        <v>1</v>
      </c>
      <c r="I126" s="16">
        <v>0</v>
      </c>
      <c r="J126" s="11">
        <f t="shared" si="6"/>
        <v>0</v>
      </c>
      <c r="K126" s="16">
        <v>0</v>
      </c>
      <c r="L126" s="11">
        <f t="shared" si="7"/>
        <v>0</v>
      </c>
      <c r="M126" s="52"/>
    </row>
    <row r="127" spans="1:13" ht="27">
      <c r="A127" s="13">
        <v>123</v>
      </c>
      <c r="B127" s="14" t="s">
        <v>20</v>
      </c>
      <c r="C127" s="14" t="s">
        <v>12</v>
      </c>
      <c r="D127" s="14" t="s">
        <v>65</v>
      </c>
      <c r="E127" s="13" t="s">
        <v>111</v>
      </c>
      <c r="F127" s="20">
        <v>12501004838</v>
      </c>
      <c r="G127" s="15" t="s">
        <v>138</v>
      </c>
      <c r="H127" s="13">
        <v>1</v>
      </c>
      <c r="I127" s="16">
        <v>0</v>
      </c>
      <c r="J127" s="11">
        <f t="shared" si="6"/>
        <v>0</v>
      </c>
      <c r="K127" s="16">
        <v>0</v>
      </c>
      <c r="L127" s="11">
        <f t="shared" si="7"/>
        <v>0</v>
      </c>
      <c r="M127" s="52"/>
    </row>
    <row r="128" spans="1:13" ht="27">
      <c r="A128" s="13">
        <v>124</v>
      </c>
      <c r="B128" s="18" t="s">
        <v>20</v>
      </c>
      <c r="C128" s="18" t="s">
        <v>12</v>
      </c>
      <c r="D128" s="18" t="s">
        <v>65</v>
      </c>
      <c r="E128" s="17" t="s">
        <v>111</v>
      </c>
      <c r="F128" s="20">
        <v>12501004841</v>
      </c>
      <c r="G128" s="15" t="s">
        <v>138</v>
      </c>
      <c r="H128" s="17">
        <v>1</v>
      </c>
      <c r="I128" s="16">
        <v>0</v>
      </c>
      <c r="J128" s="11">
        <f t="shared" si="6"/>
        <v>0</v>
      </c>
      <c r="K128" s="16">
        <v>0</v>
      </c>
      <c r="L128" s="11">
        <f t="shared" si="7"/>
        <v>0</v>
      </c>
      <c r="M128" s="52"/>
    </row>
    <row r="129" spans="1:14" ht="27">
      <c r="A129" s="13">
        <v>125</v>
      </c>
      <c r="B129" s="18" t="s">
        <v>20</v>
      </c>
      <c r="C129" s="18" t="s">
        <v>12</v>
      </c>
      <c r="D129" s="18" t="s">
        <v>65</v>
      </c>
      <c r="E129" s="17" t="s">
        <v>111</v>
      </c>
      <c r="F129" s="20">
        <v>12501004842</v>
      </c>
      <c r="G129" s="15" t="s">
        <v>138</v>
      </c>
      <c r="H129" s="17">
        <v>1</v>
      </c>
      <c r="I129" s="16">
        <v>0</v>
      </c>
      <c r="J129" s="11">
        <f t="shared" si="6"/>
        <v>0</v>
      </c>
      <c r="K129" s="16">
        <v>0</v>
      </c>
      <c r="L129" s="11">
        <f t="shared" si="7"/>
        <v>0</v>
      </c>
      <c r="M129" s="52"/>
    </row>
    <row r="130" spans="1:14" ht="27">
      <c r="A130" s="13">
        <v>126</v>
      </c>
      <c r="B130" s="18" t="s">
        <v>20</v>
      </c>
      <c r="C130" s="18" t="s">
        <v>12</v>
      </c>
      <c r="D130" s="18" t="s">
        <v>65</v>
      </c>
      <c r="E130" s="17" t="s">
        <v>111</v>
      </c>
      <c r="F130" s="20">
        <v>12501004840</v>
      </c>
      <c r="G130" s="15" t="s">
        <v>138</v>
      </c>
      <c r="H130" s="17">
        <v>1</v>
      </c>
      <c r="I130" s="16">
        <v>0</v>
      </c>
      <c r="J130" s="11">
        <f t="shared" si="6"/>
        <v>0</v>
      </c>
      <c r="K130" s="16">
        <v>0</v>
      </c>
      <c r="L130" s="11">
        <f t="shared" si="7"/>
        <v>0</v>
      </c>
      <c r="M130" s="52"/>
    </row>
    <row r="131" spans="1:14" ht="27">
      <c r="A131" s="13">
        <v>127</v>
      </c>
      <c r="B131" s="18" t="s">
        <v>20</v>
      </c>
      <c r="C131" s="18" t="s">
        <v>12</v>
      </c>
      <c r="D131" s="18" t="s">
        <v>65</v>
      </c>
      <c r="E131" s="17" t="s">
        <v>111</v>
      </c>
      <c r="F131" s="20">
        <v>12501008123</v>
      </c>
      <c r="G131" s="15" t="s">
        <v>138</v>
      </c>
      <c r="H131" s="17">
        <v>1</v>
      </c>
      <c r="I131" s="16">
        <v>0</v>
      </c>
      <c r="J131" s="11">
        <f t="shared" si="6"/>
        <v>0</v>
      </c>
      <c r="K131" s="16">
        <v>0</v>
      </c>
      <c r="L131" s="11">
        <f t="shared" si="7"/>
        <v>0</v>
      </c>
      <c r="M131" s="52"/>
    </row>
    <row r="132" spans="1:14" ht="27">
      <c r="A132" s="13">
        <v>128</v>
      </c>
      <c r="B132" s="14" t="s">
        <v>20</v>
      </c>
      <c r="C132" s="14" t="s">
        <v>12</v>
      </c>
      <c r="D132" s="14" t="s">
        <v>65</v>
      </c>
      <c r="E132" s="13" t="s">
        <v>111</v>
      </c>
      <c r="F132" s="20">
        <v>12501010375</v>
      </c>
      <c r="G132" s="15" t="s">
        <v>138</v>
      </c>
      <c r="H132" s="13">
        <v>1</v>
      </c>
      <c r="I132" s="16">
        <v>0</v>
      </c>
      <c r="J132" s="11">
        <f t="shared" si="6"/>
        <v>0</v>
      </c>
      <c r="K132" s="16">
        <v>0</v>
      </c>
      <c r="L132" s="11">
        <f t="shared" si="7"/>
        <v>0</v>
      </c>
      <c r="M132" s="52"/>
    </row>
    <row r="133" spans="1:14" ht="27">
      <c r="A133" s="13">
        <v>129</v>
      </c>
      <c r="B133" s="14" t="s">
        <v>20</v>
      </c>
      <c r="C133" s="14" t="s">
        <v>12</v>
      </c>
      <c r="D133" s="14" t="s">
        <v>65</v>
      </c>
      <c r="E133" s="13" t="s">
        <v>111</v>
      </c>
      <c r="F133" s="20">
        <v>12501008638</v>
      </c>
      <c r="G133" s="15" t="s">
        <v>138</v>
      </c>
      <c r="H133" s="13">
        <v>1</v>
      </c>
      <c r="I133" s="16">
        <v>0</v>
      </c>
      <c r="J133" s="11">
        <f t="shared" si="6"/>
        <v>0</v>
      </c>
      <c r="K133" s="16">
        <v>0</v>
      </c>
      <c r="L133" s="11">
        <f t="shared" si="7"/>
        <v>0</v>
      </c>
      <c r="M133" s="52"/>
    </row>
    <row r="134" spans="1:14" ht="81">
      <c r="A134" s="13">
        <v>130</v>
      </c>
      <c r="B134" s="14" t="s">
        <v>20</v>
      </c>
      <c r="C134" s="14" t="s">
        <v>12</v>
      </c>
      <c r="D134" s="14" t="s">
        <v>66</v>
      </c>
      <c r="E134" s="13" t="s">
        <v>112</v>
      </c>
      <c r="F134" s="24" t="s">
        <v>142</v>
      </c>
      <c r="G134" s="15" t="s">
        <v>138</v>
      </c>
      <c r="H134" s="13">
        <v>6</v>
      </c>
      <c r="I134" s="16">
        <v>0</v>
      </c>
      <c r="J134" s="11">
        <f t="shared" si="6"/>
        <v>0</v>
      </c>
      <c r="K134" s="16">
        <v>0</v>
      </c>
      <c r="L134" s="11">
        <f t="shared" si="7"/>
        <v>0</v>
      </c>
      <c r="M134" s="52"/>
    </row>
    <row r="135" spans="1:14" ht="54">
      <c r="A135" s="13">
        <v>131</v>
      </c>
      <c r="B135" s="14" t="s">
        <v>20</v>
      </c>
      <c r="C135" s="14" t="s">
        <v>12</v>
      </c>
      <c r="D135" s="14" t="s">
        <v>67</v>
      </c>
      <c r="E135" s="13" t="s">
        <v>113</v>
      </c>
      <c r="F135" s="24" t="s">
        <v>144</v>
      </c>
      <c r="G135" s="15" t="s">
        <v>138</v>
      </c>
      <c r="H135" s="13">
        <v>4</v>
      </c>
      <c r="I135" s="16">
        <v>0</v>
      </c>
      <c r="J135" s="11">
        <f t="shared" si="6"/>
        <v>0</v>
      </c>
      <c r="K135" s="16">
        <v>0</v>
      </c>
      <c r="L135" s="11">
        <f t="shared" si="7"/>
        <v>0</v>
      </c>
      <c r="M135" s="52"/>
    </row>
    <row r="136" spans="1:14" ht="40.5">
      <c r="A136" s="13">
        <v>132</v>
      </c>
      <c r="B136" s="18" t="s">
        <v>20</v>
      </c>
      <c r="C136" s="18" t="s">
        <v>12</v>
      </c>
      <c r="D136" s="18" t="s">
        <v>68</v>
      </c>
      <c r="E136" s="17" t="s">
        <v>114</v>
      </c>
      <c r="F136" s="24" t="s">
        <v>130</v>
      </c>
      <c r="G136" s="15" t="s">
        <v>138</v>
      </c>
      <c r="H136" s="17">
        <v>2</v>
      </c>
      <c r="I136" s="16">
        <v>0</v>
      </c>
      <c r="J136" s="11">
        <f t="shared" si="6"/>
        <v>0</v>
      </c>
      <c r="K136" s="16">
        <v>0</v>
      </c>
      <c r="L136" s="11">
        <f t="shared" si="7"/>
        <v>0</v>
      </c>
      <c r="M136" s="52"/>
    </row>
    <row r="137" spans="1:14" ht="40.5">
      <c r="A137" s="13">
        <v>133</v>
      </c>
      <c r="B137" s="18" t="s">
        <v>20</v>
      </c>
      <c r="C137" s="18" t="s">
        <v>12</v>
      </c>
      <c r="D137" s="18" t="s">
        <v>68</v>
      </c>
      <c r="E137" s="17" t="s">
        <v>114</v>
      </c>
      <c r="F137" s="24" t="s">
        <v>131</v>
      </c>
      <c r="G137" s="15" t="s">
        <v>138</v>
      </c>
      <c r="H137" s="17">
        <v>2</v>
      </c>
      <c r="I137" s="16">
        <v>0</v>
      </c>
      <c r="J137" s="11">
        <f t="shared" si="6"/>
        <v>0</v>
      </c>
      <c r="K137" s="16">
        <v>0</v>
      </c>
      <c r="L137" s="11">
        <f t="shared" si="7"/>
        <v>0</v>
      </c>
      <c r="M137" s="52"/>
    </row>
    <row r="138" spans="1:14" ht="40.5">
      <c r="A138" s="13">
        <v>134</v>
      </c>
      <c r="B138" s="18" t="s">
        <v>20</v>
      </c>
      <c r="C138" s="18" t="s">
        <v>12</v>
      </c>
      <c r="D138" s="18" t="s">
        <v>69</v>
      </c>
      <c r="E138" s="17" t="s">
        <v>115</v>
      </c>
      <c r="F138" s="24" t="s">
        <v>132</v>
      </c>
      <c r="G138" s="15" t="s">
        <v>138</v>
      </c>
      <c r="H138" s="17">
        <v>2</v>
      </c>
      <c r="I138" s="16">
        <v>0</v>
      </c>
      <c r="J138" s="11">
        <f t="shared" si="6"/>
        <v>0</v>
      </c>
      <c r="K138" s="16">
        <v>0</v>
      </c>
      <c r="L138" s="11">
        <f t="shared" si="7"/>
        <v>0</v>
      </c>
      <c r="M138" s="52"/>
    </row>
    <row r="139" spans="1:14" ht="27">
      <c r="A139" s="13">
        <v>135</v>
      </c>
      <c r="B139" s="18" t="s">
        <v>20</v>
      </c>
      <c r="C139" s="18" t="s">
        <v>12</v>
      </c>
      <c r="D139" s="18" t="s">
        <v>70</v>
      </c>
      <c r="E139" s="17" t="s">
        <v>116</v>
      </c>
      <c r="F139" s="26" t="s">
        <v>133</v>
      </c>
      <c r="G139" s="15" t="s">
        <v>138</v>
      </c>
      <c r="H139" s="17">
        <v>2</v>
      </c>
      <c r="I139" s="16">
        <v>0</v>
      </c>
      <c r="J139" s="11">
        <f t="shared" si="6"/>
        <v>0</v>
      </c>
      <c r="K139" s="16">
        <v>0</v>
      </c>
      <c r="L139" s="11">
        <f t="shared" si="7"/>
        <v>0</v>
      </c>
      <c r="M139" s="52"/>
    </row>
    <row r="140" spans="1:14" ht="27">
      <c r="A140" s="36">
        <v>136</v>
      </c>
      <c r="B140" s="37" t="s">
        <v>20</v>
      </c>
      <c r="C140" s="37" t="s">
        <v>12</v>
      </c>
      <c r="D140" s="37" t="s">
        <v>71</v>
      </c>
      <c r="E140" s="38" t="s">
        <v>117</v>
      </c>
      <c r="F140" s="39" t="s">
        <v>134</v>
      </c>
      <c r="G140" s="40" t="s">
        <v>138</v>
      </c>
      <c r="H140" s="38">
        <v>2</v>
      </c>
      <c r="I140" s="41">
        <v>0</v>
      </c>
      <c r="J140" s="41">
        <f t="shared" si="6"/>
        <v>0</v>
      </c>
      <c r="K140" s="41">
        <v>0</v>
      </c>
      <c r="L140" s="41">
        <f t="shared" si="7"/>
        <v>0</v>
      </c>
      <c r="M140" s="54"/>
      <c r="N140" s="43"/>
    </row>
    <row r="141" spans="1:14" ht="108">
      <c r="A141" s="13">
        <v>137</v>
      </c>
      <c r="B141" s="18" t="s">
        <v>20</v>
      </c>
      <c r="C141" s="18" t="s">
        <v>12</v>
      </c>
      <c r="D141" s="18" t="s">
        <v>72</v>
      </c>
      <c r="E141" s="17" t="s">
        <v>118</v>
      </c>
      <c r="F141" s="39" t="s">
        <v>147</v>
      </c>
      <c r="G141" s="40" t="s">
        <v>149</v>
      </c>
      <c r="H141" s="17">
        <v>8</v>
      </c>
      <c r="I141" s="16">
        <v>0</v>
      </c>
      <c r="J141" s="11">
        <f t="shared" si="6"/>
        <v>0</v>
      </c>
      <c r="K141" s="16">
        <v>0</v>
      </c>
      <c r="L141" s="11">
        <f t="shared" si="7"/>
        <v>0</v>
      </c>
      <c r="M141" s="52"/>
    </row>
    <row r="142" spans="1:14" ht="108">
      <c r="A142" s="13">
        <v>138</v>
      </c>
      <c r="B142" s="18" t="s">
        <v>23</v>
      </c>
      <c r="C142" s="18" t="s">
        <v>12</v>
      </c>
      <c r="D142" s="18" t="s">
        <v>73</v>
      </c>
      <c r="E142" s="17" t="s">
        <v>119</v>
      </c>
      <c r="F142" s="39" t="s">
        <v>147</v>
      </c>
      <c r="G142" s="40" t="s">
        <v>150</v>
      </c>
      <c r="H142" s="17">
        <v>8</v>
      </c>
      <c r="I142" s="16">
        <v>0</v>
      </c>
      <c r="J142" s="11">
        <f t="shared" si="6"/>
        <v>0</v>
      </c>
      <c r="K142" s="16">
        <v>0</v>
      </c>
      <c r="L142" s="11">
        <f t="shared" si="7"/>
        <v>0</v>
      </c>
      <c r="M142" s="52"/>
    </row>
    <row r="143" spans="1:14" ht="81">
      <c r="A143" s="13">
        <v>139</v>
      </c>
      <c r="B143" s="18" t="s">
        <v>20</v>
      </c>
      <c r="C143" s="18" t="s">
        <v>12</v>
      </c>
      <c r="D143" s="18" t="s">
        <v>74</v>
      </c>
      <c r="E143" s="17" t="s">
        <v>105</v>
      </c>
      <c r="F143" s="39" t="s">
        <v>148</v>
      </c>
      <c r="G143" s="40" t="s">
        <v>151</v>
      </c>
      <c r="H143" s="17">
        <v>4</v>
      </c>
      <c r="I143" s="16">
        <v>0</v>
      </c>
      <c r="J143" s="11">
        <f t="shared" si="6"/>
        <v>0</v>
      </c>
      <c r="K143" s="16">
        <v>0</v>
      </c>
      <c r="L143" s="11">
        <f t="shared" si="7"/>
        <v>0</v>
      </c>
      <c r="M143" s="52"/>
    </row>
    <row r="144" spans="1:14" ht="27">
      <c r="A144" s="13">
        <v>140</v>
      </c>
      <c r="B144" s="18" t="s">
        <v>20</v>
      </c>
      <c r="C144" s="18" t="s">
        <v>12</v>
      </c>
      <c r="D144" s="18" t="s">
        <v>75</v>
      </c>
      <c r="E144" s="17" t="s">
        <v>120</v>
      </c>
      <c r="F144" s="26" t="s">
        <v>135</v>
      </c>
      <c r="G144" s="15" t="s">
        <v>138</v>
      </c>
      <c r="H144" s="17">
        <v>2</v>
      </c>
      <c r="I144" s="16">
        <v>0</v>
      </c>
      <c r="J144" s="11">
        <f t="shared" si="6"/>
        <v>0</v>
      </c>
      <c r="K144" s="16">
        <v>0</v>
      </c>
      <c r="L144" s="11">
        <f t="shared" si="7"/>
        <v>0</v>
      </c>
      <c r="M144" s="52"/>
    </row>
    <row r="145" spans="1:13" ht="40.5">
      <c r="A145" s="13">
        <v>141</v>
      </c>
      <c r="B145" s="18" t="s">
        <v>23</v>
      </c>
      <c r="C145" s="18" t="s">
        <v>12</v>
      </c>
      <c r="D145" s="18" t="s">
        <v>76</v>
      </c>
      <c r="E145" s="17" t="s">
        <v>121</v>
      </c>
      <c r="F145" s="31" t="s">
        <v>135</v>
      </c>
      <c r="G145" s="55" t="s">
        <v>152</v>
      </c>
      <c r="H145" s="17">
        <v>2</v>
      </c>
      <c r="I145" s="16">
        <v>0</v>
      </c>
      <c r="J145" s="11">
        <f t="shared" si="6"/>
        <v>0</v>
      </c>
      <c r="K145" s="16">
        <v>0</v>
      </c>
      <c r="L145" s="11">
        <f t="shared" si="7"/>
        <v>0</v>
      </c>
      <c r="M145" s="52"/>
    </row>
    <row r="146" spans="1:13" ht="45.75" customHeight="1">
      <c r="K146" s="25" t="s">
        <v>143</v>
      </c>
      <c r="L146" s="12">
        <f>SUM(L5:L145)</f>
        <v>0</v>
      </c>
    </row>
  </sheetData>
  <protectedRanges>
    <protectedRange sqref="B5:C145" name="Range1_1"/>
    <protectedRange sqref="D5:D143" name="Range1_1_1"/>
    <protectedRange sqref="E5:E145" name="Range1_1_2"/>
    <protectedRange sqref="F97:F140 F5:F95 F144:F145" name="Range1_1_3"/>
    <protectedRange sqref="H5:H145" name="Range1_1_4"/>
    <protectedRange sqref="G5:G145" name="Range1_1_7"/>
    <protectedRange sqref="F96" name="Range1_1_5"/>
    <protectedRange sqref="F141:F143" name="Range1_1_6"/>
  </protectedRanges>
  <mergeCells count="4">
    <mergeCell ref="C1:G1"/>
    <mergeCell ref="A1:B1"/>
    <mergeCell ref="A2:M2"/>
    <mergeCell ref="A3:M3"/>
  </mergeCells>
  <dataValidations count="4">
    <dataValidation type="textLength" allowBlank="1" showInputMessage="1" showErrorMessage="1" sqref="F5:F139" xr:uid="{9FF4884C-9CB4-4E0F-802F-0D3EFA233836}">
      <formula1>0</formula1>
      <formula2>255</formula2>
    </dataValidation>
    <dataValidation type="list" allowBlank="1" showErrorMessage="1" error="The entry made is not a valid Purchase Category.  Hit Cancel and select a valid entry from the in-cell drop down list." promptTitle="An entry is required." prompt="You can use the in-cell drop down list to select a valid Purchase Category." sqref="B5:B139" xr:uid="{F5F70109-E885-47F4-8A7E-EB4351BCB1DC}">
      <formula1>CategoryName</formula1>
    </dataValidation>
    <dataValidation type="textLength" allowBlank="1" showInputMessage="1" showErrorMessage="1" sqref="G5:G145" xr:uid="{A3365ED6-5444-4765-A033-A50C693D338D}">
      <formula1>0</formula1>
      <formula2>35</formula2>
    </dataValidation>
    <dataValidation type="list" allowBlank="1" showErrorMessage="1" error="The entry made is not a valid Purchase Type.  Hit Cancel and select a valid entry from the in-cell drop down list." promptTitle="An entry is required." prompt="You can use the in-cell drop down list to select a valid Purchase Type." sqref="C5:C139" xr:uid="{76D84186-C236-4E1C-991D-21BED5C85BAC}">
      <formula1>INDIRECT(B5)</formula1>
    </dataValidation>
  </dataValidations>
  <pageMargins left="0.25" right="0.25" top="0.75" bottom="0.75" header="0.3" footer="0.3"/>
  <pageSetup scale="40" fitToHeight="0" orientation="portrait" horizontalDpi="1200" verticalDpi="1200" r:id="rId1"/>
  <headerFooter>
    <oddHeader>&amp;C&amp;"Source Sans Pro SemiBold"&amp;12&amp;K000000 NONPUBLIC//FDIC INTERNAL ONLY&amp;1#_x000D_</oddHeader>
  </headerFooter>
</worksheet>
</file>

<file path=docMetadata/LabelInfo.xml><?xml version="1.0" encoding="utf-8"?>
<clbl:labelList xmlns:clbl="http://schemas.microsoft.com/office/2020/mipLabelMetadata">
  <clbl:label id="{e03712f0-ae86-44bd-82ca-deb0d0369377}" enabled="1" method="Privileged" siteId="{26c83bc9-31c1-4d77-a523-0816095aba3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 Page - Info.</vt:lpstr>
      <vt:lpstr>Price Schedule</vt:lpstr>
      <vt:lpstr>'Cover Page - Info.'!Print_Area</vt:lpstr>
      <vt:lpstr>'Price Schedule'!Print_Area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Hurte, Shaneva G. [CTR]</dc:creator>
  <cp:lastModifiedBy>Toles, Diamond J.</cp:lastModifiedBy>
  <cp:lastPrinted>2026-04-06T14:37:41Z</cp:lastPrinted>
  <dcterms:created xsi:type="dcterms:W3CDTF">2026-03-24T17:58:57Z</dcterms:created>
  <dcterms:modified xsi:type="dcterms:W3CDTF">2026-04-23T17:59:33Z</dcterms:modified>
</cp:coreProperties>
</file>