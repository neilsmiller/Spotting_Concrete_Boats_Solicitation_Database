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T:\AQ\AMD Employees\NORTH\Russ Oaks\FY 2026\140R4026R0003_PIT TAG IDIQ\C05 RFP\"/>
    </mc:Choice>
  </mc:AlternateContent>
  <xr:revisionPtr revIDLastSave="0" documentId="13_ncr:1_{C2D98F28-2153-4989-9E9A-FE8067BD043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7" i="1" l="1"/>
  <c r="K176" i="1"/>
  <c r="L177" i="1" s="1"/>
  <c r="K175" i="1"/>
  <c r="K167" i="1"/>
  <c r="K166" i="1"/>
  <c r="K165" i="1"/>
  <c r="K157" i="1"/>
  <c r="K156" i="1"/>
  <c r="K155" i="1"/>
  <c r="K335" i="1"/>
  <c r="L335" i="1" s="1"/>
  <c r="L167" i="1" l="1"/>
  <c r="L157" i="1"/>
  <c r="K362" i="1"/>
  <c r="L362" i="1" s="1"/>
  <c r="K356" i="1"/>
  <c r="L356" i="1" s="1"/>
  <c r="K350" i="1"/>
  <c r="L350" i="1" s="1"/>
  <c r="K323" i="1"/>
  <c r="L323" i="1" s="1"/>
  <c r="K311" i="1"/>
  <c r="L311" i="1" s="1"/>
  <c r="K302" i="1"/>
  <c r="L302" i="1" s="1"/>
  <c r="K293" i="1"/>
  <c r="L293" i="1" s="1"/>
  <c r="K284" i="1"/>
  <c r="L284" i="1" s="1"/>
  <c r="K275" i="1"/>
  <c r="L275" i="1" s="1"/>
  <c r="K266" i="1"/>
  <c r="L266" i="1" s="1"/>
  <c r="K257" i="1"/>
  <c r="L257" i="1" s="1"/>
  <c r="K248" i="1"/>
  <c r="L248" i="1" s="1"/>
  <c r="K239" i="1"/>
  <c r="L239" i="1" s="1"/>
  <c r="K230" i="1"/>
  <c r="L230" i="1" s="1"/>
  <c r="K218" i="1"/>
  <c r="L218" i="1" s="1"/>
  <c r="K207" i="1"/>
  <c r="L207" i="1" s="1"/>
  <c r="K198" i="1"/>
  <c r="L198" i="1" s="1"/>
  <c r="K189" i="1"/>
  <c r="L189" i="1" s="1"/>
  <c r="K147" i="1"/>
  <c r="L147" i="1" s="1"/>
  <c r="K140" i="1"/>
  <c r="K139" i="1"/>
  <c r="K138" i="1"/>
  <c r="K130" i="1"/>
  <c r="K129" i="1"/>
  <c r="K128" i="1"/>
  <c r="K120" i="1"/>
  <c r="K119" i="1"/>
  <c r="K118" i="1"/>
  <c r="K110" i="1"/>
  <c r="K109" i="1"/>
  <c r="K108" i="1"/>
  <c r="K100" i="1"/>
  <c r="K99" i="1"/>
  <c r="K98" i="1"/>
  <c r="K90" i="1"/>
  <c r="K89" i="1"/>
  <c r="K88" i="1"/>
  <c r="K80" i="1"/>
  <c r="K79" i="1"/>
  <c r="K78" i="1"/>
  <c r="K70" i="1"/>
  <c r="K69" i="1"/>
  <c r="K68" i="1"/>
  <c r="K60" i="1"/>
  <c r="K59" i="1"/>
  <c r="K58" i="1"/>
  <c r="K50" i="1"/>
  <c r="K49" i="1"/>
  <c r="K48" i="1"/>
  <c r="K40" i="1"/>
  <c r="K39" i="1"/>
  <c r="K38" i="1"/>
  <c r="K30" i="1"/>
  <c r="K29" i="1"/>
  <c r="K28" i="1"/>
  <c r="K20" i="1"/>
  <c r="K19" i="1"/>
  <c r="K18" i="1"/>
  <c r="L30" i="1" l="1"/>
  <c r="L70" i="1"/>
  <c r="L110" i="1"/>
  <c r="L60" i="1"/>
  <c r="L100" i="1"/>
  <c r="L50" i="1"/>
  <c r="L90" i="1"/>
  <c r="L130" i="1"/>
  <c r="L40" i="1"/>
  <c r="L80" i="1"/>
  <c r="L120" i="1"/>
  <c r="L140" i="1"/>
  <c r="L20" i="1"/>
</calcChain>
</file>

<file path=xl/sharedStrings.xml><?xml version="1.0" encoding="utf-8"?>
<sst xmlns="http://schemas.openxmlformats.org/spreadsheetml/2006/main" count="465" uniqueCount="117">
  <si>
    <t>PIT TAGS</t>
  </si>
  <si>
    <t>In accordance with the Specifications</t>
  </si>
  <si>
    <t>PIT TAG READERS</t>
  </si>
  <si>
    <t>PIT TAG IMPLANTERS</t>
  </si>
  <si>
    <t>PIT TAG ANTENNAS</t>
  </si>
  <si>
    <t>SOFTWARE</t>
  </si>
  <si>
    <t>ACCESSORIES</t>
  </si>
  <si>
    <t>Professional Services</t>
  </si>
  <si>
    <t>Pit Tags in accordance with the Specifications</t>
  </si>
  <si>
    <t xml:space="preserve">MANUFACTURE NAME: </t>
  </si>
  <si>
    <t xml:space="preserve">MODEL NAME: </t>
  </si>
  <si>
    <t>Bulk rate each 10,001--50,000</t>
  </si>
  <si>
    <t>Bulk rate each 1-10,000</t>
  </si>
  <si>
    <t>Bulk rate each 50,001--100,000</t>
  </si>
  <si>
    <t>134.2 kHz PIT TAGS, 12.50mm X 2.07mm, Full Duplex</t>
  </si>
  <si>
    <t>134.2 kHz PIT TAGS, 23.00mm X 3.85mm Full Duplex</t>
  </si>
  <si>
    <t xml:space="preserve"> 134.2 kHz PIT TAGS 9mm X 2.12mm, Full duplex</t>
  </si>
  <si>
    <t>134.2 kHz PIT TAGS, 12mm x 2.12mm, Half Duplex</t>
  </si>
  <si>
    <t>134.2 kHz PIT TAGS, 23mm x 3.85mm, Half Duplex</t>
  </si>
  <si>
    <t>134.2 kHz PIT TAGS, 32mm x 3.85mm, Half Duplex</t>
  </si>
  <si>
    <t>Preloaded 134.2 kHz PIT TAGS, 12.50mm X 2.07mm, Full Duplex, Non sterile, in high capacity trays or dispensers</t>
  </si>
  <si>
    <t>Preloaded 134.2 kHz PIT TAGS, Temperature Sensing, Non sterile</t>
  </si>
  <si>
    <t>Bulk rate each 1-500</t>
  </si>
  <si>
    <t>HAND-HELD PIT TAG READERS</t>
  </si>
  <si>
    <t>STATIONARY SINGLE ANTENNA PIT TAG READER</t>
  </si>
  <si>
    <t>DESCRIPTION: stationary single antenna PIT tag reader</t>
  </si>
  <si>
    <t>DESCRIPTION: hand held PIT tag reader</t>
  </si>
  <si>
    <t>Bulk rate each 1-1000</t>
  </si>
  <si>
    <t>In accordance with the specifications and suitable for use with PIT tags described above</t>
  </si>
  <si>
    <t>Bulk rate each 1-100</t>
  </si>
  <si>
    <t>DESCRIPTION:  Up to 18” circular PIT tag antenna</t>
  </si>
  <si>
    <t>DESCRIPTION:  18" -- 36" circular PIT tag antenna</t>
  </si>
  <si>
    <t>DESCRIPTION: 5' pass by antenna</t>
  </si>
  <si>
    <t>DESCRIPTION:  10' pass by antenna</t>
  </si>
  <si>
    <t>DESCRIPTION:  20' pass by antenna</t>
  </si>
  <si>
    <t>DESCRIPTION:  12" by 36" rectangular antenna</t>
  </si>
  <si>
    <t>DESCRIPTION: 24" by 24" rectangular antenna</t>
  </si>
  <si>
    <t>DESCRIPTION: cable or cord antenna</t>
  </si>
  <si>
    <t>DESCRIPTION: 10' floating antenna</t>
  </si>
  <si>
    <t>DESCRIPTION: custom built stationary antenna by foot</t>
  </si>
  <si>
    <t>Price per foot</t>
  </si>
  <si>
    <t>DESCRIPTION: custom software</t>
  </si>
  <si>
    <t>Price per copy</t>
  </si>
  <si>
    <t>PROFESSIONAL SERVICES</t>
  </si>
  <si>
    <t>DESCRIPTION:  Senior Engineer</t>
  </si>
  <si>
    <t>DESCRIPTION: Electronic Technician</t>
  </si>
  <si>
    <t>DESCRIPTION:  Fisheries Specialist</t>
  </si>
  <si>
    <t>Price per hour - Loaded Labor Rate</t>
  </si>
  <si>
    <t>The unit price established in the Professional Services CLINs are fully-burdened hourly rates to be used for negotiating firm-fixed price task orders for tasks that are within the scope of the IDIQ. Each task order will establish a level of effort required to complete the description of the service and/or deliverable as stated in the task order.</t>
  </si>
  <si>
    <t xml:space="preserve"> CALENDAR YEAR</t>
  </si>
  <si>
    <t>CLIN</t>
  </si>
  <si>
    <t>00010</t>
  </si>
  <si>
    <t>00020</t>
  </si>
  <si>
    <t>00030</t>
  </si>
  <si>
    <t>00040</t>
  </si>
  <si>
    <t>00050</t>
  </si>
  <si>
    <t>00060</t>
  </si>
  <si>
    <t>00070</t>
  </si>
  <si>
    <t>00080</t>
  </si>
  <si>
    <t>00090</t>
  </si>
  <si>
    <t>00100</t>
  </si>
  <si>
    <t>00110</t>
  </si>
  <si>
    <t>00120</t>
  </si>
  <si>
    <t>00130</t>
  </si>
  <si>
    <t>00140</t>
  </si>
  <si>
    <t>00150</t>
  </si>
  <si>
    <t>00160</t>
  </si>
  <si>
    <t>00170</t>
  </si>
  <si>
    <t>00180</t>
  </si>
  <si>
    <t>00190</t>
  </si>
  <si>
    <t>00210</t>
  </si>
  <si>
    <t>00200</t>
  </si>
  <si>
    <t>00220</t>
  </si>
  <si>
    <t>00230</t>
  </si>
  <si>
    <t>00240</t>
  </si>
  <si>
    <t>00250</t>
  </si>
  <si>
    <t>00260</t>
  </si>
  <si>
    <t>00270</t>
  </si>
  <si>
    <t>00280</t>
  </si>
  <si>
    <t>00290</t>
  </si>
  <si>
    <t>00300</t>
  </si>
  <si>
    <t>00310</t>
  </si>
  <si>
    <t>00320</t>
  </si>
  <si>
    <t>00330</t>
  </si>
  <si>
    <t>00340</t>
  </si>
  <si>
    <t>Travel</t>
  </si>
  <si>
    <t>Limited professional services and/or travel are required for PIT tag antenna installations, operation, maintenance, and repair.</t>
  </si>
  <si>
    <t>Price will be determined on each applicable Delivery Order/Task Order</t>
  </si>
  <si>
    <t>DESCRIPTION:  Travel pricing shall not exceed allowed amounts in accordance with Federal Travel Regulations https://www.gsa.gov/portal/content/104877</t>
  </si>
  <si>
    <t>$ TBD</t>
  </si>
  <si>
    <t>PIT TAG IMPLANTERS and/or NEEDLES</t>
  </si>
  <si>
    <t xml:space="preserve">To be determined at the delivery order/task order </t>
  </si>
  <si>
    <t>ATTACHMENT 2 - PRICING SCHEDULE B</t>
  </si>
  <si>
    <t>TOTAL</t>
  </si>
  <si>
    <t>Preloaded 134.2 kHz PIT TAGS, 12.50mm X 2.12mm, Half Duplex, Non sterile, in high capacity trays or dispensers</t>
  </si>
  <si>
    <t>CLIN Total Evaluated Price</t>
  </si>
  <si>
    <t>Govt. Estimated Quantity</t>
  </si>
  <si>
    <t>During the life of this contract, the Government shall place orders totaling a minimum of $10,000.00 of the contract – see Contract FAR Clause 52.216-19 Order Limitations, Contract FAR Clause 52-216-22 Indefinite Quantity. FAR Clause 52.216-19 also stipulates the maximum amount per order. During the life of the contract, the total maximum amount for the contract shall not exceed $40,000,000.00.</t>
  </si>
  <si>
    <t>RELATED EQUIPMENT</t>
  </si>
  <si>
    <t>00350</t>
  </si>
  <si>
    <t>ASSOCIATED EQUIPMENT</t>
  </si>
  <si>
    <t>DESCRIPTION: Associated Equipment</t>
  </si>
  <si>
    <t xml:space="preserve"> 134.2 kHz PIT TAGS, 12.50mm X 2.12mm, Half Duplex</t>
  </si>
  <si>
    <t>134.2 kHz PIT TAGS 8.4mm X 1.4mm Full Duplex</t>
  </si>
  <si>
    <t>134.2 kHz PIT TAGS 10.3mm X 1.4mm, Full Duplex</t>
  </si>
  <si>
    <t>134.2 kHz PIT TAGS, 13mm X 2.12mm Full duplex, Temperture Sensing</t>
  </si>
  <si>
    <t>Preloaded 134.2 kHz PIT TAGS, 12.50mm X 2.07mm, Full Duplex, Sterile, in high capacity trays or dispensers</t>
  </si>
  <si>
    <t>Preloaded 134.2 kHz PIT TAGS, 9mm X 2.1mm, Full Duplex, Non sterile, in high capacity trays or dispensers</t>
  </si>
  <si>
    <t>Preloaded 134.2 kHz PIT TAGS, 8.4mm X 1.4mm, Full Duplex, Non sterile, in high capacity trays or dispensers</t>
  </si>
  <si>
    <t>DESCRIPTION: stationary multiple antenna PIT tag reader</t>
  </si>
  <si>
    <t>STATIONARY MULTIPLE ANTENNA PIT TAG READER</t>
  </si>
  <si>
    <t>Suitable for use with all PIT tags described above</t>
  </si>
  <si>
    <t>0360</t>
  </si>
  <si>
    <t>00370</t>
  </si>
  <si>
    <t>00380</t>
  </si>
  <si>
    <r>
      <rPr>
        <b/>
        <sz val="11"/>
        <color theme="1"/>
        <rFont val="Times New Roman"/>
        <family val="1"/>
      </rPr>
      <t xml:space="preserve">Instructions: </t>
    </r>
    <r>
      <rPr>
        <sz val="11"/>
        <color theme="1"/>
        <rFont val="Times New Roman"/>
        <family val="1"/>
      </rPr>
      <t xml:space="preserve">
--Offers are subject to the terms and conditions of this solicitation.
--Quantities listed in the formulas are estimated quantities for comparison of offers only.
--Offeror is required to submit samples and be determined technically acceptable on CLIN 00020 to be considered for award. 
--Offeror shall fill out all highlighted areas for the CLINs the offeror is proposing on.   
--Offeror shall insert all Associated Equipment (batteries, modems, cables, enclosures, etc.) the offeror is proposing on under CLIN 00300.</t>
    </r>
  </si>
  <si>
    <t xml:space="preserve">In addition to above items, accessories and additional items that are required for PIT tags and antenna systems from catalog are included in this CLIN.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</si>
</sst>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8" fontId="1" fillId="0" borderId="0" xfId="0" applyNumberFormat="1" applyFont="1" applyAlignment="1">
      <alignment vertical="center"/>
    </xf>
    <xf numFmtId="8" fontId="1" fillId="0" borderId="0" xfId="0" applyNumberFormat="1" applyFont="1"/>
    <xf numFmtId="0" fontId="3" fillId="0" borderId="0" xfId="0" applyFont="1" applyAlignment="1">
      <alignment vertical="center"/>
    </xf>
    <xf numFmtId="0" fontId="3" fillId="0" borderId="0" xfId="0" applyFont="1"/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/>
    </xf>
    <xf numFmtId="0" fontId="3" fillId="0" borderId="1" xfId="0" applyFont="1" applyBorder="1"/>
    <xf numFmtId="0" fontId="3" fillId="0" borderId="4" xfId="0" applyFont="1" applyBorder="1"/>
    <xf numFmtId="0" fontId="3" fillId="0" borderId="6" xfId="0" applyFont="1" applyBorder="1"/>
    <xf numFmtId="49" fontId="2" fillId="0" borderId="7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0" fillId="0" borderId="8" xfId="0" applyBorder="1"/>
    <xf numFmtId="0" fontId="1" fillId="0" borderId="9" xfId="0" applyFont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3" fillId="0" borderId="9" xfId="0" applyFont="1" applyBorder="1"/>
    <xf numFmtId="0" fontId="3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2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 wrapText="1"/>
    </xf>
    <xf numFmtId="0" fontId="4" fillId="0" borderId="12" xfId="0" applyFont="1" applyBorder="1"/>
    <xf numFmtId="49" fontId="2" fillId="0" borderId="13" xfId="0" applyNumberFormat="1" applyFont="1" applyBorder="1" applyAlignment="1">
      <alignment horizontal="left"/>
    </xf>
    <xf numFmtId="49" fontId="2" fillId="0" borderId="13" xfId="0" applyNumberFormat="1" applyFont="1" applyBorder="1" applyAlignment="1">
      <alignment horizontal="left" vertical="center"/>
    </xf>
    <xf numFmtId="0" fontId="2" fillId="0" borderId="13" xfId="0" applyFont="1" applyBorder="1"/>
    <xf numFmtId="0" fontId="3" fillId="0" borderId="14" xfId="0" applyFont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0" fontId="3" fillId="0" borderId="14" xfId="0" applyFont="1" applyBorder="1"/>
    <xf numFmtId="44" fontId="3" fillId="2" borderId="9" xfId="1" applyFont="1" applyFill="1" applyBorder="1" applyAlignment="1">
      <alignment vertical="center"/>
    </xf>
    <xf numFmtId="44" fontId="0" fillId="0" borderId="0" xfId="1" applyFont="1"/>
    <xf numFmtId="44" fontId="1" fillId="0" borderId="0" xfId="1" applyFont="1" applyAlignment="1">
      <alignment vertical="center"/>
    </xf>
    <xf numFmtId="44" fontId="1" fillId="0" borderId="0" xfId="1" applyFont="1" applyBorder="1" applyAlignment="1">
      <alignment vertical="center"/>
    </xf>
    <xf numFmtId="44" fontId="0" fillId="0" borderId="0" xfId="1" applyFont="1" applyBorder="1"/>
    <xf numFmtId="44" fontId="1" fillId="0" borderId="0" xfId="1" applyFont="1"/>
    <xf numFmtId="44" fontId="3" fillId="2" borderId="14" xfId="1" applyFont="1" applyFill="1" applyBorder="1" applyAlignment="1">
      <alignment vertical="center"/>
    </xf>
    <xf numFmtId="0" fontId="3" fillId="0" borderId="17" xfId="0" applyFont="1" applyBorder="1"/>
    <xf numFmtId="44" fontId="3" fillId="2" borderId="17" xfId="1" applyFont="1" applyFill="1" applyBorder="1" applyAlignment="1">
      <alignment vertical="center"/>
    </xf>
    <xf numFmtId="44" fontId="3" fillId="0" borderId="9" xfId="1" applyFont="1" applyBorder="1" applyAlignment="1">
      <alignment wrapText="1"/>
    </xf>
    <xf numFmtId="44" fontId="1" fillId="0" borderId="9" xfId="1" applyFont="1" applyBorder="1" applyAlignment="1">
      <alignment vertical="center"/>
    </xf>
    <xf numFmtId="44" fontId="0" fillId="0" borderId="1" xfId="1" applyFont="1" applyBorder="1"/>
    <xf numFmtId="0" fontId="0" fillId="0" borderId="3" xfId="0" applyBorder="1"/>
    <xf numFmtId="0" fontId="0" fillId="0" borderId="5" xfId="0" applyBorder="1"/>
    <xf numFmtId="0" fontId="1" fillId="0" borderId="5" xfId="0" applyFont="1" applyBorder="1" applyAlignment="1">
      <alignment vertical="center"/>
    </xf>
    <xf numFmtId="44" fontId="3" fillId="2" borderId="19" xfId="1" applyFont="1" applyFill="1" applyBorder="1" applyAlignment="1">
      <alignment vertical="center"/>
    </xf>
    <xf numFmtId="44" fontId="1" fillId="0" borderId="19" xfId="1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44" fontId="1" fillId="0" borderId="18" xfId="0" applyNumberFormat="1" applyFont="1" applyBorder="1" applyAlignment="1">
      <alignment vertical="center"/>
    </xf>
    <xf numFmtId="44" fontId="0" fillId="0" borderId="18" xfId="0" applyNumberFormat="1" applyBorder="1"/>
    <xf numFmtId="44" fontId="1" fillId="0" borderId="1" xfId="1" applyFont="1" applyBorder="1" applyAlignment="1">
      <alignment vertical="center"/>
    </xf>
    <xf numFmtId="8" fontId="1" fillId="0" borderId="3" xfId="0" applyNumberFormat="1" applyFont="1" applyBorder="1" applyAlignment="1">
      <alignment vertical="center"/>
    </xf>
    <xf numFmtId="44" fontId="0" fillId="0" borderId="7" xfId="1" applyFont="1" applyBorder="1"/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7" xfId="0" applyNumberFormat="1" applyFont="1" applyBorder="1" applyAlignment="1">
      <alignment horizontal="center" wrapText="1"/>
    </xf>
    <xf numFmtId="1" fontId="3" fillId="0" borderId="17" xfId="0" applyNumberFormat="1" applyFont="1" applyBorder="1" applyAlignment="1">
      <alignment horizontal="center"/>
    </xf>
    <xf numFmtId="1" fontId="3" fillId="0" borderId="17" xfId="1" applyNumberFormat="1" applyFont="1" applyFill="1" applyBorder="1" applyAlignment="1">
      <alignment horizontal="center" vertical="center"/>
    </xf>
    <xf numFmtId="1" fontId="3" fillId="0" borderId="19" xfId="1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3" fillId="0" borderId="9" xfId="0" applyNumberFormat="1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top"/>
    </xf>
    <xf numFmtId="1" fontId="1" fillId="0" borderId="0" xfId="0" applyNumberFormat="1" applyFont="1" applyAlignment="1">
      <alignment horizontal="center" vertical="top" wrapText="1"/>
    </xf>
    <xf numFmtId="1" fontId="3" fillId="0" borderId="7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" fontId="3" fillId="0" borderId="0" xfId="1" applyNumberFormat="1" applyFont="1" applyFill="1" applyBorder="1" applyAlignment="1">
      <alignment horizontal="center" vertical="center"/>
    </xf>
    <xf numFmtId="44" fontId="0" fillId="0" borderId="0" xfId="0" applyNumberFormat="1"/>
    <xf numFmtId="44" fontId="3" fillId="0" borderId="0" xfId="1" applyFont="1" applyFill="1" applyBorder="1" applyAlignment="1">
      <alignment vertical="center"/>
    </xf>
    <xf numFmtId="44" fontId="1" fillId="0" borderId="0" xfId="0" applyNumberFormat="1" applyFont="1" applyAlignment="1">
      <alignment vertical="center"/>
    </xf>
    <xf numFmtId="0" fontId="3" fillId="4" borderId="2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3" fillId="4" borderId="3" xfId="0" applyFont="1" applyFill="1" applyBorder="1" applyAlignment="1">
      <alignment horizontal="left" wrapText="1"/>
    </xf>
    <xf numFmtId="0" fontId="3" fillId="4" borderId="4" xfId="0" applyFont="1" applyFill="1" applyBorder="1" applyAlignment="1">
      <alignment horizontal="left" wrapText="1"/>
    </xf>
    <xf numFmtId="0" fontId="3" fillId="4" borderId="0" xfId="0" applyFont="1" applyFill="1" applyAlignment="1">
      <alignment horizontal="left" wrapText="1"/>
    </xf>
    <xf numFmtId="0" fontId="3" fillId="4" borderId="5" xfId="0" applyFont="1" applyFill="1" applyBorder="1" applyAlignment="1">
      <alignment horizontal="left" wrapText="1"/>
    </xf>
    <xf numFmtId="0" fontId="3" fillId="4" borderId="6" xfId="0" applyFont="1" applyFill="1" applyBorder="1" applyAlignment="1">
      <alignment horizontal="left" wrapText="1"/>
    </xf>
    <xf numFmtId="0" fontId="3" fillId="4" borderId="7" xfId="0" applyFont="1" applyFill="1" applyBorder="1" applyAlignment="1">
      <alignment horizontal="left" wrapText="1"/>
    </xf>
    <xf numFmtId="0" fontId="3" fillId="4" borderId="8" xfId="0" applyFont="1" applyFill="1" applyBorder="1" applyAlignment="1">
      <alignment horizontal="left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3" fillId="0" borderId="2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/>
    </xf>
    <xf numFmtId="0" fontId="3" fillId="0" borderId="17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33"/>
  <sheetViews>
    <sheetView tabSelected="1" topLeftCell="A316" zoomScaleNormal="100" workbookViewId="0">
      <selection activeCell="R339" sqref="R339"/>
    </sheetView>
  </sheetViews>
  <sheetFormatPr defaultRowHeight="15.75" x14ac:dyDescent="0.25"/>
  <cols>
    <col min="2" max="2" width="9.140625" style="9"/>
    <col min="3" max="3" width="70.42578125" customWidth="1"/>
    <col min="5" max="5" width="10.5703125" customWidth="1"/>
    <col min="9" max="9" width="9.5703125" customWidth="1"/>
    <col min="10" max="10" width="9.5703125" style="54" customWidth="1"/>
    <col min="11" max="11" width="19.28515625" style="32" customWidth="1"/>
    <col min="12" max="12" width="17.7109375" customWidth="1"/>
  </cols>
  <sheetData>
    <row r="1" spans="1:12" ht="24" thickBot="1" x14ac:dyDescent="0.4">
      <c r="A1" s="92" t="s">
        <v>92</v>
      </c>
      <c r="B1" s="93"/>
      <c r="C1" s="94"/>
    </row>
    <row r="2" spans="1:12" ht="15.6" customHeight="1" x14ac:dyDescent="0.25">
      <c r="A2" s="74" t="s">
        <v>115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2" ht="15.6" customHeight="1" x14ac:dyDescent="0.25">
      <c r="A3" s="77"/>
      <c r="B3" s="78"/>
      <c r="C3" s="78"/>
      <c r="D3" s="78"/>
      <c r="E3" s="78"/>
      <c r="F3" s="78"/>
      <c r="G3" s="78"/>
      <c r="H3" s="78"/>
      <c r="I3" s="78"/>
      <c r="J3" s="78"/>
      <c r="K3" s="78"/>
      <c r="L3" s="79"/>
    </row>
    <row r="4" spans="1:12" ht="15.6" customHeight="1" x14ac:dyDescent="0.25">
      <c r="A4" s="77"/>
      <c r="B4" s="78"/>
      <c r="C4" s="78"/>
      <c r="D4" s="78"/>
      <c r="E4" s="78"/>
      <c r="F4" s="78"/>
      <c r="G4" s="78"/>
      <c r="H4" s="78"/>
      <c r="I4" s="78"/>
      <c r="J4" s="78"/>
      <c r="K4" s="78"/>
      <c r="L4" s="79"/>
    </row>
    <row r="5" spans="1:12" ht="15.6" customHeight="1" x14ac:dyDescent="0.25">
      <c r="A5" s="77"/>
      <c r="B5" s="78"/>
      <c r="C5" s="78"/>
      <c r="D5" s="78"/>
      <c r="E5" s="78"/>
      <c r="F5" s="78"/>
      <c r="G5" s="78"/>
      <c r="H5" s="78"/>
      <c r="I5" s="78"/>
      <c r="J5" s="78"/>
      <c r="K5" s="78"/>
      <c r="L5" s="79"/>
    </row>
    <row r="6" spans="1:12" thickBot="1" x14ac:dyDescent="0.3">
      <c r="A6" s="80"/>
      <c r="B6" s="81"/>
      <c r="C6" s="81"/>
      <c r="D6" s="81"/>
      <c r="E6" s="81"/>
      <c r="F6" s="81"/>
      <c r="G6" s="81"/>
      <c r="H6" s="81"/>
      <c r="I6" s="81"/>
      <c r="J6" s="81"/>
      <c r="K6" s="81"/>
      <c r="L6" s="82"/>
    </row>
    <row r="7" spans="1:12" x14ac:dyDescent="0.25">
      <c r="A7" s="7"/>
      <c r="C7" s="7"/>
      <c r="D7" s="7"/>
      <c r="E7" s="7"/>
      <c r="F7" s="7"/>
      <c r="G7" s="7"/>
      <c r="H7" s="7"/>
      <c r="I7" s="7"/>
      <c r="J7" s="55"/>
    </row>
    <row r="8" spans="1:12" ht="47.25" customHeight="1" x14ac:dyDescent="0.25">
      <c r="A8" s="86" t="s">
        <v>97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2" x14ac:dyDescent="0.25">
      <c r="A9" s="7"/>
      <c r="C9" s="7"/>
      <c r="D9" s="7"/>
      <c r="E9" s="7"/>
      <c r="F9" s="7"/>
      <c r="G9" s="7"/>
      <c r="H9" s="7"/>
      <c r="I9" s="7"/>
      <c r="J9" s="55"/>
    </row>
    <row r="10" spans="1:12" x14ac:dyDescent="0.25">
      <c r="A10" s="83" t="s">
        <v>0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</row>
    <row r="11" spans="1:12" ht="16.5" thickBot="1" x14ac:dyDescent="0.3">
      <c r="A11" s="7"/>
      <c r="B11" s="8"/>
      <c r="C11" s="7"/>
      <c r="D11" s="7"/>
      <c r="E11" s="7"/>
      <c r="F11" s="7"/>
      <c r="G11" s="7"/>
      <c r="H11" s="7"/>
      <c r="I11" s="7"/>
      <c r="J11" s="55"/>
    </row>
    <row r="12" spans="1:12" x14ac:dyDescent="0.25">
      <c r="A12" s="24" t="s">
        <v>50</v>
      </c>
      <c r="B12" s="26" t="s">
        <v>51</v>
      </c>
      <c r="C12" s="22" t="s">
        <v>14</v>
      </c>
      <c r="D12" s="10"/>
      <c r="E12" s="10"/>
      <c r="F12" s="10"/>
      <c r="G12" s="10"/>
      <c r="H12" s="10"/>
      <c r="I12" s="10"/>
      <c r="J12" s="56"/>
      <c r="K12" s="42"/>
      <c r="L12" s="43"/>
    </row>
    <row r="13" spans="1:12" x14ac:dyDescent="0.25">
      <c r="A13" s="11"/>
      <c r="B13" s="8"/>
      <c r="C13" s="17" t="s">
        <v>8</v>
      </c>
      <c r="D13" s="7"/>
      <c r="E13" s="7"/>
      <c r="F13" s="7"/>
      <c r="G13" s="7"/>
      <c r="H13" s="7"/>
      <c r="I13" s="7"/>
      <c r="J13" s="55"/>
      <c r="K13" s="35"/>
      <c r="L13" s="44"/>
    </row>
    <row r="14" spans="1:12" x14ac:dyDescent="0.25">
      <c r="A14" s="11"/>
      <c r="C14" s="18" t="s">
        <v>9</v>
      </c>
      <c r="D14" s="7"/>
      <c r="E14" s="7"/>
      <c r="F14" s="7"/>
      <c r="G14" s="7"/>
      <c r="H14" s="7"/>
      <c r="I14" s="7"/>
      <c r="J14" s="55"/>
      <c r="K14" s="35"/>
      <c r="L14" s="44"/>
    </row>
    <row r="15" spans="1:12" x14ac:dyDescent="0.25">
      <c r="A15" s="11"/>
      <c r="C15" s="18" t="s">
        <v>10</v>
      </c>
      <c r="D15" s="7"/>
      <c r="E15" s="7"/>
      <c r="F15" s="7"/>
      <c r="G15" s="7"/>
      <c r="H15" s="7"/>
      <c r="I15" s="7"/>
      <c r="J15" s="55"/>
      <c r="K15"/>
      <c r="L15" s="44"/>
    </row>
    <row r="16" spans="1:12" ht="45" x14ac:dyDescent="0.25">
      <c r="A16" s="11"/>
      <c r="C16" s="7"/>
      <c r="D16" s="85" t="s">
        <v>49</v>
      </c>
      <c r="E16" s="85"/>
      <c r="F16" s="85"/>
      <c r="G16" s="85"/>
      <c r="H16" s="85"/>
      <c r="I16" s="97"/>
      <c r="J16" s="57" t="s">
        <v>96</v>
      </c>
      <c r="K16" s="40" t="s">
        <v>95</v>
      </c>
      <c r="L16" s="44"/>
    </row>
    <row r="17" spans="1:17" x14ac:dyDescent="0.25">
      <c r="A17" s="11"/>
      <c r="C17" s="7"/>
      <c r="D17" s="19">
        <v>2026</v>
      </c>
      <c r="E17" s="19">
        <v>2027</v>
      </c>
      <c r="F17" s="19">
        <v>2028</v>
      </c>
      <c r="G17" s="19">
        <v>2029</v>
      </c>
      <c r="H17" s="19">
        <v>2030</v>
      </c>
      <c r="I17" s="38">
        <v>2031</v>
      </c>
      <c r="J17" s="58"/>
      <c r="K17" s="41"/>
      <c r="L17" s="45"/>
      <c r="M17" s="3"/>
      <c r="N17" s="3"/>
      <c r="O17" s="3"/>
      <c r="P17" s="3"/>
      <c r="Q17" s="3"/>
    </row>
    <row r="18" spans="1:17" x14ac:dyDescent="0.25">
      <c r="A18" s="11"/>
      <c r="C18" s="20" t="s">
        <v>12</v>
      </c>
      <c r="D18" s="31"/>
      <c r="E18" s="31"/>
      <c r="F18" s="31"/>
      <c r="G18" s="31"/>
      <c r="H18" s="31"/>
      <c r="I18" s="39"/>
      <c r="J18" s="59">
        <v>5000</v>
      </c>
      <c r="K18" s="41">
        <f>(D18*5000)+(E18*5000)+(F18*5000)+(G18*5000)+(H18*5000)+(I18*5000)</f>
        <v>0</v>
      </c>
      <c r="L18" s="45"/>
      <c r="M18" s="3"/>
      <c r="N18" s="3"/>
      <c r="O18" s="3"/>
      <c r="P18" s="3"/>
      <c r="Q18" s="3"/>
    </row>
    <row r="19" spans="1:17" ht="16.5" thickBot="1" x14ac:dyDescent="0.3">
      <c r="A19" s="11"/>
      <c r="B19" s="8"/>
      <c r="C19" s="20" t="s">
        <v>11</v>
      </c>
      <c r="D19" s="31"/>
      <c r="E19" s="31"/>
      <c r="F19" s="31"/>
      <c r="G19" s="31"/>
      <c r="H19" s="31"/>
      <c r="I19" s="39"/>
      <c r="J19" s="59">
        <v>15000</v>
      </c>
      <c r="K19" s="41">
        <f>(D19*15000)+(E19*15000)+(F19*15000)+(G19*15000)+(H19*15000)+(I19*15000)</f>
        <v>0</v>
      </c>
      <c r="L19" s="48" t="s">
        <v>93</v>
      </c>
      <c r="M19" s="3"/>
      <c r="N19" s="3"/>
      <c r="O19" s="3"/>
      <c r="P19" s="3"/>
      <c r="Q19" s="3"/>
    </row>
    <row r="20" spans="1:17" ht="16.5" thickBot="1" x14ac:dyDescent="0.3">
      <c r="A20" s="12"/>
      <c r="B20" s="13"/>
      <c r="C20" s="30" t="s">
        <v>13</v>
      </c>
      <c r="D20" s="37"/>
      <c r="E20" s="37"/>
      <c r="F20" s="37"/>
      <c r="G20" s="37"/>
      <c r="H20" s="37"/>
      <c r="I20" s="46"/>
      <c r="J20" s="60">
        <v>55000</v>
      </c>
      <c r="K20" s="47">
        <f>(D20*55000)+(E20*55000)+(F20*55000)+(G20*55000)+(H20*55000)+(I20*55000)</f>
        <v>0</v>
      </c>
      <c r="L20" s="49">
        <f>K18+K19+K20</f>
        <v>0</v>
      </c>
      <c r="M20" s="3"/>
      <c r="N20" s="3"/>
      <c r="O20" s="3"/>
      <c r="P20" s="3"/>
      <c r="Q20" s="3"/>
    </row>
    <row r="21" spans="1:17" ht="16.5" thickBot="1" x14ac:dyDescent="0.3">
      <c r="A21" s="7"/>
      <c r="B21" s="8"/>
      <c r="C21" s="7"/>
      <c r="D21" s="7"/>
      <c r="E21" s="7"/>
      <c r="F21" s="7"/>
      <c r="G21" s="7"/>
      <c r="H21" s="7"/>
      <c r="I21" s="7"/>
      <c r="J21" s="55"/>
      <c r="K21" s="33"/>
      <c r="L21" s="3"/>
      <c r="M21" s="3"/>
      <c r="N21" s="3"/>
      <c r="O21" s="3"/>
      <c r="P21" s="3"/>
      <c r="Q21" s="3"/>
    </row>
    <row r="22" spans="1:17" x14ac:dyDescent="0.25">
      <c r="A22" s="24" t="s">
        <v>50</v>
      </c>
      <c r="B22" s="26" t="s">
        <v>52</v>
      </c>
      <c r="C22" s="22" t="s">
        <v>102</v>
      </c>
      <c r="D22" s="10"/>
      <c r="E22" s="10"/>
      <c r="F22" s="10"/>
      <c r="G22" s="10"/>
      <c r="H22" s="10"/>
      <c r="I22" s="10"/>
      <c r="J22" s="56"/>
      <c r="K22" s="42"/>
      <c r="L22" s="43"/>
    </row>
    <row r="23" spans="1:17" x14ac:dyDescent="0.25">
      <c r="A23" s="11"/>
      <c r="C23" s="17" t="s">
        <v>8</v>
      </c>
      <c r="D23" s="7"/>
      <c r="E23" s="7"/>
      <c r="F23" s="7"/>
      <c r="G23" s="7"/>
      <c r="H23" s="7"/>
      <c r="I23" s="7"/>
      <c r="J23" s="55"/>
      <c r="K23" s="35"/>
      <c r="L23" s="44"/>
    </row>
    <row r="24" spans="1:17" x14ac:dyDescent="0.25">
      <c r="A24" s="11"/>
      <c r="C24" s="18" t="s">
        <v>9</v>
      </c>
      <c r="D24" s="7"/>
      <c r="E24" s="7"/>
      <c r="F24" s="7"/>
      <c r="G24" s="7"/>
      <c r="H24" s="7"/>
      <c r="I24" s="7"/>
      <c r="J24" s="55"/>
      <c r="K24" s="35"/>
      <c r="L24" s="44"/>
    </row>
    <row r="25" spans="1:17" x14ac:dyDescent="0.25">
      <c r="A25" s="11"/>
      <c r="B25" s="8"/>
      <c r="C25" s="18" t="s">
        <v>10</v>
      </c>
      <c r="D25" s="7"/>
      <c r="E25" s="7"/>
      <c r="F25" s="7"/>
      <c r="G25" s="7"/>
      <c r="H25" s="7"/>
      <c r="I25" s="7"/>
      <c r="J25" s="55"/>
      <c r="K25" s="35"/>
      <c r="L25" s="44"/>
    </row>
    <row r="26" spans="1:17" ht="45" x14ac:dyDescent="0.25">
      <c r="A26" s="11"/>
      <c r="C26" s="7"/>
      <c r="D26" s="85" t="s">
        <v>49</v>
      </c>
      <c r="E26" s="85"/>
      <c r="F26" s="85"/>
      <c r="G26" s="85"/>
      <c r="H26" s="85"/>
      <c r="I26" s="85"/>
      <c r="J26" s="57" t="s">
        <v>96</v>
      </c>
      <c r="K26" s="40" t="s">
        <v>95</v>
      </c>
      <c r="L26" s="44"/>
    </row>
    <row r="27" spans="1:17" x14ac:dyDescent="0.25">
      <c r="A27" s="11"/>
      <c r="C27" s="7"/>
      <c r="D27" s="19">
        <v>2026</v>
      </c>
      <c r="E27" s="19">
        <v>2027</v>
      </c>
      <c r="F27" s="19">
        <v>2028</v>
      </c>
      <c r="G27" s="19">
        <v>2029</v>
      </c>
      <c r="H27" s="19">
        <v>2030</v>
      </c>
      <c r="I27" s="38">
        <v>2031</v>
      </c>
      <c r="J27" s="61"/>
      <c r="K27" s="41"/>
      <c r="L27" s="45"/>
    </row>
    <row r="28" spans="1:17" x14ac:dyDescent="0.25">
      <c r="A28" s="11"/>
      <c r="C28" s="20" t="s">
        <v>12</v>
      </c>
      <c r="D28" s="31"/>
      <c r="E28" s="31"/>
      <c r="F28" s="31"/>
      <c r="G28" s="31"/>
      <c r="H28" s="31"/>
      <c r="I28" s="31"/>
      <c r="J28" s="59">
        <v>5000</v>
      </c>
      <c r="K28" s="41">
        <f>(D28*5000)+(E28*5000)+(F28*5000)+(G28*5000)+(H28*5000)+(I28*5000)</f>
        <v>0</v>
      </c>
      <c r="L28" s="45"/>
    </row>
    <row r="29" spans="1:17" ht="16.5" thickBot="1" x14ac:dyDescent="0.3">
      <c r="A29" s="11"/>
      <c r="C29" s="20" t="s">
        <v>11</v>
      </c>
      <c r="D29" s="31"/>
      <c r="E29" s="31"/>
      <c r="F29" s="31"/>
      <c r="G29" s="31"/>
      <c r="H29" s="31"/>
      <c r="I29" s="31"/>
      <c r="J29" s="59">
        <v>15000</v>
      </c>
      <c r="K29" s="41">
        <f>(D29*15000)+(E29*15000)+(F29*15000)+(G29*15000)+(H29*15000)+(I29*15000)</f>
        <v>0</v>
      </c>
      <c r="L29" s="48" t="s">
        <v>93</v>
      </c>
    </row>
    <row r="30" spans="1:17" ht="16.5" thickBot="1" x14ac:dyDescent="0.3">
      <c r="A30" s="12"/>
      <c r="B30" s="14"/>
      <c r="C30" s="30" t="s">
        <v>13</v>
      </c>
      <c r="D30" s="37"/>
      <c r="E30" s="37"/>
      <c r="F30" s="37"/>
      <c r="G30" s="37"/>
      <c r="H30" s="37"/>
      <c r="I30" s="37"/>
      <c r="J30" s="60">
        <v>55000</v>
      </c>
      <c r="K30" s="47">
        <f>(D30*55000)+(E30*55000)+(F30*55000)+(G30*55000)+(H30*55000)+(I30*55000)</f>
        <v>0</v>
      </c>
      <c r="L30" s="49">
        <f>K28+K29+K30</f>
        <v>0</v>
      </c>
    </row>
    <row r="31" spans="1:17" ht="16.5" thickBot="1" x14ac:dyDescent="0.3">
      <c r="A31" s="7"/>
      <c r="B31" s="8"/>
      <c r="C31" s="7"/>
      <c r="D31" s="7"/>
      <c r="E31" s="7"/>
      <c r="F31" s="7"/>
      <c r="G31" s="7"/>
      <c r="H31" s="7"/>
      <c r="I31" s="7"/>
      <c r="J31" s="55"/>
    </row>
    <row r="32" spans="1:17" x14ac:dyDescent="0.25">
      <c r="A32" s="24" t="s">
        <v>50</v>
      </c>
      <c r="B32" s="26" t="s">
        <v>53</v>
      </c>
      <c r="C32" s="22" t="s">
        <v>105</v>
      </c>
      <c r="D32" s="10"/>
      <c r="E32" s="10"/>
      <c r="F32" s="10"/>
      <c r="G32" s="10"/>
      <c r="H32" s="10"/>
      <c r="I32" s="10"/>
      <c r="J32" s="56"/>
      <c r="K32" s="42"/>
      <c r="L32" s="43"/>
    </row>
    <row r="33" spans="1:12" x14ac:dyDescent="0.25">
      <c r="A33" s="11"/>
      <c r="C33" s="17" t="s">
        <v>8</v>
      </c>
      <c r="D33" s="7"/>
      <c r="E33" s="7"/>
      <c r="F33" s="7"/>
      <c r="G33" s="7"/>
      <c r="H33" s="7"/>
      <c r="I33" s="7"/>
      <c r="J33" s="55"/>
      <c r="K33" s="35"/>
      <c r="L33" s="44"/>
    </row>
    <row r="34" spans="1:12" x14ac:dyDescent="0.25">
      <c r="A34" s="11"/>
      <c r="C34" s="18" t="s">
        <v>9</v>
      </c>
      <c r="D34" s="7"/>
      <c r="E34" s="7"/>
      <c r="F34" s="7"/>
      <c r="G34" s="7"/>
      <c r="H34" s="7"/>
      <c r="I34" s="7"/>
      <c r="J34" s="55"/>
      <c r="K34" s="35"/>
      <c r="L34" s="44"/>
    </row>
    <row r="35" spans="1:12" x14ac:dyDescent="0.25">
      <c r="A35" s="11"/>
      <c r="B35" s="8"/>
      <c r="C35" s="18" t="s">
        <v>10</v>
      </c>
      <c r="D35" s="7"/>
      <c r="E35" s="7"/>
      <c r="F35" s="7"/>
      <c r="G35" s="7"/>
      <c r="H35" s="7"/>
      <c r="I35" s="7"/>
      <c r="J35" s="55"/>
      <c r="K35" s="35"/>
      <c r="L35" s="44"/>
    </row>
    <row r="36" spans="1:12" ht="45" x14ac:dyDescent="0.25">
      <c r="A36" s="11"/>
      <c r="C36" s="7"/>
      <c r="D36" s="85" t="s">
        <v>49</v>
      </c>
      <c r="E36" s="85"/>
      <c r="F36" s="85"/>
      <c r="G36" s="85"/>
      <c r="H36" s="85"/>
      <c r="I36" s="85"/>
      <c r="J36" s="57" t="s">
        <v>96</v>
      </c>
      <c r="K36" s="40" t="s">
        <v>95</v>
      </c>
      <c r="L36" s="44"/>
    </row>
    <row r="37" spans="1:12" x14ac:dyDescent="0.25">
      <c r="A37" s="11"/>
      <c r="C37" s="7"/>
      <c r="D37" s="19">
        <v>2026</v>
      </c>
      <c r="E37" s="19">
        <v>2027</v>
      </c>
      <c r="F37" s="19">
        <v>2028</v>
      </c>
      <c r="G37" s="19">
        <v>2029</v>
      </c>
      <c r="H37" s="19">
        <v>2030</v>
      </c>
      <c r="I37" s="38">
        <v>2031</v>
      </c>
      <c r="J37" s="61"/>
      <c r="K37" s="41"/>
      <c r="L37" s="45"/>
    </row>
    <row r="38" spans="1:12" x14ac:dyDescent="0.25">
      <c r="A38" s="11"/>
      <c r="C38" s="20" t="s">
        <v>12</v>
      </c>
      <c r="D38" s="31"/>
      <c r="E38" s="31"/>
      <c r="F38" s="31"/>
      <c r="G38" s="31"/>
      <c r="H38" s="31"/>
      <c r="I38" s="31"/>
      <c r="J38" s="59">
        <v>5000</v>
      </c>
      <c r="K38" s="41">
        <f>(D38*5000)+(E38*5000)+(F38*5000)+(G38*5000)+(H38*5000)+(I38*5000)</f>
        <v>0</v>
      </c>
      <c r="L38" s="45"/>
    </row>
    <row r="39" spans="1:12" ht="16.5" thickBot="1" x14ac:dyDescent="0.3">
      <c r="A39" s="11"/>
      <c r="C39" s="20" t="s">
        <v>11</v>
      </c>
      <c r="D39" s="31"/>
      <c r="E39" s="31"/>
      <c r="F39" s="31"/>
      <c r="G39" s="31"/>
      <c r="H39" s="31"/>
      <c r="I39" s="31"/>
      <c r="J39" s="59">
        <v>15000</v>
      </c>
      <c r="K39" s="41">
        <f>(D39*15000)+(E39*15000)+(F39*15000)+(G39*15000)+(H39*15000)+(I39*15000)</f>
        <v>0</v>
      </c>
      <c r="L39" s="48" t="s">
        <v>93</v>
      </c>
    </row>
    <row r="40" spans="1:12" ht="16.5" thickBot="1" x14ac:dyDescent="0.3">
      <c r="A40" s="12"/>
      <c r="B40" s="13"/>
      <c r="C40" s="30" t="s">
        <v>13</v>
      </c>
      <c r="D40" s="37"/>
      <c r="E40" s="37"/>
      <c r="F40" s="37"/>
      <c r="G40" s="37"/>
      <c r="H40" s="37"/>
      <c r="I40" s="37"/>
      <c r="J40" s="60">
        <v>55000</v>
      </c>
      <c r="K40" s="47">
        <f>(D40*55000)+(E40*55000)+(F40*55000)+(G40*55000)+(H40*55000)+(I40*55000)</f>
        <v>0</v>
      </c>
      <c r="L40" s="49">
        <f>K38+K39+K40</f>
        <v>0</v>
      </c>
    </row>
    <row r="41" spans="1:12" ht="16.5" thickBot="1" x14ac:dyDescent="0.3">
      <c r="A41" s="7"/>
      <c r="B41" s="8"/>
      <c r="C41" s="7"/>
      <c r="D41" s="3"/>
      <c r="E41" s="3"/>
      <c r="F41" s="3"/>
      <c r="G41" s="3"/>
      <c r="H41" s="3"/>
      <c r="I41" s="3"/>
      <c r="J41" s="62"/>
    </row>
    <row r="42" spans="1:12" x14ac:dyDescent="0.25">
      <c r="A42" s="24" t="s">
        <v>50</v>
      </c>
      <c r="B42" s="26" t="s">
        <v>54</v>
      </c>
      <c r="C42" s="22" t="s">
        <v>15</v>
      </c>
      <c r="D42" s="10"/>
      <c r="E42" s="10"/>
      <c r="F42" s="10"/>
      <c r="G42" s="10"/>
      <c r="H42" s="10"/>
      <c r="I42" s="10"/>
      <c r="J42" s="56"/>
      <c r="K42" s="42"/>
      <c r="L42" s="43"/>
    </row>
    <row r="43" spans="1:12" x14ac:dyDescent="0.25">
      <c r="A43" s="11"/>
      <c r="C43" s="17" t="s">
        <v>8</v>
      </c>
      <c r="D43" s="7"/>
      <c r="E43" s="7"/>
      <c r="F43" s="7"/>
      <c r="G43" s="7"/>
      <c r="H43" s="7"/>
      <c r="I43" s="7"/>
      <c r="J43" s="55"/>
      <c r="K43" s="35"/>
      <c r="L43" s="44"/>
    </row>
    <row r="44" spans="1:12" x14ac:dyDescent="0.25">
      <c r="A44" s="11"/>
      <c r="C44" s="18" t="s">
        <v>9</v>
      </c>
      <c r="D44" s="7"/>
      <c r="E44" s="7"/>
      <c r="F44" s="7"/>
      <c r="G44" s="7"/>
      <c r="H44" s="7"/>
      <c r="I44" s="7"/>
      <c r="J44" s="55"/>
      <c r="K44" s="35"/>
      <c r="L44" s="44"/>
    </row>
    <row r="45" spans="1:12" x14ac:dyDescent="0.25">
      <c r="A45" s="11"/>
      <c r="B45" s="8"/>
      <c r="C45" s="18" t="s">
        <v>10</v>
      </c>
      <c r="D45" s="7"/>
      <c r="E45" s="7"/>
      <c r="F45" s="7"/>
      <c r="G45" s="7"/>
      <c r="H45" s="7"/>
      <c r="I45" s="7"/>
      <c r="J45" s="55"/>
      <c r="K45" s="35"/>
      <c r="L45" s="44"/>
    </row>
    <row r="46" spans="1:12" ht="45" x14ac:dyDescent="0.25">
      <c r="A46" s="11"/>
      <c r="C46" s="7"/>
      <c r="D46" s="85" t="s">
        <v>49</v>
      </c>
      <c r="E46" s="85"/>
      <c r="F46" s="85"/>
      <c r="G46" s="85"/>
      <c r="H46" s="85"/>
      <c r="I46" s="85"/>
      <c r="J46" s="57" t="s">
        <v>96</v>
      </c>
      <c r="K46" s="40" t="s">
        <v>95</v>
      </c>
      <c r="L46" s="44"/>
    </row>
    <row r="47" spans="1:12" x14ac:dyDescent="0.25">
      <c r="A47" s="11"/>
      <c r="C47" s="7"/>
      <c r="D47" s="19">
        <v>2026</v>
      </c>
      <c r="E47" s="19">
        <v>2027</v>
      </c>
      <c r="F47" s="19">
        <v>2028</v>
      </c>
      <c r="G47" s="19">
        <v>2029</v>
      </c>
      <c r="H47" s="19">
        <v>2030</v>
      </c>
      <c r="I47" s="38">
        <v>2031</v>
      </c>
      <c r="J47" s="61"/>
      <c r="K47" s="41"/>
      <c r="L47" s="45"/>
    </row>
    <row r="48" spans="1:12" x14ac:dyDescent="0.25">
      <c r="A48" s="11"/>
      <c r="C48" s="20" t="s">
        <v>12</v>
      </c>
      <c r="D48" s="31"/>
      <c r="E48" s="31"/>
      <c r="F48" s="31"/>
      <c r="G48" s="31"/>
      <c r="H48" s="31"/>
      <c r="I48" s="31"/>
      <c r="J48" s="59">
        <v>5000</v>
      </c>
      <c r="K48" s="41">
        <f>(D48*5000)+(E48*5000)+(F48*5000)+(G48*5000)+(H48*5000)+(I48*5000)</f>
        <v>0</v>
      </c>
      <c r="L48" s="45"/>
    </row>
    <row r="49" spans="1:12" ht="16.5" thickBot="1" x14ac:dyDescent="0.3">
      <c r="A49" s="11"/>
      <c r="C49" s="20" t="s">
        <v>11</v>
      </c>
      <c r="D49" s="31"/>
      <c r="E49" s="31"/>
      <c r="F49" s="31"/>
      <c r="G49" s="31"/>
      <c r="H49" s="31"/>
      <c r="I49" s="31"/>
      <c r="J49" s="59">
        <v>15000</v>
      </c>
      <c r="K49" s="41">
        <f>(D49*15000)+(E49*15000)+(F49*15000)+(G49*15000)+(H49*15000)+(I49*15000)</f>
        <v>0</v>
      </c>
      <c r="L49" s="48" t="s">
        <v>93</v>
      </c>
    </row>
    <row r="50" spans="1:12" ht="16.5" thickBot="1" x14ac:dyDescent="0.3">
      <c r="A50" s="12"/>
      <c r="B50" s="14"/>
      <c r="C50" s="30" t="s">
        <v>13</v>
      </c>
      <c r="D50" s="37"/>
      <c r="E50" s="37"/>
      <c r="F50" s="37"/>
      <c r="G50" s="37"/>
      <c r="H50" s="37"/>
      <c r="I50" s="37"/>
      <c r="J50" s="60">
        <v>55000</v>
      </c>
      <c r="K50" s="47">
        <f>(D50*55000)+(E50*55000)+(F50*55000)+(G50*55000)+(H50*55000)+(I50*55000)</f>
        <v>0</v>
      </c>
      <c r="L50" s="49">
        <f>K48+K49+K50</f>
        <v>0</v>
      </c>
    </row>
    <row r="51" spans="1:12" ht="16.5" thickBot="1" x14ac:dyDescent="0.3">
      <c r="A51" s="7"/>
      <c r="B51" s="8"/>
      <c r="C51" s="7"/>
      <c r="D51" s="7"/>
      <c r="E51" s="7"/>
      <c r="F51" s="7"/>
      <c r="G51" s="7"/>
      <c r="H51" s="7"/>
      <c r="I51" s="7"/>
      <c r="J51" s="55"/>
    </row>
    <row r="52" spans="1:12" x14ac:dyDescent="0.25">
      <c r="A52" s="24" t="s">
        <v>50</v>
      </c>
      <c r="B52" s="26" t="s">
        <v>55</v>
      </c>
      <c r="C52" s="22" t="s">
        <v>16</v>
      </c>
      <c r="D52" s="10"/>
      <c r="E52" s="10"/>
      <c r="F52" s="10"/>
      <c r="G52" s="10"/>
      <c r="H52" s="10"/>
      <c r="I52" s="10"/>
      <c r="J52" s="56"/>
      <c r="K52" s="42"/>
      <c r="L52" s="43"/>
    </row>
    <row r="53" spans="1:12" x14ac:dyDescent="0.25">
      <c r="A53" s="11"/>
      <c r="C53" s="17" t="s">
        <v>8</v>
      </c>
      <c r="D53" s="7"/>
      <c r="E53" s="7"/>
      <c r="F53" s="7"/>
      <c r="G53" s="7"/>
      <c r="H53" s="7"/>
      <c r="I53" s="7"/>
      <c r="J53" s="55"/>
      <c r="K53" s="35"/>
      <c r="L53" s="44"/>
    </row>
    <row r="54" spans="1:12" x14ac:dyDescent="0.25">
      <c r="A54" s="11"/>
      <c r="C54" s="18" t="s">
        <v>9</v>
      </c>
      <c r="D54" s="7"/>
      <c r="E54" s="7"/>
      <c r="F54" s="7"/>
      <c r="G54" s="7"/>
      <c r="H54" s="7"/>
      <c r="I54" s="7"/>
      <c r="J54" s="55"/>
      <c r="K54" s="35"/>
      <c r="L54" s="44"/>
    </row>
    <row r="55" spans="1:12" x14ac:dyDescent="0.25">
      <c r="A55" s="11"/>
      <c r="B55" s="8"/>
      <c r="C55" s="18" t="s">
        <v>10</v>
      </c>
      <c r="D55" s="7"/>
      <c r="E55" s="7"/>
      <c r="F55" s="7"/>
      <c r="G55" s="7"/>
      <c r="H55" s="7"/>
      <c r="I55" s="7"/>
      <c r="J55" s="55"/>
      <c r="K55" s="35"/>
      <c r="L55" s="44"/>
    </row>
    <row r="56" spans="1:12" ht="45" x14ac:dyDescent="0.25">
      <c r="A56" s="11"/>
      <c r="C56" s="7"/>
      <c r="D56" s="85" t="s">
        <v>49</v>
      </c>
      <c r="E56" s="85"/>
      <c r="F56" s="85"/>
      <c r="G56" s="85"/>
      <c r="H56" s="85"/>
      <c r="I56" s="85"/>
      <c r="J56" s="57" t="s">
        <v>96</v>
      </c>
      <c r="K56" s="40" t="s">
        <v>95</v>
      </c>
      <c r="L56" s="44"/>
    </row>
    <row r="57" spans="1:12" x14ac:dyDescent="0.25">
      <c r="A57" s="11"/>
      <c r="C57" s="7"/>
      <c r="D57" s="19">
        <v>2026</v>
      </c>
      <c r="E57" s="19">
        <v>2027</v>
      </c>
      <c r="F57" s="19">
        <v>2028</v>
      </c>
      <c r="G57" s="19">
        <v>2029</v>
      </c>
      <c r="H57" s="19">
        <v>2030</v>
      </c>
      <c r="I57" s="38">
        <v>2031</v>
      </c>
      <c r="J57" s="63"/>
      <c r="K57" s="41"/>
      <c r="L57" s="45"/>
    </row>
    <row r="58" spans="1:12" x14ac:dyDescent="0.25">
      <c r="A58" s="11"/>
      <c r="C58" s="20" t="s">
        <v>12</v>
      </c>
      <c r="D58" s="31"/>
      <c r="E58" s="31"/>
      <c r="F58" s="31"/>
      <c r="G58" s="31"/>
      <c r="H58" s="31"/>
      <c r="I58" s="31"/>
      <c r="J58" s="59">
        <v>5000</v>
      </c>
      <c r="K58" s="41">
        <f>(D58*5000)+(E58*5000)+(F58*5000)+(G58*5000)+(H58*5000)+(I58*5000)</f>
        <v>0</v>
      </c>
      <c r="L58" s="45"/>
    </row>
    <row r="59" spans="1:12" ht="16.5" thickBot="1" x14ac:dyDescent="0.3">
      <c r="A59" s="11"/>
      <c r="C59" s="20" t="s">
        <v>11</v>
      </c>
      <c r="D59" s="31"/>
      <c r="E59" s="31"/>
      <c r="F59" s="31"/>
      <c r="G59" s="31"/>
      <c r="H59" s="31"/>
      <c r="I59" s="31"/>
      <c r="J59" s="59">
        <v>15000</v>
      </c>
      <c r="K59" s="41">
        <f>(D59*15000)+(E59*15000)+(F59*15000)+(G59*15000)+(H59*15000)+(I59*15000)</f>
        <v>0</v>
      </c>
      <c r="L59" s="48" t="s">
        <v>93</v>
      </c>
    </row>
    <row r="60" spans="1:12" ht="16.5" thickBot="1" x14ac:dyDescent="0.3">
      <c r="A60" s="12"/>
      <c r="B60" s="14"/>
      <c r="C60" s="30" t="s">
        <v>13</v>
      </c>
      <c r="D60" s="37"/>
      <c r="E60" s="37"/>
      <c r="F60" s="37"/>
      <c r="G60" s="37"/>
      <c r="H60" s="37"/>
      <c r="I60" s="37"/>
      <c r="J60" s="60">
        <v>55000</v>
      </c>
      <c r="K60" s="47">
        <f>(D60*55000)+(E60*55000)+(F60*55000)+(G60*55000)+(H60*55000)+(I60*55000)</f>
        <v>0</v>
      </c>
      <c r="L60" s="49">
        <f>K58+K59+K60</f>
        <v>0</v>
      </c>
    </row>
    <row r="61" spans="1:12" ht="16.5" thickBot="1" x14ac:dyDescent="0.3">
      <c r="A61" s="7"/>
      <c r="B61" s="8"/>
      <c r="C61" s="7"/>
      <c r="D61" s="7"/>
      <c r="E61" s="7"/>
      <c r="F61" s="7"/>
      <c r="G61" s="7"/>
      <c r="H61" s="7"/>
      <c r="I61" s="7"/>
      <c r="J61" s="55"/>
    </row>
    <row r="62" spans="1:12" x14ac:dyDescent="0.25">
      <c r="A62" s="24" t="s">
        <v>50</v>
      </c>
      <c r="B62" s="26" t="s">
        <v>56</v>
      </c>
      <c r="C62" s="22" t="s">
        <v>103</v>
      </c>
      <c r="D62" s="10"/>
      <c r="E62" s="10"/>
      <c r="F62" s="10"/>
      <c r="G62" s="10"/>
      <c r="H62" s="10"/>
      <c r="I62" s="10"/>
      <c r="J62" s="56"/>
      <c r="K62" s="42"/>
      <c r="L62" s="43"/>
    </row>
    <row r="63" spans="1:12" x14ac:dyDescent="0.25">
      <c r="A63" s="11"/>
      <c r="C63" s="17" t="s">
        <v>8</v>
      </c>
      <c r="D63" s="7"/>
      <c r="E63" s="7"/>
      <c r="F63" s="7"/>
      <c r="G63" s="7"/>
      <c r="H63" s="7"/>
      <c r="I63" s="7"/>
      <c r="J63" s="55"/>
      <c r="K63" s="35"/>
      <c r="L63" s="44"/>
    </row>
    <row r="64" spans="1:12" x14ac:dyDescent="0.25">
      <c r="A64" s="11"/>
      <c r="C64" s="18" t="s">
        <v>9</v>
      </c>
      <c r="D64" s="7"/>
      <c r="E64" s="7"/>
      <c r="F64" s="7"/>
      <c r="G64" s="7"/>
      <c r="H64" s="7"/>
      <c r="I64" s="7"/>
      <c r="J64" s="55"/>
      <c r="K64" s="35"/>
      <c r="L64" s="44"/>
    </row>
    <row r="65" spans="1:12" x14ac:dyDescent="0.25">
      <c r="A65" s="11"/>
      <c r="B65" s="8"/>
      <c r="C65" s="18" t="s">
        <v>10</v>
      </c>
      <c r="D65" s="7"/>
      <c r="E65" s="7"/>
      <c r="F65" s="7"/>
      <c r="G65" s="7"/>
      <c r="H65" s="7"/>
      <c r="I65" s="7"/>
      <c r="J65" s="55"/>
      <c r="K65" s="35"/>
      <c r="L65" s="44"/>
    </row>
    <row r="66" spans="1:12" ht="45" x14ac:dyDescent="0.25">
      <c r="A66" s="11"/>
      <c r="C66" s="7"/>
      <c r="D66" s="85" t="s">
        <v>49</v>
      </c>
      <c r="E66" s="85"/>
      <c r="F66" s="85"/>
      <c r="G66" s="85"/>
      <c r="H66" s="85"/>
      <c r="I66" s="85"/>
      <c r="J66" s="57" t="s">
        <v>96</v>
      </c>
      <c r="K66" s="40" t="s">
        <v>95</v>
      </c>
      <c r="L66" s="44"/>
    </row>
    <row r="67" spans="1:12" x14ac:dyDescent="0.25">
      <c r="A67" s="11"/>
      <c r="C67" s="7"/>
      <c r="D67" s="19">
        <v>2026</v>
      </c>
      <c r="E67" s="19">
        <v>2027</v>
      </c>
      <c r="F67" s="19">
        <v>2028</v>
      </c>
      <c r="G67" s="19">
        <v>2029</v>
      </c>
      <c r="H67" s="19">
        <v>2030</v>
      </c>
      <c r="I67" s="38">
        <v>2031</v>
      </c>
      <c r="J67" s="64"/>
      <c r="K67" s="41"/>
      <c r="L67" s="45"/>
    </row>
    <row r="68" spans="1:12" x14ac:dyDescent="0.25">
      <c r="A68" s="11"/>
      <c r="C68" s="20" t="s">
        <v>12</v>
      </c>
      <c r="D68" s="31"/>
      <c r="E68" s="31"/>
      <c r="F68" s="31"/>
      <c r="G68" s="31"/>
      <c r="H68" s="31"/>
      <c r="I68" s="31"/>
      <c r="J68" s="59">
        <v>5000</v>
      </c>
      <c r="K68" s="41">
        <f>(D68*5000)+(E68*5000)+(F68*5000)+(G68*5000)+(H68*5000)+(I68*5000)</f>
        <v>0</v>
      </c>
      <c r="L68" s="45"/>
    </row>
    <row r="69" spans="1:12" ht="16.5" thickBot="1" x14ac:dyDescent="0.3">
      <c r="A69" s="11"/>
      <c r="C69" s="20" t="s">
        <v>11</v>
      </c>
      <c r="D69" s="31"/>
      <c r="E69" s="31"/>
      <c r="F69" s="31"/>
      <c r="G69" s="31"/>
      <c r="H69" s="31"/>
      <c r="I69" s="31"/>
      <c r="J69" s="59">
        <v>15000</v>
      </c>
      <c r="K69" s="41">
        <f>(D69*15000)+(E69*15000)+(F69*15000)+(G69*15000)+(H69*15000)+(I69*15000)</f>
        <v>0</v>
      </c>
      <c r="L69" s="48" t="s">
        <v>93</v>
      </c>
    </row>
    <row r="70" spans="1:12" ht="16.5" thickBot="1" x14ac:dyDescent="0.3">
      <c r="A70" s="12"/>
      <c r="B70" s="14"/>
      <c r="C70" s="30" t="s">
        <v>13</v>
      </c>
      <c r="D70" s="37"/>
      <c r="E70" s="37"/>
      <c r="F70" s="37"/>
      <c r="G70" s="37"/>
      <c r="H70" s="37"/>
      <c r="I70" s="37"/>
      <c r="J70" s="60">
        <v>55000</v>
      </c>
      <c r="K70" s="47">
        <f>(D70*55000)+(E70*55000)+(F70*55000)+(G70*55000)+(H70*55000)+(I70*55000)</f>
        <v>0</v>
      </c>
      <c r="L70" s="49">
        <f>K68+K69+K70</f>
        <v>0</v>
      </c>
    </row>
    <row r="71" spans="1:12" ht="16.5" thickBot="1" x14ac:dyDescent="0.3">
      <c r="A71" s="7"/>
      <c r="B71" s="8"/>
      <c r="C71" s="7"/>
      <c r="D71" s="7"/>
      <c r="E71" s="7"/>
      <c r="F71" s="7"/>
      <c r="G71" s="7"/>
      <c r="H71" s="7"/>
      <c r="I71" s="7"/>
      <c r="J71" s="55"/>
    </row>
    <row r="72" spans="1:12" x14ac:dyDescent="0.25">
      <c r="A72" s="24" t="s">
        <v>50</v>
      </c>
      <c r="B72" s="26" t="s">
        <v>57</v>
      </c>
      <c r="C72" s="22" t="s">
        <v>104</v>
      </c>
      <c r="D72" s="10"/>
      <c r="E72" s="10"/>
      <c r="F72" s="10"/>
      <c r="G72" s="10"/>
      <c r="H72" s="10"/>
      <c r="I72" s="10"/>
      <c r="J72" s="56"/>
      <c r="K72" s="42"/>
      <c r="L72" s="43"/>
    </row>
    <row r="73" spans="1:12" x14ac:dyDescent="0.25">
      <c r="A73" s="11"/>
      <c r="C73" s="17" t="s">
        <v>8</v>
      </c>
      <c r="D73" s="7"/>
      <c r="E73" s="7"/>
      <c r="F73" s="7"/>
      <c r="G73" s="7"/>
      <c r="H73" s="7"/>
      <c r="I73" s="7"/>
      <c r="J73" s="55"/>
      <c r="K73" s="35"/>
      <c r="L73" s="44"/>
    </row>
    <row r="74" spans="1:12" x14ac:dyDescent="0.25">
      <c r="A74" s="11"/>
      <c r="C74" s="18" t="s">
        <v>9</v>
      </c>
      <c r="D74" s="7"/>
      <c r="E74" s="7"/>
      <c r="F74" s="7"/>
      <c r="G74" s="7"/>
      <c r="H74" s="7"/>
      <c r="I74" s="7"/>
      <c r="J74" s="55"/>
      <c r="K74" s="35"/>
      <c r="L74" s="44"/>
    </row>
    <row r="75" spans="1:12" x14ac:dyDescent="0.25">
      <c r="A75" s="11"/>
      <c r="B75" s="8"/>
      <c r="C75" s="18" t="s">
        <v>10</v>
      </c>
      <c r="D75" s="7"/>
      <c r="E75" s="7"/>
      <c r="F75" s="7"/>
      <c r="G75" s="7"/>
      <c r="H75" s="7"/>
      <c r="I75" s="7"/>
      <c r="J75" s="55"/>
      <c r="K75" s="35"/>
      <c r="L75" s="44"/>
    </row>
    <row r="76" spans="1:12" ht="45" x14ac:dyDescent="0.25">
      <c r="A76" s="11"/>
      <c r="C76" s="7"/>
      <c r="D76" s="85" t="s">
        <v>49</v>
      </c>
      <c r="E76" s="85"/>
      <c r="F76" s="85"/>
      <c r="G76" s="85"/>
      <c r="H76" s="85"/>
      <c r="I76" s="85"/>
      <c r="J76" s="57" t="s">
        <v>96</v>
      </c>
      <c r="K76" s="40" t="s">
        <v>95</v>
      </c>
      <c r="L76" s="44"/>
    </row>
    <row r="77" spans="1:12" x14ac:dyDescent="0.25">
      <c r="A77" s="11"/>
      <c r="C77" s="7"/>
      <c r="D77" s="19">
        <v>2026</v>
      </c>
      <c r="E77" s="19">
        <v>2027</v>
      </c>
      <c r="F77" s="19">
        <v>2028</v>
      </c>
      <c r="G77" s="19">
        <v>2029</v>
      </c>
      <c r="H77" s="19">
        <v>2030</v>
      </c>
      <c r="I77" s="38">
        <v>2031</v>
      </c>
      <c r="J77" s="63"/>
      <c r="K77" s="41"/>
      <c r="L77" s="45"/>
    </row>
    <row r="78" spans="1:12" x14ac:dyDescent="0.25">
      <c r="A78" s="11"/>
      <c r="C78" s="20" t="s">
        <v>12</v>
      </c>
      <c r="D78" s="31"/>
      <c r="E78" s="31"/>
      <c r="F78" s="31"/>
      <c r="G78" s="31"/>
      <c r="H78" s="31"/>
      <c r="I78" s="31"/>
      <c r="J78" s="59">
        <v>5000</v>
      </c>
      <c r="K78" s="41">
        <f>(D78*5000)+(E78*5000)+(F78*5000)+(G78*5000)+(H78*5000)+(I78*5000)</f>
        <v>0</v>
      </c>
      <c r="L78" s="45"/>
    </row>
    <row r="79" spans="1:12" ht="16.5" thickBot="1" x14ac:dyDescent="0.3">
      <c r="A79" s="11"/>
      <c r="C79" s="20" t="s">
        <v>11</v>
      </c>
      <c r="D79" s="31"/>
      <c r="E79" s="31"/>
      <c r="F79" s="31"/>
      <c r="G79" s="31"/>
      <c r="H79" s="31"/>
      <c r="I79" s="31"/>
      <c r="J79" s="59">
        <v>15000</v>
      </c>
      <c r="K79" s="41">
        <f>(D79*15000)+(E79*15000)+(F79*15000)+(G79*15000)+(H79*15000)+(I79*15000)</f>
        <v>0</v>
      </c>
      <c r="L79" s="48" t="s">
        <v>93</v>
      </c>
    </row>
    <row r="80" spans="1:12" ht="16.5" thickBot="1" x14ac:dyDescent="0.3">
      <c r="A80" s="12"/>
      <c r="B80" s="14"/>
      <c r="C80" s="30" t="s">
        <v>13</v>
      </c>
      <c r="D80" s="37"/>
      <c r="E80" s="37"/>
      <c r="F80" s="37"/>
      <c r="G80" s="37"/>
      <c r="H80" s="37"/>
      <c r="I80" s="37"/>
      <c r="J80" s="60">
        <v>55000</v>
      </c>
      <c r="K80" s="47">
        <f>(D80*55000)+(E80*55000)+(F80*55000)+(G80*55000)+(H80*55000)+(I80*55000)</f>
        <v>0</v>
      </c>
      <c r="L80" s="49">
        <f>K78+K79+K80</f>
        <v>0</v>
      </c>
    </row>
    <row r="81" spans="1:12" ht="16.5" thickBot="1" x14ac:dyDescent="0.3">
      <c r="A81" s="7"/>
      <c r="B81" s="8"/>
      <c r="C81" s="7"/>
      <c r="D81" s="7"/>
      <c r="E81" s="7"/>
      <c r="F81" s="7"/>
      <c r="G81" s="7"/>
      <c r="H81" s="7"/>
      <c r="I81" s="7"/>
      <c r="J81" s="55"/>
    </row>
    <row r="82" spans="1:12" x14ac:dyDescent="0.25">
      <c r="A82" s="24" t="s">
        <v>50</v>
      </c>
      <c r="B82" s="26" t="s">
        <v>58</v>
      </c>
      <c r="C82" s="22" t="s">
        <v>17</v>
      </c>
      <c r="D82" s="10"/>
      <c r="E82" s="10"/>
      <c r="F82" s="10"/>
      <c r="G82" s="10"/>
      <c r="H82" s="10"/>
      <c r="I82" s="10"/>
      <c r="J82" s="56"/>
      <c r="K82" s="42"/>
      <c r="L82" s="43"/>
    </row>
    <row r="83" spans="1:12" x14ac:dyDescent="0.25">
      <c r="A83" s="11"/>
      <c r="C83" s="17" t="s">
        <v>8</v>
      </c>
      <c r="D83" s="7"/>
      <c r="E83" s="7"/>
      <c r="F83" s="7"/>
      <c r="G83" s="7"/>
      <c r="H83" s="7"/>
      <c r="I83" s="7"/>
      <c r="J83" s="55"/>
      <c r="K83" s="35"/>
      <c r="L83" s="44"/>
    </row>
    <row r="84" spans="1:12" x14ac:dyDescent="0.25">
      <c r="A84" s="11"/>
      <c r="C84" s="18" t="s">
        <v>9</v>
      </c>
      <c r="D84" s="7"/>
      <c r="E84" s="7"/>
      <c r="F84" s="7"/>
      <c r="G84" s="7"/>
      <c r="H84" s="7"/>
      <c r="I84" s="7"/>
      <c r="J84" s="55"/>
      <c r="K84" s="35"/>
      <c r="L84" s="44"/>
    </row>
    <row r="85" spans="1:12" x14ac:dyDescent="0.25">
      <c r="A85" s="11"/>
      <c r="B85" s="8"/>
      <c r="C85" s="18" t="s">
        <v>10</v>
      </c>
      <c r="D85" s="7"/>
      <c r="E85" s="7"/>
      <c r="F85" s="7"/>
      <c r="G85" s="7"/>
      <c r="H85" s="7"/>
      <c r="I85" s="7"/>
      <c r="J85" s="55"/>
      <c r="K85" s="35"/>
      <c r="L85" s="44"/>
    </row>
    <row r="86" spans="1:12" ht="45" x14ac:dyDescent="0.25">
      <c r="A86" s="11"/>
      <c r="C86" s="7"/>
      <c r="D86" s="85" t="s">
        <v>49</v>
      </c>
      <c r="E86" s="85"/>
      <c r="F86" s="85"/>
      <c r="G86" s="85"/>
      <c r="H86" s="85"/>
      <c r="I86" s="85"/>
      <c r="J86" s="57" t="s">
        <v>96</v>
      </c>
      <c r="K86" s="40" t="s">
        <v>95</v>
      </c>
      <c r="L86" s="44"/>
    </row>
    <row r="87" spans="1:12" x14ac:dyDescent="0.25">
      <c r="A87" s="11"/>
      <c r="C87" s="7"/>
      <c r="D87" s="19">
        <v>2026</v>
      </c>
      <c r="E87" s="19">
        <v>2027</v>
      </c>
      <c r="F87" s="19">
        <v>2028</v>
      </c>
      <c r="G87" s="19">
        <v>2029</v>
      </c>
      <c r="H87" s="19">
        <v>2030</v>
      </c>
      <c r="I87" s="38">
        <v>2031</v>
      </c>
      <c r="J87" s="63"/>
      <c r="K87" s="41"/>
      <c r="L87" s="45"/>
    </row>
    <row r="88" spans="1:12" x14ac:dyDescent="0.25">
      <c r="A88" s="11"/>
      <c r="C88" s="20" t="s">
        <v>12</v>
      </c>
      <c r="D88" s="31"/>
      <c r="E88" s="31"/>
      <c r="F88" s="31"/>
      <c r="G88" s="31"/>
      <c r="H88" s="31"/>
      <c r="I88" s="31"/>
      <c r="J88" s="59">
        <v>5000</v>
      </c>
      <c r="K88" s="41">
        <f>(D88*5000)+(E88*5000)+(F88*5000)+(G88*5000)+(H88*5000)+(I88*5000)</f>
        <v>0</v>
      </c>
      <c r="L88" s="45"/>
    </row>
    <row r="89" spans="1:12" ht="16.5" thickBot="1" x14ac:dyDescent="0.3">
      <c r="A89" s="11"/>
      <c r="C89" s="20" t="s">
        <v>11</v>
      </c>
      <c r="D89" s="31"/>
      <c r="E89" s="31"/>
      <c r="F89" s="31"/>
      <c r="G89" s="31"/>
      <c r="H89" s="31"/>
      <c r="I89" s="31"/>
      <c r="J89" s="59">
        <v>15000</v>
      </c>
      <c r="K89" s="41">
        <f>(D89*15000)+(E89*15000)+(F89*15000)+(G89*15000)+(H89*15000)+(I89*15000)</f>
        <v>0</v>
      </c>
      <c r="L89" s="48" t="s">
        <v>93</v>
      </c>
    </row>
    <row r="90" spans="1:12" ht="16.5" thickBot="1" x14ac:dyDescent="0.3">
      <c r="A90" s="12"/>
      <c r="B90" s="13"/>
      <c r="C90" s="30" t="s">
        <v>13</v>
      </c>
      <c r="D90" s="37"/>
      <c r="E90" s="37"/>
      <c r="F90" s="37"/>
      <c r="G90" s="37"/>
      <c r="H90" s="37"/>
      <c r="I90" s="37"/>
      <c r="J90" s="60">
        <v>55000</v>
      </c>
      <c r="K90" s="47">
        <f>(D90*55000)+(E90*55000)+(F90*55000)+(G90*55000)+(H90*55000)+(I90*55000)</f>
        <v>0</v>
      </c>
      <c r="L90" s="49">
        <f>K88+K89+K90</f>
        <v>0</v>
      </c>
    </row>
    <row r="91" spans="1:12" ht="16.5" thickBot="1" x14ac:dyDescent="0.3">
      <c r="A91" s="7"/>
      <c r="B91" s="8"/>
      <c r="C91" s="7"/>
      <c r="D91" s="6"/>
      <c r="E91" s="6"/>
      <c r="F91" s="6"/>
      <c r="G91" s="6"/>
      <c r="H91" s="6"/>
      <c r="I91" s="6"/>
      <c r="J91" s="65"/>
    </row>
    <row r="92" spans="1:12" x14ac:dyDescent="0.25">
      <c r="A92" s="24" t="s">
        <v>50</v>
      </c>
      <c r="B92" s="26" t="s">
        <v>59</v>
      </c>
      <c r="C92" s="22" t="s">
        <v>18</v>
      </c>
      <c r="D92" s="10"/>
      <c r="E92" s="10"/>
      <c r="F92" s="10"/>
      <c r="G92" s="10"/>
      <c r="H92" s="10"/>
      <c r="I92" s="10"/>
      <c r="J92" s="56"/>
      <c r="K92" s="42"/>
      <c r="L92" s="43"/>
    </row>
    <row r="93" spans="1:12" x14ac:dyDescent="0.25">
      <c r="A93" s="11"/>
      <c r="C93" s="17" t="s">
        <v>8</v>
      </c>
      <c r="D93" s="7"/>
      <c r="E93" s="7"/>
      <c r="F93" s="7"/>
      <c r="G93" s="7"/>
      <c r="H93" s="7"/>
      <c r="I93" s="7"/>
      <c r="J93" s="55"/>
      <c r="K93" s="35"/>
      <c r="L93" s="44"/>
    </row>
    <row r="94" spans="1:12" x14ac:dyDescent="0.25">
      <c r="A94" s="11"/>
      <c r="C94" s="18" t="s">
        <v>9</v>
      </c>
      <c r="D94" s="7"/>
      <c r="E94" s="7"/>
      <c r="F94" s="7"/>
      <c r="G94" s="7"/>
      <c r="H94" s="7"/>
      <c r="I94" s="7"/>
      <c r="J94" s="55"/>
      <c r="K94" s="35"/>
      <c r="L94" s="44"/>
    </row>
    <row r="95" spans="1:12" x14ac:dyDescent="0.25">
      <c r="A95" s="11"/>
      <c r="B95" s="8"/>
      <c r="C95" s="18" t="s">
        <v>10</v>
      </c>
      <c r="D95" s="7"/>
      <c r="E95" s="7"/>
      <c r="F95" s="7"/>
      <c r="G95" s="7"/>
      <c r="H95" s="7"/>
      <c r="I95" s="7"/>
      <c r="J95" s="55"/>
      <c r="K95" s="35"/>
      <c r="L95" s="44"/>
    </row>
    <row r="96" spans="1:12" ht="45" x14ac:dyDescent="0.25">
      <c r="A96" s="11"/>
      <c r="C96" s="7"/>
      <c r="D96" s="85" t="s">
        <v>49</v>
      </c>
      <c r="E96" s="85"/>
      <c r="F96" s="85"/>
      <c r="G96" s="85"/>
      <c r="H96" s="85"/>
      <c r="I96" s="85"/>
      <c r="J96" s="57" t="s">
        <v>96</v>
      </c>
      <c r="K96" s="40" t="s">
        <v>95</v>
      </c>
      <c r="L96" s="44"/>
    </row>
    <row r="97" spans="1:12" x14ac:dyDescent="0.25">
      <c r="A97" s="11"/>
      <c r="C97" s="7"/>
      <c r="D97" s="19">
        <v>2026</v>
      </c>
      <c r="E97" s="19">
        <v>2027</v>
      </c>
      <c r="F97" s="19">
        <v>2028</v>
      </c>
      <c r="G97" s="19">
        <v>2029</v>
      </c>
      <c r="H97" s="19">
        <v>2030</v>
      </c>
      <c r="I97" s="38">
        <v>2031</v>
      </c>
      <c r="J97" s="63"/>
      <c r="K97" s="41"/>
      <c r="L97" s="45"/>
    </row>
    <row r="98" spans="1:12" x14ac:dyDescent="0.25">
      <c r="A98" s="11"/>
      <c r="C98" s="20" t="s">
        <v>12</v>
      </c>
      <c r="D98" s="31"/>
      <c r="E98" s="31"/>
      <c r="F98" s="31"/>
      <c r="G98" s="31"/>
      <c r="H98" s="31"/>
      <c r="I98" s="31"/>
      <c r="J98" s="59">
        <v>5000</v>
      </c>
      <c r="K98" s="41">
        <f>(D98*5000)+(E98*5000)+(F98*5000)+(G98*5000)+(H98*5000)+(I98*5000)</f>
        <v>0</v>
      </c>
      <c r="L98" s="45"/>
    </row>
    <row r="99" spans="1:12" ht="16.5" thickBot="1" x14ac:dyDescent="0.3">
      <c r="A99" s="11"/>
      <c r="C99" s="20" t="s">
        <v>11</v>
      </c>
      <c r="D99" s="31"/>
      <c r="E99" s="31"/>
      <c r="F99" s="31"/>
      <c r="G99" s="31"/>
      <c r="H99" s="31"/>
      <c r="I99" s="31"/>
      <c r="J99" s="59">
        <v>15000</v>
      </c>
      <c r="K99" s="41">
        <f>(D99*15000)+(E99*15000)+(F99*15000)+(G99*15000)+(H99*15000)+(I99*15000)</f>
        <v>0</v>
      </c>
      <c r="L99" s="48" t="s">
        <v>93</v>
      </c>
    </row>
    <row r="100" spans="1:12" ht="16.5" thickBot="1" x14ac:dyDescent="0.3">
      <c r="A100" s="12"/>
      <c r="B100" s="13"/>
      <c r="C100" s="30" t="s">
        <v>13</v>
      </c>
      <c r="D100" s="37"/>
      <c r="E100" s="37"/>
      <c r="F100" s="37"/>
      <c r="G100" s="37"/>
      <c r="H100" s="37"/>
      <c r="I100" s="37"/>
      <c r="J100" s="60">
        <v>55000</v>
      </c>
      <c r="K100" s="47">
        <f>(D100*55000)+(E100*55000)+(F100*55000)+(G100*55000)+(H100*55000)+(I100*55000)</f>
        <v>0</v>
      </c>
      <c r="L100" s="49">
        <f>K98+K99+K100</f>
        <v>0</v>
      </c>
    </row>
    <row r="101" spans="1:12" ht="16.5" thickBot="1" x14ac:dyDescent="0.3">
      <c r="A101" s="7"/>
      <c r="B101" s="8"/>
      <c r="C101" s="7"/>
      <c r="D101" s="6"/>
      <c r="E101" s="6"/>
      <c r="F101" s="6"/>
      <c r="G101" s="6"/>
      <c r="H101" s="6"/>
      <c r="I101" s="6"/>
      <c r="J101" s="65"/>
    </row>
    <row r="102" spans="1:12" x14ac:dyDescent="0.25">
      <c r="A102" s="24" t="s">
        <v>50</v>
      </c>
      <c r="B102" s="26" t="s">
        <v>60</v>
      </c>
      <c r="C102" s="22" t="s">
        <v>19</v>
      </c>
      <c r="D102" s="10"/>
      <c r="E102" s="10"/>
      <c r="F102" s="10"/>
      <c r="G102" s="10"/>
      <c r="H102" s="10"/>
      <c r="I102" s="10"/>
      <c r="J102" s="56"/>
      <c r="K102" s="42"/>
      <c r="L102" s="43"/>
    </row>
    <row r="103" spans="1:12" x14ac:dyDescent="0.25">
      <c r="A103" s="11"/>
      <c r="C103" s="17" t="s">
        <v>8</v>
      </c>
      <c r="D103" s="7"/>
      <c r="E103" s="7"/>
      <c r="F103" s="7"/>
      <c r="G103" s="7"/>
      <c r="H103" s="7"/>
      <c r="I103" s="7"/>
      <c r="J103" s="55"/>
      <c r="K103" s="35"/>
      <c r="L103" s="44"/>
    </row>
    <row r="104" spans="1:12" x14ac:dyDescent="0.25">
      <c r="A104" s="11"/>
      <c r="C104" s="18" t="s">
        <v>9</v>
      </c>
      <c r="D104" s="7"/>
      <c r="E104" s="7"/>
      <c r="F104" s="7"/>
      <c r="G104" s="7"/>
      <c r="H104" s="7"/>
      <c r="I104" s="7"/>
      <c r="J104" s="55"/>
      <c r="K104" s="35"/>
      <c r="L104" s="44"/>
    </row>
    <row r="105" spans="1:12" x14ac:dyDescent="0.25">
      <c r="A105" s="11"/>
      <c r="B105" s="8"/>
      <c r="C105" s="18" t="s">
        <v>10</v>
      </c>
      <c r="D105" s="7"/>
      <c r="E105" s="7"/>
      <c r="F105" s="7"/>
      <c r="G105" s="7"/>
      <c r="H105" s="7"/>
      <c r="I105" s="7"/>
      <c r="J105" s="55"/>
      <c r="K105" s="35"/>
      <c r="L105" s="44"/>
    </row>
    <row r="106" spans="1:12" ht="45" x14ac:dyDescent="0.25">
      <c r="A106" s="11"/>
      <c r="C106" s="7"/>
      <c r="D106" s="85" t="s">
        <v>49</v>
      </c>
      <c r="E106" s="85"/>
      <c r="F106" s="85"/>
      <c r="G106" s="85"/>
      <c r="H106" s="85"/>
      <c r="I106" s="85"/>
      <c r="J106" s="57" t="s">
        <v>96</v>
      </c>
      <c r="K106" s="40" t="s">
        <v>95</v>
      </c>
      <c r="L106" s="44"/>
    </row>
    <row r="107" spans="1:12" x14ac:dyDescent="0.25">
      <c r="A107" s="11"/>
      <c r="C107" s="7"/>
      <c r="D107" s="19">
        <v>2026</v>
      </c>
      <c r="E107" s="19">
        <v>2027</v>
      </c>
      <c r="F107" s="19">
        <v>2028</v>
      </c>
      <c r="G107" s="19">
        <v>2029</v>
      </c>
      <c r="H107" s="19">
        <v>2030</v>
      </c>
      <c r="I107" s="38">
        <v>2031</v>
      </c>
      <c r="J107" s="63"/>
      <c r="K107" s="41"/>
      <c r="L107" s="45"/>
    </row>
    <row r="108" spans="1:12" x14ac:dyDescent="0.25">
      <c r="A108" s="11"/>
      <c r="C108" s="20" t="s">
        <v>12</v>
      </c>
      <c r="D108" s="31"/>
      <c r="E108" s="31"/>
      <c r="F108" s="31"/>
      <c r="G108" s="31"/>
      <c r="H108" s="31"/>
      <c r="I108" s="31"/>
      <c r="J108" s="59">
        <v>5000</v>
      </c>
      <c r="K108" s="41">
        <f>(D108*5000)+(E108*5000)+(F108*5000)+(G108*5000)+(H108*5000)+(I108*5000)</f>
        <v>0</v>
      </c>
      <c r="L108" s="45"/>
    </row>
    <row r="109" spans="1:12" ht="16.5" thickBot="1" x14ac:dyDescent="0.3">
      <c r="A109" s="11"/>
      <c r="C109" s="20" t="s">
        <v>11</v>
      </c>
      <c r="D109" s="31"/>
      <c r="E109" s="31"/>
      <c r="F109" s="31"/>
      <c r="G109" s="31"/>
      <c r="H109" s="31"/>
      <c r="I109" s="31"/>
      <c r="J109" s="59">
        <v>15000</v>
      </c>
      <c r="K109" s="41">
        <f>(D109*15000)+(E109*15000)+(F109*15000)+(G109*15000)+(H109*15000)+(I109*15000)</f>
        <v>0</v>
      </c>
      <c r="L109" s="48" t="s">
        <v>93</v>
      </c>
    </row>
    <row r="110" spans="1:12" ht="16.5" thickBot="1" x14ac:dyDescent="0.3">
      <c r="A110" s="12"/>
      <c r="B110" s="13"/>
      <c r="C110" s="30" t="s">
        <v>13</v>
      </c>
      <c r="D110" s="37"/>
      <c r="E110" s="37"/>
      <c r="F110" s="37"/>
      <c r="G110" s="37"/>
      <c r="H110" s="37"/>
      <c r="I110" s="37"/>
      <c r="J110" s="60">
        <v>55000</v>
      </c>
      <c r="K110" s="47">
        <f>(D110*55000)+(E110*55000)+(F110*55000)+(G110*55000)+(H110*55000)+(I110*55000)</f>
        <v>0</v>
      </c>
      <c r="L110" s="49">
        <f>K108+K109+K110</f>
        <v>0</v>
      </c>
    </row>
    <row r="111" spans="1:12" ht="16.5" thickBot="1" x14ac:dyDescent="0.3">
      <c r="A111" s="7"/>
      <c r="B111" s="8"/>
      <c r="C111" s="7"/>
      <c r="D111" s="7"/>
      <c r="E111" s="7"/>
      <c r="F111" s="7"/>
      <c r="G111" s="7"/>
      <c r="H111" s="7"/>
      <c r="I111" s="7"/>
      <c r="J111" s="55"/>
    </row>
    <row r="112" spans="1:12" ht="31.5" x14ac:dyDescent="0.25">
      <c r="A112" s="24" t="s">
        <v>50</v>
      </c>
      <c r="B112" s="26" t="s">
        <v>61</v>
      </c>
      <c r="C112" s="29" t="s">
        <v>106</v>
      </c>
      <c r="D112" s="10"/>
      <c r="E112" s="10"/>
      <c r="F112" s="10"/>
      <c r="G112" s="10"/>
      <c r="H112" s="10"/>
      <c r="I112" s="10"/>
      <c r="J112" s="56"/>
      <c r="K112" s="42"/>
      <c r="L112" s="43"/>
    </row>
    <row r="113" spans="1:12" x14ac:dyDescent="0.25">
      <c r="A113" s="11"/>
      <c r="C113" s="17" t="s">
        <v>8</v>
      </c>
      <c r="D113" s="7"/>
      <c r="E113" s="7"/>
      <c r="F113" s="7"/>
      <c r="G113" s="7"/>
      <c r="H113" s="7"/>
      <c r="I113" s="7"/>
      <c r="J113" s="55"/>
      <c r="K113" s="35"/>
      <c r="L113" s="44"/>
    </row>
    <row r="114" spans="1:12" x14ac:dyDescent="0.25">
      <c r="A114" s="11"/>
      <c r="C114" s="18" t="s">
        <v>9</v>
      </c>
      <c r="D114" s="7"/>
      <c r="E114" s="7"/>
      <c r="F114" s="7"/>
      <c r="G114" s="7"/>
      <c r="H114" s="7"/>
      <c r="I114" s="7"/>
      <c r="J114" s="55"/>
      <c r="K114" s="35"/>
      <c r="L114" s="44"/>
    </row>
    <row r="115" spans="1:12" x14ac:dyDescent="0.25">
      <c r="A115" s="11"/>
      <c r="C115" s="18" t="s">
        <v>10</v>
      </c>
      <c r="D115" s="7"/>
      <c r="E115" s="7"/>
      <c r="F115" s="7"/>
      <c r="G115" s="7"/>
      <c r="H115" s="7"/>
      <c r="I115" s="7"/>
      <c r="J115" s="55"/>
      <c r="K115" s="35"/>
      <c r="L115" s="44"/>
    </row>
    <row r="116" spans="1:12" ht="45" x14ac:dyDescent="0.25">
      <c r="A116" s="11"/>
      <c r="C116" s="7"/>
      <c r="D116" s="85" t="s">
        <v>49</v>
      </c>
      <c r="E116" s="85"/>
      <c r="F116" s="85"/>
      <c r="G116" s="85"/>
      <c r="H116" s="85"/>
      <c r="I116" s="85"/>
      <c r="J116" s="57" t="s">
        <v>96</v>
      </c>
      <c r="K116" s="40" t="s">
        <v>95</v>
      </c>
      <c r="L116" s="44"/>
    </row>
    <row r="117" spans="1:12" x14ac:dyDescent="0.25">
      <c r="A117" s="11"/>
      <c r="C117" s="7"/>
      <c r="D117" s="19">
        <v>2026</v>
      </c>
      <c r="E117" s="19">
        <v>2027</v>
      </c>
      <c r="F117" s="19">
        <v>2028</v>
      </c>
      <c r="G117" s="19">
        <v>2029</v>
      </c>
      <c r="H117" s="19">
        <v>2030</v>
      </c>
      <c r="I117" s="38">
        <v>2031</v>
      </c>
      <c r="J117" s="63"/>
      <c r="K117" s="41"/>
      <c r="L117" s="45"/>
    </row>
    <row r="118" spans="1:12" x14ac:dyDescent="0.25">
      <c r="A118" s="11"/>
      <c r="B118" s="8"/>
      <c r="C118" s="20" t="s">
        <v>12</v>
      </c>
      <c r="D118" s="31"/>
      <c r="E118" s="31"/>
      <c r="F118" s="31"/>
      <c r="G118" s="31"/>
      <c r="H118" s="31"/>
      <c r="I118" s="31"/>
      <c r="J118" s="59">
        <v>5000</v>
      </c>
      <c r="K118" s="41">
        <f>(D118*5000)+(E118*5000)+(F118*5000)+(G118*5000)+(H118*5000)+(I118*5000)</f>
        <v>0</v>
      </c>
      <c r="L118" s="45"/>
    </row>
    <row r="119" spans="1:12" ht="16.5" thickBot="1" x14ac:dyDescent="0.3">
      <c r="A119" s="11"/>
      <c r="B119" s="8"/>
      <c r="C119" s="20" t="s">
        <v>11</v>
      </c>
      <c r="D119" s="31"/>
      <c r="E119" s="31"/>
      <c r="F119" s="31"/>
      <c r="G119" s="31"/>
      <c r="H119" s="31"/>
      <c r="I119" s="31"/>
      <c r="J119" s="59">
        <v>15000</v>
      </c>
      <c r="K119" s="41">
        <f>(D119*15000)+(E119*15000)+(F119*15000)+(G119*15000)+(H119*15000)+(I119*15000)</f>
        <v>0</v>
      </c>
      <c r="L119" s="48" t="s">
        <v>93</v>
      </c>
    </row>
    <row r="120" spans="1:12" ht="16.5" thickBot="1" x14ac:dyDescent="0.3">
      <c r="A120" s="12"/>
      <c r="B120" s="14"/>
      <c r="C120" s="30" t="s">
        <v>13</v>
      </c>
      <c r="D120" s="37"/>
      <c r="E120" s="37"/>
      <c r="F120" s="37"/>
      <c r="G120" s="37"/>
      <c r="H120" s="37"/>
      <c r="I120" s="37"/>
      <c r="J120" s="60">
        <v>55000</v>
      </c>
      <c r="K120" s="47">
        <f>(D120*55000)+(E120*55000)+(F120*55000)+(G120*55000)+(H120*55000)+(I120*55000)</f>
        <v>0</v>
      </c>
      <c r="L120" s="49">
        <f>K118+K119+K120</f>
        <v>0</v>
      </c>
    </row>
    <row r="121" spans="1:12" ht="16.5" thickBot="1" x14ac:dyDescent="0.3">
      <c r="A121" s="7"/>
      <c r="C121" s="7"/>
      <c r="D121" s="6"/>
      <c r="E121" s="6"/>
      <c r="F121" s="6"/>
      <c r="G121" s="6"/>
      <c r="H121" s="6"/>
      <c r="I121" s="6"/>
      <c r="J121" s="65"/>
    </row>
    <row r="122" spans="1:12" ht="31.5" x14ac:dyDescent="0.25">
      <c r="A122" s="24" t="s">
        <v>50</v>
      </c>
      <c r="B122" s="26" t="s">
        <v>62</v>
      </c>
      <c r="C122" s="29" t="s">
        <v>20</v>
      </c>
      <c r="D122" s="10"/>
      <c r="E122" s="10"/>
      <c r="F122" s="10"/>
      <c r="G122" s="10"/>
      <c r="H122" s="10"/>
      <c r="I122" s="10"/>
      <c r="J122" s="56"/>
      <c r="K122" s="42"/>
      <c r="L122" s="43"/>
    </row>
    <row r="123" spans="1:12" x14ac:dyDescent="0.25">
      <c r="A123" s="11"/>
      <c r="C123" s="17" t="s">
        <v>8</v>
      </c>
      <c r="D123" s="7"/>
      <c r="E123" s="7"/>
      <c r="F123" s="7"/>
      <c r="G123" s="7"/>
      <c r="H123" s="7"/>
      <c r="I123" s="7"/>
      <c r="J123" s="55"/>
      <c r="K123" s="35"/>
      <c r="L123" s="44"/>
    </row>
    <row r="124" spans="1:12" x14ac:dyDescent="0.25">
      <c r="A124" s="11"/>
      <c r="C124" s="18" t="s">
        <v>9</v>
      </c>
      <c r="D124" s="7"/>
      <c r="E124" s="7"/>
      <c r="F124" s="7"/>
      <c r="G124" s="7"/>
      <c r="H124" s="7"/>
      <c r="I124" s="7"/>
      <c r="J124" s="55"/>
      <c r="K124" s="35"/>
      <c r="L124" s="44"/>
    </row>
    <row r="125" spans="1:12" x14ac:dyDescent="0.25">
      <c r="A125" s="11"/>
      <c r="C125" s="18" t="s">
        <v>10</v>
      </c>
      <c r="D125" s="7"/>
      <c r="E125" s="7"/>
      <c r="F125" s="7"/>
      <c r="G125" s="7"/>
      <c r="H125" s="7"/>
      <c r="I125" s="7"/>
      <c r="J125" s="55"/>
      <c r="K125" s="35"/>
      <c r="L125" s="44"/>
    </row>
    <row r="126" spans="1:12" ht="45" x14ac:dyDescent="0.25">
      <c r="A126" s="11"/>
      <c r="C126" s="7"/>
      <c r="D126" s="85" t="s">
        <v>49</v>
      </c>
      <c r="E126" s="85"/>
      <c r="F126" s="85"/>
      <c r="G126" s="85"/>
      <c r="H126" s="85"/>
      <c r="I126" s="85"/>
      <c r="J126" s="57" t="s">
        <v>96</v>
      </c>
      <c r="K126" s="40" t="s">
        <v>95</v>
      </c>
      <c r="L126" s="44"/>
    </row>
    <row r="127" spans="1:12" x14ac:dyDescent="0.25">
      <c r="A127" s="11"/>
      <c r="C127" s="7"/>
      <c r="D127" s="19">
        <v>2026</v>
      </c>
      <c r="E127" s="19">
        <v>2027</v>
      </c>
      <c r="F127" s="19">
        <v>2028</v>
      </c>
      <c r="G127" s="19">
        <v>2029</v>
      </c>
      <c r="H127" s="19">
        <v>2030</v>
      </c>
      <c r="I127" s="38">
        <v>2031</v>
      </c>
      <c r="J127" s="63"/>
      <c r="K127" s="41"/>
      <c r="L127" s="45"/>
    </row>
    <row r="128" spans="1:12" x14ac:dyDescent="0.25">
      <c r="A128" s="11"/>
      <c r="B128" s="8"/>
      <c r="C128" s="20" t="s">
        <v>12</v>
      </c>
      <c r="D128" s="31"/>
      <c r="E128" s="31"/>
      <c r="F128" s="31"/>
      <c r="G128" s="31"/>
      <c r="H128" s="31"/>
      <c r="I128" s="31"/>
      <c r="J128" s="59">
        <v>5000</v>
      </c>
      <c r="K128" s="41">
        <f>(D128*5000)+(E128*5000)+(F128*5000)+(G128*5000)+(H128*5000)+(I128*5000)</f>
        <v>0</v>
      </c>
      <c r="L128" s="45"/>
    </row>
    <row r="129" spans="1:12" ht="16.5" thickBot="1" x14ac:dyDescent="0.3">
      <c r="A129" s="11"/>
      <c r="B129" s="8"/>
      <c r="C129" s="20" t="s">
        <v>11</v>
      </c>
      <c r="D129" s="31"/>
      <c r="E129" s="31"/>
      <c r="F129" s="31"/>
      <c r="G129" s="31"/>
      <c r="H129" s="31"/>
      <c r="I129" s="31"/>
      <c r="J129" s="59">
        <v>15000</v>
      </c>
      <c r="K129" s="41">
        <f>(D129*15000)+(E129*15000)+(F129*15000)+(G129*15000)+(H129*15000)+(I129*15000)</f>
        <v>0</v>
      </c>
      <c r="L129" s="48" t="s">
        <v>93</v>
      </c>
    </row>
    <row r="130" spans="1:12" ht="16.5" thickBot="1" x14ac:dyDescent="0.3">
      <c r="A130" s="12"/>
      <c r="B130" s="14"/>
      <c r="C130" s="30" t="s">
        <v>13</v>
      </c>
      <c r="D130" s="37"/>
      <c r="E130" s="37"/>
      <c r="F130" s="37"/>
      <c r="G130" s="37"/>
      <c r="H130" s="37"/>
      <c r="I130" s="37"/>
      <c r="J130" s="60">
        <v>55000</v>
      </c>
      <c r="K130" s="47">
        <f>(D130*55000)+(E130*55000)+(F130*55000)+(G130*55000)+(H130*55000)+(I130*55000)</f>
        <v>0</v>
      </c>
      <c r="L130" s="49">
        <f>K128+K129+K130</f>
        <v>0</v>
      </c>
    </row>
    <row r="131" spans="1:12" ht="16.5" thickBot="1" x14ac:dyDescent="0.3">
      <c r="A131" s="7"/>
      <c r="C131" s="7"/>
      <c r="D131" s="6"/>
      <c r="E131" s="6"/>
      <c r="F131" s="6"/>
      <c r="G131" s="6"/>
      <c r="H131" s="6"/>
      <c r="I131" s="6"/>
      <c r="J131" s="65"/>
    </row>
    <row r="132" spans="1:12" ht="31.5" x14ac:dyDescent="0.25">
      <c r="A132" s="24" t="s">
        <v>50</v>
      </c>
      <c r="B132" s="26" t="s">
        <v>63</v>
      </c>
      <c r="C132" s="29" t="s">
        <v>94</v>
      </c>
      <c r="D132" s="10"/>
      <c r="E132" s="10"/>
      <c r="F132" s="10"/>
      <c r="G132" s="10"/>
      <c r="H132" s="10"/>
      <c r="I132" s="10"/>
      <c r="J132" s="56"/>
      <c r="K132" s="42"/>
      <c r="L132" s="43"/>
    </row>
    <row r="133" spans="1:12" x14ac:dyDescent="0.25">
      <c r="A133" s="11"/>
      <c r="C133" s="17" t="s">
        <v>8</v>
      </c>
      <c r="D133" s="7"/>
      <c r="E133" s="7"/>
      <c r="F133" s="7"/>
      <c r="G133" s="7"/>
      <c r="H133" s="7"/>
      <c r="I133" s="7"/>
      <c r="J133" s="55"/>
      <c r="K133" s="35"/>
      <c r="L133" s="44"/>
    </row>
    <row r="134" spans="1:12" x14ac:dyDescent="0.25">
      <c r="A134" s="11"/>
      <c r="C134" s="18" t="s">
        <v>9</v>
      </c>
      <c r="D134" s="7"/>
      <c r="E134" s="7"/>
      <c r="F134" s="7"/>
      <c r="G134" s="7"/>
      <c r="H134" s="7"/>
      <c r="I134" s="7"/>
      <c r="J134" s="55"/>
      <c r="K134" s="35"/>
      <c r="L134" s="44"/>
    </row>
    <row r="135" spans="1:12" x14ac:dyDescent="0.25">
      <c r="A135" s="11"/>
      <c r="C135" s="18" t="s">
        <v>10</v>
      </c>
      <c r="D135" s="7"/>
      <c r="E135" s="7"/>
      <c r="F135" s="7"/>
      <c r="G135" s="7"/>
      <c r="H135" s="7"/>
      <c r="I135" s="7"/>
      <c r="J135" s="55"/>
      <c r="K135" s="35"/>
      <c r="L135" s="44"/>
    </row>
    <row r="136" spans="1:12" ht="45" x14ac:dyDescent="0.25">
      <c r="A136" s="11"/>
      <c r="C136" s="7"/>
      <c r="D136" s="85" t="s">
        <v>49</v>
      </c>
      <c r="E136" s="85"/>
      <c r="F136" s="85"/>
      <c r="G136" s="85"/>
      <c r="H136" s="85"/>
      <c r="I136" s="85"/>
      <c r="J136" s="57" t="s">
        <v>96</v>
      </c>
      <c r="K136" s="40" t="s">
        <v>95</v>
      </c>
      <c r="L136" s="44"/>
    </row>
    <row r="137" spans="1:12" x14ac:dyDescent="0.25">
      <c r="A137" s="11"/>
      <c r="C137" s="7"/>
      <c r="D137" s="19">
        <v>2026</v>
      </c>
      <c r="E137" s="19">
        <v>2027</v>
      </c>
      <c r="F137" s="19">
        <v>2028</v>
      </c>
      <c r="G137" s="19">
        <v>2029</v>
      </c>
      <c r="H137" s="19">
        <v>2030</v>
      </c>
      <c r="I137" s="38">
        <v>2031</v>
      </c>
      <c r="J137" s="63"/>
      <c r="K137" s="41"/>
      <c r="L137" s="45"/>
    </row>
    <row r="138" spans="1:12" x14ac:dyDescent="0.25">
      <c r="A138" s="11"/>
      <c r="B138" s="8"/>
      <c r="C138" s="20" t="s">
        <v>12</v>
      </c>
      <c r="D138" s="31"/>
      <c r="E138" s="31"/>
      <c r="F138" s="31"/>
      <c r="G138" s="31"/>
      <c r="H138" s="31"/>
      <c r="I138" s="31"/>
      <c r="J138" s="59">
        <v>5000</v>
      </c>
      <c r="K138" s="41">
        <f>(D138*5000)+(E138*5000)+(F138*5000)+(G138*5000)+(H138*5000)+(I138*5000)</f>
        <v>0</v>
      </c>
      <c r="L138" s="45"/>
    </row>
    <row r="139" spans="1:12" ht="16.5" thickBot="1" x14ac:dyDescent="0.3">
      <c r="A139" s="11"/>
      <c r="B139" s="8"/>
      <c r="C139" s="20" t="s">
        <v>11</v>
      </c>
      <c r="D139" s="31"/>
      <c r="E139" s="31"/>
      <c r="F139" s="31"/>
      <c r="G139" s="31"/>
      <c r="H139" s="31"/>
      <c r="I139" s="31"/>
      <c r="J139" s="59">
        <v>15000</v>
      </c>
      <c r="K139" s="41">
        <f>(D139*15000)+(E139*15000)+(F139*15000)+(G139*15000)+(H139*15000)+(I139*15000)</f>
        <v>0</v>
      </c>
      <c r="L139" s="48" t="s">
        <v>93</v>
      </c>
    </row>
    <row r="140" spans="1:12" ht="16.5" thickBot="1" x14ac:dyDescent="0.3">
      <c r="A140" s="12"/>
      <c r="B140" s="14"/>
      <c r="C140" s="30" t="s">
        <v>13</v>
      </c>
      <c r="D140" s="37"/>
      <c r="E140" s="37"/>
      <c r="F140" s="37"/>
      <c r="G140" s="37"/>
      <c r="H140" s="37"/>
      <c r="I140" s="37"/>
      <c r="J140" s="60">
        <v>55000</v>
      </c>
      <c r="K140" s="47">
        <f>(D140*55000)+(E140*55000)+(F140*55000)+(G140*55000)+(H140*55000)+(I140*55000)</f>
        <v>0</v>
      </c>
      <c r="L140" s="49">
        <f>K138+K139+K140</f>
        <v>0</v>
      </c>
    </row>
    <row r="141" spans="1:12" ht="16.5" thickBot="1" x14ac:dyDescent="0.3">
      <c r="A141" s="7"/>
      <c r="C141" s="7"/>
      <c r="D141" s="7"/>
      <c r="E141" s="7"/>
      <c r="F141" s="7"/>
      <c r="G141" s="7"/>
      <c r="H141" s="7"/>
      <c r="I141" s="7"/>
      <c r="J141" s="55"/>
      <c r="K141" s="33"/>
    </row>
    <row r="142" spans="1:12" x14ac:dyDescent="0.25">
      <c r="A142" s="24" t="s">
        <v>50</v>
      </c>
      <c r="B142" s="25" t="s">
        <v>64</v>
      </c>
      <c r="C142" s="22" t="s">
        <v>21</v>
      </c>
      <c r="D142" s="10"/>
      <c r="E142" s="10"/>
      <c r="F142" s="10"/>
      <c r="G142" s="10"/>
      <c r="H142" s="10"/>
      <c r="I142" s="10"/>
      <c r="J142" s="56"/>
      <c r="K142" s="51"/>
      <c r="L142" s="43"/>
    </row>
    <row r="143" spans="1:12" x14ac:dyDescent="0.25">
      <c r="A143" s="11"/>
      <c r="B143" s="8"/>
      <c r="C143" s="18" t="s">
        <v>9</v>
      </c>
      <c r="D143" s="7"/>
      <c r="E143" s="7"/>
      <c r="F143" s="7"/>
      <c r="G143" s="7"/>
      <c r="H143" s="7"/>
      <c r="I143" s="7"/>
      <c r="J143" s="55"/>
      <c r="K143" s="35"/>
      <c r="L143" s="44"/>
    </row>
    <row r="144" spans="1:12" x14ac:dyDescent="0.25">
      <c r="A144" s="11"/>
      <c r="B144" s="8"/>
      <c r="C144" s="18" t="s">
        <v>10</v>
      </c>
      <c r="D144" s="7"/>
      <c r="E144" s="7"/>
      <c r="F144" s="7"/>
      <c r="G144" s="7"/>
      <c r="H144" s="7"/>
      <c r="I144" s="7"/>
      <c r="J144" s="55"/>
      <c r="K144" s="35"/>
      <c r="L144" s="44"/>
    </row>
    <row r="145" spans="1:12" ht="45" x14ac:dyDescent="0.25">
      <c r="A145" s="11"/>
      <c r="B145" s="8"/>
      <c r="C145" s="7"/>
      <c r="D145" s="85" t="s">
        <v>49</v>
      </c>
      <c r="E145" s="85"/>
      <c r="F145" s="85"/>
      <c r="G145" s="85"/>
      <c r="H145" s="85"/>
      <c r="I145" s="85"/>
      <c r="J145" s="57" t="s">
        <v>96</v>
      </c>
      <c r="K145" s="40" t="s">
        <v>95</v>
      </c>
      <c r="L145" s="44"/>
    </row>
    <row r="146" spans="1:12" ht="16.5" thickBot="1" x14ac:dyDescent="0.3">
      <c r="A146" s="11"/>
      <c r="B146" s="8"/>
      <c r="C146" s="7"/>
      <c r="D146" s="19">
        <v>2026</v>
      </c>
      <c r="E146" s="19">
        <v>2027</v>
      </c>
      <c r="F146" s="19">
        <v>2028</v>
      </c>
      <c r="G146" s="19">
        <v>2029</v>
      </c>
      <c r="H146" s="19">
        <v>2030</v>
      </c>
      <c r="I146" s="38">
        <v>2031</v>
      </c>
      <c r="J146" s="55"/>
      <c r="K146" s="35"/>
      <c r="L146" s="48" t="s">
        <v>93</v>
      </c>
    </row>
    <row r="147" spans="1:12" ht="16.5" thickBot="1" x14ac:dyDescent="0.3">
      <c r="A147" s="12"/>
      <c r="B147" s="14"/>
      <c r="C147" s="28" t="s">
        <v>22</v>
      </c>
      <c r="D147" s="37"/>
      <c r="E147" s="37"/>
      <c r="F147" s="37"/>
      <c r="G147" s="37"/>
      <c r="H147" s="37"/>
      <c r="I147" s="37"/>
      <c r="J147" s="60">
        <v>500</v>
      </c>
      <c r="K147" s="47">
        <f>(D147*500)+(E147*500)+(F147*500)+(G147*500)+(H147*500)+(I147*500)</f>
        <v>0</v>
      </c>
      <c r="L147" s="50">
        <f>K147</f>
        <v>0</v>
      </c>
    </row>
    <row r="148" spans="1:12" ht="16.5" thickBot="1" x14ac:dyDescent="0.3">
      <c r="A148" s="7"/>
      <c r="C148" s="7"/>
      <c r="D148" s="7"/>
      <c r="E148" s="7"/>
      <c r="F148" s="7"/>
      <c r="G148" s="7"/>
      <c r="H148" s="7"/>
      <c r="I148" s="7"/>
      <c r="J148" s="55"/>
    </row>
    <row r="149" spans="1:12" ht="31.5" x14ac:dyDescent="0.25">
      <c r="A149" s="24" t="s">
        <v>50</v>
      </c>
      <c r="B149" s="26" t="s">
        <v>65</v>
      </c>
      <c r="C149" s="29" t="s">
        <v>107</v>
      </c>
      <c r="D149" s="10"/>
      <c r="E149" s="10"/>
      <c r="F149" s="10"/>
      <c r="G149" s="10"/>
      <c r="H149" s="10"/>
      <c r="I149" s="10"/>
      <c r="J149" s="56"/>
      <c r="K149" s="42"/>
      <c r="L149" s="43"/>
    </row>
    <row r="150" spans="1:12" x14ac:dyDescent="0.25">
      <c r="A150" s="11"/>
      <c r="C150" s="17" t="s">
        <v>8</v>
      </c>
      <c r="D150" s="7"/>
      <c r="E150" s="7"/>
      <c r="F150" s="7"/>
      <c r="G150" s="7"/>
      <c r="H150" s="7"/>
      <c r="I150" s="7"/>
      <c r="J150" s="55"/>
      <c r="K150" s="35"/>
      <c r="L150" s="44"/>
    </row>
    <row r="151" spans="1:12" x14ac:dyDescent="0.25">
      <c r="A151" s="11"/>
      <c r="C151" s="18" t="s">
        <v>9</v>
      </c>
      <c r="D151" s="7"/>
      <c r="E151" s="7"/>
      <c r="F151" s="7"/>
      <c r="G151" s="7"/>
      <c r="H151" s="7"/>
      <c r="I151" s="7"/>
      <c r="J151" s="55"/>
      <c r="K151" s="35"/>
      <c r="L151" s="44"/>
    </row>
    <row r="152" spans="1:12" x14ac:dyDescent="0.25">
      <c r="A152" s="11"/>
      <c r="C152" s="18" t="s">
        <v>10</v>
      </c>
      <c r="D152" s="7"/>
      <c r="E152" s="7"/>
      <c r="F152" s="7"/>
      <c r="G152" s="7"/>
      <c r="H152" s="7"/>
      <c r="I152" s="7"/>
      <c r="J152" s="55"/>
      <c r="K152" s="35"/>
      <c r="L152" s="44"/>
    </row>
    <row r="153" spans="1:12" ht="45" x14ac:dyDescent="0.25">
      <c r="A153" s="11"/>
      <c r="C153" s="7"/>
      <c r="D153" s="85" t="s">
        <v>49</v>
      </c>
      <c r="E153" s="85"/>
      <c r="F153" s="85"/>
      <c r="G153" s="85"/>
      <c r="H153" s="85"/>
      <c r="I153" s="85"/>
      <c r="J153" s="57" t="s">
        <v>96</v>
      </c>
      <c r="K153" s="40" t="s">
        <v>95</v>
      </c>
      <c r="L153" s="44"/>
    </row>
    <row r="154" spans="1:12" x14ac:dyDescent="0.25">
      <c r="A154" s="11"/>
      <c r="C154" s="7"/>
      <c r="D154" s="19">
        <v>2026</v>
      </c>
      <c r="E154" s="19">
        <v>2027</v>
      </c>
      <c r="F154" s="19">
        <v>2028</v>
      </c>
      <c r="G154" s="19">
        <v>2029</v>
      </c>
      <c r="H154" s="19">
        <v>2030</v>
      </c>
      <c r="I154" s="38">
        <v>2031</v>
      </c>
      <c r="J154" s="63"/>
      <c r="K154" s="41"/>
      <c r="L154" s="45"/>
    </row>
    <row r="155" spans="1:12" x14ac:dyDescent="0.25">
      <c r="A155" s="11"/>
      <c r="B155" s="8"/>
      <c r="C155" s="20" t="s">
        <v>12</v>
      </c>
      <c r="D155" s="31"/>
      <c r="E155" s="31"/>
      <c r="F155" s="31"/>
      <c r="G155" s="31"/>
      <c r="H155" s="31"/>
      <c r="I155" s="31"/>
      <c r="J155" s="59">
        <v>5000</v>
      </c>
      <c r="K155" s="41">
        <f>(D155*5000)+(E155*5000)+(F155*5000)+(G155*5000)+(H155*5000)+(I155*5000)</f>
        <v>0</v>
      </c>
      <c r="L155" s="45"/>
    </row>
    <row r="156" spans="1:12" ht="16.5" thickBot="1" x14ac:dyDescent="0.3">
      <c r="A156" s="11"/>
      <c r="B156" s="8"/>
      <c r="C156" s="20" t="s">
        <v>11</v>
      </c>
      <c r="D156" s="31"/>
      <c r="E156" s="31"/>
      <c r="F156" s="31"/>
      <c r="G156" s="31"/>
      <c r="H156" s="31"/>
      <c r="I156" s="31"/>
      <c r="J156" s="59">
        <v>15000</v>
      </c>
      <c r="K156" s="41">
        <f>(D156*15000)+(E156*15000)+(F156*15000)+(G156*15000)+(H156*15000)+(I156*15000)</f>
        <v>0</v>
      </c>
      <c r="L156" s="48" t="s">
        <v>93</v>
      </c>
    </row>
    <row r="157" spans="1:12" ht="16.5" thickBot="1" x14ac:dyDescent="0.3">
      <c r="A157" s="12"/>
      <c r="B157" s="14"/>
      <c r="C157" s="30" t="s">
        <v>13</v>
      </c>
      <c r="D157" s="37"/>
      <c r="E157" s="37"/>
      <c r="F157" s="37"/>
      <c r="G157" s="37"/>
      <c r="H157" s="37"/>
      <c r="I157" s="37"/>
      <c r="J157" s="60">
        <v>55000</v>
      </c>
      <c r="K157" s="47">
        <f>(D157*55000)+(E157*55000)+(F157*55000)+(G157*55000)+(H157*55000)+(I157*55000)</f>
        <v>0</v>
      </c>
      <c r="L157" s="49">
        <f>K155+K156+K157</f>
        <v>0</v>
      </c>
    </row>
    <row r="158" spans="1:12" ht="16.5" thickBot="1" x14ac:dyDescent="0.3">
      <c r="A158" s="7"/>
      <c r="C158" s="7"/>
      <c r="D158" s="72"/>
      <c r="E158" s="72"/>
      <c r="F158" s="72"/>
      <c r="G158" s="72"/>
      <c r="H158" s="72"/>
      <c r="I158" s="72"/>
      <c r="J158" s="70"/>
      <c r="K158" s="34"/>
      <c r="L158" s="73"/>
    </row>
    <row r="159" spans="1:12" ht="31.5" x14ac:dyDescent="0.25">
      <c r="A159" s="24" t="s">
        <v>50</v>
      </c>
      <c r="B159" s="26" t="s">
        <v>66</v>
      </c>
      <c r="C159" s="29" t="s">
        <v>108</v>
      </c>
      <c r="D159" s="10"/>
      <c r="E159" s="10"/>
      <c r="F159" s="10"/>
      <c r="G159" s="10"/>
      <c r="H159" s="10"/>
      <c r="I159" s="10"/>
      <c r="J159" s="56"/>
      <c r="K159" s="42"/>
      <c r="L159" s="43"/>
    </row>
    <row r="160" spans="1:12" x14ac:dyDescent="0.25">
      <c r="A160" s="11"/>
      <c r="C160" s="17" t="s">
        <v>8</v>
      </c>
      <c r="D160" s="7"/>
      <c r="E160" s="7"/>
      <c r="F160" s="7"/>
      <c r="G160" s="7"/>
      <c r="H160" s="7"/>
      <c r="I160" s="7"/>
      <c r="J160" s="55"/>
      <c r="K160" s="35"/>
      <c r="L160" s="44"/>
    </row>
    <row r="161" spans="1:12" x14ac:dyDescent="0.25">
      <c r="A161" s="11"/>
      <c r="C161" s="18" t="s">
        <v>9</v>
      </c>
      <c r="D161" s="7"/>
      <c r="E161" s="7"/>
      <c r="F161" s="7"/>
      <c r="G161" s="7"/>
      <c r="H161" s="7"/>
      <c r="I161" s="7"/>
      <c r="J161" s="55"/>
      <c r="K161" s="35"/>
      <c r="L161" s="44"/>
    </row>
    <row r="162" spans="1:12" x14ac:dyDescent="0.25">
      <c r="A162" s="11"/>
      <c r="C162" s="18" t="s">
        <v>10</v>
      </c>
      <c r="D162" s="7"/>
      <c r="E162" s="7"/>
      <c r="F162" s="7"/>
      <c r="G162" s="7"/>
      <c r="H162" s="7"/>
      <c r="I162" s="7"/>
      <c r="J162" s="55"/>
      <c r="K162" s="35"/>
      <c r="L162" s="44"/>
    </row>
    <row r="163" spans="1:12" ht="45" x14ac:dyDescent="0.25">
      <c r="A163" s="11"/>
      <c r="C163" s="7"/>
      <c r="D163" s="85" t="s">
        <v>49</v>
      </c>
      <c r="E163" s="85"/>
      <c r="F163" s="85"/>
      <c r="G163" s="85"/>
      <c r="H163" s="85"/>
      <c r="I163" s="85"/>
      <c r="J163" s="57" t="s">
        <v>96</v>
      </c>
      <c r="K163" s="40" t="s">
        <v>95</v>
      </c>
      <c r="L163" s="44"/>
    </row>
    <row r="164" spans="1:12" x14ac:dyDescent="0.25">
      <c r="A164" s="11"/>
      <c r="C164" s="7"/>
      <c r="D164" s="19">
        <v>2026</v>
      </c>
      <c r="E164" s="19">
        <v>2027</v>
      </c>
      <c r="F164" s="19">
        <v>2028</v>
      </c>
      <c r="G164" s="19">
        <v>2029</v>
      </c>
      <c r="H164" s="19">
        <v>2030</v>
      </c>
      <c r="I164" s="38">
        <v>2031</v>
      </c>
      <c r="J164" s="63"/>
      <c r="K164" s="41"/>
      <c r="L164" s="45"/>
    </row>
    <row r="165" spans="1:12" x14ac:dyDescent="0.25">
      <c r="A165" s="11"/>
      <c r="B165" s="8"/>
      <c r="C165" s="20" t="s">
        <v>12</v>
      </c>
      <c r="D165" s="31"/>
      <c r="E165" s="31"/>
      <c r="F165" s="31"/>
      <c r="G165" s="31"/>
      <c r="H165" s="31"/>
      <c r="I165" s="31"/>
      <c r="J165" s="59">
        <v>5000</v>
      </c>
      <c r="K165" s="41">
        <f>(D165*5000)+(E165*5000)+(F165*5000)+(G165*5000)+(H165*5000)+(I165*5000)</f>
        <v>0</v>
      </c>
      <c r="L165" s="45"/>
    </row>
    <row r="166" spans="1:12" ht="16.5" thickBot="1" x14ac:dyDescent="0.3">
      <c r="A166" s="11"/>
      <c r="B166" s="8"/>
      <c r="C166" s="20" t="s">
        <v>11</v>
      </c>
      <c r="D166" s="31"/>
      <c r="E166" s="31"/>
      <c r="F166" s="31"/>
      <c r="G166" s="31"/>
      <c r="H166" s="31"/>
      <c r="I166" s="31"/>
      <c r="J166" s="59">
        <v>15000</v>
      </c>
      <c r="K166" s="41">
        <f>(D166*15000)+(E166*15000)+(F166*15000)+(G166*15000)+(H166*15000)+(I166*15000)</f>
        <v>0</v>
      </c>
      <c r="L166" s="48" t="s">
        <v>93</v>
      </c>
    </row>
    <row r="167" spans="1:12" ht="16.5" thickBot="1" x14ac:dyDescent="0.3">
      <c r="A167" s="12"/>
      <c r="B167" s="14"/>
      <c r="C167" s="30" t="s">
        <v>13</v>
      </c>
      <c r="D167" s="37"/>
      <c r="E167" s="37"/>
      <c r="F167" s="37"/>
      <c r="G167" s="37"/>
      <c r="H167" s="37"/>
      <c r="I167" s="37"/>
      <c r="J167" s="60">
        <v>55000</v>
      </c>
      <c r="K167" s="47">
        <f>(D167*55000)+(E167*55000)+(F167*55000)+(G167*55000)+(H167*55000)+(I167*55000)</f>
        <v>0</v>
      </c>
      <c r="L167" s="49">
        <f>K165+K166+K167</f>
        <v>0</v>
      </c>
    </row>
    <row r="168" spans="1:12" ht="16.5" thickBot="1" x14ac:dyDescent="0.3">
      <c r="A168" s="7"/>
      <c r="C168" s="7"/>
      <c r="D168" s="72"/>
      <c r="E168" s="72"/>
      <c r="F168" s="72"/>
      <c r="G168" s="72"/>
      <c r="H168" s="72"/>
      <c r="I168" s="72"/>
      <c r="J168" s="70"/>
      <c r="K168" s="34"/>
      <c r="L168" s="73"/>
    </row>
    <row r="169" spans="1:12" ht="31.5" x14ac:dyDescent="0.25">
      <c r="A169" s="24" t="s">
        <v>50</v>
      </c>
      <c r="B169" s="26" t="s">
        <v>67</v>
      </c>
      <c r="C169" s="29" t="s">
        <v>107</v>
      </c>
      <c r="D169" s="10"/>
      <c r="E169" s="10"/>
      <c r="F169" s="10"/>
      <c r="G169" s="10"/>
      <c r="H169" s="10"/>
      <c r="I169" s="10"/>
      <c r="J169" s="56"/>
      <c r="K169" s="42"/>
      <c r="L169" s="43"/>
    </row>
    <row r="170" spans="1:12" x14ac:dyDescent="0.25">
      <c r="A170" s="11"/>
      <c r="C170" s="17" t="s">
        <v>8</v>
      </c>
      <c r="D170" s="7"/>
      <c r="E170" s="7"/>
      <c r="F170" s="7"/>
      <c r="G170" s="7"/>
      <c r="H170" s="7"/>
      <c r="I170" s="7"/>
      <c r="J170" s="55"/>
      <c r="K170" s="35"/>
      <c r="L170" s="44"/>
    </row>
    <row r="171" spans="1:12" x14ac:dyDescent="0.25">
      <c r="A171" s="11"/>
      <c r="C171" s="18" t="s">
        <v>9</v>
      </c>
      <c r="D171" s="7"/>
      <c r="E171" s="7"/>
      <c r="F171" s="7"/>
      <c r="G171" s="7"/>
      <c r="H171" s="7"/>
      <c r="I171" s="7"/>
      <c r="J171" s="55"/>
      <c r="K171" s="35"/>
      <c r="L171" s="44"/>
    </row>
    <row r="172" spans="1:12" x14ac:dyDescent="0.25">
      <c r="A172" s="11"/>
      <c r="C172" s="18" t="s">
        <v>10</v>
      </c>
      <c r="D172" s="7"/>
      <c r="E172" s="7"/>
      <c r="F172" s="7"/>
      <c r="G172" s="7"/>
      <c r="H172" s="7"/>
      <c r="I172" s="7"/>
      <c r="J172" s="55"/>
      <c r="K172" s="35"/>
      <c r="L172" s="44"/>
    </row>
    <row r="173" spans="1:12" ht="45" x14ac:dyDescent="0.25">
      <c r="A173" s="11"/>
      <c r="C173" s="7"/>
      <c r="D173" s="85" t="s">
        <v>49</v>
      </c>
      <c r="E173" s="85"/>
      <c r="F173" s="85"/>
      <c r="G173" s="85"/>
      <c r="H173" s="85"/>
      <c r="I173" s="85"/>
      <c r="J173" s="57" t="s">
        <v>96</v>
      </c>
      <c r="K173" s="40" t="s">
        <v>95</v>
      </c>
      <c r="L173" s="44"/>
    </row>
    <row r="174" spans="1:12" x14ac:dyDescent="0.25">
      <c r="A174" s="11"/>
      <c r="C174" s="7"/>
      <c r="D174" s="19">
        <v>2026</v>
      </c>
      <c r="E174" s="19">
        <v>2027</v>
      </c>
      <c r="F174" s="19">
        <v>2028</v>
      </c>
      <c r="G174" s="19">
        <v>2029</v>
      </c>
      <c r="H174" s="19">
        <v>2030</v>
      </c>
      <c r="I174" s="38">
        <v>2031</v>
      </c>
      <c r="J174" s="63"/>
      <c r="K174" s="41"/>
      <c r="L174" s="45"/>
    </row>
    <row r="175" spans="1:12" x14ac:dyDescent="0.25">
      <c r="A175" s="11"/>
      <c r="B175" s="8"/>
      <c r="C175" s="20" t="s">
        <v>12</v>
      </c>
      <c r="D175" s="31"/>
      <c r="E175" s="31"/>
      <c r="F175" s="31"/>
      <c r="G175" s="31"/>
      <c r="H175" s="31"/>
      <c r="I175" s="31"/>
      <c r="J175" s="59">
        <v>5000</v>
      </c>
      <c r="K175" s="41">
        <f>(D175*5000)+(E175*5000)+(F175*5000)+(G175*5000)+(H175*5000)+(I175*5000)</f>
        <v>0</v>
      </c>
      <c r="L175" s="45"/>
    </row>
    <row r="176" spans="1:12" ht="16.5" thickBot="1" x14ac:dyDescent="0.3">
      <c r="A176" s="11"/>
      <c r="B176" s="8"/>
      <c r="C176" s="20" t="s">
        <v>11</v>
      </c>
      <c r="D176" s="31"/>
      <c r="E176" s="31"/>
      <c r="F176" s="31"/>
      <c r="G176" s="31"/>
      <c r="H176" s="31"/>
      <c r="I176" s="31"/>
      <c r="J176" s="59">
        <v>15000</v>
      </c>
      <c r="K176" s="41">
        <f>(D176*15000)+(E176*15000)+(F176*15000)+(G176*15000)+(H176*15000)+(I176*15000)</f>
        <v>0</v>
      </c>
      <c r="L176" s="48" t="s">
        <v>93</v>
      </c>
    </row>
    <row r="177" spans="1:12" ht="16.5" thickBot="1" x14ac:dyDescent="0.3">
      <c r="A177" s="12"/>
      <c r="B177" s="14"/>
      <c r="C177" s="30" t="s">
        <v>13</v>
      </c>
      <c r="D177" s="37"/>
      <c r="E177" s="37"/>
      <c r="F177" s="37"/>
      <c r="G177" s="37"/>
      <c r="H177" s="37"/>
      <c r="I177" s="37"/>
      <c r="J177" s="60">
        <v>55000</v>
      </c>
      <c r="K177" s="47">
        <f>(D177*55000)+(E177*55000)+(F177*55000)+(G177*55000)+(H177*55000)+(I177*55000)</f>
        <v>0</v>
      </c>
      <c r="L177" s="49">
        <f>K175+K176+K177</f>
        <v>0</v>
      </c>
    </row>
    <row r="178" spans="1:12" x14ac:dyDescent="0.25">
      <c r="A178" s="7"/>
      <c r="C178" s="7"/>
      <c r="D178" s="72"/>
      <c r="E178" s="72"/>
      <c r="F178" s="72"/>
      <c r="G178" s="72"/>
      <c r="H178" s="72"/>
      <c r="I178" s="72"/>
      <c r="J178" s="70"/>
      <c r="K178" s="34"/>
      <c r="L178" s="73"/>
    </row>
    <row r="179" spans="1:12" x14ac:dyDescent="0.25">
      <c r="A179" s="7"/>
      <c r="C179" s="7"/>
      <c r="D179" s="7"/>
      <c r="E179" s="7"/>
      <c r="F179" s="7"/>
      <c r="G179" s="7"/>
      <c r="H179" s="7"/>
      <c r="I179" s="7"/>
      <c r="J179" s="55"/>
      <c r="K179" s="33"/>
    </row>
    <row r="180" spans="1:12" x14ac:dyDescent="0.25">
      <c r="A180" s="83" t="s">
        <v>2</v>
      </c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</row>
    <row r="181" spans="1:12" ht="16.5" thickBot="1" x14ac:dyDescent="0.3">
      <c r="A181" s="7"/>
      <c r="C181" s="7"/>
      <c r="D181" s="7"/>
      <c r="E181" s="7"/>
      <c r="F181" s="7"/>
      <c r="G181" s="7"/>
      <c r="H181" s="7"/>
      <c r="I181" s="7"/>
      <c r="J181" s="55"/>
    </row>
    <row r="182" spans="1:12" ht="15" customHeight="1" x14ac:dyDescent="0.25">
      <c r="A182" s="24" t="s">
        <v>50</v>
      </c>
      <c r="B182" s="25" t="s">
        <v>68</v>
      </c>
      <c r="C182" s="22" t="s">
        <v>23</v>
      </c>
      <c r="D182" s="10"/>
      <c r="E182" s="10"/>
      <c r="F182" s="10"/>
      <c r="G182" s="10"/>
      <c r="H182" s="10"/>
      <c r="I182" s="10"/>
      <c r="J182" s="56"/>
      <c r="K182" s="42"/>
      <c r="L182" s="43"/>
    </row>
    <row r="183" spans="1:12" x14ac:dyDescent="0.25">
      <c r="A183" s="11"/>
      <c r="C183" s="17" t="s">
        <v>1</v>
      </c>
      <c r="D183" s="7"/>
      <c r="E183" s="7"/>
      <c r="F183" s="7"/>
      <c r="G183" s="7"/>
      <c r="H183" s="7"/>
      <c r="I183" s="7"/>
      <c r="J183" s="55"/>
      <c r="K183" s="35"/>
      <c r="L183" s="44"/>
    </row>
    <row r="184" spans="1:12" x14ac:dyDescent="0.25">
      <c r="A184" s="11"/>
      <c r="C184" s="17" t="s">
        <v>26</v>
      </c>
      <c r="D184" s="7"/>
      <c r="E184" s="7"/>
      <c r="F184" s="7"/>
      <c r="G184" s="7"/>
      <c r="H184" s="7"/>
      <c r="I184" s="7"/>
      <c r="J184" s="55"/>
      <c r="K184" s="34"/>
      <c r="L184" s="44"/>
    </row>
    <row r="185" spans="1:12" x14ac:dyDescent="0.25">
      <c r="A185" s="11"/>
      <c r="B185" s="8"/>
      <c r="C185" s="18" t="s">
        <v>9</v>
      </c>
      <c r="D185" s="7"/>
      <c r="E185" s="7"/>
      <c r="F185" s="7"/>
      <c r="G185" s="7"/>
      <c r="H185" s="7"/>
      <c r="I185" s="7"/>
      <c r="J185" s="55"/>
      <c r="K185" s="34"/>
      <c r="L185" s="44"/>
    </row>
    <row r="186" spans="1:12" x14ac:dyDescent="0.25">
      <c r="A186" s="11"/>
      <c r="B186" s="8"/>
      <c r="C186" s="18" t="s">
        <v>10</v>
      </c>
      <c r="D186" s="3"/>
      <c r="E186" s="7"/>
      <c r="F186" s="7"/>
      <c r="G186" s="7"/>
      <c r="H186" s="7"/>
      <c r="I186" s="7"/>
      <c r="J186" s="55"/>
      <c r="K186" s="34"/>
      <c r="L186" s="44"/>
    </row>
    <row r="187" spans="1:12" ht="45" x14ac:dyDescent="0.25">
      <c r="A187" s="11"/>
      <c r="B187" s="8"/>
      <c r="C187" s="7"/>
      <c r="D187" s="85" t="s">
        <v>49</v>
      </c>
      <c r="E187" s="85"/>
      <c r="F187" s="85"/>
      <c r="G187" s="85"/>
      <c r="H187" s="85"/>
      <c r="I187" s="85"/>
      <c r="J187" s="57" t="s">
        <v>96</v>
      </c>
      <c r="K187" s="40" t="s">
        <v>95</v>
      </c>
      <c r="L187" s="44"/>
    </row>
    <row r="188" spans="1:12" ht="16.5" thickBot="1" x14ac:dyDescent="0.3">
      <c r="A188" s="11"/>
      <c r="B188" s="8"/>
      <c r="C188" s="7"/>
      <c r="D188" s="19">
        <v>2026</v>
      </c>
      <c r="E188" s="19">
        <v>2027</v>
      </c>
      <c r="F188" s="19">
        <v>2028</v>
      </c>
      <c r="G188" s="19">
        <v>2029</v>
      </c>
      <c r="H188" s="19">
        <v>2030</v>
      </c>
      <c r="I188" s="38">
        <v>2031</v>
      </c>
      <c r="J188" s="55"/>
      <c r="K188" s="35"/>
      <c r="L188" s="48" t="s">
        <v>93</v>
      </c>
    </row>
    <row r="189" spans="1:12" ht="16.5" thickBot="1" x14ac:dyDescent="0.3">
      <c r="A189" s="12"/>
      <c r="B189" s="14"/>
      <c r="C189" s="28" t="s">
        <v>22</v>
      </c>
      <c r="D189" s="37"/>
      <c r="E189" s="37"/>
      <c r="F189" s="37"/>
      <c r="G189" s="37"/>
      <c r="H189" s="37"/>
      <c r="I189" s="37"/>
      <c r="J189" s="60">
        <v>500</v>
      </c>
      <c r="K189" s="47">
        <f>(D189*500)+(E189*500)+(F189*500)+(G189*500)+(H189*500)+(I189*500)</f>
        <v>0</v>
      </c>
      <c r="L189" s="50">
        <f>K189</f>
        <v>0</v>
      </c>
    </row>
    <row r="190" spans="1:12" ht="16.5" thickBot="1" x14ac:dyDescent="0.3">
      <c r="A190" s="7"/>
      <c r="B190" s="8"/>
      <c r="C190" s="7"/>
      <c r="D190" s="3"/>
      <c r="E190" s="7"/>
      <c r="F190" s="7"/>
      <c r="G190" s="7"/>
      <c r="H190" s="7"/>
      <c r="I190" s="7"/>
      <c r="J190" s="55"/>
    </row>
    <row r="191" spans="1:12" x14ac:dyDescent="0.25">
      <c r="A191" s="24" t="s">
        <v>50</v>
      </c>
      <c r="B191" s="25" t="s">
        <v>69</v>
      </c>
      <c r="C191" s="22" t="s">
        <v>24</v>
      </c>
      <c r="D191" s="10"/>
      <c r="E191" s="10"/>
      <c r="F191" s="10"/>
      <c r="G191" s="10"/>
      <c r="H191" s="10"/>
      <c r="I191" s="10"/>
      <c r="J191" s="56"/>
      <c r="K191" s="42"/>
      <c r="L191" s="43"/>
    </row>
    <row r="192" spans="1:12" x14ac:dyDescent="0.25">
      <c r="A192" s="11"/>
      <c r="C192" s="17" t="s">
        <v>1</v>
      </c>
      <c r="D192" s="7"/>
      <c r="E192" s="7"/>
      <c r="F192" s="7"/>
      <c r="G192" s="7"/>
      <c r="H192" s="7"/>
      <c r="I192" s="7"/>
      <c r="J192" s="55"/>
      <c r="K192" s="35"/>
      <c r="L192" s="44"/>
    </row>
    <row r="193" spans="1:12" x14ac:dyDescent="0.25">
      <c r="A193" s="11"/>
      <c r="C193" s="17" t="s">
        <v>25</v>
      </c>
      <c r="D193" s="7"/>
      <c r="E193" s="7"/>
      <c r="F193" s="7"/>
      <c r="G193" s="7"/>
      <c r="H193" s="7"/>
      <c r="I193" s="7"/>
      <c r="J193" s="55"/>
      <c r="K193" s="35"/>
      <c r="L193" s="44"/>
    </row>
    <row r="194" spans="1:12" x14ac:dyDescent="0.25">
      <c r="A194" s="11"/>
      <c r="B194" s="8"/>
      <c r="C194" s="18" t="s">
        <v>9</v>
      </c>
      <c r="D194" s="7"/>
      <c r="E194" s="7"/>
      <c r="F194" s="7"/>
      <c r="G194" s="7"/>
      <c r="H194" s="7"/>
      <c r="I194" s="7"/>
      <c r="J194" s="55"/>
      <c r="K194" s="35"/>
      <c r="L194" s="44"/>
    </row>
    <row r="195" spans="1:12" x14ac:dyDescent="0.25">
      <c r="A195" s="11"/>
      <c r="B195" s="8"/>
      <c r="C195" s="18" t="s">
        <v>10</v>
      </c>
      <c r="D195" s="3"/>
      <c r="E195" s="7"/>
      <c r="F195" s="7"/>
      <c r="G195" s="7"/>
      <c r="H195" s="7"/>
      <c r="I195" s="7"/>
      <c r="J195" s="55"/>
      <c r="K195" s="34"/>
      <c r="L195" s="44"/>
    </row>
    <row r="196" spans="1:12" ht="45" x14ac:dyDescent="0.25">
      <c r="A196" s="11"/>
      <c r="B196" s="8"/>
      <c r="C196" s="7"/>
      <c r="D196" s="85" t="s">
        <v>49</v>
      </c>
      <c r="E196" s="85"/>
      <c r="F196" s="85"/>
      <c r="G196" s="85"/>
      <c r="H196" s="85"/>
      <c r="I196" s="85"/>
      <c r="J196" s="57" t="s">
        <v>96</v>
      </c>
      <c r="K196" s="40" t="s">
        <v>95</v>
      </c>
      <c r="L196" s="44"/>
    </row>
    <row r="197" spans="1:12" ht="16.5" thickBot="1" x14ac:dyDescent="0.3">
      <c r="A197" s="11"/>
      <c r="B197" s="8"/>
      <c r="C197" s="7"/>
      <c r="D197" s="19">
        <v>2026</v>
      </c>
      <c r="E197" s="19">
        <v>2027</v>
      </c>
      <c r="F197" s="19">
        <v>2028</v>
      </c>
      <c r="G197" s="19">
        <v>2029</v>
      </c>
      <c r="H197" s="19">
        <v>2030</v>
      </c>
      <c r="I197" s="38">
        <v>2031</v>
      </c>
      <c r="J197" s="55"/>
      <c r="K197" s="35"/>
      <c r="L197" s="48" t="s">
        <v>93</v>
      </c>
    </row>
    <row r="198" spans="1:12" ht="16.5" thickBot="1" x14ac:dyDescent="0.3">
      <c r="A198" s="12"/>
      <c r="B198" s="14"/>
      <c r="C198" s="28" t="s">
        <v>22</v>
      </c>
      <c r="D198" s="37"/>
      <c r="E198" s="37"/>
      <c r="F198" s="37"/>
      <c r="G198" s="37"/>
      <c r="H198" s="37"/>
      <c r="I198" s="37"/>
      <c r="J198" s="60">
        <v>500</v>
      </c>
      <c r="K198" s="47">
        <f>(D198*500)+(E198*500)+(F198*500)+(G198*500)+(H198*500)+(I198*500)</f>
        <v>0</v>
      </c>
      <c r="L198" s="50">
        <f>K198</f>
        <v>0</v>
      </c>
    </row>
    <row r="199" spans="1:12" ht="16.5" thickBot="1" x14ac:dyDescent="0.3">
      <c r="A199" s="7"/>
      <c r="C199" s="6"/>
      <c r="D199" s="6"/>
      <c r="E199" s="6"/>
      <c r="F199" s="6"/>
      <c r="G199" s="6"/>
      <c r="H199" s="6"/>
      <c r="I199" s="6"/>
      <c r="J199" s="65"/>
    </row>
    <row r="200" spans="1:12" x14ac:dyDescent="0.25">
      <c r="A200" s="24" t="s">
        <v>50</v>
      </c>
      <c r="B200" s="26" t="s">
        <v>71</v>
      </c>
      <c r="C200" s="22" t="s">
        <v>110</v>
      </c>
      <c r="D200" s="15"/>
      <c r="E200" s="10"/>
      <c r="F200" s="10"/>
      <c r="G200" s="10"/>
      <c r="H200" s="10"/>
      <c r="I200" s="10"/>
      <c r="J200" s="56"/>
      <c r="K200" s="42"/>
      <c r="L200" s="43"/>
    </row>
    <row r="201" spans="1:12" x14ac:dyDescent="0.25">
      <c r="A201" s="11"/>
      <c r="B201" s="8"/>
      <c r="C201" s="17" t="s">
        <v>1</v>
      </c>
      <c r="D201" s="7"/>
      <c r="E201" s="7"/>
      <c r="F201" s="7"/>
      <c r="G201" s="7"/>
      <c r="H201" s="7"/>
      <c r="I201" s="7"/>
      <c r="J201" s="55"/>
      <c r="K201" s="35"/>
      <c r="L201" s="44"/>
    </row>
    <row r="202" spans="1:12" x14ac:dyDescent="0.25">
      <c r="A202" s="11"/>
      <c r="C202" s="17" t="s">
        <v>109</v>
      </c>
      <c r="D202" s="7"/>
      <c r="E202" s="7"/>
      <c r="F202" s="7"/>
      <c r="G202" s="7"/>
      <c r="H202" s="7"/>
      <c r="I202" s="7"/>
      <c r="J202" s="55"/>
      <c r="K202" s="35"/>
      <c r="L202" s="44"/>
    </row>
    <row r="203" spans="1:12" x14ac:dyDescent="0.25">
      <c r="A203" s="11"/>
      <c r="C203" s="18" t="s">
        <v>9</v>
      </c>
      <c r="D203" s="7"/>
      <c r="E203" s="7"/>
      <c r="F203" s="7"/>
      <c r="G203" s="7"/>
      <c r="H203" s="7"/>
      <c r="I203" s="7"/>
      <c r="J203" s="55"/>
      <c r="K203" s="35"/>
      <c r="L203" s="44"/>
    </row>
    <row r="204" spans="1:12" x14ac:dyDescent="0.25">
      <c r="A204" s="11"/>
      <c r="C204" s="18" t="s">
        <v>10</v>
      </c>
      <c r="D204" s="3"/>
      <c r="E204" s="7"/>
      <c r="F204" s="7"/>
      <c r="G204" s="7"/>
      <c r="H204" s="7"/>
      <c r="I204" s="7"/>
      <c r="J204" s="55"/>
      <c r="K204" s="35"/>
      <c r="L204" s="44"/>
    </row>
    <row r="205" spans="1:12" ht="45" x14ac:dyDescent="0.25">
      <c r="A205" s="11"/>
      <c r="B205" s="8"/>
      <c r="C205" s="7"/>
      <c r="D205" s="85" t="s">
        <v>49</v>
      </c>
      <c r="E205" s="85"/>
      <c r="F205" s="85"/>
      <c r="G205" s="85"/>
      <c r="H205" s="85"/>
      <c r="I205" s="85"/>
      <c r="J205" s="57" t="s">
        <v>96</v>
      </c>
      <c r="K205" s="40" t="s">
        <v>95</v>
      </c>
      <c r="L205" s="44"/>
    </row>
    <row r="206" spans="1:12" ht="16.5" thickBot="1" x14ac:dyDescent="0.3">
      <c r="A206" s="11"/>
      <c r="B206" s="8"/>
      <c r="C206" s="7"/>
      <c r="D206" s="19">
        <v>2026</v>
      </c>
      <c r="E206" s="19">
        <v>2027</v>
      </c>
      <c r="F206" s="19">
        <v>2028</v>
      </c>
      <c r="G206" s="19">
        <v>2029</v>
      </c>
      <c r="H206" s="19">
        <v>2030</v>
      </c>
      <c r="I206" s="38">
        <v>2031</v>
      </c>
      <c r="J206" s="55"/>
      <c r="K206" s="35"/>
      <c r="L206" s="48" t="s">
        <v>93</v>
      </c>
    </row>
    <row r="207" spans="1:12" ht="16.5" thickBot="1" x14ac:dyDescent="0.3">
      <c r="A207" s="12"/>
      <c r="B207" s="13"/>
      <c r="C207" s="28" t="s">
        <v>22</v>
      </c>
      <c r="D207" s="37"/>
      <c r="E207" s="37"/>
      <c r="F207" s="37"/>
      <c r="G207" s="37"/>
      <c r="H207" s="37"/>
      <c r="I207" s="37"/>
      <c r="J207" s="60">
        <v>500</v>
      </c>
      <c r="K207" s="47">
        <f>(D207*500)+(E207*500)+(F207*500)+(G207*500)+(H207*500)+(I207*500)</f>
        <v>0</v>
      </c>
      <c r="L207" s="50">
        <f>K207</f>
        <v>0</v>
      </c>
    </row>
    <row r="208" spans="1:12" x14ac:dyDescent="0.25">
      <c r="A208" s="7"/>
      <c r="B208" s="8"/>
      <c r="C208" s="7"/>
      <c r="D208" s="7"/>
      <c r="E208" s="3"/>
      <c r="F208" s="3"/>
      <c r="G208" s="7"/>
      <c r="H208" s="3"/>
      <c r="I208" s="4"/>
      <c r="J208" s="62"/>
    </row>
    <row r="209" spans="1:12" x14ac:dyDescent="0.25">
      <c r="A209" s="7"/>
      <c r="B209" s="8"/>
      <c r="C209" s="7"/>
      <c r="D209" s="7"/>
      <c r="E209" s="7"/>
      <c r="F209" s="7"/>
      <c r="G209" s="7"/>
      <c r="H209" s="7"/>
      <c r="I209" s="7"/>
      <c r="J209" s="55"/>
    </row>
    <row r="210" spans="1:12" x14ac:dyDescent="0.25">
      <c r="A210" s="84" t="s">
        <v>3</v>
      </c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</row>
    <row r="211" spans="1:12" ht="16.5" thickBot="1" x14ac:dyDescent="0.3">
      <c r="A211" s="7"/>
      <c r="B211" s="8"/>
      <c r="C211" s="7"/>
      <c r="D211" s="7"/>
      <c r="E211" s="7"/>
      <c r="F211" s="7"/>
      <c r="G211" s="7"/>
      <c r="H211" s="7"/>
      <c r="I211" s="7"/>
      <c r="J211" s="55"/>
    </row>
    <row r="212" spans="1:12" x14ac:dyDescent="0.25">
      <c r="A212" s="24" t="s">
        <v>50</v>
      </c>
      <c r="B212" s="25" t="s">
        <v>70</v>
      </c>
      <c r="C212" s="22" t="s">
        <v>90</v>
      </c>
      <c r="D212" s="10"/>
      <c r="E212" s="10"/>
      <c r="F212" s="10"/>
      <c r="G212" s="10"/>
      <c r="H212" s="10"/>
      <c r="I212" s="10"/>
      <c r="J212" s="56"/>
      <c r="K212" s="42"/>
      <c r="L212" s="43"/>
    </row>
    <row r="213" spans="1:12" x14ac:dyDescent="0.25">
      <c r="A213" s="11"/>
      <c r="C213" s="17" t="s">
        <v>111</v>
      </c>
      <c r="D213" s="7"/>
      <c r="E213" s="7"/>
      <c r="F213" s="7"/>
      <c r="G213" s="7"/>
      <c r="H213" s="7"/>
      <c r="I213" s="7"/>
      <c r="J213" s="55"/>
      <c r="K213" s="34"/>
      <c r="L213" s="44"/>
    </row>
    <row r="214" spans="1:12" x14ac:dyDescent="0.25">
      <c r="A214" s="11"/>
      <c r="B214" s="8"/>
      <c r="C214" s="18" t="s">
        <v>9</v>
      </c>
      <c r="D214" s="7"/>
      <c r="E214" s="7"/>
      <c r="F214" s="7"/>
      <c r="G214" s="7"/>
      <c r="H214" s="7"/>
      <c r="I214" s="7"/>
      <c r="J214" s="55"/>
      <c r="K214" s="35"/>
      <c r="L214" s="44"/>
    </row>
    <row r="215" spans="1:12" x14ac:dyDescent="0.25">
      <c r="A215" s="11"/>
      <c r="B215" s="8"/>
      <c r="C215" s="18" t="s">
        <v>10</v>
      </c>
      <c r="D215" s="3"/>
      <c r="E215" s="7"/>
      <c r="F215" s="7"/>
      <c r="G215" s="7"/>
      <c r="H215" s="7"/>
      <c r="I215" s="7"/>
      <c r="J215" s="55"/>
      <c r="K215" s="35"/>
      <c r="L215" s="44"/>
    </row>
    <row r="216" spans="1:12" ht="45" x14ac:dyDescent="0.25">
      <c r="A216" s="11"/>
      <c r="C216" s="7"/>
      <c r="D216" s="85" t="s">
        <v>49</v>
      </c>
      <c r="E216" s="85"/>
      <c r="F216" s="85"/>
      <c r="G216" s="85"/>
      <c r="H216" s="85"/>
      <c r="I216" s="85"/>
      <c r="J216" s="57" t="s">
        <v>96</v>
      </c>
      <c r="K216" s="40" t="s">
        <v>95</v>
      </c>
      <c r="L216" s="44"/>
    </row>
    <row r="217" spans="1:12" ht="16.5" thickBot="1" x14ac:dyDescent="0.3">
      <c r="A217" s="11"/>
      <c r="C217" s="7"/>
      <c r="D217" s="19">
        <v>2026</v>
      </c>
      <c r="E217" s="19">
        <v>2027</v>
      </c>
      <c r="F217" s="19">
        <v>2028</v>
      </c>
      <c r="G217" s="19">
        <v>2029</v>
      </c>
      <c r="H217" s="19">
        <v>2030</v>
      </c>
      <c r="I217" s="38">
        <v>2031</v>
      </c>
      <c r="J217" s="55"/>
      <c r="K217" s="35"/>
      <c r="L217" s="48" t="s">
        <v>93</v>
      </c>
    </row>
    <row r="218" spans="1:12" ht="16.5" thickBot="1" x14ac:dyDescent="0.3">
      <c r="A218" s="12"/>
      <c r="B218" s="14"/>
      <c r="C218" s="28" t="s">
        <v>27</v>
      </c>
      <c r="D218" s="37"/>
      <c r="E218" s="37"/>
      <c r="F218" s="37"/>
      <c r="G218" s="37"/>
      <c r="H218" s="37"/>
      <c r="I218" s="37"/>
      <c r="J218" s="60">
        <v>500</v>
      </c>
      <c r="K218" s="47">
        <f>(D218*500)+(E218*500)+(F218*500)+(G218*500)+(H218*500)+(I218*500)</f>
        <v>0</v>
      </c>
      <c r="L218" s="50">
        <f>K218</f>
        <v>0</v>
      </c>
    </row>
    <row r="219" spans="1:12" x14ac:dyDescent="0.25">
      <c r="A219" s="7"/>
      <c r="B219" s="8"/>
      <c r="C219" s="7"/>
      <c r="D219" s="7"/>
      <c r="E219" s="3"/>
      <c r="F219" s="3"/>
      <c r="G219" s="7"/>
      <c r="H219" s="3"/>
      <c r="I219" s="4"/>
      <c r="J219" s="62"/>
    </row>
    <row r="220" spans="1:12" x14ac:dyDescent="0.25">
      <c r="A220" s="7"/>
      <c r="B220" s="8"/>
      <c r="C220" s="6"/>
      <c r="D220" s="6"/>
      <c r="E220" s="6"/>
      <c r="F220" s="6"/>
      <c r="G220" s="6"/>
      <c r="H220" s="6"/>
      <c r="I220" s="6"/>
      <c r="J220" s="65"/>
    </row>
    <row r="221" spans="1:12" x14ac:dyDescent="0.25">
      <c r="A221" s="83" t="s">
        <v>4</v>
      </c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</row>
    <row r="222" spans="1:12" ht="16.5" thickBot="1" x14ac:dyDescent="0.3">
      <c r="A222" s="7"/>
      <c r="B222" s="8"/>
      <c r="C222" s="6"/>
      <c r="D222" s="6"/>
      <c r="E222" s="6"/>
      <c r="F222" s="6"/>
      <c r="G222" s="6"/>
      <c r="H222" s="6"/>
      <c r="I222" s="6"/>
      <c r="J222" s="65"/>
    </row>
    <row r="223" spans="1:12" x14ac:dyDescent="0.25">
      <c r="A223" s="24" t="s">
        <v>50</v>
      </c>
      <c r="B223" s="26" t="s">
        <v>72</v>
      </c>
      <c r="C223" s="22" t="s">
        <v>4</v>
      </c>
      <c r="D223" s="10"/>
      <c r="E223" s="10"/>
      <c r="F223" s="10"/>
      <c r="G223" s="10"/>
      <c r="H223" s="10"/>
      <c r="I223" s="10"/>
      <c r="J223" s="56"/>
      <c r="K223" s="42"/>
      <c r="L223" s="43"/>
    </row>
    <row r="224" spans="1:12" ht="31.5" x14ac:dyDescent="0.25">
      <c r="A224" s="11"/>
      <c r="B224" s="8"/>
      <c r="C224" s="21" t="s">
        <v>28</v>
      </c>
      <c r="D224" s="7"/>
      <c r="E224" s="7"/>
      <c r="F224" s="7"/>
      <c r="G224" s="7"/>
      <c r="H224" s="7"/>
      <c r="I224" s="7"/>
      <c r="J224" s="55"/>
      <c r="K224" s="35"/>
      <c r="L224" s="44"/>
    </row>
    <row r="225" spans="1:12" x14ac:dyDescent="0.25">
      <c r="A225" s="11"/>
      <c r="B225" s="8"/>
      <c r="C225" s="17" t="s">
        <v>30</v>
      </c>
      <c r="D225" s="7"/>
      <c r="E225" s="7"/>
      <c r="F225" s="7"/>
      <c r="G225" s="7"/>
      <c r="H225" s="7"/>
      <c r="I225" s="7"/>
      <c r="J225" s="55"/>
      <c r="K225" s="35"/>
      <c r="L225" s="44"/>
    </row>
    <row r="226" spans="1:12" x14ac:dyDescent="0.25">
      <c r="A226" s="11"/>
      <c r="B226" s="8"/>
      <c r="C226" s="18" t="s">
        <v>9</v>
      </c>
      <c r="D226" s="7"/>
      <c r="E226" s="7"/>
      <c r="F226" s="7"/>
      <c r="G226" s="7"/>
      <c r="H226" s="7"/>
      <c r="I226" s="7"/>
      <c r="J226" s="55"/>
      <c r="K226" s="35"/>
      <c r="L226" s="44"/>
    </row>
    <row r="227" spans="1:12" x14ac:dyDescent="0.25">
      <c r="A227" s="11"/>
      <c r="B227" s="8"/>
      <c r="C227" s="18" t="s">
        <v>10</v>
      </c>
      <c r="D227" s="3"/>
      <c r="E227" s="7"/>
      <c r="F227" s="7"/>
      <c r="G227" s="7"/>
      <c r="H227" s="7"/>
      <c r="I227" s="7"/>
      <c r="J227" s="55"/>
      <c r="K227" s="35"/>
      <c r="L227" s="44"/>
    </row>
    <row r="228" spans="1:12" ht="45" x14ac:dyDescent="0.25">
      <c r="A228" s="11"/>
      <c r="B228" s="8"/>
      <c r="C228" s="7"/>
      <c r="D228" s="85" t="s">
        <v>49</v>
      </c>
      <c r="E228" s="85"/>
      <c r="F228" s="85"/>
      <c r="G228" s="85"/>
      <c r="H228" s="85"/>
      <c r="I228" s="85"/>
      <c r="J228" s="57" t="s">
        <v>96</v>
      </c>
      <c r="K228" s="40" t="s">
        <v>95</v>
      </c>
      <c r="L228" s="44"/>
    </row>
    <row r="229" spans="1:12" ht="16.5" thickBot="1" x14ac:dyDescent="0.3">
      <c r="A229" s="11"/>
      <c r="B229" s="8"/>
      <c r="C229" s="7"/>
      <c r="D229" s="19">
        <v>2026</v>
      </c>
      <c r="E229" s="19">
        <v>2027</v>
      </c>
      <c r="F229" s="19">
        <v>2028</v>
      </c>
      <c r="G229" s="19">
        <v>2029</v>
      </c>
      <c r="H229" s="19">
        <v>2030</v>
      </c>
      <c r="I229" s="38">
        <v>2031</v>
      </c>
      <c r="J229" s="55"/>
      <c r="K229" s="35"/>
      <c r="L229" s="48" t="s">
        <v>93</v>
      </c>
    </row>
    <row r="230" spans="1:12" ht="16.5" thickBot="1" x14ac:dyDescent="0.3">
      <c r="A230" s="12"/>
      <c r="B230" s="13"/>
      <c r="C230" s="28" t="s">
        <v>29</v>
      </c>
      <c r="D230" s="37"/>
      <c r="E230" s="37"/>
      <c r="F230" s="37"/>
      <c r="G230" s="37"/>
      <c r="H230" s="37"/>
      <c r="I230" s="37"/>
      <c r="J230" s="60">
        <v>50</v>
      </c>
      <c r="K230" s="47">
        <f>(D230*50)+(E230*50)+(F230*50)+(G230*50)+(H230*50)+(I230*50)</f>
        <v>0</v>
      </c>
      <c r="L230" s="50">
        <f>K230</f>
        <v>0</v>
      </c>
    </row>
    <row r="231" spans="1:12" ht="16.5" thickBot="1" x14ac:dyDescent="0.3">
      <c r="A231" s="7"/>
      <c r="B231" s="8"/>
      <c r="C231" s="7"/>
      <c r="D231" s="3"/>
      <c r="E231" s="7"/>
      <c r="F231" s="7"/>
      <c r="G231" s="7"/>
      <c r="H231" s="7"/>
      <c r="I231" s="7"/>
      <c r="J231" s="55"/>
      <c r="K231" s="33"/>
    </row>
    <row r="232" spans="1:12" x14ac:dyDescent="0.25">
      <c r="A232" s="24" t="s">
        <v>50</v>
      </c>
      <c r="B232" s="26" t="s">
        <v>73</v>
      </c>
      <c r="C232" s="22" t="s">
        <v>4</v>
      </c>
      <c r="D232" s="10"/>
      <c r="E232" s="10"/>
      <c r="F232" s="10"/>
      <c r="G232" s="10"/>
      <c r="H232" s="10"/>
      <c r="I232" s="10"/>
      <c r="J232" s="56"/>
      <c r="K232" s="42"/>
      <c r="L232" s="43"/>
    </row>
    <row r="233" spans="1:12" ht="31.5" x14ac:dyDescent="0.25">
      <c r="A233" s="11"/>
      <c r="B233" s="8"/>
      <c r="C233" s="21" t="s">
        <v>28</v>
      </c>
      <c r="D233" s="7"/>
      <c r="E233" s="7"/>
      <c r="F233" s="7"/>
      <c r="G233" s="7"/>
      <c r="H233" s="7"/>
      <c r="I233" s="7"/>
      <c r="J233" s="55"/>
      <c r="K233" s="35"/>
      <c r="L233" s="44"/>
    </row>
    <row r="234" spans="1:12" x14ac:dyDescent="0.25">
      <c r="A234" s="11"/>
      <c r="B234" s="8"/>
      <c r="C234" s="17" t="s">
        <v>31</v>
      </c>
      <c r="D234" s="7"/>
      <c r="E234" s="7"/>
      <c r="F234" s="7"/>
      <c r="G234" s="7"/>
      <c r="H234" s="7"/>
      <c r="I234" s="7"/>
      <c r="J234" s="55"/>
      <c r="K234" s="35"/>
      <c r="L234" s="44"/>
    </row>
    <row r="235" spans="1:12" x14ac:dyDescent="0.25">
      <c r="A235" s="11"/>
      <c r="B235" s="8"/>
      <c r="C235" s="18" t="s">
        <v>9</v>
      </c>
      <c r="D235" s="7"/>
      <c r="E235" s="7"/>
      <c r="F235" s="7"/>
      <c r="G235" s="7"/>
      <c r="H235" s="7"/>
      <c r="I235" s="7"/>
      <c r="J235" s="55"/>
      <c r="K235" s="35"/>
      <c r="L235" s="44"/>
    </row>
    <row r="236" spans="1:12" x14ac:dyDescent="0.25">
      <c r="A236" s="11"/>
      <c r="B236" s="8"/>
      <c r="C236" s="18" t="s">
        <v>10</v>
      </c>
      <c r="D236" s="3"/>
      <c r="E236" s="7"/>
      <c r="F236" s="7"/>
      <c r="G236" s="7"/>
      <c r="H236" s="7"/>
      <c r="I236" s="7"/>
      <c r="J236" s="55"/>
      <c r="K236" s="34"/>
      <c r="L236" s="44"/>
    </row>
    <row r="237" spans="1:12" ht="45" x14ac:dyDescent="0.25">
      <c r="A237" s="11"/>
      <c r="B237" s="8"/>
      <c r="C237" s="7"/>
      <c r="D237" s="85" t="s">
        <v>49</v>
      </c>
      <c r="E237" s="85"/>
      <c r="F237" s="85"/>
      <c r="G237" s="85"/>
      <c r="H237" s="85"/>
      <c r="I237" s="85"/>
      <c r="J237" s="57" t="s">
        <v>96</v>
      </c>
      <c r="K237" s="40" t="s">
        <v>95</v>
      </c>
      <c r="L237" s="44"/>
    </row>
    <row r="238" spans="1:12" ht="16.5" thickBot="1" x14ac:dyDescent="0.3">
      <c r="A238" s="11"/>
      <c r="B238" s="8"/>
      <c r="C238" s="7"/>
      <c r="D238" s="19">
        <v>2026</v>
      </c>
      <c r="E238" s="19">
        <v>2027</v>
      </c>
      <c r="F238" s="19">
        <v>2028</v>
      </c>
      <c r="G238" s="19">
        <v>2029</v>
      </c>
      <c r="H238" s="19">
        <v>2030</v>
      </c>
      <c r="I238" s="38">
        <v>2031</v>
      </c>
      <c r="J238" s="55"/>
      <c r="K238" s="35"/>
      <c r="L238" s="48" t="s">
        <v>93</v>
      </c>
    </row>
    <row r="239" spans="1:12" ht="16.5" thickBot="1" x14ac:dyDescent="0.3">
      <c r="A239" s="12"/>
      <c r="B239" s="13"/>
      <c r="C239" s="28" t="s">
        <v>29</v>
      </c>
      <c r="D239" s="37"/>
      <c r="E239" s="37"/>
      <c r="F239" s="37"/>
      <c r="G239" s="37"/>
      <c r="H239" s="37"/>
      <c r="I239" s="37"/>
      <c r="J239" s="60">
        <v>50</v>
      </c>
      <c r="K239" s="47">
        <f>(D239*50)+(E239*50)+(F239*50)+(G239*50)+(H239*50)+(I239*50)</f>
        <v>0</v>
      </c>
      <c r="L239" s="50">
        <f>K239</f>
        <v>0</v>
      </c>
    </row>
    <row r="240" spans="1:12" ht="16.5" thickBot="1" x14ac:dyDescent="0.3">
      <c r="A240" s="7"/>
      <c r="C240" s="7"/>
      <c r="D240" s="3"/>
      <c r="E240" s="7"/>
      <c r="F240" s="7"/>
      <c r="G240" s="7"/>
      <c r="H240" s="7"/>
      <c r="I240" s="7"/>
      <c r="J240" s="55"/>
    </row>
    <row r="241" spans="1:12" x14ac:dyDescent="0.25">
      <c r="A241" s="24" t="s">
        <v>50</v>
      </c>
      <c r="B241" s="26" t="s">
        <v>74</v>
      </c>
      <c r="C241" s="22" t="s">
        <v>4</v>
      </c>
      <c r="D241" s="10"/>
      <c r="E241" s="10"/>
      <c r="F241" s="10"/>
      <c r="G241" s="10"/>
      <c r="H241" s="10"/>
      <c r="I241" s="10"/>
      <c r="J241" s="56"/>
      <c r="K241" s="51"/>
      <c r="L241" s="43"/>
    </row>
    <row r="242" spans="1:12" ht="31.5" x14ac:dyDescent="0.25">
      <c r="A242" s="11"/>
      <c r="B242" s="8"/>
      <c r="C242" s="21" t="s">
        <v>28</v>
      </c>
      <c r="D242" s="7"/>
      <c r="E242" s="7"/>
      <c r="F242" s="7"/>
      <c r="G242" s="7"/>
      <c r="H242" s="7"/>
      <c r="I242" s="7"/>
      <c r="J242" s="55"/>
      <c r="K242" s="35"/>
      <c r="L242" s="44"/>
    </row>
    <row r="243" spans="1:12" x14ac:dyDescent="0.25">
      <c r="A243" s="11"/>
      <c r="B243" s="8"/>
      <c r="C243" s="17" t="s">
        <v>32</v>
      </c>
      <c r="D243" s="7"/>
      <c r="E243" s="7"/>
      <c r="F243" s="7"/>
      <c r="G243" s="7"/>
      <c r="H243" s="7"/>
      <c r="I243" s="7"/>
      <c r="J243" s="55"/>
      <c r="K243" s="35"/>
      <c r="L243" s="44"/>
    </row>
    <row r="244" spans="1:12" x14ac:dyDescent="0.25">
      <c r="A244" s="11"/>
      <c r="B244" s="8"/>
      <c r="C244" s="18" t="s">
        <v>9</v>
      </c>
      <c r="D244" s="7"/>
      <c r="E244" s="7"/>
      <c r="F244" s="7"/>
      <c r="G244" s="7"/>
      <c r="H244" s="7"/>
      <c r="I244" s="7"/>
      <c r="J244" s="55"/>
      <c r="K244" s="35"/>
      <c r="L244" s="44"/>
    </row>
    <row r="245" spans="1:12" x14ac:dyDescent="0.25">
      <c r="A245" s="11"/>
      <c r="B245" s="8"/>
      <c r="C245" s="18" t="s">
        <v>10</v>
      </c>
      <c r="D245" s="3"/>
      <c r="E245" s="7"/>
      <c r="F245" s="7"/>
      <c r="G245" s="7"/>
      <c r="H245" s="7"/>
      <c r="I245" s="7"/>
      <c r="J245" s="55"/>
      <c r="K245" s="35"/>
      <c r="L245" s="44"/>
    </row>
    <row r="246" spans="1:12" ht="45" x14ac:dyDescent="0.25">
      <c r="A246" s="11"/>
      <c r="B246" s="8"/>
      <c r="C246" s="7"/>
      <c r="D246" s="85" t="s">
        <v>49</v>
      </c>
      <c r="E246" s="85"/>
      <c r="F246" s="85"/>
      <c r="G246" s="85"/>
      <c r="H246" s="85"/>
      <c r="I246" s="85"/>
      <c r="J246" s="57" t="s">
        <v>96</v>
      </c>
      <c r="K246" s="40" t="s">
        <v>95</v>
      </c>
      <c r="L246" s="44"/>
    </row>
    <row r="247" spans="1:12" ht="16.5" thickBot="1" x14ac:dyDescent="0.3">
      <c r="A247" s="11"/>
      <c r="B247" s="8"/>
      <c r="C247" s="7"/>
      <c r="D247" s="19">
        <v>2026</v>
      </c>
      <c r="E247" s="19">
        <v>2027</v>
      </c>
      <c r="F247" s="19">
        <v>2028</v>
      </c>
      <c r="G247" s="19">
        <v>2029</v>
      </c>
      <c r="H247" s="19">
        <v>2030</v>
      </c>
      <c r="I247" s="38">
        <v>2031</v>
      </c>
      <c r="J247" s="55"/>
      <c r="K247" s="35"/>
      <c r="L247" s="48" t="s">
        <v>93</v>
      </c>
    </row>
    <row r="248" spans="1:12" ht="16.5" thickBot="1" x14ac:dyDescent="0.3">
      <c r="A248" s="12"/>
      <c r="B248" s="13"/>
      <c r="C248" s="28" t="s">
        <v>29</v>
      </c>
      <c r="D248" s="37"/>
      <c r="E248" s="37"/>
      <c r="F248" s="37"/>
      <c r="G248" s="37"/>
      <c r="H248" s="37"/>
      <c r="I248" s="37"/>
      <c r="J248" s="60">
        <v>50</v>
      </c>
      <c r="K248" s="47">
        <f>(D248*50)+(E248*50)+(F248*50)+(G248*50)+(H248*50)+(I248*50)</f>
        <v>0</v>
      </c>
      <c r="L248" s="50">
        <f>K248</f>
        <v>0</v>
      </c>
    </row>
    <row r="249" spans="1:12" ht="16.5" thickBot="1" x14ac:dyDescent="0.3">
      <c r="A249" s="7"/>
      <c r="B249" s="8"/>
      <c r="C249" s="7"/>
      <c r="D249" s="3"/>
      <c r="E249" s="7"/>
      <c r="F249" s="7"/>
      <c r="G249" s="7"/>
      <c r="H249" s="7"/>
      <c r="I249" s="7"/>
      <c r="J249" s="55"/>
      <c r="K249" s="33"/>
    </row>
    <row r="250" spans="1:12" x14ac:dyDescent="0.25">
      <c r="A250" s="24" t="s">
        <v>50</v>
      </c>
      <c r="B250" s="26" t="s">
        <v>75</v>
      </c>
      <c r="C250" s="22" t="s">
        <v>4</v>
      </c>
      <c r="D250" s="10"/>
      <c r="E250" s="10"/>
      <c r="F250" s="10"/>
      <c r="G250" s="10"/>
      <c r="H250" s="10"/>
      <c r="I250" s="10"/>
      <c r="J250" s="56"/>
      <c r="K250" s="42"/>
      <c r="L250" s="43"/>
    </row>
    <row r="251" spans="1:12" ht="31.5" x14ac:dyDescent="0.25">
      <c r="A251" s="11"/>
      <c r="B251" s="8"/>
      <c r="C251" s="21" t="s">
        <v>28</v>
      </c>
      <c r="D251" s="7"/>
      <c r="E251" s="7"/>
      <c r="F251" s="7"/>
      <c r="G251" s="7"/>
      <c r="H251" s="7"/>
      <c r="I251" s="7"/>
      <c r="J251" s="55"/>
      <c r="K251" s="35"/>
      <c r="L251" s="44"/>
    </row>
    <row r="252" spans="1:12" x14ac:dyDescent="0.25">
      <c r="A252" s="11"/>
      <c r="B252" s="8"/>
      <c r="C252" s="17" t="s">
        <v>33</v>
      </c>
      <c r="D252" s="7"/>
      <c r="E252" s="7"/>
      <c r="F252" s="7"/>
      <c r="G252" s="7"/>
      <c r="H252" s="7"/>
      <c r="I252" s="7"/>
      <c r="J252" s="55"/>
      <c r="K252" s="35"/>
      <c r="L252" s="44"/>
    </row>
    <row r="253" spans="1:12" x14ac:dyDescent="0.25">
      <c r="A253" s="11"/>
      <c r="B253" s="8"/>
      <c r="C253" s="18" t="s">
        <v>9</v>
      </c>
      <c r="D253" s="7"/>
      <c r="E253" s="7"/>
      <c r="F253" s="7"/>
      <c r="G253" s="7"/>
      <c r="H253" s="7"/>
      <c r="I253" s="7"/>
      <c r="J253" s="55"/>
      <c r="K253" s="35"/>
      <c r="L253" s="44"/>
    </row>
    <row r="254" spans="1:12" x14ac:dyDescent="0.25">
      <c r="A254" s="11"/>
      <c r="B254" s="8"/>
      <c r="C254" s="18" t="s">
        <v>10</v>
      </c>
      <c r="D254" s="3"/>
      <c r="E254" s="7"/>
      <c r="F254" s="7"/>
      <c r="G254" s="7"/>
      <c r="H254" s="7"/>
      <c r="I254" s="7"/>
      <c r="J254" s="55"/>
      <c r="K254" s="34"/>
      <c r="L254" s="44"/>
    </row>
    <row r="255" spans="1:12" ht="45" x14ac:dyDescent="0.25">
      <c r="A255" s="11"/>
      <c r="B255" s="8"/>
      <c r="C255" s="7"/>
      <c r="D255" s="85" t="s">
        <v>49</v>
      </c>
      <c r="E255" s="85"/>
      <c r="F255" s="85"/>
      <c r="G255" s="85"/>
      <c r="H255" s="85"/>
      <c r="I255" s="85"/>
      <c r="J255" s="57" t="s">
        <v>96</v>
      </c>
      <c r="K255" s="40" t="s">
        <v>95</v>
      </c>
      <c r="L255" s="44"/>
    </row>
    <row r="256" spans="1:12" ht="16.5" thickBot="1" x14ac:dyDescent="0.3">
      <c r="A256" s="11"/>
      <c r="B256" s="8"/>
      <c r="C256" s="7"/>
      <c r="D256" s="19">
        <v>2026</v>
      </c>
      <c r="E256" s="19">
        <v>2027</v>
      </c>
      <c r="F256" s="19">
        <v>2028</v>
      </c>
      <c r="G256" s="19">
        <v>2029</v>
      </c>
      <c r="H256" s="19">
        <v>2030</v>
      </c>
      <c r="I256" s="38">
        <v>2031</v>
      </c>
      <c r="J256" s="55"/>
      <c r="K256" s="35"/>
      <c r="L256" s="48" t="s">
        <v>93</v>
      </c>
    </row>
    <row r="257" spans="1:12" ht="16.5" thickBot="1" x14ac:dyDescent="0.3">
      <c r="A257" s="12"/>
      <c r="B257" s="13"/>
      <c r="C257" s="28" t="s">
        <v>29</v>
      </c>
      <c r="D257" s="37"/>
      <c r="E257" s="37"/>
      <c r="F257" s="37"/>
      <c r="G257" s="37"/>
      <c r="H257" s="37"/>
      <c r="I257" s="37"/>
      <c r="J257" s="60">
        <v>50</v>
      </c>
      <c r="K257" s="47">
        <f>(D257*50)+(E257*50)+(F257*50)+(G257*50)+(H257*50)+(I257*50)</f>
        <v>0</v>
      </c>
      <c r="L257" s="50">
        <f>K257</f>
        <v>0</v>
      </c>
    </row>
    <row r="258" spans="1:12" ht="16.5" thickBot="1" x14ac:dyDescent="0.3">
      <c r="A258" s="7"/>
      <c r="C258" s="3"/>
      <c r="D258" s="7"/>
      <c r="E258" s="7"/>
      <c r="F258" s="7"/>
      <c r="G258" s="7"/>
      <c r="H258" s="7"/>
      <c r="I258" s="7"/>
      <c r="J258" s="55"/>
    </row>
    <row r="259" spans="1:12" x14ac:dyDescent="0.25">
      <c r="A259" s="24" t="s">
        <v>50</v>
      </c>
      <c r="B259" s="26" t="s">
        <v>76</v>
      </c>
      <c r="C259" s="22" t="s">
        <v>4</v>
      </c>
      <c r="D259" s="10"/>
      <c r="E259" s="10"/>
      <c r="F259" s="10"/>
      <c r="G259" s="10"/>
      <c r="H259" s="10"/>
      <c r="I259" s="10"/>
      <c r="J259" s="56"/>
      <c r="K259" s="51"/>
      <c r="L259" s="43"/>
    </row>
    <row r="260" spans="1:12" ht="31.5" x14ac:dyDescent="0.25">
      <c r="A260" s="11"/>
      <c r="B260" s="8"/>
      <c r="C260" s="21" t="s">
        <v>28</v>
      </c>
      <c r="D260" s="7"/>
      <c r="E260" s="7"/>
      <c r="F260" s="7"/>
      <c r="G260" s="7"/>
      <c r="H260" s="7"/>
      <c r="I260" s="7"/>
      <c r="J260" s="55"/>
      <c r="K260" s="35"/>
      <c r="L260" s="44"/>
    </row>
    <row r="261" spans="1:12" x14ac:dyDescent="0.25">
      <c r="A261" s="11"/>
      <c r="B261" s="8"/>
      <c r="C261" s="17" t="s">
        <v>34</v>
      </c>
      <c r="D261" s="7"/>
      <c r="E261" s="7"/>
      <c r="F261" s="7"/>
      <c r="G261" s="7"/>
      <c r="H261" s="7"/>
      <c r="I261" s="7"/>
      <c r="J261" s="55"/>
      <c r="K261" s="35"/>
      <c r="L261" s="44"/>
    </row>
    <row r="262" spans="1:12" x14ac:dyDescent="0.25">
      <c r="A262" s="11"/>
      <c r="B262" s="8"/>
      <c r="C262" s="18" t="s">
        <v>9</v>
      </c>
      <c r="D262" s="7"/>
      <c r="E262" s="7"/>
      <c r="F262" s="7"/>
      <c r="G262" s="7"/>
      <c r="H262" s="7"/>
      <c r="I262" s="7"/>
      <c r="J262" s="55"/>
      <c r="K262" s="35"/>
      <c r="L262" s="44"/>
    </row>
    <row r="263" spans="1:12" x14ac:dyDescent="0.25">
      <c r="A263" s="11"/>
      <c r="B263" s="8"/>
      <c r="C263" s="18" t="s">
        <v>10</v>
      </c>
      <c r="D263" s="3"/>
      <c r="E263" s="7"/>
      <c r="F263" s="7"/>
      <c r="G263" s="7"/>
      <c r="H263" s="7"/>
      <c r="I263" s="7"/>
      <c r="J263" s="55"/>
      <c r="K263" s="35"/>
      <c r="L263" s="44"/>
    </row>
    <row r="264" spans="1:12" ht="45" x14ac:dyDescent="0.25">
      <c r="A264" s="11"/>
      <c r="B264" s="8"/>
      <c r="C264" s="7"/>
      <c r="D264" s="85" t="s">
        <v>49</v>
      </c>
      <c r="E264" s="85"/>
      <c r="F264" s="85"/>
      <c r="G264" s="85"/>
      <c r="H264" s="85"/>
      <c r="I264" s="85"/>
      <c r="J264" s="57" t="s">
        <v>96</v>
      </c>
      <c r="K264" s="40" t="s">
        <v>95</v>
      </c>
      <c r="L264" s="44"/>
    </row>
    <row r="265" spans="1:12" ht="16.5" thickBot="1" x14ac:dyDescent="0.3">
      <c r="A265" s="11"/>
      <c r="B265" s="8"/>
      <c r="C265" s="7"/>
      <c r="D265" s="19">
        <v>2026</v>
      </c>
      <c r="E265" s="19">
        <v>2027</v>
      </c>
      <c r="F265" s="19">
        <v>2028</v>
      </c>
      <c r="G265" s="19">
        <v>2029</v>
      </c>
      <c r="H265" s="19">
        <v>2030</v>
      </c>
      <c r="I265" s="38">
        <v>2031</v>
      </c>
      <c r="J265" s="55"/>
      <c r="K265" s="35"/>
      <c r="L265" s="48" t="s">
        <v>93</v>
      </c>
    </row>
    <row r="266" spans="1:12" ht="16.5" thickBot="1" x14ac:dyDescent="0.3">
      <c r="A266" s="12"/>
      <c r="B266" s="13"/>
      <c r="C266" s="28" t="s">
        <v>29</v>
      </c>
      <c r="D266" s="37"/>
      <c r="E266" s="37"/>
      <c r="F266" s="37"/>
      <c r="G266" s="37"/>
      <c r="H266" s="37"/>
      <c r="I266" s="37"/>
      <c r="J266" s="60">
        <v>50</v>
      </c>
      <c r="K266" s="47">
        <f>(D266*50)+(E266*50)+(F266*50)+(G266*50)+(H266*50)+(I266*50)</f>
        <v>0</v>
      </c>
      <c r="L266" s="50">
        <f>K266</f>
        <v>0</v>
      </c>
    </row>
    <row r="267" spans="1:12" ht="16.5" thickBot="1" x14ac:dyDescent="0.3">
      <c r="A267" s="7"/>
      <c r="C267" s="7"/>
      <c r="D267" s="7"/>
      <c r="E267" s="7"/>
      <c r="F267" s="7"/>
      <c r="G267" s="7"/>
      <c r="H267" s="7"/>
      <c r="I267" s="7"/>
      <c r="J267" s="55"/>
    </row>
    <row r="268" spans="1:12" x14ac:dyDescent="0.25">
      <c r="A268" s="24" t="s">
        <v>50</v>
      </c>
      <c r="B268" s="26" t="s">
        <v>77</v>
      </c>
      <c r="C268" s="22" t="s">
        <v>4</v>
      </c>
      <c r="D268" s="10"/>
      <c r="E268" s="10"/>
      <c r="F268" s="10"/>
      <c r="G268" s="10"/>
      <c r="H268" s="10"/>
      <c r="I268" s="10"/>
      <c r="J268" s="56"/>
      <c r="K268" s="42"/>
      <c r="L268" s="43"/>
    </row>
    <row r="269" spans="1:12" ht="31.5" x14ac:dyDescent="0.25">
      <c r="A269" s="11"/>
      <c r="B269" s="8"/>
      <c r="C269" s="21" t="s">
        <v>28</v>
      </c>
      <c r="D269" s="7"/>
      <c r="E269" s="7"/>
      <c r="F269" s="7"/>
      <c r="G269" s="7"/>
      <c r="H269" s="7"/>
      <c r="I269" s="7"/>
      <c r="J269" s="55"/>
      <c r="K269" s="34"/>
      <c r="L269" s="44"/>
    </row>
    <row r="270" spans="1:12" x14ac:dyDescent="0.25">
      <c r="A270" s="11"/>
      <c r="B270" s="8"/>
      <c r="C270" s="17" t="s">
        <v>35</v>
      </c>
      <c r="D270" s="7"/>
      <c r="E270" s="7"/>
      <c r="F270" s="7"/>
      <c r="G270" s="7"/>
      <c r="H270" s="7"/>
      <c r="I270" s="7"/>
      <c r="J270" s="55"/>
      <c r="K270" s="35"/>
      <c r="L270" s="44"/>
    </row>
    <row r="271" spans="1:12" x14ac:dyDescent="0.25">
      <c r="A271" s="11"/>
      <c r="B271" s="8"/>
      <c r="C271" s="18" t="s">
        <v>9</v>
      </c>
      <c r="D271" s="7"/>
      <c r="E271" s="7"/>
      <c r="F271" s="7"/>
      <c r="G271" s="7"/>
      <c r="H271" s="7"/>
      <c r="I271" s="7"/>
      <c r="J271" s="55"/>
      <c r="K271" s="35"/>
      <c r="L271" s="44"/>
    </row>
    <row r="272" spans="1:12" x14ac:dyDescent="0.25">
      <c r="A272" s="11"/>
      <c r="B272" s="8"/>
      <c r="C272" s="18" t="s">
        <v>10</v>
      </c>
      <c r="D272" s="3"/>
      <c r="E272" s="7"/>
      <c r="F272" s="7"/>
      <c r="G272" s="7"/>
      <c r="H272" s="7"/>
      <c r="I272" s="7"/>
      <c r="J272" s="55"/>
      <c r="K272" s="35"/>
      <c r="L272" s="44"/>
    </row>
    <row r="273" spans="1:12" ht="45" x14ac:dyDescent="0.25">
      <c r="A273" s="11"/>
      <c r="B273" s="8"/>
      <c r="C273" s="7"/>
      <c r="D273" s="85" t="s">
        <v>49</v>
      </c>
      <c r="E273" s="85"/>
      <c r="F273" s="85"/>
      <c r="G273" s="85"/>
      <c r="H273" s="85"/>
      <c r="I273" s="85"/>
      <c r="J273" s="57" t="s">
        <v>96</v>
      </c>
      <c r="K273" s="40" t="s">
        <v>95</v>
      </c>
      <c r="L273" s="44"/>
    </row>
    <row r="274" spans="1:12" ht="16.5" thickBot="1" x14ac:dyDescent="0.3">
      <c r="A274" s="11"/>
      <c r="B274" s="8"/>
      <c r="C274" s="7"/>
      <c r="D274" s="19">
        <v>2026</v>
      </c>
      <c r="E274" s="19">
        <v>2027</v>
      </c>
      <c r="F274" s="19">
        <v>2028</v>
      </c>
      <c r="G274" s="19">
        <v>2029</v>
      </c>
      <c r="H274" s="19">
        <v>2030</v>
      </c>
      <c r="I274" s="38">
        <v>2031</v>
      </c>
      <c r="J274" s="55"/>
      <c r="K274" s="35"/>
      <c r="L274" s="48" t="s">
        <v>93</v>
      </c>
    </row>
    <row r="275" spans="1:12" ht="16.5" thickBot="1" x14ac:dyDescent="0.3">
      <c r="A275" s="12"/>
      <c r="B275" s="13"/>
      <c r="C275" s="28" t="s">
        <v>29</v>
      </c>
      <c r="D275" s="37"/>
      <c r="E275" s="37"/>
      <c r="F275" s="37"/>
      <c r="G275" s="37"/>
      <c r="H275" s="37"/>
      <c r="I275" s="37"/>
      <c r="J275" s="60">
        <v>50</v>
      </c>
      <c r="K275" s="47">
        <f>(D275*50)+(E275*50)+(F275*50)+(G275*50)+(H275*50)+(I275*50)</f>
        <v>0</v>
      </c>
      <c r="L275" s="50">
        <f>K275</f>
        <v>0</v>
      </c>
    </row>
    <row r="276" spans="1:12" ht="16.5" thickBot="1" x14ac:dyDescent="0.3">
      <c r="A276" s="7"/>
      <c r="C276" s="7"/>
      <c r="D276" s="7"/>
      <c r="E276" s="3"/>
      <c r="F276" s="3"/>
      <c r="G276" s="1"/>
      <c r="H276" s="4"/>
      <c r="I276" s="7"/>
      <c r="J276" s="55"/>
    </row>
    <row r="277" spans="1:12" x14ac:dyDescent="0.25">
      <c r="A277" s="24" t="s">
        <v>50</v>
      </c>
      <c r="B277" s="26" t="s">
        <v>78</v>
      </c>
      <c r="C277" s="22" t="s">
        <v>4</v>
      </c>
      <c r="D277" s="10"/>
      <c r="E277" s="10"/>
      <c r="F277" s="10"/>
      <c r="G277" s="10"/>
      <c r="H277" s="10"/>
      <c r="I277" s="10"/>
      <c r="J277" s="56"/>
      <c r="K277" s="42"/>
      <c r="L277" s="43"/>
    </row>
    <row r="278" spans="1:12" ht="31.5" x14ac:dyDescent="0.25">
      <c r="A278" s="11"/>
      <c r="B278" s="8"/>
      <c r="C278" s="21" t="s">
        <v>28</v>
      </c>
      <c r="D278" s="7"/>
      <c r="E278" s="7"/>
      <c r="F278" s="7"/>
      <c r="G278" s="7"/>
      <c r="H278" s="7"/>
      <c r="I278" s="7"/>
      <c r="J278" s="55"/>
      <c r="K278" s="35"/>
      <c r="L278" s="44"/>
    </row>
    <row r="279" spans="1:12" x14ac:dyDescent="0.25">
      <c r="A279" s="11"/>
      <c r="B279" s="8"/>
      <c r="C279" s="17" t="s">
        <v>36</v>
      </c>
      <c r="D279" s="7"/>
      <c r="E279" s="7"/>
      <c r="F279" s="7"/>
      <c r="G279" s="7"/>
      <c r="H279" s="7"/>
      <c r="I279" s="7"/>
      <c r="J279" s="55"/>
      <c r="K279" s="34"/>
      <c r="L279" s="44"/>
    </row>
    <row r="280" spans="1:12" x14ac:dyDescent="0.25">
      <c r="A280" s="11"/>
      <c r="B280" s="8"/>
      <c r="C280" s="18" t="s">
        <v>9</v>
      </c>
      <c r="D280" s="7"/>
      <c r="E280" s="7"/>
      <c r="F280" s="7"/>
      <c r="G280" s="7"/>
      <c r="H280" s="7"/>
      <c r="I280" s="7"/>
      <c r="J280" s="55"/>
      <c r="K280" s="35"/>
      <c r="L280" s="44"/>
    </row>
    <row r="281" spans="1:12" x14ac:dyDescent="0.25">
      <c r="A281" s="11"/>
      <c r="B281" s="8"/>
      <c r="C281" s="18" t="s">
        <v>10</v>
      </c>
      <c r="D281" s="3"/>
      <c r="E281" s="7"/>
      <c r="F281" s="7"/>
      <c r="G281" s="7"/>
      <c r="H281" s="7"/>
      <c r="I281" s="7"/>
      <c r="J281" s="55"/>
      <c r="K281" s="35"/>
      <c r="L281" s="44"/>
    </row>
    <row r="282" spans="1:12" ht="45" x14ac:dyDescent="0.25">
      <c r="A282" s="11"/>
      <c r="B282" s="8"/>
      <c r="C282" s="7"/>
      <c r="D282" s="85" t="s">
        <v>49</v>
      </c>
      <c r="E282" s="85"/>
      <c r="F282" s="85"/>
      <c r="G282" s="85"/>
      <c r="H282" s="85"/>
      <c r="I282" s="85"/>
      <c r="J282" s="57" t="s">
        <v>96</v>
      </c>
      <c r="K282" s="40" t="s">
        <v>95</v>
      </c>
      <c r="L282" s="44"/>
    </row>
    <row r="283" spans="1:12" ht="16.5" thickBot="1" x14ac:dyDescent="0.3">
      <c r="A283" s="11"/>
      <c r="B283" s="8"/>
      <c r="C283" s="7"/>
      <c r="D283" s="19">
        <v>2026</v>
      </c>
      <c r="E283" s="19">
        <v>2027</v>
      </c>
      <c r="F283" s="19">
        <v>2028</v>
      </c>
      <c r="G283" s="19">
        <v>2029</v>
      </c>
      <c r="H283" s="19">
        <v>2030</v>
      </c>
      <c r="I283" s="38">
        <v>2031</v>
      </c>
      <c r="J283" s="55"/>
      <c r="K283" s="35"/>
      <c r="L283" s="48" t="s">
        <v>93</v>
      </c>
    </row>
    <row r="284" spans="1:12" ht="16.5" thickBot="1" x14ac:dyDescent="0.3">
      <c r="A284" s="12"/>
      <c r="B284" s="13"/>
      <c r="C284" s="28" t="s">
        <v>29</v>
      </c>
      <c r="D284" s="37"/>
      <c r="E284" s="37"/>
      <c r="F284" s="37"/>
      <c r="G284" s="37"/>
      <c r="H284" s="37"/>
      <c r="I284" s="37"/>
      <c r="J284" s="60">
        <v>50</v>
      </c>
      <c r="K284" s="47">
        <f>(D284*50)+(E284*50)+(F284*50)+(G284*50)+(H284*50)+(I284*50)</f>
        <v>0</v>
      </c>
      <c r="L284" s="50">
        <f>K284</f>
        <v>0</v>
      </c>
    </row>
    <row r="285" spans="1:12" ht="16.5" thickBot="1" x14ac:dyDescent="0.3">
      <c r="A285" s="7"/>
      <c r="B285" s="8"/>
      <c r="C285" s="6"/>
      <c r="D285" s="6"/>
      <c r="E285" s="6"/>
      <c r="F285" s="6"/>
      <c r="G285" s="6"/>
      <c r="H285" s="6"/>
      <c r="I285" s="6"/>
      <c r="J285" s="65"/>
      <c r="K285" s="33"/>
    </row>
    <row r="286" spans="1:12" x14ac:dyDescent="0.25">
      <c r="A286" s="24" t="s">
        <v>50</v>
      </c>
      <c r="B286" s="26" t="s">
        <v>79</v>
      </c>
      <c r="C286" s="22" t="s">
        <v>4</v>
      </c>
      <c r="D286" s="10"/>
      <c r="E286" s="10"/>
      <c r="F286" s="10"/>
      <c r="G286" s="10"/>
      <c r="H286" s="10"/>
      <c r="I286" s="10"/>
      <c r="J286" s="56"/>
      <c r="K286" s="42"/>
      <c r="L286" s="43"/>
    </row>
    <row r="287" spans="1:12" ht="31.5" x14ac:dyDescent="0.25">
      <c r="A287" s="11"/>
      <c r="B287" s="8"/>
      <c r="C287" s="21" t="s">
        <v>28</v>
      </c>
      <c r="D287" s="7"/>
      <c r="E287" s="7"/>
      <c r="F287" s="7"/>
      <c r="G287" s="7"/>
      <c r="H287" s="7"/>
      <c r="I287" s="7"/>
      <c r="J287" s="55"/>
      <c r="K287" s="35"/>
      <c r="L287" s="44"/>
    </row>
    <row r="288" spans="1:12" x14ac:dyDescent="0.25">
      <c r="A288" s="11"/>
      <c r="B288" s="8"/>
      <c r="C288" s="17" t="s">
        <v>37</v>
      </c>
      <c r="D288" s="7"/>
      <c r="E288" s="7"/>
      <c r="F288" s="7"/>
      <c r="G288" s="7"/>
      <c r="H288" s="7"/>
      <c r="I288" s="7"/>
      <c r="J288" s="55"/>
      <c r="K288" s="35"/>
      <c r="L288" s="44"/>
    </row>
    <row r="289" spans="1:12" x14ac:dyDescent="0.25">
      <c r="A289" s="11"/>
      <c r="B289" s="8"/>
      <c r="C289" s="18" t="s">
        <v>9</v>
      </c>
      <c r="D289" s="7"/>
      <c r="E289" s="7"/>
      <c r="F289" s="7"/>
      <c r="G289" s="7"/>
      <c r="H289" s="7"/>
      <c r="I289" s="7"/>
      <c r="J289" s="55"/>
      <c r="K289" s="35"/>
      <c r="L289" s="44"/>
    </row>
    <row r="290" spans="1:12" x14ac:dyDescent="0.25">
      <c r="A290" s="11"/>
      <c r="B290" s="8"/>
      <c r="C290" s="18" t="s">
        <v>10</v>
      </c>
      <c r="D290" s="3"/>
      <c r="E290" s="7"/>
      <c r="F290" s="7"/>
      <c r="G290" s="7"/>
      <c r="H290" s="7"/>
      <c r="I290" s="7"/>
      <c r="J290" s="55"/>
      <c r="K290" s="34"/>
      <c r="L290" s="44"/>
    </row>
    <row r="291" spans="1:12" ht="45" x14ac:dyDescent="0.25">
      <c r="A291" s="11"/>
      <c r="B291" s="8"/>
      <c r="C291" s="7"/>
      <c r="D291" s="85" t="s">
        <v>49</v>
      </c>
      <c r="E291" s="85"/>
      <c r="F291" s="85"/>
      <c r="G291" s="85"/>
      <c r="H291" s="85"/>
      <c r="I291" s="85"/>
      <c r="J291" s="57" t="s">
        <v>96</v>
      </c>
      <c r="K291" s="40" t="s">
        <v>95</v>
      </c>
      <c r="L291" s="44"/>
    </row>
    <row r="292" spans="1:12" ht="16.5" thickBot="1" x14ac:dyDescent="0.3">
      <c r="A292" s="11"/>
      <c r="B292" s="8"/>
      <c r="C292" s="7"/>
      <c r="D292" s="19">
        <v>2026</v>
      </c>
      <c r="E292" s="19">
        <v>2027</v>
      </c>
      <c r="F292" s="19">
        <v>2028</v>
      </c>
      <c r="G292" s="19">
        <v>2029</v>
      </c>
      <c r="H292" s="19">
        <v>2030</v>
      </c>
      <c r="I292" s="38">
        <v>2031</v>
      </c>
      <c r="J292" s="55"/>
      <c r="K292" s="35"/>
      <c r="L292" s="48" t="s">
        <v>93</v>
      </c>
    </row>
    <row r="293" spans="1:12" ht="16.5" thickBot="1" x14ac:dyDescent="0.3">
      <c r="A293" s="12"/>
      <c r="B293" s="13"/>
      <c r="C293" s="28" t="s">
        <v>29</v>
      </c>
      <c r="D293" s="37"/>
      <c r="E293" s="37"/>
      <c r="F293" s="37"/>
      <c r="G293" s="37"/>
      <c r="H293" s="37"/>
      <c r="I293" s="37"/>
      <c r="J293" s="60">
        <v>50</v>
      </c>
      <c r="K293" s="47">
        <f>(D293*50)+(E293*50)+(F293*50)+(G293*50)+(H293*50)+(I293*50)</f>
        <v>0</v>
      </c>
      <c r="L293" s="50">
        <f>K293</f>
        <v>0</v>
      </c>
    </row>
    <row r="294" spans="1:12" ht="16.5" thickBot="1" x14ac:dyDescent="0.3">
      <c r="A294" s="7"/>
      <c r="B294" s="8"/>
      <c r="C294" s="6"/>
      <c r="D294" s="6"/>
      <c r="E294" s="6"/>
      <c r="F294" s="6"/>
      <c r="G294" s="6"/>
      <c r="H294" s="6"/>
      <c r="I294" s="6"/>
      <c r="J294" s="65"/>
    </row>
    <row r="295" spans="1:12" x14ac:dyDescent="0.25">
      <c r="A295" s="24" t="s">
        <v>50</v>
      </c>
      <c r="B295" s="26" t="s">
        <v>80</v>
      </c>
      <c r="C295" s="22" t="s">
        <v>4</v>
      </c>
      <c r="D295" s="10"/>
      <c r="E295" s="10"/>
      <c r="F295" s="10"/>
      <c r="G295" s="10"/>
      <c r="H295" s="10"/>
      <c r="I295" s="10"/>
      <c r="J295" s="56"/>
      <c r="K295" s="42"/>
      <c r="L295" s="43"/>
    </row>
    <row r="296" spans="1:12" ht="31.5" x14ac:dyDescent="0.25">
      <c r="A296" s="11"/>
      <c r="B296" s="8"/>
      <c r="C296" s="21" t="s">
        <v>28</v>
      </c>
      <c r="D296" s="7"/>
      <c r="E296" s="7"/>
      <c r="F296" s="7"/>
      <c r="G296" s="7"/>
      <c r="H296" s="7"/>
      <c r="I296" s="7"/>
      <c r="J296" s="55"/>
      <c r="K296" s="35"/>
      <c r="L296" s="44"/>
    </row>
    <row r="297" spans="1:12" x14ac:dyDescent="0.25">
      <c r="A297" s="11"/>
      <c r="B297" s="8"/>
      <c r="C297" s="17" t="s">
        <v>38</v>
      </c>
      <c r="D297" s="7"/>
      <c r="E297" s="7"/>
      <c r="F297" s="7"/>
      <c r="G297" s="7"/>
      <c r="H297" s="7"/>
      <c r="I297" s="7"/>
      <c r="J297" s="55"/>
      <c r="K297" s="35"/>
      <c r="L297" s="44"/>
    </row>
    <row r="298" spans="1:12" x14ac:dyDescent="0.25">
      <c r="A298" s="11"/>
      <c r="B298" s="8"/>
      <c r="C298" s="18" t="s">
        <v>9</v>
      </c>
      <c r="D298" s="7"/>
      <c r="E298" s="7"/>
      <c r="F298" s="7"/>
      <c r="G298" s="7"/>
      <c r="H298" s="7"/>
      <c r="I298" s="7"/>
      <c r="J298" s="55"/>
      <c r="K298" s="35"/>
      <c r="L298" s="44"/>
    </row>
    <row r="299" spans="1:12" x14ac:dyDescent="0.25">
      <c r="A299" s="11"/>
      <c r="B299" s="8"/>
      <c r="C299" s="18" t="s">
        <v>10</v>
      </c>
      <c r="D299" s="3"/>
      <c r="E299" s="7"/>
      <c r="F299" s="7"/>
      <c r="G299" s="7"/>
      <c r="H299" s="7"/>
      <c r="I299" s="7"/>
      <c r="J299" s="55"/>
      <c r="K299" s="35"/>
      <c r="L299" s="44"/>
    </row>
    <row r="300" spans="1:12" ht="45" x14ac:dyDescent="0.25">
      <c r="A300" s="11"/>
      <c r="B300" s="8"/>
      <c r="C300" s="7"/>
      <c r="D300" s="85" t="s">
        <v>49</v>
      </c>
      <c r="E300" s="85"/>
      <c r="F300" s="85"/>
      <c r="G300" s="85"/>
      <c r="H300" s="85"/>
      <c r="I300" s="85"/>
      <c r="J300" s="57" t="s">
        <v>96</v>
      </c>
      <c r="K300" s="40" t="s">
        <v>95</v>
      </c>
      <c r="L300" s="44"/>
    </row>
    <row r="301" spans="1:12" ht="16.5" thickBot="1" x14ac:dyDescent="0.3">
      <c r="A301" s="11"/>
      <c r="B301" s="8"/>
      <c r="C301" s="7"/>
      <c r="D301" s="19">
        <v>2026</v>
      </c>
      <c r="E301" s="19">
        <v>2027</v>
      </c>
      <c r="F301" s="19">
        <v>2028</v>
      </c>
      <c r="G301" s="19">
        <v>2029</v>
      </c>
      <c r="H301" s="19">
        <v>2030</v>
      </c>
      <c r="I301" s="38">
        <v>2031</v>
      </c>
      <c r="J301" s="55"/>
      <c r="K301" s="35"/>
      <c r="L301" s="48" t="s">
        <v>93</v>
      </c>
    </row>
    <row r="302" spans="1:12" ht="16.5" thickBot="1" x14ac:dyDescent="0.3">
      <c r="A302" s="12"/>
      <c r="B302" s="13"/>
      <c r="C302" s="28" t="s">
        <v>29</v>
      </c>
      <c r="D302" s="37"/>
      <c r="E302" s="37"/>
      <c r="F302" s="37"/>
      <c r="G302" s="37"/>
      <c r="H302" s="37"/>
      <c r="I302" s="37"/>
      <c r="J302" s="60">
        <v>50</v>
      </c>
      <c r="K302" s="47">
        <f>(D302*50)+(E302*50)+(F302*50)+(G302*50)+(H302*50)+(I302*50)</f>
        <v>0</v>
      </c>
      <c r="L302" s="50">
        <f>K302</f>
        <v>0</v>
      </c>
    </row>
    <row r="303" spans="1:12" ht="16.5" thickBot="1" x14ac:dyDescent="0.3">
      <c r="A303" s="7"/>
      <c r="C303" s="7"/>
      <c r="D303" s="7"/>
      <c r="E303" s="7"/>
      <c r="F303" s="7"/>
      <c r="G303" s="7"/>
      <c r="H303" s="7"/>
      <c r="I303" s="7"/>
      <c r="J303" s="55"/>
    </row>
    <row r="304" spans="1:12" x14ac:dyDescent="0.25">
      <c r="A304" s="24" t="s">
        <v>50</v>
      </c>
      <c r="B304" s="26" t="s">
        <v>81</v>
      </c>
      <c r="C304" s="22" t="s">
        <v>4</v>
      </c>
      <c r="D304" s="10"/>
      <c r="E304" s="10"/>
      <c r="F304" s="10"/>
      <c r="G304" s="10"/>
      <c r="H304" s="10"/>
      <c r="I304" s="10"/>
      <c r="J304" s="56"/>
      <c r="K304" s="42"/>
      <c r="L304" s="43"/>
    </row>
    <row r="305" spans="1:12" ht="31.5" x14ac:dyDescent="0.25">
      <c r="A305" s="11"/>
      <c r="B305" s="8"/>
      <c r="C305" s="21" t="s">
        <v>28</v>
      </c>
      <c r="D305" s="7"/>
      <c r="E305" s="7"/>
      <c r="F305" s="7"/>
      <c r="G305" s="7"/>
      <c r="H305" s="7"/>
      <c r="I305" s="7"/>
      <c r="J305" s="55"/>
      <c r="K305" s="35"/>
      <c r="L305" s="44"/>
    </row>
    <row r="306" spans="1:12" x14ac:dyDescent="0.25">
      <c r="A306" s="11"/>
      <c r="B306" s="8"/>
      <c r="C306" s="17" t="s">
        <v>39</v>
      </c>
      <c r="D306" s="7"/>
      <c r="E306" s="7"/>
      <c r="F306" s="7"/>
      <c r="G306" s="7"/>
      <c r="H306" s="7"/>
      <c r="I306" s="7"/>
      <c r="J306" s="55"/>
      <c r="K306" s="35"/>
      <c r="L306" s="44"/>
    </row>
    <row r="307" spans="1:12" ht="15.6" customHeight="1" x14ac:dyDescent="0.25">
      <c r="A307" s="11"/>
      <c r="B307" s="8"/>
      <c r="C307" s="18" t="s">
        <v>9</v>
      </c>
      <c r="D307" s="7"/>
      <c r="E307" s="7"/>
      <c r="F307" s="7"/>
      <c r="G307" s="7"/>
      <c r="H307" s="7"/>
      <c r="I307" s="7"/>
      <c r="J307" s="55"/>
      <c r="K307" s="34"/>
      <c r="L307" s="44"/>
    </row>
    <row r="308" spans="1:12" x14ac:dyDescent="0.25">
      <c r="A308" s="11"/>
      <c r="B308" s="8"/>
      <c r="C308" s="18" t="s">
        <v>10</v>
      </c>
      <c r="D308" s="3"/>
      <c r="E308" s="7"/>
      <c r="F308" s="7"/>
      <c r="G308" s="7"/>
      <c r="H308" s="7"/>
      <c r="I308" s="7"/>
      <c r="J308" s="55"/>
      <c r="K308" s="35"/>
      <c r="L308" s="44"/>
    </row>
    <row r="309" spans="1:12" ht="45" x14ac:dyDescent="0.25">
      <c r="A309" s="11"/>
      <c r="B309" s="8"/>
      <c r="C309" s="7"/>
      <c r="D309" s="85" t="s">
        <v>49</v>
      </c>
      <c r="E309" s="85"/>
      <c r="F309" s="85"/>
      <c r="G309" s="85"/>
      <c r="H309" s="85"/>
      <c r="I309" s="85"/>
      <c r="J309" s="57" t="s">
        <v>96</v>
      </c>
      <c r="K309" s="40" t="s">
        <v>95</v>
      </c>
      <c r="L309" s="44"/>
    </row>
    <row r="310" spans="1:12" ht="16.5" thickBot="1" x14ac:dyDescent="0.3">
      <c r="A310" s="11"/>
      <c r="B310" s="8"/>
      <c r="C310" s="7"/>
      <c r="D310" s="19">
        <v>2026</v>
      </c>
      <c r="E310" s="19">
        <v>2027</v>
      </c>
      <c r="F310" s="19">
        <v>2028</v>
      </c>
      <c r="G310" s="19">
        <v>2029</v>
      </c>
      <c r="H310" s="19">
        <v>2030</v>
      </c>
      <c r="I310" s="38">
        <v>2031</v>
      </c>
      <c r="J310" s="55"/>
      <c r="K310" s="35"/>
      <c r="L310" s="48" t="s">
        <v>93</v>
      </c>
    </row>
    <row r="311" spans="1:12" ht="16.5" thickBot="1" x14ac:dyDescent="0.3">
      <c r="A311" s="12"/>
      <c r="B311" s="13"/>
      <c r="C311" s="28" t="s">
        <v>40</v>
      </c>
      <c r="D311" s="37"/>
      <c r="E311" s="37"/>
      <c r="F311" s="37"/>
      <c r="G311" s="37"/>
      <c r="H311" s="37"/>
      <c r="I311" s="37"/>
      <c r="J311" s="60">
        <v>50</v>
      </c>
      <c r="K311" s="47">
        <f>(D311*50)+(E311*50)+(F311*50)+(G311*50)+(H311*50)+(I311*50)</f>
        <v>0</v>
      </c>
      <c r="L311" s="50">
        <f>K311</f>
        <v>0</v>
      </c>
    </row>
    <row r="312" spans="1:12" x14ac:dyDescent="0.25">
      <c r="A312" s="7"/>
      <c r="C312" s="7"/>
      <c r="D312" s="7"/>
      <c r="E312" s="3"/>
      <c r="F312" s="3"/>
      <c r="G312" s="7"/>
      <c r="H312" s="3"/>
      <c r="I312" s="4"/>
      <c r="J312" s="62"/>
      <c r="K312" s="33"/>
    </row>
    <row r="313" spans="1:12" x14ac:dyDescent="0.25">
      <c r="A313" s="7"/>
      <c r="C313" s="7"/>
      <c r="D313" s="7"/>
      <c r="E313" s="3"/>
      <c r="F313" s="3"/>
      <c r="G313" s="7"/>
      <c r="H313" s="3"/>
      <c r="I313" s="4"/>
      <c r="J313" s="62"/>
      <c r="K313" s="33"/>
    </row>
    <row r="314" spans="1:12" x14ac:dyDescent="0.25">
      <c r="A314" s="84" t="s">
        <v>5</v>
      </c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</row>
    <row r="315" spans="1:12" ht="16.5" thickBot="1" x14ac:dyDescent="0.3">
      <c r="A315" s="7"/>
      <c r="B315" s="8"/>
      <c r="C315" s="1"/>
      <c r="D315" s="7"/>
      <c r="E315" s="7"/>
      <c r="F315" s="7"/>
      <c r="G315" s="7"/>
      <c r="H315" s="7"/>
      <c r="I315" s="7"/>
      <c r="J315" s="55"/>
    </row>
    <row r="316" spans="1:12" x14ac:dyDescent="0.25">
      <c r="A316" s="24" t="s">
        <v>50</v>
      </c>
      <c r="B316" s="26" t="s">
        <v>82</v>
      </c>
      <c r="C316" s="22" t="s">
        <v>5</v>
      </c>
      <c r="D316" s="10"/>
      <c r="E316" s="10"/>
      <c r="F316" s="10"/>
      <c r="G316" s="10"/>
      <c r="H316" s="10"/>
      <c r="I316" s="10"/>
      <c r="J316" s="56"/>
      <c r="K316" s="42"/>
      <c r="L316" s="43"/>
    </row>
    <row r="317" spans="1:12" x14ac:dyDescent="0.25">
      <c r="A317" s="11"/>
      <c r="B317" s="8"/>
      <c r="C317" s="17" t="s">
        <v>1</v>
      </c>
      <c r="D317" s="7"/>
      <c r="E317" s="7"/>
      <c r="F317" s="7"/>
      <c r="G317" s="7"/>
      <c r="H317" s="7"/>
      <c r="I317" s="7"/>
      <c r="J317" s="55"/>
      <c r="K317" s="35"/>
      <c r="L317" s="44"/>
    </row>
    <row r="318" spans="1:12" x14ac:dyDescent="0.25">
      <c r="A318" s="11"/>
      <c r="B318" s="8"/>
      <c r="C318" s="17" t="s">
        <v>41</v>
      </c>
      <c r="D318" s="7"/>
      <c r="E318" s="7"/>
      <c r="F318" s="7"/>
      <c r="G318" s="7"/>
      <c r="H318" s="7"/>
      <c r="I318" s="7"/>
      <c r="J318" s="55"/>
      <c r="K318" s="35"/>
      <c r="L318" s="44"/>
    </row>
    <row r="319" spans="1:12" x14ac:dyDescent="0.25">
      <c r="A319" s="11"/>
      <c r="B319" s="8"/>
      <c r="C319" s="18" t="s">
        <v>9</v>
      </c>
      <c r="D319" s="7"/>
      <c r="E319" s="7"/>
      <c r="F319" s="7"/>
      <c r="G319" s="7"/>
      <c r="H319" s="7"/>
      <c r="I319" s="7"/>
      <c r="J319" s="55"/>
      <c r="K319" s="34"/>
      <c r="L319" s="44"/>
    </row>
    <row r="320" spans="1:12" x14ac:dyDescent="0.25">
      <c r="A320" s="11"/>
      <c r="B320" s="8"/>
      <c r="C320" s="18" t="s">
        <v>10</v>
      </c>
      <c r="D320" s="3"/>
      <c r="E320" s="7"/>
      <c r="F320" s="7"/>
      <c r="G320" s="7"/>
      <c r="H320" s="7"/>
      <c r="I320" s="7"/>
      <c r="J320" s="55"/>
      <c r="K320" s="35"/>
      <c r="L320" s="44"/>
    </row>
    <row r="321" spans="1:12" ht="45" x14ac:dyDescent="0.25">
      <c r="A321" s="11"/>
      <c r="B321" s="8"/>
      <c r="C321" s="7"/>
      <c r="D321" s="85" t="s">
        <v>49</v>
      </c>
      <c r="E321" s="85"/>
      <c r="F321" s="85"/>
      <c r="G321" s="85"/>
      <c r="H321" s="85"/>
      <c r="I321" s="85"/>
      <c r="J321" s="57" t="s">
        <v>96</v>
      </c>
      <c r="K321" s="40" t="s">
        <v>95</v>
      </c>
      <c r="L321" s="44"/>
    </row>
    <row r="322" spans="1:12" ht="16.5" thickBot="1" x14ac:dyDescent="0.3">
      <c r="A322" s="11"/>
      <c r="B322" s="8"/>
      <c r="C322" s="7"/>
      <c r="D322" s="19">
        <v>2026</v>
      </c>
      <c r="E322" s="19">
        <v>2027</v>
      </c>
      <c r="F322" s="19">
        <v>2028</v>
      </c>
      <c r="G322" s="19">
        <v>2029</v>
      </c>
      <c r="H322" s="19">
        <v>2030</v>
      </c>
      <c r="I322" s="38">
        <v>2031</v>
      </c>
      <c r="J322" s="55"/>
      <c r="K322" s="35"/>
      <c r="L322" s="48" t="s">
        <v>93</v>
      </c>
    </row>
    <row r="323" spans="1:12" ht="16.5" thickBot="1" x14ac:dyDescent="0.3">
      <c r="A323" s="12"/>
      <c r="B323" s="14"/>
      <c r="C323" s="28" t="s">
        <v>42</v>
      </c>
      <c r="D323" s="37"/>
      <c r="E323" s="37"/>
      <c r="F323" s="37"/>
      <c r="G323" s="37"/>
      <c r="H323" s="37"/>
      <c r="I323" s="37"/>
      <c r="J323" s="60">
        <v>50</v>
      </c>
      <c r="K323" s="47">
        <f>(D323*50)+(E323*50)+(F323*50)+(G323*50)+(H323*50)+(I323*50)</f>
        <v>0</v>
      </c>
      <c r="L323" s="50">
        <f>K323</f>
        <v>0</v>
      </c>
    </row>
    <row r="324" spans="1:12" x14ac:dyDescent="0.25">
      <c r="A324" s="7"/>
      <c r="C324" s="6"/>
      <c r="D324" s="72"/>
      <c r="E324" s="72"/>
      <c r="F324" s="72"/>
      <c r="G324" s="72"/>
      <c r="H324" s="72"/>
      <c r="I324" s="72"/>
      <c r="J324" s="70"/>
      <c r="K324" s="34"/>
      <c r="L324" s="71"/>
    </row>
    <row r="325" spans="1:12" x14ac:dyDescent="0.25">
      <c r="A325" s="7"/>
      <c r="C325" s="7"/>
      <c r="D325" s="7"/>
      <c r="E325" s="3"/>
      <c r="F325" s="3"/>
      <c r="G325" s="7"/>
      <c r="H325" s="3"/>
      <c r="I325" s="4"/>
      <c r="J325" s="62"/>
      <c r="K325" s="33"/>
    </row>
    <row r="326" spans="1:12" x14ac:dyDescent="0.25">
      <c r="A326" s="83" t="s">
        <v>98</v>
      </c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</row>
    <row r="327" spans="1:12" ht="16.5" thickBot="1" x14ac:dyDescent="0.3">
      <c r="A327" s="7"/>
      <c r="C327" s="7"/>
      <c r="D327" s="7"/>
      <c r="E327" s="3"/>
      <c r="F327" s="3"/>
      <c r="G327" s="7"/>
      <c r="H327" s="3"/>
      <c r="I327" s="4"/>
      <c r="J327" s="62"/>
      <c r="K327" s="33"/>
    </row>
    <row r="328" spans="1:12" x14ac:dyDescent="0.25">
      <c r="A328" s="24" t="s">
        <v>50</v>
      </c>
      <c r="B328" s="26" t="s">
        <v>83</v>
      </c>
      <c r="C328" s="22" t="s">
        <v>100</v>
      </c>
      <c r="D328" s="10"/>
      <c r="E328" s="10"/>
      <c r="F328" s="10"/>
      <c r="G328" s="10"/>
      <c r="H328" s="10"/>
      <c r="I328" s="10"/>
      <c r="J328" s="56"/>
      <c r="K328" s="42"/>
      <c r="L328" s="43"/>
    </row>
    <row r="329" spans="1:12" x14ac:dyDescent="0.25">
      <c r="A329" s="11"/>
      <c r="B329" s="8"/>
      <c r="C329" s="17" t="s">
        <v>1</v>
      </c>
      <c r="D329" s="7"/>
      <c r="E329" s="7"/>
      <c r="F329" s="7"/>
      <c r="G329" s="7"/>
      <c r="H329" s="7"/>
      <c r="I329" s="7"/>
      <c r="J329" s="55"/>
      <c r="K329" s="35"/>
      <c r="L329" s="44"/>
    </row>
    <row r="330" spans="1:12" ht="15.6" customHeight="1" x14ac:dyDescent="0.25">
      <c r="A330" s="11"/>
      <c r="B330" s="8"/>
      <c r="C330" s="17" t="s">
        <v>101</v>
      </c>
      <c r="D330" s="7"/>
      <c r="E330" s="7"/>
      <c r="F330" s="7"/>
      <c r="G330" s="7"/>
      <c r="H330" s="7"/>
      <c r="I330" s="7"/>
      <c r="J330" s="55"/>
      <c r="K330" s="35"/>
      <c r="L330" s="44"/>
    </row>
    <row r="331" spans="1:12" x14ac:dyDescent="0.25">
      <c r="A331" s="11"/>
      <c r="B331" s="8"/>
      <c r="C331" s="18" t="s">
        <v>9</v>
      </c>
      <c r="D331" s="7"/>
      <c r="E331" s="7"/>
      <c r="F331" s="7"/>
      <c r="G331" s="7"/>
      <c r="H331" s="7"/>
      <c r="I331" s="7"/>
      <c r="J331" s="55"/>
      <c r="K331" s="34"/>
      <c r="L331" s="44"/>
    </row>
    <row r="332" spans="1:12" x14ac:dyDescent="0.25">
      <c r="A332" s="11"/>
      <c r="B332" s="8"/>
      <c r="C332" s="18" t="s">
        <v>10</v>
      </c>
      <c r="D332" s="3"/>
      <c r="E332" s="7"/>
      <c r="F332" s="7"/>
      <c r="G332" s="7"/>
      <c r="H332" s="7"/>
      <c r="I332" s="7"/>
      <c r="J332" s="55"/>
      <c r="K332" s="35"/>
      <c r="L332" s="44"/>
    </row>
    <row r="333" spans="1:12" ht="45" x14ac:dyDescent="0.25">
      <c r="A333" s="11"/>
      <c r="B333" s="8"/>
      <c r="C333" s="7"/>
      <c r="D333" s="85" t="s">
        <v>49</v>
      </c>
      <c r="E333" s="85"/>
      <c r="F333" s="85"/>
      <c r="G333" s="85"/>
      <c r="H333" s="85"/>
      <c r="I333" s="85"/>
      <c r="J333" s="57" t="s">
        <v>96</v>
      </c>
      <c r="K333" s="40" t="s">
        <v>95</v>
      </c>
      <c r="L333" s="44"/>
    </row>
    <row r="334" spans="1:12" ht="16.5" thickBot="1" x14ac:dyDescent="0.3">
      <c r="A334" s="11"/>
      <c r="B334" s="8"/>
      <c r="C334" s="7"/>
      <c r="D334" s="19">
        <v>2026</v>
      </c>
      <c r="E334" s="19">
        <v>2027</v>
      </c>
      <c r="F334" s="19">
        <v>2028</v>
      </c>
      <c r="G334" s="19">
        <v>2029</v>
      </c>
      <c r="H334" s="19">
        <v>2030</v>
      </c>
      <c r="I334" s="38">
        <v>2031</v>
      </c>
      <c r="J334" s="55"/>
      <c r="K334" s="35"/>
      <c r="L334" s="48" t="s">
        <v>93</v>
      </c>
    </row>
    <row r="335" spans="1:12" ht="16.5" thickBot="1" x14ac:dyDescent="0.3">
      <c r="A335" s="12"/>
      <c r="B335" s="14"/>
      <c r="C335" s="28" t="s">
        <v>29</v>
      </c>
      <c r="D335" s="37"/>
      <c r="E335" s="37"/>
      <c r="F335" s="37"/>
      <c r="G335" s="37"/>
      <c r="H335" s="37"/>
      <c r="I335" s="37"/>
      <c r="J335" s="60">
        <v>50</v>
      </c>
      <c r="K335" s="47">
        <f>(D335*50)+(E335*50)+(F335*50)+(G335*50)+(H335*50)+(I335*50)</f>
        <v>0</v>
      </c>
      <c r="L335" s="50">
        <f>K335</f>
        <v>0</v>
      </c>
    </row>
    <row r="336" spans="1:12" ht="16.5" thickBot="1" x14ac:dyDescent="0.3">
      <c r="A336" s="7"/>
      <c r="C336" s="7"/>
      <c r="D336" s="7"/>
      <c r="E336" s="3"/>
      <c r="F336" s="3"/>
      <c r="G336" s="7"/>
      <c r="H336" s="3"/>
      <c r="I336" s="4"/>
      <c r="J336" s="62"/>
      <c r="K336" s="33"/>
    </row>
    <row r="337" spans="1:12" x14ac:dyDescent="0.25">
      <c r="A337" s="24" t="s">
        <v>50</v>
      </c>
      <c r="B337" s="25" t="s">
        <v>84</v>
      </c>
      <c r="C337" s="22" t="s">
        <v>6</v>
      </c>
      <c r="D337" s="10"/>
      <c r="E337" s="15"/>
      <c r="F337" s="15"/>
      <c r="G337" s="10"/>
      <c r="H337" s="15"/>
      <c r="I337" s="52"/>
      <c r="J337" s="62"/>
    </row>
    <row r="338" spans="1:12" ht="31.5" x14ac:dyDescent="0.25">
      <c r="A338" s="11"/>
      <c r="B338" s="8"/>
      <c r="C338" s="21" t="s">
        <v>116</v>
      </c>
      <c r="D338" s="85" t="s">
        <v>91</v>
      </c>
      <c r="E338" s="85"/>
      <c r="F338" s="85"/>
      <c r="G338" s="85"/>
      <c r="H338" s="85"/>
      <c r="I338" s="88"/>
      <c r="J338" s="55"/>
      <c r="K338" s="33"/>
    </row>
    <row r="339" spans="1:12" ht="16.5" thickBot="1" x14ac:dyDescent="0.3">
      <c r="A339" s="12"/>
      <c r="B339" s="13"/>
      <c r="C339" s="23"/>
      <c r="D339" s="89"/>
      <c r="E339" s="90"/>
      <c r="F339" s="90"/>
      <c r="G339" s="90"/>
      <c r="H339" s="90"/>
      <c r="I339" s="91"/>
      <c r="J339" s="55"/>
    </row>
    <row r="340" spans="1:12" x14ac:dyDescent="0.25">
      <c r="A340" s="7"/>
      <c r="C340" s="7"/>
      <c r="D340" s="3"/>
      <c r="E340" s="7"/>
      <c r="F340" s="7"/>
      <c r="G340" s="7"/>
      <c r="H340" s="7"/>
      <c r="I340" s="7"/>
      <c r="J340" s="55"/>
    </row>
    <row r="341" spans="1:12" x14ac:dyDescent="0.25">
      <c r="A341" s="83" t="s">
        <v>43</v>
      </c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</row>
    <row r="342" spans="1:12" x14ac:dyDescent="0.25">
      <c r="A342" s="96" t="s">
        <v>86</v>
      </c>
      <c r="B342" s="96"/>
      <c r="C342" s="96"/>
      <c r="D342" s="96"/>
      <c r="E342" s="96"/>
      <c r="F342" s="96"/>
      <c r="G342" s="96"/>
      <c r="H342" s="96"/>
      <c r="I342" s="96"/>
      <c r="J342" s="66"/>
    </row>
    <row r="343" spans="1:12" x14ac:dyDescent="0.25">
      <c r="A343" s="95" t="s">
        <v>48</v>
      </c>
      <c r="B343" s="95"/>
      <c r="C343" s="95"/>
      <c r="D343" s="95"/>
      <c r="E343" s="95"/>
      <c r="F343" s="95"/>
      <c r="G343" s="95"/>
      <c r="H343" s="95"/>
      <c r="I343" s="95"/>
      <c r="J343" s="67"/>
    </row>
    <row r="344" spans="1:12" x14ac:dyDescent="0.25">
      <c r="A344" s="95"/>
      <c r="B344" s="95"/>
      <c r="C344" s="95"/>
      <c r="D344" s="95"/>
      <c r="E344" s="95"/>
      <c r="F344" s="95"/>
      <c r="G344" s="95"/>
      <c r="H344" s="95"/>
      <c r="I344" s="95"/>
      <c r="J344" s="67"/>
    </row>
    <row r="345" spans="1:12" ht="16.5" thickBot="1" x14ac:dyDescent="0.3">
      <c r="A345" s="7"/>
      <c r="C345" s="3"/>
      <c r="D345" s="7"/>
      <c r="E345" s="7"/>
      <c r="F345" s="7"/>
      <c r="G345" s="7"/>
      <c r="H345" s="7"/>
      <c r="I345" s="7"/>
      <c r="J345" s="55"/>
    </row>
    <row r="346" spans="1:12" x14ac:dyDescent="0.25">
      <c r="A346" s="24" t="s">
        <v>50</v>
      </c>
      <c r="B346" s="26" t="s">
        <v>99</v>
      </c>
      <c r="C346" s="27" t="s">
        <v>7</v>
      </c>
      <c r="D346" s="10"/>
      <c r="E346" s="10"/>
      <c r="F346" s="10"/>
      <c r="G346" s="10"/>
      <c r="H346" s="10"/>
      <c r="I346" s="10"/>
      <c r="J346" s="56"/>
      <c r="K346" s="51"/>
      <c r="L346" s="43"/>
    </row>
    <row r="347" spans="1:12" x14ac:dyDescent="0.25">
      <c r="A347" s="11"/>
      <c r="B347" s="8"/>
      <c r="C347" s="17" t="s">
        <v>44</v>
      </c>
      <c r="D347" s="7"/>
      <c r="E347" s="7"/>
      <c r="F347" s="7"/>
      <c r="G347" s="7"/>
      <c r="H347" s="7"/>
      <c r="I347" s="7"/>
      <c r="J347" s="55"/>
      <c r="K347" s="35"/>
      <c r="L347" s="44"/>
    </row>
    <row r="348" spans="1:12" ht="45" x14ac:dyDescent="0.25">
      <c r="A348" s="11"/>
      <c r="C348" s="7"/>
      <c r="D348" s="85" t="s">
        <v>49</v>
      </c>
      <c r="E348" s="85"/>
      <c r="F348" s="85"/>
      <c r="G348" s="85"/>
      <c r="H348" s="85"/>
      <c r="I348" s="85"/>
      <c r="J348" s="57" t="s">
        <v>96</v>
      </c>
      <c r="K348" s="40" t="s">
        <v>95</v>
      </c>
      <c r="L348" s="44"/>
    </row>
    <row r="349" spans="1:12" ht="16.5" thickBot="1" x14ac:dyDescent="0.3">
      <c r="A349" s="11"/>
      <c r="C349" s="7"/>
      <c r="D349" s="19">
        <v>2026</v>
      </c>
      <c r="E349" s="19">
        <v>2027</v>
      </c>
      <c r="F349" s="19">
        <v>2028</v>
      </c>
      <c r="G349" s="19">
        <v>2029</v>
      </c>
      <c r="H349" s="19">
        <v>2030</v>
      </c>
      <c r="I349" s="38">
        <v>2031</v>
      </c>
      <c r="J349" s="55"/>
      <c r="K349" s="35"/>
      <c r="L349" s="48" t="s">
        <v>93</v>
      </c>
    </row>
    <row r="350" spans="1:12" ht="16.5" thickBot="1" x14ac:dyDescent="0.3">
      <c r="A350" s="12"/>
      <c r="B350" s="14"/>
      <c r="C350" s="28" t="s">
        <v>47</v>
      </c>
      <c r="D350" s="37"/>
      <c r="E350" s="37"/>
      <c r="F350" s="37"/>
      <c r="G350" s="37"/>
      <c r="H350" s="37"/>
      <c r="I350" s="37"/>
      <c r="J350" s="60">
        <v>50</v>
      </c>
      <c r="K350" s="47">
        <f>(D350*50)+(E350*50)+(F350*50)+(G350*50)+(H350*50)+(I350*50)</f>
        <v>0</v>
      </c>
      <c r="L350" s="50">
        <f>K350</f>
        <v>0</v>
      </c>
    </row>
    <row r="351" spans="1:12" ht="16.5" thickBot="1" x14ac:dyDescent="0.3">
      <c r="A351" s="7"/>
      <c r="C351" s="2"/>
      <c r="D351" s="7"/>
      <c r="E351" s="3"/>
      <c r="F351" s="3"/>
      <c r="G351" s="7"/>
      <c r="H351" s="3"/>
      <c r="I351" s="7"/>
      <c r="J351" s="55"/>
    </row>
    <row r="352" spans="1:12" x14ac:dyDescent="0.25">
      <c r="A352" s="24" t="s">
        <v>50</v>
      </c>
      <c r="B352" s="26" t="s">
        <v>112</v>
      </c>
      <c r="C352" s="27" t="s">
        <v>7</v>
      </c>
      <c r="D352" s="10"/>
      <c r="E352" s="10"/>
      <c r="F352" s="10"/>
      <c r="G352" s="10"/>
      <c r="H352" s="10"/>
      <c r="I352" s="10"/>
      <c r="J352" s="56"/>
      <c r="K352" s="51"/>
      <c r="L352" s="43"/>
    </row>
    <row r="353" spans="1:12" x14ac:dyDescent="0.25">
      <c r="A353" s="11"/>
      <c r="B353" s="8"/>
      <c r="C353" s="17" t="s">
        <v>45</v>
      </c>
      <c r="D353" s="7"/>
      <c r="E353" s="7"/>
      <c r="F353" s="7"/>
      <c r="G353" s="7"/>
      <c r="H353" s="7"/>
      <c r="I353" s="7"/>
      <c r="J353" s="55"/>
      <c r="K353" s="35"/>
      <c r="L353" s="44"/>
    </row>
    <row r="354" spans="1:12" ht="45" x14ac:dyDescent="0.25">
      <c r="A354" s="11"/>
      <c r="C354" s="7"/>
      <c r="D354" s="85" t="s">
        <v>49</v>
      </c>
      <c r="E354" s="85"/>
      <c r="F354" s="85"/>
      <c r="G354" s="85"/>
      <c r="H354" s="85"/>
      <c r="I354" s="85"/>
      <c r="J354" s="57" t="s">
        <v>96</v>
      </c>
      <c r="K354" s="40" t="s">
        <v>95</v>
      </c>
      <c r="L354" s="44"/>
    </row>
    <row r="355" spans="1:12" ht="16.5" thickBot="1" x14ac:dyDescent="0.3">
      <c r="A355" s="11"/>
      <c r="C355" s="7"/>
      <c r="D355" s="19">
        <v>2026</v>
      </c>
      <c r="E355" s="19">
        <v>2027</v>
      </c>
      <c r="F355" s="19">
        <v>2028</v>
      </c>
      <c r="G355" s="19">
        <v>2029</v>
      </c>
      <c r="H355" s="19">
        <v>2030</v>
      </c>
      <c r="I355" s="38">
        <v>2031</v>
      </c>
      <c r="J355" s="55"/>
      <c r="K355" s="35"/>
      <c r="L355" s="48" t="s">
        <v>93</v>
      </c>
    </row>
    <row r="356" spans="1:12" ht="16.5" thickBot="1" x14ac:dyDescent="0.3">
      <c r="A356" s="12"/>
      <c r="B356" s="14"/>
      <c r="C356" s="28" t="s">
        <v>47</v>
      </c>
      <c r="D356" s="37"/>
      <c r="E356" s="37"/>
      <c r="F356" s="37"/>
      <c r="G356" s="37"/>
      <c r="H356" s="37"/>
      <c r="I356" s="37"/>
      <c r="J356" s="60">
        <v>50</v>
      </c>
      <c r="K356" s="47">
        <f>(D356*50)+(E356*50)+(F356*50)+(G356*50)+(H356*50)+(I356*50)</f>
        <v>0</v>
      </c>
      <c r="L356" s="50">
        <f>K356</f>
        <v>0</v>
      </c>
    </row>
    <row r="357" spans="1:12" ht="16.5" thickBot="1" x14ac:dyDescent="0.3">
      <c r="A357" s="7"/>
      <c r="C357" s="2"/>
      <c r="D357" s="7"/>
      <c r="E357" s="3"/>
      <c r="F357" s="3"/>
      <c r="G357" s="7"/>
      <c r="H357" s="3"/>
      <c r="I357" s="7"/>
      <c r="J357" s="55"/>
    </row>
    <row r="358" spans="1:12" x14ac:dyDescent="0.25">
      <c r="A358" s="24" t="s">
        <v>50</v>
      </c>
      <c r="B358" s="26" t="s">
        <v>113</v>
      </c>
      <c r="C358" s="27" t="s">
        <v>7</v>
      </c>
      <c r="D358" s="10"/>
      <c r="E358" s="10"/>
      <c r="F358" s="10"/>
      <c r="G358" s="10"/>
      <c r="H358" s="10"/>
      <c r="I358" s="10"/>
      <c r="J358" s="56"/>
      <c r="K358" s="42"/>
      <c r="L358" s="43"/>
    </row>
    <row r="359" spans="1:12" x14ac:dyDescent="0.25">
      <c r="A359" s="11"/>
      <c r="B359" s="8"/>
      <c r="C359" s="17" t="s">
        <v>46</v>
      </c>
      <c r="D359" s="7"/>
      <c r="E359" s="7"/>
      <c r="F359" s="7"/>
      <c r="G359" s="7"/>
      <c r="H359" s="7"/>
      <c r="I359" s="7"/>
      <c r="J359" s="55"/>
      <c r="K359" s="35"/>
      <c r="L359" s="44"/>
    </row>
    <row r="360" spans="1:12" ht="45" x14ac:dyDescent="0.25">
      <c r="A360" s="11"/>
      <c r="C360" s="7"/>
      <c r="D360" s="85" t="s">
        <v>49</v>
      </c>
      <c r="E360" s="85"/>
      <c r="F360" s="85"/>
      <c r="G360" s="85"/>
      <c r="H360" s="85"/>
      <c r="I360" s="85"/>
      <c r="J360" s="57" t="s">
        <v>96</v>
      </c>
      <c r="K360" s="40" t="s">
        <v>95</v>
      </c>
      <c r="L360" s="44"/>
    </row>
    <row r="361" spans="1:12" ht="16.5" thickBot="1" x14ac:dyDescent="0.3">
      <c r="A361" s="11"/>
      <c r="C361" s="7"/>
      <c r="D361" s="19">
        <v>2026</v>
      </c>
      <c r="E361" s="19">
        <v>2027</v>
      </c>
      <c r="F361" s="19">
        <v>2028</v>
      </c>
      <c r="G361" s="19">
        <v>2029</v>
      </c>
      <c r="H361" s="19">
        <v>2030</v>
      </c>
      <c r="I361" s="38">
        <v>2031</v>
      </c>
      <c r="J361" s="55"/>
      <c r="K361" s="35"/>
      <c r="L361" s="48" t="s">
        <v>93</v>
      </c>
    </row>
    <row r="362" spans="1:12" ht="16.5" thickBot="1" x14ac:dyDescent="0.3">
      <c r="A362" s="12"/>
      <c r="B362" s="14"/>
      <c r="C362" s="28" t="s">
        <v>47</v>
      </c>
      <c r="D362" s="37"/>
      <c r="E362" s="37"/>
      <c r="F362" s="37"/>
      <c r="G362" s="37"/>
      <c r="H362" s="37"/>
      <c r="I362" s="37"/>
      <c r="J362" s="60">
        <v>50</v>
      </c>
      <c r="K362" s="47">
        <f>(D362*50)+(E362*50)+(F362*50)+(G362*50)+(H362*50)+(I362*50)</f>
        <v>0</v>
      </c>
      <c r="L362" s="50">
        <f>K362</f>
        <v>0</v>
      </c>
    </row>
    <row r="363" spans="1:12" x14ac:dyDescent="0.25">
      <c r="B363" s="8"/>
      <c r="D363" s="3"/>
      <c r="K363" s="34"/>
    </row>
    <row r="364" spans="1:12" ht="16.5" thickBot="1" x14ac:dyDescent="0.3">
      <c r="B364" s="8"/>
      <c r="D364" s="3"/>
      <c r="K364" s="35"/>
    </row>
    <row r="365" spans="1:12" x14ac:dyDescent="0.25">
      <c r="A365" s="24" t="s">
        <v>50</v>
      </c>
      <c r="B365" s="26" t="s">
        <v>114</v>
      </c>
      <c r="C365" s="27" t="s">
        <v>85</v>
      </c>
      <c r="D365" s="10"/>
      <c r="E365" s="10"/>
      <c r="F365" s="10"/>
      <c r="G365" s="10"/>
      <c r="H365" s="10"/>
      <c r="I365" s="10"/>
      <c r="J365" s="56"/>
      <c r="K365" s="42"/>
      <c r="L365" s="43"/>
    </row>
    <row r="366" spans="1:12" x14ac:dyDescent="0.25">
      <c r="A366" s="11"/>
      <c r="B366" s="8"/>
      <c r="C366" s="95" t="s">
        <v>88</v>
      </c>
      <c r="D366" s="7"/>
      <c r="E366" s="7"/>
      <c r="F366" s="7"/>
      <c r="G366" s="7"/>
      <c r="H366" s="7"/>
      <c r="I366" s="7"/>
      <c r="J366" s="55"/>
      <c r="K366" s="35"/>
      <c r="L366" s="44"/>
    </row>
    <row r="367" spans="1:12" x14ac:dyDescent="0.25">
      <c r="A367" s="11"/>
      <c r="C367" s="95"/>
      <c r="D367" s="85" t="s">
        <v>49</v>
      </c>
      <c r="E367" s="85"/>
      <c r="F367" s="85"/>
      <c r="G367" s="85"/>
      <c r="H367" s="85"/>
      <c r="I367" s="85"/>
      <c r="J367" s="55"/>
      <c r="K367" s="35"/>
      <c r="L367" s="44"/>
    </row>
    <row r="368" spans="1:12" x14ac:dyDescent="0.25">
      <c r="A368" s="11"/>
      <c r="C368" s="95"/>
      <c r="D368" s="19">
        <v>2026</v>
      </c>
      <c r="E368" s="19">
        <v>2027</v>
      </c>
      <c r="F368" s="19">
        <v>2028</v>
      </c>
      <c r="G368" s="19">
        <v>2029</v>
      </c>
      <c r="H368" s="19">
        <v>2030</v>
      </c>
      <c r="I368" s="38">
        <v>2031</v>
      </c>
      <c r="J368" s="55"/>
      <c r="K368" s="34"/>
      <c r="L368" s="44"/>
    </row>
    <row r="369" spans="1:12" ht="16.5" thickBot="1" x14ac:dyDescent="0.3">
      <c r="A369" s="12"/>
      <c r="B369" s="14"/>
      <c r="C369" s="28" t="s">
        <v>87</v>
      </c>
      <c r="D369" s="28" t="s">
        <v>89</v>
      </c>
      <c r="E369" s="28" t="s">
        <v>89</v>
      </c>
      <c r="F369" s="28" t="s">
        <v>89</v>
      </c>
      <c r="G369" s="28" t="s">
        <v>89</v>
      </c>
      <c r="H369" s="28" t="s">
        <v>89</v>
      </c>
      <c r="I369" s="28" t="s">
        <v>89</v>
      </c>
      <c r="J369" s="68"/>
      <c r="K369" s="53"/>
      <c r="L369" s="16"/>
    </row>
    <row r="370" spans="1:12" x14ac:dyDescent="0.25">
      <c r="D370" s="3"/>
      <c r="K370" s="33"/>
    </row>
    <row r="371" spans="1:12" x14ac:dyDescent="0.25">
      <c r="B371" s="8"/>
      <c r="D371" s="3"/>
    </row>
    <row r="372" spans="1:12" x14ac:dyDescent="0.25">
      <c r="B372" s="8"/>
      <c r="E372" s="3"/>
      <c r="F372" s="3"/>
      <c r="H372" s="3"/>
      <c r="I372" s="4"/>
      <c r="J372" s="62"/>
    </row>
    <row r="374" spans="1:12" x14ac:dyDescent="0.25">
      <c r="C374" s="3"/>
    </row>
    <row r="375" spans="1:12" x14ac:dyDescent="0.25">
      <c r="D375" s="3"/>
      <c r="K375" s="33"/>
    </row>
    <row r="376" spans="1:12" x14ac:dyDescent="0.25">
      <c r="B376" s="8"/>
      <c r="D376" s="3"/>
    </row>
    <row r="377" spans="1:12" x14ac:dyDescent="0.25">
      <c r="B377" s="8"/>
      <c r="E377" s="3"/>
      <c r="F377" s="3"/>
      <c r="H377" s="3"/>
      <c r="I377" s="4"/>
      <c r="J377" s="62"/>
    </row>
    <row r="380" spans="1:12" x14ac:dyDescent="0.25">
      <c r="K380" s="33"/>
    </row>
    <row r="381" spans="1:12" x14ac:dyDescent="0.25">
      <c r="B381" s="8"/>
    </row>
    <row r="382" spans="1:12" x14ac:dyDescent="0.25">
      <c r="B382" s="8"/>
    </row>
    <row r="383" spans="1:12" x14ac:dyDescent="0.25">
      <c r="B383" s="8"/>
    </row>
    <row r="384" spans="1:12" x14ac:dyDescent="0.25">
      <c r="B384" s="8"/>
    </row>
    <row r="385" spans="2:11" x14ac:dyDescent="0.25">
      <c r="B385" s="8"/>
      <c r="C385" s="3"/>
      <c r="K385" s="33"/>
    </row>
    <row r="386" spans="2:11" x14ac:dyDescent="0.25">
      <c r="D386" s="3"/>
    </row>
    <row r="387" spans="2:11" x14ac:dyDescent="0.25">
      <c r="B387" s="8"/>
      <c r="D387" s="3"/>
    </row>
    <row r="388" spans="2:11" x14ac:dyDescent="0.25">
      <c r="B388" s="8"/>
      <c r="E388" s="3"/>
      <c r="F388" s="3"/>
      <c r="H388" s="3"/>
      <c r="I388" s="4"/>
      <c r="J388" s="62"/>
    </row>
    <row r="390" spans="2:11" x14ac:dyDescent="0.25">
      <c r="C390" s="3"/>
      <c r="K390" s="33"/>
    </row>
    <row r="391" spans="2:11" x14ac:dyDescent="0.25">
      <c r="D391" s="3"/>
    </row>
    <row r="392" spans="2:11" x14ac:dyDescent="0.25">
      <c r="B392" s="8"/>
      <c r="D392" s="3"/>
    </row>
    <row r="393" spans="2:11" x14ac:dyDescent="0.25">
      <c r="B393" s="8"/>
      <c r="E393" s="3"/>
      <c r="F393" s="3"/>
      <c r="H393" s="3"/>
      <c r="I393" s="3"/>
      <c r="J393" s="62"/>
    </row>
    <row r="395" spans="2:11" x14ac:dyDescent="0.25">
      <c r="C395" s="3"/>
      <c r="K395" s="33"/>
    </row>
    <row r="396" spans="2:11" x14ac:dyDescent="0.25">
      <c r="D396" s="3"/>
    </row>
    <row r="397" spans="2:11" x14ac:dyDescent="0.25">
      <c r="B397" s="8"/>
      <c r="D397" s="3"/>
    </row>
    <row r="398" spans="2:11" x14ac:dyDescent="0.25">
      <c r="B398" s="8"/>
      <c r="E398" s="3"/>
      <c r="F398" s="3"/>
      <c r="H398" s="3"/>
      <c r="I398" s="3"/>
      <c r="J398" s="62"/>
    </row>
    <row r="400" spans="2:11" x14ac:dyDescent="0.25">
      <c r="C400" s="3"/>
      <c r="K400" s="33"/>
    </row>
    <row r="401" spans="2:11" x14ac:dyDescent="0.25">
      <c r="D401" s="3"/>
    </row>
    <row r="402" spans="2:11" x14ac:dyDescent="0.25">
      <c r="B402" s="8"/>
      <c r="D402" s="3"/>
    </row>
    <row r="403" spans="2:11" x14ac:dyDescent="0.25">
      <c r="B403" s="8"/>
      <c r="E403" s="3"/>
      <c r="F403" s="3"/>
      <c r="H403" s="3"/>
      <c r="I403" s="3"/>
      <c r="J403" s="62"/>
    </row>
    <row r="405" spans="2:11" x14ac:dyDescent="0.25">
      <c r="C405" s="3"/>
      <c r="K405" s="33"/>
    </row>
    <row r="406" spans="2:11" x14ac:dyDescent="0.25">
      <c r="D406" s="3"/>
    </row>
    <row r="407" spans="2:11" x14ac:dyDescent="0.25">
      <c r="B407" s="8"/>
      <c r="D407" s="3"/>
    </row>
    <row r="408" spans="2:11" x14ac:dyDescent="0.25">
      <c r="B408" s="8"/>
      <c r="E408" s="3"/>
      <c r="F408" s="3"/>
      <c r="H408" s="3"/>
      <c r="I408" s="4"/>
      <c r="J408" s="62"/>
    </row>
    <row r="410" spans="2:11" x14ac:dyDescent="0.25">
      <c r="K410" s="33"/>
    </row>
    <row r="412" spans="2:11" x14ac:dyDescent="0.25">
      <c r="B412" s="8"/>
    </row>
    <row r="413" spans="2:11" x14ac:dyDescent="0.25">
      <c r="B413" s="8"/>
      <c r="C413" s="1"/>
    </row>
    <row r="414" spans="2:11" x14ac:dyDescent="0.25">
      <c r="C414" s="3"/>
    </row>
    <row r="415" spans="2:11" x14ac:dyDescent="0.25">
      <c r="K415" s="33"/>
    </row>
    <row r="416" spans="2:11" x14ac:dyDescent="0.25">
      <c r="C416" s="3"/>
    </row>
    <row r="417" spans="2:11" x14ac:dyDescent="0.25">
      <c r="B417" s="8"/>
      <c r="D417" s="3"/>
    </row>
    <row r="418" spans="2:11" x14ac:dyDescent="0.25">
      <c r="B418" s="8"/>
      <c r="D418" s="3"/>
    </row>
    <row r="419" spans="2:11" x14ac:dyDescent="0.25">
      <c r="E419" s="3"/>
      <c r="F419" s="3"/>
      <c r="H419" s="3"/>
      <c r="I419" s="4"/>
      <c r="J419" s="62"/>
    </row>
    <row r="420" spans="2:11" x14ac:dyDescent="0.25">
      <c r="K420" s="33"/>
    </row>
    <row r="421" spans="2:11" x14ac:dyDescent="0.25">
      <c r="C421" s="3"/>
    </row>
    <row r="422" spans="2:11" x14ac:dyDescent="0.25">
      <c r="B422" s="8"/>
      <c r="D422" s="3"/>
    </row>
    <row r="423" spans="2:11" x14ac:dyDescent="0.25">
      <c r="B423" s="8"/>
      <c r="D423" s="3"/>
    </row>
    <row r="424" spans="2:11" x14ac:dyDescent="0.25">
      <c r="E424" s="3"/>
      <c r="F424" s="3"/>
      <c r="H424" s="3"/>
      <c r="I424" s="4"/>
      <c r="J424" s="62"/>
    </row>
    <row r="425" spans="2:11" x14ac:dyDescent="0.25">
      <c r="K425" s="33"/>
    </row>
    <row r="426" spans="2:11" x14ac:dyDescent="0.25">
      <c r="C426" s="3"/>
    </row>
    <row r="427" spans="2:11" x14ac:dyDescent="0.25">
      <c r="B427" s="8"/>
      <c r="D427" s="3"/>
    </row>
    <row r="428" spans="2:11" x14ac:dyDescent="0.25">
      <c r="B428" s="8"/>
      <c r="D428" s="3"/>
    </row>
    <row r="429" spans="2:11" x14ac:dyDescent="0.25">
      <c r="E429" s="3"/>
      <c r="F429" s="3"/>
      <c r="H429" s="3"/>
      <c r="I429" s="4"/>
      <c r="J429" s="62"/>
    </row>
    <row r="430" spans="2:11" x14ac:dyDescent="0.25">
      <c r="K430" s="33"/>
    </row>
    <row r="431" spans="2:11" x14ac:dyDescent="0.25">
      <c r="C431" s="3"/>
    </row>
    <row r="432" spans="2:11" x14ac:dyDescent="0.25">
      <c r="B432" s="8"/>
      <c r="D432" s="3"/>
    </row>
    <row r="433" spans="2:11" x14ac:dyDescent="0.25">
      <c r="B433" s="8"/>
      <c r="D433" s="3"/>
    </row>
    <row r="434" spans="2:11" x14ac:dyDescent="0.25">
      <c r="E434" s="3"/>
      <c r="F434" s="3"/>
      <c r="H434" s="3"/>
      <c r="I434" s="4"/>
      <c r="J434" s="62"/>
    </row>
    <row r="435" spans="2:11" x14ac:dyDescent="0.25">
      <c r="K435" s="33"/>
    </row>
    <row r="436" spans="2:11" x14ac:dyDescent="0.25">
      <c r="C436" s="3"/>
    </row>
    <row r="437" spans="2:11" x14ac:dyDescent="0.25">
      <c r="B437" s="8"/>
      <c r="D437" s="3"/>
    </row>
    <row r="438" spans="2:11" x14ac:dyDescent="0.25">
      <c r="B438" s="8"/>
      <c r="D438" s="3"/>
    </row>
    <row r="439" spans="2:11" x14ac:dyDescent="0.25">
      <c r="E439" s="3"/>
      <c r="F439" s="3"/>
      <c r="H439" s="3"/>
      <c r="I439" s="4"/>
      <c r="J439" s="62"/>
    </row>
    <row r="440" spans="2:11" x14ac:dyDescent="0.25">
      <c r="K440" s="33"/>
    </row>
    <row r="441" spans="2:11" x14ac:dyDescent="0.25">
      <c r="C441" s="3"/>
    </row>
    <row r="442" spans="2:11" x14ac:dyDescent="0.25">
      <c r="B442" s="8"/>
      <c r="D442" s="3"/>
    </row>
    <row r="443" spans="2:11" x14ac:dyDescent="0.25">
      <c r="B443" s="8"/>
      <c r="D443" s="3"/>
    </row>
    <row r="444" spans="2:11" x14ac:dyDescent="0.25">
      <c r="E444" s="3"/>
      <c r="F444" s="3"/>
      <c r="H444" s="3"/>
      <c r="I444" s="4"/>
      <c r="J444" s="62"/>
    </row>
    <row r="445" spans="2:11" x14ac:dyDescent="0.25">
      <c r="K445" s="33"/>
    </row>
    <row r="446" spans="2:11" x14ac:dyDescent="0.25">
      <c r="C446" s="3"/>
    </row>
    <row r="447" spans="2:11" x14ac:dyDescent="0.25">
      <c r="B447" s="8"/>
      <c r="D447" s="3"/>
    </row>
    <row r="448" spans="2:11" x14ac:dyDescent="0.25">
      <c r="B448" s="8"/>
      <c r="D448" s="3"/>
    </row>
    <row r="449" spans="2:11" x14ac:dyDescent="0.25">
      <c r="E449" s="3"/>
      <c r="F449" s="3"/>
      <c r="H449" s="3"/>
      <c r="I449" s="4"/>
      <c r="J449" s="62"/>
    </row>
    <row r="450" spans="2:11" x14ac:dyDescent="0.25">
      <c r="K450" s="33"/>
    </row>
    <row r="451" spans="2:11" x14ac:dyDescent="0.25">
      <c r="C451" s="3"/>
    </row>
    <row r="452" spans="2:11" x14ac:dyDescent="0.25">
      <c r="B452" s="8"/>
      <c r="D452" s="3"/>
    </row>
    <row r="453" spans="2:11" x14ac:dyDescent="0.25">
      <c r="B453" s="8"/>
      <c r="D453" s="3"/>
    </row>
    <row r="454" spans="2:11" x14ac:dyDescent="0.25">
      <c r="E454" s="3"/>
      <c r="F454" s="3"/>
      <c r="H454" s="3"/>
      <c r="I454" s="4"/>
      <c r="J454" s="62"/>
    </row>
    <row r="455" spans="2:11" x14ac:dyDescent="0.25">
      <c r="K455" s="33"/>
    </row>
    <row r="456" spans="2:11" x14ac:dyDescent="0.25">
      <c r="C456" s="3"/>
    </row>
    <row r="457" spans="2:11" x14ac:dyDescent="0.25">
      <c r="B457" s="8"/>
      <c r="D457" s="3"/>
    </row>
    <row r="458" spans="2:11" x14ac:dyDescent="0.25">
      <c r="B458" s="8"/>
      <c r="D458" s="3"/>
    </row>
    <row r="459" spans="2:11" x14ac:dyDescent="0.25">
      <c r="E459" s="3"/>
      <c r="F459" s="3"/>
      <c r="H459" s="3"/>
      <c r="I459" s="4"/>
      <c r="J459" s="62"/>
    </row>
    <row r="460" spans="2:11" x14ac:dyDescent="0.25">
      <c r="K460" s="33"/>
    </row>
    <row r="461" spans="2:11" x14ac:dyDescent="0.25">
      <c r="C461" s="3"/>
    </row>
    <row r="462" spans="2:11" x14ac:dyDescent="0.25">
      <c r="B462" s="8"/>
      <c r="D462" s="3"/>
    </row>
    <row r="463" spans="2:11" x14ac:dyDescent="0.25">
      <c r="B463" s="8"/>
      <c r="D463" s="3"/>
    </row>
    <row r="464" spans="2:11" x14ac:dyDescent="0.25">
      <c r="E464" s="3"/>
      <c r="F464" s="3"/>
      <c r="H464" s="3"/>
      <c r="I464" s="4"/>
      <c r="J464" s="62"/>
    </row>
    <row r="465" spans="2:11" x14ac:dyDescent="0.25">
      <c r="K465" s="33"/>
    </row>
    <row r="466" spans="2:11" x14ac:dyDescent="0.25">
      <c r="C466" s="3"/>
    </row>
    <row r="467" spans="2:11" x14ac:dyDescent="0.25">
      <c r="B467" s="8"/>
      <c r="D467" s="3"/>
    </row>
    <row r="468" spans="2:11" x14ac:dyDescent="0.25">
      <c r="B468" s="8"/>
      <c r="D468" s="3"/>
    </row>
    <row r="469" spans="2:11" x14ac:dyDescent="0.25">
      <c r="E469" s="3"/>
      <c r="F469" s="3"/>
      <c r="H469" s="3"/>
      <c r="I469" s="4"/>
      <c r="J469" s="62"/>
    </row>
    <row r="470" spans="2:11" x14ac:dyDescent="0.25">
      <c r="K470" s="33"/>
    </row>
    <row r="471" spans="2:11" x14ac:dyDescent="0.25">
      <c r="C471" s="3"/>
    </row>
    <row r="472" spans="2:11" x14ac:dyDescent="0.25">
      <c r="B472" s="8"/>
      <c r="D472" s="3"/>
    </row>
    <row r="473" spans="2:11" x14ac:dyDescent="0.25">
      <c r="B473" s="8"/>
      <c r="D473" s="3"/>
    </row>
    <row r="474" spans="2:11" x14ac:dyDescent="0.25">
      <c r="E474" s="3"/>
      <c r="F474" s="3"/>
      <c r="H474" s="3"/>
      <c r="I474" s="4"/>
      <c r="J474" s="62"/>
    </row>
    <row r="475" spans="2:11" x14ac:dyDescent="0.25">
      <c r="K475" s="33"/>
    </row>
    <row r="476" spans="2:11" x14ac:dyDescent="0.25">
      <c r="C476" s="3"/>
    </row>
    <row r="477" spans="2:11" x14ac:dyDescent="0.25">
      <c r="B477" s="8"/>
      <c r="D477" s="3"/>
    </row>
    <row r="478" spans="2:11" x14ac:dyDescent="0.25">
      <c r="B478" s="8"/>
      <c r="D478" s="3"/>
    </row>
    <row r="479" spans="2:11" x14ac:dyDescent="0.25">
      <c r="E479" s="3"/>
      <c r="F479" s="3"/>
      <c r="H479" s="3"/>
      <c r="I479" s="4"/>
      <c r="J479" s="62"/>
    </row>
    <row r="480" spans="2:11" x14ac:dyDescent="0.25">
      <c r="K480" s="33"/>
    </row>
    <row r="481" spans="2:11" x14ac:dyDescent="0.25">
      <c r="C481" s="3"/>
    </row>
    <row r="482" spans="2:11" x14ac:dyDescent="0.25">
      <c r="B482" s="8"/>
      <c r="D482" s="3"/>
    </row>
    <row r="483" spans="2:11" x14ac:dyDescent="0.25">
      <c r="B483" s="8"/>
      <c r="D483" s="3"/>
    </row>
    <row r="484" spans="2:11" x14ac:dyDescent="0.25">
      <c r="E484" s="3"/>
      <c r="F484" s="3"/>
      <c r="H484" s="3"/>
      <c r="I484" s="4"/>
      <c r="J484" s="62"/>
    </row>
    <row r="486" spans="2:11" x14ac:dyDescent="0.25">
      <c r="C486" s="3"/>
    </row>
    <row r="487" spans="2:11" x14ac:dyDescent="0.25">
      <c r="B487" s="8"/>
      <c r="D487" s="3"/>
    </row>
    <row r="488" spans="2:11" x14ac:dyDescent="0.25">
      <c r="B488" s="8"/>
      <c r="D488" s="3"/>
    </row>
    <row r="489" spans="2:11" x14ac:dyDescent="0.25">
      <c r="E489" s="3"/>
      <c r="F489" s="3"/>
      <c r="H489" s="3"/>
      <c r="I489" s="4"/>
      <c r="J489" s="62"/>
    </row>
    <row r="490" spans="2:11" x14ac:dyDescent="0.25">
      <c r="K490" s="33"/>
    </row>
    <row r="491" spans="2:11" x14ac:dyDescent="0.25">
      <c r="C491" s="3"/>
    </row>
    <row r="492" spans="2:11" x14ac:dyDescent="0.25">
      <c r="B492" s="8"/>
      <c r="D492" s="3"/>
    </row>
    <row r="493" spans="2:11" x14ac:dyDescent="0.25">
      <c r="B493" s="8"/>
      <c r="D493" s="3"/>
    </row>
    <row r="494" spans="2:11" x14ac:dyDescent="0.25">
      <c r="E494" s="3"/>
      <c r="F494" s="3"/>
      <c r="H494" s="3"/>
      <c r="I494" s="4"/>
      <c r="J494" s="62"/>
    </row>
    <row r="495" spans="2:11" x14ac:dyDescent="0.25">
      <c r="K495" s="33"/>
    </row>
    <row r="496" spans="2:11" x14ac:dyDescent="0.25">
      <c r="C496" s="3"/>
    </row>
    <row r="497" spans="2:11" x14ac:dyDescent="0.25">
      <c r="B497" s="8"/>
      <c r="D497" s="3"/>
    </row>
    <row r="498" spans="2:11" x14ac:dyDescent="0.25">
      <c r="B498" s="8"/>
      <c r="D498" s="3"/>
    </row>
    <row r="499" spans="2:11" x14ac:dyDescent="0.25">
      <c r="E499" s="3"/>
      <c r="F499" s="3"/>
      <c r="H499" s="3"/>
      <c r="I499" s="4"/>
      <c r="J499" s="62"/>
    </row>
    <row r="500" spans="2:11" x14ac:dyDescent="0.25">
      <c r="K500" s="33"/>
    </row>
    <row r="501" spans="2:11" x14ac:dyDescent="0.25">
      <c r="C501" s="3"/>
    </row>
    <row r="502" spans="2:11" x14ac:dyDescent="0.25">
      <c r="B502" s="8"/>
      <c r="D502" s="3"/>
    </row>
    <row r="503" spans="2:11" x14ac:dyDescent="0.25">
      <c r="B503" s="8"/>
      <c r="D503" s="3"/>
    </row>
    <row r="504" spans="2:11" x14ac:dyDescent="0.25">
      <c r="E504" s="3"/>
      <c r="F504" s="3"/>
      <c r="H504" s="3"/>
      <c r="I504" s="4"/>
      <c r="J504" s="62"/>
    </row>
    <row r="505" spans="2:11" x14ac:dyDescent="0.25">
      <c r="K505" s="33"/>
    </row>
    <row r="506" spans="2:11" x14ac:dyDescent="0.25">
      <c r="C506" s="3"/>
    </row>
    <row r="507" spans="2:11" x14ac:dyDescent="0.25">
      <c r="B507" s="8"/>
      <c r="D507" s="3"/>
    </row>
    <row r="508" spans="2:11" x14ac:dyDescent="0.25">
      <c r="B508" s="8"/>
      <c r="D508" s="3"/>
    </row>
    <row r="509" spans="2:11" x14ac:dyDescent="0.25">
      <c r="E509" s="3"/>
      <c r="F509" s="3"/>
      <c r="H509" s="3"/>
      <c r="I509" s="4"/>
      <c r="J509" s="62"/>
    </row>
    <row r="511" spans="2:11" x14ac:dyDescent="0.25">
      <c r="C511" s="3"/>
    </row>
    <row r="512" spans="2:11" x14ac:dyDescent="0.25">
      <c r="B512" s="8"/>
      <c r="D512" s="3"/>
    </row>
    <row r="513" spans="2:11" x14ac:dyDescent="0.25">
      <c r="B513" s="8"/>
      <c r="D513" s="3"/>
      <c r="K513" s="33"/>
    </row>
    <row r="514" spans="2:11" x14ac:dyDescent="0.25">
      <c r="E514" s="3"/>
      <c r="F514" s="3"/>
      <c r="H514" s="3"/>
      <c r="I514" s="4"/>
      <c r="J514" s="62"/>
    </row>
    <row r="516" spans="2:11" x14ac:dyDescent="0.25">
      <c r="C516" s="3"/>
    </row>
    <row r="517" spans="2:11" x14ac:dyDescent="0.25">
      <c r="B517" s="8"/>
      <c r="D517" s="3"/>
    </row>
    <row r="518" spans="2:11" x14ac:dyDescent="0.25">
      <c r="B518" s="8"/>
      <c r="D518" s="3"/>
      <c r="K518" s="33"/>
    </row>
    <row r="519" spans="2:11" x14ac:dyDescent="0.25">
      <c r="E519" s="3"/>
      <c r="F519" s="3"/>
      <c r="H519" s="3"/>
      <c r="I519" s="4"/>
      <c r="J519" s="62"/>
    </row>
    <row r="521" spans="2:11" x14ac:dyDescent="0.25">
      <c r="C521" s="3"/>
    </row>
    <row r="522" spans="2:11" x14ac:dyDescent="0.25">
      <c r="B522" s="8"/>
      <c r="D522" s="3"/>
    </row>
    <row r="523" spans="2:11" x14ac:dyDescent="0.25">
      <c r="B523" s="8"/>
      <c r="D523" s="3"/>
      <c r="K523" s="33"/>
    </row>
    <row r="524" spans="2:11" x14ac:dyDescent="0.25">
      <c r="E524" s="3"/>
      <c r="F524" s="3"/>
      <c r="H524" s="3"/>
      <c r="I524" s="4"/>
      <c r="J524" s="62"/>
    </row>
    <row r="526" spans="2:11" x14ac:dyDescent="0.25">
      <c r="C526" s="3"/>
    </row>
    <row r="527" spans="2:11" x14ac:dyDescent="0.25">
      <c r="B527" s="8"/>
      <c r="D527" s="3"/>
    </row>
    <row r="528" spans="2:11" x14ac:dyDescent="0.25">
      <c r="B528" s="8"/>
      <c r="D528" s="3"/>
      <c r="K528" s="33"/>
    </row>
    <row r="529" spans="2:11" x14ac:dyDescent="0.25">
      <c r="E529" s="3"/>
      <c r="F529" s="3"/>
      <c r="H529" s="3"/>
      <c r="I529" s="4"/>
      <c r="J529" s="62"/>
    </row>
    <row r="531" spans="2:11" x14ac:dyDescent="0.25">
      <c r="C531" s="3"/>
    </row>
    <row r="532" spans="2:11" x14ac:dyDescent="0.25">
      <c r="B532" s="8"/>
      <c r="D532" s="3"/>
    </row>
    <row r="533" spans="2:11" x14ac:dyDescent="0.25">
      <c r="B533" s="8"/>
      <c r="D533" s="3"/>
      <c r="K533" s="33"/>
    </row>
    <row r="534" spans="2:11" x14ac:dyDescent="0.25">
      <c r="E534" s="3"/>
      <c r="F534" s="3"/>
      <c r="H534" s="3"/>
      <c r="I534" s="4"/>
      <c r="J534" s="62"/>
    </row>
    <row r="536" spans="2:11" x14ac:dyDescent="0.25">
      <c r="C536" s="3"/>
    </row>
    <row r="537" spans="2:11" x14ac:dyDescent="0.25">
      <c r="B537" s="8"/>
      <c r="D537" s="3"/>
    </row>
    <row r="538" spans="2:11" x14ac:dyDescent="0.25">
      <c r="B538" s="8"/>
      <c r="D538" s="3"/>
      <c r="K538" s="33"/>
    </row>
    <row r="539" spans="2:11" x14ac:dyDescent="0.25">
      <c r="E539" s="3"/>
      <c r="F539" s="3"/>
      <c r="H539" s="3"/>
      <c r="I539" s="4"/>
      <c r="J539" s="62"/>
    </row>
    <row r="541" spans="2:11" x14ac:dyDescent="0.25">
      <c r="C541" s="3"/>
    </row>
    <row r="542" spans="2:11" x14ac:dyDescent="0.25">
      <c r="B542" s="8"/>
      <c r="D542" s="3"/>
    </row>
    <row r="543" spans="2:11" x14ac:dyDescent="0.25">
      <c r="B543" s="8"/>
      <c r="D543" s="3"/>
      <c r="K543" s="33"/>
    </row>
    <row r="544" spans="2:11" x14ac:dyDescent="0.25">
      <c r="E544" s="3"/>
      <c r="F544" s="3"/>
      <c r="H544" s="3"/>
      <c r="I544" s="4"/>
      <c r="J544" s="62"/>
    </row>
    <row r="546" spans="2:11" x14ac:dyDescent="0.25">
      <c r="C546" s="3"/>
    </row>
    <row r="547" spans="2:11" x14ac:dyDescent="0.25">
      <c r="B547" s="8"/>
      <c r="D547" s="3"/>
    </row>
    <row r="548" spans="2:11" x14ac:dyDescent="0.25">
      <c r="B548" s="8"/>
      <c r="D548" s="3"/>
      <c r="K548" s="33"/>
    </row>
    <row r="549" spans="2:11" x14ac:dyDescent="0.25">
      <c r="E549" s="3"/>
      <c r="F549" s="3"/>
      <c r="H549" s="3"/>
      <c r="I549" s="4"/>
      <c r="J549" s="62"/>
    </row>
    <row r="551" spans="2:11" x14ac:dyDescent="0.25">
      <c r="C551" s="3"/>
    </row>
    <row r="552" spans="2:11" x14ac:dyDescent="0.25">
      <c r="B552" s="8"/>
      <c r="D552" s="3"/>
    </row>
    <row r="553" spans="2:11" x14ac:dyDescent="0.25">
      <c r="B553" s="8"/>
      <c r="D553" s="3"/>
      <c r="K553" s="33"/>
    </row>
    <row r="554" spans="2:11" x14ac:dyDescent="0.25">
      <c r="E554" s="3"/>
      <c r="F554" s="3"/>
      <c r="H554" s="3"/>
      <c r="I554" s="4"/>
      <c r="J554" s="62"/>
    </row>
    <row r="556" spans="2:11" x14ac:dyDescent="0.25">
      <c r="C556" s="3"/>
    </row>
    <row r="557" spans="2:11" x14ac:dyDescent="0.25">
      <c r="B557" s="8"/>
      <c r="D557" s="3"/>
    </row>
    <row r="558" spans="2:11" x14ac:dyDescent="0.25">
      <c r="B558" s="8"/>
      <c r="D558" s="3"/>
      <c r="K558" s="33"/>
    </row>
    <row r="559" spans="2:11" x14ac:dyDescent="0.25">
      <c r="E559" s="3"/>
      <c r="F559" s="3"/>
      <c r="H559" s="3"/>
      <c r="I559" s="4"/>
      <c r="J559" s="62"/>
    </row>
    <row r="561" spans="2:11" x14ac:dyDescent="0.25">
      <c r="C561" s="3"/>
    </row>
    <row r="562" spans="2:11" x14ac:dyDescent="0.25">
      <c r="B562" s="8"/>
      <c r="D562" s="3"/>
    </row>
    <row r="563" spans="2:11" x14ac:dyDescent="0.25">
      <c r="B563" s="8"/>
      <c r="D563" s="3"/>
      <c r="K563" s="33"/>
    </row>
    <row r="564" spans="2:11" x14ac:dyDescent="0.25">
      <c r="E564" s="3"/>
      <c r="F564" s="3"/>
      <c r="H564" s="3"/>
      <c r="I564" s="4"/>
      <c r="J564" s="62"/>
    </row>
    <row r="566" spans="2:11" x14ac:dyDescent="0.25">
      <c r="C566" s="3"/>
    </row>
    <row r="567" spans="2:11" x14ac:dyDescent="0.25">
      <c r="B567" s="8"/>
      <c r="D567" s="3"/>
    </row>
    <row r="568" spans="2:11" x14ac:dyDescent="0.25">
      <c r="B568" s="8"/>
      <c r="D568" s="3"/>
      <c r="K568" s="33"/>
    </row>
    <row r="569" spans="2:11" x14ac:dyDescent="0.25">
      <c r="E569" s="3"/>
      <c r="F569" s="3"/>
      <c r="H569" s="3"/>
      <c r="I569" s="4"/>
      <c r="J569" s="62"/>
    </row>
    <row r="571" spans="2:11" x14ac:dyDescent="0.25">
      <c r="C571" s="3"/>
    </row>
    <row r="572" spans="2:11" x14ac:dyDescent="0.25">
      <c r="B572" s="8"/>
      <c r="D572" s="3"/>
    </row>
    <row r="573" spans="2:11" x14ac:dyDescent="0.25">
      <c r="B573" s="8"/>
      <c r="D573" s="3"/>
      <c r="K573" s="33"/>
    </row>
    <row r="574" spans="2:11" x14ac:dyDescent="0.25">
      <c r="E574" s="3"/>
      <c r="F574" s="3"/>
      <c r="H574" s="3"/>
      <c r="I574" s="4"/>
      <c r="J574" s="62"/>
    </row>
    <row r="576" spans="2:11" x14ac:dyDescent="0.25">
      <c r="C576" s="3"/>
    </row>
    <row r="577" spans="2:11" x14ac:dyDescent="0.25">
      <c r="B577" s="8"/>
      <c r="D577" s="3"/>
    </row>
    <row r="578" spans="2:11" x14ac:dyDescent="0.25">
      <c r="B578" s="8"/>
      <c r="D578" s="3"/>
      <c r="K578" s="33"/>
    </row>
    <row r="579" spans="2:11" x14ac:dyDescent="0.25">
      <c r="B579" s="8"/>
      <c r="E579" s="3"/>
      <c r="F579" s="3"/>
      <c r="H579" s="3"/>
      <c r="I579" s="4"/>
      <c r="J579" s="62"/>
    </row>
    <row r="580" spans="2:11" x14ac:dyDescent="0.25">
      <c r="B580" s="8"/>
    </row>
    <row r="581" spans="2:11" x14ac:dyDescent="0.25">
      <c r="B581" s="8"/>
      <c r="C581" s="3"/>
    </row>
    <row r="582" spans="2:11" x14ac:dyDescent="0.25">
      <c r="D582" s="3"/>
    </row>
    <row r="583" spans="2:11" x14ac:dyDescent="0.25">
      <c r="D583" s="3"/>
      <c r="K583" s="33"/>
    </row>
    <row r="584" spans="2:11" x14ac:dyDescent="0.25">
      <c r="E584" s="3"/>
      <c r="F584" s="3"/>
      <c r="H584" s="3"/>
      <c r="I584" s="4"/>
      <c r="J584" s="62"/>
    </row>
    <row r="585" spans="2:11" x14ac:dyDescent="0.25">
      <c r="B585" s="8"/>
    </row>
    <row r="586" spans="2:11" x14ac:dyDescent="0.25">
      <c r="B586" s="8"/>
      <c r="C586" s="3"/>
    </row>
    <row r="587" spans="2:11" x14ac:dyDescent="0.25">
      <c r="D587" s="3"/>
    </row>
    <row r="588" spans="2:11" x14ac:dyDescent="0.25">
      <c r="D588" s="3"/>
      <c r="K588" s="33"/>
    </row>
    <row r="589" spans="2:11" x14ac:dyDescent="0.25">
      <c r="E589" s="3"/>
      <c r="F589" s="3"/>
      <c r="H589" s="3"/>
      <c r="I589" s="4"/>
      <c r="J589" s="62"/>
    </row>
    <row r="590" spans="2:11" x14ac:dyDescent="0.25">
      <c r="B590" s="8"/>
    </row>
    <row r="591" spans="2:11" x14ac:dyDescent="0.25">
      <c r="B591" s="8"/>
      <c r="C591" s="3"/>
    </row>
    <row r="592" spans="2:11" x14ac:dyDescent="0.25">
      <c r="D592" s="3"/>
    </row>
    <row r="593" spans="2:11" x14ac:dyDescent="0.25">
      <c r="D593" s="3"/>
      <c r="K593" s="33"/>
    </row>
    <row r="594" spans="2:11" x14ac:dyDescent="0.25">
      <c r="E594" s="3"/>
      <c r="F594" s="3"/>
      <c r="H594" s="3"/>
      <c r="I594" s="4"/>
      <c r="J594" s="62"/>
    </row>
    <row r="595" spans="2:11" x14ac:dyDescent="0.25">
      <c r="B595" s="8"/>
    </row>
    <row r="596" spans="2:11" x14ac:dyDescent="0.25">
      <c r="B596" s="8"/>
      <c r="C596" s="3"/>
    </row>
    <row r="597" spans="2:11" x14ac:dyDescent="0.25">
      <c r="D597" s="3"/>
    </row>
    <row r="598" spans="2:11" x14ac:dyDescent="0.25">
      <c r="D598" s="3"/>
      <c r="K598" s="33"/>
    </row>
    <row r="599" spans="2:11" x14ac:dyDescent="0.25">
      <c r="E599" s="3"/>
      <c r="F599" s="3"/>
      <c r="H599" s="3"/>
      <c r="I599" s="4"/>
      <c r="J599" s="62"/>
    </row>
    <row r="600" spans="2:11" x14ac:dyDescent="0.25">
      <c r="B600" s="8"/>
    </row>
    <row r="601" spans="2:11" x14ac:dyDescent="0.25">
      <c r="B601" s="8"/>
      <c r="C601" s="3"/>
    </row>
    <row r="602" spans="2:11" x14ac:dyDescent="0.25">
      <c r="D602" s="3"/>
    </row>
    <row r="603" spans="2:11" x14ac:dyDescent="0.25">
      <c r="D603" s="3"/>
      <c r="K603" s="33"/>
    </row>
    <row r="604" spans="2:11" x14ac:dyDescent="0.25">
      <c r="E604" s="3"/>
      <c r="F604" s="3"/>
      <c r="H604" s="3"/>
      <c r="I604" s="4"/>
      <c r="J604" s="62"/>
    </row>
    <row r="605" spans="2:11" x14ac:dyDescent="0.25">
      <c r="B605" s="8"/>
    </row>
    <row r="606" spans="2:11" x14ac:dyDescent="0.25">
      <c r="B606" s="8"/>
    </row>
    <row r="608" spans="2:11" x14ac:dyDescent="0.25">
      <c r="K608" s="33"/>
    </row>
    <row r="609" spans="2:11" x14ac:dyDescent="0.25">
      <c r="C609" s="3"/>
    </row>
    <row r="610" spans="2:11" x14ac:dyDescent="0.25">
      <c r="B610" s="8"/>
      <c r="D610" s="3"/>
    </row>
    <row r="611" spans="2:11" x14ac:dyDescent="0.25">
      <c r="B611" s="8"/>
      <c r="D611" s="3"/>
    </row>
    <row r="612" spans="2:11" x14ac:dyDescent="0.25">
      <c r="E612" s="3"/>
      <c r="F612" s="3"/>
      <c r="H612" s="3"/>
      <c r="I612" s="4"/>
      <c r="J612" s="62"/>
    </row>
    <row r="613" spans="2:11" x14ac:dyDescent="0.25">
      <c r="K613" s="33"/>
    </row>
    <row r="614" spans="2:11" x14ac:dyDescent="0.25">
      <c r="C614" s="3"/>
    </row>
    <row r="615" spans="2:11" x14ac:dyDescent="0.25">
      <c r="B615" s="8"/>
      <c r="D615" s="3"/>
    </row>
    <row r="616" spans="2:11" x14ac:dyDescent="0.25">
      <c r="B616" s="8"/>
      <c r="D616" s="3"/>
    </row>
    <row r="617" spans="2:11" x14ac:dyDescent="0.25">
      <c r="E617" s="3"/>
      <c r="F617" s="3"/>
      <c r="H617" s="3"/>
      <c r="I617" s="4"/>
      <c r="J617" s="62"/>
    </row>
    <row r="619" spans="2:11" x14ac:dyDescent="0.25">
      <c r="C619" s="3"/>
    </row>
    <row r="620" spans="2:11" x14ac:dyDescent="0.25">
      <c r="B620" s="8"/>
      <c r="D620" s="3"/>
    </row>
    <row r="621" spans="2:11" x14ac:dyDescent="0.25">
      <c r="B621" s="8"/>
      <c r="D621" s="3"/>
    </row>
    <row r="622" spans="2:11" x14ac:dyDescent="0.25">
      <c r="E622" s="3"/>
      <c r="F622" s="3"/>
      <c r="H622" s="3"/>
      <c r="I622" s="4"/>
      <c r="J622" s="62"/>
    </row>
    <row r="624" spans="2:11" x14ac:dyDescent="0.25">
      <c r="C624" s="3"/>
      <c r="K624" s="33"/>
    </row>
    <row r="625" spans="2:11" x14ac:dyDescent="0.25">
      <c r="B625" s="8"/>
      <c r="D625" s="3"/>
    </row>
    <row r="626" spans="2:11" x14ac:dyDescent="0.25">
      <c r="B626" s="8"/>
      <c r="D626" s="3"/>
    </row>
    <row r="627" spans="2:11" x14ac:dyDescent="0.25">
      <c r="E627" s="3"/>
      <c r="F627" s="3"/>
      <c r="H627" s="3"/>
      <c r="I627" s="4"/>
      <c r="J627" s="62"/>
    </row>
    <row r="629" spans="2:11" x14ac:dyDescent="0.25">
      <c r="C629" s="3"/>
      <c r="K629" s="33"/>
    </row>
    <row r="630" spans="2:11" x14ac:dyDescent="0.25">
      <c r="B630" s="8"/>
      <c r="D630" s="3"/>
    </row>
    <row r="631" spans="2:11" x14ac:dyDescent="0.25">
      <c r="B631" s="8"/>
      <c r="D631" s="3"/>
    </row>
    <row r="632" spans="2:11" x14ac:dyDescent="0.25">
      <c r="E632" s="3"/>
      <c r="F632" s="3"/>
      <c r="H632" s="3"/>
      <c r="I632" s="4"/>
      <c r="J632" s="62"/>
    </row>
    <row r="634" spans="2:11" x14ac:dyDescent="0.25">
      <c r="C634" s="3"/>
      <c r="K634" s="36"/>
    </row>
    <row r="635" spans="2:11" x14ac:dyDescent="0.25">
      <c r="B635" s="8"/>
      <c r="D635" s="3"/>
    </row>
    <row r="636" spans="2:11" x14ac:dyDescent="0.25">
      <c r="B636" s="8"/>
      <c r="D636" s="3"/>
    </row>
    <row r="637" spans="2:11" x14ac:dyDescent="0.25">
      <c r="E637" s="3"/>
      <c r="F637" s="3"/>
      <c r="H637" s="3"/>
      <c r="I637" s="4"/>
      <c r="J637" s="62"/>
    </row>
    <row r="639" spans="2:11" x14ac:dyDescent="0.25">
      <c r="C639" s="3"/>
    </row>
    <row r="640" spans="2:11" x14ac:dyDescent="0.25">
      <c r="B640" s="8"/>
      <c r="D640" s="3"/>
    </row>
    <row r="641" spans="2:10" x14ac:dyDescent="0.25">
      <c r="B641" s="8"/>
      <c r="D641" s="3"/>
    </row>
    <row r="642" spans="2:10" x14ac:dyDescent="0.25">
      <c r="E642" s="3"/>
      <c r="F642" s="3"/>
      <c r="H642" s="3"/>
      <c r="I642" s="4"/>
      <c r="J642" s="62"/>
    </row>
    <row r="644" spans="2:10" x14ac:dyDescent="0.25">
      <c r="C644" s="3"/>
    </row>
    <row r="645" spans="2:10" x14ac:dyDescent="0.25">
      <c r="B645" s="8"/>
      <c r="D645" s="3"/>
    </row>
    <row r="646" spans="2:10" x14ac:dyDescent="0.25">
      <c r="B646" s="8"/>
      <c r="D646" s="3"/>
    </row>
    <row r="647" spans="2:10" x14ac:dyDescent="0.25">
      <c r="E647" s="3"/>
      <c r="F647" s="3"/>
      <c r="H647" s="3"/>
      <c r="I647" s="4"/>
      <c r="J647" s="62"/>
    </row>
    <row r="649" spans="2:10" x14ac:dyDescent="0.25">
      <c r="C649" s="3"/>
    </row>
    <row r="650" spans="2:10" x14ac:dyDescent="0.25">
      <c r="B650" s="8"/>
      <c r="D650" s="3"/>
    </row>
    <row r="651" spans="2:10" x14ac:dyDescent="0.25">
      <c r="B651" s="8"/>
      <c r="D651" s="3"/>
    </row>
    <row r="652" spans="2:10" x14ac:dyDescent="0.25">
      <c r="E652" s="3"/>
      <c r="F652" s="3"/>
      <c r="H652" s="3"/>
      <c r="I652" s="4"/>
      <c r="J652" s="62"/>
    </row>
    <row r="654" spans="2:10" x14ac:dyDescent="0.25">
      <c r="C654" s="3"/>
    </row>
    <row r="655" spans="2:10" x14ac:dyDescent="0.25">
      <c r="B655" s="8"/>
      <c r="D655" s="3"/>
    </row>
    <row r="656" spans="2:10" x14ac:dyDescent="0.25">
      <c r="B656" s="8"/>
      <c r="D656" s="3"/>
    </row>
    <row r="657" spans="2:10" x14ac:dyDescent="0.25">
      <c r="E657" s="3"/>
      <c r="F657" s="3"/>
      <c r="H657" s="3"/>
      <c r="I657" s="4"/>
      <c r="J657" s="62"/>
    </row>
    <row r="659" spans="2:10" x14ac:dyDescent="0.25">
      <c r="C659" s="3"/>
    </row>
    <row r="660" spans="2:10" x14ac:dyDescent="0.25">
      <c r="B660" s="8"/>
      <c r="D660" s="3"/>
    </row>
    <row r="661" spans="2:10" x14ac:dyDescent="0.25">
      <c r="B661" s="8"/>
      <c r="D661" s="3"/>
    </row>
    <row r="662" spans="2:10" x14ac:dyDescent="0.25">
      <c r="E662" s="3"/>
      <c r="F662" s="3"/>
      <c r="H662" s="3"/>
      <c r="I662" s="4"/>
      <c r="J662" s="62"/>
    </row>
    <row r="664" spans="2:10" x14ac:dyDescent="0.25">
      <c r="C664" s="3"/>
    </row>
    <row r="665" spans="2:10" x14ac:dyDescent="0.25">
      <c r="B665" s="8"/>
      <c r="D665" s="3"/>
    </row>
    <row r="666" spans="2:10" x14ac:dyDescent="0.25">
      <c r="B666" s="8"/>
      <c r="D666" s="3"/>
    </row>
    <row r="667" spans="2:10" x14ac:dyDescent="0.25">
      <c r="E667" s="3"/>
      <c r="F667" s="3"/>
      <c r="H667" s="3"/>
      <c r="I667" s="4"/>
      <c r="J667" s="62"/>
    </row>
    <row r="669" spans="2:10" x14ac:dyDescent="0.25">
      <c r="C669" s="3"/>
    </row>
    <row r="670" spans="2:10" x14ac:dyDescent="0.25">
      <c r="B670" s="8"/>
      <c r="D670" s="3"/>
    </row>
    <row r="671" spans="2:10" x14ac:dyDescent="0.25">
      <c r="B671" s="8"/>
      <c r="D671" s="3"/>
    </row>
    <row r="672" spans="2:10" x14ac:dyDescent="0.25">
      <c r="E672" s="3"/>
      <c r="F672" s="3"/>
      <c r="H672" s="3"/>
      <c r="I672" s="4"/>
      <c r="J672" s="62"/>
    </row>
    <row r="674" spans="2:10" x14ac:dyDescent="0.25">
      <c r="C674" s="3"/>
    </row>
    <row r="675" spans="2:10" x14ac:dyDescent="0.25">
      <c r="B675" s="8"/>
      <c r="D675" s="3"/>
    </row>
    <row r="676" spans="2:10" x14ac:dyDescent="0.25">
      <c r="B676" s="8"/>
      <c r="D676" s="3"/>
    </row>
    <row r="677" spans="2:10" x14ac:dyDescent="0.25">
      <c r="E677" s="3"/>
      <c r="F677" s="3"/>
      <c r="H677" s="3"/>
      <c r="I677" s="4"/>
      <c r="J677" s="62"/>
    </row>
    <row r="679" spans="2:10" x14ac:dyDescent="0.25">
      <c r="C679" s="3"/>
    </row>
    <row r="680" spans="2:10" x14ac:dyDescent="0.25">
      <c r="B680" s="8"/>
      <c r="D680" s="3"/>
    </row>
    <row r="681" spans="2:10" x14ac:dyDescent="0.25">
      <c r="B681" s="8"/>
      <c r="D681" s="3"/>
    </row>
    <row r="682" spans="2:10" x14ac:dyDescent="0.25">
      <c r="E682" s="3"/>
      <c r="F682" s="3"/>
      <c r="H682" s="3"/>
      <c r="I682" s="4"/>
      <c r="J682" s="62"/>
    </row>
    <row r="684" spans="2:10" x14ac:dyDescent="0.25">
      <c r="C684" s="3"/>
    </row>
    <row r="685" spans="2:10" x14ac:dyDescent="0.25">
      <c r="B685" s="8"/>
      <c r="D685" s="3"/>
    </row>
    <row r="686" spans="2:10" x14ac:dyDescent="0.25">
      <c r="B686" s="8"/>
      <c r="D686" s="3"/>
    </row>
    <row r="687" spans="2:10" x14ac:dyDescent="0.25">
      <c r="B687" s="8"/>
      <c r="E687" s="3"/>
      <c r="F687" s="3"/>
      <c r="H687" s="3"/>
      <c r="I687" s="4"/>
      <c r="J687" s="62"/>
    </row>
    <row r="688" spans="2:10" x14ac:dyDescent="0.25">
      <c r="B688" s="8"/>
    </row>
    <row r="689" spans="2:10" x14ac:dyDescent="0.25">
      <c r="B689" s="8"/>
      <c r="C689" s="3"/>
    </row>
    <row r="690" spans="2:10" x14ac:dyDescent="0.25">
      <c r="D690" s="3"/>
    </row>
    <row r="691" spans="2:10" x14ac:dyDescent="0.25">
      <c r="B691" s="8"/>
      <c r="D691" s="3"/>
    </row>
    <row r="692" spans="2:10" x14ac:dyDescent="0.25">
      <c r="B692" s="8"/>
      <c r="E692" s="3"/>
      <c r="F692" s="3"/>
      <c r="H692" s="3"/>
      <c r="I692" s="4"/>
      <c r="J692" s="62"/>
    </row>
    <row r="694" spans="2:10" x14ac:dyDescent="0.25">
      <c r="C694" s="3"/>
    </row>
    <row r="695" spans="2:10" x14ac:dyDescent="0.25">
      <c r="D695" s="3"/>
    </row>
    <row r="696" spans="2:10" x14ac:dyDescent="0.25">
      <c r="B696" s="8"/>
      <c r="D696" s="3"/>
    </row>
    <row r="697" spans="2:10" x14ac:dyDescent="0.25">
      <c r="B697" s="8"/>
      <c r="E697" s="3"/>
      <c r="F697" s="3"/>
      <c r="H697" s="3"/>
      <c r="I697" s="4"/>
      <c r="J697" s="62"/>
    </row>
    <row r="699" spans="2:10" x14ac:dyDescent="0.25">
      <c r="C699" s="3"/>
    </row>
    <row r="700" spans="2:10" x14ac:dyDescent="0.25">
      <c r="D700" s="3"/>
    </row>
    <row r="701" spans="2:10" x14ac:dyDescent="0.25">
      <c r="B701" s="8"/>
      <c r="D701" s="3"/>
    </row>
    <row r="702" spans="2:10" x14ac:dyDescent="0.25">
      <c r="B702" s="8"/>
      <c r="E702" s="3"/>
      <c r="F702" s="3"/>
      <c r="H702" s="3"/>
      <c r="I702" s="4"/>
      <c r="J702" s="62"/>
    </row>
    <row r="704" spans="2:10" x14ac:dyDescent="0.25">
      <c r="C704" s="3"/>
    </row>
    <row r="705" spans="3:10" x14ac:dyDescent="0.25">
      <c r="D705" s="3"/>
    </row>
    <row r="706" spans="3:10" x14ac:dyDescent="0.25">
      <c r="D706" s="3"/>
    </row>
    <row r="707" spans="3:10" x14ac:dyDescent="0.25">
      <c r="E707" s="3"/>
      <c r="F707" s="3"/>
      <c r="H707" s="3"/>
      <c r="I707" s="4"/>
      <c r="J707" s="62"/>
    </row>
    <row r="709" spans="3:10" x14ac:dyDescent="0.25">
      <c r="C709" s="3"/>
    </row>
    <row r="710" spans="3:10" x14ac:dyDescent="0.25">
      <c r="D710" s="3"/>
    </row>
    <row r="711" spans="3:10" x14ac:dyDescent="0.25">
      <c r="D711" s="3"/>
    </row>
    <row r="712" spans="3:10" x14ac:dyDescent="0.25">
      <c r="E712" s="3"/>
      <c r="F712" s="3"/>
      <c r="H712" s="3"/>
      <c r="I712" s="4"/>
      <c r="J712" s="62"/>
    </row>
    <row r="723" spans="9:10" x14ac:dyDescent="0.25">
      <c r="I723" s="4"/>
      <c r="J723" s="62"/>
    </row>
    <row r="728" spans="9:10" x14ac:dyDescent="0.25">
      <c r="I728" s="4"/>
      <c r="J728" s="62"/>
    </row>
    <row r="733" spans="9:10" x14ac:dyDescent="0.25">
      <c r="I733" s="5"/>
      <c r="J733" s="69"/>
    </row>
  </sheetData>
  <mergeCells count="52">
    <mergeCell ref="A1:C1"/>
    <mergeCell ref="D367:I367"/>
    <mergeCell ref="C366:C368"/>
    <mergeCell ref="A342:I342"/>
    <mergeCell ref="A343:I344"/>
    <mergeCell ref="D126:I126"/>
    <mergeCell ref="D145:I145"/>
    <mergeCell ref="D187:I187"/>
    <mergeCell ref="D136:I136"/>
    <mergeCell ref="D16:I16"/>
    <mergeCell ref="D26:I26"/>
    <mergeCell ref="D116:I116"/>
    <mergeCell ref="D96:I96"/>
    <mergeCell ref="D106:I106"/>
    <mergeCell ref="D36:I36"/>
    <mergeCell ref="D46:I46"/>
    <mergeCell ref="D255:I255"/>
    <mergeCell ref="D264:I264"/>
    <mergeCell ref="D273:I273"/>
    <mergeCell ref="D282:I282"/>
    <mergeCell ref="D228:I228"/>
    <mergeCell ref="D237:I237"/>
    <mergeCell ref="D246:I246"/>
    <mergeCell ref="D360:I360"/>
    <mergeCell ref="D348:I348"/>
    <mergeCell ref="D291:I291"/>
    <mergeCell ref="D300:I300"/>
    <mergeCell ref="D309:I309"/>
    <mergeCell ref="D321:I321"/>
    <mergeCell ref="A314:L314"/>
    <mergeCell ref="D338:I338"/>
    <mergeCell ref="D339:I339"/>
    <mergeCell ref="A341:L341"/>
    <mergeCell ref="D354:I354"/>
    <mergeCell ref="A326:L326"/>
    <mergeCell ref="D333:I333"/>
    <mergeCell ref="A2:L6"/>
    <mergeCell ref="A180:L180"/>
    <mergeCell ref="A10:L10"/>
    <mergeCell ref="A210:L210"/>
    <mergeCell ref="A221:L221"/>
    <mergeCell ref="D216:I216"/>
    <mergeCell ref="D205:I205"/>
    <mergeCell ref="D196:I196"/>
    <mergeCell ref="D56:I56"/>
    <mergeCell ref="D66:I66"/>
    <mergeCell ref="D76:I76"/>
    <mergeCell ref="D86:I86"/>
    <mergeCell ref="A8:L8"/>
    <mergeCell ref="D153:I153"/>
    <mergeCell ref="D163:I163"/>
    <mergeCell ref="D173:I173"/>
  </mergeCells>
  <pageMargins left="0.7" right="0.7" top="0.75" bottom="0.75" header="0.3" footer="0.3"/>
  <pageSetup scale="66" fitToHeight="0" orientation="landscape"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MMcKinstry</dc:creator>
  <cp:lastModifiedBy>Oaks, Russell D</cp:lastModifiedBy>
  <dcterms:created xsi:type="dcterms:W3CDTF">2016-07-08T15:06:39Z</dcterms:created>
  <dcterms:modified xsi:type="dcterms:W3CDTF">2026-01-26T14:32:18Z</dcterms:modified>
</cp:coreProperties>
</file>