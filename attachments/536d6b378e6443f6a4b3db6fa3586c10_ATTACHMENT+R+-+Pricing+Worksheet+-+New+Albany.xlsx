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oitclehsmsmb601.va.gov\service\PCAC\IOTA\IOTA - PRE AWARD\New Albany IN\S Docs\Solicitation Attachments\"/>
    </mc:Choice>
  </mc:AlternateContent>
  <xr:revisionPtr revIDLastSave="0" documentId="13_ncr:1_{BD6535AF-C198-4AFA-95C9-EA3748130BC3}" xr6:coauthVersionLast="47" xr6:coauthVersionMax="47" xr10:uidLastSave="{00000000-0000-0000-0000-000000000000}"/>
  <bookViews>
    <workbookView xWindow="1590" yWindow="885" windowWidth="23820" windowHeight="15345" xr2:uid="{00000000-000D-0000-FFFF-FFFF00000000}"/>
  </bookViews>
  <sheets>
    <sheet name="Pricing-BOE" sheetId="1" r:id="rId1"/>
    <sheet name="Instructions" sheetId="4" r:id="rId2"/>
  </sheets>
  <definedNames>
    <definedName name="_xlnm.Print_Area" localSheetId="0">'Pricing-BOE'!$A$1:$N$89</definedName>
    <definedName name="_xlnm.Print_Titles" localSheetId="0">'Pricing-BOE'!$A:$D,'Pricing-BOE'!$1:$2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6" i="1" l="1"/>
  <c r="N7" i="1"/>
  <c r="N8" i="1"/>
  <c r="N9" i="1"/>
  <c r="N10" i="1"/>
  <c r="N11" i="1"/>
  <c r="N12" i="1"/>
  <c r="N13" i="1"/>
  <c r="N14" i="1"/>
  <c r="N15" i="1"/>
  <c r="N16" i="1"/>
  <c r="N5" i="1"/>
  <c r="M7" i="1"/>
  <c r="M8" i="1"/>
  <c r="M4" i="1" s="1"/>
  <c r="M9" i="1"/>
  <c r="M10" i="1"/>
  <c r="M11" i="1"/>
  <c r="M12" i="1"/>
  <c r="M13" i="1"/>
  <c r="M14" i="1"/>
  <c r="M15" i="1"/>
  <c r="M16" i="1"/>
  <c r="M6" i="1"/>
  <c r="M5" i="1"/>
  <c r="N47" i="1"/>
  <c r="N48" i="1"/>
  <c r="N49" i="1"/>
  <c r="N50" i="1"/>
  <c r="N51" i="1"/>
  <c r="N52" i="1"/>
  <c r="N53" i="1"/>
  <c r="N46" i="1"/>
  <c r="M47" i="1"/>
  <c r="M48" i="1"/>
  <c r="M49" i="1"/>
  <c r="M50" i="1"/>
  <c r="M51" i="1"/>
  <c r="M52" i="1"/>
  <c r="M53" i="1"/>
  <c r="M46" i="1"/>
  <c r="N56" i="1"/>
  <c r="N57" i="1"/>
  <c r="N58" i="1"/>
  <c r="N59" i="1"/>
  <c r="N55" i="1"/>
  <c r="M56" i="1"/>
  <c r="M57" i="1"/>
  <c r="M58" i="1"/>
  <c r="M59" i="1"/>
  <c r="M55" i="1"/>
  <c r="N62" i="1"/>
  <c r="N63" i="1"/>
  <c r="N64" i="1"/>
  <c r="N65" i="1"/>
  <c r="N61" i="1"/>
  <c r="M62" i="1"/>
  <c r="M63" i="1"/>
  <c r="M64" i="1"/>
  <c r="M65" i="1"/>
  <c r="M61" i="1"/>
  <c r="N68" i="1"/>
  <c r="N69" i="1"/>
  <c r="N70" i="1"/>
  <c r="N71" i="1"/>
  <c r="N72" i="1"/>
  <c r="N73" i="1"/>
  <c r="N74" i="1"/>
  <c r="N75" i="1"/>
  <c r="N76" i="1"/>
  <c r="N77" i="1"/>
  <c r="N67" i="1"/>
  <c r="M68" i="1"/>
  <c r="M69" i="1"/>
  <c r="M70" i="1"/>
  <c r="M71" i="1"/>
  <c r="M72" i="1"/>
  <c r="M73" i="1"/>
  <c r="M74" i="1"/>
  <c r="M75" i="1"/>
  <c r="M76" i="1"/>
  <c r="M77" i="1"/>
  <c r="M67" i="1"/>
  <c r="N85" i="1"/>
  <c r="N86" i="1"/>
  <c r="N87" i="1"/>
  <c r="N88" i="1"/>
  <c r="N89" i="1"/>
  <c r="M85" i="1"/>
  <c r="M86" i="1"/>
  <c r="M87" i="1"/>
  <c r="M88" i="1"/>
  <c r="M84" i="1"/>
  <c r="M83" i="1" s="1"/>
  <c r="F4" i="1"/>
  <c r="K68" i="1"/>
  <c r="K69" i="1"/>
  <c r="K70" i="1"/>
  <c r="K71" i="1"/>
  <c r="K72" i="1"/>
  <c r="K73" i="1"/>
  <c r="K74" i="1"/>
  <c r="K75" i="1"/>
  <c r="K76" i="1"/>
  <c r="K77" i="1"/>
  <c r="K67" i="1"/>
  <c r="J66" i="1"/>
  <c r="J60" i="1"/>
  <c r="K55" i="1"/>
  <c r="K56" i="1"/>
  <c r="K57" i="1"/>
  <c r="K58" i="1"/>
  <c r="K59" i="1"/>
  <c r="K54" i="1"/>
  <c r="J54" i="1"/>
  <c r="I47" i="1"/>
  <c r="I48" i="1"/>
  <c r="I49" i="1"/>
  <c r="I50" i="1"/>
  <c r="I51" i="1"/>
  <c r="I52" i="1"/>
  <c r="I53" i="1"/>
  <c r="I46" i="1"/>
  <c r="H45" i="1"/>
  <c r="J45" i="1"/>
  <c r="M37" i="1"/>
  <c r="F36" i="1"/>
  <c r="M28" i="1"/>
  <c r="F27" i="1"/>
  <c r="M20" i="1"/>
  <c r="M18" i="1"/>
  <c r="F17" i="1"/>
  <c r="K66" i="1" l="1"/>
  <c r="M66" i="1"/>
  <c r="M60" i="1"/>
  <c r="I45" i="1"/>
  <c r="K65" i="1" l="1"/>
  <c r="K64" i="1"/>
  <c r="K63" i="1"/>
  <c r="K62" i="1"/>
  <c r="K61" i="1"/>
  <c r="M54" i="1"/>
  <c r="K60" i="1" l="1"/>
  <c r="N60" i="1"/>
  <c r="N54" i="1"/>
  <c r="M82" i="1"/>
  <c r="M45" i="1"/>
  <c r="M19" i="1"/>
  <c r="K46" i="1"/>
  <c r="G37" i="1"/>
  <c r="G28" i="1"/>
  <c r="G20" i="1"/>
  <c r="G18" i="1"/>
  <c r="K5" i="1"/>
  <c r="I5" i="1"/>
  <c r="G5" i="1"/>
  <c r="J4" i="1"/>
  <c r="H4" i="1"/>
  <c r="J83" i="1"/>
  <c r="N18" i="1" l="1"/>
  <c r="N28" i="1"/>
  <c r="N37" i="1"/>
  <c r="N66" i="1"/>
  <c r="B95" i="1"/>
  <c r="G8" i="1"/>
  <c r="K47" i="1"/>
  <c r="K48" i="1"/>
  <c r="K49" i="1"/>
  <c r="K45" i="1" s="1"/>
  <c r="K50" i="1"/>
  <c r="K51" i="1"/>
  <c r="K52" i="1"/>
  <c r="K53" i="1"/>
  <c r="K8" i="1"/>
  <c r="K9" i="1"/>
  <c r="K10" i="1"/>
  <c r="K11" i="1"/>
  <c r="K12" i="1"/>
  <c r="K13" i="1"/>
  <c r="K14" i="1"/>
  <c r="K15" i="1"/>
  <c r="K16" i="1"/>
  <c r="I8" i="1"/>
  <c r="I9" i="1"/>
  <c r="I10" i="1"/>
  <c r="I11" i="1"/>
  <c r="I12" i="1"/>
  <c r="I13" i="1"/>
  <c r="I14" i="1"/>
  <c r="I15" i="1"/>
  <c r="I16" i="1"/>
  <c r="G9" i="1"/>
  <c r="G10" i="1"/>
  <c r="G11" i="1"/>
  <c r="G12" i="1"/>
  <c r="G13" i="1"/>
  <c r="G14" i="1"/>
  <c r="G15" i="1"/>
  <c r="G16" i="1"/>
  <c r="K6" i="1"/>
  <c r="K7" i="1"/>
  <c r="I6" i="1"/>
  <c r="I7" i="1"/>
  <c r="K85" i="1"/>
  <c r="K86" i="1"/>
  <c r="K87" i="1"/>
  <c r="K88" i="1"/>
  <c r="K84" i="1"/>
  <c r="N84" i="1" l="1"/>
  <c r="N83" i="1" s="1"/>
  <c r="N82" i="1" s="1"/>
  <c r="C95" i="1" s="1"/>
  <c r="N45" i="1"/>
  <c r="K4" i="1"/>
  <c r="I4" i="1"/>
  <c r="K83" i="1"/>
  <c r="M44" i="1" l="1"/>
  <c r="G44" i="1"/>
  <c r="N44" i="1" s="1"/>
  <c r="M43" i="1"/>
  <c r="G43" i="1"/>
  <c r="N43" i="1" s="1"/>
  <c r="M42" i="1"/>
  <c r="G42" i="1"/>
  <c r="N42" i="1" s="1"/>
  <c r="M41" i="1"/>
  <c r="G41" i="1"/>
  <c r="N41" i="1" s="1"/>
  <c r="M40" i="1"/>
  <c r="G40" i="1"/>
  <c r="N40" i="1" s="1"/>
  <c r="M39" i="1"/>
  <c r="G39" i="1"/>
  <c r="N39" i="1" s="1"/>
  <c r="M38" i="1"/>
  <c r="G38" i="1"/>
  <c r="G36" i="1" l="1"/>
  <c r="M36" i="1"/>
  <c r="N38" i="1"/>
  <c r="N36" i="1" s="1"/>
  <c r="M29" i="1"/>
  <c r="M30" i="1"/>
  <c r="M31" i="1"/>
  <c r="M32" i="1"/>
  <c r="M33" i="1"/>
  <c r="M34" i="1"/>
  <c r="M35" i="1"/>
  <c r="M21" i="1"/>
  <c r="M22" i="1"/>
  <c r="M23" i="1"/>
  <c r="M24" i="1"/>
  <c r="M25" i="1"/>
  <c r="M26" i="1"/>
  <c r="G35" i="1"/>
  <c r="N35" i="1" s="1"/>
  <c r="G34" i="1"/>
  <c r="N34" i="1" s="1"/>
  <c r="G33" i="1"/>
  <c r="N33" i="1" s="1"/>
  <c r="G32" i="1"/>
  <c r="N32" i="1" s="1"/>
  <c r="G31" i="1"/>
  <c r="N31" i="1" s="1"/>
  <c r="G30" i="1"/>
  <c r="N30" i="1" s="1"/>
  <c r="G29" i="1"/>
  <c r="G27" i="1" s="1"/>
  <c r="G26" i="1"/>
  <c r="N26" i="1" s="1"/>
  <c r="G25" i="1"/>
  <c r="N25" i="1" s="1"/>
  <c r="G24" i="1"/>
  <c r="N24" i="1" s="1"/>
  <c r="G23" i="1"/>
  <c r="N23" i="1" s="1"/>
  <c r="G22" i="1"/>
  <c r="N22" i="1" s="1"/>
  <c r="G21" i="1"/>
  <c r="N21" i="1" s="1"/>
  <c r="N20" i="1"/>
  <c r="G19" i="1"/>
  <c r="M17" i="1" l="1"/>
  <c r="M3" i="1"/>
  <c r="G17" i="1"/>
  <c r="M27" i="1"/>
  <c r="N19" i="1"/>
  <c r="N17" i="1" s="1"/>
  <c r="N29" i="1"/>
  <c r="N27" i="1" s="1"/>
  <c r="B94" i="1" l="1"/>
  <c r="G7" i="1"/>
  <c r="G6" i="1"/>
  <c r="G4" i="1" l="1"/>
  <c r="N4" i="1"/>
  <c r="N3" i="1" s="1"/>
  <c r="C94" i="1" s="1"/>
  <c r="B97" i="1" l="1"/>
  <c r="C97" i="1" l="1"/>
</calcChain>
</file>

<file path=xl/sharedStrings.xml><?xml version="1.0" encoding="utf-8"?>
<sst xmlns="http://schemas.openxmlformats.org/spreadsheetml/2006/main" count="63" uniqueCount="60">
  <si>
    <t>Total Hours</t>
  </si>
  <si>
    <t>Total Price</t>
  </si>
  <si>
    <t>Sub</t>
  </si>
  <si>
    <t>Prime</t>
  </si>
  <si>
    <t>*Senior Designer</t>
  </si>
  <si>
    <t>*Senior Transition Planner</t>
  </si>
  <si>
    <t>INSTRUCTIONS</t>
  </si>
  <si>
    <t>*Program Manager (Activation)</t>
  </si>
  <si>
    <t>6. The Government will add travel into the final contract award. Travel is not included in the Total Evaluated Price. Quotes should not include any travel costs in the pricing.</t>
  </si>
  <si>
    <t>4. Notate the total hours for each labor category for each task in the base and option periods. Those tasks which do not require pricing in either the base or the option are greyed out.</t>
  </si>
  <si>
    <t>2. Notate if the personnel being proposed is a Sub or Prime.</t>
  </si>
  <si>
    <t xml:space="preserve">7. Regardless of which period (base or option periods) a task is to be completed, Labor Rates must be provided for all years. </t>
  </si>
  <si>
    <t>****LABOR CATEGORIES AND LABOR RATES PROVIDED IN PROJECT MANAGEMENT SERVICES ARE EXAMPLES ONLY!!!******</t>
  </si>
  <si>
    <r>
      <t>1. Labor Category: Fill in appropriate Labor Category (</t>
    </r>
    <r>
      <rPr>
        <b/>
        <sz val="11"/>
        <color theme="1"/>
        <rFont val="Calibri"/>
        <family val="2"/>
        <scheme val="minor"/>
      </rPr>
      <t>using industry standard titles</t>
    </r>
    <r>
      <rPr>
        <sz val="11"/>
        <color theme="1"/>
        <rFont val="Calibri"/>
        <family val="2"/>
        <scheme val="minor"/>
      </rPr>
      <t>) for each Task. All Key Personnel must be identified. Project Management Services is an example of how to fill in each section.</t>
    </r>
  </si>
  <si>
    <t>***EXAMPLE LABOR CATEGORIES, RATES, AND HOURS ARE PROVIDED FOR UNDER PROJECT MANAGEMENT SERVICES AS AN ILLUSTRATION ONLY,  AND SHOULD BE REPLACED WITH QUOTER INFORMATION***</t>
  </si>
  <si>
    <t>PWS Task 16.4 --- ACQUISITION PLANNING SERVICES</t>
  </si>
  <si>
    <t>PWS Task 16.3 --- CONOPS, TRANSITION PLANNING &amp; PROJECT STAFFING PLANNING</t>
  </si>
  <si>
    <t>PWS Task 16.1 --- PROJECT MANAGEMENT SERVICES</t>
  </si>
  <si>
    <t>PWS Task 17.1 --- WAREHOUSING &amp; WAREHOUSING MANAGEMENT SERVICES</t>
  </si>
  <si>
    <t xml:space="preserve">YEAR 1 </t>
  </si>
  <si>
    <t>YEAR 2</t>
  </si>
  <si>
    <t>YEAR 3</t>
  </si>
  <si>
    <t xml:space="preserve">Warehouse Rent (all inclusive-to include insurance) - FIXED PRICE - Qty. 1 </t>
  </si>
  <si>
    <t>Provider             (Prime/Sub)</t>
  </si>
  <si>
    <t>PWS Task 16.5 --- ACQUISITION PACKAGES DEVELOPMENT</t>
  </si>
  <si>
    <t>HOURS           Period 1</t>
  </si>
  <si>
    <t>PRICE           Period 1</t>
  </si>
  <si>
    <t xml:space="preserve">HOURS          Period  2 </t>
  </si>
  <si>
    <t xml:space="preserve">PRICE          Period 2 </t>
  </si>
  <si>
    <t xml:space="preserve">HOURS           Period 3 </t>
  </si>
  <si>
    <t xml:space="preserve">PRICE                Period 3 </t>
  </si>
  <si>
    <t>LABOR RATE                 Period 1</t>
  </si>
  <si>
    <t>LABOR RATE                Period 2</t>
  </si>
  <si>
    <t>LABOR RATE                 Period 3</t>
  </si>
  <si>
    <t>LABOR CATEGORY</t>
  </si>
  <si>
    <t>HOURS</t>
  </si>
  <si>
    <t>PRICE</t>
  </si>
  <si>
    <t>3. Fill in the labor rates for Period 1, Period 2, Period  3, and Period 4 for each of the labor categories proposed for each specific task.</t>
  </si>
  <si>
    <t>9. ODCs can be entered within each task as a Firm Fixed Price amount - example, Warehouse Rent.</t>
  </si>
  <si>
    <r>
      <t xml:space="preserve">10. </t>
    </r>
    <r>
      <rPr>
        <b/>
        <sz val="11"/>
        <color theme="1"/>
        <rFont val="Calibri"/>
        <family val="2"/>
        <scheme val="minor"/>
      </rPr>
      <t xml:space="preserve">DO NOT submit this pricing workbook as a whole for the Basis of Estimate.  If you use this worksheet for your Basis of Estimate, NO LABOR RATES OR COST CAN BE INCLUDED. </t>
    </r>
  </si>
  <si>
    <t>PWS Task 16.2 --- INTERIOR DESIGN, FF&amp;E &amp; SPACE PLANNING SERVICES</t>
  </si>
  <si>
    <t>PWS Task 16.7 --- ACTIVATION SERVICES &amp; POST OCCUPANCY SUPPORT</t>
  </si>
  <si>
    <t>PWS TASK 16.8 --- STAFF TRAINING &amp; ORIENTATION</t>
  </si>
  <si>
    <t xml:space="preserve"> OPTIONAL TASK</t>
  </si>
  <si>
    <t>*Total Base + Optional Task                                     (Total Evaluated Price)</t>
  </si>
  <si>
    <r>
      <t xml:space="preserve">LIN 0002  - TRAVEL - </t>
    </r>
    <r>
      <rPr>
        <b/>
        <sz val="14"/>
        <rFont val="Calibri"/>
        <family val="2"/>
        <scheme val="minor"/>
      </rPr>
      <t>In support of IOTA Services</t>
    </r>
  </si>
  <si>
    <t>LIN 0003 - WAREHOUSING SERVICES</t>
  </si>
  <si>
    <t>LIN DESCRIPTION</t>
  </si>
  <si>
    <t>LIN 0001 - IOTA SERVICES</t>
  </si>
  <si>
    <t>*Total Evaluated Price Exclusive of Cost-Reiumbursable Travel (LIN 0002)</t>
  </si>
  <si>
    <t xml:space="preserve">         WE WILL NOT EVALUATE A BASIS OF ESTIMATE WHICH INCLUDE LABOR RATES AND LIN COSTS</t>
  </si>
  <si>
    <t xml:space="preserve">PROJECT: </t>
  </si>
  <si>
    <t>8. Confirm that the pricing for each task, provided in the Pricing Workbook, mirrors that of the pricing provided for in Section B.3 "Price/Cost Schedule" of the solicitation document</t>
  </si>
  <si>
    <t>5. The total LIN price and Total Labor Hours will auto populate - but it is ulimately the responsibility of the Contractor to verify cell formulas</t>
  </si>
  <si>
    <t>7/1/2026 -6/30/2027</t>
  </si>
  <si>
    <t>7/1/202-6/30/2028</t>
  </si>
  <si>
    <t>7/1/2028 - 4/30/2029</t>
  </si>
  <si>
    <t>07/01/2028-1/31/2029</t>
  </si>
  <si>
    <t>PWS Task 16.6 --- RELOCATION OF REUSE &amp; PERSONNEL FILES</t>
  </si>
  <si>
    <t>New Albany IOT&amp;A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</si>
</sst>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5" formatCode="_(* #,##0_);_(* \(#,##0\);_(* &quot;-&quot;??_);_(@_)"/>
  </numFmts>
  <fonts count="24">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10.5"/>
      <name val="Aldine401 BT"/>
      <family val="1"/>
    </font>
    <font>
      <sz val="10"/>
      <name val="Arial"/>
      <family val="2"/>
    </font>
    <font>
      <b/>
      <sz val="14"/>
      <color theme="1"/>
      <name val="Calibri"/>
      <family val="2"/>
      <scheme val="minor"/>
    </font>
    <font>
      <sz val="14"/>
      <color theme="1"/>
      <name val="Calibri"/>
      <family val="2"/>
      <scheme val="minor"/>
    </font>
    <font>
      <sz val="14"/>
      <name val="Times New Roman"/>
      <family val="1"/>
    </font>
    <font>
      <b/>
      <sz val="14"/>
      <name val="Times New Roman"/>
      <family val="1"/>
    </font>
    <font>
      <b/>
      <sz val="14"/>
      <color theme="0"/>
      <name val="Times New Roman"/>
      <family val="1"/>
    </font>
    <font>
      <sz val="14"/>
      <color theme="1"/>
      <name val="Times New Roman"/>
      <family val="1"/>
    </font>
    <font>
      <sz val="14"/>
      <color theme="0"/>
      <name val="Times New Roman"/>
      <family val="1"/>
    </font>
    <font>
      <sz val="14"/>
      <color theme="1" tint="0.34998626667073579"/>
      <name val="Calibri"/>
      <family val="2"/>
      <scheme val="minor"/>
    </font>
    <font>
      <sz val="14"/>
      <color theme="1" tint="0.34998626667073579"/>
      <name val="Times New Roman"/>
      <family val="1"/>
    </font>
    <font>
      <sz val="11"/>
      <color theme="0"/>
      <name val="Calibri"/>
      <family val="2"/>
      <scheme val="minor"/>
    </font>
    <font>
      <b/>
      <sz val="18"/>
      <name val="Calibri"/>
      <family val="2"/>
      <scheme val="minor"/>
    </font>
    <font>
      <b/>
      <sz val="18"/>
      <color theme="1"/>
      <name val="Calibri"/>
      <family val="2"/>
      <scheme val="minor"/>
    </font>
    <font>
      <sz val="14"/>
      <color theme="0"/>
      <name val="Calibri"/>
      <family val="2"/>
      <scheme val="minor"/>
    </font>
    <font>
      <b/>
      <sz val="20"/>
      <color theme="1"/>
      <name val="Calibri"/>
      <family val="2"/>
      <scheme val="minor"/>
    </font>
    <font>
      <b/>
      <sz val="14"/>
      <name val="Calibri"/>
      <family val="2"/>
      <scheme val="minor"/>
    </font>
    <font>
      <b/>
      <sz val="14"/>
      <color theme="5"/>
      <name val="Times New Roman"/>
      <family val="1"/>
    </font>
    <font>
      <b/>
      <sz val="24"/>
      <name val="Times New Roman"/>
      <family val="1"/>
    </font>
    <font>
      <b/>
      <sz val="12"/>
      <color theme="1"/>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rgb="FFC6EFCE"/>
      </patternFill>
    </fill>
    <fill>
      <patternFill patternType="solid">
        <fgColor theme="5"/>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CC"/>
        <bgColor indexed="64"/>
      </patternFill>
    </fill>
    <fill>
      <patternFill patternType="darkUp">
        <bgColor theme="1"/>
      </patternFill>
    </fill>
    <fill>
      <patternFill patternType="darkUp">
        <bgColor theme="3" tint="0.79995117038483843"/>
      </patternFill>
    </fill>
    <fill>
      <patternFill patternType="darkUp">
        <bgColor theme="0" tint="-0.14996795556505021"/>
      </patternFill>
    </fill>
    <fill>
      <patternFill patternType="darkUp">
        <bgColor theme="0" tint="-0.14993743705557422"/>
      </patternFill>
    </fill>
    <fill>
      <patternFill patternType="darkUp">
        <bgColor theme="3" tint="0.79998168889431442"/>
      </patternFill>
    </fill>
    <fill>
      <patternFill patternType="solid">
        <fgColor theme="6" tint="0.79998168889431442"/>
        <bgColor indexed="64"/>
      </patternFill>
    </fill>
    <fill>
      <patternFill patternType="solid">
        <fgColor theme="3" tint="0.79992065187536243"/>
        <bgColor indexed="64"/>
      </patternFill>
    </fill>
    <fill>
      <patternFill patternType="solid">
        <fgColor theme="3" tint="0.7999511703848384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s>
  <cellStyleXfs count="9">
    <xf numFmtId="0" fontId="0" fillId="0" borderId="0"/>
    <xf numFmtId="43" fontId="1" fillId="0" borderId="0" applyFont="0" applyFill="0" applyBorder="0" applyAlignment="0" applyProtection="0"/>
    <xf numFmtId="44" fontId="1" fillId="0" borderId="0" applyFont="0" applyFill="0" applyBorder="0" applyAlignment="0" applyProtection="0"/>
    <xf numFmtId="0" fontId="4" fillId="0" borderId="0"/>
    <xf numFmtId="0" fontId="2" fillId="5" borderId="0" applyNumberFormat="0" applyBorder="0" applyAlignment="0" applyProtection="0"/>
    <xf numFmtId="43" fontId="4" fillId="0" borderId="0" applyFont="0" applyFill="0" applyBorder="0" applyAlignment="0" applyProtection="0"/>
    <xf numFmtId="44" fontId="4" fillId="0" borderId="0" applyFont="0" applyFill="0" applyBorder="0" applyAlignment="0" applyProtection="0"/>
    <xf numFmtId="0" fontId="5" fillId="0" borderId="0"/>
    <xf numFmtId="0" fontId="15" fillId="6" borderId="0" applyNumberFormat="0" applyBorder="0" applyAlignment="0" applyProtection="0"/>
  </cellStyleXfs>
  <cellXfs count="170">
    <xf numFmtId="0" fontId="0" fillId="0" borderId="0" xfId="0"/>
    <xf numFmtId="44" fontId="0" fillId="0" borderId="0" xfId="0" applyNumberFormat="1"/>
    <xf numFmtId="49" fontId="9" fillId="4" borderId="1" xfId="0" quotePrefix="1" applyNumberFormat="1" applyFont="1" applyFill="1" applyBorder="1" applyAlignment="1" applyProtection="1">
      <alignment horizontal="center" wrapText="1"/>
      <protection locked="0"/>
    </xf>
    <xf numFmtId="0" fontId="8" fillId="3" borderId="1" xfId="0" applyFont="1" applyFill="1" applyBorder="1" applyAlignment="1" applyProtection="1">
      <alignment horizontal="center"/>
      <protection locked="0"/>
    </xf>
    <xf numFmtId="0" fontId="8" fillId="2" borderId="1" xfId="0" applyFont="1" applyFill="1" applyBorder="1" applyAlignment="1" applyProtection="1">
      <alignment horizontal="left"/>
      <protection locked="0"/>
    </xf>
    <xf numFmtId="0" fontId="8" fillId="2" borderId="1" xfId="0" applyFont="1" applyFill="1" applyBorder="1" applyAlignment="1" applyProtection="1">
      <alignment horizontal="center"/>
      <protection locked="0"/>
    </xf>
    <xf numFmtId="164" fontId="8" fillId="3" borderId="1" xfId="0" applyNumberFormat="1" applyFont="1" applyFill="1" applyBorder="1" applyAlignment="1" applyProtection="1">
      <alignment horizontal="right"/>
      <protection locked="0"/>
    </xf>
    <xf numFmtId="0" fontId="8" fillId="2" borderId="0" xfId="0" applyFont="1" applyFill="1" applyAlignment="1" applyProtection="1">
      <alignment horizontal="center"/>
      <protection locked="0"/>
    </xf>
    <xf numFmtId="44" fontId="8" fillId="2" borderId="0" xfId="2" quotePrefix="1" applyFont="1" applyFill="1" applyBorder="1" applyAlignment="1" applyProtection="1">
      <alignment horizontal="center"/>
      <protection locked="0"/>
    </xf>
    <xf numFmtId="0" fontId="8" fillId="0" borderId="1" xfId="0" applyFont="1" applyBorder="1" applyAlignment="1" applyProtection="1">
      <alignment horizontal="center"/>
      <protection locked="0"/>
    </xf>
    <xf numFmtId="0" fontId="8" fillId="2" borderId="0" xfId="0" applyFont="1" applyFill="1" applyProtection="1">
      <protection locked="0"/>
    </xf>
    <xf numFmtId="0" fontId="3" fillId="2" borderId="0" xfId="0" applyFont="1" applyFill="1" applyAlignment="1">
      <alignment horizontal="center"/>
    </xf>
    <xf numFmtId="165" fontId="10" fillId="3" borderId="1" xfId="0" applyNumberFormat="1" applyFont="1" applyFill="1" applyBorder="1" applyAlignment="1">
      <alignment horizontal="center"/>
    </xf>
    <xf numFmtId="44" fontId="10" fillId="3" borderId="1" xfId="2" applyFont="1" applyFill="1" applyBorder="1" applyAlignment="1" applyProtection="1">
      <alignment horizontal="center"/>
    </xf>
    <xf numFmtId="44" fontId="8" fillId="2" borderId="1" xfId="2" quotePrefix="1" applyFont="1" applyFill="1" applyBorder="1" applyAlignment="1" applyProtection="1">
      <alignment horizontal="center"/>
    </xf>
    <xf numFmtId="165" fontId="8" fillId="2" borderId="1" xfId="1" applyNumberFormat="1" applyFont="1" applyFill="1" applyBorder="1" applyAlignment="1" applyProtection="1">
      <alignment horizontal="center"/>
    </xf>
    <xf numFmtId="44" fontId="8" fillId="2" borderId="1" xfId="2" applyFont="1" applyFill="1" applyBorder="1" applyAlignment="1" applyProtection="1">
      <alignment horizontal="center"/>
    </xf>
    <xf numFmtId="165" fontId="10" fillId="3" borderId="1" xfId="1" applyNumberFormat="1" applyFont="1" applyFill="1" applyBorder="1" applyAlignment="1" applyProtection="1">
      <alignment horizontal="right"/>
    </xf>
    <xf numFmtId="44" fontId="10" fillId="3" borderId="1" xfId="2" applyFont="1" applyFill="1" applyBorder="1" applyAlignment="1" applyProtection="1">
      <alignment horizontal="right"/>
    </xf>
    <xf numFmtId="165" fontId="10" fillId="3" borderId="1" xfId="0" applyNumberFormat="1" applyFont="1" applyFill="1" applyBorder="1" applyAlignment="1">
      <alignment horizontal="right"/>
    </xf>
    <xf numFmtId="49" fontId="9" fillId="2" borderId="0" xfId="0" quotePrefix="1" applyNumberFormat="1" applyFont="1" applyFill="1" applyAlignment="1" applyProtection="1">
      <alignment horizontal="center" wrapText="1"/>
      <protection locked="0"/>
    </xf>
    <xf numFmtId="44" fontId="10" fillId="2" borderId="0" xfId="2" applyFont="1" applyFill="1" applyBorder="1" applyAlignment="1" applyProtection="1">
      <alignment horizontal="right"/>
      <protection locked="0"/>
    </xf>
    <xf numFmtId="0" fontId="7" fillId="0" borderId="0" xfId="0" applyFont="1" applyProtection="1">
      <protection locked="0"/>
    </xf>
    <xf numFmtId="0" fontId="7" fillId="2" borderId="0" xfId="0" applyFont="1" applyFill="1" applyProtection="1">
      <protection locked="0"/>
    </xf>
    <xf numFmtId="44" fontId="9" fillId="2" borderId="0" xfId="2" quotePrefix="1" applyFont="1" applyFill="1" applyBorder="1" applyAlignment="1" applyProtection="1">
      <alignment horizontal="center" wrapText="1"/>
      <protection locked="0"/>
    </xf>
    <xf numFmtId="165" fontId="8" fillId="2" borderId="1" xfId="1" quotePrefix="1" applyNumberFormat="1" applyFont="1" applyFill="1" applyBorder="1" applyAlignment="1" applyProtection="1">
      <alignment horizontal="center"/>
      <protection locked="0"/>
    </xf>
    <xf numFmtId="44" fontId="8" fillId="2" borderId="1" xfId="2" quotePrefix="1" applyFont="1" applyFill="1" applyBorder="1" applyAlignment="1" applyProtection="1">
      <alignment horizontal="center"/>
      <protection locked="0"/>
    </xf>
    <xf numFmtId="44" fontId="10" fillId="2" borderId="0" xfId="2" applyFont="1" applyFill="1" applyBorder="1" applyAlignment="1" applyProtection="1">
      <alignment horizontal="center"/>
      <protection locked="0"/>
    </xf>
    <xf numFmtId="0" fontId="11" fillId="0" borderId="1" xfId="0" applyFont="1" applyBorder="1" applyAlignment="1" applyProtection="1">
      <alignment horizontal="center"/>
      <protection locked="0"/>
    </xf>
    <xf numFmtId="0" fontId="11" fillId="0" borderId="0" xfId="0" applyFont="1" applyProtection="1">
      <protection locked="0"/>
    </xf>
    <xf numFmtId="0" fontId="14" fillId="0" borderId="0" xfId="0" applyFont="1" applyProtection="1">
      <protection locked="0"/>
    </xf>
    <xf numFmtId="0" fontId="13" fillId="0" borderId="0" xfId="0" applyFont="1" applyProtection="1">
      <protection locked="0"/>
    </xf>
    <xf numFmtId="44" fontId="7" fillId="0" borderId="0" xfId="0" applyNumberFormat="1" applyFont="1" applyProtection="1">
      <protection locked="0"/>
    </xf>
    <xf numFmtId="165" fontId="8" fillId="3" borderId="1" xfId="1" quotePrefix="1" applyNumberFormat="1" applyFont="1" applyFill="1" applyBorder="1" applyAlignment="1" applyProtection="1">
      <protection locked="0"/>
    </xf>
    <xf numFmtId="44" fontId="8" fillId="3" borderId="1" xfId="2" quotePrefix="1" applyFont="1" applyFill="1" applyBorder="1" applyAlignment="1" applyProtection="1">
      <protection locked="0"/>
    </xf>
    <xf numFmtId="44" fontId="8" fillId="3" borderId="4" xfId="2" quotePrefix="1" applyFont="1" applyFill="1" applyBorder="1" applyAlignment="1" applyProtection="1">
      <protection locked="0"/>
    </xf>
    <xf numFmtId="44" fontId="8" fillId="2" borderId="0" xfId="2" quotePrefix="1" applyFont="1" applyFill="1" applyBorder="1" applyAlignment="1" applyProtection="1">
      <protection locked="0"/>
    </xf>
    <xf numFmtId="44" fontId="12" fillId="3" borderId="1" xfId="2" applyFont="1" applyFill="1" applyBorder="1" applyAlignment="1" applyProtection="1"/>
    <xf numFmtId="165" fontId="10" fillId="3" borderId="2" xfId="0" applyNumberFormat="1" applyFont="1" applyFill="1" applyBorder="1" applyAlignment="1">
      <alignment horizontal="center"/>
    </xf>
    <xf numFmtId="165" fontId="8" fillId="3" borderId="1" xfId="1" applyNumberFormat="1" applyFont="1" applyFill="1" applyBorder="1" applyAlignment="1" applyProtection="1">
      <alignment horizontal="center"/>
    </xf>
    <xf numFmtId="165" fontId="10" fillId="3" borderId="1" xfId="0" applyNumberFormat="1" applyFont="1" applyFill="1" applyBorder="1" applyAlignment="1" applyProtection="1">
      <alignment horizontal="center"/>
      <protection locked="0"/>
    </xf>
    <xf numFmtId="44" fontId="10" fillId="3" borderId="1" xfId="0" applyNumberFormat="1" applyFont="1" applyFill="1" applyBorder="1" applyAlignment="1">
      <alignment horizontal="center"/>
    </xf>
    <xf numFmtId="44" fontId="10" fillId="3" borderId="1" xfId="0" applyNumberFormat="1" applyFont="1" applyFill="1" applyBorder="1" applyAlignment="1" applyProtection="1">
      <alignment horizontal="center"/>
      <protection locked="0"/>
    </xf>
    <xf numFmtId="0" fontId="7" fillId="0" borderId="1" xfId="0" applyFont="1" applyBorder="1" applyProtection="1">
      <protection locked="0"/>
    </xf>
    <xf numFmtId="0" fontId="8" fillId="3" borderId="4" xfId="0" applyFont="1" applyFill="1" applyBorder="1" applyAlignment="1" applyProtection="1">
      <alignment horizontal="center"/>
      <protection locked="0"/>
    </xf>
    <xf numFmtId="0" fontId="8" fillId="2" borderId="4" xfId="0" applyFont="1" applyFill="1" applyBorder="1" applyAlignment="1" applyProtection="1">
      <alignment horizontal="center"/>
      <protection locked="0"/>
    </xf>
    <xf numFmtId="49" fontId="9" fillId="4" borderId="2" xfId="0" quotePrefix="1" applyNumberFormat="1" applyFont="1" applyFill="1" applyBorder="1" applyAlignment="1" applyProtection="1">
      <alignment horizontal="center" wrapText="1"/>
      <protection locked="0"/>
    </xf>
    <xf numFmtId="165" fontId="8" fillId="2" borderId="2" xfId="1" quotePrefix="1" applyNumberFormat="1" applyFont="1" applyFill="1" applyBorder="1" applyAlignment="1" applyProtection="1">
      <alignment horizontal="center"/>
      <protection locked="0"/>
    </xf>
    <xf numFmtId="165" fontId="8" fillId="3" borderId="2" xfId="1" quotePrefix="1" applyNumberFormat="1" applyFont="1" applyFill="1" applyBorder="1" applyAlignment="1" applyProtection="1">
      <protection locked="0"/>
    </xf>
    <xf numFmtId="164" fontId="8" fillId="3" borderId="14" xfId="0" applyNumberFormat="1" applyFont="1" applyFill="1" applyBorder="1" applyAlignment="1" applyProtection="1">
      <alignment horizontal="right"/>
      <protection locked="0"/>
    </xf>
    <xf numFmtId="164" fontId="8" fillId="3" borderId="16" xfId="0" applyNumberFormat="1" applyFont="1" applyFill="1" applyBorder="1" applyProtection="1">
      <protection locked="0"/>
    </xf>
    <xf numFmtId="164" fontId="8" fillId="3" borderId="17" xfId="0" applyNumberFormat="1" applyFont="1" applyFill="1" applyBorder="1" applyProtection="1">
      <protection locked="0"/>
    </xf>
    <xf numFmtId="0" fontId="8" fillId="0" borderId="4" xfId="0" applyFont="1" applyBorder="1" applyAlignment="1" applyProtection="1">
      <alignment horizontal="center"/>
      <protection locked="0"/>
    </xf>
    <xf numFmtId="165" fontId="10" fillId="3" borderId="2" xfId="0" applyNumberFormat="1" applyFont="1" applyFill="1" applyBorder="1" applyAlignment="1">
      <alignment horizontal="right"/>
    </xf>
    <xf numFmtId="0" fontId="9" fillId="4" borderId="1" xfId="0" applyFont="1" applyFill="1" applyBorder="1" applyAlignment="1" applyProtection="1">
      <alignment horizontal="center" wrapText="1"/>
      <protection locked="0"/>
    </xf>
    <xf numFmtId="0" fontId="9" fillId="4" borderId="4" xfId="0" applyFont="1" applyFill="1" applyBorder="1" applyAlignment="1" applyProtection="1">
      <alignment horizontal="center" wrapText="1"/>
      <protection locked="0"/>
    </xf>
    <xf numFmtId="0" fontId="9" fillId="7" borderId="1" xfId="0" applyFont="1" applyFill="1" applyBorder="1" applyAlignment="1" applyProtection="1">
      <alignment horizontal="center" wrapText="1"/>
      <protection locked="0"/>
    </xf>
    <xf numFmtId="165" fontId="8" fillId="3" borderId="19" xfId="1" applyNumberFormat="1" applyFont="1" applyFill="1" applyBorder="1" applyAlignment="1" applyProtection="1">
      <protection locked="0"/>
    </xf>
    <xf numFmtId="0" fontId="9" fillId="7" borderId="11" xfId="0" applyFont="1" applyFill="1" applyBorder="1" applyAlignment="1" applyProtection="1">
      <alignment horizontal="center" wrapText="1"/>
      <protection locked="0"/>
    </xf>
    <xf numFmtId="0" fontId="9" fillId="7" borderId="12" xfId="0" applyFont="1" applyFill="1" applyBorder="1" applyAlignment="1" applyProtection="1">
      <alignment horizontal="center" wrapText="1"/>
      <protection locked="0"/>
    </xf>
    <xf numFmtId="164" fontId="8" fillId="7" borderId="14" xfId="0" applyNumberFormat="1" applyFont="1" applyFill="1" applyBorder="1" applyAlignment="1" applyProtection="1">
      <alignment horizontal="right"/>
      <protection locked="0"/>
    </xf>
    <xf numFmtId="164" fontId="8" fillId="7" borderId="1" xfId="0" applyNumberFormat="1" applyFont="1" applyFill="1" applyBorder="1" applyAlignment="1" applyProtection="1">
      <alignment horizontal="right"/>
      <protection locked="0"/>
    </xf>
    <xf numFmtId="164" fontId="8" fillId="7" borderId="15" xfId="0" applyNumberFormat="1" applyFont="1" applyFill="1" applyBorder="1" applyAlignment="1" applyProtection="1">
      <alignment horizontal="right"/>
      <protection locked="0"/>
    </xf>
    <xf numFmtId="164" fontId="8" fillId="7" borderId="14" xfId="2" quotePrefix="1" applyNumberFormat="1" applyFont="1" applyFill="1" applyBorder="1" applyAlignment="1" applyProtection="1">
      <protection locked="0"/>
    </xf>
    <xf numFmtId="164" fontId="11" fillId="7" borderId="1" xfId="0" applyNumberFormat="1" applyFont="1" applyFill="1" applyBorder="1" applyAlignment="1" applyProtection="1">
      <alignment horizontal="right"/>
      <protection locked="0"/>
    </xf>
    <xf numFmtId="164" fontId="11" fillId="7" borderId="12" xfId="0" applyNumberFormat="1" applyFont="1" applyFill="1" applyBorder="1" applyAlignment="1" applyProtection="1">
      <alignment horizontal="right"/>
      <protection locked="0"/>
    </xf>
    <xf numFmtId="0" fontId="16" fillId="9" borderId="19" xfId="0" applyFont="1" applyFill="1" applyBorder="1" applyAlignment="1" applyProtection="1">
      <alignment horizontal="left" vertical="center" wrapText="1"/>
      <protection locked="0"/>
    </xf>
    <xf numFmtId="165" fontId="9" fillId="9" borderId="19" xfId="1" quotePrefix="1" applyNumberFormat="1" applyFont="1" applyFill="1" applyBorder="1" applyAlignment="1" applyProtection="1">
      <alignment horizontal="center" wrapText="1"/>
    </xf>
    <xf numFmtId="44" fontId="9" fillId="9" borderId="19" xfId="2" quotePrefix="1" applyFont="1" applyFill="1" applyBorder="1" applyAlignment="1" applyProtection="1">
      <alignment horizontal="center" wrapText="1"/>
    </xf>
    <xf numFmtId="165" fontId="9" fillId="9" borderId="19" xfId="1" applyNumberFormat="1" applyFont="1" applyFill="1" applyBorder="1" applyAlignment="1" applyProtection="1">
      <alignment horizontal="center" wrapText="1"/>
    </xf>
    <xf numFmtId="44" fontId="9" fillId="9" borderId="19" xfId="2" applyFont="1" applyFill="1" applyBorder="1" applyAlignment="1" applyProtection="1">
      <alignment horizontal="center"/>
    </xf>
    <xf numFmtId="0" fontId="16" fillId="0" borderId="6" xfId="0" applyFont="1" applyBorder="1" applyAlignment="1" applyProtection="1">
      <alignment horizontal="left" vertical="center" wrapText="1"/>
      <protection locked="0"/>
    </xf>
    <xf numFmtId="0" fontId="8" fillId="0" borderId="7" xfId="0" applyFont="1" applyBorder="1" applyProtection="1">
      <protection locked="0"/>
    </xf>
    <xf numFmtId="164" fontId="8" fillId="0" borderId="7" xfId="0" applyNumberFormat="1" applyFont="1" applyBorder="1" applyProtection="1">
      <protection locked="0"/>
    </xf>
    <xf numFmtId="165" fontId="8" fillId="0" borderId="7" xfId="1" quotePrefix="1" applyNumberFormat="1" applyFont="1" applyFill="1" applyBorder="1" applyAlignment="1" applyProtection="1">
      <protection locked="0"/>
    </xf>
    <xf numFmtId="44" fontId="8" fillId="0" borderId="7" xfId="2" quotePrefix="1" applyFont="1" applyFill="1" applyBorder="1" applyAlignment="1" applyProtection="1">
      <protection locked="0"/>
    </xf>
    <xf numFmtId="44" fontId="8" fillId="0" borderId="0" xfId="2" quotePrefix="1" applyFont="1" applyFill="1" applyBorder="1" applyAlignment="1" applyProtection="1">
      <protection locked="0"/>
    </xf>
    <xf numFmtId="165" fontId="8" fillId="0" borderId="0" xfId="1" applyNumberFormat="1" applyFont="1" applyFill="1" applyBorder="1" applyAlignment="1" applyProtection="1">
      <protection locked="0"/>
    </xf>
    <xf numFmtId="44" fontId="12" fillId="0" borderId="8" xfId="2" applyFont="1" applyFill="1" applyBorder="1" applyAlignment="1" applyProtection="1"/>
    <xf numFmtId="0" fontId="16" fillId="9" borderId="4" xfId="0" applyFont="1" applyFill="1" applyBorder="1" applyAlignment="1" applyProtection="1">
      <alignment horizontal="left" vertical="center" wrapText="1"/>
      <protection locked="0"/>
    </xf>
    <xf numFmtId="0" fontId="16" fillId="3" borderId="20" xfId="0" applyFont="1" applyFill="1" applyBorder="1" applyAlignment="1" applyProtection="1">
      <alignment horizontal="left" vertical="center" wrapText="1"/>
      <protection locked="0"/>
    </xf>
    <xf numFmtId="0" fontId="9" fillId="7" borderId="1" xfId="0" applyFont="1" applyFill="1" applyBorder="1" applyAlignment="1" applyProtection="1">
      <alignment horizontal="left" wrapText="1"/>
      <protection locked="0"/>
    </xf>
    <xf numFmtId="0" fontId="8" fillId="3" borderId="4" xfId="0" applyFont="1" applyFill="1" applyBorder="1" applyAlignment="1" applyProtection="1">
      <alignment horizontal="left"/>
      <protection locked="0"/>
    </xf>
    <xf numFmtId="164" fontId="8" fillId="3" borderId="14" xfId="0" applyNumberFormat="1" applyFont="1" applyFill="1" applyBorder="1" applyAlignment="1" applyProtection="1">
      <alignment horizontal="left"/>
      <protection locked="0"/>
    </xf>
    <xf numFmtId="164" fontId="8" fillId="3" borderId="1" xfId="0" applyNumberFormat="1" applyFont="1" applyFill="1" applyBorder="1" applyAlignment="1" applyProtection="1">
      <alignment horizontal="left"/>
      <protection locked="0"/>
    </xf>
    <xf numFmtId="165" fontId="10" fillId="3" borderId="2" xfId="0" applyNumberFormat="1" applyFont="1" applyFill="1" applyBorder="1" applyAlignment="1">
      <alignment horizontal="left"/>
    </xf>
    <xf numFmtId="44" fontId="10" fillId="3" borderId="1" xfId="2" applyFont="1" applyFill="1" applyBorder="1" applyAlignment="1" applyProtection="1">
      <alignment horizontal="left"/>
    </xf>
    <xf numFmtId="165" fontId="10" fillId="3" borderId="1" xfId="0" applyNumberFormat="1" applyFont="1" applyFill="1" applyBorder="1" applyAlignment="1">
      <alignment horizontal="left"/>
    </xf>
    <xf numFmtId="44" fontId="10" fillId="2" borderId="0" xfId="2" applyFont="1" applyFill="1" applyBorder="1" applyAlignment="1" applyProtection="1">
      <alignment horizontal="left"/>
      <protection locked="0"/>
    </xf>
    <xf numFmtId="0" fontId="7" fillId="0" borderId="0" xfId="0" applyFont="1" applyAlignment="1" applyProtection="1">
      <alignment horizontal="left"/>
      <protection locked="0"/>
    </xf>
    <xf numFmtId="0" fontId="21" fillId="0" borderId="1" xfId="0" applyFont="1" applyBorder="1" applyAlignment="1" applyProtection="1">
      <alignment horizontal="center" wrapText="1"/>
      <protection locked="0"/>
    </xf>
    <xf numFmtId="0" fontId="20" fillId="9" borderId="14" xfId="0" applyFont="1" applyFill="1" applyBorder="1" applyAlignment="1" applyProtection="1">
      <alignment horizontal="center" vertical="center" wrapText="1"/>
      <protection locked="0"/>
    </xf>
    <xf numFmtId="0" fontId="20" fillId="9" borderId="1" xfId="0" applyFont="1" applyFill="1" applyBorder="1" applyAlignment="1" applyProtection="1">
      <alignment horizontal="center" vertical="center" wrapText="1"/>
      <protection locked="0"/>
    </xf>
    <xf numFmtId="0" fontId="18" fillId="3" borderId="3" xfId="0" applyFont="1" applyFill="1" applyBorder="1" applyAlignment="1" applyProtection="1">
      <alignment horizontal="center" wrapText="1"/>
      <protection locked="0"/>
    </xf>
    <xf numFmtId="0" fontId="8" fillId="3" borderId="6" xfId="0" applyFont="1" applyFill="1" applyBorder="1" applyAlignment="1" applyProtection="1">
      <alignment horizontal="center" wrapText="1"/>
      <protection locked="0"/>
    </xf>
    <xf numFmtId="0" fontId="9" fillId="3" borderId="21" xfId="0" applyFont="1" applyFill="1" applyBorder="1" applyAlignment="1" applyProtection="1">
      <alignment horizontal="center" wrapText="1"/>
      <protection locked="0"/>
    </xf>
    <xf numFmtId="0" fontId="9" fillId="3" borderId="3" xfId="0" applyFont="1" applyFill="1" applyBorder="1" applyAlignment="1" applyProtection="1">
      <alignment horizontal="center" wrapText="1"/>
      <protection locked="0"/>
    </xf>
    <xf numFmtId="49" fontId="9" fillId="3" borderId="8" xfId="0" quotePrefix="1" applyNumberFormat="1" applyFont="1" applyFill="1" applyBorder="1" applyAlignment="1" applyProtection="1">
      <alignment horizontal="center" wrapText="1"/>
      <protection locked="0"/>
    </xf>
    <xf numFmtId="49" fontId="9" fillId="3" borderId="3" xfId="0" quotePrefix="1" applyNumberFormat="1" applyFont="1" applyFill="1" applyBorder="1" applyAlignment="1" applyProtection="1">
      <alignment horizontal="center" wrapText="1"/>
      <protection locked="0"/>
    </xf>
    <xf numFmtId="0" fontId="9" fillId="3" borderId="3" xfId="0" applyFont="1" applyFill="1" applyBorder="1" applyAlignment="1" applyProtection="1">
      <alignment horizontal="center" vertical="center" wrapText="1"/>
      <protection locked="0"/>
    </xf>
    <xf numFmtId="0" fontId="9" fillId="9" borderId="9" xfId="0" applyFont="1" applyFill="1" applyBorder="1" applyAlignment="1" applyProtection="1">
      <alignment horizontal="center" wrapText="1"/>
      <protection locked="0"/>
    </xf>
    <xf numFmtId="165" fontId="9" fillId="9" borderId="5" xfId="1" quotePrefix="1" applyNumberFormat="1" applyFont="1" applyFill="1" applyBorder="1" applyAlignment="1" applyProtection="1">
      <alignment horizontal="center" wrapText="1"/>
    </xf>
    <xf numFmtId="44" fontId="9" fillId="9" borderId="19" xfId="2" applyFont="1" applyFill="1" applyBorder="1" applyAlignment="1" applyProtection="1">
      <alignment horizontal="center" wrapText="1"/>
    </xf>
    <xf numFmtId="44" fontId="8" fillId="12" borderId="1" xfId="2" quotePrefix="1" applyFont="1" applyFill="1" applyBorder="1" applyAlignment="1" applyProtection="1">
      <alignment horizontal="center"/>
      <protection locked="0"/>
    </xf>
    <xf numFmtId="165" fontId="8" fillId="12" borderId="1" xfId="1" quotePrefix="1" applyNumberFormat="1" applyFont="1" applyFill="1" applyBorder="1" applyAlignment="1" applyProtection="1">
      <alignment horizontal="center"/>
      <protection locked="0"/>
    </xf>
    <xf numFmtId="165" fontId="8" fillId="13" borderId="1" xfId="1" quotePrefix="1" applyNumberFormat="1" applyFont="1" applyFill="1" applyBorder="1" applyAlignment="1" applyProtection="1">
      <alignment horizontal="center"/>
      <protection locked="0"/>
    </xf>
    <xf numFmtId="44" fontId="8" fillId="13" borderId="1" xfId="2" quotePrefix="1" applyFont="1" applyFill="1" applyBorder="1" applyAlignment="1" applyProtection="1">
      <alignment horizontal="center"/>
      <protection locked="0"/>
    </xf>
    <xf numFmtId="165" fontId="8" fillId="13" borderId="2" xfId="1" quotePrefix="1" applyNumberFormat="1" applyFont="1" applyFill="1" applyBorder="1" applyAlignment="1" applyProtection="1">
      <alignment horizontal="center"/>
      <protection locked="0"/>
    </xf>
    <xf numFmtId="44" fontId="8" fillId="13" borderId="1" xfId="2" quotePrefix="1" applyFont="1" applyFill="1" applyBorder="1" applyAlignment="1" applyProtection="1">
      <alignment horizontal="center"/>
    </xf>
    <xf numFmtId="44" fontId="8" fillId="12" borderId="1" xfId="2" quotePrefix="1" applyFont="1" applyFill="1" applyBorder="1" applyAlignment="1" applyProtection="1">
      <alignment horizontal="center"/>
    </xf>
    <xf numFmtId="165" fontId="15" fillId="13" borderId="1" xfId="8" quotePrefix="1" applyNumberFormat="1" applyFill="1" applyBorder="1" applyAlignment="1" applyProtection="1">
      <alignment horizontal="center"/>
      <protection locked="0"/>
    </xf>
    <xf numFmtId="165" fontId="8" fillId="12" borderId="2" xfId="1" quotePrefix="1" applyNumberFormat="1" applyFont="1" applyFill="1" applyBorder="1" applyAlignment="1" applyProtection="1">
      <alignment horizontal="center"/>
      <protection locked="0"/>
    </xf>
    <xf numFmtId="164" fontId="8" fillId="10" borderId="3" xfId="0" applyNumberFormat="1" applyFont="1" applyFill="1" applyBorder="1" applyAlignment="1" applyProtection="1">
      <alignment horizontal="right"/>
      <protection locked="0"/>
    </xf>
    <xf numFmtId="164" fontId="11" fillId="14" borderId="11" xfId="0" applyNumberFormat="1" applyFont="1" applyFill="1" applyBorder="1" applyAlignment="1" applyProtection="1">
      <alignment horizontal="right"/>
      <protection locked="0"/>
    </xf>
    <xf numFmtId="164" fontId="11" fillId="14" borderId="12" xfId="0" applyNumberFormat="1" applyFont="1" applyFill="1" applyBorder="1" applyAlignment="1" applyProtection="1">
      <alignment horizontal="right"/>
      <protection locked="0"/>
    </xf>
    <xf numFmtId="164" fontId="11" fillId="14" borderId="14" xfId="0" applyNumberFormat="1" applyFont="1" applyFill="1" applyBorder="1" applyAlignment="1" applyProtection="1">
      <alignment horizontal="right"/>
      <protection locked="0"/>
    </xf>
    <xf numFmtId="164" fontId="11" fillId="14" borderId="1" xfId="0" applyNumberFormat="1" applyFont="1" applyFill="1" applyBorder="1" applyAlignment="1" applyProtection="1">
      <alignment horizontal="right"/>
      <protection locked="0"/>
    </xf>
    <xf numFmtId="164" fontId="8" fillId="14" borderId="14" xfId="0" applyNumberFormat="1" applyFont="1" applyFill="1" applyBorder="1" applyAlignment="1" applyProtection="1">
      <alignment horizontal="right"/>
      <protection locked="0"/>
    </xf>
    <xf numFmtId="164" fontId="8" fillId="14" borderId="1" xfId="0" applyNumberFormat="1" applyFont="1" applyFill="1" applyBorder="1" applyAlignment="1" applyProtection="1">
      <alignment horizontal="right"/>
      <protection locked="0"/>
    </xf>
    <xf numFmtId="164" fontId="8" fillId="10" borderId="14" xfId="0" applyNumberFormat="1" applyFont="1" applyFill="1" applyBorder="1" applyAlignment="1" applyProtection="1">
      <alignment horizontal="right"/>
      <protection locked="0"/>
    </xf>
    <xf numFmtId="164" fontId="8" fillId="10" borderId="1" xfId="0" applyNumberFormat="1" applyFont="1" applyFill="1" applyBorder="1" applyAlignment="1" applyProtection="1">
      <alignment horizontal="right"/>
      <protection locked="0"/>
    </xf>
    <xf numFmtId="164" fontId="8" fillId="3" borderId="23" xfId="0" applyNumberFormat="1" applyFont="1" applyFill="1" applyBorder="1" applyAlignment="1" applyProtection="1">
      <alignment horizontal="right"/>
      <protection locked="0"/>
    </xf>
    <xf numFmtId="0" fontId="8" fillId="3" borderId="24" xfId="0" applyFont="1" applyFill="1" applyBorder="1" applyAlignment="1" applyProtection="1">
      <alignment horizontal="center"/>
      <protection locked="0"/>
    </xf>
    <xf numFmtId="0" fontId="8" fillId="3" borderId="23" xfId="0" applyFont="1" applyFill="1" applyBorder="1" applyAlignment="1" applyProtection="1">
      <alignment horizontal="center"/>
      <protection locked="0"/>
    </xf>
    <xf numFmtId="164" fontId="8" fillId="3" borderId="22" xfId="0" applyNumberFormat="1" applyFont="1" applyFill="1" applyBorder="1" applyAlignment="1" applyProtection="1">
      <alignment horizontal="right"/>
      <protection locked="0"/>
    </xf>
    <xf numFmtId="164" fontId="8" fillId="3" borderId="19" xfId="0" applyNumberFormat="1" applyFont="1" applyFill="1" applyBorder="1" applyAlignment="1" applyProtection="1">
      <alignment horizontal="right"/>
      <protection locked="0"/>
    </xf>
    <xf numFmtId="164" fontId="8" fillId="7" borderId="11" xfId="0" applyNumberFormat="1" applyFont="1" applyFill="1" applyBorder="1" applyAlignment="1" applyProtection="1">
      <alignment horizontal="right"/>
      <protection locked="0"/>
    </xf>
    <xf numFmtId="164" fontId="8" fillId="7" borderId="12" xfId="0" applyNumberFormat="1" applyFont="1" applyFill="1" applyBorder="1" applyAlignment="1" applyProtection="1">
      <alignment horizontal="right"/>
      <protection locked="0"/>
    </xf>
    <xf numFmtId="164" fontId="8" fillId="7" borderId="13" xfId="0" applyNumberFormat="1" applyFont="1" applyFill="1" applyBorder="1" applyAlignment="1" applyProtection="1">
      <alignment horizontal="right"/>
      <protection locked="0"/>
    </xf>
    <xf numFmtId="164" fontId="8" fillId="7" borderId="16" xfId="0" applyNumberFormat="1" applyFont="1" applyFill="1" applyBorder="1" applyAlignment="1" applyProtection="1">
      <alignment horizontal="right"/>
      <protection locked="0"/>
    </xf>
    <xf numFmtId="164" fontId="8" fillId="7" borderId="17" xfId="0" applyNumberFormat="1" applyFont="1" applyFill="1" applyBorder="1" applyAlignment="1" applyProtection="1">
      <alignment horizontal="right"/>
      <protection locked="0"/>
    </xf>
    <xf numFmtId="164" fontId="8" fillId="7" borderId="18" xfId="0" applyNumberFormat="1" applyFont="1" applyFill="1" applyBorder="1" applyAlignment="1" applyProtection="1">
      <alignment horizontal="right"/>
      <protection locked="0"/>
    </xf>
    <xf numFmtId="164" fontId="11" fillId="11" borderId="14" xfId="0" applyNumberFormat="1" applyFont="1" applyFill="1" applyBorder="1" applyAlignment="1" applyProtection="1">
      <alignment horizontal="right"/>
      <protection locked="0"/>
    </xf>
    <xf numFmtId="164" fontId="8" fillId="11" borderId="14" xfId="0" applyNumberFormat="1" applyFont="1" applyFill="1" applyBorder="1" applyAlignment="1" applyProtection="1">
      <alignment horizontal="right"/>
      <protection locked="0"/>
    </xf>
    <xf numFmtId="164" fontId="8" fillId="11" borderId="1" xfId="0" applyNumberFormat="1" applyFont="1" applyFill="1" applyBorder="1" applyAlignment="1" applyProtection="1">
      <alignment horizontal="right"/>
      <protection locked="0"/>
    </xf>
    <xf numFmtId="0" fontId="7" fillId="4" borderId="1" xfId="0" applyFont="1" applyFill="1" applyBorder="1" applyProtection="1">
      <protection locked="0"/>
    </xf>
    <xf numFmtId="0" fontId="7" fillId="0" borderId="1" xfId="2" applyNumberFormat="1" applyFont="1" applyBorder="1" applyProtection="1"/>
    <xf numFmtId="164" fontId="7" fillId="0" borderId="1" xfId="0" applyNumberFormat="1" applyFont="1" applyBorder="1" applyProtection="1">
      <protection locked="0"/>
    </xf>
    <xf numFmtId="164" fontId="7" fillId="4" borderId="1" xfId="0" applyNumberFormat="1" applyFont="1" applyFill="1" applyBorder="1" applyProtection="1">
      <protection locked="0"/>
    </xf>
    <xf numFmtId="165" fontId="7" fillId="0" borderId="1" xfId="2" applyNumberFormat="1" applyFont="1" applyBorder="1" applyProtection="1"/>
    <xf numFmtId="0" fontId="17" fillId="9" borderId="1" xfId="0" applyFont="1" applyFill="1" applyBorder="1" applyAlignment="1" applyProtection="1">
      <alignment wrapText="1"/>
      <protection locked="0"/>
    </xf>
    <xf numFmtId="0" fontId="17" fillId="9" borderId="1" xfId="2" applyNumberFormat="1" applyFont="1" applyFill="1" applyBorder="1" applyProtection="1"/>
    <xf numFmtId="164" fontId="17" fillId="9" borderId="1" xfId="0" applyNumberFormat="1" applyFont="1" applyFill="1" applyBorder="1" applyProtection="1">
      <protection locked="0"/>
    </xf>
    <xf numFmtId="0" fontId="7" fillId="0" borderId="0" xfId="0" applyFont="1" applyAlignment="1" applyProtection="1">
      <alignment wrapText="1"/>
      <protection locked="0"/>
    </xf>
    <xf numFmtId="0" fontId="6" fillId="7" borderId="1" xfId="0" applyFont="1" applyFill="1" applyBorder="1" applyAlignment="1" applyProtection="1">
      <alignment horizontal="center"/>
      <protection locked="0"/>
    </xf>
    <xf numFmtId="0" fontId="6" fillId="7" borderId="1" xfId="0" applyFont="1" applyFill="1" applyBorder="1" applyProtection="1">
      <protection locked="0"/>
    </xf>
    <xf numFmtId="0" fontId="0" fillId="2" borderId="0" xfId="0" applyFill="1"/>
    <xf numFmtId="0" fontId="0" fillId="9" borderId="0" xfId="0" applyFill="1" applyAlignment="1">
      <alignment wrapText="1"/>
    </xf>
    <xf numFmtId="0" fontId="3" fillId="7" borderId="0" xfId="0" applyFont="1" applyFill="1" applyAlignment="1">
      <alignment horizontal="center"/>
    </xf>
    <xf numFmtId="0" fontId="23" fillId="15" borderId="0" xfId="0" applyFont="1" applyFill="1"/>
    <xf numFmtId="0" fontId="3" fillId="9" borderId="0" xfId="0" applyFont="1" applyFill="1" applyAlignment="1">
      <alignment wrapText="1"/>
    </xf>
    <xf numFmtId="164" fontId="11" fillId="17" borderId="1" xfId="0" applyNumberFormat="1" applyFont="1" applyFill="1" applyBorder="1" applyAlignment="1" applyProtection="1">
      <alignment horizontal="right"/>
      <protection locked="0"/>
    </xf>
    <xf numFmtId="165" fontId="8" fillId="0" borderId="1" xfId="1" quotePrefix="1" applyNumberFormat="1" applyFont="1" applyFill="1" applyBorder="1" applyAlignment="1" applyProtection="1">
      <alignment horizontal="center"/>
      <protection locked="0"/>
    </xf>
    <xf numFmtId="44" fontId="8" fillId="0" borderId="1" xfId="2" quotePrefix="1" applyFont="1" applyFill="1" applyBorder="1" applyAlignment="1" applyProtection="1">
      <alignment horizontal="center"/>
    </xf>
    <xf numFmtId="164" fontId="11" fillId="16" borderId="1" xfId="0" applyNumberFormat="1" applyFont="1" applyFill="1" applyBorder="1" applyAlignment="1" applyProtection="1">
      <alignment horizontal="right"/>
      <protection locked="0"/>
    </xf>
    <xf numFmtId="164" fontId="8" fillId="16" borderId="1" xfId="0" applyNumberFormat="1" applyFont="1" applyFill="1" applyBorder="1" applyAlignment="1" applyProtection="1">
      <alignment horizontal="right"/>
      <protection locked="0"/>
    </xf>
    <xf numFmtId="0" fontId="20" fillId="9" borderId="9" xfId="0" applyFont="1" applyFill="1" applyBorder="1" applyAlignment="1" applyProtection="1">
      <alignment horizontal="center" vertical="center" wrapText="1"/>
      <protection locked="0"/>
    </xf>
    <xf numFmtId="44" fontId="8" fillId="2" borderId="4" xfId="2" quotePrefix="1" applyFont="1" applyFill="1" applyBorder="1" applyAlignment="1" applyProtection="1">
      <alignment horizontal="center"/>
    </xf>
    <xf numFmtId="0" fontId="6" fillId="2" borderId="0" xfId="0" applyFont="1" applyFill="1" applyAlignment="1" applyProtection="1">
      <alignment horizontal="center"/>
      <protection locked="0"/>
    </xf>
    <xf numFmtId="165" fontId="7" fillId="2" borderId="0" xfId="0" applyNumberFormat="1" applyFont="1" applyFill="1" applyProtection="1">
      <protection locked="0"/>
    </xf>
    <xf numFmtId="165" fontId="17" fillId="2" borderId="0" xfId="0" applyNumberFormat="1" applyFont="1" applyFill="1" applyProtection="1">
      <protection locked="0"/>
    </xf>
    <xf numFmtId="0" fontId="7" fillId="8" borderId="1" xfId="0" applyFont="1" applyFill="1" applyBorder="1" applyProtection="1">
      <protection locked="0"/>
    </xf>
    <xf numFmtId="0" fontId="19" fillId="8" borderId="1" xfId="0" applyFont="1" applyFill="1" applyBorder="1" applyAlignment="1" applyProtection="1">
      <alignment horizontal="left"/>
      <protection locked="0"/>
    </xf>
    <xf numFmtId="0" fontId="22" fillId="8" borderId="6" xfId="0" applyFont="1" applyFill="1" applyBorder="1" applyAlignment="1" applyProtection="1">
      <alignment horizontal="center" vertical="center"/>
      <protection locked="0"/>
    </xf>
    <xf numFmtId="0" fontId="22" fillId="8" borderId="7" xfId="0" applyFont="1" applyFill="1" applyBorder="1" applyAlignment="1" applyProtection="1">
      <alignment horizontal="center" vertical="center"/>
      <protection locked="0"/>
    </xf>
    <xf numFmtId="0" fontId="22" fillId="8" borderId="8" xfId="0" applyFont="1" applyFill="1" applyBorder="1" applyAlignment="1" applyProtection="1">
      <alignment horizontal="center" vertical="center"/>
      <protection locked="0"/>
    </xf>
    <xf numFmtId="0" fontId="22" fillId="8" borderId="9" xfId="0" applyFont="1" applyFill="1" applyBorder="1" applyAlignment="1" applyProtection="1">
      <alignment horizontal="center" vertical="center"/>
      <protection locked="0"/>
    </xf>
    <xf numFmtId="0" fontId="22" fillId="8" borderId="10" xfId="0" applyFont="1" applyFill="1" applyBorder="1" applyAlignment="1" applyProtection="1">
      <alignment horizontal="center" vertical="center"/>
      <protection locked="0"/>
    </xf>
    <xf numFmtId="0" fontId="22" fillId="8" borderId="0" xfId="0" applyFont="1" applyFill="1" applyAlignment="1" applyProtection="1">
      <alignment horizontal="center" vertical="center"/>
      <protection locked="0"/>
    </xf>
    <xf numFmtId="0" fontId="22" fillId="8" borderId="5" xfId="0" applyFont="1" applyFill="1" applyBorder="1" applyAlignment="1" applyProtection="1">
      <alignment horizontal="center" vertical="center"/>
      <protection locked="0"/>
    </xf>
  </cellXfs>
  <cellStyles count="9">
    <cellStyle name="Accent2" xfId="8" builtinId="33"/>
    <cellStyle name="Comma" xfId="1" builtinId="3"/>
    <cellStyle name="Comma 2" xfId="5" xr:uid="{00000000-0005-0000-0000-000001000000}"/>
    <cellStyle name="Currency" xfId="2" builtinId="4"/>
    <cellStyle name="Currency 2 2" xfId="6" xr:uid="{00000000-0005-0000-0000-000003000000}"/>
    <cellStyle name="Good 2" xfId="4" xr:uid="{00000000-0005-0000-0000-000004000000}"/>
    <cellStyle name="Normal" xfId="0" builtinId="0"/>
    <cellStyle name="Normal 2 2" xfId="3" xr:uid="{00000000-0005-0000-0000-000006000000}"/>
    <cellStyle name="Normal 3 2" xfId="7" xr:uid="{00000000-0005-0000-0000-000007000000}"/>
  </cellStyles>
  <dxfs count="0"/>
  <tableStyles count="0" defaultTableStyle="TableStyleMedium2" defaultPivotStyle="PivotStyleLight16"/>
  <colors>
    <mruColors>
      <color rgb="FFFFFFCC"/>
      <color rgb="FFCCFFCC"/>
      <color rgb="FFCCFF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
  <sheetViews>
    <sheetView tabSelected="1" zoomScale="59" zoomScaleNormal="59" workbookViewId="0">
      <pane xSplit="1" ySplit="1" topLeftCell="B73" activePane="bottomRight" state="frozen"/>
      <selection pane="topRight" activeCell="B1" sqref="B1"/>
      <selection pane="bottomLeft" activeCell="A2" sqref="A2"/>
      <selection pane="bottomRight" activeCell="E98" sqref="E98"/>
    </sheetView>
  </sheetViews>
  <sheetFormatPr defaultColWidth="9.140625" defaultRowHeight="18.75"/>
  <cols>
    <col min="1" max="1" width="69.140625" style="22" customWidth="1"/>
    <col min="2" max="2" width="16.7109375" style="22" bestFit="1" customWidth="1"/>
    <col min="3" max="5" width="29.140625" style="22" customWidth="1"/>
    <col min="6" max="11" width="22.5703125" style="22" customWidth="1"/>
    <col min="12" max="12" width="8.5703125" style="23" customWidth="1"/>
    <col min="13" max="13" width="19.28515625" style="22" customWidth="1"/>
    <col min="14" max="14" width="28.28515625" style="22" customWidth="1"/>
    <col min="15" max="15" width="27.140625" style="22" customWidth="1"/>
    <col min="16" max="16384" width="9.140625" style="22"/>
  </cols>
  <sheetData>
    <row r="1" spans="1:15" ht="75" customHeight="1">
      <c r="A1" s="54" t="s">
        <v>34</v>
      </c>
      <c r="B1" s="55" t="s">
        <v>23</v>
      </c>
      <c r="C1" s="58" t="s">
        <v>31</v>
      </c>
      <c r="D1" s="59" t="s">
        <v>32</v>
      </c>
      <c r="E1" s="59" t="s">
        <v>33</v>
      </c>
      <c r="F1" s="46" t="s">
        <v>25</v>
      </c>
      <c r="G1" s="2" t="s">
        <v>26</v>
      </c>
      <c r="H1" s="2" t="s">
        <v>27</v>
      </c>
      <c r="I1" s="2" t="s">
        <v>28</v>
      </c>
      <c r="J1" s="2" t="s">
        <v>29</v>
      </c>
      <c r="K1" s="2" t="s">
        <v>30</v>
      </c>
      <c r="L1" s="20"/>
      <c r="M1" s="56" t="s">
        <v>0</v>
      </c>
      <c r="N1" s="56" t="s">
        <v>1</v>
      </c>
    </row>
    <row r="2" spans="1:15" ht="8.1" customHeight="1">
      <c r="A2" s="93"/>
      <c r="B2" s="94"/>
      <c r="C2" s="95" t="s">
        <v>19</v>
      </c>
      <c r="D2" s="96" t="s">
        <v>20</v>
      </c>
      <c r="E2" s="96" t="s">
        <v>21</v>
      </c>
      <c r="F2" s="97"/>
      <c r="G2" s="98"/>
      <c r="H2" s="98"/>
      <c r="I2" s="98"/>
      <c r="J2" s="98"/>
      <c r="K2" s="98"/>
      <c r="L2" s="20"/>
      <c r="M2" s="99"/>
      <c r="N2" s="99"/>
    </row>
    <row r="3" spans="1:15" ht="35.1" customHeight="1">
      <c r="A3" s="66" t="s">
        <v>48</v>
      </c>
      <c r="B3" s="100"/>
      <c r="C3" s="91" t="s">
        <v>54</v>
      </c>
      <c r="D3" s="92" t="s">
        <v>55</v>
      </c>
      <c r="E3" s="92" t="s">
        <v>56</v>
      </c>
      <c r="F3" s="101"/>
      <c r="G3" s="68"/>
      <c r="H3" s="67"/>
      <c r="I3" s="68"/>
      <c r="J3" s="67"/>
      <c r="K3" s="68"/>
      <c r="L3" s="24"/>
      <c r="M3" s="69">
        <f>SUM(M4,M17,M27,M36,M45,M54,M60,M66)</f>
        <v>975</v>
      </c>
      <c r="N3" s="102">
        <f>SUM(N4,N17,N27,N36,N45,N54,N60,N66)</f>
        <v>194625</v>
      </c>
      <c r="O3" s="32"/>
    </row>
    <row r="4" spans="1:15" ht="42" customHeight="1" thickBot="1">
      <c r="A4" s="81" t="s">
        <v>17</v>
      </c>
      <c r="B4" s="44"/>
      <c r="C4" s="122"/>
      <c r="D4" s="123"/>
      <c r="E4" s="123"/>
      <c r="F4" s="38">
        <f>SUM(F5:F16)</f>
        <v>325</v>
      </c>
      <c r="G4" s="13">
        <f t="shared" ref="G4:K4" si="0">SUM(G5:G16)</f>
        <v>57500</v>
      </c>
      <c r="H4" s="40">
        <f t="shared" si="0"/>
        <v>325</v>
      </c>
      <c r="I4" s="41">
        <f t="shared" si="0"/>
        <v>65625</v>
      </c>
      <c r="J4" s="40">
        <f t="shared" si="0"/>
        <v>325</v>
      </c>
      <c r="K4" s="42">
        <f t="shared" si="0"/>
        <v>71500</v>
      </c>
      <c r="L4" s="7"/>
      <c r="M4" s="38">
        <f>SUM(M5:M16)</f>
        <v>975</v>
      </c>
      <c r="N4" s="13">
        <f>SUM(N5:N16)</f>
        <v>194625</v>
      </c>
    </row>
    <row r="5" spans="1:15">
      <c r="A5" s="4" t="s">
        <v>7</v>
      </c>
      <c r="B5" s="45" t="s">
        <v>2</v>
      </c>
      <c r="C5" s="126">
        <v>100</v>
      </c>
      <c r="D5" s="127">
        <v>125</v>
      </c>
      <c r="E5" s="128">
        <v>140</v>
      </c>
      <c r="F5" s="47">
        <v>25</v>
      </c>
      <c r="G5" s="14">
        <f t="shared" ref="G5:G16" si="1">F5*C5</f>
        <v>2500</v>
      </c>
      <c r="H5" s="25">
        <v>25</v>
      </c>
      <c r="I5" s="26">
        <f t="shared" ref="I5:I16" si="2">H5*D5</f>
        <v>3125</v>
      </c>
      <c r="J5" s="25">
        <v>25</v>
      </c>
      <c r="K5" s="26">
        <f t="shared" ref="K5:K16" si="3">J5*E5</f>
        <v>3500</v>
      </c>
      <c r="L5" s="8"/>
      <c r="M5" s="15">
        <f>SUM(F5,H5,J5)</f>
        <v>75</v>
      </c>
      <c r="N5" s="16">
        <f>SUM(G5,I5,K5)</f>
        <v>9125</v>
      </c>
    </row>
    <row r="6" spans="1:15">
      <c r="A6" s="4" t="s">
        <v>4</v>
      </c>
      <c r="B6" s="45" t="s">
        <v>3</v>
      </c>
      <c r="C6" s="63">
        <v>150</v>
      </c>
      <c r="D6" s="61">
        <v>175</v>
      </c>
      <c r="E6" s="62">
        <v>180</v>
      </c>
      <c r="F6" s="47">
        <v>100</v>
      </c>
      <c r="G6" s="14">
        <f t="shared" si="1"/>
        <v>15000</v>
      </c>
      <c r="H6" s="25">
        <v>100</v>
      </c>
      <c r="I6" s="26">
        <f t="shared" si="2"/>
        <v>17500</v>
      </c>
      <c r="J6" s="25">
        <v>100</v>
      </c>
      <c r="K6" s="26">
        <f t="shared" si="3"/>
        <v>18000</v>
      </c>
      <c r="L6" s="8"/>
      <c r="M6" s="15">
        <f>SUM(F6,H6,J6)</f>
        <v>300</v>
      </c>
      <c r="N6" s="16">
        <f t="shared" ref="N6:N16" si="4">SUM(G6,I6,K6)</f>
        <v>50500</v>
      </c>
    </row>
    <row r="7" spans="1:15">
      <c r="A7" s="4" t="s">
        <v>5</v>
      </c>
      <c r="B7" s="45" t="s">
        <v>3</v>
      </c>
      <c r="C7" s="60">
        <v>200</v>
      </c>
      <c r="D7" s="61">
        <v>225</v>
      </c>
      <c r="E7" s="62">
        <v>250</v>
      </c>
      <c r="F7" s="47">
        <v>200</v>
      </c>
      <c r="G7" s="14">
        <f t="shared" si="1"/>
        <v>40000</v>
      </c>
      <c r="H7" s="25">
        <v>200</v>
      </c>
      <c r="I7" s="26">
        <f t="shared" si="2"/>
        <v>45000</v>
      </c>
      <c r="J7" s="25">
        <v>200</v>
      </c>
      <c r="K7" s="26">
        <f t="shared" si="3"/>
        <v>50000</v>
      </c>
      <c r="L7" s="8"/>
      <c r="M7" s="15">
        <f t="shared" ref="M7:M16" si="5">SUM(F7,H7,J7)</f>
        <v>600</v>
      </c>
      <c r="N7" s="16">
        <f t="shared" si="4"/>
        <v>135000</v>
      </c>
    </row>
    <row r="8" spans="1:15">
      <c r="A8" s="4"/>
      <c r="B8" s="45"/>
      <c r="C8" s="60"/>
      <c r="D8" s="61"/>
      <c r="E8" s="62"/>
      <c r="F8" s="47"/>
      <c r="G8" s="14">
        <f t="shared" si="1"/>
        <v>0</v>
      </c>
      <c r="H8" s="25"/>
      <c r="I8" s="26">
        <f t="shared" si="2"/>
        <v>0</v>
      </c>
      <c r="J8" s="25"/>
      <c r="K8" s="26">
        <f t="shared" si="3"/>
        <v>0</v>
      </c>
      <c r="L8" s="8"/>
      <c r="M8" s="15">
        <f t="shared" si="5"/>
        <v>0</v>
      </c>
      <c r="N8" s="16">
        <f t="shared" si="4"/>
        <v>0</v>
      </c>
    </row>
    <row r="9" spans="1:15">
      <c r="A9" s="4"/>
      <c r="B9" s="45"/>
      <c r="C9" s="60"/>
      <c r="D9" s="61"/>
      <c r="E9" s="62"/>
      <c r="F9" s="47"/>
      <c r="G9" s="14">
        <f t="shared" si="1"/>
        <v>0</v>
      </c>
      <c r="H9" s="25"/>
      <c r="I9" s="26">
        <f t="shared" si="2"/>
        <v>0</v>
      </c>
      <c r="J9" s="25"/>
      <c r="K9" s="26">
        <f t="shared" si="3"/>
        <v>0</v>
      </c>
      <c r="L9" s="8"/>
      <c r="M9" s="15">
        <f t="shared" si="5"/>
        <v>0</v>
      </c>
      <c r="N9" s="16">
        <f t="shared" si="4"/>
        <v>0</v>
      </c>
    </row>
    <row r="10" spans="1:15">
      <c r="A10" s="4"/>
      <c r="B10" s="45"/>
      <c r="C10" s="60"/>
      <c r="D10" s="61"/>
      <c r="E10" s="62"/>
      <c r="F10" s="47"/>
      <c r="G10" s="14">
        <f t="shared" si="1"/>
        <v>0</v>
      </c>
      <c r="H10" s="25"/>
      <c r="I10" s="26">
        <f t="shared" si="2"/>
        <v>0</v>
      </c>
      <c r="J10" s="25"/>
      <c r="K10" s="26">
        <f t="shared" si="3"/>
        <v>0</v>
      </c>
      <c r="L10" s="8"/>
      <c r="M10" s="15">
        <f t="shared" si="5"/>
        <v>0</v>
      </c>
      <c r="N10" s="16">
        <f t="shared" si="4"/>
        <v>0</v>
      </c>
    </row>
    <row r="11" spans="1:15">
      <c r="A11" s="4"/>
      <c r="B11" s="45"/>
      <c r="C11" s="60"/>
      <c r="D11" s="61"/>
      <c r="E11" s="62"/>
      <c r="F11" s="47"/>
      <c r="G11" s="14">
        <f t="shared" si="1"/>
        <v>0</v>
      </c>
      <c r="H11" s="25"/>
      <c r="I11" s="26">
        <f t="shared" si="2"/>
        <v>0</v>
      </c>
      <c r="J11" s="25"/>
      <c r="K11" s="26">
        <f t="shared" si="3"/>
        <v>0</v>
      </c>
      <c r="L11" s="8"/>
      <c r="M11" s="15">
        <f t="shared" si="5"/>
        <v>0</v>
      </c>
      <c r="N11" s="16">
        <f t="shared" si="4"/>
        <v>0</v>
      </c>
    </row>
    <row r="12" spans="1:15">
      <c r="A12" s="4"/>
      <c r="B12" s="45"/>
      <c r="C12" s="60"/>
      <c r="D12" s="61"/>
      <c r="E12" s="62"/>
      <c r="F12" s="47"/>
      <c r="G12" s="14">
        <f t="shared" si="1"/>
        <v>0</v>
      </c>
      <c r="H12" s="25"/>
      <c r="I12" s="26">
        <f t="shared" si="2"/>
        <v>0</v>
      </c>
      <c r="J12" s="25"/>
      <c r="K12" s="26">
        <f t="shared" si="3"/>
        <v>0</v>
      </c>
      <c r="L12" s="8"/>
      <c r="M12" s="15">
        <f t="shared" si="5"/>
        <v>0</v>
      </c>
      <c r="N12" s="16">
        <f t="shared" si="4"/>
        <v>0</v>
      </c>
    </row>
    <row r="13" spans="1:15">
      <c r="A13" s="4"/>
      <c r="B13" s="45"/>
      <c r="C13" s="60"/>
      <c r="D13" s="61"/>
      <c r="E13" s="62"/>
      <c r="F13" s="47"/>
      <c r="G13" s="14">
        <f t="shared" si="1"/>
        <v>0</v>
      </c>
      <c r="H13" s="25"/>
      <c r="I13" s="26">
        <f t="shared" si="2"/>
        <v>0</v>
      </c>
      <c r="J13" s="25"/>
      <c r="K13" s="26">
        <f t="shared" si="3"/>
        <v>0</v>
      </c>
      <c r="L13" s="8"/>
      <c r="M13" s="15">
        <f t="shared" si="5"/>
        <v>0</v>
      </c>
      <c r="N13" s="16">
        <f t="shared" si="4"/>
        <v>0</v>
      </c>
    </row>
    <row r="14" spans="1:15">
      <c r="A14" s="4"/>
      <c r="B14" s="45"/>
      <c r="C14" s="60"/>
      <c r="D14" s="61"/>
      <c r="E14" s="62"/>
      <c r="F14" s="47"/>
      <c r="G14" s="14">
        <f t="shared" si="1"/>
        <v>0</v>
      </c>
      <c r="H14" s="25"/>
      <c r="I14" s="26">
        <f t="shared" si="2"/>
        <v>0</v>
      </c>
      <c r="J14" s="25"/>
      <c r="K14" s="26">
        <f t="shared" si="3"/>
        <v>0</v>
      </c>
      <c r="L14" s="8"/>
      <c r="M14" s="15">
        <f t="shared" si="5"/>
        <v>0</v>
      </c>
      <c r="N14" s="16">
        <f t="shared" si="4"/>
        <v>0</v>
      </c>
    </row>
    <row r="15" spans="1:15">
      <c r="A15" s="4"/>
      <c r="B15" s="45"/>
      <c r="C15" s="60"/>
      <c r="D15" s="61"/>
      <c r="E15" s="62"/>
      <c r="F15" s="47"/>
      <c r="G15" s="14">
        <f t="shared" si="1"/>
        <v>0</v>
      </c>
      <c r="H15" s="25"/>
      <c r="I15" s="26">
        <f t="shared" si="2"/>
        <v>0</v>
      </c>
      <c r="J15" s="25"/>
      <c r="K15" s="26">
        <f t="shared" si="3"/>
        <v>0</v>
      </c>
      <c r="L15" s="8"/>
      <c r="M15" s="15">
        <f t="shared" si="5"/>
        <v>0</v>
      </c>
      <c r="N15" s="16">
        <f t="shared" si="4"/>
        <v>0</v>
      </c>
    </row>
    <row r="16" spans="1:15" ht="19.5" thickBot="1">
      <c r="A16" s="4"/>
      <c r="B16" s="45"/>
      <c r="C16" s="129"/>
      <c r="D16" s="130"/>
      <c r="E16" s="131"/>
      <c r="F16" s="47"/>
      <c r="G16" s="14">
        <f t="shared" si="1"/>
        <v>0</v>
      </c>
      <c r="H16" s="25"/>
      <c r="I16" s="26">
        <f t="shared" si="2"/>
        <v>0</v>
      </c>
      <c r="J16" s="25"/>
      <c r="K16" s="26">
        <f t="shared" si="3"/>
        <v>0</v>
      </c>
      <c r="L16" s="8"/>
      <c r="M16" s="15">
        <f t="shared" si="5"/>
        <v>0</v>
      </c>
      <c r="N16" s="16">
        <f t="shared" si="4"/>
        <v>0</v>
      </c>
    </row>
    <row r="17" spans="1:14" ht="42" customHeight="1">
      <c r="A17" s="81" t="s">
        <v>40</v>
      </c>
      <c r="B17" s="44"/>
      <c r="C17" s="124"/>
      <c r="D17" s="125"/>
      <c r="E17" s="125"/>
      <c r="F17" s="38">
        <f>SUM(F18:F26)</f>
        <v>0</v>
      </c>
      <c r="G17" s="13">
        <f>SUM(G18:G26)</f>
        <v>0</v>
      </c>
      <c r="H17" s="12"/>
      <c r="I17" s="13"/>
      <c r="J17" s="12"/>
      <c r="K17" s="13"/>
      <c r="L17" s="27"/>
      <c r="M17" s="12">
        <f>SUM(M18:M26)</f>
        <v>0</v>
      </c>
      <c r="N17" s="13">
        <f>SUM(N18:N26)</f>
        <v>0</v>
      </c>
    </row>
    <row r="18" spans="1:14">
      <c r="A18" s="5"/>
      <c r="B18" s="45"/>
      <c r="C18" s="60"/>
      <c r="D18" s="134"/>
      <c r="E18" s="134"/>
      <c r="F18" s="47"/>
      <c r="G18" s="14">
        <f t="shared" ref="G18:G26" si="6">F18*C18</f>
        <v>0</v>
      </c>
      <c r="H18" s="104"/>
      <c r="I18" s="103"/>
      <c r="J18" s="104"/>
      <c r="K18" s="103"/>
      <c r="L18" s="8"/>
      <c r="M18" s="15">
        <f t="shared" ref="M18:M26" si="7">SUM(F18)</f>
        <v>0</v>
      </c>
      <c r="N18" s="16">
        <f t="shared" ref="N18:N26" si="8">SUM(G18)</f>
        <v>0</v>
      </c>
    </row>
    <row r="19" spans="1:14">
      <c r="A19" s="5"/>
      <c r="B19" s="45"/>
      <c r="C19" s="60"/>
      <c r="D19" s="134"/>
      <c r="E19" s="134"/>
      <c r="F19" s="47"/>
      <c r="G19" s="14">
        <f t="shared" si="6"/>
        <v>0</v>
      </c>
      <c r="H19" s="104"/>
      <c r="I19" s="103"/>
      <c r="J19" s="104"/>
      <c r="K19" s="103"/>
      <c r="L19" s="8"/>
      <c r="M19" s="15">
        <f t="shared" si="7"/>
        <v>0</v>
      </c>
      <c r="N19" s="16">
        <f t="shared" si="8"/>
        <v>0</v>
      </c>
    </row>
    <row r="20" spans="1:14">
      <c r="A20" s="5"/>
      <c r="B20" s="45"/>
      <c r="C20" s="60"/>
      <c r="D20" s="134"/>
      <c r="E20" s="134"/>
      <c r="F20" s="47"/>
      <c r="G20" s="14">
        <f t="shared" si="6"/>
        <v>0</v>
      </c>
      <c r="H20" s="104"/>
      <c r="I20" s="103"/>
      <c r="J20" s="104"/>
      <c r="K20" s="103"/>
      <c r="L20" s="8"/>
      <c r="M20" s="15">
        <f t="shared" si="7"/>
        <v>0</v>
      </c>
      <c r="N20" s="16">
        <f t="shared" si="8"/>
        <v>0</v>
      </c>
    </row>
    <row r="21" spans="1:14">
      <c r="A21" s="5"/>
      <c r="B21" s="45"/>
      <c r="C21" s="60"/>
      <c r="D21" s="134"/>
      <c r="E21" s="134"/>
      <c r="F21" s="47"/>
      <c r="G21" s="14">
        <f t="shared" si="6"/>
        <v>0</v>
      </c>
      <c r="H21" s="104"/>
      <c r="I21" s="103"/>
      <c r="J21" s="104"/>
      <c r="K21" s="103"/>
      <c r="L21" s="8"/>
      <c r="M21" s="15">
        <f t="shared" si="7"/>
        <v>0</v>
      </c>
      <c r="N21" s="16">
        <f t="shared" si="8"/>
        <v>0</v>
      </c>
    </row>
    <row r="22" spans="1:14">
      <c r="A22" s="5"/>
      <c r="B22" s="45"/>
      <c r="C22" s="60"/>
      <c r="D22" s="134"/>
      <c r="E22" s="134"/>
      <c r="F22" s="47"/>
      <c r="G22" s="14">
        <f t="shared" si="6"/>
        <v>0</v>
      </c>
      <c r="H22" s="104"/>
      <c r="I22" s="103"/>
      <c r="J22" s="104"/>
      <c r="K22" s="103"/>
      <c r="L22" s="8"/>
      <c r="M22" s="15">
        <f t="shared" si="7"/>
        <v>0</v>
      </c>
      <c r="N22" s="16">
        <f t="shared" si="8"/>
        <v>0</v>
      </c>
    </row>
    <row r="23" spans="1:14">
      <c r="A23" s="5"/>
      <c r="B23" s="45"/>
      <c r="C23" s="60"/>
      <c r="D23" s="134"/>
      <c r="E23" s="134"/>
      <c r="F23" s="47"/>
      <c r="G23" s="14">
        <f t="shared" si="6"/>
        <v>0</v>
      </c>
      <c r="H23" s="104"/>
      <c r="I23" s="103"/>
      <c r="J23" s="104"/>
      <c r="K23" s="103"/>
      <c r="L23" s="8"/>
      <c r="M23" s="15">
        <f t="shared" si="7"/>
        <v>0</v>
      </c>
      <c r="N23" s="16">
        <f t="shared" si="8"/>
        <v>0</v>
      </c>
    </row>
    <row r="24" spans="1:14">
      <c r="A24" s="5"/>
      <c r="B24" s="45"/>
      <c r="C24" s="60"/>
      <c r="D24" s="134"/>
      <c r="E24" s="134"/>
      <c r="F24" s="47"/>
      <c r="G24" s="14">
        <f t="shared" si="6"/>
        <v>0</v>
      </c>
      <c r="H24" s="104"/>
      <c r="I24" s="103"/>
      <c r="J24" s="104"/>
      <c r="K24" s="103"/>
      <c r="L24" s="8"/>
      <c r="M24" s="15">
        <f t="shared" si="7"/>
        <v>0</v>
      </c>
      <c r="N24" s="16">
        <f t="shared" si="8"/>
        <v>0</v>
      </c>
    </row>
    <row r="25" spans="1:14">
      <c r="A25" s="5"/>
      <c r="B25" s="45"/>
      <c r="C25" s="60"/>
      <c r="D25" s="134"/>
      <c r="E25" s="134"/>
      <c r="F25" s="47"/>
      <c r="G25" s="14">
        <f t="shared" si="6"/>
        <v>0</v>
      </c>
      <c r="H25" s="104"/>
      <c r="I25" s="103"/>
      <c r="J25" s="104"/>
      <c r="K25" s="103"/>
      <c r="L25" s="8"/>
      <c r="M25" s="15">
        <f t="shared" si="7"/>
        <v>0</v>
      </c>
      <c r="N25" s="16">
        <f t="shared" si="8"/>
        <v>0</v>
      </c>
    </row>
    <row r="26" spans="1:14">
      <c r="A26" s="5"/>
      <c r="B26" s="45"/>
      <c r="C26" s="60"/>
      <c r="D26" s="134"/>
      <c r="E26" s="134"/>
      <c r="F26" s="47"/>
      <c r="G26" s="14">
        <f t="shared" si="6"/>
        <v>0</v>
      </c>
      <c r="H26" s="104"/>
      <c r="I26" s="103"/>
      <c r="J26" s="104"/>
      <c r="K26" s="103"/>
      <c r="L26" s="8"/>
      <c r="M26" s="15">
        <f t="shared" si="7"/>
        <v>0</v>
      </c>
      <c r="N26" s="16">
        <f t="shared" si="8"/>
        <v>0</v>
      </c>
    </row>
    <row r="27" spans="1:14" ht="42" customHeight="1">
      <c r="A27" s="81" t="s">
        <v>16</v>
      </c>
      <c r="B27" s="44"/>
      <c r="C27" s="49"/>
      <c r="D27" s="6"/>
      <c r="E27" s="6"/>
      <c r="F27" s="38">
        <f>SUM(F28:F35)</f>
        <v>0</v>
      </c>
      <c r="G27" s="13">
        <f>SUM(G28:G35)</f>
        <v>0</v>
      </c>
      <c r="H27" s="12"/>
      <c r="I27" s="13"/>
      <c r="J27" s="12"/>
      <c r="K27" s="13"/>
      <c r="L27" s="27"/>
      <c r="M27" s="12">
        <f>SUM(M28:M35)</f>
        <v>0</v>
      </c>
      <c r="N27" s="13">
        <f>SUM(N28:N35)</f>
        <v>0</v>
      </c>
    </row>
    <row r="28" spans="1:14">
      <c r="A28" s="28"/>
      <c r="B28" s="45"/>
      <c r="C28" s="60"/>
      <c r="D28" s="134"/>
      <c r="E28" s="134"/>
      <c r="F28" s="47"/>
      <c r="G28" s="14">
        <f t="shared" ref="G28:G35" si="9">F28*C28</f>
        <v>0</v>
      </c>
      <c r="H28" s="105"/>
      <c r="I28" s="106"/>
      <c r="J28" s="105"/>
      <c r="K28" s="106"/>
      <c r="L28" s="8"/>
      <c r="M28" s="15">
        <f t="shared" ref="M28:N35" si="10">SUM(F28)</f>
        <v>0</v>
      </c>
      <c r="N28" s="16">
        <f t="shared" si="10"/>
        <v>0</v>
      </c>
    </row>
    <row r="29" spans="1:14">
      <c r="A29" s="5"/>
      <c r="B29" s="45"/>
      <c r="C29" s="60"/>
      <c r="D29" s="134"/>
      <c r="E29" s="134"/>
      <c r="F29" s="47"/>
      <c r="G29" s="14">
        <f t="shared" si="9"/>
        <v>0</v>
      </c>
      <c r="H29" s="105"/>
      <c r="I29" s="106"/>
      <c r="J29" s="105"/>
      <c r="K29" s="106"/>
      <c r="L29" s="8"/>
      <c r="M29" s="15">
        <f t="shared" si="10"/>
        <v>0</v>
      </c>
      <c r="N29" s="16">
        <f t="shared" si="10"/>
        <v>0</v>
      </c>
    </row>
    <row r="30" spans="1:14">
      <c r="A30" s="28"/>
      <c r="B30" s="45"/>
      <c r="C30" s="60"/>
      <c r="D30" s="134"/>
      <c r="E30" s="134"/>
      <c r="F30" s="47"/>
      <c r="G30" s="14">
        <f t="shared" si="9"/>
        <v>0</v>
      </c>
      <c r="H30" s="105"/>
      <c r="I30" s="106"/>
      <c r="J30" s="105"/>
      <c r="K30" s="106"/>
      <c r="L30" s="8"/>
      <c r="M30" s="15">
        <f t="shared" si="10"/>
        <v>0</v>
      </c>
      <c r="N30" s="16">
        <f t="shared" si="10"/>
        <v>0</v>
      </c>
    </row>
    <row r="31" spans="1:14">
      <c r="A31" s="28"/>
      <c r="B31" s="45"/>
      <c r="C31" s="60"/>
      <c r="D31" s="134"/>
      <c r="E31" s="134"/>
      <c r="F31" s="47"/>
      <c r="G31" s="14">
        <f t="shared" si="9"/>
        <v>0</v>
      </c>
      <c r="H31" s="105"/>
      <c r="I31" s="106"/>
      <c r="J31" s="105"/>
      <c r="K31" s="106"/>
      <c r="L31" s="8"/>
      <c r="M31" s="15">
        <f t="shared" si="10"/>
        <v>0</v>
      </c>
      <c r="N31" s="16">
        <f t="shared" si="10"/>
        <v>0</v>
      </c>
    </row>
    <row r="32" spans="1:14">
      <c r="A32" s="28"/>
      <c r="B32" s="45"/>
      <c r="C32" s="60"/>
      <c r="D32" s="134"/>
      <c r="E32" s="134"/>
      <c r="F32" s="47"/>
      <c r="G32" s="14">
        <f t="shared" si="9"/>
        <v>0</v>
      </c>
      <c r="H32" s="105"/>
      <c r="I32" s="106"/>
      <c r="J32" s="105"/>
      <c r="K32" s="106"/>
      <c r="L32" s="8"/>
      <c r="M32" s="15">
        <f t="shared" si="10"/>
        <v>0</v>
      </c>
      <c r="N32" s="16">
        <f t="shared" si="10"/>
        <v>0</v>
      </c>
    </row>
    <row r="33" spans="1:14">
      <c r="A33" s="5"/>
      <c r="B33" s="45"/>
      <c r="C33" s="60"/>
      <c r="D33" s="134"/>
      <c r="E33" s="134"/>
      <c r="F33" s="47"/>
      <c r="G33" s="14">
        <f t="shared" si="9"/>
        <v>0</v>
      </c>
      <c r="H33" s="105"/>
      <c r="I33" s="106"/>
      <c r="J33" s="105"/>
      <c r="K33" s="106"/>
      <c r="L33" s="8"/>
      <c r="M33" s="15">
        <f t="shared" si="10"/>
        <v>0</v>
      </c>
      <c r="N33" s="16">
        <f t="shared" si="10"/>
        <v>0</v>
      </c>
    </row>
    <row r="34" spans="1:14">
      <c r="A34" s="4"/>
      <c r="B34" s="45"/>
      <c r="C34" s="60"/>
      <c r="D34" s="134"/>
      <c r="E34" s="134"/>
      <c r="F34" s="47"/>
      <c r="G34" s="14">
        <f t="shared" si="9"/>
        <v>0</v>
      </c>
      <c r="H34" s="105"/>
      <c r="I34" s="106"/>
      <c r="J34" s="105"/>
      <c r="K34" s="106"/>
      <c r="L34" s="8"/>
      <c r="M34" s="15">
        <f t="shared" si="10"/>
        <v>0</v>
      </c>
      <c r="N34" s="16">
        <f t="shared" si="10"/>
        <v>0</v>
      </c>
    </row>
    <row r="35" spans="1:14">
      <c r="A35" s="5"/>
      <c r="B35" s="45"/>
      <c r="C35" s="60"/>
      <c r="D35" s="134"/>
      <c r="E35" s="134"/>
      <c r="F35" s="47"/>
      <c r="G35" s="14">
        <f t="shared" si="9"/>
        <v>0</v>
      </c>
      <c r="H35" s="105"/>
      <c r="I35" s="106"/>
      <c r="J35" s="105"/>
      <c r="K35" s="106"/>
      <c r="L35" s="8"/>
      <c r="M35" s="15">
        <f t="shared" si="10"/>
        <v>0</v>
      </c>
      <c r="N35" s="16">
        <f t="shared" si="10"/>
        <v>0</v>
      </c>
    </row>
    <row r="36" spans="1:14" ht="42" customHeight="1">
      <c r="A36" s="81" t="s">
        <v>15</v>
      </c>
      <c r="B36" s="44"/>
      <c r="C36" s="49"/>
      <c r="D36" s="6"/>
      <c r="E36" s="6"/>
      <c r="F36" s="38">
        <f>SUM(F37:F44)</f>
        <v>0</v>
      </c>
      <c r="G36" s="13">
        <f>SUM(G37:G44)</f>
        <v>0</v>
      </c>
      <c r="H36" s="12"/>
      <c r="I36" s="13"/>
      <c r="J36" s="12"/>
      <c r="K36" s="13"/>
      <c r="L36" s="27"/>
      <c r="M36" s="12">
        <f>SUM(M37:M44)</f>
        <v>0</v>
      </c>
      <c r="N36" s="13">
        <f>SUM(N37:N44)</f>
        <v>0</v>
      </c>
    </row>
    <row r="37" spans="1:14">
      <c r="A37" s="28"/>
      <c r="B37" s="45"/>
      <c r="C37" s="60"/>
      <c r="D37" s="134"/>
      <c r="E37" s="134"/>
      <c r="F37" s="47"/>
      <c r="G37" s="14">
        <f t="shared" ref="G37:G44" si="11">F37*C37</f>
        <v>0</v>
      </c>
      <c r="H37" s="104"/>
      <c r="I37" s="103"/>
      <c r="J37" s="104"/>
      <c r="K37" s="103"/>
      <c r="L37" s="8"/>
      <c r="M37" s="15">
        <f t="shared" ref="M37:N44" si="12">SUM(F37)</f>
        <v>0</v>
      </c>
      <c r="N37" s="16">
        <f t="shared" si="12"/>
        <v>0</v>
      </c>
    </row>
    <row r="38" spans="1:14">
      <c r="A38" s="28"/>
      <c r="B38" s="45"/>
      <c r="C38" s="60"/>
      <c r="D38" s="134"/>
      <c r="E38" s="134"/>
      <c r="F38" s="47"/>
      <c r="G38" s="14">
        <f t="shared" si="11"/>
        <v>0</v>
      </c>
      <c r="H38" s="104"/>
      <c r="I38" s="103"/>
      <c r="J38" s="104"/>
      <c r="K38" s="103"/>
      <c r="L38" s="8"/>
      <c r="M38" s="15">
        <f t="shared" si="12"/>
        <v>0</v>
      </c>
      <c r="N38" s="16">
        <f t="shared" si="12"/>
        <v>0</v>
      </c>
    </row>
    <row r="39" spans="1:14" ht="18.75" customHeight="1">
      <c r="A39" s="28"/>
      <c r="B39" s="45"/>
      <c r="C39" s="60"/>
      <c r="D39" s="134"/>
      <c r="E39" s="134"/>
      <c r="F39" s="47"/>
      <c r="G39" s="14">
        <f t="shared" si="11"/>
        <v>0</v>
      </c>
      <c r="H39" s="104"/>
      <c r="I39" s="103"/>
      <c r="J39" s="104"/>
      <c r="K39" s="103"/>
      <c r="L39" s="8"/>
      <c r="M39" s="15">
        <f t="shared" si="12"/>
        <v>0</v>
      </c>
      <c r="N39" s="16">
        <f t="shared" si="12"/>
        <v>0</v>
      </c>
    </row>
    <row r="40" spans="1:14" ht="18.75" customHeight="1">
      <c r="A40" s="28"/>
      <c r="B40" s="45"/>
      <c r="C40" s="60"/>
      <c r="D40" s="134"/>
      <c r="E40" s="134"/>
      <c r="F40" s="47"/>
      <c r="G40" s="14">
        <f t="shared" si="11"/>
        <v>0</v>
      </c>
      <c r="H40" s="104"/>
      <c r="I40" s="103"/>
      <c r="J40" s="104"/>
      <c r="K40" s="103"/>
      <c r="L40" s="8"/>
      <c r="M40" s="15">
        <f t="shared" si="12"/>
        <v>0</v>
      </c>
      <c r="N40" s="16">
        <f t="shared" si="12"/>
        <v>0</v>
      </c>
    </row>
    <row r="41" spans="1:14" ht="18.75" customHeight="1">
      <c r="A41" s="28"/>
      <c r="B41" s="45"/>
      <c r="C41" s="60"/>
      <c r="D41" s="134"/>
      <c r="E41" s="134"/>
      <c r="F41" s="47"/>
      <c r="G41" s="14">
        <f t="shared" si="11"/>
        <v>0</v>
      </c>
      <c r="H41" s="104"/>
      <c r="I41" s="103"/>
      <c r="J41" s="104"/>
      <c r="K41" s="103"/>
      <c r="L41" s="8"/>
      <c r="M41" s="15">
        <f t="shared" si="12"/>
        <v>0</v>
      </c>
      <c r="N41" s="16">
        <f t="shared" si="12"/>
        <v>0</v>
      </c>
    </row>
    <row r="42" spans="1:14" ht="18.75" customHeight="1">
      <c r="A42" s="5"/>
      <c r="B42" s="45"/>
      <c r="C42" s="60"/>
      <c r="D42" s="134"/>
      <c r="E42" s="134"/>
      <c r="F42" s="47"/>
      <c r="G42" s="14">
        <f t="shared" si="11"/>
        <v>0</v>
      </c>
      <c r="H42" s="104"/>
      <c r="I42" s="103"/>
      <c r="J42" s="104"/>
      <c r="K42" s="103"/>
      <c r="L42" s="8"/>
      <c r="M42" s="15">
        <f t="shared" si="12"/>
        <v>0</v>
      </c>
      <c r="N42" s="16">
        <f t="shared" si="12"/>
        <v>0</v>
      </c>
    </row>
    <row r="43" spans="1:14" s="10" customFormat="1">
      <c r="A43" s="4"/>
      <c r="B43" s="45"/>
      <c r="C43" s="60"/>
      <c r="D43" s="134"/>
      <c r="E43" s="134"/>
      <c r="F43" s="47"/>
      <c r="G43" s="14">
        <f t="shared" si="11"/>
        <v>0</v>
      </c>
      <c r="H43" s="104"/>
      <c r="I43" s="103"/>
      <c r="J43" s="104"/>
      <c r="K43" s="103"/>
      <c r="L43" s="8"/>
      <c r="M43" s="15">
        <f t="shared" si="12"/>
        <v>0</v>
      </c>
      <c r="N43" s="16">
        <f t="shared" si="12"/>
        <v>0</v>
      </c>
    </row>
    <row r="44" spans="1:14" ht="17.45" customHeight="1">
      <c r="A44" s="5"/>
      <c r="B44" s="45"/>
      <c r="C44" s="60"/>
      <c r="D44" s="134"/>
      <c r="E44" s="134"/>
      <c r="F44" s="47"/>
      <c r="G44" s="14">
        <f t="shared" si="11"/>
        <v>0</v>
      </c>
      <c r="H44" s="104"/>
      <c r="I44" s="103"/>
      <c r="J44" s="104"/>
      <c r="K44" s="103"/>
      <c r="L44" s="8"/>
      <c r="M44" s="15">
        <f t="shared" si="12"/>
        <v>0</v>
      </c>
      <c r="N44" s="16">
        <f t="shared" si="12"/>
        <v>0</v>
      </c>
    </row>
    <row r="45" spans="1:14" s="89" customFormat="1" ht="42" customHeight="1">
      <c r="A45" s="81" t="s">
        <v>24</v>
      </c>
      <c r="B45" s="82"/>
      <c r="C45" s="83"/>
      <c r="D45" s="84"/>
      <c r="E45" s="84"/>
      <c r="F45" s="85"/>
      <c r="G45" s="86"/>
      <c r="H45" s="87">
        <f>SUM(H46:H53)</f>
        <v>0</v>
      </c>
      <c r="I45" s="86">
        <f>SUM(I46:I53)</f>
        <v>0</v>
      </c>
      <c r="J45" s="87">
        <f>SUM(J46:J53)</f>
        <v>0</v>
      </c>
      <c r="K45" s="86">
        <f>SUM(K46:K53)</f>
        <v>0</v>
      </c>
      <c r="L45" s="88"/>
      <c r="M45" s="87">
        <f>SUM(M46:M53)</f>
        <v>0</v>
      </c>
      <c r="N45" s="86">
        <f>SUM(N46:N53)</f>
        <v>0</v>
      </c>
    </row>
    <row r="46" spans="1:14">
      <c r="A46" s="28"/>
      <c r="B46" s="45"/>
      <c r="C46" s="132"/>
      <c r="D46" s="154"/>
      <c r="E46" s="64"/>
      <c r="F46" s="107"/>
      <c r="G46" s="108"/>
      <c r="H46" s="25"/>
      <c r="I46" s="26">
        <f t="shared" ref="I46:I53" si="13">D46*H46</f>
        <v>0</v>
      </c>
      <c r="J46" s="25"/>
      <c r="K46" s="26">
        <f t="shared" ref="K46:K53" si="14">J46*E46</f>
        <v>0</v>
      </c>
      <c r="L46" s="8"/>
      <c r="M46" s="15">
        <f>SUM(F46,H46,J46)</f>
        <v>0</v>
      </c>
      <c r="N46" s="16">
        <f>SUM(G46,I46,K46)</f>
        <v>0</v>
      </c>
    </row>
    <row r="47" spans="1:14">
      <c r="A47" s="28"/>
      <c r="B47" s="45"/>
      <c r="C47" s="132"/>
      <c r="D47" s="154"/>
      <c r="E47" s="64"/>
      <c r="F47" s="107"/>
      <c r="G47" s="108"/>
      <c r="H47" s="25"/>
      <c r="I47" s="26">
        <f t="shared" si="13"/>
        <v>0</v>
      </c>
      <c r="J47" s="25"/>
      <c r="K47" s="26">
        <f t="shared" si="14"/>
        <v>0</v>
      </c>
      <c r="L47" s="8"/>
      <c r="M47" s="15">
        <f t="shared" ref="M47:M53" si="15">SUM(F47,H47,J47)</f>
        <v>0</v>
      </c>
      <c r="N47" s="16">
        <f t="shared" ref="N47:N53" si="16">SUM(G47,I47,K47)</f>
        <v>0</v>
      </c>
    </row>
    <row r="48" spans="1:14" ht="18.75" customHeight="1">
      <c r="A48" s="28"/>
      <c r="B48" s="45"/>
      <c r="C48" s="132"/>
      <c r="D48" s="154"/>
      <c r="E48" s="64"/>
      <c r="F48" s="107"/>
      <c r="G48" s="108"/>
      <c r="H48" s="25"/>
      <c r="I48" s="26">
        <f t="shared" si="13"/>
        <v>0</v>
      </c>
      <c r="J48" s="25"/>
      <c r="K48" s="26">
        <f t="shared" si="14"/>
        <v>0</v>
      </c>
      <c r="L48" s="8"/>
      <c r="M48" s="15">
        <f t="shared" si="15"/>
        <v>0</v>
      </c>
      <c r="N48" s="16">
        <f t="shared" si="16"/>
        <v>0</v>
      </c>
    </row>
    <row r="49" spans="1:14" ht="18.75" customHeight="1">
      <c r="A49" s="28"/>
      <c r="B49" s="45"/>
      <c r="C49" s="132"/>
      <c r="D49" s="154"/>
      <c r="E49" s="64"/>
      <c r="F49" s="107"/>
      <c r="G49" s="108"/>
      <c r="H49" s="25"/>
      <c r="I49" s="26">
        <f t="shared" si="13"/>
        <v>0</v>
      </c>
      <c r="J49" s="25"/>
      <c r="K49" s="26">
        <f t="shared" si="14"/>
        <v>0</v>
      </c>
      <c r="L49" s="8"/>
      <c r="M49" s="15">
        <f t="shared" si="15"/>
        <v>0</v>
      </c>
      <c r="N49" s="16">
        <f t="shared" si="16"/>
        <v>0</v>
      </c>
    </row>
    <row r="50" spans="1:14" ht="18.75" customHeight="1">
      <c r="A50" s="28"/>
      <c r="B50" s="45"/>
      <c r="C50" s="132"/>
      <c r="D50" s="154"/>
      <c r="E50" s="64"/>
      <c r="F50" s="107"/>
      <c r="G50" s="108"/>
      <c r="H50" s="25"/>
      <c r="I50" s="26">
        <f t="shared" si="13"/>
        <v>0</v>
      </c>
      <c r="J50" s="25"/>
      <c r="K50" s="26">
        <f t="shared" si="14"/>
        <v>0</v>
      </c>
      <c r="L50" s="8"/>
      <c r="M50" s="15">
        <f t="shared" si="15"/>
        <v>0</v>
      </c>
      <c r="N50" s="16">
        <f t="shared" si="16"/>
        <v>0</v>
      </c>
    </row>
    <row r="51" spans="1:14" ht="18.75" customHeight="1">
      <c r="A51" s="5"/>
      <c r="B51" s="45"/>
      <c r="C51" s="132"/>
      <c r="D51" s="154"/>
      <c r="E51" s="64"/>
      <c r="F51" s="107"/>
      <c r="G51" s="108"/>
      <c r="H51" s="25"/>
      <c r="I51" s="26">
        <f t="shared" si="13"/>
        <v>0</v>
      </c>
      <c r="J51" s="25"/>
      <c r="K51" s="26">
        <f t="shared" si="14"/>
        <v>0</v>
      </c>
      <c r="L51" s="8"/>
      <c r="M51" s="15">
        <f t="shared" si="15"/>
        <v>0</v>
      </c>
      <c r="N51" s="16">
        <f t="shared" si="16"/>
        <v>0</v>
      </c>
    </row>
    <row r="52" spans="1:14" s="10" customFormat="1">
      <c r="A52" s="4"/>
      <c r="B52" s="45"/>
      <c r="C52" s="132"/>
      <c r="D52" s="154"/>
      <c r="E52" s="64"/>
      <c r="F52" s="107"/>
      <c r="G52" s="108"/>
      <c r="H52" s="25"/>
      <c r="I52" s="26">
        <f t="shared" si="13"/>
        <v>0</v>
      </c>
      <c r="J52" s="25"/>
      <c r="K52" s="26">
        <f t="shared" si="14"/>
        <v>0</v>
      </c>
      <c r="L52" s="8"/>
      <c r="M52" s="15">
        <f t="shared" si="15"/>
        <v>0</v>
      </c>
      <c r="N52" s="16">
        <f t="shared" si="16"/>
        <v>0</v>
      </c>
    </row>
    <row r="53" spans="1:14" ht="17.45" customHeight="1">
      <c r="A53" s="5"/>
      <c r="B53" s="45"/>
      <c r="C53" s="133"/>
      <c r="D53" s="155"/>
      <c r="E53" s="61"/>
      <c r="F53" s="107"/>
      <c r="G53" s="108"/>
      <c r="H53" s="25"/>
      <c r="I53" s="26">
        <f t="shared" si="13"/>
        <v>0</v>
      </c>
      <c r="J53" s="25"/>
      <c r="K53" s="26">
        <f t="shared" si="14"/>
        <v>0</v>
      </c>
      <c r="L53" s="8"/>
      <c r="M53" s="15">
        <f t="shared" si="15"/>
        <v>0</v>
      </c>
      <c r="N53" s="16">
        <f t="shared" si="16"/>
        <v>0</v>
      </c>
    </row>
    <row r="54" spans="1:14" ht="42" customHeight="1">
      <c r="A54" s="81" t="s">
        <v>58</v>
      </c>
      <c r="B54" s="44"/>
      <c r="C54" s="119"/>
      <c r="D54" s="120"/>
      <c r="E54" s="120"/>
      <c r="F54" s="53"/>
      <c r="G54" s="18"/>
      <c r="H54" s="19"/>
      <c r="I54" s="18"/>
      <c r="J54" s="19">
        <f>SUM(J55:J59)</f>
        <v>0</v>
      </c>
      <c r="K54" s="18">
        <f>SUM(K55:K59)</f>
        <v>0</v>
      </c>
      <c r="L54" s="21"/>
      <c r="M54" s="17">
        <f>SUM(M55:M59)</f>
        <v>0</v>
      </c>
      <c r="N54" s="18">
        <f>SUM(N55:N59)</f>
        <v>0</v>
      </c>
    </row>
    <row r="55" spans="1:14">
      <c r="A55" s="9"/>
      <c r="B55" s="52"/>
      <c r="C55" s="115"/>
      <c r="D55" s="116"/>
      <c r="E55" s="151"/>
      <c r="F55" s="111"/>
      <c r="G55" s="103"/>
      <c r="H55" s="104"/>
      <c r="I55" s="109"/>
      <c r="J55" s="25"/>
      <c r="K55" s="157">
        <f>E55*J55</f>
        <v>0</v>
      </c>
      <c r="L55" s="8"/>
      <c r="M55" s="15">
        <f>SUM(F55,H55,J55)</f>
        <v>0</v>
      </c>
      <c r="N55" s="16">
        <f>SUM(G55,I55,K55)</f>
        <v>0</v>
      </c>
    </row>
    <row r="56" spans="1:14">
      <c r="A56" s="9"/>
      <c r="B56" s="52"/>
      <c r="C56" s="115"/>
      <c r="D56" s="116"/>
      <c r="E56" s="151"/>
      <c r="F56" s="111"/>
      <c r="G56" s="103"/>
      <c r="H56" s="104"/>
      <c r="I56" s="109"/>
      <c r="J56" s="25"/>
      <c r="K56" s="157">
        <f>E56*J56</f>
        <v>0</v>
      </c>
      <c r="L56" s="8"/>
      <c r="M56" s="15">
        <f t="shared" ref="M56:M59" si="17">SUM(F56,H56,J56)</f>
        <v>0</v>
      </c>
      <c r="N56" s="16">
        <f t="shared" ref="N56:N59" si="18">SUM(G56,I56,K56)</f>
        <v>0</v>
      </c>
    </row>
    <row r="57" spans="1:14">
      <c r="A57" s="9"/>
      <c r="B57" s="52"/>
      <c r="C57" s="115"/>
      <c r="D57" s="116"/>
      <c r="E57" s="151"/>
      <c r="F57" s="111"/>
      <c r="G57" s="103"/>
      <c r="H57" s="104"/>
      <c r="I57" s="109"/>
      <c r="J57" s="25"/>
      <c r="K57" s="157">
        <f>E57*J57</f>
        <v>0</v>
      </c>
      <c r="L57" s="8"/>
      <c r="M57" s="15">
        <f t="shared" si="17"/>
        <v>0</v>
      </c>
      <c r="N57" s="16">
        <f t="shared" si="18"/>
        <v>0</v>
      </c>
    </row>
    <row r="58" spans="1:14">
      <c r="A58" s="9"/>
      <c r="B58" s="52"/>
      <c r="C58" s="115"/>
      <c r="D58" s="116"/>
      <c r="E58" s="151"/>
      <c r="F58" s="111"/>
      <c r="G58" s="103"/>
      <c r="H58" s="104"/>
      <c r="I58" s="109"/>
      <c r="J58" s="25"/>
      <c r="K58" s="157">
        <f>E58*J58</f>
        <v>0</v>
      </c>
      <c r="L58" s="8"/>
      <c r="M58" s="15">
        <f t="shared" si="17"/>
        <v>0</v>
      </c>
      <c r="N58" s="16">
        <f t="shared" si="18"/>
        <v>0</v>
      </c>
    </row>
    <row r="59" spans="1:14">
      <c r="A59" s="9"/>
      <c r="B59" s="52"/>
      <c r="C59" s="115"/>
      <c r="D59" s="116"/>
      <c r="E59" s="151"/>
      <c r="F59" s="111"/>
      <c r="G59" s="103"/>
      <c r="H59" s="104"/>
      <c r="I59" s="109"/>
      <c r="J59" s="25"/>
      <c r="K59" s="157">
        <f>E59*J59</f>
        <v>0</v>
      </c>
      <c r="L59" s="8"/>
      <c r="M59" s="15">
        <f t="shared" si="17"/>
        <v>0</v>
      </c>
      <c r="N59" s="16">
        <f t="shared" si="18"/>
        <v>0</v>
      </c>
    </row>
    <row r="60" spans="1:14" ht="42" customHeight="1">
      <c r="A60" s="81" t="s">
        <v>41</v>
      </c>
      <c r="B60" s="44"/>
      <c r="C60" s="119"/>
      <c r="D60" s="120"/>
      <c r="E60" s="120"/>
      <c r="F60" s="53"/>
      <c r="G60" s="18"/>
      <c r="H60" s="19"/>
      <c r="I60" s="18"/>
      <c r="J60" s="19">
        <f>SUM(J61:J65)</f>
        <v>0</v>
      </c>
      <c r="K60" s="18">
        <f>SUM(K61:K65)</f>
        <v>0</v>
      </c>
      <c r="L60" s="21"/>
      <c r="M60" s="17">
        <f>SUM(M61:M65)</f>
        <v>0</v>
      </c>
      <c r="N60" s="18">
        <f>SUM(N61:N65)</f>
        <v>0</v>
      </c>
    </row>
    <row r="61" spans="1:14">
      <c r="A61" s="5"/>
      <c r="B61" s="52"/>
      <c r="C61" s="115"/>
      <c r="D61" s="116"/>
      <c r="E61" s="151"/>
      <c r="F61" s="111"/>
      <c r="G61" s="103"/>
      <c r="H61" s="104"/>
      <c r="I61" s="109"/>
      <c r="J61" s="152"/>
      <c r="K61" s="153">
        <f>J61*E61</f>
        <v>0</v>
      </c>
      <c r="L61" s="8"/>
      <c r="M61" s="15">
        <f>SUM(F61,H61,J61)</f>
        <v>0</v>
      </c>
      <c r="N61" s="16">
        <f>SUM(G61,I61,K61)</f>
        <v>0</v>
      </c>
    </row>
    <row r="62" spans="1:14">
      <c r="A62" s="5"/>
      <c r="B62" s="52"/>
      <c r="C62" s="115"/>
      <c r="D62" s="116"/>
      <c r="E62" s="151"/>
      <c r="F62" s="111"/>
      <c r="G62" s="103"/>
      <c r="H62" s="104"/>
      <c r="I62" s="109"/>
      <c r="J62" s="152"/>
      <c r="K62" s="153">
        <f>J62*E62</f>
        <v>0</v>
      </c>
      <c r="L62" s="8"/>
      <c r="M62" s="15">
        <f t="shared" ref="M62:M65" si="19">SUM(F62,H62,J62)</f>
        <v>0</v>
      </c>
      <c r="N62" s="16">
        <f t="shared" ref="N62:N65" si="20">SUM(G62,I62,K62)</f>
        <v>0</v>
      </c>
    </row>
    <row r="63" spans="1:14">
      <c r="A63" s="5"/>
      <c r="B63" s="52"/>
      <c r="C63" s="115"/>
      <c r="D63" s="116"/>
      <c r="E63" s="151"/>
      <c r="F63" s="111"/>
      <c r="G63" s="103"/>
      <c r="H63" s="104"/>
      <c r="I63" s="109"/>
      <c r="J63" s="152"/>
      <c r="K63" s="153">
        <f>J63*E63</f>
        <v>0</v>
      </c>
      <c r="L63" s="8"/>
      <c r="M63" s="15">
        <f t="shared" si="19"/>
        <v>0</v>
      </c>
      <c r="N63" s="16">
        <f t="shared" si="20"/>
        <v>0</v>
      </c>
    </row>
    <row r="64" spans="1:14">
      <c r="A64" s="5"/>
      <c r="B64" s="52"/>
      <c r="C64" s="115"/>
      <c r="D64" s="116"/>
      <c r="E64" s="151"/>
      <c r="F64" s="111"/>
      <c r="G64" s="103"/>
      <c r="H64" s="104"/>
      <c r="I64" s="109"/>
      <c r="J64" s="152"/>
      <c r="K64" s="153">
        <f>J64*E64</f>
        <v>0</v>
      </c>
      <c r="L64" s="8"/>
      <c r="M64" s="15">
        <f t="shared" si="19"/>
        <v>0</v>
      </c>
      <c r="N64" s="16">
        <f t="shared" si="20"/>
        <v>0</v>
      </c>
    </row>
    <row r="65" spans="1:14">
      <c r="A65" s="5"/>
      <c r="B65" s="52"/>
      <c r="C65" s="115"/>
      <c r="D65" s="116"/>
      <c r="E65" s="151"/>
      <c r="F65" s="111"/>
      <c r="G65" s="103"/>
      <c r="H65" s="104"/>
      <c r="I65" s="109"/>
      <c r="J65" s="152"/>
      <c r="K65" s="153">
        <f>J65*E65</f>
        <v>0</v>
      </c>
      <c r="L65" s="8"/>
      <c r="M65" s="15">
        <f t="shared" si="19"/>
        <v>0</v>
      </c>
      <c r="N65" s="16">
        <f t="shared" si="20"/>
        <v>0</v>
      </c>
    </row>
    <row r="66" spans="1:14" ht="42" customHeight="1">
      <c r="A66" s="81" t="s">
        <v>42</v>
      </c>
      <c r="B66" s="44"/>
      <c r="C66" s="119"/>
      <c r="D66" s="120"/>
      <c r="E66" s="120"/>
      <c r="F66" s="53"/>
      <c r="G66" s="18"/>
      <c r="H66" s="19"/>
      <c r="I66" s="18"/>
      <c r="J66" s="19">
        <f>SUM(J67:J77)</f>
        <v>0</v>
      </c>
      <c r="K66" s="18">
        <f>SUM(K67:K77)</f>
        <v>0</v>
      </c>
      <c r="L66" s="21"/>
      <c r="M66" s="17">
        <f>SUM(M67:M77)</f>
        <v>0</v>
      </c>
      <c r="N66" s="18">
        <f>SUM(N67:N77)</f>
        <v>0</v>
      </c>
    </row>
    <row r="67" spans="1:14">
      <c r="A67" s="5"/>
      <c r="B67" s="52"/>
      <c r="C67" s="115"/>
      <c r="D67" s="116"/>
      <c r="E67" s="151"/>
      <c r="F67" s="111"/>
      <c r="G67" s="103"/>
      <c r="H67" s="104"/>
      <c r="I67" s="109"/>
      <c r="J67" s="25"/>
      <c r="K67" s="14">
        <f t="shared" ref="K67:K77" si="21">E67*J67</f>
        <v>0</v>
      </c>
      <c r="L67" s="8"/>
      <c r="M67" s="15">
        <f>SUM(F67,H67,J67)</f>
        <v>0</v>
      </c>
      <c r="N67" s="16">
        <f>SUM(G67,I67,K67)</f>
        <v>0</v>
      </c>
    </row>
    <row r="68" spans="1:14">
      <c r="A68" s="5"/>
      <c r="B68" s="52"/>
      <c r="C68" s="115"/>
      <c r="D68" s="116"/>
      <c r="E68" s="151"/>
      <c r="F68" s="111"/>
      <c r="G68" s="103"/>
      <c r="H68" s="104"/>
      <c r="I68" s="109"/>
      <c r="J68" s="25"/>
      <c r="K68" s="14">
        <f t="shared" si="21"/>
        <v>0</v>
      </c>
      <c r="L68" s="8"/>
      <c r="M68" s="15">
        <f t="shared" ref="M68:M77" si="22">SUM(F68,H68,J68)</f>
        <v>0</v>
      </c>
      <c r="N68" s="16">
        <f t="shared" ref="N68:N77" si="23">SUM(G68,I68,K68)</f>
        <v>0</v>
      </c>
    </row>
    <row r="69" spans="1:14">
      <c r="A69" s="5"/>
      <c r="B69" s="52"/>
      <c r="C69" s="115"/>
      <c r="D69" s="116"/>
      <c r="E69" s="151"/>
      <c r="F69" s="111"/>
      <c r="G69" s="103"/>
      <c r="H69" s="104"/>
      <c r="I69" s="109"/>
      <c r="J69" s="25"/>
      <c r="K69" s="14">
        <f t="shared" si="21"/>
        <v>0</v>
      </c>
      <c r="L69" s="8"/>
      <c r="M69" s="15">
        <f t="shared" si="22"/>
        <v>0</v>
      </c>
      <c r="N69" s="16">
        <f t="shared" si="23"/>
        <v>0</v>
      </c>
    </row>
    <row r="70" spans="1:14">
      <c r="A70" s="5"/>
      <c r="B70" s="52"/>
      <c r="C70" s="115"/>
      <c r="D70" s="116"/>
      <c r="E70" s="151"/>
      <c r="F70" s="111"/>
      <c r="G70" s="103"/>
      <c r="H70" s="104"/>
      <c r="I70" s="109"/>
      <c r="J70" s="25"/>
      <c r="K70" s="14">
        <f t="shared" si="21"/>
        <v>0</v>
      </c>
      <c r="L70" s="8"/>
      <c r="M70" s="15">
        <f t="shared" si="22"/>
        <v>0</v>
      </c>
      <c r="N70" s="16">
        <f t="shared" si="23"/>
        <v>0</v>
      </c>
    </row>
    <row r="71" spans="1:14">
      <c r="A71" s="5"/>
      <c r="B71" s="52"/>
      <c r="C71" s="115"/>
      <c r="D71" s="116"/>
      <c r="E71" s="151"/>
      <c r="F71" s="111"/>
      <c r="G71" s="103"/>
      <c r="H71" s="104"/>
      <c r="I71" s="109"/>
      <c r="J71" s="25"/>
      <c r="K71" s="14">
        <f t="shared" si="21"/>
        <v>0</v>
      </c>
      <c r="L71" s="8"/>
      <c r="M71" s="15">
        <f t="shared" si="22"/>
        <v>0</v>
      </c>
      <c r="N71" s="16">
        <f t="shared" si="23"/>
        <v>0</v>
      </c>
    </row>
    <row r="72" spans="1:14">
      <c r="A72" s="5"/>
      <c r="B72" s="52"/>
      <c r="C72" s="115"/>
      <c r="D72" s="116"/>
      <c r="E72" s="151"/>
      <c r="F72" s="111"/>
      <c r="G72" s="103"/>
      <c r="H72" s="104"/>
      <c r="I72" s="109"/>
      <c r="J72" s="25"/>
      <c r="K72" s="14">
        <f t="shared" si="21"/>
        <v>0</v>
      </c>
      <c r="L72" s="8"/>
      <c r="M72" s="15">
        <f t="shared" si="22"/>
        <v>0</v>
      </c>
      <c r="N72" s="16">
        <f t="shared" si="23"/>
        <v>0</v>
      </c>
    </row>
    <row r="73" spans="1:14">
      <c r="A73" s="5"/>
      <c r="B73" s="52"/>
      <c r="C73" s="115"/>
      <c r="D73" s="116"/>
      <c r="E73" s="151"/>
      <c r="F73" s="111"/>
      <c r="G73" s="103"/>
      <c r="H73" s="104"/>
      <c r="I73" s="109"/>
      <c r="J73" s="25"/>
      <c r="K73" s="14">
        <f t="shared" si="21"/>
        <v>0</v>
      </c>
      <c r="L73" s="8"/>
      <c r="M73" s="15">
        <f t="shared" si="22"/>
        <v>0</v>
      </c>
      <c r="N73" s="16">
        <f t="shared" si="23"/>
        <v>0</v>
      </c>
    </row>
    <row r="74" spans="1:14">
      <c r="A74" s="5"/>
      <c r="B74" s="52"/>
      <c r="C74" s="115"/>
      <c r="D74" s="116"/>
      <c r="E74" s="151"/>
      <c r="F74" s="111"/>
      <c r="G74" s="103"/>
      <c r="H74" s="104"/>
      <c r="I74" s="109"/>
      <c r="J74" s="25"/>
      <c r="K74" s="14">
        <f t="shared" si="21"/>
        <v>0</v>
      </c>
      <c r="L74" s="8"/>
      <c r="M74" s="15">
        <f t="shared" si="22"/>
        <v>0</v>
      </c>
      <c r="N74" s="16">
        <f t="shared" si="23"/>
        <v>0</v>
      </c>
    </row>
    <row r="75" spans="1:14">
      <c r="A75" s="5"/>
      <c r="B75" s="52"/>
      <c r="C75" s="115"/>
      <c r="D75" s="116"/>
      <c r="E75" s="151"/>
      <c r="F75" s="111"/>
      <c r="G75" s="103"/>
      <c r="H75" s="104"/>
      <c r="I75" s="109"/>
      <c r="J75" s="25"/>
      <c r="K75" s="14">
        <f t="shared" si="21"/>
        <v>0</v>
      </c>
      <c r="L75" s="8"/>
      <c r="M75" s="15">
        <f t="shared" si="22"/>
        <v>0</v>
      </c>
      <c r="N75" s="16">
        <f t="shared" si="23"/>
        <v>0</v>
      </c>
    </row>
    <row r="76" spans="1:14">
      <c r="A76" s="5"/>
      <c r="B76" s="52"/>
      <c r="C76" s="115"/>
      <c r="D76" s="116"/>
      <c r="E76" s="151"/>
      <c r="F76" s="111"/>
      <c r="G76" s="103"/>
      <c r="H76" s="104"/>
      <c r="I76" s="109"/>
      <c r="J76" s="25"/>
      <c r="K76" s="14">
        <f t="shared" si="21"/>
        <v>0</v>
      </c>
      <c r="L76" s="8"/>
      <c r="M76" s="15">
        <f t="shared" si="22"/>
        <v>0</v>
      </c>
      <c r="N76" s="16">
        <f t="shared" si="23"/>
        <v>0</v>
      </c>
    </row>
    <row r="77" spans="1:14">
      <c r="A77" s="5"/>
      <c r="B77" s="52"/>
      <c r="C77" s="115"/>
      <c r="D77" s="116"/>
      <c r="E77" s="151"/>
      <c r="F77" s="111"/>
      <c r="G77" s="103"/>
      <c r="H77" s="104"/>
      <c r="I77" s="109"/>
      <c r="J77" s="25"/>
      <c r="K77" s="14">
        <f t="shared" si="21"/>
        <v>0</v>
      </c>
      <c r="L77" s="8"/>
      <c r="M77" s="15">
        <f t="shared" si="22"/>
        <v>0</v>
      </c>
      <c r="N77" s="16">
        <f t="shared" si="23"/>
        <v>0</v>
      </c>
    </row>
    <row r="78" spans="1:14" ht="35.1" customHeight="1" thickBot="1">
      <c r="A78" s="79" t="s">
        <v>45</v>
      </c>
      <c r="B78" s="80"/>
      <c r="C78" s="50"/>
      <c r="D78" s="51"/>
      <c r="E78" s="51"/>
      <c r="F78" s="48"/>
      <c r="G78" s="34"/>
      <c r="H78" s="33"/>
      <c r="I78" s="34"/>
      <c r="J78" s="33"/>
      <c r="K78" s="35"/>
      <c r="L78" s="36"/>
      <c r="M78" s="57"/>
      <c r="N78" s="37"/>
    </row>
    <row r="79" spans="1:14" ht="15" customHeight="1">
      <c r="A79" s="71"/>
      <c r="B79" s="72"/>
      <c r="C79" s="73"/>
      <c r="D79" s="73"/>
      <c r="E79" s="73"/>
      <c r="F79" s="74"/>
      <c r="G79" s="75"/>
      <c r="H79" s="74"/>
      <c r="I79" s="75"/>
      <c r="J79" s="74"/>
      <c r="K79" s="75"/>
      <c r="L79" s="76"/>
      <c r="M79" s="77"/>
      <c r="N79" s="78"/>
    </row>
    <row r="80" spans="1:14">
      <c r="A80" s="163" t="s">
        <v>43</v>
      </c>
      <c r="B80" s="164"/>
      <c r="C80" s="164"/>
      <c r="D80" s="164"/>
      <c r="E80" s="164"/>
      <c r="F80" s="164"/>
      <c r="G80" s="164"/>
      <c r="H80" s="164"/>
      <c r="I80" s="164"/>
      <c r="J80" s="164"/>
      <c r="K80" s="164"/>
      <c r="L80" s="164"/>
      <c r="M80" s="164"/>
      <c r="N80" s="165"/>
    </row>
    <row r="81" spans="1:15" ht="50.1" customHeight="1">
      <c r="A81" s="166"/>
      <c r="B81" s="167"/>
      <c r="C81" s="167"/>
      <c r="D81" s="167"/>
      <c r="E81" s="168"/>
      <c r="F81" s="167"/>
      <c r="G81" s="167"/>
      <c r="H81" s="167"/>
      <c r="I81" s="167"/>
      <c r="J81" s="167"/>
      <c r="K81" s="167"/>
      <c r="L81" s="167"/>
      <c r="M81" s="167"/>
      <c r="N81" s="169"/>
    </row>
    <row r="82" spans="1:15" ht="35.1" customHeight="1">
      <c r="A82" s="66" t="s">
        <v>46</v>
      </c>
      <c r="B82" s="100"/>
      <c r="C82" s="91"/>
      <c r="D82" s="156"/>
      <c r="E82" s="92" t="s">
        <v>57</v>
      </c>
      <c r="F82" s="101"/>
      <c r="G82" s="68"/>
      <c r="H82" s="67"/>
      <c r="I82" s="68"/>
      <c r="J82" s="67"/>
      <c r="K82" s="68"/>
      <c r="L82" s="24"/>
      <c r="M82" s="69">
        <f>SUM(M83)</f>
        <v>0</v>
      </c>
      <c r="N82" s="70">
        <f>SUM(N83)</f>
        <v>0</v>
      </c>
      <c r="O82" s="32"/>
    </row>
    <row r="83" spans="1:15" ht="42" customHeight="1" thickBot="1">
      <c r="A83" s="81" t="s">
        <v>18</v>
      </c>
      <c r="B83" s="3"/>
      <c r="C83" s="112"/>
      <c r="D83" s="112"/>
      <c r="E83" s="121"/>
      <c r="F83" s="12"/>
      <c r="G83" s="13"/>
      <c r="H83" s="12"/>
      <c r="I83" s="13"/>
      <c r="J83" s="12">
        <f>SUM(J84:J88)</f>
        <v>0</v>
      </c>
      <c r="K83" s="13">
        <f>SUM(K84:K89)</f>
        <v>0</v>
      </c>
      <c r="L83" s="27"/>
      <c r="M83" s="12">
        <f>SUM(M84:M88)</f>
        <v>0</v>
      </c>
      <c r="N83" s="13">
        <f>SUM(N84:N89)</f>
        <v>0</v>
      </c>
    </row>
    <row r="84" spans="1:15" ht="21.6" customHeight="1">
      <c r="A84" s="5"/>
      <c r="B84" s="45"/>
      <c r="C84" s="113"/>
      <c r="D84" s="114"/>
      <c r="E84" s="65">
        <v>50</v>
      </c>
      <c r="F84" s="107"/>
      <c r="G84" s="108"/>
      <c r="H84" s="110"/>
      <c r="I84" s="108"/>
      <c r="J84" s="25"/>
      <c r="K84" s="14">
        <f>E84*J84</f>
        <v>0</v>
      </c>
      <c r="L84" s="8"/>
      <c r="M84" s="15">
        <f>SUM(F84,H84,J84)</f>
        <v>0</v>
      </c>
      <c r="N84" s="16">
        <f>SUM(G84,I84,K84)</f>
        <v>0</v>
      </c>
    </row>
    <row r="85" spans="1:15" ht="18.600000000000001" customHeight="1">
      <c r="A85" s="5"/>
      <c r="B85" s="45"/>
      <c r="C85" s="115"/>
      <c r="D85" s="116"/>
      <c r="E85" s="64"/>
      <c r="F85" s="107"/>
      <c r="G85" s="108"/>
      <c r="H85" s="110"/>
      <c r="I85" s="108"/>
      <c r="J85" s="25"/>
      <c r="K85" s="14">
        <f>E85*J85</f>
        <v>0</v>
      </c>
      <c r="L85" s="8"/>
      <c r="M85" s="15">
        <f t="shared" ref="M85:M88" si="24">SUM(F85,H85,J85)</f>
        <v>0</v>
      </c>
      <c r="N85" s="16">
        <f t="shared" ref="N85:N89" si="25">SUM(G85,I85,K85)</f>
        <v>0</v>
      </c>
    </row>
    <row r="86" spans="1:15" ht="18.600000000000001" customHeight="1">
      <c r="A86" s="5"/>
      <c r="B86" s="45"/>
      <c r="C86" s="115"/>
      <c r="D86" s="116"/>
      <c r="E86" s="64"/>
      <c r="F86" s="107"/>
      <c r="G86" s="108"/>
      <c r="H86" s="110"/>
      <c r="I86" s="108"/>
      <c r="J86" s="25"/>
      <c r="K86" s="14">
        <f>E86*J86</f>
        <v>0</v>
      </c>
      <c r="L86" s="8"/>
      <c r="M86" s="15">
        <f t="shared" si="24"/>
        <v>0</v>
      </c>
      <c r="N86" s="16">
        <f t="shared" si="25"/>
        <v>0</v>
      </c>
    </row>
    <row r="87" spans="1:15" ht="18.600000000000001" customHeight="1">
      <c r="A87" s="5"/>
      <c r="B87" s="45"/>
      <c r="C87" s="115"/>
      <c r="D87" s="116"/>
      <c r="E87" s="64"/>
      <c r="F87" s="107"/>
      <c r="G87" s="108"/>
      <c r="H87" s="110"/>
      <c r="I87" s="108"/>
      <c r="J87" s="25"/>
      <c r="K87" s="14">
        <f>E87*J87</f>
        <v>0</v>
      </c>
      <c r="L87" s="8"/>
      <c r="M87" s="15">
        <f t="shared" si="24"/>
        <v>0</v>
      </c>
      <c r="N87" s="16">
        <f t="shared" si="25"/>
        <v>0</v>
      </c>
    </row>
    <row r="88" spans="1:15" ht="18.600000000000001" customHeight="1">
      <c r="A88" s="5"/>
      <c r="B88" s="45"/>
      <c r="C88" s="115"/>
      <c r="D88" s="116"/>
      <c r="E88" s="64"/>
      <c r="F88" s="107"/>
      <c r="G88" s="108"/>
      <c r="H88" s="110"/>
      <c r="I88" s="108"/>
      <c r="J88" s="25"/>
      <c r="K88" s="14">
        <f>E88*J88</f>
        <v>0</v>
      </c>
      <c r="L88" s="8"/>
      <c r="M88" s="15">
        <f t="shared" si="24"/>
        <v>0</v>
      </c>
      <c r="N88" s="16">
        <f t="shared" si="25"/>
        <v>0</v>
      </c>
    </row>
    <row r="89" spans="1:15" ht="37.5">
      <c r="A89" s="90" t="s">
        <v>22</v>
      </c>
      <c r="B89" s="45"/>
      <c r="C89" s="117"/>
      <c r="D89" s="118"/>
      <c r="E89" s="61"/>
      <c r="F89" s="107"/>
      <c r="G89" s="108"/>
      <c r="H89" s="110"/>
      <c r="I89" s="108"/>
      <c r="J89" s="25">
        <v>1</v>
      </c>
      <c r="K89" s="14"/>
      <c r="L89" s="8"/>
      <c r="M89" s="39"/>
      <c r="N89" s="16">
        <f t="shared" si="25"/>
        <v>0</v>
      </c>
    </row>
    <row r="90" spans="1:15">
      <c r="A90" s="29"/>
      <c r="B90" s="30"/>
      <c r="C90" s="31"/>
      <c r="D90" s="31"/>
      <c r="E90" s="31"/>
      <c r="F90" s="31"/>
    </row>
    <row r="91" spans="1:15" ht="26.25">
      <c r="A91" s="162" t="s">
        <v>51</v>
      </c>
      <c r="B91" s="162"/>
      <c r="C91" s="161"/>
      <c r="D91" s="23"/>
    </row>
    <row r="92" spans="1:15" ht="26.25">
      <c r="A92" s="162" t="s">
        <v>59</v>
      </c>
      <c r="B92" s="162"/>
      <c r="C92" s="161"/>
      <c r="D92" s="23"/>
    </row>
    <row r="93" spans="1:15">
      <c r="A93" s="145" t="s">
        <v>47</v>
      </c>
      <c r="B93" s="144" t="s">
        <v>35</v>
      </c>
      <c r="C93" s="144" t="s">
        <v>36</v>
      </c>
      <c r="D93" s="158"/>
    </row>
    <row r="94" spans="1:15">
      <c r="A94" s="43" t="s">
        <v>48</v>
      </c>
      <c r="B94" s="136">
        <f>M3</f>
        <v>975</v>
      </c>
      <c r="C94" s="137">
        <f>N3</f>
        <v>194625</v>
      </c>
      <c r="D94" s="159"/>
    </row>
    <row r="95" spans="1:15">
      <c r="A95" s="43" t="s">
        <v>46</v>
      </c>
      <c r="B95" s="139">
        <f>M82</f>
        <v>0</v>
      </c>
      <c r="C95" s="137">
        <f>N82</f>
        <v>0</v>
      </c>
      <c r="D95" s="159"/>
    </row>
    <row r="96" spans="1:15">
      <c r="A96" s="135"/>
      <c r="B96" s="135"/>
      <c r="C96" s="138"/>
      <c r="D96" s="159"/>
    </row>
    <row r="97" spans="1:4" ht="46.5">
      <c r="A97" s="140" t="s">
        <v>44</v>
      </c>
      <c r="B97" s="141">
        <f>SUM(B94:B95)</f>
        <v>975</v>
      </c>
      <c r="C97" s="142">
        <f>SUM(C94:C95)</f>
        <v>194625</v>
      </c>
      <c r="D97" s="160"/>
    </row>
    <row r="99" spans="1:4" ht="37.5">
      <c r="A99" s="143" t="s">
        <v>49</v>
      </c>
    </row>
    <row r="100" spans="1:4">
      <c r="A100" s="143"/>
    </row>
  </sheetData>
  <sheetProtection formatCells="0"/>
  <mergeCells count="3">
    <mergeCell ref="A91:B91"/>
    <mergeCell ref="A92:B92"/>
    <mergeCell ref="A80:N81"/>
  </mergeCells>
  <printOptions horizontalCentered="1"/>
  <pageMargins left="0.25" right="0.25" top="0.75" bottom="0.75" header="0.3" footer="0.3"/>
  <pageSetup paperSize="3" scale="62" fitToWidth="3" orientation="landscape" r:id="rId1"/>
  <ignoredErrors>
    <ignoredError sqref="H4:K4 H8:K16 H5 J5 K46:K53 H6:K6 H7:K7" unlockedFormula="1"/>
    <ignoredError sqref="G38:G44 H53 G19 G21:G26 G29:G35 H46 J85:J89 H84:H89 H47 H48 H49 H50 H51 H52"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zoomScaleNormal="100" workbookViewId="0"/>
  </sheetViews>
  <sheetFormatPr defaultRowHeight="15"/>
  <cols>
    <col min="1" max="1" width="192.28515625" customWidth="1"/>
    <col min="2" max="2" width="17.5703125" customWidth="1"/>
    <col min="3" max="4" width="13.28515625" customWidth="1"/>
    <col min="5" max="5" width="19.28515625" customWidth="1"/>
    <col min="6" max="6" width="18.28515625" customWidth="1"/>
    <col min="7" max="7" width="2" customWidth="1"/>
    <col min="14" max="14" width="50.5703125" bestFit="1" customWidth="1"/>
    <col min="15" max="15" width="11.140625" bestFit="1" customWidth="1"/>
    <col min="16" max="16" width="11" bestFit="1" customWidth="1"/>
    <col min="17" max="17" width="10.85546875" bestFit="1" customWidth="1"/>
    <col min="18" max="18" width="9.28515625" bestFit="1" customWidth="1"/>
    <col min="19" max="19" width="12.7109375" bestFit="1" customWidth="1"/>
    <col min="237" max="237" width="2.7109375" customWidth="1"/>
    <col min="238" max="238" width="54.42578125" customWidth="1"/>
    <col min="239" max="239" width="10.85546875" customWidth="1"/>
    <col min="240" max="241" width="13.28515625" customWidth="1"/>
    <col min="242" max="242" width="12.7109375" customWidth="1"/>
    <col min="243" max="243" width="19.28515625" customWidth="1"/>
    <col min="244" max="244" width="18.28515625" customWidth="1"/>
    <col min="245" max="245" width="2" customWidth="1"/>
    <col min="249" max="249" width="25.85546875" customWidth="1"/>
    <col min="253" max="254" width="10.7109375" customWidth="1"/>
    <col min="255" max="255" width="81" customWidth="1"/>
    <col min="256" max="256" width="15.5703125" customWidth="1"/>
    <col min="257" max="257" width="10.7109375" customWidth="1"/>
    <col min="493" max="493" width="2.7109375" customWidth="1"/>
    <col min="494" max="494" width="54.42578125" customWidth="1"/>
    <col min="495" max="495" width="10.85546875" customWidth="1"/>
    <col min="496" max="497" width="13.28515625" customWidth="1"/>
    <col min="498" max="498" width="12.7109375" customWidth="1"/>
    <col min="499" max="499" width="19.28515625" customWidth="1"/>
    <col min="500" max="500" width="18.28515625" customWidth="1"/>
    <col min="501" max="501" width="2" customWidth="1"/>
    <col min="505" max="505" width="25.85546875" customWidth="1"/>
    <col min="509" max="510" width="10.7109375" customWidth="1"/>
    <col min="511" max="511" width="81" customWidth="1"/>
    <col min="512" max="512" width="15.5703125" customWidth="1"/>
    <col min="513" max="513" width="10.7109375" customWidth="1"/>
    <col min="749" max="749" width="2.7109375" customWidth="1"/>
    <col min="750" max="750" width="54.42578125" customWidth="1"/>
    <col min="751" max="751" width="10.85546875" customWidth="1"/>
    <col min="752" max="753" width="13.28515625" customWidth="1"/>
    <col min="754" max="754" width="12.7109375" customWidth="1"/>
    <col min="755" max="755" width="19.28515625" customWidth="1"/>
    <col min="756" max="756" width="18.28515625" customWidth="1"/>
    <col min="757" max="757" width="2" customWidth="1"/>
    <col min="761" max="761" width="25.85546875" customWidth="1"/>
    <col min="765" max="766" width="10.7109375" customWidth="1"/>
    <col min="767" max="767" width="81" customWidth="1"/>
    <col min="768" max="768" width="15.5703125" customWidth="1"/>
    <col min="769" max="769" width="10.7109375" customWidth="1"/>
    <col min="1005" max="1005" width="2.7109375" customWidth="1"/>
    <col min="1006" max="1006" width="54.42578125" customWidth="1"/>
    <col min="1007" max="1007" width="10.85546875" customWidth="1"/>
    <col min="1008" max="1009" width="13.28515625" customWidth="1"/>
    <col min="1010" max="1010" width="12.7109375" customWidth="1"/>
    <col min="1011" max="1011" width="19.28515625" customWidth="1"/>
    <col min="1012" max="1012" width="18.28515625" customWidth="1"/>
    <col min="1013" max="1013" width="2" customWidth="1"/>
    <col min="1017" max="1017" width="25.85546875" customWidth="1"/>
    <col min="1021" max="1022" width="10.7109375" customWidth="1"/>
    <col min="1023" max="1023" width="81" customWidth="1"/>
    <col min="1024" max="1024" width="15.5703125" customWidth="1"/>
    <col min="1025" max="1025" width="10.7109375" customWidth="1"/>
    <col min="1261" max="1261" width="2.7109375" customWidth="1"/>
    <col min="1262" max="1262" width="54.42578125" customWidth="1"/>
    <col min="1263" max="1263" width="10.85546875" customWidth="1"/>
    <col min="1264" max="1265" width="13.28515625" customWidth="1"/>
    <col min="1266" max="1266" width="12.7109375" customWidth="1"/>
    <col min="1267" max="1267" width="19.28515625" customWidth="1"/>
    <col min="1268" max="1268" width="18.28515625" customWidth="1"/>
    <col min="1269" max="1269" width="2" customWidth="1"/>
    <col min="1273" max="1273" width="25.85546875" customWidth="1"/>
    <col min="1277" max="1278" width="10.7109375" customWidth="1"/>
    <col min="1279" max="1279" width="81" customWidth="1"/>
    <col min="1280" max="1280" width="15.5703125" customWidth="1"/>
    <col min="1281" max="1281" width="10.7109375" customWidth="1"/>
    <col min="1517" max="1517" width="2.7109375" customWidth="1"/>
    <col min="1518" max="1518" width="54.42578125" customWidth="1"/>
    <col min="1519" max="1519" width="10.85546875" customWidth="1"/>
    <col min="1520" max="1521" width="13.28515625" customWidth="1"/>
    <col min="1522" max="1522" width="12.7109375" customWidth="1"/>
    <col min="1523" max="1523" width="19.28515625" customWidth="1"/>
    <col min="1524" max="1524" width="18.28515625" customWidth="1"/>
    <col min="1525" max="1525" width="2" customWidth="1"/>
    <col min="1529" max="1529" width="25.85546875" customWidth="1"/>
    <col min="1533" max="1534" width="10.7109375" customWidth="1"/>
    <col min="1535" max="1535" width="81" customWidth="1"/>
    <col min="1536" max="1536" width="15.5703125" customWidth="1"/>
    <col min="1537" max="1537" width="10.7109375" customWidth="1"/>
    <col min="1773" max="1773" width="2.7109375" customWidth="1"/>
    <col min="1774" max="1774" width="54.42578125" customWidth="1"/>
    <col min="1775" max="1775" width="10.85546875" customWidth="1"/>
    <col min="1776" max="1777" width="13.28515625" customWidth="1"/>
    <col min="1778" max="1778" width="12.7109375" customWidth="1"/>
    <col min="1779" max="1779" width="19.28515625" customWidth="1"/>
    <col min="1780" max="1780" width="18.28515625" customWidth="1"/>
    <col min="1781" max="1781" width="2" customWidth="1"/>
    <col min="1785" max="1785" width="25.85546875" customWidth="1"/>
    <col min="1789" max="1790" width="10.7109375" customWidth="1"/>
    <col min="1791" max="1791" width="81" customWidth="1"/>
    <col min="1792" max="1792" width="15.5703125" customWidth="1"/>
    <col min="1793" max="1793" width="10.7109375" customWidth="1"/>
    <col min="2029" max="2029" width="2.7109375" customWidth="1"/>
    <col min="2030" max="2030" width="54.42578125" customWidth="1"/>
    <col min="2031" max="2031" width="10.85546875" customWidth="1"/>
    <col min="2032" max="2033" width="13.28515625" customWidth="1"/>
    <col min="2034" max="2034" width="12.7109375" customWidth="1"/>
    <col min="2035" max="2035" width="19.28515625" customWidth="1"/>
    <col min="2036" max="2036" width="18.28515625" customWidth="1"/>
    <col min="2037" max="2037" width="2" customWidth="1"/>
    <col min="2041" max="2041" width="25.85546875" customWidth="1"/>
    <col min="2045" max="2046" width="10.7109375" customWidth="1"/>
    <col min="2047" max="2047" width="81" customWidth="1"/>
    <col min="2048" max="2048" width="15.5703125" customWidth="1"/>
    <col min="2049" max="2049" width="10.7109375" customWidth="1"/>
    <col min="2285" max="2285" width="2.7109375" customWidth="1"/>
    <col min="2286" max="2286" width="54.42578125" customWidth="1"/>
    <col min="2287" max="2287" width="10.85546875" customWidth="1"/>
    <col min="2288" max="2289" width="13.28515625" customWidth="1"/>
    <col min="2290" max="2290" width="12.7109375" customWidth="1"/>
    <col min="2291" max="2291" width="19.28515625" customWidth="1"/>
    <col min="2292" max="2292" width="18.28515625" customWidth="1"/>
    <col min="2293" max="2293" width="2" customWidth="1"/>
    <col min="2297" max="2297" width="25.85546875" customWidth="1"/>
    <col min="2301" max="2302" width="10.7109375" customWidth="1"/>
    <col min="2303" max="2303" width="81" customWidth="1"/>
    <col min="2304" max="2304" width="15.5703125" customWidth="1"/>
    <col min="2305" max="2305" width="10.7109375" customWidth="1"/>
    <col min="2541" max="2541" width="2.7109375" customWidth="1"/>
    <col min="2542" max="2542" width="54.42578125" customWidth="1"/>
    <col min="2543" max="2543" width="10.85546875" customWidth="1"/>
    <col min="2544" max="2545" width="13.28515625" customWidth="1"/>
    <col min="2546" max="2546" width="12.7109375" customWidth="1"/>
    <col min="2547" max="2547" width="19.28515625" customWidth="1"/>
    <col min="2548" max="2548" width="18.28515625" customWidth="1"/>
    <col min="2549" max="2549" width="2" customWidth="1"/>
    <col min="2553" max="2553" width="25.85546875" customWidth="1"/>
    <col min="2557" max="2558" width="10.7109375" customWidth="1"/>
    <col min="2559" max="2559" width="81" customWidth="1"/>
    <col min="2560" max="2560" width="15.5703125" customWidth="1"/>
    <col min="2561" max="2561" width="10.7109375" customWidth="1"/>
    <col min="2797" max="2797" width="2.7109375" customWidth="1"/>
    <col min="2798" max="2798" width="54.42578125" customWidth="1"/>
    <col min="2799" max="2799" width="10.85546875" customWidth="1"/>
    <col min="2800" max="2801" width="13.28515625" customWidth="1"/>
    <col min="2802" max="2802" width="12.7109375" customWidth="1"/>
    <col min="2803" max="2803" width="19.28515625" customWidth="1"/>
    <col min="2804" max="2804" width="18.28515625" customWidth="1"/>
    <col min="2805" max="2805" width="2" customWidth="1"/>
    <col min="2809" max="2809" width="25.85546875" customWidth="1"/>
    <col min="2813" max="2814" width="10.7109375" customWidth="1"/>
    <col min="2815" max="2815" width="81" customWidth="1"/>
    <col min="2816" max="2816" width="15.5703125" customWidth="1"/>
    <col min="2817" max="2817" width="10.7109375" customWidth="1"/>
    <col min="3053" max="3053" width="2.7109375" customWidth="1"/>
    <col min="3054" max="3054" width="54.42578125" customWidth="1"/>
    <col min="3055" max="3055" width="10.85546875" customWidth="1"/>
    <col min="3056" max="3057" width="13.28515625" customWidth="1"/>
    <col min="3058" max="3058" width="12.7109375" customWidth="1"/>
    <col min="3059" max="3059" width="19.28515625" customWidth="1"/>
    <col min="3060" max="3060" width="18.28515625" customWidth="1"/>
    <col min="3061" max="3061" width="2" customWidth="1"/>
    <col min="3065" max="3065" width="25.85546875" customWidth="1"/>
    <col min="3069" max="3070" width="10.7109375" customWidth="1"/>
    <col min="3071" max="3071" width="81" customWidth="1"/>
    <col min="3072" max="3072" width="15.5703125" customWidth="1"/>
    <col min="3073" max="3073" width="10.7109375" customWidth="1"/>
    <col min="3309" max="3309" width="2.7109375" customWidth="1"/>
    <col min="3310" max="3310" width="54.42578125" customWidth="1"/>
    <col min="3311" max="3311" width="10.85546875" customWidth="1"/>
    <col min="3312" max="3313" width="13.28515625" customWidth="1"/>
    <col min="3314" max="3314" width="12.7109375" customWidth="1"/>
    <col min="3315" max="3315" width="19.28515625" customWidth="1"/>
    <col min="3316" max="3316" width="18.28515625" customWidth="1"/>
    <col min="3317" max="3317" width="2" customWidth="1"/>
    <col min="3321" max="3321" width="25.85546875" customWidth="1"/>
    <col min="3325" max="3326" width="10.7109375" customWidth="1"/>
    <col min="3327" max="3327" width="81" customWidth="1"/>
    <col min="3328" max="3328" width="15.5703125" customWidth="1"/>
    <col min="3329" max="3329" width="10.7109375" customWidth="1"/>
    <col min="3565" max="3565" width="2.7109375" customWidth="1"/>
    <col min="3566" max="3566" width="54.42578125" customWidth="1"/>
    <col min="3567" max="3567" width="10.85546875" customWidth="1"/>
    <col min="3568" max="3569" width="13.28515625" customWidth="1"/>
    <col min="3570" max="3570" width="12.7109375" customWidth="1"/>
    <col min="3571" max="3571" width="19.28515625" customWidth="1"/>
    <col min="3572" max="3572" width="18.28515625" customWidth="1"/>
    <col min="3573" max="3573" width="2" customWidth="1"/>
    <col min="3577" max="3577" width="25.85546875" customWidth="1"/>
    <col min="3581" max="3582" width="10.7109375" customWidth="1"/>
    <col min="3583" max="3583" width="81" customWidth="1"/>
    <col min="3584" max="3584" width="15.5703125" customWidth="1"/>
    <col min="3585" max="3585" width="10.7109375" customWidth="1"/>
    <col min="3821" max="3821" width="2.7109375" customWidth="1"/>
    <col min="3822" max="3822" width="54.42578125" customWidth="1"/>
    <col min="3823" max="3823" width="10.85546875" customWidth="1"/>
    <col min="3824" max="3825" width="13.28515625" customWidth="1"/>
    <col min="3826" max="3826" width="12.7109375" customWidth="1"/>
    <col min="3827" max="3827" width="19.28515625" customWidth="1"/>
    <col min="3828" max="3828" width="18.28515625" customWidth="1"/>
    <col min="3829" max="3829" width="2" customWidth="1"/>
    <col min="3833" max="3833" width="25.85546875" customWidth="1"/>
    <col min="3837" max="3838" width="10.7109375" customWidth="1"/>
    <col min="3839" max="3839" width="81" customWidth="1"/>
    <col min="3840" max="3840" width="15.5703125" customWidth="1"/>
    <col min="3841" max="3841" width="10.7109375" customWidth="1"/>
    <col min="4077" max="4077" width="2.7109375" customWidth="1"/>
    <col min="4078" max="4078" width="54.42578125" customWidth="1"/>
    <col min="4079" max="4079" width="10.85546875" customWidth="1"/>
    <col min="4080" max="4081" width="13.28515625" customWidth="1"/>
    <col min="4082" max="4082" width="12.7109375" customWidth="1"/>
    <col min="4083" max="4083" width="19.28515625" customWidth="1"/>
    <col min="4084" max="4084" width="18.28515625" customWidth="1"/>
    <col min="4085" max="4085" width="2" customWidth="1"/>
    <col min="4089" max="4089" width="25.85546875" customWidth="1"/>
    <col min="4093" max="4094" width="10.7109375" customWidth="1"/>
    <col min="4095" max="4095" width="81" customWidth="1"/>
    <col min="4096" max="4096" width="15.5703125" customWidth="1"/>
    <col min="4097" max="4097" width="10.7109375" customWidth="1"/>
    <col min="4333" max="4333" width="2.7109375" customWidth="1"/>
    <col min="4334" max="4334" width="54.42578125" customWidth="1"/>
    <col min="4335" max="4335" width="10.85546875" customWidth="1"/>
    <col min="4336" max="4337" width="13.28515625" customWidth="1"/>
    <col min="4338" max="4338" width="12.7109375" customWidth="1"/>
    <col min="4339" max="4339" width="19.28515625" customWidth="1"/>
    <col min="4340" max="4340" width="18.28515625" customWidth="1"/>
    <col min="4341" max="4341" width="2" customWidth="1"/>
    <col min="4345" max="4345" width="25.85546875" customWidth="1"/>
    <col min="4349" max="4350" width="10.7109375" customWidth="1"/>
    <col min="4351" max="4351" width="81" customWidth="1"/>
    <col min="4352" max="4352" width="15.5703125" customWidth="1"/>
    <col min="4353" max="4353" width="10.7109375" customWidth="1"/>
    <col min="4589" max="4589" width="2.7109375" customWidth="1"/>
    <col min="4590" max="4590" width="54.42578125" customWidth="1"/>
    <col min="4591" max="4591" width="10.85546875" customWidth="1"/>
    <col min="4592" max="4593" width="13.28515625" customWidth="1"/>
    <col min="4594" max="4594" width="12.7109375" customWidth="1"/>
    <col min="4595" max="4595" width="19.28515625" customWidth="1"/>
    <col min="4596" max="4596" width="18.28515625" customWidth="1"/>
    <col min="4597" max="4597" width="2" customWidth="1"/>
    <col min="4601" max="4601" width="25.85546875" customWidth="1"/>
    <col min="4605" max="4606" width="10.7109375" customWidth="1"/>
    <col min="4607" max="4607" width="81" customWidth="1"/>
    <col min="4608" max="4608" width="15.5703125" customWidth="1"/>
    <col min="4609" max="4609" width="10.7109375" customWidth="1"/>
    <col min="4845" max="4845" width="2.7109375" customWidth="1"/>
    <col min="4846" max="4846" width="54.42578125" customWidth="1"/>
    <col min="4847" max="4847" width="10.85546875" customWidth="1"/>
    <col min="4848" max="4849" width="13.28515625" customWidth="1"/>
    <col min="4850" max="4850" width="12.7109375" customWidth="1"/>
    <col min="4851" max="4851" width="19.28515625" customWidth="1"/>
    <col min="4852" max="4852" width="18.28515625" customWidth="1"/>
    <col min="4853" max="4853" width="2" customWidth="1"/>
    <col min="4857" max="4857" width="25.85546875" customWidth="1"/>
    <col min="4861" max="4862" width="10.7109375" customWidth="1"/>
    <col min="4863" max="4863" width="81" customWidth="1"/>
    <col min="4864" max="4864" width="15.5703125" customWidth="1"/>
    <col min="4865" max="4865" width="10.7109375" customWidth="1"/>
    <col min="5101" max="5101" width="2.7109375" customWidth="1"/>
    <col min="5102" max="5102" width="54.42578125" customWidth="1"/>
    <col min="5103" max="5103" width="10.85546875" customWidth="1"/>
    <col min="5104" max="5105" width="13.28515625" customWidth="1"/>
    <col min="5106" max="5106" width="12.7109375" customWidth="1"/>
    <col min="5107" max="5107" width="19.28515625" customWidth="1"/>
    <col min="5108" max="5108" width="18.28515625" customWidth="1"/>
    <col min="5109" max="5109" width="2" customWidth="1"/>
    <col min="5113" max="5113" width="25.85546875" customWidth="1"/>
    <col min="5117" max="5118" width="10.7109375" customWidth="1"/>
    <col min="5119" max="5119" width="81" customWidth="1"/>
    <col min="5120" max="5120" width="15.5703125" customWidth="1"/>
    <col min="5121" max="5121" width="10.7109375" customWidth="1"/>
    <col min="5357" max="5357" width="2.7109375" customWidth="1"/>
    <col min="5358" max="5358" width="54.42578125" customWidth="1"/>
    <col min="5359" max="5359" width="10.85546875" customWidth="1"/>
    <col min="5360" max="5361" width="13.28515625" customWidth="1"/>
    <col min="5362" max="5362" width="12.7109375" customWidth="1"/>
    <col min="5363" max="5363" width="19.28515625" customWidth="1"/>
    <col min="5364" max="5364" width="18.28515625" customWidth="1"/>
    <col min="5365" max="5365" width="2" customWidth="1"/>
    <col min="5369" max="5369" width="25.85546875" customWidth="1"/>
    <col min="5373" max="5374" width="10.7109375" customWidth="1"/>
    <col min="5375" max="5375" width="81" customWidth="1"/>
    <col min="5376" max="5376" width="15.5703125" customWidth="1"/>
    <col min="5377" max="5377" width="10.7109375" customWidth="1"/>
    <col min="5613" max="5613" width="2.7109375" customWidth="1"/>
    <col min="5614" max="5614" width="54.42578125" customWidth="1"/>
    <col min="5615" max="5615" width="10.85546875" customWidth="1"/>
    <col min="5616" max="5617" width="13.28515625" customWidth="1"/>
    <col min="5618" max="5618" width="12.7109375" customWidth="1"/>
    <col min="5619" max="5619" width="19.28515625" customWidth="1"/>
    <col min="5620" max="5620" width="18.28515625" customWidth="1"/>
    <col min="5621" max="5621" width="2" customWidth="1"/>
    <col min="5625" max="5625" width="25.85546875" customWidth="1"/>
    <col min="5629" max="5630" width="10.7109375" customWidth="1"/>
    <col min="5631" max="5631" width="81" customWidth="1"/>
    <col min="5632" max="5632" width="15.5703125" customWidth="1"/>
    <col min="5633" max="5633" width="10.7109375" customWidth="1"/>
    <col min="5869" max="5869" width="2.7109375" customWidth="1"/>
    <col min="5870" max="5870" width="54.42578125" customWidth="1"/>
    <col min="5871" max="5871" width="10.85546875" customWidth="1"/>
    <col min="5872" max="5873" width="13.28515625" customWidth="1"/>
    <col min="5874" max="5874" width="12.7109375" customWidth="1"/>
    <col min="5875" max="5875" width="19.28515625" customWidth="1"/>
    <col min="5876" max="5876" width="18.28515625" customWidth="1"/>
    <col min="5877" max="5877" width="2" customWidth="1"/>
    <col min="5881" max="5881" width="25.85546875" customWidth="1"/>
    <col min="5885" max="5886" width="10.7109375" customWidth="1"/>
    <col min="5887" max="5887" width="81" customWidth="1"/>
    <col min="5888" max="5888" width="15.5703125" customWidth="1"/>
    <col min="5889" max="5889" width="10.7109375" customWidth="1"/>
    <col min="6125" max="6125" width="2.7109375" customWidth="1"/>
    <col min="6126" max="6126" width="54.42578125" customWidth="1"/>
    <col min="6127" max="6127" width="10.85546875" customWidth="1"/>
    <col min="6128" max="6129" width="13.28515625" customWidth="1"/>
    <col min="6130" max="6130" width="12.7109375" customWidth="1"/>
    <col min="6131" max="6131" width="19.28515625" customWidth="1"/>
    <col min="6132" max="6132" width="18.28515625" customWidth="1"/>
    <col min="6133" max="6133" width="2" customWidth="1"/>
    <col min="6137" max="6137" width="25.85546875" customWidth="1"/>
    <col min="6141" max="6142" width="10.7109375" customWidth="1"/>
    <col min="6143" max="6143" width="81" customWidth="1"/>
    <col min="6144" max="6144" width="15.5703125" customWidth="1"/>
    <col min="6145" max="6145" width="10.7109375" customWidth="1"/>
    <col min="6381" max="6381" width="2.7109375" customWidth="1"/>
    <col min="6382" max="6382" width="54.42578125" customWidth="1"/>
    <col min="6383" max="6383" width="10.85546875" customWidth="1"/>
    <col min="6384" max="6385" width="13.28515625" customWidth="1"/>
    <col min="6386" max="6386" width="12.7109375" customWidth="1"/>
    <col min="6387" max="6387" width="19.28515625" customWidth="1"/>
    <col min="6388" max="6388" width="18.28515625" customWidth="1"/>
    <col min="6389" max="6389" width="2" customWidth="1"/>
    <col min="6393" max="6393" width="25.85546875" customWidth="1"/>
    <col min="6397" max="6398" width="10.7109375" customWidth="1"/>
    <col min="6399" max="6399" width="81" customWidth="1"/>
    <col min="6400" max="6400" width="15.5703125" customWidth="1"/>
    <col min="6401" max="6401" width="10.7109375" customWidth="1"/>
    <col min="6637" max="6637" width="2.7109375" customWidth="1"/>
    <col min="6638" max="6638" width="54.42578125" customWidth="1"/>
    <col min="6639" max="6639" width="10.85546875" customWidth="1"/>
    <col min="6640" max="6641" width="13.28515625" customWidth="1"/>
    <col min="6642" max="6642" width="12.7109375" customWidth="1"/>
    <col min="6643" max="6643" width="19.28515625" customWidth="1"/>
    <col min="6644" max="6644" width="18.28515625" customWidth="1"/>
    <col min="6645" max="6645" width="2" customWidth="1"/>
    <col min="6649" max="6649" width="25.85546875" customWidth="1"/>
    <col min="6653" max="6654" width="10.7109375" customWidth="1"/>
    <col min="6655" max="6655" width="81" customWidth="1"/>
    <col min="6656" max="6656" width="15.5703125" customWidth="1"/>
    <col min="6657" max="6657" width="10.7109375" customWidth="1"/>
    <col min="6893" max="6893" width="2.7109375" customWidth="1"/>
    <col min="6894" max="6894" width="54.42578125" customWidth="1"/>
    <col min="6895" max="6895" width="10.85546875" customWidth="1"/>
    <col min="6896" max="6897" width="13.28515625" customWidth="1"/>
    <col min="6898" max="6898" width="12.7109375" customWidth="1"/>
    <col min="6899" max="6899" width="19.28515625" customWidth="1"/>
    <col min="6900" max="6900" width="18.28515625" customWidth="1"/>
    <col min="6901" max="6901" width="2" customWidth="1"/>
    <col min="6905" max="6905" width="25.85546875" customWidth="1"/>
    <col min="6909" max="6910" width="10.7109375" customWidth="1"/>
    <col min="6911" max="6911" width="81" customWidth="1"/>
    <col min="6912" max="6912" width="15.5703125" customWidth="1"/>
    <col min="6913" max="6913" width="10.7109375" customWidth="1"/>
    <col min="7149" max="7149" width="2.7109375" customWidth="1"/>
    <col min="7150" max="7150" width="54.42578125" customWidth="1"/>
    <col min="7151" max="7151" width="10.85546875" customWidth="1"/>
    <col min="7152" max="7153" width="13.28515625" customWidth="1"/>
    <col min="7154" max="7154" width="12.7109375" customWidth="1"/>
    <col min="7155" max="7155" width="19.28515625" customWidth="1"/>
    <col min="7156" max="7156" width="18.28515625" customWidth="1"/>
    <col min="7157" max="7157" width="2" customWidth="1"/>
    <col min="7161" max="7161" width="25.85546875" customWidth="1"/>
    <col min="7165" max="7166" width="10.7109375" customWidth="1"/>
    <col min="7167" max="7167" width="81" customWidth="1"/>
    <col min="7168" max="7168" width="15.5703125" customWidth="1"/>
    <col min="7169" max="7169" width="10.7109375" customWidth="1"/>
    <col min="7405" max="7405" width="2.7109375" customWidth="1"/>
    <col min="7406" max="7406" width="54.42578125" customWidth="1"/>
    <col min="7407" max="7407" width="10.85546875" customWidth="1"/>
    <col min="7408" max="7409" width="13.28515625" customWidth="1"/>
    <col min="7410" max="7410" width="12.7109375" customWidth="1"/>
    <col min="7411" max="7411" width="19.28515625" customWidth="1"/>
    <col min="7412" max="7412" width="18.28515625" customWidth="1"/>
    <col min="7413" max="7413" width="2" customWidth="1"/>
    <col min="7417" max="7417" width="25.85546875" customWidth="1"/>
    <col min="7421" max="7422" width="10.7109375" customWidth="1"/>
    <col min="7423" max="7423" width="81" customWidth="1"/>
    <col min="7424" max="7424" width="15.5703125" customWidth="1"/>
    <col min="7425" max="7425" width="10.7109375" customWidth="1"/>
    <col min="7661" max="7661" width="2.7109375" customWidth="1"/>
    <col min="7662" max="7662" width="54.42578125" customWidth="1"/>
    <col min="7663" max="7663" width="10.85546875" customWidth="1"/>
    <col min="7664" max="7665" width="13.28515625" customWidth="1"/>
    <col min="7666" max="7666" width="12.7109375" customWidth="1"/>
    <col min="7667" max="7667" width="19.28515625" customWidth="1"/>
    <col min="7668" max="7668" width="18.28515625" customWidth="1"/>
    <col min="7669" max="7669" width="2" customWidth="1"/>
    <col min="7673" max="7673" width="25.85546875" customWidth="1"/>
    <col min="7677" max="7678" width="10.7109375" customWidth="1"/>
    <col min="7679" max="7679" width="81" customWidth="1"/>
    <col min="7680" max="7680" width="15.5703125" customWidth="1"/>
    <col min="7681" max="7681" width="10.7109375" customWidth="1"/>
    <col min="7917" max="7917" width="2.7109375" customWidth="1"/>
    <col min="7918" max="7918" width="54.42578125" customWidth="1"/>
    <col min="7919" max="7919" width="10.85546875" customWidth="1"/>
    <col min="7920" max="7921" width="13.28515625" customWidth="1"/>
    <col min="7922" max="7922" width="12.7109375" customWidth="1"/>
    <col min="7923" max="7923" width="19.28515625" customWidth="1"/>
    <col min="7924" max="7924" width="18.28515625" customWidth="1"/>
    <col min="7925" max="7925" width="2" customWidth="1"/>
    <col min="7929" max="7929" width="25.85546875" customWidth="1"/>
    <col min="7933" max="7934" width="10.7109375" customWidth="1"/>
    <col min="7935" max="7935" width="81" customWidth="1"/>
    <col min="7936" max="7936" width="15.5703125" customWidth="1"/>
    <col min="7937" max="7937" width="10.7109375" customWidth="1"/>
    <col min="8173" max="8173" width="2.7109375" customWidth="1"/>
    <col min="8174" max="8174" width="54.42578125" customWidth="1"/>
    <col min="8175" max="8175" width="10.85546875" customWidth="1"/>
    <col min="8176" max="8177" width="13.28515625" customWidth="1"/>
    <col min="8178" max="8178" width="12.7109375" customWidth="1"/>
    <col min="8179" max="8179" width="19.28515625" customWidth="1"/>
    <col min="8180" max="8180" width="18.28515625" customWidth="1"/>
    <col min="8181" max="8181" width="2" customWidth="1"/>
    <col min="8185" max="8185" width="25.85546875" customWidth="1"/>
    <col min="8189" max="8190" width="10.7109375" customWidth="1"/>
    <col min="8191" max="8191" width="81" customWidth="1"/>
    <col min="8192" max="8192" width="15.5703125" customWidth="1"/>
    <col min="8193" max="8193" width="10.7109375" customWidth="1"/>
    <col min="8429" max="8429" width="2.7109375" customWidth="1"/>
    <col min="8430" max="8430" width="54.42578125" customWidth="1"/>
    <col min="8431" max="8431" width="10.85546875" customWidth="1"/>
    <col min="8432" max="8433" width="13.28515625" customWidth="1"/>
    <col min="8434" max="8434" width="12.7109375" customWidth="1"/>
    <col min="8435" max="8435" width="19.28515625" customWidth="1"/>
    <col min="8436" max="8436" width="18.28515625" customWidth="1"/>
    <col min="8437" max="8437" width="2" customWidth="1"/>
    <col min="8441" max="8441" width="25.85546875" customWidth="1"/>
    <col min="8445" max="8446" width="10.7109375" customWidth="1"/>
    <col min="8447" max="8447" width="81" customWidth="1"/>
    <col min="8448" max="8448" width="15.5703125" customWidth="1"/>
    <col min="8449" max="8449" width="10.7109375" customWidth="1"/>
    <col min="8685" max="8685" width="2.7109375" customWidth="1"/>
    <col min="8686" max="8686" width="54.42578125" customWidth="1"/>
    <col min="8687" max="8687" width="10.85546875" customWidth="1"/>
    <col min="8688" max="8689" width="13.28515625" customWidth="1"/>
    <col min="8690" max="8690" width="12.7109375" customWidth="1"/>
    <col min="8691" max="8691" width="19.28515625" customWidth="1"/>
    <col min="8692" max="8692" width="18.28515625" customWidth="1"/>
    <col min="8693" max="8693" width="2" customWidth="1"/>
    <col min="8697" max="8697" width="25.85546875" customWidth="1"/>
    <col min="8701" max="8702" width="10.7109375" customWidth="1"/>
    <col min="8703" max="8703" width="81" customWidth="1"/>
    <col min="8704" max="8704" width="15.5703125" customWidth="1"/>
    <col min="8705" max="8705" width="10.7109375" customWidth="1"/>
    <col min="8941" max="8941" width="2.7109375" customWidth="1"/>
    <col min="8942" max="8942" width="54.42578125" customWidth="1"/>
    <col min="8943" max="8943" width="10.85546875" customWidth="1"/>
    <col min="8944" max="8945" width="13.28515625" customWidth="1"/>
    <col min="8946" max="8946" width="12.7109375" customWidth="1"/>
    <col min="8947" max="8947" width="19.28515625" customWidth="1"/>
    <col min="8948" max="8948" width="18.28515625" customWidth="1"/>
    <col min="8949" max="8949" width="2" customWidth="1"/>
    <col min="8953" max="8953" width="25.85546875" customWidth="1"/>
    <col min="8957" max="8958" width="10.7109375" customWidth="1"/>
    <col min="8959" max="8959" width="81" customWidth="1"/>
    <col min="8960" max="8960" width="15.5703125" customWidth="1"/>
    <col min="8961" max="8961" width="10.7109375" customWidth="1"/>
    <col min="9197" max="9197" width="2.7109375" customWidth="1"/>
    <col min="9198" max="9198" width="54.42578125" customWidth="1"/>
    <col min="9199" max="9199" width="10.85546875" customWidth="1"/>
    <col min="9200" max="9201" width="13.28515625" customWidth="1"/>
    <col min="9202" max="9202" width="12.7109375" customWidth="1"/>
    <col min="9203" max="9203" width="19.28515625" customWidth="1"/>
    <col min="9204" max="9204" width="18.28515625" customWidth="1"/>
    <col min="9205" max="9205" width="2" customWidth="1"/>
    <col min="9209" max="9209" width="25.85546875" customWidth="1"/>
    <col min="9213" max="9214" width="10.7109375" customWidth="1"/>
    <col min="9215" max="9215" width="81" customWidth="1"/>
    <col min="9216" max="9216" width="15.5703125" customWidth="1"/>
    <col min="9217" max="9217" width="10.7109375" customWidth="1"/>
    <col min="9453" max="9453" width="2.7109375" customWidth="1"/>
    <col min="9454" max="9454" width="54.42578125" customWidth="1"/>
    <col min="9455" max="9455" width="10.85546875" customWidth="1"/>
    <col min="9456" max="9457" width="13.28515625" customWidth="1"/>
    <col min="9458" max="9458" width="12.7109375" customWidth="1"/>
    <col min="9459" max="9459" width="19.28515625" customWidth="1"/>
    <col min="9460" max="9460" width="18.28515625" customWidth="1"/>
    <col min="9461" max="9461" width="2" customWidth="1"/>
    <col min="9465" max="9465" width="25.85546875" customWidth="1"/>
    <col min="9469" max="9470" width="10.7109375" customWidth="1"/>
    <col min="9471" max="9471" width="81" customWidth="1"/>
    <col min="9472" max="9472" width="15.5703125" customWidth="1"/>
    <col min="9473" max="9473" width="10.7109375" customWidth="1"/>
    <col min="9709" max="9709" width="2.7109375" customWidth="1"/>
    <col min="9710" max="9710" width="54.42578125" customWidth="1"/>
    <col min="9711" max="9711" width="10.85546875" customWidth="1"/>
    <col min="9712" max="9713" width="13.28515625" customWidth="1"/>
    <col min="9714" max="9714" width="12.7109375" customWidth="1"/>
    <col min="9715" max="9715" width="19.28515625" customWidth="1"/>
    <col min="9716" max="9716" width="18.28515625" customWidth="1"/>
    <col min="9717" max="9717" width="2" customWidth="1"/>
    <col min="9721" max="9721" width="25.85546875" customWidth="1"/>
    <col min="9725" max="9726" width="10.7109375" customWidth="1"/>
    <col min="9727" max="9727" width="81" customWidth="1"/>
    <col min="9728" max="9728" width="15.5703125" customWidth="1"/>
    <col min="9729" max="9729" width="10.7109375" customWidth="1"/>
    <col min="9965" max="9965" width="2.7109375" customWidth="1"/>
    <col min="9966" max="9966" width="54.42578125" customWidth="1"/>
    <col min="9967" max="9967" width="10.85546875" customWidth="1"/>
    <col min="9968" max="9969" width="13.28515625" customWidth="1"/>
    <col min="9970" max="9970" width="12.7109375" customWidth="1"/>
    <col min="9971" max="9971" width="19.28515625" customWidth="1"/>
    <col min="9972" max="9972" width="18.28515625" customWidth="1"/>
    <col min="9973" max="9973" width="2" customWidth="1"/>
    <col min="9977" max="9977" width="25.85546875" customWidth="1"/>
    <col min="9981" max="9982" width="10.7109375" customWidth="1"/>
    <col min="9983" max="9983" width="81" customWidth="1"/>
    <col min="9984" max="9984" width="15.5703125" customWidth="1"/>
    <col min="9985" max="9985" width="10.7109375" customWidth="1"/>
    <col min="10221" max="10221" width="2.7109375" customWidth="1"/>
    <col min="10222" max="10222" width="54.42578125" customWidth="1"/>
    <col min="10223" max="10223" width="10.85546875" customWidth="1"/>
    <col min="10224" max="10225" width="13.28515625" customWidth="1"/>
    <col min="10226" max="10226" width="12.7109375" customWidth="1"/>
    <col min="10227" max="10227" width="19.28515625" customWidth="1"/>
    <col min="10228" max="10228" width="18.28515625" customWidth="1"/>
    <col min="10229" max="10229" width="2" customWidth="1"/>
    <col min="10233" max="10233" width="25.85546875" customWidth="1"/>
    <col min="10237" max="10238" width="10.7109375" customWidth="1"/>
    <col min="10239" max="10239" width="81" customWidth="1"/>
    <col min="10240" max="10240" width="15.5703125" customWidth="1"/>
    <col min="10241" max="10241" width="10.7109375" customWidth="1"/>
    <col min="10477" max="10477" width="2.7109375" customWidth="1"/>
    <col min="10478" max="10478" width="54.42578125" customWidth="1"/>
    <col min="10479" max="10479" width="10.85546875" customWidth="1"/>
    <col min="10480" max="10481" width="13.28515625" customWidth="1"/>
    <col min="10482" max="10482" width="12.7109375" customWidth="1"/>
    <col min="10483" max="10483" width="19.28515625" customWidth="1"/>
    <col min="10484" max="10484" width="18.28515625" customWidth="1"/>
    <col min="10485" max="10485" width="2" customWidth="1"/>
    <col min="10489" max="10489" width="25.85546875" customWidth="1"/>
    <col min="10493" max="10494" width="10.7109375" customWidth="1"/>
    <col min="10495" max="10495" width="81" customWidth="1"/>
    <col min="10496" max="10496" width="15.5703125" customWidth="1"/>
    <col min="10497" max="10497" width="10.7109375" customWidth="1"/>
    <col min="10733" max="10733" width="2.7109375" customWidth="1"/>
    <col min="10734" max="10734" width="54.42578125" customWidth="1"/>
    <col min="10735" max="10735" width="10.85546875" customWidth="1"/>
    <col min="10736" max="10737" width="13.28515625" customWidth="1"/>
    <col min="10738" max="10738" width="12.7109375" customWidth="1"/>
    <col min="10739" max="10739" width="19.28515625" customWidth="1"/>
    <col min="10740" max="10740" width="18.28515625" customWidth="1"/>
    <col min="10741" max="10741" width="2" customWidth="1"/>
    <col min="10745" max="10745" width="25.85546875" customWidth="1"/>
    <col min="10749" max="10750" width="10.7109375" customWidth="1"/>
    <col min="10751" max="10751" width="81" customWidth="1"/>
    <col min="10752" max="10752" width="15.5703125" customWidth="1"/>
    <col min="10753" max="10753" width="10.7109375" customWidth="1"/>
    <col min="10989" max="10989" width="2.7109375" customWidth="1"/>
    <col min="10990" max="10990" width="54.42578125" customWidth="1"/>
    <col min="10991" max="10991" width="10.85546875" customWidth="1"/>
    <col min="10992" max="10993" width="13.28515625" customWidth="1"/>
    <col min="10994" max="10994" width="12.7109375" customWidth="1"/>
    <col min="10995" max="10995" width="19.28515625" customWidth="1"/>
    <col min="10996" max="10996" width="18.28515625" customWidth="1"/>
    <col min="10997" max="10997" width="2" customWidth="1"/>
    <col min="11001" max="11001" width="25.85546875" customWidth="1"/>
    <col min="11005" max="11006" width="10.7109375" customWidth="1"/>
    <col min="11007" max="11007" width="81" customWidth="1"/>
    <col min="11008" max="11008" width="15.5703125" customWidth="1"/>
    <col min="11009" max="11009" width="10.7109375" customWidth="1"/>
    <col min="11245" max="11245" width="2.7109375" customWidth="1"/>
    <col min="11246" max="11246" width="54.42578125" customWidth="1"/>
    <col min="11247" max="11247" width="10.85546875" customWidth="1"/>
    <col min="11248" max="11249" width="13.28515625" customWidth="1"/>
    <col min="11250" max="11250" width="12.7109375" customWidth="1"/>
    <col min="11251" max="11251" width="19.28515625" customWidth="1"/>
    <col min="11252" max="11252" width="18.28515625" customWidth="1"/>
    <col min="11253" max="11253" width="2" customWidth="1"/>
    <col min="11257" max="11257" width="25.85546875" customWidth="1"/>
    <col min="11261" max="11262" width="10.7109375" customWidth="1"/>
    <col min="11263" max="11263" width="81" customWidth="1"/>
    <col min="11264" max="11264" width="15.5703125" customWidth="1"/>
    <col min="11265" max="11265" width="10.7109375" customWidth="1"/>
    <col min="11501" max="11501" width="2.7109375" customWidth="1"/>
    <col min="11502" max="11502" width="54.42578125" customWidth="1"/>
    <col min="11503" max="11503" width="10.85546875" customWidth="1"/>
    <col min="11504" max="11505" width="13.28515625" customWidth="1"/>
    <col min="11506" max="11506" width="12.7109375" customWidth="1"/>
    <col min="11507" max="11507" width="19.28515625" customWidth="1"/>
    <col min="11508" max="11508" width="18.28515625" customWidth="1"/>
    <col min="11509" max="11509" width="2" customWidth="1"/>
    <col min="11513" max="11513" width="25.85546875" customWidth="1"/>
    <col min="11517" max="11518" width="10.7109375" customWidth="1"/>
    <col min="11519" max="11519" width="81" customWidth="1"/>
    <col min="11520" max="11520" width="15.5703125" customWidth="1"/>
    <col min="11521" max="11521" width="10.7109375" customWidth="1"/>
    <col min="11757" max="11757" width="2.7109375" customWidth="1"/>
    <col min="11758" max="11758" width="54.42578125" customWidth="1"/>
    <col min="11759" max="11759" width="10.85546875" customWidth="1"/>
    <col min="11760" max="11761" width="13.28515625" customWidth="1"/>
    <col min="11762" max="11762" width="12.7109375" customWidth="1"/>
    <col min="11763" max="11763" width="19.28515625" customWidth="1"/>
    <col min="11764" max="11764" width="18.28515625" customWidth="1"/>
    <col min="11765" max="11765" width="2" customWidth="1"/>
    <col min="11769" max="11769" width="25.85546875" customWidth="1"/>
    <col min="11773" max="11774" width="10.7109375" customWidth="1"/>
    <col min="11775" max="11775" width="81" customWidth="1"/>
    <col min="11776" max="11776" width="15.5703125" customWidth="1"/>
    <col min="11777" max="11777" width="10.7109375" customWidth="1"/>
    <col min="12013" max="12013" width="2.7109375" customWidth="1"/>
    <col min="12014" max="12014" width="54.42578125" customWidth="1"/>
    <col min="12015" max="12015" width="10.85546875" customWidth="1"/>
    <col min="12016" max="12017" width="13.28515625" customWidth="1"/>
    <col min="12018" max="12018" width="12.7109375" customWidth="1"/>
    <col min="12019" max="12019" width="19.28515625" customWidth="1"/>
    <col min="12020" max="12020" width="18.28515625" customWidth="1"/>
    <col min="12021" max="12021" width="2" customWidth="1"/>
    <col min="12025" max="12025" width="25.85546875" customWidth="1"/>
    <col min="12029" max="12030" width="10.7109375" customWidth="1"/>
    <col min="12031" max="12031" width="81" customWidth="1"/>
    <col min="12032" max="12032" width="15.5703125" customWidth="1"/>
    <col min="12033" max="12033" width="10.7109375" customWidth="1"/>
    <col min="12269" max="12269" width="2.7109375" customWidth="1"/>
    <col min="12270" max="12270" width="54.42578125" customWidth="1"/>
    <col min="12271" max="12271" width="10.85546875" customWidth="1"/>
    <col min="12272" max="12273" width="13.28515625" customWidth="1"/>
    <col min="12274" max="12274" width="12.7109375" customWidth="1"/>
    <col min="12275" max="12275" width="19.28515625" customWidth="1"/>
    <col min="12276" max="12276" width="18.28515625" customWidth="1"/>
    <col min="12277" max="12277" width="2" customWidth="1"/>
    <col min="12281" max="12281" width="25.85546875" customWidth="1"/>
    <col min="12285" max="12286" width="10.7109375" customWidth="1"/>
    <col min="12287" max="12287" width="81" customWidth="1"/>
    <col min="12288" max="12288" width="15.5703125" customWidth="1"/>
    <col min="12289" max="12289" width="10.7109375" customWidth="1"/>
    <col min="12525" max="12525" width="2.7109375" customWidth="1"/>
    <col min="12526" max="12526" width="54.42578125" customWidth="1"/>
    <col min="12527" max="12527" width="10.85546875" customWidth="1"/>
    <col min="12528" max="12529" width="13.28515625" customWidth="1"/>
    <col min="12530" max="12530" width="12.7109375" customWidth="1"/>
    <col min="12531" max="12531" width="19.28515625" customWidth="1"/>
    <col min="12532" max="12532" width="18.28515625" customWidth="1"/>
    <col min="12533" max="12533" width="2" customWidth="1"/>
    <col min="12537" max="12537" width="25.85546875" customWidth="1"/>
    <col min="12541" max="12542" width="10.7109375" customWidth="1"/>
    <col min="12543" max="12543" width="81" customWidth="1"/>
    <col min="12544" max="12544" width="15.5703125" customWidth="1"/>
    <col min="12545" max="12545" width="10.7109375" customWidth="1"/>
    <col min="12781" max="12781" width="2.7109375" customWidth="1"/>
    <col min="12782" max="12782" width="54.42578125" customWidth="1"/>
    <col min="12783" max="12783" width="10.85546875" customWidth="1"/>
    <col min="12784" max="12785" width="13.28515625" customWidth="1"/>
    <col min="12786" max="12786" width="12.7109375" customWidth="1"/>
    <col min="12787" max="12787" width="19.28515625" customWidth="1"/>
    <col min="12788" max="12788" width="18.28515625" customWidth="1"/>
    <col min="12789" max="12789" width="2" customWidth="1"/>
    <col min="12793" max="12793" width="25.85546875" customWidth="1"/>
    <col min="12797" max="12798" width="10.7109375" customWidth="1"/>
    <col min="12799" max="12799" width="81" customWidth="1"/>
    <col min="12800" max="12800" width="15.5703125" customWidth="1"/>
    <col min="12801" max="12801" width="10.7109375" customWidth="1"/>
    <col min="13037" max="13037" width="2.7109375" customWidth="1"/>
    <col min="13038" max="13038" width="54.42578125" customWidth="1"/>
    <col min="13039" max="13039" width="10.85546875" customWidth="1"/>
    <col min="13040" max="13041" width="13.28515625" customWidth="1"/>
    <col min="13042" max="13042" width="12.7109375" customWidth="1"/>
    <col min="13043" max="13043" width="19.28515625" customWidth="1"/>
    <col min="13044" max="13044" width="18.28515625" customWidth="1"/>
    <col min="13045" max="13045" width="2" customWidth="1"/>
    <col min="13049" max="13049" width="25.85546875" customWidth="1"/>
    <col min="13053" max="13054" width="10.7109375" customWidth="1"/>
    <col min="13055" max="13055" width="81" customWidth="1"/>
    <col min="13056" max="13056" width="15.5703125" customWidth="1"/>
    <col min="13057" max="13057" width="10.7109375" customWidth="1"/>
    <col min="13293" max="13293" width="2.7109375" customWidth="1"/>
    <col min="13294" max="13294" width="54.42578125" customWidth="1"/>
    <col min="13295" max="13295" width="10.85546875" customWidth="1"/>
    <col min="13296" max="13297" width="13.28515625" customWidth="1"/>
    <col min="13298" max="13298" width="12.7109375" customWidth="1"/>
    <col min="13299" max="13299" width="19.28515625" customWidth="1"/>
    <col min="13300" max="13300" width="18.28515625" customWidth="1"/>
    <col min="13301" max="13301" width="2" customWidth="1"/>
    <col min="13305" max="13305" width="25.85546875" customWidth="1"/>
    <col min="13309" max="13310" width="10.7109375" customWidth="1"/>
    <col min="13311" max="13311" width="81" customWidth="1"/>
    <col min="13312" max="13312" width="15.5703125" customWidth="1"/>
    <col min="13313" max="13313" width="10.7109375" customWidth="1"/>
    <col min="13549" max="13549" width="2.7109375" customWidth="1"/>
    <col min="13550" max="13550" width="54.42578125" customWidth="1"/>
    <col min="13551" max="13551" width="10.85546875" customWidth="1"/>
    <col min="13552" max="13553" width="13.28515625" customWidth="1"/>
    <col min="13554" max="13554" width="12.7109375" customWidth="1"/>
    <col min="13555" max="13555" width="19.28515625" customWidth="1"/>
    <col min="13556" max="13556" width="18.28515625" customWidth="1"/>
    <col min="13557" max="13557" width="2" customWidth="1"/>
    <col min="13561" max="13561" width="25.85546875" customWidth="1"/>
    <col min="13565" max="13566" width="10.7109375" customWidth="1"/>
    <col min="13567" max="13567" width="81" customWidth="1"/>
    <col min="13568" max="13568" width="15.5703125" customWidth="1"/>
    <col min="13569" max="13569" width="10.7109375" customWidth="1"/>
    <col min="13805" max="13805" width="2.7109375" customWidth="1"/>
    <col min="13806" max="13806" width="54.42578125" customWidth="1"/>
    <col min="13807" max="13807" width="10.85546875" customWidth="1"/>
    <col min="13808" max="13809" width="13.28515625" customWidth="1"/>
    <col min="13810" max="13810" width="12.7109375" customWidth="1"/>
    <col min="13811" max="13811" width="19.28515625" customWidth="1"/>
    <col min="13812" max="13812" width="18.28515625" customWidth="1"/>
    <col min="13813" max="13813" width="2" customWidth="1"/>
    <col min="13817" max="13817" width="25.85546875" customWidth="1"/>
    <col min="13821" max="13822" width="10.7109375" customWidth="1"/>
    <col min="13823" max="13823" width="81" customWidth="1"/>
    <col min="13824" max="13824" width="15.5703125" customWidth="1"/>
    <col min="13825" max="13825" width="10.7109375" customWidth="1"/>
    <col min="14061" max="14061" width="2.7109375" customWidth="1"/>
    <col min="14062" max="14062" width="54.42578125" customWidth="1"/>
    <col min="14063" max="14063" width="10.85546875" customWidth="1"/>
    <col min="14064" max="14065" width="13.28515625" customWidth="1"/>
    <col min="14066" max="14066" width="12.7109375" customWidth="1"/>
    <col min="14067" max="14067" width="19.28515625" customWidth="1"/>
    <col min="14068" max="14068" width="18.28515625" customWidth="1"/>
    <col min="14069" max="14069" width="2" customWidth="1"/>
    <col min="14073" max="14073" width="25.85546875" customWidth="1"/>
    <col min="14077" max="14078" width="10.7109375" customWidth="1"/>
    <col min="14079" max="14079" width="81" customWidth="1"/>
    <col min="14080" max="14080" width="15.5703125" customWidth="1"/>
    <col min="14081" max="14081" width="10.7109375" customWidth="1"/>
    <col min="14317" max="14317" width="2.7109375" customWidth="1"/>
    <col min="14318" max="14318" width="54.42578125" customWidth="1"/>
    <col min="14319" max="14319" width="10.85546875" customWidth="1"/>
    <col min="14320" max="14321" width="13.28515625" customWidth="1"/>
    <col min="14322" max="14322" width="12.7109375" customWidth="1"/>
    <col min="14323" max="14323" width="19.28515625" customWidth="1"/>
    <col min="14324" max="14324" width="18.28515625" customWidth="1"/>
    <col min="14325" max="14325" width="2" customWidth="1"/>
    <col min="14329" max="14329" width="25.85546875" customWidth="1"/>
    <col min="14333" max="14334" width="10.7109375" customWidth="1"/>
    <col min="14335" max="14335" width="81" customWidth="1"/>
    <col min="14336" max="14336" width="15.5703125" customWidth="1"/>
    <col min="14337" max="14337" width="10.7109375" customWidth="1"/>
    <col min="14573" max="14573" width="2.7109375" customWidth="1"/>
    <col min="14574" max="14574" width="54.42578125" customWidth="1"/>
    <col min="14575" max="14575" width="10.85546875" customWidth="1"/>
    <col min="14576" max="14577" width="13.28515625" customWidth="1"/>
    <col min="14578" max="14578" width="12.7109375" customWidth="1"/>
    <col min="14579" max="14579" width="19.28515625" customWidth="1"/>
    <col min="14580" max="14580" width="18.28515625" customWidth="1"/>
    <col min="14581" max="14581" width="2" customWidth="1"/>
    <col min="14585" max="14585" width="25.85546875" customWidth="1"/>
    <col min="14589" max="14590" width="10.7109375" customWidth="1"/>
    <col min="14591" max="14591" width="81" customWidth="1"/>
    <col min="14592" max="14592" width="15.5703125" customWidth="1"/>
    <col min="14593" max="14593" width="10.7109375" customWidth="1"/>
    <col min="14829" max="14829" width="2.7109375" customWidth="1"/>
    <col min="14830" max="14830" width="54.42578125" customWidth="1"/>
    <col min="14831" max="14831" width="10.85546875" customWidth="1"/>
    <col min="14832" max="14833" width="13.28515625" customWidth="1"/>
    <col min="14834" max="14834" width="12.7109375" customWidth="1"/>
    <col min="14835" max="14835" width="19.28515625" customWidth="1"/>
    <col min="14836" max="14836" width="18.28515625" customWidth="1"/>
    <col min="14837" max="14837" width="2" customWidth="1"/>
    <col min="14841" max="14841" width="25.85546875" customWidth="1"/>
    <col min="14845" max="14846" width="10.7109375" customWidth="1"/>
    <col min="14847" max="14847" width="81" customWidth="1"/>
    <col min="14848" max="14848" width="15.5703125" customWidth="1"/>
    <col min="14849" max="14849" width="10.7109375" customWidth="1"/>
    <col min="15085" max="15085" width="2.7109375" customWidth="1"/>
    <col min="15086" max="15086" width="54.42578125" customWidth="1"/>
    <col min="15087" max="15087" width="10.85546875" customWidth="1"/>
    <col min="15088" max="15089" width="13.28515625" customWidth="1"/>
    <col min="15090" max="15090" width="12.7109375" customWidth="1"/>
    <col min="15091" max="15091" width="19.28515625" customWidth="1"/>
    <col min="15092" max="15092" width="18.28515625" customWidth="1"/>
    <col min="15093" max="15093" width="2" customWidth="1"/>
    <col min="15097" max="15097" width="25.85546875" customWidth="1"/>
    <col min="15101" max="15102" width="10.7109375" customWidth="1"/>
    <col min="15103" max="15103" width="81" customWidth="1"/>
    <col min="15104" max="15104" width="15.5703125" customWidth="1"/>
    <col min="15105" max="15105" width="10.7109375" customWidth="1"/>
    <col min="15341" max="15341" width="2.7109375" customWidth="1"/>
    <col min="15342" max="15342" width="54.42578125" customWidth="1"/>
    <col min="15343" max="15343" width="10.85546875" customWidth="1"/>
    <col min="15344" max="15345" width="13.28515625" customWidth="1"/>
    <col min="15346" max="15346" width="12.7109375" customWidth="1"/>
    <col min="15347" max="15347" width="19.28515625" customWidth="1"/>
    <col min="15348" max="15348" width="18.28515625" customWidth="1"/>
    <col min="15349" max="15349" width="2" customWidth="1"/>
    <col min="15353" max="15353" width="25.85546875" customWidth="1"/>
    <col min="15357" max="15358" width="10.7109375" customWidth="1"/>
    <col min="15359" max="15359" width="81" customWidth="1"/>
    <col min="15360" max="15360" width="15.5703125" customWidth="1"/>
    <col min="15361" max="15361" width="10.7109375" customWidth="1"/>
    <col min="15597" max="15597" width="2.7109375" customWidth="1"/>
    <col min="15598" max="15598" width="54.42578125" customWidth="1"/>
    <col min="15599" max="15599" width="10.85546875" customWidth="1"/>
    <col min="15600" max="15601" width="13.28515625" customWidth="1"/>
    <col min="15602" max="15602" width="12.7109375" customWidth="1"/>
    <col min="15603" max="15603" width="19.28515625" customWidth="1"/>
    <col min="15604" max="15604" width="18.28515625" customWidth="1"/>
    <col min="15605" max="15605" width="2" customWidth="1"/>
    <col min="15609" max="15609" width="25.85546875" customWidth="1"/>
    <col min="15613" max="15614" width="10.7109375" customWidth="1"/>
    <col min="15615" max="15615" width="81" customWidth="1"/>
    <col min="15616" max="15616" width="15.5703125" customWidth="1"/>
    <col min="15617" max="15617" width="10.7109375" customWidth="1"/>
    <col min="15853" max="15853" width="2.7109375" customWidth="1"/>
    <col min="15854" max="15854" width="54.42578125" customWidth="1"/>
    <col min="15855" max="15855" width="10.85546875" customWidth="1"/>
    <col min="15856" max="15857" width="13.28515625" customWidth="1"/>
    <col min="15858" max="15858" width="12.7109375" customWidth="1"/>
    <col min="15859" max="15859" width="19.28515625" customWidth="1"/>
    <col min="15860" max="15860" width="18.28515625" customWidth="1"/>
    <col min="15861" max="15861" width="2" customWidth="1"/>
    <col min="15865" max="15865" width="25.85546875" customWidth="1"/>
    <col min="15869" max="15870" width="10.7109375" customWidth="1"/>
    <col min="15871" max="15871" width="81" customWidth="1"/>
    <col min="15872" max="15872" width="15.5703125" customWidth="1"/>
    <col min="15873" max="15873" width="10.7109375" customWidth="1"/>
    <col min="16109" max="16109" width="2.7109375" customWidth="1"/>
    <col min="16110" max="16110" width="54.42578125" customWidth="1"/>
    <col min="16111" max="16111" width="10.85546875" customWidth="1"/>
    <col min="16112" max="16113" width="13.28515625" customWidth="1"/>
    <col min="16114" max="16114" width="12.7109375" customWidth="1"/>
    <col min="16115" max="16115" width="19.28515625" customWidth="1"/>
    <col min="16116" max="16116" width="18.28515625" customWidth="1"/>
    <col min="16117" max="16117" width="2" customWidth="1"/>
    <col min="16121" max="16121" width="25.85546875" customWidth="1"/>
    <col min="16125" max="16126" width="10.7109375" customWidth="1"/>
    <col min="16127" max="16127" width="81" customWidth="1"/>
    <col min="16128" max="16128" width="15.5703125" customWidth="1"/>
    <col min="16129" max="16129" width="10.7109375" customWidth="1"/>
  </cols>
  <sheetData>
    <row r="1" spans="1:5">
      <c r="A1" s="148" t="s">
        <v>6</v>
      </c>
      <c r="B1" s="146"/>
    </row>
    <row r="2" spans="1:5">
      <c r="A2" s="11" t="s">
        <v>14</v>
      </c>
      <c r="B2" s="146"/>
    </row>
    <row r="3" spans="1:5">
      <c r="A3" t="s">
        <v>13</v>
      </c>
      <c r="B3" s="146"/>
      <c r="E3" s="1"/>
    </row>
    <row r="4" spans="1:5">
      <c r="A4" t="s">
        <v>10</v>
      </c>
      <c r="B4" s="146"/>
    </row>
    <row r="5" spans="1:5">
      <c r="A5" t="s">
        <v>37</v>
      </c>
      <c r="B5" s="146"/>
    </row>
    <row r="6" spans="1:5">
      <c r="A6" t="s">
        <v>9</v>
      </c>
      <c r="B6" s="146"/>
    </row>
    <row r="7" spans="1:5">
      <c r="A7" t="s">
        <v>53</v>
      </c>
      <c r="B7" s="146"/>
    </row>
    <row r="8" spans="1:5">
      <c r="A8" t="s">
        <v>8</v>
      </c>
      <c r="B8" s="146"/>
    </row>
    <row r="9" spans="1:5">
      <c r="A9" t="s">
        <v>11</v>
      </c>
      <c r="B9" s="146"/>
    </row>
    <row r="10" spans="1:5">
      <c r="A10" t="s">
        <v>52</v>
      </c>
      <c r="B10" s="146"/>
    </row>
    <row r="11" spans="1:5">
      <c r="A11" t="s">
        <v>38</v>
      </c>
      <c r="B11" s="146"/>
    </row>
    <row r="12" spans="1:5">
      <c r="A12" s="147" t="s">
        <v>39</v>
      </c>
      <c r="B12" s="146"/>
    </row>
    <row r="13" spans="1:5">
      <c r="A13" s="150" t="s">
        <v>50</v>
      </c>
      <c r="B13" s="146"/>
    </row>
    <row r="14" spans="1:5">
      <c r="B14" s="146"/>
    </row>
    <row r="15" spans="1:5" ht="15.75">
      <c r="A15" s="149" t="s">
        <v>12</v>
      </c>
      <c r="B15" s="146"/>
    </row>
  </sheetData>
  <pageMargins left="0.7" right="0.7" top="0.75" bottom="0.75" header="0.3" footer="0.3"/>
  <pageSetup orientation="portrait" r:id="rId1"/>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Pricing-BOE</vt:lpstr>
      <vt:lpstr>Instructions</vt:lpstr>
      <vt:lpstr>'Pricing-BOE'!Print_Area</vt:lpstr>
      <vt:lpstr>'Pricing-BOE'!Print_Titles</vt:lpstr>
    </vt:vector>
  </TitlesOfParts>
  <Company>RER Financial Group,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Errin Green</dc:creator>
  <cp:lastModifiedBy>Gallaher, Heidi J. (Veterans Management Services, Inc.</cp:lastModifiedBy>
  <cp:lastPrinted>2015-11-08T19:18:15Z</cp:lastPrinted>
  <dcterms:created xsi:type="dcterms:W3CDTF">2015-11-07T23:19:44Z</dcterms:created>
  <dcterms:modified xsi:type="dcterms:W3CDTF">2026-04-10T15:14:44Z</dcterms:modified>
</cp:coreProperties>
</file>