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od365.sharepoint-mil.us/sites/DISA-PS7-Contracts/Shared Documents/FY25/HC101925C0002 HC1085448152 Video Wall VP JS/1 NEW REQUIREMENT DOCS/"/>
    </mc:Choice>
  </mc:AlternateContent>
  <xr:revisionPtr revIDLastSave="6" documentId="8_{0BFB9A8B-99BA-4494-BBC1-3EEFBF4C50FB}" xr6:coauthVersionLast="47" xr6:coauthVersionMax="47" xr10:uidLastSave="{A77CC83F-B057-4174-B86F-1A4DE62E94C8}"/>
  <bookViews>
    <workbookView xWindow="3255" yWindow="1170" windowWidth="25110" windowHeight="14745" xr2:uid="{00000000-000D-0000-FFFF-FFFF00000000}"/>
  </bookViews>
  <sheets>
    <sheet name="PRICE QUOTE WORKSHEET" sheetId="3" r:id="rId1"/>
    <sheet name="SalientCharacteristicsEqualPro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 l="1"/>
  <c r="F19" i="3"/>
  <c r="F18" i="3"/>
  <c r="F17" i="3"/>
  <c r="F16" i="3"/>
  <c r="F15" i="3"/>
  <c r="F14" i="3"/>
  <c r="F8" i="3"/>
</calcChain>
</file>

<file path=xl/sharedStrings.xml><?xml version="1.0" encoding="utf-8"?>
<sst xmlns="http://schemas.openxmlformats.org/spreadsheetml/2006/main" count="125" uniqueCount="96">
  <si>
    <t>PRICE QUOTE WORKSHEET</t>
  </si>
  <si>
    <t>CLINs</t>
  </si>
  <si>
    <t>Description</t>
  </si>
  <si>
    <t>Qty</t>
  </si>
  <si>
    <t>Unit of Measure</t>
  </si>
  <si>
    <t>Unit Price</t>
  </si>
  <si>
    <t>Extended Price</t>
  </si>
  <si>
    <t>0001</t>
  </si>
  <si>
    <t>MATERIAL AND EQUIPMENT</t>
  </si>
  <si>
    <t>EA</t>
  </si>
  <si>
    <t>0002</t>
  </si>
  <si>
    <t>INCIDENTAL INSTALLATION</t>
  </si>
  <si>
    <t>0003</t>
  </si>
  <si>
    <t>TRAVEL, SHIPPING, OTHER</t>
  </si>
  <si>
    <t>0004</t>
  </si>
  <si>
    <t>INSTALLATION WARRANTY</t>
  </si>
  <si>
    <t>TOTAL PRICE</t>
  </si>
  <si>
    <t>REQUIRED BREAKDOWN OF CLIN 0001</t>
  </si>
  <si>
    <t>Requirement Specifications</t>
  </si>
  <si>
    <t>Item #s</t>
  </si>
  <si>
    <t>Proposed Manufacturer/Brand</t>
  </si>
  <si>
    <t>Proposed Part No.</t>
  </si>
  <si>
    <t>Brand Name (BN) or Equal</t>
  </si>
  <si>
    <t>Manufacturer/Brand</t>
  </si>
  <si>
    <t>Part No.</t>
  </si>
  <si>
    <t>1</t>
  </si>
  <si>
    <t>Indoor Video Wall, 2160x7680, 6' 7.72" H X 23' 7.46" W X 0.95" D (Approximate Dimensions)</t>
  </si>
  <si>
    <t>Equal</t>
  </si>
  <si>
    <t>Daktronics</t>
  </si>
  <si>
    <t>NPN-6600-0.9MN</t>
  </si>
  <si>
    <t>2</t>
  </si>
  <si>
    <t>Quantum Ultra 610 (20x4 HDMI)</t>
  </si>
  <si>
    <t>Extron</t>
  </si>
  <si>
    <t>3</t>
  </si>
  <si>
    <t>Four Output Board, HDMI 4K/60 with Stereo Audio</t>
  </si>
  <si>
    <t>BN</t>
  </si>
  <si>
    <t>70-1113-01</t>
  </si>
  <si>
    <t>4</t>
  </si>
  <si>
    <t>XTP Fiber Optic Transmitter for HDMI, MM</t>
  </si>
  <si>
    <t>60-1276-11</t>
  </si>
  <si>
    <t>5</t>
  </si>
  <si>
    <t>4K Premium High Speed HDMI Ultra-Flexible Cable, 3'</t>
  </si>
  <si>
    <t>26-663-03</t>
  </si>
  <si>
    <t>6</t>
  </si>
  <si>
    <t>4K Premium High Speed HDMI Ultra-Flexible Cable, 6'</t>
  </si>
  <si>
    <t>26-663-06</t>
  </si>
  <si>
    <t>7</t>
  </si>
  <si>
    <t>4K Premium High Speed HDMI Ultra-Flexible Cable, 9'</t>
  </si>
  <si>
    <t>26-663-09</t>
  </si>
  <si>
    <t>Additional Breakdowns Required to Meet the Proposal Submission and Evaluation Criteria:</t>
  </si>
  <si>
    <t>- Propose break-downs of CLINs 0002 - 0004 in a format that ensures that offer meets the solicitation criteria.</t>
  </si>
  <si>
    <t>- Offerors shall propose a total firm-fixed price and provide a detailed breakdown of labor and other direct costs (ODCs). Labor rates should be fully loaded hourly rates for each labor category that may be required in support of this effort.</t>
  </si>
  <si>
    <t xml:space="preserve">- Offerors shall ensure the Price Quote includes detailed information regarding the resources required to accomplish the task (e.g., labor categories, labor hours, number of
employees for each labor category, rates, etc.). </t>
  </si>
  <si>
    <t>- All ODCs shall annotate the specific detail (e.g., quantity, part number, manufacturer, etc.).</t>
  </si>
  <si>
    <t>- Any materials/equipment beyond the required seven (7) items under CLIN 0001 shall be clearly listed and broken down under ODCs (CLIN 0003).</t>
  </si>
  <si>
    <t>- All travel must show the specific detail, if known (e.g., number of days, locations, number of personnel, etc.). Travel shall be authorized by the KO in writing prior to performance and will be paid IAW FAR Part 
31.205-46.</t>
  </si>
  <si>
    <t>Manufacturer</t>
  </si>
  <si>
    <t>Part Number</t>
  </si>
  <si>
    <t>Salient Characteristics for Equalvalent</t>
  </si>
  <si>
    <t>Pixel Configuration COB (chip-on-board), "Flip Chip" package.</t>
  </si>
  <si>
    <t>Line and Column Spacing 0.038 inches - 0.953 millimeters</t>
  </si>
  <si>
    <t>Panel Configuration - Pixels (RxC) 360 x 640</t>
  </si>
  <si>
    <t>Panel Dimensions 13.287h x 23.622w in - Diagonal Dim. 27.103 in</t>
  </si>
  <si>
    <t>Maximum Power per Panel 96 watts</t>
  </si>
  <si>
    <t>Average Power per Panel 23 Watts</t>
  </si>
  <si>
    <t>Display Weight per Panel 8.71 pounds - 3.95 kilograms</t>
  </si>
  <si>
    <t>Processing 22 bit Distributed</t>
  </si>
  <si>
    <t>Color Capacity 16 bit (281 Trillion Colors)</t>
  </si>
  <si>
    <t>Dimming 256 levels</t>
  </si>
  <si>
    <t>Color Temperature 3,000º-10,000º kelvin (adjustable)</t>
  </si>
  <si>
    <t>LED Refresh Rate 3840 hertz</t>
  </si>
  <si>
    <t>LED Lifetime 100,000 hrs</t>
  </si>
  <si>
    <t>Brightness - Typical Nits 1,000 nits each cabinet (cd/sm)</t>
  </si>
  <si>
    <t>Horizontal Viewing Angle 160º</t>
  </si>
  <si>
    <t>Vertical Viewing Angle (Up/Down) +80/-80º</t>
  </si>
  <si>
    <t>Contrast Ratio &gt;5000:1</t>
  </si>
  <si>
    <t>Service Access Front Only</t>
  </si>
  <si>
    <t>Cabinet Depth .957 inches - 24.3 millimeters</t>
  </si>
  <si>
    <t>Cabinet Construction Die-Cast Aluminum</t>
  </si>
  <si>
    <t>Working Temperature Rating -4º to 113º F - -20º to 45º C</t>
  </si>
  <si>
    <t>Data Transmission to Display Fiber, recommended 4 strand</t>
  </si>
  <si>
    <t>Remote Rackmounted Power Modules and Remote Rackmounted Video/Data Modules</t>
  </si>
  <si>
    <t>Spare Parts - 15% for Video Modules and 10% for Other Parts</t>
  </si>
  <si>
    <t>Max 4K Resolution and Refresh Rates 4096x2160 at 30 Hz, 3840x2160 at 30 Hz, 4096x2160 at 60 Hz, 3840x2160 at 60 Hz</t>
  </si>
  <si>
    <t>Chroma Sampling 4:4:4 or 4:2:2</t>
  </si>
  <si>
    <t>Color Bit Depth 8 or 10 Bits per Color</t>
  </si>
  <si>
    <t>Signal Type DVI 1.0, HDMI 1.4, and HDCP 1.4</t>
  </si>
  <si>
    <t>Supports at least 18 HDMI Inputs</t>
  </si>
  <si>
    <t>Input Resolution Range 640x480 to 3840x2400, 4K Resolutions are Supported up to 30 Hz</t>
  </si>
  <si>
    <t>Output Scaled Resolutions 1024x768 to Custom, Some 4K Resolutions Require Special Connections</t>
  </si>
  <si>
    <t>Output Vertical Frequencies 23.98 Hz, 24 Hz, 25 Hz, 29.97 Hz, 30 Hz, 50 Hz, 59.94 Hz, 60 Hz</t>
  </si>
  <si>
    <t>Control RS-232 Serial Control Port, Ethernet Ports, USB Control Port</t>
  </si>
  <si>
    <t>Redundant Hot-Swappable Power Supply, 100-240 VAC, 50-60 Hz</t>
  </si>
  <si>
    <t>Power Consumption 60-571 Watts</t>
  </si>
  <si>
    <t>Thermal Dissipation 208-1941 BTU/hr</t>
  </si>
  <si>
    <t>60-1990-000518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</si>
</sst>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0"/>
      <name val="Arial"/>
    </font>
    <font>
      <sz val="10"/>
      <name val="Arial"/>
      <family val="2"/>
    </font>
    <font>
      <b/>
      <sz val="10"/>
      <name val="Arial"/>
      <family val="2"/>
    </font>
    <font>
      <sz val="10"/>
      <name val="Arial"/>
      <family val="2"/>
    </font>
    <font>
      <sz val="10"/>
      <name val="Arial"/>
      <family val="2"/>
    </font>
    <font>
      <sz val="10"/>
      <color indexed="8"/>
      <name val="Arial"/>
      <family val="2"/>
    </font>
    <font>
      <sz val="10"/>
      <color indexed="8"/>
      <name val="Arial"/>
      <family val="2"/>
    </font>
    <font>
      <sz val="10"/>
      <name val="Helv"/>
    </font>
    <font>
      <b/>
      <sz val="11"/>
      <name val="Arial"/>
      <family val="2"/>
    </font>
    <font>
      <sz val="11"/>
      <name val="Arial"/>
      <family val="2"/>
    </font>
    <font>
      <sz val="11"/>
      <color indexed="8"/>
      <name val="Arial"/>
      <family val="2"/>
    </font>
    <font>
      <sz val="11"/>
      <name val="Arial"/>
    </font>
  </fonts>
  <fills count="4">
    <fill>
      <patternFill patternType="none"/>
    </fill>
    <fill>
      <patternFill patternType="gray125"/>
    </fill>
    <fill>
      <patternFill patternType="solid">
        <fgColor rgb="FFFFFF00"/>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44" fontId="1" fillId="0" borderId="0" applyFont="0" applyFill="0" applyBorder="0" applyAlignment="0" applyProtection="0"/>
    <xf numFmtId="44" fontId="3"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0" fontId="6" fillId="0" borderId="0"/>
    <xf numFmtId="0" fontId="5" fillId="0" borderId="0"/>
    <xf numFmtId="0" fontId="3" fillId="0" borderId="0"/>
    <xf numFmtId="0" fontId="5" fillId="0" borderId="0"/>
    <xf numFmtId="0" fontId="4" fillId="0" borderId="0"/>
    <xf numFmtId="0" fontId="7" fillId="0" borderId="0"/>
  </cellStyleXfs>
  <cellXfs count="26">
    <xf numFmtId="0" fontId="0" fillId="0" borderId="0" xfId="0"/>
    <xf numFmtId="0" fontId="2" fillId="0" borderId="1" xfId="0" applyFont="1" applyBorder="1" applyAlignment="1">
      <alignment horizontal="center" wrapText="1"/>
    </xf>
    <xf numFmtId="0" fontId="2" fillId="0" borderId="1" xfId="0" applyFont="1" applyBorder="1" applyAlignment="1">
      <alignment horizontal="center"/>
    </xf>
    <xf numFmtId="1" fontId="2" fillId="0" borderId="1" xfId="9" applyNumberFormat="1" applyFont="1" applyBorder="1" applyAlignment="1">
      <alignment horizontal="center" wrapText="1"/>
    </xf>
    <xf numFmtId="0" fontId="1" fillId="0" borderId="0" xfId="0" applyFont="1"/>
    <xf numFmtId="0" fontId="1" fillId="0" borderId="0" xfId="0" applyFont="1" applyAlignment="1">
      <alignment wrapText="1"/>
    </xf>
    <xf numFmtId="0" fontId="8" fillId="0" borderId="0" xfId="0" applyFont="1"/>
    <xf numFmtId="0" fontId="9" fillId="0" borderId="0" xfId="0" applyFont="1"/>
    <xf numFmtId="0" fontId="8" fillId="0" borderId="1" xfId="0" applyFont="1" applyBorder="1"/>
    <xf numFmtId="0" fontId="9" fillId="0" borderId="1" xfId="0" quotePrefix="1" applyFont="1" applyBorder="1"/>
    <xf numFmtId="0" fontId="9" fillId="0" borderId="1" xfId="0" applyFont="1" applyBorder="1"/>
    <xf numFmtId="0" fontId="9" fillId="0" borderId="1" xfId="0" applyFont="1" applyBorder="1" applyAlignment="1">
      <alignment horizontal="center"/>
    </xf>
    <xf numFmtId="0" fontId="9" fillId="2" borderId="1" xfId="0" applyFont="1" applyFill="1" applyBorder="1" applyAlignment="1">
      <alignment horizontal="center"/>
    </xf>
    <xf numFmtId="44" fontId="9" fillId="2" borderId="1" xfId="1" applyFont="1" applyFill="1" applyBorder="1"/>
    <xf numFmtId="0" fontId="8" fillId="0" borderId="1" xfId="0" applyFont="1" applyBorder="1" applyAlignment="1">
      <alignment horizontal="right"/>
    </xf>
    <xf numFmtId="44" fontId="8" fillId="3" borderId="1" xfId="1" applyFont="1" applyFill="1" applyBorder="1"/>
    <xf numFmtId="0" fontId="8" fillId="0" borderId="1" xfId="0" applyFont="1" applyBorder="1" applyAlignment="1">
      <alignment wrapText="1"/>
    </xf>
    <xf numFmtId="49" fontId="9" fillId="0" borderId="1" xfId="0" applyNumberFormat="1" applyFont="1" applyBorder="1"/>
    <xf numFmtId="0" fontId="9" fillId="2" borderId="1" xfId="0" applyFont="1" applyFill="1" applyBorder="1"/>
    <xf numFmtId="0" fontId="9" fillId="0" borderId="1" xfId="0" applyFont="1" applyBorder="1" applyAlignment="1">
      <alignment wrapText="1"/>
    </xf>
    <xf numFmtId="44" fontId="10" fillId="2" borderId="1" xfId="3" applyFont="1" applyFill="1" applyBorder="1" applyAlignment="1">
      <alignment horizontal="right"/>
    </xf>
    <xf numFmtId="0" fontId="9" fillId="0" borderId="0" xfId="0" quotePrefix="1" applyFont="1"/>
    <xf numFmtId="1" fontId="9" fillId="0" borderId="1" xfId="9" applyNumberFormat="1" applyFont="1" applyBorder="1" applyAlignment="1">
      <alignment horizontal="left" wrapText="1"/>
    </xf>
    <xf numFmtId="0" fontId="11" fillId="0" borderId="1" xfId="0" applyFont="1" applyBorder="1" applyAlignment="1">
      <alignment horizontal="center"/>
    </xf>
    <xf numFmtId="0" fontId="11" fillId="0" borderId="1" xfId="0" applyFont="1" applyBorder="1" applyAlignment="1">
      <alignment wrapText="1"/>
    </xf>
    <xf numFmtId="0" fontId="9" fillId="0" borderId="1" xfId="10" applyFont="1" applyBorder="1" applyAlignment="1">
      <alignment horizontal="center"/>
    </xf>
  </cellXfs>
  <cellStyles count="11">
    <cellStyle name="Currency" xfId="1" builtinId="4"/>
    <cellStyle name="Currency 2" xfId="2" xr:uid="{00000000-0005-0000-0000-000001000000}"/>
    <cellStyle name="Currency 3" xfId="3" xr:uid="{00000000-0005-0000-0000-000002000000}"/>
    <cellStyle name="Currency 3 2" xfId="4" xr:uid="{00000000-0005-0000-0000-000003000000}"/>
    <cellStyle name="Normal" xfId="0" builtinId="0"/>
    <cellStyle name="Normal 2" xfId="5" xr:uid="{00000000-0005-0000-0000-000006000000}"/>
    <cellStyle name="Normal 2 2" xfId="6" xr:uid="{00000000-0005-0000-0000-000007000000}"/>
    <cellStyle name="Normal 3" xfId="7" xr:uid="{00000000-0005-0000-0000-000008000000}"/>
    <cellStyle name="Normal 4" xfId="8" xr:uid="{00000000-0005-0000-0000-000009000000}"/>
    <cellStyle name="Normal_Afghan DCN buildout" xfId="9" xr:uid="{00000000-0005-0000-0000-00000A000000}"/>
    <cellStyle name="Normal_SBL_FLY_UK__July_11_2008(1)" xfId="10" xr:uid="{00000000-0005-0000-0000-00000B000000}"/>
  </cellStyles>
  <dxfs count="0"/>
  <tableStyles count="0" defaultTableStyle="TableStyleMedium9"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A291-5CEA-4A4B-A099-05E2C388AE7F}">
  <dimension ref="A1:L27"/>
  <sheetViews>
    <sheetView tabSelected="1" topLeftCell="A9" workbookViewId="0">
      <selection activeCell="L14" sqref="L14"/>
    </sheetView>
  </sheetViews>
  <sheetFormatPr defaultRowHeight="14.25" x14ac:dyDescent="0.2"/>
  <cols>
    <col min="1" max="1" width="8.28515625" style="7" customWidth="1"/>
    <col min="2" max="2" width="41" style="7" customWidth="1"/>
    <col min="3" max="3" width="9.140625" style="7"/>
    <col min="4" max="4" width="18.42578125" style="7" customWidth="1"/>
    <col min="5" max="5" width="11.28515625" style="7" customWidth="1"/>
    <col min="6" max="6" width="17" style="7" customWidth="1"/>
    <col min="7" max="7" width="28.7109375" style="7" customWidth="1"/>
    <col min="8" max="8" width="20.28515625" style="7" customWidth="1"/>
    <col min="9" max="9" width="9.140625" style="7"/>
    <col min="10" max="10" width="21.42578125" style="7" customWidth="1"/>
    <col min="11" max="11" width="20.42578125" style="7" customWidth="1"/>
    <col min="12" max="12" width="20" style="7" customWidth="1"/>
    <col min="13" max="16384" width="9.140625" style="7"/>
  </cols>
  <sheetData>
    <row r="1" spans="1:12" ht="15" x14ac:dyDescent="0.25">
      <c r="A1" s="6" t="s">
        <v>0</v>
      </c>
    </row>
    <row r="3" spans="1:12" ht="15" x14ac:dyDescent="0.25">
      <c r="A3" s="8" t="s">
        <v>1</v>
      </c>
      <c r="B3" s="8" t="s">
        <v>2</v>
      </c>
      <c r="C3" s="8" t="s">
        <v>3</v>
      </c>
      <c r="D3" s="8" t="s">
        <v>4</v>
      </c>
      <c r="E3" s="8" t="s">
        <v>5</v>
      </c>
      <c r="F3" s="8" t="s">
        <v>6</v>
      </c>
    </row>
    <row r="4" spans="1:12" x14ac:dyDescent="0.2">
      <c r="A4" s="9" t="s">
        <v>7</v>
      </c>
      <c r="B4" s="10" t="s">
        <v>8</v>
      </c>
      <c r="C4" s="11">
        <v>1</v>
      </c>
      <c r="D4" s="11" t="s">
        <v>9</v>
      </c>
      <c r="E4" s="12"/>
      <c r="F4" s="13"/>
    </row>
    <row r="5" spans="1:12" x14ac:dyDescent="0.2">
      <c r="A5" s="9" t="s">
        <v>10</v>
      </c>
      <c r="B5" s="10" t="s">
        <v>11</v>
      </c>
      <c r="C5" s="11">
        <v>1</v>
      </c>
      <c r="D5" s="11" t="s">
        <v>9</v>
      </c>
      <c r="E5" s="12"/>
      <c r="F5" s="13"/>
    </row>
    <row r="6" spans="1:12" x14ac:dyDescent="0.2">
      <c r="A6" s="9" t="s">
        <v>12</v>
      </c>
      <c r="B6" s="10" t="s">
        <v>13</v>
      </c>
      <c r="C6" s="11">
        <v>1</v>
      </c>
      <c r="D6" s="11" t="s">
        <v>9</v>
      </c>
      <c r="E6" s="12"/>
      <c r="F6" s="13"/>
    </row>
    <row r="7" spans="1:12" x14ac:dyDescent="0.2">
      <c r="A7" s="9" t="s">
        <v>14</v>
      </c>
      <c r="B7" s="10" t="s">
        <v>15</v>
      </c>
      <c r="C7" s="11">
        <v>1</v>
      </c>
      <c r="D7" s="11" t="s">
        <v>9</v>
      </c>
      <c r="E7" s="12"/>
      <c r="F7" s="13"/>
    </row>
    <row r="8" spans="1:12" ht="15" x14ac:dyDescent="0.25">
      <c r="A8" s="10"/>
      <c r="B8" s="10"/>
      <c r="C8" s="10"/>
      <c r="D8" s="10"/>
      <c r="E8" s="14" t="s">
        <v>16</v>
      </c>
      <c r="F8" s="15">
        <f>SUM(F4:F7)</f>
        <v>0</v>
      </c>
    </row>
    <row r="11" spans="1:12" ht="15" x14ac:dyDescent="0.25">
      <c r="A11" s="6" t="s">
        <v>17</v>
      </c>
      <c r="J11" s="7" t="s">
        <v>18</v>
      </c>
    </row>
    <row r="12" spans="1:12" ht="30" x14ac:dyDescent="0.25">
      <c r="A12" s="8" t="s">
        <v>19</v>
      </c>
      <c r="B12" s="8" t="s">
        <v>2</v>
      </c>
      <c r="C12" s="8" t="s">
        <v>3</v>
      </c>
      <c r="D12" s="8" t="s">
        <v>4</v>
      </c>
      <c r="E12" s="8" t="s">
        <v>5</v>
      </c>
      <c r="F12" s="8" t="s">
        <v>6</v>
      </c>
      <c r="G12" s="8" t="s">
        <v>20</v>
      </c>
      <c r="H12" s="8" t="s">
        <v>21</v>
      </c>
      <c r="J12" s="16" t="s">
        <v>22</v>
      </c>
      <c r="K12" s="8" t="s">
        <v>23</v>
      </c>
      <c r="L12" s="8" t="s">
        <v>24</v>
      </c>
    </row>
    <row r="13" spans="1:12" ht="67.5" customHeight="1" x14ac:dyDescent="0.2">
      <c r="A13" s="17" t="s">
        <v>25</v>
      </c>
      <c r="B13" s="22" t="s">
        <v>26</v>
      </c>
      <c r="C13" s="23">
        <v>2</v>
      </c>
      <c r="D13" s="11" t="s">
        <v>9</v>
      </c>
      <c r="E13" s="13"/>
      <c r="F13" s="13">
        <f>SUM(C13*E13)</f>
        <v>0</v>
      </c>
      <c r="G13" s="18"/>
      <c r="H13" s="18"/>
      <c r="J13" s="17" t="s">
        <v>27</v>
      </c>
      <c r="K13" s="10" t="s">
        <v>28</v>
      </c>
      <c r="L13" s="19" t="s">
        <v>29</v>
      </c>
    </row>
    <row r="14" spans="1:12" x14ac:dyDescent="0.2">
      <c r="A14" s="17" t="s">
        <v>30</v>
      </c>
      <c r="B14" s="24" t="s">
        <v>31</v>
      </c>
      <c r="C14" s="23">
        <v>2</v>
      </c>
      <c r="D14" s="11" t="s">
        <v>9</v>
      </c>
      <c r="E14" s="13"/>
      <c r="F14" s="13">
        <f t="shared" ref="F14:F19" si="0">SUM(C14*E14)</f>
        <v>0</v>
      </c>
      <c r="G14" s="18"/>
      <c r="H14" s="18"/>
      <c r="J14" s="17" t="s">
        <v>27</v>
      </c>
      <c r="K14" s="10" t="s">
        <v>32</v>
      </c>
      <c r="L14" s="24" t="s">
        <v>95</v>
      </c>
    </row>
    <row r="15" spans="1:12" ht="28.5" x14ac:dyDescent="0.2">
      <c r="A15" s="17" t="s">
        <v>33</v>
      </c>
      <c r="B15" s="19" t="s">
        <v>34</v>
      </c>
      <c r="C15" s="25">
        <v>6</v>
      </c>
      <c r="D15" s="11" t="s">
        <v>9</v>
      </c>
      <c r="E15" s="20"/>
      <c r="F15" s="13">
        <f t="shared" si="0"/>
        <v>0</v>
      </c>
      <c r="G15" s="18"/>
      <c r="H15" s="18"/>
      <c r="J15" s="17" t="s">
        <v>35</v>
      </c>
      <c r="K15" s="10" t="s">
        <v>32</v>
      </c>
      <c r="L15" s="22" t="s">
        <v>36</v>
      </c>
    </row>
    <row r="16" spans="1:12" x14ac:dyDescent="0.2">
      <c r="A16" s="17" t="s">
        <v>37</v>
      </c>
      <c r="B16" s="19" t="s">
        <v>38</v>
      </c>
      <c r="C16" s="25">
        <v>4</v>
      </c>
      <c r="D16" s="11" t="s">
        <v>9</v>
      </c>
      <c r="E16" s="20"/>
      <c r="F16" s="13">
        <f t="shared" si="0"/>
        <v>0</v>
      </c>
      <c r="G16" s="18"/>
      <c r="H16" s="18"/>
      <c r="J16" s="17" t="s">
        <v>35</v>
      </c>
      <c r="K16" s="10" t="s">
        <v>32</v>
      </c>
      <c r="L16" s="22" t="s">
        <v>39</v>
      </c>
    </row>
    <row r="17" spans="1:12" ht="28.5" x14ac:dyDescent="0.2">
      <c r="A17" s="17" t="s">
        <v>40</v>
      </c>
      <c r="B17" s="19" t="s">
        <v>41</v>
      </c>
      <c r="C17" s="25">
        <v>5</v>
      </c>
      <c r="D17" s="11" t="s">
        <v>9</v>
      </c>
      <c r="E17" s="20"/>
      <c r="F17" s="13">
        <f t="shared" si="0"/>
        <v>0</v>
      </c>
      <c r="G17" s="18"/>
      <c r="H17" s="18"/>
      <c r="J17" s="17" t="s">
        <v>27</v>
      </c>
      <c r="K17" s="10" t="s">
        <v>32</v>
      </c>
      <c r="L17" s="22" t="s">
        <v>42</v>
      </c>
    </row>
    <row r="18" spans="1:12" ht="28.5" x14ac:dyDescent="0.2">
      <c r="A18" s="17" t="s">
        <v>43</v>
      </c>
      <c r="B18" s="19" t="s">
        <v>44</v>
      </c>
      <c r="C18" s="25">
        <v>18</v>
      </c>
      <c r="D18" s="11" t="s">
        <v>9</v>
      </c>
      <c r="E18" s="20"/>
      <c r="F18" s="13">
        <f t="shared" si="0"/>
        <v>0</v>
      </c>
      <c r="G18" s="18"/>
      <c r="H18" s="18"/>
      <c r="J18" s="17" t="s">
        <v>27</v>
      </c>
      <c r="K18" s="10" t="s">
        <v>32</v>
      </c>
      <c r="L18" s="22" t="s">
        <v>45</v>
      </c>
    </row>
    <row r="19" spans="1:12" ht="28.5" x14ac:dyDescent="0.2">
      <c r="A19" s="17" t="s">
        <v>46</v>
      </c>
      <c r="B19" s="19" t="s">
        <v>47</v>
      </c>
      <c r="C19" s="25">
        <v>12</v>
      </c>
      <c r="D19" s="11" t="s">
        <v>9</v>
      </c>
      <c r="E19" s="20"/>
      <c r="F19" s="13">
        <f t="shared" si="0"/>
        <v>0</v>
      </c>
      <c r="G19" s="18"/>
      <c r="H19" s="18"/>
      <c r="J19" s="17" t="s">
        <v>27</v>
      </c>
      <c r="K19" s="10" t="s">
        <v>32</v>
      </c>
      <c r="L19" s="22" t="s">
        <v>48</v>
      </c>
    </row>
    <row r="21" spans="1:12" ht="15" x14ac:dyDescent="0.25">
      <c r="A21" s="6" t="s">
        <v>49</v>
      </c>
    </row>
    <row r="22" spans="1:12" x14ac:dyDescent="0.2">
      <c r="A22" s="21" t="s">
        <v>50</v>
      </c>
    </row>
    <row r="23" spans="1:12" x14ac:dyDescent="0.2">
      <c r="A23" s="21" t="s">
        <v>51</v>
      </c>
    </row>
    <row r="24" spans="1:12" x14ac:dyDescent="0.2">
      <c r="A24" s="21" t="s">
        <v>52</v>
      </c>
    </row>
    <row r="25" spans="1:12" x14ac:dyDescent="0.2">
      <c r="A25" s="21" t="s">
        <v>53</v>
      </c>
    </row>
    <row r="26" spans="1:12" x14ac:dyDescent="0.2">
      <c r="A26" s="21" t="s">
        <v>54</v>
      </c>
    </row>
    <row r="27" spans="1:12" x14ac:dyDescent="0.2">
      <c r="A27" s="2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CA19-CB93-4737-AD7E-F5535D134DAB}">
  <dimension ref="A1:C37"/>
  <sheetViews>
    <sheetView workbookViewId="0">
      <selection activeCell="B26" sqref="B26"/>
    </sheetView>
  </sheetViews>
  <sheetFormatPr defaultRowHeight="12.75" x14ac:dyDescent="0.2"/>
  <cols>
    <col min="1" max="1" width="11.85546875" customWidth="1"/>
    <col min="2" max="2" width="32.140625" customWidth="1"/>
    <col min="3" max="3" width="81" customWidth="1"/>
  </cols>
  <sheetData>
    <row r="1" spans="1:3" ht="30.75" customHeight="1" x14ac:dyDescent="0.2">
      <c r="A1" s="2" t="s">
        <v>56</v>
      </c>
      <c r="B1" s="1" t="s">
        <v>57</v>
      </c>
      <c r="C1" s="3" t="s">
        <v>58</v>
      </c>
    </row>
    <row r="2" spans="1:3" x14ac:dyDescent="0.2">
      <c r="A2" s="4" t="s">
        <v>28</v>
      </c>
      <c r="B2" s="4" t="s">
        <v>29</v>
      </c>
      <c r="C2" t="s">
        <v>59</v>
      </c>
    </row>
    <row r="3" spans="1:3" x14ac:dyDescent="0.2">
      <c r="C3" t="s">
        <v>60</v>
      </c>
    </row>
    <row r="4" spans="1:3" x14ac:dyDescent="0.2">
      <c r="C4" t="s">
        <v>61</v>
      </c>
    </row>
    <row r="5" spans="1:3" x14ac:dyDescent="0.2">
      <c r="C5" t="s">
        <v>62</v>
      </c>
    </row>
    <row r="6" spans="1:3" x14ac:dyDescent="0.2">
      <c r="C6" t="s">
        <v>63</v>
      </c>
    </row>
    <row r="7" spans="1:3" x14ac:dyDescent="0.2">
      <c r="C7" t="s">
        <v>64</v>
      </c>
    </row>
    <row r="8" spans="1:3" x14ac:dyDescent="0.2">
      <c r="C8" t="s">
        <v>65</v>
      </c>
    </row>
    <row r="9" spans="1:3" x14ac:dyDescent="0.2">
      <c r="C9" t="s">
        <v>66</v>
      </c>
    </row>
    <row r="10" spans="1:3" x14ac:dyDescent="0.2">
      <c r="C10" t="s">
        <v>67</v>
      </c>
    </row>
    <row r="11" spans="1:3" x14ac:dyDescent="0.2">
      <c r="C11" t="s">
        <v>68</v>
      </c>
    </row>
    <row r="12" spans="1:3" x14ac:dyDescent="0.2">
      <c r="C12" t="s">
        <v>69</v>
      </c>
    </row>
    <row r="13" spans="1:3" x14ac:dyDescent="0.2">
      <c r="C13" t="s">
        <v>70</v>
      </c>
    </row>
    <row r="14" spans="1:3" x14ac:dyDescent="0.2">
      <c r="C14" t="s">
        <v>71</v>
      </c>
    </row>
    <row r="15" spans="1:3" x14ac:dyDescent="0.2">
      <c r="C15" t="s">
        <v>72</v>
      </c>
    </row>
    <row r="16" spans="1:3" x14ac:dyDescent="0.2">
      <c r="C16" t="s">
        <v>73</v>
      </c>
    </row>
    <row r="17" spans="1:3" x14ac:dyDescent="0.2">
      <c r="C17" t="s">
        <v>74</v>
      </c>
    </row>
    <row r="18" spans="1:3" x14ac:dyDescent="0.2">
      <c r="C18" t="s">
        <v>75</v>
      </c>
    </row>
    <row r="19" spans="1:3" x14ac:dyDescent="0.2">
      <c r="C19" t="s">
        <v>76</v>
      </c>
    </row>
    <row r="20" spans="1:3" x14ac:dyDescent="0.2">
      <c r="C20" t="s">
        <v>77</v>
      </c>
    </row>
    <row r="21" spans="1:3" x14ac:dyDescent="0.2">
      <c r="C21" t="s">
        <v>78</v>
      </c>
    </row>
    <row r="22" spans="1:3" x14ac:dyDescent="0.2">
      <c r="C22" t="s">
        <v>79</v>
      </c>
    </row>
    <row r="23" spans="1:3" x14ac:dyDescent="0.2">
      <c r="C23" t="s">
        <v>80</v>
      </c>
    </row>
    <row r="24" spans="1:3" x14ac:dyDescent="0.2">
      <c r="C24" s="4" t="s">
        <v>81</v>
      </c>
    </row>
    <row r="25" spans="1:3" x14ac:dyDescent="0.2">
      <c r="C25" s="4" t="s">
        <v>82</v>
      </c>
    </row>
    <row r="26" spans="1:3" ht="25.5" x14ac:dyDescent="0.2">
      <c r="A26" t="s">
        <v>32</v>
      </c>
      <c r="B26" t="s">
        <v>95</v>
      </c>
      <c r="C26" s="5" t="s">
        <v>83</v>
      </c>
    </row>
    <row r="27" spans="1:3" x14ac:dyDescent="0.2">
      <c r="C27" s="4" t="s">
        <v>84</v>
      </c>
    </row>
    <row r="28" spans="1:3" x14ac:dyDescent="0.2">
      <c r="C28" s="4" t="s">
        <v>85</v>
      </c>
    </row>
    <row r="29" spans="1:3" x14ac:dyDescent="0.2">
      <c r="C29" s="4" t="s">
        <v>86</v>
      </c>
    </row>
    <row r="30" spans="1:3" x14ac:dyDescent="0.2">
      <c r="C30" s="4" t="s">
        <v>87</v>
      </c>
    </row>
    <row r="31" spans="1:3" x14ac:dyDescent="0.2">
      <c r="C31" s="4" t="s">
        <v>88</v>
      </c>
    </row>
    <row r="32" spans="1:3" x14ac:dyDescent="0.2">
      <c r="C32" s="4" t="s">
        <v>89</v>
      </c>
    </row>
    <row r="33" spans="3:3" x14ac:dyDescent="0.2">
      <c r="C33" s="4" t="s">
        <v>90</v>
      </c>
    </row>
    <row r="34" spans="3:3" x14ac:dyDescent="0.2">
      <c r="C34" s="4" t="s">
        <v>91</v>
      </c>
    </row>
    <row r="35" spans="3:3" x14ac:dyDescent="0.2">
      <c r="C35" s="4" t="s">
        <v>92</v>
      </c>
    </row>
    <row r="36" spans="3:3" x14ac:dyDescent="0.2">
      <c r="C36" s="4" t="s">
        <v>93</v>
      </c>
    </row>
    <row r="37" spans="3:3" x14ac:dyDescent="0.2">
      <c r="C37" s="4" t="s">
        <v>94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C130CCEFB9A84CBABB5C40A86994B0" ma:contentTypeVersion="17" ma:contentTypeDescription="Create a new document." ma:contentTypeScope="" ma:versionID="724913ef04bdff8091b117c05ae93d33">
  <xsd:schema xmlns:xsd="http://www.w3.org/2001/XMLSchema" xmlns:xs="http://www.w3.org/2001/XMLSchema" xmlns:p="http://schemas.microsoft.com/office/2006/metadata/properties" xmlns:ns1="http://schemas.microsoft.com/sharepoint/v3" xmlns:ns2="3be4c20d-c2e3-4fb1-abdb-e7928549c4ed" xmlns:ns3="32c40f33-8a63-4686-be74-218c6dcd9c70" targetNamespace="http://schemas.microsoft.com/office/2006/metadata/properties" ma:root="true" ma:fieldsID="3375628337bfb9b7243df3936db11f45" ns1:_="" ns2:_="" ns3:_="">
    <xsd:import namespace="http://schemas.microsoft.com/sharepoint/v3"/>
    <xsd:import namespace="3be4c20d-c2e3-4fb1-abdb-e7928549c4ed"/>
    <xsd:import namespace="32c40f33-8a63-4686-be74-218c6dcd9c7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e4c20d-c2e3-4fb1-abdb-e7928549c4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40f33-8a63-4686-be74-218c6dcd9c7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4c096bc-c807-4930-8ce8-fff430bd7a87}" ma:internalName="TaxCatchAll" ma:showField="CatchAllData" ma:web="32c40f33-8a63-4686-be74-218c6dcd9c70">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32c40f33-8a63-4686-be74-218c6dcd9c70" xsi:nil="true"/>
    <_ip_UnifiedCompliancePolicyProperties xmlns="http://schemas.microsoft.com/sharepoint/v3" xsi:nil="true"/>
    <lcf76f155ced4ddcb4097134ff3c332f xmlns="3be4c20d-c2e3-4fb1-abdb-e7928549c4e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313161-0AF1-436D-BC9C-C8EFC48DD766}">
  <ds:schemaRefs>
    <ds:schemaRef ds:uri="http://schemas.microsoft.com/sharepoint/v3/contenttype/forms"/>
  </ds:schemaRefs>
</ds:datastoreItem>
</file>

<file path=customXml/itemProps2.xml><?xml version="1.0" encoding="utf-8"?>
<ds:datastoreItem xmlns:ds="http://schemas.openxmlformats.org/officeDocument/2006/customXml" ds:itemID="{535EBC8F-9E84-48C2-9C94-FA338BFAE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be4c20d-c2e3-4fb1-abdb-e7928549c4ed"/>
    <ds:schemaRef ds:uri="32c40f33-8a63-4686-be74-218c6dcd9c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A3248B-8E99-447C-B404-2A7DC8E1F9B1}">
  <ds:schemaRefs>
    <ds:schemaRef ds:uri="http://schemas.microsoft.com/office/2006/metadata/properties"/>
    <ds:schemaRef ds:uri="http://schemas.microsoft.com/office/infopath/2007/PartnerControls"/>
    <ds:schemaRef ds:uri="http://schemas.microsoft.com/sharepoint/v3"/>
    <ds:schemaRef ds:uri="32c40f33-8a63-4686-be74-218c6dcd9c70"/>
    <ds:schemaRef ds:uri="3be4c20d-c2e3-4fb1-abdb-e7928549c4ed"/>
  </ds:schemaRefs>
</ds:datastoreItem>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 QUOTE WORKSHEET</vt:lpstr>
      <vt:lpstr>SalientCharacteristicsEqualProd</vt:lpstr>
    </vt:vector>
  </TitlesOfParts>
  <Manager/>
  <Company>Defense Information Systems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debi.santoro</dc:creator>
  <cp:keywords/>
  <dc:description/>
  <cp:lastModifiedBy>Pettit, Valerie N CIV DISA PSD (USA)</cp:lastModifiedBy>
  <cp:revision/>
  <dcterms:created xsi:type="dcterms:W3CDTF">2005-06-14T12:08:10Z</dcterms:created>
  <dcterms:modified xsi:type="dcterms:W3CDTF">2026-05-07T23:21:13Z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0x0101006AC130CCEFB9A84CBABB5C40A86994B0</vt:lpwstr>
  </property>
  <property fmtid="{D5CDD505-2E9C-101B-9397-08002B2CF9AE}" pid="3" name="MediaServiceImageTags">
    <vt:lpwstr/>
  </property>
</Properties>
</file>