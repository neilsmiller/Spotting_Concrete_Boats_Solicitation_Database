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rnell A-CTR Shelto\Desktop\"/>
    </mc:Choice>
  </mc:AlternateContent>
  <xr:revisionPtr revIDLastSave="0" documentId="8_{B8354B00-1780-473D-B0FF-B4DDA42588A2}" xr6:coauthVersionLast="47" xr6:coauthVersionMax="47" xr10:uidLastSave="{00000000-0000-0000-0000-000000000000}"/>
  <bookViews>
    <workbookView xWindow="-108" yWindow="-108" windowWidth="23256" windowHeight="12456" xr2:uid="{6D90B607-DF73-BA45-8139-3F1343F59C2C}"/>
  </bookViews>
  <sheets>
    <sheet name="24x7  50+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2" l="1"/>
  <c r="D7" i="2"/>
  <c r="D23" i="2" l="1"/>
  <c r="D24" i="2"/>
  <c r="D22" i="2"/>
  <c r="D9" i="2"/>
  <c r="D10" i="2"/>
  <c r="D11" i="2"/>
  <c r="D12" i="2"/>
  <c r="D13" i="2"/>
  <c r="D14" i="2"/>
  <c r="D15" i="2"/>
  <c r="D16" i="2"/>
  <c r="D17" i="2"/>
  <c r="D18" i="2"/>
  <c r="D19" i="2"/>
  <c r="D20" i="2"/>
  <c r="F51" i="2"/>
  <c r="F52" i="2"/>
  <c r="F50" i="2"/>
  <c r="B36" i="2"/>
  <c r="C36" i="2"/>
  <c r="F53" i="2" l="1"/>
  <c r="D36" i="2"/>
</calcChain>
</file>

<file path=xl/sharedStrings.xml><?xml version="1.0" encoding="utf-8"?>
<sst xmlns="http://schemas.openxmlformats.org/spreadsheetml/2006/main" count="513" uniqueCount="92">
  <si>
    <t>Name &amp; Ident of Facility:  Tampa TRACON/ATCT  TPA</t>
  </si>
  <si>
    <t>*All counts and Sq. Ft. provided are estimates for planning purposes only*</t>
  </si>
  <si>
    <t>Facility Operating Hours:  24x7</t>
  </si>
  <si>
    <t xml:space="preserve">Timeframe to clean Operational Area(s):  evening after 1530 preferred </t>
  </si>
  <si>
    <t>General Frequency 
24/7 Facilities
Occupancy 50+</t>
  </si>
  <si>
    <r>
      <t>Est. Carpeted Sq. Ft.</t>
    </r>
    <r>
      <rPr>
        <b/>
        <sz val="11"/>
        <color rgb="FFFF0000"/>
        <rFont val="Calibri"/>
        <family val="2"/>
        <scheme val="minor"/>
      </rPr>
      <t>*</t>
    </r>
  </si>
  <si>
    <r>
      <t>Est. Uncarpeted Sq. Ft.</t>
    </r>
    <r>
      <rPr>
        <b/>
        <sz val="11"/>
        <color rgb="FFFF0000"/>
        <rFont val="Calibri"/>
        <family val="2"/>
        <scheme val="minor"/>
      </rPr>
      <t>*</t>
    </r>
  </si>
  <si>
    <r>
      <t>Est. Total Square Footage</t>
    </r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rgb="FF000000"/>
        <rFont val="Calibri"/>
        <family val="2"/>
        <scheme val="minor"/>
      </rPr>
      <t xml:space="preserve">
(Cumulative)</t>
    </r>
  </si>
  <si>
    <r>
      <t>Item Count</t>
    </r>
    <r>
      <rPr>
        <b/>
        <sz val="11"/>
        <color rgb="FFFF0000"/>
        <rFont val="Calibri"/>
        <family val="2"/>
        <scheme val="minor"/>
      </rPr>
      <t>*</t>
    </r>
  </si>
  <si>
    <t>Waste/Recycle Receptacles</t>
  </si>
  <si>
    <t>Policing Grounds</t>
  </si>
  <si>
    <t>Smoking Receptacles</t>
  </si>
  <si>
    <t>Surface Dusting &amp; Cleaning</t>
  </si>
  <si>
    <t>High Surface Dusting &amp; Cleaning</t>
  </si>
  <si>
    <t>Vacuum/Polish Furniture</t>
  </si>
  <si>
    <t>Windows</t>
  </si>
  <si>
    <t>Window Covers</t>
  </si>
  <si>
    <t>Carpeted Floors, Rugs and Mats</t>
  </si>
  <si>
    <t>Shampoo/Steam Clean Carpets</t>
  </si>
  <si>
    <t>Clean/Mop Uncarpeted Floors</t>
  </si>
  <si>
    <t>Clean/Strip/Wax/Buff Uncarpeted Floors</t>
  </si>
  <si>
    <t>Replenish Supply Dispensers</t>
  </si>
  <si>
    <t>Clean/Disinfect</t>
  </si>
  <si>
    <t>Clean Glass, Mirrors, and Fixtures</t>
  </si>
  <si>
    <t>SOW Reference</t>
  </si>
  <si>
    <t>Multi</t>
  </si>
  <si>
    <r>
      <t xml:space="preserve">Operational Areas  </t>
    </r>
    <r>
      <rPr>
        <sz val="10"/>
        <color rgb="FF000000"/>
        <rFont val="Calibri"/>
        <family val="2"/>
        <scheme val="minor"/>
      </rPr>
      <t>(nonoperational equipment/fixtures)</t>
    </r>
  </si>
  <si>
    <t>3D7</t>
  </si>
  <si>
    <t>-</t>
  </si>
  <si>
    <t>D7</t>
  </si>
  <si>
    <t>W</t>
  </si>
  <si>
    <t>M</t>
  </si>
  <si>
    <t>Q</t>
  </si>
  <si>
    <r>
      <t xml:space="preserve">Operational Areas </t>
    </r>
    <r>
      <rPr>
        <sz val="9"/>
        <color rgb="FF000000"/>
        <rFont val="Calibri"/>
        <family val="2"/>
        <scheme val="minor"/>
      </rPr>
      <t>(nonoperational equipment/fixtures)</t>
    </r>
  </si>
  <si>
    <t>Shared Office Space</t>
  </si>
  <si>
    <t>D5</t>
  </si>
  <si>
    <t>SA</t>
  </si>
  <si>
    <t>Single Occupancy Office Space</t>
  </si>
  <si>
    <t>Conference Rooms</t>
  </si>
  <si>
    <t>Reception Areas/Lobbies</t>
  </si>
  <si>
    <t>Corridors, Hallways</t>
  </si>
  <si>
    <t>All Breakrooms/Kitchens/Queue Lines</t>
  </si>
  <si>
    <t>2D7</t>
  </si>
  <si>
    <t>Lactation Rooms</t>
  </si>
  <si>
    <t>UB ATSS Admin work area</t>
  </si>
  <si>
    <t>Front door and rear door landings/foyer areas</t>
  </si>
  <si>
    <t xml:space="preserve">Q </t>
  </si>
  <si>
    <t>All Equipment Rooms</t>
  </si>
  <si>
    <t>Janitor Closets/Areas/Rooms</t>
  </si>
  <si>
    <t>All Restrooms</t>
  </si>
  <si>
    <t>Guard House</t>
  </si>
  <si>
    <t>Smoking Area/Shelter</t>
  </si>
  <si>
    <t>Elevator</t>
  </si>
  <si>
    <t>Showers</t>
  </si>
  <si>
    <t>Handicap Lifts</t>
  </si>
  <si>
    <r>
      <t xml:space="preserve">High-Use Stairwells </t>
    </r>
    <r>
      <rPr>
        <sz val="10"/>
        <color rgb="FF000000"/>
        <rFont val="Calibri"/>
        <family val="2"/>
        <scheme val="minor"/>
      </rPr>
      <t>(Frequent/Daily Use) - # of Levels</t>
    </r>
  </si>
  <si>
    <r>
      <t xml:space="preserve">Low-Use Stairwells </t>
    </r>
    <r>
      <rPr>
        <sz val="10"/>
        <color rgb="FF000000"/>
        <rFont val="Calibri"/>
        <family val="2"/>
        <scheme val="minor"/>
      </rPr>
      <t>(Infrequent Use) - # of Levels</t>
    </r>
  </si>
  <si>
    <r>
      <t xml:space="preserve">All Appliances </t>
    </r>
    <r>
      <rPr>
        <sz val="9"/>
        <color rgb="FF000000"/>
        <rFont val="Calibri"/>
        <family val="2"/>
        <scheme val="minor"/>
      </rPr>
      <t>(Stove/Microwave/Refrigerator/Ice Maker)</t>
    </r>
  </si>
  <si>
    <r>
      <t xml:space="preserve">Refrigerators Interior </t>
    </r>
    <r>
      <rPr>
        <sz val="9"/>
        <color rgb="FF000000"/>
        <rFont val="Calibri"/>
        <family val="2"/>
        <scheme val="minor"/>
      </rPr>
      <t xml:space="preserve"> (Total # Refrigerators)</t>
    </r>
  </si>
  <si>
    <t>Drinking Fountains/Bottle Fill Stations</t>
  </si>
  <si>
    <t>HVAC air registers/grilles/diffusers</t>
  </si>
  <si>
    <t xml:space="preserve">Dumpster Area </t>
  </si>
  <si>
    <t>Sidewalks/Grounds</t>
  </si>
  <si>
    <t>Rugs and Mats</t>
  </si>
  <si>
    <t xml:space="preserve"> - </t>
  </si>
  <si>
    <t xml:space="preserve"> -    </t>
  </si>
  <si>
    <t>Estimated Sq. Ft. Totals</t>
  </si>
  <si>
    <t>Chart Key</t>
  </si>
  <si>
    <t>D7 = 1x Day, 7 Days/Wk</t>
  </si>
  <si>
    <t>2D7 = 2x Day, 7 Days/Wk</t>
  </si>
  <si>
    <t>3D7 = 3X Day, 7 Days/Wk</t>
  </si>
  <si>
    <t>D5 = 1x Day, 5 Days/Wk</t>
  </si>
  <si>
    <t>W = Once Weekly</t>
  </si>
  <si>
    <t>M = Once Monthly</t>
  </si>
  <si>
    <t>Q = Quarterly</t>
  </si>
  <si>
    <t>SA = Semi-Annually (Twice a Year)</t>
  </si>
  <si>
    <t>Est. Square Feet</t>
  </si>
  <si>
    <r>
      <t>Total Restrooms</t>
    </r>
    <r>
      <rPr>
        <b/>
        <sz val="10"/>
        <color rgb="FFFF0000"/>
        <rFont val="Calibri"/>
        <family val="2"/>
        <scheme val="minor"/>
      </rPr>
      <t>*</t>
    </r>
  </si>
  <si>
    <t>Quantity</t>
  </si>
  <si>
    <t>Toilets</t>
  </si>
  <si>
    <t>Urinals</t>
  </si>
  <si>
    <t>Avg. Per Restroom</t>
  </si>
  <si>
    <t>Total 
Sq Ft</t>
  </si>
  <si>
    <t>Single Use Restroom</t>
  </si>
  <si>
    <t>Multi-Use Medium Restroom</t>
  </si>
  <si>
    <t>2-3</t>
  </si>
  <si>
    <t>0-2</t>
  </si>
  <si>
    <t>Multi-Use Large Restroom</t>
  </si>
  <si>
    <t>4 +</t>
  </si>
  <si>
    <t>3 +</t>
  </si>
  <si>
    <t>Total Est. Sq. Ft.</t>
  </si>
  <si>
    <t>Address:  4180 George J Bean Pkwy, Tampa, Fl, 33607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</si>
</sst>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4"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000000"/>
      <name val="Calibri (Body)"/>
    </font>
    <font>
      <sz val="9"/>
      <color theme="1"/>
      <name val="Calibri"/>
      <family val="2"/>
      <scheme val="minor"/>
    </font>
    <font>
      <b/>
      <u/>
      <sz val="11"/>
      <color rgb="FF000000"/>
      <name val="Calibri (Body)"/>
    </font>
    <font>
      <b/>
      <sz val="11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 (Body)"/>
    </font>
    <font>
      <sz val="10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0000"/>
      <name val="Calibri (Body)"/>
    </font>
    <font>
      <b/>
      <sz val="11"/>
      <color rgb="FFFF0000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 tint="-0.499984740745262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0" fillId="0" borderId="0" applyFont="0" applyFill="0" applyBorder="0" applyAlignment="0" applyProtection="0"/>
  </cellStyleXfs>
  <cellXfs count="155">
    <xf numFmtId="0" fontId="0" fillId="0" borderId="0" xfId="0"/>
    <xf numFmtId="0" fontId="0" fillId="2" borderId="0" xfId="0" applyFill="1"/>
    <xf numFmtId="0" fontId="0" fillId="2" borderId="0" xfId="0" applyFill="1" applyAlignment="1">
      <alignment wrapText="1"/>
    </xf>
    <xf numFmtId="0" fontId="6" fillId="2" borderId="8" xfId="0" applyFont="1" applyFill="1" applyBorder="1"/>
    <xf numFmtId="0" fontId="2" fillId="2" borderId="0" xfId="0" applyFont="1" applyFill="1"/>
    <xf numFmtId="0" fontId="1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0" fillId="2" borderId="0" xfId="0" applyFill="1" applyAlignment="1">
      <alignment horizontal="left"/>
    </xf>
    <xf numFmtId="0" fontId="8" fillId="2" borderId="0" xfId="0" applyFont="1" applyFill="1" applyAlignment="1">
      <alignment horizontal="left"/>
    </xf>
    <xf numFmtId="0" fontId="10" fillId="2" borderId="0" xfId="0" applyFont="1" applyFill="1" applyAlignment="1">
      <alignment horizontal="left"/>
    </xf>
    <xf numFmtId="0" fontId="6" fillId="2" borderId="5" xfId="0" applyFont="1" applyFill="1" applyBorder="1" applyAlignment="1">
      <alignment horizontal="left" vertical="top"/>
    </xf>
    <xf numFmtId="0" fontId="6" fillId="2" borderId="6" xfId="0" applyFont="1" applyFill="1" applyBorder="1" applyAlignment="1">
      <alignment horizontal="left" vertical="top"/>
    </xf>
    <xf numFmtId="0" fontId="6" fillId="2" borderId="6" xfId="0" applyFont="1" applyFill="1" applyBorder="1" applyAlignment="1">
      <alignment horizontal="left" vertical="center"/>
    </xf>
    <xf numFmtId="0" fontId="6" fillId="2" borderId="6" xfId="0" applyFont="1" applyFill="1" applyBorder="1" applyAlignment="1">
      <alignment horizontal="left"/>
    </xf>
    <xf numFmtId="0" fontId="11" fillId="4" borderId="2" xfId="0" applyFont="1" applyFill="1" applyBorder="1" applyAlignment="1">
      <alignment horizontal="center" vertical="top"/>
    </xf>
    <xf numFmtId="0" fontId="0" fillId="2" borderId="0" xfId="0" applyFill="1" applyAlignment="1">
      <alignment horizontal="center"/>
    </xf>
    <xf numFmtId="0" fontId="6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/>
    </xf>
    <xf numFmtId="49" fontId="6" fillId="2" borderId="1" xfId="0" applyNumberFormat="1" applyFont="1" applyFill="1" applyBorder="1" applyAlignment="1" applyProtection="1">
      <alignment horizontal="center" vertical="center"/>
      <protection locked="0"/>
    </xf>
    <xf numFmtId="49" fontId="5" fillId="2" borderId="1" xfId="0" applyNumberFormat="1" applyFont="1" applyFill="1" applyBorder="1" applyAlignment="1" applyProtection="1">
      <alignment horizontal="center" vertical="center"/>
      <protection locked="0"/>
    </xf>
    <xf numFmtId="0" fontId="16" fillId="2" borderId="0" xfId="0" applyFont="1" applyFill="1" applyAlignment="1">
      <alignment horizontal="left"/>
    </xf>
    <xf numFmtId="0" fontId="6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49" fontId="6" fillId="2" borderId="16" xfId="0" applyNumberFormat="1" applyFont="1" applyFill="1" applyBorder="1" applyAlignment="1" applyProtection="1">
      <alignment horizontal="center" vertical="center"/>
      <protection locked="0"/>
    </xf>
    <xf numFmtId="49" fontId="6" fillId="2" borderId="17" xfId="0" applyNumberFormat="1" applyFont="1" applyFill="1" applyBorder="1" applyAlignment="1" applyProtection="1">
      <alignment horizontal="center" vertical="center"/>
      <protection locked="0"/>
    </xf>
    <xf numFmtId="0" fontId="5" fillId="2" borderId="8" xfId="0" applyFont="1" applyFill="1" applyBorder="1"/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6" fillId="2" borderId="18" xfId="0" applyFont="1" applyFill="1" applyBorder="1"/>
    <xf numFmtId="0" fontId="9" fillId="4" borderId="14" xfId="0" applyFont="1" applyFill="1" applyBorder="1" applyAlignment="1">
      <alignment horizontal="center" vertical="center" wrapText="1"/>
    </xf>
    <xf numFmtId="49" fontId="6" fillId="2" borderId="19" xfId="0" applyNumberFormat="1" applyFont="1" applyFill="1" applyBorder="1" applyAlignment="1" applyProtection="1">
      <alignment horizontal="center" vertical="center"/>
      <protection locked="0"/>
    </xf>
    <xf numFmtId="49" fontId="6" fillId="2" borderId="7" xfId="0" applyNumberFormat="1" applyFont="1" applyFill="1" applyBorder="1" applyAlignment="1" applyProtection="1">
      <alignment horizontal="center" vertical="center"/>
      <protection locked="0"/>
    </xf>
    <xf numFmtId="49" fontId="6" fillId="2" borderId="3" xfId="0" applyNumberFormat="1" applyFont="1" applyFill="1" applyBorder="1" applyAlignment="1" applyProtection="1">
      <alignment horizontal="center" vertical="center"/>
      <protection locked="0"/>
    </xf>
    <xf numFmtId="49" fontId="5" fillId="2" borderId="19" xfId="0" applyNumberFormat="1" applyFont="1" applyFill="1" applyBorder="1" applyAlignment="1" applyProtection="1">
      <alignment horizontal="center" vertical="center"/>
      <protection locked="0"/>
    </xf>
    <xf numFmtId="49" fontId="5" fillId="2" borderId="7" xfId="0" applyNumberFormat="1" applyFont="1" applyFill="1" applyBorder="1" applyAlignment="1" applyProtection="1">
      <alignment horizontal="center" vertical="center"/>
      <protection locked="0"/>
    </xf>
    <xf numFmtId="49" fontId="5" fillId="2" borderId="3" xfId="0" applyNumberFormat="1" applyFont="1" applyFill="1" applyBorder="1" applyAlignment="1" applyProtection="1">
      <alignment horizontal="center" vertical="center"/>
      <protection locked="0"/>
    </xf>
    <xf numFmtId="49" fontId="6" fillId="2" borderId="15" xfId="0" applyNumberFormat="1" applyFont="1" applyFill="1" applyBorder="1" applyAlignment="1" applyProtection="1">
      <alignment horizontal="center" vertical="center"/>
      <protection locked="0"/>
    </xf>
    <xf numFmtId="49" fontId="6" fillId="2" borderId="32" xfId="0" applyNumberFormat="1" applyFont="1" applyFill="1" applyBorder="1" applyAlignment="1" applyProtection="1">
      <alignment horizontal="center" vertical="center"/>
      <protection locked="0"/>
    </xf>
    <xf numFmtId="0" fontId="19" fillId="2" borderId="0" xfId="0" applyFont="1" applyFill="1" applyAlignment="1">
      <alignment horizontal="left"/>
    </xf>
    <xf numFmtId="39" fontId="0" fillId="2" borderId="0" xfId="1" applyNumberFormat="1" applyFont="1" applyFill="1"/>
    <xf numFmtId="3" fontId="8" fillId="2" borderId="0" xfId="0" applyNumberFormat="1" applyFont="1" applyFill="1" applyAlignment="1">
      <alignment horizontal="left"/>
    </xf>
    <xf numFmtId="3" fontId="0" fillId="2" borderId="0" xfId="0" applyNumberFormat="1" applyFill="1" applyAlignment="1">
      <alignment horizontal="left"/>
    </xf>
    <xf numFmtId="3" fontId="10" fillId="2" borderId="0" xfId="0" applyNumberFormat="1" applyFont="1" applyFill="1" applyAlignment="1">
      <alignment horizontal="left"/>
    </xf>
    <xf numFmtId="3" fontId="3" fillId="2" borderId="0" xfId="0" applyNumberFormat="1" applyFont="1" applyFill="1"/>
    <xf numFmtId="3" fontId="4" fillId="2" borderId="0" xfId="0" applyNumberFormat="1" applyFont="1" applyFill="1"/>
    <xf numFmtId="3" fontId="6" fillId="2" borderId="0" xfId="0" applyNumberFormat="1" applyFont="1" applyFill="1" applyAlignment="1">
      <alignment horizontal="left" vertical="top"/>
    </xf>
    <xf numFmtId="3" fontId="6" fillId="2" borderId="0" xfId="0" applyNumberFormat="1" applyFont="1" applyFill="1" applyAlignment="1">
      <alignment horizontal="left" vertical="center"/>
    </xf>
    <xf numFmtId="3" fontId="6" fillId="2" borderId="0" xfId="0" applyNumberFormat="1" applyFont="1" applyFill="1" applyAlignment="1">
      <alignment horizontal="left"/>
    </xf>
    <xf numFmtId="3" fontId="0" fillId="2" borderId="0" xfId="0" applyNumberFormat="1" applyFill="1"/>
    <xf numFmtId="3" fontId="0" fillId="2" borderId="0" xfId="0" applyNumberFormat="1" applyFill="1" applyAlignment="1">
      <alignment horizontal="center"/>
    </xf>
    <xf numFmtId="3" fontId="21" fillId="2" borderId="0" xfId="1" applyNumberFormat="1" applyFont="1" applyFill="1" applyBorder="1" applyAlignment="1">
      <alignment horizontal="center"/>
    </xf>
    <xf numFmtId="37" fontId="15" fillId="3" borderId="30" xfId="1" applyNumberFormat="1" applyFont="1" applyFill="1" applyBorder="1" applyAlignment="1" applyProtection="1">
      <alignment horizontal="center" vertical="center"/>
      <protection locked="0"/>
    </xf>
    <xf numFmtId="37" fontId="22" fillId="3" borderId="8" xfId="1" applyNumberFormat="1" applyFont="1" applyFill="1" applyBorder="1" applyAlignment="1" applyProtection="1">
      <alignment horizontal="center" vertical="center"/>
      <protection locked="0"/>
    </xf>
    <xf numFmtId="37" fontId="15" fillId="3" borderId="8" xfId="1" applyNumberFormat="1" applyFont="1" applyFill="1" applyBorder="1" applyAlignment="1" applyProtection="1">
      <alignment horizontal="center" vertical="center"/>
      <protection locked="0"/>
    </xf>
    <xf numFmtId="37" fontId="15" fillId="8" borderId="8" xfId="1" applyNumberFormat="1" applyFont="1" applyFill="1" applyBorder="1" applyAlignment="1" applyProtection="1">
      <alignment horizontal="center" vertical="center"/>
      <protection locked="0"/>
    </xf>
    <xf numFmtId="3" fontId="15" fillId="8" borderId="33" xfId="1" applyNumberFormat="1" applyFont="1" applyFill="1" applyBorder="1" applyAlignment="1" applyProtection="1">
      <alignment horizontal="center" vertical="center"/>
      <protection locked="0"/>
    </xf>
    <xf numFmtId="37" fontId="14" fillId="8" borderId="8" xfId="1" applyNumberFormat="1" applyFont="1" applyFill="1" applyBorder="1" applyAlignment="1" applyProtection="1">
      <alignment horizontal="center" vertical="center"/>
      <protection locked="0"/>
    </xf>
    <xf numFmtId="37" fontId="1" fillId="8" borderId="8" xfId="1" applyNumberFormat="1" applyFont="1" applyFill="1" applyBorder="1" applyProtection="1">
      <protection locked="0"/>
    </xf>
    <xf numFmtId="3" fontId="1" fillId="8" borderId="33" xfId="1" applyNumberFormat="1" applyFont="1" applyFill="1" applyBorder="1" applyProtection="1">
      <protection locked="0"/>
    </xf>
    <xf numFmtId="0" fontId="12" fillId="4" borderId="31" xfId="0" applyFont="1" applyFill="1" applyBorder="1" applyAlignment="1">
      <alignment horizontal="center" vertical="center" wrapText="1"/>
    </xf>
    <xf numFmtId="0" fontId="12" fillId="4" borderId="29" xfId="0" applyFont="1" applyFill="1" applyBorder="1" applyAlignment="1">
      <alignment horizontal="center" vertical="center" wrapText="1"/>
    </xf>
    <xf numFmtId="37" fontId="22" fillId="8" borderId="8" xfId="1" applyNumberFormat="1" applyFont="1" applyFill="1" applyBorder="1" applyAlignment="1" applyProtection="1">
      <alignment horizontal="center" vertical="center"/>
      <protection locked="0"/>
    </xf>
    <xf numFmtId="37" fontId="15" fillId="6" borderId="8" xfId="1" applyNumberFormat="1" applyFont="1" applyFill="1" applyBorder="1" applyAlignment="1" applyProtection="1">
      <alignment horizontal="center" vertical="center"/>
      <protection locked="0"/>
    </xf>
    <xf numFmtId="37" fontId="15" fillId="8" borderId="18" xfId="1" applyNumberFormat="1" applyFont="1" applyFill="1" applyBorder="1" applyAlignment="1" applyProtection="1">
      <alignment horizontal="center" vertical="center"/>
      <protection locked="0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16" xfId="0" applyNumberFormat="1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/>
    </xf>
    <xf numFmtId="3" fontId="1" fillId="2" borderId="0" xfId="0" applyNumberFormat="1" applyFont="1" applyFill="1"/>
    <xf numFmtId="37" fontId="15" fillId="8" borderId="1" xfId="1" applyNumberFormat="1" applyFont="1" applyFill="1" applyBorder="1" applyAlignment="1" applyProtection="1">
      <alignment horizontal="center" vertical="center"/>
      <protection locked="0"/>
    </xf>
    <xf numFmtId="37" fontId="15" fillId="3" borderId="1" xfId="1" applyNumberFormat="1" applyFont="1" applyFill="1" applyBorder="1" applyAlignment="1" applyProtection="1">
      <alignment horizontal="center" vertical="center"/>
      <protection locked="0"/>
    </xf>
    <xf numFmtId="37" fontId="22" fillId="3" borderId="1" xfId="1" applyNumberFormat="1" applyFont="1" applyFill="1" applyBorder="1" applyAlignment="1" applyProtection="1">
      <alignment horizontal="center" vertical="center"/>
      <protection locked="0"/>
    </xf>
    <xf numFmtId="37" fontId="14" fillId="8" borderId="1" xfId="1" applyNumberFormat="1" applyFont="1" applyFill="1" applyBorder="1" applyAlignment="1" applyProtection="1">
      <alignment horizontal="center" vertical="center"/>
      <protection locked="0"/>
    </xf>
    <xf numFmtId="37" fontId="1" fillId="8" borderId="1" xfId="1" applyNumberFormat="1" applyFont="1" applyFill="1" applyBorder="1" applyProtection="1">
      <protection locked="0"/>
    </xf>
    <xf numFmtId="37" fontId="15" fillId="3" borderId="10" xfId="1" applyNumberFormat="1" applyFont="1" applyFill="1" applyBorder="1" applyAlignment="1" applyProtection="1">
      <alignment horizontal="center" vertical="center"/>
      <protection locked="0"/>
    </xf>
    <xf numFmtId="0" fontId="12" fillId="6" borderId="14" xfId="0" applyFont="1" applyFill="1" applyBorder="1" applyAlignment="1">
      <alignment horizontal="center" vertical="center" textRotation="60" wrapText="1"/>
    </xf>
    <xf numFmtId="0" fontId="13" fillId="7" borderId="24" xfId="0" applyFont="1" applyFill="1" applyBorder="1"/>
    <xf numFmtId="0" fontId="1" fillId="7" borderId="41" xfId="0" applyFont="1" applyFill="1" applyBorder="1" applyAlignment="1">
      <alignment horizontal="center"/>
    </xf>
    <xf numFmtId="3" fontId="1" fillId="0" borderId="1" xfId="0" applyNumberFormat="1" applyFont="1" applyBorder="1" applyAlignment="1">
      <alignment horizontal="center" vertical="center" wrapText="1"/>
    </xf>
    <xf numFmtId="0" fontId="13" fillId="7" borderId="9" xfId="0" applyFont="1" applyFill="1" applyBorder="1" applyAlignment="1">
      <alignment vertical="center"/>
    </xf>
    <xf numFmtId="0" fontId="13" fillId="7" borderId="10" xfId="0" applyFont="1" applyFill="1" applyBorder="1" applyAlignment="1">
      <alignment horizontal="center" vertical="center"/>
    </xf>
    <xf numFmtId="0" fontId="13" fillId="7" borderId="10" xfId="0" applyFont="1" applyFill="1" applyBorder="1" applyAlignment="1">
      <alignment horizontal="center" vertical="center" wrapText="1"/>
    </xf>
    <xf numFmtId="3" fontId="13" fillId="7" borderId="10" xfId="0" applyNumberFormat="1" applyFont="1" applyFill="1" applyBorder="1" applyAlignment="1">
      <alignment horizontal="center" vertical="center" wrapText="1"/>
    </xf>
    <xf numFmtId="0" fontId="13" fillId="7" borderId="11" xfId="0" applyFont="1" applyFill="1" applyBorder="1" applyAlignment="1">
      <alignment horizontal="center" vertical="center" wrapText="1"/>
    </xf>
    <xf numFmtId="0" fontId="15" fillId="2" borderId="7" xfId="0" applyFont="1" applyFill="1" applyBorder="1"/>
    <xf numFmtId="0" fontId="15" fillId="2" borderId="15" xfId="0" applyFont="1" applyFill="1" applyBorder="1"/>
    <xf numFmtId="3" fontId="1" fillId="0" borderId="16" xfId="0" applyNumberFormat="1" applyFont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5" fillId="2" borderId="30" xfId="0" applyFont="1" applyFill="1" applyBorder="1"/>
    <xf numFmtId="0" fontId="6" fillId="2" borderId="42" xfId="0" applyFont="1" applyFill="1" applyBorder="1" applyAlignment="1">
      <alignment horizontal="center" vertical="center"/>
    </xf>
    <xf numFmtId="0" fontId="12" fillId="3" borderId="14" xfId="0" applyFont="1" applyFill="1" applyBorder="1" applyAlignment="1">
      <alignment horizontal="center" vertical="center" textRotation="60" wrapText="1"/>
    </xf>
    <xf numFmtId="37" fontId="15" fillId="8" borderId="21" xfId="1" applyNumberFormat="1" applyFont="1" applyFill="1" applyBorder="1" applyAlignment="1" applyProtection="1">
      <alignment horizontal="center" vertical="center"/>
      <protection locked="0"/>
    </xf>
    <xf numFmtId="0" fontId="12" fillId="3" borderId="4" xfId="0" applyFont="1" applyFill="1" applyBorder="1" applyAlignment="1">
      <alignment horizontal="center" vertical="center" textRotation="60" wrapText="1"/>
    </xf>
    <xf numFmtId="3" fontId="12" fillId="5" borderId="35" xfId="0" applyNumberFormat="1" applyFont="1" applyFill="1" applyBorder="1" applyAlignment="1">
      <alignment horizontal="center" vertical="center" textRotation="60" wrapText="1"/>
    </xf>
    <xf numFmtId="0" fontId="12" fillId="4" borderId="12" xfId="0" applyFont="1" applyFill="1" applyBorder="1" applyAlignment="1">
      <alignment horizontal="center" textRotation="60" wrapText="1"/>
    </xf>
    <xf numFmtId="0" fontId="12" fillId="4" borderId="4" xfId="0" applyFont="1" applyFill="1" applyBorder="1" applyAlignment="1">
      <alignment horizontal="center" textRotation="60" wrapText="1"/>
    </xf>
    <xf numFmtId="0" fontId="12" fillId="4" borderId="13" xfId="0" applyFont="1" applyFill="1" applyBorder="1" applyAlignment="1">
      <alignment horizontal="center" textRotation="60" wrapText="1"/>
    </xf>
    <xf numFmtId="0" fontId="7" fillId="3" borderId="12" xfId="0" applyFont="1" applyFill="1" applyBorder="1" applyAlignment="1">
      <alignment horizontal="center" textRotation="60" wrapText="1"/>
    </xf>
    <xf numFmtId="0" fontId="7" fillId="3" borderId="4" xfId="0" applyFont="1" applyFill="1" applyBorder="1" applyAlignment="1">
      <alignment horizontal="center" textRotation="60" wrapText="1"/>
    </xf>
    <xf numFmtId="0" fontId="12" fillId="3" borderId="4" xfId="0" applyFont="1" applyFill="1" applyBorder="1" applyAlignment="1">
      <alignment horizontal="center" textRotation="60" wrapText="1"/>
    </xf>
    <xf numFmtId="0" fontId="12" fillId="3" borderId="13" xfId="0" applyFont="1" applyFill="1" applyBorder="1" applyAlignment="1">
      <alignment horizontal="center" textRotation="60" wrapText="1"/>
    </xf>
    <xf numFmtId="0" fontId="12" fillId="4" borderId="35" xfId="0" applyFont="1" applyFill="1" applyBorder="1" applyAlignment="1">
      <alignment horizontal="center" textRotation="60" wrapText="1"/>
    </xf>
    <xf numFmtId="3" fontId="15" fillId="5" borderId="33" xfId="1" applyNumberFormat="1" applyFont="1" applyFill="1" applyBorder="1" applyAlignment="1" applyProtection="1">
      <alignment horizontal="center" vertical="center"/>
    </xf>
    <xf numFmtId="3" fontId="15" fillId="5" borderId="20" xfId="1" applyNumberFormat="1" applyFont="1" applyFill="1" applyBorder="1" applyAlignment="1" applyProtection="1">
      <alignment horizontal="center" vertical="center"/>
    </xf>
    <xf numFmtId="3" fontId="15" fillId="2" borderId="1" xfId="0" applyNumberFormat="1" applyFont="1" applyFill="1" applyBorder="1" applyAlignment="1" applyProtection="1">
      <alignment horizontal="center"/>
      <protection locked="0"/>
    </xf>
    <xf numFmtId="3" fontId="15" fillId="2" borderId="16" xfId="0" applyNumberFormat="1" applyFont="1" applyFill="1" applyBorder="1" applyAlignment="1" applyProtection="1">
      <alignment horizontal="center"/>
      <protection locked="0"/>
    </xf>
    <xf numFmtId="0" fontId="15" fillId="2" borderId="1" xfId="0" applyFont="1" applyFill="1" applyBorder="1" applyAlignment="1" applyProtection="1">
      <alignment horizontal="center"/>
      <protection locked="0"/>
    </xf>
    <xf numFmtId="0" fontId="15" fillId="2" borderId="16" xfId="0" applyFont="1" applyFill="1" applyBorder="1" applyAlignment="1" applyProtection="1">
      <alignment horizontal="center"/>
      <protection locked="0"/>
    </xf>
    <xf numFmtId="0" fontId="6" fillId="2" borderId="43" xfId="0" applyFont="1" applyFill="1" applyBorder="1"/>
    <xf numFmtId="37" fontId="15" fillId="3" borderId="28" xfId="1" applyNumberFormat="1" applyFont="1" applyFill="1" applyBorder="1" applyAlignment="1" applyProtection="1">
      <alignment horizontal="center" vertical="center"/>
      <protection locked="0"/>
    </xf>
    <xf numFmtId="37" fontId="15" fillId="3" borderId="44" xfId="1" applyNumberFormat="1" applyFont="1" applyFill="1" applyBorder="1" applyAlignment="1" applyProtection="1">
      <alignment horizontal="center" vertical="center"/>
      <protection locked="0"/>
    </xf>
    <xf numFmtId="3" fontId="15" fillId="5" borderId="0" xfId="1" applyNumberFormat="1" applyFont="1" applyFill="1" applyBorder="1" applyAlignment="1" applyProtection="1">
      <alignment horizontal="center" vertical="center"/>
    </xf>
    <xf numFmtId="37" fontId="15" fillId="8" borderId="28" xfId="1" applyNumberFormat="1" applyFont="1" applyFill="1" applyBorder="1" applyAlignment="1" applyProtection="1">
      <alignment horizontal="center" vertical="center"/>
      <protection locked="0"/>
    </xf>
    <xf numFmtId="49" fontId="6" fillId="2" borderId="36" xfId="0" applyNumberFormat="1" applyFont="1" applyFill="1" applyBorder="1" applyAlignment="1" applyProtection="1">
      <alignment horizontal="center" vertical="center"/>
      <protection locked="0"/>
    </xf>
    <xf numFmtId="49" fontId="6" fillId="2" borderId="37" xfId="0" applyNumberFormat="1" applyFont="1" applyFill="1" applyBorder="1" applyAlignment="1" applyProtection="1">
      <alignment horizontal="center" vertical="center"/>
      <protection locked="0"/>
    </xf>
    <xf numFmtId="49" fontId="6" fillId="2" borderId="45" xfId="0" applyNumberFormat="1" applyFont="1" applyFill="1" applyBorder="1" applyAlignment="1" applyProtection="1">
      <alignment horizontal="center" vertical="center"/>
      <protection locked="0"/>
    </xf>
    <xf numFmtId="49" fontId="6" fillId="2" borderId="27" xfId="0" applyNumberFormat="1" applyFont="1" applyFill="1" applyBorder="1" applyAlignment="1" applyProtection="1">
      <alignment horizontal="center" vertical="center"/>
      <protection locked="0"/>
    </xf>
    <xf numFmtId="0" fontId="7" fillId="4" borderId="22" xfId="0" applyFont="1" applyFill="1" applyBorder="1" applyAlignment="1">
      <alignment horizontal="left"/>
    </xf>
    <xf numFmtId="3" fontId="1" fillId="3" borderId="24" xfId="1" applyNumberFormat="1" applyFont="1" applyFill="1" applyBorder="1" applyAlignment="1">
      <alignment horizontal="center"/>
    </xf>
    <xf numFmtId="3" fontId="1" fillId="3" borderId="29" xfId="1" applyNumberFormat="1" applyFont="1" applyFill="1" applyBorder="1" applyAlignment="1">
      <alignment horizontal="center"/>
    </xf>
    <xf numFmtId="3" fontId="1" fillId="5" borderId="23" xfId="1" applyNumberFormat="1" applyFont="1" applyFill="1" applyBorder="1" applyAlignment="1">
      <alignment horizontal="center"/>
    </xf>
    <xf numFmtId="37" fontId="22" fillId="3" borderId="30" xfId="1" applyNumberFormat="1" applyFont="1" applyFill="1" applyBorder="1" applyAlignment="1" applyProtection="1">
      <alignment horizontal="center" vertical="center"/>
      <protection locked="0"/>
    </xf>
    <xf numFmtId="37" fontId="22" fillId="3" borderId="10" xfId="1" applyNumberFormat="1" applyFont="1" applyFill="1" applyBorder="1" applyAlignment="1" applyProtection="1">
      <alignment horizontal="center" vertical="center"/>
      <protection locked="0"/>
    </xf>
    <xf numFmtId="3" fontId="15" fillId="5" borderId="46" xfId="1" applyNumberFormat="1" applyFont="1" applyFill="1" applyBorder="1" applyAlignment="1" applyProtection="1">
      <alignment horizontal="center" vertical="center"/>
    </xf>
    <xf numFmtId="37" fontId="22" fillId="8" borderId="30" xfId="1" applyNumberFormat="1" applyFont="1" applyFill="1" applyBorder="1" applyAlignment="1" applyProtection="1">
      <alignment horizontal="center" vertical="center"/>
      <protection locked="0"/>
    </xf>
    <xf numFmtId="49" fontId="5" fillId="2" borderId="9" xfId="0" applyNumberFormat="1" applyFont="1" applyFill="1" applyBorder="1" applyAlignment="1" applyProtection="1">
      <alignment horizontal="center" vertical="center"/>
      <protection locked="0"/>
    </xf>
    <xf numFmtId="49" fontId="5" fillId="2" borderId="10" xfId="0" applyNumberFormat="1" applyFont="1" applyFill="1" applyBorder="1" applyAlignment="1" applyProtection="1">
      <alignment horizontal="center" vertical="center"/>
      <protection locked="0"/>
    </xf>
    <xf numFmtId="49" fontId="5" fillId="2" borderId="11" xfId="0" applyNumberFormat="1" applyFont="1" applyFill="1" applyBorder="1" applyAlignment="1" applyProtection="1">
      <alignment horizontal="center" vertical="center"/>
      <protection locked="0"/>
    </xf>
    <xf numFmtId="49" fontId="5" fillId="2" borderId="26" xfId="0" applyNumberFormat="1" applyFont="1" applyFill="1" applyBorder="1" applyAlignment="1" applyProtection="1">
      <alignment horizontal="center" vertical="center"/>
      <protection locked="0"/>
    </xf>
    <xf numFmtId="37" fontId="15" fillId="8" borderId="16" xfId="1" applyNumberFormat="1" applyFont="1" applyFill="1" applyBorder="1" applyAlignment="1" applyProtection="1">
      <alignment horizontal="center" vertical="center"/>
      <protection locked="0"/>
    </xf>
    <xf numFmtId="3" fontId="15" fillId="8" borderId="34" xfId="1" applyNumberFormat="1" applyFont="1" applyFill="1" applyBorder="1" applyAlignment="1" applyProtection="1">
      <alignment horizontal="center" vertical="center"/>
      <protection locked="0"/>
    </xf>
    <xf numFmtId="0" fontId="6" fillId="2" borderId="30" xfId="0" applyFont="1" applyFill="1" applyBorder="1"/>
    <xf numFmtId="37" fontId="15" fillId="2" borderId="8" xfId="1" applyNumberFormat="1" applyFont="1" applyFill="1" applyBorder="1" applyAlignment="1" applyProtection="1">
      <alignment horizontal="center" vertical="center"/>
      <protection locked="0"/>
    </xf>
    <xf numFmtId="37" fontId="15" fillId="2" borderId="1" xfId="1" applyNumberFormat="1" applyFont="1" applyFill="1" applyBorder="1" applyAlignment="1" applyProtection="1">
      <alignment horizontal="center" vertical="center"/>
      <protection locked="0"/>
    </xf>
    <xf numFmtId="3" fontId="15" fillId="2" borderId="20" xfId="1" applyNumberFormat="1" applyFont="1" applyFill="1" applyBorder="1" applyAlignment="1" applyProtection="1">
      <alignment horizontal="center" vertical="center"/>
    </xf>
    <xf numFmtId="0" fontId="12" fillId="4" borderId="24" xfId="0" applyFont="1" applyFill="1" applyBorder="1" applyAlignment="1">
      <alignment horizontal="center" vertical="center" wrapText="1"/>
    </xf>
    <xf numFmtId="0" fontId="12" fillId="4" borderId="25" xfId="0" applyFont="1" applyFill="1" applyBorder="1" applyAlignment="1">
      <alignment horizontal="center" vertical="center" wrapText="1"/>
    </xf>
    <xf numFmtId="0" fontId="12" fillId="4" borderId="23" xfId="0" applyFont="1" applyFill="1" applyBorder="1" applyAlignment="1">
      <alignment horizontal="center" vertical="center" wrapText="1"/>
    </xf>
    <xf numFmtId="3" fontId="13" fillId="7" borderId="28" xfId="0" applyNumberFormat="1" applyFont="1" applyFill="1" applyBorder="1" applyAlignment="1">
      <alignment horizontal="center" vertical="center" wrapText="1"/>
    </xf>
    <xf numFmtId="3" fontId="13" fillId="7" borderId="38" xfId="0" applyNumberFormat="1" applyFont="1" applyFill="1" applyBorder="1" applyAlignment="1">
      <alignment horizontal="center" vertical="center" wrapText="1"/>
    </xf>
    <xf numFmtId="0" fontId="13" fillId="7" borderId="39" xfId="0" applyFont="1" applyFill="1" applyBorder="1" applyAlignment="1">
      <alignment horizontal="right"/>
    </xf>
    <xf numFmtId="0" fontId="13" fillId="7" borderId="25" xfId="0" applyFont="1" applyFill="1" applyBorder="1" applyAlignment="1">
      <alignment horizontal="right"/>
    </xf>
    <xf numFmtId="0" fontId="13" fillId="7" borderId="40" xfId="0" applyFont="1" applyFill="1" applyBorder="1" applyAlignment="1">
      <alignment horizontal="right"/>
    </xf>
    <xf numFmtId="0" fontId="17" fillId="4" borderId="24" xfId="0" applyFont="1" applyFill="1" applyBorder="1" applyAlignment="1">
      <alignment horizontal="center" vertical="center" wrapText="1"/>
    </xf>
    <xf numFmtId="0" fontId="17" fillId="4" borderId="25" xfId="0" applyFont="1" applyFill="1" applyBorder="1" applyAlignment="1">
      <alignment horizontal="center" vertical="center" wrapText="1"/>
    </xf>
    <xf numFmtId="0" fontId="12" fillId="3" borderId="24" xfId="0" applyFont="1" applyFill="1" applyBorder="1" applyAlignment="1">
      <alignment horizontal="center" vertical="center" wrapText="1"/>
    </xf>
    <xf numFmtId="0" fontId="12" fillId="3" borderId="40" xfId="0" applyFont="1" applyFill="1" applyBorder="1" applyAlignment="1">
      <alignment horizontal="center" vertical="center" wrapText="1"/>
    </xf>
    <xf numFmtId="0" fontId="12" fillId="3" borderId="39" xfId="0" applyFont="1" applyFill="1" applyBorder="1" applyAlignment="1">
      <alignment horizontal="center" vertical="center" wrapText="1"/>
    </xf>
    <xf numFmtId="0" fontId="12" fillId="3" borderId="23" xfId="0" applyFont="1" applyFill="1" applyBorder="1" applyAlignment="1">
      <alignment horizontal="center" vertical="center" wrapText="1"/>
    </xf>
    <xf numFmtId="0" fontId="12" fillId="4" borderId="39" xfId="0" applyFont="1" applyFill="1" applyBorder="1" applyAlignment="1">
      <alignment horizontal="center" vertical="center" wrapText="1"/>
    </xf>
    <xf numFmtId="0" fontId="12" fillId="4" borderId="40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A3674-C486-AD4B-886C-7B35C6699BBA}">
  <sheetPr>
    <pageSetUpPr fitToPage="1"/>
  </sheetPr>
  <dimension ref="A1:V54"/>
  <sheetViews>
    <sheetView tabSelected="1" zoomScale="75" zoomScaleNormal="75" workbookViewId="0">
      <pane ySplit="5" topLeftCell="A10" activePane="bottomLeft" state="frozen"/>
      <selection pane="bottomLeft" activeCell="A3" sqref="A3"/>
    </sheetView>
  </sheetViews>
  <sheetFormatPr defaultColWidth="11" defaultRowHeight="15.75" customHeight="1"/>
  <cols>
    <col min="1" max="1" width="43.19921875" style="1" customWidth="1"/>
    <col min="2" max="3" width="9.59765625" style="1" customWidth="1"/>
    <col min="4" max="4" width="9.59765625" style="50" customWidth="1"/>
    <col min="5" max="6" width="9.59765625" style="1" customWidth="1"/>
    <col min="7" max="7" width="8.69921875" style="1" customWidth="1"/>
    <col min="8" max="17" width="7.19921875" style="1" customWidth="1"/>
    <col min="18" max="18" width="7.69921875" style="1" customWidth="1"/>
    <col min="19" max="20" width="7.19921875" style="1" customWidth="1"/>
    <col min="21" max="16384" width="11" style="1"/>
  </cols>
  <sheetData>
    <row r="1" spans="1:22" ht="15.75" customHeight="1">
      <c r="A1" s="22" t="s">
        <v>0</v>
      </c>
      <c r="B1" s="9"/>
      <c r="C1" s="9"/>
      <c r="D1" s="42"/>
      <c r="E1" s="9"/>
      <c r="I1" s="40" t="s">
        <v>1</v>
      </c>
    </row>
    <row r="2" spans="1:22" ht="15.75" customHeight="1">
      <c r="A2" s="22" t="s">
        <v>91</v>
      </c>
      <c r="B2" s="8"/>
      <c r="C2" s="8"/>
      <c r="D2" s="43"/>
      <c r="E2" s="8"/>
    </row>
    <row r="3" spans="1:22" ht="15.75" customHeight="1">
      <c r="A3" s="22" t="s">
        <v>2</v>
      </c>
      <c r="B3" s="8"/>
      <c r="C3" s="8"/>
      <c r="D3" s="43"/>
      <c r="E3" s="8"/>
    </row>
    <row r="4" spans="1:22" ht="15.75" customHeight="1" thickBot="1">
      <c r="A4" s="22" t="s">
        <v>3</v>
      </c>
      <c r="B4" s="10"/>
      <c r="C4" s="10"/>
      <c r="D4" s="44"/>
      <c r="E4" s="10"/>
    </row>
    <row r="5" spans="1:22" ht="140.1" customHeight="1" thickBot="1">
      <c r="A5" s="31" t="s">
        <v>4</v>
      </c>
      <c r="B5" s="94" t="s">
        <v>5</v>
      </c>
      <c r="C5" s="96" t="s">
        <v>6</v>
      </c>
      <c r="D5" s="97" t="s">
        <v>7</v>
      </c>
      <c r="E5" s="76" t="s">
        <v>8</v>
      </c>
      <c r="F5" s="98" t="s">
        <v>9</v>
      </c>
      <c r="G5" s="99" t="s">
        <v>10</v>
      </c>
      <c r="H5" s="99" t="s">
        <v>11</v>
      </c>
      <c r="I5" s="99" t="s">
        <v>12</v>
      </c>
      <c r="J5" s="99" t="s">
        <v>13</v>
      </c>
      <c r="K5" s="99" t="s">
        <v>14</v>
      </c>
      <c r="L5" s="99" t="s">
        <v>15</v>
      </c>
      <c r="M5" s="100" t="s">
        <v>16</v>
      </c>
      <c r="N5" s="101" t="s">
        <v>17</v>
      </c>
      <c r="O5" s="102" t="s">
        <v>18</v>
      </c>
      <c r="P5" s="103" t="s">
        <v>19</v>
      </c>
      <c r="Q5" s="104" t="s">
        <v>20</v>
      </c>
      <c r="R5" s="105" t="s">
        <v>21</v>
      </c>
      <c r="S5" s="99" t="s">
        <v>22</v>
      </c>
      <c r="T5" s="100" t="s">
        <v>23</v>
      </c>
      <c r="U5" s="2"/>
      <c r="V5" s="2"/>
    </row>
    <row r="6" spans="1:22" s="29" customFormat="1" ht="19.2" customHeight="1" thickBot="1">
      <c r="A6" s="147" t="s">
        <v>24</v>
      </c>
      <c r="B6" s="148"/>
      <c r="C6" s="148"/>
      <c r="D6" s="148"/>
      <c r="E6" s="148"/>
      <c r="F6" s="61">
        <v>3.1</v>
      </c>
      <c r="G6" s="62">
        <v>3.2</v>
      </c>
      <c r="H6" s="62">
        <v>3.3</v>
      </c>
      <c r="I6" s="153">
        <v>3.4</v>
      </c>
      <c r="J6" s="140"/>
      <c r="K6" s="154"/>
      <c r="L6" s="153">
        <v>3.5</v>
      </c>
      <c r="M6" s="141"/>
      <c r="N6" s="149">
        <v>3.6</v>
      </c>
      <c r="O6" s="150"/>
      <c r="P6" s="151">
        <v>3.7</v>
      </c>
      <c r="Q6" s="152"/>
      <c r="R6" s="139" t="s">
        <v>25</v>
      </c>
      <c r="S6" s="140"/>
      <c r="T6" s="141"/>
      <c r="U6" s="28"/>
      <c r="V6" s="28"/>
    </row>
    <row r="7" spans="1:22" ht="15.6" hidden="1">
      <c r="A7" s="112" t="s">
        <v>26</v>
      </c>
      <c r="B7" s="113"/>
      <c r="C7" s="114"/>
      <c r="D7" s="115">
        <f>B7+C7</f>
        <v>0</v>
      </c>
      <c r="E7" s="116"/>
      <c r="F7" s="117" t="s">
        <v>27</v>
      </c>
      <c r="G7" s="118" t="s">
        <v>28</v>
      </c>
      <c r="H7" s="118" t="s">
        <v>28</v>
      </c>
      <c r="I7" s="118" t="s">
        <v>29</v>
      </c>
      <c r="J7" s="118" t="s">
        <v>30</v>
      </c>
      <c r="K7" s="118" t="s">
        <v>31</v>
      </c>
      <c r="L7" s="118" t="s">
        <v>28</v>
      </c>
      <c r="M7" s="119" t="s">
        <v>28</v>
      </c>
      <c r="N7" s="117" t="s">
        <v>29</v>
      </c>
      <c r="O7" s="118" t="s">
        <v>32</v>
      </c>
      <c r="P7" s="118" t="s">
        <v>29</v>
      </c>
      <c r="Q7" s="119" t="s">
        <v>32</v>
      </c>
      <c r="R7" s="120" t="s">
        <v>29</v>
      </c>
      <c r="S7" s="118" t="s">
        <v>29</v>
      </c>
      <c r="T7" s="119" t="s">
        <v>29</v>
      </c>
    </row>
    <row r="8" spans="1:22" ht="16.2" thickBot="1">
      <c r="A8" s="135" t="s">
        <v>33</v>
      </c>
      <c r="B8" s="53"/>
      <c r="C8" s="75"/>
      <c r="D8" s="127">
        <f>B8+C8</f>
        <v>0</v>
      </c>
      <c r="E8" s="95"/>
      <c r="F8" s="90" t="s">
        <v>27</v>
      </c>
      <c r="G8" s="23" t="s">
        <v>28</v>
      </c>
      <c r="H8" s="23" t="s">
        <v>28</v>
      </c>
      <c r="I8" s="23" t="s">
        <v>29</v>
      </c>
      <c r="J8" s="23" t="s">
        <v>30</v>
      </c>
      <c r="K8" s="23" t="s">
        <v>31</v>
      </c>
      <c r="L8" s="23" t="s">
        <v>28</v>
      </c>
      <c r="M8" s="93" t="s">
        <v>28</v>
      </c>
      <c r="N8" s="91" t="s">
        <v>29</v>
      </c>
      <c r="O8" s="23" t="s">
        <v>32</v>
      </c>
      <c r="P8" s="23" t="s">
        <v>29</v>
      </c>
      <c r="Q8" s="24" t="s">
        <v>32</v>
      </c>
      <c r="R8" s="90" t="s">
        <v>29</v>
      </c>
      <c r="S8" s="23" t="s">
        <v>29</v>
      </c>
      <c r="T8" s="24" t="s">
        <v>29</v>
      </c>
    </row>
    <row r="9" spans="1:22" ht="15.6">
      <c r="A9" s="92" t="s">
        <v>34</v>
      </c>
      <c r="B9" s="125">
        <v>100</v>
      </c>
      <c r="C9" s="126">
        <v>200</v>
      </c>
      <c r="D9" s="127">
        <f t="shared" ref="D9:D20" si="0">B9+C9</f>
        <v>300</v>
      </c>
      <c r="E9" s="128"/>
      <c r="F9" s="129" t="s">
        <v>29</v>
      </c>
      <c r="G9" s="130" t="s">
        <v>28</v>
      </c>
      <c r="H9" s="130" t="s">
        <v>28</v>
      </c>
      <c r="I9" s="130" t="s">
        <v>35</v>
      </c>
      <c r="J9" s="130" t="s">
        <v>30</v>
      </c>
      <c r="K9" s="130" t="s">
        <v>32</v>
      </c>
      <c r="L9" s="130" t="s">
        <v>30</v>
      </c>
      <c r="M9" s="131" t="s">
        <v>32</v>
      </c>
      <c r="N9" s="129" t="s">
        <v>35</v>
      </c>
      <c r="O9" s="130" t="s">
        <v>32</v>
      </c>
      <c r="P9" s="130" t="s">
        <v>35</v>
      </c>
      <c r="Q9" s="131" t="s">
        <v>36</v>
      </c>
      <c r="R9" s="132" t="s">
        <v>28</v>
      </c>
      <c r="S9" s="130" t="s">
        <v>35</v>
      </c>
      <c r="T9" s="131" t="s">
        <v>30</v>
      </c>
    </row>
    <row r="10" spans="1:22" ht="15.6">
      <c r="A10" s="27" t="s">
        <v>37</v>
      </c>
      <c r="B10" s="54">
        <v>3100</v>
      </c>
      <c r="C10" s="72"/>
      <c r="D10" s="107">
        <f t="shared" si="0"/>
        <v>3100</v>
      </c>
      <c r="E10" s="63"/>
      <c r="F10" s="36" t="s">
        <v>29</v>
      </c>
      <c r="G10" s="21" t="s">
        <v>28</v>
      </c>
      <c r="H10" s="21" t="s">
        <v>28</v>
      </c>
      <c r="I10" s="21" t="s">
        <v>30</v>
      </c>
      <c r="J10" s="21" t="s">
        <v>30</v>
      </c>
      <c r="K10" s="21" t="s">
        <v>32</v>
      </c>
      <c r="L10" s="21" t="s">
        <v>30</v>
      </c>
      <c r="M10" s="37" t="s">
        <v>32</v>
      </c>
      <c r="N10" s="36" t="s">
        <v>30</v>
      </c>
      <c r="O10" s="21" t="s">
        <v>32</v>
      </c>
      <c r="P10" s="21" t="s">
        <v>30</v>
      </c>
      <c r="Q10" s="37" t="s">
        <v>36</v>
      </c>
      <c r="R10" s="35" t="s">
        <v>28</v>
      </c>
      <c r="S10" s="21" t="s">
        <v>30</v>
      </c>
      <c r="T10" s="37" t="s">
        <v>30</v>
      </c>
    </row>
    <row r="11" spans="1:22" ht="15.6">
      <c r="A11" s="3" t="s">
        <v>38</v>
      </c>
      <c r="B11" s="55">
        <v>1100</v>
      </c>
      <c r="C11" s="71"/>
      <c r="D11" s="107">
        <f t="shared" si="0"/>
        <v>1100</v>
      </c>
      <c r="E11" s="56"/>
      <c r="F11" s="33" t="s">
        <v>29</v>
      </c>
      <c r="G11" s="20" t="s">
        <v>28</v>
      </c>
      <c r="H11" s="20" t="s">
        <v>28</v>
      </c>
      <c r="I11" s="20" t="s">
        <v>35</v>
      </c>
      <c r="J11" s="20" t="s">
        <v>30</v>
      </c>
      <c r="K11" s="20" t="s">
        <v>32</v>
      </c>
      <c r="L11" s="20" t="s">
        <v>30</v>
      </c>
      <c r="M11" s="34" t="s">
        <v>32</v>
      </c>
      <c r="N11" s="33" t="s">
        <v>35</v>
      </c>
      <c r="O11" s="20" t="s">
        <v>32</v>
      </c>
      <c r="P11" s="20" t="s">
        <v>35</v>
      </c>
      <c r="Q11" s="34" t="s">
        <v>36</v>
      </c>
      <c r="R11" s="32" t="s">
        <v>28</v>
      </c>
      <c r="S11" s="20" t="s">
        <v>35</v>
      </c>
      <c r="T11" s="34" t="s">
        <v>30</v>
      </c>
    </row>
    <row r="12" spans="1:22" ht="15.6">
      <c r="A12" s="3" t="s">
        <v>39</v>
      </c>
      <c r="B12" s="55">
        <v>700</v>
      </c>
      <c r="C12" s="71"/>
      <c r="D12" s="107">
        <f t="shared" si="0"/>
        <v>700</v>
      </c>
      <c r="E12" s="56"/>
      <c r="F12" s="33" t="s">
        <v>29</v>
      </c>
      <c r="G12" s="20" t="s">
        <v>28</v>
      </c>
      <c r="H12" s="20" t="s">
        <v>28</v>
      </c>
      <c r="I12" s="20" t="s">
        <v>29</v>
      </c>
      <c r="J12" s="20" t="s">
        <v>30</v>
      </c>
      <c r="K12" s="20" t="s">
        <v>32</v>
      </c>
      <c r="L12" s="20" t="s">
        <v>29</v>
      </c>
      <c r="M12" s="34" t="s">
        <v>32</v>
      </c>
      <c r="N12" s="33" t="s">
        <v>29</v>
      </c>
      <c r="O12" s="20" t="s">
        <v>32</v>
      </c>
      <c r="P12" s="20" t="s">
        <v>29</v>
      </c>
      <c r="Q12" s="34" t="s">
        <v>36</v>
      </c>
      <c r="R12" s="32" t="s">
        <v>29</v>
      </c>
      <c r="S12" s="20" t="s">
        <v>29</v>
      </c>
      <c r="T12" s="34" t="s">
        <v>29</v>
      </c>
    </row>
    <row r="13" spans="1:22" ht="15.6">
      <c r="A13" s="3" t="s">
        <v>40</v>
      </c>
      <c r="B13" s="55"/>
      <c r="C13" s="71">
        <v>2400</v>
      </c>
      <c r="D13" s="107">
        <f t="shared" si="0"/>
        <v>2400</v>
      </c>
      <c r="E13" s="56"/>
      <c r="F13" s="33" t="s">
        <v>29</v>
      </c>
      <c r="G13" s="20" t="s">
        <v>28</v>
      </c>
      <c r="H13" s="20" t="s">
        <v>28</v>
      </c>
      <c r="I13" s="20" t="s">
        <v>29</v>
      </c>
      <c r="J13" s="20" t="s">
        <v>30</v>
      </c>
      <c r="K13" s="20" t="s">
        <v>28</v>
      </c>
      <c r="L13" s="20" t="s">
        <v>30</v>
      </c>
      <c r="M13" s="34" t="s">
        <v>32</v>
      </c>
      <c r="N13" s="33" t="s">
        <v>29</v>
      </c>
      <c r="O13" s="20" t="s">
        <v>32</v>
      </c>
      <c r="P13" s="20" t="s">
        <v>29</v>
      </c>
      <c r="Q13" s="34" t="s">
        <v>36</v>
      </c>
      <c r="R13" s="32" t="s">
        <v>28</v>
      </c>
      <c r="S13" s="20" t="s">
        <v>29</v>
      </c>
      <c r="T13" s="34" t="s">
        <v>30</v>
      </c>
    </row>
    <row r="14" spans="1:22" ht="15.6">
      <c r="A14" s="3" t="s">
        <v>41</v>
      </c>
      <c r="B14" s="55"/>
      <c r="C14" s="71">
        <v>1575</v>
      </c>
      <c r="D14" s="107">
        <f t="shared" si="0"/>
        <v>1575</v>
      </c>
      <c r="E14" s="56"/>
      <c r="F14" s="33" t="s">
        <v>42</v>
      </c>
      <c r="G14" s="20" t="s">
        <v>28</v>
      </c>
      <c r="H14" s="20" t="s">
        <v>28</v>
      </c>
      <c r="I14" s="20" t="s">
        <v>42</v>
      </c>
      <c r="J14" s="20" t="s">
        <v>30</v>
      </c>
      <c r="K14" s="20" t="s">
        <v>31</v>
      </c>
      <c r="L14" s="20" t="s">
        <v>30</v>
      </c>
      <c r="M14" s="34" t="s">
        <v>32</v>
      </c>
      <c r="N14" s="33" t="s">
        <v>42</v>
      </c>
      <c r="O14" s="20" t="s">
        <v>32</v>
      </c>
      <c r="P14" s="20" t="s">
        <v>42</v>
      </c>
      <c r="Q14" s="34" t="s">
        <v>36</v>
      </c>
      <c r="R14" s="32" t="s">
        <v>42</v>
      </c>
      <c r="S14" s="20" t="s">
        <v>42</v>
      </c>
      <c r="T14" s="34" t="s">
        <v>29</v>
      </c>
    </row>
    <row r="15" spans="1:22" ht="15.6">
      <c r="A15" s="3" t="s">
        <v>43</v>
      </c>
      <c r="B15" s="55">
        <v>80</v>
      </c>
      <c r="C15" s="71"/>
      <c r="D15" s="107">
        <f t="shared" si="0"/>
        <v>80</v>
      </c>
      <c r="E15" s="56"/>
      <c r="F15" s="33" t="s">
        <v>29</v>
      </c>
      <c r="G15" s="20" t="s">
        <v>28</v>
      </c>
      <c r="H15" s="20" t="s">
        <v>28</v>
      </c>
      <c r="I15" s="20" t="s">
        <v>29</v>
      </c>
      <c r="J15" s="20" t="s">
        <v>30</v>
      </c>
      <c r="K15" s="20" t="s">
        <v>32</v>
      </c>
      <c r="L15" s="20" t="s">
        <v>30</v>
      </c>
      <c r="M15" s="34" t="s">
        <v>32</v>
      </c>
      <c r="N15" s="33" t="s">
        <v>29</v>
      </c>
      <c r="O15" s="20" t="s">
        <v>32</v>
      </c>
      <c r="P15" s="20" t="s">
        <v>29</v>
      </c>
      <c r="Q15" s="34" t="s">
        <v>36</v>
      </c>
      <c r="R15" s="32" t="s">
        <v>29</v>
      </c>
      <c r="S15" s="20" t="s">
        <v>29</v>
      </c>
      <c r="T15" s="34" t="s">
        <v>29</v>
      </c>
    </row>
    <row r="16" spans="1:22" s="4" customFormat="1" ht="15.6">
      <c r="A16" s="3" t="s">
        <v>44</v>
      </c>
      <c r="B16" s="136"/>
      <c r="C16" s="137">
        <v>855</v>
      </c>
      <c r="D16" s="138">
        <f t="shared" si="0"/>
        <v>855</v>
      </c>
      <c r="E16" s="136"/>
      <c r="F16" s="33" t="s">
        <v>29</v>
      </c>
      <c r="G16" s="20" t="s">
        <v>28</v>
      </c>
      <c r="H16" s="20" t="s">
        <v>28</v>
      </c>
      <c r="I16" s="20" t="s">
        <v>29</v>
      </c>
      <c r="J16" s="20" t="s">
        <v>30</v>
      </c>
      <c r="K16" s="20" t="s">
        <v>28</v>
      </c>
      <c r="L16" s="20" t="s">
        <v>30</v>
      </c>
      <c r="M16" s="34" t="s">
        <v>32</v>
      </c>
      <c r="N16" s="33" t="s">
        <v>29</v>
      </c>
      <c r="O16" s="20" t="s">
        <v>32</v>
      </c>
      <c r="P16" s="20" t="s">
        <v>29</v>
      </c>
      <c r="Q16" s="34" t="s">
        <v>36</v>
      </c>
      <c r="R16" s="32" t="s">
        <v>29</v>
      </c>
      <c r="S16" s="20" t="s">
        <v>42</v>
      </c>
      <c r="T16" s="34" t="s">
        <v>30</v>
      </c>
    </row>
    <row r="17" spans="1:21" ht="15.6">
      <c r="A17" s="3" t="s">
        <v>45</v>
      </c>
      <c r="B17" s="136"/>
      <c r="C17" s="137">
        <v>165</v>
      </c>
      <c r="D17" s="138">
        <f t="shared" si="0"/>
        <v>165</v>
      </c>
      <c r="E17" s="136"/>
      <c r="F17" s="33" t="s">
        <v>29</v>
      </c>
      <c r="G17" s="20" t="s">
        <v>28</v>
      </c>
      <c r="H17" s="20" t="s">
        <v>28</v>
      </c>
      <c r="I17" s="20" t="s">
        <v>29</v>
      </c>
      <c r="J17" s="20" t="s">
        <v>30</v>
      </c>
      <c r="K17" s="20" t="s">
        <v>32</v>
      </c>
      <c r="L17" s="20" t="s">
        <v>30</v>
      </c>
      <c r="M17" s="34" t="s">
        <v>32</v>
      </c>
      <c r="N17" s="33" t="s">
        <v>29</v>
      </c>
      <c r="O17" s="20" t="s">
        <v>32</v>
      </c>
      <c r="P17" s="20" t="s">
        <v>29</v>
      </c>
      <c r="Q17" s="34" t="s">
        <v>36</v>
      </c>
      <c r="R17" s="32" t="s">
        <v>29</v>
      </c>
      <c r="S17" s="20" t="s">
        <v>29</v>
      </c>
      <c r="T17" s="34" t="s">
        <v>29</v>
      </c>
    </row>
    <row r="18" spans="1:21" ht="15.6">
      <c r="A18" s="3"/>
      <c r="B18" s="55"/>
      <c r="C18" s="71"/>
      <c r="D18" s="107">
        <f t="shared" si="0"/>
        <v>0</v>
      </c>
      <c r="E18" s="56"/>
      <c r="F18" s="33" t="s">
        <v>29</v>
      </c>
      <c r="G18" s="20" t="s">
        <v>28</v>
      </c>
      <c r="H18" s="20" t="s">
        <v>28</v>
      </c>
      <c r="I18" s="20" t="s">
        <v>28</v>
      </c>
      <c r="J18" s="20" t="s">
        <v>28</v>
      </c>
      <c r="K18" s="20" t="s">
        <v>28</v>
      </c>
      <c r="L18" s="20" t="s">
        <v>28</v>
      </c>
      <c r="M18" s="34" t="s">
        <v>28</v>
      </c>
      <c r="N18" s="33" t="s">
        <v>28</v>
      </c>
      <c r="O18" s="20" t="s">
        <v>28</v>
      </c>
      <c r="P18" s="20" t="s">
        <v>46</v>
      </c>
      <c r="Q18" s="34" t="s">
        <v>28</v>
      </c>
      <c r="R18" s="32" t="s">
        <v>28</v>
      </c>
      <c r="S18" s="20" t="s">
        <v>28</v>
      </c>
      <c r="T18" s="34" t="s">
        <v>28</v>
      </c>
    </row>
    <row r="19" spans="1:21" ht="15.6">
      <c r="A19" s="3" t="s">
        <v>47</v>
      </c>
      <c r="B19" s="55"/>
      <c r="C19" s="71">
        <v>2250</v>
      </c>
      <c r="D19" s="107">
        <f t="shared" si="0"/>
        <v>2250</v>
      </c>
      <c r="E19" s="56"/>
      <c r="F19" s="33" t="s">
        <v>29</v>
      </c>
      <c r="G19" s="20" t="s">
        <v>28</v>
      </c>
      <c r="H19" s="20" t="s">
        <v>28</v>
      </c>
      <c r="I19" s="20" t="s">
        <v>28</v>
      </c>
      <c r="J19" s="20" t="s">
        <v>28</v>
      </c>
      <c r="K19" s="20" t="s">
        <v>28</v>
      </c>
      <c r="L19" s="20" t="s">
        <v>28</v>
      </c>
      <c r="M19" s="34" t="s">
        <v>28</v>
      </c>
      <c r="N19" s="33" t="s">
        <v>28</v>
      </c>
      <c r="O19" s="20" t="s">
        <v>28</v>
      </c>
      <c r="P19" s="20" t="s">
        <v>46</v>
      </c>
      <c r="Q19" s="34"/>
      <c r="R19" s="32" t="s">
        <v>28</v>
      </c>
      <c r="S19" s="20" t="s">
        <v>28</v>
      </c>
      <c r="T19" s="34" t="s">
        <v>28</v>
      </c>
      <c r="U19" s="5"/>
    </row>
    <row r="20" spans="1:21" ht="15.6">
      <c r="A20" s="3" t="s">
        <v>48</v>
      </c>
      <c r="B20" s="55"/>
      <c r="C20" s="71">
        <v>6</v>
      </c>
      <c r="D20" s="107">
        <f t="shared" si="0"/>
        <v>6</v>
      </c>
      <c r="E20" s="56"/>
      <c r="F20" s="33" t="s">
        <v>42</v>
      </c>
      <c r="G20" s="20" t="s">
        <v>28</v>
      </c>
      <c r="H20" s="20" t="s">
        <v>28</v>
      </c>
      <c r="I20" s="20" t="s">
        <v>30</v>
      </c>
      <c r="J20" s="20" t="s">
        <v>28</v>
      </c>
      <c r="K20" s="20" t="s">
        <v>28</v>
      </c>
      <c r="L20" s="20" t="s">
        <v>30</v>
      </c>
      <c r="M20" s="34" t="s">
        <v>32</v>
      </c>
      <c r="N20" s="33" t="s">
        <v>30</v>
      </c>
      <c r="O20" s="20" t="s">
        <v>32</v>
      </c>
      <c r="P20" s="20" t="s">
        <v>30</v>
      </c>
      <c r="Q20" s="34" t="s">
        <v>36</v>
      </c>
      <c r="R20" s="32" t="s">
        <v>30</v>
      </c>
      <c r="S20" s="20" t="s">
        <v>30</v>
      </c>
      <c r="T20" s="34" t="s">
        <v>30</v>
      </c>
    </row>
    <row r="21" spans="1:21" ht="15.6">
      <c r="A21" s="3" t="s">
        <v>49</v>
      </c>
      <c r="B21" s="55"/>
      <c r="C21" s="71">
        <v>900</v>
      </c>
      <c r="D21" s="106">
        <v>900</v>
      </c>
      <c r="E21" s="56"/>
      <c r="F21" s="33" t="s">
        <v>27</v>
      </c>
      <c r="G21" s="20" t="s">
        <v>28</v>
      </c>
      <c r="H21" s="20" t="s">
        <v>28</v>
      </c>
      <c r="I21" s="20" t="s">
        <v>27</v>
      </c>
      <c r="J21" s="20" t="s">
        <v>30</v>
      </c>
      <c r="K21" s="20" t="s">
        <v>28</v>
      </c>
      <c r="L21" s="20" t="s">
        <v>30</v>
      </c>
      <c r="M21" s="34" t="s">
        <v>32</v>
      </c>
      <c r="N21" s="33" t="s">
        <v>28</v>
      </c>
      <c r="O21" s="20" t="s">
        <v>28</v>
      </c>
      <c r="P21" s="20" t="s">
        <v>27</v>
      </c>
      <c r="Q21" s="34" t="s">
        <v>36</v>
      </c>
      <c r="R21" s="32" t="s">
        <v>27</v>
      </c>
      <c r="S21" s="20" t="s">
        <v>27</v>
      </c>
      <c r="T21" s="34" t="s">
        <v>27</v>
      </c>
    </row>
    <row r="22" spans="1:21" ht="15.6">
      <c r="A22" s="3" t="s">
        <v>50</v>
      </c>
      <c r="B22" s="55"/>
      <c r="C22" s="71">
        <v>300</v>
      </c>
      <c r="D22" s="106">
        <f>B22+C22</f>
        <v>300</v>
      </c>
      <c r="E22" s="56"/>
      <c r="F22" s="33" t="s">
        <v>42</v>
      </c>
      <c r="G22" s="20" t="s">
        <v>28</v>
      </c>
      <c r="H22" s="20" t="s">
        <v>28</v>
      </c>
      <c r="I22" s="20" t="s">
        <v>29</v>
      </c>
      <c r="J22" s="20" t="s">
        <v>31</v>
      </c>
      <c r="K22" s="20" t="s">
        <v>32</v>
      </c>
      <c r="L22" s="20" t="s">
        <v>31</v>
      </c>
      <c r="M22" s="34" t="s">
        <v>32</v>
      </c>
      <c r="N22" s="33" t="s">
        <v>29</v>
      </c>
      <c r="O22" s="20" t="s">
        <v>32</v>
      </c>
      <c r="P22" s="20" t="s">
        <v>29</v>
      </c>
      <c r="Q22" s="34" t="s">
        <v>36</v>
      </c>
      <c r="R22" s="32" t="s">
        <v>29</v>
      </c>
      <c r="S22" s="20" t="s">
        <v>29</v>
      </c>
      <c r="T22" s="34" t="s">
        <v>29</v>
      </c>
    </row>
    <row r="23" spans="1:21" ht="15.6">
      <c r="A23" s="3" t="s">
        <v>51</v>
      </c>
      <c r="B23" s="55"/>
      <c r="C23" s="71">
        <v>75</v>
      </c>
      <c r="D23" s="106">
        <f t="shared" ref="D23:D24" si="1">B23+C23</f>
        <v>75</v>
      </c>
      <c r="E23" s="56"/>
      <c r="F23" s="33" t="s">
        <v>42</v>
      </c>
      <c r="G23" s="20" t="s">
        <v>42</v>
      </c>
      <c r="H23" s="20" t="s">
        <v>42</v>
      </c>
      <c r="I23" s="20" t="s">
        <v>29</v>
      </c>
      <c r="J23" s="20" t="s">
        <v>30</v>
      </c>
      <c r="K23" s="20" t="s">
        <v>28</v>
      </c>
      <c r="L23" s="20" t="s">
        <v>30</v>
      </c>
      <c r="M23" s="34" t="s">
        <v>32</v>
      </c>
      <c r="N23" s="33" t="s">
        <v>29</v>
      </c>
      <c r="O23" s="20" t="s">
        <v>32</v>
      </c>
      <c r="P23" s="20" t="s">
        <v>29</v>
      </c>
      <c r="Q23" s="34" t="s">
        <v>36</v>
      </c>
      <c r="R23" s="32" t="s">
        <v>28</v>
      </c>
      <c r="S23" s="20" t="s">
        <v>29</v>
      </c>
      <c r="T23" s="34" t="s">
        <v>29</v>
      </c>
    </row>
    <row r="24" spans="1:21" ht="15.6">
      <c r="A24" s="3" t="s">
        <v>52</v>
      </c>
      <c r="B24" s="55"/>
      <c r="C24" s="71">
        <v>12</v>
      </c>
      <c r="D24" s="106">
        <f t="shared" si="1"/>
        <v>12</v>
      </c>
      <c r="E24" s="64"/>
      <c r="F24" s="33" t="s">
        <v>28</v>
      </c>
      <c r="G24" s="20" t="s">
        <v>28</v>
      </c>
      <c r="H24" s="20" t="s">
        <v>28</v>
      </c>
      <c r="I24" s="20" t="s">
        <v>29</v>
      </c>
      <c r="J24" s="20" t="s">
        <v>31</v>
      </c>
      <c r="K24" s="20" t="s">
        <v>28</v>
      </c>
      <c r="L24" s="20" t="s">
        <v>28</v>
      </c>
      <c r="M24" s="34" t="s">
        <v>28</v>
      </c>
      <c r="N24" s="33" t="s">
        <v>29</v>
      </c>
      <c r="O24" s="20" t="s">
        <v>32</v>
      </c>
      <c r="P24" s="20" t="s">
        <v>29</v>
      </c>
      <c r="Q24" s="34" t="s">
        <v>36</v>
      </c>
      <c r="R24" s="32" t="s">
        <v>28</v>
      </c>
      <c r="S24" s="20" t="s">
        <v>29</v>
      </c>
      <c r="T24" s="34" t="s">
        <v>35</v>
      </c>
    </row>
    <row r="25" spans="1:21" ht="15.6">
      <c r="A25" s="3" t="s">
        <v>53</v>
      </c>
      <c r="B25" s="56"/>
      <c r="C25" s="70"/>
      <c r="D25" s="57"/>
      <c r="E25" s="64"/>
      <c r="F25" s="33" t="s">
        <v>29</v>
      </c>
      <c r="G25" s="20" t="s">
        <v>28</v>
      </c>
      <c r="H25" s="20" t="s">
        <v>28</v>
      </c>
      <c r="I25" s="20" t="s">
        <v>28</v>
      </c>
      <c r="J25" s="20" t="s">
        <v>28</v>
      </c>
      <c r="K25" s="20" t="s">
        <v>28</v>
      </c>
      <c r="L25" s="20" t="s">
        <v>28</v>
      </c>
      <c r="M25" s="34" t="s">
        <v>28</v>
      </c>
      <c r="N25" s="33" t="s">
        <v>28</v>
      </c>
      <c r="O25" s="20" t="s">
        <v>28</v>
      </c>
      <c r="P25" s="20" t="s">
        <v>28</v>
      </c>
      <c r="Q25" s="34" t="s">
        <v>28</v>
      </c>
      <c r="R25" s="32" t="s">
        <v>29</v>
      </c>
      <c r="S25" s="20" t="s">
        <v>29</v>
      </c>
      <c r="T25" s="34" t="s">
        <v>29</v>
      </c>
    </row>
    <row r="26" spans="1:21" ht="15.6">
      <c r="A26" s="3" t="s">
        <v>54</v>
      </c>
      <c r="B26" s="56"/>
      <c r="C26" s="70"/>
      <c r="D26" s="57"/>
      <c r="E26" s="64"/>
      <c r="F26" s="33" t="s">
        <v>28</v>
      </c>
      <c r="G26" s="20" t="s">
        <v>28</v>
      </c>
      <c r="H26" s="20" t="s">
        <v>28</v>
      </c>
      <c r="I26" s="20" t="s">
        <v>31</v>
      </c>
      <c r="J26" s="20" t="s">
        <v>28</v>
      </c>
      <c r="K26" s="20" t="s">
        <v>28</v>
      </c>
      <c r="L26" s="20" t="s">
        <v>28</v>
      </c>
      <c r="M26" s="34" t="s">
        <v>28</v>
      </c>
      <c r="N26" s="33" t="s">
        <v>28</v>
      </c>
      <c r="O26" s="20" t="s">
        <v>28</v>
      </c>
      <c r="P26" s="20" t="s">
        <v>31</v>
      </c>
      <c r="Q26" s="34" t="s">
        <v>28</v>
      </c>
      <c r="R26" s="32" t="s">
        <v>28</v>
      </c>
      <c r="S26" s="20" t="s">
        <v>31</v>
      </c>
      <c r="T26" s="34" t="s">
        <v>28</v>
      </c>
      <c r="U26" s="4"/>
    </row>
    <row r="27" spans="1:21" ht="15.6">
      <c r="A27" s="3" t="s">
        <v>55</v>
      </c>
      <c r="B27" s="56"/>
      <c r="C27" s="70"/>
      <c r="D27" s="57"/>
      <c r="E27" s="64"/>
      <c r="F27" s="33" t="s">
        <v>28</v>
      </c>
      <c r="G27" s="20" t="s">
        <v>28</v>
      </c>
      <c r="H27" s="20" t="s">
        <v>28</v>
      </c>
      <c r="I27" s="20" t="s">
        <v>42</v>
      </c>
      <c r="J27" s="20" t="s">
        <v>31</v>
      </c>
      <c r="K27" s="20" t="s">
        <v>28</v>
      </c>
      <c r="L27" s="20" t="s">
        <v>30</v>
      </c>
      <c r="M27" s="34" t="s">
        <v>32</v>
      </c>
      <c r="N27" s="33" t="s">
        <v>28</v>
      </c>
      <c r="O27" s="20" t="s">
        <v>28</v>
      </c>
      <c r="P27" s="20" t="s">
        <v>29</v>
      </c>
      <c r="Q27" s="34" t="s">
        <v>28</v>
      </c>
      <c r="R27" s="32" t="s">
        <v>28</v>
      </c>
      <c r="S27" s="20" t="s">
        <v>42</v>
      </c>
      <c r="T27" s="34" t="s">
        <v>35</v>
      </c>
    </row>
    <row r="28" spans="1:21" ht="15.6">
      <c r="A28" s="3" t="s">
        <v>56</v>
      </c>
      <c r="B28" s="56"/>
      <c r="C28" s="70"/>
      <c r="D28" s="57"/>
      <c r="E28" s="64"/>
      <c r="F28" s="33" t="s">
        <v>28</v>
      </c>
      <c r="G28" s="20" t="s">
        <v>28</v>
      </c>
      <c r="H28" s="20" t="s">
        <v>28</v>
      </c>
      <c r="I28" s="20" t="s">
        <v>30</v>
      </c>
      <c r="J28" s="20" t="s">
        <v>31</v>
      </c>
      <c r="K28" s="20" t="s">
        <v>28</v>
      </c>
      <c r="L28" s="20" t="s">
        <v>28</v>
      </c>
      <c r="M28" s="34" t="s">
        <v>28</v>
      </c>
      <c r="N28" s="33"/>
      <c r="O28" s="20" t="s">
        <v>28</v>
      </c>
      <c r="P28" s="20" t="s">
        <v>30</v>
      </c>
      <c r="Q28" s="34" t="s">
        <v>28</v>
      </c>
      <c r="R28" s="32" t="s">
        <v>28</v>
      </c>
      <c r="S28" s="20" t="s">
        <v>30</v>
      </c>
      <c r="T28" s="34" t="s">
        <v>28</v>
      </c>
    </row>
    <row r="29" spans="1:21" ht="15.6">
      <c r="A29" s="3" t="s">
        <v>57</v>
      </c>
      <c r="B29" s="58"/>
      <c r="C29" s="73"/>
      <c r="D29" s="57"/>
      <c r="E29" s="64"/>
      <c r="F29" s="33" t="s">
        <v>28</v>
      </c>
      <c r="G29" s="20" t="s">
        <v>28</v>
      </c>
      <c r="H29" s="20" t="s">
        <v>28</v>
      </c>
      <c r="I29" s="20" t="s">
        <v>29</v>
      </c>
      <c r="J29" s="20" t="s">
        <v>28</v>
      </c>
      <c r="K29" s="20" t="s">
        <v>28</v>
      </c>
      <c r="L29" s="20" t="s">
        <v>28</v>
      </c>
      <c r="M29" s="34" t="s">
        <v>28</v>
      </c>
      <c r="N29" s="33" t="s">
        <v>28</v>
      </c>
      <c r="O29" s="20" t="s">
        <v>28</v>
      </c>
      <c r="P29" s="20" t="s">
        <v>28</v>
      </c>
      <c r="Q29" s="34" t="s">
        <v>28</v>
      </c>
      <c r="R29" s="32" t="s">
        <v>28</v>
      </c>
      <c r="S29" s="20" t="s">
        <v>29</v>
      </c>
      <c r="T29" s="34" t="s">
        <v>29</v>
      </c>
    </row>
    <row r="30" spans="1:21" ht="15.6">
      <c r="A30" s="3" t="s">
        <v>58</v>
      </c>
      <c r="B30" s="58"/>
      <c r="C30" s="73"/>
      <c r="D30" s="57"/>
      <c r="E30" s="64"/>
      <c r="F30" s="33" t="s">
        <v>28</v>
      </c>
      <c r="G30" s="20" t="s">
        <v>28</v>
      </c>
      <c r="H30" s="20" t="s">
        <v>28</v>
      </c>
      <c r="I30" s="20" t="s">
        <v>28</v>
      </c>
      <c r="J30" s="20" t="s">
        <v>28</v>
      </c>
      <c r="K30" s="20" t="s">
        <v>28</v>
      </c>
      <c r="L30" s="20" t="s">
        <v>28</v>
      </c>
      <c r="M30" s="34" t="s">
        <v>28</v>
      </c>
      <c r="N30" s="33" t="s">
        <v>28</v>
      </c>
      <c r="O30" s="20" t="s">
        <v>28</v>
      </c>
      <c r="P30" s="20" t="s">
        <v>28</v>
      </c>
      <c r="Q30" s="34" t="s">
        <v>28</v>
      </c>
      <c r="R30" s="32" t="s">
        <v>28</v>
      </c>
      <c r="S30" s="20" t="s">
        <v>31</v>
      </c>
      <c r="T30" s="34" t="s">
        <v>28</v>
      </c>
    </row>
    <row r="31" spans="1:21" ht="15.6">
      <c r="A31" s="3" t="s">
        <v>59</v>
      </c>
      <c r="B31" s="56"/>
      <c r="C31" s="70"/>
      <c r="D31" s="57"/>
      <c r="E31" s="64"/>
      <c r="F31" s="33" t="s">
        <v>28</v>
      </c>
      <c r="G31" s="20" t="s">
        <v>28</v>
      </c>
      <c r="H31" s="20" t="s">
        <v>28</v>
      </c>
      <c r="I31" s="20" t="s">
        <v>28</v>
      </c>
      <c r="J31" s="20" t="s">
        <v>28</v>
      </c>
      <c r="K31" s="20" t="s">
        <v>28</v>
      </c>
      <c r="L31" s="20" t="s">
        <v>28</v>
      </c>
      <c r="M31" s="34" t="s">
        <v>28</v>
      </c>
      <c r="N31" s="33" t="s">
        <v>28</v>
      </c>
      <c r="O31" s="20" t="s">
        <v>28</v>
      </c>
      <c r="P31" s="20" t="s">
        <v>28</v>
      </c>
      <c r="Q31" s="34" t="s">
        <v>28</v>
      </c>
      <c r="R31" s="32" t="s">
        <v>28</v>
      </c>
      <c r="S31" s="20" t="s">
        <v>42</v>
      </c>
      <c r="T31" s="34" t="s">
        <v>42</v>
      </c>
    </row>
    <row r="32" spans="1:21" ht="15.6">
      <c r="A32" s="3" t="s">
        <v>60</v>
      </c>
      <c r="B32" s="56"/>
      <c r="C32" s="70"/>
      <c r="D32" s="57"/>
      <c r="E32" s="56"/>
      <c r="F32" s="33" t="s">
        <v>28</v>
      </c>
      <c r="G32" s="20" t="s">
        <v>28</v>
      </c>
      <c r="H32" s="20" t="s">
        <v>28</v>
      </c>
      <c r="I32" s="20" t="s">
        <v>31</v>
      </c>
      <c r="J32" s="20" t="s">
        <v>32</v>
      </c>
      <c r="K32" s="20" t="s">
        <v>28</v>
      </c>
      <c r="L32" s="20" t="s">
        <v>28</v>
      </c>
      <c r="M32" s="34" t="s">
        <v>28</v>
      </c>
      <c r="N32" s="33" t="s">
        <v>28</v>
      </c>
      <c r="O32" s="20" t="s">
        <v>28</v>
      </c>
      <c r="P32" s="20" t="s">
        <v>28</v>
      </c>
      <c r="Q32" s="34" t="s">
        <v>28</v>
      </c>
      <c r="R32" s="32" t="s">
        <v>28</v>
      </c>
      <c r="S32" s="20" t="s">
        <v>28</v>
      </c>
      <c r="T32" s="34" t="s">
        <v>28</v>
      </c>
    </row>
    <row r="33" spans="1:21" ht="15.6">
      <c r="A33" s="3" t="s">
        <v>61</v>
      </c>
      <c r="B33" s="56"/>
      <c r="C33" s="70"/>
      <c r="D33" s="57"/>
      <c r="E33" s="56"/>
      <c r="F33" s="33" t="s">
        <v>28</v>
      </c>
      <c r="G33" s="20" t="s">
        <v>29</v>
      </c>
      <c r="H33" s="20" t="s">
        <v>28</v>
      </c>
      <c r="I33" s="20" t="s">
        <v>28</v>
      </c>
      <c r="J33" s="20" t="s">
        <v>28</v>
      </c>
      <c r="K33" s="20" t="s">
        <v>28</v>
      </c>
      <c r="L33" s="20" t="s">
        <v>28</v>
      </c>
      <c r="M33" s="34" t="s">
        <v>28</v>
      </c>
      <c r="N33" s="33" t="s">
        <v>28</v>
      </c>
      <c r="O33" s="20" t="s">
        <v>28</v>
      </c>
      <c r="P33" s="20" t="s">
        <v>28</v>
      </c>
      <c r="Q33" s="34" t="s">
        <v>28</v>
      </c>
      <c r="R33" s="32" t="s">
        <v>28</v>
      </c>
      <c r="S33" s="20" t="s">
        <v>28</v>
      </c>
      <c r="T33" s="34" t="s">
        <v>28</v>
      </c>
    </row>
    <row r="34" spans="1:21" ht="15.6">
      <c r="A34" s="3" t="s">
        <v>62</v>
      </c>
      <c r="B34" s="59"/>
      <c r="C34" s="74"/>
      <c r="D34" s="60"/>
      <c r="E34" s="56"/>
      <c r="F34" s="33" t="s">
        <v>42</v>
      </c>
      <c r="G34" s="20" t="s">
        <v>29</v>
      </c>
      <c r="H34" s="20" t="s">
        <v>29</v>
      </c>
      <c r="I34" s="20" t="s">
        <v>28</v>
      </c>
      <c r="J34" s="20" t="s">
        <v>28</v>
      </c>
      <c r="K34" s="20" t="s">
        <v>28</v>
      </c>
      <c r="L34" s="20" t="s">
        <v>28</v>
      </c>
      <c r="M34" s="34" t="s">
        <v>28</v>
      </c>
      <c r="N34" s="33" t="s">
        <v>28</v>
      </c>
      <c r="O34" s="20" t="s">
        <v>28</v>
      </c>
      <c r="P34" s="20" t="s">
        <v>28</v>
      </c>
      <c r="Q34" s="34" t="s">
        <v>28</v>
      </c>
      <c r="R34" s="32" t="s">
        <v>28</v>
      </c>
      <c r="S34" s="20" t="s">
        <v>28</v>
      </c>
      <c r="T34" s="34" t="s">
        <v>28</v>
      </c>
      <c r="U34" s="4"/>
    </row>
    <row r="35" spans="1:21" ht="16.2" thickBot="1">
      <c r="A35" s="30" t="s">
        <v>63</v>
      </c>
      <c r="B35" s="65"/>
      <c r="C35" s="133"/>
      <c r="D35" s="134"/>
      <c r="E35" s="65"/>
      <c r="F35" s="38" t="s">
        <v>64</v>
      </c>
      <c r="G35" s="25" t="s">
        <v>64</v>
      </c>
      <c r="H35" s="25" t="s">
        <v>64</v>
      </c>
      <c r="I35" s="25" t="s">
        <v>64</v>
      </c>
      <c r="J35" s="25" t="s">
        <v>64</v>
      </c>
      <c r="K35" s="25" t="s">
        <v>64</v>
      </c>
      <c r="L35" s="25" t="s">
        <v>64</v>
      </c>
      <c r="M35" s="26" t="s">
        <v>65</v>
      </c>
      <c r="N35" s="38" t="s">
        <v>29</v>
      </c>
      <c r="O35" s="25" t="s">
        <v>32</v>
      </c>
      <c r="P35" s="25" t="s">
        <v>28</v>
      </c>
      <c r="Q35" s="26" t="s">
        <v>28</v>
      </c>
      <c r="R35" s="39" t="s">
        <v>64</v>
      </c>
      <c r="S35" s="25" t="s">
        <v>64</v>
      </c>
      <c r="T35" s="26" t="s">
        <v>64</v>
      </c>
    </row>
    <row r="36" spans="1:21" ht="15.75" customHeight="1" thickBot="1">
      <c r="A36" s="121" t="s">
        <v>66</v>
      </c>
      <c r="B36" s="122">
        <f>SUM(B7:B35)</f>
        <v>5080</v>
      </c>
      <c r="C36" s="123">
        <f>SUM(C7:C35)</f>
        <v>8738</v>
      </c>
      <c r="D36" s="124">
        <f>SUM(D7:D35)</f>
        <v>13818</v>
      </c>
      <c r="E36" s="41"/>
    </row>
    <row r="37" spans="1:21" ht="15.75" customHeight="1" thickBot="1">
      <c r="D37" s="52"/>
    </row>
    <row r="38" spans="1:21" ht="17.100000000000001" customHeight="1" thickBot="1">
      <c r="A38" s="15" t="s">
        <v>67</v>
      </c>
      <c r="B38" s="6"/>
      <c r="C38" s="6"/>
      <c r="D38" s="45"/>
      <c r="E38" s="6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</row>
    <row r="39" spans="1:21" ht="15.75" customHeight="1">
      <c r="A39" s="11" t="s">
        <v>68</v>
      </c>
      <c r="B39" s="7"/>
      <c r="C39" s="7"/>
      <c r="D39" s="46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</row>
    <row r="40" spans="1:21" ht="15.75" customHeight="1">
      <c r="A40" s="12" t="s">
        <v>69</v>
      </c>
      <c r="B40" s="17"/>
      <c r="C40" s="17"/>
      <c r="D40" s="47"/>
      <c r="E40" s="1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</row>
    <row r="41" spans="1:21" ht="15.75" customHeight="1">
      <c r="A41" s="13" t="s">
        <v>70</v>
      </c>
      <c r="B41" s="17"/>
      <c r="C41" s="17"/>
      <c r="D41" s="47"/>
      <c r="E41" s="1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</row>
    <row r="42" spans="1:21" ht="15.75" customHeight="1">
      <c r="A42" s="14" t="s">
        <v>71</v>
      </c>
      <c r="B42" s="18"/>
      <c r="C42" s="18"/>
      <c r="D42" s="48"/>
      <c r="E42" s="18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</row>
    <row r="43" spans="1:21" ht="15.75" customHeight="1">
      <c r="A43" s="12" t="s">
        <v>72</v>
      </c>
      <c r="B43" s="19"/>
      <c r="C43" s="19"/>
      <c r="D43" s="49"/>
      <c r="E43" s="19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</row>
    <row r="44" spans="1:21" ht="15.75" customHeight="1">
      <c r="A44" s="12" t="s">
        <v>73</v>
      </c>
      <c r="B44" s="17"/>
      <c r="C44" s="17"/>
      <c r="D44" s="47"/>
      <c r="E44" s="1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</row>
    <row r="45" spans="1:21" ht="15.75" customHeight="1">
      <c r="A45" s="12" t="s">
        <v>74</v>
      </c>
      <c r="B45" s="17"/>
      <c r="C45" s="17"/>
      <c r="D45" s="47"/>
      <c r="E45" s="1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</row>
    <row r="46" spans="1:21" ht="15.75" customHeight="1">
      <c r="A46" s="12" t="s">
        <v>75</v>
      </c>
      <c r="B46" s="17"/>
      <c r="C46" s="17"/>
      <c r="D46" s="47"/>
      <c r="E46" s="1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</row>
    <row r="47" spans="1:21" ht="15.75" customHeight="1" thickBot="1">
      <c r="A47" s="17"/>
      <c r="B47" s="17"/>
      <c r="C47" s="17"/>
      <c r="D47" s="47"/>
      <c r="E47" s="1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</row>
    <row r="48" spans="1:21" ht="28.5" customHeight="1" thickBot="1">
      <c r="A48" s="5"/>
      <c r="B48" s="5"/>
      <c r="C48" s="5"/>
      <c r="D48" s="69"/>
      <c r="E48" s="142" t="s">
        <v>76</v>
      </c>
      <c r="F48" s="143"/>
    </row>
    <row r="49" spans="1:6" ht="27.6">
      <c r="A49" s="80" t="s">
        <v>77</v>
      </c>
      <c r="B49" s="81" t="s">
        <v>78</v>
      </c>
      <c r="C49" s="82" t="s">
        <v>79</v>
      </c>
      <c r="D49" s="82" t="s">
        <v>80</v>
      </c>
      <c r="E49" s="83" t="s">
        <v>81</v>
      </c>
      <c r="F49" s="84" t="s">
        <v>82</v>
      </c>
    </row>
    <row r="50" spans="1:6" ht="15.6">
      <c r="A50" s="85" t="s">
        <v>83</v>
      </c>
      <c r="B50" s="110">
        <v>1</v>
      </c>
      <c r="C50" s="89">
        <v>1</v>
      </c>
      <c r="D50" s="79">
        <v>0</v>
      </c>
      <c r="E50" s="108">
        <v>64</v>
      </c>
      <c r="F50" s="68">
        <f>B50*E50</f>
        <v>64</v>
      </c>
    </row>
    <row r="51" spans="1:6" ht="15.6">
      <c r="A51" s="85" t="s">
        <v>84</v>
      </c>
      <c r="B51" s="110">
        <v>4</v>
      </c>
      <c r="C51" s="66" t="s">
        <v>85</v>
      </c>
      <c r="D51" s="79" t="s">
        <v>86</v>
      </c>
      <c r="E51" s="108">
        <v>207</v>
      </c>
      <c r="F51" s="68">
        <f t="shared" ref="F51:F52" si="2">B51*E51</f>
        <v>828</v>
      </c>
    </row>
    <row r="52" spans="1:6" ht="16.2" thickBot="1">
      <c r="A52" s="86" t="s">
        <v>87</v>
      </c>
      <c r="B52" s="111"/>
      <c r="C52" s="67" t="s">
        <v>88</v>
      </c>
      <c r="D52" s="87" t="s">
        <v>89</v>
      </c>
      <c r="E52" s="109"/>
      <c r="F52" s="88">
        <f t="shared" si="2"/>
        <v>0</v>
      </c>
    </row>
    <row r="53" spans="1:6" ht="16.2" thickBot="1">
      <c r="A53" s="77"/>
      <c r="B53" s="144" t="s">
        <v>90</v>
      </c>
      <c r="C53" s="145"/>
      <c r="D53" s="145"/>
      <c r="E53" s="146"/>
      <c r="F53" s="78">
        <f>SUM(F50:F52)</f>
        <v>892</v>
      </c>
    </row>
    <row r="54" spans="1:6" ht="15.6">
      <c r="B54" s="16"/>
      <c r="C54" s="51"/>
      <c r="D54" s="16"/>
      <c r="E54" s="16"/>
    </row>
  </sheetData>
  <protectedRanges>
    <protectedRange algorithmName="SHA-512" hashValue="BhYRTnWJJl+PzFCBYZ1jzX8h2yV3u98hzNrXo3tQDT9Vm7/WCWelLOiJj3dcV9zuXVQpJfK6s0QMGUGsGEs/5w==" saltValue="y/jkOKiD9tzllyO1Osy00Q==" spinCount="100000" sqref="B36:D36 F50:F53 D7:D24" name="Formulas 24x7 50 plus"/>
  </protectedRanges>
  <mergeCells count="8">
    <mergeCell ref="R6:T6"/>
    <mergeCell ref="E48:F48"/>
    <mergeCell ref="B53:E53"/>
    <mergeCell ref="A6:E6"/>
    <mergeCell ref="N6:O6"/>
    <mergeCell ref="P6:Q6"/>
    <mergeCell ref="L6:M6"/>
    <mergeCell ref="I6:K6"/>
  </mergeCells>
  <pageMargins left="0.7" right="0.7" top="0.75" bottom="0.75" header="0.3" footer="0.3"/>
  <pageSetup scale="50" orientation="landscape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ED3FED0B2B0745A899C5E2CA0C0ED5" ma:contentTypeVersion="2" ma:contentTypeDescription="Create a new document." ma:contentTypeScope="" ma:versionID="f2a97d006865e11f899eca9fb64118c3">
  <xsd:schema xmlns:xsd="http://www.w3.org/2001/XMLSchema" xmlns:xs="http://www.w3.org/2001/XMLSchema" xmlns:p="http://schemas.microsoft.com/office/2006/metadata/properties" xmlns:ns2="028bafbd-090b-4d56-903f-4c7e689ac554" targetNamespace="http://schemas.microsoft.com/office/2006/metadata/properties" ma:root="true" ma:fieldsID="3a2dddb7c01945d57f064c4d7ae9fba5" ns2:_="">
    <xsd:import namespace="028bafbd-090b-4d56-903f-4c7e689ac55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8bafbd-090b-4d56-903f-4c7e689ac55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A2C4D75-7898-4B6C-83EB-CBA924C72DD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EB645CB-9AC8-4AE1-8F11-6BB82F1191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8bafbd-090b-4d56-903f-4c7e689ac55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5B1EF1B-47E0-423D-B6CB-E57CB136D03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24x7  50+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Shelton, Darnell A-CTR (FAA)</cp:lastModifiedBy>
  <cp:revision/>
  <dcterms:created xsi:type="dcterms:W3CDTF">2023-07-05T15:15:43Z</dcterms:created>
  <dcterms:modified xsi:type="dcterms:W3CDTF">2026-04-22T13:20:44Z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0x010100C9ED3FED0B2B0745A899C5E2CA0C0ED5</vt:lpwstr>
  </property>
</Properties>
</file>