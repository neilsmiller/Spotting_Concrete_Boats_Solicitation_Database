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thumbnail" Target="docProps/thumbnail.emf"/><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usdagcc-my.sharepoint.com/personal/patricia_newberry_usda_gov/Documents/GAOA Support/Assignments/ALSS Support/1145057 Quincy Helibase Modulare Office PNF5/127EAY26Q0055 Modular Office Rental PNF/"/>
    </mc:Choice>
  </mc:AlternateContent>
  <xr:revisionPtr revIDLastSave="0" documentId="8_{3F30766D-64AF-46EC-9384-203F46B21A96}" xr6:coauthVersionLast="47" xr6:coauthVersionMax="47" xr10:uidLastSave="{00000000-0000-0000-0000-000000000000}"/>
  <bookViews>
    <workbookView xWindow="-110" yWindow="-110" windowWidth="19420" windowHeight="10300" xr2:uid="{960394EE-8189-4025-8AD4-FA4BCEE435D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4" i="1" l="1"/>
  <c r="F35" i="1" s="1"/>
  <c r="F8" i="1"/>
  <c r="F29" i="1"/>
  <c r="F30" i="1" s="1"/>
  <c r="F19" i="1"/>
  <c r="F20" i="1" s="1"/>
  <c r="F24" i="1"/>
  <c r="F25" i="1" s="1"/>
  <c r="F14" i="1"/>
  <c r="F15" i="1" s="1"/>
  <c r="F9" i="1"/>
  <c r="F10" i="1" l="1"/>
  <c r="F37" i="1" s="1"/>
</calcChain>
</file>

<file path=xl/sharedStrings.xml><?xml version="1.0" encoding="utf-8"?>
<sst xmlns="http://schemas.openxmlformats.org/spreadsheetml/2006/main" count="80" uniqueCount="41">
  <si>
    <t>SCHEDULE OF ITEMS</t>
  </si>
  <si>
    <t>PROJECT</t>
  </si>
  <si>
    <t>CLIN</t>
  </si>
  <si>
    <t>Total</t>
  </si>
  <si>
    <t>Base Period Total</t>
  </si>
  <si>
    <t>Grand Total</t>
  </si>
  <si>
    <t>COMPANY:</t>
  </si>
  <si>
    <t>CONTACT NAME:</t>
  </si>
  <si>
    <t>EMAIL:</t>
  </si>
  <si>
    <t>PHONE:</t>
  </si>
  <si>
    <t>SAM UEI:</t>
  </si>
  <si>
    <t xml:space="preserve">Plumas National Forest Quincy Helibase Modular Office Lease </t>
  </si>
  <si>
    <t>Site Location</t>
  </si>
  <si>
    <t>Unit price</t>
  </si>
  <si>
    <t>Quincy Helibase</t>
  </si>
  <si>
    <t>Option Year One Total</t>
  </si>
  <si>
    <t>0001</t>
  </si>
  <si>
    <t>Option Year Two Total</t>
  </si>
  <si>
    <t>0002</t>
  </si>
  <si>
    <t>Option Year Four Total</t>
  </si>
  <si>
    <t>Setup and Delivery</t>
  </si>
  <si>
    <t>DAY QUOTE OFFERED:</t>
  </si>
  <si>
    <t xml:space="preserve">Quincy Helibase </t>
  </si>
  <si>
    <t xml:space="preserve">Point of Contact &amp; Company Information </t>
  </si>
  <si>
    <t>Lease Monthly Charge</t>
  </si>
  <si>
    <t>Quantity</t>
  </si>
  <si>
    <t>Demoblization and Removal</t>
  </si>
  <si>
    <t>Demoblization &amp; Removal Total</t>
  </si>
  <si>
    <t>1001</t>
  </si>
  <si>
    <r>
      <rPr>
        <i/>
        <sz val="11"/>
        <rFont val="Aptos Narrow"/>
        <family val="2"/>
        <scheme val="minor"/>
      </rPr>
      <t>Schedule Notes:</t>
    </r>
    <r>
      <rPr>
        <sz val="11"/>
        <rFont val="Aptos Narrow"/>
        <family val="2"/>
        <scheme val="minor"/>
      </rPr>
      <t xml:space="preserve"> CLIN 1005 (Demobilization and Removal) is an option line item that may be exercised at the conclusion of the base period or any exercised option period. This CLIN will be exercised only once, upon the Government's decision to terminate the lease and remove the modular unit. The price for this CLIN shall remain firm-fixed for the duration of the contract.</t>
    </r>
  </si>
  <si>
    <t>Base Year (May 01,2026 -April 30, 2027)</t>
  </si>
  <si>
    <t>OY 1  (May 01,2027 -April 30, 2028)</t>
  </si>
  <si>
    <t>OY 2 (May 01,2028 -April 30, 2029)</t>
  </si>
  <si>
    <t>OY 3 (May 01,2029 -April 30, 2030)</t>
  </si>
  <si>
    <t>OY 4 (May 01,2030 -April 30, 2031)</t>
  </si>
  <si>
    <t>4001</t>
  </si>
  <si>
    <t>3001</t>
  </si>
  <si>
    <t>2001</t>
  </si>
  <si>
    <t>Mnth</t>
  </si>
  <si>
    <t>EA</t>
  </si>
  <si>
    <t>SOLICITATION # 127EAY26Q0041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</si>
</sst>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10">
    <font>
      <sz val="11"/>
      <color theme="1"/>
      <name val="Aptos Narrow"/>
      <family val="2"/>
      <scheme val="minor"/>
    </font>
    <font>
      <sz val="11"/>
      <color theme="1"/>
      <name val="Aptos Narrow"/>
      <family val="2"/>
      <scheme val="minor"/>
    </font>
    <font>
      <b/>
      <sz val="11"/>
      <color theme="1"/>
      <name val="Aptos Narrow"/>
      <family val="2"/>
      <scheme val="minor"/>
    </font>
    <font>
      <sz val="10"/>
      <name val="Arial"/>
      <family val="2"/>
    </font>
    <font>
      <sz val="16"/>
      <name val="AvantGarde Md BT"/>
      <family val="2"/>
    </font>
    <font>
      <sz val="11"/>
      <name val="Aptos Narrow"/>
      <family val="2"/>
      <scheme val="minor"/>
    </font>
    <font>
      <b/>
      <sz val="11"/>
      <name val="Aptos Narrow"/>
      <family val="2"/>
      <scheme val="minor"/>
    </font>
    <font>
      <sz val="13"/>
      <color theme="1"/>
      <name val="Calibri"/>
      <family val="2"/>
    </font>
    <font>
      <sz val="12"/>
      <color theme="1"/>
      <name val="Calibri"/>
      <family val="2"/>
    </font>
    <font>
      <i/>
      <sz val="11"/>
      <name val="Aptos Narrow"/>
      <family val="2"/>
      <scheme val="minor"/>
    </font>
  </fonts>
  <fills count="6">
    <fill>
      <patternFill patternType="none"/>
    </fill>
    <fill>
      <patternFill patternType="gray125"/>
    </fill>
    <fill>
      <patternFill patternType="solid">
        <fgColor theme="0" tint="-0.14999847407452621"/>
        <bgColor indexed="64"/>
      </patternFill>
    </fill>
    <fill>
      <patternFill patternType="solid">
        <fgColor theme="2"/>
        <bgColor indexed="64"/>
      </patternFill>
    </fill>
    <fill>
      <patternFill patternType="solid">
        <fgColor theme="0"/>
        <bgColor indexed="64"/>
      </patternFill>
    </fill>
    <fill>
      <patternFill patternType="solid">
        <fgColor theme="1"/>
        <bgColor indexed="64"/>
      </patternFill>
    </fill>
  </fills>
  <borders count="2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style="thin">
        <color indexed="64"/>
      </left>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right style="medium">
        <color indexed="64"/>
      </right>
      <top/>
      <bottom/>
      <diagonal/>
    </border>
    <border>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right style="thin">
        <color indexed="64"/>
      </right>
      <top style="thin">
        <color indexed="64"/>
      </top>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thin">
        <color indexed="64"/>
      </left>
      <right/>
      <top style="thin">
        <color indexed="64"/>
      </top>
      <bottom/>
      <diagonal/>
    </border>
  </borders>
  <cellStyleXfs count="3">
    <xf numFmtId="0" fontId="0" fillId="0" borderId="0"/>
    <xf numFmtId="44" fontId="1" fillId="0" borderId="0" applyFont="0" applyFill="0" applyBorder="0" applyAlignment="0" applyProtection="0"/>
    <xf numFmtId="0" fontId="3" fillId="0" borderId="0"/>
  </cellStyleXfs>
  <cellXfs count="84">
    <xf numFmtId="0" fontId="0" fillId="0" borderId="0" xfId="0"/>
    <xf numFmtId="0" fontId="7" fillId="0" borderId="1" xfId="0" applyFont="1" applyBorder="1" applyAlignment="1" applyProtection="1">
      <alignment vertical="center" wrapText="1"/>
      <protection locked="0"/>
    </xf>
    <xf numFmtId="0" fontId="0" fillId="0" borderId="0" xfId="0" applyProtection="1">
      <protection locked="0"/>
    </xf>
    <xf numFmtId="0" fontId="6" fillId="0" borderId="1" xfId="0" applyFont="1" applyBorder="1" applyAlignment="1">
      <alignment horizontal="center" wrapText="1"/>
    </xf>
    <xf numFmtId="0" fontId="0" fillId="4" borderId="0" xfId="0" applyFill="1" applyProtection="1">
      <protection locked="0"/>
    </xf>
    <xf numFmtId="0" fontId="5" fillId="0" borderId="6" xfId="2" applyFont="1" applyBorder="1"/>
    <xf numFmtId="0" fontId="6" fillId="0" borderId="6" xfId="0" applyFont="1" applyBorder="1" applyAlignment="1">
      <alignment horizontal="center" wrapText="1"/>
    </xf>
    <xf numFmtId="0" fontId="7" fillId="0" borderId="13" xfId="0" applyFont="1" applyBorder="1" applyAlignment="1" applyProtection="1">
      <alignment vertical="center" wrapText="1"/>
      <protection locked="0"/>
    </xf>
    <xf numFmtId="0" fontId="2" fillId="2" borderId="1" xfId="0" applyFont="1" applyFill="1" applyBorder="1" applyAlignment="1">
      <alignment horizontal="left" vertical="center"/>
    </xf>
    <xf numFmtId="0" fontId="2" fillId="2" borderId="1" xfId="0" applyFont="1" applyFill="1" applyBorder="1" applyAlignment="1">
      <alignment horizontal="center" vertical="center"/>
    </xf>
    <xf numFmtId="44" fontId="2" fillId="2" borderId="1" xfId="1" applyFont="1" applyFill="1" applyBorder="1" applyAlignment="1" applyProtection="1">
      <alignment horizontal="center" vertical="center"/>
      <protection locked="0"/>
    </xf>
    <xf numFmtId="0" fontId="2" fillId="4" borderId="1" xfId="0" applyFont="1" applyFill="1" applyBorder="1" applyAlignment="1">
      <alignment horizontal="center" vertical="center"/>
    </xf>
    <xf numFmtId="0" fontId="6" fillId="3" borderId="1" xfId="1" applyNumberFormat="1" applyFont="1" applyFill="1" applyBorder="1" applyAlignment="1" applyProtection="1">
      <alignment horizontal="center" vertical="center"/>
    </xf>
    <xf numFmtId="0" fontId="2" fillId="3" borderId="1" xfId="0" applyFont="1" applyFill="1" applyBorder="1" applyAlignment="1">
      <alignment horizontal="center" vertical="center"/>
    </xf>
    <xf numFmtId="0" fontId="7" fillId="0" borderId="16" xfId="0" applyFont="1" applyBorder="1" applyAlignment="1" applyProtection="1">
      <alignment vertical="center" wrapText="1"/>
      <protection locked="0"/>
    </xf>
    <xf numFmtId="49" fontId="2" fillId="2" borderId="6" xfId="0" applyNumberFormat="1" applyFont="1" applyFill="1" applyBorder="1" applyAlignment="1">
      <alignment horizontal="center" vertical="center"/>
    </xf>
    <xf numFmtId="44" fontId="2" fillId="2" borderId="7" xfId="1" applyFont="1" applyFill="1" applyBorder="1" applyAlignment="1">
      <alignment horizontal="left" vertical="center"/>
    </xf>
    <xf numFmtId="44" fontId="6" fillId="0" borderId="7" xfId="1" applyFont="1" applyBorder="1" applyAlignment="1" applyProtection="1">
      <alignment vertical="center"/>
    </xf>
    <xf numFmtId="0" fontId="0" fillId="4" borderId="6" xfId="0" applyFill="1" applyBorder="1" applyAlignment="1">
      <alignment horizontal="center" vertical="center"/>
    </xf>
    <xf numFmtId="0" fontId="0" fillId="0" borderId="6" xfId="0" applyBorder="1" applyAlignment="1">
      <alignment horizontal="center" vertical="center"/>
    </xf>
    <xf numFmtId="44" fontId="6" fillId="0" borderId="6" xfId="1" applyFont="1" applyBorder="1" applyAlignment="1" applyProtection="1">
      <alignment horizontal="center" vertical="center"/>
    </xf>
    <xf numFmtId="0" fontId="6" fillId="3" borderId="6" xfId="1" applyNumberFormat="1" applyFont="1" applyFill="1" applyBorder="1" applyAlignment="1" applyProtection="1">
      <alignment horizontal="center" vertical="center"/>
    </xf>
    <xf numFmtId="0" fontId="7" fillId="0" borderId="17" xfId="0" applyFont="1" applyBorder="1" applyAlignment="1">
      <alignment horizontal="right" vertical="center" wrapText="1"/>
    </xf>
    <xf numFmtId="0" fontId="7" fillId="0" borderId="6" xfId="0" applyFont="1" applyBorder="1" applyAlignment="1">
      <alignment horizontal="right" vertical="center" wrapText="1"/>
    </xf>
    <xf numFmtId="0" fontId="7" fillId="0" borderId="12" xfId="0" applyFont="1" applyBorder="1" applyAlignment="1">
      <alignment horizontal="right" vertical="center" wrapText="1"/>
    </xf>
    <xf numFmtId="0" fontId="8" fillId="0" borderId="16" xfId="0" applyFont="1" applyBorder="1" applyAlignment="1">
      <alignment horizontal="right" vertical="center" wrapText="1"/>
    </xf>
    <xf numFmtId="0" fontId="8" fillId="0" borderId="13" xfId="0" applyFont="1" applyBorder="1" applyAlignment="1">
      <alignment horizontal="right" vertical="center" wrapText="1"/>
    </xf>
    <xf numFmtId="44" fontId="6" fillId="3" borderId="1" xfId="1" applyFont="1" applyFill="1" applyBorder="1" applyAlignment="1" applyProtection="1">
      <alignment vertical="center"/>
      <protection locked="0"/>
    </xf>
    <xf numFmtId="44" fontId="2" fillId="3" borderId="7" xfId="1" applyFont="1" applyFill="1" applyBorder="1" applyProtection="1"/>
    <xf numFmtId="0" fontId="2" fillId="4" borderId="1" xfId="0" applyFont="1" applyFill="1" applyBorder="1" applyAlignment="1">
      <alignment horizontal="right" vertical="center"/>
    </xf>
    <xf numFmtId="44" fontId="2" fillId="4" borderId="7" xfId="0" applyNumberFormat="1" applyFont="1" applyFill="1" applyBorder="1" applyAlignment="1">
      <alignment horizontal="left" vertical="center"/>
    </xf>
    <xf numFmtId="0" fontId="0" fillId="4" borderId="0" xfId="0" applyFill="1" applyAlignment="1">
      <alignment horizontal="center"/>
    </xf>
    <xf numFmtId="44" fontId="6" fillId="0" borderId="3" xfId="1" applyFont="1" applyBorder="1" applyAlignment="1" applyProtection="1">
      <alignment vertical="center"/>
    </xf>
    <xf numFmtId="44" fontId="2" fillId="0" borderId="9" xfId="1" applyFont="1" applyBorder="1" applyProtection="1"/>
    <xf numFmtId="0" fontId="0" fillId="4" borderId="0" xfId="0" applyFill="1" applyAlignment="1" applyProtection="1">
      <alignment horizontal="center"/>
      <protection locked="0"/>
    </xf>
    <xf numFmtId="0" fontId="6" fillId="0" borderId="1" xfId="0" applyFont="1" applyBorder="1" applyAlignment="1">
      <alignment horizontal="center" wrapText="1"/>
    </xf>
    <xf numFmtId="44" fontId="6" fillId="0" borderId="1" xfId="1" applyFont="1" applyBorder="1" applyAlignment="1" applyProtection="1">
      <alignment horizontal="center"/>
    </xf>
    <xf numFmtId="44" fontId="6" fillId="0" borderId="22" xfId="1" applyFont="1" applyBorder="1" applyAlignment="1" applyProtection="1">
      <alignment horizontal="center" vertical="center"/>
    </xf>
    <xf numFmtId="0" fontId="0" fillId="4" borderId="0" xfId="0" applyFill="1" applyAlignment="1">
      <alignment horizontal="center"/>
    </xf>
    <xf numFmtId="0" fontId="8" fillId="0" borderId="5" xfId="0" applyFont="1" applyBorder="1" applyAlignment="1">
      <alignment horizontal="right" vertical="center" wrapText="1"/>
    </xf>
    <xf numFmtId="0" fontId="8" fillId="0" borderId="28" xfId="0" applyFont="1" applyBorder="1" applyAlignment="1">
      <alignment horizontal="right" vertical="center" wrapText="1"/>
    </xf>
    <xf numFmtId="0" fontId="8" fillId="0" borderId="14" xfId="0" applyFont="1" applyBorder="1" applyAlignment="1">
      <alignment horizontal="right" vertical="center" wrapText="1"/>
    </xf>
    <xf numFmtId="0" fontId="8" fillId="0" borderId="14" xfId="0" applyFont="1" applyBorder="1" applyAlignment="1" applyProtection="1">
      <alignment horizontal="center" vertical="center" wrapText="1"/>
      <protection locked="0"/>
    </xf>
    <xf numFmtId="0" fontId="8" fillId="0" borderId="15" xfId="0" applyFont="1" applyBorder="1" applyAlignment="1" applyProtection="1">
      <alignment horizontal="center" vertical="center" wrapText="1"/>
      <protection locked="0"/>
    </xf>
    <xf numFmtId="0" fontId="8" fillId="0" borderId="5" xfId="0" applyFont="1" applyBorder="1" applyAlignment="1" applyProtection="1">
      <alignment horizontal="center" vertical="center" wrapText="1"/>
      <protection locked="0"/>
    </xf>
    <xf numFmtId="0" fontId="8" fillId="0" borderId="11" xfId="0" applyFont="1" applyBorder="1" applyAlignment="1" applyProtection="1">
      <alignment horizontal="center" vertical="center" wrapText="1"/>
      <protection locked="0"/>
    </xf>
    <xf numFmtId="44" fontId="6" fillId="0" borderId="6" xfId="1" applyFont="1" applyBorder="1" applyAlignment="1" applyProtection="1">
      <alignment horizontal="right" vertical="center"/>
    </xf>
    <xf numFmtId="44" fontId="6" fillId="0" borderId="1" xfId="1" applyFont="1" applyBorder="1" applyAlignment="1" applyProtection="1">
      <alignment horizontal="right" vertical="center"/>
    </xf>
    <xf numFmtId="44" fontId="6" fillId="0" borderId="21" xfId="1" applyFont="1" applyBorder="1" applyAlignment="1" applyProtection="1">
      <alignment horizontal="center" vertical="center"/>
    </xf>
    <xf numFmtId="44" fontId="6" fillId="0" borderId="4" xfId="1" applyFont="1" applyBorder="1" applyAlignment="1" applyProtection="1">
      <alignment horizontal="center" vertical="center"/>
    </xf>
    <xf numFmtId="44" fontId="6" fillId="0" borderId="22" xfId="1" applyFont="1" applyBorder="1" applyAlignment="1" applyProtection="1">
      <alignment horizontal="center" vertical="center"/>
    </xf>
    <xf numFmtId="44" fontId="6" fillId="5" borderId="0" xfId="1" applyFont="1" applyFill="1" applyBorder="1" applyAlignment="1" applyProtection="1">
      <alignment horizontal="center" vertical="center"/>
    </xf>
    <xf numFmtId="0" fontId="2" fillId="4" borderId="24" xfId="0" applyFont="1" applyFill="1" applyBorder="1" applyAlignment="1">
      <alignment horizontal="center"/>
    </xf>
    <xf numFmtId="0" fontId="0" fillId="4" borderId="25" xfId="0" applyFill="1" applyBorder="1" applyAlignment="1">
      <alignment horizontal="center"/>
    </xf>
    <xf numFmtId="0" fontId="0" fillId="4" borderId="26" xfId="0" applyFill="1" applyBorder="1" applyAlignment="1">
      <alignment horizontal="center"/>
    </xf>
    <xf numFmtId="0" fontId="0" fillId="4" borderId="0" xfId="0" applyFill="1" applyAlignment="1">
      <alignment horizontal="center"/>
    </xf>
    <xf numFmtId="0" fontId="0" fillId="0" borderId="2" xfId="0" applyBorder="1" applyAlignment="1" applyProtection="1">
      <alignment horizontal="center"/>
      <protection locked="0"/>
    </xf>
    <xf numFmtId="0" fontId="0" fillId="0" borderId="8" xfId="0" applyBorder="1" applyAlignment="1" applyProtection="1">
      <alignment horizontal="center"/>
      <protection locked="0"/>
    </xf>
    <xf numFmtId="44" fontId="6" fillId="3" borderId="0" xfId="1" applyFont="1" applyFill="1" applyBorder="1" applyAlignment="1" applyProtection="1">
      <alignment horizontal="center" vertical="center"/>
    </xf>
    <xf numFmtId="44" fontId="6" fillId="3" borderId="23" xfId="1" applyFont="1" applyFill="1" applyBorder="1" applyAlignment="1" applyProtection="1">
      <alignment horizontal="center" vertical="center"/>
    </xf>
    <xf numFmtId="44" fontId="6" fillId="3" borderId="10" xfId="1" applyFont="1" applyFill="1" applyBorder="1" applyAlignment="1" applyProtection="1">
      <alignment horizontal="center" vertical="center"/>
    </xf>
    <xf numFmtId="44" fontId="6" fillId="3" borderId="27" xfId="1" applyFont="1" applyFill="1" applyBorder="1" applyAlignment="1" applyProtection="1">
      <alignment horizontal="center" vertical="center"/>
    </xf>
    <xf numFmtId="0" fontId="2" fillId="3" borderId="6" xfId="0" applyFont="1" applyFill="1" applyBorder="1" applyAlignment="1">
      <alignment horizontal="center"/>
    </xf>
    <xf numFmtId="0" fontId="0" fillId="3" borderId="1" xfId="0" applyFill="1" applyBorder="1" applyAlignment="1">
      <alignment horizontal="center"/>
    </xf>
    <xf numFmtId="0" fontId="0" fillId="3" borderId="7" xfId="0" applyFill="1" applyBorder="1" applyAlignment="1">
      <alignment horizontal="center"/>
    </xf>
    <xf numFmtId="44" fontId="6" fillId="0" borderId="1" xfId="1" applyFont="1" applyBorder="1" applyAlignment="1" applyProtection="1">
      <alignment horizontal="center"/>
    </xf>
    <xf numFmtId="0" fontId="6" fillId="0" borderId="1" xfId="0" applyFont="1" applyBorder="1" applyAlignment="1">
      <alignment horizontal="center" wrapText="1"/>
    </xf>
    <xf numFmtId="0" fontId="6" fillId="2" borderId="6" xfId="0" applyFont="1" applyFill="1" applyBorder="1" applyAlignment="1">
      <alignment horizontal="center" vertical="center"/>
    </xf>
    <xf numFmtId="0" fontId="6" fillId="2" borderId="1" xfId="0" applyFont="1" applyFill="1" applyBorder="1" applyAlignment="1">
      <alignment horizontal="center" vertical="center"/>
    </xf>
    <xf numFmtId="0" fontId="6" fillId="2" borderId="7" xfId="0" applyFont="1" applyFill="1" applyBorder="1" applyAlignment="1">
      <alignment horizontal="center" vertical="center"/>
    </xf>
    <xf numFmtId="0" fontId="4" fillId="0" borderId="18" xfId="2" applyFont="1" applyBorder="1" applyAlignment="1">
      <alignment horizontal="center"/>
    </xf>
    <xf numFmtId="0" fontId="4" fillId="0" borderId="19" xfId="2" applyFont="1" applyBorder="1" applyAlignment="1">
      <alignment horizontal="center"/>
    </xf>
    <xf numFmtId="0" fontId="4" fillId="0" borderId="20" xfId="2" applyFont="1" applyBorder="1" applyAlignment="1">
      <alignment horizontal="center"/>
    </xf>
    <xf numFmtId="0" fontId="5" fillId="0" borderId="1" xfId="2" applyFont="1" applyBorder="1" applyAlignment="1">
      <alignment horizontal="left"/>
    </xf>
    <xf numFmtId="0" fontId="5" fillId="0" borderId="7" xfId="2" applyFont="1" applyBorder="1" applyAlignment="1">
      <alignment horizontal="left"/>
    </xf>
    <xf numFmtId="0" fontId="0" fillId="0" borderId="6" xfId="0" applyBorder="1" applyAlignment="1">
      <alignment horizontal="left"/>
    </xf>
    <xf numFmtId="0" fontId="0" fillId="0" borderId="1" xfId="0" applyBorder="1" applyAlignment="1">
      <alignment horizontal="left"/>
    </xf>
    <xf numFmtId="0" fontId="0" fillId="0" borderId="7" xfId="0" applyBorder="1" applyAlignment="1">
      <alignment horizontal="left"/>
    </xf>
    <xf numFmtId="0" fontId="5" fillId="0" borderId="6" xfId="0" applyFont="1" applyBorder="1" applyAlignment="1">
      <alignment horizontal="left" vertical="center" wrapText="1"/>
    </xf>
    <xf numFmtId="0" fontId="5" fillId="0" borderId="1" xfId="0" applyFont="1" applyBorder="1" applyAlignment="1">
      <alignment horizontal="left" vertical="center" wrapText="1"/>
    </xf>
    <xf numFmtId="0" fontId="5" fillId="0" borderId="7" xfId="0" applyFont="1" applyBorder="1" applyAlignment="1">
      <alignment horizontal="left" vertical="center" wrapText="1"/>
    </xf>
    <xf numFmtId="0" fontId="6" fillId="0" borderId="1" xfId="0" applyFont="1" applyBorder="1" applyAlignment="1">
      <alignment horizontal="center"/>
    </xf>
    <xf numFmtId="0" fontId="6" fillId="0" borderId="7" xfId="0" applyFont="1" applyBorder="1" applyAlignment="1">
      <alignment horizontal="center" wrapText="1"/>
    </xf>
    <xf numFmtId="0" fontId="2" fillId="0" borderId="7" xfId="0" applyFont="1" applyBorder="1" applyAlignment="1">
      <alignment horizontal="center"/>
    </xf>
  </cellXfs>
  <cellStyles count="3">
    <cellStyle name="Currency" xfId="1" builtinId="4"/>
    <cellStyle name="Normal" xfId="0" builtinId="0"/>
    <cellStyle name="Normal 2" xfId="2" xr:uid="{CED35892-7053-487C-8293-2A449371328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E3B01-5C8C-469E-B47D-B39796B0380B}">
  <dimension ref="A1:F42"/>
  <sheetViews>
    <sheetView tabSelected="1" topLeftCell="A20" zoomScaleNormal="100" workbookViewId="0">
      <selection activeCell="A4" sqref="A4:F4"/>
    </sheetView>
  </sheetViews>
  <sheetFormatPr defaultRowHeight="14.5"/>
  <cols>
    <col min="1" max="1" width="21.54296875" style="2" customWidth="1"/>
    <col min="2" max="2" width="30.81640625" style="2" customWidth="1"/>
    <col min="3" max="4" width="22.54296875" style="2" customWidth="1"/>
    <col min="5" max="5" width="28" style="2" customWidth="1"/>
    <col min="6" max="6" width="29" style="2" customWidth="1"/>
    <col min="7" max="16384" width="8.7265625" style="2"/>
  </cols>
  <sheetData>
    <row r="1" spans="1:6" ht="20">
      <c r="A1" s="70" t="s">
        <v>0</v>
      </c>
      <c r="B1" s="71"/>
      <c r="C1" s="71"/>
      <c r="D1" s="71"/>
      <c r="E1" s="71"/>
      <c r="F1" s="72"/>
    </row>
    <row r="2" spans="1:6">
      <c r="A2" s="5" t="s">
        <v>1</v>
      </c>
      <c r="B2" s="73" t="s">
        <v>11</v>
      </c>
      <c r="C2" s="73"/>
      <c r="D2" s="73"/>
      <c r="E2" s="73"/>
      <c r="F2" s="74"/>
    </row>
    <row r="3" spans="1:6">
      <c r="A3" s="75" t="s">
        <v>40</v>
      </c>
      <c r="B3" s="76"/>
      <c r="C3" s="76"/>
      <c r="D3" s="76"/>
      <c r="E3" s="76"/>
      <c r="F3" s="77"/>
    </row>
    <row r="4" spans="1:6" ht="147" customHeight="1">
      <c r="A4" s="78" t="s">
        <v>29</v>
      </c>
      <c r="B4" s="79"/>
      <c r="C4" s="79"/>
      <c r="D4" s="79"/>
      <c r="E4" s="79"/>
      <c r="F4" s="80"/>
    </row>
    <row r="5" spans="1:6" ht="15.5" customHeight="1">
      <c r="A5" s="67" t="s">
        <v>30</v>
      </c>
      <c r="B5" s="68"/>
      <c r="C5" s="68"/>
      <c r="D5" s="68"/>
      <c r="E5" s="68"/>
      <c r="F5" s="69"/>
    </row>
    <row r="6" spans="1:6" ht="11" customHeight="1">
      <c r="A6" s="6"/>
      <c r="B6" s="3" t="s">
        <v>12</v>
      </c>
      <c r="C6" s="66" t="s">
        <v>25</v>
      </c>
      <c r="D6" s="35"/>
      <c r="E6" s="81" t="s">
        <v>13</v>
      </c>
      <c r="F6" s="82" t="s">
        <v>3</v>
      </c>
    </row>
    <row r="7" spans="1:6">
      <c r="A7" s="6" t="s">
        <v>2</v>
      </c>
      <c r="B7" s="3" t="s">
        <v>22</v>
      </c>
      <c r="C7" s="66"/>
      <c r="D7" s="35"/>
      <c r="E7" s="81"/>
      <c r="F7" s="82"/>
    </row>
    <row r="8" spans="1:6">
      <c r="A8" s="15" t="s">
        <v>16</v>
      </c>
      <c r="B8" s="8" t="s">
        <v>24</v>
      </c>
      <c r="C8" s="9">
        <v>12</v>
      </c>
      <c r="D8" s="9" t="s">
        <v>38</v>
      </c>
      <c r="E8" s="10"/>
      <c r="F8" s="16">
        <f>C8*E8</f>
        <v>0</v>
      </c>
    </row>
    <row r="9" spans="1:6">
      <c r="A9" s="15" t="s">
        <v>18</v>
      </c>
      <c r="B9" s="8" t="s">
        <v>20</v>
      </c>
      <c r="C9" s="9">
        <v>1</v>
      </c>
      <c r="D9" s="9" t="s">
        <v>39</v>
      </c>
      <c r="E9" s="10"/>
      <c r="F9" s="16">
        <f>C9*E9</f>
        <v>0</v>
      </c>
    </row>
    <row r="10" spans="1:6">
      <c r="A10" s="46" t="s">
        <v>4</v>
      </c>
      <c r="B10" s="47"/>
      <c r="C10" s="47"/>
      <c r="D10" s="47"/>
      <c r="E10" s="47"/>
      <c r="F10" s="17">
        <f>SUM(F8+F9)</f>
        <v>0</v>
      </c>
    </row>
    <row r="11" spans="1:6">
      <c r="A11" s="67" t="s">
        <v>31</v>
      </c>
      <c r="B11" s="68"/>
      <c r="C11" s="68"/>
      <c r="D11" s="68"/>
      <c r="E11" s="68"/>
      <c r="F11" s="69"/>
    </row>
    <row r="12" spans="1:6" ht="13" customHeight="1">
      <c r="A12" s="6"/>
      <c r="B12" s="3" t="s">
        <v>12</v>
      </c>
      <c r="C12" s="66" t="s">
        <v>25</v>
      </c>
      <c r="D12" s="35"/>
      <c r="E12" s="66" t="s">
        <v>13</v>
      </c>
      <c r="F12" s="82" t="s">
        <v>3</v>
      </c>
    </row>
    <row r="13" spans="1:6">
      <c r="A13" s="6" t="s">
        <v>2</v>
      </c>
      <c r="B13" s="3" t="s">
        <v>14</v>
      </c>
      <c r="C13" s="66"/>
      <c r="D13" s="35"/>
      <c r="E13" s="66"/>
      <c r="F13" s="82"/>
    </row>
    <row r="14" spans="1:6">
      <c r="A14" s="15" t="s">
        <v>28</v>
      </c>
      <c r="B14" s="8" t="s">
        <v>24</v>
      </c>
      <c r="C14" s="9">
        <v>12</v>
      </c>
      <c r="D14" s="9" t="s">
        <v>38</v>
      </c>
      <c r="E14" s="10"/>
      <c r="F14" s="16">
        <f>C14*E14</f>
        <v>0</v>
      </c>
    </row>
    <row r="15" spans="1:6">
      <c r="A15" s="46" t="s">
        <v>15</v>
      </c>
      <c r="B15" s="47"/>
      <c r="C15" s="47"/>
      <c r="D15" s="47"/>
      <c r="E15" s="47"/>
      <c r="F15" s="17">
        <f>SUM(F14)</f>
        <v>0</v>
      </c>
    </row>
    <row r="16" spans="1:6">
      <c r="A16" s="67" t="s">
        <v>32</v>
      </c>
      <c r="B16" s="68"/>
      <c r="C16" s="68"/>
      <c r="D16" s="68"/>
      <c r="E16" s="68"/>
      <c r="F16" s="69"/>
    </row>
    <row r="17" spans="1:6">
      <c r="A17" s="6"/>
      <c r="B17" s="3" t="s">
        <v>12</v>
      </c>
      <c r="C17" s="66" t="s">
        <v>25</v>
      </c>
      <c r="D17" s="35"/>
      <c r="E17" s="66" t="s">
        <v>13</v>
      </c>
      <c r="F17" s="82" t="s">
        <v>3</v>
      </c>
    </row>
    <row r="18" spans="1:6">
      <c r="A18" s="6" t="s">
        <v>2</v>
      </c>
      <c r="B18" s="3" t="s">
        <v>14</v>
      </c>
      <c r="C18" s="66"/>
      <c r="D18" s="35"/>
      <c r="E18" s="66"/>
      <c r="F18" s="82"/>
    </row>
    <row r="19" spans="1:6">
      <c r="A19" s="15" t="s">
        <v>37</v>
      </c>
      <c r="B19" s="8" t="s">
        <v>24</v>
      </c>
      <c r="C19" s="9">
        <v>12</v>
      </c>
      <c r="D19" s="9" t="s">
        <v>38</v>
      </c>
      <c r="E19" s="10"/>
      <c r="F19" s="16">
        <f>C19*E19</f>
        <v>0</v>
      </c>
    </row>
    <row r="20" spans="1:6">
      <c r="A20" s="46" t="s">
        <v>17</v>
      </c>
      <c r="B20" s="47"/>
      <c r="C20" s="47"/>
      <c r="D20" s="47"/>
      <c r="E20" s="47"/>
      <c r="F20" s="17">
        <f>SUM(F19)</f>
        <v>0</v>
      </c>
    </row>
    <row r="21" spans="1:6">
      <c r="A21" s="67" t="s">
        <v>33</v>
      </c>
      <c r="B21" s="68"/>
      <c r="C21" s="68"/>
      <c r="D21" s="68"/>
      <c r="E21" s="68"/>
      <c r="F21" s="69"/>
    </row>
    <row r="22" spans="1:6">
      <c r="A22" s="6"/>
      <c r="B22" s="3" t="s">
        <v>12</v>
      </c>
      <c r="C22" s="66" t="s">
        <v>25</v>
      </c>
      <c r="D22" s="35"/>
      <c r="E22" s="66" t="s">
        <v>13</v>
      </c>
      <c r="F22" s="82" t="s">
        <v>3</v>
      </c>
    </row>
    <row r="23" spans="1:6">
      <c r="A23" s="6" t="s">
        <v>2</v>
      </c>
      <c r="B23" s="3" t="s">
        <v>14</v>
      </c>
      <c r="C23" s="66"/>
      <c r="D23" s="35"/>
      <c r="E23" s="66"/>
      <c r="F23" s="82"/>
    </row>
    <row r="24" spans="1:6">
      <c r="A24" s="15" t="s">
        <v>36</v>
      </c>
      <c r="B24" s="8" t="s">
        <v>24</v>
      </c>
      <c r="C24" s="9">
        <v>12</v>
      </c>
      <c r="D24" s="9" t="s">
        <v>38</v>
      </c>
      <c r="E24" s="10"/>
      <c r="F24" s="16">
        <f>C24*E24</f>
        <v>0</v>
      </c>
    </row>
    <row r="25" spans="1:6">
      <c r="A25" s="46"/>
      <c r="B25" s="47"/>
      <c r="C25" s="47"/>
      <c r="D25" s="47"/>
      <c r="E25" s="47"/>
      <c r="F25" s="17">
        <f>SUM(F24)</f>
        <v>0</v>
      </c>
    </row>
    <row r="26" spans="1:6">
      <c r="A26" s="67" t="s">
        <v>34</v>
      </c>
      <c r="B26" s="68"/>
      <c r="C26" s="68"/>
      <c r="D26" s="68"/>
      <c r="E26" s="68"/>
      <c r="F26" s="69"/>
    </row>
    <row r="27" spans="1:6">
      <c r="A27" s="6"/>
      <c r="B27" s="3" t="s">
        <v>12</v>
      </c>
      <c r="C27" s="66" t="s">
        <v>25</v>
      </c>
      <c r="D27" s="35"/>
      <c r="E27" s="66" t="s">
        <v>13</v>
      </c>
      <c r="F27" s="82" t="s">
        <v>3</v>
      </c>
    </row>
    <row r="28" spans="1:6">
      <c r="A28" s="6" t="s">
        <v>2</v>
      </c>
      <c r="B28" s="3" t="s">
        <v>14</v>
      </c>
      <c r="C28" s="66"/>
      <c r="D28" s="35"/>
      <c r="E28" s="66"/>
      <c r="F28" s="82"/>
    </row>
    <row r="29" spans="1:6">
      <c r="A29" s="15" t="s">
        <v>35</v>
      </c>
      <c r="B29" s="8" t="s">
        <v>24</v>
      </c>
      <c r="C29" s="9">
        <v>12</v>
      </c>
      <c r="D29" s="9" t="s">
        <v>38</v>
      </c>
      <c r="E29" s="10"/>
      <c r="F29" s="16">
        <f>C29*E29</f>
        <v>0</v>
      </c>
    </row>
    <row r="30" spans="1:6">
      <c r="A30" s="18"/>
      <c r="B30" s="11"/>
      <c r="C30" s="11"/>
      <c r="D30" s="11"/>
      <c r="E30" s="29" t="s">
        <v>19</v>
      </c>
      <c r="F30" s="30">
        <f>F29</f>
        <v>0</v>
      </c>
    </row>
    <row r="31" spans="1:6" s="4" customFormat="1">
      <c r="A31" s="62" t="s">
        <v>26</v>
      </c>
      <c r="B31" s="63"/>
      <c r="C31" s="63"/>
      <c r="D31" s="63"/>
      <c r="E31" s="63"/>
      <c r="F31" s="64"/>
    </row>
    <row r="32" spans="1:6">
      <c r="A32" s="19"/>
      <c r="B32" s="11" t="s">
        <v>12</v>
      </c>
      <c r="C32" s="65" t="s">
        <v>25</v>
      </c>
      <c r="D32" s="36"/>
      <c r="E32" s="65" t="s">
        <v>13</v>
      </c>
      <c r="F32" s="83" t="s">
        <v>3</v>
      </c>
    </row>
    <row r="33" spans="1:6">
      <c r="A33" s="20" t="s">
        <v>2</v>
      </c>
      <c r="B33" s="11" t="s">
        <v>14</v>
      </c>
      <c r="C33" s="65"/>
      <c r="D33" s="36"/>
      <c r="E33" s="65"/>
      <c r="F33" s="83"/>
    </row>
    <row r="34" spans="1:6">
      <c r="A34" s="21">
        <v>1005</v>
      </c>
      <c r="B34" s="13" t="s">
        <v>26</v>
      </c>
      <c r="C34" s="12">
        <v>1</v>
      </c>
      <c r="D34" s="12" t="s">
        <v>39</v>
      </c>
      <c r="E34" s="27"/>
      <c r="F34" s="28">
        <f>E34*C34</f>
        <v>0</v>
      </c>
    </row>
    <row r="35" spans="1:6">
      <c r="A35" s="48"/>
      <c r="B35" s="49"/>
      <c r="C35" s="50"/>
      <c r="D35" s="37"/>
      <c r="E35" s="32" t="s">
        <v>27</v>
      </c>
      <c r="F35" s="33">
        <f>F34</f>
        <v>0</v>
      </c>
    </row>
    <row r="36" spans="1:6">
      <c r="A36" s="51"/>
      <c r="B36" s="51"/>
      <c r="C36" s="51"/>
      <c r="D36" s="51"/>
      <c r="E36" s="51"/>
      <c r="F36" s="51"/>
    </row>
    <row r="37" spans="1:6">
      <c r="A37" s="55"/>
      <c r="B37" s="55"/>
      <c r="C37" s="55"/>
      <c r="D37" s="38"/>
      <c r="E37" s="58" t="s">
        <v>5</v>
      </c>
      <c r="F37" s="60">
        <f>(F35+F30+F25+F20+F15+F10)</f>
        <v>0</v>
      </c>
    </row>
    <row r="38" spans="1:6" ht="15" thickBot="1">
      <c r="A38" s="34"/>
      <c r="B38" s="31"/>
      <c r="C38" s="31"/>
      <c r="D38" s="38"/>
      <c r="E38" s="59"/>
      <c r="F38" s="61"/>
    </row>
    <row r="39" spans="1:6" ht="44.5" customHeight="1" thickBot="1">
      <c r="A39" s="52" t="s">
        <v>23</v>
      </c>
      <c r="B39" s="53"/>
      <c r="C39" s="53"/>
      <c r="D39" s="53"/>
      <c r="E39" s="53"/>
      <c r="F39" s="54"/>
    </row>
    <row r="40" spans="1:6" ht="65.5" customHeight="1">
      <c r="A40" s="22" t="s">
        <v>8</v>
      </c>
      <c r="B40" s="14"/>
      <c r="C40" s="25" t="s">
        <v>9</v>
      </c>
      <c r="D40" s="39"/>
      <c r="E40" s="44"/>
      <c r="F40" s="45"/>
    </row>
    <row r="41" spans="1:6" ht="75.5" customHeight="1" thickBot="1">
      <c r="A41" s="23" t="s">
        <v>10</v>
      </c>
      <c r="B41" s="1"/>
      <c r="C41" s="26" t="s">
        <v>7</v>
      </c>
      <c r="D41" s="40"/>
      <c r="E41" s="56"/>
      <c r="F41" s="57"/>
    </row>
    <row r="42" spans="1:6" ht="71" customHeight="1" thickBot="1">
      <c r="A42" s="24" t="s">
        <v>6</v>
      </c>
      <c r="B42" s="7"/>
      <c r="C42" s="26" t="s">
        <v>21</v>
      </c>
      <c r="D42" s="41"/>
      <c r="E42" s="42"/>
      <c r="F42" s="43"/>
    </row>
  </sheetData>
  <sheetProtection selectLockedCells="1"/>
  <protectedRanges>
    <protectedRange sqref="B40:B42 E40:F40 E42:F42" name="Vendor info"/>
  </protectedRanges>
  <mergeCells count="41">
    <mergeCell ref="F32:F33"/>
    <mergeCell ref="C12:C13"/>
    <mergeCell ref="E12:E13"/>
    <mergeCell ref="F12:F13"/>
    <mergeCell ref="F17:F18"/>
    <mergeCell ref="F22:F23"/>
    <mergeCell ref="C17:C18"/>
    <mergeCell ref="E17:E18"/>
    <mergeCell ref="A15:E15"/>
    <mergeCell ref="A21:F21"/>
    <mergeCell ref="C22:C23"/>
    <mergeCell ref="E22:E23"/>
    <mergeCell ref="A20:E20"/>
    <mergeCell ref="A16:F16"/>
    <mergeCell ref="A26:F26"/>
    <mergeCell ref="A10:E10"/>
    <mergeCell ref="A11:F11"/>
    <mergeCell ref="A1:F1"/>
    <mergeCell ref="B2:F2"/>
    <mergeCell ref="A3:F3"/>
    <mergeCell ref="A4:F4"/>
    <mergeCell ref="A5:F5"/>
    <mergeCell ref="E6:E7"/>
    <mergeCell ref="C6:C7"/>
    <mergeCell ref="F6:F7"/>
    <mergeCell ref="E42:F42"/>
    <mergeCell ref="E40:F40"/>
    <mergeCell ref="A25:E25"/>
    <mergeCell ref="A35:C35"/>
    <mergeCell ref="A36:F36"/>
    <mergeCell ref="A39:F39"/>
    <mergeCell ref="A37:C37"/>
    <mergeCell ref="E41:F41"/>
    <mergeCell ref="E37:E38"/>
    <mergeCell ref="F37:F38"/>
    <mergeCell ref="A31:F31"/>
    <mergeCell ref="C32:C33"/>
    <mergeCell ref="E32:E33"/>
    <mergeCell ref="C27:C28"/>
    <mergeCell ref="E27:E28"/>
    <mergeCell ref="F27:F28"/>
  </mergeCells>
  <pageMargins left="0.7" right="0.7" top="0.75" bottom="0.75" header="0.3" footer="0.3"/>
  <pageSetup orientation="portrait" horizontalDpi="1200" verticalDpi="1200" r:id="rId1"/>
</worksheet>
</file>

<file path=docMetadata/LabelInfo.xml><?xml version="1.0" encoding="utf-8"?>
<clbl:labelList xmlns:clbl="http://schemas.microsoft.com/office/2020/mipLabelMetadata">
  <clbl:label id="{ed5b36e7-01ee-4ebc-867e-e03cfa0d4697}" enabled="0" method="" siteId="{ed5b36e7-01ee-4ebc-867e-e03cfa0d4697}"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Rivera, Jose - FS, CA</dc:creator>
  <cp:lastModifiedBy>Newberry, Patricia (CTR) - FS, VA</cp:lastModifiedBy>
  <dcterms:created xsi:type="dcterms:W3CDTF">2026-02-09T17:25:29Z</dcterms:created>
  <dcterms:modified xsi:type="dcterms:W3CDTF">2026-05-08T17:32:44Z</dcterms:modified>
</cp:coreProperties>
</file>