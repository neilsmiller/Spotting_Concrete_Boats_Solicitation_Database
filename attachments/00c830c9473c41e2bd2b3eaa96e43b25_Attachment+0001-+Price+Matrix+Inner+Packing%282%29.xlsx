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jennifer_l_edwards158_civ_army_mil/Documents/Desktop/TEAM CARBAJAL MIB CONTRACTS/M8 Inner Packing/PCF/"/>
    </mc:Choice>
  </mc:AlternateContent>
  <xr:revisionPtr revIDLastSave="1" documentId="14_{D437566B-D61F-46FC-89D4-79C1A81614BA}" xr6:coauthVersionLast="47" xr6:coauthVersionMax="47" xr10:uidLastSave="{65511DD6-37D0-42A6-90C2-A7F19AE2001B}"/>
  <bookViews>
    <workbookView xWindow="-120" yWindow="90" windowWidth="29040" windowHeight="155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M27" i="1"/>
  <c r="K27" i="1"/>
  <c r="L28" i="1" l="1"/>
  <c r="D14" i="1" s="1"/>
  <c r="F28" i="1" l="1"/>
  <c r="D11" i="1" s="1"/>
  <c r="J28" i="1"/>
  <c r="D13" i="1" s="1"/>
  <c r="H28" i="1"/>
  <c r="D12" i="1" s="1"/>
  <c r="D28" i="1"/>
  <c r="D10" i="1" s="1"/>
  <c r="G27" i="1"/>
  <c r="D15" i="1" l="1"/>
  <c r="I27" i="1"/>
  <c r="E27" i="1"/>
</calcChain>
</file>

<file path=xl/sharedStrings.xml><?xml version="1.0" encoding="utf-8"?>
<sst xmlns="http://schemas.openxmlformats.org/spreadsheetml/2006/main" count="47" uniqueCount="34">
  <si>
    <t xml:space="preserve"> </t>
  </si>
  <si>
    <t>Contractor Fill-In</t>
  </si>
  <si>
    <t>Weight</t>
  </si>
  <si>
    <t>-</t>
  </si>
  <si>
    <t>OFFEROR:</t>
  </si>
  <si>
    <t>CAGE CODE:</t>
  </si>
  <si>
    <t>ITEM:</t>
  </si>
  <si>
    <t>SOLICITATION:</t>
  </si>
  <si>
    <t>Government Fill-In</t>
  </si>
  <si>
    <t>ORDERING PERIODS:</t>
  </si>
  <si>
    <t xml:space="preserve">TOTAL EVALUATED PRICE    .   .   .   .   .   .   .   .   .   .   .   .   .   .   .   .   .   .   .   .   .   .   .   .   .   .   .   .   .   .   </t>
  </si>
  <si>
    <t>Quantity Ranges</t>
  </si>
  <si>
    <t>Price Per Unit</t>
  </si>
  <si>
    <t>BASE PERIOD:</t>
  </si>
  <si>
    <t>Total Evaluated Price</t>
  </si>
  <si>
    <t>Base Period</t>
  </si>
  <si>
    <t>Evaluated Price by Performance Period</t>
  </si>
  <si>
    <t>ATTACHMENT 0001</t>
  </si>
  <si>
    <t>Inner Packing for M8 Smoke Pot</t>
  </si>
  <si>
    <r>
      <t xml:space="preserve">CLIN 0001: </t>
    </r>
    <r>
      <rPr>
        <sz val="10"/>
        <rFont val="Book Antiqua"/>
        <family val="1"/>
      </rPr>
      <t>Inner Packing for M8 Smoke Pot</t>
    </r>
  </si>
  <si>
    <t>Fiscal Year 2026</t>
  </si>
  <si>
    <t>Fiscal Year 2027</t>
  </si>
  <si>
    <t>Fiscal Year 2028</t>
  </si>
  <si>
    <t>Fiscal Year 2029</t>
  </si>
  <si>
    <t>Fiscal Year 2030</t>
  </si>
  <si>
    <t>W519TC-26-R-A013</t>
  </si>
  <si>
    <t>ORDERING PERIOD 1:</t>
  </si>
  <si>
    <t>ORDERING PERIOD 2:</t>
  </si>
  <si>
    <t>ORDERING PERIOD 3:</t>
  </si>
  <si>
    <t>ORDERING PERIOD 4:</t>
  </si>
  <si>
    <t>Ordering Period 1</t>
  </si>
  <si>
    <t>Ordering Period 2</t>
  </si>
  <si>
    <t>Ordering Period 3</t>
  </si>
  <si>
    <t>Ordering Period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</si>
</sst>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name val="Tahoma"/>
      <family val="2"/>
    </font>
    <font>
      <b/>
      <sz val="11"/>
      <color theme="1"/>
      <name val="Tahoma"/>
      <family val="2"/>
    </font>
    <font>
      <b/>
      <u/>
      <sz val="11"/>
      <name val="Book Antiqua"/>
      <family val="1"/>
    </font>
    <font>
      <b/>
      <sz val="11"/>
      <name val="Book Antiqua"/>
      <family val="1"/>
    </font>
    <font>
      <sz val="11"/>
      <name val="Arial"/>
      <family val="2"/>
    </font>
    <font>
      <i/>
      <sz val="11"/>
      <name val="Arial"/>
      <family val="2"/>
    </font>
    <font>
      <sz val="10"/>
      <name val="Book Antiqua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DC4FF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69">
    <xf numFmtId="0" fontId="0" fillId="0" borderId="0" xfId="0"/>
    <xf numFmtId="0" fontId="1" fillId="0" borderId="0" xfId="0" applyFont="1"/>
    <xf numFmtId="0" fontId="3" fillId="0" borderId="0" xfId="0" applyFont="1"/>
    <xf numFmtId="0" fontId="6" fillId="2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8" fillId="0" borderId="0" xfId="0" applyFont="1"/>
    <xf numFmtId="0" fontId="4" fillId="0" borderId="0" xfId="4" applyFont="1"/>
    <xf numFmtId="0" fontId="2" fillId="0" borderId="0" xfId="4" applyAlignment="1">
      <alignment horizontal="center"/>
    </xf>
    <xf numFmtId="0" fontId="3" fillId="0" borderId="0" xfId="0" applyFont="1" applyAlignment="1">
      <alignment vertical="center"/>
    </xf>
    <xf numFmtId="0" fontId="2" fillId="0" borderId="0" xfId="4"/>
    <xf numFmtId="0" fontId="9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7" fontId="2" fillId="2" borderId="16" xfId="4" applyNumberFormat="1" applyFill="1" applyBorder="1" applyAlignment="1" applyProtection="1">
      <alignment horizontal="center"/>
      <protection locked="0"/>
    </xf>
    <xf numFmtId="164" fontId="10" fillId="0" borderId="0" xfId="1" applyNumberFormat="1" applyFont="1" applyFill="1" applyBorder="1" applyAlignment="1"/>
    <xf numFmtId="164" fontId="10" fillId="0" borderId="0" xfId="1" applyNumberFormat="1" applyFont="1" applyFill="1" applyBorder="1" applyAlignment="1">
      <alignment horizontal="center"/>
    </xf>
    <xf numFmtId="164" fontId="1" fillId="0" borderId="0" xfId="1" applyNumberFormat="1" applyFont="1" applyFill="1" applyBorder="1" applyAlignment="1">
      <alignment horizontal="center"/>
    </xf>
    <xf numFmtId="0" fontId="11" fillId="0" borderId="0" xfId="0" applyFont="1"/>
    <xf numFmtId="9" fontId="1" fillId="0" borderId="0" xfId="1" applyNumberFormat="1" applyFont="1" applyFill="1" applyAlignment="1">
      <alignment horizontal="center"/>
    </xf>
    <xf numFmtId="44" fontId="5" fillId="3" borderId="4" xfId="2" applyFont="1" applyFill="1" applyBorder="1"/>
    <xf numFmtId="43" fontId="1" fillId="0" borderId="0" xfId="1" applyFont="1" applyFill="1"/>
    <xf numFmtId="9" fontId="10" fillId="0" borderId="0" xfId="3" applyFont="1" applyFill="1"/>
    <xf numFmtId="165" fontId="5" fillId="3" borderId="4" xfId="2" applyNumberFormat="1" applyFont="1" applyFill="1" applyBorder="1"/>
    <xf numFmtId="44" fontId="5" fillId="0" borderId="0" xfId="2" applyFont="1" applyFill="1" applyBorder="1"/>
    <xf numFmtId="0" fontId="4" fillId="0" borderId="5" xfId="4" applyFont="1" applyBorder="1"/>
    <xf numFmtId="0" fontId="4" fillId="0" borderId="6" xfId="4" applyFont="1" applyBorder="1"/>
    <xf numFmtId="0" fontId="2" fillId="3" borderId="8" xfId="4" applyFill="1" applyBorder="1" applyAlignment="1">
      <alignment horizontal="left"/>
    </xf>
    <xf numFmtId="0" fontId="2" fillId="3" borderId="9" xfId="4" applyFill="1" applyBorder="1" applyAlignment="1">
      <alignment horizontal="left"/>
    </xf>
    <xf numFmtId="0" fontId="2" fillId="3" borderId="11" xfId="4" applyFill="1" applyBorder="1" applyAlignment="1">
      <alignment horizontal="left"/>
    </xf>
    <xf numFmtId="0" fontId="2" fillId="3" borderId="0" xfId="4" applyFill="1" applyAlignment="1">
      <alignment horizontal="left"/>
    </xf>
    <xf numFmtId="0" fontId="2" fillId="3" borderId="17" xfId="4" applyFill="1" applyBorder="1" applyAlignment="1">
      <alignment horizontal="left"/>
    </xf>
    <xf numFmtId="0" fontId="2" fillId="3" borderId="18" xfId="4" applyFill="1" applyBorder="1" applyAlignment="1">
      <alignment horizontal="left"/>
    </xf>
    <xf numFmtId="7" fontId="2" fillId="2" borderId="4" xfId="4" applyNumberFormat="1" applyFill="1" applyBorder="1" applyAlignment="1" applyProtection="1">
      <alignment horizontal="center"/>
      <protection locked="0"/>
    </xf>
    <xf numFmtId="9" fontId="1" fillId="0" borderId="21" xfId="1" applyNumberFormat="1" applyFont="1" applyFill="1" applyBorder="1" applyAlignment="1">
      <alignment horizontal="center"/>
    </xf>
    <xf numFmtId="7" fontId="2" fillId="2" borderId="22" xfId="4" applyNumberFormat="1" applyFill="1" applyBorder="1" applyAlignment="1" applyProtection="1">
      <alignment horizontal="center"/>
      <protection locked="0"/>
    </xf>
    <xf numFmtId="0" fontId="1" fillId="0" borderId="6" xfId="0" applyFont="1" applyBorder="1"/>
    <xf numFmtId="0" fontId="10" fillId="0" borderId="23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15" fontId="2" fillId="3" borderId="10" xfId="4" applyNumberFormat="1" applyFill="1" applyBorder="1" applyAlignment="1">
      <alignment horizontal="left"/>
    </xf>
    <xf numFmtId="15" fontId="2" fillId="3" borderId="12" xfId="4" applyNumberFormat="1" applyFill="1" applyBorder="1" applyAlignment="1">
      <alignment horizontal="left"/>
    </xf>
    <xf numFmtId="15" fontId="2" fillId="3" borderId="19" xfId="4" applyNumberFormat="1" applyFill="1" applyBorder="1" applyAlignment="1">
      <alignment horizontal="left"/>
    </xf>
    <xf numFmtId="0" fontId="1" fillId="0" borderId="0" xfId="0" applyFont="1" applyAlignment="1">
      <alignment horizontal="right"/>
    </xf>
    <xf numFmtId="15" fontId="2" fillId="0" borderId="12" xfId="4" applyNumberFormat="1" applyBorder="1" applyAlignment="1">
      <alignment horizontal="right"/>
    </xf>
    <xf numFmtId="165" fontId="2" fillId="3" borderId="24" xfId="4" applyNumberFormat="1" applyFill="1" applyBorder="1" applyAlignment="1">
      <alignment horizontal="right"/>
    </xf>
    <xf numFmtId="165" fontId="2" fillId="3" borderId="26" xfId="4" applyNumberFormat="1" applyFill="1" applyBorder="1" applyAlignment="1">
      <alignment horizontal="right"/>
    </xf>
    <xf numFmtId="165" fontId="2" fillId="3" borderId="25" xfId="4" applyNumberFormat="1" applyFill="1" applyBorder="1" applyAlignment="1">
      <alignment horizontal="right"/>
    </xf>
    <xf numFmtId="165" fontId="2" fillId="3" borderId="27" xfId="4" applyNumberFormat="1" applyFill="1" applyBorder="1" applyAlignment="1">
      <alignment horizontal="right"/>
    </xf>
    <xf numFmtId="9" fontId="13" fillId="0" borderId="0" xfId="0" applyNumberFormat="1" applyFont="1" applyAlignment="1">
      <alignment horizontal="center"/>
    </xf>
    <xf numFmtId="14" fontId="4" fillId="0" borderId="7" xfId="4" applyNumberFormat="1" applyFont="1" applyBorder="1"/>
    <xf numFmtId="7" fontId="2" fillId="0" borderId="16" xfId="4" applyNumberFormat="1" applyBorder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center" wrapText="1"/>
      <protection locked="0"/>
    </xf>
    <xf numFmtId="0" fontId="5" fillId="2" borderId="2" xfId="0" applyFont="1" applyFill="1" applyBorder="1" applyAlignment="1" applyProtection="1">
      <alignment horizontal="center" wrapText="1"/>
      <protection locked="0"/>
    </xf>
    <xf numFmtId="0" fontId="5" fillId="2" borderId="3" xfId="0" applyFont="1" applyFill="1" applyBorder="1" applyAlignment="1" applyProtection="1">
      <alignment horizontal="center" wrapText="1"/>
      <protection locked="0"/>
    </xf>
    <xf numFmtId="0" fontId="2" fillId="2" borderId="1" xfId="4" applyFill="1" applyBorder="1" applyAlignment="1" applyProtection="1">
      <alignment horizontal="center" wrapText="1"/>
      <protection locked="0"/>
    </xf>
    <xf numFmtId="0" fontId="2" fillId="2" borderId="2" xfId="4" applyFill="1" applyBorder="1" applyAlignment="1" applyProtection="1">
      <alignment horizontal="center" wrapText="1"/>
      <protection locked="0"/>
    </xf>
    <xf numFmtId="0" fontId="2" fillId="2" borderId="3" xfId="4" applyFill="1" applyBorder="1" applyAlignment="1" applyProtection="1">
      <alignment horizontal="center" wrapText="1"/>
      <protection locked="0"/>
    </xf>
    <xf numFmtId="0" fontId="8" fillId="3" borderId="20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10" fillId="0" borderId="6" xfId="0" applyFont="1" applyBorder="1" applyAlignment="1">
      <alignment horizontal="left"/>
    </xf>
    <xf numFmtId="0" fontId="0" fillId="3" borderId="13" xfId="0" applyFill="1" applyBorder="1" applyAlignment="1">
      <alignment horizontal="center" wrapText="1"/>
    </xf>
    <xf numFmtId="0" fontId="1" fillId="3" borderId="14" xfId="0" applyFont="1" applyFill="1" applyBorder="1" applyAlignment="1">
      <alignment horizontal="center" wrapText="1"/>
    </xf>
    <xf numFmtId="0" fontId="1" fillId="3" borderId="15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Normal" xfId="0" builtinId="0"/>
    <cellStyle name="Normal 12" xfId="4" xr:uid="{00000000-0005-0000-0000-000003000000}"/>
    <cellStyle name="Percent" xfId="3" builtinId="5"/>
  </cellStyles>
  <dxfs count="0"/>
  <tableStyles count="0" defaultTableStyle="TableStyleMedium2" defaultPivotStyle="PivotStyleLight16"/>
  <colors>
    <mruColors>
      <color rgb="FF1DC4FF"/>
      <color rgb="FFFF5050"/>
      <color rgb="FFF97FC8"/>
      <color rgb="FFED59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2"/>
  <sheetViews>
    <sheetView tabSelected="1" zoomScale="90" zoomScaleNormal="90" workbookViewId="0">
      <selection activeCell="D2" sqref="D2"/>
    </sheetView>
  </sheetViews>
  <sheetFormatPr defaultRowHeight="15" x14ac:dyDescent="0.25"/>
  <cols>
    <col min="1" max="1" width="16.5703125" style="1" customWidth="1"/>
    <col min="2" max="2" width="7.42578125" style="1" customWidth="1"/>
    <col min="3" max="3" width="17.5703125" style="1" customWidth="1"/>
    <col min="4" max="4" width="24.140625" style="1" bestFit="1" customWidth="1"/>
    <col min="5" max="5" width="8.5703125" style="1" customWidth="1"/>
    <col min="6" max="6" width="25.140625" style="1" customWidth="1"/>
    <col min="7" max="7" width="7.7109375" style="1" customWidth="1"/>
    <col min="8" max="8" width="25.42578125" style="1" customWidth="1"/>
    <col min="9" max="9" width="7.28515625" style="1" customWidth="1"/>
    <col min="10" max="10" width="25.140625" style="1" customWidth="1"/>
    <col min="11" max="11" width="9.140625" style="1"/>
    <col min="12" max="12" width="28.85546875" style="1" bestFit="1" customWidth="1"/>
    <col min="13" max="16384" width="9.140625" style="1"/>
  </cols>
  <sheetData>
    <row r="1" spans="1:8" x14ac:dyDescent="0.25">
      <c r="A1" s="28" t="s">
        <v>17</v>
      </c>
      <c r="B1" s="29"/>
      <c r="C1" s="29"/>
      <c r="D1" s="52">
        <v>46147</v>
      </c>
    </row>
    <row r="2" spans="1:8" ht="15.75" thickBot="1" x14ac:dyDescent="0.3"/>
    <row r="3" spans="1:8" ht="15.75" thickBot="1" x14ac:dyDescent="0.3">
      <c r="A3" s="2" t="s">
        <v>4</v>
      </c>
      <c r="C3" s="54"/>
      <c r="D3" s="55"/>
      <c r="E3" s="55"/>
      <c r="F3" s="56"/>
      <c r="H3" s="3" t="s">
        <v>1</v>
      </c>
    </row>
    <row r="4" spans="1:8" ht="15.75" thickBot="1" x14ac:dyDescent="0.3">
      <c r="A4" s="2" t="s">
        <v>5</v>
      </c>
      <c r="C4" s="57"/>
      <c r="D4" s="58"/>
      <c r="E4" s="58"/>
      <c r="F4" s="59"/>
      <c r="H4" s="4" t="s">
        <v>8</v>
      </c>
    </row>
    <row r="5" spans="1:8" ht="16.5" customHeight="1" thickBot="1" x14ac:dyDescent="0.3">
      <c r="A5" s="2" t="s">
        <v>6</v>
      </c>
      <c r="B5" s="5"/>
      <c r="C5" s="63" t="s">
        <v>18</v>
      </c>
      <c r="D5" s="64"/>
      <c r="E5" s="64"/>
      <c r="F5" s="65"/>
    </row>
    <row r="6" spans="1:8" ht="16.5" customHeight="1" thickBot="1" x14ac:dyDescent="0.3">
      <c r="A6" s="6" t="s">
        <v>7</v>
      </c>
      <c r="B6" s="5"/>
      <c r="C6" s="66" t="s">
        <v>25</v>
      </c>
      <c r="D6" s="67"/>
      <c r="E6" s="67"/>
      <c r="F6" s="68"/>
    </row>
    <row r="7" spans="1:8" x14ac:dyDescent="0.25">
      <c r="H7" s="7"/>
    </row>
    <row r="8" spans="1:8" x14ac:dyDescent="0.25">
      <c r="H8" s="7"/>
    </row>
    <row r="9" spans="1:8" x14ac:dyDescent="0.25">
      <c r="A9" s="8" t="s">
        <v>9</v>
      </c>
      <c r="B9" s="8"/>
      <c r="C9" s="9"/>
      <c r="D9" s="9"/>
      <c r="H9" s="7"/>
    </row>
    <row r="10" spans="1:8" x14ac:dyDescent="0.25">
      <c r="A10" s="30" t="s">
        <v>13</v>
      </c>
      <c r="B10" s="31"/>
      <c r="C10" s="42" t="s">
        <v>20</v>
      </c>
      <c r="D10" s="48">
        <f>D28</f>
        <v>0</v>
      </c>
      <c r="H10" s="7"/>
    </row>
    <row r="11" spans="1:8" x14ac:dyDescent="0.25">
      <c r="A11" s="32" t="s">
        <v>26</v>
      </c>
      <c r="B11" s="33"/>
      <c r="C11" s="43" t="s">
        <v>21</v>
      </c>
      <c r="D11" s="50">
        <f>F28</f>
        <v>0</v>
      </c>
      <c r="H11" s="7"/>
    </row>
    <row r="12" spans="1:8" x14ac:dyDescent="0.25">
      <c r="A12" s="32" t="s">
        <v>27</v>
      </c>
      <c r="B12" s="33"/>
      <c r="C12" s="43" t="s">
        <v>22</v>
      </c>
      <c r="D12" s="50">
        <f>H28</f>
        <v>0</v>
      </c>
      <c r="H12" s="7"/>
    </row>
    <row r="13" spans="1:8" x14ac:dyDescent="0.25">
      <c r="A13" s="32" t="s">
        <v>28</v>
      </c>
      <c r="B13" s="33"/>
      <c r="C13" s="43" t="s">
        <v>23</v>
      </c>
      <c r="D13" s="50">
        <f>J28</f>
        <v>0</v>
      </c>
      <c r="H13" s="10"/>
    </row>
    <row r="14" spans="1:8" x14ac:dyDescent="0.25">
      <c r="A14" s="34" t="s">
        <v>29</v>
      </c>
      <c r="B14" s="35"/>
      <c r="C14" s="44" t="s">
        <v>24</v>
      </c>
      <c r="D14" s="49">
        <f>L28</f>
        <v>0</v>
      </c>
      <c r="H14" s="10"/>
    </row>
    <row r="15" spans="1:8" ht="15.75" thickBot="1" x14ac:dyDescent="0.3">
      <c r="C15" s="46" t="s">
        <v>14</v>
      </c>
      <c r="D15" s="47">
        <f>L31</f>
        <v>0</v>
      </c>
      <c r="E15" s="45"/>
    </row>
    <row r="16" spans="1:8" ht="15.75" thickTop="1" x14ac:dyDescent="0.25">
      <c r="D16" s="9"/>
    </row>
    <row r="17" spans="1:13" x14ac:dyDescent="0.25">
      <c r="A17" s="60" t="s">
        <v>19</v>
      </c>
      <c r="B17" s="61"/>
      <c r="C17" s="61"/>
      <c r="D17" s="61"/>
    </row>
    <row r="18" spans="1:13" x14ac:dyDescent="0.25">
      <c r="C18" s="11"/>
      <c r="D18" s="12"/>
      <c r="H18" s="13"/>
      <c r="I18" s="13"/>
    </row>
    <row r="19" spans="1:13" x14ac:dyDescent="0.25">
      <c r="A19" s="13"/>
      <c r="B19" s="13"/>
      <c r="C19" s="13"/>
      <c r="D19" s="15" t="s">
        <v>15</v>
      </c>
      <c r="E19" s="14"/>
      <c r="F19" s="15" t="s">
        <v>30</v>
      </c>
      <c r="G19" s="14"/>
      <c r="H19" s="15" t="s">
        <v>31</v>
      </c>
      <c r="I19" s="14"/>
      <c r="J19" s="15" t="s">
        <v>32</v>
      </c>
      <c r="K19" s="14"/>
      <c r="L19" s="15" t="s">
        <v>33</v>
      </c>
      <c r="M19" s="14"/>
    </row>
    <row r="20" spans="1:13" ht="15.75" thickBot="1" x14ac:dyDescent="0.3">
      <c r="A20" s="13"/>
      <c r="B20" s="13"/>
      <c r="C20" s="13"/>
      <c r="D20" s="15" t="s">
        <v>12</v>
      </c>
      <c r="F20" s="15" t="s">
        <v>12</v>
      </c>
      <c r="G20" s="16"/>
      <c r="H20" s="15" t="s">
        <v>12</v>
      </c>
      <c r="I20" s="16"/>
      <c r="J20" s="15" t="s">
        <v>12</v>
      </c>
      <c r="K20" s="16"/>
      <c r="L20" s="15" t="s">
        <v>12</v>
      </c>
      <c r="M20" s="16"/>
    </row>
    <row r="21" spans="1:13" x14ac:dyDescent="0.25">
      <c r="A21" s="13"/>
      <c r="B21" s="15"/>
      <c r="C21" s="13"/>
      <c r="D21" s="53"/>
      <c r="F21" s="53"/>
      <c r="G21" s="16"/>
      <c r="H21" s="53"/>
      <c r="I21" s="16"/>
      <c r="J21" s="53"/>
      <c r="K21" s="16"/>
      <c r="L21" s="53"/>
      <c r="M21" s="16"/>
    </row>
    <row r="22" spans="1:13" x14ac:dyDescent="0.25">
      <c r="A22" s="62" t="s">
        <v>11</v>
      </c>
      <c r="B22" s="62"/>
      <c r="C22" s="62"/>
      <c r="D22" s="41"/>
      <c r="E22" s="40" t="s">
        <v>2</v>
      </c>
      <c r="F22" s="39"/>
      <c r="G22" s="40" t="s">
        <v>2</v>
      </c>
      <c r="H22" s="39"/>
      <c r="I22" s="40" t="s">
        <v>2</v>
      </c>
      <c r="J22" s="39"/>
      <c r="K22" s="40" t="s">
        <v>2</v>
      </c>
      <c r="L22" s="39"/>
      <c r="M22" s="40" t="s">
        <v>2</v>
      </c>
    </row>
    <row r="23" spans="1:13" ht="15.75" thickBot="1" x14ac:dyDescent="0.3">
      <c r="A23" s="18">
        <v>500</v>
      </c>
      <c r="B23" s="16" t="s">
        <v>3</v>
      </c>
      <c r="C23" s="19">
        <v>1999</v>
      </c>
      <c r="D23" s="38">
        <v>0</v>
      </c>
      <c r="E23" s="51">
        <v>0.15</v>
      </c>
      <c r="F23" s="38">
        <v>0</v>
      </c>
      <c r="G23" s="51">
        <v>0.2</v>
      </c>
      <c r="H23" s="38">
        <v>0</v>
      </c>
      <c r="I23" s="51">
        <v>0.2</v>
      </c>
      <c r="J23" s="38">
        <v>0</v>
      </c>
      <c r="K23" s="51">
        <v>0.2</v>
      </c>
      <c r="L23" s="38">
        <v>0</v>
      </c>
      <c r="M23" s="51">
        <v>0.2</v>
      </c>
    </row>
    <row r="24" spans="1:13" ht="15.75" thickBot="1" x14ac:dyDescent="0.3">
      <c r="A24" s="18">
        <v>2000</v>
      </c>
      <c r="B24" s="16" t="s">
        <v>3</v>
      </c>
      <c r="C24" s="19">
        <v>3300</v>
      </c>
      <c r="D24" s="17">
        <v>0</v>
      </c>
      <c r="E24" s="51">
        <v>0.15</v>
      </c>
      <c r="F24" s="17">
        <v>0</v>
      </c>
      <c r="G24" s="51">
        <v>0.3</v>
      </c>
      <c r="H24" s="17">
        <v>0</v>
      </c>
      <c r="I24" s="51">
        <v>0.3</v>
      </c>
      <c r="J24" s="17">
        <v>0</v>
      </c>
      <c r="K24" s="51">
        <v>0.3</v>
      </c>
      <c r="L24" s="17">
        <v>0</v>
      </c>
      <c r="M24" s="51">
        <v>0.3</v>
      </c>
    </row>
    <row r="25" spans="1:13" ht="15.75" thickBot="1" x14ac:dyDescent="0.3">
      <c r="A25" s="18">
        <v>3301</v>
      </c>
      <c r="B25" s="16" t="s">
        <v>3</v>
      </c>
      <c r="C25" s="19">
        <v>8000</v>
      </c>
      <c r="D25" s="17">
        <v>0</v>
      </c>
      <c r="E25" s="51">
        <v>0.2</v>
      </c>
      <c r="F25" s="17">
        <v>0</v>
      </c>
      <c r="G25" s="51">
        <v>0.3</v>
      </c>
      <c r="H25" s="17">
        <v>0</v>
      </c>
      <c r="I25" s="51">
        <v>0.3</v>
      </c>
      <c r="J25" s="17">
        <v>0</v>
      </c>
      <c r="K25" s="51">
        <v>0.3</v>
      </c>
      <c r="L25" s="17">
        <v>0</v>
      </c>
      <c r="M25" s="51">
        <v>0.3</v>
      </c>
    </row>
    <row r="26" spans="1:13" ht="15.75" thickBot="1" x14ac:dyDescent="0.3">
      <c r="A26" s="18">
        <v>8001</v>
      </c>
      <c r="B26" s="20" t="s">
        <v>3</v>
      </c>
      <c r="C26" s="18">
        <v>13500</v>
      </c>
      <c r="D26" s="36">
        <v>0</v>
      </c>
      <c r="E26" s="51">
        <v>0.5</v>
      </c>
      <c r="F26" s="36">
        <v>0</v>
      </c>
      <c r="G26" s="51">
        <v>0.2</v>
      </c>
      <c r="H26" s="36">
        <v>0</v>
      </c>
      <c r="I26" s="51">
        <v>0.2</v>
      </c>
      <c r="J26" s="36">
        <v>0</v>
      </c>
      <c r="K26" s="51">
        <v>0.2</v>
      </c>
      <c r="L26" s="36">
        <v>0</v>
      </c>
      <c r="M26" s="51">
        <v>0.2</v>
      </c>
    </row>
    <row r="27" spans="1:13" ht="15.75" customHeight="1" thickBot="1" x14ac:dyDescent="0.3">
      <c r="A27" s="21" t="s">
        <v>0</v>
      </c>
      <c r="C27" s="18"/>
      <c r="E27" s="37">
        <f>SUM(E23:E26)</f>
        <v>1</v>
      </c>
      <c r="F27" s="22"/>
      <c r="G27" s="37">
        <f>SUM(G22:G26)</f>
        <v>1</v>
      </c>
      <c r="H27" s="22"/>
      <c r="I27" s="37">
        <f>SUM(I22:I26)</f>
        <v>1</v>
      </c>
      <c r="J27" s="22"/>
      <c r="K27" s="37">
        <f>SUM(K22:K26)</f>
        <v>1</v>
      </c>
      <c r="L27" s="22"/>
      <c r="M27" s="37">
        <f>SUM(M22:M26)</f>
        <v>1</v>
      </c>
    </row>
    <row r="28" spans="1:13" ht="16.5" thickTop="1" thickBot="1" x14ac:dyDescent="0.3">
      <c r="A28" s="13" t="s">
        <v>16</v>
      </c>
      <c r="B28" s="13"/>
      <c r="C28" s="13"/>
      <c r="D28" s="23">
        <f>($C$23*D23*E23)+($C$24*D24*E24)+($C$25*D25*E25)+($C$26*D26*E26)</f>
        <v>0</v>
      </c>
      <c r="E28" s="24"/>
      <c r="F28" s="23">
        <f>($C$23*F23*G23)+($C$24*F24*G24)+($C$25*F25*G25)+($C$26*F26*G26)</f>
        <v>0</v>
      </c>
      <c r="G28" s="25" t="s">
        <v>0</v>
      </c>
      <c r="H28" s="23">
        <f>($C$23*H23*I23)+($C$24*H24*I24)+($C$25*H25*I25)+($C$26*H26*I26)</f>
        <v>0</v>
      </c>
      <c r="J28" s="23">
        <f>($C$23*J23*K23)+($C$24*J24*K24)+($C$25*J25*K25)+($C$26*J26*K26)</f>
        <v>0</v>
      </c>
      <c r="L28" s="23">
        <f>($C$23*L23*M23)+($C$24*L24*M24)+($C$25*L25*M25)+($C$26*L26*M26)</f>
        <v>0</v>
      </c>
    </row>
    <row r="29" spans="1:13" x14ac:dyDescent="0.25">
      <c r="E29" s="25" t="s">
        <v>0</v>
      </c>
    </row>
    <row r="30" spans="1:13" ht="15.75" thickBot="1" x14ac:dyDescent="0.3"/>
    <row r="31" spans="1:13" ht="15.75" thickBot="1" x14ac:dyDescent="0.3">
      <c r="H31" s="13" t="s">
        <v>10</v>
      </c>
      <c r="L31" s="26">
        <f>SUM(+D28+F28+H28+J28+L28)</f>
        <v>0</v>
      </c>
    </row>
    <row r="32" spans="1:13" x14ac:dyDescent="0.25">
      <c r="F32" s="13"/>
      <c r="J32" s="27"/>
    </row>
  </sheetData>
  <sheetProtection selectLockedCells="1"/>
  <mergeCells count="6">
    <mergeCell ref="C3:F3"/>
    <mergeCell ref="C4:F4"/>
    <mergeCell ref="A17:D17"/>
    <mergeCell ref="A22:C22"/>
    <mergeCell ref="C5:F5"/>
    <mergeCell ref="C6:F6"/>
  </mergeCells>
  <dataValidations count="1">
    <dataValidation type="textLength" allowBlank="1" showInputMessage="1" showErrorMessage="1" sqref="H23:H26 D23:D26 F23:F26 D21 F21 H21 J23:J26 J21 L23:L26 L21" xr:uid="{00000000-0002-0000-0000-000000000000}">
      <formula1>0</formula1>
      <formula2>4</formula2>
    </dataValidation>
  </dataValidations>
  <pageMargins left="0" right="0" top="0.25" bottom="0.25" header="0.3" footer="0.3"/>
  <pageSetup scale="64" orientation="landscape" r:id="rId1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andrea.reese2</dc:creator>
  <cp:lastModifiedBy>Edwards, Jennifer L CIV USARMY ACC (USA)</cp:lastModifiedBy>
  <cp:lastPrinted>2018-05-16T16:06:41Z</cp:lastPrinted>
  <dcterms:created xsi:type="dcterms:W3CDTF">2015-12-03T13:49:28Z</dcterms:created>
  <dcterms:modified xsi:type="dcterms:W3CDTF">2026-05-06T14:33:44Z</dcterms:modified>
</cp:coreProperties>
</file>