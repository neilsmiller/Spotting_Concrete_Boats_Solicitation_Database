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06"/>
  <workbookPr codeName="ThisWorkbook"/>
  <mc:AlternateContent xmlns:mc="http://schemas.openxmlformats.org/markup-compatibility/2006">
    <mc:Choice Requires="x15">
      <x15ac:absPath xmlns:x15ac="http://schemas.microsoft.com/office/spreadsheetml/2010/11/ac" url="https://armyeitaas-my.sharepoint-mil.us/personal/andrea_m_zielinsky_civ_army_mil/Documents/Desktop/Abrams/GFPM/"/>
    </mc:Choice>
  </mc:AlternateContent>
  <xr:revisionPtr revIDLastSave="590" documentId="8_{2C456785-3020-48D6-AB06-0DE1B4D3B87B}" xr6:coauthVersionLast="47" xr6:coauthVersionMax="47" xr10:uidLastSave="{32874AD7-7524-4261-A505-D4D89329A0B2}"/>
  <bookViews>
    <workbookView xWindow="-120" yWindow="-90" windowWidth="29040" windowHeight="15690" tabRatio="564" xr2:uid="{00000000-000D-0000-FFFF-FFFF00000000}"/>
  </bookViews>
  <sheets>
    <sheet name="Subcontractor Instructions" sheetId="38" r:id="rId1"/>
    <sheet name="Subcontractor Labor Build" sheetId="36" r:id="rId2"/>
    <sheet name="Escalation" sheetId="13" r:id="rId3"/>
    <sheet name="Sub FBLR &amp; DBA Summary" sheetId="37" r:id="rId4"/>
    <sheet name="DBA Insurance" sheetId="3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37" l="1"/>
  <c r="M18" i="37" s="1"/>
  <c r="F137" i="37" l="1"/>
  <c r="F136" i="37"/>
  <c r="F135" i="37"/>
  <c r="F134" i="37"/>
  <c r="F133" i="37"/>
  <c r="F132" i="37"/>
  <c r="F131" i="37"/>
  <c r="F130" i="37"/>
  <c r="F129" i="37"/>
  <c r="F128" i="37"/>
  <c r="F127" i="37"/>
  <c r="F125" i="37"/>
  <c r="F124" i="37"/>
  <c r="F123" i="37"/>
  <c r="F122" i="37"/>
  <c r="F121" i="37"/>
  <c r="F120" i="37"/>
  <c r="F119" i="37"/>
  <c r="F118" i="37"/>
  <c r="F117" i="37"/>
  <c r="F116" i="37"/>
  <c r="F115" i="37"/>
  <c r="F114" i="37"/>
  <c r="F113" i="37"/>
  <c r="F112" i="37"/>
  <c r="F111" i="37"/>
  <c r="F108" i="37"/>
  <c r="F107" i="37"/>
  <c r="F106" i="37"/>
  <c r="F105" i="37"/>
  <c r="F104" i="37"/>
  <c r="F103" i="37"/>
  <c r="F102" i="37"/>
  <c r="F101" i="37"/>
  <c r="F100" i="37"/>
  <c r="F99" i="37"/>
  <c r="F98" i="37"/>
  <c r="F96" i="37"/>
  <c r="F95" i="37"/>
  <c r="F94" i="37"/>
  <c r="F93" i="37"/>
  <c r="F92" i="37"/>
  <c r="F91" i="37"/>
  <c r="F90" i="37"/>
  <c r="F89" i="37"/>
  <c r="F88" i="37"/>
  <c r="F87" i="37"/>
  <c r="F86" i="37"/>
  <c r="F85" i="37"/>
  <c r="F84" i="37"/>
  <c r="F83" i="37"/>
  <c r="F82" i="37"/>
  <c r="F79" i="37"/>
  <c r="F78" i="37"/>
  <c r="F77" i="37"/>
  <c r="F76" i="37"/>
  <c r="F75" i="37"/>
  <c r="F74" i="37"/>
  <c r="F73" i="37"/>
  <c r="F72" i="37"/>
  <c r="F70" i="37"/>
  <c r="F69" i="37"/>
  <c r="F68" i="37"/>
  <c r="F67" i="37"/>
  <c r="F66" i="37"/>
  <c r="F65" i="37"/>
  <c r="F64" i="37"/>
  <c r="F63" i="37"/>
  <c r="F62" i="37"/>
  <c r="F61" i="37"/>
  <c r="F60" i="37"/>
  <c r="F59" i="37"/>
  <c r="F58" i="37"/>
  <c r="F57" i="37"/>
  <c r="F56" i="37"/>
  <c r="F53" i="37"/>
  <c r="F52" i="37"/>
  <c r="F51" i="37"/>
  <c r="F50" i="37"/>
  <c r="F49" i="37"/>
  <c r="F48" i="37"/>
  <c r="F47" i="37"/>
  <c r="F46" i="37"/>
  <c r="F44" i="37"/>
  <c r="F43" i="37"/>
  <c r="F42" i="37"/>
  <c r="F41" i="37"/>
  <c r="F40" i="37"/>
  <c r="F39" i="37"/>
  <c r="F38" i="37"/>
  <c r="F37" i="37"/>
  <c r="F36" i="37"/>
  <c r="F35" i="37"/>
  <c r="F34" i="37"/>
  <c r="F33" i="37"/>
  <c r="F32" i="37"/>
  <c r="F31" i="37"/>
  <c r="F30" i="37"/>
  <c r="F27" i="37"/>
  <c r="F26" i="37"/>
  <c r="F25" i="37"/>
  <c r="F24" i="37"/>
  <c r="F23" i="37"/>
  <c r="F22" i="37"/>
  <c r="F21" i="37"/>
  <c r="F20" i="37"/>
  <c r="F18" i="37"/>
  <c r="F17" i="37"/>
  <c r="F16" i="37"/>
  <c r="F15" i="37"/>
  <c r="F14" i="37"/>
  <c r="F13" i="37"/>
  <c r="F12" i="37"/>
  <c r="F11" i="37"/>
  <c r="F10" i="37"/>
  <c r="F9" i="37"/>
  <c r="F8" i="37"/>
  <c r="F7" i="37"/>
  <c r="F6" i="37"/>
  <c r="F5" i="37"/>
  <c r="F4" i="37"/>
  <c r="T137" i="36"/>
  <c r="S137" i="36"/>
  <c r="R137" i="36"/>
  <c r="T129" i="36"/>
  <c r="S129" i="36"/>
  <c r="R129" i="36"/>
  <c r="T146" i="36"/>
  <c r="T145" i="36"/>
  <c r="T144" i="36"/>
  <c r="T143" i="36"/>
  <c r="T142" i="36"/>
  <c r="T141" i="36"/>
  <c r="T140" i="36"/>
  <c r="T139" i="36"/>
  <c r="T138" i="36"/>
  <c r="T136" i="36"/>
  <c r="T134" i="36"/>
  <c r="T133" i="36"/>
  <c r="T132" i="36"/>
  <c r="T131" i="36"/>
  <c r="T130" i="36"/>
  <c r="T128" i="36"/>
  <c r="T127" i="36"/>
  <c r="T126" i="36"/>
  <c r="T125" i="36"/>
  <c r="T124" i="36"/>
  <c r="T123" i="36"/>
  <c r="T122" i="36"/>
  <c r="T121" i="36"/>
  <c r="S146" i="36"/>
  <c r="S145" i="36"/>
  <c r="S144" i="36"/>
  <c r="S143" i="36"/>
  <c r="S142" i="36"/>
  <c r="S141" i="36"/>
  <c r="S140" i="36"/>
  <c r="S139" i="36"/>
  <c r="S138" i="36"/>
  <c r="S136" i="36"/>
  <c r="S134" i="36"/>
  <c r="S133" i="36"/>
  <c r="S132" i="36"/>
  <c r="S131" i="36"/>
  <c r="S130" i="36"/>
  <c r="S128" i="36"/>
  <c r="S127" i="36"/>
  <c r="S126" i="36"/>
  <c r="S125" i="36"/>
  <c r="S124" i="36"/>
  <c r="S123" i="36"/>
  <c r="S122" i="36"/>
  <c r="S121" i="36"/>
  <c r="R146" i="36"/>
  <c r="R145" i="36"/>
  <c r="R144" i="36"/>
  <c r="R143" i="36"/>
  <c r="R142" i="36"/>
  <c r="R141" i="36"/>
  <c r="R140" i="36"/>
  <c r="R139" i="36"/>
  <c r="R138" i="36"/>
  <c r="R136" i="36"/>
  <c r="R134" i="36"/>
  <c r="R133" i="36"/>
  <c r="R132" i="36"/>
  <c r="R131" i="36"/>
  <c r="R130" i="36"/>
  <c r="R128" i="36"/>
  <c r="R127" i="36"/>
  <c r="R126" i="36"/>
  <c r="R125" i="36"/>
  <c r="R124" i="36"/>
  <c r="R123" i="36"/>
  <c r="R122" i="36"/>
  <c r="R121" i="36"/>
  <c r="T120" i="36"/>
  <c r="S120" i="36"/>
  <c r="R120" i="36"/>
  <c r="T115" i="36"/>
  <c r="T114" i="36"/>
  <c r="T113" i="36"/>
  <c r="T112" i="36"/>
  <c r="T111" i="36"/>
  <c r="T110" i="36"/>
  <c r="T109" i="36"/>
  <c r="T108" i="36"/>
  <c r="T107" i="36"/>
  <c r="T106" i="36"/>
  <c r="T105" i="36"/>
  <c r="T103" i="36"/>
  <c r="T102" i="36"/>
  <c r="T101" i="36"/>
  <c r="T100" i="36"/>
  <c r="T99" i="36"/>
  <c r="T98" i="36"/>
  <c r="T97" i="36"/>
  <c r="T96" i="36"/>
  <c r="T95" i="36"/>
  <c r="T94" i="36"/>
  <c r="T93" i="36"/>
  <c r="T92" i="36"/>
  <c r="T91" i="36"/>
  <c r="T90" i="36"/>
  <c r="S115" i="36"/>
  <c r="S114" i="36"/>
  <c r="S113" i="36"/>
  <c r="S112" i="36"/>
  <c r="S111" i="36"/>
  <c r="S110" i="36"/>
  <c r="S109" i="36"/>
  <c r="S108" i="36"/>
  <c r="S107" i="36"/>
  <c r="S106" i="36"/>
  <c r="S105" i="36"/>
  <c r="S103" i="36"/>
  <c r="S102" i="36"/>
  <c r="S101" i="36"/>
  <c r="S100" i="36"/>
  <c r="S99" i="36"/>
  <c r="S98" i="36"/>
  <c r="S97" i="36"/>
  <c r="S96" i="36"/>
  <c r="S95" i="36"/>
  <c r="S94" i="36"/>
  <c r="S93" i="36"/>
  <c r="S92" i="36"/>
  <c r="S91" i="36"/>
  <c r="S90" i="36"/>
  <c r="R115" i="36"/>
  <c r="R114" i="36"/>
  <c r="R113" i="36"/>
  <c r="R112" i="36"/>
  <c r="R111" i="36"/>
  <c r="R110" i="36"/>
  <c r="R109" i="36"/>
  <c r="R108" i="36"/>
  <c r="R107" i="36"/>
  <c r="R106" i="36"/>
  <c r="R105" i="36"/>
  <c r="R103" i="36"/>
  <c r="R102" i="36"/>
  <c r="R101" i="36"/>
  <c r="R100" i="36"/>
  <c r="R99" i="36"/>
  <c r="R98" i="36"/>
  <c r="R97" i="36"/>
  <c r="R96" i="36"/>
  <c r="R95" i="36"/>
  <c r="R94" i="36"/>
  <c r="R93" i="36"/>
  <c r="R92" i="36"/>
  <c r="R91" i="36"/>
  <c r="R90" i="36"/>
  <c r="T89" i="36"/>
  <c r="S89" i="36"/>
  <c r="R89" i="36"/>
  <c r="T80" i="36"/>
  <c r="S80" i="36"/>
  <c r="R80" i="36"/>
  <c r="T70" i="36"/>
  <c r="S70" i="36"/>
  <c r="R70" i="36"/>
  <c r="T84" i="36"/>
  <c r="T83" i="36"/>
  <c r="T82" i="36"/>
  <c r="T81" i="36"/>
  <c r="T79" i="36"/>
  <c r="T78" i="36"/>
  <c r="T77" i="36"/>
  <c r="T75" i="36"/>
  <c r="T74" i="36"/>
  <c r="T73" i="36"/>
  <c r="T72" i="36"/>
  <c r="T71" i="36"/>
  <c r="T69" i="36"/>
  <c r="T68" i="36"/>
  <c r="T67" i="36"/>
  <c r="T66" i="36"/>
  <c r="T65" i="36"/>
  <c r="T64" i="36"/>
  <c r="T63" i="36"/>
  <c r="T62" i="36"/>
  <c r="S84" i="36"/>
  <c r="S83" i="36"/>
  <c r="S82" i="36"/>
  <c r="S81" i="36"/>
  <c r="S79" i="36"/>
  <c r="S78" i="36"/>
  <c r="S77" i="36"/>
  <c r="S75" i="36"/>
  <c r="S74" i="36"/>
  <c r="S73" i="36"/>
  <c r="S72" i="36"/>
  <c r="S71" i="36"/>
  <c r="S69" i="36"/>
  <c r="S68" i="36"/>
  <c r="S67" i="36"/>
  <c r="S66" i="36"/>
  <c r="S65" i="36"/>
  <c r="S64" i="36"/>
  <c r="S63" i="36"/>
  <c r="S62" i="36"/>
  <c r="R84" i="36"/>
  <c r="R83" i="36"/>
  <c r="R82" i="36"/>
  <c r="R81" i="36"/>
  <c r="R79" i="36"/>
  <c r="R78" i="36"/>
  <c r="R77" i="36"/>
  <c r="R75" i="36"/>
  <c r="R74" i="36"/>
  <c r="R73" i="36"/>
  <c r="R72" i="36"/>
  <c r="R71" i="36"/>
  <c r="R69" i="36"/>
  <c r="R68" i="36"/>
  <c r="R67" i="36"/>
  <c r="R66" i="36"/>
  <c r="R65" i="36"/>
  <c r="R64" i="36"/>
  <c r="R63" i="36"/>
  <c r="R62" i="36"/>
  <c r="T61" i="36"/>
  <c r="S61" i="36"/>
  <c r="R61" i="36"/>
  <c r="T56" i="36"/>
  <c r="T55" i="36"/>
  <c r="T54" i="36"/>
  <c r="T53" i="36"/>
  <c r="T52" i="36"/>
  <c r="T51" i="36"/>
  <c r="T50" i="36"/>
  <c r="T49" i="36"/>
  <c r="T47" i="36"/>
  <c r="T46" i="36"/>
  <c r="T45" i="36"/>
  <c r="T44" i="36"/>
  <c r="T43" i="36"/>
  <c r="T42" i="36"/>
  <c r="T41" i="36"/>
  <c r="T40" i="36"/>
  <c r="T39" i="36"/>
  <c r="T38" i="36"/>
  <c r="T37" i="36"/>
  <c r="T36" i="36"/>
  <c r="T35" i="36"/>
  <c r="T34" i="36"/>
  <c r="S47" i="36"/>
  <c r="S39" i="36"/>
  <c r="S56" i="36"/>
  <c r="S55" i="36"/>
  <c r="S54" i="36"/>
  <c r="S53" i="36"/>
  <c r="S52" i="36"/>
  <c r="S51" i="36"/>
  <c r="S50" i="36"/>
  <c r="S49" i="36"/>
  <c r="S46" i="36"/>
  <c r="S45" i="36"/>
  <c r="S44" i="36"/>
  <c r="S43" i="36"/>
  <c r="S42" i="36"/>
  <c r="S41" i="36"/>
  <c r="S40" i="36"/>
  <c r="S38" i="36"/>
  <c r="S37" i="36"/>
  <c r="S36" i="36"/>
  <c r="S35" i="36"/>
  <c r="S34" i="36"/>
  <c r="R47" i="36"/>
  <c r="R44" i="36"/>
  <c r="R34" i="36"/>
  <c r="R56" i="36"/>
  <c r="R55" i="36"/>
  <c r="R54" i="36"/>
  <c r="R53" i="36"/>
  <c r="R52" i="36"/>
  <c r="R51" i="36"/>
  <c r="R50" i="36"/>
  <c r="R49" i="36"/>
  <c r="R46" i="36"/>
  <c r="R45" i="36"/>
  <c r="R43" i="36"/>
  <c r="R42" i="36"/>
  <c r="R41" i="36"/>
  <c r="R40" i="36"/>
  <c r="R39" i="36"/>
  <c r="R38" i="36"/>
  <c r="R37" i="36"/>
  <c r="R36" i="36"/>
  <c r="R35" i="36"/>
  <c r="T33" i="36"/>
  <c r="S33" i="36"/>
  <c r="R33" i="36"/>
  <c r="T28" i="36"/>
  <c r="T27" i="36"/>
  <c r="T26" i="36"/>
  <c r="T25" i="36"/>
  <c r="T24" i="36"/>
  <c r="T23" i="36"/>
  <c r="T22" i="36"/>
  <c r="T21" i="36"/>
  <c r="T19" i="36"/>
  <c r="T18" i="36"/>
  <c r="T17" i="36"/>
  <c r="T16" i="36"/>
  <c r="T15" i="36"/>
  <c r="T14" i="36"/>
  <c r="T13" i="36"/>
  <c r="T12" i="36"/>
  <c r="T11" i="36"/>
  <c r="T10" i="36"/>
  <c r="T9" i="36"/>
  <c r="T8" i="36"/>
  <c r="T7" i="36"/>
  <c r="T6" i="36"/>
  <c r="T5" i="36"/>
  <c r="S28" i="36"/>
  <c r="S27" i="36"/>
  <c r="S26" i="36"/>
  <c r="S25" i="36"/>
  <c r="S24" i="36"/>
  <c r="S23" i="36"/>
  <c r="S22" i="36"/>
  <c r="S21" i="36"/>
  <c r="S19" i="36"/>
  <c r="S18" i="36"/>
  <c r="S17" i="36"/>
  <c r="S16" i="36"/>
  <c r="S15" i="36"/>
  <c r="S14" i="36"/>
  <c r="S13" i="36"/>
  <c r="S12" i="36"/>
  <c r="S11" i="36"/>
  <c r="S10" i="36"/>
  <c r="S9" i="36"/>
  <c r="S8" i="36"/>
  <c r="S7" i="36"/>
  <c r="S6" i="36"/>
  <c r="R21" i="36"/>
  <c r="R28" i="36"/>
  <c r="R27" i="36"/>
  <c r="R26" i="36"/>
  <c r="R25" i="36"/>
  <c r="R24" i="36"/>
  <c r="R23" i="36"/>
  <c r="R22" i="36"/>
  <c r="R19" i="36"/>
  <c r="R18" i="36"/>
  <c r="R17" i="36"/>
  <c r="R16" i="36"/>
  <c r="R15" i="36"/>
  <c r="R14" i="36"/>
  <c r="R13" i="36"/>
  <c r="R12" i="36"/>
  <c r="R11" i="36"/>
  <c r="R10" i="36"/>
  <c r="R9" i="36"/>
  <c r="R8" i="36"/>
  <c r="R7" i="36"/>
  <c r="R6" i="36"/>
  <c r="S5" i="36"/>
  <c r="R5" i="36"/>
  <c r="I139" i="36" l="1"/>
  <c r="H139" i="36"/>
  <c r="H133" i="36"/>
  <c r="H125" i="36"/>
  <c r="H145" i="36"/>
  <c r="I145" i="36"/>
  <c r="I143" i="36"/>
  <c r="I146" i="36"/>
  <c r="I144" i="36"/>
  <c r="J144" i="36" s="1"/>
  <c r="K144" i="36" s="1"/>
  <c r="I142" i="36"/>
  <c r="I141" i="36"/>
  <c r="I140" i="36"/>
  <c r="H146" i="36"/>
  <c r="H144" i="36"/>
  <c r="H143" i="36"/>
  <c r="H142" i="36"/>
  <c r="H141" i="36"/>
  <c r="H140" i="36"/>
  <c r="J140" i="36" s="1"/>
  <c r="J108" i="36"/>
  <c r="K108" i="36" s="1"/>
  <c r="J109" i="36"/>
  <c r="K109" i="36" s="1"/>
  <c r="J110" i="36"/>
  <c r="K110" i="36" s="1"/>
  <c r="J111" i="36"/>
  <c r="K111" i="36" s="1"/>
  <c r="L111" i="36" s="1"/>
  <c r="J112" i="36"/>
  <c r="K112" i="36" s="1"/>
  <c r="J113" i="36"/>
  <c r="J114" i="36"/>
  <c r="K114" i="36" s="1"/>
  <c r="J115" i="36"/>
  <c r="I56" i="36"/>
  <c r="I84" i="36" s="1"/>
  <c r="I55" i="36"/>
  <c r="I83" i="36" s="1"/>
  <c r="I54" i="36"/>
  <c r="I53" i="36"/>
  <c r="I81" i="36" s="1"/>
  <c r="I107" i="36" s="1"/>
  <c r="I138" i="36" s="1"/>
  <c r="I52" i="36"/>
  <c r="I80" i="36" s="1"/>
  <c r="I51" i="36"/>
  <c r="I79" i="36" s="1"/>
  <c r="I50" i="36"/>
  <c r="I78" i="36" s="1"/>
  <c r="I106" i="36" s="1"/>
  <c r="I137" i="36" s="1"/>
  <c r="I49" i="36"/>
  <c r="I77" i="36" s="1"/>
  <c r="I105" i="36" s="1"/>
  <c r="I136" i="36" s="1"/>
  <c r="I47" i="36"/>
  <c r="I75" i="36" s="1"/>
  <c r="I103" i="36" s="1"/>
  <c r="I134" i="36" s="1"/>
  <c r="I46" i="36"/>
  <c r="I74" i="36" s="1"/>
  <c r="I102" i="36" s="1"/>
  <c r="I133" i="36" s="1"/>
  <c r="I45" i="36"/>
  <c r="I73" i="36" s="1"/>
  <c r="I101" i="36" s="1"/>
  <c r="I132" i="36" s="1"/>
  <c r="I44" i="36"/>
  <c r="I72" i="36" s="1"/>
  <c r="I43" i="36"/>
  <c r="I71" i="36" s="1"/>
  <c r="I99" i="36" s="1"/>
  <c r="I130" i="36" s="1"/>
  <c r="I42" i="36"/>
  <c r="I70" i="36" s="1"/>
  <c r="I98" i="36" s="1"/>
  <c r="I129" i="36" s="1"/>
  <c r="I41" i="36"/>
  <c r="I69" i="36" s="1"/>
  <c r="I97" i="36" s="1"/>
  <c r="I128" i="36" s="1"/>
  <c r="I40" i="36"/>
  <c r="I68" i="36" s="1"/>
  <c r="I96" i="36" s="1"/>
  <c r="I127" i="36" s="1"/>
  <c r="I39" i="36"/>
  <c r="I67" i="36" s="1"/>
  <c r="I38" i="36"/>
  <c r="I66" i="36" s="1"/>
  <c r="I94" i="36" s="1"/>
  <c r="I125" i="36" s="1"/>
  <c r="I37" i="36"/>
  <c r="I36" i="36"/>
  <c r="I64" i="36" s="1"/>
  <c r="I92" i="36" s="1"/>
  <c r="I123" i="36" s="1"/>
  <c r="I35" i="36"/>
  <c r="I63" i="36" s="1"/>
  <c r="I91" i="36" s="1"/>
  <c r="I122" i="36" s="1"/>
  <c r="I34" i="36"/>
  <c r="I62" i="36" s="1"/>
  <c r="I90" i="36" s="1"/>
  <c r="I121" i="36" s="1"/>
  <c r="I33" i="36"/>
  <c r="I61" i="36" s="1"/>
  <c r="I89" i="36" s="1"/>
  <c r="I120" i="36" s="1"/>
  <c r="H56" i="36"/>
  <c r="H55" i="36"/>
  <c r="H83" i="36" s="1"/>
  <c r="H54" i="36"/>
  <c r="H82" i="36" s="1"/>
  <c r="H53" i="36"/>
  <c r="H81" i="36" s="1"/>
  <c r="H107" i="36" s="1"/>
  <c r="H138" i="36" s="1"/>
  <c r="H52" i="36"/>
  <c r="H80" i="36" s="1"/>
  <c r="H51" i="36"/>
  <c r="H79" i="36" s="1"/>
  <c r="H50" i="36"/>
  <c r="H78" i="36" s="1"/>
  <c r="H106" i="36" s="1"/>
  <c r="H137" i="36" s="1"/>
  <c r="H49" i="36"/>
  <c r="H77" i="36" s="1"/>
  <c r="H105" i="36" s="1"/>
  <c r="H136" i="36" s="1"/>
  <c r="H47" i="36"/>
  <c r="H46" i="36"/>
  <c r="H74" i="36" s="1"/>
  <c r="H102" i="36" s="1"/>
  <c r="H45" i="36"/>
  <c r="H73" i="36" s="1"/>
  <c r="H101" i="36" s="1"/>
  <c r="H132" i="36" s="1"/>
  <c r="J132" i="36" s="1"/>
  <c r="K132" i="36" s="1"/>
  <c r="H44" i="36"/>
  <c r="H72" i="36" s="1"/>
  <c r="H100" i="36" s="1"/>
  <c r="H131" i="36" s="1"/>
  <c r="H43" i="36"/>
  <c r="H71" i="36" s="1"/>
  <c r="H99" i="36" s="1"/>
  <c r="H130" i="36" s="1"/>
  <c r="H42" i="36"/>
  <c r="H70" i="36" s="1"/>
  <c r="H98" i="36" s="1"/>
  <c r="H129" i="36" s="1"/>
  <c r="H41" i="36"/>
  <c r="H69" i="36" s="1"/>
  <c r="H97" i="36" s="1"/>
  <c r="H128" i="36" s="1"/>
  <c r="H40" i="36"/>
  <c r="H68" i="36" s="1"/>
  <c r="H96" i="36" s="1"/>
  <c r="H127" i="36" s="1"/>
  <c r="H39" i="36"/>
  <c r="H67" i="36" s="1"/>
  <c r="H95" i="36" s="1"/>
  <c r="H126" i="36" s="1"/>
  <c r="H38" i="36"/>
  <c r="H66" i="36" s="1"/>
  <c r="H94" i="36" s="1"/>
  <c r="H37" i="36"/>
  <c r="H65" i="36" s="1"/>
  <c r="H93" i="36" s="1"/>
  <c r="H124" i="36" s="1"/>
  <c r="H36" i="36"/>
  <c r="H64" i="36" s="1"/>
  <c r="H92" i="36" s="1"/>
  <c r="H123" i="36" s="1"/>
  <c r="H35" i="36"/>
  <c r="H63" i="36" s="1"/>
  <c r="H91" i="36" s="1"/>
  <c r="H122" i="36" s="1"/>
  <c r="H34" i="36"/>
  <c r="H62" i="36" s="1"/>
  <c r="H90" i="36" s="1"/>
  <c r="H121" i="36" s="1"/>
  <c r="H33" i="36"/>
  <c r="J141" i="36" l="1"/>
  <c r="K141" i="36" s="1"/>
  <c r="L141" i="36" s="1"/>
  <c r="J142" i="36"/>
  <c r="J139" i="36"/>
  <c r="K139" i="36" s="1"/>
  <c r="L139" i="36" s="1"/>
  <c r="J125" i="36"/>
  <c r="K125" i="36" s="1"/>
  <c r="J133" i="36"/>
  <c r="K133" i="36" s="1"/>
  <c r="J145" i="36"/>
  <c r="K145" i="36" s="1"/>
  <c r="J143" i="36"/>
  <c r="K143" i="36" s="1"/>
  <c r="L143" i="36" s="1"/>
  <c r="J146" i="36"/>
  <c r="K146" i="36" s="1"/>
  <c r="L146" i="36" s="1"/>
  <c r="K140" i="36"/>
  <c r="L140" i="36" s="1"/>
  <c r="J137" i="36"/>
  <c r="K137" i="36" s="1"/>
  <c r="J138" i="36"/>
  <c r="K138" i="36" s="1"/>
  <c r="J136" i="36"/>
  <c r="K136" i="36" s="1"/>
  <c r="J122" i="36"/>
  <c r="K122" i="36" s="1"/>
  <c r="J129" i="36"/>
  <c r="K129" i="36" s="1"/>
  <c r="J130" i="36"/>
  <c r="K130" i="36" s="1"/>
  <c r="J127" i="36"/>
  <c r="L132" i="36"/>
  <c r="J40" i="36"/>
  <c r="K40" i="36" s="1"/>
  <c r="L40" i="36" s="1"/>
  <c r="J33" i="36"/>
  <c r="J105" i="36"/>
  <c r="K105" i="36" s="1"/>
  <c r="K142" i="36"/>
  <c r="J106" i="36"/>
  <c r="J47" i="36"/>
  <c r="K47" i="36" s="1"/>
  <c r="L47" i="36" s="1"/>
  <c r="M47" i="36" s="1"/>
  <c r="P47" i="36" s="1"/>
  <c r="J56" i="36"/>
  <c r="K56" i="36" s="1"/>
  <c r="L56" i="36" s="1"/>
  <c r="L114" i="36"/>
  <c r="M114" i="36" s="1"/>
  <c r="L112" i="36"/>
  <c r="L109" i="36"/>
  <c r="M109" i="36" s="1"/>
  <c r="N109" i="36" s="1"/>
  <c r="K113" i="36"/>
  <c r="L110" i="36"/>
  <c r="K115" i="36"/>
  <c r="M111" i="36"/>
  <c r="P111" i="36" s="1"/>
  <c r="J37" i="36"/>
  <c r="K37" i="36" s="1"/>
  <c r="J54" i="36"/>
  <c r="J107" i="36"/>
  <c r="K107" i="36" s="1"/>
  <c r="I100" i="36"/>
  <c r="I131" i="36" s="1"/>
  <c r="J92" i="36"/>
  <c r="K92" i="36" s="1"/>
  <c r="I95" i="36"/>
  <c r="I126" i="36" s="1"/>
  <c r="J126" i="36" s="1"/>
  <c r="K126" i="36" s="1"/>
  <c r="J90" i="36"/>
  <c r="K90" i="36" s="1"/>
  <c r="J98" i="36"/>
  <c r="K98" i="36" s="1"/>
  <c r="J68" i="36"/>
  <c r="K68" i="36" s="1"/>
  <c r="J96" i="36"/>
  <c r="J91" i="36"/>
  <c r="J94" i="36"/>
  <c r="J97" i="36"/>
  <c r="J101" i="36"/>
  <c r="J102" i="36"/>
  <c r="J99" i="36"/>
  <c r="J45" i="36"/>
  <c r="K45" i="36" s="1"/>
  <c r="H61" i="36"/>
  <c r="J34" i="36"/>
  <c r="K34" i="36" s="1"/>
  <c r="L34" i="36" s="1"/>
  <c r="J42" i="36"/>
  <c r="K42" i="36" s="1"/>
  <c r="L42" i="36" s="1"/>
  <c r="J36" i="36"/>
  <c r="K36" i="36" s="1"/>
  <c r="L36" i="36" s="1"/>
  <c r="J44" i="36"/>
  <c r="K44" i="36" s="1"/>
  <c r="L44" i="36" s="1"/>
  <c r="I65" i="36"/>
  <c r="I82" i="36"/>
  <c r="J73" i="36"/>
  <c r="K73" i="36" s="1"/>
  <c r="J39" i="36"/>
  <c r="K39" i="36" s="1"/>
  <c r="L39" i="36" s="1"/>
  <c r="H75" i="36"/>
  <c r="J75" i="36" s="1"/>
  <c r="H84" i="36"/>
  <c r="J78" i="36"/>
  <c r="K78" i="36" s="1"/>
  <c r="J79" i="36"/>
  <c r="K79" i="36" s="1"/>
  <c r="J81" i="36"/>
  <c r="K81" i="36" s="1"/>
  <c r="J83" i="36"/>
  <c r="K83" i="36" s="1"/>
  <c r="J77" i="36"/>
  <c r="K77" i="36" s="1"/>
  <c r="J66" i="36"/>
  <c r="K66" i="36" s="1"/>
  <c r="J74" i="36"/>
  <c r="K74" i="36" s="1"/>
  <c r="J69" i="36"/>
  <c r="K69" i="36" s="1"/>
  <c r="J63" i="36"/>
  <c r="J67" i="36"/>
  <c r="J80" i="36"/>
  <c r="J71" i="36"/>
  <c r="J46" i="36"/>
  <c r="K46" i="36" s="1"/>
  <c r="J55" i="36"/>
  <c r="K55" i="36" s="1"/>
  <c r="J62" i="36"/>
  <c r="J70" i="36"/>
  <c r="J53" i="36"/>
  <c r="K53" i="36" s="1"/>
  <c r="L53" i="36" s="1"/>
  <c r="J49" i="36"/>
  <c r="K49" i="36" s="1"/>
  <c r="L49" i="36" s="1"/>
  <c r="M49" i="36" s="1"/>
  <c r="N49" i="36" s="1"/>
  <c r="O49" i="36" s="1"/>
  <c r="K33" i="36"/>
  <c r="L33" i="36" s="1"/>
  <c r="J64" i="36"/>
  <c r="J72" i="36"/>
  <c r="J38" i="36"/>
  <c r="K38" i="36" s="1"/>
  <c r="J51" i="36"/>
  <c r="K51" i="36" s="1"/>
  <c r="L51" i="36" s="1"/>
  <c r="J52" i="36"/>
  <c r="K52" i="36" s="1"/>
  <c r="J50" i="36"/>
  <c r="K50" i="36" s="1"/>
  <c r="L50" i="36" s="1"/>
  <c r="J41" i="36"/>
  <c r="K41" i="36" s="1"/>
  <c r="L41" i="36" s="1"/>
  <c r="J43" i="36"/>
  <c r="K43" i="36" s="1"/>
  <c r="J35" i="36"/>
  <c r="K35" i="36" s="1"/>
  <c r="K54" i="36"/>
  <c r="H89" i="36" l="1"/>
  <c r="H120" i="36" s="1"/>
  <c r="J120" i="36" s="1"/>
  <c r="K120" i="36" s="1"/>
  <c r="L120" i="36" s="1"/>
  <c r="M146" i="36"/>
  <c r="P146" i="36" s="1"/>
  <c r="N146" i="36"/>
  <c r="P109" i="36"/>
  <c r="J123" i="36"/>
  <c r="K123" i="36" s="1"/>
  <c r="J95" i="36"/>
  <c r="K95" i="36" s="1"/>
  <c r="M143" i="36"/>
  <c r="N143" i="36" s="1"/>
  <c r="M139" i="36"/>
  <c r="N139" i="36" s="1"/>
  <c r="M132" i="36"/>
  <c r="P132" i="36" s="1"/>
  <c r="L133" i="36"/>
  <c r="L138" i="36"/>
  <c r="M40" i="36"/>
  <c r="N40" i="36" s="1"/>
  <c r="O40" i="36" s="1"/>
  <c r="O146" i="36"/>
  <c r="L134" i="36"/>
  <c r="M134" i="36" s="1"/>
  <c r="L125" i="36"/>
  <c r="M125" i="36" s="1"/>
  <c r="M141" i="36"/>
  <c r="N141" i="36" s="1"/>
  <c r="L144" i="36"/>
  <c r="M144" i="36" s="1"/>
  <c r="M140" i="36"/>
  <c r="N140" i="36" s="1"/>
  <c r="O140" i="36" s="1"/>
  <c r="L142" i="36"/>
  <c r="M142" i="36" s="1"/>
  <c r="L129" i="36"/>
  <c r="M129" i="36" s="1"/>
  <c r="J100" i="36"/>
  <c r="K100" i="36" s="1"/>
  <c r="L100" i="36" s="1"/>
  <c r="J128" i="36"/>
  <c r="L145" i="36"/>
  <c r="L136" i="36"/>
  <c r="M136" i="36" s="1"/>
  <c r="L137" i="36"/>
  <c r="L122" i="36"/>
  <c r="M122" i="36" s="1"/>
  <c r="L130" i="36"/>
  <c r="M130" i="36" s="1"/>
  <c r="L126" i="36"/>
  <c r="K127" i="36"/>
  <c r="N114" i="36"/>
  <c r="O114" i="36" s="1"/>
  <c r="P114" i="36"/>
  <c r="N111" i="36"/>
  <c r="O111" i="36" s="1"/>
  <c r="Q111" i="36" s="1"/>
  <c r="L115" i="36"/>
  <c r="M115" i="36" s="1"/>
  <c r="O109" i="36"/>
  <c r="M112" i="36"/>
  <c r="P112" i="36" s="1"/>
  <c r="M110" i="36"/>
  <c r="P110" i="36" s="1"/>
  <c r="L113" i="36"/>
  <c r="M113" i="36" s="1"/>
  <c r="N113" i="36" s="1"/>
  <c r="J61" i="36"/>
  <c r="K61" i="36" s="1"/>
  <c r="M41" i="36"/>
  <c r="P41" i="36" s="1"/>
  <c r="M50" i="36"/>
  <c r="P50" i="36" s="1"/>
  <c r="H103" i="36"/>
  <c r="H134" i="36" s="1"/>
  <c r="J134" i="36" s="1"/>
  <c r="K134" i="36" s="1"/>
  <c r="J82" i="36"/>
  <c r="K82" i="36" s="1"/>
  <c r="I93" i="36"/>
  <c r="I124" i="36" s="1"/>
  <c r="J124" i="36" s="1"/>
  <c r="K124" i="36" s="1"/>
  <c r="J84" i="36"/>
  <c r="K84" i="36" s="1"/>
  <c r="K94" i="36"/>
  <c r="L98" i="36"/>
  <c r="K99" i="36"/>
  <c r="L105" i="36"/>
  <c r="K96" i="36"/>
  <c r="L107" i="36"/>
  <c r="J65" i="36"/>
  <c r="K65" i="36" s="1"/>
  <c r="L90" i="36"/>
  <c r="M90" i="36" s="1"/>
  <c r="K97" i="36"/>
  <c r="K102" i="36"/>
  <c r="K106" i="36"/>
  <c r="K101" i="36"/>
  <c r="L92" i="36"/>
  <c r="K91" i="36"/>
  <c r="L95" i="36"/>
  <c r="M95" i="36" s="1"/>
  <c r="K75" i="36"/>
  <c r="K70" i="36"/>
  <c r="K71" i="36"/>
  <c r="L81" i="36"/>
  <c r="K63" i="36"/>
  <c r="L69" i="36"/>
  <c r="M69" i="36" s="1"/>
  <c r="L74" i="36"/>
  <c r="L73" i="36"/>
  <c r="L77" i="36"/>
  <c r="M77" i="36" s="1"/>
  <c r="K64" i="36"/>
  <c r="L79" i="36"/>
  <c r="K67" i="36"/>
  <c r="L68" i="36"/>
  <c r="M68" i="36" s="1"/>
  <c r="K62" i="36"/>
  <c r="L78" i="36"/>
  <c r="M78" i="36" s="1"/>
  <c r="K72" i="36"/>
  <c r="L66" i="36"/>
  <c r="M66" i="36" s="1"/>
  <c r="L83" i="36"/>
  <c r="M83" i="36" s="1"/>
  <c r="K80" i="36"/>
  <c r="N47" i="36"/>
  <c r="O47" i="36" s="1"/>
  <c r="P49" i="36"/>
  <c r="N50" i="36"/>
  <c r="O50" i="36" s="1"/>
  <c r="Q50" i="36" s="1"/>
  <c r="P40" i="36"/>
  <c r="M34" i="36"/>
  <c r="P34" i="36" s="1"/>
  <c r="L54" i="36"/>
  <c r="M54" i="36" s="1"/>
  <c r="M51" i="36"/>
  <c r="M33" i="36"/>
  <c r="L35" i="36"/>
  <c r="M35" i="36" s="1"/>
  <c r="L37" i="36"/>
  <c r="M56" i="36"/>
  <c r="P56" i="36" s="1"/>
  <c r="M39" i="36"/>
  <c r="P39" i="36" s="1"/>
  <c r="M36" i="36"/>
  <c r="N36" i="36" s="1"/>
  <c r="L46" i="36"/>
  <c r="M46" i="36" s="1"/>
  <c r="L52" i="36"/>
  <c r="M52" i="36" s="1"/>
  <c r="N52" i="36" s="1"/>
  <c r="L43" i="36"/>
  <c r="M42" i="36"/>
  <c r="M53" i="36"/>
  <c r="N53" i="36" s="1"/>
  <c r="M44" i="36"/>
  <c r="N44" i="36" s="1"/>
  <c r="L45" i="36"/>
  <c r="L55" i="36"/>
  <c r="M55" i="36" s="1"/>
  <c r="L38" i="36"/>
  <c r="G47" i="37" l="1"/>
  <c r="G104" i="37"/>
  <c r="J89" i="36"/>
  <c r="K89" i="36" s="1"/>
  <c r="L89" i="36" s="1"/>
  <c r="M89" i="36" s="1"/>
  <c r="O139" i="36"/>
  <c r="Q114" i="36"/>
  <c r="P140" i="36"/>
  <c r="P139" i="36"/>
  <c r="O143" i="36"/>
  <c r="P143" i="36"/>
  <c r="M137" i="36"/>
  <c r="N137" i="36" s="1"/>
  <c r="O137" i="36" s="1"/>
  <c r="N132" i="36"/>
  <c r="O132" i="36" s="1"/>
  <c r="M126" i="36"/>
  <c r="N126" i="36" s="1"/>
  <c r="O126" i="36" s="1"/>
  <c r="M133" i="36"/>
  <c r="N41" i="36"/>
  <c r="O41" i="36" s="1"/>
  <c r="N136" i="36"/>
  <c r="O136" i="36" s="1"/>
  <c r="L123" i="36"/>
  <c r="N129" i="36"/>
  <c r="O129" i="36" s="1"/>
  <c r="M120" i="36"/>
  <c r="P120" i="36" s="1"/>
  <c r="O141" i="36"/>
  <c r="L127" i="36"/>
  <c r="J93" i="36"/>
  <c r="K93" i="36" s="1"/>
  <c r="L93" i="36" s="1"/>
  <c r="M93" i="36" s="1"/>
  <c r="N93" i="36" s="1"/>
  <c r="J121" i="36"/>
  <c r="N110" i="36"/>
  <c r="O110" i="36" s="1"/>
  <c r="N142" i="36"/>
  <c r="O142" i="36" s="1"/>
  <c r="P142" i="36"/>
  <c r="P134" i="36"/>
  <c r="N134" i="36"/>
  <c r="O134" i="36" s="1"/>
  <c r="Q146" i="36"/>
  <c r="P122" i="36"/>
  <c r="N122" i="36"/>
  <c r="O122" i="36" s="1"/>
  <c r="P125" i="36"/>
  <c r="N125" i="36"/>
  <c r="O125" i="36" s="1"/>
  <c r="N144" i="36"/>
  <c r="O144" i="36" s="1"/>
  <c r="P144" i="36"/>
  <c r="J103" i="36"/>
  <c r="K103" i="36" s="1"/>
  <c r="L103" i="36" s="1"/>
  <c r="M103" i="36" s="1"/>
  <c r="N103" i="36" s="1"/>
  <c r="J131" i="36"/>
  <c r="P136" i="36"/>
  <c r="M145" i="36"/>
  <c r="N145" i="36" s="1"/>
  <c r="L124" i="36"/>
  <c r="P130" i="36"/>
  <c r="N130" i="36"/>
  <c r="O130" i="36" s="1"/>
  <c r="K128" i="36"/>
  <c r="P141" i="36"/>
  <c r="M138" i="36"/>
  <c r="P138" i="36" s="1"/>
  <c r="P129" i="36"/>
  <c r="Q109" i="36"/>
  <c r="N112" i="36"/>
  <c r="O112" i="36" s="1"/>
  <c r="P113" i="36"/>
  <c r="O113" i="36"/>
  <c r="N115" i="36"/>
  <c r="O115" i="36" s="1"/>
  <c r="P115" i="36"/>
  <c r="Q49" i="36"/>
  <c r="M105" i="36"/>
  <c r="N105" i="36" s="1"/>
  <c r="O105" i="36" s="1"/>
  <c r="M92" i="36"/>
  <c r="N92" i="36" s="1"/>
  <c r="L99" i="36"/>
  <c r="N90" i="36"/>
  <c r="O90" i="36" s="1"/>
  <c r="M107" i="36"/>
  <c r="N107" i="36" s="1"/>
  <c r="O107" i="36" s="1"/>
  <c r="M98" i="36"/>
  <c r="P98" i="36" s="1"/>
  <c r="P90" i="36"/>
  <c r="L94" i="36"/>
  <c r="L91" i="36"/>
  <c r="L101" i="36"/>
  <c r="L97" i="36"/>
  <c r="M97" i="36" s="1"/>
  <c r="N95" i="36"/>
  <c r="O95" i="36" s="1"/>
  <c r="L102" i="36"/>
  <c r="M102" i="36" s="1"/>
  <c r="M100" i="36"/>
  <c r="P100" i="36" s="1"/>
  <c r="L108" i="36"/>
  <c r="L96" i="36"/>
  <c r="P95" i="36"/>
  <c r="L106" i="36"/>
  <c r="P69" i="36"/>
  <c r="N69" i="36"/>
  <c r="O69" i="36" s="1"/>
  <c r="L80" i="36"/>
  <c r="M80" i="36" s="1"/>
  <c r="N78" i="36"/>
  <c r="O78" i="36" s="1"/>
  <c r="P68" i="36"/>
  <c r="M73" i="36"/>
  <c r="L70" i="36"/>
  <c r="L84" i="36"/>
  <c r="M84" i="36" s="1"/>
  <c r="L62" i="36"/>
  <c r="N77" i="36"/>
  <c r="O77" i="36" s="1"/>
  <c r="L64" i="36"/>
  <c r="M64" i="36" s="1"/>
  <c r="M74" i="36"/>
  <c r="M81" i="36"/>
  <c r="P81" i="36" s="1"/>
  <c r="N66" i="36"/>
  <c r="O66" i="36" s="1"/>
  <c r="P66" i="36"/>
  <c r="L71" i="36"/>
  <c r="L72" i="36"/>
  <c r="L82" i="36"/>
  <c r="L65" i="36"/>
  <c r="M65" i="36" s="1"/>
  <c r="P78" i="36"/>
  <c r="L61" i="36"/>
  <c r="M79" i="36"/>
  <c r="N79" i="36" s="1"/>
  <c r="O79" i="36" s="1"/>
  <c r="N83" i="36"/>
  <c r="O83" i="36" s="1"/>
  <c r="P83" i="36"/>
  <c r="L67" i="36"/>
  <c r="M67" i="36" s="1"/>
  <c r="P77" i="36"/>
  <c r="L63" i="36"/>
  <c r="N68" i="36"/>
  <c r="O68" i="36" s="1"/>
  <c r="L75" i="36"/>
  <c r="M75" i="36" s="1"/>
  <c r="Q40" i="36"/>
  <c r="P54" i="36"/>
  <c r="Q47" i="36"/>
  <c r="N34" i="36"/>
  <c r="O34" i="36" s="1"/>
  <c r="Q34" i="36" s="1"/>
  <c r="P44" i="36"/>
  <c r="O53" i="36"/>
  <c r="M38" i="36"/>
  <c r="P38" i="36" s="1"/>
  <c r="P51" i="36"/>
  <c r="M37" i="36"/>
  <c r="N37" i="36" s="1"/>
  <c r="O37" i="36" s="1"/>
  <c r="N51" i="36"/>
  <c r="O51" i="36" s="1"/>
  <c r="N56" i="36"/>
  <c r="O56" i="36" s="1"/>
  <c r="P53" i="36"/>
  <c r="N35" i="36"/>
  <c r="O35" i="36" s="1"/>
  <c r="P52" i="36"/>
  <c r="M45" i="36"/>
  <c r="P45" i="36" s="1"/>
  <c r="P42" i="36"/>
  <c r="O52" i="36"/>
  <c r="N42" i="36"/>
  <c r="O42" i="36" s="1"/>
  <c r="P36" i="36"/>
  <c r="N54" i="36"/>
  <c r="O54" i="36" s="1"/>
  <c r="N39" i="36"/>
  <c r="O39" i="36" s="1"/>
  <c r="P33" i="36"/>
  <c r="M43" i="36"/>
  <c r="N43" i="36" s="1"/>
  <c r="O43" i="36" s="1"/>
  <c r="N55" i="36"/>
  <c r="O55" i="36" s="1"/>
  <c r="P55" i="36"/>
  <c r="P35" i="36"/>
  <c r="N46" i="36"/>
  <c r="O46" i="36" s="1"/>
  <c r="O44" i="36"/>
  <c r="O36" i="36"/>
  <c r="P46" i="36"/>
  <c r="N33" i="36"/>
  <c r="O33" i="36" s="1"/>
  <c r="P126" i="36" l="1"/>
  <c r="G102" i="37"/>
  <c r="G37" i="37"/>
  <c r="G137" i="37"/>
  <c r="G107" i="37"/>
  <c r="G46" i="37"/>
  <c r="G31" i="37"/>
  <c r="Q140" i="36"/>
  <c r="G44" i="37"/>
  <c r="Q132" i="36"/>
  <c r="O145" i="36"/>
  <c r="P145" i="36"/>
  <c r="Q139" i="36"/>
  <c r="Q143" i="36"/>
  <c r="N138" i="36"/>
  <c r="O138" i="36" s="1"/>
  <c r="P137" i="36"/>
  <c r="P133" i="36"/>
  <c r="N133" i="36"/>
  <c r="O133" i="36" s="1"/>
  <c r="N120" i="36"/>
  <c r="O120" i="36" s="1"/>
  <c r="Q122" i="36"/>
  <c r="Q134" i="36"/>
  <c r="Q136" i="36"/>
  <c r="Q129" i="36"/>
  <c r="Q125" i="36"/>
  <c r="M124" i="36"/>
  <c r="P124" i="36" s="1"/>
  <c r="Q142" i="36"/>
  <c r="M123" i="36"/>
  <c r="N123" i="36" s="1"/>
  <c r="Q144" i="36"/>
  <c r="Q141" i="36"/>
  <c r="Q126" i="36"/>
  <c r="Q130" i="36"/>
  <c r="Q41" i="36"/>
  <c r="K131" i="36"/>
  <c r="K121" i="36"/>
  <c r="M127" i="36"/>
  <c r="N127" i="36" s="1"/>
  <c r="L128" i="36"/>
  <c r="Q112" i="36"/>
  <c r="Q115" i="36"/>
  <c r="Q110" i="36"/>
  <c r="Q113" i="36"/>
  <c r="M108" i="36"/>
  <c r="N108" i="36" s="1"/>
  <c r="P107" i="36"/>
  <c r="P105" i="36"/>
  <c r="N100" i="36"/>
  <c r="O100" i="36" s="1"/>
  <c r="P102" i="36"/>
  <c r="N102" i="36"/>
  <c r="O102" i="36" s="1"/>
  <c r="Q90" i="36"/>
  <c r="N97" i="36"/>
  <c r="O97" i="36" s="1"/>
  <c r="M99" i="36"/>
  <c r="P99" i="36" s="1"/>
  <c r="M96" i="36"/>
  <c r="M91" i="36"/>
  <c r="N91" i="36" s="1"/>
  <c r="M94" i="36"/>
  <c r="P94" i="36" s="1"/>
  <c r="O92" i="36"/>
  <c r="N98" i="36"/>
  <c r="O98" i="36" s="1"/>
  <c r="M106" i="36"/>
  <c r="N106" i="36" s="1"/>
  <c r="O106" i="36" s="1"/>
  <c r="P92" i="36"/>
  <c r="O103" i="36"/>
  <c r="P103" i="36"/>
  <c r="M101" i="36"/>
  <c r="P101" i="36" s="1"/>
  <c r="Q95" i="36"/>
  <c r="P108" i="36"/>
  <c r="P89" i="36"/>
  <c r="N89" i="36"/>
  <c r="O89" i="36" s="1"/>
  <c r="P97" i="36"/>
  <c r="O93" i="36"/>
  <c r="P93" i="36"/>
  <c r="P79" i="36"/>
  <c r="Q83" i="36"/>
  <c r="Q68" i="36"/>
  <c r="N80" i="36"/>
  <c r="O80" i="36" s="1"/>
  <c r="P80" i="36"/>
  <c r="Q77" i="36"/>
  <c r="Q69" i="36"/>
  <c r="P75" i="36"/>
  <c r="N75" i="36"/>
  <c r="O75" i="36" s="1"/>
  <c r="P67" i="36"/>
  <c r="N67" i="36"/>
  <c r="O67" i="36" s="1"/>
  <c r="M82" i="36"/>
  <c r="P82" i="36" s="1"/>
  <c r="M62" i="36"/>
  <c r="N62" i="36" s="1"/>
  <c r="Q66" i="36"/>
  <c r="M71" i="36"/>
  <c r="N71" i="36" s="1"/>
  <c r="O71" i="36" s="1"/>
  <c r="P74" i="36"/>
  <c r="M61" i="36"/>
  <c r="N61" i="36" s="1"/>
  <c r="N73" i="36"/>
  <c r="O73" i="36" s="1"/>
  <c r="N84" i="36"/>
  <c r="O84" i="36" s="1"/>
  <c r="P84" i="36"/>
  <c r="Q78" i="36"/>
  <c r="M72" i="36"/>
  <c r="P72" i="36" s="1"/>
  <c r="N64" i="36"/>
  <c r="O64" i="36" s="1"/>
  <c r="P64" i="36"/>
  <c r="P73" i="36"/>
  <c r="P43" i="36"/>
  <c r="M63" i="36"/>
  <c r="P63" i="36" s="1"/>
  <c r="N81" i="36"/>
  <c r="O81" i="36" s="1"/>
  <c r="M70" i="36"/>
  <c r="N70" i="36" s="1"/>
  <c r="P65" i="36"/>
  <c r="N65" i="36"/>
  <c r="O65" i="36" s="1"/>
  <c r="N74" i="36"/>
  <c r="O74" i="36" s="1"/>
  <c r="P37" i="36"/>
  <c r="N45" i="36"/>
  <c r="O45" i="36" s="1"/>
  <c r="Q42" i="36"/>
  <c r="Q56" i="36"/>
  <c r="Q46" i="36"/>
  <c r="Q51" i="36"/>
  <c r="Q35" i="36"/>
  <c r="Q33" i="36"/>
  <c r="Q53" i="36"/>
  <c r="Q36" i="36"/>
  <c r="Q44" i="36"/>
  <c r="Q52" i="36"/>
  <c r="N38" i="36"/>
  <c r="O38" i="36" s="1"/>
  <c r="Q55" i="36"/>
  <c r="Q39" i="36"/>
  <c r="Q54" i="36"/>
  <c r="G33" i="37" l="1"/>
  <c r="G39" i="37"/>
  <c r="G61" i="37"/>
  <c r="G83" i="37"/>
  <c r="G105" i="37"/>
  <c r="G52" i="37"/>
  <c r="G78" i="37"/>
  <c r="G64" i="37"/>
  <c r="G50" i="37"/>
  <c r="G48" i="37"/>
  <c r="G72" i="37"/>
  <c r="G106" i="37"/>
  <c r="G132" i="37"/>
  <c r="G49" i="37"/>
  <c r="G103" i="37"/>
  <c r="G135" i="37"/>
  <c r="G51" i="37"/>
  <c r="G43" i="37"/>
  <c r="G38" i="37"/>
  <c r="G88" i="37"/>
  <c r="G131" i="37"/>
  <c r="G30" i="37"/>
  <c r="G41" i="37"/>
  <c r="G53" i="37"/>
  <c r="G108" i="37"/>
  <c r="G134" i="37"/>
  <c r="G36" i="37"/>
  <c r="G32" i="37"/>
  <c r="G73" i="37"/>
  <c r="G63" i="37"/>
  <c r="G133" i="37"/>
  <c r="G130" i="37"/>
  <c r="G127" i="37"/>
  <c r="G123" i="37"/>
  <c r="G117" i="37"/>
  <c r="G125" i="37"/>
  <c r="G116" i="37"/>
  <c r="G120" i="37"/>
  <c r="G113" i="37"/>
  <c r="G121" i="37"/>
  <c r="Q145" i="36"/>
  <c r="Q138" i="36"/>
  <c r="Q137" i="36"/>
  <c r="Q133" i="36"/>
  <c r="O123" i="36"/>
  <c r="P123" i="36"/>
  <c r="Q120" i="36"/>
  <c r="Q43" i="36"/>
  <c r="O127" i="36"/>
  <c r="M128" i="36"/>
  <c r="N128" i="36" s="1"/>
  <c r="N124" i="36"/>
  <c r="O124" i="36" s="1"/>
  <c r="L131" i="36"/>
  <c r="M131" i="36" s="1"/>
  <c r="P127" i="36"/>
  <c r="L121" i="36"/>
  <c r="M121" i="36" s="1"/>
  <c r="Q107" i="36"/>
  <c r="N72" i="36"/>
  <c r="O72" i="36" s="1"/>
  <c r="Q72" i="36" s="1"/>
  <c r="Q105" i="36"/>
  <c r="N63" i="36"/>
  <c r="O63" i="36" s="1"/>
  <c r="Q63" i="36" s="1"/>
  <c r="O108" i="36"/>
  <c r="N99" i="36"/>
  <c r="O99" i="36" s="1"/>
  <c r="Q98" i="36"/>
  <c r="Q102" i="36"/>
  <c r="Q93" i="36"/>
  <c r="P106" i="36"/>
  <c r="Q100" i="36"/>
  <c r="Q103" i="36"/>
  <c r="N96" i="36"/>
  <c r="O96" i="36" s="1"/>
  <c r="P91" i="36"/>
  <c r="Q79" i="36"/>
  <c r="Q89" i="36"/>
  <c r="Q92" i="36"/>
  <c r="N101" i="36"/>
  <c r="O101" i="36" s="1"/>
  <c r="Q97" i="36"/>
  <c r="O91" i="36"/>
  <c r="P70" i="36"/>
  <c r="P96" i="36"/>
  <c r="N94" i="36"/>
  <c r="O94" i="36" s="1"/>
  <c r="P71" i="36"/>
  <c r="N82" i="36"/>
  <c r="O82" i="36" s="1"/>
  <c r="Q82" i="36" s="1"/>
  <c r="O70" i="36"/>
  <c r="O62" i="36"/>
  <c r="Q64" i="36"/>
  <c r="Q84" i="36"/>
  <c r="Q75" i="36"/>
  <c r="P62" i="36"/>
  <c r="Q73" i="36"/>
  <c r="Q80" i="36"/>
  <c r="Q81" i="36"/>
  <c r="P61" i="36"/>
  <c r="Q67" i="36"/>
  <c r="Q74" i="36"/>
  <c r="O61" i="36"/>
  <c r="Q65" i="36"/>
  <c r="Q37" i="36"/>
  <c r="Q38" i="36"/>
  <c r="Q45" i="36"/>
  <c r="G75" i="37" l="1"/>
  <c r="G68" i="37"/>
  <c r="G69" i="37"/>
  <c r="G62" i="37"/>
  <c r="G74" i="37"/>
  <c r="G86" i="37"/>
  <c r="G59" i="37"/>
  <c r="D150" i="36"/>
  <c r="G35" i="37"/>
  <c r="G90" i="37"/>
  <c r="G34" i="37"/>
  <c r="G70" i="37"/>
  <c r="G93" i="37"/>
  <c r="G58" i="37"/>
  <c r="G60" i="37"/>
  <c r="G76" i="37"/>
  <c r="G77" i="37"/>
  <c r="G96" i="37"/>
  <c r="G67" i="37"/>
  <c r="G40" i="37"/>
  <c r="G42" i="37"/>
  <c r="G79" i="37"/>
  <c r="G95" i="37"/>
  <c r="G136" i="37"/>
  <c r="G100" i="37"/>
  <c r="G98" i="37"/>
  <c r="G91" i="37"/>
  <c r="G85" i="37"/>
  <c r="G82" i="37"/>
  <c r="G129" i="37"/>
  <c r="G128" i="37"/>
  <c r="G124" i="37"/>
  <c r="G111" i="37"/>
  <c r="Q123" i="36"/>
  <c r="P131" i="36"/>
  <c r="P128" i="36"/>
  <c r="Q124" i="36"/>
  <c r="P121" i="36"/>
  <c r="N121" i="36"/>
  <c r="O121" i="36" s="1"/>
  <c r="N131" i="36"/>
  <c r="O131" i="36" s="1"/>
  <c r="Q127" i="36"/>
  <c r="O128" i="36"/>
  <c r="Q108" i="36"/>
  <c r="Q71" i="36"/>
  <c r="Q99" i="36"/>
  <c r="Q101" i="36"/>
  <c r="Q106" i="36"/>
  <c r="Q94" i="36"/>
  <c r="Q96" i="36"/>
  <c r="Q91" i="36"/>
  <c r="Q70" i="36"/>
  <c r="Q62" i="36"/>
  <c r="Q61" i="36"/>
  <c r="G101" i="37" l="1"/>
  <c r="G56" i="37"/>
  <c r="G94" i="37"/>
  <c r="G87" i="37"/>
  <c r="G84" i="37"/>
  <c r="G57" i="37"/>
  <c r="G65" i="37"/>
  <c r="D151" i="36"/>
  <c r="G66" i="37"/>
  <c r="G92" i="37"/>
  <c r="G99" i="37"/>
  <c r="G89" i="37"/>
  <c r="G114" i="37"/>
  <c r="G115" i="37"/>
  <c r="G118" i="37"/>
  <c r="Q128" i="36"/>
  <c r="Q121" i="36"/>
  <c r="Q131" i="36"/>
  <c r="D152" i="36" l="1"/>
  <c r="G119" i="37"/>
  <c r="G122" i="37"/>
  <c r="G112" i="37"/>
  <c r="D153" i="36"/>
  <c r="D154" i="36" s="1"/>
  <c r="J5" i="36" l="1"/>
  <c r="K5" i="36" s="1"/>
  <c r="L5" i="36" s="1"/>
  <c r="J23" i="36"/>
  <c r="K23" i="36" s="1"/>
  <c r="J24" i="36"/>
  <c r="J25" i="36"/>
  <c r="K25" i="36" s="1"/>
  <c r="L25" i="36" s="1"/>
  <c r="J26" i="36"/>
  <c r="K26" i="36" s="1"/>
  <c r="J27" i="36"/>
  <c r="J28" i="36"/>
  <c r="K28" i="36" s="1"/>
  <c r="J12" i="36"/>
  <c r="J15" i="36"/>
  <c r="J17" i="36"/>
  <c r="K17" i="36" s="1"/>
  <c r="J22" i="36"/>
  <c r="M5" i="36" l="1"/>
  <c r="P5" i="36" s="1"/>
  <c r="L28" i="36"/>
  <c r="L26" i="36"/>
  <c r="M26" i="36" s="1"/>
  <c r="L23" i="36"/>
  <c r="M23" i="36" s="1"/>
  <c r="K27" i="36"/>
  <c r="K24" i="36"/>
  <c r="M25" i="36"/>
  <c r="P25" i="36" s="1"/>
  <c r="J16" i="36"/>
  <c r="K16" i="36" s="1"/>
  <c r="J7" i="36"/>
  <c r="K7" i="36" s="1"/>
  <c r="J10" i="36"/>
  <c r="K10" i="36" s="1"/>
  <c r="L10" i="36" s="1"/>
  <c r="M10" i="36" s="1"/>
  <c r="P10" i="36" s="1"/>
  <c r="J13" i="36"/>
  <c r="K13" i="36" s="1"/>
  <c r="L13" i="36" s="1"/>
  <c r="M13" i="36" s="1"/>
  <c r="J19" i="36"/>
  <c r="K19" i="36" s="1"/>
  <c r="J11" i="36"/>
  <c r="K11" i="36" s="1"/>
  <c r="J21" i="36"/>
  <c r="J6" i="36"/>
  <c r="K6" i="36" s="1"/>
  <c r="J8" i="36"/>
  <c r="K8" i="36" s="1"/>
  <c r="L8" i="36" s="1"/>
  <c r="M8" i="36" s="1"/>
  <c r="J9" i="36"/>
  <c r="L17" i="36"/>
  <c r="M17" i="36" s="1"/>
  <c r="J14" i="36"/>
  <c r="J18" i="36"/>
  <c r="K15" i="36"/>
  <c r="K22" i="36"/>
  <c r="K12" i="36"/>
  <c r="N5" i="36" l="1"/>
  <c r="O5" i="36" s="1"/>
  <c r="K21" i="36"/>
  <c r="P26" i="36"/>
  <c r="N26" i="36"/>
  <c r="O26" i="36" s="1"/>
  <c r="P23" i="36"/>
  <c r="N23" i="36"/>
  <c r="O23" i="36" s="1"/>
  <c r="L24" i="36"/>
  <c r="N25" i="36"/>
  <c r="O25" i="36" s="1"/>
  <c r="M28" i="36"/>
  <c r="N28" i="36" s="1"/>
  <c r="L27" i="36"/>
  <c r="M27" i="36" s="1"/>
  <c r="N10" i="36"/>
  <c r="O10" i="36" s="1"/>
  <c r="N17" i="36"/>
  <c r="O17" i="36" s="1"/>
  <c r="P13" i="36"/>
  <c r="N13" i="36"/>
  <c r="O13" i="36" s="1"/>
  <c r="L12" i="36"/>
  <c r="M12" i="36" s="1"/>
  <c r="P17" i="36"/>
  <c r="L16" i="36"/>
  <c r="M16" i="36" s="1"/>
  <c r="L11" i="36"/>
  <c r="M11" i="36" s="1"/>
  <c r="N11" i="36" s="1"/>
  <c r="P8" i="36"/>
  <c r="K14" i="36"/>
  <c r="L22" i="36"/>
  <c r="L15" i="36"/>
  <c r="M15" i="36" s="1"/>
  <c r="P15" i="36" s="1"/>
  <c r="L6" i="36"/>
  <c r="M6" i="36" s="1"/>
  <c r="N8" i="36"/>
  <c r="O8" i="36" s="1"/>
  <c r="K9" i="36"/>
  <c r="L7" i="36"/>
  <c r="M7" i="36" s="1"/>
  <c r="L19" i="36"/>
  <c r="M19" i="36" s="1"/>
  <c r="K18" i="36"/>
  <c r="Q5" i="36" l="1"/>
  <c r="L21" i="36"/>
  <c r="Q26" i="36"/>
  <c r="P28" i="36"/>
  <c r="P27" i="36"/>
  <c r="N27" i="36"/>
  <c r="O27" i="36" s="1"/>
  <c r="M24" i="36"/>
  <c r="N24" i="36" s="1"/>
  <c r="O24" i="36" s="1"/>
  <c r="O28" i="36"/>
  <c r="Q25" i="36"/>
  <c r="G24" i="37" s="1"/>
  <c r="Q23" i="36"/>
  <c r="G22" i="37" s="1"/>
  <c r="Q10" i="36"/>
  <c r="G9" i="37" s="1"/>
  <c r="P6" i="36"/>
  <c r="N6" i="36"/>
  <c r="O6" i="36" s="1"/>
  <c r="N15" i="36"/>
  <c r="O15" i="36" s="1"/>
  <c r="Q15" i="36" s="1"/>
  <c r="G14" i="37" s="1"/>
  <c r="Q8" i="36"/>
  <c r="G7" i="37" s="1"/>
  <c r="L14" i="36"/>
  <c r="M14" i="36" s="1"/>
  <c r="Q17" i="36"/>
  <c r="G16" i="37" s="1"/>
  <c r="P19" i="36"/>
  <c r="O11" i="36"/>
  <c r="P11" i="36"/>
  <c r="N19" i="36"/>
  <c r="O19" i="36" s="1"/>
  <c r="Q13" i="36"/>
  <c r="G12" i="37" s="1"/>
  <c r="L18" i="36"/>
  <c r="P16" i="36"/>
  <c r="L9" i="36"/>
  <c r="M9" i="36" s="1"/>
  <c r="P7" i="36"/>
  <c r="N12" i="36"/>
  <c r="O12" i="36" s="1"/>
  <c r="P12" i="36"/>
  <c r="N7" i="36"/>
  <c r="O7" i="36" s="1"/>
  <c r="M22" i="36"/>
  <c r="P22" i="36" s="1"/>
  <c r="N16" i="36"/>
  <c r="O16" i="36" s="1"/>
  <c r="G25" i="37" l="1"/>
  <c r="G4" i="37"/>
  <c r="M21" i="36"/>
  <c r="P24" i="36"/>
  <c r="Q27" i="36"/>
  <c r="G26" i="37" s="1"/>
  <c r="Q28" i="36"/>
  <c r="G27" i="37" s="1"/>
  <c r="Q6" i="36"/>
  <c r="G5" i="37" s="1"/>
  <c r="N14" i="36"/>
  <c r="O14" i="36" s="1"/>
  <c r="P14" i="36"/>
  <c r="N22" i="36"/>
  <c r="O22" i="36" s="1"/>
  <c r="Q16" i="36"/>
  <c r="G15" i="37" s="1"/>
  <c r="Q19" i="36"/>
  <c r="G18" i="37" s="1"/>
  <c r="N9" i="36"/>
  <c r="O9" i="36" s="1"/>
  <c r="Q12" i="36"/>
  <c r="G11" i="37" s="1"/>
  <c r="Q11" i="36"/>
  <c r="G10" i="37" s="1"/>
  <c r="P9" i="36"/>
  <c r="Q7" i="36"/>
  <c r="G6" i="37" s="1"/>
  <c r="M18" i="36"/>
  <c r="N18" i="36" s="1"/>
  <c r="N21" i="36" l="1"/>
  <c r="O21" i="36" s="1"/>
  <c r="P21" i="36"/>
  <c r="Q24" i="36"/>
  <c r="Q14" i="36"/>
  <c r="G13" i="37" s="1"/>
  <c r="Q9" i="36"/>
  <c r="G8" i="37" s="1"/>
  <c r="P18" i="36"/>
  <c r="Q22" i="36"/>
  <c r="G21" i="37" s="1"/>
  <c r="O18" i="36"/>
  <c r="G23" i="37" l="1"/>
  <c r="Q21" i="36"/>
  <c r="G20" i="37" s="1"/>
  <c r="Q18" i="36"/>
  <c r="G17" i="37" s="1"/>
  <c r="D149" i="36" l="1"/>
  <c r="D156" i="36" s="1"/>
  <c r="D4" i="13" l="1"/>
  <c r="D5" i="13"/>
  <c r="D3" i="13" l="1"/>
  <c r="D2" i="13" l="1"/>
</calcChain>
</file>

<file path=xl/sharedStrings.xml><?xml version="1.0" encoding="utf-8"?>
<sst xmlns="http://schemas.openxmlformats.org/spreadsheetml/2006/main" count="1194" uniqueCount="152">
  <si>
    <t>INSTRUCTIONS TO SUBCONTRACTORS</t>
  </si>
  <si>
    <t>General</t>
  </si>
  <si>
    <t>1</t>
  </si>
  <si>
    <t xml:space="preserve">The subcontractor shall complete this Government Format Pricing Model (GFPM-Subs). </t>
  </si>
  <si>
    <t>2</t>
  </si>
  <si>
    <t xml:space="preserve">All proposed direct labor rates shall be in line with justifying data (historical/incurred costs, salary survey, BLS OES etc.) for each identified locality. </t>
  </si>
  <si>
    <t>3</t>
  </si>
  <si>
    <t>The subcontractor GFPM will be utilized for each subcontractor to show its compliance with providing a full labor buildup, per labor category and to ensure compliance with the Government provided floor rates.</t>
  </si>
  <si>
    <t>"Subcontractor Labor Build" Tab</t>
  </si>
  <si>
    <t xml:space="preserve">All subcontractors must provide the subcontractor GFPM to the prime offeror for submittal to the Government as part of the prime offeror proposal OR each subcontractor must submit this file directly to the Government. </t>
  </si>
  <si>
    <t>Offeror input is required in all applicable cells highlighted in yellow.</t>
  </si>
  <si>
    <t>The "Labor Categories &amp; Hours" table (columns A - F) contain all of the performance locations and labor categories that the USG anticipates to be necessary for completion of this effort. Offerors shall input the proposed number of hours in column F that will be completed by the subcontractor for each applicable labor category being performed by the subcontractor.</t>
  </si>
  <si>
    <t>4</t>
  </si>
  <si>
    <t>In the "Subcontractor Labor Build" table (columns H-T), subcontractors are required to submit fully burdened labor rates for each of the labor categories that the subcontractor is  performing (Column Q). Subcontractors shall insert all of the cost elements (direct labor, fringe benefit costs, labor overhead costs, general &amp; administrative cost, profit/fee etc.) that make up all of the fully burdened labor rates proposed (Columns I - P). If necessary, subcontractors may submit additional cost data in it's own format to further justify the proposed single elements of the prime labor costs.</t>
  </si>
  <si>
    <t>5</t>
  </si>
  <si>
    <r>
      <t xml:space="preserve"> Offerors shall insert direct labor rates in Ordering Period 1 for the applicable labor categories (</t>
    </r>
    <r>
      <rPr>
        <sz val="11"/>
        <color rgb="FFFF0000"/>
        <rFont val="Calibri"/>
        <family val="2"/>
        <scheme val="minor"/>
      </rPr>
      <t>I5 - I28</t>
    </r>
    <r>
      <rPr>
        <sz val="11"/>
        <rFont val="Calibri"/>
        <family val="2"/>
        <scheme val="minor"/>
      </rPr>
      <t>) and and in Ordering Period 4 for the applicable labor categories (</t>
    </r>
    <r>
      <rPr>
        <sz val="11"/>
        <color rgb="FFFF0000"/>
        <rFont val="Calibri"/>
        <family val="2"/>
        <scheme val="minor"/>
      </rPr>
      <t>I108 - I115</t>
    </r>
    <r>
      <rPr>
        <sz val="11"/>
        <rFont val="Calibri"/>
        <family val="2"/>
        <scheme val="minor"/>
      </rPr>
      <t>).  Note: Per section L of the RFP, the proposed direct labor rates must meet or exceed the USG floor rates referenced in Ordering Period 1 (</t>
    </r>
    <r>
      <rPr>
        <sz val="11"/>
        <color rgb="FFFF0000"/>
        <rFont val="Calibri"/>
        <family val="2"/>
        <scheme val="minor"/>
      </rPr>
      <t>H5 - H28</t>
    </r>
    <r>
      <rPr>
        <sz val="11"/>
        <rFont val="Calibri"/>
        <family val="2"/>
        <scheme val="minor"/>
      </rPr>
      <t>) and in Ordering Period 4 (</t>
    </r>
    <r>
      <rPr>
        <sz val="11"/>
        <color rgb="FFFF0000"/>
        <rFont val="Calibri"/>
        <family val="2"/>
        <scheme val="minor"/>
      </rPr>
      <t>H108 - H115</t>
    </r>
    <r>
      <rPr>
        <sz val="11"/>
        <rFont val="Calibri"/>
        <family val="2"/>
        <scheme val="minor"/>
      </rPr>
      <t xml:space="preserve">).  </t>
    </r>
  </si>
  <si>
    <t>6</t>
  </si>
  <si>
    <t>In the event a subcontractor proposes a direct labor rate below the floor rate in error, the subcontractor GFPM corrects this error by utilizing the floor rate (as calculated by the pre-populated formula in column J) to compute the subcontractor costs that contribute to the subcontractor proposed FBLR in columns K - P.</t>
  </si>
  <si>
    <t>7</t>
  </si>
  <si>
    <t>Profit / fee formulas in column P restrict subcontractors from proposing negative profit/fee percentages.</t>
  </si>
  <si>
    <t>8</t>
  </si>
  <si>
    <t xml:space="preserve">Particular cells are locked and cannot be edited. Cells highlighted in yellow can be modified to fit a subcontractors accounting methods, however, the Government has included pre-populated formulas if applicable. </t>
  </si>
  <si>
    <t>9</t>
  </si>
  <si>
    <t xml:space="preserve">The FBLR proposed in column Q should be consistent with the FBLR provided to the prime for the primes submittal of its proposal. </t>
  </si>
  <si>
    <t>"Escalation" Tab</t>
  </si>
  <si>
    <t xml:space="preserve">This tab provides the data for the labor escalation rates which apply to all option periods of performance tabs.  </t>
  </si>
  <si>
    <t xml:space="preserve">Per section L of the RFP, for evaluation purposes only, this solicitation has set a minimum escalation for each period of performance. Subcontractors may choose to increase this rate in column C of the escalation tab, but shall not propose an escalation rate which is below the USG minimum. </t>
  </si>
  <si>
    <t>"DBA Insurance" Tab</t>
  </si>
  <si>
    <t>Subcontractors shall demonstrate on the DBA Tab of the GFPM-Subs how the estimated DBA Insurance Amount was calculated, if applicable.</t>
  </si>
  <si>
    <t xml:space="preserve"> DBA Insurance shall not be included in any FBLRs and may not have indirect expense or fee added to it.</t>
  </si>
  <si>
    <t>Subcontractors shall provide a copy of the DBA Insurance quote, if applicable.</t>
  </si>
  <si>
    <t>"Sub FBLR &amp; DBA Summary" Tab</t>
  </si>
  <si>
    <t xml:space="preserve">To promote consistency between subcontractor files and prime offeror files, the Government has provided a FBLR &amp; DBA Summary tab within the Subcontractor GFPM for the subcontractor to be able to more easily transfer its proposed FBLRs and DBA Insurance cost totals for each option period, to the prime offeror for the prime offeror to include in its proposal.  </t>
  </si>
  <si>
    <t>The Hours and FBLRs (columns F &amp; G) are automatically populated in this tab as they are pulled directly from the 'Subcontractor Labor Build' tab.</t>
  </si>
  <si>
    <t>The DBA Insurance costs must be manually input by the Subcontractors into the yellow cells, if applicable.</t>
  </si>
  <si>
    <t>Ordering Period 1:</t>
  </si>
  <si>
    <t>Ordering Period 1 Labor Categories &amp; Hours</t>
  </si>
  <si>
    <t>Service</t>
  </si>
  <si>
    <t>ID</t>
  </si>
  <si>
    <t>Labor Category</t>
  </si>
  <si>
    <t>Reference</t>
  </si>
  <si>
    <t>Location</t>
  </si>
  <si>
    <t>Hours</t>
  </si>
  <si>
    <t>(Floor Rate)</t>
  </si>
  <si>
    <t>Direct Labor
(Proposed)</t>
  </si>
  <si>
    <t>Direct Labor
(Calculation)</t>
  </si>
  <si>
    <t>Fringe Benefit</t>
  </si>
  <si>
    <t>Labor OH 1</t>
  </si>
  <si>
    <t>G&amp;A</t>
  </si>
  <si>
    <t>FCCOM</t>
  </si>
  <si>
    <t>Cost</t>
  </si>
  <si>
    <t>Fee</t>
  </si>
  <si>
    <t>FBLR</t>
  </si>
  <si>
    <t>Total Cost</t>
  </si>
  <si>
    <t>Total Fee</t>
  </si>
  <si>
    <t>Total Price</t>
  </si>
  <si>
    <t>CONUS</t>
  </si>
  <si>
    <t>Program Management</t>
  </si>
  <si>
    <t>001</t>
  </si>
  <si>
    <t>Project Management Specialist</t>
  </si>
  <si>
    <t>Section H.3.1.11</t>
  </si>
  <si>
    <t>Field Service Representative (FSR)</t>
  </si>
  <si>
    <t>002</t>
  </si>
  <si>
    <t>Field Service Representative</t>
  </si>
  <si>
    <t>Section H.3.1.9</t>
  </si>
  <si>
    <t>General Maintenance</t>
  </si>
  <si>
    <t>003</t>
  </si>
  <si>
    <t>Heavy Equipment Mechanic</t>
  </si>
  <si>
    <t>Section H.3.1.3</t>
  </si>
  <si>
    <t>Modified Work Orders (MWO)</t>
  </si>
  <si>
    <t>004</t>
  </si>
  <si>
    <t>005</t>
  </si>
  <si>
    <t>Section H.3.1.6</t>
  </si>
  <si>
    <t>006</t>
  </si>
  <si>
    <t>Quality Assurance</t>
  </si>
  <si>
    <t>Section H.3.1.10</t>
  </si>
  <si>
    <t>007</t>
  </si>
  <si>
    <t>Software</t>
  </si>
  <si>
    <t>Section H.3.1.5</t>
  </si>
  <si>
    <t>008</t>
  </si>
  <si>
    <t>Welder</t>
  </si>
  <si>
    <t>Section H.3.1.4</t>
  </si>
  <si>
    <t>New Equipment Training (NET)</t>
  </si>
  <si>
    <t>009</t>
  </si>
  <si>
    <t>Instructor Supervisor</t>
  </si>
  <si>
    <t>Section H.3.1.7</t>
  </si>
  <si>
    <t>010</t>
  </si>
  <si>
    <t xml:space="preserve">Instructor  </t>
  </si>
  <si>
    <t>Section H.3.1.8</t>
  </si>
  <si>
    <t>Total Package Fielding (TPF)
and De-processing</t>
  </si>
  <si>
    <t>011</t>
  </si>
  <si>
    <t>012</t>
  </si>
  <si>
    <t>Material Handling Specialist</t>
  </si>
  <si>
    <t>Section H.3.1.2</t>
  </si>
  <si>
    <t>013</t>
  </si>
  <si>
    <t>014</t>
  </si>
  <si>
    <t>Supply/Procurement Specialist</t>
  </si>
  <si>
    <t>Section H.3.1.1</t>
  </si>
  <si>
    <t>015</t>
  </si>
  <si>
    <t>OCONUS</t>
  </si>
  <si>
    <t>016</t>
  </si>
  <si>
    <t>017</t>
  </si>
  <si>
    <t>018</t>
  </si>
  <si>
    <t>019</t>
  </si>
  <si>
    <t xml:space="preserve">Instructor </t>
  </si>
  <si>
    <t>020</t>
  </si>
  <si>
    <t>021</t>
  </si>
  <si>
    <t>022</t>
  </si>
  <si>
    <t>023</t>
  </si>
  <si>
    <t>Ordering Period 2:</t>
  </si>
  <si>
    <t>Ordering Period 2 Labor Categories &amp; Hours</t>
  </si>
  <si>
    <t>Ordering Period 3:</t>
  </si>
  <si>
    <t>Ordering Period 3 Labor Categories &amp; Hours</t>
  </si>
  <si>
    <t>Ordering Period 4:</t>
  </si>
  <si>
    <t>Ordering Period 4 Labor Categories &amp; Hours</t>
  </si>
  <si>
    <t>024</t>
  </si>
  <si>
    <t>OCONUS - IRAQ</t>
  </si>
  <si>
    <t>025</t>
  </si>
  <si>
    <t>026</t>
  </si>
  <si>
    <t>027</t>
  </si>
  <si>
    <t>028</t>
  </si>
  <si>
    <t>029</t>
  </si>
  <si>
    <t>030</t>
  </si>
  <si>
    <t>031</t>
  </si>
  <si>
    <t>Ordering Period 5:</t>
  </si>
  <si>
    <t>Ordering Period 5 Labor Categories &amp; Hours</t>
  </si>
  <si>
    <t>Ordering Period 1  - Total Subcontractor Price</t>
  </si>
  <si>
    <t>Ordering Period 2  - Total Subcontractor Price</t>
  </si>
  <si>
    <t>Ordering Period 3  - Total Subcontractor Price</t>
  </si>
  <si>
    <t>Ordering Period 4  - Total Subcontractor Price</t>
  </si>
  <si>
    <t>Ordering Period 5  - Total Subcontractor Price</t>
  </si>
  <si>
    <t>FAR 52.217-8  - Total Subcontractor Price</t>
  </si>
  <si>
    <t>Total Subcontractor Price</t>
  </si>
  <si>
    <t>POP</t>
  </si>
  <si>
    <t>Minimum 
Escalation</t>
  </si>
  <si>
    <t>Proposed
 Escalation</t>
  </si>
  <si>
    <t>Calculated 
Escalation</t>
  </si>
  <si>
    <t>Ordering Period 2</t>
  </si>
  <si>
    <t>Ordering Period 3</t>
  </si>
  <si>
    <t>Ordering Period 4</t>
  </si>
  <si>
    <t>Ordering Period 5</t>
  </si>
  <si>
    <t>SUB FBLR</t>
  </si>
  <si>
    <t>Ordering Period 1</t>
  </si>
  <si>
    <t>DBA Insurance Totals</t>
  </si>
  <si>
    <t>Base - DBA Total</t>
  </si>
  <si>
    <t>Option 1 - DBA Total</t>
  </si>
  <si>
    <t>Option 2 - DBA Total</t>
  </si>
  <si>
    <t>Option 3 - DBA Total</t>
  </si>
  <si>
    <t>Option 4 - DBA Total</t>
  </si>
  <si>
    <t>Dash 8 - DBA Total</t>
  </si>
  <si>
    <t>Total Subcontractor DBA</t>
  </si>
  <si>
    <t>Subcontractors shall use this tab to demonstrate how the estimated DBA Insurance costs were calculated,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</si>
</sst>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409]mmm\-yy;@"/>
    <numFmt numFmtId="167" formatCode="[$-409]dd\-mmm\-yy;@"/>
  </numFmts>
  <fonts count="14">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4"/>
      <name val="Calibri"/>
      <family val="2"/>
      <scheme val="minor"/>
    </font>
    <font>
      <sz val="10"/>
      <name val="Arial"/>
      <family val="2"/>
    </font>
    <font>
      <sz val="11"/>
      <color rgb="FFFF0000"/>
      <name val="Calibri"/>
      <family val="2"/>
      <scheme val="minor"/>
    </font>
    <font>
      <sz val="8"/>
      <name val="Calibri"/>
      <family val="2"/>
      <scheme val="minor"/>
    </font>
    <font>
      <b/>
      <sz val="20"/>
      <color theme="1"/>
      <name val="Calibri"/>
      <family val="2"/>
      <scheme val="minor"/>
    </font>
    <font>
      <b/>
      <sz val="14"/>
      <color theme="1"/>
      <name val="Calibri"/>
      <family val="2"/>
      <scheme val="minor"/>
    </font>
    <font>
      <b/>
      <u/>
      <sz val="11"/>
      <color theme="1"/>
      <name val="Calibri"/>
      <family val="2"/>
      <scheme val="minor"/>
    </font>
    <font>
      <b/>
      <sz val="11"/>
      <color indexed="8"/>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166" fontId="1" fillId="0" borderId="0"/>
    <xf numFmtId="167" fontId="7" fillId="0" borderId="0"/>
    <xf numFmtId="0" fontId="1" fillId="0" borderId="0"/>
    <xf numFmtId="166" fontId="1" fillId="0" borderId="0"/>
  </cellStyleXfs>
  <cellXfs count="213">
    <xf numFmtId="0" fontId="0" fillId="0" borderId="0" xfId="0"/>
    <xf numFmtId="10" fontId="0" fillId="2" borderId="4" xfId="0" applyNumberFormat="1" applyFill="1" applyBorder="1" applyProtection="1">
      <protection locked="0"/>
    </xf>
    <xf numFmtId="44" fontId="0" fillId="2" borderId="14" xfId="2" applyFont="1" applyFill="1" applyBorder="1" applyProtection="1">
      <protection locked="0"/>
    </xf>
    <xf numFmtId="44" fontId="0" fillId="2" borderId="4" xfId="2" applyFont="1" applyFill="1" applyBorder="1" applyProtection="1">
      <protection locked="0"/>
    </xf>
    <xf numFmtId="0" fontId="0" fillId="0" borderId="0" xfId="0" applyProtection="1"/>
    <xf numFmtId="165" fontId="0" fillId="0" borderId="0" xfId="2" applyNumberFormat="1" applyFont="1" applyProtection="1"/>
    <xf numFmtId="44" fontId="0" fillId="3" borderId="14" xfId="2" applyFont="1" applyFill="1" applyBorder="1" applyProtection="1"/>
    <xf numFmtId="44" fontId="0" fillId="3" borderId="4" xfId="2" applyFont="1" applyFill="1" applyBorder="1" applyProtection="1"/>
    <xf numFmtId="0" fontId="0" fillId="0" borderId="4" xfId="0" applyBorder="1" applyProtection="1"/>
    <xf numFmtId="164" fontId="0" fillId="0" borderId="0" xfId="1" applyNumberFormat="1" applyFont="1" applyProtection="1"/>
    <xf numFmtId="164" fontId="0" fillId="0" borderId="0" xfId="1" applyNumberFormat="1" applyFont="1" applyFill="1" applyProtection="1"/>
    <xf numFmtId="44" fontId="0" fillId="0" borderId="0" xfId="2" applyFont="1" applyProtection="1"/>
    <xf numFmtId="0" fontId="0" fillId="0" borderId="2" xfId="0" applyBorder="1" applyAlignment="1" applyProtection="1">
      <alignment horizontal="center" vertical="center"/>
    </xf>
    <xf numFmtId="0" fontId="0" fillId="6" borderId="4" xfId="0" applyFill="1" applyBorder="1" applyAlignment="1" applyProtection="1">
      <alignment horizontal="left" vertical="center"/>
    </xf>
    <xf numFmtId="0" fontId="0" fillId="6" borderId="4" xfId="0" applyFill="1" applyBorder="1" applyAlignment="1" applyProtection="1">
      <alignment horizontal="center" vertical="center" wrapText="1"/>
    </xf>
    <xf numFmtId="0" fontId="0" fillId="8" borderId="4" xfId="0" applyFill="1" applyBorder="1" applyProtection="1"/>
    <xf numFmtId="10" fontId="0" fillId="8" borderId="4" xfId="0" applyNumberFormat="1" applyFill="1" applyBorder="1" applyProtection="1"/>
    <xf numFmtId="49" fontId="6" fillId="0" borderId="0" xfId="3" applyNumberFormat="1" applyFont="1" applyAlignment="1">
      <alignment horizontal="center"/>
    </xf>
    <xf numFmtId="166" fontId="6" fillId="0" borderId="0" xfId="3" applyFont="1" applyAlignment="1">
      <alignment horizontal="center"/>
    </xf>
    <xf numFmtId="49" fontId="5" fillId="0" borderId="1" xfId="1" quotePrefix="1" applyNumberFormat="1" applyFont="1" applyBorder="1" applyAlignment="1" applyProtection="1">
      <alignment horizontal="center"/>
    </xf>
    <xf numFmtId="0" fontId="4" fillId="0" borderId="3" xfId="0" applyFont="1" applyBorder="1" applyAlignment="1">
      <alignment wrapText="1"/>
    </xf>
    <xf numFmtId="49" fontId="5" fillId="0" borderId="1" xfId="3" quotePrefix="1" applyNumberFormat="1" applyFont="1" applyBorder="1" applyAlignment="1">
      <alignment horizontal="center"/>
    </xf>
    <xf numFmtId="49" fontId="5" fillId="0" borderId="8" xfId="3" quotePrefix="1" applyNumberFormat="1" applyFont="1" applyBorder="1" applyAlignment="1">
      <alignment horizontal="center"/>
    </xf>
    <xf numFmtId="166" fontId="4" fillId="0" borderId="17" xfId="3" applyFont="1" applyBorder="1" applyAlignment="1">
      <alignment wrapText="1"/>
    </xf>
    <xf numFmtId="0" fontId="4" fillId="0" borderId="3" xfId="3" applyNumberFormat="1" applyFont="1" applyBorder="1" applyAlignment="1">
      <alignment wrapText="1"/>
    </xf>
    <xf numFmtId="166" fontId="4" fillId="0" borderId="3" xfId="3" applyFont="1" applyBorder="1" applyAlignment="1">
      <alignment wrapText="1"/>
    </xf>
    <xf numFmtId="166" fontId="4" fillId="0" borderId="6" xfId="3" applyFont="1" applyBorder="1" applyAlignment="1">
      <alignment wrapText="1"/>
    </xf>
    <xf numFmtId="0" fontId="0" fillId="0" borderId="0" xfId="0" applyAlignment="1">
      <alignment horizontal="center"/>
    </xf>
    <xf numFmtId="44" fontId="0" fillId="3" borderId="23" xfId="2" applyFont="1" applyFill="1" applyBorder="1" applyProtection="1"/>
    <xf numFmtId="44" fontId="0" fillId="2" borderId="23" xfId="2" applyFont="1" applyFill="1" applyBorder="1" applyProtection="1">
      <protection locked="0"/>
    </xf>
    <xf numFmtId="2" fontId="0" fillId="0" borderId="4" xfId="0" applyNumberFormat="1" applyBorder="1" applyProtection="1"/>
    <xf numFmtId="44" fontId="2" fillId="0" borderId="21" xfId="2" applyFont="1" applyBorder="1" applyProtection="1"/>
    <xf numFmtId="44" fontId="1" fillId="0" borderId="4" xfId="2" applyFont="1" applyBorder="1" applyProtection="1"/>
    <xf numFmtId="165" fontId="0" fillId="3" borderId="7" xfId="2" applyNumberFormat="1" applyFont="1" applyFill="1" applyBorder="1" applyProtection="1"/>
    <xf numFmtId="165" fontId="0" fillId="3" borderId="4" xfId="2" applyNumberFormat="1" applyFont="1" applyFill="1" applyBorder="1" applyProtection="1"/>
    <xf numFmtId="165" fontId="0" fillId="3" borderId="24" xfId="2" applyNumberFormat="1" applyFont="1" applyFill="1" applyBorder="1" applyProtection="1"/>
    <xf numFmtId="165" fontId="0" fillId="3" borderId="23" xfId="2" applyNumberFormat="1" applyFont="1" applyFill="1" applyBorder="1" applyProtection="1"/>
    <xf numFmtId="10" fontId="0" fillId="2" borderId="19" xfId="2" applyNumberFormat="1" applyFont="1" applyFill="1" applyBorder="1" applyAlignment="1" applyProtection="1">
      <alignment horizontal="center" vertical="center" wrapText="1"/>
      <protection locked="0"/>
    </xf>
    <xf numFmtId="164" fontId="0" fillId="0" borderId="0" xfId="1" applyNumberFormat="1" applyFont="1" applyFill="1" applyBorder="1" applyAlignment="1" applyProtection="1">
      <alignment horizontal="center" vertical="center" wrapText="1"/>
    </xf>
    <xf numFmtId="44" fontId="0" fillId="0" borderId="20" xfId="2" applyFont="1" applyBorder="1" applyAlignment="1" applyProtection="1">
      <alignment horizontal="center" vertical="center"/>
    </xf>
    <xf numFmtId="165" fontId="0" fillId="0" borderId="19" xfId="2" applyNumberFormat="1" applyFont="1" applyBorder="1" applyAlignment="1" applyProtection="1">
      <alignment horizontal="center" vertical="center"/>
    </xf>
    <xf numFmtId="44" fontId="0" fillId="0" borderId="19" xfId="2" applyFont="1" applyBorder="1" applyAlignment="1" applyProtection="1">
      <alignment horizontal="center" vertical="center"/>
    </xf>
    <xf numFmtId="44" fontId="0" fillId="3" borderId="29" xfId="2" applyFont="1" applyFill="1" applyBorder="1" applyProtection="1"/>
    <xf numFmtId="0" fontId="0" fillId="0" borderId="4" xfId="0" applyBorder="1" applyAlignment="1">
      <alignment horizontal="center"/>
    </xf>
    <xf numFmtId="0" fontId="12" fillId="0" borderId="0" xfId="0" applyFont="1" applyAlignment="1">
      <alignment horizontal="center"/>
    </xf>
    <xf numFmtId="0" fontId="12" fillId="0" borderId="0" xfId="0" applyFont="1"/>
    <xf numFmtId="0" fontId="2" fillId="0" borderId="22" xfId="0" applyFont="1" applyBorder="1" applyAlignment="1" applyProtection="1">
      <alignment horizontal="center"/>
    </xf>
    <xf numFmtId="0" fontId="0" fillId="0" borderId="0" xfId="0" applyAlignment="1" applyProtection="1">
      <alignment horizontal="center" vertical="center"/>
    </xf>
    <xf numFmtId="2" fontId="0" fillId="0" borderId="25" xfId="0" applyNumberFormat="1" applyBorder="1" applyProtection="1"/>
    <xf numFmtId="0" fontId="2" fillId="0" borderId="21" xfId="0" applyFont="1" applyBorder="1" applyProtection="1"/>
    <xf numFmtId="49" fontId="5" fillId="0" borderId="1" xfId="3" applyNumberFormat="1" applyFont="1" applyBorder="1" applyAlignment="1">
      <alignment horizontal="center" vertical="center"/>
    </xf>
    <xf numFmtId="49" fontId="5" fillId="0" borderId="5" xfId="3" applyNumberFormat="1" applyFont="1" applyBorder="1" applyAlignment="1">
      <alignment horizontal="center" vertical="center"/>
    </xf>
    <xf numFmtId="49" fontId="5" fillId="0" borderId="5" xfId="3" quotePrefix="1" applyNumberFormat="1" applyFont="1" applyBorder="1" applyAlignment="1">
      <alignment horizontal="center" vertical="center"/>
    </xf>
    <xf numFmtId="49" fontId="5" fillId="0" borderId="1" xfId="3" quotePrefix="1" applyNumberFormat="1" applyFont="1" applyBorder="1" applyAlignment="1">
      <alignment horizontal="center" vertical="center"/>
    </xf>
    <xf numFmtId="2" fontId="0" fillId="0" borderId="4" xfId="0" quotePrefix="1" applyNumberFormat="1" applyBorder="1" applyProtection="1"/>
    <xf numFmtId="0" fontId="12" fillId="0" borderId="0" xfId="0" applyFont="1" applyAlignment="1">
      <alignment horizontal="left"/>
    </xf>
    <xf numFmtId="44" fontId="0" fillId="3" borderId="31" xfId="2" applyFont="1" applyFill="1" applyBorder="1" applyProtection="1"/>
    <xf numFmtId="44" fontId="0" fillId="2" borderId="31" xfId="2" applyFont="1" applyFill="1" applyBorder="1" applyProtection="1">
      <protection locked="0"/>
    </xf>
    <xf numFmtId="165" fontId="0" fillId="3" borderId="31" xfId="2" applyNumberFormat="1" applyFont="1" applyFill="1" applyBorder="1" applyProtection="1"/>
    <xf numFmtId="165" fontId="0" fillId="3" borderId="32" xfId="2" applyNumberFormat="1" applyFont="1" applyFill="1" applyBorder="1" applyProtection="1"/>
    <xf numFmtId="164" fontId="0" fillId="0" borderId="6" xfId="1" applyNumberFormat="1" applyFont="1" applyFill="1" applyBorder="1" applyProtection="1"/>
    <xf numFmtId="0" fontId="4" fillId="0" borderId="18" xfId="0" quotePrefix="1" applyFont="1" applyBorder="1" applyAlignment="1">
      <alignment horizontal="center"/>
    </xf>
    <xf numFmtId="165" fontId="0" fillId="3" borderId="14" xfId="2" applyNumberFormat="1" applyFont="1" applyFill="1" applyBorder="1" applyProtection="1"/>
    <xf numFmtId="165" fontId="0" fillId="3" borderId="15" xfId="2" applyNumberFormat="1" applyFont="1" applyFill="1" applyBorder="1" applyProtection="1"/>
    <xf numFmtId="164" fontId="0" fillId="9" borderId="0" xfId="1" applyNumberFormat="1" applyFont="1" applyFill="1" applyBorder="1" applyProtection="1"/>
    <xf numFmtId="0" fontId="0" fillId="9" borderId="0" xfId="0" applyFill="1" applyBorder="1" applyProtection="1"/>
    <xf numFmtId="164" fontId="2" fillId="0" borderId="0" xfId="1" applyNumberFormat="1" applyFont="1" applyFill="1" applyBorder="1" applyAlignment="1" applyProtection="1">
      <alignment horizontal="center" wrapText="1"/>
    </xf>
    <xf numFmtId="44" fontId="2" fillId="0" borderId="26" xfId="2" applyFont="1" applyBorder="1" applyAlignment="1" applyProtection="1"/>
    <xf numFmtId="165" fontId="2" fillId="0" borderId="26" xfId="2" applyNumberFormat="1" applyFont="1" applyBorder="1" applyAlignment="1" applyProtection="1"/>
    <xf numFmtId="44" fontId="2" fillId="0" borderId="27" xfId="2" applyFont="1" applyBorder="1" applyAlignment="1" applyProtection="1"/>
    <xf numFmtId="0" fontId="2" fillId="0" borderId="0" xfId="0" applyFont="1" applyProtection="1"/>
    <xf numFmtId="0" fontId="2" fillId="0" borderId="1" xfId="0" applyFont="1" applyBorder="1" applyAlignment="1" applyProtection="1">
      <alignment horizontal="left"/>
    </xf>
    <xf numFmtId="0" fontId="0" fillId="0" borderId="3" xfId="0" applyBorder="1" applyAlignment="1" applyProtection="1">
      <alignment horizontal="center" vertical="center"/>
    </xf>
    <xf numFmtId="0" fontId="2" fillId="0" borderId="18" xfId="0" applyFont="1" applyBorder="1" applyProtection="1"/>
    <xf numFmtId="0" fontId="13" fillId="0" borderId="19" xfId="0" applyFont="1" applyBorder="1" applyProtection="1"/>
    <xf numFmtId="0" fontId="2" fillId="0" borderId="19" xfId="0" applyFont="1" applyBorder="1" applyProtection="1"/>
    <xf numFmtId="0" fontId="2" fillId="0" borderId="20" xfId="0" applyFont="1" applyBorder="1" applyProtection="1"/>
    <xf numFmtId="2" fontId="0" fillId="0" borderId="23" xfId="0" applyNumberFormat="1" applyBorder="1" applyProtection="1"/>
    <xf numFmtId="2" fontId="0" fillId="0" borderId="24" xfId="0" applyNumberFormat="1" applyBorder="1" applyProtection="1"/>
    <xf numFmtId="2" fontId="0" fillId="0" borderId="7" xfId="0" applyNumberFormat="1" applyBorder="1" applyProtection="1"/>
    <xf numFmtId="2" fontId="0" fillId="0" borderId="28" xfId="0" applyNumberFormat="1" applyBorder="1" applyProtection="1"/>
    <xf numFmtId="2" fontId="0" fillId="0" borderId="31" xfId="0" applyNumberFormat="1" applyBorder="1" applyProtection="1"/>
    <xf numFmtId="2" fontId="0" fillId="0" borderId="32" xfId="0" applyNumberFormat="1" applyBorder="1" applyProtection="1"/>
    <xf numFmtId="2" fontId="0" fillId="0" borderId="23" xfId="0" quotePrefix="1" applyNumberFormat="1" applyBorder="1" applyProtection="1"/>
    <xf numFmtId="2" fontId="0" fillId="0" borderId="31" xfId="0" quotePrefix="1" applyNumberFormat="1" applyBorder="1" applyProtection="1"/>
    <xf numFmtId="2" fontId="0" fillId="0" borderId="25" xfId="0" quotePrefix="1" applyNumberFormat="1" applyBorder="1" applyProtection="1"/>
    <xf numFmtId="0" fontId="4" fillId="0" borderId="33" xfId="0" quotePrefix="1" applyFont="1" applyBorder="1" applyAlignment="1">
      <alignment horizontal="center"/>
    </xf>
    <xf numFmtId="2" fontId="0" fillId="0" borderId="26" xfId="0" quotePrefix="1" applyNumberFormat="1" applyBorder="1" applyProtection="1"/>
    <xf numFmtId="2" fontId="0" fillId="0" borderId="26" xfId="0" applyNumberFormat="1" applyBorder="1" applyProtection="1"/>
    <xf numFmtId="2" fontId="0" fillId="0" borderId="27" xfId="0" applyNumberFormat="1" applyBorder="1" applyProtection="1"/>
    <xf numFmtId="2" fontId="0" fillId="0" borderId="19" xfId="0" quotePrefix="1" applyNumberFormat="1" applyBorder="1" applyProtection="1"/>
    <xf numFmtId="2" fontId="0" fillId="0" borderId="19" xfId="0" applyNumberFormat="1" applyBorder="1" applyProtection="1"/>
    <xf numFmtId="2" fontId="0" fillId="0" borderId="20" xfId="0" applyNumberFormat="1" applyBorder="1" applyProtection="1"/>
    <xf numFmtId="2" fontId="0" fillId="9" borderId="9" xfId="0" applyNumberFormat="1" applyFill="1" applyBorder="1" applyProtection="1"/>
    <xf numFmtId="2" fontId="0" fillId="9" borderId="17" xfId="0" applyNumberFormat="1" applyFill="1" applyBorder="1" applyProtection="1"/>
    <xf numFmtId="44" fontId="0" fillId="2" borderId="29" xfId="2" applyFont="1" applyFill="1" applyBorder="1" applyProtection="1">
      <protection locked="0"/>
    </xf>
    <xf numFmtId="44" fontId="0" fillId="2" borderId="26" xfId="2" applyFont="1" applyFill="1" applyBorder="1" applyProtection="1">
      <protection locked="0"/>
    </xf>
    <xf numFmtId="44" fontId="0" fillId="3" borderId="26" xfId="2" applyFont="1" applyFill="1" applyBorder="1" applyProtection="1"/>
    <xf numFmtId="165" fontId="0" fillId="3" borderId="26" xfId="2" applyNumberFormat="1" applyFont="1" applyFill="1" applyBorder="1" applyProtection="1"/>
    <xf numFmtId="165" fontId="0" fillId="3" borderId="27" xfId="2" applyNumberFormat="1" applyFont="1" applyFill="1" applyBorder="1" applyProtection="1"/>
    <xf numFmtId="165" fontId="0" fillId="3" borderId="29" xfId="2" applyNumberFormat="1" applyFont="1" applyFill="1" applyBorder="1" applyProtection="1"/>
    <xf numFmtId="165" fontId="0" fillId="3" borderId="37" xfId="2" applyNumberFormat="1" applyFont="1" applyFill="1" applyBorder="1" applyProtection="1"/>
    <xf numFmtId="44" fontId="0" fillId="3" borderId="38" xfId="2" applyFont="1" applyFill="1" applyBorder="1" applyProtection="1"/>
    <xf numFmtId="44" fontId="0" fillId="2" borderId="38" xfId="2" applyFont="1" applyFill="1" applyBorder="1" applyProtection="1">
      <protection locked="0"/>
    </xf>
    <xf numFmtId="44" fontId="0" fillId="3" borderId="19" xfId="2" applyFont="1" applyFill="1" applyBorder="1" applyProtection="1"/>
    <xf numFmtId="44" fontId="0" fillId="2" borderId="19" xfId="2" applyFont="1" applyFill="1" applyBorder="1" applyProtection="1">
      <protection locked="0"/>
    </xf>
    <xf numFmtId="165" fontId="0" fillId="3" borderId="19" xfId="2" applyNumberFormat="1" applyFont="1" applyFill="1" applyBorder="1" applyProtection="1"/>
    <xf numFmtId="165" fontId="0" fillId="3" borderId="20" xfId="2" applyNumberFormat="1" applyFont="1" applyFill="1" applyBorder="1" applyProtection="1"/>
    <xf numFmtId="164" fontId="2" fillId="0" borderId="33" xfId="1" applyNumberFormat="1" applyFont="1" applyBorder="1" applyAlignment="1" applyProtection="1">
      <alignment horizontal="center" wrapText="1"/>
    </xf>
    <xf numFmtId="164" fontId="2" fillId="0" borderId="26" xfId="1" applyNumberFormat="1" applyFont="1" applyBorder="1" applyAlignment="1" applyProtection="1">
      <alignment horizontal="center" wrapText="1"/>
    </xf>
    <xf numFmtId="44" fontId="2" fillId="0" borderId="26" xfId="2" applyFont="1" applyBorder="1" applyAlignment="1" applyProtection="1">
      <alignment horizontal="center" wrapText="1"/>
    </xf>
    <xf numFmtId="164" fontId="0" fillId="0" borderId="18" xfId="1" applyNumberFormat="1" applyFont="1" applyBorder="1" applyAlignment="1" applyProtection="1">
      <alignment vertical="center"/>
    </xf>
    <xf numFmtId="164" fontId="0" fillId="0" borderId="19" xfId="1" applyNumberFormat="1" applyFont="1" applyBorder="1" applyAlignment="1" applyProtection="1">
      <alignment vertical="center"/>
    </xf>
    <xf numFmtId="165" fontId="0" fillId="3" borderId="38" xfId="2" applyNumberFormat="1" applyFont="1" applyFill="1" applyBorder="1" applyProtection="1"/>
    <xf numFmtId="165" fontId="0" fillId="3" borderId="39" xfId="2" applyNumberFormat="1" applyFont="1" applyFill="1" applyBorder="1" applyProtection="1"/>
    <xf numFmtId="44" fontId="0" fillId="9" borderId="2" xfId="2" applyFont="1" applyFill="1" applyBorder="1" applyProtection="1"/>
    <xf numFmtId="44" fontId="0" fillId="9" borderId="2" xfId="2" applyFont="1" applyFill="1" applyBorder="1" applyProtection="1">
      <protection locked="0"/>
    </xf>
    <xf numFmtId="165" fontId="0" fillId="9" borderId="2" xfId="2" applyNumberFormat="1" applyFont="1" applyFill="1" applyBorder="1" applyProtection="1"/>
    <xf numFmtId="165" fontId="0" fillId="9" borderId="3" xfId="2" applyNumberFormat="1" applyFont="1" applyFill="1" applyBorder="1" applyProtection="1"/>
    <xf numFmtId="0" fontId="11" fillId="9" borderId="0" xfId="0" applyFont="1" applyFill="1" applyBorder="1" applyAlignment="1">
      <alignment horizontal="center"/>
    </xf>
    <xf numFmtId="0" fontId="11" fillId="9" borderId="11" xfId="0" applyFont="1" applyFill="1" applyBorder="1" applyAlignment="1">
      <alignment horizontal="center"/>
    </xf>
    <xf numFmtId="0" fontId="11" fillId="9" borderId="16" xfId="0" applyFont="1" applyFill="1" applyBorder="1" applyAlignment="1">
      <alignment horizontal="center"/>
    </xf>
    <xf numFmtId="0" fontId="11" fillId="9" borderId="6" xfId="0" applyFont="1" applyFill="1" applyBorder="1" applyAlignment="1">
      <alignment horizontal="center"/>
    </xf>
    <xf numFmtId="0" fontId="2" fillId="9" borderId="10" xfId="0" applyFont="1" applyFill="1" applyBorder="1" applyAlignment="1">
      <alignment horizontal="left"/>
    </xf>
    <xf numFmtId="0" fontId="0" fillId="0" borderId="19" xfId="0" applyBorder="1" applyAlignment="1">
      <alignment horizontal="center"/>
    </xf>
    <xf numFmtId="44" fontId="0" fillId="0" borderId="20" xfId="0" applyNumberFormat="1" applyBorder="1"/>
    <xf numFmtId="0" fontId="0" fillId="0" borderId="26" xfId="0" applyBorder="1" applyAlignment="1">
      <alignment horizontal="center"/>
    </xf>
    <xf numFmtId="44" fontId="0" fillId="0" borderId="27" xfId="0" applyNumberFormat="1" applyBorder="1"/>
    <xf numFmtId="0" fontId="2" fillId="9" borderId="5" xfId="0" applyFont="1" applyFill="1" applyBorder="1" applyAlignment="1">
      <alignment horizontal="left"/>
    </xf>
    <xf numFmtId="0" fontId="0" fillId="0" borderId="23" xfId="0" applyBorder="1" applyAlignment="1">
      <alignment horizontal="center"/>
    </xf>
    <xf numFmtId="44" fontId="0" fillId="0" borderId="24" xfId="0" applyNumberFormat="1" applyBorder="1"/>
    <xf numFmtId="44" fontId="0" fillId="0" borderId="7" xfId="0" applyNumberFormat="1" applyBorder="1"/>
    <xf numFmtId="0" fontId="0" fillId="0" borderId="31" xfId="0" applyBorder="1" applyAlignment="1">
      <alignment horizontal="center"/>
    </xf>
    <xf numFmtId="44" fontId="0" fillId="0" borderId="32" xfId="0" applyNumberFormat="1" applyBorder="1"/>
    <xf numFmtId="1" fontId="0" fillId="0" borderId="26" xfId="0" applyNumberFormat="1" applyBorder="1" applyAlignment="1">
      <alignment horizontal="center"/>
    </xf>
    <xf numFmtId="0" fontId="0" fillId="0" borderId="19" xfId="0" applyNumberFormat="1" applyBorder="1" applyAlignment="1">
      <alignment horizontal="center"/>
    </xf>
    <xf numFmtId="0" fontId="0" fillId="0" borderId="23" xfId="0" applyNumberFormat="1" applyBorder="1" applyAlignment="1">
      <alignment horizontal="center"/>
    </xf>
    <xf numFmtId="0" fontId="0" fillId="0" borderId="4" xfId="0" applyNumberFormat="1" applyBorder="1" applyAlignment="1">
      <alignment horizontal="center"/>
    </xf>
    <xf numFmtId="0" fontId="0" fillId="0" borderId="31" xfId="0" applyNumberFormat="1" applyBorder="1" applyAlignment="1">
      <alignment horizontal="center"/>
    </xf>
    <xf numFmtId="0" fontId="11" fillId="9" borderId="0" xfId="0" applyNumberFormat="1" applyFont="1" applyFill="1" applyBorder="1" applyAlignment="1">
      <alignment horizontal="center"/>
    </xf>
    <xf numFmtId="166" fontId="4" fillId="0" borderId="3" xfId="3" applyFont="1" applyFill="1" applyBorder="1" applyAlignment="1">
      <alignment wrapText="1"/>
    </xf>
    <xf numFmtId="44" fontId="1" fillId="0" borderId="0" xfId="2" applyFont="1" applyBorder="1" applyProtection="1"/>
    <xf numFmtId="44" fontId="2" fillId="0" borderId="0" xfId="2" applyFont="1" applyBorder="1" applyProtection="1"/>
    <xf numFmtId="0" fontId="0" fillId="2" borderId="29" xfId="2" applyNumberFormat="1" applyFont="1" applyFill="1" applyBorder="1" applyAlignment="1" applyProtection="1">
      <alignment horizontal="center"/>
      <protection locked="0"/>
    </xf>
    <xf numFmtId="1" fontId="0" fillId="2" borderId="29" xfId="2" applyNumberFormat="1" applyFont="1" applyFill="1" applyBorder="1" applyAlignment="1" applyProtection="1">
      <alignment horizontal="center"/>
      <protection locked="0"/>
    </xf>
    <xf numFmtId="1" fontId="0" fillId="2" borderId="19" xfId="2" applyNumberFormat="1" applyFont="1" applyFill="1" applyBorder="1" applyAlignment="1" applyProtection="1">
      <alignment horizontal="center"/>
      <protection locked="0"/>
    </xf>
    <xf numFmtId="1" fontId="0" fillId="2" borderId="23" xfId="2" applyNumberFormat="1" applyFont="1" applyFill="1" applyBorder="1" applyAlignment="1" applyProtection="1">
      <alignment horizontal="center"/>
      <protection locked="0"/>
    </xf>
    <xf numFmtId="1" fontId="0" fillId="2" borderId="14" xfId="2" applyNumberFormat="1" applyFont="1" applyFill="1" applyBorder="1" applyAlignment="1" applyProtection="1">
      <alignment horizontal="center"/>
      <protection locked="0"/>
    </xf>
    <xf numFmtId="1" fontId="0" fillId="2" borderId="38" xfId="2" applyNumberFormat="1" applyFont="1" applyFill="1" applyBorder="1" applyAlignment="1" applyProtection="1">
      <alignment horizontal="center"/>
      <protection locked="0"/>
    </xf>
    <xf numFmtId="1" fontId="0" fillId="2" borderId="31" xfId="2" applyNumberFormat="1" applyFont="1" applyFill="1" applyBorder="1" applyAlignment="1" applyProtection="1">
      <alignment horizontal="center"/>
      <protection locked="0"/>
    </xf>
    <xf numFmtId="1" fontId="0" fillId="2" borderId="4" xfId="2" applyNumberFormat="1" applyFont="1" applyFill="1" applyBorder="1" applyAlignment="1" applyProtection="1">
      <alignment horizontal="center"/>
      <protection locked="0"/>
    </xf>
    <xf numFmtId="1" fontId="0" fillId="9" borderId="2" xfId="2" applyNumberFormat="1" applyFont="1" applyFill="1" applyBorder="1" applyAlignment="1" applyProtection="1">
      <alignment horizontal="center"/>
      <protection locked="0"/>
    </xf>
    <xf numFmtId="0" fontId="0" fillId="9" borderId="1" xfId="2" applyNumberFormat="1" applyFont="1" applyFill="1" applyBorder="1" applyAlignment="1" applyProtection="1">
      <alignment horizontal="center"/>
    </xf>
    <xf numFmtId="0" fontId="4" fillId="0" borderId="33" xfId="0" quotePrefix="1" applyFont="1" applyBorder="1" applyAlignment="1" applyProtection="1">
      <alignment horizontal="center"/>
    </xf>
    <xf numFmtId="0" fontId="4" fillId="0" borderId="18" xfId="0" quotePrefix="1" applyFont="1" applyBorder="1" applyAlignment="1" applyProtection="1">
      <alignment horizontal="center"/>
    </xf>
    <xf numFmtId="0" fontId="5" fillId="9" borderId="8" xfId="0" quotePrefix="1" applyFont="1" applyFill="1" applyBorder="1" applyAlignment="1" applyProtection="1">
      <alignment horizontal="left" wrapText="1"/>
    </xf>
    <xf numFmtId="0" fontId="0" fillId="2" borderId="18" xfId="2" applyNumberFormat="1" applyFont="1" applyFill="1" applyBorder="1" applyAlignment="1" applyProtection="1">
      <alignment horizontal="center"/>
      <protection locked="0"/>
    </xf>
    <xf numFmtId="0" fontId="0" fillId="2" borderId="13" xfId="2" applyNumberFormat="1" applyFont="1" applyFill="1" applyBorder="1" applyAlignment="1" applyProtection="1">
      <alignment horizontal="center"/>
      <protection locked="0"/>
    </xf>
    <xf numFmtId="0" fontId="0" fillId="2" borderId="36" xfId="2" applyNumberFormat="1" applyFont="1" applyFill="1" applyBorder="1" applyAlignment="1" applyProtection="1">
      <alignment horizontal="center"/>
      <protection locked="0"/>
    </xf>
    <xf numFmtId="0" fontId="0" fillId="2" borderId="35" xfId="2" applyNumberFormat="1" applyFont="1" applyFill="1" applyBorder="1" applyAlignment="1" applyProtection="1">
      <alignment horizontal="center"/>
      <protection locked="0"/>
    </xf>
    <xf numFmtId="0" fontId="0" fillId="9" borderId="1" xfId="2" applyNumberFormat="1" applyFont="1" applyFill="1" applyBorder="1" applyAlignment="1" applyProtection="1">
      <alignment horizontal="center"/>
      <protection locked="0"/>
    </xf>
    <xf numFmtId="0" fontId="0" fillId="2" borderId="33" xfId="2" applyNumberFormat="1" applyFont="1" applyFill="1" applyBorder="1" applyAlignment="1" applyProtection="1">
      <alignment horizontal="center"/>
      <protection locked="0"/>
    </xf>
    <xf numFmtId="0" fontId="4" fillId="0" borderId="33" xfId="0" quotePrefix="1" applyFont="1" applyBorder="1" applyAlignment="1" applyProtection="1">
      <alignment horizontal="center" vertical="center" wrapText="1"/>
    </xf>
    <xf numFmtId="0" fontId="4" fillId="0" borderId="33" xfId="0" quotePrefix="1" applyFont="1" applyBorder="1" applyAlignment="1">
      <alignment horizontal="center" vertical="center" wrapText="1"/>
    </xf>
    <xf numFmtId="44" fontId="0" fillId="0" borderId="10" xfId="0" applyNumberFormat="1" applyBorder="1"/>
    <xf numFmtId="0" fontId="0" fillId="0" borderId="11" xfId="0" applyBorder="1"/>
    <xf numFmtId="0" fontId="0" fillId="0" borderId="16" xfId="0" applyBorder="1"/>
    <xf numFmtId="44" fontId="0" fillId="0" borderId="5" xfId="0" applyNumberFormat="1" applyBorder="1"/>
    <xf numFmtId="0" fontId="0" fillId="0" borderId="6" xfId="0" applyBorder="1"/>
    <xf numFmtId="0" fontId="0" fillId="0" borderId="4" xfId="0" applyBorder="1"/>
    <xf numFmtId="44" fontId="1" fillId="2" borderId="4" xfId="2" applyFont="1" applyFill="1" applyBorder="1" applyProtection="1">
      <protection locked="0"/>
    </xf>
    <xf numFmtId="0" fontId="2" fillId="0" borderId="21" xfId="0" applyFont="1" applyBorder="1"/>
    <xf numFmtId="44" fontId="0" fillId="0" borderId="8" xfId="0" applyNumberFormat="1" applyBorder="1"/>
    <xf numFmtId="0" fontId="0" fillId="0" borderId="9" xfId="0" applyBorder="1"/>
    <xf numFmtId="0" fontId="0" fillId="0" borderId="17" xfId="0" applyBorder="1"/>
    <xf numFmtId="166" fontId="6" fillId="5" borderId="1" xfId="3" applyFont="1" applyFill="1" applyBorder="1" applyAlignment="1">
      <alignment horizontal="center" vertical="top"/>
    </xf>
    <xf numFmtId="166" fontId="6" fillId="5" borderId="3" xfId="3" applyFont="1" applyFill="1" applyBorder="1" applyAlignment="1">
      <alignment horizontal="center" vertical="top"/>
    </xf>
    <xf numFmtId="166" fontId="5" fillId="5" borderId="10" xfId="3" applyFont="1" applyFill="1" applyBorder="1" applyAlignment="1">
      <alignment horizontal="center" vertical="top"/>
    </xf>
    <xf numFmtId="166" fontId="5" fillId="5" borderId="16" xfId="3" applyFont="1" applyFill="1" applyBorder="1" applyAlignment="1">
      <alignment horizontal="center" vertical="top"/>
    </xf>
    <xf numFmtId="166" fontId="5" fillId="5" borderId="10" xfId="3" quotePrefix="1" applyFont="1" applyFill="1" applyBorder="1" applyAlignment="1">
      <alignment horizontal="center" vertical="top"/>
    </xf>
    <xf numFmtId="166" fontId="5" fillId="5" borderId="16" xfId="3" quotePrefix="1" applyFont="1" applyFill="1" applyBorder="1" applyAlignment="1">
      <alignment horizontal="center" vertical="top"/>
    </xf>
    <xf numFmtId="166" fontId="5" fillId="5" borderId="1" xfId="3" applyFont="1" applyFill="1" applyBorder="1" applyAlignment="1">
      <alignment horizontal="center" vertical="top"/>
    </xf>
    <xf numFmtId="166" fontId="5" fillId="5" borderId="3" xfId="3" applyFont="1" applyFill="1" applyBorder="1" applyAlignment="1">
      <alignment horizontal="center" vertical="top"/>
    </xf>
    <xf numFmtId="49" fontId="10" fillId="7" borderId="1" xfId="0" applyNumberFormat="1" applyFont="1" applyFill="1" applyBorder="1" applyAlignment="1" applyProtection="1">
      <alignment horizontal="left"/>
    </xf>
    <xf numFmtId="49" fontId="10" fillId="7" borderId="2" xfId="0" applyNumberFormat="1" applyFont="1" applyFill="1" applyBorder="1" applyAlignment="1" applyProtection="1">
      <alignment horizontal="left"/>
    </xf>
    <xf numFmtId="49" fontId="10" fillId="7" borderId="3" xfId="0" applyNumberFormat="1" applyFont="1" applyFill="1" applyBorder="1" applyAlignment="1" applyProtection="1">
      <alignment horizontal="left"/>
    </xf>
    <xf numFmtId="0" fontId="3" fillId="5" borderId="9" xfId="0" applyFont="1" applyFill="1" applyBorder="1" applyAlignment="1" applyProtection="1">
      <alignment horizontal="center"/>
    </xf>
    <xf numFmtId="0" fontId="3" fillId="5" borderId="17" xfId="0" applyFont="1" applyFill="1" applyBorder="1" applyAlignment="1" applyProtection="1">
      <alignment horizontal="center"/>
    </xf>
    <xf numFmtId="0" fontId="2" fillId="4" borderId="5" xfId="0" applyFont="1" applyFill="1" applyBorder="1" applyAlignment="1" applyProtection="1">
      <alignment horizontal="center"/>
    </xf>
    <xf numFmtId="0" fontId="2" fillId="4" borderId="0" xfId="0" applyFont="1" applyFill="1" applyBorder="1" applyAlignment="1" applyProtection="1">
      <alignment horizontal="center"/>
    </xf>
    <xf numFmtId="0" fontId="4" fillId="0" borderId="33" xfId="0" quotePrefix="1" applyFont="1" applyBorder="1" applyAlignment="1" applyProtection="1">
      <alignment horizontal="center" vertical="center" wrapText="1"/>
    </xf>
    <xf numFmtId="0" fontId="4" fillId="0" borderId="34" xfId="0" quotePrefix="1" applyFont="1" applyBorder="1" applyAlignment="1" applyProtection="1">
      <alignment horizontal="center" vertical="center" wrapText="1"/>
    </xf>
    <xf numFmtId="0" fontId="4" fillId="0" borderId="35" xfId="0" quotePrefix="1" applyFont="1" applyBorder="1" applyAlignment="1" applyProtection="1">
      <alignment horizontal="center" vertical="center" wrapText="1"/>
    </xf>
    <xf numFmtId="0" fontId="4" fillId="0" borderId="13" xfId="0" quotePrefix="1" applyFont="1" applyBorder="1" applyAlignment="1" applyProtection="1">
      <alignment horizontal="center" vertical="center" wrapText="1"/>
    </xf>
    <xf numFmtId="0" fontId="4" fillId="0" borderId="12" xfId="0" quotePrefix="1" applyFont="1" applyBorder="1" applyAlignment="1" applyProtection="1">
      <alignment horizontal="center" vertical="center" wrapText="1"/>
    </xf>
    <xf numFmtId="0" fontId="4" fillId="0" borderId="30" xfId="0" quotePrefix="1" applyFont="1" applyBorder="1" applyAlignment="1" applyProtection="1">
      <alignment horizontal="center" vertical="center" wrapText="1"/>
    </xf>
    <xf numFmtId="0" fontId="4" fillId="0" borderId="12" xfId="0" quotePrefix="1" applyFont="1" applyBorder="1" applyAlignment="1" applyProtection="1">
      <alignment horizontal="center" vertical="center"/>
    </xf>
    <xf numFmtId="0" fontId="4" fillId="0" borderId="30" xfId="0" quotePrefix="1" applyFont="1" applyBorder="1" applyAlignment="1" applyProtection="1">
      <alignment horizontal="center" vertical="center"/>
    </xf>
    <xf numFmtId="0" fontId="4" fillId="0" borderId="13" xfId="0" quotePrefix="1" applyFont="1" applyBorder="1" applyAlignment="1">
      <alignment horizontal="center" vertical="center" wrapText="1"/>
    </xf>
    <xf numFmtId="0" fontId="4" fillId="0" borderId="12" xfId="0" quotePrefix="1" applyFont="1" applyBorder="1" applyAlignment="1">
      <alignment horizontal="center" vertical="center"/>
    </xf>
    <xf numFmtId="0" fontId="4" fillId="0" borderId="30" xfId="0" quotePrefix="1" applyFont="1" applyBorder="1" applyAlignment="1">
      <alignment horizontal="center" vertical="center"/>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11" fillId="5" borderId="33" xfId="0" applyFont="1" applyFill="1" applyBorder="1" applyAlignment="1">
      <alignment horizontal="center"/>
    </xf>
    <xf numFmtId="0" fontId="11" fillId="5" borderId="40" xfId="0" applyFont="1" applyFill="1" applyBorder="1" applyAlignment="1">
      <alignment horizontal="center"/>
    </xf>
    <xf numFmtId="0" fontId="11" fillId="5" borderId="26" xfId="0" applyFont="1" applyFill="1" applyBorder="1" applyAlignment="1">
      <alignment horizontal="center"/>
    </xf>
    <xf numFmtId="0" fontId="11" fillId="5" borderId="27" xfId="0" applyFont="1" applyFill="1" applyBorder="1" applyAlignment="1">
      <alignment horizontal="center"/>
    </xf>
    <xf numFmtId="0" fontId="4" fillId="0" borderId="33" xfId="0" quotePrefix="1" applyFont="1" applyBorder="1" applyAlignment="1">
      <alignment horizontal="center" vertical="center" wrapText="1"/>
    </xf>
    <xf numFmtId="0" fontId="4" fillId="0" borderId="34" xfId="0" quotePrefix="1" applyFont="1" applyBorder="1" applyAlignment="1">
      <alignment horizontal="center" vertical="center" wrapText="1"/>
    </xf>
    <xf numFmtId="0" fontId="4" fillId="0" borderId="35" xfId="0" quotePrefix="1" applyFont="1" applyBorder="1" applyAlignment="1">
      <alignment horizontal="center" vertical="center" wrapText="1"/>
    </xf>
    <xf numFmtId="0" fontId="4" fillId="0" borderId="12" xfId="0" quotePrefix="1" applyFont="1" applyBorder="1" applyAlignment="1">
      <alignment horizontal="center" vertical="center" wrapText="1"/>
    </xf>
    <xf numFmtId="0" fontId="4" fillId="0" borderId="30" xfId="0" quotePrefix="1" applyFont="1" applyBorder="1" applyAlignment="1">
      <alignment horizontal="center" vertical="center" wrapText="1"/>
    </xf>
  </cellXfs>
  <cellStyles count="7">
    <cellStyle name="Comma" xfId="1" builtinId="3"/>
    <cellStyle name="Currency" xfId="2" builtinId="4"/>
    <cellStyle name="Normal" xfId="0" builtinId="0"/>
    <cellStyle name="Normal 10 2 2" xfId="4" xr:uid="{00000000-0005-0000-0000-000003000000}"/>
    <cellStyle name="Normal 2 2 2" xfId="5" xr:uid="{00000000-0005-0000-0000-000004000000}"/>
    <cellStyle name="Normal 7" xfId="3" xr:uid="{00000000-0005-0000-0000-000005000000}"/>
    <cellStyle name="Normal 7 2 2 2" xfId="6" xr:uid="{00000000-0005-0000-0000-000006000000}"/>
  </cellStyles>
  <dxfs count="5">
    <dxf>
      <font>
        <color rgb="FF9C0006"/>
      </font>
      <fill>
        <patternFill>
          <bgColor rgb="FFFFC7CE"/>
        </patternFill>
      </fill>
    </dxf>
    <dxf>
      <font>
        <color rgb="FF9C0006"/>
      </font>
      <fill>
        <patternFill>
          <bgColor rgb="FFFFFF00"/>
        </patternFill>
      </fill>
    </dxf>
    <dxf>
      <font>
        <color rgb="FF9C0006"/>
      </font>
      <fill>
        <patternFill>
          <bgColor rgb="FFFFFF00"/>
        </patternFill>
      </fill>
    </dxf>
    <dxf>
      <font>
        <color rgb="FF9C0006"/>
      </font>
      <fill>
        <patternFill>
          <bgColor rgb="FFFFFF00"/>
        </patternFill>
      </fill>
    </dxf>
    <dxf>
      <font>
        <color rgb="FF9C0006"/>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6C8B-9AB8-4388-8698-39C1AE5EC1A5}">
  <dimension ref="A1:B27"/>
  <sheetViews>
    <sheetView tabSelected="1" zoomScaleNormal="100" workbookViewId="0">
      <selection sqref="A1:B1"/>
    </sheetView>
  </sheetViews>
  <sheetFormatPr defaultRowHeight="15"/>
  <cols>
    <col min="1" max="1" width="9.140625" style="27"/>
    <col min="2" max="2" width="138.140625" customWidth="1"/>
  </cols>
  <sheetData>
    <row r="1" spans="1:2" ht="19.5" thickBot="1">
      <c r="A1" s="175" t="s">
        <v>0</v>
      </c>
      <c r="B1" s="176"/>
    </row>
    <row r="2" spans="1:2" ht="19.5" thickBot="1">
      <c r="A2" s="17"/>
      <c r="B2" s="18"/>
    </row>
    <row r="3" spans="1:2" ht="15.75" thickBot="1">
      <c r="A3" s="177" t="s">
        <v>1</v>
      </c>
      <c r="B3" s="178"/>
    </row>
    <row r="4" spans="1:2" ht="15.75" thickBot="1">
      <c r="A4" s="19" t="s">
        <v>2</v>
      </c>
      <c r="B4" s="20" t="s">
        <v>3</v>
      </c>
    </row>
    <row r="5" spans="1:2" ht="15.75" thickBot="1">
      <c r="A5" s="22" t="s">
        <v>4</v>
      </c>
      <c r="B5" s="23" t="s">
        <v>5</v>
      </c>
    </row>
    <row r="6" spans="1:2" ht="30.75" thickBot="1">
      <c r="A6" s="22" t="s">
        <v>6</v>
      </c>
      <c r="B6" s="23" t="s">
        <v>7</v>
      </c>
    </row>
    <row r="7" spans="1:2" ht="15.75" thickBot="1">
      <c r="A7" s="179" t="s">
        <v>8</v>
      </c>
      <c r="B7" s="180"/>
    </row>
    <row r="8" spans="1:2" ht="30.75" thickBot="1">
      <c r="A8" s="53">
        <v>1</v>
      </c>
      <c r="B8" s="25" t="s">
        <v>9</v>
      </c>
    </row>
    <row r="9" spans="1:2" ht="15.75" thickBot="1">
      <c r="A9" s="53" t="s">
        <v>4</v>
      </c>
      <c r="B9" s="140" t="s">
        <v>10</v>
      </c>
    </row>
    <row r="10" spans="1:2" ht="45.75" thickBot="1">
      <c r="A10" s="53" t="s">
        <v>6</v>
      </c>
      <c r="B10" s="25" t="s">
        <v>11</v>
      </c>
    </row>
    <row r="11" spans="1:2" ht="60.75" thickBot="1">
      <c r="A11" s="52" t="s">
        <v>12</v>
      </c>
      <c r="B11" s="26" t="s">
        <v>13</v>
      </c>
    </row>
    <row r="12" spans="1:2" ht="45.75" thickBot="1">
      <c r="A12" s="50" t="s">
        <v>14</v>
      </c>
      <c r="B12" s="25" t="s">
        <v>15</v>
      </c>
    </row>
    <row r="13" spans="1:2" ht="45.75" thickBot="1">
      <c r="A13" s="50" t="s">
        <v>16</v>
      </c>
      <c r="B13" s="25" t="s">
        <v>17</v>
      </c>
    </row>
    <row r="14" spans="1:2" ht="15.75" thickBot="1">
      <c r="A14" s="51" t="s">
        <v>18</v>
      </c>
      <c r="B14" s="26" t="s">
        <v>19</v>
      </c>
    </row>
    <row r="15" spans="1:2" ht="30.75" thickBot="1">
      <c r="A15" s="50" t="s">
        <v>20</v>
      </c>
      <c r="B15" s="25" t="s">
        <v>21</v>
      </c>
    </row>
    <row r="16" spans="1:2" ht="15.75" thickBot="1">
      <c r="A16" s="50" t="s">
        <v>22</v>
      </c>
      <c r="B16" s="25" t="s">
        <v>23</v>
      </c>
    </row>
    <row r="17" spans="1:2" ht="15.75" thickBot="1">
      <c r="A17" s="181" t="s">
        <v>24</v>
      </c>
      <c r="B17" s="182"/>
    </row>
    <row r="18" spans="1:2" ht="15.75" thickBot="1">
      <c r="A18" s="21" t="s">
        <v>2</v>
      </c>
      <c r="B18" s="24" t="s">
        <v>25</v>
      </c>
    </row>
    <row r="19" spans="1:2" ht="30.75" thickBot="1">
      <c r="A19" s="21" t="s">
        <v>4</v>
      </c>
      <c r="B19" s="25" t="s">
        <v>26</v>
      </c>
    </row>
    <row r="20" spans="1:2" ht="15.75" thickBot="1">
      <c r="A20" s="181" t="s">
        <v>27</v>
      </c>
      <c r="B20" s="182"/>
    </row>
    <row r="21" spans="1:2" ht="15.75" thickBot="1">
      <c r="A21" s="21" t="s">
        <v>2</v>
      </c>
      <c r="B21" s="25" t="s">
        <v>28</v>
      </c>
    </row>
    <row r="22" spans="1:2" ht="15.75" thickBot="1">
      <c r="A22" s="21" t="s">
        <v>4</v>
      </c>
      <c r="B22" s="25" t="s">
        <v>29</v>
      </c>
    </row>
    <row r="23" spans="1:2" ht="15.75" thickBot="1">
      <c r="A23" s="21" t="s">
        <v>6</v>
      </c>
      <c r="B23" s="25" t="s">
        <v>30</v>
      </c>
    </row>
    <row r="24" spans="1:2" ht="15.75" thickBot="1">
      <c r="A24" s="181" t="s">
        <v>31</v>
      </c>
      <c r="B24" s="182"/>
    </row>
    <row r="25" spans="1:2" ht="45.75" thickBot="1">
      <c r="A25" s="21" t="s">
        <v>2</v>
      </c>
      <c r="B25" s="25" t="s">
        <v>32</v>
      </c>
    </row>
    <row r="26" spans="1:2" ht="15.75" thickBot="1">
      <c r="A26" s="21" t="s">
        <v>4</v>
      </c>
      <c r="B26" s="25" t="s">
        <v>33</v>
      </c>
    </row>
    <row r="27" spans="1:2" ht="15.75" thickBot="1">
      <c r="A27" s="21" t="s">
        <v>6</v>
      </c>
      <c r="B27" s="25" t="s">
        <v>34</v>
      </c>
    </row>
  </sheetData>
  <sheetProtection algorithmName="SHA-512" hashValue="oTuibcG34LGbc8rvZKG56hwki1P3BwzN54vNyfcgza3GgAOzTWc+PN8BCzjVyEphL5pw/Ble9WR8GAO7EZKuPg==" saltValue="qY+pyHYMmoiVAsvQbk1lLQ==" spinCount="100000" sheet="1" objects="1" scenarios="1"/>
  <mergeCells count="6">
    <mergeCell ref="A1:B1"/>
    <mergeCell ref="A3:B3"/>
    <mergeCell ref="A7:B7"/>
    <mergeCell ref="A17:B17"/>
    <mergeCell ref="A24:B24"/>
    <mergeCell ref="A20:B20"/>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6441-46FF-41B7-BA36-91BD02974F3F}">
  <dimension ref="A1:T156"/>
  <sheetViews>
    <sheetView zoomScaleNormal="100" workbookViewId="0">
      <selection sqref="A1:T1"/>
    </sheetView>
  </sheetViews>
  <sheetFormatPr defaultColWidth="9.140625" defaultRowHeight="15"/>
  <cols>
    <col min="1" max="1" width="33.7109375" style="4" customWidth="1"/>
    <col min="2" max="2" width="5.7109375" style="4" customWidth="1"/>
    <col min="3" max="3" width="41.85546875" style="4" customWidth="1"/>
    <col min="4" max="5" width="18.7109375" style="4" customWidth="1"/>
    <col min="6" max="6" width="16.28515625" style="4" customWidth="1"/>
    <col min="7" max="7" width="1.7109375" style="10" customWidth="1"/>
    <col min="8" max="8" width="14.7109375" style="9" customWidth="1"/>
    <col min="9" max="17" width="14.7109375" style="11" customWidth="1"/>
    <col min="18" max="18" width="23.7109375" style="5" customWidth="1"/>
    <col min="19" max="20" width="23.7109375" style="11" customWidth="1"/>
    <col min="21" max="16384" width="9.140625" style="4"/>
  </cols>
  <sheetData>
    <row r="1" spans="1:20" ht="27" thickBot="1">
      <c r="A1" s="183" t="s">
        <v>35</v>
      </c>
      <c r="B1" s="184"/>
      <c r="C1" s="184"/>
      <c r="D1" s="184"/>
      <c r="E1" s="184"/>
      <c r="F1" s="184"/>
      <c r="G1" s="184"/>
      <c r="H1" s="184"/>
      <c r="I1" s="184"/>
      <c r="J1" s="184"/>
      <c r="K1" s="184"/>
      <c r="L1" s="184"/>
      <c r="M1" s="184"/>
      <c r="N1" s="184"/>
      <c r="O1" s="184"/>
      <c r="P1" s="184"/>
      <c r="Q1" s="184"/>
      <c r="R1" s="184"/>
      <c r="S1" s="184"/>
      <c r="T1" s="185"/>
    </row>
    <row r="2" spans="1:20" ht="15.75" thickBot="1">
      <c r="A2" s="188" t="s">
        <v>36</v>
      </c>
      <c r="B2" s="189"/>
      <c r="C2" s="189"/>
      <c r="D2" s="189"/>
      <c r="E2" s="189"/>
      <c r="F2" s="189"/>
      <c r="G2" s="46"/>
      <c r="H2" s="186"/>
      <c r="I2" s="186"/>
      <c r="J2" s="186"/>
      <c r="K2" s="186"/>
      <c r="L2" s="186"/>
      <c r="M2" s="186"/>
      <c r="N2" s="186"/>
      <c r="O2" s="186"/>
      <c r="P2" s="186"/>
      <c r="Q2" s="186"/>
      <c r="R2" s="186"/>
      <c r="S2" s="186"/>
      <c r="T2" s="187"/>
    </row>
    <row r="3" spans="1:20" s="70" customFormat="1" ht="45.95" customHeight="1" thickBot="1">
      <c r="A3" s="73" t="s">
        <v>37</v>
      </c>
      <c r="B3" s="74" t="s">
        <v>38</v>
      </c>
      <c r="C3" s="75" t="s">
        <v>39</v>
      </c>
      <c r="D3" s="75" t="s">
        <v>40</v>
      </c>
      <c r="E3" s="76" t="s">
        <v>41</v>
      </c>
      <c r="F3" s="108" t="s">
        <v>42</v>
      </c>
      <c r="G3" s="66"/>
      <c r="H3" s="109" t="s">
        <v>43</v>
      </c>
      <c r="I3" s="110" t="s">
        <v>44</v>
      </c>
      <c r="J3" s="110" t="s">
        <v>45</v>
      </c>
      <c r="K3" s="110" t="s">
        <v>46</v>
      </c>
      <c r="L3" s="67" t="s">
        <v>47</v>
      </c>
      <c r="M3" s="67" t="s">
        <v>48</v>
      </c>
      <c r="N3" s="67" t="s">
        <v>49</v>
      </c>
      <c r="O3" s="67" t="s">
        <v>50</v>
      </c>
      <c r="P3" s="67" t="s">
        <v>51</v>
      </c>
      <c r="Q3" s="67" t="s">
        <v>52</v>
      </c>
      <c r="R3" s="68" t="s">
        <v>53</v>
      </c>
      <c r="S3" s="67" t="s">
        <v>54</v>
      </c>
      <c r="T3" s="69" t="s">
        <v>55</v>
      </c>
    </row>
    <row r="4" spans="1:20" s="47" customFormat="1" ht="30" customHeight="1" thickBot="1">
      <c r="A4" s="71" t="s">
        <v>56</v>
      </c>
      <c r="B4" s="12"/>
      <c r="C4" s="12"/>
      <c r="D4" s="12"/>
      <c r="E4" s="72"/>
      <c r="F4" s="111"/>
      <c r="G4" s="38"/>
      <c r="H4" s="112"/>
      <c r="I4" s="41"/>
      <c r="J4" s="41"/>
      <c r="K4" s="37"/>
      <c r="L4" s="37"/>
      <c r="M4" s="37"/>
      <c r="N4" s="37"/>
      <c r="O4" s="41"/>
      <c r="P4" s="37"/>
      <c r="Q4" s="41"/>
      <c r="R4" s="41"/>
      <c r="S4" s="40"/>
      <c r="T4" s="39"/>
    </row>
    <row r="5" spans="1:20" ht="15.75" thickBot="1">
      <c r="A5" s="153" t="s">
        <v>57</v>
      </c>
      <c r="B5" s="88" t="s">
        <v>58</v>
      </c>
      <c r="C5" s="88" t="s">
        <v>59</v>
      </c>
      <c r="D5" s="88" t="s">
        <v>60</v>
      </c>
      <c r="E5" s="89" t="s">
        <v>56</v>
      </c>
      <c r="F5" s="144"/>
      <c r="G5" s="60"/>
      <c r="H5" s="42">
        <v>42.46</v>
      </c>
      <c r="I5" s="95"/>
      <c r="J5" s="42">
        <f t="shared" ref="J5:J19" si="0">IF($I5&lt;$H5,$H5,$I5)</f>
        <v>42.46</v>
      </c>
      <c r="K5" s="95">
        <f>(J5*$K$4)</f>
        <v>0</v>
      </c>
      <c r="L5" s="95">
        <f>(K5+J5)*$L$4</f>
        <v>0</v>
      </c>
      <c r="M5" s="95">
        <f>(K5+J5+L5)*$M$4</f>
        <v>0</v>
      </c>
      <c r="N5" s="95">
        <f>(J5+K5+L5+M5)*$N$4</f>
        <v>0</v>
      </c>
      <c r="O5" s="42">
        <f>SUM(J5:N5)</f>
        <v>42.46</v>
      </c>
      <c r="P5" s="42">
        <f>IF($P$4&lt;0,"N/A",$P$4*(J5+K5+L5+M5))</f>
        <v>0</v>
      </c>
      <c r="Q5" s="42">
        <f>SUM(O5:P5)</f>
        <v>42.46</v>
      </c>
      <c r="R5" s="100">
        <f>O5*F5</f>
        <v>0</v>
      </c>
      <c r="S5" s="100">
        <f>P5*F5</f>
        <v>0</v>
      </c>
      <c r="T5" s="101">
        <f>Q5*F5</f>
        <v>0</v>
      </c>
    </row>
    <row r="6" spans="1:20" ht="15.75" thickBot="1">
      <c r="A6" s="154" t="s">
        <v>61</v>
      </c>
      <c r="B6" s="91" t="s">
        <v>62</v>
      </c>
      <c r="C6" s="91" t="s">
        <v>63</v>
      </c>
      <c r="D6" s="91" t="s">
        <v>64</v>
      </c>
      <c r="E6" s="92" t="s">
        <v>56</v>
      </c>
      <c r="F6" s="145"/>
      <c r="G6" s="60"/>
      <c r="H6" s="104">
        <v>29.76</v>
      </c>
      <c r="I6" s="105"/>
      <c r="J6" s="104">
        <f t="shared" si="0"/>
        <v>29.76</v>
      </c>
      <c r="K6" s="105">
        <f t="shared" ref="K6:K19" si="1">(J6*$K$4)</f>
        <v>0</v>
      </c>
      <c r="L6" s="105">
        <f t="shared" ref="L6:L19" si="2">(K6+J6)*$L$4</f>
        <v>0</v>
      </c>
      <c r="M6" s="105">
        <f t="shared" ref="M6:M19" si="3">(K6+J6+L6)*$M$4</f>
        <v>0</v>
      </c>
      <c r="N6" s="105">
        <f t="shared" ref="N6:N19" si="4">(J6+K6+L6+M6)*$N$4</f>
        <v>0</v>
      </c>
      <c r="O6" s="104">
        <f t="shared" ref="O6:O19" si="5">SUM(J6:N6)</f>
        <v>29.76</v>
      </c>
      <c r="P6" s="104">
        <f t="shared" ref="P6:P19" si="6">IF($P$4&lt;0,"N/A",$P$4*(J6+K6+L6+M6))</f>
        <v>0</v>
      </c>
      <c r="Q6" s="104">
        <f t="shared" ref="Q6:Q19" si="7">SUM(O6:P6)</f>
        <v>29.76</v>
      </c>
      <c r="R6" s="106">
        <f t="shared" ref="R6:R19" si="8">O6*F6</f>
        <v>0</v>
      </c>
      <c r="S6" s="106">
        <f t="shared" ref="S6:S19" si="9">P6*F6</f>
        <v>0</v>
      </c>
      <c r="T6" s="107">
        <f t="shared" ref="T6:T19" si="10">Q6*F6</f>
        <v>0</v>
      </c>
    </row>
    <row r="7" spans="1:20" ht="15.75" thickBot="1">
      <c r="A7" s="154" t="s">
        <v>65</v>
      </c>
      <c r="B7" s="91" t="s">
        <v>66</v>
      </c>
      <c r="C7" s="91" t="s">
        <v>67</v>
      </c>
      <c r="D7" s="91" t="s">
        <v>68</v>
      </c>
      <c r="E7" s="92" t="s">
        <v>56</v>
      </c>
      <c r="F7" s="145"/>
      <c r="G7" s="60"/>
      <c r="H7" s="104">
        <v>29.76</v>
      </c>
      <c r="I7" s="105"/>
      <c r="J7" s="104">
        <f t="shared" si="0"/>
        <v>29.76</v>
      </c>
      <c r="K7" s="105">
        <f t="shared" si="1"/>
        <v>0</v>
      </c>
      <c r="L7" s="105">
        <f t="shared" si="2"/>
        <v>0</v>
      </c>
      <c r="M7" s="105">
        <f t="shared" si="3"/>
        <v>0</v>
      </c>
      <c r="N7" s="105">
        <f t="shared" si="4"/>
        <v>0</v>
      </c>
      <c r="O7" s="104">
        <f t="shared" si="5"/>
        <v>29.76</v>
      </c>
      <c r="P7" s="104">
        <f t="shared" si="6"/>
        <v>0</v>
      </c>
      <c r="Q7" s="104">
        <f t="shared" si="7"/>
        <v>29.76</v>
      </c>
      <c r="R7" s="106">
        <f t="shared" si="8"/>
        <v>0</v>
      </c>
      <c r="S7" s="106">
        <f t="shared" si="9"/>
        <v>0</v>
      </c>
      <c r="T7" s="107">
        <f t="shared" si="10"/>
        <v>0</v>
      </c>
    </row>
    <row r="8" spans="1:20">
      <c r="A8" s="190" t="s">
        <v>69</v>
      </c>
      <c r="B8" s="77" t="s">
        <v>70</v>
      </c>
      <c r="C8" s="77" t="s">
        <v>63</v>
      </c>
      <c r="D8" s="77" t="s">
        <v>64</v>
      </c>
      <c r="E8" s="78" t="s">
        <v>56</v>
      </c>
      <c r="F8" s="146"/>
      <c r="G8" s="60"/>
      <c r="H8" s="28">
        <v>29.76</v>
      </c>
      <c r="I8" s="29"/>
      <c r="J8" s="28">
        <f t="shared" si="0"/>
        <v>29.76</v>
      </c>
      <c r="K8" s="29">
        <f t="shared" si="1"/>
        <v>0</v>
      </c>
      <c r="L8" s="29">
        <f t="shared" si="2"/>
        <v>0</v>
      </c>
      <c r="M8" s="29">
        <f t="shared" si="3"/>
        <v>0</v>
      </c>
      <c r="N8" s="29">
        <f t="shared" si="4"/>
        <v>0</v>
      </c>
      <c r="O8" s="28">
        <f t="shared" si="5"/>
        <v>29.76</v>
      </c>
      <c r="P8" s="28">
        <f t="shared" si="6"/>
        <v>0</v>
      </c>
      <c r="Q8" s="28">
        <f t="shared" si="7"/>
        <v>29.76</v>
      </c>
      <c r="R8" s="36">
        <f t="shared" si="8"/>
        <v>0</v>
      </c>
      <c r="S8" s="36">
        <f t="shared" si="9"/>
        <v>0</v>
      </c>
      <c r="T8" s="35">
        <f t="shared" si="10"/>
        <v>0</v>
      </c>
    </row>
    <row r="9" spans="1:20">
      <c r="A9" s="191"/>
      <c r="B9" s="30" t="s">
        <v>71</v>
      </c>
      <c r="C9" s="30" t="s">
        <v>69</v>
      </c>
      <c r="D9" s="30" t="s">
        <v>72</v>
      </c>
      <c r="E9" s="79" t="s">
        <v>56</v>
      </c>
      <c r="F9" s="147"/>
      <c r="G9" s="60"/>
      <c r="H9" s="7">
        <v>29.76</v>
      </c>
      <c r="I9" s="2"/>
      <c r="J9" s="6">
        <f t="shared" si="0"/>
        <v>29.76</v>
      </c>
      <c r="K9" s="3">
        <f t="shared" si="1"/>
        <v>0</v>
      </c>
      <c r="L9" s="3">
        <f t="shared" si="2"/>
        <v>0</v>
      </c>
      <c r="M9" s="3">
        <f t="shared" si="3"/>
        <v>0</v>
      </c>
      <c r="N9" s="3">
        <f t="shared" si="4"/>
        <v>0</v>
      </c>
      <c r="O9" s="7">
        <f t="shared" si="5"/>
        <v>29.76</v>
      </c>
      <c r="P9" s="7">
        <f t="shared" si="6"/>
        <v>0</v>
      </c>
      <c r="Q9" s="7">
        <f t="shared" si="7"/>
        <v>29.76</v>
      </c>
      <c r="R9" s="34">
        <f t="shared" si="8"/>
        <v>0</v>
      </c>
      <c r="S9" s="34">
        <f t="shared" si="9"/>
        <v>0</v>
      </c>
      <c r="T9" s="33">
        <f t="shared" si="10"/>
        <v>0</v>
      </c>
    </row>
    <row r="10" spans="1:20">
      <c r="A10" s="191"/>
      <c r="B10" s="30" t="s">
        <v>73</v>
      </c>
      <c r="C10" s="30" t="s">
        <v>74</v>
      </c>
      <c r="D10" s="30" t="s">
        <v>75</v>
      </c>
      <c r="E10" s="79" t="s">
        <v>56</v>
      </c>
      <c r="F10" s="147"/>
      <c r="G10" s="60"/>
      <c r="H10" s="7">
        <v>29.76</v>
      </c>
      <c r="I10" s="2"/>
      <c r="J10" s="6">
        <f t="shared" si="0"/>
        <v>29.76</v>
      </c>
      <c r="K10" s="3">
        <f t="shared" ref="K10" si="11">(J10*$K$4)</f>
        <v>0</v>
      </c>
      <c r="L10" s="3">
        <f t="shared" ref="L10" si="12">(K10+J10)*$L$4</f>
        <v>0</v>
      </c>
      <c r="M10" s="3">
        <f t="shared" ref="M10" si="13">(K10+J10+L10)*$M$4</f>
        <v>0</v>
      </c>
      <c r="N10" s="3">
        <f t="shared" ref="N10" si="14">(J10+K10+L10+M10)*$N$4</f>
        <v>0</v>
      </c>
      <c r="O10" s="7">
        <f t="shared" ref="O10" si="15">SUM(J10:N10)</f>
        <v>29.76</v>
      </c>
      <c r="P10" s="7">
        <f t="shared" ref="P10" si="16">IF($P$4&lt;0,"N/A",$P$4*(J10+K10+L10+M10))</f>
        <v>0</v>
      </c>
      <c r="Q10" s="7">
        <f t="shared" ref="Q10" si="17">SUM(O10:P10)</f>
        <v>29.76</v>
      </c>
      <c r="R10" s="34">
        <f t="shared" si="8"/>
        <v>0</v>
      </c>
      <c r="S10" s="34">
        <f t="shared" si="9"/>
        <v>0</v>
      </c>
      <c r="T10" s="33">
        <f t="shared" si="10"/>
        <v>0</v>
      </c>
    </row>
    <row r="11" spans="1:20">
      <c r="A11" s="191"/>
      <c r="B11" s="30" t="s">
        <v>76</v>
      </c>
      <c r="C11" s="30" t="s">
        <v>77</v>
      </c>
      <c r="D11" s="30" t="s">
        <v>78</v>
      </c>
      <c r="E11" s="79" t="s">
        <v>56</v>
      </c>
      <c r="F11" s="147"/>
      <c r="G11" s="60"/>
      <c r="H11" s="7">
        <v>29.76</v>
      </c>
      <c r="I11" s="2"/>
      <c r="J11" s="6">
        <f t="shared" si="0"/>
        <v>29.76</v>
      </c>
      <c r="K11" s="3">
        <f t="shared" si="1"/>
        <v>0</v>
      </c>
      <c r="L11" s="3">
        <f t="shared" si="2"/>
        <v>0</v>
      </c>
      <c r="M11" s="3">
        <f t="shared" si="3"/>
        <v>0</v>
      </c>
      <c r="N11" s="3">
        <f t="shared" si="4"/>
        <v>0</v>
      </c>
      <c r="O11" s="7">
        <f t="shared" si="5"/>
        <v>29.76</v>
      </c>
      <c r="P11" s="7">
        <f t="shared" si="6"/>
        <v>0</v>
      </c>
      <c r="Q11" s="7">
        <f t="shared" si="7"/>
        <v>29.76</v>
      </c>
      <c r="R11" s="34">
        <f t="shared" si="8"/>
        <v>0</v>
      </c>
      <c r="S11" s="34">
        <f t="shared" si="9"/>
        <v>0</v>
      </c>
      <c r="T11" s="33">
        <f t="shared" si="10"/>
        <v>0</v>
      </c>
    </row>
    <row r="12" spans="1:20" ht="15.75" thickBot="1">
      <c r="A12" s="192"/>
      <c r="B12" s="81" t="s">
        <v>79</v>
      </c>
      <c r="C12" s="81" t="s">
        <v>80</v>
      </c>
      <c r="D12" s="81" t="s">
        <v>81</v>
      </c>
      <c r="E12" s="82" t="s">
        <v>56</v>
      </c>
      <c r="F12" s="148"/>
      <c r="G12" s="60"/>
      <c r="H12" s="56">
        <v>23.57</v>
      </c>
      <c r="I12" s="103"/>
      <c r="J12" s="102">
        <f t="shared" si="0"/>
        <v>23.57</v>
      </c>
      <c r="K12" s="57">
        <f t="shared" si="1"/>
        <v>0</v>
      </c>
      <c r="L12" s="57">
        <f t="shared" si="2"/>
        <v>0</v>
      </c>
      <c r="M12" s="57">
        <f t="shared" si="3"/>
        <v>0</v>
      </c>
      <c r="N12" s="57">
        <f t="shared" si="4"/>
        <v>0</v>
      </c>
      <c r="O12" s="56">
        <f t="shared" si="5"/>
        <v>23.57</v>
      </c>
      <c r="P12" s="56">
        <f t="shared" si="6"/>
        <v>0</v>
      </c>
      <c r="Q12" s="56">
        <f t="shared" si="7"/>
        <v>23.57</v>
      </c>
      <c r="R12" s="58">
        <f t="shared" si="8"/>
        <v>0</v>
      </c>
      <c r="S12" s="58">
        <f t="shared" si="9"/>
        <v>0</v>
      </c>
      <c r="T12" s="59">
        <f t="shared" si="10"/>
        <v>0</v>
      </c>
    </row>
    <row r="13" spans="1:20">
      <c r="A13" s="190" t="s">
        <v>82</v>
      </c>
      <c r="B13" s="77" t="s">
        <v>83</v>
      </c>
      <c r="C13" s="77" t="s">
        <v>84</v>
      </c>
      <c r="D13" s="77" t="s">
        <v>85</v>
      </c>
      <c r="E13" s="78" t="s">
        <v>56</v>
      </c>
      <c r="F13" s="146"/>
      <c r="G13" s="60"/>
      <c r="H13" s="28">
        <v>25.3</v>
      </c>
      <c r="I13" s="29"/>
      <c r="J13" s="28">
        <f t="shared" si="0"/>
        <v>25.3</v>
      </c>
      <c r="K13" s="29">
        <f t="shared" si="1"/>
        <v>0</v>
      </c>
      <c r="L13" s="29">
        <f t="shared" si="2"/>
        <v>0</v>
      </c>
      <c r="M13" s="29">
        <f t="shared" si="3"/>
        <v>0</v>
      </c>
      <c r="N13" s="29">
        <f t="shared" si="4"/>
        <v>0</v>
      </c>
      <c r="O13" s="28">
        <f t="shared" si="5"/>
        <v>25.3</v>
      </c>
      <c r="P13" s="28">
        <f t="shared" si="6"/>
        <v>0</v>
      </c>
      <c r="Q13" s="28">
        <f t="shared" si="7"/>
        <v>25.3</v>
      </c>
      <c r="R13" s="36">
        <f t="shared" si="8"/>
        <v>0</v>
      </c>
      <c r="S13" s="36">
        <f t="shared" si="9"/>
        <v>0</v>
      </c>
      <c r="T13" s="35">
        <f t="shared" si="10"/>
        <v>0</v>
      </c>
    </row>
    <row r="14" spans="1:20" ht="15.75" thickBot="1">
      <c r="A14" s="192"/>
      <c r="B14" s="81" t="s">
        <v>86</v>
      </c>
      <c r="C14" s="81" t="s">
        <v>87</v>
      </c>
      <c r="D14" s="81" t="s">
        <v>88</v>
      </c>
      <c r="E14" s="82" t="s">
        <v>56</v>
      </c>
      <c r="F14" s="149"/>
      <c r="G14" s="60"/>
      <c r="H14" s="56">
        <v>25.3</v>
      </c>
      <c r="I14" s="57"/>
      <c r="J14" s="102">
        <f t="shared" si="0"/>
        <v>25.3</v>
      </c>
      <c r="K14" s="57">
        <f t="shared" si="1"/>
        <v>0</v>
      </c>
      <c r="L14" s="57">
        <f t="shared" si="2"/>
        <v>0</v>
      </c>
      <c r="M14" s="57">
        <f t="shared" si="3"/>
        <v>0</v>
      </c>
      <c r="N14" s="57">
        <f t="shared" si="4"/>
        <v>0</v>
      </c>
      <c r="O14" s="56">
        <f t="shared" si="5"/>
        <v>25.3</v>
      </c>
      <c r="P14" s="56">
        <f t="shared" si="6"/>
        <v>0</v>
      </c>
      <c r="Q14" s="56">
        <f t="shared" si="7"/>
        <v>25.3</v>
      </c>
      <c r="R14" s="58">
        <f t="shared" si="8"/>
        <v>0</v>
      </c>
      <c r="S14" s="58">
        <f t="shared" si="9"/>
        <v>0</v>
      </c>
      <c r="T14" s="59">
        <f t="shared" si="10"/>
        <v>0</v>
      </c>
    </row>
    <row r="15" spans="1:20" ht="15" customHeight="1">
      <c r="A15" s="193" t="s">
        <v>89</v>
      </c>
      <c r="B15" s="77" t="s">
        <v>90</v>
      </c>
      <c r="C15" s="77" t="s">
        <v>67</v>
      </c>
      <c r="D15" s="77" t="s">
        <v>68</v>
      </c>
      <c r="E15" s="78" t="s">
        <v>56</v>
      </c>
      <c r="F15" s="146"/>
      <c r="G15" s="60"/>
      <c r="H15" s="28">
        <v>29.76</v>
      </c>
      <c r="I15" s="29"/>
      <c r="J15" s="28">
        <f t="shared" si="0"/>
        <v>29.76</v>
      </c>
      <c r="K15" s="29">
        <f t="shared" si="1"/>
        <v>0</v>
      </c>
      <c r="L15" s="29">
        <f t="shared" si="2"/>
        <v>0</v>
      </c>
      <c r="M15" s="29">
        <f t="shared" si="3"/>
        <v>0</v>
      </c>
      <c r="N15" s="29">
        <f t="shared" si="4"/>
        <v>0</v>
      </c>
      <c r="O15" s="28">
        <f t="shared" si="5"/>
        <v>29.76</v>
      </c>
      <c r="P15" s="28">
        <f t="shared" si="6"/>
        <v>0</v>
      </c>
      <c r="Q15" s="28">
        <f t="shared" si="7"/>
        <v>29.76</v>
      </c>
      <c r="R15" s="36">
        <f t="shared" si="8"/>
        <v>0</v>
      </c>
      <c r="S15" s="36">
        <f t="shared" si="9"/>
        <v>0</v>
      </c>
      <c r="T15" s="35">
        <f t="shared" si="10"/>
        <v>0</v>
      </c>
    </row>
    <row r="16" spans="1:20">
      <c r="A16" s="194"/>
      <c r="B16" s="30" t="s">
        <v>91</v>
      </c>
      <c r="C16" s="30" t="s">
        <v>92</v>
      </c>
      <c r="D16" s="30" t="s">
        <v>93</v>
      </c>
      <c r="E16" s="79" t="s">
        <v>56</v>
      </c>
      <c r="F16" s="150"/>
      <c r="G16" s="60"/>
      <c r="H16" s="7">
        <v>25.91</v>
      </c>
      <c r="I16" s="3"/>
      <c r="J16" s="6">
        <f t="shared" si="0"/>
        <v>25.91</v>
      </c>
      <c r="K16" s="3">
        <f t="shared" si="1"/>
        <v>0</v>
      </c>
      <c r="L16" s="3">
        <f t="shared" si="2"/>
        <v>0</v>
      </c>
      <c r="M16" s="3">
        <f t="shared" si="3"/>
        <v>0</v>
      </c>
      <c r="N16" s="3">
        <f t="shared" si="4"/>
        <v>0</v>
      </c>
      <c r="O16" s="7">
        <f t="shared" si="5"/>
        <v>25.91</v>
      </c>
      <c r="P16" s="7">
        <f t="shared" si="6"/>
        <v>0</v>
      </c>
      <c r="Q16" s="7">
        <f t="shared" si="7"/>
        <v>25.91</v>
      </c>
      <c r="R16" s="34">
        <f t="shared" si="8"/>
        <v>0</v>
      </c>
      <c r="S16" s="34">
        <f t="shared" si="9"/>
        <v>0</v>
      </c>
      <c r="T16" s="33">
        <f t="shared" si="10"/>
        <v>0</v>
      </c>
    </row>
    <row r="17" spans="1:20">
      <c r="A17" s="194"/>
      <c r="B17" s="30" t="s">
        <v>94</v>
      </c>
      <c r="C17" s="30" t="s">
        <v>74</v>
      </c>
      <c r="D17" s="30" t="s">
        <v>75</v>
      </c>
      <c r="E17" s="79" t="s">
        <v>56</v>
      </c>
      <c r="F17" s="150"/>
      <c r="G17" s="60"/>
      <c r="H17" s="7">
        <v>29.76</v>
      </c>
      <c r="I17" s="3"/>
      <c r="J17" s="6">
        <f t="shared" si="0"/>
        <v>29.76</v>
      </c>
      <c r="K17" s="3">
        <f t="shared" si="1"/>
        <v>0</v>
      </c>
      <c r="L17" s="3">
        <f t="shared" si="2"/>
        <v>0</v>
      </c>
      <c r="M17" s="3">
        <f t="shared" si="3"/>
        <v>0</v>
      </c>
      <c r="N17" s="3">
        <f t="shared" si="4"/>
        <v>0</v>
      </c>
      <c r="O17" s="7">
        <f t="shared" si="5"/>
        <v>29.76</v>
      </c>
      <c r="P17" s="7">
        <f t="shared" si="6"/>
        <v>0</v>
      </c>
      <c r="Q17" s="7">
        <f t="shared" si="7"/>
        <v>29.76</v>
      </c>
      <c r="R17" s="34">
        <f t="shared" si="8"/>
        <v>0</v>
      </c>
      <c r="S17" s="34">
        <f t="shared" si="9"/>
        <v>0</v>
      </c>
      <c r="T17" s="33">
        <f t="shared" si="10"/>
        <v>0</v>
      </c>
    </row>
    <row r="18" spans="1:20">
      <c r="A18" s="194"/>
      <c r="B18" s="30" t="s">
        <v>95</v>
      </c>
      <c r="C18" s="30" t="s">
        <v>96</v>
      </c>
      <c r="D18" s="30" t="s">
        <v>97</v>
      </c>
      <c r="E18" s="79" t="s">
        <v>56</v>
      </c>
      <c r="F18" s="150"/>
      <c r="G18" s="60"/>
      <c r="H18" s="7">
        <v>33.799999999999997</v>
      </c>
      <c r="I18" s="3"/>
      <c r="J18" s="6">
        <f t="shared" si="0"/>
        <v>33.799999999999997</v>
      </c>
      <c r="K18" s="3">
        <f t="shared" si="1"/>
        <v>0</v>
      </c>
      <c r="L18" s="3">
        <f t="shared" si="2"/>
        <v>0</v>
      </c>
      <c r="M18" s="3">
        <f t="shared" si="3"/>
        <v>0</v>
      </c>
      <c r="N18" s="3">
        <f t="shared" si="4"/>
        <v>0</v>
      </c>
      <c r="O18" s="7">
        <f t="shared" si="5"/>
        <v>33.799999999999997</v>
      </c>
      <c r="P18" s="7">
        <f t="shared" si="6"/>
        <v>0</v>
      </c>
      <c r="Q18" s="7">
        <f t="shared" si="7"/>
        <v>33.799999999999997</v>
      </c>
      <c r="R18" s="34">
        <f t="shared" si="8"/>
        <v>0</v>
      </c>
      <c r="S18" s="34">
        <f t="shared" si="9"/>
        <v>0</v>
      </c>
      <c r="T18" s="33">
        <f t="shared" si="10"/>
        <v>0</v>
      </c>
    </row>
    <row r="19" spans="1:20" ht="15.75" thickBot="1">
      <c r="A19" s="195"/>
      <c r="B19" s="81" t="s">
        <v>98</v>
      </c>
      <c r="C19" s="81" t="s">
        <v>80</v>
      </c>
      <c r="D19" s="81" t="s">
        <v>81</v>
      </c>
      <c r="E19" s="82" t="s">
        <v>56</v>
      </c>
      <c r="F19" s="149"/>
      <c r="G19" s="60"/>
      <c r="H19" s="56">
        <v>23.57</v>
      </c>
      <c r="I19" s="57"/>
      <c r="J19" s="102">
        <f t="shared" si="0"/>
        <v>23.57</v>
      </c>
      <c r="K19" s="57">
        <f t="shared" si="1"/>
        <v>0</v>
      </c>
      <c r="L19" s="57">
        <f t="shared" si="2"/>
        <v>0</v>
      </c>
      <c r="M19" s="57">
        <f t="shared" si="3"/>
        <v>0</v>
      </c>
      <c r="N19" s="57">
        <f t="shared" si="4"/>
        <v>0</v>
      </c>
      <c r="O19" s="56">
        <f t="shared" si="5"/>
        <v>23.57</v>
      </c>
      <c r="P19" s="56">
        <f t="shared" si="6"/>
        <v>0</v>
      </c>
      <c r="Q19" s="56">
        <f t="shared" si="7"/>
        <v>23.57</v>
      </c>
      <c r="R19" s="58">
        <f t="shared" si="8"/>
        <v>0</v>
      </c>
      <c r="S19" s="58">
        <f t="shared" si="9"/>
        <v>0</v>
      </c>
      <c r="T19" s="59">
        <f t="shared" si="10"/>
        <v>0</v>
      </c>
    </row>
    <row r="20" spans="1:20" s="65" customFormat="1" ht="15.75" thickBot="1">
      <c r="A20" s="155" t="s">
        <v>99</v>
      </c>
      <c r="B20" s="93"/>
      <c r="C20" s="93"/>
      <c r="D20" s="93"/>
      <c r="E20" s="94"/>
      <c r="F20" s="151"/>
      <c r="G20" s="64"/>
      <c r="H20" s="115"/>
      <c r="I20" s="116"/>
      <c r="J20" s="115"/>
      <c r="K20" s="115"/>
      <c r="L20" s="115"/>
      <c r="M20" s="115"/>
      <c r="N20" s="115"/>
      <c r="O20" s="115"/>
      <c r="P20" s="115"/>
      <c r="Q20" s="115"/>
      <c r="R20" s="117"/>
      <c r="S20" s="117"/>
      <c r="T20" s="118"/>
    </row>
    <row r="21" spans="1:20" ht="15.75" thickBot="1">
      <c r="A21" s="153" t="s">
        <v>61</v>
      </c>
      <c r="B21" s="87" t="s">
        <v>100</v>
      </c>
      <c r="C21" s="88" t="s">
        <v>63</v>
      </c>
      <c r="D21" s="88"/>
      <c r="E21" s="89" t="s">
        <v>99</v>
      </c>
      <c r="F21" s="145"/>
      <c r="G21" s="60"/>
      <c r="H21" s="104">
        <v>31.25</v>
      </c>
      <c r="I21" s="105"/>
      <c r="J21" s="104">
        <f t="shared" ref="J21:J28" si="18">IF($I21&lt;$H21,$H21,$I21)</f>
        <v>31.25</v>
      </c>
      <c r="K21" s="105">
        <f t="shared" ref="K21:K28" si="19">(J21*$K$4)</f>
        <v>0</v>
      </c>
      <c r="L21" s="105">
        <f t="shared" ref="L21:L28" si="20">(K21+J21)*$L$4</f>
        <v>0</v>
      </c>
      <c r="M21" s="105">
        <f t="shared" ref="M21:M28" si="21">(K21+J21+L21)*$M$4</f>
        <v>0</v>
      </c>
      <c r="N21" s="105">
        <f t="shared" ref="N21:N28" si="22">(J21+K21+L21+M21)*$N$4</f>
        <v>0</v>
      </c>
      <c r="O21" s="104">
        <f>SUM(J21:N21)</f>
        <v>31.25</v>
      </c>
      <c r="P21" s="104">
        <f t="shared" ref="P21:P28" si="23">IF($P$4&lt;0,"N/A",$P$4*(J21+K21+L21+M21))</f>
        <v>0</v>
      </c>
      <c r="Q21" s="104">
        <f>SUM(O21:P21)</f>
        <v>31.25</v>
      </c>
      <c r="R21" s="106">
        <f>O21*F21</f>
        <v>0</v>
      </c>
      <c r="S21" s="106">
        <f t="shared" ref="S21:S28" si="24">P21*F21</f>
        <v>0</v>
      </c>
      <c r="T21" s="107">
        <f t="shared" ref="T21:T28" si="25">Q21*F21</f>
        <v>0</v>
      </c>
    </row>
    <row r="22" spans="1:20" ht="15.75" thickBot="1">
      <c r="A22" s="154" t="s">
        <v>65</v>
      </c>
      <c r="B22" s="90" t="s">
        <v>101</v>
      </c>
      <c r="C22" s="91" t="s">
        <v>67</v>
      </c>
      <c r="D22" s="91"/>
      <c r="E22" s="92" t="s">
        <v>99</v>
      </c>
      <c r="F22" s="145"/>
      <c r="G22" s="60"/>
      <c r="H22" s="104">
        <v>31.25</v>
      </c>
      <c r="I22" s="105"/>
      <c r="J22" s="104">
        <f t="shared" si="18"/>
        <v>31.25</v>
      </c>
      <c r="K22" s="105">
        <f t="shared" si="19"/>
        <v>0</v>
      </c>
      <c r="L22" s="105">
        <f t="shared" si="20"/>
        <v>0</v>
      </c>
      <c r="M22" s="105">
        <f t="shared" si="21"/>
        <v>0</v>
      </c>
      <c r="N22" s="105">
        <f t="shared" si="22"/>
        <v>0</v>
      </c>
      <c r="O22" s="104">
        <f>SUM(J22:N22)</f>
        <v>31.25</v>
      </c>
      <c r="P22" s="104">
        <f t="shared" si="23"/>
        <v>0</v>
      </c>
      <c r="Q22" s="104">
        <f>SUM(O22:P22)</f>
        <v>31.25</v>
      </c>
      <c r="R22" s="106">
        <f t="shared" ref="R22:R28" si="26">O22*F22</f>
        <v>0</v>
      </c>
      <c r="S22" s="106">
        <f t="shared" si="24"/>
        <v>0</v>
      </c>
      <c r="T22" s="107">
        <f t="shared" si="25"/>
        <v>0</v>
      </c>
    </row>
    <row r="23" spans="1:20">
      <c r="A23" s="190" t="s">
        <v>82</v>
      </c>
      <c r="B23" s="83" t="s">
        <v>102</v>
      </c>
      <c r="C23" s="77" t="s">
        <v>84</v>
      </c>
      <c r="D23" s="77"/>
      <c r="E23" s="78" t="s">
        <v>99</v>
      </c>
      <c r="F23" s="146"/>
      <c r="G23" s="60"/>
      <c r="H23" s="28">
        <v>26.57</v>
      </c>
      <c r="I23" s="29"/>
      <c r="J23" s="28">
        <f t="shared" si="18"/>
        <v>26.57</v>
      </c>
      <c r="K23" s="29">
        <f t="shared" si="19"/>
        <v>0</v>
      </c>
      <c r="L23" s="29">
        <f t="shared" si="20"/>
        <v>0</v>
      </c>
      <c r="M23" s="29">
        <f t="shared" si="21"/>
        <v>0</v>
      </c>
      <c r="N23" s="29">
        <f t="shared" si="22"/>
        <v>0</v>
      </c>
      <c r="O23" s="28">
        <f t="shared" ref="O23:O28" si="27">SUM(J23:N23)</f>
        <v>26.57</v>
      </c>
      <c r="P23" s="28">
        <f t="shared" si="23"/>
        <v>0</v>
      </c>
      <c r="Q23" s="28">
        <f t="shared" ref="Q23:Q28" si="28">SUM(O23:P23)</f>
        <v>26.57</v>
      </c>
      <c r="R23" s="36">
        <f t="shared" si="26"/>
        <v>0</v>
      </c>
      <c r="S23" s="36">
        <f t="shared" si="24"/>
        <v>0</v>
      </c>
      <c r="T23" s="35">
        <f t="shared" si="25"/>
        <v>0</v>
      </c>
    </row>
    <row r="24" spans="1:20" ht="15.75" thickBot="1">
      <c r="A24" s="192"/>
      <c r="B24" s="84" t="s">
        <v>103</v>
      </c>
      <c r="C24" s="81" t="s">
        <v>104</v>
      </c>
      <c r="D24" s="81"/>
      <c r="E24" s="82" t="s">
        <v>99</v>
      </c>
      <c r="F24" s="149"/>
      <c r="G24" s="60"/>
      <c r="H24" s="56">
        <v>26.57</v>
      </c>
      <c r="I24" s="57"/>
      <c r="J24" s="102">
        <f t="shared" si="18"/>
        <v>26.57</v>
      </c>
      <c r="K24" s="57">
        <f t="shared" si="19"/>
        <v>0</v>
      </c>
      <c r="L24" s="57">
        <f t="shared" si="20"/>
        <v>0</v>
      </c>
      <c r="M24" s="57">
        <f t="shared" si="21"/>
        <v>0</v>
      </c>
      <c r="N24" s="57">
        <f t="shared" si="22"/>
        <v>0</v>
      </c>
      <c r="O24" s="56">
        <f t="shared" si="27"/>
        <v>26.57</v>
      </c>
      <c r="P24" s="56">
        <f t="shared" si="23"/>
        <v>0</v>
      </c>
      <c r="Q24" s="56">
        <f t="shared" si="28"/>
        <v>26.57</v>
      </c>
      <c r="R24" s="58">
        <f t="shared" si="26"/>
        <v>0</v>
      </c>
      <c r="S24" s="58">
        <f t="shared" si="24"/>
        <v>0</v>
      </c>
      <c r="T24" s="59">
        <f t="shared" si="25"/>
        <v>0</v>
      </c>
    </row>
    <row r="25" spans="1:20">
      <c r="A25" s="193" t="s">
        <v>89</v>
      </c>
      <c r="B25" s="83" t="s">
        <v>105</v>
      </c>
      <c r="C25" s="77" t="s">
        <v>67</v>
      </c>
      <c r="D25" s="77"/>
      <c r="E25" s="78" t="s">
        <v>99</v>
      </c>
      <c r="F25" s="146"/>
      <c r="G25" s="60"/>
      <c r="H25" s="28">
        <v>31.25</v>
      </c>
      <c r="I25" s="29"/>
      <c r="J25" s="28">
        <f t="shared" si="18"/>
        <v>31.25</v>
      </c>
      <c r="K25" s="29">
        <f t="shared" si="19"/>
        <v>0</v>
      </c>
      <c r="L25" s="29">
        <f t="shared" si="20"/>
        <v>0</v>
      </c>
      <c r="M25" s="29">
        <f t="shared" si="21"/>
        <v>0</v>
      </c>
      <c r="N25" s="29">
        <f t="shared" si="22"/>
        <v>0</v>
      </c>
      <c r="O25" s="28">
        <f t="shared" si="27"/>
        <v>31.25</v>
      </c>
      <c r="P25" s="28">
        <f t="shared" si="23"/>
        <v>0</v>
      </c>
      <c r="Q25" s="28">
        <f t="shared" si="28"/>
        <v>31.25</v>
      </c>
      <c r="R25" s="36">
        <f t="shared" si="26"/>
        <v>0</v>
      </c>
      <c r="S25" s="36">
        <f t="shared" si="24"/>
        <v>0</v>
      </c>
      <c r="T25" s="35">
        <f t="shared" si="25"/>
        <v>0</v>
      </c>
    </row>
    <row r="26" spans="1:20">
      <c r="A26" s="196"/>
      <c r="B26" s="54" t="s">
        <v>106</v>
      </c>
      <c r="C26" s="30" t="s">
        <v>92</v>
      </c>
      <c r="D26" s="30"/>
      <c r="E26" s="79" t="s">
        <v>99</v>
      </c>
      <c r="F26" s="150"/>
      <c r="G26" s="60"/>
      <c r="H26" s="7">
        <v>27.21</v>
      </c>
      <c r="I26" s="3"/>
      <c r="J26" s="6">
        <f t="shared" si="18"/>
        <v>27.21</v>
      </c>
      <c r="K26" s="3">
        <f t="shared" si="19"/>
        <v>0</v>
      </c>
      <c r="L26" s="3">
        <f t="shared" si="20"/>
        <v>0</v>
      </c>
      <c r="M26" s="3">
        <f t="shared" si="21"/>
        <v>0</v>
      </c>
      <c r="N26" s="3">
        <f t="shared" si="22"/>
        <v>0</v>
      </c>
      <c r="O26" s="7">
        <f t="shared" si="27"/>
        <v>27.21</v>
      </c>
      <c r="P26" s="7">
        <f t="shared" si="23"/>
        <v>0</v>
      </c>
      <c r="Q26" s="7">
        <f t="shared" si="28"/>
        <v>27.21</v>
      </c>
      <c r="R26" s="34">
        <f t="shared" si="26"/>
        <v>0</v>
      </c>
      <c r="S26" s="34">
        <f t="shared" si="24"/>
        <v>0</v>
      </c>
      <c r="T26" s="33">
        <f t="shared" si="25"/>
        <v>0</v>
      </c>
    </row>
    <row r="27" spans="1:20">
      <c r="A27" s="196"/>
      <c r="B27" s="54" t="s">
        <v>107</v>
      </c>
      <c r="C27" s="30" t="s">
        <v>74</v>
      </c>
      <c r="D27" s="30"/>
      <c r="E27" s="79" t="s">
        <v>99</v>
      </c>
      <c r="F27" s="150"/>
      <c r="G27" s="60"/>
      <c r="H27" s="7">
        <v>31.25</v>
      </c>
      <c r="I27" s="3"/>
      <c r="J27" s="6">
        <f t="shared" si="18"/>
        <v>31.25</v>
      </c>
      <c r="K27" s="3">
        <f t="shared" si="19"/>
        <v>0</v>
      </c>
      <c r="L27" s="3">
        <f t="shared" si="20"/>
        <v>0</v>
      </c>
      <c r="M27" s="3">
        <f t="shared" si="21"/>
        <v>0</v>
      </c>
      <c r="N27" s="3">
        <f t="shared" si="22"/>
        <v>0</v>
      </c>
      <c r="O27" s="7">
        <f t="shared" si="27"/>
        <v>31.25</v>
      </c>
      <c r="P27" s="7">
        <f t="shared" si="23"/>
        <v>0</v>
      </c>
      <c r="Q27" s="7">
        <f t="shared" si="28"/>
        <v>31.25</v>
      </c>
      <c r="R27" s="34">
        <f t="shared" si="26"/>
        <v>0</v>
      </c>
      <c r="S27" s="34">
        <f t="shared" si="24"/>
        <v>0</v>
      </c>
      <c r="T27" s="33">
        <f t="shared" si="25"/>
        <v>0</v>
      </c>
    </row>
    <row r="28" spans="1:20" ht="15.75" thickBot="1">
      <c r="A28" s="197"/>
      <c r="B28" s="84" t="s">
        <v>108</v>
      </c>
      <c r="C28" s="81" t="s">
        <v>96</v>
      </c>
      <c r="D28" s="81"/>
      <c r="E28" s="82" t="s">
        <v>99</v>
      </c>
      <c r="F28" s="149"/>
      <c r="G28" s="60"/>
      <c r="H28" s="56">
        <v>35.49</v>
      </c>
      <c r="I28" s="57"/>
      <c r="J28" s="102">
        <f t="shared" si="18"/>
        <v>35.49</v>
      </c>
      <c r="K28" s="57">
        <f t="shared" si="19"/>
        <v>0</v>
      </c>
      <c r="L28" s="57">
        <f t="shared" si="20"/>
        <v>0</v>
      </c>
      <c r="M28" s="57">
        <f t="shared" si="21"/>
        <v>0</v>
      </c>
      <c r="N28" s="57">
        <f t="shared" si="22"/>
        <v>0</v>
      </c>
      <c r="O28" s="56">
        <f t="shared" si="27"/>
        <v>35.49</v>
      </c>
      <c r="P28" s="56">
        <f t="shared" si="23"/>
        <v>0</v>
      </c>
      <c r="Q28" s="56">
        <f t="shared" si="28"/>
        <v>35.49</v>
      </c>
      <c r="R28" s="58">
        <f t="shared" si="26"/>
        <v>0</v>
      </c>
      <c r="S28" s="58">
        <f t="shared" si="24"/>
        <v>0</v>
      </c>
      <c r="T28" s="59">
        <f t="shared" si="25"/>
        <v>0</v>
      </c>
    </row>
    <row r="29" spans="1:20" ht="27" thickBot="1">
      <c r="A29" s="183" t="s">
        <v>109</v>
      </c>
      <c r="B29" s="184"/>
      <c r="C29" s="184"/>
      <c r="D29" s="184"/>
      <c r="E29" s="184"/>
      <c r="F29" s="184"/>
      <c r="G29" s="184"/>
      <c r="H29" s="184"/>
      <c r="I29" s="184"/>
      <c r="J29" s="184"/>
      <c r="K29" s="184"/>
      <c r="L29" s="184"/>
      <c r="M29" s="184"/>
      <c r="N29" s="184"/>
      <c r="O29" s="184"/>
      <c r="P29" s="184"/>
      <c r="Q29" s="184"/>
      <c r="R29" s="184"/>
      <c r="S29" s="184"/>
      <c r="T29" s="185"/>
    </row>
    <row r="30" spans="1:20" ht="15.75" thickBot="1">
      <c r="A30" s="188" t="s">
        <v>110</v>
      </c>
      <c r="B30" s="189"/>
      <c r="C30" s="189"/>
      <c r="D30" s="189"/>
      <c r="E30" s="189"/>
      <c r="F30" s="189"/>
      <c r="G30" s="46"/>
      <c r="H30" s="186"/>
      <c r="I30" s="186"/>
      <c r="J30" s="186"/>
      <c r="K30" s="186"/>
      <c r="L30" s="186"/>
      <c r="M30" s="186"/>
      <c r="N30" s="186"/>
      <c r="O30" s="186"/>
      <c r="P30" s="186"/>
      <c r="Q30" s="186"/>
      <c r="R30" s="186"/>
      <c r="S30" s="186"/>
      <c r="T30" s="187"/>
    </row>
    <row r="31" spans="1:20" s="70" customFormat="1" ht="45.95" customHeight="1" thickBot="1">
      <c r="A31" s="73" t="s">
        <v>37</v>
      </c>
      <c r="B31" s="74" t="s">
        <v>38</v>
      </c>
      <c r="C31" s="75" t="s">
        <v>39</v>
      </c>
      <c r="D31" s="75" t="s">
        <v>40</v>
      </c>
      <c r="E31" s="76" t="s">
        <v>41</v>
      </c>
      <c r="F31" s="108" t="s">
        <v>42</v>
      </c>
      <c r="G31" s="66"/>
      <c r="H31" s="109" t="s">
        <v>43</v>
      </c>
      <c r="I31" s="110" t="s">
        <v>44</v>
      </c>
      <c r="J31" s="110" t="s">
        <v>45</v>
      </c>
      <c r="K31" s="110" t="s">
        <v>46</v>
      </c>
      <c r="L31" s="67" t="s">
        <v>47</v>
      </c>
      <c r="M31" s="67" t="s">
        <v>48</v>
      </c>
      <c r="N31" s="67" t="s">
        <v>49</v>
      </c>
      <c r="O31" s="67" t="s">
        <v>50</v>
      </c>
      <c r="P31" s="67" t="s">
        <v>51</v>
      </c>
      <c r="Q31" s="67" t="s">
        <v>52</v>
      </c>
      <c r="R31" s="68" t="s">
        <v>53</v>
      </c>
      <c r="S31" s="67" t="s">
        <v>54</v>
      </c>
      <c r="T31" s="69" t="s">
        <v>55</v>
      </c>
    </row>
    <row r="32" spans="1:20" s="47" customFormat="1" ht="30" customHeight="1" thickBot="1">
      <c r="A32" s="71" t="s">
        <v>56</v>
      </c>
      <c r="B32" s="12"/>
      <c r="C32" s="12"/>
      <c r="D32" s="12"/>
      <c r="E32" s="72"/>
      <c r="F32" s="111"/>
      <c r="G32" s="38"/>
      <c r="H32" s="112"/>
      <c r="I32" s="41"/>
      <c r="J32" s="41"/>
      <c r="K32" s="37"/>
      <c r="L32" s="37"/>
      <c r="M32" s="37"/>
      <c r="N32" s="37"/>
      <c r="O32" s="41"/>
      <c r="P32" s="37"/>
      <c r="Q32" s="41"/>
      <c r="R32" s="41"/>
      <c r="S32" s="40"/>
      <c r="T32" s="39"/>
    </row>
    <row r="33" spans="1:20" ht="15.75" thickBot="1">
      <c r="A33" s="153" t="s">
        <v>57</v>
      </c>
      <c r="B33" s="88" t="s">
        <v>58</v>
      </c>
      <c r="C33" s="88" t="s">
        <v>59</v>
      </c>
      <c r="D33" s="88" t="s">
        <v>60</v>
      </c>
      <c r="E33" s="89" t="s">
        <v>56</v>
      </c>
      <c r="F33" s="143"/>
      <c r="G33" s="60"/>
      <c r="H33" s="42">
        <f>H5+(H5*Escalation!$D$2)</f>
        <v>43.818719999999999</v>
      </c>
      <c r="I33" s="42">
        <f>I5+(I5*Escalation!$D$2)</f>
        <v>0</v>
      </c>
      <c r="J33" s="42">
        <f t="shared" ref="J33:J47" si="29">IF($I33&lt;$H33,$H33,$I33)</f>
        <v>43.818719999999999</v>
      </c>
      <c r="K33" s="95">
        <f>(J33*$K$4)</f>
        <v>0</v>
      </c>
      <c r="L33" s="95">
        <f>(K33+J33)*$L$4</f>
        <v>0</v>
      </c>
      <c r="M33" s="95">
        <f>(K33+J33+L33)*$M$4</f>
        <v>0</v>
      </c>
      <c r="N33" s="95">
        <f>(J33+K33+L33+M33)*$N$4</f>
        <v>0</v>
      </c>
      <c r="O33" s="42">
        <f>SUM(J33:N33)</f>
        <v>43.818719999999999</v>
      </c>
      <c r="P33" s="42">
        <f>IF($P$4&lt;0,"N/A",$P$4*(J33+K33+L33+M33))</f>
        <v>0</v>
      </c>
      <c r="Q33" s="42">
        <f>SUM(O33:P33)</f>
        <v>43.818719999999999</v>
      </c>
      <c r="R33" s="100">
        <f>O33*F33</f>
        <v>0</v>
      </c>
      <c r="S33" s="100">
        <f>P33*F33</f>
        <v>0</v>
      </c>
      <c r="T33" s="101">
        <f>Q33*F33</f>
        <v>0</v>
      </c>
    </row>
    <row r="34" spans="1:20" ht="15.75" thickBot="1">
      <c r="A34" s="154" t="s">
        <v>61</v>
      </c>
      <c r="B34" s="91" t="s">
        <v>62</v>
      </c>
      <c r="C34" s="91" t="s">
        <v>63</v>
      </c>
      <c r="D34" s="91" t="s">
        <v>64</v>
      </c>
      <c r="E34" s="92" t="s">
        <v>56</v>
      </c>
      <c r="F34" s="156"/>
      <c r="G34" s="60"/>
      <c r="H34" s="104">
        <f>H6+(H6*Escalation!$D$2)</f>
        <v>30.712320000000002</v>
      </c>
      <c r="I34" s="104">
        <f>I6+(I6*Escalation!$D$2)</f>
        <v>0</v>
      </c>
      <c r="J34" s="104">
        <f t="shared" si="29"/>
        <v>30.712320000000002</v>
      </c>
      <c r="K34" s="105">
        <f t="shared" ref="K34:K47" si="30">(J34*$K$4)</f>
        <v>0</v>
      </c>
      <c r="L34" s="105">
        <f t="shared" ref="L34:L47" si="31">(K34+J34)*$L$4</f>
        <v>0</v>
      </c>
      <c r="M34" s="105">
        <f t="shared" ref="M34:M47" si="32">(K34+J34+L34)*$M$4</f>
        <v>0</v>
      </c>
      <c r="N34" s="105">
        <f t="shared" ref="N34:N47" si="33">(J34+K34+L34+M34)*$N$4</f>
        <v>0</v>
      </c>
      <c r="O34" s="104">
        <f t="shared" ref="O34:O47" si="34">SUM(J34:N34)</f>
        <v>30.712320000000002</v>
      </c>
      <c r="P34" s="104">
        <f t="shared" ref="P34:P47" si="35">IF($P$4&lt;0,"N/A",$P$4*(J34+K34+L34+M34))</f>
        <v>0</v>
      </c>
      <c r="Q34" s="104">
        <f t="shared" ref="Q34:Q47" si="36">SUM(O34:P34)</f>
        <v>30.712320000000002</v>
      </c>
      <c r="R34" s="106">
        <f>O34*F34</f>
        <v>0</v>
      </c>
      <c r="S34" s="106">
        <f t="shared" ref="S34:S46" si="37">P34*F34</f>
        <v>0</v>
      </c>
      <c r="T34" s="107">
        <f t="shared" ref="T34:T47" si="38">Q34*F34</f>
        <v>0</v>
      </c>
    </row>
    <row r="35" spans="1:20" ht="15.75" thickBot="1">
      <c r="A35" s="154" t="s">
        <v>65</v>
      </c>
      <c r="B35" s="91" t="s">
        <v>66</v>
      </c>
      <c r="C35" s="91" t="s">
        <v>67</v>
      </c>
      <c r="D35" s="91" t="s">
        <v>68</v>
      </c>
      <c r="E35" s="92" t="s">
        <v>56</v>
      </c>
      <c r="F35" s="156"/>
      <c r="G35" s="60"/>
      <c r="H35" s="104">
        <f>H7+(H7*Escalation!$D$2)</f>
        <v>30.712320000000002</v>
      </c>
      <c r="I35" s="104">
        <f>I7+(I7*Escalation!$D$2)</f>
        <v>0</v>
      </c>
      <c r="J35" s="104">
        <f t="shared" si="29"/>
        <v>30.712320000000002</v>
      </c>
      <c r="K35" s="105">
        <f t="shared" si="30"/>
        <v>0</v>
      </c>
      <c r="L35" s="105">
        <f t="shared" si="31"/>
        <v>0</v>
      </c>
      <c r="M35" s="105">
        <f t="shared" si="32"/>
        <v>0</v>
      </c>
      <c r="N35" s="105">
        <f t="shared" si="33"/>
        <v>0</v>
      </c>
      <c r="O35" s="104">
        <f t="shared" si="34"/>
        <v>30.712320000000002</v>
      </c>
      <c r="P35" s="104">
        <f t="shared" si="35"/>
        <v>0</v>
      </c>
      <c r="Q35" s="104">
        <f t="shared" si="36"/>
        <v>30.712320000000002</v>
      </c>
      <c r="R35" s="106">
        <f t="shared" ref="R35:R46" si="39">O35*F35</f>
        <v>0</v>
      </c>
      <c r="S35" s="106">
        <f t="shared" si="37"/>
        <v>0</v>
      </c>
      <c r="T35" s="107">
        <f t="shared" si="38"/>
        <v>0</v>
      </c>
    </row>
    <row r="36" spans="1:20">
      <c r="A36" s="190" t="s">
        <v>69</v>
      </c>
      <c r="B36" s="77" t="s">
        <v>70</v>
      </c>
      <c r="C36" s="77" t="s">
        <v>63</v>
      </c>
      <c r="D36" s="77" t="s">
        <v>64</v>
      </c>
      <c r="E36" s="78" t="s">
        <v>56</v>
      </c>
      <c r="F36" s="157"/>
      <c r="G36" s="60"/>
      <c r="H36" s="28">
        <f>H8+(H8*Escalation!$D$2)</f>
        <v>30.712320000000002</v>
      </c>
      <c r="I36" s="28">
        <f>I8+(I8*Escalation!$D$2)</f>
        <v>0</v>
      </c>
      <c r="J36" s="28">
        <f t="shared" si="29"/>
        <v>30.712320000000002</v>
      </c>
      <c r="K36" s="29">
        <f t="shared" si="30"/>
        <v>0</v>
      </c>
      <c r="L36" s="29">
        <f t="shared" si="31"/>
        <v>0</v>
      </c>
      <c r="M36" s="29">
        <f t="shared" si="32"/>
        <v>0</v>
      </c>
      <c r="N36" s="29">
        <f t="shared" si="33"/>
        <v>0</v>
      </c>
      <c r="O36" s="28">
        <f t="shared" si="34"/>
        <v>30.712320000000002</v>
      </c>
      <c r="P36" s="28">
        <f t="shared" si="35"/>
        <v>0</v>
      </c>
      <c r="Q36" s="28">
        <f t="shared" si="36"/>
        <v>30.712320000000002</v>
      </c>
      <c r="R36" s="36">
        <f t="shared" si="39"/>
        <v>0</v>
      </c>
      <c r="S36" s="36">
        <f t="shared" si="37"/>
        <v>0</v>
      </c>
      <c r="T36" s="35">
        <f t="shared" si="38"/>
        <v>0</v>
      </c>
    </row>
    <row r="37" spans="1:20">
      <c r="A37" s="191"/>
      <c r="B37" s="30" t="s">
        <v>71</v>
      </c>
      <c r="C37" s="30" t="s">
        <v>69</v>
      </c>
      <c r="D37" s="30" t="s">
        <v>72</v>
      </c>
      <c r="E37" s="79" t="s">
        <v>56</v>
      </c>
      <c r="F37" s="158"/>
      <c r="G37" s="60"/>
      <c r="H37" s="7">
        <f>H9+(H9*Escalation!$D$2)</f>
        <v>30.712320000000002</v>
      </c>
      <c r="I37" s="7">
        <f>I9+(I9*Escalation!$D$2)</f>
        <v>0</v>
      </c>
      <c r="J37" s="6">
        <f t="shared" si="29"/>
        <v>30.712320000000002</v>
      </c>
      <c r="K37" s="3">
        <f t="shared" si="30"/>
        <v>0</v>
      </c>
      <c r="L37" s="3">
        <f t="shared" si="31"/>
        <v>0</v>
      </c>
      <c r="M37" s="3">
        <f t="shared" si="32"/>
        <v>0</v>
      </c>
      <c r="N37" s="3">
        <f t="shared" si="33"/>
        <v>0</v>
      </c>
      <c r="O37" s="7">
        <f t="shared" si="34"/>
        <v>30.712320000000002</v>
      </c>
      <c r="P37" s="7">
        <f t="shared" si="35"/>
        <v>0</v>
      </c>
      <c r="Q37" s="7">
        <f t="shared" si="36"/>
        <v>30.712320000000002</v>
      </c>
      <c r="R37" s="34">
        <f t="shared" si="39"/>
        <v>0</v>
      </c>
      <c r="S37" s="34">
        <f t="shared" si="37"/>
        <v>0</v>
      </c>
      <c r="T37" s="33">
        <f t="shared" si="38"/>
        <v>0</v>
      </c>
    </row>
    <row r="38" spans="1:20">
      <c r="A38" s="191"/>
      <c r="B38" s="30" t="s">
        <v>73</v>
      </c>
      <c r="C38" s="30" t="s">
        <v>74</v>
      </c>
      <c r="D38" s="30" t="s">
        <v>75</v>
      </c>
      <c r="E38" s="79" t="s">
        <v>56</v>
      </c>
      <c r="F38" s="158"/>
      <c r="G38" s="60"/>
      <c r="H38" s="7">
        <f>H10+(H10*Escalation!$D$2)</f>
        <v>30.712320000000002</v>
      </c>
      <c r="I38" s="7">
        <f>I10+(I10*Escalation!$D$2)</f>
        <v>0</v>
      </c>
      <c r="J38" s="6">
        <f t="shared" si="29"/>
        <v>30.712320000000002</v>
      </c>
      <c r="K38" s="3">
        <f t="shared" si="30"/>
        <v>0</v>
      </c>
      <c r="L38" s="3">
        <f t="shared" si="31"/>
        <v>0</v>
      </c>
      <c r="M38" s="3">
        <f t="shared" si="32"/>
        <v>0</v>
      </c>
      <c r="N38" s="3">
        <f t="shared" si="33"/>
        <v>0</v>
      </c>
      <c r="O38" s="7">
        <f t="shared" si="34"/>
        <v>30.712320000000002</v>
      </c>
      <c r="P38" s="7">
        <f t="shared" si="35"/>
        <v>0</v>
      </c>
      <c r="Q38" s="7">
        <f t="shared" si="36"/>
        <v>30.712320000000002</v>
      </c>
      <c r="R38" s="34">
        <f t="shared" si="39"/>
        <v>0</v>
      </c>
      <c r="S38" s="34">
        <f t="shared" si="37"/>
        <v>0</v>
      </c>
      <c r="T38" s="33">
        <f t="shared" si="38"/>
        <v>0</v>
      </c>
    </row>
    <row r="39" spans="1:20">
      <c r="A39" s="191"/>
      <c r="B39" s="30" t="s">
        <v>76</v>
      </c>
      <c r="C39" s="30" t="s">
        <v>77</v>
      </c>
      <c r="D39" s="30" t="s">
        <v>78</v>
      </c>
      <c r="E39" s="79" t="s">
        <v>56</v>
      </c>
      <c r="F39" s="158"/>
      <c r="G39" s="60"/>
      <c r="H39" s="7">
        <f>H11+(H11*Escalation!$D$2)</f>
        <v>30.712320000000002</v>
      </c>
      <c r="I39" s="7">
        <f>I11+(I11*Escalation!$D$2)</f>
        <v>0</v>
      </c>
      <c r="J39" s="6">
        <f t="shared" si="29"/>
        <v>30.712320000000002</v>
      </c>
      <c r="K39" s="3">
        <f t="shared" si="30"/>
        <v>0</v>
      </c>
      <c r="L39" s="3">
        <f t="shared" si="31"/>
        <v>0</v>
      </c>
      <c r="M39" s="3">
        <f t="shared" si="32"/>
        <v>0</v>
      </c>
      <c r="N39" s="3">
        <f t="shared" si="33"/>
        <v>0</v>
      </c>
      <c r="O39" s="7">
        <f t="shared" si="34"/>
        <v>30.712320000000002</v>
      </c>
      <c r="P39" s="7">
        <f t="shared" si="35"/>
        <v>0</v>
      </c>
      <c r="Q39" s="7">
        <f t="shared" si="36"/>
        <v>30.712320000000002</v>
      </c>
      <c r="R39" s="34">
        <f t="shared" si="39"/>
        <v>0</v>
      </c>
      <c r="S39" s="34">
        <f>P39*F39</f>
        <v>0</v>
      </c>
      <c r="T39" s="33">
        <f t="shared" si="38"/>
        <v>0</v>
      </c>
    </row>
    <row r="40" spans="1:20" ht="15.75" thickBot="1">
      <c r="A40" s="192"/>
      <c r="B40" s="81" t="s">
        <v>79</v>
      </c>
      <c r="C40" s="81" t="s">
        <v>80</v>
      </c>
      <c r="D40" s="81" t="s">
        <v>81</v>
      </c>
      <c r="E40" s="82" t="s">
        <v>56</v>
      </c>
      <c r="F40" s="159"/>
      <c r="G40" s="60"/>
      <c r="H40" s="56">
        <f>H12+(H12*Escalation!$D$2)</f>
        <v>24.32424</v>
      </c>
      <c r="I40" s="56">
        <f>I12+(I12*Escalation!$D$2)</f>
        <v>0</v>
      </c>
      <c r="J40" s="102">
        <f t="shared" si="29"/>
        <v>24.32424</v>
      </c>
      <c r="K40" s="57">
        <f t="shared" si="30"/>
        <v>0</v>
      </c>
      <c r="L40" s="57">
        <f t="shared" si="31"/>
        <v>0</v>
      </c>
      <c r="M40" s="57">
        <f t="shared" si="32"/>
        <v>0</v>
      </c>
      <c r="N40" s="57">
        <f t="shared" si="33"/>
        <v>0</v>
      </c>
      <c r="O40" s="56">
        <f t="shared" si="34"/>
        <v>24.32424</v>
      </c>
      <c r="P40" s="56">
        <f t="shared" si="35"/>
        <v>0</v>
      </c>
      <c r="Q40" s="56">
        <f t="shared" si="36"/>
        <v>24.32424</v>
      </c>
      <c r="R40" s="58">
        <f t="shared" si="39"/>
        <v>0</v>
      </c>
      <c r="S40" s="58">
        <f t="shared" si="37"/>
        <v>0</v>
      </c>
      <c r="T40" s="59">
        <f t="shared" si="38"/>
        <v>0</v>
      </c>
    </row>
    <row r="41" spans="1:20">
      <c r="A41" s="190" t="s">
        <v>82</v>
      </c>
      <c r="B41" s="77" t="s">
        <v>83</v>
      </c>
      <c r="C41" s="77" t="s">
        <v>84</v>
      </c>
      <c r="D41" s="77" t="s">
        <v>85</v>
      </c>
      <c r="E41" s="78" t="s">
        <v>56</v>
      </c>
      <c r="F41" s="157"/>
      <c r="G41" s="60"/>
      <c r="H41" s="28">
        <f>H13+(H13*Escalation!$D$2)</f>
        <v>26.1096</v>
      </c>
      <c r="I41" s="28">
        <f>I13+(I13*Escalation!$D$2)</f>
        <v>0</v>
      </c>
      <c r="J41" s="28">
        <f t="shared" si="29"/>
        <v>26.1096</v>
      </c>
      <c r="K41" s="29">
        <f t="shared" si="30"/>
        <v>0</v>
      </c>
      <c r="L41" s="29">
        <f t="shared" si="31"/>
        <v>0</v>
      </c>
      <c r="M41" s="29">
        <f t="shared" si="32"/>
        <v>0</v>
      </c>
      <c r="N41" s="29">
        <f t="shared" si="33"/>
        <v>0</v>
      </c>
      <c r="O41" s="28">
        <f t="shared" si="34"/>
        <v>26.1096</v>
      </c>
      <c r="P41" s="28">
        <f t="shared" si="35"/>
        <v>0</v>
      </c>
      <c r="Q41" s="28">
        <f t="shared" si="36"/>
        <v>26.1096</v>
      </c>
      <c r="R41" s="36">
        <f t="shared" si="39"/>
        <v>0</v>
      </c>
      <c r="S41" s="36">
        <f t="shared" si="37"/>
        <v>0</v>
      </c>
      <c r="T41" s="35">
        <f t="shared" si="38"/>
        <v>0</v>
      </c>
    </row>
    <row r="42" spans="1:20" ht="15.75" thickBot="1">
      <c r="A42" s="192"/>
      <c r="B42" s="81" t="s">
        <v>86</v>
      </c>
      <c r="C42" s="81" t="s">
        <v>87</v>
      </c>
      <c r="D42" s="81" t="s">
        <v>88</v>
      </c>
      <c r="E42" s="82" t="s">
        <v>56</v>
      </c>
      <c r="F42" s="159"/>
      <c r="G42" s="60"/>
      <c r="H42" s="56">
        <f>H14+(H14*Escalation!$D$2)</f>
        <v>26.1096</v>
      </c>
      <c r="I42" s="56">
        <f>I14+(I14*Escalation!$D$2)</f>
        <v>0</v>
      </c>
      <c r="J42" s="102">
        <f t="shared" si="29"/>
        <v>26.1096</v>
      </c>
      <c r="K42" s="57">
        <f t="shared" si="30"/>
        <v>0</v>
      </c>
      <c r="L42" s="57">
        <f t="shared" si="31"/>
        <v>0</v>
      </c>
      <c r="M42" s="57">
        <f t="shared" si="32"/>
        <v>0</v>
      </c>
      <c r="N42" s="57">
        <f t="shared" si="33"/>
        <v>0</v>
      </c>
      <c r="O42" s="56">
        <f t="shared" si="34"/>
        <v>26.1096</v>
      </c>
      <c r="P42" s="56">
        <f t="shared" si="35"/>
        <v>0</v>
      </c>
      <c r="Q42" s="56">
        <f t="shared" si="36"/>
        <v>26.1096</v>
      </c>
      <c r="R42" s="58">
        <f t="shared" si="39"/>
        <v>0</v>
      </c>
      <c r="S42" s="58">
        <f t="shared" si="37"/>
        <v>0</v>
      </c>
      <c r="T42" s="59">
        <f t="shared" si="38"/>
        <v>0</v>
      </c>
    </row>
    <row r="43" spans="1:20" ht="15" customHeight="1">
      <c r="A43" s="193" t="s">
        <v>89</v>
      </c>
      <c r="B43" s="77" t="s">
        <v>90</v>
      </c>
      <c r="C43" s="77" t="s">
        <v>67</v>
      </c>
      <c r="D43" s="77" t="s">
        <v>68</v>
      </c>
      <c r="E43" s="78" t="s">
        <v>56</v>
      </c>
      <c r="F43" s="157"/>
      <c r="G43" s="60"/>
      <c r="H43" s="28">
        <f>H15+(H15*Escalation!$D$2)</f>
        <v>30.712320000000002</v>
      </c>
      <c r="I43" s="28">
        <f>I15+(I15*Escalation!$D$2)</f>
        <v>0</v>
      </c>
      <c r="J43" s="28">
        <f t="shared" si="29"/>
        <v>30.712320000000002</v>
      </c>
      <c r="K43" s="29">
        <f t="shared" si="30"/>
        <v>0</v>
      </c>
      <c r="L43" s="29">
        <f t="shared" si="31"/>
        <v>0</v>
      </c>
      <c r="M43" s="29">
        <f t="shared" si="32"/>
        <v>0</v>
      </c>
      <c r="N43" s="29">
        <f t="shared" si="33"/>
        <v>0</v>
      </c>
      <c r="O43" s="28">
        <f t="shared" si="34"/>
        <v>30.712320000000002</v>
      </c>
      <c r="P43" s="28">
        <f t="shared" si="35"/>
        <v>0</v>
      </c>
      <c r="Q43" s="28">
        <f t="shared" si="36"/>
        <v>30.712320000000002</v>
      </c>
      <c r="R43" s="36">
        <f t="shared" si="39"/>
        <v>0</v>
      </c>
      <c r="S43" s="36">
        <f t="shared" si="37"/>
        <v>0</v>
      </c>
      <c r="T43" s="35">
        <f t="shared" si="38"/>
        <v>0</v>
      </c>
    </row>
    <row r="44" spans="1:20">
      <c r="A44" s="194"/>
      <c r="B44" s="30" t="s">
        <v>91</v>
      </c>
      <c r="C44" s="30" t="s">
        <v>92</v>
      </c>
      <c r="D44" s="30" t="s">
        <v>93</v>
      </c>
      <c r="E44" s="79" t="s">
        <v>56</v>
      </c>
      <c r="F44" s="158"/>
      <c r="G44" s="60"/>
      <c r="H44" s="7">
        <f>H16+(H16*Escalation!$D$2)</f>
        <v>26.73912</v>
      </c>
      <c r="I44" s="7">
        <f>I16+(I16*Escalation!$D$2)</f>
        <v>0</v>
      </c>
      <c r="J44" s="6">
        <f t="shared" si="29"/>
        <v>26.73912</v>
      </c>
      <c r="K44" s="3">
        <f t="shared" si="30"/>
        <v>0</v>
      </c>
      <c r="L44" s="3">
        <f t="shared" si="31"/>
        <v>0</v>
      </c>
      <c r="M44" s="3">
        <f t="shared" si="32"/>
        <v>0</v>
      </c>
      <c r="N44" s="3">
        <f t="shared" si="33"/>
        <v>0</v>
      </c>
      <c r="O44" s="7">
        <f t="shared" si="34"/>
        <v>26.73912</v>
      </c>
      <c r="P44" s="7">
        <f t="shared" si="35"/>
        <v>0</v>
      </c>
      <c r="Q44" s="7">
        <f t="shared" si="36"/>
        <v>26.73912</v>
      </c>
      <c r="R44" s="34">
        <f>O44*F44</f>
        <v>0</v>
      </c>
      <c r="S44" s="34">
        <f t="shared" si="37"/>
        <v>0</v>
      </c>
      <c r="T44" s="33">
        <f t="shared" si="38"/>
        <v>0</v>
      </c>
    </row>
    <row r="45" spans="1:20">
      <c r="A45" s="194"/>
      <c r="B45" s="30" t="s">
        <v>94</v>
      </c>
      <c r="C45" s="30" t="s">
        <v>74</v>
      </c>
      <c r="D45" s="30" t="s">
        <v>75</v>
      </c>
      <c r="E45" s="79" t="s">
        <v>56</v>
      </c>
      <c r="F45" s="158"/>
      <c r="G45" s="60"/>
      <c r="H45" s="7">
        <f>H17+(H17*Escalation!$D$2)</f>
        <v>30.712320000000002</v>
      </c>
      <c r="I45" s="7">
        <f>I17+(I17*Escalation!$D$2)</f>
        <v>0</v>
      </c>
      <c r="J45" s="6">
        <f t="shared" si="29"/>
        <v>30.712320000000002</v>
      </c>
      <c r="K45" s="3">
        <f t="shared" si="30"/>
        <v>0</v>
      </c>
      <c r="L45" s="3">
        <f t="shared" si="31"/>
        <v>0</v>
      </c>
      <c r="M45" s="3">
        <f t="shared" si="32"/>
        <v>0</v>
      </c>
      <c r="N45" s="3">
        <f t="shared" si="33"/>
        <v>0</v>
      </c>
      <c r="O45" s="7">
        <f t="shared" si="34"/>
        <v>30.712320000000002</v>
      </c>
      <c r="P45" s="7">
        <f t="shared" si="35"/>
        <v>0</v>
      </c>
      <c r="Q45" s="7">
        <f t="shared" si="36"/>
        <v>30.712320000000002</v>
      </c>
      <c r="R45" s="34">
        <f t="shared" si="39"/>
        <v>0</v>
      </c>
      <c r="S45" s="34">
        <f t="shared" si="37"/>
        <v>0</v>
      </c>
      <c r="T45" s="33">
        <f t="shared" si="38"/>
        <v>0</v>
      </c>
    </row>
    <row r="46" spans="1:20">
      <c r="A46" s="194"/>
      <c r="B46" s="30" t="s">
        <v>95</v>
      </c>
      <c r="C46" s="30" t="s">
        <v>96</v>
      </c>
      <c r="D46" s="30" t="s">
        <v>97</v>
      </c>
      <c r="E46" s="79" t="s">
        <v>56</v>
      </c>
      <c r="F46" s="158"/>
      <c r="G46" s="60"/>
      <c r="H46" s="7">
        <f>H18+(H18*Escalation!$D$2)</f>
        <v>34.881599999999999</v>
      </c>
      <c r="I46" s="7">
        <f>I18+(I18*Escalation!$D$2)</f>
        <v>0</v>
      </c>
      <c r="J46" s="6">
        <f t="shared" si="29"/>
        <v>34.881599999999999</v>
      </c>
      <c r="K46" s="3">
        <f t="shared" si="30"/>
        <v>0</v>
      </c>
      <c r="L46" s="3">
        <f t="shared" si="31"/>
        <v>0</v>
      </c>
      <c r="M46" s="3">
        <f t="shared" si="32"/>
        <v>0</v>
      </c>
      <c r="N46" s="3">
        <f t="shared" si="33"/>
        <v>0</v>
      </c>
      <c r="O46" s="7">
        <f t="shared" si="34"/>
        <v>34.881599999999999</v>
      </c>
      <c r="P46" s="7">
        <f t="shared" si="35"/>
        <v>0</v>
      </c>
      <c r="Q46" s="7">
        <f t="shared" si="36"/>
        <v>34.881599999999999</v>
      </c>
      <c r="R46" s="34">
        <f t="shared" si="39"/>
        <v>0</v>
      </c>
      <c r="S46" s="34">
        <f t="shared" si="37"/>
        <v>0</v>
      </c>
      <c r="T46" s="33">
        <f t="shared" si="38"/>
        <v>0</v>
      </c>
    </row>
    <row r="47" spans="1:20" ht="15.75" thickBot="1">
      <c r="A47" s="195"/>
      <c r="B47" s="81" t="s">
        <v>98</v>
      </c>
      <c r="C47" s="81" t="s">
        <v>80</v>
      </c>
      <c r="D47" s="81" t="s">
        <v>81</v>
      </c>
      <c r="E47" s="82" t="s">
        <v>56</v>
      </c>
      <c r="F47" s="159"/>
      <c r="G47" s="60"/>
      <c r="H47" s="56">
        <f>H19+(H19*Escalation!$D$2)</f>
        <v>24.32424</v>
      </c>
      <c r="I47" s="56">
        <f>I19+(I19*Escalation!$D$2)</f>
        <v>0</v>
      </c>
      <c r="J47" s="102">
        <f t="shared" si="29"/>
        <v>24.32424</v>
      </c>
      <c r="K47" s="57">
        <f t="shared" si="30"/>
        <v>0</v>
      </c>
      <c r="L47" s="57">
        <f t="shared" si="31"/>
        <v>0</v>
      </c>
      <c r="M47" s="57">
        <f t="shared" si="32"/>
        <v>0</v>
      </c>
      <c r="N47" s="57">
        <f t="shared" si="33"/>
        <v>0</v>
      </c>
      <c r="O47" s="56">
        <f t="shared" si="34"/>
        <v>24.32424</v>
      </c>
      <c r="P47" s="56">
        <f t="shared" si="35"/>
        <v>0</v>
      </c>
      <c r="Q47" s="56">
        <f t="shared" si="36"/>
        <v>24.32424</v>
      </c>
      <c r="R47" s="58">
        <f>O47*F47</f>
        <v>0</v>
      </c>
      <c r="S47" s="58">
        <f>P47*F47</f>
        <v>0</v>
      </c>
      <c r="T47" s="59">
        <f t="shared" si="38"/>
        <v>0</v>
      </c>
    </row>
    <row r="48" spans="1:20" s="65" customFormat="1" ht="15.75" thickBot="1">
      <c r="A48" s="155" t="s">
        <v>99</v>
      </c>
      <c r="B48" s="93"/>
      <c r="C48" s="93"/>
      <c r="D48" s="93"/>
      <c r="E48" s="94"/>
      <c r="F48" s="160"/>
      <c r="G48" s="64"/>
      <c r="H48" s="115"/>
      <c r="I48" s="115"/>
      <c r="J48" s="115"/>
      <c r="K48" s="115"/>
      <c r="L48" s="115"/>
      <c r="M48" s="115"/>
      <c r="N48" s="115"/>
      <c r="O48" s="115"/>
      <c r="P48" s="115"/>
      <c r="Q48" s="115"/>
      <c r="R48" s="117"/>
      <c r="S48" s="117"/>
      <c r="T48" s="118"/>
    </row>
    <row r="49" spans="1:20" ht="15.75" thickBot="1">
      <c r="A49" s="153" t="s">
        <v>61</v>
      </c>
      <c r="B49" s="87" t="s">
        <v>100</v>
      </c>
      <c r="C49" s="88" t="s">
        <v>63</v>
      </c>
      <c r="D49" s="88"/>
      <c r="E49" s="89" t="s">
        <v>99</v>
      </c>
      <c r="F49" s="156"/>
      <c r="G49" s="60"/>
      <c r="H49" s="104">
        <f>H21+(H21*Escalation!$D$2)</f>
        <v>32.25</v>
      </c>
      <c r="I49" s="104">
        <f>I21+(I21*Escalation!$D$2)</f>
        <v>0</v>
      </c>
      <c r="J49" s="104">
        <f t="shared" ref="J49:J56" si="40">IF($I49&lt;$H49,$H49,$I49)</f>
        <v>32.25</v>
      </c>
      <c r="K49" s="105">
        <f t="shared" ref="K49:K56" si="41">(J49*$K$4)</f>
        <v>0</v>
      </c>
      <c r="L49" s="105">
        <f t="shared" ref="L49:L56" si="42">(K49+J49)*$L$4</f>
        <v>0</v>
      </c>
      <c r="M49" s="105">
        <f t="shared" ref="M49:M56" si="43">(K49+J49+L49)*$M$4</f>
        <v>0</v>
      </c>
      <c r="N49" s="105">
        <f t="shared" ref="N49:N56" si="44">(J49+K49+L49+M49)*$N$4</f>
        <v>0</v>
      </c>
      <c r="O49" s="104">
        <f>SUM(J49:N49)</f>
        <v>32.25</v>
      </c>
      <c r="P49" s="104">
        <f t="shared" ref="P49:P56" si="45">IF($P$4&lt;0,"N/A",$P$4*(J49+K49+L49+M49))</f>
        <v>0</v>
      </c>
      <c r="Q49" s="104">
        <f>SUM(O49:P49)</f>
        <v>32.25</v>
      </c>
      <c r="R49" s="106">
        <f t="shared" ref="R49:R56" si="46">O49*F49</f>
        <v>0</v>
      </c>
      <c r="S49" s="106">
        <f t="shared" ref="S49:S56" si="47">P49*F49</f>
        <v>0</v>
      </c>
      <c r="T49" s="107">
        <f t="shared" ref="T49:T56" si="48">Q49*F49</f>
        <v>0</v>
      </c>
    </row>
    <row r="50" spans="1:20" ht="15.75" thickBot="1">
      <c r="A50" s="154" t="s">
        <v>65</v>
      </c>
      <c r="B50" s="90" t="s">
        <v>101</v>
      </c>
      <c r="C50" s="91" t="s">
        <v>67</v>
      </c>
      <c r="D50" s="91"/>
      <c r="E50" s="92" t="s">
        <v>99</v>
      </c>
      <c r="F50" s="156"/>
      <c r="G50" s="60"/>
      <c r="H50" s="104">
        <f>H22+(H22*Escalation!$D$2)</f>
        <v>32.25</v>
      </c>
      <c r="I50" s="104">
        <f>I22+(I22*Escalation!$D$2)</f>
        <v>0</v>
      </c>
      <c r="J50" s="104">
        <f t="shared" si="40"/>
        <v>32.25</v>
      </c>
      <c r="K50" s="105">
        <f t="shared" si="41"/>
        <v>0</v>
      </c>
      <c r="L50" s="105">
        <f t="shared" si="42"/>
        <v>0</v>
      </c>
      <c r="M50" s="105">
        <f t="shared" si="43"/>
        <v>0</v>
      </c>
      <c r="N50" s="105">
        <f t="shared" si="44"/>
        <v>0</v>
      </c>
      <c r="O50" s="104">
        <f>SUM(J50:N50)</f>
        <v>32.25</v>
      </c>
      <c r="P50" s="104">
        <f t="shared" si="45"/>
        <v>0</v>
      </c>
      <c r="Q50" s="104">
        <f>SUM(O50:P50)</f>
        <v>32.25</v>
      </c>
      <c r="R50" s="106">
        <f t="shared" si="46"/>
        <v>0</v>
      </c>
      <c r="S50" s="106">
        <f t="shared" si="47"/>
        <v>0</v>
      </c>
      <c r="T50" s="107">
        <f t="shared" si="48"/>
        <v>0</v>
      </c>
    </row>
    <row r="51" spans="1:20">
      <c r="A51" s="190" t="s">
        <v>82</v>
      </c>
      <c r="B51" s="83" t="s">
        <v>102</v>
      </c>
      <c r="C51" s="77" t="s">
        <v>84</v>
      </c>
      <c r="D51" s="77"/>
      <c r="E51" s="78" t="s">
        <v>99</v>
      </c>
      <c r="F51" s="157"/>
      <c r="G51" s="60"/>
      <c r="H51" s="28">
        <f>H23+(H23*Escalation!$D$2)</f>
        <v>27.42024</v>
      </c>
      <c r="I51" s="28">
        <f>I23+(I23*Escalation!$D$2)</f>
        <v>0</v>
      </c>
      <c r="J51" s="28">
        <f t="shared" si="40"/>
        <v>27.42024</v>
      </c>
      <c r="K51" s="29">
        <f t="shared" si="41"/>
        <v>0</v>
      </c>
      <c r="L51" s="29">
        <f t="shared" si="42"/>
        <v>0</v>
      </c>
      <c r="M51" s="29">
        <f t="shared" si="43"/>
        <v>0</v>
      </c>
      <c r="N51" s="29">
        <f t="shared" si="44"/>
        <v>0</v>
      </c>
      <c r="O51" s="28">
        <f t="shared" ref="O51:O56" si="49">SUM(J51:N51)</f>
        <v>27.42024</v>
      </c>
      <c r="P51" s="28">
        <f t="shared" si="45"/>
        <v>0</v>
      </c>
      <c r="Q51" s="28">
        <f t="shared" ref="Q51:Q56" si="50">SUM(O51:P51)</f>
        <v>27.42024</v>
      </c>
      <c r="R51" s="36">
        <f t="shared" si="46"/>
        <v>0</v>
      </c>
      <c r="S51" s="36">
        <f t="shared" si="47"/>
        <v>0</v>
      </c>
      <c r="T51" s="35">
        <f t="shared" si="48"/>
        <v>0</v>
      </c>
    </row>
    <row r="52" spans="1:20" ht="15.75" thickBot="1">
      <c r="A52" s="192"/>
      <c r="B52" s="84" t="s">
        <v>103</v>
      </c>
      <c r="C52" s="81" t="s">
        <v>104</v>
      </c>
      <c r="D52" s="81"/>
      <c r="E52" s="82" t="s">
        <v>99</v>
      </c>
      <c r="F52" s="159"/>
      <c r="G52" s="60"/>
      <c r="H52" s="56">
        <f>H24+(H24*Escalation!$D$2)</f>
        <v>27.42024</v>
      </c>
      <c r="I52" s="56">
        <f>I24+(I24*Escalation!$D$2)</f>
        <v>0</v>
      </c>
      <c r="J52" s="102">
        <f t="shared" si="40"/>
        <v>27.42024</v>
      </c>
      <c r="K52" s="57">
        <f t="shared" si="41"/>
        <v>0</v>
      </c>
      <c r="L52" s="57">
        <f t="shared" si="42"/>
        <v>0</v>
      </c>
      <c r="M52" s="57">
        <f t="shared" si="43"/>
        <v>0</v>
      </c>
      <c r="N52" s="57">
        <f t="shared" si="44"/>
        <v>0</v>
      </c>
      <c r="O52" s="56">
        <f t="shared" si="49"/>
        <v>27.42024</v>
      </c>
      <c r="P52" s="56">
        <f t="shared" si="45"/>
        <v>0</v>
      </c>
      <c r="Q52" s="56">
        <f t="shared" si="50"/>
        <v>27.42024</v>
      </c>
      <c r="R52" s="58">
        <f t="shared" si="46"/>
        <v>0</v>
      </c>
      <c r="S52" s="58">
        <f t="shared" si="47"/>
        <v>0</v>
      </c>
      <c r="T52" s="59">
        <f t="shared" si="48"/>
        <v>0</v>
      </c>
    </row>
    <row r="53" spans="1:20">
      <c r="A53" s="193" t="s">
        <v>89</v>
      </c>
      <c r="B53" s="83" t="s">
        <v>105</v>
      </c>
      <c r="C53" s="77" t="s">
        <v>67</v>
      </c>
      <c r="D53" s="77"/>
      <c r="E53" s="78" t="s">
        <v>99</v>
      </c>
      <c r="F53" s="157"/>
      <c r="G53" s="60"/>
      <c r="H53" s="28">
        <f>H25+(H25*Escalation!$D$2)</f>
        <v>32.25</v>
      </c>
      <c r="I53" s="28">
        <f>I25+(I25*Escalation!$D$2)</f>
        <v>0</v>
      </c>
      <c r="J53" s="28">
        <f t="shared" si="40"/>
        <v>32.25</v>
      </c>
      <c r="K53" s="29">
        <f t="shared" si="41"/>
        <v>0</v>
      </c>
      <c r="L53" s="29">
        <f t="shared" si="42"/>
        <v>0</v>
      </c>
      <c r="M53" s="29">
        <f t="shared" si="43"/>
        <v>0</v>
      </c>
      <c r="N53" s="29">
        <f t="shared" si="44"/>
        <v>0</v>
      </c>
      <c r="O53" s="28">
        <f t="shared" si="49"/>
        <v>32.25</v>
      </c>
      <c r="P53" s="28">
        <f t="shared" si="45"/>
        <v>0</v>
      </c>
      <c r="Q53" s="28">
        <f t="shared" si="50"/>
        <v>32.25</v>
      </c>
      <c r="R53" s="36">
        <f t="shared" si="46"/>
        <v>0</v>
      </c>
      <c r="S53" s="36">
        <f t="shared" si="47"/>
        <v>0</v>
      </c>
      <c r="T53" s="35">
        <f t="shared" si="48"/>
        <v>0</v>
      </c>
    </row>
    <row r="54" spans="1:20">
      <c r="A54" s="196"/>
      <c r="B54" s="54" t="s">
        <v>106</v>
      </c>
      <c r="C54" s="30" t="s">
        <v>92</v>
      </c>
      <c r="D54" s="30"/>
      <c r="E54" s="79" t="s">
        <v>99</v>
      </c>
      <c r="F54" s="158"/>
      <c r="G54" s="60"/>
      <c r="H54" s="7">
        <f>H26+(H26*Escalation!$D$2)</f>
        <v>28.080719999999999</v>
      </c>
      <c r="I54" s="7">
        <f>I26+(I26*Escalation!$D$2)</f>
        <v>0</v>
      </c>
      <c r="J54" s="6">
        <f t="shared" si="40"/>
        <v>28.080719999999999</v>
      </c>
      <c r="K54" s="3">
        <f t="shared" si="41"/>
        <v>0</v>
      </c>
      <c r="L54" s="3">
        <f t="shared" si="42"/>
        <v>0</v>
      </c>
      <c r="M54" s="3">
        <f t="shared" si="43"/>
        <v>0</v>
      </c>
      <c r="N54" s="3">
        <f t="shared" si="44"/>
        <v>0</v>
      </c>
      <c r="O54" s="7">
        <f t="shared" si="49"/>
        <v>28.080719999999999</v>
      </c>
      <c r="P54" s="7">
        <f t="shared" si="45"/>
        <v>0</v>
      </c>
      <c r="Q54" s="7">
        <f t="shared" si="50"/>
        <v>28.080719999999999</v>
      </c>
      <c r="R54" s="34">
        <f t="shared" si="46"/>
        <v>0</v>
      </c>
      <c r="S54" s="34">
        <f t="shared" si="47"/>
        <v>0</v>
      </c>
      <c r="T54" s="33">
        <f t="shared" si="48"/>
        <v>0</v>
      </c>
    </row>
    <row r="55" spans="1:20">
      <c r="A55" s="196"/>
      <c r="B55" s="54" t="s">
        <v>107</v>
      </c>
      <c r="C55" s="30" t="s">
        <v>74</v>
      </c>
      <c r="D55" s="30"/>
      <c r="E55" s="79" t="s">
        <v>99</v>
      </c>
      <c r="F55" s="158"/>
      <c r="G55" s="60"/>
      <c r="H55" s="7">
        <f>H27+(H27*Escalation!$D$2)</f>
        <v>32.25</v>
      </c>
      <c r="I55" s="7">
        <f>I27+(I27*Escalation!$D$2)</f>
        <v>0</v>
      </c>
      <c r="J55" s="6">
        <f t="shared" si="40"/>
        <v>32.25</v>
      </c>
      <c r="K55" s="3">
        <f t="shared" si="41"/>
        <v>0</v>
      </c>
      <c r="L55" s="3">
        <f t="shared" si="42"/>
        <v>0</v>
      </c>
      <c r="M55" s="3">
        <f t="shared" si="43"/>
        <v>0</v>
      </c>
      <c r="N55" s="3">
        <f t="shared" si="44"/>
        <v>0</v>
      </c>
      <c r="O55" s="7">
        <f t="shared" si="49"/>
        <v>32.25</v>
      </c>
      <c r="P55" s="7">
        <f t="shared" si="45"/>
        <v>0</v>
      </c>
      <c r="Q55" s="7">
        <f t="shared" si="50"/>
        <v>32.25</v>
      </c>
      <c r="R55" s="34">
        <f t="shared" si="46"/>
        <v>0</v>
      </c>
      <c r="S55" s="34">
        <f t="shared" si="47"/>
        <v>0</v>
      </c>
      <c r="T55" s="33">
        <f t="shared" si="48"/>
        <v>0</v>
      </c>
    </row>
    <row r="56" spans="1:20" ht="15.75" thickBot="1">
      <c r="A56" s="197"/>
      <c r="B56" s="84" t="s">
        <v>108</v>
      </c>
      <c r="C56" s="81" t="s">
        <v>96</v>
      </c>
      <c r="D56" s="81"/>
      <c r="E56" s="82" t="s">
        <v>99</v>
      </c>
      <c r="F56" s="159"/>
      <c r="G56" s="60"/>
      <c r="H56" s="56">
        <f>H28+(H28*Escalation!$D$2)</f>
        <v>36.625680000000003</v>
      </c>
      <c r="I56" s="56">
        <f>I28+(I28*Escalation!$D$2)</f>
        <v>0</v>
      </c>
      <c r="J56" s="102">
        <f t="shared" si="40"/>
        <v>36.625680000000003</v>
      </c>
      <c r="K56" s="57">
        <f t="shared" si="41"/>
        <v>0</v>
      </c>
      <c r="L56" s="57">
        <f t="shared" si="42"/>
        <v>0</v>
      </c>
      <c r="M56" s="57">
        <f t="shared" si="43"/>
        <v>0</v>
      </c>
      <c r="N56" s="57">
        <f t="shared" si="44"/>
        <v>0</v>
      </c>
      <c r="O56" s="56">
        <f t="shared" si="49"/>
        <v>36.625680000000003</v>
      </c>
      <c r="P56" s="56">
        <f t="shared" si="45"/>
        <v>0</v>
      </c>
      <c r="Q56" s="56">
        <f t="shared" si="50"/>
        <v>36.625680000000003</v>
      </c>
      <c r="R56" s="58">
        <f t="shared" si="46"/>
        <v>0</v>
      </c>
      <c r="S56" s="58">
        <f t="shared" si="47"/>
        <v>0</v>
      </c>
      <c r="T56" s="59">
        <f t="shared" si="48"/>
        <v>0</v>
      </c>
    </row>
    <row r="57" spans="1:20" ht="27" thickBot="1">
      <c r="A57" s="183" t="s">
        <v>111</v>
      </c>
      <c r="B57" s="184"/>
      <c r="C57" s="184"/>
      <c r="D57" s="184"/>
      <c r="E57" s="184"/>
      <c r="F57" s="184"/>
      <c r="G57" s="184"/>
      <c r="H57" s="184"/>
      <c r="I57" s="184"/>
      <c r="J57" s="184"/>
      <c r="K57" s="184"/>
      <c r="L57" s="184"/>
      <c r="M57" s="184"/>
      <c r="N57" s="184"/>
      <c r="O57" s="184"/>
      <c r="P57" s="184"/>
      <c r="Q57" s="184"/>
      <c r="R57" s="184"/>
      <c r="S57" s="184"/>
      <c r="T57" s="185"/>
    </row>
    <row r="58" spans="1:20" ht="15.75" thickBot="1">
      <c r="A58" s="188" t="s">
        <v>112</v>
      </c>
      <c r="B58" s="189"/>
      <c r="C58" s="189"/>
      <c r="D58" s="189"/>
      <c r="E58" s="189"/>
      <c r="F58" s="189"/>
      <c r="G58" s="46"/>
      <c r="H58" s="186"/>
      <c r="I58" s="186"/>
      <c r="J58" s="186"/>
      <c r="K58" s="186"/>
      <c r="L58" s="186"/>
      <c r="M58" s="186"/>
      <c r="N58" s="186"/>
      <c r="O58" s="186"/>
      <c r="P58" s="186"/>
      <c r="Q58" s="186"/>
      <c r="R58" s="186"/>
      <c r="S58" s="186"/>
      <c r="T58" s="187"/>
    </row>
    <row r="59" spans="1:20" s="70" customFormat="1" ht="45.95" customHeight="1" thickBot="1">
      <c r="A59" s="73" t="s">
        <v>37</v>
      </c>
      <c r="B59" s="74" t="s">
        <v>38</v>
      </c>
      <c r="C59" s="75" t="s">
        <v>39</v>
      </c>
      <c r="D59" s="75" t="s">
        <v>40</v>
      </c>
      <c r="E59" s="76" t="s">
        <v>41</v>
      </c>
      <c r="F59" s="108" t="s">
        <v>42</v>
      </c>
      <c r="G59" s="66"/>
      <c r="H59" s="109" t="s">
        <v>43</v>
      </c>
      <c r="I59" s="110" t="s">
        <v>44</v>
      </c>
      <c r="J59" s="110" t="s">
        <v>45</v>
      </c>
      <c r="K59" s="110" t="s">
        <v>46</v>
      </c>
      <c r="L59" s="67" t="s">
        <v>47</v>
      </c>
      <c r="M59" s="67" t="s">
        <v>48</v>
      </c>
      <c r="N59" s="67" t="s">
        <v>49</v>
      </c>
      <c r="O59" s="67" t="s">
        <v>50</v>
      </c>
      <c r="P59" s="67" t="s">
        <v>51</v>
      </c>
      <c r="Q59" s="67" t="s">
        <v>52</v>
      </c>
      <c r="R59" s="68" t="s">
        <v>53</v>
      </c>
      <c r="S59" s="67" t="s">
        <v>54</v>
      </c>
      <c r="T59" s="69" t="s">
        <v>55</v>
      </c>
    </row>
    <row r="60" spans="1:20" s="47" customFormat="1" ht="30" customHeight="1" thickBot="1">
      <c r="A60" s="71" t="s">
        <v>56</v>
      </c>
      <c r="B60" s="12"/>
      <c r="C60" s="12"/>
      <c r="D60" s="12"/>
      <c r="E60" s="72"/>
      <c r="F60" s="111"/>
      <c r="G60" s="38"/>
      <c r="H60" s="112"/>
      <c r="I60" s="41"/>
      <c r="J60" s="41"/>
      <c r="K60" s="37"/>
      <c r="L60" s="37"/>
      <c r="M60" s="37"/>
      <c r="N60" s="37"/>
      <c r="O60" s="41"/>
      <c r="P60" s="37"/>
      <c r="Q60" s="41"/>
      <c r="R60" s="41"/>
      <c r="S60" s="40"/>
      <c r="T60" s="39"/>
    </row>
    <row r="61" spans="1:20" ht="15.75" thickBot="1">
      <c r="A61" s="153" t="s">
        <v>57</v>
      </c>
      <c r="B61" s="88" t="s">
        <v>58</v>
      </c>
      <c r="C61" s="88" t="s">
        <v>59</v>
      </c>
      <c r="D61" s="88" t="s">
        <v>60</v>
      </c>
      <c r="E61" s="89" t="s">
        <v>56</v>
      </c>
      <c r="F61" s="143"/>
      <c r="G61" s="60"/>
      <c r="H61" s="42">
        <f>H33+(H33*Escalation!$D$3)</f>
        <v>45.001825439999998</v>
      </c>
      <c r="I61" s="42">
        <f>I33+(I33*Escalation!$D$3)</f>
        <v>0</v>
      </c>
      <c r="J61" s="42">
        <f t="shared" ref="J61:J75" si="51">IF($I61&lt;$H61,$H61,$I61)</f>
        <v>45.001825439999998</v>
      </c>
      <c r="K61" s="95">
        <f>(J61*$K$4)</f>
        <v>0</v>
      </c>
      <c r="L61" s="95">
        <f>(K61+J61)*$L$4</f>
        <v>0</v>
      </c>
      <c r="M61" s="95">
        <f>(K61+J61+L61)*$M$4</f>
        <v>0</v>
      </c>
      <c r="N61" s="95">
        <f>(J61+K61+L61+M61)*$N$4</f>
        <v>0</v>
      </c>
      <c r="O61" s="42">
        <f>SUM(J61:N61)</f>
        <v>45.001825439999998</v>
      </c>
      <c r="P61" s="42">
        <f>IF($P$4&lt;0,"N/A",$P$4*(J61+K61+L61+M61))</f>
        <v>0</v>
      </c>
      <c r="Q61" s="42">
        <f>SUM(O61:P61)</f>
        <v>45.001825439999998</v>
      </c>
      <c r="R61" s="100">
        <f>O61*F61</f>
        <v>0</v>
      </c>
      <c r="S61" s="100">
        <f>P61*F61</f>
        <v>0</v>
      </c>
      <c r="T61" s="101">
        <f>Q61*F61</f>
        <v>0</v>
      </c>
    </row>
    <row r="62" spans="1:20" ht="15.75" thickBot="1">
      <c r="A62" s="154" t="s">
        <v>61</v>
      </c>
      <c r="B62" s="91" t="s">
        <v>62</v>
      </c>
      <c r="C62" s="91" t="s">
        <v>63</v>
      </c>
      <c r="D62" s="91" t="s">
        <v>64</v>
      </c>
      <c r="E62" s="92" t="s">
        <v>56</v>
      </c>
      <c r="F62" s="156"/>
      <c r="G62" s="60"/>
      <c r="H62" s="104">
        <f>H34+(H34*Escalation!$D$3)</f>
        <v>31.541552640000003</v>
      </c>
      <c r="I62" s="104">
        <f>I34+(I34*Escalation!$D$3)</f>
        <v>0</v>
      </c>
      <c r="J62" s="104">
        <f t="shared" si="51"/>
        <v>31.541552640000003</v>
      </c>
      <c r="K62" s="105">
        <f t="shared" ref="K62:K75" si="52">(J62*$K$4)</f>
        <v>0</v>
      </c>
      <c r="L62" s="105">
        <f t="shared" ref="L62:L75" si="53">(K62+J62)*$L$4</f>
        <v>0</v>
      </c>
      <c r="M62" s="105">
        <f t="shared" ref="M62:M75" si="54">(K62+J62+L62)*$M$4</f>
        <v>0</v>
      </c>
      <c r="N62" s="105">
        <f t="shared" ref="N62:N75" si="55">(J62+K62+L62+M62)*$N$4</f>
        <v>0</v>
      </c>
      <c r="O62" s="104">
        <f t="shared" ref="O62:O75" si="56">SUM(J62:N62)</f>
        <v>31.541552640000003</v>
      </c>
      <c r="P62" s="104">
        <f t="shared" ref="P62:P75" si="57">IF($P$4&lt;0,"N/A",$P$4*(J62+K62+L62+M62))</f>
        <v>0</v>
      </c>
      <c r="Q62" s="104">
        <f t="shared" ref="Q62:Q75" si="58">SUM(O62:P62)</f>
        <v>31.541552640000003</v>
      </c>
      <c r="R62" s="106">
        <f t="shared" ref="R62:R75" si="59">O62*F62</f>
        <v>0</v>
      </c>
      <c r="S62" s="106">
        <f t="shared" ref="S62:S75" si="60">P62*F62</f>
        <v>0</v>
      </c>
      <c r="T62" s="107">
        <f t="shared" ref="T62:T75" si="61">Q62*F62</f>
        <v>0</v>
      </c>
    </row>
    <row r="63" spans="1:20" ht="15.75" thickBot="1">
      <c r="A63" s="154" t="s">
        <v>65</v>
      </c>
      <c r="B63" s="91" t="s">
        <v>66</v>
      </c>
      <c r="C63" s="91" t="s">
        <v>67</v>
      </c>
      <c r="D63" s="91" t="s">
        <v>68</v>
      </c>
      <c r="E63" s="92" t="s">
        <v>56</v>
      </c>
      <c r="F63" s="156"/>
      <c r="G63" s="60"/>
      <c r="H63" s="104">
        <f>H35+(H35*Escalation!$D$3)</f>
        <v>31.541552640000003</v>
      </c>
      <c r="I63" s="104">
        <f>I35+(I35*Escalation!$D$3)</f>
        <v>0</v>
      </c>
      <c r="J63" s="104">
        <f t="shared" si="51"/>
        <v>31.541552640000003</v>
      </c>
      <c r="K63" s="105">
        <f t="shared" si="52"/>
        <v>0</v>
      </c>
      <c r="L63" s="105">
        <f t="shared" si="53"/>
        <v>0</v>
      </c>
      <c r="M63" s="105">
        <f t="shared" si="54"/>
        <v>0</v>
      </c>
      <c r="N63" s="105">
        <f t="shared" si="55"/>
        <v>0</v>
      </c>
      <c r="O63" s="104">
        <f t="shared" si="56"/>
        <v>31.541552640000003</v>
      </c>
      <c r="P63" s="104">
        <f t="shared" si="57"/>
        <v>0</v>
      </c>
      <c r="Q63" s="104">
        <f t="shared" si="58"/>
        <v>31.541552640000003</v>
      </c>
      <c r="R63" s="106">
        <f t="shared" si="59"/>
        <v>0</v>
      </c>
      <c r="S63" s="106">
        <f t="shared" si="60"/>
        <v>0</v>
      </c>
      <c r="T63" s="107">
        <f t="shared" si="61"/>
        <v>0</v>
      </c>
    </row>
    <row r="64" spans="1:20">
      <c r="A64" s="190" t="s">
        <v>69</v>
      </c>
      <c r="B64" s="77" t="s">
        <v>70</v>
      </c>
      <c r="C64" s="77" t="s">
        <v>63</v>
      </c>
      <c r="D64" s="77" t="s">
        <v>64</v>
      </c>
      <c r="E64" s="78" t="s">
        <v>56</v>
      </c>
      <c r="F64" s="157"/>
      <c r="G64" s="60"/>
      <c r="H64" s="28">
        <f>H36+(H36*Escalation!$D$3)</f>
        <v>31.541552640000003</v>
      </c>
      <c r="I64" s="28">
        <f>I36+(I36*Escalation!$D$3)</f>
        <v>0</v>
      </c>
      <c r="J64" s="28">
        <f t="shared" si="51"/>
        <v>31.541552640000003</v>
      </c>
      <c r="K64" s="29">
        <f t="shared" si="52"/>
        <v>0</v>
      </c>
      <c r="L64" s="29">
        <f t="shared" si="53"/>
        <v>0</v>
      </c>
      <c r="M64" s="29">
        <f t="shared" si="54"/>
        <v>0</v>
      </c>
      <c r="N64" s="29">
        <f t="shared" si="55"/>
        <v>0</v>
      </c>
      <c r="O64" s="28">
        <f t="shared" si="56"/>
        <v>31.541552640000003</v>
      </c>
      <c r="P64" s="28">
        <f t="shared" si="57"/>
        <v>0</v>
      </c>
      <c r="Q64" s="28">
        <f t="shared" si="58"/>
        <v>31.541552640000003</v>
      </c>
      <c r="R64" s="36">
        <f t="shared" si="59"/>
        <v>0</v>
      </c>
      <c r="S64" s="36">
        <f t="shared" si="60"/>
        <v>0</v>
      </c>
      <c r="T64" s="35">
        <f t="shared" si="61"/>
        <v>0</v>
      </c>
    </row>
    <row r="65" spans="1:20">
      <c r="A65" s="191"/>
      <c r="B65" s="30" t="s">
        <v>71</v>
      </c>
      <c r="C65" s="30" t="s">
        <v>69</v>
      </c>
      <c r="D65" s="30" t="s">
        <v>72</v>
      </c>
      <c r="E65" s="79" t="s">
        <v>56</v>
      </c>
      <c r="F65" s="158"/>
      <c r="G65" s="60"/>
      <c r="H65" s="7">
        <f>H37+(H37*Escalation!$D$3)</f>
        <v>31.541552640000003</v>
      </c>
      <c r="I65" s="7">
        <f>I37+(I37*Escalation!$D$3)</f>
        <v>0</v>
      </c>
      <c r="J65" s="6">
        <f t="shared" si="51"/>
        <v>31.541552640000003</v>
      </c>
      <c r="K65" s="3">
        <f t="shared" si="52"/>
        <v>0</v>
      </c>
      <c r="L65" s="3">
        <f t="shared" si="53"/>
        <v>0</v>
      </c>
      <c r="M65" s="3">
        <f t="shared" si="54"/>
        <v>0</v>
      </c>
      <c r="N65" s="3">
        <f t="shared" si="55"/>
        <v>0</v>
      </c>
      <c r="O65" s="7">
        <f t="shared" si="56"/>
        <v>31.541552640000003</v>
      </c>
      <c r="P65" s="7">
        <f t="shared" si="57"/>
        <v>0</v>
      </c>
      <c r="Q65" s="7">
        <f t="shared" si="58"/>
        <v>31.541552640000003</v>
      </c>
      <c r="R65" s="34">
        <f t="shared" si="59"/>
        <v>0</v>
      </c>
      <c r="S65" s="34">
        <f t="shared" si="60"/>
        <v>0</v>
      </c>
      <c r="T65" s="33">
        <f t="shared" si="61"/>
        <v>0</v>
      </c>
    </row>
    <row r="66" spans="1:20">
      <c r="A66" s="191"/>
      <c r="B66" s="30" t="s">
        <v>73</v>
      </c>
      <c r="C66" s="30" t="s">
        <v>74</v>
      </c>
      <c r="D66" s="30" t="s">
        <v>75</v>
      </c>
      <c r="E66" s="79" t="s">
        <v>56</v>
      </c>
      <c r="F66" s="158"/>
      <c r="G66" s="60"/>
      <c r="H66" s="7">
        <f>H38+(H38*Escalation!$D$3)</f>
        <v>31.541552640000003</v>
      </c>
      <c r="I66" s="7">
        <f>I38+(I38*Escalation!$D$3)</f>
        <v>0</v>
      </c>
      <c r="J66" s="6">
        <f t="shared" si="51"/>
        <v>31.541552640000003</v>
      </c>
      <c r="K66" s="3">
        <f t="shared" si="52"/>
        <v>0</v>
      </c>
      <c r="L66" s="3">
        <f t="shared" si="53"/>
        <v>0</v>
      </c>
      <c r="M66" s="3">
        <f t="shared" si="54"/>
        <v>0</v>
      </c>
      <c r="N66" s="3">
        <f t="shared" si="55"/>
        <v>0</v>
      </c>
      <c r="O66" s="7">
        <f t="shared" si="56"/>
        <v>31.541552640000003</v>
      </c>
      <c r="P66" s="7">
        <f t="shared" si="57"/>
        <v>0</v>
      </c>
      <c r="Q66" s="7">
        <f t="shared" si="58"/>
        <v>31.541552640000003</v>
      </c>
      <c r="R66" s="34">
        <f t="shared" si="59"/>
        <v>0</v>
      </c>
      <c r="S66" s="34">
        <f t="shared" si="60"/>
        <v>0</v>
      </c>
      <c r="T66" s="33">
        <f t="shared" si="61"/>
        <v>0</v>
      </c>
    </row>
    <row r="67" spans="1:20">
      <c r="A67" s="191"/>
      <c r="B67" s="30" t="s">
        <v>76</v>
      </c>
      <c r="C67" s="30" t="s">
        <v>77</v>
      </c>
      <c r="D67" s="30" t="s">
        <v>78</v>
      </c>
      <c r="E67" s="79" t="s">
        <v>56</v>
      </c>
      <c r="F67" s="158"/>
      <c r="G67" s="60"/>
      <c r="H67" s="7">
        <f>H39+(H39*Escalation!$D$3)</f>
        <v>31.541552640000003</v>
      </c>
      <c r="I67" s="7">
        <f>I39+(I39*Escalation!$D$3)</f>
        <v>0</v>
      </c>
      <c r="J67" s="6">
        <f t="shared" si="51"/>
        <v>31.541552640000003</v>
      </c>
      <c r="K67" s="3">
        <f t="shared" si="52"/>
        <v>0</v>
      </c>
      <c r="L67" s="3">
        <f t="shared" si="53"/>
        <v>0</v>
      </c>
      <c r="M67" s="3">
        <f t="shared" si="54"/>
        <v>0</v>
      </c>
      <c r="N67" s="3">
        <f t="shared" si="55"/>
        <v>0</v>
      </c>
      <c r="O67" s="7">
        <f t="shared" si="56"/>
        <v>31.541552640000003</v>
      </c>
      <c r="P67" s="7">
        <f t="shared" si="57"/>
        <v>0</v>
      </c>
      <c r="Q67" s="7">
        <f t="shared" si="58"/>
        <v>31.541552640000003</v>
      </c>
      <c r="R67" s="34">
        <f t="shared" si="59"/>
        <v>0</v>
      </c>
      <c r="S67" s="34">
        <f t="shared" si="60"/>
        <v>0</v>
      </c>
      <c r="T67" s="33">
        <f t="shared" si="61"/>
        <v>0</v>
      </c>
    </row>
    <row r="68" spans="1:20" ht="15.75" thickBot="1">
      <c r="A68" s="192"/>
      <c r="B68" s="81" t="s">
        <v>79</v>
      </c>
      <c r="C68" s="81" t="s">
        <v>80</v>
      </c>
      <c r="D68" s="81" t="s">
        <v>81</v>
      </c>
      <c r="E68" s="82" t="s">
        <v>56</v>
      </c>
      <c r="F68" s="159"/>
      <c r="G68" s="60"/>
      <c r="H68" s="56">
        <f>H40+(H40*Escalation!$D$3)</f>
        <v>24.98099448</v>
      </c>
      <c r="I68" s="56">
        <f>I40+(I40*Escalation!$D$3)</f>
        <v>0</v>
      </c>
      <c r="J68" s="102">
        <f t="shared" si="51"/>
        <v>24.98099448</v>
      </c>
      <c r="K68" s="57">
        <f t="shared" si="52"/>
        <v>0</v>
      </c>
      <c r="L68" s="57">
        <f t="shared" si="53"/>
        <v>0</v>
      </c>
      <c r="M68" s="57">
        <f t="shared" si="54"/>
        <v>0</v>
      </c>
      <c r="N68" s="57">
        <f t="shared" si="55"/>
        <v>0</v>
      </c>
      <c r="O68" s="56">
        <f t="shared" si="56"/>
        <v>24.98099448</v>
      </c>
      <c r="P68" s="56">
        <f t="shared" si="57"/>
        <v>0</v>
      </c>
      <c r="Q68" s="56">
        <f t="shared" si="58"/>
        <v>24.98099448</v>
      </c>
      <c r="R68" s="58">
        <f t="shared" si="59"/>
        <v>0</v>
      </c>
      <c r="S68" s="58">
        <f t="shared" si="60"/>
        <v>0</v>
      </c>
      <c r="T68" s="59">
        <f t="shared" si="61"/>
        <v>0</v>
      </c>
    </row>
    <row r="69" spans="1:20">
      <c r="A69" s="190" t="s">
        <v>82</v>
      </c>
      <c r="B69" s="77" t="s">
        <v>83</v>
      </c>
      <c r="C69" s="77" t="s">
        <v>84</v>
      </c>
      <c r="D69" s="77" t="s">
        <v>85</v>
      </c>
      <c r="E69" s="78" t="s">
        <v>56</v>
      </c>
      <c r="F69" s="157"/>
      <c r="G69" s="60"/>
      <c r="H69" s="28">
        <f>H41+(H41*Escalation!$D$3)</f>
        <v>26.814559200000001</v>
      </c>
      <c r="I69" s="28">
        <f>I41+(I41*Escalation!$D$3)</f>
        <v>0</v>
      </c>
      <c r="J69" s="28">
        <f t="shared" si="51"/>
        <v>26.814559200000001</v>
      </c>
      <c r="K69" s="29">
        <f t="shared" si="52"/>
        <v>0</v>
      </c>
      <c r="L69" s="29">
        <f t="shared" si="53"/>
        <v>0</v>
      </c>
      <c r="M69" s="29">
        <f t="shared" si="54"/>
        <v>0</v>
      </c>
      <c r="N69" s="29">
        <f t="shared" si="55"/>
        <v>0</v>
      </c>
      <c r="O69" s="28">
        <f t="shared" si="56"/>
        <v>26.814559200000001</v>
      </c>
      <c r="P69" s="28">
        <f t="shared" si="57"/>
        <v>0</v>
      </c>
      <c r="Q69" s="28">
        <f t="shared" si="58"/>
        <v>26.814559200000001</v>
      </c>
      <c r="R69" s="36">
        <f t="shared" si="59"/>
        <v>0</v>
      </c>
      <c r="S69" s="36">
        <f t="shared" si="60"/>
        <v>0</v>
      </c>
      <c r="T69" s="35">
        <f t="shared" si="61"/>
        <v>0</v>
      </c>
    </row>
    <row r="70" spans="1:20" ht="15.75" thickBot="1">
      <c r="A70" s="192"/>
      <c r="B70" s="81" t="s">
        <v>86</v>
      </c>
      <c r="C70" s="81" t="s">
        <v>87</v>
      </c>
      <c r="D70" s="81" t="s">
        <v>88</v>
      </c>
      <c r="E70" s="82" t="s">
        <v>56</v>
      </c>
      <c r="F70" s="159"/>
      <c r="G70" s="60"/>
      <c r="H70" s="56">
        <f>H42+(H42*Escalation!$D$3)</f>
        <v>26.814559200000001</v>
      </c>
      <c r="I70" s="56">
        <f>I42+(I42*Escalation!$D$3)</f>
        <v>0</v>
      </c>
      <c r="J70" s="102">
        <f t="shared" si="51"/>
        <v>26.814559200000001</v>
      </c>
      <c r="K70" s="57">
        <f t="shared" si="52"/>
        <v>0</v>
      </c>
      <c r="L70" s="57">
        <f t="shared" si="53"/>
        <v>0</v>
      </c>
      <c r="M70" s="57">
        <f t="shared" si="54"/>
        <v>0</v>
      </c>
      <c r="N70" s="57">
        <f t="shared" si="55"/>
        <v>0</v>
      </c>
      <c r="O70" s="56">
        <f t="shared" si="56"/>
        <v>26.814559200000001</v>
      </c>
      <c r="P70" s="56">
        <f t="shared" si="57"/>
        <v>0</v>
      </c>
      <c r="Q70" s="56">
        <f t="shared" si="58"/>
        <v>26.814559200000001</v>
      </c>
      <c r="R70" s="58">
        <f>O70*F70</f>
        <v>0</v>
      </c>
      <c r="S70" s="58">
        <f>P70*F70</f>
        <v>0</v>
      </c>
      <c r="T70" s="59">
        <f>Q70*F70</f>
        <v>0</v>
      </c>
    </row>
    <row r="71" spans="1:20" ht="15" customHeight="1">
      <c r="A71" s="193" t="s">
        <v>89</v>
      </c>
      <c r="B71" s="77" t="s">
        <v>90</v>
      </c>
      <c r="C71" s="77" t="s">
        <v>67</v>
      </c>
      <c r="D71" s="77" t="s">
        <v>68</v>
      </c>
      <c r="E71" s="78" t="s">
        <v>56</v>
      </c>
      <c r="F71" s="157"/>
      <c r="G71" s="60"/>
      <c r="H71" s="28">
        <f>H43+(H43*Escalation!$D$3)</f>
        <v>31.541552640000003</v>
      </c>
      <c r="I71" s="28">
        <f>I43+(I43*Escalation!$D$3)</f>
        <v>0</v>
      </c>
      <c r="J71" s="28">
        <f t="shared" si="51"/>
        <v>31.541552640000003</v>
      </c>
      <c r="K71" s="29">
        <f t="shared" si="52"/>
        <v>0</v>
      </c>
      <c r="L71" s="29">
        <f t="shared" si="53"/>
        <v>0</v>
      </c>
      <c r="M71" s="29">
        <f t="shared" si="54"/>
        <v>0</v>
      </c>
      <c r="N71" s="29">
        <f t="shared" si="55"/>
        <v>0</v>
      </c>
      <c r="O71" s="28">
        <f t="shared" si="56"/>
        <v>31.541552640000003</v>
      </c>
      <c r="P71" s="28">
        <f t="shared" si="57"/>
        <v>0</v>
      </c>
      <c r="Q71" s="28">
        <f t="shared" si="58"/>
        <v>31.541552640000003</v>
      </c>
      <c r="R71" s="36">
        <f t="shared" si="59"/>
        <v>0</v>
      </c>
      <c r="S71" s="36">
        <f t="shared" si="60"/>
        <v>0</v>
      </c>
      <c r="T71" s="35">
        <f t="shared" si="61"/>
        <v>0</v>
      </c>
    </row>
    <row r="72" spans="1:20">
      <c r="A72" s="194"/>
      <c r="B72" s="30" t="s">
        <v>91</v>
      </c>
      <c r="C72" s="30" t="s">
        <v>92</v>
      </c>
      <c r="D72" s="30" t="s">
        <v>93</v>
      </c>
      <c r="E72" s="79" t="s">
        <v>56</v>
      </c>
      <c r="F72" s="158"/>
      <c r="G72" s="60"/>
      <c r="H72" s="7">
        <f>H44+(H44*Escalation!$D$3)</f>
        <v>27.461076240000001</v>
      </c>
      <c r="I72" s="7">
        <f>I44+(I44*Escalation!$D$3)</f>
        <v>0</v>
      </c>
      <c r="J72" s="6">
        <f t="shared" si="51"/>
        <v>27.461076240000001</v>
      </c>
      <c r="K72" s="3">
        <f t="shared" si="52"/>
        <v>0</v>
      </c>
      <c r="L72" s="3">
        <f t="shared" si="53"/>
        <v>0</v>
      </c>
      <c r="M72" s="3">
        <f t="shared" si="54"/>
        <v>0</v>
      </c>
      <c r="N72" s="3">
        <f t="shared" si="55"/>
        <v>0</v>
      </c>
      <c r="O72" s="7">
        <f t="shared" si="56"/>
        <v>27.461076240000001</v>
      </c>
      <c r="P72" s="7">
        <f t="shared" si="57"/>
        <v>0</v>
      </c>
      <c r="Q72" s="7">
        <f t="shared" si="58"/>
        <v>27.461076240000001</v>
      </c>
      <c r="R72" s="34">
        <f t="shared" si="59"/>
        <v>0</v>
      </c>
      <c r="S72" s="34">
        <f t="shared" si="60"/>
        <v>0</v>
      </c>
      <c r="T72" s="33">
        <f t="shared" si="61"/>
        <v>0</v>
      </c>
    </row>
    <row r="73" spans="1:20">
      <c r="A73" s="194"/>
      <c r="B73" s="30" t="s">
        <v>94</v>
      </c>
      <c r="C73" s="30" t="s">
        <v>74</v>
      </c>
      <c r="D73" s="30" t="s">
        <v>75</v>
      </c>
      <c r="E73" s="79" t="s">
        <v>56</v>
      </c>
      <c r="F73" s="158"/>
      <c r="G73" s="60"/>
      <c r="H73" s="7">
        <f>H45+(H45*Escalation!$D$3)</f>
        <v>31.541552640000003</v>
      </c>
      <c r="I73" s="7">
        <f>I45+(I45*Escalation!$D$3)</f>
        <v>0</v>
      </c>
      <c r="J73" s="6">
        <f t="shared" si="51"/>
        <v>31.541552640000003</v>
      </c>
      <c r="K73" s="3">
        <f t="shared" si="52"/>
        <v>0</v>
      </c>
      <c r="L73" s="3">
        <f t="shared" si="53"/>
        <v>0</v>
      </c>
      <c r="M73" s="3">
        <f t="shared" si="54"/>
        <v>0</v>
      </c>
      <c r="N73" s="3">
        <f t="shared" si="55"/>
        <v>0</v>
      </c>
      <c r="O73" s="7">
        <f t="shared" si="56"/>
        <v>31.541552640000003</v>
      </c>
      <c r="P73" s="7">
        <f t="shared" si="57"/>
        <v>0</v>
      </c>
      <c r="Q73" s="7">
        <f t="shared" si="58"/>
        <v>31.541552640000003</v>
      </c>
      <c r="R73" s="34">
        <f t="shared" si="59"/>
        <v>0</v>
      </c>
      <c r="S73" s="34">
        <f t="shared" si="60"/>
        <v>0</v>
      </c>
      <c r="T73" s="33">
        <f t="shared" si="61"/>
        <v>0</v>
      </c>
    </row>
    <row r="74" spans="1:20">
      <c r="A74" s="194"/>
      <c r="B74" s="30" t="s">
        <v>95</v>
      </c>
      <c r="C74" s="30" t="s">
        <v>96</v>
      </c>
      <c r="D74" s="30" t="s">
        <v>97</v>
      </c>
      <c r="E74" s="79" t="s">
        <v>56</v>
      </c>
      <c r="F74" s="158"/>
      <c r="G74" s="60"/>
      <c r="H74" s="7">
        <f>H46+(H46*Escalation!$D$3)</f>
        <v>35.823403200000001</v>
      </c>
      <c r="I74" s="7">
        <f>I46+(I46*Escalation!$D$3)</f>
        <v>0</v>
      </c>
      <c r="J74" s="6">
        <f t="shared" si="51"/>
        <v>35.823403200000001</v>
      </c>
      <c r="K74" s="3">
        <f t="shared" si="52"/>
        <v>0</v>
      </c>
      <c r="L74" s="3">
        <f t="shared" si="53"/>
        <v>0</v>
      </c>
      <c r="M74" s="3">
        <f t="shared" si="54"/>
        <v>0</v>
      </c>
      <c r="N74" s="3">
        <f t="shared" si="55"/>
        <v>0</v>
      </c>
      <c r="O74" s="7">
        <f t="shared" si="56"/>
        <v>35.823403200000001</v>
      </c>
      <c r="P74" s="7">
        <f t="shared" si="57"/>
        <v>0</v>
      </c>
      <c r="Q74" s="7">
        <f t="shared" si="58"/>
        <v>35.823403200000001</v>
      </c>
      <c r="R74" s="34">
        <f t="shared" si="59"/>
        <v>0</v>
      </c>
      <c r="S74" s="34">
        <f t="shared" si="60"/>
        <v>0</v>
      </c>
      <c r="T74" s="33">
        <f t="shared" si="61"/>
        <v>0</v>
      </c>
    </row>
    <row r="75" spans="1:20" ht="15.75" thickBot="1">
      <c r="A75" s="195"/>
      <c r="B75" s="81" t="s">
        <v>98</v>
      </c>
      <c r="C75" s="81" t="s">
        <v>80</v>
      </c>
      <c r="D75" s="81" t="s">
        <v>81</v>
      </c>
      <c r="E75" s="82" t="s">
        <v>56</v>
      </c>
      <c r="F75" s="159"/>
      <c r="G75" s="60"/>
      <c r="H75" s="56">
        <f>H47+(H47*Escalation!$D$3)</f>
        <v>24.98099448</v>
      </c>
      <c r="I75" s="56">
        <f>I47+(I47*Escalation!$D$3)</f>
        <v>0</v>
      </c>
      <c r="J75" s="102">
        <f t="shared" si="51"/>
        <v>24.98099448</v>
      </c>
      <c r="K75" s="57">
        <f t="shared" si="52"/>
        <v>0</v>
      </c>
      <c r="L75" s="57">
        <f t="shared" si="53"/>
        <v>0</v>
      </c>
      <c r="M75" s="57">
        <f t="shared" si="54"/>
        <v>0</v>
      </c>
      <c r="N75" s="57">
        <f t="shared" si="55"/>
        <v>0</v>
      </c>
      <c r="O75" s="56">
        <f t="shared" si="56"/>
        <v>24.98099448</v>
      </c>
      <c r="P75" s="56">
        <f t="shared" si="57"/>
        <v>0</v>
      </c>
      <c r="Q75" s="56">
        <f t="shared" si="58"/>
        <v>24.98099448</v>
      </c>
      <c r="R75" s="58">
        <f t="shared" si="59"/>
        <v>0</v>
      </c>
      <c r="S75" s="58">
        <f t="shared" si="60"/>
        <v>0</v>
      </c>
      <c r="T75" s="59">
        <f t="shared" si="61"/>
        <v>0</v>
      </c>
    </row>
    <row r="76" spans="1:20" s="65" customFormat="1" ht="15.75" thickBot="1">
      <c r="A76" s="155" t="s">
        <v>99</v>
      </c>
      <c r="B76" s="93"/>
      <c r="C76" s="93"/>
      <c r="D76" s="93"/>
      <c r="E76" s="94"/>
      <c r="F76" s="152"/>
      <c r="G76" s="64"/>
      <c r="H76" s="115"/>
      <c r="I76" s="115"/>
      <c r="J76" s="115"/>
      <c r="K76" s="115"/>
      <c r="L76" s="115"/>
      <c r="M76" s="115"/>
      <c r="N76" s="115"/>
      <c r="O76" s="115"/>
      <c r="P76" s="115"/>
      <c r="Q76" s="115"/>
      <c r="R76" s="117"/>
      <c r="S76" s="117"/>
      <c r="T76" s="118"/>
    </row>
    <row r="77" spans="1:20" ht="15.75" thickBot="1">
      <c r="A77" s="153" t="s">
        <v>61</v>
      </c>
      <c r="B77" s="87" t="s">
        <v>100</v>
      </c>
      <c r="C77" s="88" t="s">
        <v>63</v>
      </c>
      <c r="D77" s="88"/>
      <c r="E77" s="89" t="s">
        <v>99</v>
      </c>
      <c r="F77" s="156"/>
      <c r="G77" s="60"/>
      <c r="H77" s="104">
        <f>H49+(H49*Escalation!$D$3)</f>
        <v>33.120750000000001</v>
      </c>
      <c r="I77" s="104">
        <f>I49+(I49*Escalation!$D$3)</f>
        <v>0</v>
      </c>
      <c r="J77" s="104">
        <f t="shared" ref="J77:J84" si="62">IF($I77&lt;$H77,$H77,$I77)</f>
        <v>33.120750000000001</v>
      </c>
      <c r="K77" s="105">
        <f t="shared" ref="K77:K84" si="63">(J77*$K$4)</f>
        <v>0</v>
      </c>
      <c r="L77" s="105">
        <f t="shared" ref="L77:L84" si="64">(K77+J77)*$L$4</f>
        <v>0</v>
      </c>
      <c r="M77" s="105">
        <f t="shared" ref="M77:M84" si="65">(K77+J77+L77)*$M$4</f>
        <v>0</v>
      </c>
      <c r="N77" s="105">
        <f t="shared" ref="N77:N84" si="66">(J77+K77+L77+M77)*$N$4</f>
        <v>0</v>
      </c>
      <c r="O77" s="104">
        <f>SUM(J77:N77)</f>
        <v>33.120750000000001</v>
      </c>
      <c r="P77" s="104">
        <f t="shared" ref="P77:P84" si="67">IF($P$4&lt;0,"N/A",$P$4*(J77+K77+L77+M77))</f>
        <v>0</v>
      </c>
      <c r="Q77" s="104">
        <f>SUM(O77:P77)</f>
        <v>33.120750000000001</v>
      </c>
      <c r="R77" s="106">
        <f t="shared" ref="R77:R84" si="68">O77*F77</f>
        <v>0</v>
      </c>
      <c r="S77" s="106">
        <f t="shared" ref="S77:S84" si="69">P77*F77</f>
        <v>0</v>
      </c>
      <c r="T77" s="107">
        <f t="shared" ref="T77:T84" si="70">Q77*F77</f>
        <v>0</v>
      </c>
    </row>
    <row r="78" spans="1:20" ht="15.75" thickBot="1">
      <c r="A78" s="154" t="s">
        <v>65</v>
      </c>
      <c r="B78" s="90" t="s">
        <v>101</v>
      </c>
      <c r="C78" s="91" t="s">
        <v>67</v>
      </c>
      <c r="D78" s="91"/>
      <c r="E78" s="92" t="s">
        <v>99</v>
      </c>
      <c r="F78" s="156"/>
      <c r="G78" s="60"/>
      <c r="H78" s="104">
        <f>H50+(H50*Escalation!$D$3)</f>
        <v>33.120750000000001</v>
      </c>
      <c r="I78" s="104">
        <f>I50+(I50*Escalation!$D$3)</f>
        <v>0</v>
      </c>
      <c r="J78" s="104">
        <f t="shared" si="62"/>
        <v>33.120750000000001</v>
      </c>
      <c r="K78" s="105">
        <f t="shared" si="63"/>
        <v>0</v>
      </c>
      <c r="L78" s="105">
        <f t="shared" si="64"/>
        <v>0</v>
      </c>
      <c r="M78" s="105">
        <f t="shared" si="65"/>
        <v>0</v>
      </c>
      <c r="N78" s="105">
        <f t="shared" si="66"/>
        <v>0</v>
      </c>
      <c r="O78" s="104">
        <f>SUM(J78:N78)</f>
        <v>33.120750000000001</v>
      </c>
      <c r="P78" s="104">
        <f t="shared" si="67"/>
        <v>0</v>
      </c>
      <c r="Q78" s="104">
        <f>SUM(O78:P78)</f>
        <v>33.120750000000001</v>
      </c>
      <c r="R78" s="106">
        <f t="shared" si="68"/>
        <v>0</v>
      </c>
      <c r="S78" s="106">
        <f t="shared" si="69"/>
        <v>0</v>
      </c>
      <c r="T78" s="107">
        <f t="shared" si="70"/>
        <v>0</v>
      </c>
    </row>
    <row r="79" spans="1:20">
      <c r="A79" s="190" t="s">
        <v>82</v>
      </c>
      <c r="B79" s="83" t="s">
        <v>102</v>
      </c>
      <c r="C79" s="77" t="s">
        <v>84</v>
      </c>
      <c r="D79" s="77"/>
      <c r="E79" s="78" t="s">
        <v>99</v>
      </c>
      <c r="F79" s="157"/>
      <c r="G79" s="60"/>
      <c r="H79" s="28">
        <f>H51+(H51*Escalation!$D$3)</f>
        <v>28.160586479999999</v>
      </c>
      <c r="I79" s="28">
        <f>I51+(I51*Escalation!$D$3)</f>
        <v>0</v>
      </c>
      <c r="J79" s="28">
        <f t="shared" si="62"/>
        <v>28.160586479999999</v>
      </c>
      <c r="K79" s="29">
        <f t="shared" si="63"/>
        <v>0</v>
      </c>
      <c r="L79" s="29">
        <f t="shared" si="64"/>
        <v>0</v>
      </c>
      <c r="M79" s="29">
        <f t="shared" si="65"/>
        <v>0</v>
      </c>
      <c r="N79" s="29">
        <f t="shared" si="66"/>
        <v>0</v>
      </c>
      <c r="O79" s="28">
        <f t="shared" ref="O79:O84" si="71">SUM(J79:N79)</f>
        <v>28.160586479999999</v>
      </c>
      <c r="P79" s="28">
        <f t="shared" si="67"/>
        <v>0</v>
      </c>
      <c r="Q79" s="28">
        <f t="shared" ref="Q79:Q84" si="72">SUM(O79:P79)</f>
        <v>28.160586479999999</v>
      </c>
      <c r="R79" s="36">
        <f t="shared" si="68"/>
        <v>0</v>
      </c>
      <c r="S79" s="36">
        <f t="shared" si="69"/>
        <v>0</v>
      </c>
      <c r="T79" s="35">
        <f t="shared" si="70"/>
        <v>0</v>
      </c>
    </row>
    <row r="80" spans="1:20" ht="15.75" thickBot="1">
      <c r="A80" s="192"/>
      <c r="B80" s="84" t="s">
        <v>103</v>
      </c>
      <c r="C80" s="81" t="s">
        <v>104</v>
      </c>
      <c r="D80" s="81"/>
      <c r="E80" s="82" t="s">
        <v>99</v>
      </c>
      <c r="F80" s="159"/>
      <c r="G80" s="60"/>
      <c r="H80" s="56">
        <f>H52+(H52*Escalation!$D$3)</f>
        <v>28.160586479999999</v>
      </c>
      <c r="I80" s="56">
        <f>I52+(I52*Escalation!$D$3)</f>
        <v>0</v>
      </c>
      <c r="J80" s="102">
        <f t="shared" si="62"/>
        <v>28.160586479999999</v>
      </c>
      <c r="K80" s="57">
        <f t="shared" si="63"/>
        <v>0</v>
      </c>
      <c r="L80" s="57">
        <f t="shared" si="64"/>
        <v>0</v>
      </c>
      <c r="M80" s="57">
        <f t="shared" si="65"/>
        <v>0</v>
      </c>
      <c r="N80" s="57">
        <f t="shared" si="66"/>
        <v>0</v>
      </c>
      <c r="O80" s="56">
        <f t="shared" si="71"/>
        <v>28.160586479999999</v>
      </c>
      <c r="P80" s="56">
        <f t="shared" si="67"/>
        <v>0</v>
      </c>
      <c r="Q80" s="56">
        <f t="shared" si="72"/>
        <v>28.160586479999999</v>
      </c>
      <c r="R80" s="58">
        <f>O80*F80</f>
        <v>0</v>
      </c>
      <c r="S80" s="58">
        <f>P80*F80</f>
        <v>0</v>
      </c>
      <c r="T80" s="59">
        <f>Q80*F80</f>
        <v>0</v>
      </c>
    </row>
    <row r="81" spans="1:20">
      <c r="A81" s="193" t="s">
        <v>89</v>
      </c>
      <c r="B81" s="83" t="s">
        <v>105</v>
      </c>
      <c r="C81" s="77" t="s">
        <v>67</v>
      </c>
      <c r="D81" s="77"/>
      <c r="E81" s="78" t="s">
        <v>99</v>
      </c>
      <c r="F81" s="157"/>
      <c r="G81" s="60"/>
      <c r="H81" s="28">
        <f>H53+(H53*Escalation!$D$3)</f>
        <v>33.120750000000001</v>
      </c>
      <c r="I81" s="28">
        <f>I53+(I53*Escalation!$D$3)</f>
        <v>0</v>
      </c>
      <c r="J81" s="28">
        <f t="shared" si="62"/>
        <v>33.120750000000001</v>
      </c>
      <c r="K81" s="29">
        <f t="shared" si="63"/>
        <v>0</v>
      </c>
      <c r="L81" s="29">
        <f t="shared" si="64"/>
        <v>0</v>
      </c>
      <c r="M81" s="29">
        <f t="shared" si="65"/>
        <v>0</v>
      </c>
      <c r="N81" s="29">
        <f t="shared" si="66"/>
        <v>0</v>
      </c>
      <c r="O81" s="28">
        <f t="shared" si="71"/>
        <v>33.120750000000001</v>
      </c>
      <c r="P81" s="28">
        <f t="shared" si="67"/>
        <v>0</v>
      </c>
      <c r="Q81" s="28">
        <f t="shared" si="72"/>
        <v>33.120750000000001</v>
      </c>
      <c r="R81" s="36">
        <f t="shared" si="68"/>
        <v>0</v>
      </c>
      <c r="S81" s="36">
        <f t="shared" si="69"/>
        <v>0</v>
      </c>
      <c r="T81" s="35">
        <f t="shared" si="70"/>
        <v>0</v>
      </c>
    </row>
    <row r="82" spans="1:20">
      <c r="A82" s="196"/>
      <c r="B82" s="54" t="s">
        <v>106</v>
      </c>
      <c r="C82" s="30" t="s">
        <v>92</v>
      </c>
      <c r="D82" s="30"/>
      <c r="E82" s="79" t="s">
        <v>99</v>
      </c>
      <c r="F82" s="158"/>
      <c r="G82" s="60"/>
      <c r="H82" s="7">
        <f>H54+(H54*Escalation!$D$3)</f>
        <v>28.838899439999999</v>
      </c>
      <c r="I82" s="7">
        <f>I54+(I54*Escalation!$D$3)</f>
        <v>0</v>
      </c>
      <c r="J82" s="6">
        <f t="shared" si="62"/>
        <v>28.838899439999999</v>
      </c>
      <c r="K82" s="3">
        <f t="shared" si="63"/>
        <v>0</v>
      </c>
      <c r="L82" s="3">
        <f t="shared" si="64"/>
        <v>0</v>
      </c>
      <c r="M82" s="3">
        <f t="shared" si="65"/>
        <v>0</v>
      </c>
      <c r="N82" s="3">
        <f t="shared" si="66"/>
        <v>0</v>
      </c>
      <c r="O82" s="7">
        <f t="shared" si="71"/>
        <v>28.838899439999999</v>
      </c>
      <c r="P82" s="7">
        <f t="shared" si="67"/>
        <v>0</v>
      </c>
      <c r="Q82" s="7">
        <f t="shared" si="72"/>
        <v>28.838899439999999</v>
      </c>
      <c r="R82" s="34">
        <f t="shared" si="68"/>
        <v>0</v>
      </c>
      <c r="S82" s="34">
        <f t="shared" si="69"/>
        <v>0</v>
      </c>
      <c r="T82" s="33">
        <f t="shared" si="70"/>
        <v>0</v>
      </c>
    </row>
    <row r="83" spans="1:20">
      <c r="A83" s="196"/>
      <c r="B83" s="54" t="s">
        <v>107</v>
      </c>
      <c r="C83" s="30" t="s">
        <v>74</v>
      </c>
      <c r="D83" s="30"/>
      <c r="E83" s="79" t="s">
        <v>99</v>
      </c>
      <c r="F83" s="158"/>
      <c r="G83" s="60"/>
      <c r="H83" s="7">
        <f>H55+(H55*Escalation!$D$3)</f>
        <v>33.120750000000001</v>
      </c>
      <c r="I83" s="7">
        <f>I55+(I55*Escalation!$D$3)</f>
        <v>0</v>
      </c>
      <c r="J83" s="6">
        <f t="shared" si="62"/>
        <v>33.120750000000001</v>
      </c>
      <c r="K83" s="3">
        <f t="shared" si="63"/>
        <v>0</v>
      </c>
      <c r="L83" s="3">
        <f t="shared" si="64"/>
        <v>0</v>
      </c>
      <c r="M83" s="3">
        <f t="shared" si="65"/>
        <v>0</v>
      </c>
      <c r="N83" s="3">
        <f t="shared" si="66"/>
        <v>0</v>
      </c>
      <c r="O83" s="7">
        <f t="shared" si="71"/>
        <v>33.120750000000001</v>
      </c>
      <c r="P83" s="7">
        <f t="shared" si="67"/>
        <v>0</v>
      </c>
      <c r="Q83" s="7">
        <f t="shared" si="72"/>
        <v>33.120750000000001</v>
      </c>
      <c r="R83" s="34">
        <f t="shared" si="68"/>
        <v>0</v>
      </c>
      <c r="S83" s="34">
        <f t="shared" si="69"/>
        <v>0</v>
      </c>
      <c r="T83" s="33">
        <f t="shared" si="70"/>
        <v>0</v>
      </c>
    </row>
    <row r="84" spans="1:20" ht="15.75" thickBot="1">
      <c r="A84" s="197"/>
      <c r="B84" s="84" t="s">
        <v>108</v>
      </c>
      <c r="C84" s="81" t="s">
        <v>96</v>
      </c>
      <c r="D84" s="81"/>
      <c r="E84" s="82" t="s">
        <v>99</v>
      </c>
      <c r="F84" s="159"/>
      <c r="G84" s="60"/>
      <c r="H84" s="56">
        <f>H56+(H56*Escalation!$D$3)</f>
        <v>37.614573360000001</v>
      </c>
      <c r="I84" s="56">
        <f>I56+(I56*Escalation!$D$3)</f>
        <v>0</v>
      </c>
      <c r="J84" s="102">
        <f t="shared" si="62"/>
        <v>37.614573360000001</v>
      </c>
      <c r="K84" s="57">
        <f t="shared" si="63"/>
        <v>0</v>
      </c>
      <c r="L84" s="57">
        <f t="shared" si="64"/>
        <v>0</v>
      </c>
      <c r="M84" s="57">
        <f t="shared" si="65"/>
        <v>0</v>
      </c>
      <c r="N84" s="57">
        <f t="shared" si="66"/>
        <v>0</v>
      </c>
      <c r="O84" s="56">
        <f t="shared" si="71"/>
        <v>37.614573360000001</v>
      </c>
      <c r="P84" s="56">
        <f t="shared" si="67"/>
        <v>0</v>
      </c>
      <c r="Q84" s="56">
        <f t="shared" si="72"/>
        <v>37.614573360000001</v>
      </c>
      <c r="R84" s="58">
        <f t="shared" si="68"/>
        <v>0</v>
      </c>
      <c r="S84" s="58">
        <f t="shared" si="69"/>
        <v>0</v>
      </c>
      <c r="T84" s="59">
        <f t="shared" si="70"/>
        <v>0</v>
      </c>
    </row>
    <row r="85" spans="1:20" ht="27" thickBot="1">
      <c r="A85" s="183" t="s">
        <v>113</v>
      </c>
      <c r="B85" s="184"/>
      <c r="C85" s="184"/>
      <c r="D85" s="184"/>
      <c r="E85" s="184"/>
      <c r="F85" s="184"/>
      <c r="G85" s="184"/>
      <c r="H85" s="184"/>
      <c r="I85" s="184"/>
      <c r="J85" s="184"/>
      <c r="K85" s="184"/>
      <c r="L85" s="184"/>
      <c r="M85" s="184"/>
      <c r="N85" s="184"/>
      <c r="O85" s="184"/>
      <c r="P85" s="184"/>
      <c r="Q85" s="184"/>
      <c r="R85" s="184"/>
      <c r="S85" s="184"/>
      <c r="T85" s="185"/>
    </row>
    <row r="86" spans="1:20" ht="15.75" thickBot="1">
      <c r="A86" s="188" t="s">
        <v>114</v>
      </c>
      <c r="B86" s="189"/>
      <c r="C86" s="189"/>
      <c r="D86" s="189"/>
      <c r="E86" s="189"/>
      <c r="F86" s="189"/>
      <c r="G86" s="46"/>
      <c r="H86" s="186"/>
      <c r="I86" s="186"/>
      <c r="J86" s="186"/>
      <c r="K86" s="186"/>
      <c r="L86" s="186"/>
      <c r="M86" s="186"/>
      <c r="N86" s="186"/>
      <c r="O86" s="186"/>
      <c r="P86" s="186"/>
      <c r="Q86" s="186"/>
      <c r="R86" s="186"/>
      <c r="S86" s="186"/>
      <c r="T86" s="187"/>
    </row>
    <row r="87" spans="1:20" s="70" customFormat="1" ht="45.95" customHeight="1" thickBot="1">
      <c r="A87" s="73" t="s">
        <v>37</v>
      </c>
      <c r="B87" s="74" t="s">
        <v>38</v>
      </c>
      <c r="C87" s="75" t="s">
        <v>39</v>
      </c>
      <c r="D87" s="75" t="s">
        <v>40</v>
      </c>
      <c r="E87" s="76" t="s">
        <v>41</v>
      </c>
      <c r="F87" s="108" t="s">
        <v>42</v>
      </c>
      <c r="G87" s="66"/>
      <c r="H87" s="109" t="s">
        <v>43</v>
      </c>
      <c r="I87" s="110" t="s">
        <v>44</v>
      </c>
      <c r="J87" s="110" t="s">
        <v>45</v>
      </c>
      <c r="K87" s="110" t="s">
        <v>46</v>
      </c>
      <c r="L87" s="67" t="s">
        <v>47</v>
      </c>
      <c r="M87" s="67" t="s">
        <v>48</v>
      </c>
      <c r="N87" s="67" t="s">
        <v>49</v>
      </c>
      <c r="O87" s="67" t="s">
        <v>50</v>
      </c>
      <c r="P87" s="67" t="s">
        <v>51</v>
      </c>
      <c r="Q87" s="67" t="s">
        <v>52</v>
      </c>
      <c r="R87" s="68" t="s">
        <v>53</v>
      </c>
      <c r="S87" s="67" t="s">
        <v>54</v>
      </c>
      <c r="T87" s="69" t="s">
        <v>55</v>
      </c>
    </row>
    <row r="88" spans="1:20" s="47" customFormat="1" ht="30" customHeight="1" thickBot="1">
      <c r="A88" s="71" t="s">
        <v>56</v>
      </c>
      <c r="B88" s="12"/>
      <c r="C88" s="12"/>
      <c r="D88" s="12"/>
      <c r="E88" s="72"/>
      <c r="F88" s="111"/>
      <c r="G88" s="38"/>
      <c r="H88" s="112"/>
      <c r="I88" s="41"/>
      <c r="J88" s="41"/>
      <c r="K88" s="37"/>
      <c r="L88" s="37"/>
      <c r="M88" s="37"/>
      <c r="N88" s="37"/>
      <c r="O88" s="41"/>
      <c r="P88" s="37"/>
      <c r="Q88" s="41"/>
      <c r="R88" s="41"/>
      <c r="S88" s="40"/>
      <c r="T88" s="39"/>
    </row>
    <row r="89" spans="1:20" ht="15.75" thickBot="1">
      <c r="A89" s="153" t="s">
        <v>57</v>
      </c>
      <c r="B89" s="88" t="s">
        <v>58</v>
      </c>
      <c r="C89" s="88" t="s">
        <v>59</v>
      </c>
      <c r="D89" s="88" t="s">
        <v>60</v>
      </c>
      <c r="E89" s="89" t="s">
        <v>56</v>
      </c>
      <c r="F89" s="143"/>
      <c r="G89" s="60"/>
      <c r="H89" s="42">
        <f>H61+(H61*Escalation!$D$4)</f>
        <v>46.21687472688</v>
      </c>
      <c r="I89" s="42">
        <f>I61+(I61*Escalation!$D$4)</f>
        <v>0</v>
      </c>
      <c r="J89" s="42">
        <f t="shared" ref="J89:J103" si="73">IF($I89&lt;$H89,$H89,$I89)</f>
        <v>46.21687472688</v>
      </c>
      <c r="K89" s="95">
        <f>(J89*$K$4)</f>
        <v>0</v>
      </c>
      <c r="L89" s="95">
        <f>(K89+J89)*$L$4</f>
        <v>0</v>
      </c>
      <c r="M89" s="95">
        <f>(K89+J89+L89)*$M$4</f>
        <v>0</v>
      </c>
      <c r="N89" s="95">
        <f>(J89+K89+L89+M89)*$N$4</f>
        <v>0</v>
      </c>
      <c r="O89" s="42">
        <f>SUM(J89:N89)</f>
        <v>46.21687472688</v>
      </c>
      <c r="P89" s="42">
        <f>IF($P$4&lt;0,"N/A",$P$4*(J89+K89+L89+M89))</f>
        <v>0</v>
      </c>
      <c r="Q89" s="42">
        <f>SUM(O89:P89)</f>
        <v>46.21687472688</v>
      </c>
      <c r="R89" s="100">
        <f>O89*F89</f>
        <v>0</v>
      </c>
      <c r="S89" s="100">
        <f>P89*F89</f>
        <v>0</v>
      </c>
      <c r="T89" s="101">
        <f>Q89*F89</f>
        <v>0</v>
      </c>
    </row>
    <row r="90" spans="1:20" ht="15.75" thickBot="1">
      <c r="A90" s="154" t="s">
        <v>61</v>
      </c>
      <c r="B90" s="91" t="s">
        <v>62</v>
      </c>
      <c r="C90" s="91" t="s">
        <v>63</v>
      </c>
      <c r="D90" s="91" t="s">
        <v>64</v>
      </c>
      <c r="E90" s="92" t="s">
        <v>56</v>
      </c>
      <c r="F90" s="156"/>
      <c r="G90" s="60"/>
      <c r="H90" s="104">
        <f>H62+(H62*Escalation!$D$4)</f>
        <v>32.393174561280006</v>
      </c>
      <c r="I90" s="104">
        <f>I62+(I62*Escalation!$D$4)</f>
        <v>0</v>
      </c>
      <c r="J90" s="104">
        <f t="shared" si="73"/>
        <v>32.393174561280006</v>
      </c>
      <c r="K90" s="105">
        <f t="shared" ref="K90:K103" si="74">(J90*$K$4)</f>
        <v>0</v>
      </c>
      <c r="L90" s="105">
        <f t="shared" ref="L90:L103" si="75">(K90+J90)*$L$4</f>
        <v>0</v>
      </c>
      <c r="M90" s="105">
        <f t="shared" ref="M90:M103" si="76">(K90+J90+L90)*$M$4</f>
        <v>0</v>
      </c>
      <c r="N90" s="105">
        <f t="shared" ref="N90:N103" si="77">(J90+K90+L90+M90)*$N$4</f>
        <v>0</v>
      </c>
      <c r="O90" s="104">
        <f t="shared" ref="O90:O103" si="78">SUM(J90:N90)</f>
        <v>32.393174561280006</v>
      </c>
      <c r="P90" s="104">
        <f t="shared" ref="P90:P103" si="79">IF($P$4&lt;0,"N/A",$P$4*(J90+K90+L90+M90))</f>
        <v>0</v>
      </c>
      <c r="Q90" s="104">
        <f t="shared" ref="Q90:Q103" si="80">SUM(O90:P90)</f>
        <v>32.393174561280006</v>
      </c>
      <c r="R90" s="106">
        <f t="shared" ref="R90:R103" si="81">O90*F90</f>
        <v>0</v>
      </c>
      <c r="S90" s="106">
        <f t="shared" ref="S90:S103" si="82">P90*F90</f>
        <v>0</v>
      </c>
      <c r="T90" s="107">
        <f t="shared" ref="T90:T103" si="83">Q90*F90</f>
        <v>0</v>
      </c>
    </row>
    <row r="91" spans="1:20" ht="15.75" thickBot="1">
      <c r="A91" s="154" t="s">
        <v>65</v>
      </c>
      <c r="B91" s="91" t="s">
        <v>66</v>
      </c>
      <c r="C91" s="91" t="s">
        <v>67</v>
      </c>
      <c r="D91" s="91" t="s">
        <v>68</v>
      </c>
      <c r="E91" s="92" t="s">
        <v>56</v>
      </c>
      <c r="F91" s="156"/>
      <c r="G91" s="60"/>
      <c r="H91" s="104">
        <f>H63+(H63*Escalation!$D$4)</f>
        <v>32.393174561280006</v>
      </c>
      <c r="I91" s="104">
        <f>I63+(I63*Escalation!$D$4)</f>
        <v>0</v>
      </c>
      <c r="J91" s="104">
        <f t="shared" si="73"/>
        <v>32.393174561280006</v>
      </c>
      <c r="K91" s="105">
        <f t="shared" si="74"/>
        <v>0</v>
      </c>
      <c r="L91" s="105">
        <f t="shared" si="75"/>
        <v>0</v>
      </c>
      <c r="M91" s="105">
        <f t="shared" si="76"/>
        <v>0</v>
      </c>
      <c r="N91" s="105">
        <f t="shared" si="77"/>
        <v>0</v>
      </c>
      <c r="O91" s="104">
        <f t="shared" si="78"/>
        <v>32.393174561280006</v>
      </c>
      <c r="P91" s="104">
        <f t="shared" si="79"/>
        <v>0</v>
      </c>
      <c r="Q91" s="104">
        <f t="shared" si="80"/>
        <v>32.393174561280006</v>
      </c>
      <c r="R91" s="106">
        <f t="shared" si="81"/>
        <v>0</v>
      </c>
      <c r="S91" s="106">
        <f t="shared" si="82"/>
        <v>0</v>
      </c>
      <c r="T91" s="107">
        <f t="shared" si="83"/>
        <v>0</v>
      </c>
    </row>
    <row r="92" spans="1:20">
      <c r="A92" s="190" t="s">
        <v>69</v>
      </c>
      <c r="B92" s="77" t="s">
        <v>70</v>
      </c>
      <c r="C92" s="77" t="s">
        <v>63</v>
      </c>
      <c r="D92" s="77" t="s">
        <v>64</v>
      </c>
      <c r="E92" s="78" t="s">
        <v>56</v>
      </c>
      <c r="F92" s="157"/>
      <c r="G92" s="60"/>
      <c r="H92" s="28">
        <f>H64+(H64*Escalation!$D$4)</f>
        <v>32.393174561280006</v>
      </c>
      <c r="I92" s="28">
        <f>I64+(I64*Escalation!$D$4)</f>
        <v>0</v>
      </c>
      <c r="J92" s="28">
        <f t="shared" si="73"/>
        <v>32.393174561280006</v>
      </c>
      <c r="K92" s="29">
        <f t="shared" si="74"/>
        <v>0</v>
      </c>
      <c r="L92" s="29">
        <f t="shared" si="75"/>
        <v>0</v>
      </c>
      <c r="M92" s="29">
        <f t="shared" si="76"/>
        <v>0</v>
      </c>
      <c r="N92" s="29">
        <f t="shared" si="77"/>
        <v>0</v>
      </c>
      <c r="O92" s="28">
        <f t="shared" si="78"/>
        <v>32.393174561280006</v>
      </c>
      <c r="P92" s="28">
        <f t="shared" si="79"/>
        <v>0</v>
      </c>
      <c r="Q92" s="28">
        <f t="shared" si="80"/>
        <v>32.393174561280006</v>
      </c>
      <c r="R92" s="36">
        <f t="shared" si="81"/>
        <v>0</v>
      </c>
      <c r="S92" s="36">
        <f t="shared" si="82"/>
        <v>0</v>
      </c>
      <c r="T92" s="35">
        <f t="shared" si="83"/>
        <v>0</v>
      </c>
    </row>
    <row r="93" spans="1:20">
      <c r="A93" s="191"/>
      <c r="B93" s="30" t="s">
        <v>71</v>
      </c>
      <c r="C93" s="30" t="s">
        <v>69</v>
      </c>
      <c r="D93" s="30" t="s">
        <v>72</v>
      </c>
      <c r="E93" s="79" t="s">
        <v>56</v>
      </c>
      <c r="F93" s="158"/>
      <c r="G93" s="60"/>
      <c r="H93" s="7">
        <f>H65+(H65*Escalation!$D$4)</f>
        <v>32.393174561280006</v>
      </c>
      <c r="I93" s="7">
        <f>I65+(I65*Escalation!$D$4)</f>
        <v>0</v>
      </c>
      <c r="J93" s="6">
        <f t="shared" si="73"/>
        <v>32.393174561280006</v>
      </c>
      <c r="K93" s="3">
        <f t="shared" si="74"/>
        <v>0</v>
      </c>
      <c r="L93" s="3">
        <f t="shared" si="75"/>
        <v>0</v>
      </c>
      <c r="M93" s="3">
        <f t="shared" si="76"/>
        <v>0</v>
      </c>
      <c r="N93" s="3">
        <f t="shared" si="77"/>
        <v>0</v>
      </c>
      <c r="O93" s="7">
        <f t="shared" si="78"/>
        <v>32.393174561280006</v>
      </c>
      <c r="P93" s="7">
        <f t="shared" si="79"/>
        <v>0</v>
      </c>
      <c r="Q93" s="7">
        <f t="shared" si="80"/>
        <v>32.393174561280006</v>
      </c>
      <c r="R93" s="34">
        <f t="shared" si="81"/>
        <v>0</v>
      </c>
      <c r="S93" s="34">
        <f t="shared" si="82"/>
        <v>0</v>
      </c>
      <c r="T93" s="33">
        <f t="shared" si="83"/>
        <v>0</v>
      </c>
    </row>
    <row r="94" spans="1:20">
      <c r="A94" s="191"/>
      <c r="B94" s="30" t="s">
        <v>73</v>
      </c>
      <c r="C94" s="30" t="s">
        <v>74</v>
      </c>
      <c r="D94" s="30" t="s">
        <v>75</v>
      </c>
      <c r="E94" s="79" t="s">
        <v>56</v>
      </c>
      <c r="F94" s="158"/>
      <c r="G94" s="60"/>
      <c r="H94" s="7">
        <f>H66+(H66*Escalation!$D$4)</f>
        <v>32.393174561280006</v>
      </c>
      <c r="I94" s="7">
        <f>I66+(I66*Escalation!$D$4)</f>
        <v>0</v>
      </c>
      <c r="J94" s="6">
        <f t="shared" si="73"/>
        <v>32.393174561280006</v>
      </c>
      <c r="K94" s="3">
        <f t="shared" si="74"/>
        <v>0</v>
      </c>
      <c r="L94" s="3">
        <f t="shared" si="75"/>
        <v>0</v>
      </c>
      <c r="M94" s="3">
        <f t="shared" si="76"/>
        <v>0</v>
      </c>
      <c r="N94" s="3">
        <f t="shared" si="77"/>
        <v>0</v>
      </c>
      <c r="O94" s="7">
        <f t="shared" si="78"/>
        <v>32.393174561280006</v>
      </c>
      <c r="P94" s="7">
        <f t="shared" si="79"/>
        <v>0</v>
      </c>
      <c r="Q94" s="7">
        <f t="shared" si="80"/>
        <v>32.393174561280006</v>
      </c>
      <c r="R94" s="34">
        <f t="shared" si="81"/>
        <v>0</v>
      </c>
      <c r="S94" s="34">
        <f t="shared" si="82"/>
        <v>0</v>
      </c>
      <c r="T94" s="33">
        <f t="shared" si="83"/>
        <v>0</v>
      </c>
    </row>
    <row r="95" spans="1:20">
      <c r="A95" s="191"/>
      <c r="B95" s="30" t="s">
        <v>76</v>
      </c>
      <c r="C95" s="30" t="s">
        <v>77</v>
      </c>
      <c r="D95" s="30" t="s">
        <v>78</v>
      </c>
      <c r="E95" s="79" t="s">
        <v>56</v>
      </c>
      <c r="F95" s="158"/>
      <c r="G95" s="60"/>
      <c r="H95" s="7">
        <f>H67+(H67*Escalation!$D$4)</f>
        <v>32.393174561280006</v>
      </c>
      <c r="I95" s="7">
        <f>I67+(I67*Escalation!$D$4)</f>
        <v>0</v>
      </c>
      <c r="J95" s="6">
        <f t="shared" si="73"/>
        <v>32.393174561280006</v>
      </c>
      <c r="K95" s="3">
        <f t="shared" si="74"/>
        <v>0</v>
      </c>
      <c r="L95" s="3">
        <f t="shared" si="75"/>
        <v>0</v>
      </c>
      <c r="M95" s="3">
        <f t="shared" si="76"/>
        <v>0</v>
      </c>
      <c r="N95" s="3">
        <f t="shared" si="77"/>
        <v>0</v>
      </c>
      <c r="O95" s="7">
        <f t="shared" si="78"/>
        <v>32.393174561280006</v>
      </c>
      <c r="P95" s="7">
        <f t="shared" si="79"/>
        <v>0</v>
      </c>
      <c r="Q95" s="7">
        <f t="shared" si="80"/>
        <v>32.393174561280006</v>
      </c>
      <c r="R95" s="34">
        <f t="shared" si="81"/>
        <v>0</v>
      </c>
      <c r="S95" s="34">
        <f t="shared" si="82"/>
        <v>0</v>
      </c>
      <c r="T95" s="33">
        <f t="shared" si="83"/>
        <v>0</v>
      </c>
    </row>
    <row r="96" spans="1:20" ht="15.75" thickBot="1">
      <c r="A96" s="192"/>
      <c r="B96" s="81" t="s">
        <v>79</v>
      </c>
      <c r="C96" s="81" t="s">
        <v>80</v>
      </c>
      <c r="D96" s="81" t="s">
        <v>81</v>
      </c>
      <c r="E96" s="82" t="s">
        <v>56</v>
      </c>
      <c r="F96" s="159"/>
      <c r="G96" s="60"/>
      <c r="H96" s="56">
        <f>H68+(H68*Escalation!$D$4)</f>
        <v>25.655481330960001</v>
      </c>
      <c r="I96" s="56">
        <f>I68+(I68*Escalation!$D$4)</f>
        <v>0</v>
      </c>
      <c r="J96" s="102">
        <f t="shared" si="73"/>
        <v>25.655481330960001</v>
      </c>
      <c r="K96" s="57">
        <f t="shared" si="74"/>
        <v>0</v>
      </c>
      <c r="L96" s="57">
        <f t="shared" si="75"/>
        <v>0</v>
      </c>
      <c r="M96" s="57">
        <f t="shared" si="76"/>
        <v>0</v>
      </c>
      <c r="N96" s="57">
        <f t="shared" si="77"/>
        <v>0</v>
      </c>
      <c r="O96" s="56">
        <f t="shared" si="78"/>
        <v>25.655481330960001</v>
      </c>
      <c r="P96" s="56">
        <f t="shared" si="79"/>
        <v>0</v>
      </c>
      <c r="Q96" s="56">
        <f t="shared" si="80"/>
        <v>25.655481330960001</v>
      </c>
      <c r="R96" s="58">
        <f t="shared" si="81"/>
        <v>0</v>
      </c>
      <c r="S96" s="58">
        <f t="shared" si="82"/>
        <v>0</v>
      </c>
      <c r="T96" s="59">
        <f t="shared" si="83"/>
        <v>0</v>
      </c>
    </row>
    <row r="97" spans="1:20">
      <c r="A97" s="190" t="s">
        <v>82</v>
      </c>
      <c r="B97" s="77" t="s">
        <v>83</v>
      </c>
      <c r="C97" s="77" t="s">
        <v>84</v>
      </c>
      <c r="D97" s="77" t="s">
        <v>85</v>
      </c>
      <c r="E97" s="78" t="s">
        <v>56</v>
      </c>
      <c r="F97" s="157"/>
      <c r="G97" s="60"/>
      <c r="H97" s="28">
        <f>H69+(H69*Escalation!$D$4)</f>
        <v>27.538552298400003</v>
      </c>
      <c r="I97" s="28">
        <f>I69+(I69*Escalation!$D$4)</f>
        <v>0</v>
      </c>
      <c r="J97" s="28">
        <f t="shared" si="73"/>
        <v>27.538552298400003</v>
      </c>
      <c r="K97" s="29">
        <f t="shared" si="74"/>
        <v>0</v>
      </c>
      <c r="L97" s="29">
        <f t="shared" si="75"/>
        <v>0</v>
      </c>
      <c r="M97" s="29">
        <f t="shared" si="76"/>
        <v>0</v>
      </c>
      <c r="N97" s="29">
        <f t="shared" si="77"/>
        <v>0</v>
      </c>
      <c r="O97" s="28">
        <f t="shared" si="78"/>
        <v>27.538552298400003</v>
      </c>
      <c r="P97" s="28">
        <f t="shared" si="79"/>
        <v>0</v>
      </c>
      <c r="Q97" s="28">
        <f t="shared" si="80"/>
        <v>27.538552298400003</v>
      </c>
      <c r="R97" s="36">
        <f t="shared" si="81"/>
        <v>0</v>
      </c>
      <c r="S97" s="36">
        <f t="shared" si="82"/>
        <v>0</v>
      </c>
      <c r="T97" s="35">
        <f t="shared" si="83"/>
        <v>0</v>
      </c>
    </row>
    <row r="98" spans="1:20" ht="15.75" thickBot="1">
      <c r="A98" s="192"/>
      <c r="B98" s="81" t="s">
        <v>86</v>
      </c>
      <c r="C98" s="81" t="s">
        <v>87</v>
      </c>
      <c r="D98" s="81" t="s">
        <v>88</v>
      </c>
      <c r="E98" s="82" t="s">
        <v>56</v>
      </c>
      <c r="F98" s="159"/>
      <c r="G98" s="60"/>
      <c r="H98" s="56">
        <f>H70+(H70*Escalation!$D$4)</f>
        <v>27.538552298400003</v>
      </c>
      <c r="I98" s="56">
        <f>I70+(I70*Escalation!$D$4)</f>
        <v>0</v>
      </c>
      <c r="J98" s="102">
        <f t="shared" si="73"/>
        <v>27.538552298400003</v>
      </c>
      <c r="K98" s="57">
        <f t="shared" si="74"/>
        <v>0</v>
      </c>
      <c r="L98" s="57">
        <f t="shared" si="75"/>
        <v>0</v>
      </c>
      <c r="M98" s="57">
        <f t="shared" si="76"/>
        <v>0</v>
      </c>
      <c r="N98" s="57">
        <f t="shared" si="77"/>
        <v>0</v>
      </c>
      <c r="O98" s="56">
        <f t="shared" si="78"/>
        <v>27.538552298400003</v>
      </c>
      <c r="P98" s="56">
        <f t="shared" si="79"/>
        <v>0</v>
      </c>
      <c r="Q98" s="56">
        <f t="shared" si="80"/>
        <v>27.538552298400003</v>
      </c>
      <c r="R98" s="58">
        <f t="shared" si="81"/>
        <v>0</v>
      </c>
      <c r="S98" s="58">
        <f t="shared" si="82"/>
        <v>0</v>
      </c>
      <c r="T98" s="59">
        <f t="shared" si="83"/>
        <v>0</v>
      </c>
    </row>
    <row r="99" spans="1:20" ht="15" customHeight="1">
      <c r="A99" s="193" t="s">
        <v>89</v>
      </c>
      <c r="B99" s="77" t="s">
        <v>90</v>
      </c>
      <c r="C99" s="77" t="s">
        <v>67</v>
      </c>
      <c r="D99" s="77" t="s">
        <v>68</v>
      </c>
      <c r="E99" s="78" t="s">
        <v>56</v>
      </c>
      <c r="F99" s="157"/>
      <c r="G99" s="60"/>
      <c r="H99" s="28">
        <f>H71+(H71*Escalation!$D$4)</f>
        <v>32.393174561280006</v>
      </c>
      <c r="I99" s="28">
        <f>I71+(I71*Escalation!$D$4)</f>
        <v>0</v>
      </c>
      <c r="J99" s="28">
        <f t="shared" si="73"/>
        <v>32.393174561280006</v>
      </c>
      <c r="K99" s="29">
        <f t="shared" si="74"/>
        <v>0</v>
      </c>
      <c r="L99" s="29">
        <f t="shared" si="75"/>
        <v>0</v>
      </c>
      <c r="M99" s="29">
        <f t="shared" si="76"/>
        <v>0</v>
      </c>
      <c r="N99" s="29">
        <f t="shared" si="77"/>
        <v>0</v>
      </c>
      <c r="O99" s="28">
        <f t="shared" si="78"/>
        <v>32.393174561280006</v>
      </c>
      <c r="P99" s="28">
        <f t="shared" si="79"/>
        <v>0</v>
      </c>
      <c r="Q99" s="28">
        <f t="shared" si="80"/>
        <v>32.393174561280006</v>
      </c>
      <c r="R99" s="36">
        <f t="shared" si="81"/>
        <v>0</v>
      </c>
      <c r="S99" s="36">
        <f t="shared" si="82"/>
        <v>0</v>
      </c>
      <c r="T99" s="35">
        <f t="shared" si="83"/>
        <v>0</v>
      </c>
    </row>
    <row r="100" spans="1:20">
      <c r="A100" s="194"/>
      <c r="B100" s="30" t="s">
        <v>91</v>
      </c>
      <c r="C100" s="30" t="s">
        <v>92</v>
      </c>
      <c r="D100" s="30" t="s">
        <v>93</v>
      </c>
      <c r="E100" s="79" t="s">
        <v>56</v>
      </c>
      <c r="F100" s="158"/>
      <c r="G100" s="60"/>
      <c r="H100" s="7">
        <f>H72+(H72*Escalation!$D$4)</f>
        <v>28.202525298480001</v>
      </c>
      <c r="I100" s="7">
        <f>I72+(I72*Escalation!$D$4)</f>
        <v>0</v>
      </c>
      <c r="J100" s="6">
        <f t="shared" si="73"/>
        <v>28.202525298480001</v>
      </c>
      <c r="K100" s="3">
        <f t="shared" si="74"/>
        <v>0</v>
      </c>
      <c r="L100" s="3">
        <f t="shared" si="75"/>
        <v>0</v>
      </c>
      <c r="M100" s="3">
        <f t="shared" si="76"/>
        <v>0</v>
      </c>
      <c r="N100" s="3">
        <f t="shared" si="77"/>
        <v>0</v>
      </c>
      <c r="O100" s="7">
        <f t="shared" si="78"/>
        <v>28.202525298480001</v>
      </c>
      <c r="P100" s="7">
        <f t="shared" si="79"/>
        <v>0</v>
      </c>
      <c r="Q100" s="7">
        <f t="shared" si="80"/>
        <v>28.202525298480001</v>
      </c>
      <c r="R100" s="34">
        <f t="shared" si="81"/>
        <v>0</v>
      </c>
      <c r="S100" s="34">
        <f t="shared" si="82"/>
        <v>0</v>
      </c>
      <c r="T100" s="33">
        <f t="shared" si="83"/>
        <v>0</v>
      </c>
    </row>
    <row r="101" spans="1:20">
      <c r="A101" s="194"/>
      <c r="B101" s="30" t="s">
        <v>94</v>
      </c>
      <c r="C101" s="30" t="s">
        <v>74</v>
      </c>
      <c r="D101" s="30" t="s">
        <v>75</v>
      </c>
      <c r="E101" s="79" t="s">
        <v>56</v>
      </c>
      <c r="F101" s="158"/>
      <c r="G101" s="60"/>
      <c r="H101" s="7">
        <f>H73+(H73*Escalation!$D$4)</f>
        <v>32.393174561280006</v>
      </c>
      <c r="I101" s="7">
        <f>I73+(I73*Escalation!$D$4)</f>
        <v>0</v>
      </c>
      <c r="J101" s="6">
        <f t="shared" si="73"/>
        <v>32.393174561280006</v>
      </c>
      <c r="K101" s="3">
        <f t="shared" si="74"/>
        <v>0</v>
      </c>
      <c r="L101" s="3">
        <f t="shared" si="75"/>
        <v>0</v>
      </c>
      <c r="M101" s="3">
        <f t="shared" si="76"/>
        <v>0</v>
      </c>
      <c r="N101" s="3">
        <f t="shared" si="77"/>
        <v>0</v>
      </c>
      <c r="O101" s="7">
        <f t="shared" si="78"/>
        <v>32.393174561280006</v>
      </c>
      <c r="P101" s="7">
        <f t="shared" si="79"/>
        <v>0</v>
      </c>
      <c r="Q101" s="7">
        <f t="shared" si="80"/>
        <v>32.393174561280006</v>
      </c>
      <c r="R101" s="34">
        <f t="shared" si="81"/>
        <v>0</v>
      </c>
      <c r="S101" s="34">
        <f t="shared" si="82"/>
        <v>0</v>
      </c>
      <c r="T101" s="33">
        <f t="shared" si="83"/>
        <v>0</v>
      </c>
    </row>
    <row r="102" spans="1:20">
      <c r="A102" s="194"/>
      <c r="B102" s="30" t="s">
        <v>95</v>
      </c>
      <c r="C102" s="30" t="s">
        <v>96</v>
      </c>
      <c r="D102" s="30" t="s">
        <v>97</v>
      </c>
      <c r="E102" s="79" t="s">
        <v>56</v>
      </c>
      <c r="F102" s="158"/>
      <c r="G102" s="60"/>
      <c r="H102" s="7">
        <f>H74+(H74*Escalation!$D$4)</f>
        <v>36.790635086400002</v>
      </c>
      <c r="I102" s="7">
        <f>I74+(I74*Escalation!$D$4)</f>
        <v>0</v>
      </c>
      <c r="J102" s="6">
        <f t="shared" si="73"/>
        <v>36.790635086400002</v>
      </c>
      <c r="K102" s="3">
        <f t="shared" si="74"/>
        <v>0</v>
      </c>
      <c r="L102" s="3">
        <f t="shared" si="75"/>
        <v>0</v>
      </c>
      <c r="M102" s="3">
        <f t="shared" si="76"/>
        <v>0</v>
      </c>
      <c r="N102" s="3">
        <f t="shared" si="77"/>
        <v>0</v>
      </c>
      <c r="O102" s="7">
        <f t="shared" si="78"/>
        <v>36.790635086400002</v>
      </c>
      <c r="P102" s="7">
        <f t="shared" si="79"/>
        <v>0</v>
      </c>
      <c r="Q102" s="7">
        <f t="shared" si="80"/>
        <v>36.790635086400002</v>
      </c>
      <c r="R102" s="34">
        <f t="shared" si="81"/>
        <v>0</v>
      </c>
      <c r="S102" s="34">
        <f t="shared" si="82"/>
        <v>0</v>
      </c>
      <c r="T102" s="33">
        <f t="shared" si="83"/>
        <v>0</v>
      </c>
    </row>
    <row r="103" spans="1:20" ht="15.75" thickBot="1">
      <c r="A103" s="195"/>
      <c r="B103" s="81" t="s">
        <v>98</v>
      </c>
      <c r="C103" s="81" t="s">
        <v>80</v>
      </c>
      <c r="D103" s="81" t="s">
        <v>81</v>
      </c>
      <c r="E103" s="82" t="s">
        <v>56</v>
      </c>
      <c r="F103" s="159"/>
      <c r="G103" s="60"/>
      <c r="H103" s="56">
        <f>H75+(H75*Escalation!$D$4)</f>
        <v>25.655481330960001</v>
      </c>
      <c r="I103" s="56">
        <f>I75+(I75*Escalation!$D$4)</f>
        <v>0</v>
      </c>
      <c r="J103" s="102">
        <f t="shared" si="73"/>
        <v>25.655481330960001</v>
      </c>
      <c r="K103" s="57">
        <f t="shared" si="74"/>
        <v>0</v>
      </c>
      <c r="L103" s="57">
        <f t="shared" si="75"/>
        <v>0</v>
      </c>
      <c r="M103" s="57">
        <f t="shared" si="76"/>
        <v>0</v>
      </c>
      <c r="N103" s="57">
        <f t="shared" si="77"/>
        <v>0</v>
      </c>
      <c r="O103" s="56">
        <f t="shared" si="78"/>
        <v>25.655481330960001</v>
      </c>
      <c r="P103" s="56">
        <f t="shared" si="79"/>
        <v>0</v>
      </c>
      <c r="Q103" s="56">
        <f t="shared" si="80"/>
        <v>25.655481330960001</v>
      </c>
      <c r="R103" s="58">
        <f t="shared" si="81"/>
        <v>0</v>
      </c>
      <c r="S103" s="58">
        <f t="shared" si="82"/>
        <v>0</v>
      </c>
      <c r="T103" s="59">
        <f t="shared" si="83"/>
        <v>0</v>
      </c>
    </row>
    <row r="104" spans="1:20" s="65" customFormat="1" ht="15.75" thickBot="1">
      <c r="A104" s="155" t="s">
        <v>99</v>
      </c>
      <c r="B104" s="93"/>
      <c r="C104" s="93"/>
      <c r="D104" s="93"/>
      <c r="E104" s="94"/>
      <c r="F104" s="152"/>
      <c r="G104" s="64"/>
      <c r="H104" s="115"/>
      <c r="I104" s="115"/>
      <c r="J104" s="115"/>
      <c r="K104" s="115"/>
      <c r="L104" s="115"/>
      <c r="M104" s="115"/>
      <c r="N104" s="115"/>
      <c r="O104" s="115"/>
      <c r="P104" s="115"/>
      <c r="Q104" s="115"/>
      <c r="R104" s="117"/>
      <c r="S104" s="117"/>
      <c r="T104" s="118"/>
    </row>
    <row r="105" spans="1:20" ht="15.75" thickBot="1">
      <c r="A105" s="153" t="s">
        <v>61</v>
      </c>
      <c r="B105" s="87" t="s">
        <v>100</v>
      </c>
      <c r="C105" s="88" t="s">
        <v>63</v>
      </c>
      <c r="D105" s="88"/>
      <c r="E105" s="89" t="s">
        <v>99</v>
      </c>
      <c r="F105" s="156"/>
      <c r="G105" s="60"/>
      <c r="H105" s="104">
        <f>H77+(H77*Escalation!$D$4)</f>
        <v>34.015010250000003</v>
      </c>
      <c r="I105" s="104">
        <f>I77+(I77*Escalation!$D$4)</f>
        <v>0</v>
      </c>
      <c r="J105" s="104">
        <f>IF($I105&lt;$H105,$H105,$I105)</f>
        <v>34.015010250000003</v>
      </c>
      <c r="K105" s="105">
        <f>(J105*$K$4)</f>
        <v>0</v>
      </c>
      <c r="L105" s="105">
        <f>(K105+J105)*$L$4</f>
        <v>0</v>
      </c>
      <c r="M105" s="105">
        <f>(K105+J105+L105)*$M$4</f>
        <v>0</v>
      </c>
      <c r="N105" s="105">
        <f>(J105+K105+L105+M105)*$N$4</f>
        <v>0</v>
      </c>
      <c r="O105" s="104">
        <f>SUM(J105:N105)</f>
        <v>34.015010250000003</v>
      </c>
      <c r="P105" s="104">
        <f>IF($P$4&lt;0,"N/A",$P$4*(J105+K105+L105+M105))</f>
        <v>0</v>
      </c>
      <c r="Q105" s="104">
        <f>SUM(O105:P105)</f>
        <v>34.015010250000003</v>
      </c>
      <c r="R105" s="106">
        <f t="shared" ref="R105:R115" si="84">O105*F105</f>
        <v>0</v>
      </c>
      <c r="S105" s="106">
        <f t="shared" ref="S105:S115" si="85">P105*F105</f>
        <v>0</v>
      </c>
      <c r="T105" s="107">
        <f t="shared" ref="T105:T115" si="86">Q105*F105</f>
        <v>0</v>
      </c>
    </row>
    <row r="106" spans="1:20" ht="15.75" thickBot="1">
      <c r="A106" s="154" t="s">
        <v>65</v>
      </c>
      <c r="B106" s="90" t="s">
        <v>101</v>
      </c>
      <c r="C106" s="91" t="s">
        <v>67</v>
      </c>
      <c r="D106" s="91"/>
      <c r="E106" s="92" t="s">
        <v>99</v>
      </c>
      <c r="F106" s="156"/>
      <c r="G106" s="60"/>
      <c r="H106" s="104">
        <f>H78+(H78*Escalation!$D$4)</f>
        <v>34.015010250000003</v>
      </c>
      <c r="I106" s="104">
        <f>I78+(I78*Escalation!$D$4)</f>
        <v>0</v>
      </c>
      <c r="J106" s="104">
        <f>IF($I106&lt;$H106,$H106,$I106)</f>
        <v>34.015010250000003</v>
      </c>
      <c r="K106" s="105">
        <f>(J106*$K$4)</f>
        <v>0</v>
      </c>
      <c r="L106" s="105">
        <f>(K106+J106)*$L$4</f>
        <v>0</v>
      </c>
      <c r="M106" s="105">
        <f>(K106+J106+L106)*$M$4</f>
        <v>0</v>
      </c>
      <c r="N106" s="105">
        <f>(J106+K106+L106+M106)*$N$4</f>
        <v>0</v>
      </c>
      <c r="O106" s="104">
        <f>SUM(J106:N106)</f>
        <v>34.015010250000003</v>
      </c>
      <c r="P106" s="104">
        <f>IF($P$4&lt;0,"N/A",$P$4*(J106+K106+L106+M106))</f>
        <v>0</v>
      </c>
      <c r="Q106" s="104">
        <f>SUM(O106:P106)</f>
        <v>34.015010250000003</v>
      </c>
      <c r="R106" s="106">
        <f t="shared" si="84"/>
        <v>0</v>
      </c>
      <c r="S106" s="106">
        <f t="shared" si="85"/>
        <v>0</v>
      </c>
      <c r="T106" s="107">
        <f t="shared" si="86"/>
        <v>0</v>
      </c>
    </row>
    <row r="107" spans="1:20" ht="30.75" thickBot="1">
      <c r="A107" s="162" t="s">
        <v>89</v>
      </c>
      <c r="B107" s="87" t="s">
        <v>105</v>
      </c>
      <c r="C107" s="88" t="s">
        <v>67</v>
      </c>
      <c r="D107" s="88"/>
      <c r="E107" s="89" t="s">
        <v>99</v>
      </c>
      <c r="F107" s="161"/>
      <c r="G107" s="60"/>
      <c r="H107" s="97">
        <f>H81+(H81*Escalation!$D$4)</f>
        <v>34.015010250000003</v>
      </c>
      <c r="I107" s="97">
        <f>I81+(I81*Escalation!$D$4)</f>
        <v>0</v>
      </c>
      <c r="J107" s="97">
        <f>IF($I107&lt;$H107,$H107,$I107)</f>
        <v>34.015010250000003</v>
      </c>
      <c r="K107" s="96">
        <f>(J107*$K$4)</f>
        <v>0</v>
      </c>
      <c r="L107" s="96">
        <f>(K107+J107)*$L$4</f>
        <v>0</v>
      </c>
      <c r="M107" s="96">
        <f>(K107+J107+L107)*$M$4</f>
        <v>0</v>
      </c>
      <c r="N107" s="96">
        <f>(J107+K107+L107+M107)*$N$4</f>
        <v>0</v>
      </c>
      <c r="O107" s="97">
        <f t="shared" ref="O107:O108" si="87">SUM(J107:N107)</f>
        <v>34.015010250000003</v>
      </c>
      <c r="P107" s="97">
        <f>IF($P$4&lt;0,"N/A",$P$4*(J107+K107+L107+M107))</f>
        <v>0</v>
      </c>
      <c r="Q107" s="97">
        <f t="shared" ref="Q107:Q108" si="88">SUM(O107:P107)</f>
        <v>34.015010250000003</v>
      </c>
      <c r="R107" s="98">
        <f t="shared" si="84"/>
        <v>0</v>
      </c>
      <c r="S107" s="98">
        <f t="shared" si="85"/>
        <v>0</v>
      </c>
      <c r="T107" s="99">
        <f t="shared" si="86"/>
        <v>0</v>
      </c>
    </row>
    <row r="108" spans="1:20" ht="15.75" thickBot="1">
      <c r="A108" s="154" t="s">
        <v>61</v>
      </c>
      <c r="B108" s="90" t="s">
        <v>115</v>
      </c>
      <c r="C108" s="91" t="s">
        <v>63</v>
      </c>
      <c r="D108" s="91"/>
      <c r="E108" s="92" t="s">
        <v>116</v>
      </c>
      <c r="F108" s="156"/>
      <c r="G108" s="60"/>
      <c r="H108" s="104">
        <v>55.07</v>
      </c>
      <c r="I108" s="105"/>
      <c r="J108" s="104">
        <f>IF($I108&lt;$H108,$H108,$I108)</f>
        <v>55.07</v>
      </c>
      <c r="K108" s="105">
        <f>(J108*$K$4)</f>
        <v>0</v>
      </c>
      <c r="L108" s="105">
        <f>(K108+J108)*$L$4</f>
        <v>0</v>
      </c>
      <c r="M108" s="105">
        <f>(K108+J108+L108)*$M$4</f>
        <v>0</v>
      </c>
      <c r="N108" s="105">
        <f>(J108+K108+L108+M108)*$N$4</f>
        <v>0</v>
      </c>
      <c r="O108" s="104">
        <f t="shared" si="87"/>
        <v>55.07</v>
      </c>
      <c r="P108" s="104">
        <f>IF($P$4&lt;0,"N/A",$P$4*(J108+K108+L108+M108))</f>
        <v>0</v>
      </c>
      <c r="Q108" s="104">
        <f t="shared" si="88"/>
        <v>55.07</v>
      </c>
      <c r="R108" s="106">
        <f t="shared" si="84"/>
        <v>0</v>
      </c>
      <c r="S108" s="106">
        <f t="shared" si="85"/>
        <v>0</v>
      </c>
      <c r="T108" s="107">
        <f t="shared" si="86"/>
        <v>0</v>
      </c>
    </row>
    <row r="109" spans="1:20" ht="15.75" thickBot="1">
      <c r="A109" s="154" t="s">
        <v>65</v>
      </c>
      <c r="B109" s="90" t="s">
        <v>117</v>
      </c>
      <c r="C109" s="91" t="s">
        <v>67</v>
      </c>
      <c r="D109" s="91"/>
      <c r="E109" s="92" t="s">
        <v>116</v>
      </c>
      <c r="F109" s="156"/>
      <c r="G109" s="60"/>
      <c r="H109" s="104">
        <v>55.07</v>
      </c>
      <c r="I109" s="105"/>
      <c r="J109" s="104">
        <f t="shared" ref="J109:J115" si="89">IF($I109&lt;$H109,$H109,$I109)</f>
        <v>55.07</v>
      </c>
      <c r="K109" s="105">
        <f t="shared" ref="K109:K115" si="90">(J109*$K$4)</f>
        <v>0</v>
      </c>
      <c r="L109" s="105">
        <f t="shared" ref="L109:L115" si="91">(K109+J109)*$L$4</f>
        <v>0</v>
      </c>
      <c r="M109" s="105">
        <f t="shared" ref="M109:M115" si="92">(K109+J109+L109)*$M$4</f>
        <v>0</v>
      </c>
      <c r="N109" s="105">
        <f t="shared" ref="N109:N115" si="93">(J109+K109+L109+M109)*$N$4</f>
        <v>0</v>
      </c>
      <c r="O109" s="104">
        <f t="shared" ref="O109:O115" si="94">SUM(J109:N109)</f>
        <v>55.07</v>
      </c>
      <c r="P109" s="104">
        <f t="shared" ref="P109:P115" si="95">IF($P$4&lt;0,"N/A",$P$4*(J109+K109+L109+M109))</f>
        <v>0</v>
      </c>
      <c r="Q109" s="104">
        <f t="shared" ref="Q109:Q115" si="96">SUM(O109:P109)</f>
        <v>55.07</v>
      </c>
      <c r="R109" s="106">
        <f t="shared" si="84"/>
        <v>0</v>
      </c>
      <c r="S109" s="106">
        <f t="shared" si="85"/>
        <v>0</v>
      </c>
      <c r="T109" s="107">
        <f t="shared" si="86"/>
        <v>0</v>
      </c>
    </row>
    <row r="110" spans="1:20">
      <c r="A110" s="193" t="s">
        <v>82</v>
      </c>
      <c r="B110" s="87" t="s">
        <v>118</v>
      </c>
      <c r="C110" s="88" t="s">
        <v>84</v>
      </c>
      <c r="D110" s="88"/>
      <c r="E110" s="89" t="s">
        <v>116</v>
      </c>
      <c r="F110" s="157"/>
      <c r="G110" s="60"/>
      <c r="H110" s="28">
        <v>46.82</v>
      </c>
      <c r="I110" s="29"/>
      <c r="J110" s="28">
        <f t="shared" si="89"/>
        <v>46.82</v>
      </c>
      <c r="K110" s="29">
        <f t="shared" si="90"/>
        <v>0</v>
      </c>
      <c r="L110" s="29">
        <f t="shared" si="91"/>
        <v>0</v>
      </c>
      <c r="M110" s="29">
        <f t="shared" si="92"/>
        <v>0</v>
      </c>
      <c r="N110" s="29">
        <f t="shared" si="93"/>
        <v>0</v>
      </c>
      <c r="O110" s="28">
        <f t="shared" si="94"/>
        <v>46.82</v>
      </c>
      <c r="P110" s="28">
        <f t="shared" si="95"/>
        <v>0</v>
      </c>
      <c r="Q110" s="28">
        <f t="shared" si="96"/>
        <v>46.82</v>
      </c>
      <c r="R110" s="36">
        <f t="shared" si="84"/>
        <v>0</v>
      </c>
      <c r="S110" s="36">
        <f t="shared" si="85"/>
        <v>0</v>
      </c>
      <c r="T110" s="35">
        <f t="shared" si="86"/>
        <v>0</v>
      </c>
    </row>
    <row r="111" spans="1:20" ht="15.75" thickBot="1">
      <c r="A111" s="195"/>
      <c r="B111" s="84" t="s">
        <v>119</v>
      </c>
      <c r="C111" s="81" t="s">
        <v>104</v>
      </c>
      <c r="D111" s="81"/>
      <c r="E111" s="82" t="s">
        <v>116</v>
      </c>
      <c r="F111" s="159"/>
      <c r="G111" s="60"/>
      <c r="H111" s="102">
        <v>46.82</v>
      </c>
      <c r="I111" s="103"/>
      <c r="J111" s="102">
        <f t="shared" si="89"/>
        <v>46.82</v>
      </c>
      <c r="K111" s="103">
        <f t="shared" si="90"/>
        <v>0</v>
      </c>
      <c r="L111" s="103">
        <f t="shared" si="91"/>
        <v>0</v>
      </c>
      <c r="M111" s="103">
        <f t="shared" si="92"/>
        <v>0</v>
      </c>
      <c r="N111" s="103">
        <f t="shared" si="93"/>
        <v>0</v>
      </c>
      <c r="O111" s="102">
        <f t="shared" si="94"/>
        <v>46.82</v>
      </c>
      <c r="P111" s="102">
        <f t="shared" si="95"/>
        <v>0</v>
      </c>
      <c r="Q111" s="102">
        <f t="shared" si="96"/>
        <v>46.82</v>
      </c>
      <c r="R111" s="113">
        <f t="shared" si="84"/>
        <v>0</v>
      </c>
      <c r="S111" s="113">
        <f t="shared" si="85"/>
        <v>0</v>
      </c>
      <c r="T111" s="114">
        <f t="shared" si="86"/>
        <v>0</v>
      </c>
    </row>
    <row r="112" spans="1:20">
      <c r="A112" s="193" t="s">
        <v>89</v>
      </c>
      <c r="B112" s="87" t="s">
        <v>120</v>
      </c>
      <c r="C112" s="88" t="s">
        <v>67</v>
      </c>
      <c r="D112" s="88"/>
      <c r="E112" s="89" t="s">
        <v>116</v>
      </c>
      <c r="F112" s="157"/>
      <c r="G112" s="60"/>
      <c r="H112" s="28">
        <v>55.07</v>
      </c>
      <c r="I112" s="29"/>
      <c r="J112" s="28">
        <f t="shared" si="89"/>
        <v>55.07</v>
      </c>
      <c r="K112" s="29">
        <f t="shared" si="90"/>
        <v>0</v>
      </c>
      <c r="L112" s="29">
        <f t="shared" si="91"/>
        <v>0</v>
      </c>
      <c r="M112" s="29">
        <f t="shared" si="92"/>
        <v>0</v>
      </c>
      <c r="N112" s="29">
        <f t="shared" si="93"/>
        <v>0</v>
      </c>
      <c r="O112" s="28">
        <f t="shared" si="94"/>
        <v>55.07</v>
      </c>
      <c r="P112" s="28">
        <f t="shared" si="95"/>
        <v>0</v>
      </c>
      <c r="Q112" s="28">
        <f t="shared" si="96"/>
        <v>55.07</v>
      </c>
      <c r="R112" s="36">
        <f t="shared" si="84"/>
        <v>0</v>
      </c>
      <c r="S112" s="36">
        <f t="shared" si="85"/>
        <v>0</v>
      </c>
      <c r="T112" s="35">
        <f t="shared" si="86"/>
        <v>0</v>
      </c>
    </row>
    <row r="113" spans="1:20">
      <c r="A113" s="196"/>
      <c r="B113" s="85" t="s">
        <v>121</v>
      </c>
      <c r="C113" s="48" t="s">
        <v>92</v>
      </c>
      <c r="D113" s="48"/>
      <c r="E113" s="80" t="s">
        <v>116</v>
      </c>
      <c r="F113" s="158"/>
      <c r="G113" s="60"/>
      <c r="H113" s="6">
        <v>47.94</v>
      </c>
      <c r="I113" s="2"/>
      <c r="J113" s="6">
        <f t="shared" si="89"/>
        <v>47.94</v>
      </c>
      <c r="K113" s="2">
        <f t="shared" si="90"/>
        <v>0</v>
      </c>
      <c r="L113" s="2">
        <f t="shared" si="91"/>
        <v>0</v>
      </c>
      <c r="M113" s="2">
        <f t="shared" si="92"/>
        <v>0</v>
      </c>
      <c r="N113" s="2">
        <f t="shared" si="93"/>
        <v>0</v>
      </c>
      <c r="O113" s="6">
        <f t="shared" si="94"/>
        <v>47.94</v>
      </c>
      <c r="P113" s="6">
        <f t="shared" si="95"/>
        <v>0</v>
      </c>
      <c r="Q113" s="6">
        <f t="shared" si="96"/>
        <v>47.94</v>
      </c>
      <c r="R113" s="62">
        <f t="shared" si="84"/>
        <v>0</v>
      </c>
      <c r="S113" s="62">
        <f t="shared" si="85"/>
        <v>0</v>
      </c>
      <c r="T113" s="63">
        <f t="shared" si="86"/>
        <v>0</v>
      </c>
    </row>
    <row r="114" spans="1:20">
      <c r="A114" s="196"/>
      <c r="B114" s="85" t="s">
        <v>122</v>
      </c>
      <c r="C114" s="48" t="s">
        <v>74</v>
      </c>
      <c r="D114" s="48"/>
      <c r="E114" s="80" t="s">
        <v>116</v>
      </c>
      <c r="F114" s="158"/>
      <c r="G114" s="60"/>
      <c r="H114" s="6">
        <v>55.07</v>
      </c>
      <c r="I114" s="2"/>
      <c r="J114" s="6">
        <f t="shared" si="89"/>
        <v>55.07</v>
      </c>
      <c r="K114" s="2">
        <f t="shared" si="90"/>
        <v>0</v>
      </c>
      <c r="L114" s="2">
        <f t="shared" si="91"/>
        <v>0</v>
      </c>
      <c r="M114" s="2">
        <f t="shared" si="92"/>
        <v>0</v>
      </c>
      <c r="N114" s="2">
        <f t="shared" si="93"/>
        <v>0</v>
      </c>
      <c r="O114" s="6">
        <f t="shared" si="94"/>
        <v>55.07</v>
      </c>
      <c r="P114" s="6">
        <f t="shared" si="95"/>
        <v>0</v>
      </c>
      <c r="Q114" s="6">
        <f t="shared" si="96"/>
        <v>55.07</v>
      </c>
      <c r="R114" s="62">
        <f t="shared" si="84"/>
        <v>0</v>
      </c>
      <c r="S114" s="62">
        <f t="shared" si="85"/>
        <v>0</v>
      </c>
      <c r="T114" s="63">
        <f t="shared" si="86"/>
        <v>0</v>
      </c>
    </row>
    <row r="115" spans="1:20" ht="15.75" thickBot="1">
      <c r="A115" s="197"/>
      <c r="B115" s="84" t="s">
        <v>123</v>
      </c>
      <c r="C115" s="81" t="s">
        <v>96</v>
      </c>
      <c r="D115" s="81"/>
      <c r="E115" s="82" t="s">
        <v>116</v>
      </c>
      <c r="F115" s="159"/>
      <c r="G115" s="60"/>
      <c r="H115" s="102">
        <v>62.54407964688</v>
      </c>
      <c r="I115" s="103"/>
      <c r="J115" s="102">
        <f t="shared" si="89"/>
        <v>62.54407964688</v>
      </c>
      <c r="K115" s="103">
        <f t="shared" si="90"/>
        <v>0</v>
      </c>
      <c r="L115" s="103">
        <f t="shared" si="91"/>
        <v>0</v>
      </c>
      <c r="M115" s="103">
        <f t="shared" si="92"/>
        <v>0</v>
      </c>
      <c r="N115" s="103">
        <f t="shared" si="93"/>
        <v>0</v>
      </c>
      <c r="O115" s="102">
        <f t="shared" si="94"/>
        <v>62.54407964688</v>
      </c>
      <c r="P115" s="102">
        <f t="shared" si="95"/>
        <v>0</v>
      </c>
      <c r="Q115" s="102">
        <f t="shared" si="96"/>
        <v>62.54407964688</v>
      </c>
      <c r="R115" s="113">
        <f t="shared" si="84"/>
        <v>0</v>
      </c>
      <c r="S115" s="113">
        <f t="shared" si="85"/>
        <v>0</v>
      </c>
      <c r="T115" s="114">
        <f t="shared" si="86"/>
        <v>0</v>
      </c>
    </row>
    <row r="116" spans="1:20" ht="27" thickBot="1">
      <c r="A116" s="183" t="s">
        <v>124</v>
      </c>
      <c r="B116" s="184"/>
      <c r="C116" s="184"/>
      <c r="D116" s="184"/>
      <c r="E116" s="184"/>
      <c r="F116" s="184"/>
      <c r="G116" s="184"/>
      <c r="H116" s="184"/>
      <c r="I116" s="184"/>
      <c r="J116" s="184"/>
      <c r="K116" s="184"/>
      <c r="L116" s="184"/>
      <c r="M116" s="184"/>
      <c r="N116" s="184"/>
      <c r="O116" s="184"/>
      <c r="P116" s="184"/>
      <c r="Q116" s="184"/>
      <c r="R116" s="184"/>
      <c r="S116" s="184"/>
      <c r="T116" s="185"/>
    </row>
    <row r="117" spans="1:20" ht="15.75" thickBot="1">
      <c r="A117" s="188" t="s">
        <v>125</v>
      </c>
      <c r="B117" s="189"/>
      <c r="C117" s="189"/>
      <c r="D117" s="189"/>
      <c r="E117" s="189"/>
      <c r="F117" s="189"/>
      <c r="G117" s="46"/>
      <c r="H117" s="186"/>
      <c r="I117" s="186"/>
      <c r="J117" s="186"/>
      <c r="K117" s="186"/>
      <c r="L117" s="186"/>
      <c r="M117" s="186"/>
      <c r="N117" s="186"/>
      <c r="O117" s="186"/>
      <c r="P117" s="186"/>
      <c r="Q117" s="186"/>
      <c r="R117" s="186"/>
      <c r="S117" s="186"/>
      <c r="T117" s="187"/>
    </row>
    <row r="118" spans="1:20" s="70" customFormat="1" ht="45.95" customHeight="1" thickBot="1">
      <c r="A118" s="73" t="s">
        <v>37</v>
      </c>
      <c r="B118" s="74" t="s">
        <v>38</v>
      </c>
      <c r="C118" s="75" t="s">
        <v>39</v>
      </c>
      <c r="D118" s="75" t="s">
        <v>40</v>
      </c>
      <c r="E118" s="76" t="s">
        <v>41</v>
      </c>
      <c r="F118" s="108" t="s">
        <v>42</v>
      </c>
      <c r="G118" s="66"/>
      <c r="H118" s="109" t="s">
        <v>43</v>
      </c>
      <c r="I118" s="110" t="s">
        <v>44</v>
      </c>
      <c r="J118" s="110" t="s">
        <v>45</v>
      </c>
      <c r="K118" s="110" t="s">
        <v>46</v>
      </c>
      <c r="L118" s="67" t="s">
        <v>47</v>
      </c>
      <c r="M118" s="67" t="s">
        <v>48</v>
      </c>
      <c r="N118" s="67" t="s">
        <v>49</v>
      </c>
      <c r="O118" s="67" t="s">
        <v>50</v>
      </c>
      <c r="P118" s="67" t="s">
        <v>51</v>
      </c>
      <c r="Q118" s="67" t="s">
        <v>52</v>
      </c>
      <c r="R118" s="68" t="s">
        <v>53</v>
      </c>
      <c r="S118" s="67" t="s">
        <v>54</v>
      </c>
      <c r="T118" s="69" t="s">
        <v>55</v>
      </c>
    </row>
    <row r="119" spans="1:20" s="47" customFormat="1" ht="30" customHeight="1" thickBot="1">
      <c r="A119" s="71" t="s">
        <v>56</v>
      </c>
      <c r="B119" s="12"/>
      <c r="C119" s="12"/>
      <c r="D119" s="12"/>
      <c r="E119" s="72"/>
      <c r="F119" s="111"/>
      <c r="G119" s="38"/>
      <c r="H119" s="112"/>
      <c r="I119" s="41"/>
      <c r="J119" s="41"/>
      <c r="K119" s="37"/>
      <c r="L119" s="37"/>
      <c r="M119" s="37"/>
      <c r="N119" s="37"/>
      <c r="O119" s="41"/>
      <c r="P119" s="37"/>
      <c r="Q119" s="41"/>
      <c r="R119" s="41"/>
      <c r="S119" s="40"/>
      <c r="T119" s="39"/>
    </row>
    <row r="120" spans="1:20" ht="15.75" thickBot="1">
      <c r="A120" s="153" t="s">
        <v>57</v>
      </c>
      <c r="B120" s="88" t="s">
        <v>58</v>
      </c>
      <c r="C120" s="88" t="s">
        <v>59</v>
      </c>
      <c r="D120" s="88" t="s">
        <v>60</v>
      </c>
      <c r="E120" s="89" t="s">
        <v>56</v>
      </c>
      <c r="F120" s="143"/>
      <c r="G120" s="60"/>
      <c r="H120" s="42">
        <f>H89+(H89*Escalation!$D$5)</f>
        <v>47.46473034450576</v>
      </c>
      <c r="I120" s="42">
        <f>I89+(I89*Escalation!$D$5)</f>
        <v>0</v>
      </c>
      <c r="J120" s="42">
        <f t="shared" ref="J120:J134" si="97">IF($I120&lt;$H120,$H120,$I120)</f>
        <v>47.46473034450576</v>
      </c>
      <c r="K120" s="95">
        <f>(J120*$K$4)</f>
        <v>0</v>
      </c>
      <c r="L120" s="95">
        <f>(K120+J120)*$L$4</f>
        <v>0</v>
      </c>
      <c r="M120" s="95">
        <f>(K120+J120+L120)*$M$4</f>
        <v>0</v>
      </c>
      <c r="N120" s="95">
        <f>(J120+K120+L120+M120)*$N$4</f>
        <v>0</v>
      </c>
      <c r="O120" s="42">
        <f>SUM(J120:N120)</f>
        <v>47.46473034450576</v>
      </c>
      <c r="P120" s="42">
        <f>IF($P$4&lt;0,"N/A",$P$4*(J120+K120+L120+M120))</f>
        <v>0</v>
      </c>
      <c r="Q120" s="42">
        <f>SUM(O120:P120)</f>
        <v>47.46473034450576</v>
      </c>
      <c r="R120" s="100">
        <f>O120*F120</f>
        <v>0</v>
      </c>
      <c r="S120" s="100">
        <f>P120*F120</f>
        <v>0</v>
      </c>
      <c r="T120" s="101">
        <f>Q120*F120</f>
        <v>0</v>
      </c>
    </row>
    <row r="121" spans="1:20" ht="15.75" thickBot="1">
      <c r="A121" s="154" t="s">
        <v>61</v>
      </c>
      <c r="B121" s="91" t="s">
        <v>62</v>
      </c>
      <c r="C121" s="91" t="s">
        <v>63</v>
      </c>
      <c r="D121" s="91" t="s">
        <v>64</v>
      </c>
      <c r="E121" s="92" t="s">
        <v>56</v>
      </c>
      <c r="F121" s="156"/>
      <c r="G121" s="60"/>
      <c r="H121" s="104">
        <f>H90+(H90*Escalation!$D$5)</f>
        <v>33.267790274434567</v>
      </c>
      <c r="I121" s="104">
        <f>I90+(I90*Escalation!$D$5)</f>
        <v>0</v>
      </c>
      <c r="J121" s="104">
        <f t="shared" si="97"/>
        <v>33.267790274434567</v>
      </c>
      <c r="K121" s="105">
        <f t="shared" ref="K121:K134" si="98">(J121*$K$4)</f>
        <v>0</v>
      </c>
      <c r="L121" s="105">
        <f t="shared" ref="L121:L134" si="99">(K121+J121)*$L$4</f>
        <v>0</v>
      </c>
      <c r="M121" s="105">
        <f t="shared" ref="M121:M134" si="100">(K121+J121+L121)*$M$4</f>
        <v>0</v>
      </c>
      <c r="N121" s="105">
        <f t="shared" ref="N121:N134" si="101">(J121+K121+L121+M121)*$N$4</f>
        <v>0</v>
      </c>
      <c r="O121" s="104">
        <f t="shared" ref="O121:O134" si="102">SUM(J121:N121)</f>
        <v>33.267790274434567</v>
      </c>
      <c r="P121" s="104">
        <f t="shared" ref="P121:P134" si="103">IF($P$4&lt;0,"N/A",$P$4*(J121+K121+L121+M121))</f>
        <v>0</v>
      </c>
      <c r="Q121" s="104">
        <f t="shared" ref="Q121:Q134" si="104">SUM(O121:P121)</f>
        <v>33.267790274434567</v>
      </c>
      <c r="R121" s="106">
        <f t="shared" ref="R121:R134" si="105">O121*F121</f>
        <v>0</v>
      </c>
      <c r="S121" s="106">
        <f t="shared" ref="S121:S134" si="106">P121*F121</f>
        <v>0</v>
      </c>
      <c r="T121" s="107">
        <f t="shared" ref="T121:T134" si="107">Q121*F121</f>
        <v>0</v>
      </c>
    </row>
    <row r="122" spans="1:20" ht="15.75" thickBot="1">
      <c r="A122" s="154" t="s">
        <v>65</v>
      </c>
      <c r="B122" s="91" t="s">
        <v>66</v>
      </c>
      <c r="C122" s="91" t="s">
        <v>67</v>
      </c>
      <c r="D122" s="91" t="s">
        <v>68</v>
      </c>
      <c r="E122" s="92" t="s">
        <v>56</v>
      </c>
      <c r="F122" s="156"/>
      <c r="G122" s="60"/>
      <c r="H122" s="104">
        <f>H91+(H91*Escalation!$D$5)</f>
        <v>33.267790274434567</v>
      </c>
      <c r="I122" s="104">
        <f>I91+(I91*Escalation!$D$5)</f>
        <v>0</v>
      </c>
      <c r="J122" s="104">
        <f t="shared" si="97"/>
        <v>33.267790274434567</v>
      </c>
      <c r="K122" s="105">
        <f t="shared" si="98"/>
        <v>0</v>
      </c>
      <c r="L122" s="105">
        <f t="shared" si="99"/>
        <v>0</v>
      </c>
      <c r="M122" s="105">
        <f t="shared" si="100"/>
        <v>0</v>
      </c>
      <c r="N122" s="105">
        <f t="shared" si="101"/>
        <v>0</v>
      </c>
      <c r="O122" s="104">
        <f t="shared" si="102"/>
        <v>33.267790274434567</v>
      </c>
      <c r="P122" s="104">
        <f t="shared" si="103"/>
        <v>0</v>
      </c>
      <c r="Q122" s="104">
        <f t="shared" si="104"/>
        <v>33.267790274434567</v>
      </c>
      <c r="R122" s="106">
        <f t="shared" si="105"/>
        <v>0</v>
      </c>
      <c r="S122" s="106">
        <f t="shared" si="106"/>
        <v>0</v>
      </c>
      <c r="T122" s="107">
        <f t="shared" si="107"/>
        <v>0</v>
      </c>
    </row>
    <row r="123" spans="1:20">
      <c r="A123" s="190" t="s">
        <v>69</v>
      </c>
      <c r="B123" s="77" t="s">
        <v>70</v>
      </c>
      <c r="C123" s="77" t="s">
        <v>63</v>
      </c>
      <c r="D123" s="77" t="s">
        <v>64</v>
      </c>
      <c r="E123" s="78" t="s">
        <v>56</v>
      </c>
      <c r="F123" s="157"/>
      <c r="G123" s="60"/>
      <c r="H123" s="28">
        <f>H92+(H92*Escalation!$D$5)</f>
        <v>33.267790274434567</v>
      </c>
      <c r="I123" s="28">
        <f>I92+(I92*Escalation!$D$5)</f>
        <v>0</v>
      </c>
      <c r="J123" s="28">
        <f t="shared" si="97"/>
        <v>33.267790274434567</v>
      </c>
      <c r="K123" s="29">
        <f t="shared" si="98"/>
        <v>0</v>
      </c>
      <c r="L123" s="29">
        <f t="shared" si="99"/>
        <v>0</v>
      </c>
      <c r="M123" s="29">
        <f t="shared" si="100"/>
        <v>0</v>
      </c>
      <c r="N123" s="29">
        <f t="shared" si="101"/>
        <v>0</v>
      </c>
      <c r="O123" s="28">
        <f t="shared" si="102"/>
        <v>33.267790274434567</v>
      </c>
      <c r="P123" s="28">
        <f t="shared" si="103"/>
        <v>0</v>
      </c>
      <c r="Q123" s="28">
        <f t="shared" si="104"/>
        <v>33.267790274434567</v>
      </c>
      <c r="R123" s="36">
        <f t="shared" si="105"/>
        <v>0</v>
      </c>
      <c r="S123" s="36">
        <f t="shared" si="106"/>
        <v>0</v>
      </c>
      <c r="T123" s="35">
        <f t="shared" si="107"/>
        <v>0</v>
      </c>
    </row>
    <row r="124" spans="1:20">
      <c r="A124" s="191"/>
      <c r="B124" s="30" t="s">
        <v>71</v>
      </c>
      <c r="C124" s="30" t="s">
        <v>69</v>
      </c>
      <c r="D124" s="30" t="s">
        <v>72</v>
      </c>
      <c r="E124" s="79" t="s">
        <v>56</v>
      </c>
      <c r="F124" s="158"/>
      <c r="G124" s="60"/>
      <c r="H124" s="7">
        <f>H93+(H93*Escalation!$D$5)</f>
        <v>33.267790274434567</v>
      </c>
      <c r="I124" s="7">
        <f>I93+(I93*Escalation!$D$5)</f>
        <v>0</v>
      </c>
      <c r="J124" s="6">
        <f t="shared" si="97"/>
        <v>33.267790274434567</v>
      </c>
      <c r="K124" s="3">
        <f t="shared" si="98"/>
        <v>0</v>
      </c>
      <c r="L124" s="3">
        <f t="shared" si="99"/>
        <v>0</v>
      </c>
      <c r="M124" s="3">
        <f t="shared" si="100"/>
        <v>0</v>
      </c>
      <c r="N124" s="3">
        <f t="shared" si="101"/>
        <v>0</v>
      </c>
      <c r="O124" s="7">
        <f t="shared" si="102"/>
        <v>33.267790274434567</v>
      </c>
      <c r="P124" s="7">
        <f t="shared" si="103"/>
        <v>0</v>
      </c>
      <c r="Q124" s="7">
        <f t="shared" si="104"/>
        <v>33.267790274434567</v>
      </c>
      <c r="R124" s="34">
        <f t="shared" si="105"/>
        <v>0</v>
      </c>
      <c r="S124" s="34">
        <f t="shared" si="106"/>
        <v>0</v>
      </c>
      <c r="T124" s="33">
        <f t="shared" si="107"/>
        <v>0</v>
      </c>
    </row>
    <row r="125" spans="1:20">
      <c r="A125" s="191"/>
      <c r="B125" s="30" t="s">
        <v>73</v>
      </c>
      <c r="C125" s="30" t="s">
        <v>74</v>
      </c>
      <c r="D125" s="30" t="s">
        <v>75</v>
      </c>
      <c r="E125" s="79" t="s">
        <v>56</v>
      </c>
      <c r="F125" s="158"/>
      <c r="G125" s="60"/>
      <c r="H125" s="7">
        <f>H94+(H94*Escalation!$D$5)</f>
        <v>33.267790274434567</v>
      </c>
      <c r="I125" s="7">
        <f>I94+(I94*Escalation!$D$5)</f>
        <v>0</v>
      </c>
      <c r="J125" s="6">
        <f t="shared" si="97"/>
        <v>33.267790274434567</v>
      </c>
      <c r="K125" s="3">
        <f t="shared" si="98"/>
        <v>0</v>
      </c>
      <c r="L125" s="3">
        <f t="shared" si="99"/>
        <v>0</v>
      </c>
      <c r="M125" s="3">
        <f t="shared" si="100"/>
        <v>0</v>
      </c>
      <c r="N125" s="3">
        <f t="shared" si="101"/>
        <v>0</v>
      </c>
      <c r="O125" s="7">
        <f t="shared" si="102"/>
        <v>33.267790274434567</v>
      </c>
      <c r="P125" s="7">
        <f t="shared" si="103"/>
        <v>0</v>
      </c>
      <c r="Q125" s="7">
        <f t="shared" si="104"/>
        <v>33.267790274434567</v>
      </c>
      <c r="R125" s="34">
        <f t="shared" si="105"/>
        <v>0</v>
      </c>
      <c r="S125" s="34">
        <f t="shared" si="106"/>
        <v>0</v>
      </c>
      <c r="T125" s="33">
        <f t="shared" si="107"/>
        <v>0</v>
      </c>
    </row>
    <row r="126" spans="1:20">
      <c r="A126" s="191"/>
      <c r="B126" s="30" t="s">
        <v>76</v>
      </c>
      <c r="C126" s="30" t="s">
        <v>77</v>
      </c>
      <c r="D126" s="30" t="s">
        <v>78</v>
      </c>
      <c r="E126" s="79" t="s">
        <v>56</v>
      </c>
      <c r="F126" s="158"/>
      <c r="G126" s="60"/>
      <c r="H126" s="7">
        <f>H95+(H95*Escalation!$D$5)</f>
        <v>33.267790274434567</v>
      </c>
      <c r="I126" s="7">
        <f>I95+(I95*Escalation!$D$5)</f>
        <v>0</v>
      </c>
      <c r="J126" s="6">
        <f t="shared" si="97"/>
        <v>33.267790274434567</v>
      </c>
      <c r="K126" s="3">
        <f t="shared" si="98"/>
        <v>0</v>
      </c>
      <c r="L126" s="3">
        <f t="shared" si="99"/>
        <v>0</v>
      </c>
      <c r="M126" s="3">
        <f t="shared" si="100"/>
        <v>0</v>
      </c>
      <c r="N126" s="3">
        <f t="shared" si="101"/>
        <v>0</v>
      </c>
      <c r="O126" s="7">
        <f t="shared" si="102"/>
        <v>33.267790274434567</v>
      </c>
      <c r="P126" s="7">
        <f t="shared" si="103"/>
        <v>0</v>
      </c>
      <c r="Q126" s="7">
        <f t="shared" si="104"/>
        <v>33.267790274434567</v>
      </c>
      <c r="R126" s="34">
        <f t="shared" si="105"/>
        <v>0</v>
      </c>
      <c r="S126" s="34">
        <f t="shared" si="106"/>
        <v>0</v>
      </c>
      <c r="T126" s="33">
        <f t="shared" si="107"/>
        <v>0</v>
      </c>
    </row>
    <row r="127" spans="1:20" ht="15.75" thickBot="1">
      <c r="A127" s="192"/>
      <c r="B127" s="81" t="s">
        <v>79</v>
      </c>
      <c r="C127" s="81" t="s">
        <v>80</v>
      </c>
      <c r="D127" s="81" t="s">
        <v>81</v>
      </c>
      <c r="E127" s="82" t="s">
        <v>56</v>
      </c>
      <c r="F127" s="159"/>
      <c r="G127" s="60"/>
      <c r="H127" s="56">
        <f>H96+(H96*Escalation!$D$5)</f>
        <v>26.34817932689592</v>
      </c>
      <c r="I127" s="56">
        <f>I96+(I96*Escalation!$D$5)</f>
        <v>0</v>
      </c>
      <c r="J127" s="102">
        <f t="shared" si="97"/>
        <v>26.34817932689592</v>
      </c>
      <c r="K127" s="57">
        <f t="shared" si="98"/>
        <v>0</v>
      </c>
      <c r="L127" s="57">
        <f t="shared" si="99"/>
        <v>0</v>
      </c>
      <c r="M127" s="57">
        <f t="shared" si="100"/>
        <v>0</v>
      </c>
      <c r="N127" s="57">
        <f t="shared" si="101"/>
        <v>0</v>
      </c>
      <c r="O127" s="56">
        <f t="shared" si="102"/>
        <v>26.34817932689592</v>
      </c>
      <c r="P127" s="56">
        <f t="shared" si="103"/>
        <v>0</v>
      </c>
      <c r="Q127" s="56">
        <f t="shared" si="104"/>
        <v>26.34817932689592</v>
      </c>
      <c r="R127" s="58">
        <f t="shared" si="105"/>
        <v>0</v>
      </c>
      <c r="S127" s="58">
        <f t="shared" si="106"/>
        <v>0</v>
      </c>
      <c r="T127" s="59">
        <f t="shared" si="107"/>
        <v>0</v>
      </c>
    </row>
    <row r="128" spans="1:20">
      <c r="A128" s="190" t="s">
        <v>82</v>
      </c>
      <c r="B128" s="77" t="s">
        <v>83</v>
      </c>
      <c r="C128" s="77" t="s">
        <v>84</v>
      </c>
      <c r="D128" s="77" t="s">
        <v>85</v>
      </c>
      <c r="E128" s="78" t="s">
        <v>56</v>
      </c>
      <c r="F128" s="157"/>
      <c r="G128" s="60"/>
      <c r="H128" s="28">
        <f>H97+(H97*Escalation!$D$5)</f>
        <v>28.282093210456804</v>
      </c>
      <c r="I128" s="28">
        <f>I97+(I97*Escalation!$D$5)</f>
        <v>0</v>
      </c>
      <c r="J128" s="28">
        <f t="shared" si="97"/>
        <v>28.282093210456804</v>
      </c>
      <c r="K128" s="29">
        <f t="shared" si="98"/>
        <v>0</v>
      </c>
      <c r="L128" s="29">
        <f t="shared" si="99"/>
        <v>0</v>
      </c>
      <c r="M128" s="29">
        <f t="shared" si="100"/>
        <v>0</v>
      </c>
      <c r="N128" s="29">
        <f t="shared" si="101"/>
        <v>0</v>
      </c>
      <c r="O128" s="28">
        <f t="shared" si="102"/>
        <v>28.282093210456804</v>
      </c>
      <c r="P128" s="28">
        <f t="shared" si="103"/>
        <v>0</v>
      </c>
      <c r="Q128" s="28">
        <f t="shared" si="104"/>
        <v>28.282093210456804</v>
      </c>
      <c r="R128" s="36">
        <f t="shared" si="105"/>
        <v>0</v>
      </c>
      <c r="S128" s="36">
        <f t="shared" si="106"/>
        <v>0</v>
      </c>
      <c r="T128" s="35">
        <f t="shared" si="107"/>
        <v>0</v>
      </c>
    </row>
    <row r="129" spans="1:20" ht="15.75" thickBot="1">
      <c r="A129" s="192"/>
      <c r="B129" s="81" t="s">
        <v>86</v>
      </c>
      <c r="C129" s="81" t="s">
        <v>87</v>
      </c>
      <c r="D129" s="81" t="s">
        <v>88</v>
      </c>
      <c r="E129" s="82" t="s">
        <v>56</v>
      </c>
      <c r="F129" s="159"/>
      <c r="G129" s="60"/>
      <c r="H129" s="56">
        <f>H98+(H98*Escalation!$D$5)</f>
        <v>28.282093210456804</v>
      </c>
      <c r="I129" s="56">
        <f>I98+(I98*Escalation!$D$5)</f>
        <v>0</v>
      </c>
      <c r="J129" s="102">
        <f t="shared" si="97"/>
        <v>28.282093210456804</v>
      </c>
      <c r="K129" s="57">
        <f t="shared" si="98"/>
        <v>0</v>
      </c>
      <c r="L129" s="57">
        <f t="shared" si="99"/>
        <v>0</v>
      </c>
      <c r="M129" s="57">
        <f t="shared" si="100"/>
        <v>0</v>
      </c>
      <c r="N129" s="57">
        <f t="shared" si="101"/>
        <v>0</v>
      </c>
      <c r="O129" s="56">
        <f t="shared" si="102"/>
        <v>28.282093210456804</v>
      </c>
      <c r="P129" s="56">
        <f t="shared" si="103"/>
        <v>0</v>
      </c>
      <c r="Q129" s="56">
        <f t="shared" si="104"/>
        <v>28.282093210456804</v>
      </c>
      <c r="R129" s="58">
        <f>O129*F129</f>
        <v>0</v>
      </c>
      <c r="S129" s="58">
        <f>P129*F129</f>
        <v>0</v>
      </c>
      <c r="T129" s="59">
        <f>Q129*F129</f>
        <v>0</v>
      </c>
    </row>
    <row r="130" spans="1:20" ht="15" customHeight="1">
      <c r="A130" s="193" t="s">
        <v>89</v>
      </c>
      <c r="B130" s="77" t="s">
        <v>90</v>
      </c>
      <c r="C130" s="77" t="s">
        <v>67</v>
      </c>
      <c r="D130" s="77" t="s">
        <v>68</v>
      </c>
      <c r="E130" s="78" t="s">
        <v>56</v>
      </c>
      <c r="F130" s="157"/>
      <c r="G130" s="60"/>
      <c r="H130" s="28">
        <f>H99+(H99*Escalation!$D$5)</f>
        <v>33.267790274434567</v>
      </c>
      <c r="I130" s="28">
        <f>I99+(I99*Escalation!$D$5)</f>
        <v>0</v>
      </c>
      <c r="J130" s="28">
        <f t="shared" si="97"/>
        <v>33.267790274434567</v>
      </c>
      <c r="K130" s="29">
        <f t="shared" si="98"/>
        <v>0</v>
      </c>
      <c r="L130" s="29">
        <f t="shared" si="99"/>
        <v>0</v>
      </c>
      <c r="M130" s="29">
        <f t="shared" si="100"/>
        <v>0</v>
      </c>
      <c r="N130" s="29">
        <f t="shared" si="101"/>
        <v>0</v>
      </c>
      <c r="O130" s="28">
        <f t="shared" si="102"/>
        <v>33.267790274434567</v>
      </c>
      <c r="P130" s="28">
        <f t="shared" si="103"/>
        <v>0</v>
      </c>
      <c r="Q130" s="28">
        <f t="shared" si="104"/>
        <v>33.267790274434567</v>
      </c>
      <c r="R130" s="36">
        <f t="shared" si="105"/>
        <v>0</v>
      </c>
      <c r="S130" s="36">
        <f t="shared" si="106"/>
        <v>0</v>
      </c>
      <c r="T130" s="35">
        <f t="shared" si="107"/>
        <v>0</v>
      </c>
    </row>
    <row r="131" spans="1:20">
      <c r="A131" s="194"/>
      <c r="B131" s="30" t="s">
        <v>91</v>
      </c>
      <c r="C131" s="30" t="s">
        <v>92</v>
      </c>
      <c r="D131" s="30" t="s">
        <v>93</v>
      </c>
      <c r="E131" s="79" t="s">
        <v>56</v>
      </c>
      <c r="F131" s="158"/>
      <c r="G131" s="60"/>
      <c r="H131" s="7">
        <f>H100+(H100*Escalation!$D$5)</f>
        <v>28.96399348153896</v>
      </c>
      <c r="I131" s="7">
        <f>I100+(I100*Escalation!$D$5)</f>
        <v>0</v>
      </c>
      <c r="J131" s="6">
        <f t="shared" si="97"/>
        <v>28.96399348153896</v>
      </c>
      <c r="K131" s="3">
        <f t="shared" si="98"/>
        <v>0</v>
      </c>
      <c r="L131" s="3">
        <f t="shared" si="99"/>
        <v>0</v>
      </c>
      <c r="M131" s="3">
        <f t="shared" si="100"/>
        <v>0</v>
      </c>
      <c r="N131" s="3">
        <f t="shared" si="101"/>
        <v>0</v>
      </c>
      <c r="O131" s="7">
        <f t="shared" si="102"/>
        <v>28.96399348153896</v>
      </c>
      <c r="P131" s="7">
        <f t="shared" si="103"/>
        <v>0</v>
      </c>
      <c r="Q131" s="7">
        <f t="shared" si="104"/>
        <v>28.96399348153896</v>
      </c>
      <c r="R131" s="34">
        <f t="shared" si="105"/>
        <v>0</v>
      </c>
      <c r="S131" s="34">
        <f t="shared" si="106"/>
        <v>0</v>
      </c>
      <c r="T131" s="33">
        <f t="shared" si="107"/>
        <v>0</v>
      </c>
    </row>
    <row r="132" spans="1:20">
      <c r="A132" s="194"/>
      <c r="B132" s="30" t="s">
        <v>94</v>
      </c>
      <c r="C132" s="30" t="s">
        <v>74</v>
      </c>
      <c r="D132" s="30" t="s">
        <v>75</v>
      </c>
      <c r="E132" s="79" t="s">
        <v>56</v>
      </c>
      <c r="F132" s="158"/>
      <c r="G132" s="60"/>
      <c r="H132" s="7">
        <f>H101+(H101*Escalation!$D$5)</f>
        <v>33.267790274434567</v>
      </c>
      <c r="I132" s="7">
        <f>I101+(I101*Escalation!$D$5)</f>
        <v>0</v>
      </c>
      <c r="J132" s="6">
        <f t="shared" si="97"/>
        <v>33.267790274434567</v>
      </c>
      <c r="K132" s="3">
        <f t="shared" si="98"/>
        <v>0</v>
      </c>
      <c r="L132" s="3">
        <f t="shared" si="99"/>
        <v>0</v>
      </c>
      <c r="M132" s="3">
        <f t="shared" si="100"/>
        <v>0</v>
      </c>
      <c r="N132" s="3">
        <f t="shared" si="101"/>
        <v>0</v>
      </c>
      <c r="O132" s="7">
        <f t="shared" si="102"/>
        <v>33.267790274434567</v>
      </c>
      <c r="P132" s="7">
        <f t="shared" si="103"/>
        <v>0</v>
      </c>
      <c r="Q132" s="7">
        <f t="shared" si="104"/>
        <v>33.267790274434567</v>
      </c>
      <c r="R132" s="34">
        <f t="shared" si="105"/>
        <v>0</v>
      </c>
      <c r="S132" s="34">
        <f t="shared" si="106"/>
        <v>0</v>
      </c>
      <c r="T132" s="33">
        <f t="shared" si="107"/>
        <v>0</v>
      </c>
    </row>
    <row r="133" spans="1:20">
      <c r="A133" s="194"/>
      <c r="B133" s="30" t="s">
        <v>95</v>
      </c>
      <c r="C133" s="30" t="s">
        <v>96</v>
      </c>
      <c r="D133" s="30" t="s">
        <v>97</v>
      </c>
      <c r="E133" s="79" t="s">
        <v>56</v>
      </c>
      <c r="F133" s="158"/>
      <c r="G133" s="60"/>
      <c r="H133" s="7">
        <f>H102+(H102*Escalation!$D$5)</f>
        <v>37.7839822337328</v>
      </c>
      <c r="I133" s="7">
        <f>I102+(I102*Escalation!$D$5)</f>
        <v>0</v>
      </c>
      <c r="J133" s="6">
        <f t="shared" si="97"/>
        <v>37.7839822337328</v>
      </c>
      <c r="K133" s="3">
        <f t="shared" si="98"/>
        <v>0</v>
      </c>
      <c r="L133" s="3">
        <f t="shared" si="99"/>
        <v>0</v>
      </c>
      <c r="M133" s="3">
        <f t="shared" si="100"/>
        <v>0</v>
      </c>
      <c r="N133" s="3">
        <f t="shared" si="101"/>
        <v>0</v>
      </c>
      <c r="O133" s="7">
        <f t="shared" si="102"/>
        <v>37.7839822337328</v>
      </c>
      <c r="P133" s="7">
        <f t="shared" si="103"/>
        <v>0</v>
      </c>
      <c r="Q133" s="7">
        <f t="shared" si="104"/>
        <v>37.7839822337328</v>
      </c>
      <c r="R133" s="34">
        <f t="shared" si="105"/>
        <v>0</v>
      </c>
      <c r="S133" s="34">
        <f t="shared" si="106"/>
        <v>0</v>
      </c>
      <c r="T133" s="33">
        <f t="shared" si="107"/>
        <v>0</v>
      </c>
    </row>
    <row r="134" spans="1:20" ht="15.75" thickBot="1">
      <c r="A134" s="195"/>
      <c r="B134" s="81" t="s">
        <v>98</v>
      </c>
      <c r="C134" s="81" t="s">
        <v>80</v>
      </c>
      <c r="D134" s="81" t="s">
        <v>81</v>
      </c>
      <c r="E134" s="82" t="s">
        <v>56</v>
      </c>
      <c r="F134" s="159"/>
      <c r="G134" s="60"/>
      <c r="H134" s="56">
        <f>H103+(H103*Escalation!$D$5)</f>
        <v>26.34817932689592</v>
      </c>
      <c r="I134" s="56">
        <f>I103+(I103*Escalation!$D$5)</f>
        <v>0</v>
      </c>
      <c r="J134" s="102">
        <f t="shared" si="97"/>
        <v>26.34817932689592</v>
      </c>
      <c r="K134" s="57">
        <f t="shared" si="98"/>
        <v>0</v>
      </c>
      <c r="L134" s="57">
        <f t="shared" si="99"/>
        <v>0</v>
      </c>
      <c r="M134" s="57">
        <f t="shared" si="100"/>
        <v>0</v>
      </c>
      <c r="N134" s="57">
        <f t="shared" si="101"/>
        <v>0</v>
      </c>
      <c r="O134" s="56">
        <f t="shared" si="102"/>
        <v>26.34817932689592</v>
      </c>
      <c r="P134" s="56">
        <f t="shared" si="103"/>
        <v>0</v>
      </c>
      <c r="Q134" s="56">
        <f t="shared" si="104"/>
        <v>26.34817932689592</v>
      </c>
      <c r="R134" s="58">
        <f t="shared" si="105"/>
        <v>0</v>
      </c>
      <c r="S134" s="58">
        <f t="shared" si="106"/>
        <v>0</v>
      </c>
      <c r="T134" s="59">
        <f t="shared" si="107"/>
        <v>0</v>
      </c>
    </row>
    <row r="135" spans="1:20" s="65" customFormat="1" ht="15.75" thickBot="1">
      <c r="A135" s="155" t="s">
        <v>99</v>
      </c>
      <c r="B135" s="93"/>
      <c r="C135" s="93"/>
      <c r="D135" s="93"/>
      <c r="E135" s="94"/>
      <c r="F135" s="152"/>
      <c r="G135" s="64"/>
      <c r="H135" s="115"/>
      <c r="I135" s="115"/>
      <c r="J135" s="115"/>
      <c r="K135" s="115"/>
      <c r="L135" s="115"/>
      <c r="M135" s="115"/>
      <c r="N135" s="115"/>
      <c r="O135" s="115"/>
      <c r="P135" s="115"/>
      <c r="Q135" s="115"/>
      <c r="R135" s="117"/>
      <c r="S135" s="117"/>
      <c r="T135" s="118"/>
    </row>
    <row r="136" spans="1:20" ht="15.75" thickBot="1">
      <c r="A136" s="153" t="s">
        <v>61</v>
      </c>
      <c r="B136" s="87" t="s">
        <v>100</v>
      </c>
      <c r="C136" s="88" t="s">
        <v>63</v>
      </c>
      <c r="D136" s="88"/>
      <c r="E136" s="89" t="s">
        <v>99</v>
      </c>
      <c r="F136" s="156"/>
      <c r="G136" s="60"/>
      <c r="H136" s="104">
        <f>H105+(H105*Escalation!$D$5)</f>
        <v>34.933415526750004</v>
      </c>
      <c r="I136" s="104">
        <f>I105+(I105*Escalation!$D$5)</f>
        <v>0</v>
      </c>
      <c r="J136" s="104">
        <f>IF($I136&lt;$H136,$H136,$I136)</f>
        <v>34.933415526750004</v>
      </c>
      <c r="K136" s="105">
        <f>(J136*$K$4)</f>
        <v>0</v>
      </c>
      <c r="L136" s="105">
        <f>(K136+J136)*$L$4</f>
        <v>0</v>
      </c>
      <c r="M136" s="105">
        <f>(K136+J136+L136)*$M$4</f>
        <v>0</v>
      </c>
      <c r="N136" s="105">
        <f>(J136+K136+L136+M136)*$N$4</f>
        <v>0</v>
      </c>
      <c r="O136" s="104">
        <f>SUM(J136:N136)</f>
        <v>34.933415526750004</v>
      </c>
      <c r="P136" s="104">
        <f>IF($P$4&lt;0,"N/A",$P$4*(J136+K136+L136+M136))</f>
        <v>0</v>
      </c>
      <c r="Q136" s="104">
        <f>SUM(O136:P136)</f>
        <v>34.933415526750004</v>
      </c>
      <c r="R136" s="106">
        <f t="shared" ref="R136:R146" si="108">O136*F136</f>
        <v>0</v>
      </c>
      <c r="S136" s="106">
        <f t="shared" ref="S136:S146" si="109">P136*F136</f>
        <v>0</v>
      </c>
      <c r="T136" s="107">
        <f t="shared" ref="T136:T146" si="110">Q136*F136</f>
        <v>0</v>
      </c>
    </row>
    <row r="137" spans="1:20" ht="15.75" thickBot="1">
      <c r="A137" s="154" t="s">
        <v>65</v>
      </c>
      <c r="B137" s="90" t="s">
        <v>101</v>
      </c>
      <c r="C137" s="91" t="s">
        <v>67</v>
      </c>
      <c r="D137" s="91"/>
      <c r="E137" s="92" t="s">
        <v>99</v>
      </c>
      <c r="F137" s="156"/>
      <c r="G137" s="60"/>
      <c r="H137" s="104">
        <f>H106+(H106*Escalation!$D$5)</f>
        <v>34.933415526750004</v>
      </c>
      <c r="I137" s="104">
        <f>I106+(I106*Escalation!$D$5)</f>
        <v>0</v>
      </c>
      <c r="J137" s="104">
        <f>IF($I137&lt;$H137,$H137,$I137)</f>
        <v>34.933415526750004</v>
      </c>
      <c r="K137" s="105">
        <f>(J137*$K$4)</f>
        <v>0</v>
      </c>
      <c r="L137" s="105">
        <f>(K137+J137)*$L$4</f>
        <v>0</v>
      </c>
      <c r="M137" s="105">
        <f>(K137+J137+L137)*$M$4</f>
        <v>0</v>
      </c>
      <c r="N137" s="105">
        <f>(J137+K137+L137+M137)*$N$4</f>
        <v>0</v>
      </c>
      <c r="O137" s="104">
        <f>SUM(J137:N137)</f>
        <v>34.933415526750004</v>
      </c>
      <c r="P137" s="104">
        <f>IF($P$4&lt;0,"N/A",$P$4*(J137+K137+L137+M137))</f>
        <v>0</v>
      </c>
      <c r="Q137" s="104">
        <f>SUM(O137:P137)</f>
        <v>34.933415526750004</v>
      </c>
      <c r="R137" s="106">
        <f>O137*F137</f>
        <v>0</v>
      </c>
      <c r="S137" s="106">
        <f>P137*F137</f>
        <v>0</v>
      </c>
      <c r="T137" s="107">
        <f>Q137*F137</f>
        <v>0</v>
      </c>
    </row>
    <row r="138" spans="1:20" ht="30.75" thickBot="1">
      <c r="A138" s="162" t="s">
        <v>89</v>
      </c>
      <c r="B138" s="87" t="s">
        <v>105</v>
      </c>
      <c r="C138" s="88" t="s">
        <v>67</v>
      </c>
      <c r="D138" s="88"/>
      <c r="E138" s="89" t="s">
        <v>99</v>
      </c>
      <c r="F138" s="161"/>
      <c r="G138" s="60"/>
      <c r="H138" s="97">
        <f>H107+(H107*Escalation!$D$5)</f>
        <v>34.933415526750004</v>
      </c>
      <c r="I138" s="97">
        <f>I107+(I107*Escalation!$D$5)</f>
        <v>0</v>
      </c>
      <c r="J138" s="97">
        <f>IF($I138&lt;$H138,$H138,$I138)</f>
        <v>34.933415526750004</v>
      </c>
      <c r="K138" s="96">
        <f>(J138*$K$4)</f>
        <v>0</v>
      </c>
      <c r="L138" s="96">
        <f>(K138+J138)*$L$4</f>
        <v>0</v>
      </c>
      <c r="M138" s="96">
        <f>(K138+J138+L138)*$M$4</f>
        <v>0</v>
      </c>
      <c r="N138" s="96">
        <f>(J138+K138+L138+M138)*$N$4</f>
        <v>0</v>
      </c>
      <c r="O138" s="97">
        <f t="shared" ref="O138:O146" si="111">SUM(J138:N138)</f>
        <v>34.933415526750004</v>
      </c>
      <c r="P138" s="97">
        <f>IF($P$4&lt;0,"N/A",$P$4*(J138+K138+L138+M138))</f>
        <v>0</v>
      </c>
      <c r="Q138" s="97">
        <f t="shared" ref="Q138:Q146" si="112">SUM(O138:P138)</f>
        <v>34.933415526750004</v>
      </c>
      <c r="R138" s="98">
        <f t="shared" si="108"/>
        <v>0</v>
      </c>
      <c r="S138" s="98">
        <f t="shared" si="109"/>
        <v>0</v>
      </c>
      <c r="T138" s="99">
        <f t="shared" si="110"/>
        <v>0</v>
      </c>
    </row>
    <row r="139" spans="1:20" ht="15.75" thickBot="1">
      <c r="A139" s="154" t="s">
        <v>61</v>
      </c>
      <c r="B139" s="90" t="s">
        <v>115</v>
      </c>
      <c r="C139" s="91" t="s">
        <v>63</v>
      </c>
      <c r="D139" s="91"/>
      <c r="E139" s="92" t="s">
        <v>116</v>
      </c>
      <c r="F139" s="156"/>
      <c r="G139" s="60"/>
      <c r="H139" s="104">
        <f>H108+(H108*Escalation!$D$5)</f>
        <v>56.556890000000003</v>
      </c>
      <c r="I139" s="104">
        <f>I108+(I108*Escalation!$D$5)</f>
        <v>0</v>
      </c>
      <c r="J139" s="104">
        <f>IF($I139&lt;$H139,$H139,$I139)</f>
        <v>56.556890000000003</v>
      </c>
      <c r="K139" s="105">
        <f>(J139*$K$4)</f>
        <v>0</v>
      </c>
      <c r="L139" s="105">
        <f>(K139+J139)*$L$4</f>
        <v>0</v>
      </c>
      <c r="M139" s="105">
        <f>(K139+J139+L139)*$M$4</f>
        <v>0</v>
      </c>
      <c r="N139" s="105">
        <f>(J139+K139+L139+M139)*$N$4</f>
        <v>0</v>
      </c>
      <c r="O139" s="104">
        <f t="shared" si="111"/>
        <v>56.556890000000003</v>
      </c>
      <c r="P139" s="104">
        <f>IF($P$4&lt;0,"N/A",$P$4*(J139+K139+L139+M139))</f>
        <v>0</v>
      </c>
      <c r="Q139" s="104">
        <f t="shared" si="112"/>
        <v>56.556890000000003</v>
      </c>
      <c r="R139" s="106">
        <f t="shared" si="108"/>
        <v>0</v>
      </c>
      <c r="S139" s="106">
        <f t="shared" si="109"/>
        <v>0</v>
      </c>
      <c r="T139" s="107">
        <f t="shared" si="110"/>
        <v>0</v>
      </c>
    </row>
    <row r="140" spans="1:20" ht="15.75" thickBot="1">
      <c r="A140" s="154" t="s">
        <v>65</v>
      </c>
      <c r="B140" s="90" t="s">
        <v>117</v>
      </c>
      <c r="C140" s="91" t="s">
        <v>67</v>
      </c>
      <c r="D140" s="91"/>
      <c r="E140" s="92" t="s">
        <v>116</v>
      </c>
      <c r="F140" s="156"/>
      <c r="G140" s="60"/>
      <c r="H140" s="104">
        <f>H109+(H109*Escalation!$D$5)</f>
        <v>56.556890000000003</v>
      </c>
      <c r="I140" s="104">
        <f>I109+(I109*Escalation!$D$5)</f>
        <v>0</v>
      </c>
      <c r="J140" s="104">
        <f>IF($I140&lt;$H140,$H140,$I140)</f>
        <v>56.556890000000003</v>
      </c>
      <c r="K140" s="105">
        <f t="shared" ref="K140:K146" si="113">(J140*$K$4)</f>
        <v>0</v>
      </c>
      <c r="L140" s="105">
        <f t="shared" ref="L140:L146" si="114">(K140+J140)*$L$4</f>
        <v>0</v>
      </c>
      <c r="M140" s="105">
        <f t="shared" ref="M140:M146" si="115">(K140+J140+L140)*$M$4</f>
        <v>0</v>
      </c>
      <c r="N140" s="105">
        <f t="shared" ref="N140:N146" si="116">(J140+K140+L140+M140)*$N$4</f>
        <v>0</v>
      </c>
      <c r="O140" s="104">
        <f t="shared" si="111"/>
        <v>56.556890000000003</v>
      </c>
      <c r="P140" s="104">
        <f t="shared" ref="P140:P146" si="117">IF($P$4&lt;0,"N/A",$P$4*(J140+K140+L140+M140))</f>
        <v>0</v>
      </c>
      <c r="Q140" s="104">
        <f t="shared" si="112"/>
        <v>56.556890000000003</v>
      </c>
      <c r="R140" s="106">
        <f t="shared" si="108"/>
        <v>0</v>
      </c>
      <c r="S140" s="106">
        <f t="shared" si="109"/>
        <v>0</v>
      </c>
      <c r="T140" s="107">
        <f t="shared" si="110"/>
        <v>0</v>
      </c>
    </row>
    <row r="141" spans="1:20">
      <c r="A141" s="193" t="s">
        <v>82</v>
      </c>
      <c r="B141" s="87" t="s">
        <v>118</v>
      </c>
      <c r="C141" s="88" t="s">
        <v>84</v>
      </c>
      <c r="D141" s="88"/>
      <c r="E141" s="89" t="s">
        <v>116</v>
      </c>
      <c r="F141" s="157"/>
      <c r="G141" s="60"/>
      <c r="H141" s="28">
        <f>H110+(H110*Escalation!$D$5)</f>
        <v>48.084139999999998</v>
      </c>
      <c r="I141" s="28">
        <f>I110+(I110*Escalation!$D$5)</f>
        <v>0</v>
      </c>
      <c r="J141" s="28">
        <f t="shared" ref="J141:J146" si="118">IF($I141&lt;$H141,$H141,$I141)</f>
        <v>48.084139999999998</v>
      </c>
      <c r="K141" s="29">
        <f t="shared" si="113"/>
        <v>0</v>
      </c>
      <c r="L141" s="29">
        <f t="shared" si="114"/>
        <v>0</v>
      </c>
      <c r="M141" s="29">
        <f t="shared" si="115"/>
        <v>0</v>
      </c>
      <c r="N141" s="29">
        <f t="shared" si="116"/>
        <v>0</v>
      </c>
      <c r="O141" s="28">
        <f t="shared" si="111"/>
        <v>48.084139999999998</v>
      </c>
      <c r="P141" s="28">
        <f t="shared" si="117"/>
        <v>0</v>
      </c>
      <c r="Q141" s="28">
        <f t="shared" si="112"/>
        <v>48.084139999999998</v>
      </c>
      <c r="R141" s="36">
        <f t="shared" si="108"/>
        <v>0</v>
      </c>
      <c r="S141" s="36">
        <f t="shared" si="109"/>
        <v>0</v>
      </c>
      <c r="T141" s="35">
        <f t="shared" si="110"/>
        <v>0</v>
      </c>
    </row>
    <row r="142" spans="1:20" ht="15.75" thickBot="1">
      <c r="A142" s="195"/>
      <c r="B142" s="84" t="s">
        <v>119</v>
      </c>
      <c r="C142" s="81" t="s">
        <v>104</v>
      </c>
      <c r="D142" s="81"/>
      <c r="E142" s="82" t="s">
        <v>116</v>
      </c>
      <c r="F142" s="159"/>
      <c r="G142" s="60"/>
      <c r="H142" s="102">
        <f>H111+(H111*Escalation!$D$5)</f>
        <v>48.084139999999998</v>
      </c>
      <c r="I142" s="102">
        <f>I111+(I111*Escalation!$D$5)</f>
        <v>0</v>
      </c>
      <c r="J142" s="102">
        <f>IF($I142&lt;$H142,$H142,$I142)</f>
        <v>48.084139999999998</v>
      </c>
      <c r="K142" s="103">
        <f t="shared" si="113"/>
        <v>0</v>
      </c>
      <c r="L142" s="103">
        <f t="shared" si="114"/>
        <v>0</v>
      </c>
      <c r="M142" s="103">
        <f t="shared" si="115"/>
        <v>0</v>
      </c>
      <c r="N142" s="103">
        <f t="shared" si="116"/>
        <v>0</v>
      </c>
      <c r="O142" s="102">
        <f t="shared" si="111"/>
        <v>48.084139999999998</v>
      </c>
      <c r="P142" s="102">
        <f t="shared" si="117"/>
        <v>0</v>
      </c>
      <c r="Q142" s="102">
        <f t="shared" si="112"/>
        <v>48.084139999999998</v>
      </c>
      <c r="R142" s="113">
        <f t="shared" si="108"/>
        <v>0</v>
      </c>
      <c r="S142" s="113">
        <f t="shared" si="109"/>
        <v>0</v>
      </c>
      <c r="T142" s="114">
        <f t="shared" si="110"/>
        <v>0</v>
      </c>
    </row>
    <row r="143" spans="1:20">
      <c r="A143" s="193" t="s">
        <v>89</v>
      </c>
      <c r="B143" s="87" t="s">
        <v>120</v>
      </c>
      <c r="C143" s="88" t="s">
        <v>67</v>
      </c>
      <c r="D143" s="88"/>
      <c r="E143" s="89" t="s">
        <v>116</v>
      </c>
      <c r="F143" s="157"/>
      <c r="G143" s="60"/>
      <c r="H143" s="28">
        <f>H112+(H112*Escalation!$D$5)</f>
        <v>56.556890000000003</v>
      </c>
      <c r="I143" s="28">
        <f>I112+(I112*Escalation!$D$5)</f>
        <v>0</v>
      </c>
      <c r="J143" s="28">
        <f t="shared" si="118"/>
        <v>56.556890000000003</v>
      </c>
      <c r="K143" s="29">
        <f t="shared" si="113"/>
        <v>0</v>
      </c>
      <c r="L143" s="29">
        <f t="shared" si="114"/>
        <v>0</v>
      </c>
      <c r="M143" s="29">
        <f t="shared" si="115"/>
        <v>0</v>
      </c>
      <c r="N143" s="29">
        <f t="shared" si="116"/>
        <v>0</v>
      </c>
      <c r="O143" s="28">
        <f t="shared" si="111"/>
        <v>56.556890000000003</v>
      </c>
      <c r="P143" s="28">
        <f t="shared" si="117"/>
        <v>0</v>
      </c>
      <c r="Q143" s="28">
        <f t="shared" si="112"/>
        <v>56.556890000000003</v>
      </c>
      <c r="R143" s="36">
        <f t="shared" si="108"/>
        <v>0</v>
      </c>
      <c r="S143" s="36">
        <f t="shared" si="109"/>
        <v>0</v>
      </c>
      <c r="T143" s="35">
        <f t="shared" si="110"/>
        <v>0</v>
      </c>
    </row>
    <row r="144" spans="1:20">
      <c r="A144" s="196"/>
      <c r="B144" s="85" t="s">
        <v>121</v>
      </c>
      <c r="C144" s="48" t="s">
        <v>92</v>
      </c>
      <c r="D144" s="48"/>
      <c r="E144" s="80" t="s">
        <v>116</v>
      </c>
      <c r="F144" s="158"/>
      <c r="G144" s="60"/>
      <c r="H144" s="6">
        <f>H113+(H113*Escalation!$D$5)</f>
        <v>49.234379999999994</v>
      </c>
      <c r="I144" s="6">
        <f>I113+(I113*Escalation!$D$5)</f>
        <v>0</v>
      </c>
      <c r="J144" s="6">
        <f t="shared" si="118"/>
        <v>49.234379999999994</v>
      </c>
      <c r="K144" s="2">
        <f>(J144*$K$4)</f>
        <v>0</v>
      </c>
      <c r="L144" s="2">
        <f t="shared" si="114"/>
        <v>0</v>
      </c>
      <c r="M144" s="2">
        <f t="shared" si="115"/>
        <v>0</v>
      </c>
      <c r="N144" s="2">
        <f t="shared" si="116"/>
        <v>0</v>
      </c>
      <c r="O144" s="6">
        <f t="shared" si="111"/>
        <v>49.234379999999994</v>
      </c>
      <c r="P144" s="6">
        <f t="shared" si="117"/>
        <v>0</v>
      </c>
      <c r="Q144" s="6">
        <f t="shared" si="112"/>
        <v>49.234379999999994</v>
      </c>
      <c r="R144" s="62">
        <f t="shared" si="108"/>
        <v>0</v>
      </c>
      <c r="S144" s="62">
        <f t="shared" si="109"/>
        <v>0</v>
      </c>
      <c r="T144" s="63">
        <f t="shared" si="110"/>
        <v>0</v>
      </c>
    </row>
    <row r="145" spans="1:20">
      <c r="A145" s="196"/>
      <c r="B145" s="85" t="s">
        <v>122</v>
      </c>
      <c r="C145" s="48" t="s">
        <v>74</v>
      </c>
      <c r="D145" s="48"/>
      <c r="E145" s="80" t="s">
        <v>116</v>
      </c>
      <c r="F145" s="158"/>
      <c r="G145" s="60"/>
      <c r="H145" s="6">
        <f>H114+(H114*Escalation!$D$5)</f>
        <v>56.556890000000003</v>
      </c>
      <c r="I145" s="6">
        <f>I114+(I114*Escalation!$D$5)</f>
        <v>0</v>
      </c>
      <c r="J145" s="6">
        <f t="shared" si="118"/>
        <v>56.556890000000003</v>
      </c>
      <c r="K145" s="2">
        <f t="shared" si="113"/>
        <v>0</v>
      </c>
      <c r="L145" s="2">
        <f t="shared" si="114"/>
        <v>0</v>
      </c>
      <c r="M145" s="2">
        <f t="shared" si="115"/>
        <v>0</v>
      </c>
      <c r="N145" s="2">
        <f t="shared" si="116"/>
        <v>0</v>
      </c>
      <c r="O145" s="6">
        <f t="shared" si="111"/>
        <v>56.556890000000003</v>
      </c>
      <c r="P145" s="6">
        <f t="shared" si="117"/>
        <v>0</v>
      </c>
      <c r="Q145" s="6">
        <f t="shared" si="112"/>
        <v>56.556890000000003</v>
      </c>
      <c r="R145" s="62">
        <f t="shared" si="108"/>
        <v>0</v>
      </c>
      <c r="S145" s="62">
        <f t="shared" si="109"/>
        <v>0</v>
      </c>
      <c r="T145" s="63">
        <f t="shared" si="110"/>
        <v>0</v>
      </c>
    </row>
    <row r="146" spans="1:20" ht="15.75" thickBot="1">
      <c r="A146" s="197"/>
      <c r="B146" s="84" t="s">
        <v>123</v>
      </c>
      <c r="C146" s="81" t="s">
        <v>96</v>
      </c>
      <c r="D146" s="81"/>
      <c r="E146" s="82" t="s">
        <v>116</v>
      </c>
      <c r="F146" s="159"/>
      <c r="G146" s="60"/>
      <c r="H146" s="102">
        <f>H115+(H115*Escalation!$D$5)</f>
        <v>64.232769797345753</v>
      </c>
      <c r="I146" s="102">
        <f>I115+(I115*Escalation!$D$5)</f>
        <v>0</v>
      </c>
      <c r="J146" s="102">
        <f t="shared" si="118"/>
        <v>64.232769797345753</v>
      </c>
      <c r="K146" s="103">
        <f t="shared" si="113"/>
        <v>0</v>
      </c>
      <c r="L146" s="103">
        <f t="shared" si="114"/>
        <v>0</v>
      </c>
      <c r="M146" s="103">
        <f t="shared" si="115"/>
        <v>0</v>
      </c>
      <c r="N146" s="103">
        <f t="shared" si="116"/>
        <v>0</v>
      </c>
      <c r="O146" s="102">
        <f t="shared" si="111"/>
        <v>64.232769797345753</v>
      </c>
      <c r="P146" s="102">
        <f t="shared" si="117"/>
        <v>0</v>
      </c>
      <c r="Q146" s="102">
        <f t="shared" si="112"/>
        <v>64.232769797345753</v>
      </c>
      <c r="R146" s="113">
        <f t="shared" si="108"/>
        <v>0</v>
      </c>
      <c r="S146" s="113">
        <f t="shared" si="109"/>
        <v>0</v>
      </c>
      <c r="T146" s="114">
        <f t="shared" si="110"/>
        <v>0</v>
      </c>
    </row>
    <row r="149" spans="1:20">
      <c r="C149" s="8" t="s">
        <v>126</v>
      </c>
      <c r="D149" s="32">
        <f>SUM(T5:T28)</f>
        <v>0</v>
      </c>
      <c r="E149" s="141"/>
    </row>
    <row r="150" spans="1:20">
      <c r="C150" s="8" t="s">
        <v>127</v>
      </c>
      <c r="D150" s="32">
        <f>SUM(T33:T56)</f>
        <v>0</v>
      </c>
      <c r="E150" s="141"/>
    </row>
    <row r="151" spans="1:20">
      <c r="C151" s="8" t="s">
        <v>128</v>
      </c>
      <c r="D151" s="32">
        <f>SUM(T61:T84)</f>
        <v>0</v>
      </c>
      <c r="E151" s="141"/>
    </row>
    <row r="152" spans="1:20">
      <c r="C152" s="8" t="s">
        <v>129</v>
      </c>
      <c r="D152" s="32">
        <f>SUM(T89:T115)</f>
        <v>0</v>
      </c>
      <c r="E152" s="141"/>
    </row>
    <row r="153" spans="1:20">
      <c r="C153" s="8" t="s">
        <v>130</v>
      </c>
      <c r="D153" s="32">
        <f>SUM(T120:T146)</f>
        <v>0</v>
      </c>
      <c r="E153" s="141"/>
    </row>
    <row r="154" spans="1:20">
      <c r="C154" s="8" t="s">
        <v>131</v>
      </c>
      <c r="D154" s="32">
        <f>D153*0.5</f>
        <v>0</v>
      </c>
      <c r="E154" s="141"/>
    </row>
    <row r="155" spans="1:20" ht="15.75" thickBot="1"/>
    <row r="156" spans="1:20" ht="15.75" thickBot="1">
      <c r="C156" s="49" t="s">
        <v>132</v>
      </c>
      <c r="D156" s="31">
        <f>D149+D150+D151+D152+D153+D154</f>
        <v>0</v>
      </c>
      <c r="E156" s="142"/>
    </row>
  </sheetData>
  <sheetProtection algorithmName="SHA-512" hashValue="QrBSDwUwiprN5jQEnHtu/PWsmfx4PljV39A5ZIIHxGOQfjRtr7Z5IrK8n7/26QuA+mQ3zT7pNuWIVwZ7tQD7Wg==" saltValue="PF0mMYgTkhb3XV0nQWlC4A==" spinCount="100000" sheet="1" objects="1" scenarios="1"/>
  <mergeCells count="40">
    <mergeCell ref="A123:A127"/>
    <mergeCell ref="A128:A129"/>
    <mergeCell ref="A130:A134"/>
    <mergeCell ref="A141:A142"/>
    <mergeCell ref="A143:A146"/>
    <mergeCell ref="A110:A111"/>
    <mergeCell ref="A112:A115"/>
    <mergeCell ref="A116:T116"/>
    <mergeCell ref="A117:F117"/>
    <mergeCell ref="H117:T117"/>
    <mergeCell ref="A69:A70"/>
    <mergeCell ref="A71:A75"/>
    <mergeCell ref="A79:A80"/>
    <mergeCell ref="A81:A84"/>
    <mergeCell ref="A53:A56"/>
    <mergeCell ref="A57:T57"/>
    <mergeCell ref="A58:F58"/>
    <mergeCell ref="H58:T58"/>
    <mergeCell ref="A64:A68"/>
    <mergeCell ref="A86:F86"/>
    <mergeCell ref="H86:T86"/>
    <mergeCell ref="A92:A96"/>
    <mergeCell ref="A97:A98"/>
    <mergeCell ref="A99:A103"/>
    <mergeCell ref="A85:T85"/>
    <mergeCell ref="H2:T2"/>
    <mergeCell ref="A1:T1"/>
    <mergeCell ref="A2:F2"/>
    <mergeCell ref="A8:A12"/>
    <mergeCell ref="A13:A14"/>
    <mergeCell ref="A15:A19"/>
    <mergeCell ref="A23:A24"/>
    <mergeCell ref="A25:A28"/>
    <mergeCell ref="A29:T29"/>
    <mergeCell ref="A30:F30"/>
    <mergeCell ref="H30:T30"/>
    <mergeCell ref="A36:A40"/>
    <mergeCell ref="A41:A42"/>
    <mergeCell ref="A43:A47"/>
    <mergeCell ref="A51:A52"/>
  </mergeCells>
  <phoneticPr fontId="9" type="noConversion"/>
  <conditionalFormatting sqref="I5:I28 I48">
    <cfRule type="cellIs" dxfId="4" priority="5" operator="lessThan">
      <formula>$H5</formula>
    </cfRule>
  </conditionalFormatting>
  <conditionalFormatting sqref="I76">
    <cfRule type="cellIs" dxfId="3" priority="4" operator="lessThan">
      <formula>$H76</formula>
    </cfRule>
  </conditionalFormatting>
  <conditionalFormatting sqref="I104">
    <cfRule type="cellIs" dxfId="2" priority="3" operator="lessThan">
      <formula>$H104</formula>
    </cfRule>
  </conditionalFormatting>
  <conditionalFormatting sqref="I135">
    <cfRule type="cellIs" dxfId="1" priority="2" operator="lessThan">
      <formula>$H135</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5"/>
  <sheetViews>
    <sheetView showGridLines="0" workbookViewId="0"/>
  </sheetViews>
  <sheetFormatPr defaultColWidth="9.140625" defaultRowHeight="15"/>
  <cols>
    <col min="1" max="1" width="21.85546875" style="4" customWidth="1"/>
    <col min="2" max="3" width="16.42578125" style="4" customWidth="1"/>
    <col min="4" max="4" width="14.42578125" style="4" customWidth="1"/>
    <col min="5" max="16384" width="9.140625" style="4"/>
  </cols>
  <sheetData>
    <row r="1" spans="1:4" ht="30">
      <c r="A1" s="13" t="s">
        <v>133</v>
      </c>
      <c r="B1" s="14" t="s">
        <v>134</v>
      </c>
      <c r="C1" s="14" t="s">
        <v>135</v>
      </c>
      <c r="D1" s="14" t="s">
        <v>136</v>
      </c>
    </row>
    <row r="2" spans="1:4">
      <c r="A2" s="15" t="s">
        <v>137</v>
      </c>
      <c r="B2" s="16">
        <v>3.2000000000000001E-2</v>
      </c>
      <c r="C2" s="1"/>
      <c r="D2" s="16">
        <f>IF($C2&lt;$B2,$B2,$C2)</f>
        <v>3.2000000000000001E-2</v>
      </c>
    </row>
    <row r="3" spans="1:4">
      <c r="A3" s="15" t="s">
        <v>138</v>
      </c>
      <c r="B3" s="16">
        <v>2.7E-2</v>
      </c>
      <c r="C3" s="1"/>
      <c r="D3" s="16">
        <f t="shared" ref="D3:D5" si="0">IF($C3&lt;$B3,$B3,$C3)</f>
        <v>2.7E-2</v>
      </c>
    </row>
    <row r="4" spans="1:4">
      <c r="A4" s="15" t="s">
        <v>139</v>
      </c>
      <c r="B4" s="16">
        <v>2.7E-2</v>
      </c>
      <c r="C4" s="1"/>
      <c r="D4" s="16">
        <f t="shared" si="0"/>
        <v>2.7E-2</v>
      </c>
    </row>
    <row r="5" spans="1:4">
      <c r="A5" s="15" t="s">
        <v>140</v>
      </c>
      <c r="B5" s="16">
        <v>2.7E-2</v>
      </c>
      <c r="C5" s="1"/>
      <c r="D5" s="16">
        <f t="shared" si="0"/>
        <v>2.7E-2</v>
      </c>
    </row>
  </sheetData>
  <sheetProtection algorithmName="SHA-512" hashValue="QNSufqfqT5KZyufGS+XAMURfMq1nH0H/odtTbXCIXI+gyURcvFqhLeZ8V5D9AD5rjRPP6Aj99A941Kdx3BVO2g==" saltValue="6NInZxOFKODpx3BMbF4kjw==" spinCount="100000" sheet="1" objects="1" scenarios="1"/>
  <conditionalFormatting sqref="D2:D5">
    <cfRule type="cellIs" dxfId="0" priority="1" operator="lessThan">
      <formula>$B2</formula>
    </cfRule>
  </conditionalFormatting>
  <pageMargins left="0.7" right="0.7" top="0.75" bottom="0.75" header="0.3" footer="0.3"/>
  <pageSetup orientation="portrait" verticalDpi="597"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330B-E8AD-4E97-A78E-5BCBB1407001}">
  <dimension ref="A1:N137"/>
  <sheetViews>
    <sheetView workbookViewId="0">
      <pane ySplit="1" topLeftCell="A2" activePane="bottomLeft" state="frozen"/>
      <selection pane="bottomLeft"/>
      <selection activeCell="D17" sqref="D17"/>
    </sheetView>
  </sheetViews>
  <sheetFormatPr defaultRowHeight="15"/>
  <cols>
    <col min="1" max="1" width="34.42578125" customWidth="1"/>
    <col min="2" max="2" width="6.5703125" customWidth="1"/>
    <col min="3" max="3" width="32.7109375" customWidth="1"/>
    <col min="4" max="4" width="17.85546875" customWidth="1"/>
    <col min="5" max="7" width="14.7109375" customWidth="1"/>
    <col min="11" max="11" width="27" customWidth="1"/>
    <col min="13" max="13" width="24.28515625" customWidth="1"/>
  </cols>
  <sheetData>
    <row r="1" spans="1:14" ht="15.75" thickBot="1">
      <c r="A1" s="55" t="s">
        <v>37</v>
      </c>
      <c r="B1" s="55" t="s">
        <v>38</v>
      </c>
      <c r="C1" s="45" t="s">
        <v>39</v>
      </c>
      <c r="D1" s="45" t="s">
        <v>40</v>
      </c>
      <c r="E1" s="45" t="s">
        <v>41</v>
      </c>
      <c r="F1" s="44" t="s">
        <v>42</v>
      </c>
      <c r="G1" s="44" t="s">
        <v>141</v>
      </c>
    </row>
    <row r="2" spans="1:14" ht="19.5" thickBot="1">
      <c r="A2" s="204" t="s">
        <v>142</v>
      </c>
      <c r="B2" s="205"/>
      <c r="C2" s="206"/>
      <c r="D2" s="206"/>
      <c r="E2" s="206"/>
      <c r="F2" s="206"/>
      <c r="G2" s="207"/>
    </row>
    <row r="3" spans="1:14" ht="15.75" customHeight="1" thickBot="1">
      <c r="A3" s="123" t="s">
        <v>56</v>
      </c>
      <c r="B3" s="120"/>
      <c r="C3" s="120"/>
      <c r="D3" s="120"/>
      <c r="E3" s="120"/>
      <c r="F3" s="120"/>
      <c r="G3" s="121"/>
    </row>
    <row r="4" spans="1:14" ht="15.75" thickBot="1">
      <c r="A4" s="86" t="s">
        <v>57</v>
      </c>
      <c r="B4" s="88" t="s">
        <v>58</v>
      </c>
      <c r="C4" s="88" t="s">
        <v>59</v>
      </c>
      <c r="D4" s="88" t="s">
        <v>60</v>
      </c>
      <c r="E4" s="88" t="s">
        <v>56</v>
      </c>
      <c r="F4" s="134">
        <f>'Subcontractor Labor Build'!F5</f>
        <v>0</v>
      </c>
      <c r="G4" s="127">
        <f>'Subcontractor Labor Build'!Q5</f>
        <v>42.46</v>
      </c>
    </row>
    <row r="5" spans="1:14" ht="15.75" thickBot="1">
      <c r="A5" s="61" t="s">
        <v>61</v>
      </c>
      <c r="B5" s="91" t="s">
        <v>62</v>
      </c>
      <c r="C5" s="91" t="s">
        <v>63</v>
      </c>
      <c r="D5" s="91" t="s">
        <v>64</v>
      </c>
      <c r="E5" s="91" t="s">
        <v>56</v>
      </c>
      <c r="F5" s="135">
        <f>'Subcontractor Labor Build'!F6</f>
        <v>0</v>
      </c>
      <c r="G5" s="125">
        <f>'Subcontractor Labor Build'!Q6</f>
        <v>29.76</v>
      </c>
    </row>
    <row r="6" spans="1:14" ht="15.75" thickBot="1">
      <c r="A6" s="61" t="s">
        <v>65</v>
      </c>
      <c r="B6" s="91" t="s">
        <v>66</v>
      </c>
      <c r="C6" s="91" t="s">
        <v>67</v>
      </c>
      <c r="D6" s="91" t="s">
        <v>68</v>
      </c>
      <c r="E6" s="91" t="s">
        <v>56</v>
      </c>
      <c r="F6" s="135">
        <f>'Subcontractor Labor Build'!F7</f>
        <v>0</v>
      </c>
      <c r="G6" s="125">
        <f>'Subcontractor Labor Build'!Q7</f>
        <v>29.76</v>
      </c>
    </row>
    <row r="7" spans="1:14" ht="15.75" thickBot="1">
      <c r="A7" s="208" t="s">
        <v>69</v>
      </c>
      <c r="B7" s="77" t="s">
        <v>70</v>
      </c>
      <c r="C7" s="77" t="s">
        <v>63</v>
      </c>
      <c r="D7" s="77" t="s">
        <v>64</v>
      </c>
      <c r="E7" s="77" t="s">
        <v>56</v>
      </c>
      <c r="F7" s="136">
        <f>'Subcontractor Labor Build'!F8</f>
        <v>0</v>
      </c>
      <c r="G7" s="130">
        <f>'Subcontractor Labor Build'!Q8</f>
        <v>29.76</v>
      </c>
    </row>
    <row r="8" spans="1:14" ht="15.75" thickBot="1">
      <c r="A8" s="209"/>
      <c r="B8" s="30" t="s">
        <v>71</v>
      </c>
      <c r="C8" s="30" t="s">
        <v>69</v>
      </c>
      <c r="D8" s="30" t="s">
        <v>72</v>
      </c>
      <c r="E8" s="30" t="s">
        <v>56</v>
      </c>
      <c r="F8" s="137">
        <f>'Subcontractor Labor Build'!F9</f>
        <v>0</v>
      </c>
      <c r="G8" s="131">
        <f>'Subcontractor Labor Build'!Q9</f>
        <v>29.76</v>
      </c>
      <c r="J8" s="164"/>
      <c r="K8" s="165"/>
      <c r="L8" s="165"/>
      <c r="M8" s="165"/>
      <c r="N8" s="166"/>
    </row>
    <row r="9" spans="1:14" ht="15.75" thickBot="1">
      <c r="A9" s="209"/>
      <c r="B9" s="30" t="s">
        <v>73</v>
      </c>
      <c r="C9" s="30" t="s">
        <v>74</v>
      </c>
      <c r="D9" s="30" t="s">
        <v>75</v>
      </c>
      <c r="E9" s="30" t="s">
        <v>56</v>
      </c>
      <c r="F9" s="137">
        <f>'Subcontractor Labor Build'!F10</f>
        <v>0</v>
      </c>
      <c r="G9" s="131">
        <f>'Subcontractor Labor Build'!Q10</f>
        <v>29.76</v>
      </c>
      <c r="J9" s="167"/>
      <c r="K9" s="201" t="s">
        <v>143</v>
      </c>
      <c r="L9" s="202"/>
      <c r="M9" s="203"/>
      <c r="N9" s="168"/>
    </row>
    <row r="10" spans="1:14">
      <c r="A10" s="209"/>
      <c r="B10" s="30" t="s">
        <v>76</v>
      </c>
      <c r="C10" s="30" t="s">
        <v>77</v>
      </c>
      <c r="D10" s="30" t="s">
        <v>78</v>
      </c>
      <c r="E10" s="30" t="s">
        <v>56</v>
      </c>
      <c r="F10" s="137">
        <f>'Subcontractor Labor Build'!F11</f>
        <v>0</v>
      </c>
      <c r="G10" s="131">
        <f>'Subcontractor Labor Build'!Q11</f>
        <v>29.76</v>
      </c>
      <c r="J10" s="167"/>
      <c r="N10" s="168"/>
    </row>
    <row r="11" spans="1:14" ht="15.75" thickBot="1">
      <c r="A11" s="210"/>
      <c r="B11" s="81" t="s">
        <v>79</v>
      </c>
      <c r="C11" s="81" t="s">
        <v>80</v>
      </c>
      <c r="D11" s="81" t="s">
        <v>81</v>
      </c>
      <c r="E11" s="81" t="s">
        <v>56</v>
      </c>
      <c r="F11" s="138">
        <f>'Subcontractor Labor Build'!F12</f>
        <v>0</v>
      </c>
      <c r="G11" s="133">
        <f>'Subcontractor Labor Build'!Q12</f>
        <v>23.57</v>
      </c>
      <c r="J11" s="167"/>
      <c r="K11" s="169" t="s">
        <v>144</v>
      </c>
      <c r="M11" s="170">
        <v>0</v>
      </c>
      <c r="N11" s="168"/>
    </row>
    <row r="12" spans="1:14">
      <c r="A12" s="208" t="s">
        <v>82</v>
      </c>
      <c r="B12" s="77" t="s">
        <v>83</v>
      </c>
      <c r="C12" s="77" t="s">
        <v>84</v>
      </c>
      <c r="D12" s="77" t="s">
        <v>85</v>
      </c>
      <c r="E12" s="77" t="s">
        <v>56</v>
      </c>
      <c r="F12" s="136">
        <f>'Subcontractor Labor Build'!F13</f>
        <v>0</v>
      </c>
      <c r="G12" s="130">
        <f>'Subcontractor Labor Build'!Q13</f>
        <v>25.3</v>
      </c>
      <c r="J12" s="167"/>
      <c r="K12" s="169" t="s">
        <v>145</v>
      </c>
      <c r="M12" s="170">
        <v>0</v>
      </c>
      <c r="N12" s="168"/>
    </row>
    <row r="13" spans="1:14" ht="15.75" thickBot="1">
      <c r="A13" s="210"/>
      <c r="B13" s="81" t="s">
        <v>86</v>
      </c>
      <c r="C13" s="81" t="s">
        <v>87</v>
      </c>
      <c r="D13" s="81" t="s">
        <v>88</v>
      </c>
      <c r="E13" s="81" t="s">
        <v>56</v>
      </c>
      <c r="F13" s="138">
        <f>'Subcontractor Labor Build'!F14</f>
        <v>0</v>
      </c>
      <c r="G13" s="133">
        <f>'Subcontractor Labor Build'!Q14</f>
        <v>25.3</v>
      </c>
      <c r="J13" s="167"/>
      <c r="K13" s="169" t="s">
        <v>146</v>
      </c>
      <c r="M13" s="170">
        <v>0</v>
      </c>
      <c r="N13" s="168"/>
    </row>
    <row r="14" spans="1:14" ht="15" customHeight="1">
      <c r="A14" s="198" t="s">
        <v>89</v>
      </c>
      <c r="B14" s="77" t="s">
        <v>90</v>
      </c>
      <c r="C14" s="77" t="s">
        <v>67</v>
      </c>
      <c r="D14" s="77" t="s">
        <v>68</v>
      </c>
      <c r="E14" s="77" t="s">
        <v>56</v>
      </c>
      <c r="F14" s="136">
        <f>'Subcontractor Labor Build'!F15</f>
        <v>0</v>
      </c>
      <c r="G14" s="130">
        <f>'Subcontractor Labor Build'!Q15</f>
        <v>29.76</v>
      </c>
      <c r="J14" s="167"/>
      <c r="K14" s="169" t="s">
        <v>147</v>
      </c>
      <c r="M14" s="170">
        <v>0</v>
      </c>
      <c r="N14" s="168"/>
    </row>
    <row r="15" spans="1:14">
      <c r="A15" s="211"/>
      <c r="B15" s="30" t="s">
        <v>91</v>
      </c>
      <c r="C15" s="30" t="s">
        <v>92</v>
      </c>
      <c r="D15" s="30" t="s">
        <v>93</v>
      </c>
      <c r="E15" s="30" t="s">
        <v>56</v>
      </c>
      <c r="F15" s="137">
        <f>'Subcontractor Labor Build'!F16</f>
        <v>0</v>
      </c>
      <c r="G15" s="131">
        <f>'Subcontractor Labor Build'!Q16</f>
        <v>25.91</v>
      </c>
      <c r="J15" s="167"/>
      <c r="K15" s="169" t="s">
        <v>148</v>
      </c>
      <c r="M15" s="170">
        <v>0</v>
      </c>
      <c r="N15" s="168"/>
    </row>
    <row r="16" spans="1:14">
      <c r="A16" s="211"/>
      <c r="B16" s="30" t="s">
        <v>94</v>
      </c>
      <c r="C16" s="30" t="s">
        <v>74</v>
      </c>
      <c r="D16" s="30" t="s">
        <v>75</v>
      </c>
      <c r="E16" s="30" t="s">
        <v>56</v>
      </c>
      <c r="F16" s="137">
        <f>'Subcontractor Labor Build'!F17</f>
        <v>0</v>
      </c>
      <c r="G16" s="131">
        <f>'Subcontractor Labor Build'!Q17</f>
        <v>29.76</v>
      </c>
      <c r="J16" s="167"/>
      <c r="K16" s="169" t="s">
        <v>149</v>
      </c>
      <c r="M16" s="170">
        <f>M15*0.5</f>
        <v>0</v>
      </c>
      <c r="N16" s="168"/>
    </row>
    <row r="17" spans="1:14" ht="15.75" thickBot="1">
      <c r="A17" s="211"/>
      <c r="B17" s="30" t="s">
        <v>95</v>
      </c>
      <c r="C17" s="30" t="s">
        <v>96</v>
      </c>
      <c r="D17" s="30" t="s">
        <v>97</v>
      </c>
      <c r="E17" s="30" t="s">
        <v>56</v>
      </c>
      <c r="F17" s="137">
        <f>'Subcontractor Labor Build'!F18</f>
        <v>0</v>
      </c>
      <c r="G17" s="131">
        <f>'Subcontractor Labor Build'!Q18</f>
        <v>33.799999999999997</v>
      </c>
      <c r="J17" s="167"/>
      <c r="N17" s="168"/>
    </row>
    <row r="18" spans="1:14" ht="15.75" thickBot="1">
      <c r="A18" s="212"/>
      <c r="B18" s="81" t="s">
        <v>98</v>
      </c>
      <c r="C18" s="81" t="s">
        <v>80</v>
      </c>
      <c r="D18" s="81" t="s">
        <v>81</v>
      </c>
      <c r="E18" s="81" t="s">
        <v>56</v>
      </c>
      <c r="F18" s="138">
        <f>'Subcontractor Labor Build'!F19</f>
        <v>0</v>
      </c>
      <c r="G18" s="133">
        <f>'Subcontractor Labor Build'!Q19</f>
        <v>23.57</v>
      </c>
      <c r="J18" s="167"/>
      <c r="K18" s="171" t="s">
        <v>150</v>
      </c>
      <c r="M18" s="31">
        <f>M11+M12+M13+M14+M15+M16</f>
        <v>0</v>
      </c>
      <c r="N18" s="168"/>
    </row>
    <row r="19" spans="1:14" ht="15.75" customHeight="1" thickBot="1">
      <c r="A19" s="128" t="s">
        <v>99</v>
      </c>
      <c r="B19" s="119"/>
      <c r="C19" s="119"/>
      <c r="D19" s="119"/>
      <c r="E19" s="119"/>
      <c r="F19" s="139"/>
      <c r="G19" s="122"/>
      <c r="J19" s="172"/>
      <c r="K19" s="173"/>
      <c r="L19" s="173"/>
      <c r="M19" s="173"/>
      <c r="N19" s="174"/>
    </row>
    <row r="20" spans="1:14" ht="15.75" thickBot="1">
      <c r="A20" s="61" t="s">
        <v>61</v>
      </c>
      <c r="B20" s="90" t="s">
        <v>100</v>
      </c>
      <c r="C20" s="91" t="s">
        <v>63</v>
      </c>
      <c r="D20" s="91"/>
      <c r="E20" s="91" t="s">
        <v>99</v>
      </c>
      <c r="F20" s="135">
        <f>'Subcontractor Labor Build'!F21</f>
        <v>0</v>
      </c>
      <c r="G20" s="125">
        <f>'Subcontractor Labor Build'!Q21</f>
        <v>31.25</v>
      </c>
    </row>
    <row r="21" spans="1:14" ht="15.75" thickBot="1">
      <c r="A21" s="61" t="s">
        <v>65</v>
      </c>
      <c r="B21" s="90" t="s">
        <v>101</v>
      </c>
      <c r="C21" s="91" t="s">
        <v>67</v>
      </c>
      <c r="D21" s="91"/>
      <c r="E21" s="91" t="s">
        <v>99</v>
      </c>
      <c r="F21" s="135">
        <f>'Subcontractor Labor Build'!F22</f>
        <v>0</v>
      </c>
      <c r="G21" s="125">
        <f>'Subcontractor Labor Build'!Q22</f>
        <v>31.25</v>
      </c>
    </row>
    <row r="22" spans="1:14">
      <c r="A22" s="208" t="s">
        <v>82</v>
      </c>
      <c r="B22" s="83" t="s">
        <v>102</v>
      </c>
      <c r="C22" s="77" t="s">
        <v>84</v>
      </c>
      <c r="D22" s="77"/>
      <c r="E22" s="77" t="s">
        <v>99</v>
      </c>
      <c r="F22" s="136">
        <f>'Subcontractor Labor Build'!F23</f>
        <v>0</v>
      </c>
      <c r="G22" s="130">
        <f>'Subcontractor Labor Build'!Q23</f>
        <v>26.57</v>
      </c>
    </row>
    <row r="23" spans="1:14" ht="15.75" thickBot="1">
      <c r="A23" s="210"/>
      <c r="B23" s="84" t="s">
        <v>103</v>
      </c>
      <c r="C23" s="81" t="s">
        <v>104</v>
      </c>
      <c r="D23" s="81"/>
      <c r="E23" s="81" t="s">
        <v>99</v>
      </c>
      <c r="F23" s="138">
        <f>'Subcontractor Labor Build'!F24</f>
        <v>0</v>
      </c>
      <c r="G23" s="133">
        <f>'Subcontractor Labor Build'!Q24</f>
        <v>26.57</v>
      </c>
    </row>
    <row r="24" spans="1:14">
      <c r="A24" s="198" t="s">
        <v>89</v>
      </c>
      <c r="B24" s="83" t="s">
        <v>105</v>
      </c>
      <c r="C24" s="77" t="s">
        <v>67</v>
      </c>
      <c r="D24" s="77"/>
      <c r="E24" s="77" t="s">
        <v>99</v>
      </c>
      <c r="F24" s="136">
        <f>'Subcontractor Labor Build'!F25</f>
        <v>0</v>
      </c>
      <c r="G24" s="130">
        <f>'Subcontractor Labor Build'!Q25</f>
        <v>31.25</v>
      </c>
    </row>
    <row r="25" spans="1:14">
      <c r="A25" s="199"/>
      <c r="B25" s="54" t="s">
        <v>106</v>
      </c>
      <c r="C25" s="30" t="s">
        <v>92</v>
      </c>
      <c r="D25" s="30"/>
      <c r="E25" s="30" t="s">
        <v>99</v>
      </c>
      <c r="F25" s="137">
        <f>'Subcontractor Labor Build'!F26</f>
        <v>0</v>
      </c>
      <c r="G25" s="131">
        <f>'Subcontractor Labor Build'!Q26</f>
        <v>27.21</v>
      </c>
    </row>
    <row r="26" spans="1:14">
      <c r="A26" s="199"/>
      <c r="B26" s="54" t="s">
        <v>107</v>
      </c>
      <c r="C26" s="30" t="s">
        <v>74</v>
      </c>
      <c r="D26" s="30"/>
      <c r="E26" s="30" t="s">
        <v>99</v>
      </c>
      <c r="F26" s="137">
        <f>'Subcontractor Labor Build'!F27</f>
        <v>0</v>
      </c>
      <c r="G26" s="131">
        <f>'Subcontractor Labor Build'!Q27</f>
        <v>31.25</v>
      </c>
    </row>
    <row r="27" spans="1:14" ht="15.75" thickBot="1">
      <c r="A27" s="200"/>
      <c r="B27" s="84" t="s">
        <v>108</v>
      </c>
      <c r="C27" s="81" t="s">
        <v>96</v>
      </c>
      <c r="D27" s="81"/>
      <c r="E27" s="81" t="s">
        <v>99</v>
      </c>
      <c r="F27" s="138">
        <f>'Subcontractor Labor Build'!F28</f>
        <v>0</v>
      </c>
      <c r="G27" s="133">
        <f>'Subcontractor Labor Build'!Q28</f>
        <v>35.49</v>
      </c>
    </row>
    <row r="28" spans="1:14" ht="19.5" thickBot="1">
      <c r="A28" s="204" t="s">
        <v>137</v>
      </c>
      <c r="B28" s="205"/>
      <c r="C28" s="206"/>
      <c r="D28" s="206"/>
      <c r="E28" s="206"/>
      <c r="F28" s="206"/>
      <c r="G28" s="207"/>
    </row>
    <row r="29" spans="1:14" ht="19.5" thickBot="1">
      <c r="A29" s="123" t="s">
        <v>56</v>
      </c>
      <c r="B29" s="120"/>
      <c r="C29" s="120"/>
      <c r="D29" s="120"/>
      <c r="E29" s="120"/>
      <c r="F29" s="120"/>
      <c r="G29" s="121"/>
    </row>
    <row r="30" spans="1:14" ht="15.75" thickBot="1">
      <c r="A30" s="86" t="s">
        <v>57</v>
      </c>
      <c r="B30" s="88" t="s">
        <v>58</v>
      </c>
      <c r="C30" s="88" t="s">
        <v>59</v>
      </c>
      <c r="D30" s="88" t="s">
        <v>60</v>
      </c>
      <c r="E30" s="88" t="s">
        <v>56</v>
      </c>
      <c r="F30" s="126">
        <f>'Subcontractor Labor Build'!F33</f>
        <v>0</v>
      </c>
      <c r="G30" s="127">
        <f>'Subcontractor Labor Build'!Q33</f>
        <v>43.818719999999999</v>
      </c>
    </row>
    <row r="31" spans="1:14" ht="15.75" thickBot="1">
      <c r="A31" s="61" t="s">
        <v>61</v>
      </c>
      <c r="B31" s="91" t="s">
        <v>62</v>
      </c>
      <c r="C31" s="91" t="s">
        <v>63</v>
      </c>
      <c r="D31" s="91" t="s">
        <v>64</v>
      </c>
      <c r="E31" s="91" t="s">
        <v>56</v>
      </c>
      <c r="F31" s="124">
        <f>'Subcontractor Labor Build'!F34</f>
        <v>0</v>
      </c>
      <c r="G31" s="125">
        <f>'Subcontractor Labor Build'!Q34</f>
        <v>30.712320000000002</v>
      </c>
    </row>
    <row r="32" spans="1:14" ht="15.75" thickBot="1">
      <c r="A32" s="61" t="s">
        <v>65</v>
      </c>
      <c r="B32" s="91" t="s">
        <v>66</v>
      </c>
      <c r="C32" s="91" t="s">
        <v>67</v>
      </c>
      <c r="D32" s="91" t="s">
        <v>68</v>
      </c>
      <c r="E32" s="91" t="s">
        <v>56</v>
      </c>
      <c r="F32" s="124">
        <f>'Subcontractor Labor Build'!F35</f>
        <v>0</v>
      </c>
      <c r="G32" s="125">
        <f>'Subcontractor Labor Build'!Q35</f>
        <v>30.712320000000002</v>
      </c>
    </row>
    <row r="33" spans="1:7">
      <c r="A33" s="208" t="s">
        <v>69</v>
      </c>
      <c r="B33" s="77" t="s">
        <v>70</v>
      </c>
      <c r="C33" s="77" t="s">
        <v>63</v>
      </c>
      <c r="D33" s="77" t="s">
        <v>64</v>
      </c>
      <c r="E33" s="77" t="s">
        <v>56</v>
      </c>
      <c r="F33" s="129">
        <f>'Subcontractor Labor Build'!F36</f>
        <v>0</v>
      </c>
      <c r="G33" s="130">
        <f>'Subcontractor Labor Build'!Q36</f>
        <v>30.712320000000002</v>
      </c>
    </row>
    <row r="34" spans="1:7">
      <c r="A34" s="209"/>
      <c r="B34" s="30" t="s">
        <v>71</v>
      </c>
      <c r="C34" s="30" t="s">
        <v>69</v>
      </c>
      <c r="D34" s="30" t="s">
        <v>72</v>
      </c>
      <c r="E34" s="30" t="s">
        <v>56</v>
      </c>
      <c r="F34" s="43">
        <f>'Subcontractor Labor Build'!F37</f>
        <v>0</v>
      </c>
      <c r="G34" s="131">
        <f>'Subcontractor Labor Build'!Q37</f>
        <v>30.712320000000002</v>
      </c>
    </row>
    <row r="35" spans="1:7">
      <c r="A35" s="209"/>
      <c r="B35" s="30" t="s">
        <v>73</v>
      </c>
      <c r="C35" s="30" t="s">
        <v>74</v>
      </c>
      <c r="D35" s="30" t="s">
        <v>75</v>
      </c>
      <c r="E35" s="30" t="s">
        <v>56</v>
      </c>
      <c r="F35" s="43">
        <f>'Subcontractor Labor Build'!F38</f>
        <v>0</v>
      </c>
      <c r="G35" s="131">
        <f>'Subcontractor Labor Build'!Q38</f>
        <v>30.712320000000002</v>
      </c>
    </row>
    <row r="36" spans="1:7">
      <c r="A36" s="209"/>
      <c r="B36" s="30" t="s">
        <v>76</v>
      </c>
      <c r="C36" s="30" t="s">
        <v>77</v>
      </c>
      <c r="D36" s="30" t="s">
        <v>78</v>
      </c>
      <c r="E36" s="30" t="s">
        <v>56</v>
      </c>
      <c r="F36" s="43">
        <f>'Subcontractor Labor Build'!F39</f>
        <v>0</v>
      </c>
      <c r="G36" s="131">
        <f>'Subcontractor Labor Build'!Q39</f>
        <v>30.712320000000002</v>
      </c>
    </row>
    <row r="37" spans="1:7" ht="15.75" thickBot="1">
      <c r="A37" s="210"/>
      <c r="B37" s="81" t="s">
        <v>79</v>
      </c>
      <c r="C37" s="81" t="s">
        <v>80</v>
      </c>
      <c r="D37" s="81" t="s">
        <v>81</v>
      </c>
      <c r="E37" s="81" t="s">
        <v>56</v>
      </c>
      <c r="F37" s="132">
        <f>'Subcontractor Labor Build'!F40</f>
        <v>0</v>
      </c>
      <c r="G37" s="133">
        <f>'Subcontractor Labor Build'!Q40</f>
        <v>24.32424</v>
      </c>
    </row>
    <row r="38" spans="1:7">
      <c r="A38" s="208" t="s">
        <v>82</v>
      </c>
      <c r="B38" s="77" t="s">
        <v>83</v>
      </c>
      <c r="C38" s="77" t="s">
        <v>84</v>
      </c>
      <c r="D38" s="77" t="s">
        <v>85</v>
      </c>
      <c r="E38" s="77" t="s">
        <v>56</v>
      </c>
      <c r="F38" s="129">
        <f>'Subcontractor Labor Build'!F41</f>
        <v>0</v>
      </c>
      <c r="G38" s="130">
        <f>'Subcontractor Labor Build'!Q41</f>
        <v>26.1096</v>
      </c>
    </row>
    <row r="39" spans="1:7" ht="15.75" thickBot="1">
      <c r="A39" s="210"/>
      <c r="B39" s="81" t="s">
        <v>86</v>
      </c>
      <c r="C39" s="81" t="s">
        <v>87</v>
      </c>
      <c r="D39" s="81" t="s">
        <v>88</v>
      </c>
      <c r="E39" s="81" t="s">
        <v>56</v>
      </c>
      <c r="F39" s="132">
        <f>'Subcontractor Labor Build'!F42</f>
        <v>0</v>
      </c>
      <c r="G39" s="133">
        <f>'Subcontractor Labor Build'!Q42</f>
        <v>26.1096</v>
      </c>
    </row>
    <row r="40" spans="1:7">
      <c r="A40" s="198" t="s">
        <v>89</v>
      </c>
      <c r="B40" s="77" t="s">
        <v>90</v>
      </c>
      <c r="C40" s="77" t="s">
        <v>67</v>
      </c>
      <c r="D40" s="77" t="s">
        <v>68</v>
      </c>
      <c r="E40" s="77" t="s">
        <v>56</v>
      </c>
      <c r="F40" s="129">
        <f>'Subcontractor Labor Build'!F43</f>
        <v>0</v>
      </c>
      <c r="G40" s="130">
        <f>'Subcontractor Labor Build'!Q43</f>
        <v>30.712320000000002</v>
      </c>
    </row>
    <row r="41" spans="1:7">
      <c r="A41" s="211"/>
      <c r="B41" s="30" t="s">
        <v>91</v>
      </c>
      <c r="C41" s="30" t="s">
        <v>92</v>
      </c>
      <c r="D41" s="30" t="s">
        <v>93</v>
      </c>
      <c r="E41" s="30" t="s">
        <v>56</v>
      </c>
      <c r="F41" s="43">
        <f>'Subcontractor Labor Build'!F44</f>
        <v>0</v>
      </c>
      <c r="G41" s="131">
        <f>'Subcontractor Labor Build'!Q44</f>
        <v>26.73912</v>
      </c>
    </row>
    <row r="42" spans="1:7">
      <c r="A42" s="211"/>
      <c r="B42" s="30" t="s">
        <v>94</v>
      </c>
      <c r="C42" s="30" t="s">
        <v>74</v>
      </c>
      <c r="D42" s="30" t="s">
        <v>75</v>
      </c>
      <c r="E42" s="30" t="s">
        <v>56</v>
      </c>
      <c r="F42" s="43">
        <f>'Subcontractor Labor Build'!F45</f>
        <v>0</v>
      </c>
      <c r="G42" s="131">
        <f>'Subcontractor Labor Build'!Q45</f>
        <v>30.712320000000002</v>
      </c>
    </row>
    <row r="43" spans="1:7">
      <c r="A43" s="211"/>
      <c r="B43" s="30" t="s">
        <v>95</v>
      </c>
      <c r="C43" s="30" t="s">
        <v>96</v>
      </c>
      <c r="D43" s="30" t="s">
        <v>97</v>
      </c>
      <c r="E43" s="30" t="s">
        <v>56</v>
      </c>
      <c r="F43" s="43">
        <f>'Subcontractor Labor Build'!F46</f>
        <v>0</v>
      </c>
      <c r="G43" s="131">
        <f>'Subcontractor Labor Build'!Q46</f>
        <v>34.881599999999999</v>
      </c>
    </row>
    <row r="44" spans="1:7" ht="15.75" thickBot="1">
      <c r="A44" s="212"/>
      <c r="B44" s="81" t="s">
        <v>98</v>
      </c>
      <c r="C44" s="81" t="s">
        <v>80</v>
      </c>
      <c r="D44" s="81" t="s">
        <v>81</v>
      </c>
      <c r="E44" s="81" t="s">
        <v>56</v>
      </c>
      <c r="F44" s="132">
        <f>'Subcontractor Labor Build'!F47</f>
        <v>0</v>
      </c>
      <c r="G44" s="133">
        <f>'Subcontractor Labor Build'!Q47</f>
        <v>24.32424</v>
      </c>
    </row>
    <row r="45" spans="1:7" ht="19.5" thickBot="1">
      <c r="A45" s="128" t="s">
        <v>99</v>
      </c>
      <c r="B45" s="119"/>
      <c r="C45" s="119"/>
      <c r="D45" s="119"/>
      <c r="E45" s="119"/>
      <c r="F45" s="119"/>
      <c r="G45" s="122"/>
    </row>
    <row r="46" spans="1:7" ht="15.75" thickBot="1">
      <c r="A46" s="61" t="s">
        <v>61</v>
      </c>
      <c r="B46" s="90" t="s">
        <v>100</v>
      </c>
      <c r="C46" s="91" t="s">
        <v>63</v>
      </c>
      <c r="D46" s="91"/>
      <c r="E46" s="91" t="s">
        <v>99</v>
      </c>
      <c r="F46" s="124">
        <f>'Subcontractor Labor Build'!F49</f>
        <v>0</v>
      </c>
      <c r="G46" s="125">
        <f>'Subcontractor Labor Build'!Q49</f>
        <v>32.25</v>
      </c>
    </row>
    <row r="47" spans="1:7" ht="15.75" thickBot="1">
      <c r="A47" s="61" t="s">
        <v>65</v>
      </c>
      <c r="B47" s="90" t="s">
        <v>101</v>
      </c>
      <c r="C47" s="91" t="s">
        <v>67</v>
      </c>
      <c r="D47" s="91"/>
      <c r="E47" s="91" t="s">
        <v>99</v>
      </c>
      <c r="F47" s="124">
        <f>'Subcontractor Labor Build'!F50</f>
        <v>0</v>
      </c>
      <c r="G47" s="125">
        <f>'Subcontractor Labor Build'!Q50</f>
        <v>32.25</v>
      </c>
    </row>
    <row r="48" spans="1:7">
      <c r="A48" s="208" t="s">
        <v>82</v>
      </c>
      <c r="B48" s="83" t="s">
        <v>102</v>
      </c>
      <c r="C48" s="77" t="s">
        <v>84</v>
      </c>
      <c r="D48" s="77"/>
      <c r="E48" s="77" t="s">
        <v>99</v>
      </c>
      <c r="F48" s="129">
        <f>'Subcontractor Labor Build'!F51</f>
        <v>0</v>
      </c>
      <c r="G48" s="130">
        <f>'Subcontractor Labor Build'!Q51</f>
        <v>27.42024</v>
      </c>
    </row>
    <row r="49" spans="1:7" ht="15.75" thickBot="1">
      <c r="A49" s="210"/>
      <c r="B49" s="84" t="s">
        <v>103</v>
      </c>
      <c r="C49" s="81" t="s">
        <v>104</v>
      </c>
      <c r="D49" s="81"/>
      <c r="E49" s="81" t="s">
        <v>99</v>
      </c>
      <c r="F49" s="132">
        <f>'Subcontractor Labor Build'!F52</f>
        <v>0</v>
      </c>
      <c r="G49" s="133">
        <f>'Subcontractor Labor Build'!Q52</f>
        <v>27.42024</v>
      </c>
    </row>
    <row r="50" spans="1:7">
      <c r="A50" s="198" t="s">
        <v>89</v>
      </c>
      <c r="B50" s="83" t="s">
        <v>105</v>
      </c>
      <c r="C50" s="77" t="s">
        <v>67</v>
      </c>
      <c r="D50" s="77"/>
      <c r="E50" s="77" t="s">
        <v>99</v>
      </c>
      <c r="F50" s="129">
        <f>'Subcontractor Labor Build'!F53</f>
        <v>0</v>
      </c>
      <c r="G50" s="130">
        <f>'Subcontractor Labor Build'!Q53</f>
        <v>32.25</v>
      </c>
    </row>
    <row r="51" spans="1:7">
      <c r="A51" s="199"/>
      <c r="B51" s="54" t="s">
        <v>106</v>
      </c>
      <c r="C51" s="30" t="s">
        <v>92</v>
      </c>
      <c r="D51" s="30"/>
      <c r="E51" s="30" t="s">
        <v>99</v>
      </c>
      <c r="F51" s="43">
        <f>'Subcontractor Labor Build'!F54</f>
        <v>0</v>
      </c>
      <c r="G51" s="131">
        <f>'Subcontractor Labor Build'!Q54</f>
        <v>28.080719999999999</v>
      </c>
    </row>
    <row r="52" spans="1:7">
      <c r="A52" s="199"/>
      <c r="B52" s="54" t="s">
        <v>107</v>
      </c>
      <c r="C52" s="30" t="s">
        <v>74</v>
      </c>
      <c r="D52" s="30"/>
      <c r="E52" s="30" t="s">
        <v>99</v>
      </c>
      <c r="F52" s="43">
        <f>'Subcontractor Labor Build'!F55</f>
        <v>0</v>
      </c>
      <c r="G52" s="131">
        <f>'Subcontractor Labor Build'!Q55</f>
        <v>32.25</v>
      </c>
    </row>
    <row r="53" spans="1:7" ht="15.75" thickBot="1">
      <c r="A53" s="200"/>
      <c r="B53" s="84" t="s">
        <v>108</v>
      </c>
      <c r="C53" s="81" t="s">
        <v>96</v>
      </c>
      <c r="D53" s="81"/>
      <c r="E53" s="81" t="s">
        <v>99</v>
      </c>
      <c r="F53" s="132">
        <f>'Subcontractor Labor Build'!F56</f>
        <v>0</v>
      </c>
      <c r="G53" s="133">
        <f>'Subcontractor Labor Build'!Q56</f>
        <v>36.625680000000003</v>
      </c>
    </row>
    <row r="54" spans="1:7" ht="19.5" thickBot="1">
      <c r="A54" s="204" t="s">
        <v>138</v>
      </c>
      <c r="B54" s="205"/>
      <c r="C54" s="206"/>
      <c r="D54" s="206"/>
      <c r="E54" s="206"/>
      <c r="F54" s="206"/>
      <c r="G54" s="207"/>
    </row>
    <row r="55" spans="1:7" ht="19.5" thickBot="1">
      <c r="A55" s="123" t="s">
        <v>56</v>
      </c>
      <c r="B55" s="120"/>
      <c r="C55" s="120"/>
      <c r="D55" s="120"/>
      <c r="E55" s="120"/>
      <c r="F55" s="120"/>
      <c r="G55" s="121"/>
    </row>
    <row r="56" spans="1:7" ht="15.75" thickBot="1">
      <c r="A56" s="86" t="s">
        <v>57</v>
      </c>
      <c r="B56" s="88" t="s">
        <v>58</v>
      </c>
      <c r="C56" s="88" t="s">
        <v>59</v>
      </c>
      <c r="D56" s="88" t="s">
        <v>60</v>
      </c>
      <c r="E56" s="88" t="s">
        <v>56</v>
      </c>
      <c r="F56" s="126">
        <f>'Subcontractor Labor Build'!F61</f>
        <v>0</v>
      </c>
      <c r="G56" s="127">
        <f>'Subcontractor Labor Build'!Q61</f>
        <v>45.001825439999998</v>
      </c>
    </row>
    <row r="57" spans="1:7" ht="15.75" thickBot="1">
      <c r="A57" s="61" t="s">
        <v>61</v>
      </c>
      <c r="B57" s="91" t="s">
        <v>62</v>
      </c>
      <c r="C57" s="91" t="s">
        <v>63</v>
      </c>
      <c r="D57" s="91" t="s">
        <v>64</v>
      </c>
      <c r="E57" s="91" t="s">
        <v>56</v>
      </c>
      <c r="F57" s="124">
        <f>'Subcontractor Labor Build'!F62</f>
        <v>0</v>
      </c>
      <c r="G57" s="125">
        <f>'Subcontractor Labor Build'!Q62</f>
        <v>31.541552640000003</v>
      </c>
    </row>
    <row r="58" spans="1:7" ht="15.75" thickBot="1">
      <c r="A58" s="61" t="s">
        <v>65</v>
      </c>
      <c r="B58" s="91" t="s">
        <v>66</v>
      </c>
      <c r="C58" s="91" t="s">
        <v>67</v>
      </c>
      <c r="D58" s="91" t="s">
        <v>68</v>
      </c>
      <c r="E58" s="91" t="s">
        <v>56</v>
      </c>
      <c r="F58" s="124">
        <f>'Subcontractor Labor Build'!F63</f>
        <v>0</v>
      </c>
      <c r="G58" s="125">
        <f>'Subcontractor Labor Build'!Q63</f>
        <v>31.541552640000003</v>
      </c>
    </row>
    <row r="59" spans="1:7">
      <c r="A59" s="208" t="s">
        <v>69</v>
      </c>
      <c r="B59" s="77" t="s">
        <v>70</v>
      </c>
      <c r="C59" s="77" t="s">
        <v>63</v>
      </c>
      <c r="D59" s="77" t="s">
        <v>64</v>
      </c>
      <c r="E59" s="77" t="s">
        <v>56</v>
      </c>
      <c r="F59" s="129">
        <f>'Subcontractor Labor Build'!F64</f>
        <v>0</v>
      </c>
      <c r="G59" s="130">
        <f>'Subcontractor Labor Build'!Q64</f>
        <v>31.541552640000003</v>
      </c>
    </row>
    <row r="60" spans="1:7">
      <c r="A60" s="209"/>
      <c r="B60" s="30" t="s">
        <v>71</v>
      </c>
      <c r="C60" s="30" t="s">
        <v>69</v>
      </c>
      <c r="D60" s="30" t="s">
        <v>72</v>
      </c>
      <c r="E60" s="30" t="s">
        <v>56</v>
      </c>
      <c r="F60" s="43">
        <f>'Subcontractor Labor Build'!F65</f>
        <v>0</v>
      </c>
      <c r="G60" s="131">
        <f>'Subcontractor Labor Build'!Q65</f>
        <v>31.541552640000003</v>
      </c>
    </row>
    <row r="61" spans="1:7">
      <c r="A61" s="209"/>
      <c r="B61" s="30" t="s">
        <v>73</v>
      </c>
      <c r="C61" s="30" t="s">
        <v>74</v>
      </c>
      <c r="D61" s="30" t="s">
        <v>75</v>
      </c>
      <c r="E61" s="30" t="s">
        <v>56</v>
      </c>
      <c r="F61" s="43">
        <f>'Subcontractor Labor Build'!F66</f>
        <v>0</v>
      </c>
      <c r="G61" s="131">
        <f>'Subcontractor Labor Build'!Q66</f>
        <v>31.541552640000003</v>
      </c>
    </row>
    <row r="62" spans="1:7">
      <c r="A62" s="209"/>
      <c r="B62" s="30" t="s">
        <v>76</v>
      </c>
      <c r="C62" s="30" t="s">
        <v>77</v>
      </c>
      <c r="D62" s="30" t="s">
        <v>78</v>
      </c>
      <c r="E62" s="30" t="s">
        <v>56</v>
      </c>
      <c r="F62" s="43">
        <f>'Subcontractor Labor Build'!F67</f>
        <v>0</v>
      </c>
      <c r="G62" s="131">
        <f>'Subcontractor Labor Build'!Q67</f>
        <v>31.541552640000003</v>
      </c>
    </row>
    <row r="63" spans="1:7" ht="15.75" thickBot="1">
      <c r="A63" s="210"/>
      <c r="B63" s="81" t="s">
        <v>79</v>
      </c>
      <c r="C63" s="81" t="s">
        <v>80</v>
      </c>
      <c r="D63" s="81" t="s">
        <v>81</v>
      </c>
      <c r="E63" s="81" t="s">
        <v>56</v>
      </c>
      <c r="F63" s="132">
        <f>'Subcontractor Labor Build'!F68</f>
        <v>0</v>
      </c>
      <c r="G63" s="133">
        <f>'Subcontractor Labor Build'!Q68</f>
        <v>24.98099448</v>
      </c>
    </row>
    <row r="64" spans="1:7">
      <c r="A64" s="208" t="s">
        <v>82</v>
      </c>
      <c r="B64" s="77" t="s">
        <v>83</v>
      </c>
      <c r="C64" s="77" t="s">
        <v>84</v>
      </c>
      <c r="D64" s="77" t="s">
        <v>85</v>
      </c>
      <c r="E64" s="77" t="s">
        <v>56</v>
      </c>
      <c r="F64" s="129">
        <f>'Subcontractor Labor Build'!F69</f>
        <v>0</v>
      </c>
      <c r="G64" s="130">
        <f>'Subcontractor Labor Build'!Q69</f>
        <v>26.814559200000001</v>
      </c>
    </row>
    <row r="65" spans="1:7" ht="15.75" thickBot="1">
      <c r="A65" s="210"/>
      <c r="B65" s="81" t="s">
        <v>86</v>
      </c>
      <c r="C65" s="81" t="s">
        <v>87</v>
      </c>
      <c r="D65" s="81" t="s">
        <v>88</v>
      </c>
      <c r="E65" s="81" t="s">
        <v>56</v>
      </c>
      <c r="F65" s="132">
        <f>'Subcontractor Labor Build'!F70</f>
        <v>0</v>
      </c>
      <c r="G65" s="133">
        <f>'Subcontractor Labor Build'!Q70</f>
        <v>26.814559200000001</v>
      </c>
    </row>
    <row r="66" spans="1:7">
      <c r="A66" s="198" t="s">
        <v>89</v>
      </c>
      <c r="B66" s="77" t="s">
        <v>90</v>
      </c>
      <c r="C66" s="77" t="s">
        <v>67</v>
      </c>
      <c r="D66" s="77" t="s">
        <v>68</v>
      </c>
      <c r="E66" s="77" t="s">
        <v>56</v>
      </c>
      <c r="F66" s="129">
        <f>'Subcontractor Labor Build'!F71</f>
        <v>0</v>
      </c>
      <c r="G66" s="130">
        <f>'Subcontractor Labor Build'!Q71</f>
        <v>31.541552640000003</v>
      </c>
    </row>
    <row r="67" spans="1:7">
      <c r="A67" s="211"/>
      <c r="B67" s="30" t="s">
        <v>91</v>
      </c>
      <c r="C67" s="30" t="s">
        <v>92</v>
      </c>
      <c r="D67" s="30" t="s">
        <v>93</v>
      </c>
      <c r="E67" s="30" t="s">
        <v>56</v>
      </c>
      <c r="F67" s="43">
        <f>'Subcontractor Labor Build'!F72</f>
        <v>0</v>
      </c>
      <c r="G67" s="131">
        <f>'Subcontractor Labor Build'!Q72</f>
        <v>27.461076240000001</v>
      </c>
    </row>
    <row r="68" spans="1:7">
      <c r="A68" s="211"/>
      <c r="B68" s="30" t="s">
        <v>94</v>
      </c>
      <c r="C68" s="30" t="s">
        <v>74</v>
      </c>
      <c r="D68" s="30" t="s">
        <v>75</v>
      </c>
      <c r="E68" s="30" t="s">
        <v>56</v>
      </c>
      <c r="F68" s="43">
        <f>'Subcontractor Labor Build'!F73</f>
        <v>0</v>
      </c>
      <c r="G68" s="131">
        <f>'Subcontractor Labor Build'!Q73</f>
        <v>31.541552640000003</v>
      </c>
    </row>
    <row r="69" spans="1:7">
      <c r="A69" s="211"/>
      <c r="B69" s="30" t="s">
        <v>95</v>
      </c>
      <c r="C69" s="30" t="s">
        <v>96</v>
      </c>
      <c r="D69" s="30" t="s">
        <v>97</v>
      </c>
      <c r="E69" s="30" t="s">
        <v>56</v>
      </c>
      <c r="F69" s="43">
        <f>'Subcontractor Labor Build'!F74</f>
        <v>0</v>
      </c>
      <c r="G69" s="131">
        <f>'Subcontractor Labor Build'!Q74</f>
        <v>35.823403200000001</v>
      </c>
    </row>
    <row r="70" spans="1:7" ht="15.75" thickBot="1">
      <c r="A70" s="212"/>
      <c r="B70" s="81" t="s">
        <v>98</v>
      </c>
      <c r="C70" s="81" t="s">
        <v>80</v>
      </c>
      <c r="D70" s="81" t="s">
        <v>81</v>
      </c>
      <c r="E70" s="81" t="s">
        <v>56</v>
      </c>
      <c r="F70" s="132">
        <f>'Subcontractor Labor Build'!F75</f>
        <v>0</v>
      </c>
      <c r="G70" s="133">
        <f>'Subcontractor Labor Build'!Q75</f>
        <v>24.98099448</v>
      </c>
    </row>
    <row r="71" spans="1:7" ht="19.5" thickBot="1">
      <c r="A71" s="128" t="s">
        <v>99</v>
      </c>
      <c r="B71" s="119"/>
      <c r="C71" s="119"/>
      <c r="D71" s="119"/>
      <c r="E71" s="119"/>
      <c r="F71" s="119"/>
      <c r="G71" s="122"/>
    </row>
    <row r="72" spans="1:7" ht="15.75" thickBot="1">
      <c r="A72" s="61" t="s">
        <v>61</v>
      </c>
      <c r="B72" s="90" t="s">
        <v>100</v>
      </c>
      <c r="C72" s="91" t="s">
        <v>63</v>
      </c>
      <c r="D72" s="91"/>
      <c r="E72" s="91" t="s">
        <v>99</v>
      </c>
      <c r="F72" s="124">
        <f>'Subcontractor Labor Build'!F77</f>
        <v>0</v>
      </c>
      <c r="G72" s="125">
        <f>'Subcontractor Labor Build'!Q77</f>
        <v>33.120750000000001</v>
      </c>
    </row>
    <row r="73" spans="1:7" ht="15.75" thickBot="1">
      <c r="A73" s="61" t="s">
        <v>65</v>
      </c>
      <c r="B73" s="90" t="s">
        <v>101</v>
      </c>
      <c r="C73" s="91" t="s">
        <v>67</v>
      </c>
      <c r="D73" s="91"/>
      <c r="E73" s="91" t="s">
        <v>99</v>
      </c>
      <c r="F73" s="124">
        <f>'Subcontractor Labor Build'!F78</f>
        <v>0</v>
      </c>
      <c r="G73" s="125">
        <f>'Subcontractor Labor Build'!Q78</f>
        <v>33.120750000000001</v>
      </c>
    </row>
    <row r="74" spans="1:7">
      <c r="A74" s="208" t="s">
        <v>82</v>
      </c>
      <c r="B74" s="83" t="s">
        <v>102</v>
      </c>
      <c r="C74" s="77" t="s">
        <v>84</v>
      </c>
      <c r="D74" s="77"/>
      <c r="E74" s="77" t="s">
        <v>99</v>
      </c>
      <c r="F74" s="129">
        <f>'Subcontractor Labor Build'!F79</f>
        <v>0</v>
      </c>
      <c r="G74" s="130">
        <f>'Subcontractor Labor Build'!Q79</f>
        <v>28.160586479999999</v>
      </c>
    </row>
    <row r="75" spans="1:7" ht="15.75" thickBot="1">
      <c r="A75" s="210"/>
      <c r="B75" s="84" t="s">
        <v>103</v>
      </c>
      <c r="C75" s="81" t="s">
        <v>104</v>
      </c>
      <c r="D75" s="81"/>
      <c r="E75" s="81" t="s">
        <v>99</v>
      </c>
      <c r="F75" s="132">
        <f>'Subcontractor Labor Build'!F80</f>
        <v>0</v>
      </c>
      <c r="G75" s="133">
        <f>'Subcontractor Labor Build'!Q80</f>
        <v>28.160586479999999</v>
      </c>
    </row>
    <row r="76" spans="1:7">
      <c r="A76" s="198" t="s">
        <v>89</v>
      </c>
      <c r="B76" s="83" t="s">
        <v>105</v>
      </c>
      <c r="C76" s="77" t="s">
        <v>67</v>
      </c>
      <c r="D76" s="77"/>
      <c r="E76" s="77" t="s">
        <v>99</v>
      </c>
      <c r="F76" s="129">
        <f>'Subcontractor Labor Build'!F81</f>
        <v>0</v>
      </c>
      <c r="G76" s="130">
        <f>'Subcontractor Labor Build'!Q81</f>
        <v>33.120750000000001</v>
      </c>
    </row>
    <row r="77" spans="1:7">
      <c r="A77" s="199"/>
      <c r="B77" s="54" t="s">
        <v>106</v>
      </c>
      <c r="C77" s="30" t="s">
        <v>92</v>
      </c>
      <c r="D77" s="30"/>
      <c r="E77" s="30" t="s">
        <v>99</v>
      </c>
      <c r="F77" s="43">
        <f>'Subcontractor Labor Build'!F82</f>
        <v>0</v>
      </c>
      <c r="G77" s="131">
        <f>'Subcontractor Labor Build'!Q82</f>
        <v>28.838899439999999</v>
      </c>
    </row>
    <row r="78" spans="1:7">
      <c r="A78" s="199"/>
      <c r="B78" s="54" t="s">
        <v>107</v>
      </c>
      <c r="C78" s="30" t="s">
        <v>74</v>
      </c>
      <c r="D78" s="30"/>
      <c r="E78" s="30" t="s">
        <v>99</v>
      </c>
      <c r="F78" s="43">
        <f>'Subcontractor Labor Build'!F83</f>
        <v>0</v>
      </c>
      <c r="G78" s="131">
        <f>'Subcontractor Labor Build'!Q83</f>
        <v>33.120750000000001</v>
      </c>
    </row>
    <row r="79" spans="1:7" ht="15.75" thickBot="1">
      <c r="A79" s="200"/>
      <c r="B79" s="84" t="s">
        <v>108</v>
      </c>
      <c r="C79" s="81" t="s">
        <v>96</v>
      </c>
      <c r="D79" s="81"/>
      <c r="E79" s="81" t="s">
        <v>99</v>
      </c>
      <c r="F79" s="132">
        <f>'Subcontractor Labor Build'!F84</f>
        <v>0</v>
      </c>
      <c r="G79" s="133">
        <f>'Subcontractor Labor Build'!Q84</f>
        <v>37.614573360000001</v>
      </c>
    </row>
    <row r="80" spans="1:7" ht="19.5" thickBot="1">
      <c r="A80" s="204" t="s">
        <v>139</v>
      </c>
      <c r="B80" s="205"/>
      <c r="C80" s="206"/>
      <c r="D80" s="206"/>
      <c r="E80" s="206"/>
      <c r="F80" s="206"/>
      <c r="G80" s="207"/>
    </row>
    <row r="81" spans="1:7" ht="19.5" thickBot="1">
      <c r="A81" s="123" t="s">
        <v>56</v>
      </c>
      <c r="B81" s="120"/>
      <c r="C81" s="120"/>
      <c r="D81" s="120"/>
      <c r="E81" s="120"/>
      <c r="F81" s="120"/>
      <c r="G81" s="121"/>
    </row>
    <row r="82" spans="1:7" ht="15.75" thickBot="1">
      <c r="A82" s="86" t="s">
        <v>57</v>
      </c>
      <c r="B82" s="88" t="s">
        <v>58</v>
      </c>
      <c r="C82" s="88" t="s">
        <v>59</v>
      </c>
      <c r="D82" s="88" t="s">
        <v>60</v>
      </c>
      <c r="E82" s="88" t="s">
        <v>56</v>
      </c>
      <c r="F82" s="126">
        <f>'Subcontractor Labor Build'!F89</f>
        <v>0</v>
      </c>
      <c r="G82" s="127">
        <f>'Subcontractor Labor Build'!Q89</f>
        <v>46.21687472688</v>
      </c>
    </row>
    <row r="83" spans="1:7" ht="15.75" thickBot="1">
      <c r="A83" s="61" t="s">
        <v>61</v>
      </c>
      <c r="B83" s="91" t="s">
        <v>62</v>
      </c>
      <c r="C83" s="91" t="s">
        <v>63</v>
      </c>
      <c r="D83" s="91" t="s">
        <v>64</v>
      </c>
      <c r="E83" s="91" t="s">
        <v>56</v>
      </c>
      <c r="F83" s="124">
        <f>'Subcontractor Labor Build'!F90</f>
        <v>0</v>
      </c>
      <c r="G83" s="125">
        <f>'Subcontractor Labor Build'!Q90</f>
        <v>32.393174561280006</v>
      </c>
    </row>
    <row r="84" spans="1:7" ht="15.75" thickBot="1">
      <c r="A84" s="61" t="s">
        <v>65</v>
      </c>
      <c r="B84" s="91" t="s">
        <v>66</v>
      </c>
      <c r="C84" s="91" t="s">
        <v>67</v>
      </c>
      <c r="D84" s="91" t="s">
        <v>68</v>
      </c>
      <c r="E84" s="91" t="s">
        <v>56</v>
      </c>
      <c r="F84" s="124">
        <f>'Subcontractor Labor Build'!F91</f>
        <v>0</v>
      </c>
      <c r="G84" s="125">
        <f>'Subcontractor Labor Build'!Q91</f>
        <v>32.393174561280006</v>
      </c>
    </row>
    <row r="85" spans="1:7">
      <c r="A85" s="208" t="s">
        <v>69</v>
      </c>
      <c r="B85" s="77" t="s">
        <v>70</v>
      </c>
      <c r="C85" s="77" t="s">
        <v>63</v>
      </c>
      <c r="D85" s="77" t="s">
        <v>64</v>
      </c>
      <c r="E85" s="77" t="s">
        <v>56</v>
      </c>
      <c r="F85" s="129">
        <f>'Subcontractor Labor Build'!F92</f>
        <v>0</v>
      </c>
      <c r="G85" s="130">
        <f>'Subcontractor Labor Build'!Q92</f>
        <v>32.393174561280006</v>
      </c>
    </row>
    <row r="86" spans="1:7">
      <c r="A86" s="209"/>
      <c r="B86" s="30" t="s">
        <v>71</v>
      </c>
      <c r="C86" s="30" t="s">
        <v>69</v>
      </c>
      <c r="D86" s="30" t="s">
        <v>72</v>
      </c>
      <c r="E86" s="30" t="s">
        <v>56</v>
      </c>
      <c r="F86" s="43">
        <f>'Subcontractor Labor Build'!F93</f>
        <v>0</v>
      </c>
      <c r="G86" s="131">
        <f>'Subcontractor Labor Build'!Q93</f>
        <v>32.393174561280006</v>
      </c>
    </row>
    <row r="87" spans="1:7">
      <c r="A87" s="209"/>
      <c r="B87" s="30" t="s">
        <v>73</v>
      </c>
      <c r="C87" s="30" t="s">
        <v>74</v>
      </c>
      <c r="D87" s="30" t="s">
        <v>75</v>
      </c>
      <c r="E87" s="30" t="s">
        <v>56</v>
      </c>
      <c r="F87" s="43">
        <f>'Subcontractor Labor Build'!F94</f>
        <v>0</v>
      </c>
      <c r="G87" s="131">
        <f>'Subcontractor Labor Build'!Q94</f>
        <v>32.393174561280006</v>
      </c>
    </row>
    <row r="88" spans="1:7">
      <c r="A88" s="209"/>
      <c r="B88" s="30" t="s">
        <v>76</v>
      </c>
      <c r="C88" s="30" t="s">
        <v>77</v>
      </c>
      <c r="D88" s="30" t="s">
        <v>78</v>
      </c>
      <c r="E88" s="30" t="s">
        <v>56</v>
      </c>
      <c r="F88" s="43">
        <f>'Subcontractor Labor Build'!F95</f>
        <v>0</v>
      </c>
      <c r="G88" s="131">
        <f>'Subcontractor Labor Build'!Q95</f>
        <v>32.393174561280006</v>
      </c>
    </row>
    <row r="89" spans="1:7" ht="15.75" thickBot="1">
      <c r="A89" s="210"/>
      <c r="B89" s="81" t="s">
        <v>79</v>
      </c>
      <c r="C89" s="81" t="s">
        <v>80</v>
      </c>
      <c r="D89" s="81" t="s">
        <v>81</v>
      </c>
      <c r="E89" s="81" t="s">
        <v>56</v>
      </c>
      <c r="F89" s="132">
        <f>'Subcontractor Labor Build'!F96</f>
        <v>0</v>
      </c>
      <c r="G89" s="133">
        <f>'Subcontractor Labor Build'!Q96</f>
        <v>25.655481330960001</v>
      </c>
    </row>
    <row r="90" spans="1:7">
      <c r="A90" s="208" t="s">
        <v>82</v>
      </c>
      <c r="B90" s="77" t="s">
        <v>83</v>
      </c>
      <c r="C90" s="77" t="s">
        <v>84</v>
      </c>
      <c r="D90" s="77" t="s">
        <v>85</v>
      </c>
      <c r="E90" s="77" t="s">
        <v>56</v>
      </c>
      <c r="F90" s="129">
        <f>'Subcontractor Labor Build'!F97</f>
        <v>0</v>
      </c>
      <c r="G90" s="130">
        <f>'Subcontractor Labor Build'!Q97</f>
        <v>27.538552298400003</v>
      </c>
    </row>
    <row r="91" spans="1:7" ht="15.75" thickBot="1">
      <c r="A91" s="210"/>
      <c r="B91" s="81" t="s">
        <v>86</v>
      </c>
      <c r="C91" s="81" t="s">
        <v>87</v>
      </c>
      <c r="D91" s="81" t="s">
        <v>88</v>
      </c>
      <c r="E91" s="81" t="s">
        <v>56</v>
      </c>
      <c r="F91" s="132">
        <f>'Subcontractor Labor Build'!F98</f>
        <v>0</v>
      </c>
      <c r="G91" s="133">
        <f>'Subcontractor Labor Build'!Q98</f>
        <v>27.538552298400003</v>
      </c>
    </row>
    <row r="92" spans="1:7">
      <c r="A92" s="198" t="s">
        <v>89</v>
      </c>
      <c r="B92" s="77" t="s">
        <v>90</v>
      </c>
      <c r="C92" s="77" t="s">
        <v>67</v>
      </c>
      <c r="D92" s="77" t="s">
        <v>68</v>
      </c>
      <c r="E92" s="77" t="s">
        <v>56</v>
      </c>
      <c r="F92" s="129">
        <f>'Subcontractor Labor Build'!F99</f>
        <v>0</v>
      </c>
      <c r="G92" s="130">
        <f>'Subcontractor Labor Build'!Q99</f>
        <v>32.393174561280006</v>
      </c>
    </row>
    <row r="93" spans="1:7">
      <c r="A93" s="211"/>
      <c r="B93" s="30" t="s">
        <v>91</v>
      </c>
      <c r="C93" s="30" t="s">
        <v>92</v>
      </c>
      <c r="D93" s="30" t="s">
        <v>93</v>
      </c>
      <c r="E93" s="30" t="s">
        <v>56</v>
      </c>
      <c r="F93" s="43">
        <f>'Subcontractor Labor Build'!F100</f>
        <v>0</v>
      </c>
      <c r="G93" s="131">
        <f>'Subcontractor Labor Build'!Q100</f>
        <v>28.202525298480001</v>
      </c>
    </row>
    <row r="94" spans="1:7">
      <c r="A94" s="211"/>
      <c r="B94" s="30" t="s">
        <v>94</v>
      </c>
      <c r="C94" s="30" t="s">
        <v>74</v>
      </c>
      <c r="D94" s="30" t="s">
        <v>75</v>
      </c>
      <c r="E94" s="30" t="s">
        <v>56</v>
      </c>
      <c r="F94" s="43">
        <f>'Subcontractor Labor Build'!F101</f>
        <v>0</v>
      </c>
      <c r="G94" s="131">
        <f>'Subcontractor Labor Build'!Q101</f>
        <v>32.393174561280006</v>
      </c>
    </row>
    <row r="95" spans="1:7">
      <c r="A95" s="211"/>
      <c r="B95" s="30" t="s">
        <v>95</v>
      </c>
      <c r="C95" s="30" t="s">
        <v>96</v>
      </c>
      <c r="D95" s="30" t="s">
        <v>97</v>
      </c>
      <c r="E95" s="30" t="s">
        <v>56</v>
      </c>
      <c r="F95" s="43">
        <f>'Subcontractor Labor Build'!F102</f>
        <v>0</v>
      </c>
      <c r="G95" s="131">
        <f>'Subcontractor Labor Build'!Q102</f>
        <v>36.790635086400002</v>
      </c>
    </row>
    <row r="96" spans="1:7" ht="15.75" thickBot="1">
      <c r="A96" s="212"/>
      <c r="B96" s="81" t="s">
        <v>98</v>
      </c>
      <c r="C96" s="81" t="s">
        <v>80</v>
      </c>
      <c r="D96" s="81" t="s">
        <v>81</v>
      </c>
      <c r="E96" s="81" t="s">
        <v>56</v>
      </c>
      <c r="F96" s="132">
        <f>'Subcontractor Labor Build'!F103</f>
        <v>0</v>
      </c>
      <c r="G96" s="133">
        <f>'Subcontractor Labor Build'!Q103</f>
        <v>25.655481330960001</v>
      </c>
    </row>
    <row r="97" spans="1:7" ht="19.5" thickBot="1">
      <c r="A97" s="128" t="s">
        <v>99</v>
      </c>
      <c r="B97" s="119"/>
      <c r="C97" s="119"/>
      <c r="D97" s="119"/>
      <c r="E97" s="119"/>
      <c r="F97" s="119"/>
      <c r="G97" s="122"/>
    </row>
    <row r="98" spans="1:7" ht="15.75" thickBot="1">
      <c r="A98" s="86" t="s">
        <v>61</v>
      </c>
      <c r="B98" s="90" t="s">
        <v>100</v>
      </c>
      <c r="C98" s="91" t="s">
        <v>63</v>
      </c>
      <c r="D98" s="91"/>
      <c r="E98" s="91" t="s">
        <v>99</v>
      </c>
      <c r="F98" s="124">
        <f>'Subcontractor Labor Build'!F105</f>
        <v>0</v>
      </c>
      <c r="G98" s="125">
        <f>'Subcontractor Labor Build'!Q105</f>
        <v>34.015010250000003</v>
      </c>
    </row>
    <row r="99" spans="1:7" ht="15.75" thickBot="1">
      <c r="A99" s="61" t="s">
        <v>65</v>
      </c>
      <c r="B99" s="90" t="s">
        <v>101</v>
      </c>
      <c r="C99" s="91" t="s">
        <v>67</v>
      </c>
      <c r="D99" s="91"/>
      <c r="E99" s="91" t="s">
        <v>99</v>
      </c>
      <c r="F99" s="124">
        <f>'Subcontractor Labor Build'!F106</f>
        <v>0</v>
      </c>
      <c r="G99" s="125">
        <f>'Subcontractor Labor Build'!Q106</f>
        <v>34.015010250000003</v>
      </c>
    </row>
    <row r="100" spans="1:7" ht="30.75" thickBot="1">
      <c r="A100" s="163" t="s">
        <v>89</v>
      </c>
      <c r="B100" s="87" t="s">
        <v>105</v>
      </c>
      <c r="C100" s="88" t="s">
        <v>67</v>
      </c>
      <c r="D100" s="88"/>
      <c r="E100" s="88" t="s">
        <v>99</v>
      </c>
      <c r="F100" s="126">
        <f>'Subcontractor Labor Build'!F107</f>
        <v>0</v>
      </c>
      <c r="G100" s="127">
        <f>'Subcontractor Labor Build'!Q107</f>
        <v>34.015010250000003</v>
      </c>
    </row>
    <row r="101" spans="1:7" ht="15.75" thickBot="1">
      <c r="A101" s="61" t="s">
        <v>61</v>
      </c>
      <c r="B101" s="90" t="s">
        <v>115</v>
      </c>
      <c r="C101" s="91" t="s">
        <v>63</v>
      </c>
      <c r="D101" s="91"/>
      <c r="E101" s="91" t="s">
        <v>116</v>
      </c>
      <c r="F101" s="124">
        <f>'Subcontractor Labor Build'!F108</f>
        <v>0</v>
      </c>
      <c r="G101" s="125">
        <f>'Subcontractor Labor Build'!Q108</f>
        <v>55.07</v>
      </c>
    </row>
    <row r="102" spans="1:7" ht="15" customHeight="1" thickBot="1">
      <c r="A102" s="86" t="s">
        <v>65</v>
      </c>
      <c r="B102" s="87" t="s">
        <v>117</v>
      </c>
      <c r="C102" s="88" t="s">
        <v>67</v>
      </c>
      <c r="D102" s="88"/>
      <c r="E102" s="88" t="s">
        <v>116</v>
      </c>
      <c r="F102" s="126">
        <f>'Subcontractor Labor Build'!F109</f>
        <v>0</v>
      </c>
      <c r="G102" s="127">
        <f>'Subcontractor Labor Build'!Q109</f>
        <v>55.07</v>
      </c>
    </row>
    <row r="103" spans="1:7">
      <c r="A103" s="198" t="s">
        <v>82</v>
      </c>
      <c r="B103" s="83" t="s">
        <v>118</v>
      </c>
      <c r="C103" s="77" t="s">
        <v>84</v>
      </c>
      <c r="D103" s="77"/>
      <c r="E103" s="77" t="s">
        <v>116</v>
      </c>
      <c r="F103" s="129">
        <f>'Subcontractor Labor Build'!F110</f>
        <v>0</v>
      </c>
      <c r="G103" s="130">
        <f>'Subcontractor Labor Build'!Q110</f>
        <v>46.82</v>
      </c>
    </row>
    <row r="104" spans="1:7" ht="15.75" thickBot="1">
      <c r="A104" s="212"/>
      <c r="B104" s="84" t="s">
        <v>119</v>
      </c>
      <c r="C104" s="81" t="s">
        <v>104</v>
      </c>
      <c r="D104" s="81"/>
      <c r="E104" s="81" t="s">
        <v>116</v>
      </c>
      <c r="F104" s="132">
        <f>'Subcontractor Labor Build'!F111</f>
        <v>0</v>
      </c>
      <c r="G104" s="133">
        <f>'Subcontractor Labor Build'!Q111</f>
        <v>46.82</v>
      </c>
    </row>
    <row r="105" spans="1:7">
      <c r="A105" s="198" t="s">
        <v>89</v>
      </c>
      <c r="B105" s="83" t="s">
        <v>120</v>
      </c>
      <c r="C105" s="77" t="s">
        <v>67</v>
      </c>
      <c r="D105" s="77"/>
      <c r="E105" s="77" t="s">
        <v>116</v>
      </c>
      <c r="F105" s="129">
        <f>'Subcontractor Labor Build'!F112</f>
        <v>0</v>
      </c>
      <c r="G105" s="130">
        <f>'Subcontractor Labor Build'!Q112</f>
        <v>55.07</v>
      </c>
    </row>
    <row r="106" spans="1:7">
      <c r="A106" s="199"/>
      <c r="B106" s="54" t="s">
        <v>121</v>
      </c>
      <c r="C106" s="30" t="s">
        <v>92</v>
      </c>
      <c r="D106" s="30"/>
      <c r="E106" s="30" t="s">
        <v>116</v>
      </c>
      <c r="F106" s="43">
        <f>'Subcontractor Labor Build'!F113</f>
        <v>0</v>
      </c>
      <c r="G106" s="131">
        <f>'Subcontractor Labor Build'!Q113</f>
        <v>47.94</v>
      </c>
    </row>
    <row r="107" spans="1:7">
      <c r="A107" s="199"/>
      <c r="B107" s="54" t="s">
        <v>122</v>
      </c>
      <c r="C107" s="30" t="s">
        <v>74</v>
      </c>
      <c r="D107" s="30"/>
      <c r="E107" s="30" t="s">
        <v>116</v>
      </c>
      <c r="F107" s="43">
        <f>'Subcontractor Labor Build'!F114</f>
        <v>0</v>
      </c>
      <c r="G107" s="131">
        <f>'Subcontractor Labor Build'!Q114</f>
        <v>55.07</v>
      </c>
    </row>
    <row r="108" spans="1:7" ht="15.75" thickBot="1">
      <c r="A108" s="200"/>
      <c r="B108" s="84" t="s">
        <v>123</v>
      </c>
      <c r="C108" s="81" t="s">
        <v>96</v>
      </c>
      <c r="D108" s="81"/>
      <c r="E108" s="81" t="s">
        <v>116</v>
      </c>
      <c r="F108" s="132">
        <f>'Subcontractor Labor Build'!F115</f>
        <v>0</v>
      </c>
      <c r="G108" s="133">
        <f>'Subcontractor Labor Build'!Q115</f>
        <v>62.54407964688</v>
      </c>
    </row>
    <row r="109" spans="1:7" ht="19.5" thickBot="1">
      <c r="A109" s="204" t="s">
        <v>140</v>
      </c>
      <c r="B109" s="205"/>
      <c r="C109" s="206"/>
      <c r="D109" s="206"/>
      <c r="E109" s="206"/>
      <c r="F109" s="206"/>
      <c r="G109" s="207"/>
    </row>
    <row r="110" spans="1:7" ht="19.5" thickBot="1">
      <c r="A110" s="123" t="s">
        <v>56</v>
      </c>
      <c r="B110" s="120"/>
      <c r="C110" s="120"/>
      <c r="D110" s="120"/>
      <c r="E110" s="120"/>
      <c r="F110" s="120"/>
      <c r="G110" s="121"/>
    </row>
    <row r="111" spans="1:7" ht="15.75" thickBot="1">
      <c r="A111" s="86" t="s">
        <v>57</v>
      </c>
      <c r="B111" s="88" t="s">
        <v>58</v>
      </c>
      <c r="C111" s="88" t="s">
        <v>59</v>
      </c>
      <c r="D111" s="88" t="s">
        <v>60</v>
      </c>
      <c r="E111" s="88" t="s">
        <v>56</v>
      </c>
      <c r="F111" s="126">
        <f>'Subcontractor Labor Build'!F120</f>
        <v>0</v>
      </c>
      <c r="G111" s="127">
        <f>'Subcontractor Labor Build'!Q120</f>
        <v>47.46473034450576</v>
      </c>
    </row>
    <row r="112" spans="1:7" ht="15.75" thickBot="1">
      <c r="A112" s="61" t="s">
        <v>61</v>
      </c>
      <c r="B112" s="91" t="s">
        <v>62</v>
      </c>
      <c r="C112" s="91" t="s">
        <v>63</v>
      </c>
      <c r="D112" s="91" t="s">
        <v>64</v>
      </c>
      <c r="E112" s="91" t="s">
        <v>56</v>
      </c>
      <c r="F112" s="124">
        <f>'Subcontractor Labor Build'!F121</f>
        <v>0</v>
      </c>
      <c r="G112" s="125">
        <f>'Subcontractor Labor Build'!Q121</f>
        <v>33.267790274434567</v>
      </c>
    </row>
    <row r="113" spans="1:7" ht="15.75" thickBot="1">
      <c r="A113" s="61" t="s">
        <v>65</v>
      </c>
      <c r="B113" s="91" t="s">
        <v>66</v>
      </c>
      <c r="C113" s="91" t="s">
        <v>67</v>
      </c>
      <c r="D113" s="91" t="s">
        <v>68</v>
      </c>
      <c r="E113" s="91" t="s">
        <v>56</v>
      </c>
      <c r="F113" s="124">
        <f>'Subcontractor Labor Build'!F122</f>
        <v>0</v>
      </c>
      <c r="G113" s="125">
        <f>'Subcontractor Labor Build'!Q122</f>
        <v>33.267790274434567</v>
      </c>
    </row>
    <row r="114" spans="1:7">
      <c r="A114" s="208" t="s">
        <v>69</v>
      </c>
      <c r="B114" s="77" t="s">
        <v>70</v>
      </c>
      <c r="C114" s="77" t="s">
        <v>63</v>
      </c>
      <c r="D114" s="77" t="s">
        <v>64</v>
      </c>
      <c r="E114" s="77" t="s">
        <v>56</v>
      </c>
      <c r="F114" s="129">
        <f>'Subcontractor Labor Build'!F123</f>
        <v>0</v>
      </c>
      <c r="G114" s="130">
        <f>'Subcontractor Labor Build'!Q123</f>
        <v>33.267790274434567</v>
      </c>
    </row>
    <row r="115" spans="1:7">
      <c r="A115" s="209"/>
      <c r="B115" s="30" t="s">
        <v>71</v>
      </c>
      <c r="C115" s="30" t="s">
        <v>69</v>
      </c>
      <c r="D115" s="30" t="s">
        <v>72</v>
      </c>
      <c r="E115" s="30" t="s">
        <v>56</v>
      </c>
      <c r="F115" s="43">
        <f>'Subcontractor Labor Build'!F124</f>
        <v>0</v>
      </c>
      <c r="G115" s="131">
        <f>'Subcontractor Labor Build'!Q124</f>
        <v>33.267790274434567</v>
      </c>
    </row>
    <row r="116" spans="1:7">
      <c r="A116" s="209"/>
      <c r="B116" s="30" t="s">
        <v>73</v>
      </c>
      <c r="C116" s="30" t="s">
        <v>74</v>
      </c>
      <c r="D116" s="30" t="s">
        <v>75</v>
      </c>
      <c r="E116" s="30" t="s">
        <v>56</v>
      </c>
      <c r="F116" s="43">
        <f>'Subcontractor Labor Build'!F125</f>
        <v>0</v>
      </c>
      <c r="G116" s="131">
        <f>'Subcontractor Labor Build'!Q125</f>
        <v>33.267790274434567</v>
      </c>
    </row>
    <row r="117" spans="1:7">
      <c r="A117" s="209"/>
      <c r="B117" s="30" t="s">
        <v>76</v>
      </c>
      <c r="C117" s="30" t="s">
        <v>77</v>
      </c>
      <c r="D117" s="30" t="s">
        <v>78</v>
      </c>
      <c r="E117" s="30" t="s">
        <v>56</v>
      </c>
      <c r="F117" s="43">
        <f>'Subcontractor Labor Build'!F126</f>
        <v>0</v>
      </c>
      <c r="G117" s="131">
        <f>'Subcontractor Labor Build'!Q126</f>
        <v>33.267790274434567</v>
      </c>
    </row>
    <row r="118" spans="1:7" ht="15.75" thickBot="1">
      <c r="A118" s="210"/>
      <c r="B118" s="81" t="s">
        <v>79</v>
      </c>
      <c r="C118" s="81" t="s">
        <v>80</v>
      </c>
      <c r="D118" s="81" t="s">
        <v>81</v>
      </c>
      <c r="E118" s="81" t="s">
        <v>56</v>
      </c>
      <c r="F118" s="132">
        <f>'Subcontractor Labor Build'!F127</f>
        <v>0</v>
      </c>
      <c r="G118" s="133">
        <f>'Subcontractor Labor Build'!Q127</f>
        <v>26.34817932689592</v>
      </c>
    </row>
    <row r="119" spans="1:7">
      <c r="A119" s="208" t="s">
        <v>82</v>
      </c>
      <c r="B119" s="77" t="s">
        <v>83</v>
      </c>
      <c r="C119" s="77" t="s">
        <v>84</v>
      </c>
      <c r="D119" s="77" t="s">
        <v>85</v>
      </c>
      <c r="E119" s="77" t="s">
        <v>56</v>
      </c>
      <c r="F119" s="129">
        <f>'Subcontractor Labor Build'!F128</f>
        <v>0</v>
      </c>
      <c r="G119" s="130">
        <f>'Subcontractor Labor Build'!Q128</f>
        <v>28.282093210456804</v>
      </c>
    </row>
    <row r="120" spans="1:7" ht="15.75" thickBot="1">
      <c r="A120" s="210"/>
      <c r="B120" s="81" t="s">
        <v>86</v>
      </c>
      <c r="C120" s="81" t="s">
        <v>87</v>
      </c>
      <c r="D120" s="81" t="s">
        <v>88</v>
      </c>
      <c r="E120" s="81" t="s">
        <v>56</v>
      </c>
      <c r="F120" s="132">
        <f>'Subcontractor Labor Build'!F129</f>
        <v>0</v>
      </c>
      <c r="G120" s="133">
        <f>'Subcontractor Labor Build'!Q129</f>
        <v>28.282093210456804</v>
      </c>
    </row>
    <row r="121" spans="1:7">
      <c r="A121" s="198" t="s">
        <v>89</v>
      </c>
      <c r="B121" s="77" t="s">
        <v>90</v>
      </c>
      <c r="C121" s="77" t="s">
        <v>67</v>
      </c>
      <c r="D121" s="77" t="s">
        <v>68</v>
      </c>
      <c r="E121" s="77" t="s">
        <v>56</v>
      </c>
      <c r="F121" s="129">
        <f>'Subcontractor Labor Build'!F130</f>
        <v>0</v>
      </c>
      <c r="G121" s="130">
        <f>'Subcontractor Labor Build'!Q130</f>
        <v>33.267790274434567</v>
      </c>
    </row>
    <row r="122" spans="1:7">
      <c r="A122" s="211"/>
      <c r="B122" s="30" t="s">
        <v>91</v>
      </c>
      <c r="C122" s="30" t="s">
        <v>92</v>
      </c>
      <c r="D122" s="30" t="s">
        <v>93</v>
      </c>
      <c r="E122" s="30" t="s">
        <v>56</v>
      </c>
      <c r="F122" s="43">
        <f>'Subcontractor Labor Build'!F131</f>
        <v>0</v>
      </c>
      <c r="G122" s="131">
        <f>'Subcontractor Labor Build'!Q131</f>
        <v>28.96399348153896</v>
      </c>
    </row>
    <row r="123" spans="1:7">
      <c r="A123" s="211"/>
      <c r="B123" s="30" t="s">
        <v>94</v>
      </c>
      <c r="C123" s="30" t="s">
        <v>74</v>
      </c>
      <c r="D123" s="30" t="s">
        <v>75</v>
      </c>
      <c r="E123" s="30" t="s">
        <v>56</v>
      </c>
      <c r="F123" s="43">
        <f>'Subcontractor Labor Build'!F132</f>
        <v>0</v>
      </c>
      <c r="G123" s="131">
        <f>'Subcontractor Labor Build'!Q132</f>
        <v>33.267790274434567</v>
      </c>
    </row>
    <row r="124" spans="1:7">
      <c r="A124" s="211"/>
      <c r="B124" s="30" t="s">
        <v>95</v>
      </c>
      <c r="C124" s="30" t="s">
        <v>96</v>
      </c>
      <c r="D124" s="30" t="s">
        <v>97</v>
      </c>
      <c r="E124" s="30" t="s">
        <v>56</v>
      </c>
      <c r="F124" s="43">
        <f>'Subcontractor Labor Build'!F133</f>
        <v>0</v>
      </c>
      <c r="G124" s="131">
        <f>'Subcontractor Labor Build'!Q133</f>
        <v>37.7839822337328</v>
      </c>
    </row>
    <row r="125" spans="1:7" ht="15.75" thickBot="1">
      <c r="A125" s="212"/>
      <c r="B125" s="81" t="s">
        <v>98</v>
      </c>
      <c r="C125" s="81" t="s">
        <v>80</v>
      </c>
      <c r="D125" s="81" t="s">
        <v>81</v>
      </c>
      <c r="E125" s="81" t="s">
        <v>56</v>
      </c>
      <c r="F125" s="132">
        <f>'Subcontractor Labor Build'!F134</f>
        <v>0</v>
      </c>
      <c r="G125" s="133">
        <f>'Subcontractor Labor Build'!Q134</f>
        <v>26.34817932689592</v>
      </c>
    </row>
    <row r="126" spans="1:7" ht="19.5" thickBot="1">
      <c r="A126" s="128" t="s">
        <v>99</v>
      </c>
      <c r="B126" s="119"/>
      <c r="C126" s="119"/>
      <c r="D126" s="119"/>
      <c r="E126" s="119"/>
      <c r="F126" s="119"/>
      <c r="G126" s="122"/>
    </row>
    <row r="127" spans="1:7" ht="15.75" thickBot="1">
      <c r="A127" s="86" t="s">
        <v>61</v>
      </c>
      <c r="B127" s="90" t="s">
        <v>100</v>
      </c>
      <c r="C127" s="91" t="s">
        <v>63</v>
      </c>
      <c r="D127" s="91"/>
      <c r="E127" s="91" t="s">
        <v>99</v>
      </c>
      <c r="F127" s="124">
        <f>'Subcontractor Labor Build'!F136</f>
        <v>0</v>
      </c>
      <c r="G127" s="125">
        <f>'Subcontractor Labor Build'!Q136</f>
        <v>34.933415526750004</v>
      </c>
    </row>
    <row r="128" spans="1:7" ht="15.75" thickBot="1">
      <c r="A128" s="61" t="s">
        <v>65</v>
      </c>
      <c r="B128" s="90" t="s">
        <v>101</v>
      </c>
      <c r="C128" s="91" t="s">
        <v>67</v>
      </c>
      <c r="D128" s="91"/>
      <c r="E128" s="91" t="s">
        <v>99</v>
      </c>
      <c r="F128" s="124">
        <f>'Subcontractor Labor Build'!F137</f>
        <v>0</v>
      </c>
      <c r="G128" s="125">
        <f>'Subcontractor Labor Build'!Q137</f>
        <v>34.933415526750004</v>
      </c>
    </row>
    <row r="129" spans="1:7" ht="30.75" thickBot="1">
      <c r="A129" s="163" t="s">
        <v>89</v>
      </c>
      <c r="B129" s="87" t="s">
        <v>105</v>
      </c>
      <c r="C129" s="88" t="s">
        <v>67</v>
      </c>
      <c r="D129" s="88"/>
      <c r="E129" s="88" t="s">
        <v>99</v>
      </c>
      <c r="F129" s="126">
        <f>'Subcontractor Labor Build'!F138</f>
        <v>0</v>
      </c>
      <c r="G129" s="127">
        <f>'Subcontractor Labor Build'!Q138</f>
        <v>34.933415526750004</v>
      </c>
    </row>
    <row r="130" spans="1:7" ht="15.75" thickBot="1">
      <c r="A130" s="61" t="s">
        <v>61</v>
      </c>
      <c r="B130" s="90" t="s">
        <v>115</v>
      </c>
      <c r="C130" s="91" t="s">
        <v>63</v>
      </c>
      <c r="D130" s="91"/>
      <c r="E130" s="91" t="s">
        <v>116</v>
      </c>
      <c r="F130" s="124">
        <f>'Subcontractor Labor Build'!F139</f>
        <v>0</v>
      </c>
      <c r="G130" s="125">
        <f>'Subcontractor Labor Build'!Q139</f>
        <v>56.556890000000003</v>
      </c>
    </row>
    <row r="131" spans="1:7" ht="15.75" thickBot="1">
      <c r="A131" s="86" t="s">
        <v>65</v>
      </c>
      <c r="B131" s="87" t="s">
        <v>117</v>
      </c>
      <c r="C131" s="88" t="s">
        <v>67</v>
      </c>
      <c r="D131" s="88"/>
      <c r="E131" s="88" t="s">
        <v>116</v>
      </c>
      <c r="F131" s="126">
        <f>'Subcontractor Labor Build'!F140</f>
        <v>0</v>
      </c>
      <c r="G131" s="127">
        <f>'Subcontractor Labor Build'!Q140</f>
        <v>56.556890000000003</v>
      </c>
    </row>
    <row r="132" spans="1:7">
      <c r="A132" s="198" t="s">
        <v>82</v>
      </c>
      <c r="B132" s="83" t="s">
        <v>118</v>
      </c>
      <c r="C132" s="77" t="s">
        <v>84</v>
      </c>
      <c r="D132" s="77"/>
      <c r="E132" s="77" t="s">
        <v>116</v>
      </c>
      <c r="F132" s="129">
        <f>'Subcontractor Labor Build'!F141</f>
        <v>0</v>
      </c>
      <c r="G132" s="130">
        <f>'Subcontractor Labor Build'!Q141</f>
        <v>48.084139999999998</v>
      </c>
    </row>
    <row r="133" spans="1:7" ht="15.75" thickBot="1">
      <c r="A133" s="212"/>
      <c r="B133" s="84" t="s">
        <v>119</v>
      </c>
      <c r="C133" s="81" t="s">
        <v>104</v>
      </c>
      <c r="D133" s="81"/>
      <c r="E133" s="81" t="s">
        <v>116</v>
      </c>
      <c r="F133" s="132">
        <f>'Subcontractor Labor Build'!F142</f>
        <v>0</v>
      </c>
      <c r="G133" s="133">
        <f>'Subcontractor Labor Build'!Q142</f>
        <v>48.084139999999998</v>
      </c>
    </row>
    <row r="134" spans="1:7">
      <c r="A134" s="198" t="s">
        <v>89</v>
      </c>
      <c r="B134" s="83" t="s">
        <v>120</v>
      </c>
      <c r="C134" s="77" t="s">
        <v>67</v>
      </c>
      <c r="D134" s="77"/>
      <c r="E134" s="77" t="s">
        <v>116</v>
      </c>
      <c r="F134" s="129">
        <f>'Subcontractor Labor Build'!F143</f>
        <v>0</v>
      </c>
      <c r="G134" s="130">
        <f>'Subcontractor Labor Build'!Q143</f>
        <v>56.556890000000003</v>
      </c>
    </row>
    <row r="135" spans="1:7">
      <c r="A135" s="199"/>
      <c r="B135" s="54" t="s">
        <v>121</v>
      </c>
      <c r="C135" s="30" t="s">
        <v>92</v>
      </c>
      <c r="D135" s="30"/>
      <c r="E135" s="30" t="s">
        <v>116</v>
      </c>
      <c r="F135" s="43">
        <f>'Subcontractor Labor Build'!F144</f>
        <v>0</v>
      </c>
      <c r="G135" s="131">
        <f>'Subcontractor Labor Build'!Q144</f>
        <v>49.234379999999994</v>
      </c>
    </row>
    <row r="136" spans="1:7">
      <c r="A136" s="199"/>
      <c r="B136" s="54" t="s">
        <v>122</v>
      </c>
      <c r="C136" s="30" t="s">
        <v>74</v>
      </c>
      <c r="D136" s="30"/>
      <c r="E136" s="30" t="s">
        <v>116</v>
      </c>
      <c r="F136" s="43">
        <f>'Subcontractor Labor Build'!F145</f>
        <v>0</v>
      </c>
      <c r="G136" s="131">
        <f>'Subcontractor Labor Build'!Q145</f>
        <v>56.556890000000003</v>
      </c>
    </row>
    <row r="137" spans="1:7" ht="15.75" thickBot="1">
      <c r="A137" s="200"/>
      <c r="B137" s="84" t="s">
        <v>123</v>
      </c>
      <c r="C137" s="81" t="s">
        <v>96</v>
      </c>
      <c r="D137" s="81"/>
      <c r="E137" s="81" t="s">
        <v>116</v>
      </c>
      <c r="F137" s="132">
        <f>'Subcontractor Labor Build'!F146</f>
        <v>0</v>
      </c>
      <c r="G137" s="133">
        <f>'Subcontractor Labor Build'!Q146</f>
        <v>64.232769797345753</v>
      </c>
    </row>
  </sheetData>
  <sheetProtection algorithmName="SHA-512" hashValue="7/y79vVdOzMqDCb3U0JaplEgqSX/jEo6s3zTaF+N12vFOwJI52XWUFpwQneXRtvcHWxaUI+IaVOxJ8Jnc4zXZQ==" saltValue="ms4APcYyVefohLHnQ9pcEQ==" spinCount="100000" sheet="1" objects="1" scenarios="1"/>
  <mergeCells count="31">
    <mergeCell ref="A134:A137"/>
    <mergeCell ref="A109:G109"/>
    <mergeCell ref="A114:A118"/>
    <mergeCell ref="A119:A120"/>
    <mergeCell ref="A121:A125"/>
    <mergeCell ref="A132:A133"/>
    <mergeCell ref="A92:A96"/>
    <mergeCell ref="A103:A104"/>
    <mergeCell ref="A105:A108"/>
    <mergeCell ref="A74:A75"/>
    <mergeCell ref="A76:A79"/>
    <mergeCell ref="A80:G80"/>
    <mergeCell ref="A85:A89"/>
    <mergeCell ref="A90:A91"/>
    <mergeCell ref="A50:A53"/>
    <mergeCell ref="A54:G54"/>
    <mergeCell ref="A59:A63"/>
    <mergeCell ref="A64:A65"/>
    <mergeCell ref="A66:A70"/>
    <mergeCell ref="A28:G28"/>
    <mergeCell ref="A33:A37"/>
    <mergeCell ref="A38:A39"/>
    <mergeCell ref="A40:A44"/>
    <mergeCell ref="A48:A49"/>
    <mergeCell ref="A24:A27"/>
    <mergeCell ref="K9:M9"/>
    <mergeCell ref="A2:G2"/>
    <mergeCell ref="A7:A11"/>
    <mergeCell ref="A12:A13"/>
    <mergeCell ref="A14:A18"/>
    <mergeCell ref="A22:A23"/>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69C5-19E3-482C-B8E4-FE09DCC60B52}">
  <dimension ref="A1"/>
  <sheetViews>
    <sheetView workbookViewId="0">
      <selection activeCell="A2" sqref="A2"/>
    </sheetView>
  </sheetViews>
  <sheetFormatPr defaultRowHeight="15"/>
  <sheetData>
    <row r="1" spans="1:1">
      <c r="A1" t="s">
        <v>151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981AC7CB422041B9726AEF15698982" ma:contentTypeVersion="4" ma:contentTypeDescription="Create a new document." ma:contentTypeScope="" ma:versionID="a287b405eb72792d8cea93a302c03958">
  <xsd:schema xmlns:xsd="http://www.w3.org/2001/XMLSchema" xmlns:xs="http://www.w3.org/2001/XMLSchema" xmlns:p="http://schemas.microsoft.com/office/2006/metadata/properties" xmlns:ns2="34da5fa4-fd34-421b-95f7-e070fd9997b8" targetNamespace="http://schemas.microsoft.com/office/2006/metadata/properties" ma:root="true" ma:fieldsID="afa4341a7278039ad8d16a1d5294b784" ns2:_="">
    <xsd:import namespace="34da5fa4-fd34-421b-95f7-e070fd9997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da5fa4-fd34-421b-95f7-e070fd9997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E90927-48B6-4D23-BD7C-2BE2220F33EA}"/>
</file>

<file path=customXml/itemProps2.xml><?xml version="1.0" encoding="utf-8"?>
<ds:datastoreItem xmlns:ds="http://schemas.openxmlformats.org/officeDocument/2006/customXml" ds:itemID="{CED8024D-D00B-42A0-839C-208185140136}"/>
</file>

<file path=customXml/itemProps3.xml><?xml version="1.0" encoding="utf-8"?>
<ds:datastoreItem xmlns:ds="http://schemas.openxmlformats.org/officeDocument/2006/customXml" ds:itemID="{AB70CAED-896F-4363-9901-822177DC73E8}"/>
</file>

<file path=docMetadata/LabelInfo.xml><?xml version="1.0" encoding="utf-8"?>
<clbl:labelList xmlns:clbl="http://schemas.microsoft.com/office/2020/mipLabelMetadata">
  <clbl:label id="{f02d78b0-b74f-43f0-801d-d7d5ec01d625}" enabled="1" method="Standar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United States Army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A Kostka</dc:creator>
  <cp:keywords/>
  <dc:description/>
  <cp:lastModifiedBy>Genova-Lasecki, Roxanna Maria CIV USARMY ACC (USA)</cp:lastModifiedBy>
  <cp:revision/>
  <dcterms:created xsi:type="dcterms:W3CDTF">2017-01-24T12:52:57Z</dcterms:created>
  <dcterms:modified xsi:type="dcterms:W3CDTF">2025-03-20T15:06:58Z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0x010100DB981AC7CB422041B9726AEF15698982</vt:lpwstr>
  </property>
</Properties>
</file>