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ttps://usaf-my.dps.mil/personal/robert_berg_9_us_af_mil/Documents/Documents/PRs &amp; Awards/23-00078/"/>
    </mc:Choice>
  </mc:AlternateContent>
  <xr:revisionPtr revIDLastSave="11" documentId="8_{02BE57B2-4BE4-4B60-86F7-71B5A137C706}" xr6:coauthVersionLast="47" xr6:coauthVersionMax="47" xr10:uidLastSave="{1EC24008-5905-4E0E-9813-CD9AB4F68330}"/>
  <bookViews>
    <workbookView xWindow="690" yWindow="0" windowWidth="21600" windowHeight="11145" xr2:uid="{00000000-000D-0000-FFFF-FFFF00000000}"/>
  </bookViews>
  <sheets>
    <sheet name="Sheet2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3" l="1"/>
  <c r="P19" i="3"/>
  <c r="P14" i="3"/>
  <c r="P8" i="3" l="1"/>
  <c r="P2" i="3" l="1"/>
  <c r="P30" i="3" s="1"/>
</calcChain>
</file>

<file path=xl/sharedStrings.xml><?xml version="1.0" encoding="utf-8"?>
<sst xmlns="http://schemas.openxmlformats.org/spreadsheetml/2006/main" count="87" uniqueCount="42">
  <si>
    <t>0001</t>
  </si>
  <si>
    <t>Ea</t>
  </si>
  <si>
    <t>U/I</t>
  </si>
  <si>
    <t>Buying Site</t>
  </si>
  <si>
    <t>NSN</t>
  </si>
  <si>
    <t>Nomenclature</t>
  </si>
  <si>
    <t>PN</t>
  </si>
  <si>
    <t>CAGE</t>
  </si>
  <si>
    <t>Robins</t>
  </si>
  <si>
    <t>Extended Price</t>
  </si>
  <si>
    <t>FOB</t>
  </si>
  <si>
    <t>Inspection &amp; Acceptance</t>
  </si>
  <si>
    <t>Origin</t>
  </si>
  <si>
    <t>Origin / Origin</t>
  </si>
  <si>
    <t>Contract Type</t>
  </si>
  <si>
    <t>FFP</t>
  </si>
  <si>
    <t>CLIN*</t>
  </si>
  <si>
    <t>Best Estimated Qty</t>
  </si>
  <si>
    <t>Capacity Per Month</t>
  </si>
  <si>
    <t>IUID (Y/N)</t>
  </si>
  <si>
    <t>DEL DAYS ARO receipt of Order</t>
  </si>
  <si>
    <t>Y</t>
  </si>
  <si>
    <r>
      <t>Unit Price</t>
    </r>
    <r>
      <rPr>
        <b/>
        <vertAlign val="superscript"/>
        <sz val="11"/>
        <color theme="1"/>
        <rFont val="Calibri"/>
        <family val="2"/>
        <scheme val="minor"/>
      </rPr>
      <t xml:space="preserve"> 1</t>
    </r>
  </si>
  <si>
    <t>Ordering Period 1 (Award-12 months)</t>
  </si>
  <si>
    <t>Proposed Delivery Months</t>
  </si>
  <si>
    <t>1001</t>
  </si>
  <si>
    <t>Ordering Period 2 (13 months-24 months)</t>
  </si>
  <si>
    <t>2001</t>
  </si>
  <si>
    <t>Ordering Period 3 (25 months-36 months)</t>
  </si>
  <si>
    <t>Early Deliveries acceptable at no additional cost to the Government</t>
  </si>
  <si>
    <t>Notes:</t>
  </si>
  <si>
    <t>In Column P provide unit cost at BEQ (used for calculated total value of effort)</t>
  </si>
  <si>
    <t>Offeror should provide unit prices and proposed delivery in the applicable highlighted cells</t>
  </si>
  <si>
    <t>3001</t>
  </si>
  <si>
    <t>4001</t>
  </si>
  <si>
    <t>Ordering Period 4 (37 months-48 months)</t>
  </si>
  <si>
    <t>Ordering Period 5 (49 months-60 months)</t>
  </si>
  <si>
    <t xml:space="preserve">
Deliver 10 each on or before 180 days ARO</t>
  </si>
  <si>
    <t xml:space="preserve">
Deliver 5 each on or before 180 days ARO</t>
  </si>
  <si>
    <t>6130-01-523-3339GG</t>
  </si>
  <si>
    <t>28V POWER SUPPLY ASSEMBLY (PSA)</t>
  </si>
  <si>
    <t>MT57E1210-1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</si>
</sst>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3" fillId="0" borderId="0"/>
  </cellStyleXfs>
  <cellXfs count="31">
    <xf numFmtId="0" fontId="0" fillId="0" borderId="0" xfId="0"/>
    <xf numFmtId="49" fontId="0" fillId="2" borderId="1" xfId="0" applyNumberFormat="1" applyFont="1" applyFill="1" applyBorder="1" applyAlignment="1">
      <alignment horizontal="center" wrapText="1"/>
    </xf>
    <xf numFmtId="0" fontId="4" fillId="2" borderId="1" xfId="3" applyFont="1" applyFill="1" applyBorder="1" applyAlignment="1"/>
    <xf numFmtId="0" fontId="4" fillId="2" borderId="1" xfId="3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left" vertical="center"/>
    </xf>
    <xf numFmtId="0" fontId="4" fillId="2" borderId="2" xfId="3" applyFont="1" applyFill="1" applyBorder="1" applyAlignment="1">
      <alignment horizontal="center" wrapText="1"/>
    </xf>
    <xf numFmtId="0" fontId="0" fillId="0" borderId="0" xfId="0"/>
    <xf numFmtId="0" fontId="2" fillId="0" borderId="3" xfId="0" applyFont="1" applyFill="1" applyBorder="1" applyAlignment="1">
      <alignment horizontal="center" wrapText="1"/>
    </xf>
    <xf numFmtId="44" fontId="2" fillId="0" borderId="3" xfId="1" applyFont="1" applyFill="1" applyBorder="1" applyAlignment="1">
      <alignment horizontal="center" wrapText="1"/>
    </xf>
    <xf numFmtId="0" fontId="4" fillId="2" borderId="1" xfId="3" applyFont="1" applyFill="1" applyBorder="1" applyAlignment="1">
      <alignment horizontal="left"/>
    </xf>
    <xf numFmtId="7" fontId="0" fillId="2" borderId="2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0" xfId="0" applyFill="1"/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 wrapText="1"/>
    </xf>
    <xf numFmtId="164" fontId="4" fillId="3" borderId="1" xfId="3" applyNumberFormat="1" applyFont="1" applyFill="1" applyBorder="1" applyAlignment="1">
      <alignment horizontal="left"/>
    </xf>
    <xf numFmtId="0" fontId="2" fillId="3" borderId="0" xfId="0" applyFont="1" applyFill="1"/>
    <xf numFmtId="0" fontId="6" fillId="3" borderId="0" xfId="0" applyFont="1" applyFill="1"/>
    <xf numFmtId="164" fontId="0" fillId="0" borderId="0" xfId="0" applyNumberFormat="1" applyFill="1"/>
    <xf numFmtId="0" fontId="2" fillId="4" borderId="3" xfId="0" applyFont="1" applyFill="1" applyBorder="1" applyAlignment="1">
      <alignment horizontal="center" wrapText="1"/>
    </xf>
    <xf numFmtId="0" fontId="0" fillId="0" borderId="0" xfId="0" applyFill="1"/>
    <xf numFmtId="164" fontId="7" fillId="3" borderId="4" xfId="0" applyNumberFormat="1" applyFont="1" applyFill="1" applyBorder="1"/>
    <xf numFmtId="0" fontId="7" fillId="3" borderId="4" xfId="0" applyFont="1" applyFill="1" applyBorder="1"/>
    <xf numFmtId="164" fontId="7" fillId="3" borderId="5" xfId="0" applyNumberFormat="1" applyFont="1" applyFill="1" applyBorder="1"/>
    <xf numFmtId="49" fontId="0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</cellXfs>
  <cellStyles count="4">
    <cellStyle name="Currency" xfId="1" builtinId="4"/>
    <cellStyle name="Normal" xfId="0" builtinId="0"/>
    <cellStyle name="Normal 2" xfId="2" xr:uid="{00000000-0005-0000-0000-000002000000}"/>
    <cellStyle name="Normal_Sheet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topLeftCell="A14" workbookViewId="0">
      <selection activeCell="D38" sqref="D38"/>
    </sheetView>
  </sheetViews>
  <sheetFormatPr defaultColWidth="8.85546875" defaultRowHeight="15" x14ac:dyDescent="0.25"/>
  <cols>
    <col min="1" max="2" width="8.85546875" style="7"/>
    <col min="3" max="3" width="19.42578125" style="7" bestFit="1" customWidth="1"/>
    <col min="4" max="4" width="41.28515625" style="7" bestFit="1" customWidth="1"/>
    <col min="5" max="5" width="14.28515625" style="7" customWidth="1"/>
    <col min="6" max="6" width="8.85546875" style="7"/>
    <col min="7" max="7" width="12" style="7" customWidth="1"/>
    <col min="8" max="8" width="10.7109375" style="25" customWidth="1"/>
    <col min="9" max="11" width="8.85546875" style="7"/>
    <col min="12" max="12" width="14.140625" style="7" customWidth="1"/>
    <col min="13" max="13" width="8.85546875" style="7"/>
    <col min="14" max="14" width="10" style="23" bestFit="1" customWidth="1"/>
    <col min="15" max="15" width="8.85546875" style="7"/>
    <col min="16" max="16" width="13.7109375" style="25" bestFit="1" customWidth="1"/>
    <col min="17" max="17" width="11.28515625" style="7" bestFit="1" customWidth="1"/>
    <col min="18" max="18" width="23.7109375" style="7" customWidth="1"/>
    <col min="19" max="16384" width="8.85546875" style="7"/>
  </cols>
  <sheetData>
    <row r="1" spans="1:18" ht="45.75" thickBot="1" x14ac:dyDescent="0.3">
      <c r="A1" s="8" t="s">
        <v>16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20</v>
      </c>
      <c r="H1" s="14" t="s">
        <v>24</v>
      </c>
      <c r="I1" s="8" t="s">
        <v>18</v>
      </c>
      <c r="J1" s="8" t="s">
        <v>19</v>
      </c>
      <c r="K1" s="8" t="s">
        <v>14</v>
      </c>
      <c r="L1" s="8" t="s">
        <v>17</v>
      </c>
      <c r="M1" s="8" t="s">
        <v>2</v>
      </c>
      <c r="N1" s="19" t="s">
        <v>22</v>
      </c>
      <c r="O1" s="8" t="s">
        <v>2</v>
      </c>
      <c r="P1" s="24" t="s">
        <v>9</v>
      </c>
      <c r="Q1" s="9" t="s">
        <v>10</v>
      </c>
      <c r="R1" s="9" t="s">
        <v>11</v>
      </c>
    </row>
    <row r="2" spans="1:18" ht="75" x14ac:dyDescent="0.25">
      <c r="A2" s="1" t="s">
        <v>0</v>
      </c>
      <c r="B2" s="2" t="s">
        <v>8</v>
      </c>
      <c r="C2" s="30" t="s">
        <v>39</v>
      </c>
      <c r="D2" s="30" t="s">
        <v>40</v>
      </c>
      <c r="E2" s="3" t="s">
        <v>41</v>
      </c>
      <c r="F2" s="6">
        <v>82340</v>
      </c>
      <c r="G2" s="13" t="s">
        <v>37</v>
      </c>
      <c r="H2" s="15"/>
      <c r="I2" s="4"/>
      <c r="J2" s="4" t="s">
        <v>21</v>
      </c>
      <c r="K2" s="4" t="s">
        <v>15</v>
      </c>
      <c r="L2" s="3">
        <v>10</v>
      </c>
      <c r="M2" s="3" t="s">
        <v>1</v>
      </c>
      <c r="N2" s="20"/>
      <c r="O2" s="3" t="s">
        <v>1</v>
      </c>
      <c r="P2" s="17">
        <f>L2*N2</f>
        <v>0</v>
      </c>
      <c r="Q2" s="11" t="s">
        <v>12</v>
      </c>
      <c r="R2" s="11" t="s">
        <v>13</v>
      </c>
    </row>
    <row r="3" spans="1:18" x14ac:dyDescent="0.25">
      <c r="A3" s="1"/>
      <c r="B3" s="2"/>
      <c r="C3" s="30"/>
      <c r="D3" s="29" t="s">
        <v>23</v>
      </c>
      <c r="E3" s="10"/>
      <c r="F3" s="6"/>
      <c r="G3" s="4"/>
      <c r="H3" s="15"/>
      <c r="I3" s="4"/>
      <c r="J3" s="4"/>
      <c r="K3" s="12"/>
      <c r="L3" s="3"/>
      <c r="M3" s="3"/>
      <c r="N3" s="20"/>
      <c r="O3" s="3"/>
      <c r="P3" s="18"/>
      <c r="Q3" s="11"/>
      <c r="R3" s="11"/>
    </row>
    <row r="4" spans="1:18" x14ac:dyDescent="0.25">
      <c r="A4" s="1"/>
      <c r="B4" s="2"/>
      <c r="C4" s="30"/>
      <c r="D4" s="5"/>
      <c r="E4" s="10"/>
      <c r="F4" s="6"/>
      <c r="G4" s="4"/>
      <c r="H4" s="15"/>
      <c r="I4" s="4"/>
      <c r="J4" s="4"/>
      <c r="K4" s="4"/>
      <c r="L4" s="3"/>
      <c r="M4" s="3"/>
      <c r="N4" s="20"/>
      <c r="O4" s="3"/>
      <c r="P4" s="18"/>
      <c r="Q4" s="11"/>
      <c r="R4" s="11"/>
    </row>
    <row r="5" spans="1:18" x14ac:dyDescent="0.25">
      <c r="A5" s="1"/>
      <c r="B5" s="2"/>
      <c r="C5" s="30"/>
      <c r="D5" s="5"/>
      <c r="E5" s="10"/>
      <c r="F5" s="6"/>
      <c r="G5" s="4"/>
      <c r="H5" s="15"/>
      <c r="I5" s="4"/>
      <c r="J5" s="4"/>
      <c r="K5" s="4"/>
      <c r="L5" s="3"/>
      <c r="M5" s="3"/>
      <c r="N5" s="20"/>
      <c r="O5" s="3"/>
      <c r="P5" s="18"/>
      <c r="Q5" s="11"/>
      <c r="R5" s="11"/>
    </row>
    <row r="6" spans="1:18" x14ac:dyDescent="0.25">
      <c r="A6" s="1"/>
      <c r="B6" s="2"/>
      <c r="C6" s="30"/>
      <c r="D6" s="5"/>
      <c r="E6" s="10"/>
      <c r="F6" s="6"/>
      <c r="G6" s="4"/>
      <c r="H6" s="15"/>
      <c r="I6" s="4"/>
      <c r="J6" s="4"/>
      <c r="K6" s="4"/>
      <c r="L6" s="3"/>
      <c r="M6" s="3"/>
      <c r="N6" s="20"/>
      <c r="O6" s="3"/>
      <c r="P6" s="18"/>
      <c r="Q6" s="11"/>
      <c r="R6" s="11"/>
    </row>
    <row r="7" spans="1:18" x14ac:dyDescent="0.25">
      <c r="A7" s="1"/>
      <c r="B7" s="2"/>
      <c r="C7" s="30"/>
      <c r="D7" s="5"/>
      <c r="E7" s="10"/>
      <c r="F7" s="6"/>
      <c r="G7" s="4"/>
      <c r="H7" s="15"/>
      <c r="I7" s="4"/>
      <c r="J7" s="4"/>
      <c r="K7" s="4"/>
      <c r="L7" s="3"/>
      <c r="M7" s="3"/>
      <c r="N7" s="20"/>
      <c r="O7" s="3"/>
      <c r="P7" s="18"/>
      <c r="Q7" s="11"/>
      <c r="R7" s="11"/>
    </row>
    <row r="8" spans="1:18" ht="75" x14ac:dyDescent="0.25">
      <c r="A8" s="1" t="s">
        <v>25</v>
      </c>
      <c r="B8" s="2" t="s">
        <v>8</v>
      </c>
      <c r="C8" s="30" t="s">
        <v>39</v>
      </c>
      <c r="D8" s="30" t="s">
        <v>40</v>
      </c>
      <c r="E8" s="3" t="s">
        <v>41</v>
      </c>
      <c r="F8" s="6">
        <v>82340</v>
      </c>
      <c r="G8" s="13" t="s">
        <v>38</v>
      </c>
      <c r="H8" s="15"/>
      <c r="I8" s="4"/>
      <c r="J8" s="4" t="s">
        <v>21</v>
      </c>
      <c r="K8" s="4" t="s">
        <v>15</v>
      </c>
      <c r="L8" s="3">
        <v>5</v>
      </c>
      <c r="M8" s="3" t="s">
        <v>1</v>
      </c>
      <c r="N8" s="20"/>
      <c r="O8" s="3" t="s">
        <v>1</v>
      </c>
      <c r="P8" s="17">
        <f>L8*N8</f>
        <v>0</v>
      </c>
      <c r="Q8" s="11" t="s">
        <v>12</v>
      </c>
      <c r="R8" s="11" t="s">
        <v>13</v>
      </c>
    </row>
    <row r="9" spans="1:18" x14ac:dyDescent="0.25">
      <c r="A9" s="1"/>
      <c r="B9" s="2"/>
      <c r="C9" s="30"/>
      <c r="D9" s="29" t="s">
        <v>26</v>
      </c>
      <c r="E9" s="10"/>
      <c r="F9" s="6"/>
      <c r="G9" s="4"/>
      <c r="H9" s="15"/>
      <c r="I9" s="4"/>
      <c r="J9" s="4"/>
      <c r="K9" s="12"/>
      <c r="L9" s="3"/>
      <c r="M9" s="3"/>
      <c r="N9" s="20"/>
      <c r="O9" s="3"/>
      <c r="P9" s="18"/>
      <c r="Q9" s="11"/>
      <c r="R9" s="11"/>
    </row>
    <row r="10" spans="1:18" x14ac:dyDescent="0.25">
      <c r="A10" s="1"/>
      <c r="B10" s="2"/>
      <c r="C10" s="30"/>
      <c r="D10" s="5"/>
      <c r="E10" s="10"/>
      <c r="F10" s="6"/>
      <c r="G10" s="4"/>
      <c r="H10" s="15"/>
      <c r="I10" s="4"/>
      <c r="J10" s="4"/>
      <c r="K10" s="4"/>
      <c r="L10" s="3"/>
      <c r="M10" s="3"/>
      <c r="N10" s="20"/>
      <c r="O10" s="3"/>
      <c r="P10" s="18"/>
      <c r="Q10" s="11"/>
      <c r="R10" s="11"/>
    </row>
    <row r="11" spans="1:18" x14ac:dyDescent="0.25">
      <c r="A11" s="1"/>
      <c r="B11" s="2"/>
      <c r="C11" s="30"/>
      <c r="D11" s="5"/>
      <c r="E11" s="10"/>
      <c r="F11" s="6"/>
      <c r="G11" s="4"/>
      <c r="H11" s="15"/>
      <c r="I11" s="4"/>
      <c r="J11" s="4"/>
      <c r="K11" s="4"/>
      <c r="L11" s="3"/>
      <c r="M11" s="3"/>
      <c r="N11" s="20"/>
      <c r="O11" s="3"/>
      <c r="P11" s="18"/>
      <c r="Q11" s="11"/>
      <c r="R11" s="11"/>
    </row>
    <row r="12" spans="1:18" x14ac:dyDescent="0.25">
      <c r="A12" s="1"/>
      <c r="B12" s="2"/>
      <c r="C12" s="30"/>
      <c r="D12" s="5"/>
      <c r="E12" s="10"/>
      <c r="F12" s="6"/>
      <c r="G12" s="4"/>
      <c r="H12" s="15"/>
      <c r="I12" s="4"/>
      <c r="J12" s="4"/>
      <c r="K12" s="4"/>
      <c r="L12" s="3"/>
      <c r="M12" s="3"/>
      <c r="N12" s="20"/>
      <c r="O12" s="3"/>
      <c r="P12" s="18"/>
      <c r="Q12" s="11"/>
      <c r="R12" s="11"/>
    </row>
    <row r="13" spans="1:18" x14ac:dyDescent="0.25">
      <c r="A13" s="1"/>
      <c r="B13" s="2"/>
      <c r="C13" s="30"/>
      <c r="D13" s="5"/>
      <c r="E13" s="10"/>
      <c r="F13" s="6"/>
      <c r="G13" s="4"/>
      <c r="H13" s="15"/>
      <c r="I13" s="4"/>
      <c r="J13" s="4"/>
      <c r="K13" s="4"/>
      <c r="L13" s="3"/>
      <c r="M13" s="3"/>
      <c r="N13" s="20"/>
      <c r="O13" s="3"/>
      <c r="P13" s="18"/>
      <c r="Q13" s="11"/>
      <c r="R13" s="11"/>
    </row>
    <row r="14" spans="1:18" ht="75" x14ac:dyDescent="0.25">
      <c r="A14" s="1" t="s">
        <v>27</v>
      </c>
      <c r="B14" s="2" t="s">
        <v>8</v>
      </c>
      <c r="C14" s="30" t="s">
        <v>39</v>
      </c>
      <c r="D14" s="30" t="s">
        <v>40</v>
      </c>
      <c r="E14" s="3" t="s">
        <v>41</v>
      </c>
      <c r="F14" s="6">
        <v>82340</v>
      </c>
      <c r="G14" s="13" t="s">
        <v>38</v>
      </c>
      <c r="H14" s="15"/>
      <c r="I14" s="4"/>
      <c r="J14" s="4" t="s">
        <v>21</v>
      </c>
      <c r="K14" s="4" t="s">
        <v>15</v>
      </c>
      <c r="L14" s="3">
        <v>5</v>
      </c>
      <c r="M14" s="3" t="s">
        <v>1</v>
      </c>
      <c r="N14" s="20"/>
      <c r="O14" s="3" t="s">
        <v>1</v>
      </c>
      <c r="P14" s="17">
        <f>L14*N14</f>
        <v>0</v>
      </c>
      <c r="Q14" s="11" t="s">
        <v>12</v>
      </c>
      <c r="R14" s="11" t="s">
        <v>13</v>
      </c>
    </row>
    <row r="15" spans="1:18" x14ac:dyDescent="0.25">
      <c r="A15" s="1"/>
      <c r="B15" s="2"/>
      <c r="C15" s="30"/>
      <c r="D15" s="29" t="s">
        <v>28</v>
      </c>
      <c r="E15" s="10"/>
      <c r="F15" s="6"/>
      <c r="G15" s="4"/>
      <c r="H15" s="15"/>
      <c r="I15" s="4"/>
      <c r="J15" s="4"/>
      <c r="K15" s="12"/>
      <c r="L15" s="3"/>
      <c r="M15" s="3"/>
      <c r="N15" s="20"/>
      <c r="O15" s="3"/>
      <c r="P15" s="18"/>
      <c r="Q15" s="11"/>
      <c r="R15" s="11"/>
    </row>
    <row r="16" spans="1:18" x14ac:dyDescent="0.25">
      <c r="A16" s="1"/>
      <c r="B16" s="2"/>
      <c r="C16" s="30"/>
      <c r="D16" s="5"/>
      <c r="E16" s="10"/>
      <c r="F16" s="6"/>
      <c r="G16" s="4"/>
      <c r="H16" s="15"/>
      <c r="I16" s="4"/>
      <c r="J16" s="4"/>
      <c r="K16" s="4"/>
      <c r="L16" s="3"/>
      <c r="M16" s="3"/>
      <c r="N16" s="20"/>
      <c r="O16" s="3"/>
      <c r="P16" s="18"/>
      <c r="Q16" s="11"/>
      <c r="R16" s="11"/>
    </row>
    <row r="17" spans="1:18" x14ac:dyDescent="0.25">
      <c r="A17" s="1"/>
      <c r="B17" s="2"/>
      <c r="C17" s="30"/>
      <c r="D17" s="5"/>
      <c r="E17" s="10"/>
      <c r="F17" s="6"/>
      <c r="G17" s="4"/>
      <c r="H17" s="15"/>
      <c r="I17" s="4"/>
      <c r="J17" s="4"/>
      <c r="K17" s="4"/>
      <c r="L17" s="3"/>
      <c r="M17" s="3"/>
      <c r="N17" s="20"/>
      <c r="O17" s="3"/>
      <c r="P17" s="18"/>
      <c r="Q17" s="11"/>
      <c r="R17" s="11"/>
    </row>
    <row r="18" spans="1:18" x14ac:dyDescent="0.25">
      <c r="A18" s="1"/>
      <c r="B18" s="2"/>
      <c r="C18" s="30"/>
      <c r="D18" s="5"/>
      <c r="E18" s="10"/>
      <c r="F18" s="6"/>
      <c r="G18" s="4"/>
      <c r="H18" s="15"/>
      <c r="I18" s="4"/>
      <c r="J18" s="4"/>
      <c r="K18" s="4"/>
      <c r="L18" s="3"/>
      <c r="M18" s="3"/>
      <c r="N18" s="20"/>
      <c r="O18" s="3"/>
      <c r="P18" s="18"/>
      <c r="Q18" s="11"/>
      <c r="R18" s="11"/>
    </row>
    <row r="19" spans="1:18" ht="75" x14ac:dyDescent="0.25">
      <c r="A19" s="1" t="s">
        <v>33</v>
      </c>
      <c r="B19" s="2" t="s">
        <v>8</v>
      </c>
      <c r="C19" s="30" t="s">
        <v>39</v>
      </c>
      <c r="D19" s="30" t="s">
        <v>40</v>
      </c>
      <c r="E19" s="3" t="s">
        <v>41</v>
      </c>
      <c r="F19" s="6">
        <v>82340</v>
      </c>
      <c r="G19" s="13" t="s">
        <v>38</v>
      </c>
      <c r="H19" s="15"/>
      <c r="I19" s="4"/>
      <c r="J19" s="4" t="s">
        <v>21</v>
      </c>
      <c r="K19" s="4" t="s">
        <v>15</v>
      </c>
      <c r="L19" s="3">
        <v>5</v>
      </c>
      <c r="M19" s="3" t="s">
        <v>1</v>
      </c>
      <c r="N19" s="20"/>
      <c r="O19" s="3" t="s">
        <v>1</v>
      </c>
      <c r="P19" s="17">
        <f>L19*N19</f>
        <v>0</v>
      </c>
      <c r="Q19" s="11" t="s">
        <v>12</v>
      </c>
      <c r="R19" s="11" t="s">
        <v>13</v>
      </c>
    </row>
    <row r="20" spans="1:18" x14ac:dyDescent="0.25">
      <c r="A20" s="1"/>
      <c r="B20" s="2"/>
      <c r="C20" s="30"/>
      <c r="D20" s="5" t="s">
        <v>35</v>
      </c>
      <c r="E20" s="10"/>
      <c r="F20" s="6"/>
      <c r="G20" s="4"/>
      <c r="H20" s="15"/>
      <c r="I20" s="4"/>
      <c r="J20" s="4"/>
      <c r="K20" s="12"/>
      <c r="L20" s="3"/>
      <c r="M20" s="3"/>
      <c r="N20" s="20"/>
      <c r="O20" s="3"/>
      <c r="P20" s="18"/>
      <c r="Q20" s="11"/>
      <c r="R20" s="11"/>
    </row>
    <row r="21" spans="1:18" x14ac:dyDescent="0.25">
      <c r="A21" s="1"/>
      <c r="B21" s="2"/>
      <c r="C21" s="30"/>
      <c r="D21" s="5"/>
      <c r="E21" s="10"/>
      <c r="F21" s="6"/>
      <c r="G21" s="4"/>
      <c r="H21" s="15"/>
      <c r="I21" s="4"/>
      <c r="J21" s="4"/>
      <c r="K21" s="12"/>
      <c r="L21" s="3"/>
      <c r="M21" s="3"/>
      <c r="N21" s="20"/>
      <c r="O21" s="3"/>
      <c r="P21" s="18"/>
      <c r="Q21" s="11"/>
      <c r="R21" s="11"/>
    </row>
    <row r="22" spans="1:18" x14ac:dyDescent="0.25">
      <c r="A22" s="1"/>
      <c r="B22" s="2"/>
      <c r="C22" s="30"/>
      <c r="D22" s="5"/>
      <c r="E22" s="10"/>
      <c r="F22" s="6"/>
      <c r="G22" s="4"/>
      <c r="H22" s="15"/>
      <c r="I22" s="4"/>
      <c r="J22" s="4"/>
      <c r="K22" s="12"/>
      <c r="L22" s="3"/>
      <c r="M22" s="3"/>
      <c r="N22" s="20"/>
      <c r="O22" s="3"/>
      <c r="P22" s="18"/>
      <c r="Q22" s="11"/>
      <c r="R22" s="11"/>
    </row>
    <row r="23" spans="1:18" x14ac:dyDescent="0.25">
      <c r="A23" s="1"/>
      <c r="B23" s="2"/>
      <c r="C23" s="30"/>
      <c r="D23" s="5"/>
      <c r="E23" s="10"/>
      <c r="F23" s="6"/>
      <c r="G23" s="4"/>
      <c r="H23" s="15"/>
      <c r="I23" s="4"/>
      <c r="J23" s="4"/>
      <c r="K23" s="12"/>
      <c r="L23" s="3"/>
      <c r="M23" s="3"/>
      <c r="N23" s="20"/>
      <c r="O23" s="3"/>
      <c r="P23" s="18"/>
      <c r="Q23" s="11"/>
      <c r="R23" s="11"/>
    </row>
    <row r="24" spans="1:18" ht="75" x14ac:dyDescent="0.25">
      <c r="A24" s="1" t="s">
        <v>34</v>
      </c>
      <c r="B24" s="2" t="s">
        <v>8</v>
      </c>
      <c r="C24" s="30" t="s">
        <v>39</v>
      </c>
      <c r="D24" s="30" t="s">
        <v>40</v>
      </c>
      <c r="E24" s="3" t="s">
        <v>41</v>
      </c>
      <c r="F24" s="6">
        <v>82340</v>
      </c>
      <c r="G24" s="13" t="s">
        <v>38</v>
      </c>
      <c r="H24" s="15"/>
      <c r="I24" s="4"/>
      <c r="J24" s="4" t="s">
        <v>21</v>
      </c>
      <c r="K24" s="4" t="s">
        <v>15</v>
      </c>
      <c r="L24" s="3">
        <v>5</v>
      </c>
      <c r="M24" s="3" t="s">
        <v>1</v>
      </c>
      <c r="N24" s="20"/>
      <c r="O24" s="3" t="s">
        <v>1</v>
      </c>
      <c r="P24" s="17">
        <f>L24*N24</f>
        <v>0</v>
      </c>
      <c r="Q24" s="11" t="s">
        <v>12</v>
      </c>
      <c r="R24" s="11" t="s">
        <v>13</v>
      </c>
    </row>
    <row r="25" spans="1:18" x14ac:dyDescent="0.25">
      <c r="A25" s="1"/>
      <c r="B25" s="2"/>
      <c r="C25" s="5"/>
      <c r="D25" s="5" t="s">
        <v>36</v>
      </c>
      <c r="E25" s="10"/>
      <c r="F25" s="6"/>
      <c r="G25" s="4"/>
      <c r="H25" s="15"/>
      <c r="I25" s="4"/>
      <c r="J25" s="4"/>
      <c r="K25" s="12"/>
      <c r="L25" s="3"/>
      <c r="M25" s="3"/>
      <c r="N25" s="20"/>
      <c r="O25" s="3"/>
      <c r="P25" s="18"/>
      <c r="Q25" s="11"/>
      <c r="R25" s="11"/>
    </row>
    <row r="26" spans="1:18" x14ac:dyDescent="0.25">
      <c r="A26" s="1"/>
      <c r="B26" s="2"/>
      <c r="C26" s="5"/>
      <c r="D26" s="5"/>
      <c r="E26" s="10"/>
      <c r="F26" s="6"/>
      <c r="G26" s="4"/>
      <c r="H26" s="15"/>
      <c r="I26" s="4"/>
      <c r="J26" s="4"/>
      <c r="K26" s="12"/>
      <c r="L26" s="3"/>
      <c r="M26" s="3"/>
      <c r="N26" s="20"/>
      <c r="O26" s="3"/>
      <c r="P26" s="18"/>
      <c r="Q26" s="11"/>
      <c r="R26" s="11"/>
    </row>
    <row r="27" spans="1:18" x14ac:dyDescent="0.25">
      <c r="A27" s="1"/>
      <c r="B27" s="2"/>
      <c r="C27" s="5"/>
      <c r="D27" s="5"/>
      <c r="E27" s="10"/>
      <c r="F27" s="6"/>
      <c r="G27" s="4"/>
      <c r="H27" s="15"/>
      <c r="I27" s="4"/>
      <c r="J27" s="4"/>
      <c r="K27" s="12"/>
      <c r="L27" s="3"/>
      <c r="M27" s="3"/>
      <c r="N27" s="20"/>
      <c r="O27" s="3"/>
      <c r="P27" s="18"/>
      <c r="Q27" s="11"/>
      <c r="R27" s="11"/>
    </row>
    <row r="28" spans="1:18" x14ac:dyDescent="0.25">
      <c r="A28" s="1"/>
      <c r="B28" s="2"/>
      <c r="C28" s="5"/>
      <c r="D28" s="5"/>
      <c r="E28" s="10"/>
      <c r="F28" s="6"/>
      <c r="G28" s="4"/>
      <c r="H28" s="15"/>
      <c r="I28" s="4"/>
      <c r="J28" s="4"/>
      <c r="K28" s="12"/>
      <c r="L28" s="3"/>
      <c r="M28" s="3"/>
      <c r="N28" s="20"/>
      <c r="O28" s="3"/>
      <c r="P28" s="18"/>
      <c r="Q28" s="11"/>
      <c r="R28" s="11"/>
    </row>
    <row r="29" spans="1:18" ht="15.75" thickBot="1" x14ac:dyDescent="0.3">
      <c r="A29" s="7" t="s">
        <v>29</v>
      </c>
    </row>
    <row r="30" spans="1:18" ht="15.75" thickBot="1" x14ac:dyDescent="0.3">
      <c r="A30" s="21" t="s">
        <v>30</v>
      </c>
      <c r="B30" s="21"/>
      <c r="C30" s="21"/>
      <c r="D30" s="21"/>
      <c r="E30" s="16"/>
      <c r="N30" s="26"/>
      <c r="O30" s="27"/>
      <c r="P30" s="28">
        <f>SUM(P2:P28)</f>
        <v>0</v>
      </c>
    </row>
    <row r="31" spans="1:18" ht="17.25" x14ac:dyDescent="0.25">
      <c r="A31" s="22">
        <v>1</v>
      </c>
      <c r="B31" s="21" t="s">
        <v>31</v>
      </c>
      <c r="C31" s="21"/>
      <c r="D31" s="21"/>
      <c r="E31" s="16"/>
    </row>
    <row r="32" spans="1:18" ht="17.25" x14ac:dyDescent="0.25">
      <c r="A32" s="22">
        <v>2</v>
      </c>
      <c r="B32" s="21" t="s">
        <v>32</v>
      </c>
      <c r="C32" s="21"/>
      <c r="D32" s="16"/>
      <c r="E32" s="16"/>
      <c r="G32" s="25"/>
      <c r="H32" s="7"/>
      <c r="N32" s="7"/>
      <c r="O32" s="25"/>
      <c r="P32" s="7"/>
    </row>
    <row r="33" spans="1:5" ht="17.25" x14ac:dyDescent="0.25">
      <c r="A33" s="22"/>
      <c r="B33" s="16"/>
      <c r="C33" s="21"/>
      <c r="D33" s="21"/>
      <c r="E33" s="1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26E9155AB754092267518F92994AC" ma:contentTypeVersion="11" ma:contentTypeDescription="Create a new document." ma:contentTypeScope="" ma:versionID="d1011607141606b4beb8918ce00b2e94">
  <xsd:schema xmlns:xsd="http://www.w3.org/2001/XMLSchema" xmlns:xs="http://www.w3.org/2001/XMLSchema" xmlns:p="http://schemas.microsoft.com/office/2006/metadata/properties" xmlns:ns3="89febc3a-dcb0-44c8-8ea2-0bb1af397c98" xmlns:ns4="1c05bedf-467f-49a4-8436-49205ae52e4a" targetNamespace="http://schemas.microsoft.com/office/2006/metadata/properties" ma:root="true" ma:fieldsID="9b4fafce3e008b6dd7d9508318a6cd65" ns3:_="" ns4:_="">
    <xsd:import namespace="89febc3a-dcb0-44c8-8ea2-0bb1af397c98"/>
    <xsd:import namespace="1c05bedf-467f-49a4-8436-49205ae52e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ebc3a-dcb0-44c8-8ea2-0bb1af397c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5bedf-467f-49a4-8436-49205ae52e4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C71548-F14B-4D62-BE8A-16A92636D3B5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c05bedf-467f-49a4-8436-49205ae52e4a"/>
    <ds:schemaRef ds:uri="89febc3a-dcb0-44c8-8ea2-0bb1af397c98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9243CDC-4FFF-4F98-8A53-D51B154876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12C7D2-0E26-4CE1-914D-B025373CC0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ebc3a-dcb0-44c8-8ea2-0bb1af397c98"/>
    <ds:schemaRef ds:uri="1c05bedf-467f-49a4-8436-49205ae52e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 (2)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MARSHALL, TRACI L NH-03 USAF AFMC AFLCMC/WLMK</dc:creator>
  <cp:lastModifiedBy>BERG, ROBERT B JR CIV DLA AFMC AFLCMC/AWB</cp:lastModifiedBy>
  <dcterms:created xsi:type="dcterms:W3CDTF">2018-12-10T15:09:10Z</dcterms:created>
  <dcterms:modified xsi:type="dcterms:W3CDTF">2025-04-15T18:25:27Z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0x0101003A226E9155AB754092267518F92994AC</vt:lpwstr>
  </property>
</Properties>
</file>