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usaf-my.dps.mil/personal/alisha_cvitkovich_us_af_mil/Documents/Desktop/"/>
    </mc:Choice>
  </mc:AlternateContent>
  <xr:revisionPtr revIDLastSave="13" documentId="8_{E8BF6B7C-62AB-4DA4-8EBA-E0B453F680E7}" xr6:coauthVersionLast="47" xr6:coauthVersionMax="47" xr10:uidLastSave="{C96F8820-C27D-4192-BA85-A67EECEF87E2}"/>
  <bookViews>
    <workbookView xWindow="-110" yWindow="30" windowWidth="19420" windowHeight="113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2" i="1" l="1"/>
  <c r="E22" i="1" s="1"/>
  <c r="D19" i="1"/>
  <c r="E19" i="1" s="1"/>
  <c r="D16" i="1"/>
  <c r="E16" i="1" s="1"/>
  <c r="D13" i="1"/>
  <c r="E13" i="1" s="1"/>
  <c r="E11" i="1"/>
  <c r="E14" i="1"/>
  <c r="E17" i="1"/>
  <c r="E20" i="1"/>
  <c r="E23" i="1"/>
  <c r="E10" i="1"/>
  <c r="D10" i="1"/>
</calcChain>
</file>

<file path=xl/sharedStrings.xml><?xml version="1.0" encoding="utf-8"?>
<sst xmlns="http://schemas.openxmlformats.org/spreadsheetml/2006/main" count="29" uniqueCount="16">
  <si>
    <t>Type of Waste</t>
  </si>
  <si>
    <t>Pickup, Transportation, Treatment, and Disposal of Infectious Waste Items</t>
  </si>
  <si>
    <t>Estimated  (Pounds)</t>
  </si>
  <si>
    <t>International Garbage</t>
  </si>
  <si>
    <t>Infectious Waste</t>
  </si>
  <si>
    <t>Estimated  Total Cost</t>
  </si>
  <si>
    <t>Price per Pound (lb)</t>
  </si>
  <si>
    <t>*Insert Price Per lb in Column C</t>
  </si>
  <si>
    <t>INFECTIOUS WASTE PRICE LIST</t>
  </si>
  <si>
    <t>Year</t>
  </si>
  <si>
    <t>July 2026-June 2027</t>
  </si>
  <si>
    <t>July 2027-June 2028</t>
  </si>
  <si>
    <t>July 2028-June 2029</t>
  </si>
  <si>
    <t>July 2029-June 2030</t>
  </si>
  <si>
    <t>July 2030-June 2031</t>
  </si>
  <si>
    <t>FA860126R0014 - Attachment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</si>
</sst>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5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4" fillId="0" borderId="0" applyFont="0" applyFill="0" applyBorder="0" applyAlignment="0" applyProtection="0"/>
  </cellStyleXfs>
  <cellXfs count="19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3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0" fontId="3" fillId="0" borderId="1" xfId="0" applyFont="1" applyBorder="1" applyAlignment="1">
      <alignment horizontal="center" vertical="center" wrapText="1"/>
    </xf>
    <xf numFmtId="0" fontId="0" fillId="0" borderId="0" xfId="0" applyAlignment="1">
      <alignment vertical="top" wrapText="1"/>
    </xf>
    <xf numFmtId="164" fontId="0" fillId="0" borderId="1" xfId="0" applyNumberFormat="1" applyBorder="1" applyAlignment="1">
      <alignment horizontal="center"/>
    </xf>
    <xf numFmtId="164" fontId="0" fillId="2" borderId="1" xfId="1" applyNumberFormat="1" applyFont="1" applyFill="1" applyBorder="1" applyAlignment="1">
      <alignment horizontal="center"/>
    </xf>
    <xf numFmtId="164" fontId="0" fillId="0" borderId="1" xfId="0" applyNumberFormat="1" applyBorder="1"/>
    <xf numFmtId="164" fontId="0" fillId="2" borderId="1" xfId="0" applyNumberFormat="1" applyFill="1" applyBorder="1" applyAlignment="1">
      <alignment horizontal="center"/>
    </xf>
    <xf numFmtId="15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4"/>
  <sheetViews>
    <sheetView tabSelected="1" zoomScaleNormal="100" workbookViewId="0">
      <selection activeCell="I1" sqref="I1"/>
    </sheetView>
  </sheetViews>
  <sheetFormatPr defaultRowHeight="14.5" x14ac:dyDescent="0.35"/>
  <cols>
    <col min="1" max="1" width="18.81640625" style="2" customWidth="1"/>
    <col min="2" max="2" width="24.7265625" customWidth="1"/>
    <col min="3" max="3" width="18.81640625" style="2" bestFit="1" customWidth="1"/>
    <col min="4" max="4" width="19" style="2" bestFit="1" customWidth="1"/>
    <col min="5" max="5" width="19.7265625" bestFit="1" customWidth="1"/>
  </cols>
  <sheetData>
    <row r="1" spans="1:5" ht="21" x14ac:dyDescent="0.35">
      <c r="A1" s="18" t="s">
        <v>8</v>
      </c>
      <c r="B1" s="18"/>
      <c r="C1" s="18"/>
      <c r="D1" s="18"/>
      <c r="E1" s="18"/>
    </row>
    <row r="2" spans="1:5" x14ac:dyDescent="0.35">
      <c r="C2" s="2" t="s">
        <v>15</v>
      </c>
    </row>
    <row r="3" spans="1:5" x14ac:dyDescent="0.35">
      <c r="A3" s="17" t="s">
        <v>1</v>
      </c>
      <c r="B3" s="17"/>
      <c r="C3" s="17"/>
      <c r="D3" s="17"/>
      <c r="E3" s="17"/>
    </row>
    <row r="4" spans="1:5" x14ac:dyDescent="0.35">
      <c r="A4" s="3"/>
      <c r="B4" s="3"/>
      <c r="C4" s="3"/>
      <c r="D4" s="3"/>
    </row>
    <row r="6" spans="1:5" x14ac:dyDescent="0.35">
      <c r="A6" s="16" t="s">
        <v>7</v>
      </c>
      <c r="B6" s="16"/>
      <c r="C6" s="16"/>
      <c r="D6" s="16"/>
      <c r="E6" s="16"/>
    </row>
    <row r="8" spans="1:5" s="1" customFormat="1" x14ac:dyDescent="0.35">
      <c r="A8" s="6" t="s">
        <v>9</v>
      </c>
      <c r="B8" s="6" t="s">
        <v>0</v>
      </c>
      <c r="C8" s="8" t="s">
        <v>6</v>
      </c>
      <c r="D8" s="6" t="s">
        <v>2</v>
      </c>
      <c r="E8" s="8" t="s">
        <v>5</v>
      </c>
    </row>
    <row r="9" spans="1:5" x14ac:dyDescent="0.35">
      <c r="A9" s="4"/>
      <c r="B9" s="7"/>
      <c r="C9" s="7"/>
      <c r="D9" s="4"/>
      <c r="E9" s="10"/>
    </row>
    <row r="10" spans="1:5" x14ac:dyDescent="0.35">
      <c r="A10" s="4" t="s">
        <v>10</v>
      </c>
      <c r="B10" s="4" t="s">
        <v>4</v>
      </c>
      <c r="C10" s="11"/>
      <c r="D10" s="5">
        <f>126282-610</f>
        <v>125672</v>
      </c>
      <c r="E10" s="10">
        <f>C10*D10</f>
        <v>0</v>
      </c>
    </row>
    <row r="11" spans="1:5" x14ac:dyDescent="0.35">
      <c r="A11" s="4" t="s">
        <v>10</v>
      </c>
      <c r="B11" s="4" t="s">
        <v>3</v>
      </c>
      <c r="C11" s="11"/>
      <c r="D11" s="5">
        <v>610</v>
      </c>
      <c r="E11" s="10">
        <f t="shared" ref="E11:E23" si="0">C11*D11</f>
        <v>0</v>
      </c>
    </row>
    <row r="12" spans="1:5" x14ac:dyDescent="0.35">
      <c r="A12" s="4"/>
      <c r="B12" s="7"/>
      <c r="C12" s="12"/>
      <c r="D12" s="5"/>
      <c r="E12" s="10"/>
    </row>
    <row r="13" spans="1:5" x14ac:dyDescent="0.35">
      <c r="A13" s="4" t="s">
        <v>11</v>
      </c>
      <c r="B13" s="4" t="s">
        <v>4</v>
      </c>
      <c r="C13" s="13"/>
      <c r="D13" s="5">
        <f>128808-620</f>
        <v>128188</v>
      </c>
      <c r="E13" s="10">
        <f t="shared" si="0"/>
        <v>0</v>
      </c>
    </row>
    <row r="14" spans="1:5" x14ac:dyDescent="0.35">
      <c r="A14" s="4" t="s">
        <v>11</v>
      </c>
      <c r="B14" s="4" t="s">
        <v>3</v>
      </c>
      <c r="C14" s="13"/>
      <c r="D14" s="5">
        <v>620</v>
      </c>
      <c r="E14" s="10">
        <f t="shared" si="0"/>
        <v>0</v>
      </c>
    </row>
    <row r="15" spans="1:5" x14ac:dyDescent="0.35">
      <c r="A15" s="4"/>
      <c r="B15" s="7"/>
      <c r="C15" s="12"/>
      <c r="D15" s="5"/>
      <c r="E15" s="10"/>
    </row>
    <row r="16" spans="1:5" x14ac:dyDescent="0.35">
      <c r="A16" s="4" t="s">
        <v>12</v>
      </c>
      <c r="B16" s="4" t="s">
        <v>4</v>
      </c>
      <c r="C16" s="13"/>
      <c r="D16" s="5">
        <f>131384-630</f>
        <v>130754</v>
      </c>
      <c r="E16" s="10">
        <f t="shared" si="0"/>
        <v>0</v>
      </c>
    </row>
    <row r="17" spans="1:5" x14ac:dyDescent="0.35">
      <c r="A17" s="4" t="s">
        <v>12</v>
      </c>
      <c r="B17" s="4" t="s">
        <v>3</v>
      </c>
      <c r="C17" s="13"/>
      <c r="D17" s="5">
        <v>630</v>
      </c>
      <c r="E17" s="10">
        <f t="shared" si="0"/>
        <v>0</v>
      </c>
    </row>
    <row r="18" spans="1:5" x14ac:dyDescent="0.35">
      <c r="A18" s="4"/>
      <c r="B18" s="7"/>
      <c r="C18" s="12"/>
      <c r="D18" s="5"/>
      <c r="E18" s="10"/>
    </row>
    <row r="19" spans="1:5" x14ac:dyDescent="0.35">
      <c r="A19" s="4" t="s">
        <v>13</v>
      </c>
      <c r="B19" s="4" t="s">
        <v>4</v>
      </c>
      <c r="C19" s="13"/>
      <c r="D19" s="5">
        <f>134011-645</f>
        <v>133366</v>
      </c>
      <c r="E19" s="10">
        <f t="shared" si="0"/>
        <v>0</v>
      </c>
    </row>
    <row r="20" spans="1:5" x14ac:dyDescent="0.35">
      <c r="A20" s="4" t="s">
        <v>13</v>
      </c>
      <c r="B20" s="4" t="s">
        <v>3</v>
      </c>
      <c r="C20" s="13"/>
      <c r="D20" s="5">
        <v>645</v>
      </c>
      <c r="E20" s="10">
        <f t="shared" si="0"/>
        <v>0</v>
      </c>
    </row>
    <row r="21" spans="1:5" x14ac:dyDescent="0.35">
      <c r="A21" s="4"/>
      <c r="B21" s="4"/>
      <c r="C21" s="10"/>
      <c r="D21" s="5"/>
      <c r="E21" s="10"/>
    </row>
    <row r="22" spans="1:5" x14ac:dyDescent="0.35">
      <c r="A22" s="4" t="s">
        <v>14</v>
      </c>
      <c r="B22" s="4" t="s">
        <v>4</v>
      </c>
      <c r="C22" s="13"/>
      <c r="D22" s="5">
        <f>136692-660</f>
        <v>136032</v>
      </c>
      <c r="E22" s="10">
        <f t="shared" si="0"/>
        <v>0</v>
      </c>
    </row>
    <row r="23" spans="1:5" x14ac:dyDescent="0.35">
      <c r="A23" s="4" t="s">
        <v>14</v>
      </c>
      <c r="B23" s="4" t="s">
        <v>3</v>
      </c>
      <c r="C23" s="13"/>
      <c r="D23" s="5">
        <v>660</v>
      </c>
      <c r="E23" s="10">
        <f t="shared" si="0"/>
        <v>0</v>
      </c>
    </row>
    <row r="24" spans="1:5" x14ac:dyDescent="0.35">
      <c r="A24" s="9"/>
      <c r="B24" s="9"/>
      <c r="C24" s="9"/>
      <c r="D24" s="9"/>
    </row>
    <row r="25" spans="1:5" x14ac:dyDescent="0.35">
      <c r="A25" s="9"/>
      <c r="B25" s="9"/>
      <c r="C25" s="9"/>
      <c r="D25" s="9"/>
    </row>
    <row r="26" spans="1:5" x14ac:dyDescent="0.35">
      <c r="A26" s="9"/>
      <c r="B26" s="9"/>
      <c r="C26" s="9"/>
      <c r="D26" s="9"/>
    </row>
    <row r="27" spans="1:5" x14ac:dyDescent="0.35">
      <c r="A27" s="9"/>
      <c r="B27" s="9"/>
      <c r="C27" s="9"/>
      <c r="D27" s="9"/>
    </row>
    <row r="28" spans="1:5" ht="15" customHeight="1" x14ac:dyDescent="0.35">
      <c r="A28" s="9"/>
      <c r="B28" s="9"/>
      <c r="C28" s="9"/>
      <c r="D28" s="9"/>
    </row>
    <row r="29" spans="1:5" x14ac:dyDescent="0.35">
      <c r="A29" s="9"/>
      <c r="B29" s="9"/>
      <c r="C29" s="9"/>
      <c r="D29" s="9"/>
    </row>
    <row r="30" spans="1:5" x14ac:dyDescent="0.35">
      <c r="A30" s="9"/>
      <c r="B30" s="9"/>
      <c r="C30" s="9"/>
      <c r="D30" s="9"/>
    </row>
    <row r="34" spans="1:5" ht="15.5" x14ac:dyDescent="0.35">
      <c r="A34" s="14"/>
      <c r="B34" s="15"/>
      <c r="C34" s="15"/>
      <c r="D34" s="15"/>
      <c r="E34" s="1"/>
    </row>
  </sheetData>
  <mergeCells count="4">
    <mergeCell ref="A34:D34"/>
    <mergeCell ref="A6:E6"/>
    <mergeCell ref="A3:E3"/>
    <mergeCell ref="A1:E1"/>
  </mergeCells>
  <pageMargins left="0.95" right="0.7" top="0.75" bottom="0.75" header="0.3" footer="0.3"/>
  <pageSetup scale="91" orientation="portrait" r:id="rId1"/>
  <headerFooter>
    <oddHeader>&amp;RAttachment 4
FA860120R0039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AD91E6DB497B45B8FE97677B37F152" ma:contentTypeVersion="19" ma:contentTypeDescription="Create a new document." ma:contentTypeScope="" ma:versionID="e3c12cb7d7756f47778e32525f30b997">
  <xsd:schema xmlns:xsd="http://www.w3.org/2001/XMLSchema" xmlns:xs="http://www.w3.org/2001/XMLSchema" xmlns:p="http://schemas.microsoft.com/office/2006/metadata/properties" xmlns:ns1="http://schemas.microsoft.com/sharepoint/v3" xmlns:ns2="34a4f0ea-3835-461a-abbb-f67f6e4d841d" xmlns:ns3="a6b1fb35-6841-4f7b-a955-50cd87d846b1" xmlns:ns4="bac4e3eb-747f-43bc-bf10-c1bbb893ecac" targetNamespace="http://schemas.microsoft.com/office/2006/metadata/properties" ma:root="true" ma:fieldsID="f1ed09ae55d2cdf96faf71d622539b08" ns1:_="" ns2:_="" ns3:_="" ns4:_="">
    <xsd:import namespace="http://schemas.microsoft.com/sharepoint/v3"/>
    <xsd:import namespace="34a4f0ea-3835-461a-abbb-f67f6e4d841d"/>
    <xsd:import namespace="a6b1fb35-6841-4f7b-a955-50cd87d846b1"/>
    <xsd:import namespace="bac4e3eb-747f-43bc-bf10-c1bbb893eca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a4f0ea-3835-461a-abbb-f67f6e4d841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95476efd-2625-4ffb-b020-68dbe4abf38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b1fb35-6841-4f7b-a955-50cd87d846b1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c4e3eb-747f-43bc-bf10-c1bbb893ecac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de4fb0a9-427d-4e7f-9cff-a7c08bbbdb47}" ma:internalName="TaxCatchAll" ma:showField="CatchAllData" ma:web="a6b1fb35-6841-4f7b-a955-50cd87d846b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34a4f0ea-3835-461a-abbb-f67f6e4d841d">
      <Terms xmlns="http://schemas.microsoft.com/office/infopath/2007/PartnerControls"/>
    </lcf76f155ced4ddcb4097134ff3c332f>
    <TaxCatchAll xmlns="bac4e3eb-747f-43bc-bf10-c1bbb893ecac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D1A9EC51-5D66-4A2D-ADB1-88192099D10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34a4f0ea-3835-461a-abbb-f67f6e4d841d"/>
    <ds:schemaRef ds:uri="a6b1fb35-6841-4f7b-a955-50cd87d846b1"/>
    <ds:schemaRef ds:uri="bac4e3eb-747f-43bc-bf10-c1bbb893eca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2A0EAD5-316D-4C3D-B85C-1D00B0D7C3C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A1C0352-822D-441A-803B-09856A5B1CF3}">
  <ds:schemaRefs>
    <ds:schemaRef ds:uri="http://www.w3.org/XML/1998/namespace"/>
    <ds:schemaRef ds:uri="http://schemas.microsoft.com/office/infopath/2007/PartnerControls"/>
    <ds:schemaRef ds:uri="http://purl.org/dc/terms/"/>
    <ds:schemaRef ds:uri="http://schemas.microsoft.com/sharepoint/v3"/>
    <ds:schemaRef ds:uri="ff51ef05-392e-4dfc-ac47-4d3b6fab66d1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34a4f0ea-3835-461a-abbb-f67f6e4d841d"/>
    <ds:schemaRef ds:uri="bac4e3eb-747f-43bc-bf10-c1bbb893ecac"/>
  </ds:schemaRefs>
</ds:datastoreItem>
</file>

<file path=docMetadata/LabelInfo.xml><?xml version="1.0" encoding="utf-8"?>
<clbl:labelList xmlns:clbl="http://schemas.microsoft.com/office/2020/mipLabelMetadata">
  <clbl:label id="{1bd84cd2-a803-4625-aaf7-424aaac7782e}" enabled="1" method="Standard" siteId="{8331b18d-2d87-48ef-a35f-ac8818ebf9b4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U.S. Air Force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FINKE, TERESA S GS-11 USAF AFMC 88 CEG/CEIEC</dc:creator>
  <cp:lastModifiedBy>CVITKOVICH, ALISHA M CIV USAF AFMC AFLCMC/PZICC</cp:lastModifiedBy>
  <cp:lastPrinted>2016-04-29T17:32:48Z</cp:lastPrinted>
  <dcterms:created xsi:type="dcterms:W3CDTF">2016-04-28T14:04:22Z</dcterms:created>
  <dcterms:modified xsi:type="dcterms:W3CDTF">2026-05-05T12:48:07Z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0x01010028AD91E6DB497B45B8FE97677B37F152</vt:lpwstr>
  </property>
  <property fmtid="{D5CDD505-2E9C-101B-9397-08002B2CF9AE}" pid="3" name="ecm_ItemDeleteBlockHolders">
    <vt:lpwstr>ecm_InPlaceRecordLock</vt:lpwstr>
  </property>
  <property fmtid="{D5CDD505-2E9C-101B-9397-08002B2CF9AE}" pid="4" name="IconOverlay">
    <vt:lpwstr>|xlsx|lockoverlay.png</vt:lpwstr>
  </property>
  <property fmtid="{D5CDD505-2E9C-101B-9397-08002B2CF9AE}" pid="5" name="ecm_RecordRestrictions">
    <vt:lpwstr>BlockDelete, BlockEdit</vt:lpwstr>
  </property>
  <property fmtid="{D5CDD505-2E9C-101B-9397-08002B2CF9AE}" pid="6" name="ecm_ItemLockHolders">
    <vt:lpwstr>ecm_InPlaceRecordLock</vt:lpwstr>
  </property>
</Properties>
</file>