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T:\AQ\AMD Employees\NORTH\Russ Oaks\FY 2026\140R4026R0003_PIT TAG IDIQ\C05 RFP\"/>
    </mc:Choice>
  </mc:AlternateContent>
  <xr:revisionPtr revIDLastSave="0" documentId="13_ncr:1_{D6489C62-206A-4E35-ADEA-E87EEA83041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hedule B for Biomar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8" i="3" l="1"/>
  <c r="G126" i="3"/>
  <c r="G121" i="3"/>
  <c r="G116" i="3"/>
  <c r="G112" i="3"/>
  <c r="G108" i="3"/>
  <c r="G104" i="3"/>
  <c r="G100" i="3"/>
  <c r="G96" i="3"/>
  <c r="G92" i="3"/>
  <c r="G131" i="3" l="1"/>
  <c r="G78" i="3" l="1"/>
  <c r="G79" i="3" s="1"/>
  <c r="G143" i="3"/>
  <c r="G59" i="3" l="1"/>
  <c r="G60" i="3" s="1"/>
  <c r="G46" i="3"/>
  <c r="G41" i="3"/>
  <c r="G138" i="3"/>
  <c r="G149" i="3" s="1"/>
  <c r="G33" i="3"/>
  <c r="G28" i="3"/>
  <c r="G10" i="3"/>
  <c r="G21" i="3" s="1"/>
  <c r="G47" i="3" l="1"/>
  <c r="G34" i="3"/>
  <c r="G154" i="3" s="1"/>
</calcChain>
</file>

<file path=xl/sharedStrings.xml><?xml version="1.0" encoding="utf-8"?>
<sst xmlns="http://schemas.openxmlformats.org/spreadsheetml/2006/main" count="150" uniqueCount="101">
  <si>
    <t>CLIN</t>
  </si>
  <si>
    <t>DESCRIPTION</t>
  </si>
  <si>
    <t>Quantity</t>
  </si>
  <si>
    <t>Price EA</t>
  </si>
  <si>
    <t>TOTAL</t>
  </si>
  <si>
    <t>Notes</t>
  </si>
  <si>
    <t>SECTION I: GCMRC, Maria Dzul</t>
  </si>
  <si>
    <t xml:space="preserve"> Preloaded FDX 134.2 kHz PIT TAGS, 12.50mm X 2.07mm, in trays</t>
  </si>
  <si>
    <t>DELIVER ALL ITEMS IN SECTION I TO:</t>
  </si>
  <si>
    <t>MANUFACTURE NAME: BIOMARK or EQUIVALENT</t>
  </si>
  <si>
    <t>Mr. Brian Hines</t>
  </si>
  <si>
    <t>MODEL NAME: Biomark or equivalent APT12 12mm 134.2 kHz</t>
  </si>
  <si>
    <t>Bureau of Reclamation</t>
  </si>
  <si>
    <t>125 South State Street, Rm. 8100</t>
  </si>
  <si>
    <t>Salt Lake City, UT  84138-1147</t>
  </si>
  <si>
    <t>Phone:  435-210-8074</t>
  </si>
  <si>
    <t>Email:  bhines@usbr.gov</t>
  </si>
  <si>
    <t>DELIVERY DATE FOR SECTION I: In accordance with contract and no later than 60 days after award of contract.</t>
  </si>
  <si>
    <t>Total</t>
  </si>
  <si>
    <t>SECTION II: SJRIP, UCRIP,  Biologic and Modem Subscriptions</t>
  </si>
  <si>
    <t>Biomark Biologic Cell</t>
  </si>
  <si>
    <t>DELIVER ALL ITEMS IN SECTION III TO:</t>
  </si>
  <si>
    <t>*INCLUDES CELL SERVICE &amp; BIOLOGIC WEB PORTAL</t>
  </si>
  <si>
    <t>MANUFACTURE NAME: CELL PROVIDER</t>
  </si>
  <si>
    <t>Kerri Pedersen, Brian Hines</t>
  </si>
  <si>
    <t>13 Sites @ 12 months per site (1/1/26 - 12/31/26)</t>
  </si>
  <si>
    <t>MODEL NAME: BIOLOGIC WEB PORTAL W/ CELL</t>
  </si>
  <si>
    <t>Biomark Biologic Satellite</t>
  </si>
  <si>
    <t>*INCLUDES SATELLITE SERVICE &amp; BIOLOGIC WEB PORTAL</t>
  </si>
  <si>
    <t>MANUFACTURE NAME: BIOMARK</t>
  </si>
  <si>
    <t>Email:  kpedersen@usbr.gov</t>
  </si>
  <si>
    <t>7 Sites @ 12 months per site (1/1/26 - 12/31/26)</t>
  </si>
  <si>
    <t>MODEL NAME: BIOLOGIC WEB PORTAL W/SATELLITE</t>
  </si>
  <si>
    <t>DELIVERY DATE FOR SECTION II: In accordance with contract and no later than 60 days after award</t>
  </si>
  <si>
    <t>SECTION III: GCMRC TAGS AND READERS; Brian Healy</t>
  </si>
  <si>
    <t>DELIVER ALL ITEMS IN SECTION IV TO:</t>
  </si>
  <si>
    <t>Handheld Reader</t>
  </si>
  <si>
    <t>MODEL NAME: Biomark or equivalent: Biomark BPR3001 Reader</t>
  </si>
  <si>
    <t>DELIVERY DATE FOR SECTION III: In accordance with contract and no later than 60 days after award</t>
  </si>
  <si>
    <t xml:space="preserve">For Section III, Vendor shall coordinate with Brian Hines ( 435-210-8074; bhines@usbr.gov) to schedule the delivery of the PIT tags to USGS Facility in Flagstaff, AZ. </t>
  </si>
  <si>
    <t>SECTION IV: GC CONS MEAS AG&amp;FD</t>
  </si>
  <si>
    <t>00200A</t>
  </si>
  <si>
    <t>DELIVER ALL ITEMS IN SECTION V TO:</t>
  </si>
  <si>
    <t>DELIVERY DATE FOR SECTION IV: In accordance with contract and no later than 60 days after award</t>
  </si>
  <si>
    <t xml:space="preserve">For Section IV, Vendor shall coordinate with Brian Hines ( 435-210-8074; bhines@usbr.gov) to schedule the delivery of the PIT tags to Arizona Game and Fish Facility in Flagstaff, AZ. </t>
  </si>
  <si>
    <t>SECTION V: UCRIP &amp; SJRIP PIT Tags</t>
  </si>
  <si>
    <t>DELIVER ALL ITEMS IN SECTION VI TO:</t>
  </si>
  <si>
    <t>Travis A. Francis</t>
  </si>
  <si>
    <t>U.S. Fish and Wildlife Service</t>
  </si>
  <si>
    <t>445 West Gunnison Ave., Suite 140</t>
  </si>
  <si>
    <t>Grand Junction, CO  81501-5711</t>
  </si>
  <si>
    <t>Cell - 970-270-8032</t>
  </si>
  <si>
    <t>travis_francis@fws.gov</t>
  </si>
  <si>
    <t>DELIVERY DATE FOR SECTION VI: In accordance with contract and in coordination with Kerri Pedersen for adding remote coms to antenna near Mexican Hat, UT</t>
  </si>
  <si>
    <t>No Later Than 60 Days after Award of Delivery Order</t>
  </si>
  <si>
    <t>SECTION VI:SJRIP SLICKHORN REMOTE UPLOAD</t>
  </si>
  <si>
    <t>DOP Enclosures and Related Accessories</t>
  </si>
  <si>
    <t>DELIVER ALL ITEMS IN SECTION VII TO:</t>
  </si>
  <si>
    <t>MANUFACTURE NAME: ENC DOP BLE COMM</t>
  </si>
  <si>
    <t>Kerri Pedersen</t>
  </si>
  <si>
    <t>MODEL NAME: ENC DOP BLE COMM</t>
  </si>
  <si>
    <t>Communications</t>
  </si>
  <si>
    <t>MANUFACTURE NAME: SAT MODEM</t>
  </si>
  <si>
    <t>Phone:   385-272-0573</t>
  </si>
  <si>
    <t>MANUFACTURE NAME: SAT MOUNTING</t>
  </si>
  <si>
    <t>MANUFACTURE NAME: SAT SIM CARD</t>
  </si>
  <si>
    <t>MODEL NAME: SAT SIM Card ($0.00, but must line item for SN)</t>
  </si>
  <si>
    <t>MANUFACTURE NAME: CELL ETHERNET CBL 5'</t>
  </si>
  <si>
    <t>MODEL NAME: CELL ETHERNET CBL 5'</t>
  </si>
  <si>
    <t>MANUFACTURE NAME: SAT ETH SWITCH</t>
  </si>
  <si>
    <t>MODEL NAME: Sat Eth Switch</t>
  </si>
  <si>
    <t>MANUFACTURE NAME: BDM SAT V2</t>
  </si>
  <si>
    <t>MODEL NAME: Biomark BioLogic Web Portal w/sat (per month)</t>
  </si>
  <si>
    <t>Senior Engineer</t>
  </si>
  <si>
    <t>DESCRIPTION: _Senior Engineer</t>
  </si>
  <si>
    <t>Hours</t>
  </si>
  <si>
    <t>Hourly Rate</t>
  </si>
  <si>
    <t>Electronics Technician</t>
  </si>
  <si>
    <t>DESCRIPTION: _Electronic Technician</t>
  </si>
  <si>
    <t>Per hour</t>
  </si>
  <si>
    <t>Travel--BLUFF, UT</t>
  </si>
  <si>
    <t>DESCRIPTION: Travel to Bluff  UT 1 trips, 5 days, Incl River Trip</t>
  </si>
  <si>
    <t>SECTION VII: UCRIP RAZORBACK BAR CELLULAR UPLOAD</t>
  </si>
  <si>
    <t xml:space="preserve">Communications: </t>
  </si>
  <si>
    <t>MANUFACTURE NAME: Cell Cloudgate 4G Kit WW</t>
  </si>
  <si>
    <t>Brian Hines</t>
  </si>
  <si>
    <t>MODEL NAME: CELL KIT 4G WW</t>
  </si>
  <si>
    <t>MODEL NAME: Enc Comm DOP BLE w/ DDR30G</t>
  </si>
  <si>
    <t>DELIVERY DATE FOR SECTION VII: In accordance with contract and in coordination with Brian Hines for adding remote coms to antennas near Jenson, UT</t>
  </si>
  <si>
    <t>1 Sites @ 12 months per site (1/1/26 - 12/31/26)</t>
  </si>
  <si>
    <t>ORDER TOTAL</t>
  </si>
  <si>
    <t>Salt Lake City, UT 84138-1147</t>
  </si>
  <si>
    <t>Phone: 435-210-8074</t>
  </si>
  <si>
    <t>Email: bhines@usbr.gov</t>
  </si>
  <si>
    <t>For Section I, Vendor shall coordinate with Brian Hines ( 435-210-8074; bhines@usbr.gov) to schedule the delivery of the PIT tags to USGS Facility in Flagstaff, AZ.</t>
  </si>
  <si>
    <t>Preloaded FDX 134.2 kHz PIT TAGS, 12.50mm X 2.07mm, in trays</t>
  </si>
  <si>
    <t>Phone: 385-272-0573</t>
  </si>
  <si>
    <t>Email: kpedersen@usbr.gov</t>
  </si>
  <si>
    <t>Communications:</t>
  </si>
  <si>
    <t>MODEL NAME: Hughes 9502 Modem</t>
  </si>
  <si>
    <t>MODEL NAME: Hughes 9502 Mounting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</si>
</sst>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7" fillId="0" borderId="0"/>
    <xf numFmtId="0" fontId="11" fillId="0" borderId="0" applyNumberFormat="0" applyFill="0" applyBorder="0" applyAlignment="0" applyProtection="0"/>
  </cellStyleXfs>
  <cellXfs count="113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44" fontId="0" fillId="0" borderId="0" xfId="1" applyFont="1"/>
    <xf numFmtId="44" fontId="3" fillId="0" borderId="0" xfId="1" applyFont="1" applyAlignment="1">
      <alignment vertical="center"/>
    </xf>
    <xf numFmtId="44" fontId="1" fillId="0" borderId="0" xfId="1" applyFont="1"/>
    <xf numFmtId="44" fontId="1" fillId="0" borderId="0" xfId="1" applyFont="1" applyAlignment="1">
      <alignment vertical="center"/>
    </xf>
    <xf numFmtId="44" fontId="2" fillId="0" borderId="0" xfId="1" applyFont="1" applyAlignment="1">
      <alignment vertical="center"/>
    </xf>
    <xf numFmtId="44" fontId="1" fillId="0" borderId="0" xfId="0" applyNumberFormat="1" applyFont="1" applyAlignment="1">
      <alignment vertical="center"/>
    </xf>
    <xf numFmtId="8" fontId="0" fillId="0" borderId="0" xfId="0" applyNumberFormat="1"/>
    <xf numFmtId="0" fontId="4" fillId="0" borderId="9" xfId="0" applyFont="1" applyBorder="1" applyAlignment="1">
      <alignment vertical="center"/>
    </xf>
    <xf numFmtId="49" fontId="0" fillId="0" borderId="0" xfId="0" applyNumberFormat="1"/>
    <xf numFmtId="49" fontId="3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1" fillId="0" borderId="0" xfId="0" applyNumberFormat="1" applyFont="1"/>
    <xf numFmtId="49" fontId="1" fillId="0" borderId="3" xfId="0" applyNumberFormat="1" applyFont="1" applyBorder="1" applyAlignment="1">
      <alignment vertical="center"/>
    </xf>
    <xf numFmtId="0" fontId="6" fillId="0" borderId="0" xfId="0" applyFont="1"/>
    <xf numFmtId="0" fontId="4" fillId="0" borderId="0" xfId="0" applyFont="1" applyAlignment="1">
      <alignment vertical="center"/>
    </xf>
    <xf numFmtId="49" fontId="1" fillId="0" borderId="12" xfId="0" applyNumberFormat="1" applyFont="1" applyBorder="1" applyAlignment="1">
      <alignment vertical="center"/>
    </xf>
    <xf numFmtId="44" fontId="2" fillId="0" borderId="16" xfId="1" applyFont="1" applyBorder="1"/>
    <xf numFmtId="0" fontId="8" fillId="0" borderId="0" xfId="0" applyFont="1"/>
    <xf numFmtId="44" fontId="8" fillId="0" borderId="0" xfId="1" applyFont="1"/>
    <xf numFmtId="49" fontId="8" fillId="0" borderId="3" xfId="0" applyNumberFormat="1" applyFont="1" applyBorder="1"/>
    <xf numFmtId="0" fontId="8" fillId="0" borderId="4" xfId="0" applyFont="1" applyBorder="1"/>
    <xf numFmtId="0" fontId="8" fillId="0" borderId="5" xfId="0" applyFont="1" applyBorder="1"/>
    <xf numFmtId="49" fontId="8" fillId="0" borderId="6" xfId="0" applyNumberFormat="1" applyFont="1" applyBorder="1"/>
    <xf numFmtId="0" fontId="8" fillId="0" borderId="7" xfId="0" applyFont="1" applyBorder="1"/>
    <xf numFmtId="0" fontId="8" fillId="0" borderId="9" xfId="0" applyFont="1" applyBorder="1"/>
    <xf numFmtId="0" fontId="8" fillId="0" borderId="10" xfId="0" applyFont="1" applyBorder="1"/>
    <xf numFmtId="8" fontId="8" fillId="2" borderId="10" xfId="1" applyNumberFormat="1" applyFont="1" applyFill="1" applyBorder="1"/>
    <xf numFmtId="8" fontId="8" fillId="0" borderId="11" xfId="1" applyNumberFormat="1" applyFont="1" applyBorder="1"/>
    <xf numFmtId="8" fontId="8" fillId="0" borderId="0" xfId="1" applyNumberFormat="1" applyFont="1" applyFill="1" applyBorder="1"/>
    <xf numFmtId="8" fontId="8" fillId="0" borderId="12" xfId="1" applyNumberFormat="1" applyFont="1" applyBorder="1"/>
    <xf numFmtId="49" fontId="8" fillId="0" borderId="0" xfId="0" applyNumberFormat="1" applyFont="1"/>
    <xf numFmtId="49" fontId="8" fillId="0" borderId="8" xfId="0" applyNumberFormat="1" applyFont="1" applyBorder="1"/>
    <xf numFmtId="8" fontId="8" fillId="0" borderId="0" xfId="1" applyNumberFormat="1" applyFont="1" applyBorder="1"/>
    <xf numFmtId="8" fontId="2" fillId="0" borderId="16" xfId="1" applyNumberFormat="1" applyFont="1" applyBorder="1"/>
    <xf numFmtId="49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49" fontId="8" fillId="0" borderId="9" xfId="0" applyNumberFormat="1" applyFont="1" applyBorder="1"/>
    <xf numFmtId="44" fontId="8" fillId="0" borderId="4" xfId="1" applyFont="1" applyBorder="1"/>
    <xf numFmtId="44" fontId="8" fillId="0" borderId="5" xfId="1" applyFont="1" applyBorder="1"/>
    <xf numFmtId="0" fontId="9" fillId="0" borderId="9" xfId="0" applyFont="1" applyBorder="1"/>
    <xf numFmtId="0" fontId="9" fillId="0" borderId="0" xfId="0" applyFont="1"/>
    <xf numFmtId="49" fontId="8" fillId="0" borderId="4" xfId="0" applyNumberFormat="1" applyFont="1" applyBorder="1"/>
    <xf numFmtId="44" fontId="2" fillId="0" borderId="0" xfId="1" applyFont="1" applyBorder="1"/>
    <xf numFmtId="8" fontId="2" fillId="0" borderId="0" xfId="1" applyNumberFormat="1" applyFont="1" applyBorder="1"/>
    <xf numFmtId="0" fontId="2" fillId="0" borderId="0" xfId="0" applyFont="1"/>
    <xf numFmtId="49" fontId="12" fillId="0" borderId="0" xfId="3" applyNumberFormat="1" applyFont="1" applyAlignment="1">
      <alignment vertical="center"/>
    </xf>
    <xf numFmtId="49" fontId="1" fillId="0" borderId="0" xfId="3" applyNumberFormat="1" applyFont="1" applyAlignment="1">
      <alignment vertical="center"/>
    </xf>
    <xf numFmtId="49" fontId="4" fillId="0" borderId="0" xfId="0" applyNumberFormat="1" applyFont="1" applyAlignment="1">
      <alignment vertical="center" wrapText="1"/>
    </xf>
    <xf numFmtId="0" fontId="1" fillId="0" borderId="0" xfId="3" applyFont="1"/>
    <xf numFmtId="3" fontId="9" fillId="0" borderId="10" xfId="0" applyNumberFormat="1" applyFont="1" applyBorder="1"/>
    <xf numFmtId="0" fontId="13" fillId="0" borderId="0" xfId="0" applyFont="1" applyAlignment="1">
      <alignment vertical="center"/>
    </xf>
    <xf numFmtId="0" fontId="12" fillId="0" borderId="0" xfId="3" applyFont="1" applyAlignment="1">
      <alignment vertical="center"/>
    </xf>
    <xf numFmtId="0" fontId="1" fillId="0" borderId="0" xfId="0" applyFont="1" applyAlignment="1">
      <alignment vertical="center" wrapText="1"/>
    </xf>
    <xf numFmtId="3" fontId="8" fillId="0" borderId="10" xfId="0" applyNumberFormat="1" applyFont="1" applyBorder="1"/>
    <xf numFmtId="49" fontId="0" fillId="0" borderId="3" xfId="0" applyNumberFormat="1" applyBorder="1"/>
    <xf numFmtId="0" fontId="0" fillId="0" borderId="4" xfId="0" applyBorder="1"/>
    <xf numFmtId="0" fontId="0" fillId="0" borderId="5" xfId="0" applyBorder="1"/>
    <xf numFmtId="49" fontId="0" fillId="0" borderId="6" xfId="0" applyNumberFormat="1" applyBorder="1"/>
    <xf numFmtId="0" fontId="0" fillId="0" borderId="9" xfId="0" applyBorder="1"/>
    <xf numFmtId="0" fontId="0" fillId="0" borderId="10" xfId="0" applyBorder="1"/>
    <xf numFmtId="8" fontId="0" fillId="2" borderId="10" xfId="1" applyNumberFormat="1" applyFont="1" applyFill="1" applyBorder="1"/>
    <xf numFmtId="8" fontId="0" fillId="0" borderId="11" xfId="1" applyNumberFormat="1" applyFont="1" applyBorder="1"/>
    <xf numFmtId="49" fontId="0" fillId="0" borderId="8" xfId="0" applyNumberFormat="1" applyBorder="1"/>
    <xf numFmtId="0" fontId="0" fillId="0" borderId="1" xfId="0" applyBorder="1"/>
    <xf numFmtId="0" fontId="0" fillId="2" borderId="10" xfId="0" applyFill="1" applyBorder="1"/>
    <xf numFmtId="0" fontId="0" fillId="0" borderId="0" xfId="0" applyAlignment="1">
      <alignment vertical="center"/>
    </xf>
    <xf numFmtId="8" fontId="2" fillId="0" borderId="0" xfId="1" applyNumberFormat="1" applyFont="1"/>
    <xf numFmtId="0" fontId="8" fillId="0" borderId="0" xfId="0" applyFont="1" applyAlignment="1">
      <alignment vertical="center" wrapText="1"/>
    </xf>
    <xf numFmtId="8" fontId="2" fillId="3" borderId="17" xfId="1" applyNumberFormat="1" applyFont="1" applyFill="1" applyBorder="1"/>
    <xf numFmtId="8" fontId="2" fillId="0" borderId="18" xfId="1" applyNumberFormat="1" applyFont="1" applyBorder="1"/>
    <xf numFmtId="0" fontId="14" fillId="0" borderId="0" xfId="0" applyFont="1"/>
    <xf numFmtId="8" fontId="14" fillId="0" borderId="0" xfId="1" applyNumberFormat="1" applyFont="1"/>
    <xf numFmtId="44" fontId="14" fillId="0" borderId="0" xfId="1" applyFont="1" applyAlignment="1">
      <alignment horizontal="left"/>
    </xf>
    <xf numFmtId="0" fontId="0" fillId="0" borderId="7" xfId="0" applyBorder="1"/>
    <xf numFmtId="8" fontId="0" fillId="0" borderId="0" xfId="1" applyNumberFormat="1" applyFont="1" applyBorder="1"/>
    <xf numFmtId="8" fontId="0" fillId="0" borderId="0" xfId="1" applyNumberFormat="1" applyFont="1" applyFill="1" applyBorder="1"/>
    <xf numFmtId="49" fontId="8" fillId="0" borderId="20" xfId="0" applyNumberFormat="1" applyFont="1" applyBorder="1"/>
    <xf numFmtId="8" fontId="0" fillId="0" borderId="21" xfId="1" applyNumberFormat="1" applyFont="1" applyBorder="1"/>
    <xf numFmtId="0" fontId="14" fillId="0" borderId="22" xfId="0" applyFont="1" applyBorder="1"/>
    <xf numFmtId="8" fontId="2" fillId="0" borderId="22" xfId="1" applyNumberFormat="1" applyFont="1" applyBorder="1"/>
    <xf numFmtId="44" fontId="2" fillId="0" borderId="22" xfId="1" applyFont="1" applyBorder="1"/>
    <xf numFmtId="8" fontId="8" fillId="2" borderId="0" xfId="1" applyNumberFormat="1" applyFont="1" applyFill="1" applyBorder="1"/>
    <xf numFmtId="0" fontId="9" fillId="0" borderId="0" xfId="0" applyFont="1" applyAlignment="1">
      <alignment vertical="center"/>
    </xf>
    <xf numFmtId="49" fontId="10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 wrapText="1"/>
    </xf>
    <xf numFmtId="0" fontId="1" fillId="0" borderId="0" xfId="0" applyFont="1" applyAlignment="1">
      <alignment wrapText="1"/>
    </xf>
    <xf numFmtId="0" fontId="8" fillId="0" borderId="15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0" fillId="2" borderId="1" xfId="0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8" fillId="2" borderId="19" xfId="0" applyFont="1" applyFill="1" applyBorder="1" applyAlignment="1">
      <alignment horizontal="left"/>
    </xf>
    <xf numFmtId="0" fontId="0" fillId="0" borderId="0" xfId="0"/>
    <xf numFmtId="49" fontId="4" fillId="0" borderId="7" xfId="0" applyNumberFormat="1" applyFont="1" applyBorder="1" applyAlignment="1">
      <alignment vertical="center" wrapText="1"/>
    </xf>
    <xf numFmtId="0" fontId="1" fillId="0" borderId="7" xfId="0" applyFont="1" applyBorder="1" applyAlignment="1">
      <alignment wrapText="1"/>
    </xf>
    <xf numFmtId="0" fontId="0" fillId="0" borderId="7" xfId="0" applyBorder="1"/>
    <xf numFmtId="8" fontId="0" fillId="2" borderId="1" xfId="1" applyNumberFormat="1" applyFont="1" applyFill="1" applyBorder="1"/>
  </cellXfs>
  <cellStyles count="4">
    <cellStyle name="Currency" xfId="1" builtinId="4"/>
    <cellStyle name="Hyperlink" xfId="3" builtinId="8"/>
    <cellStyle name="Normal" xfId="0" builtinId="0"/>
    <cellStyle name="Normal 2" xfId="2" xr:uid="{3CD38C70-9BEC-454F-BB55-A84F868497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mkinstry@usbr.gov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mkinstry@usbr.gov" TargetMode="External"/><Relationship Id="rId1" Type="http://schemas.openxmlformats.org/officeDocument/2006/relationships/hyperlink" Target="mailto:mmkinstry@usbr.gov" TargetMode="External"/><Relationship Id="rId6" Type="http://schemas.openxmlformats.org/officeDocument/2006/relationships/hyperlink" Target="mailto:travis_francis@fws.gov" TargetMode="External"/><Relationship Id="rId5" Type="http://schemas.openxmlformats.org/officeDocument/2006/relationships/hyperlink" Target="mailto:mmkinstry@usbr.gov" TargetMode="External"/><Relationship Id="rId4" Type="http://schemas.openxmlformats.org/officeDocument/2006/relationships/hyperlink" Target="mailto:mmkinstry@usbr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5CC8-74C3-401B-A98D-CC06344D9C41}">
  <sheetPr>
    <pageSetUpPr fitToPage="1"/>
  </sheetPr>
  <dimension ref="A1:J154"/>
  <sheetViews>
    <sheetView tabSelected="1" topLeftCell="A113" zoomScale="90" zoomScaleNormal="90" workbookViewId="0">
      <selection activeCell="H132" sqref="H132"/>
    </sheetView>
  </sheetViews>
  <sheetFormatPr defaultColWidth="8.7109375" defaultRowHeight="15" x14ac:dyDescent="0.25"/>
  <cols>
    <col min="1" max="1" width="68.5703125" customWidth="1"/>
    <col min="2" max="2" width="18.85546875" style="14" customWidth="1"/>
    <col min="3" max="3" width="47.5703125" customWidth="1"/>
    <col min="4" max="4" width="48.7109375" customWidth="1"/>
    <col min="5" max="5" width="12.42578125" bestFit="1" customWidth="1"/>
    <col min="6" max="6" width="16.85546875" style="6" customWidth="1"/>
    <col min="7" max="7" width="15.85546875" style="6" customWidth="1"/>
    <col min="8" max="8" width="27.7109375" bestFit="1" customWidth="1"/>
    <col min="9" max="9" width="11.85546875" bestFit="1" customWidth="1"/>
    <col min="12" max="12" width="30.85546875" customWidth="1"/>
    <col min="13" max="13" width="17.140625" customWidth="1"/>
    <col min="15" max="15" width="19.140625" customWidth="1"/>
    <col min="16" max="16" width="32.5703125" customWidth="1"/>
  </cols>
  <sheetData>
    <row r="1" spans="1:8" ht="15.75" x14ac:dyDescent="0.25">
      <c r="A1" s="4"/>
    </row>
    <row r="2" spans="1:8" ht="15.75" x14ac:dyDescent="0.25">
      <c r="A2" s="4"/>
    </row>
    <row r="3" spans="1:8" ht="20.25" x14ac:dyDescent="0.25">
      <c r="A3" s="4"/>
      <c r="B3" s="15" t="s">
        <v>0</v>
      </c>
      <c r="C3" s="1" t="s">
        <v>1</v>
      </c>
      <c r="E3" s="1" t="s">
        <v>2</v>
      </c>
      <c r="F3" s="7" t="s">
        <v>3</v>
      </c>
      <c r="G3" s="7" t="s">
        <v>4</v>
      </c>
      <c r="H3" s="7" t="s">
        <v>5</v>
      </c>
    </row>
    <row r="4" spans="1:8" ht="15.75" x14ac:dyDescent="0.25">
      <c r="A4" s="2"/>
      <c r="B4" s="16"/>
    </row>
    <row r="5" spans="1:8" ht="15.75" x14ac:dyDescent="0.25">
      <c r="A5" s="2"/>
    </row>
    <row r="6" spans="1:8" ht="16.5" thickBot="1" x14ac:dyDescent="0.3">
      <c r="A6" s="2"/>
      <c r="B6" s="17"/>
      <c r="C6" s="27"/>
      <c r="D6" s="27"/>
      <c r="E6" s="27"/>
      <c r="F6" s="28"/>
      <c r="G6" s="28"/>
    </row>
    <row r="7" spans="1:8" ht="15.75" x14ac:dyDescent="0.25">
      <c r="A7" s="4" t="s">
        <v>6</v>
      </c>
      <c r="B7" s="29"/>
      <c r="C7" s="30" t="s">
        <v>95</v>
      </c>
      <c r="D7" s="30"/>
      <c r="E7" s="30"/>
      <c r="F7" s="30"/>
      <c r="G7" s="31"/>
    </row>
    <row r="8" spans="1:8" ht="15.75" x14ac:dyDescent="0.25">
      <c r="A8" s="60" t="s">
        <v>8</v>
      </c>
      <c r="B8" s="32"/>
      <c r="C8" s="27"/>
      <c r="D8" s="100" t="s">
        <v>9</v>
      </c>
      <c r="E8" s="100"/>
      <c r="F8" s="27"/>
      <c r="G8" s="33"/>
    </row>
    <row r="9" spans="1:8" ht="15.75" x14ac:dyDescent="0.25">
      <c r="A9" s="17" t="s">
        <v>10</v>
      </c>
      <c r="B9" s="32"/>
      <c r="C9" s="27"/>
      <c r="D9" s="100" t="s">
        <v>11</v>
      </c>
      <c r="E9" s="102"/>
      <c r="F9" s="27"/>
      <c r="G9" s="33"/>
    </row>
    <row r="10" spans="1:8" ht="16.5" thickBot="1" x14ac:dyDescent="0.3">
      <c r="A10" s="17" t="s">
        <v>12</v>
      </c>
      <c r="B10" s="18"/>
      <c r="C10" s="13"/>
      <c r="D10" s="34"/>
      <c r="E10" s="63">
        <v>12700</v>
      </c>
      <c r="F10" s="36"/>
      <c r="G10" s="37">
        <f>F10*E10</f>
        <v>0</v>
      </c>
    </row>
    <row r="11" spans="1:8" ht="16.5" thickBot="1" x14ac:dyDescent="0.3">
      <c r="A11" s="17" t="s">
        <v>13</v>
      </c>
      <c r="B11" s="25"/>
      <c r="C11" s="24"/>
      <c r="D11" s="27"/>
      <c r="E11" s="27"/>
      <c r="F11" s="38"/>
      <c r="G11" s="39"/>
    </row>
    <row r="12" spans="1:8" ht="15.75" x14ac:dyDescent="0.25">
      <c r="A12" s="17" t="s">
        <v>91</v>
      </c>
      <c r="B12" s="29"/>
      <c r="C12" s="30"/>
      <c r="D12" s="30"/>
      <c r="E12" s="30"/>
      <c r="F12" s="30"/>
      <c r="G12" s="31"/>
      <c r="H12" s="3"/>
    </row>
    <row r="13" spans="1:8" ht="15.75" x14ac:dyDescent="0.25">
      <c r="A13" s="17" t="s">
        <v>92</v>
      </c>
      <c r="B13" s="32"/>
      <c r="C13" s="27"/>
      <c r="D13" s="100"/>
      <c r="E13" s="100"/>
      <c r="F13" s="27"/>
      <c r="G13" s="33"/>
    </row>
    <row r="14" spans="1:8" ht="15.75" x14ac:dyDescent="0.25">
      <c r="A14" s="55" t="s">
        <v>93</v>
      </c>
      <c r="B14" s="32"/>
      <c r="C14" s="27"/>
      <c r="D14" s="100"/>
      <c r="E14" s="100"/>
      <c r="F14" s="27"/>
      <c r="G14" s="33"/>
    </row>
    <row r="15" spans="1:8" ht="16.5" thickBot="1" x14ac:dyDescent="0.3">
      <c r="A15" s="61"/>
      <c r="B15" s="41"/>
      <c r="C15" s="34"/>
      <c r="D15" s="34"/>
      <c r="E15" s="35"/>
      <c r="F15" s="36"/>
      <c r="G15" s="37"/>
    </row>
    <row r="16" spans="1:8" ht="32.1" customHeight="1" thickBot="1" x14ac:dyDescent="0.3">
      <c r="A16" s="57" t="s">
        <v>17</v>
      </c>
      <c r="B16" s="40"/>
      <c r="C16" s="27"/>
      <c r="D16" s="27"/>
      <c r="E16" s="27"/>
      <c r="F16" s="27"/>
      <c r="G16" s="27"/>
    </row>
    <row r="17" spans="1:10" ht="15.75" x14ac:dyDescent="0.25">
      <c r="A17" s="97" t="s">
        <v>94</v>
      </c>
      <c r="B17" s="29"/>
      <c r="C17" s="30"/>
      <c r="D17" s="30"/>
      <c r="E17" s="30"/>
      <c r="F17" s="30"/>
      <c r="G17" s="31"/>
    </row>
    <row r="18" spans="1:10" ht="15.75" x14ac:dyDescent="0.25">
      <c r="A18" s="97"/>
      <c r="B18" s="32"/>
      <c r="C18" s="27"/>
      <c r="D18" s="100"/>
      <c r="E18" s="100"/>
      <c r="F18" s="27"/>
      <c r="G18" s="33"/>
    </row>
    <row r="19" spans="1:10" ht="15.75" x14ac:dyDescent="0.25">
      <c r="A19" s="97"/>
      <c r="B19" s="32"/>
      <c r="C19" s="27"/>
      <c r="D19" s="100"/>
      <c r="E19" s="100"/>
      <c r="F19" s="27"/>
      <c r="G19" s="33"/>
      <c r="H19" s="12"/>
    </row>
    <row r="20" spans="1:10" ht="16.5" thickBot="1" x14ac:dyDescent="0.3">
      <c r="A20" s="98"/>
      <c r="B20" s="41"/>
      <c r="C20" s="34"/>
      <c r="D20" s="34"/>
      <c r="E20" s="35"/>
      <c r="F20" s="36"/>
      <c r="G20" s="37"/>
    </row>
    <row r="21" spans="1:10" ht="16.5" thickBot="1" x14ac:dyDescent="0.3">
      <c r="A21" s="77"/>
      <c r="B21" s="40"/>
      <c r="C21" s="27"/>
      <c r="D21" s="27"/>
      <c r="E21" s="27"/>
      <c r="F21" s="78" t="s">
        <v>18</v>
      </c>
      <c r="G21" s="79">
        <f>SUM(G10,G15,G20)</f>
        <v>0</v>
      </c>
    </row>
    <row r="22" spans="1:10" ht="16.5" thickTop="1" x14ac:dyDescent="0.25">
      <c r="A22" s="2"/>
      <c r="B22" s="40"/>
      <c r="C22" s="27"/>
      <c r="D22" s="27"/>
      <c r="E22" s="27"/>
      <c r="F22" s="27"/>
      <c r="G22" s="27"/>
      <c r="H22" s="3"/>
      <c r="I22" s="3"/>
      <c r="J22" s="3"/>
    </row>
    <row r="23" spans="1:10" ht="15.75" x14ac:dyDescent="0.25">
      <c r="A23" s="2"/>
      <c r="B23" s="40"/>
      <c r="C23" s="27"/>
      <c r="D23" s="27"/>
      <c r="E23" s="27"/>
      <c r="F23" s="27"/>
      <c r="G23" s="27"/>
      <c r="H23" s="3"/>
      <c r="I23" s="3"/>
      <c r="J23" s="3"/>
    </row>
    <row r="24" spans="1:10" ht="16.5" thickBot="1" x14ac:dyDescent="0.3">
      <c r="A24" s="2"/>
      <c r="B24" s="44"/>
      <c r="C24" s="45"/>
      <c r="D24" s="45"/>
      <c r="E24" s="45"/>
      <c r="F24" s="45"/>
      <c r="G24" s="45"/>
    </row>
    <row r="25" spans="1:10" ht="15.75" x14ac:dyDescent="0.25">
      <c r="A25" s="4" t="s">
        <v>19</v>
      </c>
      <c r="B25" s="29"/>
      <c r="C25" s="30" t="s">
        <v>20</v>
      </c>
      <c r="D25" s="30"/>
      <c r="E25" s="30"/>
      <c r="F25" s="30"/>
      <c r="G25" s="31"/>
    </row>
    <row r="26" spans="1:10" ht="15.75" x14ac:dyDescent="0.25">
      <c r="A26" s="20" t="s">
        <v>21</v>
      </c>
      <c r="B26" s="32"/>
      <c r="C26" s="27" t="s">
        <v>22</v>
      </c>
      <c r="D26" s="100" t="s">
        <v>23</v>
      </c>
      <c r="E26" s="100"/>
      <c r="F26" s="27"/>
      <c r="G26" s="33"/>
    </row>
    <row r="27" spans="1:10" ht="16.5" thickBot="1" x14ac:dyDescent="0.3">
      <c r="A27" s="17" t="s">
        <v>24</v>
      </c>
      <c r="B27" s="32"/>
      <c r="C27" s="27" t="s">
        <v>25</v>
      </c>
      <c r="D27" s="100" t="s">
        <v>26</v>
      </c>
      <c r="E27" s="102"/>
      <c r="F27" s="27"/>
      <c r="G27" s="33"/>
    </row>
    <row r="28" spans="1:10" ht="16.5" thickBot="1" x14ac:dyDescent="0.3">
      <c r="A28" s="17" t="s">
        <v>12</v>
      </c>
      <c r="B28" s="41"/>
      <c r="C28" s="34"/>
      <c r="D28" s="34"/>
      <c r="E28" s="35">
        <v>156</v>
      </c>
      <c r="F28" s="36"/>
      <c r="G28" s="37">
        <f>F28*E28</f>
        <v>0</v>
      </c>
    </row>
    <row r="29" spans="1:10" ht="16.5" thickBot="1" x14ac:dyDescent="0.3">
      <c r="A29" s="17" t="s">
        <v>13</v>
      </c>
      <c r="B29" s="40"/>
      <c r="C29" s="27"/>
      <c r="D29" s="27"/>
      <c r="E29" s="27"/>
      <c r="F29" s="38"/>
      <c r="G29" s="42"/>
    </row>
    <row r="30" spans="1:10" ht="15.75" x14ac:dyDescent="0.25">
      <c r="A30" s="17" t="s">
        <v>91</v>
      </c>
      <c r="B30" s="29"/>
      <c r="C30" s="30" t="s">
        <v>27</v>
      </c>
      <c r="D30" s="30"/>
      <c r="E30" s="30"/>
      <c r="F30" s="30"/>
      <c r="G30" s="31"/>
    </row>
    <row r="31" spans="1:10" ht="15.75" x14ac:dyDescent="0.25">
      <c r="A31" s="17" t="s">
        <v>96</v>
      </c>
      <c r="B31" s="32"/>
      <c r="C31" s="27" t="s">
        <v>28</v>
      </c>
      <c r="D31" s="100" t="s">
        <v>29</v>
      </c>
      <c r="E31" s="100"/>
      <c r="F31" s="27"/>
      <c r="G31" s="33"/>
    </row>
    <row r="32" spans="1:10" ht="15.75" x14ac:dyDescent="0.25">
      <c r="A32" s="56" t="s">
        <v>97</v>
      </c>
      <c r="B32" s="32"/>
      <c r="C32" s="27" t="s">
        <v>31</v>
      </c>
      <c r="D32" s="100" t="s">
        <v>32</v>
      </c>
      <c r="E32" s="102"/>
      <c r="F32" s="27"/>
      <c r="G32" s="33"/>
    </row>
    <row r="33" spans="1:7" ht="15.75" x14ac:dyDescent="0.25">
      <c r="A33" s="17"/>
      <c r="B33" s="86"/>
      <c r="C33" s="34"/>
      <c r="D33" s="34"/>
      <c r="E33" s="35">
        <v>84</v>
      </c>
      <c r="F33" s="36"/>
      <c r="G33" s="37">
        <f>F33*E33</f>
        <v>0</v>
      </c>
    </row>
    <row r="34" spans="1:7" ht="15.75" x14ac:dyDescent="0.25">
      <c r="A34" s="95" t="s">
        <v>33</v>
      </c>
      <c r="B34" s="40"/>
      <c r="C34" s="27"/>
      <c r="D34" s="27"/>
      <c r="E34" s="27"/>
      <c r="F34" s="90" t="s">
        <v>18</v>
      </c>
      <c r="G34" s="89">
        <f>SUM(G28:G33)</f>
        <v>0</v>
      </c>
    </row>
    <row r="35" spans="1:7" x14ac:dyDescent="0.25">
      <c r="A35" s="96"/>
    </row>
    <row r="36" spans="1:7" ht="15.75" x14ac:dyDescent="0.25">
      <c r="A36" s="2"/>
    </row>
    <row r="37" spans="1:7" ht="15.75" x14ac:dyDescent="0.25">
      <c r="A37" s="2"/>
      <c r="B37" s="46"/>
      <c r="C37" s="27"/>
      <c r="D37" s="27"/>
      <c r="E37" s="27"/>
      <c r="F37" s="38"/>
      <c r="G37" s="42"/>
    </row>
    <row r="38" spans="1:7" ht="15.75" x14ac:dyDescent="0.25">
      <c r="A38" s="4" t="s">
        <v>34</v>
      </c>
      <c r="B38" s="29"/>
      <c r="C38" s="30" t="s">
        <v>95</v>
      </c>
      <c r="D38" s="30"/>
      <c r="E38" s="30"/>
      <c r="F38" s="30"/>
      <c r="G38" s="31"/>
    </row>
    <row r="39" spans="1:7" ht="15.75" x14ac:dyDescent="0.25">
      <c r="A39" s="20" t="s">
        <v>35</v>
      </c>
      <c r="B39" s="32"/>
      <c r="C39" s="27"/>
      <c r="D39" s="100" t="s">
        <v>9</v>
      </c>
      <c r="E39" s="100"/>
      <c r="F39" s="27"/>
      <c r="G39" s="33"/>
    </row>
    <row r="40" spans="1:7" ht="15.75" x14ac:dyDescent="0.25">
      <c r="A40" s="17" t="s">
        <v>10</v>
      </c>
      <c r="B40" s="32"/>
      <c r="C40" s="27"/>
      <c r="D40" s="100" t="s">
        <v>11</v>
      </c>
      <c r="E40" s="102"/>
      <c r="F40" s="27"/>
      <c r="G40" s="33"/>
    </row>
    <row r="41" spans="1:7" ht="16.5" thickBot="1" x14ac:dyDescent="0.3">
      <c r="A41" s="17" t="s">
        <v>12</v>
      </c>
      <c r="B41" s="18"/>
      <c r="C41" s="13"/>
      <c r="D41" s="34"/>
      <c r="E41" s="63">
        <v>8000</v>
      </c>
      <c r="F41" s="36"/>
      <c r="G41" s="37">
        <f>F41*E41</f>
        <v>0</v>
      </c>
    </row>
    <row r="42" spans="1:7" ht="16.5" thickBot="1" x14ac:dyDescent="0.3">
      <c r="A42" s="17" t="s">
        <v>13</v>
      </c>
      <c r="B42" s="17"/>
      <c r="C42" s="27"/>
      <c r="D42" s="27"/>
      <c r="E42" s="27"/>
      <c r="F42" s="38"/>
      <c r="G42" s="42"/>
    </row>
    <row r="43" spans="1:7" ht="15.75" x14ac:dyDescent="0.25">
      <c r="A43" s="17" t="s">
        <v>91</v>
      </c>
      <c r="B43" s="29"/>
      <c r="C43" s="30" t="s">
        <v>36</v>
      </c>
      <c r="D43" s="30"/>
      <c r="E43" s="30"/>
      <c r="F43" s="47"/>
      <c r="G43" s="48"/>
    </row>
    <row r="44" spans="1:7" ht="15.75" x14ac:dyDescent="0.25">
      <c r="A44" s="17" t="s">
        <v>92</v>
      </c>
      <c r="B44" s="32"/>
      <c r="C44" s="27"/>
      <c r="D44" s="100" t="s">
        <v>9</v>
      </c>
      <c r="E44" s="100"/>
      <c r="F44" s="27"/>
      <c r="G44" s="33"/>
    </row>
    <row r="45" spans="1:7" ht="15.75" x14ac:dyDescent="0.25">
      <c r="A45" s="55" t="s">
        <v>93</v>
      </c>
      <c r="B45" s="32"/>
      <c r="C45" s="27"/>
      <c r="D45" s="100" t="s">
        <v>37</v>
      </c>
      <c r="E45" s="102"/>
      <c r="F45" s="27"/>
      <c r="G45" s="33"/>
    </row>
    <row r="46" spans="1:7" ht="15.75" x14ac:dyDescent="0.25">
      <c r="A46" s="17"/>
      <c r="B46" s="86"/>
      <c r="C46" s="34"/>
      <c r="D46" s="34"/>
      <c r="E46" s="35">
        <v>3</v>
      </c>
      <c r="F46" s="36"/>
      <c r="G46" s="37">
        <f>F46*E46</f>
        <v>0</v>
      </c>
    </row>
    <row r="47" spans="1:7" ht="15.75" x14ac:dyDescent="0.25">
      <c r="A47" s="95" t="s">
        <v>38</v>
      </c>
      <c r="B47" s="40"/>
      <c r="C47" s="27"/>
      <c r="D47" s="27"/>
      <c r="E47" s="27"/>
      <c r="F47" s="26" t="s">
        <v>18</v>
      </c>
      <c r="G47" s="43">
        <f>SUM(G41,G46)</f>
        <v>0</v>
      </c>
    </row>
    <row r="48" spans="1:7" ht="15.75" x14ac:dyDescent="0.25">
      <c r="A48" s="96"/>
      <c r="B48" s="40"/>
      <c r="D48" s="27"/>
      <c r="E48" s="27"/>
      <c r="F48" s="27"/>
      <c r="G48" s="27"/>
    </row>
    <row r="49" spans="1:9" ht="15.75" x14ac:dyDescent="0.25">
      <c r="A49" s="2"/>
      <c r="B49" s="40"/>
      <c r="C49" s="27"/>
      <c r="D49" s="103"/>
      <c r="E49" s="103"/>
      <c r="F49" s="27"/>
      <c r="G49" s="27"/>
      <c r="H49" s="23"/>
      <c r="I49" s="23"/>
    </row>
    <row r="50" spans="1:9" ht="15.6" customHeight="1" x14ac:dyDescent="0.25">
      <c r="A50" s="97" t="s">
        <v>39</v>
      </c>
      <c r="B50" s="40"/>
      <c r="C50" s="27"/>
      <c r="D50" s="103"/>
      <c r="E50" s="103"/>
      <c r="F50" s="27"/>
      <c r="G50" s="27"/>
      <c r="H50" s="23"/>
      <c r="I50" s="23"/>
    </row>
    <row r="51" spans="1:9" ht="15.75" x14ac:dyDescent="0.25">
      <c r="A51" s="97"/>
      <c r="B51" s="40"/>
      <c r="C51" s="27"/>
      <c r="D51" s="27"/>
      <c r="E51" s="27"/>
      <c r="F51" s="38"/>
      <c r="G51" s="38"/>
      <c r="H51" s="23"/>
      <c r="I51" s="23"/>
    </row>
    <row r="52" spans="1:9" ht="15.75" x14ac:dyDescent="0.25">
      <c r="A52" s="97"/>
      <c r="B52" s="40"/>
      <c r="C52" s="27"/>
      <c r="D52" s="27"/>
      <c r="E52" s="27"/>
      <c r="F52" s="38"/>
      <c r="G52" s="38"/>
    </row>
    <row r="53" spans="1:9" ht="15.75" x14ac:dyDescent="0.25">
      <c r="A53" s="98"/>
      <c r="B53" s="93"/>
      <c r="C53" s="92"/>
      <c r="D53" s="2"/>
      <c r="E53" s="2"/>
      <c r="F53" s="2"/>
      <c r="G53" s="2"/>
    </row>
    <row r="54" spans="1:9" ht="15.75" x14ac:dyDescent="0.25">
      <c r="A54" s="2"/>
      <c r="B54" s="94"/>
      <c r="C54" s="27"/>
      <c r="D54" s="101"/>
      <c r="E54" s="101"/>
      <c r="F54" s="2"/>
      <c r="G54" s="2"/>
    </row>
    <row r="55" spans="1:9" ht="16.5" thickBot="1" x14ac:dyDescent="0.3">
      <c r="A55" s="2"/>
      <c r="B55" s="40"/>
      <c r="C55" s="27"/>
      <c r="D55" s="27"/>
      <c r="E55" s="2"/>
      <c r="F55" s="8"/>
      <c r="G55" s="8"/>
    </row>
    <row r="56" spans="1:9" ht="15.75" x14ac:dyDescent="0.25">
      <c r="A56" s="4" t="s">
        <v>40</v>
      </c>
      <c r="B56" s="22" t="s">
        <v>41</v>
      </c>
      <c r="C56" s="30" t="s">
        <v>7</v>
      </c>
      <c r="D56" s="30"/>
      <c r="E56" s="30"/>
      <c r="F56" s="30"/>
      <c r="G56" s="31"/>
    </row>
    <row r="57" spans="1:9" ht="15.75" x14ac:dyDescent="0.25">
      <c r="A57" s="20" t="s">
        <v>42</v>
      </c>
      <c r="B57" s="32"/>
      <c r="C57" s="27"/>
      <c r="D57" s="100" t="s">
        <v>9</v>
      </c>
      <c r="E57" s="100"/>
      <c r="F57" s="27"/>
      <c r="G57" s="33"/>
    </row>
    <row r="58" spans="1:9" ht="15.75" x14ac:dyDescent="0.25">
      <c r="A58" s="17" t="s">
        <v>10</v>
      </c>
      <c r="B58" s="32"/>
      <c r="C58" s="27"/>
      <c r="D58" s="100" t="s">
        <v>11</v>
      </c>
      <c r="E58" s="102"/>
      <c r="F58" s="27"/>
      <c r="G58" s="33"/>
    </row>
    <row r="59" spans="1:9" ht="15.75" x14ac:dyDescent="0.25">
      <c r="A59" s="17" t="s">
        <v>12</v>
      </c>
      <c r="B59" s="41"/>
      <c r="C59" s="13"/>
      <c r="D59" s="34"/>
      <c r="E59" s="63">
        <v>1500</v>
      </c>
      <c r="F59" s="36"/>
      <c r="G59" s="37">
        <f>F59*E59</f>
        <v>0</v>
      </c>
    </row>
    <row r="60" spans="1:9" ht="15.75" x14ac:dyDescent="0.25">
      <c r="A60" s="17" t="s">
        <v>13</v>
      </c>
      <c r="B60" s="51"/>
      <c r="C60" s="27"/>
      <c r="D60" s="50"/>
      <c r="E60" s="50"/>
      <c r="F60" s="26" t="s">
        <v>18</v>
      </c>
      <c r="G60" s="43">
        <f>SUM(G59)</f>
        <v>0</v>
      </c>
    </row>
    <row r="61" spans="1:9" ht="15.75" x14ac:dyDescent="0.25">
      <c r="A61" s="17" t="s">
        <v>14</v>
      </c>
      <c r="B61" s="40"/>
      <c r="C61" s="27"/>
      <c r="D61" s="50"/>
      <c r="E61" s="50"/>
      <c r="F61" s="38"/>
      <c r="G61" s="42"/>
    </row>
    <row r="62" spans="1:9" ht="15.75" x14ac:dyDescent="0.25">
      <c r="A62" s="17" t="s">
        <v>15</v>
      </c>
      <c r="B62" s="17"/>
      <c r="C62" s="92"/>
      <c r="D62" s="50"/>
      <c r="E62" s="50"/>
      <c r="F62" s="27"/>
      <c r="G62" s="27"/>
    </row>
    <row r="63" spans="1:9" ht="15.75" x14ac:dyDescent="0.25">
      <c r="A63" s="55" t="s">
        <v>16</v>
      </c>
      <c r="B63" s="40"/>
      <c r="C63" s="27"/>
      <c r="D63" s="101"/>
      <c r="E63" s="101"/>
      <c r="F63" s="27"/>
      <c r="G63" s="27"/>
    </row>
    <row r="64" spans="1:9" ht="15.75" x14ac:dyDescent="0.25">
      <c r="A64" s="17"/>
      <c r="B64" s="40"/>
      <c r="C64" s="27"/>
      <c r="D64" s="101"/>
      <c r="E64" s="101"/>
      <c r="F64" s="27"/>
      <c r="G64" s="27"/>
    </row>
    <row r="65" spans="1:7" ht="16.149999999999999" customHeight="1" x14ac:dyDescent="0.25">
      <c r="A65" s="95" t="s">
        <v>43</v>
      </c>
      <c r="B65" s="40"/>
      <c r="C65" s="27"/>
      <c r="D65" s="50"/>
      <c r="E65" s="50"/>
      <c r="F65" s="38"/>
      <c r="G65" s="38"/>
    </row>
    <row r="66" spans="1:7" ht="15.75" x14ac:dyDescent="0.25">
      <c r="A66" s="96"/>
      <c r="B66" s="40"/>
      <c r="C66" s="27"/>
      <c r="D66" s="50"/>
      <c r="E66" s="50"/>
    </row>
    <row r="67" spans="1:7" ht="15.75" x14ac:dyDescent="0.25">
      <c r="A67" s="2"/>
      <c r="B67" s="21"/>
      <c r="C67" s="2"/>
      <c r="D67" s="2"/>
      <c r="E67" s="2"/>
      <c r="F67"/>
      <c r="G67"/>
    </row>
    <row r="68" spans="1:7" ht="16.149999999999999" customHeight="1" x14ac:dyDescent="0.25">
      <c r="A68" s="97" t="s">
        <v>44</v>
      </c>
      <c r="B68" s="21"/>
      <c r="C68" s="2"/>
      <c r="D68" s="2"/>
      <c r="E68" s="2"/>
      <c r="F68" s="52"/>
      <c r="G68" s="53"/>
    </row>
    <row r="69" spans="1:7" ht="15.75" x14ac:dyDescent="0.25">
      <c r="A69" s="97"/>
      <c r="B69" s="21"/>
      <c r="C69" s="2"/>
      <c r="D69" s="2"/>
      <c r="E69" s="2"/>
      <c r="F69" s="52"/>
      <c r="G69" s="53"/>
    </row>
    <row r="70" spans="1:7" ht="15.75" x14ac:dyDescent="0.25">
      <c r="A70" s="97"/>
      <c r="B70" s="21"/>
      <c r="C70" s="2"/>
      <c r="D70" s="2"/>
      <c r="E70" s="2"/>
      <c r="F70" s="52"/>
      <c r="G70" s="53"/>
    </row>
    <row r="71" spans="1:7" ht="15.75" x14ac:dyDescent="0.25">
      <c r="A71" s="98"/>
      <c r="B71" s="21"/>
      <c r="C71" s="2"/>
      <c r="D71" s="2"/>
      <c r="E71" s="2"/>
      <c r="F71" s="52"/>
      <c r="G71" s="53"/>
    </row>
    <row r="72" spans="1:7" ht="15.75" x14ac:dyDescent="0.25">
      <c r="A72" s="62"/>
      <c r="B72" s="40"/>
      <c r="C72" s="27"/>
      <c r="D72" s="27"/>
      <c r="E72" s="2"/>
      <c r="F72" s="8"/>
      <c r="G72" s="8"/>
    </row>
    <row r="73" spans="1:7" ht="15.75" x14ac:dyDescent="0.25">
      <c r="A73" s="54"/>
      <c r="B73" s="16"/>
      <c r="C73" s="2"/>
      <c r="D73" s="2"/>
      <c r="E73" s="2"/>
      <c r="F73" s="8"/>
      <c r="G73" s="8"/>
    </row>
    <row r="74" spans="1:7" ht="16.5" thickBot="1" x14ac:dyDescent="0.3">
      <c r="A74" s="2"/>
      <c r="B74" s="20"/>
      <c r="C74" s="2"/>
      <c r="D74" s="2"/>
      <c r="E74" s="2"/>
      <c r="F74" s="8"/>
      <c r="G74" s="8"/>
    </row>
    <row r="75" spans="1:7" ht="15.75" x14ac:dyDescent="0.25">
      <c r="A75" s="54" t="s">
        <v>45</v>
      </c>
      <c r="B75" s="22"/>
      <c r="C75" s="30" t="s">
        <v>7</v>
      </c>
      <c r="D75" s="30"/>
      <c r="E75" s="30"/>
      <c r="F75" s="30"/>
      <c r="G75" s="31"/>
    </row>
    <row r="76" spans="1:7" ht="15.75" x14ac:dyDescent="0.25">
      <c r="A76" s="20" t="s">
        <v>46</v>
      </c>
      <c r="B76" s="32"/>
      <c r="C76" s="27"/>
      <c r="D76" s="106" t="s">
        <v>9</v>
      </c>
      <c r="E76" s="107"/>
      <c r="F76" s="27"/>
      <c r="G76" s="33"/>
    </row>
    <row r="77" spans="1:7" ht="15.75" x14ac:dyDescent="0.25">
      <c r="A77" s="3" t="s">
        <v>47</v>
      </c>
      <c r="B77" s="32"/>
      <c r="C77" s="27"/>
      <c r="D77" s="106" t="s">
        <v>11</v>
      </c>
      <c r="E77" s="107"/>
      <c r="F77" s="27"/>
      <c r="G77" s="33"/>
    </row>
    <row r="78" spans="1:7" ht="16.5" thickBot="1" x14ac:dyDescent="0.3">
      <c r="A78" s="3" t="s">
        <v>48</v>
      </c>
      <c r="B78" s="41"/>
      <c r="C78" s="34"/>
      <c r="D78" s="49"/>
      <c r="E78" s="59"/>
      <c r="F78" s="36"/>
      <c r="G78" s="37">
        <f>F78*E78</f>
        <v>0</v>
      </c>
    </row>
    <row r="79" spans="1:7" ht="16.5" thickBot="1" x14ac:dyDescent="0.3">
      <c r="A79" s="3" t="s">
        <v>49</v>
      </c>
      <c r="B79" s="51"/>
      <c r="C79" s="27"/>
      <c r="D79" s="50"/>
      <c r="E79" s="50"/>
      <c r="F79" s="26" t="s">
        <v>18</v>
      </c>
      <c r="G79" s="43">
        <f>SUM(G78)</f>
        <v>0</v>
      </c>
    </row>
    <row r="80" spans="1:7" ht="16.5" thickTop="1" x14ac:dyDescent="0.25">
      <c r="A80" s="3" t="s">
        <v>50</v>
      </c>
      <c r="B80" s="21"/>
      <c r="C80" s="2"/>
      <c r="D80" s="2"/>
      <c r="E80" s="2"/>
      <c r="F80"/>
      <c r="G80"/>
    </row>
    <row r="81" spans="1:7" ht="15.75" x14ac:dyDescent="0.25">
      <c r="A81" s="2" t="s">
        <v>51</v>
      </c>
      <c r="B81" s="17"/>
      <c r="C81" s="2"/>
      <c r="D81" s="2"/>
      <c r="E81" s="2"/>
      <c r="F81" s="8"/>
      <c r="G81" s="8"/>
    </row>
    <row r="82" spans="1:7" ht="15.75" customHeight="1" x14ac:dyDescent="0.25">
      <c r="A82" s="58" t="s">
        <v>52</v>
      </c>
      <c r="B82" s="17"/>
      <c r="C82" s="2"/>
      <c r="D82" s="2"/>
      <c r="E82" s="2"/>
      <c r="F82" s="8"/>
      <c r="G82" s="8"/>
    </row>
    <row r="83" spans="1:7" ht="15.75" x14ac:dyDescent="0.25">
      <c r="A83" s="58"/>
      <c r="B83" s="17"/>
      <c r="C83" s="2"/>
      <c r="D83" s="2"/>
      <c r="E83" s="2"/>
      <c r="F83" s="52"/>
      <c r="G83" s="53"/>
    </row>
    <row r="84" spans="1:7" ht="15.75" x14ac:dyDescent="0.25">
      <c r="A84" s="20" t="s">
        <v>53</v>
      </c>
      <c r="B84" s="17"/>
      <c r="C84" s="2"/>
      <c r="D84" s="2"/>
      <c r="E84" s="2"/>
      <c r="F84" s="8"/>
      <c r="G84" s="8"/>
    </row>
    <row r="85" spans="1:7" ht="15.75" x14ac:dyDescent="0.25">
      <c r="A85" s="17" t="s">
        <v>54</v>
      </c>
      <c r="B85" s="21"/>
      <c r="C85" s="3"/>
      <c r="D85" s="2"/>
      <c r="E85" s="2"/>
      <c r="F85" s="8"/>
      <c r="G85" s="9"/>
    </row>
    <row r="86" spans="1:7" ht="15.75" x14ac:dyDescent="0.25">
      <c r="A86" s="17"/>
      <c r="B86" s="21"/>
      <c r="C86" s="3"/>
      <c r="D86" s="2"/>
      <c r="E86" s="2"/>
      <c r="F86" s="8"/>
      <c r="G86" s="9"/>
    </row>
    <row r="87" spans="1:7" ht="15.75" x14ac:dyDescent="0.25">
      <c r="A87" s="2"/>
      <c r="B87" s="21"/>
      <c r="C87" s="2"/>
      <c r="D87" s="3"/>
      <c r="E87" s="2"/>
      <c r="F87" s="8"/>
      <c r="G87" s="10"/>
    </row>
    <row r="88" spans="1:7" ht="16.5" thickBot="1" x14ac:dyDescent="0.3">
      <c r="B88" s="16"/>
      <c r="C88" s="2"/>
      <c r="D88" s="5"/>
      <c r="E88" s="5"/>
      <c r="F88" s="9"/>
      <c r="G88" s="11"/>
    </row>
    <row r="89" spans="1:7" ht="15.75" x14ac:dyDescent="0.25">
      <c r="A89" s="54" t="s">
        <v>55</v>
      </c>
      <c r="B89" s="64"/>
      <c r="C89" s="65" t="s">
        <v>56</v>
      </c>
      <c r="D89" s="65"/>
      <c r="E89" s="65"/>
      <c r="F89" s="65"/>
      <c r="G89" s="66"/>
    </row>
    <row r="90" spans="1:7" ht="15.75" x14ac:dyDescent="0.25">
      <c r="A90" s="20" t="s">
        <v>57</v>
      </c>
      <c r="B90" s="67"/>
      <c r="D90" s="104" t="s">
        <v>58</v>
      </c>
      <c r="E90" s="105"/>
      <c r="F90"/>
      <c r="G90" s="83"/>
    </row>
    <row r="91" spans="1:7" ht="15.75" x14ac:dyDescent="0.25">
      <c r="A91" s="17" t="s">
        <v>59</v>
      </c>
      <c r="B91" s="67"/>
      <c r="D91" s="104" t="s">
        <v>60</v>
      </c>
      <c r="E91" s="105"/>
      <c r="F91"/>
      <c r="G91" s="83"/>
    </row>
    <row r="92" spans="1:7" ht="16.5" thickBot="1" x14ac:dyDescent="0.3">
      <c r="A92" s="17" t="s">
        <v>12</v>
      </c>
      <c r="B92" s="72"/>
      <c r="C92" s="68"/>
      <c r="D92" s="68"/>
      <c r="E92" s="69">
        <v>1</v>
      </c>
      <c r="F92" s="70"/>
      <c r="G92" s="71">
        <f>F92*E92</f>
        <v>0</v>
      </c>
    </row>
    <row r="93" spans="1:7" ht="15.75" x14ac:dyDescent="0.25">
      <c r="A93" s="17" t="s">
        <v>13</v>
      </c>
      <c r="B93" s="64"/>
      <c r="C93" s="65" t="s">
        <v>61</v>
      </c>
      <c r="D93" s="65"/>
      <c r="E93" s="65"/>
      <c r="F93" s="65"/>
      <c r="G93" s="66"/>
    </row>
    <row r="94" spans="1:7" ht="15.75" x14ac:dyDescent="0.25">
      <c r="A94" s="17" t="s">
        <v>14</v>
      </c>
      <c r="B94" s="67"/>
      <c r="D94" s="99" t="s">
        <v>62</v>
      </c>
      <c r="E94" s="99"/>
      <c r="F94"/>
      <c r="G94" s="83"/>
    </row>
    <row r="95" spans="1:7" ht="15.75" x14ac:dyDescent="0.25">
      <c r="A95" s="17" t="s">
        <v>63</v>
      </c>
      <c r="B95" s="67"/>
      <c r="D95" s="99" t="s">
        <v>99</v>
      </c>
      <c r="E95" s="99"/>
      <c r="F95"/>
      <c r="G95" s="83"/>
    </row>
    <row r="96" spans="1:7" ht="16.5" thickBot="1" x14ac:dyDescent="0.3">
      <c r="A96" s="56" t="s">
        <v>30</v>
      </c>
      <c r="B96" s="72"/>
      <c r="C96" s="68"/>
      <c r="D96" s="68"/>
      <c r="E96" s="69">
        <v>1</v>
      </c>
      <c r="F96" s="70"/>
      <c r="G96" s="71">
        <f>F96*E96</f>
        <v>0</v>
      </c>
    </row>
    <row r="97" spans="1:7" ht="15.75" x14ac:dyDescent="0.25">
      <c r="A97" s="17"/>
      <c r="B97" s="64"/>
      <c r="C97" s="65" t="s">
        <v>61</v>
      </c>
      <c r="D97" s="65"/>
      <c r="E97" s="65"/>
      <c r="F97" s="65"/>
      <c r="G97" s="66"/>
    </row>
    <row r="98" spans="1:7" ht="15" customHeight="1" x14ac:dyDescent="0.25">
      <c r="A98" s="109" t="s">
        <v>53</v>
      </c>
      <c r="B98" s="67"/>
      <c r="D98" s="99" t="s">
        <v>64</v>
      </c>
      <c r="E98" s="99"/>
      <c r="F98"/>
      <c r="G98" s="83"/>
    </row>
    <row r="99" spans="1:7" ht="14.45" customHeight="1" x14ac:dyDescent="0.25">
      <c r="A99" s="110"/>
      <c r="B99" s="67"/>
      <c r="D99" s="99" t="s">
        <v>100</v>
      </c>
      <c r="E99" s="99"/>
      <c r="F99"/>
      <c r="G99" s="83"/>
    </row>
    <row r="100" spans="1:7" ht="15.75" thickBot="1" x14ac:dyDescent="0.3">
      <c r="A100" s="111"/>
      <c r="B100" s="72"/>
      <c r="C100" s="68"/>
      <c r="D100" s="68"/>
      <c r="E100" s="69">
        <v>1</v>
      </c>
      <c r="F100" s="70"/>
      <c r="G100" s="71">
        <f>F100*E100</f>
        <v>0</v>
      </c>
    </row>
    <row r="101" spans="1:7" x14ac:dyDescent="0.25">
      <c r="B101" s="64"/>
      <c r="C101" s="65" t="s">
        <v>61</v>
      </c>
      <c r="D101" s="65"/>
      <c r="E101" s="65"/>
      <c r="F101" s="65"/>
      <c r="G101" s="66"/>
    </row>
    <row r="102" spans="1:7" x14ac:dyDescent="0.25">
      <c r="B102" s="67"/>
      <c r="D102" s="99" t="s">
        <v>65</v>
      </c>
      <c r="E102" s="99"/>
      <c r="F102"/>
      <c r="G102" s="83"/>
    </row>
    <row r="103" spans="1:7" x14ac:dyDescent="0.25">
      <c r="B103" s="67"/>
      <c r="D103" s="99" t="s">
        <v>66</v>
      </c>
      <c r="E103" s="99"/>
      <c r="F103"/>
      <c r="G103" s="83"/>
    </row>
    <row r="104" spans="1:7" ht="15.75" thickBot="1" x14ac:dyDescent="0.3">
      <c r="B104" s="72"/>
      <c r="C104" s="68"/>
      <c r="D104" s="68"/>
      <c r="E104" s="69">
        <v>1</v>
      </c>
      <c r="F104" s="70"/>
      <c r="G104" s="71">
        <f>F104*E104</f>
        <v>0</v>
      </c>
    </row>
    <row r="105" spans="1:7" x14ac:dyDescent="0.25">
      <c r="B105" s="64"/>
      <c r="C105" s="65" t="s">
        <v>61</v>
      </c>
      <c r="D105" s="65"/>
      <c r="E105" s="65"/>
      <c r="F105" s="65"/>
      <c r="G105" s="66"/>
    </row>
    <row r="106" spans="1:7" x14ac:dyDescent="0.25">
      <c r="B106" s="67"/>
      <c r="D106" s="99" t="s">
        <v>67</v>
      </c>
      <c r="E106" s="99"/>
      <c r="F106"/>
      <c r="G106" s="83"/>
    </row>
    <row r="107" spans="1:7" x14ac:dyDescent="0.25">
      <c r="B107" s="67"/>
      <c r="D107" s="99" t="s">
        <v>68</v>
      </c>
      <c r="E107" s="99"/>
      <c r="F107"/>
      <c r="G107" s="83"/>
    </row>
    <row r="108" spans="1:7" ht="15.75" thickBot="1" x14ac:dyDescent="0.3">
      <c r="B108" s="72"/>
      <c r="C108" s="68"/>
      <c r="D108" s="68"/>
      <c r="E108" s="69">
        <v>1</v>
      </c>
      <c r="F108" s="70"/>
      <c r="G108" s="71">
        <f>F108*E108</f>
        <v>0</v>
      </c>
    </row>
    <row r="109" spans="1:7" x14ac:dyDescent="0.25">
      <c r="B109" s="64"/>
      <c r="C109" s="65" t="s">
        <v>61</v>
      </c>
      <c r="D109" s="65"/>
      <c r="E109" s="65"/>
      <c r="F109" s="65"/>
      <c r="G109" s="66"/>
    </row>
    <row r="110" spans="1:7" x14ac:dyDescent="0.25">
      <c r="B110" s="67"/>
      <c r="D110" s="99" t="s">
        <v>69</v>
      </c>
      <c r="E110" s="99"/>
      <c r="F110"/>
      <c r="G110" s="83"/>
    </row>
    <row r="111" spans="1:7" x14ac:dyDescent="0.25">
      <c r="B111" s="67"/>
      <c r="D111" s="99" t="s">
        <v>70</v>
      </c>
      <c r="E111" s="99"/>
      <c r="F111"/>
      <c r="G111" s="83"/>
    </row>
    <row r="112" spans="1:7" ht="15.75" thickBot="1" x14ac:dyDescent="0.3">
      <c r="B112" s="72"/>
      <c r="C112" s="68"/>
      <c r="D112" s="68"/>
      <c r="E112" s="69">
        <v>1</v>
      </c>
      <c r="F112" s="70"/>
      <c r="G112" s="71">
        <f>F112*E112</f>
        <v>0</v>
      </c>
    </row>
    <row r="113" spans="2:7" x14ac:dyDescent="0.25">
      <c r="B113" s="64"/>
      <c r="C113" s="65" t="s">
        <v>61</v>
      </c>
      <c r="D113" s="65"/>
      <c r="E113" s="65"/>
      <c r="F113" s="65"/>
      <c r="G113" s="66"/>
    </row>
    <row r="114" spans="2:7" x14ac:dyDescent="0.25">
      <c r="B114" s="67"/>
      <c r="D114" s="99" t="s">
        <v>71</v>
      </c>
      <c r="E114" s="99"/>
      <c r="F114"/>
      <c r="G114" s="83"/>
    </row>
    <row r="115" spans="2:7" x14ac:dyDescent="0.25">
      <c r="B115" s="67"/>
      <c r="D115" s="99" t="s">
        <v>72</v>
      </c>
      <c r="E115" s="99"/>
      <c r="F115"/>
      <c r="G115" s="83"/>
    </row>
    <row r="116" spans="2:7" ht="15.75" thickBot="1" x14ac:dyDescent="0.3">
      <c r="B116" s="72"/>
      <c r="C116" s="68"/>
      <c r="D116" s="68"/>
      <c r="E116" s="69">
        <v>12</v>
      </c>
      <c r="F116" s="70"/>
      <c r="G116" s="71">
        <f>F116*E116</f>
        <v>0</v>
      </c>
    </row>
    <row r="117" spans="2:7" ht="15.75" thickBot="1" x14ac:dyDescent="0.3">
      <c r="F117"/>
      <c r="G117"/>
    </row>
    <row r="118" spans="2:7" x14ac:dyDescent="0.25">
      <c r="B118" s="64"/>
      <c r="C118" s="65" t="s">
        <v>73</v>
      </c>
      <c r="D118" s="65"/>
      <c r="E118" s="65"/>
      <c r="F118" s="65"/>
      <c r="G118" s="66"/>
    </row>
    <row r="119" spans="2:7" ht="15.75" x14ac:dyDescent="0.25">
      <c r="B119" s="19"/>
      <c r="D119" t="s">
        <v>74</v>
      </c>
      <c r="F119"/>
      <c r="G119" s="83"/>
    </row>
    <row r="120" spans="2:7" ht="15.75" x14ac:dyDescent="0.25">
      <c r="B120" s="19"/>
      <c r="E120" s="73" t="s">
        <v>75</v>
      </c>
      <c r="F120" s="73" t="s">
        <v>76</v>
      </c>
      <c r="G120" s="83"/>
    </row>
    <row r="121" spans="2:7" ht="15.75" thickBot="1" x14ac:dyDescent="0.3">
      <c r="B121" s="72"/>
      <c r="C121" s="68"/>
      <c r="D121" s="68"/>
      <c r="E121" s="74">
        <v>5</v>
      </c>
      <c r="F121" s="70"/>
      <c r="G121" s="71">
        <f>F121*E121</f>
        <v>0</v>
      </c>
    </row>
    <row r="122" spans="2:7" ht="15.75" thickBot="1" x14ac:dyDescent="0.3">
      <c r="F122"/>
      <c r="G122"/>
    </row>
    <row r="123" spans="2:7" x14ac:dyDescent="0.25">
      <c r="B123" s="64"/>
      <c r="C123" s="65" t="s">
        <v>77</v>
      </c>
      <c r="D123" s="65"/>
      <c r="E123" s="65"/>
      <c r="F123" s="65"/>
      <c r="G123" s="66"/>
    </row>
    <row r="124" spans="2:7" x14ac:dyDescent="0.25">
      <c r="B124" s="67"/>
      <c r="C124" s="75"/>
      <c r="D124" t="s">
        <v>78</v>
      </c>
      <c r="F124"/>
      <c r="G124" s="83"/>
    </row>
    <row r="125" spans="2:7" x14ac:dyDescent="0.25">
      <c r="B125" s="67"/>
      <c r="E125" s="73" t="s">
        <v>75</v>
      </c>
      <c r="F125" s="73" t="s">
        <v>76</v>
      </c>
      <c r="G125" s="83"/>
    </row>
    <row r="126" spans="2:7" ht="16.5" thickBot="1" x14ac:dyDescent="0.3">
      <c r="B126" s="18"/>
      <c r="C126" s="68"/>
      <c r="D126" s="68" t="s">
        <v>79</v>
      </c>
      <c r="E126" s="74">
        <v>50</v>
      </c>
      <c r="F126" s="70"/>
      <c r="G126" s="71">
        <f>F126*E126</f>
        <v>0</v>
      </c>
    </row>
    <row r="127" spans="2:7" ht="15.75" thickBot="1" x14ac:dyDescent="0.3">
      <c r="F127"/>
      <c r="G127"/>
    </row>
    <row r="128" spans="2:7" x14ac:dyDescent="0.25">
      <c r="B128" s="64"/>
      <c r="C128" s="65" t="s">
        <v>80</v>
      </c>
      <c r="D128" s="65"/>
      <c r="E128" s="65"/>
      <c r="F128" s="65"/>
      <c r="G128" s="66"/>
    </row>
    <row r="129" spans="1:7" x14ac:dyDescent="0.25">
      <c r="B129" s="67"/>
      <c r="D129" t="s">
        <v>81</v>
      </c>
      <c r="F129"/>
      <c r="G129" s="83"/>
    </row>
    <row r="130" spans="1:7" ht="15.75" thickBot="1" x14ac:dyDescent="0.3">
      <c r="B130" s="72"/>
      <c r="C130" s="68"/>
      <c r="D130" s="68"/>
      <c r="E130" s="68"/>
      <c r="F130" s="87"/>
      <c r="G130" s="112"/>
    </row>
    <row r="131" spans="1:7" ht="16.5" thickBot="1" x14ac:dyDescent="0.3">
      <c r="F131" s="88" t="s">
        <v>4</v>
      </c>
      <c r="G131" s="89">
        <f>SUM(G89:G130)</f>
        <v>0</v>
      </c>
    </row>
    <row r="133" spans="1:7" ht="15.75" x14ac:dyDescent="0.25">
      <c r="F133" s="80"/>
      <c r="G133" s="76"/>
    </row>
    <row r="134" spans="1:7" ht="15.75" x14ac:dyDescent="0.25">
      <c r="F134" s="80"/>
      <c r="G134" s="76"/>
    </row>
    <row r="135" spans="1:7" ht="15.75" x14ac:dyDescent="0.25">
      <c r="A135" s="54" t="s">
        <v>82</v>
      </c>
      <c r="B135" s="29"/>
      <c r="C135" s="65" t="s">
        <v>83</v>
      </c>
      <c r="D135" s="30"/>
      <c r="E135" s="30"/>
      <c r="F135" s="30"/>
      <c r="G135" s="31"/>
    </row>
    <row r="136" spans="1:7" ht="15.75" x14ac:dyDescent="0.25">
      <c r="A136" s="20" t="s">
        <v>57</v>
      </c>
      <c r="B136" s="32"/>
      <c r="C136" s="27"/>
      <c r="D136" s="99" t="s">
        <v>84</v>
      </c>
      <c r="E136" s="99"/>
      <c r="F136" s="27"/>
      <c r="G136" s="33"/>
    </row>
    <row r="137" spans="1:7" ht="15.75" x14ac:dyDescent="0.25">
      <c r="A137" s="17" t="s">
        <v>85</v>
      </c>
      <c r="B137" s="32"/>
      <c r="C137" s="27"/>
      <c r="D137" s="99" t="s">
        <v>86</v>
      </c>
      <c r="E137" s="99"/>
      <c r="F137" s="27"/>
      <c r="G137" s="33"/>
    </row>
    <row r="138" spans="1:7" ht="15.75" x14ac:dyDescent="0.25">
      <c r="A138" s="17" t="s">
        <v>12</v>
      </c>
      <c r="B138" s="41"/>
      <c r="C138" s="34"/>
      <c r="D138" s="34"/>
      <c r="E138" s="35">
        <v>2</v>
      </c>
      <c r="F138" s="36"/>
      <c r="G138" s="37">
        <f>F138*E138</f>
        <v>0</v>
      </c>
    </row>
    <row r="139" spans="1:7" ht="15.75" x14ac:dyDescent="0.25">
      <c r="A139" s="17" t="s">
        <v>13</v>
      </c>
      <c r="B139" s="40"/>
      <c r="C139" s="27"/>
      <c r="D139" s="27"/>
      <c r="E139" s="27"/>
      <c r="F139" s="38"/>
      <c r="G139" s="42"/>
    </row>
    <row r="140" spans="1:7" ht="15.75" x14ac:dyDescent="0.25">
      <c r="A140" s="17" t="s">
        <v>91</v>
      </c>
      <c r="B140" s="29"/>
      <c r="C140" s="65" t="s">
        <v>98</v>
      </c>
      <c r="D140" s="30"/>
      <c r="E140" s="30"/>
      <c r="F140" s="30"/>
      <c r="G140" s="31"/>
    </row>
    <row r="141" spans="1:7" ht="15.75" x14ac:dyDescent="0.25">
      <c r="A141" s="17" t="s">
        <v>92</v>
      </c>
      <c r="B141" s="32"/>
      <c r="C141" s="27"/>
      <c r="D141" s="99" t="s">
        <v>58</v>
      </c>
      <c r="E141" s="99"/>
      <c r="F141" s="27"/>
      <c r="G141" s="33"/>
    </row>
    <row r="142" spans="1:7" ht="15.75" x14ac:dyDescent="0.25">
      <c r="A142" t="s">
        <v>93</v>
      </c>
      <c r="B142" s="32"/>
      <c r="C142" s="27"/>
      <c r="D142" s="99" t="s">
        <v>87</v>
      </c>
      <c r="E142" s="99"/>
      <c r="F142" s="27"/>
      <c r="G142" s="33"/>
    </row>
    <row r="143" spans="1:7" ht="15.75" x14ac:dyDescent="0.25">
      <c r="A143" s="17"/>
      <c r="B143" s="86"/>
      <c r="C143" s="34"/>
      <c r="D143" s="34"/>
      <c r="E143" s="35">
        <v>2</v>
      </c>
      <c r="F143" s="36"/>
      <c r="G143" s="37">
        <f>F143*E143</f>
        <v>0</v>
      </c>
    </row>
    <row r="144" spans="1:7" ht="15.75" x14ac:dyDescent="0.25">
      <c r="A144" s="95" t="s">
        <v>88</v>
      </c>
      <c r="B144" s="40"/>
      <c r="C144" s="27"/>
      <c r="D144" s="27"/>
      <c r="E144" s="27"/>
      <c r="F144" s="91"/>
      <c r="G144" s="42"/>
    </row>
    <row r="145" spans="1:7" ht="15.75" x14ac:dyDescent="0.25">
      <c r="A145" s="96"/>
      <c r="B145" s="29"/>
      <c r="C145" s="30" t="s">
        <v>20</v>
      </c>
      <c r="D145" s="30"/>
      <c r="E145" s="30"/>
      <c r="F145" s="30"/>
      <c r="G145" s="31"/>
    </row>
    <row r="146" spans="1:7" ht="15.75" x14ac:dyDescent="0.25">
      <c r="A146" s="108"/>
      <c r="B146" s="32"/>
      <c r="C146" s="27" t="s">
        <v>22</v>
      </c>
      <c r="D146" s="100" t="s">
        <v>23</v>
      </c>
      <c r="E146" s="100"/>
      <c r="F146" s="27"/>
      <c r="G146" s="33"/>
    </row>
    <row r="147" spans="1:7" ht="15.75" x14ac:dyDescent="0.25">
      <c r="A147" s="17"/>
      <c r="B147" s="32"/>
      <c r="C147" s="27" t="s">
        <v>89</v>
      </c>
      <c r="D147" s="100" t="s">
        <v>26</v>
      </c>
      <c r="E147" s="102"/>
      <c r="F147" s="27"/>
      <c r="G147" s="33"/>
    </row>
    <row r="148" spans="1:7" ht="15.75" x14ac:dyDescent="0.25">
      <c r="A148" s="17"/>
      <c r="B148" s="41"/>
      <c r="C148" s="34"/>
      <c r="D148" s="34"/>
      <c r="E148" s="35">
        <v>1</v>
      </c>
      <c r="F148" s="36"/>
      <c r="G148" s="37">
        <f>F148*E148</f>
        <v>0</v>
      </c>
    </row>
    <row r="149" spans="1:7" ht="15.75" x14ac:dyDescent="0.25">
      <c r="F149" s="88" t="s">
        <v>4</v>
      </c>
      <c r="G149" s="89">
        <f>SUM(G135:G148)</f>
        <v>0</v>
      </c>
    </row>
    <row r="150" spans="1:7" x14ac:dyDescent="0.25">
      <c r="F150" s="84"/>
      <c r="G150" s="85"/>
    </row>
    <row r="151" spans="1:7" x14ac:dyDescent="0.25">
      <c r="F151" s="84"/>
      <c r="G151" s="85"/>
    </row>
    <row r="154" spans="1:7" x14ac:dyDescent="0.25">
      <c r="F154" s="82" t="s">
        <v>90</v>
      </c>
      <c r="G154" s="81">
        <f>G131+G79+G60+G47+G34+G21+G149</f>
        <v>0</v>
      </c>
    </row>
  </sheetData>
  <mergeCells count="51">
    <mergeCell ref="A144:A146"/>
    <mergeCell ref="D146:E146"/>
    <mergeCell ref="D147:E147"/>
    <mergeCell ref="A98:A100"/>
    <mergeCell ref="D137:E137"/>
    <mergeCell ref="D110:E110"/>
    <mergeCell ref="D114:E114"/>
    <mergeCell ref="D136:E136"/>
    <mergeCell ref="D141:E141"/>
    <mergeCell ref="D142:E142"/>
    <mergeCell ref="D115:E115"/>
    <mergeCell ref="D19:E19"/>
    <mergeCell ref="D94:E94"/>
    <mergeCell ref="D98:E98"/>
    <mergeCell ref="D102:E102"/>
    <mergeCell ref="D76:E76"/>
    <mergeCell ref="D77:E77"/>
    <mergeCell ref="D90:E90"/>
    <mergeCell ref="D99:E99"/>
    <mergeCell ref="D8:E8"/>
    <mergeCell ref="D9:E9"/>
    <mergeCell ref="D13:E13"/>
    <mergeCell ref="D14:E14"/>
    <mergeCell ref="D18:E18"/>
    <mergeCell ref="A17:A20"/>
    <mergeCell ref="D63:E63"/>
    <mergeCell ref="D64:E64"/>
    <mergeCell ref="D58:E58"/>
    <mergeCell ref="D54:E54"/>
    <mergeCell ref="D57:E57"/>
    <mergeCell ref="A47:A48"/>
    <mergeCell ref="D50:E50"/>
    <mergeCell ref="D26:E26"/>
    <mergeCell ref="D27:E27"/>
    <mergeCell ref="D31:E31"/>
    <mergeCell ref="D32:E32"/>
    <mergeCell ref="A34:A35"/>
    <mergeCell ref="A50:A53"/>
    <mergeCell ref="D49:E49"/>
    <mergeCell ref="D45:E45"/>
    <mergeCell ref="A65:A66"/>
    <mergeCell ref="A68:A71"/>
    <mergeCell ref="D111:E111"/>
    <mergeCell ref="D39:E39"/>
    <mergeCell ref="D103:E103"/>
    <mergeCell ref="D106:E106"/>
    <mergeCell ref="D44:E44"/>
    <mergeCell ref="D91:E91"/>
    <mergeCell ref="D107:E107"/>
    <mergeCell ref="D95:E95"/>
    <mergeCell ref="D40:E40"/>
  </mergeCells>
  <hyperlinks>
    <hyperlink ref="A14" r:id="rId1" display="mailto:mmkinstry@usbr.gov" xr:uid="{8CF5BFD0-8EBC-469E-A672-08B3086B1777}"/>
    <hyperlink ref="A45" r:id="rId2" display="mailto:mmkinstry@usbr.gov" xr:uid="{96F30924-305C-4517-957A-2F5255C2E418}"/>
    <hyperlink ref="A32" r:id="rId3" display="mailto:mmkinstry@usbr.gov" xr:uid="{C269C8BA-837F-4A76-9404-5CCB179FC112}"/>
    <hyperlink ref="A63" r:id="rId4" display="mailto:mmkinstry@usbr.gov" xr:uid="{6753AE6F-DDC2-4FBE-BC66-FE04732686CD}"/>
    <hyperlink ref="A96" r:id="rId5" display="mailto:mmkinstry@usbr.gov" xr:uid="{6AAC18FE-787A-4067-A390-F9AE87FF79EA}"/>
    <hyperlink ref="A82" r:id="rId6" display="mailto:travis_francis@fws.gov" xr:uid="{E0115C12-89E1-47E1-8DAB-C4D92358BA7A}"/>
  </hyperlinks>
  <pageMargins left="0.7" right="0.7" top="0.75" bottom="0.75" header="0.3" footer="0.3"/>
  <pageSetup scale="26" fitToHeight="0"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10f9ac0-5937-4b4f-b459-96aedd9ed2c5" origin="userSelected">
  <element uid="9920fcc9-9f43-4d43-9e3e-b98a219cfd55" value=""/>
</sisl>
</file>

<file path=customXml/itemProps1.xml><?xml version="1.0" encoding="utf-8"?>
<ds:datastoreItem xmlns:ds="http://schemas.openxmlformats.org/officeDocument/2006/customXml" ds:itemID="{C816587E-FB24-4E4D-A7D8-5738F711C9DC}">
  <ds:schemaRefs>
    <ds:schemaRef ds:uri="http://www.w3.org/2001/XMLSchema"/>
    <ds:schemaRef ds:uri="http://www.boldonjames.com/2008/01/sie/internal/label"/>
  </ds:schemaRefs>
</ds:datastoreItem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B for Biomar</vt:lpstr>
    </vt:vector>
  </TitlesOfParts>
  <Manager/>
  <Company>Department of Interior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MMcKinstry</dc:creator>
  <cp:keywords/>
  <dc:description/>
  <cp:lastModifiedBy>Oaks, Russell D</cp:lastModifiedBy>
  <cp:revision/>
  <dcterms:created xsi:type="dcterms:W3CDTF">2016-07-11T23:23:32Z</dcterms:created>
  <dcterms:modified xsi:type="dcterms:W3CDTF">2026-01-23T15:58:50Z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c475cb2d-193c-4ad9-ac49-1c07db3fa139</vt:lpwstr>
  </property>
  <property fmtid="{D5CDD505-2E9C-101B-9397-08002B2CF9AE}" pid="3" name="bjSaver">
    <vt:lpwstr>L+KSWvVm1IszGS5jP/BabI5XSkcsX75o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policy="a10f9ac0-5937-4b4f-b459-96aedd9ed2c5" origin="userSelected" xmlns="http://www.boldonj</vt:lpwstr>
  </property>
  <property fmtid="{D5CDD505-2E9C-101B-9397-08002B2CF9AE}" pid="5" name="bjDocumentLabelXML-0">
    <vt:lpwstr>ames.com/2008/01/sie/internal/label"&gt;&lt;element uid="9920fcc9-9f43-4d43-9e3e-b98a219cfd55" value="" /&gt;&lt;/sisl&gt;</vt:lpwstr>
  </property>
  <property fmtid="{D5CDD505-2E9C-101B-9397-08002B2CF9AE}" pid="6" name="bjDocumentSecurityLabel">
    <vt:lpwstr>Not Classified</vt:lpwstr>
  </property>
</Properties>
</file>