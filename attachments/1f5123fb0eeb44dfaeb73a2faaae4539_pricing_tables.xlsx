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usdos.sharepoint.com/sites/quito/Internal/GSO_CONTRACTING/FY26_19EC7525R0001_Janitorial Services/"/>
    </mc:Choice>
  </mc:AlternateContent>
  <xr:revisionPtr revIDLastSave="206" documentId="13_ncr:1_{EB2EEABC-21A2-4956-A58B-58C991148A2E}" xr6:coauthVersionLast="47" xr6:coauthVersionMax="47" xr10:uidLastSave="{B6E1131A-5E6A-454A-B137-33FBE9D3D385}"/>
  <bookViews>
    <workbookView xWindow="21756" yWindow="1488" windowWidth="17580" windowHeight="12120" xr2:uid="{00000000-000D-0000-FFFF-FFFF00000000}"/>
  </bookViews>
  <sheets>
    <sheet name="Pricing Tabl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" i="1" l="1"/>
  <c r="G130" i="1"/>
  <c r="E130" i="1"/>
  <c r="G127" i="1"/>
  <c r="H127" i="1" s="1"/>
  <c r="E127" i="1"/>
  <c r="G124" i="1"/>
  <c r="E124" i="1"/>
  <c r="G121" i="1"/>
  <c r="H121" i="1" s="1"/>
  <c r="E121" i="1"/>
  <c r="G118" i="1"/>
  <c r="E118" i="1"/>
  <c r="G103" i="1"/>
  <c r="E103" i="1"/>
  <c r="G100" i="1"/>
  <c r="E100" i="1"/>
  <c r="G97" i="1"/>
  <c r="E97" i="1"/>
  <c r="G94" i="1"/>
  <c r="E94" i="1"/>
  <c r="G91" i="1"/>
  <c r="E91" i="1"/>
  <c r="G82" i="1"/>
  <c r="E82" i="1"/>
  <c r="G79" i="1"/>
  <c r="E79" i="1"/>
  <c r="G76" i="1"/>
  <c r="E76" i="1"/>
  <c r="G73" i="1"/>
  <c r="E73" i="1"/>
  <c r="G70" i="1"/>
  <c r="E70" i="1"/>
  <c r="G61" i="1"/>
  <c r="E61" i="1"/>
  <c r="G58" i="1"/>
  <c r="E58" i="1"/>
  <c r="G55" i="1"/>
  <c r="H55" i="1" s="1"/>
  <c r="E55" i="1"/>
  <c r="G52" i="1"/>
  <c r="E52" i="1"/>
  <c r="G49" i="1"/>
  <c r="E49" i="1"/>
  <c r="G40" i="1"/>
  <c r="E40" i="1"/>
  <c r="G37" i="1"/>
  <c r="E37" i="1"/>
  <c r="G34" i="1"/>
  <c r="E34" i="1"/>
  <c r="G31" i="1"/>
  <c r="H31" i="1" s="1"/>
  <c r="E31" i="1"/>
  <c r="G28" i="1"/>
  <c r="E28" i="1"/>
  <c r="G19" i="1"/>
  <c r="E19" i="1"/>
  <c r="G16" i="1"/>
  <c r="E16" i="1"/>
  <c r="G13" i="1"/>
  <c r="E13" i="1"/>
  <c r="G10" i="1"/>
  <c r="E10" i="1"/>
  <c r="G7" i="1"/>
  <c r="G21" i="1" s="1"/>
  <c r="C137" i="1" s="1"/>
  <c r="H130" i="1" l="1"/>
  <c r="H52" i="1"/>
  <c r="H97" i="1"/>
  <c r="H103" i="1"/>
  <c r="H76" i="1"/>
  <c r="H28" i="1"/>
  <c r="H124" i="1"/>
  <c r="H37" i="1"/>
  <c r="G132" i="1"/>
  <c r="C142" i="1" s="1"/>
  <c r="H79" i="1"/>
  <c r="H10" i="1"/>
  <c r="H34" i="1"/>
  <c r="H42" i="1" s="1"/>
  <c r="D138" i="1" s="1"/>
  <c r="H58" i="1"/>
  <c r="H82" i="1"/>
  <c r="H61" i="1"/>
  <c r="G84" i="1"/>
  <c r="C140" i="1" s="1"/>
  <c r="H94" i="1"/>
  <c r="H19" i="1"/>
  <c r="H49" i="1"/>
  <c r="H73" i="1"/>
  <c r="G105" i="1"/>
  <c r="C141" i="1" s="1"/>
  <c r="H16" i="1"/>
  <c r="H40" i="1"/>
  <c r="H100" i="1"/>
  <c r="H13" i="1"/>
  <c r="G42" i="1"/>
  <c r="C138" i="1" s="1"/>
  <c r="H7" i="1"/>
  <c r="H70" i="1"/>
  <c r="H91" i="1"/>
  <c r="G63" i="1"/>
  <c r="C139" i="1" s="1"/>
  <c r="H118" i="1"/>
  <c r="H132" i="1" s="1"/>
  <c r="D142" i="1" s="1"/>
  <c r="H21" i="1" l="1"/>
  <c r="D137" i="1" s="1"/>
  <c r="H105" i="1"/>
  <c r="D141" i="1" s="1"/>
  <c r="H63" i="1"/>
  <c r="D139" i="1" s="1"/>
  <c r="C143" i="1"/>
  <c r="H84" i="1"/>
  <c r="D140" i="1" s="1"/>
  <c r="D143" i="1" l="1"/>
</calcChain>
</file>

<file path=xl/sharedStrings.xml><?xml version="1.0" encoding="utf-8"?>
<sst xmlns="http://schemas.openxmlformats.org/spreadsheetml/2006/main" count="307" uniqueCount="55">
  <si>
    <t>1. CLIN 0001 Base Year Prices (Twelve Months)</t>
  </si>
  <si>
    <t>NAICS Code: 561720 -- Janitorial Services</t>
  </si>
  <si>
    <t>SubCLIN</t>
  </si>
  <si>
    <t>Description</t>
  </si>
  <si>
    <t>Price per Month</t>
  </si>
  <si>
    <t>VAT Tax (15%)</t>
  </si>
  <si>
    <t>Quantity of Months</t>
  </si>
  <si>
    <t>Price per Year without VAT 15%</t>
  </si>
  <si>
    <t>Price per Year Includes 15% VAT Tax</t>
  </si>
  <si>
    <t>SubCLIN A</t>
  </si>
  <si>
    <t>Standard Routine Services</t>
  </si>
  <si>
    <t>Price per service</t>
  </si>
  <si>
    <t>Quantity of services</t>
  </si>
  <si>
    <t>SubCLIN B</t>
  </si>
  <si>
    <t>Chancery building windows cleaning</t>
  </si>
  <si>
    <t>SubCLIN C</t>
  </si>
  <si>
    <t>Management and Safety</t>
  </si>
  <si>
    <t>Price per square meter</t>
  </si>
  <si>
    <t>Estimated number of Square Meters</t>
  </si>
  <si>
    <t>SubCLIN D</t>
  </si>
  <si>
    <t>Temporary Additional Services</t>
  </si>
  <si>
    <t>SubCLIN E</t>
  </si>
  <si>
    <t>Insurances and DBA</t>
  </si>
  <si>
    <t>CLIN 0001 Total</t>
  </si>
  <si>
    <t>2. CLIN 1001 Option Year One Prices (Option Term: Twelve Months)</t>
  </si>
  <si>
    <t>CLIN 1001 Total</t>
  </si>
  <si>
    <t>3. CLIN 2001 Option Year Two Prices (Option Term: Twelve Months)</t>
  </si>
  <si>
    <t>CLIN 2001 Total</t>
  </si>
  <si>
    <t>4. CLIN 3001 Option Year Three Prices (Option Term: Twelve Months)</t>
  </si>
  <si>
    <t>CLIN 3001 Total</t>
  </si>
  <si>
    <t>5. CLIN 4001 Option Year Four Prices (Option Term: Twelve Months)</t>
  </si>
  <si>
    <t>CLIN 4001 Total</t>
  </si>
  <si>
    <t>6. CLIN 5001 52.217-8 Option to Extend Services (6 Months)</t>
  </si>
  <si>
    <t>Price per 6 months without VAT 15%</t>
  </si>
  <si>
    <t>Price per 6 months Includes 15% VAT Tax</t>
  </si>
  <si>
    <t>CLIN 5001 Total</t>
  </si>
  <si>
    <t>Grand Total of Base and All Options</t>
  </si>
  <si>
    <t>Periods</t>
  </si>
  <si>
    <t>Price without VAT</t>
  </si>
  <si>
    <t>Price Includes VAT</t>
  </si>
  <si>
    <t>CLIN 0001</t>
  </si>
  <si>
    <t>CLIN 1001</t>
  </si>
  <si>
    <t>CLIN 2001</t>
  </si>
  <si>
    <t>CLIN 3001</t>
  </si>
  <si>
    <t>CLIN 4001</t>
  </si>
  <si>
    <t>CLIN 5001</t>
  </si>
  <si>
    <t>Grand Total</t>
  </si>
  <si>
    <t>PRICING TABLES</t>
  </si>
  <si>
    <r>
      <t>The firm fixed price for Base Year of the contract is:</t>
    </r>
    <r>
      <rPr>
        <sz val="10"/>
        <color theme="1"/>
        <rFont val="Times New Roman"/>
        <family val="1"/>
      </rPr>
      <t xml:space="preserve"> </t>
    </r>
  </si>
  <si>
    <r>
      <t xml:space="preserve">OFFERORS: </t>
    </r>
    <r>
      <rPr>
        <sz val="11"/>
        <color theme="1"/>
        <rFont val="Times New Roman"/>
        <family val="1"/>
      </rPr>
      <t>Offerors are encouraged to complete the following pricing table for price evaluation purposes and FAR Clause 52.217-8 Option to Extend Services for 6 months. The cost/price information provided will be used to evaluate the total price for all options (52.217-5) and the total price for the basic requirement ONLY. The price offered in the table below will not be included in the total contract award amount; however, if you choose not to provide any cost/price information for each Line Item below, your Price Proposal will be considered incomplete, labeled as failure to follow instructions, and no further consideration will be given</t>
    </r>
  </si>
  <si>
    <r>
      <t>The firm fixed price for Option Year One of the contract is:</t>
    </r>
    <r>
      <rPr>
        <sz val="10"/>
        <color theme="1"/>
        <rFont val="Times New Roman"/>
        <family val="1"/>
      </rPr>
      <t xml:space="preserve"> </t>
    </r>
  </si>
  <si>
    <r>
      <t>The firm fixed price for Option Year Two of the contract is:</t>
    </r>
    <r>
      <rPr>
        <sz val="10"/>
        <color theme="1"/>
        <rFont val="Times New Roman"/>
        <family val="1"/>
      </rPr>
      <t xml:space="preserve"> </t>
    </r>
  </si>
  <si>
    <r>
      <t>The firm fixed price for Option Year Three of the contract is:</t>
    </r>
    <r>
      <rPr>
        <sz val="10"/>
        <color theme="1"/>
        <rFont val="Times New Roman"/>
        <family val="1"/>
      </rPr>
      <t xml:space="preserve"> </t>
    </r>
  </si>
  <si>
    <r>
      <t>The firm fixed price for Option Year Four of the contract is:</t>
    </r>
    <r>
      <rPr>
        <sz val="10"/>
        <color theme="1"/>
        <rFont val="Times New Roman"/>
        <family val="1"/>
      </rPr>
      <t xml:space="preserve"> </t>
    </r>
  </si>
  <si>
    <r>
      <t>The firm fixed price for 52.217-8 Option to Extend Services (6 Months) of the contract is:</t>
    </r>
    <r>
      <rPr>
        <sz val="10"/>
        <color theme="1"/>
        <rFont val="Times New Roman"/>
        <family val="1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</si>
</sst>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;\(\$#,##0.00\);\-"/>
  </numFmts>
  <fonts count="11" x14ac:knownFonts="1">
    <font>
      <sz val="11"/>
      <color theme="1"/>
      <name val="Calibri"/>
      <family val="2"/>
      <scheme val="minor"/>
    </font>
    <font>
      <b/>
      <sz val="12"/>
      <name val="Calibri"/>
      <family val="2"/>
    </font>
    <font>
      <i/>
      <sz val="11"/>
      <name val="Calibri"/>
      <family val="2"/>
    </font>
    <font>
      <b/>
      <sz val="11"/>
      <color rgb="FFFFFFFF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3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164" fontId="0" fillId="0" borderId="1" xfId="0" applyNumberForma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164" fontId="4" fillId="0" borderId="1" xfId="0" applyNumberFormat="1" applyFont="1" applyBorder="1" applyAlignment="1">
      <alignment horizontal="center" vertical="center" wrapText="1"/>
    </xf>
    <xf numFmtId="0" fontId="0" fillId="0" borderId="1" xfId="0" applyBorder="1"/>
    <xf numFmtId="164" fontId="0" fillId="0" borderId="1" xfId="0" applyNumberFormat="1" applyBorder="1"/>
    <xf numFmtId="0" fontId="4" fillId="0" borderId="1" xfId="0" applyFont="1" applyBorder="1"/>
    <xf numFmtId="164" fontId="4" fillId="0" borderId="1" xfId="0" applyNumberFormat="1" applyFont="1" applyBorder="1"/>
    <xf numFmtId="164" fontId="0" fillId="0" borderId="1" xfId="0" applyNumberFormat="1" applyBorder="1" applyAlignment="1" applyProtection="1">
      <alignment horizontal="center" vertical="center" wrapText="1"/>
      <protection locked="0"/>
    </xf>
    <xf numFmtId="0" fontId="7" fillId="0" borderId="0" xfId="0" applyFont="1"/>
    <xf numFmtId="3" fontId="0" fillId="0" borderId="1" xfId="0" applyNumberFormat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/>
    <xf numFmtId="0" fontId="2" fillId="0" borderId="0" xfId="0" applyFont="1" applyAlignment="1">
      <alignment horizontal="left" vertical="center" wrapText="1"/>
    </xf>
    <xf numFmtId="0" fontId="6" fillId="0" borderId="2" xfId="0" applyFont="1" applyBorder="1" applyAlignment="1">
      <alignment horizontal="center"/>
    </xf>
    <xf numFmtId="0" fontId="9" fillId="0" borderId="2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143"/>
  <sheetViews>
    <sheetView tabSelected="1" workbookViewId="0">
      <selection activeCell="J9" sqref="J9"/>
    </sheetView>
  </sheetViews>
  <sheetFormatPr defaultRowHeight="14.4" x14ac:dyDescent="0.3"/>
  <cols>
    <col min="1" max="1" width="3" customWidth="1"/>
    <col min="2" max="2" width="14.109375" bestFit="1" customWidth="1"/>
    <col min="3" max="3" width="30.5546875" bestFit="1" customWidth="1"/>
    <col min="4" max="4" width="16.5546875" bestFit="1" customWidth="1"/>
    <col min="5" max="5" width="13.109375" bestFit="1" customWidth="1"/>
    <col min="6" max="6" width="13.33203125" bestFit="1" customWidth="1"/>
    <col min="7" max="7" width="19" customWidth="1"/>
    <col min="8" max="8" width="20.109375" bestFit="1" customWidth="1"/>
  </cols>
  <sheetData>
    <row r="1" spans="2:8" x14ac:dyDescent="0.3">
      <c r="B1" s="17" t="s">
        <v>47</v>
      </c>
      <c r="C1" s="17"/>
      <c r="D1" s="17"/>
      <c r="E1" s="17"/>
      <c r="F1" s="17"/>
      <c r="G1" s="17"/>
      <c r="H1" s="17"/>
    </row>
    <row r="3" spans="2:8" x14ac:dyDescent="0.3">
      <c r="B3" s="14" t="s">
        <v>0</v>
      </c>
      <c r="C3" s="15"/>
      <c r="D3" s="15"/>
      <c r="E3" s="15"/>
      <c r="F3" s="15"/>
      <c r="G3" s="15"/>
      <c r="H3" s="15"/>
    </row>
    <row r="4" spans="2:8" ht="14.4" customHeight="1" x14ac:dyDescent="0.3">
      <c r="B4" s="16" t="s">
        <v>1</v>
      </c>
      <c r="C4" s="16"/>
      <c r="D4" s="16"/>
    </row>
    <row r="5" spans="2:8" x14ac:dyDescent="0.3">
      <c r="B5" s="12" t="s">
        <v>48</v>
      </c>
    </row>
    <row r="6" spans="2:8" ht="28.8" x14ac:dyDescent="0.3">
      <c r="B6" s="1" t="s">
        <v>2</v>
      </c>
      <c r="C6" s="1" t="s">
        <v>3</v>
      </c>
      <c r="D6" s="1" t="s">
        <v>4</v>
      </c>
      <c r="E6" s="1" t="s">
        <v>5</v>
      </c>
      <c r="F6" s="1" t="s">
        <v>6</v>
      </c>
      <c r="G6" s="1" t="s">
        <v>7</v>
      </c>
      <c r="H6" s="1" t="s">
        <v>8</v>
      </c>
    </row>
    <row r="7" spans="2:8" x14ac:dyDescent="0.3">
      <c r="B7" s="2" t="s">
        <v>9</v>
      </c>
      <c r="C7" s="3" t="s">
        <v>10</v>
      </c>
      <c r="D7" s="11"/>
      <c r="E7" s="4">
        <f>D7*15%</f>
        <v>0</v>
      </c>
      <c r="F7" s="13">
        <v>12</v>
      </c>
      <c r="G7" s="4">
        <f>D7*F7</f>
        <v>0</v>
      </c>
      <c r="H7" s="4">
        <f>G7+(E7*F7)</f>
        <v>0</v>
      </c>
    </row>
    <row r="9" spans="2:8" ht="28.8" x14ac:dyDescent="0.3">
      <c r="B9" s="1" t="s">
        <v>2</v>
      </c>
      <c r="C9" s="1" t="s">
        <v>3</v>
      </c>
      <c r="D9" s="1" t="s">
        <v>11</v>
      </c>
      <c r="E9" s="1" t="s">
        <v>5</v>
      </c>
      <c r="F9" s="1" t="s">
        <v>12</v>
      </c>
      <c r="G9" s="1" t="s">
        <v>7</v>
      </c>
      <c r="H9" s="1" t="s">
        <v>8</v>
      </c>
    </row>
    <row r="10" spans="2:8" x14ac:dyDescent="0.3">
      <c r="B10" s="2" t="s">
        <v>13</v>
      </c>
      <c r="C10" s="3" t="s">
        <v>14</v>
      </c>
      <c r="D10" s="11"/>
      <c r="E10" s="4">
        <f>D10*15%</f>
        <v>0</v>
      </c>
      <c r="F10" s="13">
        <v>1</v>
      </c>
      <c r="G10" s="4">
        <f>D10*F10</f>
        <v>0</v>
      </c>
      <c r="H10" s="4">
        <f>G10+(E10*F10)</f>
        <v>0</v>
      </c>
    </row>
    <row r="12" spans="2:8" ht="28.8" x14ac:dyDescent="0.3">
      <c r="B12" s="1" t="s">
        <v>2</v>
      </c>
      <c r="C12" s="1" t="s">
        <v>3</v>
      </c>
      <c r="D12" s="1" t="s">
        <v>11</v>
      </c>
      <c r="E12" s="1" t="s">
        <v>5</v>
      </c>
      <c r="F12" s="1" t="s">
        <v>12</v>
      </c>
      <c r="G12" s="1" t="s">
        <v>7</v>
      </c>
      <c r="H12" s="1" t="s">
        <v>8</v>
      </c>
    </row>
    <row r="13" spans="2:8" x14ac:dyDescent="0.3">
      <c r="B13" s="2" t="s">
        <v>15</v>
      </c>
      <c r="C13" s="3" t="s">
        <v>16</v>
      </c>
      <c r="D13" s="11"/>
      <c r="E13" s="4">
        <f>D13*15%</f>
        <v>0</v>
      </c>
      <c r="F13" s="13">
        <v>1</v>
      </c>
      <c r="G13" s="4">
        <f>D13*F13</f>
        <v>0</v>
      </c>
      <c r="H13" s="4">
        <f>G13+(E13*F13)</f>
        <v>0</v>
      </c>
    </row>
    <row r="15" spans="2:8" ht="43.2" x14ac:dyDescent="0.3">
      <c r="B15" s="1" t="s">
        <v>2</v>
      </c>
      <c r="C15" s="1" t="s">
        <v>3</v>
      </c>
      <c r="D15" s="1" t="s">
        <v>17</v>
      </c>
      <c r="E15" s="1" t="s">
        <v>5</v>
      </c>
      <c r="F15" s="1" t="s">
        <v>18</v>
      </c>
      <c r="G15" s="1" t="s">
        <v>7</v>
      </c>
      <c r="H15" s="1" t="s">
        <v>8</v>
      </c>
    </row>
    <row r="16" spans="2:8" x14ac:dyDescent="0.3">
      <c r="B16" s="2" t="s">
        <v>19</v>
      </c>
      <c r="C16" s="3" t="s">
        <v>20</v>
      </c>
      <c r="D16" s="11"/>
      <c r="E16" s="4">
        <f>D16*15%</f>
        <v>0</v>
      </c>
      <c r="F16" s="13">
        <v>5000</v>
      </c>
      <c r="G16" s="4">
        <f>D16*F16</f>
        <v>0</v>
      </c>
      <c r="H16" s="4">
        <f>G16+(E16*F16)</f>
        <v>0</v>
      </c>
    </row>
    <row r="18" spans="2:8" ht="28.8" x14ac:dyDescent="0.3">
      <c r="B18" s="1" t="s">
        <v>2</v>
      </c>
      <c r="C18" s="1" t="s">
        <v>3</v>
      </c>
      <c r="D18" s="1" t="s">
        <v>11</v>
      </c>
      <c r="E18" s="1" t="s">
        <v>5</v>
      </c>
      <c r="F18" s="1" t="s">
        <v>12</v>
      </c>
      <c r="G18" s="1" t="s">
        <v>7</v>
      </c>
      <c r="H18" s="1" t="s">
        <v>8</v>
      </c>
    </row>
    <row r="19" spans="2:8" x14ac:dyDescent="0.3">
      <c r="B19" s="2" t="s">
        <v>21</v>
      </c>
      <c r="C19" s="3" t="s">
        <v>22</v>
      </c>
      <c r="D19" s="11"/>
      <c r="E19" s="4">
        <f>D19*15%</f>
        <v>0</v>
      </c>
      <c r="F19" s="13">
        <v>1</v>
      </c>
      <c r="G19" s="4">
        <f>D19*F19</f>
        <v>0</v>
      </c>
      <c r="H19" s="4">
        <f>G19+(E19*F19)</f>
        <v>0</v>
      </c>
    </row>
    <row r="21" spans="2:8" x14ac:dyDescent="0.3">
      <c r="B21" s="2" t="s">
        <v>23</v>
      </c>
      <c r="C21" s="5"/>
      <c r="D21" s="2"/>
      <c r="E21" s="2"/>
      <c r="F21" s="2"/>
      <c r="G21" s="6">
        <f>SUM(G7,G10,G13,G16,G19)</f>
        <v>0</v>
      </c>
      <c r="H21" s="6">
        <f>SUM(H7,H10,H13,H16,H19)</f>
        <v>0</v>
      </c>
    </row>
    <row r="24" spans="2:8" x14ac:dyDescent="0.3">
      <c r="B24" s="14" t="s">
        <v>24</v>
      </c>
      <c r="C24" s="15"/>
      <c r="D24" s="15"/>
      <c r="E24" s="15"/>
      <c r="F24" s="15"/>
      <c r="G24" s="15"/>
      <c r="H24" s="15"/>
    </row>
    <row r="25" spans="2:8" ht="14.4" customHeight="1" x14ac:dyDescent="0.3">
      <c r="B25" s="16" t="s">
        <v>1</v>
      </c>
      <c r="C25" s="16"/>
      <c r="D25" s="16"/>
    </row>
    <row r="26" spans="2:8" x14ac:dyDescent="0.3">
      <c r="B26" s="12" t="s">
        <v>50</v>
      </c>
    </row>
    <row r="27" spans="2:8" ht="28.8" x14ac:dyDescent="0.3">
      <c r="B27" s="1" t="s">
        <v>2</v>
      </c>
      <c r="C27" s="1" t="s">
        <v>3</v>
      </c>
      <c r="D27" s="1" t="s">
        <v>4</v>
      </c>
      <c r="E27" s="1" t="s">
        <v>5</v>
      </c>
      <c r="F27" s="1" t="s">
        <v>6</v>
      </c>
      <c r="G27" s="1" t="s">
        <v>7</v>
      </c>
      <c r="H27" s="1" t="s">
        <v>8</v>
      </c>
    </row>
    <row r="28" spans="2:8" x14ac:dyDescent="0.3">
      <c r="B28" s="2" t="s">
        <v>9</v>
      </c>
      <c r="C28" s="3" t="s">
        <v>10</v>
      </c>
      <c r="D28" s="11"/>
      <c r="E28" s="4">
        <f>D28*15%</f>
        <v>0</v>
      </c>
      <c r="F28" s="13">
        <v>12</v>
      </c>
      <c r="G28" s="4">
        <f>D28*F28</f>
        <v>0</v>
      </c>
      <c r="H28" s="4">
        <f>G28+(E28*F28)</f>
        <v>0</v>
      </c>
    </row>
    <row r="30" spans="2:8" ht="28.8" x14ac:dyDescent="0.3">
      <c r="B30" s="1" t="s">
        <v>2</v>
      </c>
      <c r="C30" s="1" t="s">
        <v>3</v>
      </c>
      <c r="D30" s="1" t="s">
        <v>11</v>
      </c>
      <c r="E30" s="1" t="s">
        <v>5</v>
      </c>
      <c r="F30" s="1" t="s">
        <v>12</v>
      </c>
      <c r="G30" s="1" t="s">
        <v>7</v>
      </c>
      <c r="H30" s="1" t="s">
        <v>8</v>
      </c>
    </row>
    <row r="31" spans="2:8" x14ac:dyDescent="0.3">
      <c r="B31" s="2" t="s">
        <v>13</v>
      </c>
      <c r="C31" s="3" t="s">
        <v>14</v>
      </c>
      <c r="D31" s="11"/>
      <c r="E31" s="4">
        <f>D31*15%</f>
        <v>0</v>
      </c>
      <c r="F31" s="13">
        <v>1</v>
      </c>
      <c r="G31" s="4">
        <f>D31*F31</f>
        <v>0</v>
      </c>
      <c r="H31" s="4">
        <f>G31+(E31*F31)</f>
        <v>0</v>
      </c>
    </row>
    <row r="33" spans="2:8" ht="28.8" x14ac:dyDescent="0.3">
      <c r="B33" s="1" t="s">
        <v>2</v>
      </c>
      <c r="C33" s="1" t="s">
        <v>3</v>
      </c>
      <c r="D33" s="1" t="s">
        <v>11</v>
      </c>
      <c r="E33" s="1" t="s">
        <v>5</v>
      </c>
      <c r="F33" s="1" t="s">
        <v>12</v>
      </c>
      <c r="G33" s="1" t="s">
        <v>7</v>
      </c>
      <c r="H33" s="1" t="s">
        <v>8</v>
      </c>
    </row>
    <row r="34" spans="2:8" x14ac:dyDescent="0.3">
      <c r="B34" s="2" t="s">
        <v>15</v>
      </c>
      <c r="C34" s="3" t="s">
        <v>16</v>
      </c>
      <c r="D34" s="11"/>
      <c r="E34" s="4">
        <f>D34*15%</f>
        <v>0</v>
      </c>
      <c r="F34" s="13">
        <v>1</v>
      </c>
      <c r="G34" s="4">
        <f>D34*F34</f>
        <v>0</v>
      </c>
      <c r="H34" s="4">
        <f>G34+(E34*F34)</f>
        <v>0</v>
      </c>
    </row>
    <row r="36" spans="2:8" ht="43.2" x14ac:dyDescent="0.3">
      <c r="B36" s="1" t="s">
        <v>2</v>
      </c>
      <c r="C36" s="1" t="s">
        <v>3</v>
      </c>
      <c r="D36" s="1" t="s">
        <v>17</v>
      </c>
      <c r="E36" s="1" t="s">
        <v>5</v>
      </c>
      <c r="F36" s="1" t="s">
        <v>18</v>
      </c>
      <c r="G36" s="1" t="s">
        <v>7</v>
      </c>
      <c r="H36" s="1" t="s">
        <v>8</v>
      </c>
    </row>
    <row r="37" spans="2:8" x14ac:dyDescent="0.3">
      <c r="B37" s="2" t="s">
        <v>19</v>
      </c>
      <c r="C37" s="3" t="s">
        <v>20</v>
      </c>
      <c r="D37" s="11"/>
      <c r="E37" s="4">
        <f>D37*15%</f>
        <v>0</v>
      </c>
      <c r="F37" s="13">
        <v>5000</v>
      </c>
      <c r="G37" s="4">
        <f>D37*F37</f>
        <v>0</v>
      </c>
      <c r="H37" s="4">
        <f>G37+(E37*F37)</f>
        <v>0</v>
      </c>
    </row>
    <row r="39" spans="2:8" ht="28.8" x14ac:dyDescent="0.3">
      <c r="B39" s="1" t="s">
        <v>2</v>
      </c>
      <c r="C39" s="1" t="s">
        <v>3</v>
      </c>
      <c r="D39" s="1" t="s">
        <v>11</v>
      </c>
      <c r="E39" s="1" t="s">
        <v>5</v>
      </c>
      <c r="F39" s="1" t="s">
        <v>12</v>
      </c>
      <c r="G39" s="1" t="s">
        <v>7</v>
      </c>
      <c r="H39" s="1" t="s">
        <v>8</v>
      </c>
    </row>
    <row r="40" spans="2:8" x14ac:dyDescent="0.3">
      <c r="B40" s="2" t="s">
        <v>21</v>
      </c>
      <c r="C40" s="3" t="s">
        <v>22</v>
      </c>
      <c r="D40" s="11"/>
      <c r="E40" s="4">
        <f>D40*15%</f>
        <v>0</v>
      </c>
      <c r="F40" s="13">
        <v>1</v>
      </c>
      <c r="G40" s="4">
        <f>D40*F40</f>
        <v>0</v>
      </c>
      <c r="H40" s="4">
        <f>G40+(E40*F40)</f>
        <v>0</v>
      </c>
    </row>
    <row r="42" spans="2:8" x14ac:dyDescent="0.3">
      <c r="B42" s="2" t="s">
        <v>25</v>
      </c>
      <c r="C42" s="5"/>
      <c r="D42" s="2"/>
      <c r="E42" s="2"/>
      <c r="F42" s="2"/>
      <c r="G42" s="6">
        <f>SUM(G28,G31,G34,G37,G40)</f>
        <v>0</v>
      </c>
      <c r="H42" s="6">
        <f>SUM(H28,H31,H34,H37,H40)</f>
        <v>0</v>
      </c>
    </row>
    <row r="45" spans="2:8" x14ac:dyDescent="0.3">
      <c r="B45" s="14" t="s">
        <v>26</v>
      </c>
      <c r="C45" s="15"/>
      <c r="D45" s="15"/>
      <c r="E45" s="15"/>
      <c r="F45" s="15"/>
      <c r="G45" s="15"/>
      <c r="H45" s="15"/>
    </row>
    <row r="46" spans="2:8" ht="14.4" customHeight="1" x14ac:dyDescent="0.3">
      <c r="B46" s="16" t="s">
        <v>1</v>
      </c>
      <c r="C46" s="16"/>
      <c r="D46" s="16"/>
    </row>
    <row r="47" spans="2:8" x14ac:dyDescent="0.3">
      <c r="B47" s="12" t="s">
        <v>51</v>
      </c>
    </row>
    <row r="48" spans="2:8" ht="28.8" x14ac:dyDescent="0.3">
      <c r="B48" s="1" t="s">
        <v>2</v>
      </c>
      <c r="C48" s="1" t="s">
        <v>3</v>
      </c>
      <c r="D48" s="1" t="s">
        <v>4</v>
      </c>
      <c r="E48" s="1" t="s">
        <v>5</v>
      </c>
      <c r="F48" s="1" t="s">
        <v>6</v>
      </c>
      <c r="G48" s="1" t="s">
        <v>7</v>
      </c>
      <c r="H48" s="1" t="s">
        <v>8</v>
      </c>
    </row>
    <row r="49" spans="2:8" x14ac:dyDescent="0.3">
      <c r="B49" s="2" t="s">
        <v>9</v>
      </c>
      <c r="C49" s="3" t="s">
        <v>10</v>
      </c>
      <c r="D49" s="11"/>
      <c r="E49" s="4">
        <f>D49*15%</f>
        <v>0</v>
      </c>
      <c r="F49" s="13">
        <v>12</v>
      </c>
      <c r="G49" s="4">
        <f>D49*F49</f>
        <v>0</v>
      </c>
      <c r="H49" s="4">
        <f>G49+(E49*F49)</f>
        <v>0</v>
      </c>
    </row>
    <row r="51" spans="2:8" ht="28.8" x14ac:dyDescent="0.3">
      <c r="B51" s="1" t="s">
        <v>2</v>
      </c>
      <c r="C51" s="1" t="s">
        <v>3</v>
      </c>
      <c r="D51" s="1" t="s">
        <v>11</v>
      </c>
      <c r="E51" s="1" t="s">
        <v>5</v>
      </c>
      <c r="F51" s="1" t="s">
        <v>12</v>
      </c>
      <c r="G51" s="1" t="s">
        <v>7</v>
      </c>
      <c r="H51" s="1" t="s">
        <v>8</v>
      </c>
    </row>
    <row r="52" spans="2:8" x14ac:dyDescent="0.3">
      <c r="B52" s="2" t="s">
        <v>13</v>
      </c>
      <c r="C52" s="3" t="s">
        <v>14</v>
      </c>
      <c r="D52" s="11"/>
      <c r="E52" s="4">
        <f>D52*15%</f>
        <v>0</v>
      </c>
      <c r="F52" s="13">
        <v>1</v>
      </c>
      <c r="G52" s="4">
        <f>D52*F52</f>
        <v>0</v>
      </c>
      <c r="H52" s="4">
        <f>G52+(E52*F52)</f>
        <v>0</v>
      </c>
    </row>
    <row r="54" spans="2:8" ht="28.8" x14ac:dyDescent="0.3">
      <c r="B54" s="1" t="s">
        <v>2</v>
      </c>
      <c r="C54" s="1" t="s">
        <v>3</v>
      </c>
      <c r="D54" s="1" t="s">
        <v>11</v>
      </c>
      <c r="E54" s="1" t="s">
        <v>5</v>
      </c>
      <c r="F54" s="1" t="s">
        <v>12</v>
      </c>
      <c r="G54" s="1" t="s">
        <v>7</v>
      </c>
      <c r="H54" s="1" t="s">
        <v>8</v>
      </c>
    </row>
    <row r="55" spans="2:8" x14ac:dyDescent="0.3">
      <c r="B55" s="2" t="s">
        <v>15</v>
      </c>
      <c r="C55" s="3" t="s">
        <v>16</v>
      </c>
      <c r="D55" s="11"/>
      <c r="E55" s="4">
        <f>D55*15%</f>
        <v>0</v>
      </c>
      <c r="F55" s="13">
        <v>1</v>
      </c>
      <c r="G55" s="4">
        <f>D55*F55</f>
        <v>0</v>
      </c>
      <c r="H55" s="4">
        <f>G55+(E55*F55)</f>
        <v>0</v>
      </c>
    </row>
    <row r="57" spans="2:8" ht="43.2" x14ac:dyDescent="0.3">
      <c r="B57" s="1" t="s">
        <v>2</v>
      </c>
      <c r="C57" s="1" t="s">
        <v>3</v>
      </c>
      <c r="D57" s="1" t="s">
        <v>17</v>
      </c>
      <c r="E57" s="1" t="s">
        <v>5</v>
      </c>
      <c r="F57" s="1" t="s">
        <v>18</v>
      </c>
      <c r="G57" s="1" t="s">
        <v>7</v>
      </c>
      <c r="H57" s="1" t="s">
        <v>8</v>
      </c>
    </row>
    <row r="58" spans="2:8" x14ac:dyDescent="0.3">
      <c r="B58" s="2" t="s">
        <v>19</v>
      </c>
      <c r="C58" s="3" t="s">
        <v>20</v>
      </c>
      <c r="D58" s="11"/>
      <c r="E58" s="4">
        <f>D58*15%</f>
        <v>0</v>
      </c>
      <c r="F58" s="13">
        <v>5000</v>
      </c>
      <c r="G58" s="4">
        <f>D58*F58</f>
        <v>0</v>
      </c>
      <c r="H58" s="4">
        <f>G58+(E58*F58)</f>
        <v>0</v>
      </c>
    </row>
    <row r="60" spans="2:8" ht="28.8" x14ac:dyDescent="0.3">
      <c r="B60" s="1" t="s">
        <v>2</v>
      </c>
      <c r="C60" s="1" t="s">
        <v>3</v>
      </c>
      <c r="D60" s="1" t="s">
        <v>11</v>
      </c>
      <c r="E60" s="1" t="s">
        <v>5</v>
      </c>
      <c r="F60" s="1" t="s">
        <v>12</v>
      </c>
      <c r="G60" s="1" t="s">
        <v>7</v>
      </c>
      <c r="H60" s="1" t="s">
        <v>8</v>
      </c>
    </row>
    <row r="61" spans="2:8" x14ac:dyDescent="0.3">
      <c r="B61" s="2" t="s">
        <v>21</v>
      </c>
      <c r="C61" s="3" t="s">
        <v>22</v>
      </c>
      <c r="D61" s="11"/>
      <c r="E61" s="4">
        <f>D61*15%</f>
        <v>0</v>
      </c>
      <c r="F61" s="13">
        <v>1</v>
      </c>
      <c r="G61" s="4">
        <f>D61*F61</f>
        <v>0</v>
      </c>
      <c r="H61" s="4">
        <f>G61+(E61*F61)</f>
        <v>0</v>
      </c>
    </row>
    <row r="63" spans="2:8" x14ac:dyDescent="0.3">
      <c r="B63" s="2" t="s">
        <v>27</v>
      </c>
      <c r="C63" s="5"/>
      <c r="D63" s="2"/>
      <c r="E63" s="2"/>
      <c r="F63" s="2"/>
      <c r="G63" s="6">
        <f>SUM(G49,G52,G55,G58,G61)</f>
        <v>0</v>
      </c>
      <c r="H63" s="6">
        <f>SUM(H49,H52,H55,H58,H61)</f>
        <v>0</v>
      </c>
    </row>
    <row r="66" spans="2:8" x14ac:dyDescent="0.3">
      <c r="B66" s="14" t="s">
        <v>28</v>
      </c>
      <c r="C66" s="15"/>
      <c r="D66" s="15"/>
      <c r="E66" s="15"/>
      <c r="F66" s="15"/>
      <c r="G66" s="15"/>
      <c r="H66" s="15"/>
    </row>
    <row r="67" spans="2:8" ht="14.4" customHeight="1" x14ac:dyDescent="0.3">
      <c r="B67" s="16" t="s">
        <v>1</v>
      </c>
      <c r="C67" s="16"/>
      <c r="D67" s="16"/>
    </row>
    <row r="68" spans="2:8" x14ac:dyDescent="0.3">
      <c r="B68" s="12" t="s">
        <v>52</v>
      </c>
    </row>
    <row r="69" spans="2:8" ht="28.8" x14ac:dyDescent="0.3">
      <c r="B69" s="1" t="s">
        <v>2</v>
      </c>
      <c r="C69" s="1" t="s">
        <v>3</v>
      </c>
      <c r="D69" s="1" t="s">
        <v>4</v>
      </c>
      <c r="E69" s="1" t="s">
        <v>5</v>
      </c>
      <c r="F69" s="1" t="s">
        <v>6</v>
      </c>
      <c r="G69" s="1" t="s">
        <v>7</v>
      </c>
      <c r="H69" s="1" t="s">
        <v>8</v>
      </c>
    </row>
    <row r="70" spans="2:8" x14ac:dyDescent="0.3">
      <c r="B70" s="2" t="s">
        <v>9</v>
      </c>
      <c r="C70" s="3" t="s">
        <v>10</v>
      </c>
      <c r="D70" s="11"/>
      <c r="E70" s="4">
        <f>D70*15%</f>
        <v>0</v>
      </c>
      <c r="F70" s="13">
        <v>12</v>
      </c>
      <c r="G70" s="4">
        <f>D70*F70</f>
        <v>0</v>
      </c>
      <c r="H70" s="4">
        <f>G70+(E70*F70)</f>
        <v>0</v>
      </c>
    </row>
    <row r="72" spans="2:8" ht="28.8" x14ac:dyDescent="0.3">
      <c r="B72" s="1" t="s">
        <v>2</v>
      </c>
      <c r="C72" s="1" t="s">
        <v>3</v>
      </c>
      <c r="D72" s="1" t="s">
        <v>11</v>
      </c>
      <c r="E72" s="1" t="s">
        <v>5</v>
      </c>
      <c r="F72" s="1" t="s">
        <v>12</v>
      </c>
      <c r="G72" s="1" t="s">
        <v>7</v>
      </c>
      <c r="H72" s="1" t="s">
        <v>8</v>
      </c>
    </row>
    <row r="73" spans="2:8" x14ac:dyDescent="0.3">
      <c r="B73" s="2" t="s">
        <v>13</v>
      </c>
      <c r="C73" s="3" t="s">
        <v>14</v>
      </c>
      <c r="D73" s="11"/>
      <c r="E73" s="4">
        <f>D73*15%</f>
        <v>0</v>
      </c>
      <c r="F73" s="13">
        <v>1</v>
      </c>
      <c r="G73" s="4">
        <f>D73*F73</f>
        <v>0</v>
      </c>
      <c r="H73" s="4">
        <f>G73+(E73*F73)</f>
        <v>0</v>
      </c>
    </row>
    <row r="75" spans="2:8" ht="28.8" x14ac:dyDescent="0.3">
      <c r="B75" s="1" t="s">
        <v>2</v>
      </c>
      <c r="C75" s="1" t="s">
        <v>3</v>
      </c>
      <c r="D75" s="1" t="s">
        <v>11</v>
      </c>
      <c r="E75" s="1" t="s">
        <v>5</v>
      </c>
      <c r="F75" s="1" t="s">
        <v>12</v>
      </c>
      <c r="G75" s="1" t="s">
        <v>7</v>
      </c>
      <c r="H75" s="1" t="s">
        <v>8</v>
      </c>
    </row>
    <row r="76" spans="2:8" x14ac:dyDescent="0.3">
      <c r="B76" s="2" t="s">
        <v>15</v>
      </c>
      <c r="C76" s="3" t="s">
        <v>16</v>
      </c>
      <c r="D76" s="11"/>
      <c r="E76" s="4">
        <f>D76*15%</f>
        <v>0</v>
      </c>
      <c r="F76" s="13">
        <v>1</v>
      </c>
      <c r="G76" s="4">
        <f>D76*F76</f>
        <v>0</v>
      </c>
      <c r="H76" s="4">
        <f>G76+(E76*F76)</f>
        <v>0</v>
      </c>
    </row>
    <row r="78" spans="2:8" ht="43.2" x14ac:dyDescent="0.3">
      <c r="B78" s="1" t="s">
        <v>2</v>
      </c>
      <c r="C78" s="1" t="s">
        <v>3</v>
      </c>
      <c r="D78" s="1" t="s">
        <v>17</v>
      </c>
      <c r="E78" s="1" t="s">
        <v>5</v>
      </c>
      <c r="F78" s="1" t="s">
        <v>18</v>
      </c>
      <c r="G78" s="1" t="s">
        <v>7</v>
      </c>
      <c r="H78" s="1" t="s">
        <v>8</v>
      </c>
    </row>
    <row r="79" spans="2:8" x14ac:dyDescent="0.3">
      <c r="B79" s="2" t="s">
        <v>19</v>
      </c>
      <c r="C79" s="3" t="s">
        <v>20</v>
      </c>
      <c r="D79" s="11"/>
      <c r="E79" s="4">
        <f>D79*15%</f>
        <v>0</v>
      </c>
      <c r="F79" s="13">
        <v>5000</v>
      </c>
      <c r="G79" s="4">
        <f>D79*F79</f>
        <v>0</v>
      </c>
      <c r="H79" s="4">
        <f>G79+(E79*F79)</f>
        <v>0</v>
      </c>
    </row>
    <row r="81" spans="2:8" ht="28.8" x14ac:dyDescent="0.3">
      <c r="B81" s="1" t="s">
        <v>2</v>
      </c>
      <c r="C81" s="1" t="s">
        <v>3</v>
      </c>
      <c r="D81" s="1" t="s">
        <v>11</v>
      </c>
      <c r="E81" s="1" t="s">
        <v>5</v>
      </c>
      <c r="F81" s="1" t="s">
        <v>12</v>
      </c>
      <c r="G81" s="1" t="s">
        <v>7</v>
      </c>
      <c r="H81" s="1" t="s">
        <v>8</v>
      </c>
    </row>
    <row r="82" spans="2:8" x14ac:dyDescent="0.3">
      <c r="B82" s="2" t="s">
        <v>21</v>
      </c>
      <c r="C82" s="3" t="s">
        <v>22</v>
      </c>
      <c r="D82" s="11"/>
      <c r="E82" s="4">
        <f>D82*15%</f>
        <v>0</v>
      </c>
      <c r="F82" s="13">
        <v>1</v>
      </c>
      <c r="G82" s="4">
        <f>D82*F82</f>
        <v>0</v>
      </c>
      <c r="H82" s="4">
        <f>G82+(E82*F82)</f>
        <v>0</v>
      </c>
    </row>
    <row r="84" spans="2:8" x14ac:dyDescent="0.3">
      <c r="B84" s="2" t="s">
        <v>29</v>
      </c>
      <c r="C84" s="5"/>
      <c r="D84" s="2"/>
      <c r="E84" s="2"/>
      <c r="F84" s="2"/>
      <c r="G84" s="6">
        <f>SUM(G70,G73,G76,G79,G82)</f>
        <v>0</v>
      </c>
      <c r="H84" s="6">
        <f>SUM(H70,H73,H76,H79,H82)</f>
        <v>0</v>
      </c>
    </row>
    <row r="87" spans="2:8" x14ac:dyDescent="0.3">
      <c r="B87" s="14" t="s">
        <v>30</v>
      </c>
      <c r="C87" s="15"/>
      <c r="D87" s="15"/>
      <c r="E87" s="15"/>
      <c r="F87" s="15"/>
      <c r="G87" s="15"/>
      <c r="H87" s="15"/>
    </row>
    <row r="88" spans="2:8" ht="14.4" customHeight="1" x14ac:dyDescent="0.3">
      <c r="B88" s="16" t="s">
        <v>1</v>
      </c>
      <c r="C88" s="16"/>
      <c r="D88" s="16"/>
    </row>
    <row r="89" spans="2:8" x14ac:dyDescent="0.3">
      <c r="B89" s="12" t="s">
        <v>53</v>
      </c>
    </row>
    <row r="90" spans="2:8" ht="28.8" x14ac:dyDescent="0.3">
      <c r="B90" s="1" t="s">
        <v>2</v>
      </c>
      <c r="C90" s="1" t="s">
        <v>3</v>
      </c>
      <c r="D90" s="1" t="s">
        <v>4</v>
      </c>
      <c r="E90" s="1" t="s">
        <v>5</v>
      </c>
      <c r="F90" s="1" t="s">
        <v>6</v>
      </c>
      <c r="G90" s="1" t="s">
        <v>7</v>
      </c>
      <c r="H90" s="1" t="s">
        <v>8</v>
      </c>
    </row>
    <row r="91" spans="2:8" x14ac:dyDescent="0.3">
      <c r="B91" s="2" t="s">
        <v>9</v>
      </c>
      <c r="C91" s="3" t="s">
        <v>10</v>
      </c>
      <c r="D91" s="11"/>
      <c r="E91" s="4">
        <f>D91*15%</f>
        <v>0</v>
      </c>
      <c r="F91" s="13">
        <v>12</v>
      </c>
      <c r="G91" s="4">
        <f>D91*F91</f>
        <v>0</v>
      </c>
      <c r="H91" s="4">
        <f>G91+(E91*F91)</f>
        <v>0</v>
      </c>
    </row>
    <row r="93" spans="2:8" ht="28.8" x14ac:dyDescent="0.3">
      <c r="B93" s="1" t="s">
        <v>2</v>
      </c>
      <c r="C93" s="1" t="s">
        <v>3</v>
      </c>
      <c r="D93" s="1" t="s">
        <v>11</v>
      </c>
      <c r="E93" s="1" t="s">
        <v>5</v>
      </c>
      <c r="F93" s="1" t="s">
        <v>12</v>
      </c>
      <c r="G93" s="1" t="s">
        <v>7</v>
      </c>
      <c r="H93" s="1" t="s">
        <v>8</v>
      </c>
    </row>
    <row r="94" spans="2:8" x14ac:dyDescent="0.3">
      <c r="B94" s="2" t="s">
        <v>13</v>
      </c>
      <c r="C94" s="3" t="s">
        <v>14</v>
      </c>
      <c r="D94" s="11"/>
      <c r="E94" s="4">
        <f>D94*15%</f>
        <v>0</v>
      </c>
      <c r="F94" s="13">
        <v>1</v>
      </c>
      <c r="G94" s="4">
        <f>D94*F94</f>
        <v>0</v>
      </c>
      <c r="H94" s="4">
        <f>G94+(E94*F94)</f>
        <v>0</v>
      </c>
    </row>
    <row r="96" spans="2:8" ht="28.8" x14ac:dyDescent="0.3">
      <c r="B96" s="1" t="s">
        <v>2</v>
      </c>
      <c r="C96" s="1" t="s">
        <v>3</v>
      </c>
      <c r="D96" s="1" t="s">
        <v>11</v>
      </c>
      <c r="E96" s="1" t="s">
        <v>5</v>
      </c>
      <c r="F96" s="1" t="s">
        <v>12</v>
      </c>
      <c r="G96" s="1" t="s">
        <v>7</v>
      </c>
      <c r="H96" s="1" t="s">
        <v>8</v>
      </c>
    </row>
    <row r="97" spans="2:8" x14ac:dyDescent="0.3">
      <c r="B97" s="2" t="s">
        <v>15</v>
      </c>
      <c r="C97" s="3" t="s">
        <v>16</v>
      </c>
      <c r="D97" s="11"/>
      <c r="E97" s="4">
        <f>D97*15%</f>
        <v>0</v>
      </c>
      <c r="F97" s="13">
        <v>1</v>
      </c>
      <c r="G97" s="4">
        <f>D97*F97</f>
        <v>0</v>
      </c>
      <c r="H97" s="4">
        <f>G97+(E97*F97)</f>
        <v>0</v>
      </c>
    </row>
    <row r="99" spans="2:8" ht="43.2" x14ac:dyDescent="0.3">
      <c r="B99" s="1" t="s">
        <v>2</v>
      </c>
      <c r="C99" s="1" t="s">
        <v>3</v>
      </c>
      <c r="D99" s="1" t="s">
        <v>17</v>
      </c>
      <c r="E99" s="1" t="s">
        <v>5</v>
      </c>
      <c r="F99" s="1" t="s">
        <v>18</v>
      </c>
      <c r="G99" s="1" t="s">
        <v>7</v>
      </c>
      <c r="H99" s="1" t="s">
        <v>8</v>
      </c>
    </row>
    <row r="100" spans="2:8" x14ac:dyDescent="0.3">
      <c r="B100" s="2" t="s">
        <v>19</v>
      </c>
      <c r="C100" s="3" t="s">
        <v>20</v>
      </c>
      <c r="D100" s="11"/>
      <c r="E100" s="4">
        <f>D100*15%</f>
        <v>0</v>
      </c>
      <c r="F100" s="13">
        <v>5000</v>
      </c>
      <c r="G100" s="4">
        <f>D100*F100</f>
        <v>0</v>
      </c>
      <c r="H100" s="4">
        <f>G100+(E100*F100)</f>
        <v>0</v>
      </c>
    </row>
    <row r="102" spans="2:8" ht="28.8" x14ac:dyDescent="0.3">
      <c r="B102" s="1" t="s">
        <v>2</v>
      </c>
      <c r="C102" s="1" t="s">
        <v>3</v>
      </c>
      <c r="D102" s="1" t="s">
        <v>11</v>
      </c>
      <c r="E102" s="1" t="s">
        <v>5</v>
      </c>
      <c r="F102" s="1" t="s">
        <v>12</v>
      </c>
      <c r="G102" s="1" t="s">
        <v>7</v>
      </c>
      <c r="H102" s="1" t="s">
        <v>8</v>
      </c>
    </row>
    <row r="103" spans="2:8" x14ac:dyDescent="0.3">
      <c r="B103" s="2" t="s">
        <v>21</v>
      </c>
      <c r="C103" s="3" t="s">
        <v>22</v>
      </c>
      <c r="D103" s="11"/>
      <c r="E103" s="4">
        <f>D103*15%</f>
        <v>0</v>
      </c>
      <c r="F103" s="13">
        <v>1</v>
      </c>
      <c r="G103" s="4">
        <f>D103*F103</f>
        <v>0</v>
      </c>
      <c r="H103" s="4">
        <f>G103+(E103*F103)</f>
        <v>0</v>
      </c>
    </row>
    <row r="105" spans="2:8" x14ac:dyDescent="0.3">
      <c r="B105" s="2" t="s">
        <v>31</v>
      </c>
      <c r="C105" s="5"/>
      <c r="D105" s="2"/>
      <c r="E105" s="2"/>
      <c r="F105" s="2"/>
      <c r="G105" s="6">
        <f>SUM(G91,G94,G97,G100,G103)</f>
        <v>0</v>
      </c>
      <c r="H105" s="6">
        <f>SUM(H91,H94,H97,H100,H103)</f>
        <v>0</v>
      </c>
    </row>
    <row r="107" spans="2:8" x14ac:dyDescent="0.3">
      <c r="B107" s="18" t="s">
        <v>49</v>
      </c>
      <c r="C107" s="18"/>
      <c r="D107" s="18"/>
      <c r="E107" s="18"/>
      <c r="F107" s="18"/>
      <c r="G107" s="18"/>
      <c r="H107" s="18"/>
    </row>
    <row r="108" spans="2:8" x14ac:dyDescent="0.3">
      <c r="B108" s="18"/>
      <c r="C108" s="18"/>
      <c r="D108" s="18"/>
      <c r="E108" s="18"/>
      <c r="F108" s="18"/>
      <c r="G108" s="18"/>
      <c r="H108" s="18"/>
    </row>
    <row r="109" spans="2:8" x14ac:dyDescent="0.3">
      <c r="B109" s="18"/>
      <c r="C109" s="18"/>
      <c r="D109" s="18"/>
      <c r="E109" s="18"/>
      <c r="F109" s="18"/>
      <c r="G109" s="18"/>
      <c r="H109" s="18"/>
    </row>
    <row r="110" spans="2:8" x14ac:dyDescent="0.3">
      <c r="B110" s="18"/>
      <c r="C110" s="18"/>
      <c r="D110" s="18"/>
      <c r="E110" s="18"/>
      <c r="F110" s="18"/>
      <c r="G110" s="18"/>
      <c r="H110" s="18"/>
    </row>
    <row r="111" spans="2:8" x14ac:dyDescent="0.3">
      <c r="B111" s="18"/>
      <c r="C111" s="18"/>
      <c r="D111" s="18"/>
      <c r="E111" s="18"/>
      <c r="F111" s="18"/>
      <c r="G111" s="18"/>
      <c r="H111" s="18"/>
    </row>
    <row r="112" spans="2:8" x14ac:dyDescent="0.3">
      <c r="B112" s="18"/>
      <c r="C112" s="18"/>
      <c r="D112" s="18"/>
      <c r="E112" s="18"/>
      <c r="F112" s="18"/>
      <c r="G112" s="18"/>
      <c r="H112" s="18"/>
    </row>
    <row r="114" spans="2:8" x14ac:dyDescent="0.3">
      <c r="B114" s="14" t="s">
        <v>32</v>
      </c>
      <c r="C114" s="15"/>
      <c r="D114" s="15"/>
      <c r="E114" s="15"/>
      <c r="F114" s="15"/>
      <c r="G114" s="15"/>
      <c r="H114" s="15"/>
    </row>
    <row r="115" spans="2:8" ht="14.4" customHeight="1" x14ac:dyDescent="0.3">
      <c r="B115" s="16" t="s">
        <v>1</v>
      </c>
      <c r="C115" s="16"/>
      <c r="D115" s="16"/>
    </row>
    <row r="116" spans="2:8" x14ac:dyDescent="0.3">
      <c r="B116" s="12" t="s">
        <v>54</v>
      </c>
    </row>
    <row r="117" spans="2:8" ht="28.8" x14ac:dyDescent="0.3">
      <c r="B117" s="1" t="s">
        <v>2</v>
      </c>
      <c r="C117" s="1" t="s">
        <v>3</v>
      </c>
      <c r="D117" s="1" t="s">
        <v>4</v>
      </c>
      <c r="E117" s="1" t="s">
        <v>5</v>
      </c>
      <c r="F117" s="1" t="s">
        <v>6</v>
      </c>
      <c r="G117" s="1" t="s">
        <v>33</v>
      </c>
      <c r="H117" s="1" t="s">
        <v>34</v>
      </c>
    </row>
    <row r="118" spans="2:8" x14ac:dyDescent="0.3">
      <c r="B118" s="2" t="s">
        <v>9</v>
      </c>
      <c r="C118" s="3" t="s">
        <v>10</v>
      </c>
      <c r="D118" s="11"/>
      <c r="E118" s="4">
        <f>D118*15%</f>
        <v>0</v>
      </c>
      <c r="F118" s="13">
        <v>6</v>
      </c>
      <c r="G118" s="4">
        <f>D118*F118</f>
        <v>0</v>
      </c>
      <c r="H118" s="4">
        <f>G118+(E118*F118)</f>
        <v>0</v>
      </c>
    </row>
    <row r="120" spans="2:8" ht="28.8" x14ac:dyDescent="0.3">
      <c r="B120" s="1" t="s">
        <v>2</v>
      </c>
      <c r="C120" s="1" t="s">
        <v>3</v>
      </c>
      <c r="D120" s="1" t="s">
        <v>11</v>
      </c>
      <c r="E120" s="1" t="s">
        <v>5</v>
      </c>
      <c r="F120" s="1" t="s">
        <v>12</v>
      </c>
      <c r="G120" s="1" t="s">
        <v>33</v>
      </c>
      <c r="H120" s="1" t="s">
        <v>34</v>
      </c>
    </row>
    <row r="121" spans="2:8" x14ac:dyDescent="0.3">
      <c r="B121" s="2" t="s">
        <v>13</v>
      </c>
      <c r="C121" s="3" t="s">
        <v>14</v>
      </c>
      <c r="D121" s="11"/>
      <c r="E121" s="4">
        <f>D121*15%</f>
        <v>0</v>
      </c>
      <c r="F121" s="13">
        <v>1</v>
      </c>
      <c r="G121" s="4">
        <f>D121*F121</f>
        <v>0</v>
      </c>
      <c r="H121" s="4">
        <f>G121+(E121*F121)</f>
        <v>0</v>
      </c>
    </row>
    <row r="123" spans="2:8" ht="28.8" x14ac:dyDescent="0.3">
      <c r="B123" s="1" t="s">
        <v>2</v>
      </c>
      <c r="C123" s="1" t="s">
        <v>3</v>
      </c>
      <c r="D123" s="1" t="s">
        <v>11</v>
      </c>
      <c r="E123" s="1" t="s">
        <v>5</v>
      </c>
      <c r="F123" s="1" t="s">
        <v>12</v>
      </c>
      <c r="G123" s="1" t="s">
        <v>33</v>
      </c>
      <c r="H123" s="1" t="s">
        <v>34</v>
      </c>
    </row>
    <row r="124" spans="2:8" x14ac:dyDescent="0.3">
      <c r="B124" s="2" t="s">
        <v>15</v>
      </c>
      <c r="C124" s="3" t="s">
        <v>16</v>
      </c>
      <c r="D124" s="11"/>
      <c r="E124" s="4">
        <f>D124*15%</f>
        <v>0</v>
      </c>
      <c r="F124" s="13">
        <v>1</v>
      </c>
      <c r="G124" s="4">
        <f>D124*F124</f>
        <v>0</v>
      </c>
      <c r="H124" s="4">
        <f>G124+(E124*F124)</f>
        <v>0</v>
      </c>
    </row>
    <row r="126" spans="2:8" ht="43.2" x14ac:dyDescent="0.3">
      <c r="B126" s="1" t="s">
        <v>2</v>
      </c>
      <c r="C126" s="1" t="s">
        <v>3</v>
      </c>
      <c r="D126" s="1" t="s">
        <v>17</v>
      </c>
      <c r="E126" s="1" t="s">
        <v>5</v>
      </c>
      <c r="F126" s="1" t="s">
        <v>18</v>
      </c>
      <c r="G126" s="1" t="s">
        <v>33</v>
      </c>
      <c r="H126" s="1" t="s">
        <v>34</v>
      </c>
    </row>
    <row r="127" spans="2:8" x14ac:dyDescent="0.3">
      <c r="B127" s="2" t="s">
        <v>19</v>
      </c>
      <c r="C127" s="3" t="s">
        <v>20</v>
      </c>
      <c r="D127" s="11"/>
      <c r="E127" s="4">
        <f>D127*15%</f>
        <v>0</v>
      </c>
      <c r="F127" s="13">
        <v>2500</v>
      </c>
      <c r="G127" s="4">
        <f>D127*F127</f>
        <v>0</v>
      </c>
      <c r="H127" s="4">
        <f>G127+(E127*F127)</f>
        <v>0</v>
      </c>
    </row>
    <row r="129" spans="2:8" ht="28.8" x14ac:dyDescent="0.3">
      <c r="B129" s="1" t="s">
        <v>2</v>
      </c>
      <c r="C129" s="1" t="s">
        <v>3</v>
      </c>
      <c r="D129" s="1" t="s">
        <v>11</v>
      </c>
      <c r="E129" s="1" t="s">
        <v>5</v>
      </c>
      <c r="F129" s="1" t="s">
        <v>12</v>
      </c>
      <c r="G129" s="1" t="s">
        <v>33</v>
      </c>
      <c r="H129" s="1" t="s">
        <v>34</v>
      </c>
    </row>
    <row r="130" spans="2:8" x14ac:dyDescent="0.3">
      <c r="B130" s="2" t="s">
        <v>21</v>
      </c>
      <c r="C130" s="3" t="s">
        <v>22</v>
      </c>
      <c r="D130" s="11"/>
      <c r="E130" s="4">
        <f>D130*15%</f>
        <v>0</v>
      </c>
      <c r="F130" s="13">
        <v>1</v>
      </c>
      <c r="G130" s="4">
        <f>D130*F130</f>
        <v>0</v>
      </c>
      <c r="H130" s="4">
        <f>G130+(E130*F130)</f>
        <v>0</v>
      </c>
    </row>
    <row r="132" spans="2:8" x14ac:dyDescent="0.3">
      <c r="B132" s="2" t="s">
        <v>35</v>
      </c>
      <c r="C132" s="5"/>
      <c r="D132" s="2"/>
      <c r="E132" s="2"/>
      <c r="F132" s="2"/>
      <c r="G132" s="6">
        <f>SUM(G118,G121,G124,G127,G130)</f>
        <v>0</v>
      </c>
      <c r="H132" s="6">
        <f>SUM(H118,H121,H124,H127,H130)</f>
        <v>0</v>
      </c>
    </row>
    <row r="135" spans="2:8" x14ac:dyDescent="0.3">
      <c r="B135" s="14" t="s">
        <v>36</v>
      </c>
      <c r="C135" s="15"/>
      <c r="D135" s="15"/>
    </row>
    <row r="136" spans="2:8" x14ac:dyDescent="0.3">
      <c r="B136" s="1" t="s">
        <v>37</v>
      </c>
      <c r="C136" s="1" t="s">
        <v>38</v>
      </c>
      <c r="D136" s="1" t="s">
        <v>39</v>
      </c>
    </row>
    <row r="137" spans="2:8" x14ac:dyDescent="0.3">
      <c r="B137" s="7" t="s">
        <v>40</v>
      </c>
      <c r="C137" s="8">
        <f>G21</f>
        <v>0</v>
      </c>
      <c r="D137" s="8">
        <f>H21</f>
        <v>0</v>
      </c>
    </row>
    <row r="138" spans="2:8" x14ac:dyDescent="0.3">
      <c r="B138" s="7" t="s">
        <v>41</v>
      </c>
      <c r="C138" s="8">
        <f>G42</f>
        <v>0</v>
      </c>
      <c r="D138" s="8">
        <f>H42</f>
        <v>0</v>
      </c>
    </row>
    <row r="139" spans="2:8" x14ac:dyDescent="0.3">
      <c r="B139" s="7" t="s">
        <v>42</v>
      </c>
      <c r="C139" s="8">
        <f>G63</f>
        <v>0</v>
      </c>
      <c r="D139" s="8">
        <f>H63</f>
        <v>0</v>
      </c>
    </row>
    <row r="140" spans="2:8" x14ac:dyDescent="0.3">
      <c r="B140" s="7" t="s">
        <v>43</v>
      </c>
      <c r="C140" s="8">
        <f>G84</f>
        <v>0</v>
      </c>
      <c r="D140" s="8">
        <f>H84</f>
        <v>0</v>
      </c>
    </row>
    <row r="141" spans="2:8" x14ac:dyDescent="0.3">
      <c r="B141" s="7" t="s">
        <v>44</v>
      </c>
      <c r="C141" s="8">
        <f>G105</f>
        <v>0</v>
      </c>
      <c r="D141" s="8">
        <f>H105</f>
        <v>0</v>
      </c>
    </row>
    <row r="142" spans="2:8" x14ac:dyDescent="0.3">
      <c r="B142" s="7" t="s">
        <v>45</v>
      </c>
      <c r="C142" s="8">
        <f>G132</f>
        <v>0</v>
      </c>
      <c r="D142" s="8">
        <f>H132</f>
        <v>0</v>
      </c>
    </row>
    <row r="143" spans="2:8" x14ac:dyDescent="0.3">
      <c r="B143" s="9" t="s">
        <v>46</v>
      </c>
      <c r="C143" s="10">
        <f>SUM(C137:C142)</f>
        <v>0</v>
      </c>
      <c r="D143" s="10">
        <f>SUM(D137:D142)</f>
        <v>0</v>
      </c>
    </row>
  </sheetData>
  <mergeCells count="15">
    <mergeCell ref="B1:H1"/>
    <mergeCell ref="B3:H3"/>
    <mergeCell ref="B87:H87"/>
    <mergeCell ref="B114:H114"/>
    <mergeCell ref="B24:H24"/>
    <mergeCell ref="B107:H112"/>
    <mergeCell ref="B25:D25"/>
    <mergeCell ref="B4:D4"/>
    <mergeCell ref="B135:D135"/>
    <mergeCell ref="B45:H45"/>
    <mergeCell ref="B66:H66"/>
    <mergeCell ref="B46:D46"/>
    <mergeCell ref="B67:D67"/>
    <mergeCell ref="B88:D88"/>
    <mergeCell ref="B115:D115"/>
  </mergeCells>
  <pageMargins left="0.75" right="0.75" top="1" bottom="1" header="0.5" footer="0.5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viewDate xmlns="6d113def-570b-4846-933c-c4043e9faeda" xsi:nil="true"/>
    <TaxCatchAll xmlns="ce06e17a-0a25-4e38-963b-b2da18a9db2c" xsi:nil="true"/>
    <Cutoff xmlns="6d113def-570b-4846-933c-c4043e9faeda">Retention Period Not Yet Determined</Cutoff>
    <Retired_x0020_to_x0020_Record_x0020_Management xmlns="6d113def-570b-4846-933c-c4043e9faeda" xsi:nil="true"/>
    <Disposition xmlns="6d113def-570b-4846-933c-c4043e9faeda">Temporary</Disposition>
    <lcf76f155ced4ddcb4097134ff3c332f xmlns="6d113def-570b-4846-933c-c4043e9faeda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A3F375751C8B14CAD325A7EF32503B3" ma:contentTypeVersion="12" ma:contentTypeDescription="Create a new document." ma:contentTypeScope="" ma:versionID="dac654ab786ad6b75389ef8afe838d07">
  <xsd:schema xmlns:xsd="http://www.w3.org/2001/XMLSchema" xmlns:xs="http://www.w3.org/2001/XMLSchema" xmlns:p="http://schemas.microsoft.com/office/2006/metadata/properties" xmlns:ns2="6d113def-570b-4846-933c-c4043e9faeda" xmlns:ns3="ce06e17a-0a25-4e38-963b-b2da18a9db2c" targetNamespace="http://schemas.microsoft.com/office/2006/metadata/properties" ma:root="true" ma:fieldsID="3b0ff563f5117a8b95d0b06be3fe6d90" ns2:_="" ns3:_="">
    <xsd:import namespace="6d113def-570b-4846-933c-c4043e9faeda"/>
    <xsd:import namespace="ce06e17a-0a25-4e38-963b-b2da18a9db2c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Disposition"/>
                <xsd:element ref="ns2:ReviewDate" minOccurs="0"/>
                <xsd:element ref="ns2:Cutoff"/>
                <xsd:element ref="ns2:Retired_x0020_to_x0020_Record_x0020_Management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113def-570b-4846-933c-c4043e9faeda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10c4236b-c3ef-4727-9e6d-e99ea6baddd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Disposition" ma:index="11" ma:displayName="Disposition" ma:default="Temporary" ma:format="Dropdown" ma:indexed="true" ma:internalName="Disposition">
      <xsd:simpleType>
        <xsd:restriction base="dms:Choice">
          <xsd:enumeration value="Permanent"/>
          <xsd:enumeration value="Temporary"/>
          <xsd:enumeration value="Non-Record"/>
        </xsd:restriction>
      </xsd:simpleType>
    </xsd:element>
    <xsd:element name="ReviewDate" ma:index="12" nillable="true" ma:displayName="Review Date" ma:format="DateOnly" ma:indexed="true" ma:internalName="ReviewDate">
      <xsd:simpleType>
        <xsd:restriction base="dms:DateTime"/>
      </xsd:simpleType>
    </xsd:element>
    <xsd:element name="Cutoff" ma:index="13" ma:displayName="Cutoff" ma:default="Retention Period Not Yet Determined" ma:description="Cutoff provides the instructions for when to retire the records" ma:format="Dropdown" ma:internalName="Cutoff">
      <xsd:simpleType>
        <xsd:restriction base="dms:Choice">
          <xsd:enumeration value="Retention Period Not Yet Determined"/>
          <xsd:enumeration value="When No Longer Needed for Business Use"/>
          <xsd:enumeration value="Permanent/Do Not Destroy"/>
          <xsd:enumeration value="Destroy After 1 Year"/>
          <xsd:enumeration value="Destroy After 2 Years"/>
          <xsd:enumeration value="Destroy After 3 Years"/>
          <xsd:enumeration value="Destroy After 5 Years"/>
          <xsd:enumeration value="Destroy After 6 Years"/>
          <xsd:enumeration value="Destroy After 10 Years"/>
        </xsd:restriction>
      </xsd:simpleType>
    </xsd:element>
    <xsd:element name="Retired_x0020_to_x0020_Record_x0020_Management" ma:index="14" nillable="true" ma:displayName="Retired to Record Management" ma:format="Dropdown" ma:internalName="Retired_x0020_to_x0020_Record_x0020_Management">
      <xsd:simpleType>
        <xsd:restriction base="dms:Choice">
          <xsd:enumeration value="Retired"/>
        </xsd:restriction>
      </xsd:simpleType>
    </xsd:element>
    <xsd:element name="MediaServiceMetadata" ma:index="15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6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06e17a-0a25-4e38-963b-b2da18a9db2c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1fd5a6d8-19cd-48ae-9e95-3504c5643650}" ma:internalName="TaxCatchAll" ma:showField="CatchAllData" ma:web="ce06e17a-0a25-4e38-963b-b2da18a9db2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5925448-52AE-4948-BB7D-0FA8D4004AB2}">
  <ds:schemaRefs>
    <ds:schemaRef ds:uri="http://schemas.microsoft.com/office/2006/metadata/properties"/>
    <ds:schemaRef ds:uri="http://schemas.microsoft.com/office/infopath/2007/PartnerControls"/>
    <ds:schemaRef ds:uri="6d113def-570b-4846-933c-c4043e9faeda"/>
    <ds:schemaRef ds:uri="ce06e17a-0a25-4e38-963b-b2da18a9db2c"/>
  </ds:schemaRefs>
</ds:datastoreItem>
</file>

<file path=customXml/itemProps2.xml><?xml version="1.0" encoding="utf-8"?>
<ds:datastoreItem xmlns:ds="http://schemas.openxmlformats.org/officeDocument/2006/customXml" ds:itemID="{ADF7B62C-9AB9-41A2-9DF1-4CF9AB9524B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d113def-570b-4846-933c-c4043e9faeda"/>
    <ds:schemaRef ds:uri="ce06e17a-0a25-4e38-963b-b2da18a9db2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9455CBA-650F-4F2D-A197-46E9889E128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Pricing Tables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Balseca, Jose J (Quito)</cp:lastModifiedBy>
  <dcterms:created xsi:type="dcterms:W3CDTF">2026-04-21T21:12:51Z</dcterms:created>
  <dcterms:modified xsi:type="dcterms:W3CDTF">2026-04-22T21:53:06Z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665d9ee-429a-4d5f-97cc-cfb56e044a6e_Enabled">
    <vt:lpwstr>true</vt:lpwstr>
  </property>
  <property fmtid="{D5CDD505-2E9C-101B-9397-08002B2CF9AE}" pid="3" name="MSIP_Label_1665d9ee-429a-4d5f-97cc-cfb56e044a6e_SetDate">
    <vt:lpwstr>2026-04-21T21:13:33Z</vt:lpwstr>
  </property>
  <property fmtid="{D5CDD505-2E9C-101B-9397-08002B2CF9AE}" pid="4" name="MSIP_Label_1665d9ee-429a-4d5f-97cc-cfb56e044a6e_Method">
    <vt:lpwstr>Privileged</vt:lpwstr>
  </property>
  <property fmtid="{D5CDD505-2E9C-101B-9397-08002B2CF9AE}" pid="5" name="MSIP_Label_1665d9ee-429a-4d5f-97cc-cfb56e044a6e_Name">
    <vt:lpwstr>1665d9ee-429a-4d5f-97cc-cfb56e044a6e</vt:lpwstr>
  </property>
  <property fmtid="{D5CDD505-2E9C-101B-9397-08002B2CF9AE}" pid="6" name="MSIP_Label_1665d9ee-429a-4d5f-97cc-cfb56e044a6e_SiteId">
    <vt:lpwstr>66cf5074-5afe-48d1-a691-a12b2121f44b</vt:lpwstr>
  </property>
  <property fmtid="{D5CDD505-2E9C-101B-9397-08002B2CF9AE}" pid="7" name="MSIP_Label_1665d9ee-429a-4d5f-97cc-cfb56e044a6e_ActionId">
    <vt:lpwstr>7e24e1b5-bba3-4556-89b8-172bc676c162</vt:lpwstr>
  </property>
  <property fmtid="{D5CDD505-2E9C-101B-9397-08002B2CF9AE}" pid="8" name="MSIP_Label_1665d9ee-429a-4d5f-97cc-cfb56e044a6e_ContentBits">
    <vt:lpwstr>0</vt:lpwstr>
  </property>
  <property fmtid="{D5CDD505-2E9C-101B-9397-08002B2CF9AE}" pid="9" name="MSIP_Label_1665d9ee-429a-4d5f-97cc-cfb56e044a6e_Tag">
    <vt:lpwstr>10, 0, 1, 1</vt:lpwstr>
  </property>
  <property fmtid="{D5CDD505-2E9C-101B-9397-08002B2CF9AE}" pid="10" name="ContentTypeId">
    <vt:lpwstr>0x0101001A3F375751C8B14CAD325A7EF32503B3</vt:lpwstr>
  </property>
  <property fmtid="{D5CDD505-2E9C-101B-9397-08002B2CF9AE}" pid="11" name="MediaServiceImageTags">
    <vt:lpwstr/>
  </property>
</Properties>
</file>