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https://dvagov-my.sharepoint.com/personal/pamela_moffitt_va_gov/Documents/619 Contracts/619-23-105 Correct FCA Assement/"/>
    </mc:Choice>
  </mc:AlternateContent>
  <xr:revisionPtr revIDLastSave="2" documentId="8_{81C578B0-B116-4995-8C33-26910706F553}" xr6:coauthVersionLast="47" xr6:coauthVersionMax="47" xr10:uidLastSave="{6F2AB12C-8C11-462C-B4F0-5E2FC396AB70}"/>
  <bookViews>
    <workbookView xWindow="-120" yWindow="-120" windowWidth="29040" windowHeight="15720" tabRatio="694" xr2:uid="{00000000-000D-0000-FFFF-FFFF00000000}"/>
  </bookViews>
  <sheets>
    <sheet name="Comment-Response Log" sheetId="8" r:id="rId1"/>
    <sheet name="Responsibility Matrix" sheetId="12" state="hidden" r:id="rId2"/>
    <sheet name="Software Dropdown" sheetId="16" state="hidden" r:id="rId3"/>
    <sheet name="DynamoInfo" sheetId="9" state="hidden" r:id="rId4"/>
    <sheet name="Building Codes List" sheetId="11" state="hidden" r:id="rId5"/>
  </sheets>
  <definedNames>
    <definedName name="_xlnm._FilterDatabase" localSheetId="0" hidden="1">'Comment-Response Log'!$A$7:$O$201</definedName>
    <definedName name="_xlnm.Print_Area" localSheetId="0">'Comment-Response Log'!$A$3:$K$40</definedName>
    <definedName name="_xlnm.Print_Titles" localSheetId="0">'Comment-Response Log'!$3:$6</definedName>
    <definedName name="solver_cvg" localSheetId="0" hidden="1">0.001</definedName>
    <definedName name="solver_drv" localSheetId="0" hidden="1">1</definedName>
    <definedName name="solver_est" localSheetId="0" hidden="1">1</definedName>
    <definedName name="solver_itr" localSheetId="0" hidden="1">100</definedName>
    <definedName name="solver_lin" localSheetId="0" hidden="1">2</definedName>
    <definedName name="solver_neg" localSheetId="0" hidden="1">2</definedName>
    <definedName name="solver_num" localSheetId="0" hidden="1">0</definedName>
    <definedName name="solver_nwt" localSheetId="0" hidden="1">1</definedName>
    <definedName name="solver_opt" localSheetId="0" hidden="1">'Comment-Response Log'!#REF!</definedName>
    <definedName name="solver_pre" localSheetId="0" hidden="1">0.000001</definedName>
    <definedName name="solver_scl" localSheetId="0" hidden="1">2</definedName>
    <definedName name="solver_sho" localSheetId="0" hidden="1">2</definedName>
    <definedName name="solver_tim" localSheetId="0" hidden="1">100</definedName>
    <definedName name="solver_tol" localSheetId="0" hidden="1">0.05</definedName>
    <definedName name="solver_typ" localSheetId="0" hidden="1">1</definedName>
    <definedName name="solver_val" localSheetId="0" hidden="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 i="8" l="1"/>
  <c r="A46" i="8" s="1"/>
  <c r="A47" i="8" s="1"/>
  <c r="A48" i="8" s="1"/>
  <c r="A49" i="8" s="1"/>
  <c r="A50" i="8" s="1"/>
  <c r="A51" i="8" s="1"/>
  <c r="A52" i="8" s="1"/>
  <c r="A53" i="8" s="1"/>
  <c r="A54" i="8" s="1"/>
  <c r="A55" i="8" s="1"/>
  <c r="A56" i="8" s="1"/>
  <c r="A57" i="8" s="1"/>
  <c r="A58" i="8" s="1"/>
  <c r="A59" i="8" s="1"/>
  <c r="A60" i="8" s="1"/>
  <c r="A61" i="8" s="1"/>
  <c r="A62" i="8" s="1"/>
  <c r="A63" i="8" s="1"/>
  <c r="A64" i="8" s="1"/>
  <c r="A65" i="8" s="1"/>
  <c r="J38" i="8"/>
  <c r="K38" i="8"/>
  <c r="J80" i="8"/>
  <c r="K80" i="8"/>
  <c r="J116" i="8"/>
  <c r="K116"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9" i="8"/>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J84" i="8"/>
  <c r="K84" i="8"/>
  <c r="J201" i="8"/>
  <c r="K201" i="8" s="1"/>
  <c r="J200" i="8"/>
  <c r="K200" i="8" s="1"/>
  <c r="J199" i="8"/>
  <c r="K199" i="8" s="1"/>
  <c r="J198" i="8"/>
  <c r="K198" i="8" s="1"/>
  <c r="J197" i="8"/>
  <c r="K197" i="8" s="1"/>
  <c r="J196" i="8"/>
  <c r="K196" i="8" s="1"/>
  <c r="J195" i="8"/>
  <c r="K195" i="8" s="1"/>
  <c r="J194" i="8"/>
  <c r="K194" i="8" s="1"/>
  <c r="J193" i="8"/>
  <c r="K193" i="8" s="1"/>
  <c r="J192" i="8"/>
  <c r="K192" i="8" s="1"/>
  <c r="J191" i="8"/>
  <c r="K191" i="8" s="1"/>
  <c r="J190" i="8"/>
  <c r="K190" i="8" s="1"/>
  <c r="J189" i="8"/>
  <c r="K189" i="8" s="1"/>
  <c r="J188" i="8"/>
  <c r="K188" i="8" s="1"/>
  <c r="J187" i="8"/>
  <c r="K187" i="8" s="1"/>
  <c r="J186" i="8"/>
  <c r="K186" i="8" s="1"/>
  <c r="J185" i="8"/>
  <c r="K185" i="8" s="1"/>
  <c r="J184" i="8"/>
  <c r="K184" i="8" s="1"/>
  <c r="J183" i="8"/>
  <c r="K183" i="8" s="1"/>
  <c r="J182" i="8"/>
  <c r="K182" i="8" s="1"/>
  <c r="J181" i="8"/>
  <c r="K181" i="8" s="1"/>
  <c r="J180" i="8"/>
  <c r="K180" i="8" s="1"/>
  <c r="J179" i="8"/>
  <c r="K179" i="8" s="1"/>
  <c r="J178" i="8"/>
  <c r="K178" i="8" s="1"/>
  <c r="J177" i="8"/>
  <c r="K177" i="8" s="1"/>
  <c r="J176" i="8"/>
  <c r="K176" i="8" s="1"/>
  <c r="J175" i="8"/>
  <c r="K175" i="8" s="1"/>
  <c r="J174" i="8"/>
  <c r="K174" i="8" s="1"/>
  <c r="J173" i="8"/>
  <c r="K173" i="8" s="1"/>
  <c r="J172" i="8"/>
  <c r="K172" i="8" s="1"/>
  <c r="J171" i="8"/>
  <c r="K171" i="8" s="1"/>
  <c r="J170" i="8"/>
  <c r="K170" i="8" s="1"/>
  <c r="J169" i="8"/>
  <c r="K169" i="8" s="1"/>
  <c r="J168" i="8"/>
  <c r="K168" i="8" s="1"/>
  <c r="J167" i="8"/>
  <c r="K167" i="8" s="1"/>
  <c r="J166" i="8"/>
  <c r="K166" i="8" s="1"/>
  <c r="J165" i="8"/>
  <c r="K165" i="8" s="1"/>
  <c r="J164" i="8"/>
  <c r="K164" i="8" s="1"/>
  <c r="J163" i="8"/>
  <c r="K163" i="8" s="1"/>
  <c r="J162" i="8"/>
  <c r="K162" i="8" s="1"/>
  <c r="J161" i="8"/>
  <c r="K161" i="8" s="1"/>
  <c r="J160" i="8"/>
  <c r="K160" i="8" s="1"/>
  <c r="J159" i="8"/>
  <c r="K159" i="8" s="1"/>
  <c r="J158" i="8"/>
  <c r="K158" i="8" s="1"/>
  <c r="J157" i="8"/>
  <c r="K157" i="8" s="1"/>
  <c r="J156" i="8"/>
  <c r="K156" i="8" s="1"/>
  <c r="J155" i="8"/>
  <c r="K155" i="8" s="1"/>
  <c r="J154" i="8"/>
  <c r="K154" i="8" s="1"/>
  <c r="J153" i="8"/>
  <c r="K153" i="8" s="1"/>
  <c r="J152" i="8"/>
  <c r="K152" i="8" s="1"/>
  <c r="J151" i="8"/>
  <c r="K151" i="8" s="1"/>
  <c r="J150" i="8"/>
  <c r="K150" i="8" s="1"/>
  <c r="J149" i="8"/>
  <c r="K149" i="8" s="1"/>
  <c r="J148" i="8"/>
  <c r="K148" i="8" s="1"/>
  <c r="J147" i="8"/>
  <c r="K147" i="8" s="1"/>
  <c r="J146" i="8"/>
  <c r="K146" i="8" s="1"/>
  <c r="J145" i="8"/>
  <c r="K145" i="8" s="1"/>
  <c r="J144" i="8"/>
  <c r="K144" i="8" s="1"/>
  <c r="J143" i="8"/>
  <c r="K143" i="8" s="1"/>
  <c r="J142" i="8"/>
  <c r="K142" i="8" s="1"/>
  <c r="J141" i="8"/>
  <c r="K141" i="8" s="1"/>
  <c r="J140" i="8"/>
  <c r="K140" i="8" s="1"/>
  <c r="J139" i="8"/>
  <c r="K139" i="8" s="1"/>
  <c r="J138" i="8"/>
  <c r="K138" i="8" s="1"/>
  <c r="J137" i="8"/>
  <c r="K137" i="8" s="1"/>
  <c r="J136" i="8"/>
  <c r="K136" i="8" s="1"/>
  <c r="J135" i="8"/>
  <c r="K135" i="8" s="1"/>
  <c r="J134" i="8"/>
  <c r="K134" i="8" s="1"/>
  <c r="J133" i="8"/>
  <c r="K133" i="8" s="1"/>
  <c r="J132" i="8"/>
  <c r="K132" i="8" s="1"/>
  <c r="J131" i="8"/>
  <c r="K131" i="8" s="1"/>
  <c r="J130" i="8"/>
  <c r="K130" i="8" s="1"/>
  <c r="J129" i="8"/>
  <c r="K129" i="8" s="1"/>
  <c r="J128" i="8"/>
  <c r="K128" i="8" s="1"/>
  <c r="J127" i="8"/>
  <c r="K127" i="8" s="1"/>
  <c r="J126" i="8"/>
  <c r="K126" i="8" s="1"/>
  <c r="J125" i="8"/>
  <c r="K125" i="8" s="1"/>
  <c r="J124" i="8"/>
  <c r="K124" i="8" s="1"/>
  <c r="J123" i="8"/>
  <c r="K123" i="8" s="1"/>
  <c r="J122" i="8"/>
  <c r="K122" i="8" s="1"/>
  <c r="J121" i="8"/>
  <c r="K121" i="8" s="1"/>
  <c r="J120" i="8"/>
  <c r="K120" i="8" s="1"/>
  <c r="J119" i="8"/>
  <c r="K119" i="8" s="1"/>
  <c r="J118" i="8"/>
  <c r="K118" i="8" s="1"/>
  <c r="J117" i="8"/>
  <c r="K117" i="8" s="1"/>
  <c r="J115" i="8"/>
  <c r="K115" i="8" s="1"/>
  <c r="J114" i="8"/>
  <c r="K114" i="8" s="1"/>
  <c r="J113" i="8"/>
  <c r="K113" i="8" s="1"/>
  <c r="J112" i="8"/>
  <c r="K112" i="8" s="1"/>
  <c r="J111" i="8"/>
  <c r="K111" i="8" s="1"/>
  <c r="J110" i="8"/>
  <c r="K110" i="8" s="1"/>
  <c r="J109" i="8"/>
  <c r="K109" i="8" s="1"/>
  <c r="J108" i="8"/>
  <c r="K108" i="8" s="1"/>
  <c r="J107" i="8"/>
  <c r="K107" i="8" s="1"/>
  <c r="J106" i="8"/>
  <c r="K106" i="8" s="1"/>
  <c r="J105" i="8"/>
  <c r="K105" i="8" s="1"/>
  <c r="J104" i="8"/>
  <c r="K104" i="8" s="1"/>
  <c r="J103" i="8"/>
  <c r="K103" i="8" s="1"/>
  <c r="J102" i="8"/>
  <c r="K102" i="8" s="1"/>
  <c r="J101" i="8"/>
  <c r="K101" i="8" s="1"/>
  <c r="J100" i="8"/>
  <c r="K100" i="8" s="1"/>
  <c r="J99" i="8"/>
  <c r="K99" i="8" s="1"/>
  <c r="J98" i="8"/>
  <c r="K98" i="8" s="1"/>
  <c r="J97" i="8"/>
  <c r="K97" i="8" s="1"/>
  <c r="J96" i="8"/>
  <c r="K96" i="8" s="1"/>
  <c r="J95" i="8"/>
  <c r="K95" i="8" s="1"/>
  <c r="J94" i="8"/>
  <c r="K94" i="8" s="1"/>
  <c r="J93" i="8"/>
  <c r="K93" i="8" s="1"/>
  <c r="J92" i="8"/>
  <c r="K92" i="8" s="1"/>
  <c r="J91" i="8"/>
  <c r="K91" i="8" s="1"/>
  <c r="J90" i="8"/>
  <c r="K90" i="8" s="1"/>
  <c r="J89" i="8"/>
  <c r="K89" i="8" s="1"/>
  <c r="J88" i="8"/>
  <c r="K88" i="8" s="1"/>
  <c r="J87" i="8"/>
  <c r="K87" i="8" s="1"/>
  <c r="J86" i="8"/>
  <c r="K86" i="8" s="1"/>
  <c r="J85" i="8"/>
  <c r="K85" i="8" s="1"/>
  <c r="B81" i="9" l="1"/>
  <c r="B80" i="9"/>
  <c r="B79" i="9"/>
  <c r="B78" i="9"/>
  <c r="B77" i="9"/>
  <c r="B76"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28" i="9" l="1"/>
  <c r="B27" i="9"/>
  <c r="B26" i="9"/>
  <c r="B25" i="9"/>
  <c r="B24" i="9"/>
  <c r="B22" i="9"/>
  <c r="B23" i="9"/>
  <c r="B21" i="9"/>
  <c r="B20" i="9"/>
  <c r="B19" i="9"/>
  <c r="B18" i="9"/>
  <c r="B17" i="9"/>
  <c r="B16" i="9"/>
  <c r="B15" i="9"/>
  <c r="B14" i="9"/>
  <c r="B13" i="9"/>
  <c r="B12" i="9"/>
  <c r="B11" i="9"/>
  <c r="B10" i="9"/>
  <c r="B9" i="9"/>
  <c r="B8" i="9"/>
  <c r="B1" i="9" l="1"/>
  <c r="B2" i="9"/>
  <c r="B3" i="9"/>
  <c r="B4" i="9"/>
  <c r="B5" i="9"/>
  <c r="B6" i="9"/>
  <c r="B7" i="9"/>
  <c r="B75" i="9"/>
  <c r="B74" i="9" l="1"/>
  <c r="B43" i="9" l="1"/>
  <c r="B41" i="9"/>
  <c r="B39" i="9"/>
  <c r="B37" i="9"/>
  <c r="B35" i="9"/>
  <c r="B33" i="9"/>
  <c r="B31" i="9"/>
  <c r="J83" i="8" l="1"/>
  <c r="K83" i="8" s="1"/>
  <c r="J82" i="8"/>
  <c r="K82" i="8" s="1"/>
  <c r="J81" i="8"/>
  <c r="K81" i="8" s="1"/>
  <c r="J79" i="8"/>
  <c r="K79" i="8" s="1"/>
  <c r="J78" i="8"/>
  <c r="K78" i="8" s="1"/>
  <c r="J77" i="8"/>
  <c r="K77" i="8" s="1"/>
  <c r="J76" i="8"/>
  <c r="K76" i="8" s="1"/>
  <c r="J75" i="8"/>
  <c r="K75" i="8" s="1"/>
  <c r="J74" i="8"/>
  <c r="K74" i="8" s="1"/>
  <c r="J73" i="8"/>
  <c r="K73" i="8" s="1"/>
  <c r="J72" i="8"/>
  <c r="K72" i="8" s="1"/>
  <c r="J71" i="8"/>
  <c r="K71" i="8" s="1"/>
  <c r="J70" i="8"/>
  <c r="K70" i="8" s="1"/>
  <c r="J69" i="8"/>
  <c r="K69" i="8" s="1"/>
  <c r="J68" i="8"/>
  <c r="K68" i="8" s="1"/>
  <c r="J67" i="8"/>
  <c r="K67" i="8" s="1"/>
  <c r="J66" i="8"/>
  <c r="K66" i="8" s="1"/>
  <c r="J65" i="8"/>
  <c r="K65" i="8" s="1"/>
  <c r="J64" i="8"/>
  <c r="K64" i="8" s="1"/>
  <c r="J63" i="8"/>
  <c r="K63" i="8" s="1"/>
  <c r="J62" i="8"/>
  <c r="K62" i="8" s="1"/>
  <c r="J61" i="8"/>
  <c r="K61" i="8" s="1"/>
  <c r="J60" i="8"/>
  <c r="K60" i="8" s="1"/>
  <c r="J59" i="8"/>
  <c r="K59" i="8" s="1"/>
  <c r="J58" i="8"/>
  <c r="K58" i="8" s="1"/>
  <c r="J57" i="8"/>
  <c r="K57" i="8" s="1"/>
  <c r="J56" i="8"/>
  <c r="K56" i="8" s="1"/>
  <c r="J55" i="8"/>
  <c r="K55" i="8" s="1"/>
  <c r="J54" i="8"/>
  <c r="K54" i="8" s="1"/>
  <c r="J53" i="8"/>
  <c r="K53" i="8" s="1"/>
  <c r="J52" i="8"/>
  <c r="K52" i="8" s="1"/>
  <c r="J51" i="8"/>
  <c r="K51" i="8" s="1"/>
  <c r="J50" i="8"/>
  <c r="K50" i="8" s="1"/>
  <c r="J49" i="8"/>
  <c r="K49" i="8" s="1"/>
  <c r="J48" i="8"/>
  <c r="K48" i="8" s="1"/>
  <c r="J47" i="8"/>
  <c r="K47" i="8" s="1"/>
  <c r="J46" i="8"/>
  <c r="K46" i="8" s="1"/>
  <c r="J45" i="8"/>
  <c r="K45" i="8" s="1"/>
  <c r="J44" i="8"/>
  <c r="K44" i="8" s="1"/>
  <c r="J43" i="8"/>
  <c r="K43" i="8" s="1"/>
  <c r="J42" i="8"/>
  <c r="K42" i="8" s="1"/>
  <c r="J41" i="8"/>
  <c r="K41" i="8" s="1"/>
  <c r="J40" i="8"/>
  <c r="K40" i="8" s="1"/>
  <c r="J39" i="8"/>
  <c r="K39" i="8" s="1"/>
  <c r="J37" i="8"/>
  <c r="K37" i="8" s="1"/>
  <c r="J36" i="8"/>
  <c r="K36" i="8" s="1"/>
  <c r="J35" i="8"/>
  <c r="K35" i="8" s="1"/>
  <c r="J34" i="8"/>
  <c r="K34" i="8" s="1"/>
  <c r="J33" i="8"/>
  <c r="K33" i="8" s="1"/>
  <c r="J32" i="8"/>
  <c r="K32" i="8" s="1"/>
  <c r="J31" i="8"/>
  <c r="K31" i="8" s="1"/>
  <c r="J30" i="8"/>
  <c r="K30" i="8" s="1"/>
  <c r="J29" i="8"/>
  <c r="K29" i="8" s="1"/>
  <c r="J28" i="8"/>
  <c r="K28" i="8" s="1"/>
  <c r="J27" i="8"/>
  <c r="K27" i="8" s="1"/>
  <c r="J26" i="8"/>
  <c r="K26" i="8" s="1"/>
  <c r="J25" i="8"/>
  <c r="K25" i="8" s="1"/>
  <c r="J24" i="8"/>
  <c r="K24" i="8" s="1"/>
  <c r="J23" i="8"/>
  <c r="K23" i="8" s="1"/>
  <c r="J22" i="8"/>
  <c r="K22" i="8" s="1"/>
  <c r="J21" i="8"/>
  <c r="K21" i="8" s="1"/>
  <c r="J20" i="8"/>
  <c r="K20" i="8" s="1"/>
  <c r="J19" i="8"/>
  <c r="K19" i="8" s="1"/>
  <c r="J18" i="8"/>
  <c r="K18" i="8" s="1"/>
  <c r="J17" i="8"/>
  <c r="K17" i="8" s="1"/>
  <c r="J16" i="8"/>
  <c r="K16" i="8" s="1"/>
  <c r="J15" i="8"/>
  <c r="K15" i="8" s="1"/>
  <c r="J14" i="8"/>
  <c r="K14" i="8" s="1"/>
  <c r="J13" i="8"/>
  <c r="K13" i="8" s="1"/>
  <c r="J12" i="8"/>
  <c r="K12" i="8" s="1"/>
  <c r="J11" i="8"/>
  <c r="K11" i="8" s="1"/>
  <c r="J10" i="8"/>
  <c r="K10" i="8" s="1"/>
  <c r="J9" i="8"/>
  <c r="K9" i="8" s="1"/>
  <c r="J8" i="8"/>
  <c r="K8" i="8" s="1"/>
  <c r="J3" i="8"/>
  <c r="B30" i="9" l="1"/>
  <c r="B32" i="9" l="1"/>
  <c r="B34" i="9" l="1"/>
  <c r="B36" i="9" l="1"/>
  <c r="B38" i="9" l="1"/>
  <c r="B40" i="9" l="1"/>
  <c r="B42" i="9" l="1"/>
</calcChain>
</file>

<file path=xl/sharedStrings.xml><?xml version="1.0" encoding="utf-8"?>
<sst xmlns="http://schemas.openxmlformats.org/spreadsheetml/2006/main" count="494" uniqueCount="385">
  <si>
    <t>Project Name:</t>
  </si>
  <si>
    <t>Montgomery Legionella Design</t>
  </si>
  <si>
    <t>VA Project Number:</t>
  </si>
  <si>
    <t>619-23-105</t>
  </si>
  <si>
    <t>ACG Project Number:</t>
  </si>
  <si>
    <t>23-039</t>
  </si>
  <si>
    <t>Pre-Bid RFI Response Log</t>
  </si>
  <si>
    <t>REQUIRED</t>
  </si>
  <si>
    <t>Tracking</t>
  </si>
  <si>
    <t>Backcheck</t>
  </si>
  <si>
    <t>Item
#</t>
  </si>
  <si>
    <t>Sheet / 
Page #</t>
  </si>
  <si>
    <t>Pre-Bid RFI</t>
  </si>
  <si>
    <t>Entry
Date</t>
  </si>
  <si>
    <t>Finish
Date</t>
  </si>
  <si>
    <t>Discipline</t>
  </si>
  <si>
    <t>AE Responder Initials</t>
  </si>
  <si>
    <t>AE Accept/ Reject?</t>
  </si>
  <si>
    <t>AE Response</t>
  </si>
  <si>
    <r>
      <t xml:space="preserve">Status
CLOSED /
OPEN  </t>
    </r>
    <r>
      <rPr>
        <sz val="10"/>
        <color theme="1"/>
        <rFont val="Arial"/>
        <family val="2"/>
      </rPr>
      <t xml:space="preserve">  </t>
    </r>
  </si>
  <si>
    <t>Days
Open</t>
  </si>
  <si>
    <t>RFI?</t>
  </si>
  <si>
    <t>Back Checker</t>
  </si>
  <si>
    <t>Location of update</t>
  </si>
  <si>
    <t>Column1</t>
  </si>
  <si>
    <t>Will the Mechanical system need to be tested and balanced? Please advise.</t>
  </si>
  <si>
    <t>Mech</t>
  </si>
  <si>
    <t>SMR</t>
  </si>
  <si>
    <t>Yes, testing and balancing will have to be performed. Spec section 23 05 93- Testing, Adjusting, and Balancing for HVAC will be added.</t>
  </si>
  <si>
    <t>Will Pro Press plumbing joints be allowed? Please advise.</t>
  </si>
  <si>
    <t>VA</t>
  </si>
  <si>
    <t>No, pro press fittings are not allowed at VA. Spec section 22 11 00 paragraph 2.2.B.3.</t>
  </si>
  <si>
    <t>Is any commissioning required on this project?</t>
  </si>
  <si>
    <t>Can the Superintendent also be the Prime Contractor’s Commissioning Manager during 
commissioning?</t>
  </si>
  <si>
    <t>Is a full-time on-site quality control manager required for this project?</t>
  </si>
  <si>
    <t>Can the Superintendent also be the quality control manager?</t>
  </si>
  <si>
    <t xml:space="preserve">Is a full-time on-site Safety and Health Officer required for this project? </t>
  </si>
  <si>
    <t>Can the Superintendent also be the site safety and Health Officer?</t>
  </si>
  <si>
    <t xml:space="preserve">Can the Superintendent be Triple hatted as the SSHO and QC Manager? </t>
  </si>
  <si>
    <t>As is typical for most VA projects can the QC plan be implemented by the onsite superintendent 
and administrated by the PM without additional staff (other than what is required for 
commissioning) as call for in 01 45 00.?</t>
  </si>
  <si>
    <t>Has this funding request been approved and available to the NCO station?</t>
  </si>
  <si>
    <t>When does the VA expect this project to start?</t>
  </si>
  <si>
    <t xml:space="preserve">Will any of this work have to be performed after hours or weekends? </t>
  </si>
  <si>
    <t>Yes, work in patient areas, common areas, offices, conference rooms, exam rooms, consultation rooms, and other similar areas that are occupied on a regular basis during business hours shall be performed after business hours from 4 pm to 12:00 am, or during the weekends. Please also refer to G-003.</t>
  </si>
  <si>
    <t>Will this project be done in phases?</t>
  </si>
  <si>
    <t xml:space="preserve">Yes, this project shall be phased. Please refer to General Phasing Notes on P-001 for phasing requirements. Contractor shall submit a detailed phasing plan for review by the COR, architect and engineer. Phasing plan shall include, 
but not be limited to, start and end dates of all tasks throughout the entire project, and date and 
duration of suggested shutdowns.
</t>
  </si>
  <si>
    <t>Will each phase have to be fully completed before moving to the next or can some phases be 
completed simultaneously?</t>
  </si>
  <si>
    <t>Each phase shall be fully completed before moving to the next.  The contactor shall finish work in one area before starting work in another area.</t>
  </si>
  <si>
    <t>How many areas will we be given at a time?</t>
  </si>
  <si>
    <t>One area at a time. No more than half of a wing shall be shut down at the same time without approval. The area of work shall be minimized and shall coincide with a logical domestic water cut off point. The contactor shall finish work in one area before starting work in another area.</t>
  </si>
  <si>
    <t>Will the contractor have to ask for access to certain areas weeks ahead of time in order to be 
given access to some areas?</t>
  </si>
  <si>
    <t>Yes, schedule all shutdowns with the contracting officer's representative (COR) a minimum of three (3) weeks in advance.</t>
  </si>
  <si>
    <t xml:space="preserve">Can the VA provide some indication of how they expect the contractor to maintain ICRA 
throughout the project since the project involves the entire building? </t>
  </si>
  <si>
    <t xml:space="preserve">No more than half of a wing shall be shut down at the same time without approval. The area of work shall be minimized and shall coincide with a logical domestic water cut off point. The contactor shall finish work in one area before starting work in another area. Please refer to G-003 for areas where work inside the walls, above hard ceiling, or other activities that create increased dust level compared to the rest of the above ceiling work is expected. These areas are classified by ICRA class. Refer to G-002 for ICRA class precausions and requirements. In addition, any area caring for immunocompromised patients, Cardiac Cath Lab/IR, Central Sterile Supply, Sterile Processing Service, Intensive Care Units, Medical/Surgical Units, Negative pressure isolation Rooms, Outpatient Chemotherapy Areas, Operating rooms, Post Anesthesia Care Unit, Dialysis, Dental Areas will need ICRA barriers in accordance with G-002.
</t>
  </si>
  <si>
    <t xml:space="preserve">Will all work need to be performed from HEPA carts? </t>
  </si>
  <si>
    <t>No, please refer to question above and the following. Where ICRA barrier in accordance with NFPA 241 is not required, work above the ceiling in HIGH Risk Group 3 shall be performed using HEPA carts. LOW Risk Group 1 and Medium Risk Group 2 do not require HEPA carts but the contractor still needs to provide Infection control precausions in accordance with table on G-002.</t>
  </si>
  <si>
    <t xml:space="preserve">Will the contractor be required to turn the existing sprinkler heads up during construction once 
the ceiling is removed? </t>
  </si>
  <si>
    <t>Yes, sprinkler heads shall be temporarily turned up within the area of work. Please refer to General phasing note 6 on P-001. Contractor shall provide fire watch for the sprinkler / fire alarm imparements more than 4 hours in a 24 hr period. Please refer to BUILDING AND OCCUPANT SAFETY - INTERRUPTION OF  
FIRE PROTECTION SERVICE on FX001.</t>
  </si>
  <si>
    <t>Who is the manufacturer of the current Fire Alarm system</t>
  </si>
  <si>
    <t>Please provide contact name and phone number for who services the current Fire Alarm System</t>
  </si>
  <si>
    <t>Who is the manufacturer of the current Security and Access Control system?</t>
  </si>
  <si>
    <t xml:space="preserve">Please provide contact name and phone number for who services the current Security and Access 
Control System? </t>
  </si>
  <si>
    <t>Please confirm whether the Access Control work in this project is to be CFCI, OFCI, or OFOI?</t>
  </si>
  <si>
    <t>Who is the manufacturer of the current CCTV system?</t>
  </si>
  <si>
    <t>Please provide contact name and phone number for who services the current CCTV System?</t>
  </si>
  <si>
    <t>Please confirm whether the CCTV work in this project is to be CFCI, OFCI, or OFOI?</t>
  </si>
  <si>
    <t>Who is the manufacturer of the current Telecommunications system?</t>
  </si>
  <si>
    <t>Please provide contact name and phone number for who services the current Telecommunications 
System?</t>
  </si>
  <si>
    <t>Who is the manufacturer of the current HVAC Controls?</t>
  </si>
  <si>
    <t xml:space="preserve">Please provide contact name and phone number for who services the current HVAC Controls? </t>
  </si>
  <si>
    <t xml:space="preserve">Who is the manufacturer of the current Building Automation System? </t>
  </si>
  <si>
    <t>Please provide contact name and phone number for who services the current Building 
Automation System?</t>
  </si>
  <si>
    <t>Is there any chance of uncovering hazardous materials? 
a. If so please provide the latest hazardous materials survey report for the area of 
construction?</t>
  </si>
  <si>
    <t xml:space="preserve">Yes. Please refer to Asbestos Note on P-001 and specification section 02 82 13.13 paragraph 1.1.B. </t>
  </si>
  <si>
    <t>Who is the existing signage contractor for this VA?</t>
  </si>
  <si>
    <t>Will the contractor be responsible for any permits?</t>
  </si>
  <si>
    <t>The Project Scope of work defines who is responsible for what aspects.  Definitions are listed below the table.  Modify what is necessary in the scope and the description of work for each party responsible.  
Level of Development for each project, per the company standard, is LOD 300, as the ultimate objective to convey design intent and produce construction documentation.  However, depending on the scope, budget, schedule, and the team assembled to execute the project, it may be necessary to complete a Model Element LOD Breakdown worksheet to create a detailed plan of the elements to either be modeled or excluded from modeling for this project, depending on which is more expedient.</t>
  </si>
  <si>
    <r>
      <rPr>
        <b/>
        <sz val="10"/>
        <rFont val="Arial"/>
        <family val="2"/>
      </rPr>
      <t>BIM Use Chart - What is BIM being used to accomplish on this project.</t>
    </r>
    <r>
      <rPr>
        <sz val="10"/>
        <rFont val="Arial"/>
        <family val="2"/>
      </rPr>
      <t xml:space="preserve">
Remove items from this chart that are doing being done utilizing a Building Information Modeling process on this project.  If an entire column is not being used (i.e. Operations), remove that whole column as necessary.
</t>
    </r>
    <r>
      <rPr>
        <sz val="8"/>
        <rFont val="Arial"/>
        <family val="2"/>
      </rPr>
      <t>*It is important to define the final "Model" delivery to the owner at the end of the project.  The simplist is to provide the owner with the individual deisgn models and invidual construction models, along with a Navisworks coordinated full design/construction model.  Understand how the owner plans to use the models and keep them updated.
Also note that creation of a fully updated, as-built project model can be very expensive to create.  If required, meet with the project manager and the BIM manager to discuss how best to accomplish this deliverable.</t>
    </r>
  </si>
  <si>
    <t>Project Scope</t>
  </si>
  <si>
    <t>Description of Work</t>
  </si>
  <si>
    <t>Responsible Party</t>
  </si>
  <si>
    <t>Scope</t>
  </si>
  <si>
    <t>Planning</t>
  </si>
  <si>
    <t>Design</t>
  </si>
  <si>
    <t>Construction</t>
  </si>
  <si>
    <t>Operations</t>
  </si>
  <si>
    <t>Site</t>
  </si>
  <si>
    <t>Benchmark, Design, CD's</t>
  </si>
  <si>
    <t>Civil Engineer Consultant</t>
  </si>
  <si>
    <t>Model Creation</t>
  </si>
  <si>
    <t>Laser Scan Existing Conditions</t>
  </si>
  <si>
    <t>Architectural</t>
  </si>
  <si>
    <t>Building Enclosure</t>
  </si>
  <si>
    <t>Energy, Control, and Facility Management</t>
  </si>
  <si>
    <t>Landscape</t>
  </si>
  <si>
    <t>Existing and New site and element creation, Design, CD's</t>
  </si>
  <si>
    <t>ACG</t>
  </si>
  <si>
    <t>Site Layout</t>
  </si>
  <si>
    <t>Civil</t>
  </si>
  <si>
    <t>Framing and Drywall</t>
  </si>
  <si>
    <t>Record Update*</t>
  </si>
  <si>
    <t>Structure</t>
  </si>
  <si>
    <t>Model Creation, Analysis, Design, CD's Shop drawings, Model Coordination</t>
  </si>
  <si>
    <t>Programming Options</t>
  </si>
  <si>
    <t>Mechanical</t>
  </si>
  <si>
    <t>As-Built Update</t>
  </si>
  <si>
    <t>Architecture</t>
  </si>
  <si>
    <t>Existing and New Building Model Creation, LEED Evaluation, Design, CD's, Model Coordination, Record Drawings</t>
  </si>
  <si>
    <t>Existing Building Modeling</t>
  </si>
  <si>
    <t>Electrical</t>
  </si>
  <si>
    <t>Existing and New Building Model Creation, Energy Analysis, Daylighting, Design, CD's, Model Coordination</t>
  </si>
  <si>
    <t>Plumbing</t>
  </si>
  <si>
    <t>Existing and New Building Model Creation, Design, CD's, Model Coordination</t>
  </si>
  <si>
    <t>Fire Protection</t>
  </si>
  <si>
    <t>Interiors</t>
  </si>
  <si>
    <t>Owner Furnished Equipment</t>
  </si>
  <si>
    <t>Landscaping</t>
  </si>
  <si>
    <t>Structural</t>
  </si>
  <si>
    <t>Structural and Supports</t>
  </si>
  <si>
    <t>Model Creation:</t>
  </si>
  <si>
    <t>Model Creation is the act by a Project Participant in creating a Model that represents their physical scope of work.  Each Project Participant will design utilizing the models from other participants to mitigate design conflicts as they arise.</t>
  </si>
  <si>
    <t>Model Analysis</t>
  </si>
  <si>
    <t>LEED Evaluation</t>
  </si>
  <si>
    <t>LEED Documentation</t>
  </si>
  <si>
    <t>Building Operation Optimization</t>
  </si>
  <si>
    <t>Model Analysis:</t>
  </si>
  <si>
    <t>Model Analysis consists of a Project Participant analyzing models for a specific purpose.  e.g. structural analysis, energy analysis, cost analysis, logistics planning, etc.</t>
  </si>
  <si>
    <t>Logistics (4D)</t>
  </si>
  <si>
    <t>Space Management Planning</t>
  </si>
  <si>
    <t>Model Coordination:</t>
  </si>
  <si>
    <t xml:space="preserve">Model coordination consists of a formal review process by the Project Participants at project milestones, or more frequently if project needs dictate, to resolve physical and sequence clashes that could not be resolved by Participants during Model Creation. </t>
  </si>
  <si>
    <t>Cost Estimation (5D)</t>
  </si>
  <si>
    <t>Digital Fabrication Planning</t>
  </si>
  <si>
    <t>Disaster Planning</t>
  </si>
  <si>
    <t>Air Distribution</t>
  </si>
  <si>
    <t>Pre-Con Cost Estimate</t>
  </si>
  <si>
    <t>Water/Mechanical Piping</t>
  </si>
  <si>
    <t>Code Validation</t>
  </si>
  <si>
    <t>Lighting and Daylighting</t>
  </si>
  <si>
    <t>Energy Use</t>
  </si>
  <si>
    <t>Model Coordination</t>
  </si>
  <si>
    <t>Underground MEP</t>
  </si>
  <si>
    <t>Overhead MEP</t>
  </si>
  <si>
    <t>In-Wall MEP</t>
  </si>
  <si>
    <t>On-Wall Equip and Furnishings</t>
  </si>
  <si>
    <t>On-Wall Equipment and Furnishings</t>
  </si>
  <si>
    <t>Exterior Enclosure</t>
  </si>
  <si>
    <t>Documentation</t>
  </si>
  <si>
    <t xml:space="preserve">Programming  </t>
  </si>
  <si>
    <t>Contract Documentation</t>
  </si>
  <si>
    <t>Change Order Updates</t>
  </si>
  <si>
    <t>Record Drawings</t>
  </si>
  <si>
    <t>Coordinated Shop Drawings/Models</t>
  </si>
  <si>
    <t>As-Built Models</t>
  </si>
  <si>
    <t>Model Walk Through</t>
  </si>
  <si>
    <t>Design Software</t>
  </si>
  <si>
    <t>Collaboration Methods</t>
  </si>
  <si>
    <t>AutoCAD 2016</t>
  </si>
  <si>
    <t>Aconex</t>
  </si>
  <si>
    <t>AutoCAD 2017</t>
  </si>
  <si>
    <t>Ajera</t>
  </si>
  <si>
    <t>AutoCAD 2019</t>
  </si>
  <si>
    <t>BIM 360</t>
  </si>
  <si>
    <t>AutoCAD 2020</t>
  </si>
  <si>
    <t>Newforma</t>
  </si>
  <si>
    <t>Civil 3D 2017</t>
  </si>
  <si>
    <t>PlanGrid</t>
  </si>
  <si>
    <t>Civil 3D 2019</t>
  </si>
  <si>
    <t>Procore</t>
  </si>
  <si>
    <t>Civil 3D 2020</t>
  </si>
  <si>
    <t>Sharepoint</t>
  </si>
  <si>
    <t>Revit 2016</t>
  </si>
  <si>
    <t>Revit 2017</t>
  </si>
  <si>
    <t>Revit 2019</t>
  </si>
  <si>
    <t>Revit 2020</t>
  </si>
  <si>
    <t>Revit 2021</t>
  </si>
  <si>
    <t>AutoCAD MEP 2017</t>
  </si>
  <si>
    <t>AutoCAD MEP 2019</t>
  </si>
  <si>
    <t>AutoCAD MEP 2020</t>
  </si>
  <si>
    <t>RISA</t>
  </si>
  <si>
    <t>Hourly Analysis Program</t>
  </si>
  <si>
    <t>Green Building Studio</t>
  </si>
  <si>
    <t>STAAD Pro</t>
  </si>
  <si>
    <t>SAFE</t>
  </si>
  <si>
    <t>TRACE 700</t>
  </si>
  <si>
    <t>Visual Lighting Software</t>
  </si>
  <si>
    <t>AGI</t>
  </si>
  <si>
    <t>Robot</t>
  </si>
  <si>
    <t>Insight</t>
  </si>
  <si>
    <t>ElumTools</t>
  </si>
  <si>
    <t>SAP</t>
  </si>
  <si>
    <t>Navisworks 2019</t>
  </si>
  <si>
    <t>Navisworks 2020</t>
  </si>
  <si>
    <t>Revizto</t>
  </si>
  <si>
    <t>Solibri</t>
  </si>
  <si>
    <t>Tekla</t>
  </si>
  <si>
    <t>Vectorworks</t>
  </si>
  <si>
    <t>ArchiCAD</t>
  </si>
  <si>
    <t>Microstation</t>
  </si>
  <si>
    <t>Solidworks</t>
  </si>
  <si>
    <t>Catia</t>
  </si>
  <si>
    <t>TRNSYS</t>
  </si>
  <si>
    <t>HVAC Solution</t>
  </si>
  <si>
    <t>BricsCAD</t>
  </si>
  <si>
    <t>3D Studio Max</t>
  </si>
  <si>
    <t>Enscape</t>
  </si>
  <si>
    <t>Rhino</t>
  </si>
  <si>
    <t>Grasshopper</t>
  </si>
  <si>
    <t>Lumion</t>
  </si>
  <si>
    <t>Maya</t>
  </si>
  <si>
    <t>ACG Project Number</t>
  </si>
  <si>
    <t>Project Issue Date</t>
  </si>
  <si>
    <t>Project Status</t>
  </si>
  <si>
    <t>Client Name</t>
  </si>
  <si>
    <t>VA Project Number</t>
  </si>
  <si>
    <t>Project Name</t>
  </si>
  <si>
    <t>Project Address</t>
  </si>
  <si>
    <t>Code: Building Code</t>
  </si>
  <si>
    <t>Code: Plumbing Code</t>
  </si>
  <si>
    <t>Code: Mechanical Code</t>
  </si>
  <si>
    <t>Code: Electrical Code</t>
  </si>
  <si>
    <t>Code: Fire Code</t>
  </si>
  <si>
    <t>Code: Energy Code</t>
  </si>
  <si>
    <t>Code: Other Code 1</t>
  </si>
  <si>
    <t>Code: Other Code 2</t>
  </si>
  <si>
    <t>Code: Other Code 3</t>
  </si>
  <si>
    <t>Code: Existing Building Code</t>
  </si>
  <si>
    <t>Code: Construction Type</t>
  </si>
  <si>
    <t>Code: Primary Occupancy</t>
  </si>
  <si>
    <t>Code: Proposed Use</t>
  </si>
  <si>
    <t>Code: Secondary Use</t>
  </si>
  <si>
    <t>Code: Accessibility Code</t>
  </si>
  <si>
    <t>Code: Life Safety Code</t>
  </si>
  <si>
    <t>Code: Accessibility Code 2</t>
  </si>
  <si>
    <t>Organization Name</t>
  </si>
  <si>
    <t>Organization Description</t>
  </si>
  <si>
    <t>Building Name</t>
  </si>
  <si>
    <t>Author</t>
  </si>
  <si>
    <t>Managing Office Address</t>
  </si>
  <si>
    <t>Place Managing Office Address Here
City, State and Zip Code</t>
  </si>
  <si>
    <t>Milestone: Milestone 1 Date</t>
  </si>
  <si>
    <t>Milestone: Milestone 1 Description</t>
  </si>
  <si>
    <t>Milestone: Milestone 2 Date</t>
  </si>
  <si>
    <t>Milestone: Milestone 2 Description</t>
  </si>
  <si>
    <t>Milestone: Milestone 3 Date</t>
  </si>
  <si>
    <t>Milestone: Milestone 3 Description</t>
  </si>
  <si>
    <t>Milestone: Milestone 4 Date</t>
  </si>
  <si>
    <t>Milestone: Milestone 4 Description</t>
  </si>
  <si>
    <t>Milestone: Milestone 5 Date</t>
  </si>
  <si>
    <t>Milestone: Milestone 5 Description</t>
  </si>
  <si>
    <t>Milestone: Milestone 6 Date</t>
  </si>
  <si>
    <t>Milestone: Milestone 6 Description</t>
  </si>
  <si>
    <t>Milestone: Milestone 7 Date</t>
  </si>
  <si>
    <t>Milestone: Milestone 7 Description</t>
  </si>
  <si>
    <t>Team: Architecture</t>
  </si>
  <si>
    <t>Team: Architecture Contact</t>
  </si>
  <si>
    <t>Team: Audio Visual</t>
  </si>
  <si>
    <t>Team: Audio Visual Contact</t>
  </si>
  <si>
    <t>Team: Civil</t>
  </si>
  <si>
    <t>Team: Civil Contact</t>
  </si>
  <si>
    <t>Team: Electrical</t>
  </si>
  <si>
    <t>Team: Electrical Contact</t>
  </si>
  <si>
    <t>Team: Fire Protection</t>
  </si>
  <si>
    <t>Team: Fire Protection Contact</t>
  </si>
  <si>
    <t>Team: Food Service</t>
  </si>
  <si>
    <t>Team: Food Service Contact</t>
  </si>
  <si>
    <t>Team: Interiors</t>
  </si>
  <si>
    <t>Team: Interiors Contact</t>
  </si>
  <si>
    <t>Team: Landscape</t>
  </si>
  <si>
    <t>Team: Landscape Contact</t>
  </si>
  <si>
    <t>Team: Low Voltage</t>
  </si>
  <si>
    <t>Team: Low Voltage Contact</t>
  </si>
  <si>
    <t>Team: Mechanical</t>
  </si>
  <si>
    <t>Team: Mechanical Contact</t>
  </si>
  <si>
    <t>Team: Plumbing</t>
  </si>
  <si>
    <t>Team: Plumbing Contact</t>
  </si>
  <si>
    <t>Team: Structural</t>
  </si>
  <si>
    <t>Team: Structural Contact</t>
  </si>
  <si>
    <t>Team: Surveillance</t>
  </si>
  <si>
    <t>Team: Surveillance Contact</t>
  </si>
  <si>
    <t>Team: Lighting</t>
  </si>
  <si>
    <t>Team: Lighting Contact</t>
  </si>
  <si>
    <t>Team: Process</t>
  </si>
  <si>
    <t>Team: Process Contact</t>
  </si>
  <si>
    <t>Building Number</t>
  </si>
  <si>
    <t>Approved Project Director</t>
  </si>
  <si>
    <t>Project CO</t>
  </si>
  <si>
    <t>Project CO Contact</t>
  </si>
  <si>
    <t>Project COR</t>
  </si>
  <si>
    <t>Project COR Contact</t>
  </si>
  <si>
    <t>Project Manager</t>
  </si>
  <si>
    <t>Project Manager Contact</t>
  </si>
  <si>
    <t>2018 International Building Code</t>
  </si>
  <si>
    <t>2018 International Residential Code</t>
  </si>
  <si>
    <t>2018 International Energy Conservation Code</t>
  </si>
  <si>
    <t>2018 International Mechanical Code</t>
  </si>
  <si>
    <t>2018 International Fuel Gas Code</t>
  </si>
  <si>
    <t>2018 International Swimming Pool and Spa Code</t>
  </si>
  <si>
    <t>2018 International Existing Building Code</t>
  </si>
  <si>
    <t>2018 International Plumbing Code</t>
  </si>
  <si>
    <t>2019 NFPA 13 Standard for Installation of Sprinkler Systems</t>
  </si>
  <si>
    <t>2019 NFPA 14 Standard for installation of standpipe</t>
  </si>
  <si>
    <t>2019 NFPA 20 Standard for stationary pumps for fire protection</t>
  </si>
  <si>
    <t>2018 NFPA 70E Standard for electrical safety in the workplace</t>
  </si>
  <si>
    <t>2017 NFPA 70 National Electrical Code</t>
  </si>
  <si>
    <t>2019 NFPA 72 National Fire Alarm and Signaling Code</t>
  </si>
  <si>
    <t>2017 NFPA 75 Standard for the fire protection of information technology</t>
  </si>
  <si>
    <t>2016 NFPA 76 Standard for the fire protection of Telecommunications Facilities</t>
  </si>
  <si>
    <t>2019 NFPA 77 Recommended practice on static electricity</t>
  </si>
  <si>
    <t>2019 NFPA 88A Standard for Parking Structures</t>
  </si>
  <si>
    <t>2018 NFPA 90A Standard for Air Conditioning and Ventilating</t>
  </si>
  <si>
    <t>2018 NFPA 99 Health Care Facilities code</t>
  </si>
  <si>
    <t>2018 NFPA 101 Life Safety Code</t>
  </si>
  <si>
    <t>2019 NFPA 110 Standard for emergency and standby power systems</t>
  </si>
  <si>
    <t>2018 NFPA 730 Guide for Premises Security</t>
  </si>
  <si>
    <t>2017 NFPA 731 Standard for installation of electronic premises security systems</t>
  </si>
  <si>
    <t>2017 NFPA 780 Standard for installation of lighting protection systems</t>
  </si>
  <si>
    <t>2018 NFPA 790 Standard for competency of third party field evaluation</t>
  </si>
  <si>
    <t>2018 NFPA 791 Recommendation practictice and procedures for unlabeled electrical eq. eval</t>
  </si>
  <si>
    <t>ASHRAE 90.1-2016</t>
  </si>
  <si>
    <t>ASHRAE 170-2017</t>
  </si>
  <si>
    <t>ASHRAE 62.1-2016</t>
  </si>
  <si>
    <t>VA Design Guide HVAC Design Manual 2017 November 01</t>
  </si>
  <si>
    <t>VA Design Guide Plumbing Design Manual 2018 May 01</t>
  </si>
  <si>
    <t>VA Design Guide Electrical Design Manual 2015 December 01</t>
  </si>
  <si>
    <t>VA Design Guide Architectural Manual 2014 August 01</t>
  </si>
  <si>
    <t>VA Design Guide Fire Protection Manual 2015 December</t>
  </si>
  <si>
    <t>VA BIM Manual Version 2.2</t>
  </si>
  <si>
    <t>2010 ADA Standards for Accessible Design</t>
  </si>
  <si>
    <t>Refer to specifications.</t>
  </si>
  <si>
    <t xml:space="preserve">Yes.  </t>
  </si>
  <si>
    <t>Yes</t>
  </si>
  <si>
    <t xml:space="preserve"> </t>
  </si>
  <si>
    <t>Q4 FY2026</t>
  </si>
  <si>
    <t>Metays</t>
  </si>
  <si>
    <t>Johnson Control</t>
  </si>
  <si>
    <t>VA Manages</t>
  </si>
  <si>
    <t>Yes. Hot work permits. Confined space.Etc.</t>
  </si>
  <si>
    <t>Not relevant to plumbing project.</t>
  </si>
  <si>
    <t xml:space="preserve">Does the VA currently have a water monitoring system in place? </t>
  </si>
  <si>
    <t>Plumb</t>
  </si>
  <si>
    <t>There are existing PHIGENICS  water quality monitoring stations are located at water service entracnces. Please also refer to P-503 details 4 and 5.</t>
  </si>
  <si>
    <t xml:space="preserve">If so, please provide the contact name and phone number for who services the current Water 
Monitoring System? </t>
  </si>
  <si>
    <t xml:space="preserve">Please provide a basis of design product for the Chlorination Injection Stations? </t>
  </si>
  <si>
    <t>There are no new chlorination injection stations. The end of loop monitoring stations only monitor chlorine residual and water temperatures (on hot and cold) as indicated on detail 4 and 5, P-503.</t>
  </si>
  <si>
    <t xml:space="preserve">Please provide a basis of design product for the Continuous Water Monitoring System? </t>
  </si>
  <si>
    <t>Basis of design is Phigenics panel. Panels WQMS-2 through 6  shall include chlorine analyzers for hot and cold water, temperature monitoring for hot and cold water. Panel WQMS-1 shall include chlorine analyzer for cold water, temperature monitoring for cold water.The
system must continuously monitor these sensors and make the data available
securely using any Internet connected device. Each water quality monitoring station must be pre-wired
and pre-plumbed on a single panel to ensure high quality and a simple
installation.</t>
  </si>
  <si>
    <t xml:space="preserve">Is the VA wanting to include maintenance of the new water monitoring system, including 
chemical injections, in this contract for a period of time? </t>
  </si>
  <si>
    <t xml:space="preserve">Is the VA intending for this water monitoring system to have an online monitoring system similar 
to what PhiGenics provides? </t>
  </si>
  <si>
    <t>Yes.</t>
  </si>
  <si>
    <t xml:space="preserve">When installing the new chiller, please confirm that NO temporary chiller or AHU’s will be 
required by the contractor? </t>
  </si>
  <si>
    <t>No temporary chiller or AHUs will be required by the contractor.</t>
  </si>
  <si>
    <t xml:space="preserve">In the scope of work, section 2.1.1 Removal of Dead-Leg Piping, it states “Identify and remove 
all sections of domestic water “dead-leg” piping” Have all sections of dead-leg piping not already 
been identified and called out on the plumbing demolition drawings?  </t>
  </si>
  <si>
    <t>Dead legs are identified on drawings. Demolish dead-leg piping as indicated on drawings.</t>
  </si>
  <si>
    <t xml:space="preserve">Will the contractor have to provide exploratory services to Identify more dead-leg piping? </t>
  </si>
  <si>
    <t>No, however if new dead legs are identified during demolition and/or new work, contractor shall submit an RFI to confirm course of action for the new dead legs.</t>
  </si>
  <si>
    <t xml:space="preserve">Will the VA please provide existing Reflected Ceiling Plans for all of the Areas in the Plumbing 
demolition drawings, as it is likely that most all of these ceilings will have to be removed and 
replaced for this work? </t>
  </si>
  <si>
    <t>There is no Division 9 specifications, does the VA not intend for the contractor to have to 
perform any ceiling, drywall, or painting work?</t>
  </si>
  <si>
    <t>Arch</t>
  </si>
  <si>
    <t>KC</t>
  </si>
  <si>
    <t>Yes, this work is expected to happen. division 9 spec will be added. Please also refer to details 7, 8, 9 on G-002.</t>
  </si>
  <si>
    <t xml:space="preserve">Where can we stage materials on the site? </t>
  </si>
  <si>
    <t xml:space="preserve">Will the site need to be fenced off during construction? </t>
  </si>
  <si>
    <t>What is the height from finished floor to bottom of deck above on each floor of Building 1?</t>
  </si>
  <si>
    <t xml:space="preserve">Will the VA have the different rooms cleared enough for the contractor to perform their work 
before the contractor begins? </t>
  </si>
  <si>
    <t xml:space="preserve">Will the contractor be required to move any of the existing furniture or equipment? </t>
  </si>
  <si>
    <t>If the contractor is responsible for moving the existing furniture, will storage be available from 
the VA for the furniture, equipment, or casework?</t>
  </si>
  <si>
    <t xml:space="preserve">Has the VA performed a structural analysis on the existing third floor roof to confirm it can 
support the 2000 gallon storage tank, AHU, and Chiller? </t>
  </si>
  <si>
    <t>HD</t>
  </si>
  <si>
    <t>Yes, the existing structure has been checked/evaluated to support new penthouse and all new loads.</t>
  </si>
  <si>
    <t xml:space="preserve">Keynote 1 on sheet E-401 is &lt;Varies&gt;. Please clarify what Keynote 1 is supposed to say? </t>
  </si>
  <si>
    <t>KTK</t>
  </si>
  <si>
    <t>Key note 1 should read:
PROVIDE ONE 3-PHASE 400A MCB 480/277V
SURFACE MOUNTED PANELBOARD. SEE E-601
FOR PANEL SCHEDULE AND SINGLE-LINE
DIAGRAM.</t>
  </si>
  <si>
    <t xml:space="preserve">Can the bid date for the project be extended to provide more time for contractors? </t>
  </si>
  <si>
    <t xml:space="preserve">Can a second round of RFIs be submitted once the initial RFI answers are provided as usually 
these answers call for more clarifications in most cases? </t>
  </si>
  <si>
    <t>No</t>
  </si>
  <si>
    <t>Discussed at Notice to Proceed</t>
  </si>
  <si>
    <t>Materials site? Yes.</t>
  </si>
  <si>
    <t>Refer to plans.</t>
  </si>
  <si>
    <t>Personnel will be out of the way.</t>
  </si>
  <si>
    <t>If it is needed to be moved yes.</t>
  </si>
  <si>
    <t>Phigenics LLC, 38701 West Ave, Suite 100, Warrenville, IL 60555</t>
  </si>
  <si>
    <t>No recent plans can be provided with this information.</t>
  </si>
  <si>
    <t xml:space="preserve">RFP due date unchanged </t>
  </si>
  <si>
    <t xml:space="preserve">RFI's have closed, no additonial RFI's will be accepted.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</si>
</sst>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
    <numFmt numFmtId="165" formatCode="mm/dd/yy;@"/>
    <numFmt numFmtId="166" formatCode="[$-409]d/mmm;@"/>
    <numFmt numFmtId="167" formatCode="[$-409]d\-mmm\-yy;@"/>
    <numFmt numFmtId="168" formatCode="mm/dd/yyyy"/>
  </numFmts>
  <fonts count="25" x14ac:knownFonts="1">
    <font>
      <sz val="10"/>
      <name val="Arial"/>
    </font>
    <font>
      <sz val="11"/>
      <color theme="1"/>
      <name val="Calibri"/>
      <family val="2"/>
      <scheme val="minor"/>
    </font>
    <font>
      <sz val="11"/>
      <color theme="1"/>
      <name val="Calibri"/>
      <family val="2"/>
      <scheme val="minor"/>
    </font>
    <font>
      <sz val="10"/>
      <name val="Arial"/>
      <family val="2"/>
    </font>
    <font>
      <b/>
      <sz val="10"/>
      <color indexed="9"/>
      <name val="Arial"/>
      <family val="2"/>
    </font>
    <font>
      <b/>
      <sz val="10"/>
      <color indexed="10"/>
      <name val="Arial"/>
      <family val="2"/>
    </font>
    <font>
      <b/>
      <sz val="10"/>
      <name val="Arial"/>
      <family val="2"/>
    </font>
    <font>
      <sz val="10"/>
      <color indexed="8"/>
      <name val="Arial"/>
      <family val="2"/>
    </font>
    <font>
      <sz val="10"/>
      <name val="Arial"/>
      <family val="2"/>
    </font>
    <font>
      <b/>
      <sz val="10"/>
      <color theme="5" tint="-0.249977111117893"/>
      <name val="Arial"/>
      <family val="2"/>
    </font>
    <font>
      <sz val="11"/>
      <name val="Arial"/>
      <family val="2"/>
    </font>
    <font>
      <b/>
      <sz val="11"/>
      <name val="Arial"/>
      <family val="2"/>
    </font>
    <font>
      <b/>
      <sz val="10"/>
      <color theme="0"/>
      <name val="Arial"/>
      <family val="2"/>
    </font>
    <font>
      <b/>
      <sz val="11"/>
      <color theme="3"/>
      <name val="Calibri"/>
      <family val="2"/>
      <scheme val="minor"/>
    </font>
    <font>
      <b/>
      <sz val="11"/>
      <color theme="5" tint="-0.249977111117893"/>
      <name val="Arial"/>
      <family val="2"/>
    </font>
    <font>
      <sz val="11"/>
      <color theme="5" tint="-0.249977111117893"/>
      <name val="Arial"/>
      <family val="2"/>
    </font>
    <font>
      <sz val="10"/>
      <color theme="1"/>
      <name val="Arial"/>
      <family val="2"/>
    </font>
    <font>
      <b/>
      <sz val="11"/>
      <color rgb="FF800000"/>
      <name val="Arial"/>
      <family val="2"/>
    </font>
    <font>
      <b/>
      <sz val="20"/>
      <color theme="1" tint="0.499984740745262"/>
      <name val="Arial"/>
      <family val="2"/>
    </font>
    <font>
      <b/>
      <sz val="12"/>
      <color theme="0"/>
      <name val="Arial"/>
      <family val="2"/>
    </font>
    <font>
      <b/>
      <sz val="10"/>
      <color theme="1"/>
      <name val="Arial"/>
      <family val="2"/>
    </font>
    <font>
      <sz val="11"/>
      <name val="Calibri"/>
      <family val="2"/>
    </font>
    <font>
      <sz val="8"/>
      <name val="Arial"/>
      <family val="2"/>
    </font>
    <font>
      <sz val="10"/>
      <color rgb="FF000000"/>
      <name val="Arial"/>
      <family val="2"/>
      <charset val="1"/>
    </font>
    <font>
      <sz val="10"/>
      <color rgb="FF000000"/>
      <name val="Arial"/>
      <charset val="1"/>
    </font>
  </fonts>
  <fills count="14">
    <fill>
      <patternFill patternType="none"/>
    </fill>
    <fill>
      <patternFill patternType="gray125"/>
    </fill>
    <fill>
      <patternFill patternType="solid">
        <fgColor theme="0"/>
        <bgColor indexed="64"/>
      </patternFill>
    </fill>
    <fill>
      <patternFill patternType="solid">
        <fgColor rgb="FF800000"/>
        <bgColor indexed="64"/>
      </patternFill>
    </fill>
    <fill>
      <patternFill patternType="solid">
        <fgColor theme="0" tint="-0.249977111117893"/>
        <bgColor indexed="64"/>
      </patternFill>
    </fill>
    <fill>
      <patternFill patternType="solid">
        <fgColor theme="0" tint="-4.9989318521683403E-2"/>
        <bgColor indexed="47"/>
      </patternFill>
    </fill>
    <fill>
      <patternFill patternType="solid">
        <fgColor rgb="FF00B0F0"/>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2"/>
        <bgColor indexed="64"/>
      </patternFill>
    </fill>
    <fill>
      <patternFill patternType="solid">
        <fgColor theme="0" tint="-0.14999847407452621"/>
        <bgColor indexed="64"/>
      </patternFill>
    </fill>
  </fills>
  <borders count="33">
    <border>
      <left/>
      <right/>
      <top/>
      <bottom/>
      <diagonal/>
    </border>
    <border>
      <left/>
      <right style="medium">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000000"/>
      </right>
      <top style="medium">
        <color rgb="FF000000"/>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indexed="64"/>
      </left>
      <right style="thin">
        <color theme="0"/>
      </right>
      <top/>
      <bottom/>
      <diagonal/>
    </border>
    <border>
      <left style="thin">
        <color theme="0"/>
      </left>
      <right/>
      <top/>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style="thin">
        <color indexed="64"/>
      </left>
      <right style="medium">
        <color rgb="FF000000"/>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s>
  <cellStyleXfs count="7">
    <xf numFmtId="0" fontId="0" fillId="0" borderId="0"/>
    <xf numFmtId="0" fontId="8" fillId="0" borderId="0"/>
    <xf numFmtId="0" fontId="2" fillId="0" borderId="0"/>
    <xf numFmtId="0" fontId="3" fillId="0" borderId="0"/>
    <xf numFmtId="0" fontId="13" fillId="0" borderId="0" applyNumberFormat="0" applyFill="0" applyBorder="0" applyAlignment="0" applyProtection="0"/>
    <xf numFmtId="0" fontId="3" fillId="0" borderId="0"/>
    <xf numFmtId="0" fontId="1" fillId="0" borderId="0"/>
  </cellStyleXfs>
  <cellXfs count="146">
    <xf numFmtId="0" fontId="0" fillId="0" borderId="0" xfId="0"/>
    <xf numFmtId="0" fontId="3" fillId="0" borderId="0" xfId="3"/>
    <xf numFmtId="0" fontId="3" fillId="0" borderId="0" xfId="3" applyAlignment="1">
      <alignment horizontal="center"/>
    </xf>
    <xf numFmtId="0" fontId="15" fillId="0" borderId="0" xfId="4" applyFont="1" applyFill="1" applyProtection="1"/>
    <xf numFmtId="0" fontId="3" fillId="0" borderId="0" xfId="3" applyAlignment="1">
      <alignment horizontal="left" vertical="center"/>
    </xf>
    <xf numFmtId="0" fontId="6" fillId="0" borderId="0" xfId="3" applyFont="1" applyAlignment="1">
      <alignment horizontal="center"/>
    </xf>
    <xf numFmtId="0" fontId="20" fillId="4" borderId="2" xfId="3" applyFont="1" applyFill="1" applyBorder="1" applyAlignment="1">
      <alignment horizontal="center" vertical="center" wrapText="1"/>
    </xf>
    <xf numFmtId="166" fontId="20" fillId="4" borderId="2" xfId="3" applyNumberFormat="1" applyFont="1" applyFill="1" applyBorder="1" applyAlignment="1">
      <alignment horizontal="center" vertical="center" wrapText="1"/>
    </xf>
    <xf numFmtId="0" fontId="20" fillId="4" borderId="3" xfId="3" applyFont="1" applyFill="1" applyBorder="1" applyAlignment="1">
      <alignment horizontal="center" vertical="center" wrapText="1"/>
    </xf>
    <xf numFmtId="0" fontId="7" fillId="0" borderId="4" xfId="3" applyFont="1" applyBorder="1" applyAlignment="1" applyProtection="1">
      <alignment horizontal="center" vertical="top" wrapText="1"/>
      <protection locked="0"/>
    </xf>
    <xf numFmtId="14" fontId="3" fillId="0" borderId="4" xfId="3" applyNumberFormat="1" applyBorder="1" applyAlignment="1" applyProtection="1">
      <alignment horizontal="left" vertical="top" wrapText="1"/>
      <protection locked="0"/>
    </xf>
    <xf numFmtId="167" fontId="3" fillId="0" borderId="4" xfId="3" applyNumberFormat="1" applyBorder="1" applyAlignment="1" applyProtection="1">
      <alignment horizontal="center" vertical="top" wrapText="1"/>
      <protection locked="0"/>
    </xf>
    <xf numFmtId="14" fontId="3" fillId="0" borderId="4" xfId="3" applyNumberFormat="1" applyBorder="1" applyAlignment="1" applyProtection="1">
      <alignment horizontal="center" vertical="top" wrapText="1"/>
      <protection locked="0"/>
    </xf>
    <xf numFmtId="0" fontId="3" fillId="0" borderId="0" xfId="3" applyAlignment="1">
      <alignment wrapText="1"/>
    </xf>
    <xf numFmtId="0" fontId="6" fillId="0" borderId="0" xfId="3" applyFont="1" applyAlignment="1">
      <alignment wrapText="1"/>
    </xf>
    <xf numFmtId="0" fontId="5" fillId="0" borderId="0" xfId="3" applyFont="1" applyAlignment="1">
      <alignment wrapText="1"/>
    </xf>
    <xf numFmtId="0" fontId="5" fillId="0" borderId="0" xfId="3" applyFont="1" applyAlignment="1">
      <alignment horizontal="center" vertical="top" wrapText="1"/>
    </xf>
    <xf numFmtId="0" fontId="7" fillId="0" borderId="0" xfId="3" applyFont="1" applyAlignment="1">
      <alignment horizontal="center" vertical="top" wrapText="1"/>
    </xf>
    <xf numFmtId="0" fontId="3" fillId="0" borderId="0" xfId="3" applyAlignment="1">
      <alignment horizontal="left"/>
    </xf>
    <xf numFmtId="166" fontId="3" fillId="0" borderId="0" xfId="3" applyNumberFormat="1"/>
    <xf numFmtId="0" fontId="5" fillId="0" borderId="0" xfId="3" applyFont="1"/>
    <xf numFmtId="0" fontId="0" fillId="6" borderId="0" xfId="0" applyFill="1"/>
    <xf numFmtId="0" fontId="0" fillId="6" borderId="0" xfId="0" applyFill="1" applyAlignment="1">
      <alignment horizontal="left"/>
    </xf>
    <xf numFmtId="168" fontId="0" fillId="6" borderId="0" xfId="0" applyNumberFormat="1" applyFill="1" applyAlignment="1">
      <alignment horizontal="left"/>
    </xf>
    <xf numFmtId="0" fontId="0" fillId="6" borderId="0" xfId="0" applyFill="1" applyAlignment="1">
      <alignment horizontal="left" wrapText="1"/>
    </xf>
    <xf numFmtId="0" fontId="0" fillId="7" borderId="0" xfId="0" applyFill="1"/>
    <xf numFmtId="0" fontId="0" fillId="7" borderId="0" xfId="0" applyFill="1" applyAlignment="1">
      <alignment horizontal="left"/>
    </xf>
    <xf numFmtId="0" fontId="0" fillId="8" borderId="0" xfId="0" applyFill="1"/>
    <xf numFmtId="0" fontId="0" fillId="8" borderId="0" xfId="0" applyFill="1" applyAlignment="1">
      <alignment horizontal="left"/>
    </xf>
    <xf numFmtId="0" fontId="0" fillId="9" borderId="0" xfId="0" applyFill="1"/>
    <xf numFmtId="0" fontId="0" fillId="10" borderId="0" xfId="0" applyFill="1"/>
    <xf numFmtId="168" fontId="0" fillId="10" borderId="0" xfId="0" applyNumberFormat="1" applyFill="1" applyAlignment="1">
      <alignment horizontal="left"/>
    </xf>
    <xf numFmtId="0" fontId="0" fillId="10" borderId="0" xfId="0" applyFill="1" applyAlignment="1">
      <alignment horizontal="left"/>
    </xf>
    <xf numFmtId="0" fontId="0" fillId="9" borderId="0" xfId="0" applyFill="1" applyAlignment="1">
      <alignment horizontal="left" wrapText="1"/>
    </xf>
    <xf numFmtId="0" fontId="0" fillId="11" borderId="0" xfId="0" applyFill="1"/>
    <xf numFmtId="0" fontId="0" fillId="11" borderId="0" xfId="0" applyFill="1" applyAlignment="1">
      <alignment horizontal="left"/>
    </xf>
    <xf numFmtId="0" fontId="3" fillId="0" borderId="0" xfId="0" applyFont="1"/>
    <xf numFmtId="0" fontId="0" fillId="12" borderId="0" xfId="0" applyFill="1"/>
    <xf numFmtId="0" fontId="0" fillId="0" borderId="4" xfId="0" applyBorder="1"/>
    <xf numFmtId="0" fontId="0" fillId="0" borderId="4" xfId="0" applyBorder="1" applyAlignment="1">
      <alignment wrapText="1"/>
    </xf>
    <xf numFmtId="0" fontId="0" fillId="0" borderId="2" xfId="0" applyBorder="1"/>
    <xf numFmtId="0" fontId="0" fillId="0" borderId="2" xfId="0" applyBorder="1" applyAlignment="1">
      <alignment wrapText="1"/>
    </xf>
    <xf numFmtId="0" fontId="0" fillId="13" borderId="5" xfId="0" applyFill="1" applyBorder="1"/>
    <xf numFmtId="0" fontId="0" fillId="13" borderId="6" xfId="0" applyFill="1" applyBorder="1"/>
    <xf numFmtId="0" fontId="0" fillId="13" borderId="7" xfId="0" applyFill="1" applyBorder="1"/>
    <xf numFmtId="0" fontId="6" fillId="0" borderId="0" xfId="0" applyFont="1" applyAlignment="1">
      <alignment vertical="center"/>
    </xf>
    <xf numFmtId="0" fontId="3" fillId="0" borderId="4" xfId="0" applyFont="1" applyBorder="1" applyAlignment="1">
      <alignment wrapText="1"/>
    </xf>
    <xf numFmtId="0" fontId="0" fillId="0" borderId="0" xfId="0" applyAlignment="1">
      <alignment horizontal="center" vertical="center" wrapText="1"/>
    </xf>
    <xf numFmtId="0" fontId="3" fillId="0" borderId="4" xfId="0" applyFont="1" applyBorder="1" applyAlignment="1">
      <alignment horizontal="center" vertical="center" wrapText="1"/>
    </xf>
    <xf numFmtId="0" fontId="0" fillId="0" borderId="4" xfId="0" applyBorder="1" applyAlignment="1">
      <alignment horizontal="center" vertical="center" wrapText="1"/>
    </xf>
    <xf numFmtId="0" fontId="3" fillId="0" borderId="2" xfId="0" applyFont="1" applyBorder="1" applyAlignment="1">
      <alignment horizontal="center" vertical="center" wrapText="1"/>
    </xf>
    <xf numFmtId="0" fontId="0" fillId="13" borderId="5" xfId="0" applyFill="1" applyBorder="1" applyAlignment="1">
      <alignment horizontal="center" vertical="center" wrapText="1"/>
    </xf>
    <xf numFmtId="0" fontId="0" fillId="13" borderId="6" xfId="0" applyFill="1" applyBorder="1" applyAlignment="1">
      <alignment horizontal="center" vertical="center" wrapText="1"/>
    </xf>
    <xf numFmtId="0" fontId="0" fillId="13" borderId="7" xfId="0" applyFill="1" applyBorder="1" applyAlignment="1">
      <alignment horizontal="center" vertical="center" wrapText="1"/>
    </xf>
    <xf numFmtId="0" fontId="6" fillId="0" borderId="0" xfId="0" applyFont="1"/>
    <xf numFmtId="9" fontId="7" fillId="0" borderId="4" xfId="3" applyNumberFormat="1" applyFont="1" applyBorder="1" applyAlignment="1" applyProtection="1">
      <alignment horizontal="center" vertical="top" wrapText="1"/>
      <protection locked="0"/>
    </xf>
    <xf numFmtId="0" fontId="3" fillId="0" borderId="4" xfId="3" applyBorder="1" applyAlignment="1">
      <alignment wrapText="1"/>
    </xf>
    <xf numFmtId="0" fontId="5" fillId="0" borderId="4" xfId="3" applyFont="1" applyBorder="1" applyAlignment="1">
      <alignment wrapText="1"/>
    </xf>
    <xf numFmtId="0" fontId="15" fillId="2" borderId="0" xfId="4" applyFont="1" applyFill="1" applyBorder="1" applyProtection="1"/>
    <xf numFmtId="0" fontId="15" fillId="2" borderId="0" xfId="4" applyFont="1" applyFill="1" applyBorder="1" applyAlignment="1" applyProtection="1">
      <alignment wrapText="1"/>
    </xf>
    <xf numFmtId="0" fontId="10" fillId="2" borderId="13" xfId="4" applyFont="1" applyFill="1" applyBorder="1" applyAlignment="1">
      <alignment horizontal="left"/>
    </xf>
    <xf numFmtId="166" fontId="15" fillId="2" borderId="0" xfId="4" applyNumberFormat="1" applyFont="1" applyFill="1" applyBorder="1" applyProtection="1"/>
    <xf numFmtId="0" fontId="15" fillId="2" borderId="0" xfId="4" applyFont="1" applyFill="1" applyBorder="1" applyAlignment="1" applyProtection="1">
      <alignment horizontal="left"/>
    </xf>
    <xf numFmtId="0" fontId="17" fillId="2" borderId="13" xfId="4" applyFont="1" applyFill="1" applyBorder="1" applyAlignment="1"/>
    <xf numFmtId="166" fontId="15" fillId="2" borderId="15" xfId="4" applyNumberFormat="1" applyFont="1" applyFill="1" applyBorder="1" applyProtection="1"/>
    <xf numFmtId="166" fontId="11" fillId="2" borderId="15" xfId="4" applyNumberFormat="1" applyFont="1" applyFill="1" applyBorder="1" applyProtection="1"/>
    <xf numFmtId="0" fontId="15" fillId="2" borderId="15" xfId="4" applyFont="1" applyFill="1" applyBorder="1" applyProtection="1"/>
    <xf numFmtId="14" fontId="14" fillId="2" borderId="15" xfId="4" applyNumberFormat="1" applyFont="1" applyFill="1" applyBorder="1" applyAlignment="1" applyProtection="1">
      <alignment horizontal="left"/>
    </xf>
    <xf numFmtId="0" fontId="11" fillId="2" borderId="15" xfId="4" applyFont="1" applyFill="1" applyBorder="1" applyProtection="1"/>
    <xf numFmtId="0" fontId="15" fillId="2" borderId="15" xfId="4" applyFont="1" applyFill="1" applyBorder="1" applyAlignment="1" applyProtection="1">
      <alignment wrapText="1"/>
    </xf>
    <xf numFmtId="0" fontId="15" fillId="2" borderId="16" xfId="4" applyFont="1" applyFill="1" applyBorder="1" applyProtection="1"/>
    <xf numFmtId="0" fontId="15" fillId="2" borderId="18" xfId="4" applyFont="1" applyFill="1" applyBorder="1" applyProtection="1"/>
    <xf numFmtId="0" fontId="18" fillId="2" borderId="0" xfId="3" applyFont="1" applyFill="1" applyAlignment="1">
      <alignment vertical="center"/>
    </xf>
    <xf numFmtId="164" fontId="4" fillId="2" borderId="0" xfId="3" applyNumberFormat="1" applyFont="1" applyFill="1" applyAlignment="1">
      <alignment horizontal="center" vertical="center"/>
    </xf>
    <xf numFmtId="1" fontId="5" fillId="2" borderId="0" xfId="3" applyNumberFormat="1" applyFont="1" applyFill="1" applyAlignment="1">
      <alignment horizontal="right" vertical="center" wrapText="1"/>
    </xf>
    <xf numFmtId="0" fontId="3" fillId="2" borderId="0" xfId="3" applyFill="1" applyAlignment="1">
      <alignment horizontal="left" vertical="center" wrapText="1"/>
    </xf>
    <xf numFmtId="0" fontId="3" fillId="2" borderId="18" xfId="3" applyFill="1" applyBorder="1" applyAlignment="1">
      <alignment horizontal="left" vertical="center"/>
    </xf>
    <xf numFmtId="0" fontId="5" fillId="2" borderId="17" xfId="3" applyFont="1" applyFill="1" applyBorder="1" applyAlignment="1">
      <alignment horizontal="center" vertical="top" wrapText="1"/>
    </xf>
    <xf numFmtId="0" fontId="6" fillId="2" borderId="0" xfId="3" applyFont="1" applyFill="1" applyAlignment="1">
      <alignment vertical="center"/>
    </xf>
    <xf numFmtId="165" fontId="9" fillId="2" borderId="0" xfId="3" applyNumberFormat="1" applyFont="1" applyFill="1" applyAlignment="1" applyProtection="1">
      <alignment horizontal="center" vertical="center"/>
      <protection locked="0"/>
    </xf>
    <xf numFmtId="0" fontId="3" fillId="2" borderId="0" xfId="3" applyFill="1" applyAlignment="1">
      <alignment wrapText="1"/>
    </xf>
    <xf numFmtId="0" fontId="3" fillId="2" borderId="18" xfId="3" applyFill="1" applyBorder="1"/>
    <xf numFmtId="0" fontId="6" fillId="2" borderId="12" xfId="3" applyFont="1" applyFill="1" applyBorder="1" applyAlignment="1">
      <alignment vertical="center"/>
    </xf>
    <xf numFmtId="0" fontId="6" fillId="2" borderId="11" xfId="3" applyFont="1" applyFill="1" applyBorder="1" applyAlignment="1">
      <alignment vertical="center"/>
    </xf>
    <xf numFmtId="0" fontId="18" fillId="2" borderId="11" xfId="3" applyFont="1" applyFill="1" applyBorder="1" applyAlignment="1">
      <alignment vertical="center"/>
    </xf>
    <xf numFmtId="165" fontId="9" fillId="2" borderId="11" xfId="3" applyNumberFormat="1" applyFont="1" applyFill="1" applyBorder="1" applyAlignment="1" applyProtection="1">
      <alignment horizontal="center" vertical="center"/>
      <protection locked="0"/>
    </xf>
    <xf numFmtId="0" fontId="3" fillId="2" borderId="11" xfId="3" applyFill="1" applyBorder="1" applyAlignment="1">
      <alignment wrapText="1"/>
    </xf>
    <xf numFmtId="0" fontId="6" fillId="2" borderId="11" xfId="3" applyFont="1" applyFill="1" applyBorder="1" applyAlignment="1">
      <alignment horizontal="center" wrapText="1"/>
    </xf>
    <xf numFmtId="0" fontId="6" fillId="2" borderId="3" xfId="3" applyFont="1" applyFill="1" applyBorder="1" applyAlignment="1">
      <alignment horizontal="center"/>
    </xf>
    <xf numFmtId="0" fontId="11" fillId="2" borderId="15" xfId="4" applyFont="1" applyFill="1" applyBorder="1" applyAlignment="1"/>
    <xf numFmtId="0" fontId="11" fillId="2" borderId="0" xfId="4" applyFont="1" applyFill="1" applyBorder="1" applyAlignment="1">
      <alignment horizontal="left"/>
    </xf>
    <xf numFmtId="0" fontId="11" fillId="2" borderId="0" xfId="3" applyFont="1" applyFill="1" applyAlignment="1">
      <alignment horizontal="left" vertical="center"/>
    </xf>
    <xf numFmtId="0" fontId="11" fillId="2" borderId="14" xfId="4" applyFont="1" applyFill="1" applyBorder="1" applyAlignment="1"/>
    <xf numFmtId="0" fontId="11" fillId="2" borderId="17" xfId="4" applyFont="1" applyFill="1" applyBorder="1" applyAlignment="1">
      <alignment horizontal="left"/>
    </xf>
    <xf numFmtId="0" fontId="11" fillId="2" borderId="17" xfId="3" applyFont="1" applyFill="1" applyBorder="1" applyAlignment="1">
      <alignment horizontal="left" vertical="center"/>
    </xf>
    <xf numFmtId="0" fontId="12" fillId="3" borderId="0" xfId="3" applyFont="1" applyFill="1" applyAlignment="1">
      <alignment horizontal="center" vertical="center" wrapText="1"/>
    </xf>
    <xf numFmtId="0" fontId="7" fillId="0" borderId="10" xfId="3" applyFont="1" applyBorder="1" applyAlignment="1" applyProtection="1">
      <alignment horizontal="center" vertical="top" wrapText="1"/>
      <protection locked="0"/>
    </xf>
    <xf numFmtId="14" fontId="3" fillId="0" borderId="10" xfId="3" applyNumberFormat="1" applyBorder="1" applyAlignment="1" applyProtection="1">
      <alignment horizontal="left" vertical="top" wrapText="1"/>
      <protection locked="0"/>
    </xf>
    <xf numFmtId="167" fontId="3" fillId="0" borderId="10" xfId="3" applyNumberFormat="1" applyBorder="1" applyAlignment="1" applyProtection="1">
      <alignment horizontal="center" vertical="top" wrapText="1"/>
      <protection locked="0"/>
    </xf>
    <xf numFmtId="14" fontId="3" fillId="0" borderId="10" xfId="3" applyNumberFormat="1" applyBorder="1" applyAlignment="1" applyProtection="1">
      <alignment horizontal="center" vertical="top" wrapText="1"/>
      <protection locked="0"/>
    </xf>
    <xf numFmtId="0" fontId="5" fillId="0" borderId="10" xfId="3" applyFont="1" applyBorder="1" applyAlignment="1">
      <alignment wrapText="1"/>
    </xf>
    <xf numFmtId="0" fontId="3" fillId="0" borderId="10" xfId="3" applyBorder="1" applyAlignment="1">
      <alignment wrapText="1"/>
    </xf>
    <xf numFmtId="0" fontId="20" fillId="4" borderId="12" xfId="3" applyFont="1" applyFill="1" applyBorder="1" applyAlignment="1">
      <alignment horizontal="center" vertical="center" wrapText="1"/>
    </xf>
    <xf numFmtId="14" fontId="3" fillId="0" borderId="2" xfId="3" applyNumberFormat="1" applyBorder="1" applyAlignment="1" applyProtection="1">
      <alignment horizontal="center" vertical="top" wrapText="1"/>
      <protection locked="0"/>
    </xf>
    <xf numFmtId="0" fontId="12" fillId="3" borderId="26" xfId="3" applyFont="1" applyFill="1" applyBorder="1" applyAlignment="1">
      <alignment horizontal="center" vertical="center" wrapText="1"/>
    </xf>
    <xf numFmtId="0" fontId="20" fillId="4" borderId="28" xfId="3" applyFont="1" applyFill="1" applyBorder="1" applyAlignment="1">
      <alignment horizontal="center" vertical="center" wrapText="1"/>
    </xf>
    <xf numFmtId="0" fontId="6" fillId="4" borderId="0" xfId="3" applyFont="1" applyFill="1" applyAlignment="1">
      <alignment horizontal="center" vertical="center" wrapText="1"/>
    </xf>
    <xf numFmtId="0" fontId="6" fillId="5" borderId="20" xfId="3" applyFont="1" applyFill="1" applyBorder="1" applyAlignment="1">
      <alignment horizontal="center" vertical="top" wrapText="1"/>
    </xf>
    <xf numFmtId="0" fontId="3" fillId="0" borderId="19" xfId="3" applyBorder="1" applyAlignment="1">
      <alignment wrapText="1"/>
    </xf>
    <xf numFmtId="0" fontId="3" fillId="0" borderId="14" xfId="3" applyBorder="1" applyAlignment="1">
      <alignment wrapText="1"/>
    </xf>
    <xf numFmtId="1" fontId="20" fillId="4" borderId="30" xfId="3" applyNumberFormat="1" applyFont="1" applyFill="1" applyBorder="1" applyAlignment="1">
      <alignment horizontal="center" vertical="center" wrapText="1"/>
    </xf>
    <xf numFmtId="0" fontId="3" fillId="5" borderId="22" xfId="3" applyFill="1" applyBorder="1" applyAlignment="1">
      <alignment horizontal="center" vertical="top" wrapText="1"/>
    </xf>
    <xf numFmtId="1" fontId="6" fillId="5" borderId="23" xfId="3" applyNumberFormat="1" applyFont="1" applyFill="1" applyBorder="1" applyAlignment="1">
      <alignment horizontal="center" vertical="top" wrapText="1"/>
    </xf>
    <xf numFmtId="0" fontId="3" fillId="5" borderId="24" xfId="3" applyFill="1" applyBorder="1" applyAlignment="1">
      <alignment horizontal="center" vertical="top" wrapText="1"/>
    </xf>
    <xf numFmtId="1" fontId="6" fillId="5" borderId="25" xfId="3" applyNumberFormat="1" applyFont="1" applyFill="1" applyBorder="1" applyAlignment="1">
      <alignment horizontal="center" vertical="top" wrapText="1"/>
    </xf>
    <xf numFmtId="0" fontId="3" fillId="0" borderId="19" xfId="3" applyBorder="1" applyAlignment="1" applyProtection="1">
      <alignment horizontal="left" vertical="top" wrapText="1"/>
      <protection locked="0"/>
    </xf>
    <xf numFmtId="0" fontId="3" fillId="0" borderId="14" xfId="3" applyBorder="1" applyAlignment="1" applyProtection="1">
      <alignment horizontal="left" vertical="top" wrapText="1"/>
      <protection locked="0"/>
    </xf>
    <xf numFmtId="1" fontId="20" fillId="4" borderId="0" xfId="3" applyNumberFormat="1" applyFont="1" applyFill="1" applyAlignment="1">
      <alignment horizontal="center" vertical="center" wrapText="1"/>
    </xf>
    <xf numFmtId="1" fontId="6" fillId="0" borderId="20" xfId="3" applyNumberFormat="1" applyFont="1" applyBorder="1" applyAlignment="1">
      <alignment horizontal="center" vertical="top" wrapText="1"/>
    </xf>
    <xf numFmtId="0" fontId="3" fillId="0" borderId="20" xfId="3" applyBorder="1" applyAlignment="1">
      <alignment wrapText="1"/>
    </xf>
    <xf numFmtId="1" fontId="6" fillId="0" borderId="16" xfId="3" applyNumberFormat="1" applyFont="1" applyBorder="1" applyAlignment="1">
      <alignment horizontal="center" vertical="top" wrapText="1"/>
    </xf>
    <xf numFmtId="0" fontId="3" fillId="5" borderId="20" xfId="3" applyFill="1" applyBorder="1" applyAlignment="1">
      <alignment horizontal="center" vertical="top" wrapText="1"/>
    </xf>
    <xf numFmtId="0" fontId="20" fillId="4" borderId="31" xfId="3" applyFont="1" applyFill="1" applyBorder="1" applyAlignment="1">
      <alignment horizontal="center" vertical="center" wrapText="1"/>
    </xf>
    <xf numFmtId="0" fontId="3" fillId="0" borderId="32" xfId="3" applyBorder="1" applyAlignment="1" applyProtection="1">
      <alignment horizontal="left" vertical="top" wrapText="1"/>
      <protection locked="0"/>
    </xf>
    <xf numFmtId="0" fontId="3" fillId="0" borderId="32" xfId="3" applyBorder="1" applyAlignment="1">
      <alignment wrapText="1"/>
    </xf>
    <xf numFmtId="0" fontId="23" fillId="0" borderId="0" xfId="0" applyFont="1" applyAlignment="1">
      <alignment wrapText="1"/>
    </xf>
    <xf numFmtId="0" fontId="3" fillId="2" borderId="32" xfId="3" applyFill="1" applyBorder="1" applyAlignment="1" applyProtection="1">
      <alignment horizontal="left" vertical="top" wrapText="1"/>
      <protection locked="0"/>
    </xf>
    <xf numFmtId="0" fontId="24" fillId="2" borderId="0" xfId="0" applyFont="1" applyFill="1" applyAlignment="1">
      <alignment wrapText="1"/>
    </xf>
    <xf numFmtId="0" fontId="12" fillId="3" borderId="0" xfId="3" applyFont="1" applyFill="1" applyAlignment="1">
      <alignment horizontal="center" vertical="center" wrapText="1"/>
    </xf>
    <xf numFmtId="0" fontId="12" fillId="3" borderId="1" xfId="3" applyFont="1" applyFill="1" applyBorder="1" applyAlignment="1">
      <alignment horizontal="center" vertical="center" wrapText="1"/>
    </xf>
    <xf numFmtId="165" fontId="9" fillId="2" borderId="0" xfId="3" applyNumberFormat="1" applyFont="1" applyFill="1" applyAlignment="1" applyProtection="1">
      <alignment horizontal="center" vertical="center"/>
      <protection locked="0"/>
    </xf>
    <xf numFmtId="0" fontId="19" fillId="3" borderId="27" xfId="3" applyFont="1" applyFill="1" applyBorder="1" applyAlignment="1">
      <alignment horizontal="center" vertical="center"/>
    </xf>
    <xf numFmtId="0" fontId="19" fillId="3" borderId="0" xfId="3" applyFont="1" applyFill="1" applyAlignment="1">
      <alignment horizontal="center" vertical="center"/>
    </xf>
    <xf numFmtId="0" fontId="12" fillId="3" borderId="29" xfId="3" applyFont="1" applyFill="1" applyBorder="1" applyAlignment="1">
      <alignment horizontal="center" vertical="center" wrapText="1"/>
    </xf>
    <xf numFmtId="0" fontId="12" fillId="3" borderId="21" xfId="3" applyFont="1" applyFill="1" applyBorder="1" applyAlignment="1">
      <alignment horizontal="center" vertical="center" wrapText="1"/>
    </xf>
    <xf numFmtId="164" fontId="4" fillId="2" borderId="0" xfId="3" applyNumberFormat="1" applyFont="1" applyFill="1" applyAlignment="1">
      <alignment horizontal="center" vertical="center"/>
    </xf>
    <xf numFmtId="0" fontId="6" fillId="0" borderId="10" xfId="0" applyFont="1" applyBorder="1" applyAlignment="1">
      <alignment horizontal="center" vertical="top" wrapText="1"/>
    </xf>
    <xf numFmtId="0" fontId="6" fillId="0" borderId="9" xfId="0" applyFont="1" applyBorder="1" applyAlignment="1">
      <alignment horizontal="center" vertical="top" wrapText="1"/>
    </xf>
    <xf numFmtId="0" fontId="6" fillId="0" borderId="2" xfId="0" applyFont="1" applyBorder="1" applyAlignment="1">
      <alignment horizontal="center" vertical="top" wrapText="1"/>
    </xf>
    <xf numFmtId="0" fontId="6" fillId="0" borderId="4" xfId="0" applyFont="1" applyBorder="1" applyAlignment="1">
      <alignment horizontal="center" vertical="top" wrapText="1"/>
    </xf>
    <xf numFmtId="0" fontId="3" fillId="9" borderId="0" xfId="0" applyFont="1" applyFill="1" applyAlignment="1">
      <alignment vertical="center" wrapText="1"/>
    </xf>
    <xf numFmtId="0" fontId="0" fillId="9" borderId="0" xfId="0" applyFill="1" applyAlignment="1">
      <alignment vertical="center" wrapText="1"/>
    </xf>
    <xf numFmtId="0" fontId="21" fillId="0" borderId="0" xfId="0" applyFont="1" applyAlignment="1">
      <alignment vertical="top" wrapText="1"/>
    </xf>
    <xf numFmtId="0" fontId="3" fillId="9" borderId="0" xfId="0" applyFont="1" applyFill="1" applyAlignment="1">
      <alignment horizontal="center" vertical="center" wrapText="1"/>
    </xf>
    <xf numFmtId="0" fontId="0" fillId="9" borderId="0" xfId="0" applyFill="1" applyAlignment="1">
      <alignment horizontal="center" vertical="center" wrapText="1"/>
    </xf>
    <xf numFmtId="0" fontId="6" fillId="0" borderId="8" xfId="0" applyFont="1" applyBorder="1" applyAlignment="1">
      <alignment horizontal="center" vertical="top" wrapText="1"/>
    </xf>
  </cellXfs>
  <cellStyles count="7">
    <cellStyle name="Heading 4" xfId="4" builtinId="19"/>
    <cellStyle name="Normal" xfId="0" builtinId="0"/>
    <cellStyle name="Normal 2" xfId="1" xr:uid="{00000000-0005-0000-0000-000003000000}"/>
    <cellStyle name="Normal 2 2" xfId="5" xr:uid="{A08CACE6-A8C3-4696-B0B9-B6433E1553ED}"/>
    <cellStyle name="Normal 3" xfId="2" xr:uid="{00000000-0005-0000-0000-000004000000}"/>
    <cellStyle name="Normal 3 2" xfId="6" xr:uid="{E8B8E5CC-8AD3-49B0-9D51-198718A12D57}"/>
    <cellStyle name="Normal 4" xfId="3" xr:uid="{00000000-0005-0000-0000-000005000000}"/>
  </cellStyles>
  <dxfs count="32">
    <dxf>
      <font>
        <b/>
        <i val="0"/>
        <color theme="6" tint="-0.499984740745262"/>
      </font>
    </dxf>
    <dxf>
      <fill>
        <patternFill>
          <bgColor theme="6" tint="0.79998168889431442"/>
        </patternFill>
      </fill>
    </dxf>
    <dxf>
      <fill>
        <patternFill>
          <bgColor theme="6" tint="0.79998168889431442"/>
        </patternFill>
      </fill>
    </dxf>
    <dxf>
      <font>
        <b/>
        <i val="0"/>
        <color rgb="FF800000"/>
      </font>
      <fill>
        <patternFill>
          <bgColor theme="5" tint="0.79998168889431442"/>
        </patternFill>
      </fill>
    </dxf>
    <dxf>
      <fill>
        <patternFill>
          <bgColor theme="6" tint="0.79998168889431442"/>
        </patternFill>
      </fill>
    </dxf>
    <dxf>
      <font>
        <b/>
        <i val="0"/>
        <color rgb="FF800000"/>
      </font>
      <fill>
        <patternFill>
          <bgColor theme="5" tint="0.79998168889431442"/>
        </patternFill>
      </fill>
    </dxf>
    <dxf>
      <fill>
        <patternFill>
          <bgColor theme="6" tint="0.79998168889431442"/>
        </patternFill>
      </fill>
    </dxf>
    <dxf>
      <font>
        <b/>
        <i val="0"/>
        <color rgb="FF800000"/>
      </font>
      <fill>
        <patternFill>
          <bgColor theme="5" tint="0.79998168889431442"/>
        </patternFill>
      </fill>
    </dxf>
    <dxf>
      <fill>
        <patternFill>
          <bgColor theme="6" tint="0.79998168889431442"/>
        </patternFill>
      </fill>
    </dxf>
    <dxf>
      <fill>
        <patternFill patternType="solid">
          <fgColor indexed="64"/>
          <bgColor theme="2"/>
        </patternFill>
      </fill>
    </dxf>
    <dxf>
      <fill>
        <patternFill patternType="solid">
          <fgColor indexed="64"/>
          <bgColor theme="2"/>
        </patternFill>
      </fil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indexed="10"/>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Arial"/>
        <family val="2"/>
        <scheme val="none"/>
      </font>
      <numFmt numFmtId="1" formatCode="0"/>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Arial"/>
        <family val="2"/>
        <scheme val="none"/>
      </font>
      <numFmt numFmtId="1" formatCode="0"/>
      <fill>
        <patternFill patternType="solid">
          <fgColor indexed="47"/>
          <bgColor theme="0" tint="-4.9989318521683403E-2"/>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47"/>
          <bgColor theme="0" tint="-4.9989318521683403E-2"/>
        </patternFill>
      </fill>
      <alignment horizontal="center" vertical="top" textRotation="0" wrapText="1" indent="0" justifyLastLine="0" shrinkToFit="0" readingOrder="0"/>
      <border diagonalUp="0" diagonalDown="0">
        <left style="medium">
          <color rgb="FF000000"/>
        </left>
        <right/>
        <top style="thin">
          <color indexed="64"/>
        </top>
        <bottom style="thin">
          <color indexed="64"/>
        </bottom>
        <vertical style="thin">
          <color rgb="FF000000"/>
        </vertical>
        <horizontal/>
      </border>
    </dxf>
    <dxf>
      <alignment horizontal="left" vertical="top" textRotation="0" wrapText="1" indent="0" justifyLastLine="0" shrinkToFit="0" readingOrder="0"/>
      <border diagonalUp="0" diagonalDown="0">
        <left style="thin">
          <color indexed="64"/>
        </left>
        <right style="thin">
          <color rgb="FF000000"/>
        </right>
        <top style="thin">
          <color indexed="64"/>
        </top>
        <bottom style="thin">
          <color indexed="64"/>
        </bottom>
        <vertical style="thin">
          <color rgb="FF000000"/>
        </vertical>
        <horizontal/>
      </border>
      <protection locked="0" hidden="0"/>
    </dxf>
    <dxf>
      <numFmt numFmtId="19" formatCode="m/d/yyyy"/>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7" formatCode="[$-409]d\-mmm\-yy;@"/>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7" formatCode="[$-409]d\-mmm\-yy;@"/>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7" formatCode="[$-409]d\-mmm\-yy;@"/>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9" formatCode="m/d/yy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indexed="8"/>
        <name val="Arial"/>
        <family val="2"/>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0"/>
        <color auto="1"/>
        <name val="Arial"/>
        <family val="2"/>
        <scheme val="none"/>
      </font>
      <fill>
        <patternFill patternType="solid">
          <fgColor indexed="47"/>
          <bgColor theme="0" tint="-4.9989318521683403E-2"/>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0"/>
        <color auto="1"/>
        <name val="Arial"/>
        <family val="2"/>
        <scheme val="none"/>
      </font>
      <fill>
        <patternFill patternType="solid">
          <fgColor indexed="64"/>
          <bgColor theme="0" tint="-0.249977111117893"/>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331470</xdr:colOff>
      <xdr:row>0</xdr:row>
      <xdr:rowOff>87630</xdr:rowOff>
    </xdr:from>
    <xdr:to>
      <xdr:col>5</xdr:col>
      <xdr:colOff>897443</xdr:colOff>
      <xdr:row>4</xdr:row>
      <xdr:rowOff>34290</xdr:rowOff>
    </xdr:to>
    <xdr:pic>
      <xdr:nvPicPr>
        <xdr:cNvPr id="5" name="Picture 4" descr="A picture containing drawing&#10;&#10;Description automatically generated">
          <a:extLst>
            <a:ext uri="{FF2B5EF4-FFF2-40B4-BE49-F238E27FC236}">
              <a16:creationId xmlns:a16="http://schemas.microsoft.com/office/drawing/2014/main" id="{68AA3F7C-4C72-4E85-B3C7-7C4AE6ACFE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60570" y="87630"/>
          <a:ext cx="897443" cy="6705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CB62F3-CB6C-4025-ADC2-A7D6B830DB71}" name="Table4" displayName="Table4" ref="A7:P201" totalsRowShown="0" headerRowDxfId="31" tableBorderDxfId="30" headerRowCellStyle="Normal 4">
  <autoFilter ref="A7:P201" xr:uid="{E5CB62F3-CB6C-4025-ADC2-A7D6B830DB71}"/>
  <tableColumns count="16">
    <tableColumn id="1" xr3:uid="{33A0D53A-D9D6-4EC3-8536-022114CBDA06}" name="Item_x000a_#" dataDxfId="29" dataCellStyle="Normal 4">
      <calculatedColumnFormula>IF(AND(#REF!="",C8="",D8="",#REF!=""),"",A7+1)</calculatedColumnFormula>
    </tableColumn>
    <tableColumn id="3" xr3:uid="{A130DB84-E03D-4C72-9CA8-D32C00B1774F}" name="Sheet / _x000a_Page #" dataDxfId="28" dataCellStyle="Normal 4"/>
    <tableColumn id="4" xr3:uid="{71936F9F-79E0-41F1-B8CF-68DD5E6F6106}" name="Pre-Bid RFI" dataDxfId="27" dataCellStyle="Normal 4"/>
    <tableColumn id="5" xr3:uid="{4DA93671-94D1-4525-B872-6DC5529151DA}" name="Entry_x000a_Date" dataDxfId="26" dataCellStyle="Normal 4"/>
    <tableColumn id="7" xr3:uid="{D7C2DF5E-798A-497F-85B2-99A5D7ABB82B}" name="Finish_x000a_Date" dataDxfId="25" dataCellStyle="Normal 4"/>
    <tableColumn id="8" xr3:uid="{C9C4F2F6-58C6-4D95-8CA9-E93CC7A52B90}" name="Discipline" dataDxfId="24" dataCellStyle="Normal 4"/>
    <tableColumn id="9" xr3:uid="{628421EE-DF96-4975-AA20-8A36EEE2548F}" name="AE Responder Initials" dataDxfId="23" dataCellStyle="Normal 4"/>
    <tableColumn id="17" xr3:uid="{7E73D9FC-56C8-4BFC-A087-EBD03151BA18}" name="AE Accept/ Reject?" dataDxfId="22" dataCellStyle="Normal 4"/>
    <tableColumn id="10" xr3:uid="{996CDDB8-606B-4316-BE21-1E56D6C3A50F}" name="AE Response" dataDxfId="21" dataCellStyle="Normal 4"/>
    <tableColumn id="11" xr3:uid="{43D1498B-CFF0-45CF-9D69-FD624261178F}" name="Status_x000a_CLOSED /_x000a_OPEN    " dataDxfId="20" dataCellStyle="Normal 4">
      <calculatedColumnFormula>IF(D8="","",IF(E8="","OPEN","CLOSED"))</calculatedColumnFormula>
    </tableColumn>
    <tableColumn id="12" xr3:uid="{15D75D79-E689-490C-B816-A6D8C03365D0}" name="Days_x000a_Open" dataDxfId="19" dataCellStyle="Normal 4">
      <calculatedColumnFormula>IF(J8="open","",E8-D8)</calculatedColumnFormula>
    </tableColumn>
    <tableColumn id="13" xr3:uid="{215557B2-0D26-4218-9757-89C1310B91A1}" name="RFI?" dataDxfId="18" dataCellStyle="Normal 4"/>
    <tableColumn id="14" xr3:uid="{032FB67F-7181-4349-A5BF-8F9E8C021EF2}" name="Backcheck" dataDxfId="17" dataCellStyle="Normal 4"/>
    <tableColumn id="15" xr3:uid="{501CA9A1-283F-4A7F-9869-E452805872DF}" name="Back Checker" dataDxfId="16" dataCellStyle="Normal 4"/>
    <tableColumn id="16" xr3:uid="{788EE3A8-A906-4D0E-BFAE-609ED86D1A40}" name="Location of update" dataDxfId="15" dataCellStyle="Normal 4"/>
    <tableColumn id="2" xr3:uid="{9FC1E4F6-F489-4484-9297-503230412CD8}" name="Column1" dataCellStyle="Normal 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0CDD8C-8C77-4C05-9A79-16E9562574D4}" name="Table2" displayName="Table2" ref="A1:A51" totalsRowShown="0" headerRowDxfId="14">
  <autoFilter ref="A1:A51" xr:uid="{21D8644A-67B5-4BE7-BB12-AEF2297E97F5}"/>
  <tableColumns count="1">
    <tableColumn id="1" xr3:uid="{E4D80EFD-F976-4A88-803A-166E10B271B1}" name="Design Softwa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73665C-4CC9-43AC-9A07-16B01ECFA78F}" name="Table3" displayName="Table3" ref="C1:C8" totalsRowShown="0" headerRowDxfId="13" dataDxfId="12">
  <autoFilter ref="C1:C8" xr:uid="{15355696-1F11-48A7-B56F-A928633F57BD}"/>
  <tableColumns count="1">
    <tableColumn id="1" xr3:uid="{F03D43D9-A366-4490-A564-211F128623F5}" name="Collaboration Methods" dataDxfId="1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6923BE-DCD0-4754-A068-9EB2639D8671}" name="Table1" displayName="Table1" ref="A1:A41" totalsRowShown="0" dataDxfId="10">
  <autoFilter ref="A1:A41" xr:uid="{6BABDC05-EF6A-4D94-9FF3-5ED8B80818B4}"/>
  <tableColumns count="1">
    <tableColumn id="1" xr3:uid="{9CC4328D-5BAF-4436-BA69-D896F4E3281B}" name="Column1" dataDxfId="9"/>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BAED1-BDCF-44B1-BEA8-4087C9AFC414}">
  <sheetPr>
    <tabColor rgb="FFFFFFFF"/>
    <pageSetUpPr fitToPage="1"/>
  </sheetPr>
  <dimension ref="A1:X201"/>
  <sheetViews>
    <sheetView tabSelected="1" topLeftCell="A59" zoomScaleNormal="100" workbookViewId="0">
      <selection activeCell="I65" sqref="I65"/>
    </sheetView>
  </sheetViews>
  <sheetFormatPr defaultColWidth="9.140625" defaultRowHeight="12.75" x14ac:dyDescent="0.2"/>
  <cols>
    <col min="1" max="1" width="8.7109375" style="16" customWidth="1"/>
    <col min="2" max="2" width="13.140625" style="17" customWidth="1"/>
    <col min="3" max="3" width="41.42578125" style="18" customWidth="1"/>
    <col min="4" max="4" width="10.5703125" style="19" hidden="1" customWidth="1"/>
    <col min="5" max="5" width="10.85546875" style="19" hidden="1" customWidth="1"/>
    <col min="6" max="6" width="13.5703125" style="19" customWidth="1"/>
    <col min="7" max="7" width="16.7109375" style="1" customWidth="1"/>
    <col min="8" max="8" width="13.140625" style="1" hidden="1" customWidth="1"/>
    <col min="9" max="9" width="42.28515625" style="18" customWidth="1"/>
    <col min="10" max="10" width="13.140625" style="1" hidden="1" customWidth="1"/>
    <col min="11" max="11" width="10.85546875" style="20" hidden="1" customWidth="1"/>
    <col min="12" max="12" width="27.28515625" style="20" hidden="1" customWidth="1"/>
    <col min="13" max="13" width="13.140625" style="15" hidden="1" customWidth="1"/>
    <col min="14" max="14" width="11.42578125" style="13" hidden="1" customWidth="1"/>
    <col min="15" max="15" width="14.42578125" style="1" hidden="1" customWidth="1"/>
    <col min="16" max="16384" width="9.140625" style="1"/>
  </cols>
  <sheetData>
    <row r="1" spans="1:16" s="3" customFormat="1" ht="15" x14ac:dyDescent="0.25">
      <c r="A1" s="92" t="s">
        <v>0</v>
      </c>
      <c r="B1" s="89"/>
      <c r="C1" s="63" t="s">
        <v>1</v>
      </c>
      <c r="D1" s="64"/>
      <c r="E1" s="65"/>
      <c r="F1" s="65"/>
      <c r="G1" s="66"/>
      <c r="H1" s="66"/>
      <c r="I1" s="67"/>
      <c r="J1" s="66"/>
      <c r="K1" s="66"/>
      <c r="L1" s="68"/>
      <c r="M1" s="69"/>
      <c r="N1" s="69"/>
      <c r="O1" s="70"/>
    </row>
    <row r="2" spans="1:16" s="3" customFormat="1" ht="15" x14ac:dyDescent="0.25">
      <c r="A2" s="93" t="s">
        <v>2</v>
      </c>
      <c r="B2" s="90"/>
      <c r="C2" s="60" t="s">
        <v>3</v>
      </c>
      <c r="D2" s="61"/>
      <c r="E2" s="61"/>
      <c r="F2" s="61"/>
      <c r="G2" s="58"/>
      <c r="H2" s="58"/>
      <c r="I2" s="62"/>
      <c r="J2" s="58"/>
      <c r="K2" s="58"/>
      <c r="L2" s="58"/>
      <c r="M2" s="59"/>
      <c r="N2" s="59"/>
      <c r="O2" s="71"/>
    </row>
    <row r="3" spans="1:16" s="4" customFormat="1" ht="13.5" customHeight="1" x14ac:dyDescent="0.2">
      <c r="A3" s="94" t="s">
        <v>4</v>
      </c>
      <c r="B3" s="91"/>
      <c r="C3" s="60" t="s">
        <v>5</v>
      </c>
      <c r="D3" s="72"/>
      <c r="E3" s="72"/>
      <c r="F3" s="72"/>
      <c r="G3" s="72"/>
      <c r="H3" s="72"/>
      <c r="I3" s="72"/>
      <c r="J3" s="135">
        <f>J4</f>
        <v>0</v>
      </c>
      <c r="K3" s="135"/>
      <c r="L3" s="73"/>
      <c r="M3" s="74"/>
      <c r="N3" s="75"/>
      <c r="O3" s="76"/>
    </row>
    <row r="4" spans="1:16" ht="13.5" customHeight="1" x14ac:dyDescent="0.2">
      <c r="A4" s="77"/>
      <c r="B4" s="78"/>
      <c r="C4" s="72"/>
      <c r="D4" s="72"/>
      <c r="E4" s="72"/>
      <c r="F4" s="72"/>
      <c r="G4" s="72"/>
      <c r="H4" s="72"/>
      <c r="I4" s="72"/>
      <c r="J4" s="130"/>
      <c r="K4" s="130"/>
      <c r="L4" s="79"/>
      <c r="M4" s="80"/>
      <c r="N4" s="80"/>
      <c r="O4" s="81"/>
    </row>
    <row r="5" spans="1:16" s="5" customFormat="1" ht="57.75" customHeight="1" x14ac:dyDescent="0.2">
      <c r="A5" s="82"/>
      <c r="B5" s="83"/>
      <c r="C5" s="84" t="s">
        <v>6</v>
      </c>
      <c r="D5" s="84"/>
      <c r="E5" s="84"/>
      <c r="F5" s="84"/>
      <c r="G5" s="84"/>
      <c r="H5" s="84"/>
      <c r="I5" s="84"/>
      <c r="J5" s="130"/>
      <c r="K5" s="130"/>
      <c r="L5" s="85"/>
      <c r="M5" s="86"/>
      <c r="N5" s="87"/>
      <c r="O5" s="88"/>
    </row>
    <row r="6" spans="1:16" s="2" customFormat="1" ht="31.5" customHeight="1" x14ac:dyDescent="0.2">
      <c r="A6" s="104"/>
      <c r="B6" s="95"/>
      <c r="C6" s="131" t="s">
        <v>7</v>
      </c>
      <c r="D6" s="132"/>
      <c r="E6" s="132"/>
      <c r="F6" s="132"/>
      <c r="G6" s="132"/>
      <c r="H6" s="132"/>
      <c r="I6" s="132"/>
      <c r="J6" s="133" t="s">
        <v>8</v>
      </c>
      <c r="K6" s="134"/>
      <c r="L6" s="128" t="s">
        <v>9</v>
      </c>
      <c r="M6" s="128"/>
      <c r="N6" s="128"/>
      <c r="O6" s="129"/>
    </row>
    <row r="7" spans="1:16" s="5" customFormat="1" ht="38.25" x14ac:dyDescent="0.2">
      <c r="A7" s="8" t="s">
        <v>10</v>
      </c>
      <c r="B7" s="6" t="s">
        <v>11</v>
      </c>
      <c r="C7" s="6" t="s">
        <v>12</v>
      </c>
      <c r="D7" s="7" t="s">
        <v>13</v>
      </c>
      <c r="E7" s="7" t="s">
        <v>14</v>
      </c>
      <c r="F7" s="7" t="s">
        <v>15</v>
      </c>
      <c r="G7" s="102" t="s">
        <v>16</v>
      </c>
      <c r="H7" s="105" t="s">
        <v>17</v>
      </c>
      <c r="I7" s="122" t="s">
        <v>18</v>
      </c>
      <c r="J7" s="8" t="s">
        <v>19</v>
      </c>
      <c r="K7" s="110" t="s">
        <v>20</v>
      </c>
      <c r="L7" s="117" t="s">
        <v>21</v>
      </c>
      <c r="M7" s="106" t="s">
        <v>9</v>
      </c>
      <c r="N7" s="106" t="s">
        <v>22</v>
      </c>
      <c r="O7" s="106" t="s">
        <v>23</v>
      </c>
      <c r="P7" s="106" t="s">
        <v>24</v>
      </c>
    </row>
    <row r="8" spans="1:16" s="13" customFormat="1" ht="51" x14ac:dyDescent="0.2">
      <c r="A8" s="107">
        <v>1</v>
      </c>
      <c r="B8" s="55"/>
      <c r="C8" s="10" t="s">
        <v>25</v>
      </c>
      <c r="D8" s="11"/>
      <c r="E8" s="11"/>
      <c r="F8" s="11" t="s">
        <v>26</v>
      </c>
      <c r="G8" s="12" t="s">
        <v>27</v>
      </c>
      <c r="H8" s="103"/>
      <c r="I8" s="123" t="s">
        <v>28</v>
      </c>
      <c r="J8" s="121" t="str">
        <f t="shared" ref="J8:J39" si="0">IF(D8="","",IF(E8="","OPEN","CLOSED"))</f>
        <v/>
      </c>
      <c r="K8" s="112">
        <f t="shared" ref="K8:K39" si="1">IF(J8="open","",E8-D8)</f>
        <v>0</v>
      </c>
      <c r="L8" s="118"/>
      <c r="M8" s="56"/>
      <c r="N8" s="56"/>
      <c r="O8" s="108"/>
    </row>
    <row r="9" spans="1:16" s="13" customFormat="1" ht="51.75" customHeight="1" x14ac:dyDescent="0.2">
      <c r="A9" s="107">
        <f>IF(AND(C9="",D9=""),"",A8+1)</f>
        <v>2</v>
      </c>
      <c r="B9" s="9"/>
      <c r="C9" s="10" t="s">
        <v>29</v>
      </c>
      <c r="D9" s="11"/>
      <c r="E9" s="11"/>
      <c r="F9" s="11" t="s">
        <v>30</v>
      </c>
      <c r="G9" s="12"/>
      <c r="H9" s="12"/>
      <c r="I9" s="123" t="s">
        <v>31</v>
      </c>
      <c r="J9" s="121" t="str">
        <f t="shared" si="0"/>
        <v/>
      </c>
      <c r="K9" s="112">
        <f t="shared" si="1"/>
        <v>0</v>
      </c>
      <c r="L9" s="118"/>
      <c r="M9" s="56"/>
      <c r="N9" s="56"/>
      <c r="O9" s="108"/>
    </row>
    <row r="10" spans="1:16" s="13" customFormat="1" x14ac:dyDescent="0.2">
      <c r="A10" s="107">
        <f t="shared" ref="A10:A73" si="2">IF(AND(C10="",D10=""),"",A9+1)</f>
        <v>3</v>
      </c>
      <c r="B10" s="9"/>
      <c r="C10" s="10" t="s">
        <v>32</v>
      </c>
      <c r="D10" s="11"/>
      <c r="E10" s="11"/>
      <c r="F10" s="11" t="s">
        <v>30</v>
      </c>
      <c r="G10" s="12"/>
      <c r="H10" s="12"/>
      <c r="I10" s="123" t="s">
        <v>330</v>
      </c>
      <c r="J10" s="121" t="str">
        <f t="shared" si="0"/>
        <v/>
      </c>
      <c r="K10" s="112">
        <f t="shared" si="1"/>
        <v>0</v>
      </c>
      <c r="L10" s="118"/>
      <c r="M10" s="56"/>
      <c r="N10" s="56"/>
      <c r="O10" s="108"/>
    </row>
    <row r="11" spans="1:16" s="13" customFormat="1" ht="38.25" x14ac:dyDescent="0.2">
      <c r="A11" s="107">
        <f t="shared" si="2"/>
        <v>4</v>
      </c>
      <c r="B11" s="9"/>
      <c r="C11" s="10" t="s">
        <v>33</v>
      </c>
      <c r="D11" s="11"/>
      <c r="E11" s="11"/>
      <c r="F11" s="11" t="s">
        <v>30</v>
      </c>
      <c r="G11" s="12"/>
      <c r="H11" s="12"/>
      <c r="I11" s="123" t="s">
        <v>329</v>
      </c>
      <c r="J11" s="121" t="str">
        <f t="shared" si="0"/>
        <v/>
      </c>
      <c r="K11" s="112">
        <f t="shared" si="1"/>
        <v>0</v>
      </c>
      <c r="L11" s="118"/>
      <c r="M11" s="56"/>
      <c r="N11" s="56"/>
      <c r="O11" s="108"/>
    </row>
    <row r="12" spans="1:16" s="13" customFormat="1" ht="25.5" x14ac:dyDescent="0.2">
      <c r="A12" s="107">
        <f t="shared" si="2"/>
        <v>5</v>
      </c>
      <c r="B12" s="9"/>
      <c r="C12" s="10" t="s">
        <v>34</v>
      </c>
      <c r="D12" s="11"/>
      <c r="E12" s="11"/>
      <c r="F12" s="11" t="s">
        <v>30</v>
      </c>
      <c r="G12" s="12"/>
      <c r="H12" s="12"/>
      <c r="I12" s="123" t="s">
        <v>329</v>
      </c>
      <c r="J12" s="121" t="str">
        <f t="shared" si="0"/>
        <v/>
      </c>
      <c r="K12" s="112">
        <f t="shared" si="1"/>
        <v>0</v>
      </c>
      <c r="L12" s="118"/>
      <c r="M12" s="56"/>
      <c r="N12" s="56"/>
      <c r="O12" s="108"/>
    </row>
    <row r="13" spans="1:16" s="13" customFormat="1" ht="25.5" x14ac:dyDescent="0.2">
      <c r="A13" s="107">
        <f t="shared" si="2"/>
        <v>6</v>
      </c>
      <c r="B13" s="9"/>
      <c r="C13" s="10" t="s">
        <v>35</v>
      </c>
      <c r="D13" s="11"/>
      <c r="E13" s="11"/>
      <c r="F13" s="11" t="s">
        <v>30</v>
      </c>
      <c r="G13" s="12"/>
      <c r="H13" s="12"/>
      <c r="I13" s="123" t="s">
        <v>331</v>
      </c>
      <c r="J13" s="121" t="str">
        <f t="shared" si="0"/>
        <v/>
      </c>
      <c r="K13" s="112">
        <f t="shared" si="1"/>
        <v>0</v>
      </c>
      <c r="L13" s="118"/>
      <c r="M13" s="56"/>
      <c r="N13" s="56"/>
      <c r="O13" s="108"/>
    </row>
    <row r="14" spans="1:16" s="13" customFormat="1" ht="25.5" x14ac:dyDescent="0.2">
      <c r="A14" s="107">
        <f t="shared" si="2"/>
        <v>7</v>
      </c>
      <c r="B14" s="9"/>
      <c r="C14" s="10" t="s">
        <v>36</v>
      </c>
      <c r="D14" s="11"/>
      <c r="E14" s="11"/>
      <c r="F14" s="11" t="s">
        <v>30</v>
      </c>
      <c r="G14" s="12"/>
      <c r="H14" s="12"/>
      <c r="I14" s="123" t="s">
        <v>329</v>
      </c>
      <c r="J14" s="121" t="str">
        <f t="shared" si="0"/>
        <v/>
      </c>
      <c r="K14" s="112">
        <f t="shared" si="1"/>
        <v>0</v>
      </c>
      <c r="L14" s="118"/>
      <c r="M14" s="56"/>
      <c r="N14" s="56"/>
      <c r="O14" s="108"/>
    </row>
    <row r="15" spans="1:16" s="13" customFormat="1" ht="25.5" x14ac:dyDescent="0.2">
      <c r="A15" s="107">
        <f t="shared" si="2"/>
        <v>8</v>
      </c>
      <c r="B15" s="9"/>
      <c r="C15" s="10" t="s">
        <v>37</v>
      </c>
      <c r="D15" s="11"/>
      <c r="E15" s="11"/>
      <c r="F15" s="11" t="s">
        <v>30</v>
      </c>
      <c r="G15" s="12"/>
      <c r="H15" s="12"/>
      <c r="I15" s="123" t="s">
        <v>329</v>
      </c>
      <c r="J15" s="121" t="str">
        <f t="shared" si="0"/>
        <v/>
      </c>
      <c r="K15" s="112">
        <f t="shared" si="1"/>
        <v>0</v>
      </c>
      <c r="L15" s="118"/>
      <c r="M15" s="56"/>
      <c r="N15" s="56"/>
      <c r="O15" s="108"/>
    </row>
    <row r="16" spans="1:16" s="13" customFormat="1" ht="25.5" x14ac:dyDescent="0.2">
      <c r="A16" s="107">
        <f t="shared" si="2"/>
        <v>9</v>
      </c>
      <c r="B16" s="9"/>
      <c r="C16" s="10" t="s">
        <v>38</v>
      </c>
      <c r="D16" s="11"/>
      <c r="E16" s="11"/>
      <c r="F16" s="11" t="s">
        <v>30</v>
      </c>
      <c r="G16" s="12"/>
      <c r="H16" s="12"/>
      <c r="I16" s="123" t="s">
        <v>329</v>
      </c>
      <c r="J16" s="121" t="str">
        <f t="shared" si="0"/>
        <v/>
      </c>
      <c r="K16" s="112">
        <f t="shared" si="1"/>
        <v>0</v>
      </c>
      <c r="L16" s="118"/>
      <c r="M16" s="56"/>
      <c r="N16" s="56"/>
      <c r="O16" s="108"/>
    </row>
    <row r="17" spans="1:16" s="13" customFormat="1" ht="76.5" x14ac:dyDescent="0.2">
      <c r="A17" s="107">
        <f t="shared" si="2"/>
        <v>10</v>
      </c>
      <c r="B17" s="9"/>
      <c r="C17" s="10" t="s">
        <v>39</v>
      </c>
      <c r="D17" s="11"/>
      <c r="E17" s="11"/>
      <c r="F17" s="11" t="s">
        <v>30</v>
      </c>
      <c r="G17" s="12"/>
      <c r="H17" s="12"/>
      <c r="I17" s="123" t="s">
        <v>331</v>
      </c>
      <c r="J17" s="121" t="str">
        <f t="shared" si="0"/>
        <v/>
      </c>
      <c r="K17" s="112">
        <f t="shared" si="1"/>
        <v>0</v>
      </c>
      <c r="L17" s="118"/>
      <c r="M17" s="56"/>
      <c r="N17" s="56"/>
      <c r="O17" s="108"/>
    </row>
    <row r="18" spans="1:16" s="13" customFormat="1" ht="25.5" x14ac:dyDescent="0.2">
      <c r="A18" s="107">
        <f t="shared" si="2"/>
        <v>11</v>
      </c>
      <c r="B18" s="9"/>
      <c r="C18" s="10" t="s">
        <v>40</v>
      </c>
      <c r="D18" s="11"/>
      <c r="E18" s="11"/>
      <c r="F18" s="11" t="s">
        <v>30</v>
      </c>
      <c r="G18" s="12"/>
      <c r="H18" s="12"/>
      <c r="I18" s="123" t="s">
        <v>331</v>
      </c>
      <c r="J18" s="121" t="str">
        <f t="shared" si="0"/>
        <v/>
      </c>
      <c r="K18" s="112">
        <f t="shared" si="1"/>
        <v>0</v>
      </c>
      <c r="L18" s="118"/>
      <c r="M18" s="56"/>
      <c r="N18" s="56"/>
      <c r="O18" s="108"/>
    </row>
    <row r="19" spans="1:16" s="13" customFormat="1" x14ac:dyDescent="0.2">
      <c r="A19" s="107">
        <f t="shared" si="2"/>
        <v>12</v>
      </c>
      <c r="B19" s="9"/>
      <c r="C19" s="10" t="s">
        <v>41</v>
      </c>
      <c r="D19" s="11"/>
      <c r="E19" s="11"/>
      <c r="F19" s="11" t="s">
        <v>30</v>
      </c>
      <c r="G19" s="12"/>
      <c r="H19" s="12"/>
      <c r="I19" s="123" t="s">
        <v>333</v>
      </c>
      <c r="J19" s="121" t="str">
        <f t="shared" si="0"/>
        <v/>
      </c>
      <c r="K19" s="112">
        <f t="shared" si="1"/>
        <v>0</v>
      </c>
      <c r="L19" s="118"/>
      <c r="M19" s="56"/>
      <c r="N19" s="56"/>
      <c r="O19" s="108"/>
    </row>
    <row r="20" spans="1:16" s="13" customFormat="1" ht="93.75" customHeight="1" x14ac:dyDescent="0.2">
      <c r="A20" s="107">
        <f t="shared" si="2"/>
        <v>13</v>
      </c>
      <c r="B20" s="9"/>
      <c r="C20" s="10" t="s">
        <v>42</v>
      </c>
      <c r="D20" s="11"/>
      <c r="E20" s="11"/>
      <c r="F20" s="11"/>
      <c r="G20" s="12" t="s">
        <v>27</v>
      </c>
      <c r="H20" s="12"/>
      <c r="I20" s="125" t="s">
        <v>43</v>
      </c>
      <c r="J20" s="121" t="str">
        <f t="shared" si="0"/>
        <v/>
      </c>
      <c r="K20" s="112">
        <f t="shared" si="1"/>
        <v>0</v>
      </c>
      <c r="L20" s="118"/>
      <c r="M20" s="56"/>
      <c r="N20" s="56"/>
      <c r="O20" s="108"/>
      <c r="P20" s="13" t="s">
        <v>332</v>
      </c>
    </row>
    <row r="21" spans="1:16" s="13" customFormat="1" ht="114.75" x14ac:dyDescent="0.2">
      <c r="A21" s="107">
        <f>IF(AND(C21="",D21=""),"",A20+1)</f>
        <v>14</v>
      </c>
      <c r="B21" s="9"/>
      <c r="C21" s="10" t="s">
        <v>44</v>
      </c>
      <c r="D21" s="11"/>
      <c r="E21" s="11"/>
      <c r="F21" s="11"/>
      <c r="G21" s="12" t="s">
        <v>27</v>
      </c>
      <c r="H21" s="12"/>
      <c r="I21" s="123" t="s">
        <v>45</v>
      </c>
      <c r="J21" s="121" t="str">
        <f t="shared" si="0"/>
        <v/>
      </c>
      <c r="K21" s="112">
        <f t="shared" si="1"/>
        <v>0</v>
      </c>
      <c r="L21" s="118"/>
      <c r="M21" s="56"/>
      <c r="N21" s="56"/>
      <c r="O21" s="108"/>
    </row>
    <row r="22" spans="1:16" s="13" customFormat="1" ht="51" x14ac:dyDescent="0.2">
      <c r="A22" s="107">
        <f t="shared" si="2"/>
        <v>15</v>
      </c>
      <c r="B22" s="9"/>
      <c r="C22" s="10" t="s">
        <v>46</v>
      </c>
      <c r="D22" s="11"/>
      <c r="E22" s="11"/>
      <c r="F22" s="11"/>
      <c r="G22" s="12" t="s">
        <v>27</v>
      </c>
      <c r="H22" s="12"/>
      <c r="I22" s="123" t="s">
        <v>47</v>
      </c>
      <c r="J22" s="121" t="str">
        <f t="shared" si="0"/>
        <v/>
      </c>
      <c r="K22" s="112">
        <f t="shared" si="1"/>
        <v>0</v>
      </c>
      <c r="L22" s="118"/>
      <c r="M22" s="56"/>
      <c r="N22" s="56"/>
      <c r="O22" s="108"/>
    </row>
    <row r="23" spans="1:16" s="13" customFormat="1" ht="76.5" x14ac:dyDescent="0.2">
      <c r="A23" s="107">
        <f t="shared" si="2"/>
        <v>16</v>
      </c>
      <c r="B23" s="9"/>
      <c r="C23" s="10" t="s">
        <v>48</v>
      </c>
      <c r="D23" s="11"/>
      <c r="E23" s="11"/>
      <c r="F23" s="11"/>
      <c r="G23" s="12" t="s">
        <v>27</v>
      </c>
      <c r="H23" s="12"/>
      <c r="I23" s="123" t="s">
        <v>49</v>
      </c>
      <c r="J23" s="121" t="str">
        <f t="shared" si="0"/>
        <v/>
      </c>
      <c r="K23" s="112">
        <f t="shared" si="1"/>
        <v>0</v>
      </c>
      <c r="L23" s="118"/>
      <c r="M23" s="56"/>
      <c r="N23" s="56"/>
      <c r="O23" s="108"/>
    </row>
    <row r="24" spans="1:16" s="13" customFormat="1" ht="51" x14ac:dyDescent="0.2">
      <c r="A24" s="107">
        <f t="shared" si="2"/>
        <v>17</v>
      </c>
      <c r="B24" s="9"/>
      <c r="C24" s="10" t="s">
        <v>50</v>
      </c>
      <c r="D24" s="11"/>
      <c r="E24" s="11"/>
      <c r="F24" s="11"/>
      <c r="G24" s="12" t="s">
        <v>27</v>
      </c>
      <c r="H24" s="12"/>
      <c r="I24" s="125" t="s">
        <v>51</v>
      </c>
      <c r="J24" s="121" t="str">
        <f t="shared" si="0"/>
        <v/>
      </c>
      <c r="K24" s="112">
        <f t="shared" si="1"/>
        <v>0</v>
      </c>
      <c r="L24" s="118"/>
      <c r="M24" s="56"/>
      <c r="N24" s="56"/>
      <c r="O24" s="108"/>
    </row>
    <row r="25" spans="1:16" s="13" customFormat="1" ht="275.25" customHeight="1" x14ac:dyDescent="0.2">
      <c r="A25" s="107">
        <f t="shared" si="2"/>
        <v>18</v>
      </c>
      <c r="B25" s="9"/>
      <c r="C25" s="10" t="s">
        <v>52</v>
      </c>
      <c r="D25" s="11"/>
      <c r="E25" s="11"/>
      <c r="F25" s="11"/>
      <c r="G25" s="12" t="s">
        <v>27</v>
      </c>
      <c r="H25" s="12"/>
      <c r="I25" s="127" t="s">
        <v>53</v>
      </c>
      <c r="J25" s="121" t="str">
        <f t="shared" si="0"/>
        <v/>
      </c>
      <c r="K25" s="112">
        <f t="shared" si="1"/>
        <v>0</v>
      </c>
      <c r="L25" s="118"/>
      <c r="M25" s="56"/>
      <c r="N25" s="56"/>
      <c r="O25" s="108"/>
      <c r="P25" s="13" t="s">
        <v>332</v>
      </c>
    </row>
    <row r="26" spans="1:16" s="13" customFormat="1" ht="102" x14ac:dyDescent="0.2">
      <c r="A26" s="107">
        <f t="shared" si="2"/>
        <v>19</v>
      </c>
      <c r="B26" s="9"/>
      <c r="C26" s="10" t="s">
        <v>54</v>
      </c>
      <c r="D26" s="11"/>
      <c r="E26" s="11"/>
      <c r="F26" s="11"/>
      <c r="G26" s="12" t="s">
        <v>27</v>
      </c>
      <c r="H26" s="12"/>
      <c r="I26" s="126" t="s">
        <v>55</v>
      </c>
      <c r="J26" s="121" t="str">
        <f t="shared" si="0"/>
        <v/>
      </c>
      <c r="K26" s="112">
        <f t="shared" si="1"/>
        <v>0</v>
      </c>
      <c r="L26" s="118"/>
      <c r="M26" s="56"/>
      <c r="N26" s="56"/>
      <c r="O26" s="108"/>
      <c r="P26" s="13" t="s">
        <v>332</v>
      </c>
    </row>
    <row r="27" spans="1:16" s="13" customFormat="1" ht="102" x14ac:dyDescent="0.2">
      <c r="A27" s="107">
        <f t="shared" si="2"/>
        <v>20</v>
      </c>
      <c r="B27" s="9"/>
      <c r="C27" s="10" t="s">
        <v>56</v>
      </c>
      <c r="D27" s="11"/>
      <c r="E27" s="11"/>
      <c r="F27" s="11"/>
      <c r="G27" s="12" t="s">
        <v>27</v>
      </c>
      <c r="H27" s="12"/>
      <c r="I27" s="123" t="s">
        <v>57</v>
      </c>
      <c r="J27" s="121" t="str">
        <f t="shared" si="0"/>
        <v/>
      </c>
      <c r="K27" s="112">
        <f t="shared" si="1"/>
        <v>0</v>
      </c>
      <c r="L27" s="118"/>
      <c r="M27" s="56"/>
      <c r="N27" s="56"/>
      <c r="O27" s="108"/>
    </row>
    <row r="28" spans="1:16" s="13" customFormat="1" ht="25.5" x14ac:dyDescent="0.2">
      <c r="A28" s="107">
        <f t="shared" si="2"/>
        <v>21</v>
      </c>
      <c r="B28" s="9"/>
      <c r="C28" s="10" t="s">
        <v>58</v>
      </c>
      <c r="D28" s="11"/>
      <c r="E28" s="11"/>
      <c r="F28" s="11" t="s">
        <v>30</v>
      </c>
      <c r="G28" s="12"/>
      <c r="H28" s="12"/>
      <c r="I28" s="123" t="s">
        <v>338</v>
      </c>
      <c r="J28" s="121" t="str">
        <f t="shared" si="0"/>
        <v/>
      </c>
      <c r="K28" s="112">
        <f t="shared" si="1"/>
        <v>0</v>
      </c>
      <c r="L28" s="118"/>
      <c r="M28" s="56"/>
      <c r="N28" s="56"/>
      <c r="O28" s="108"/>
    </row>
    <row r="29" spans="1:16" s="13" customFormat="1" ht="38.25" x14ac:dyDescent="0.2">
      <c r="A29" s="107">
        <f t="shared" si="2"/>
        <v>22</v>
      </c>
      <c r="B29" s="9"/>
      <c r="C29" s="10" t="s">
        <v>59</v>
      </c>
      <c r="D29" s="11"/>
      <c r="E29" s="11"/>
      <c r="F29" s="11"/>
      <c r="G29" s="12"/>
      <c r="H29" s="12"/>
      <c r="I29" s="123" t="s">
        <v>338</v>
      </c>
      <c r="J29" s="121" t="str">
        <f t="shared" si="0"/>
        <v/>
      </c>
      <c r="K29" s="112">
        <f t="shared" si="1"/>
        <v>0</v>
      </c>
      <c r="L29" s="118"/>
      <c r="M29" s="56"/>
      <c r="N29" s="56"/>
      <c r="O29" s="108"/>
    </row>
    <row r="30" spans="1:16" s="13" customFormat="1" ht="25.5" x14ac:dyDescent="0.2">
      <c r="A30" s="107">
        <f t="shared" si="2"/>
        <v>23</v>
      </c>
      <c r="B30" s="9"/>
      <c r="C30" s="10" t="s">
        <v>60</v>
      </c>
      <c r="D30" s="11"/>
      <c r="E30" s="11"/>
      <c r="F30" s="11" t="s">
        <v>30</v>
      </c>
      <c r="G30" s="12"/>
      <c r="H30" s="12"/>
      <c r="I30" s="123" t="s">
        <v>338</v>
      </c>
      <c r="J30" s="121" t="str">
        <f t="shared" si="0"/>
        <v/>
      </c>
      <c r="K30" s="112">
        <f t="shared" si="1"/>
        <v>0</v>
      </c>
      <c r="L30" s="118"/>
      <c r="M30" s="56"/>
      <c r="N30" s="56"/>
      <c r="O30" s="108"/>
    </row>
    <row r="31" spans="1:16" s="13" customFormat="1" ht="51" x14ac:dyDescent="0.2">
      <c r="A31" s="107">
        <f t="shared" si="2"/>
        <v>24</v>
      </c>
      <c r="B31" s="9"/>
      <c r="C31" s="10" t="s">
        <v>61</v>
      </c>
      <c r="D31" s="11"/>
      <c r="E31" s="11"/>
      <c r="F31" s="11" t="s">
        <v>30</v>
      </c>
      <c r="G31" s="12"/>
      <c r="H31" s="12"/>
      <c r="I31" s="123" t="s">
        <v>338</v>
      </c>
      <c r="J31" s="121" t="str">
        <f t="shared" si="0"/>
        <v/>
      </c>
      <c r="K31" s="112">
        <f t="shared" si="1"/>
        <v>0</v>
      </c>
      <c r="L31" s="118"/>
      <c r="M31" s="56"/>
      <c r="N31" s="56"/>
      <c r="O31" s="108"/>
    </row>
    <row r="32" spans="1:16" s="13" customFormat="1" ht="42.75" customHeight="1" x14ac:dyDescent="0.2">
      <c r="A32" s="107">
        <f t="shared" si="2"/>
        <v>25</v>
      </c>
      <c r="B32" s="9"/>
      <c r="C32" s="10" t="s">
        <v>62</v>
      </c>
      <c r="D32" s="11"/>
      <c r="E32" s="11"/>
      <c r="F32" s="11"/>
      <c r="G32" s="12"/>
      <c r="H32" s="12"/>
      <c r="I32" s="123" t="s">
        <v>338</v>
      </c>
      <c r="J32" s="121" t="str">
        <f t="shared" si="0"/>
        <v/>
      </c>
      <c r="K32" s="112">
        <f t="shared" si="1"/>
        <v>0</v>
      </c>
      <c r="L32" s="118"/>
      <c r="M32" s="56"/>
      <c r="N32" s="56"/>
      <c r="O32" s="108"/>
    </row>
    <row r="33" spans="1:24" s="13" customFormat="1" ht="25.5" x14ac:dyDescent="0.2">
      <c r="A33" s="107">
        <f t="shared" si="2"/>
        <v>26</v>
      </c>
      <c r="B33" s="9"/>
      <c r="C33" s="10" t="s">
        <v>63</v>
      </c>
      <c r="D33" s="11"/>
      <c r="E33" s="11"/>
      <c r="F33" s="11" t="s">
        <v>30</v>
      </c>
      <c r="G33" s="12"/>
      <c r="H33" s="12"/>
      <c r="I33" s="123" t="s">
        <v>338</v>
      </c>
      <c r="J33" s="121" t="str">
        <f t="shared" si="0"/>
        <v/>
      </c>
      <c r="K33" s="112">
        <f t="shared" si="1"/>
        <v>0</v>
      </c>
      <c r="L33" s="118"/>
      <c r="M33" s="56"/>
      <c r="N33" s="56"/>
      <c r="O33" s="108"/>
    </row>
    <row r="34" spans="1:24" s="13" customFormat="1" ht="38.25" x14ac:dyDescent="0.2">
      <c r="A34" s="107">
        <f t="shared" si="2"/>
        <v>27</v>
      </c>
      <c r="B34" s="9"/>
      <c r="C34" s="10" t="s">
        <v>64</v>
      </c>
      <c r="D34" s="11"/>
      <c r="E34" s="11"/>
      <c r="F34" s="11" t="s">
        <v>30</v>
      </c>
      <c r="G34" s="12"/>
      <c r="H34" s="12"/>
      <c r="I34" s="123" t="s">
        <v>338</v>
      </c>
      <c r="J34" s="121" t="str">
        <f t="shared" si="0"/>
        <v/>
      </c>
      <c r="K34" s="112">
        <f t="shared" si="1"/>
        <v>0</v>
      </c>
      <c r="L34" s="118"/>
      <c r="M34" s="56"/>
      <c r="N34" s="56"/>
      <c r="O34" s="108"/>
      <c r="X34" s="14"/>
    </row>
    <row r="35" spans="1:24" s="13" customFormat="1" ht="25.5" x14ac:dyDescent="0.2">
      <c r="A35" s="107">
        <f t="shared" si="2"/>
        <v>28</v>
      </c>
      <c r="B35" s="9"/>
      <c r="C35" s="10" t="s">
        <v>65</v>
      </c>
      <c r="D35" s="11"/>
      <c r="E35" s="11"/>
      <c r="F35" s="11"/>
      <c r="G35" s="12"/>
      <c r="H35" s="12"/>
      <c r="I35" s="123" t="s">
        <v>338</v>
      </c>
      <c r="J35" s="121" t="str">
        <f t="shared" si="0"/>
        <v/>
      </c>
      <c r="K35" s="112">
        <f t="shared" si="1"/>
        <v>0</v>
      </c>
      <c r="L35" s="118"/>
      <c r="M35" s="56"/>
      <c r="N35" s="56"/>
      <c r="O35" s="108"/>
    </row>
    <row r="36" spans="1:24" s="13" customFormat="1" ht="25.5" x14ac:dyDescent="0.2">
      <c r="A36" s="107">
        <f t="shared" si="2"/>
        <v>29</v>
      </c>
      <c r="B36" s="9"/>
      <c r="C36" s="10" t="s">
        <v>66</v>
      </c>
      <c r="D36" s="11"/>
      <c r="E36" s="11"/>
      <c r="F36" s="11" t="s">
        <v>30</v>
      </c>
      <c r="G36" s="12"/>
      <c r="H36" s="12"/>
      <c r="I36" s="123" t="s">
        <v>338</v>
      </c>
      <c r="J36" s="121" t="str">
        <f t="shared" si="0"/>
        <v/>
      </c>
      <c r="K36" s="112">
        <f t="shared" si="1"/>
        <v>0</v>
      </c>
      <c r="L36" s="118"/>
      <c r="M36" s="56"/>
      <c r="N36" s="56"/>
      <c r="O36" s="108"/>
    </row>
    <row r="37" spans="1:24" s="13" customFormat="1" ht="51" x14ac:dyDescent="0.2">
      <c r="A37" s="107">
        <f t="shared" si="2"/>
        <v>30</v>
      </c>
      <c r="B37" s="9"/>
      <c r="C37" s="10" t="s">
        <v>67</v>
      </c>
      <c r="D37" s="11"/>
      <c r="E37" s="11"/>
      <c r="F37" s="11" t="s">
        <v>30</v>
      </c>
      <c r="G37" s="12"/>
      <c r="H37" s="12"/>
      <c r="I37" s="123" t="s">
        <v>338</v>
      </c>
      <c r="J37" s="121" t="str">
        <f t="shared" si="0"/>
        <v/>
      </c>
      <c r="K37" s="112">
        <f t="shared" si="1"/>
        <v>0</v>
      </c>
      <c r="L37" s="118"/>
      <c r="M37" s="56"/>
      <c r="N37" s="56"/>
      <c r="O37" s="108"/>
    </row>
    <row r="38" spans="1:24" s="13" customFormat="1" ht="25.5" x14ac:dyDescent="0.2">
      <c r="A38" s="107">
        <f t="shared" si="2"/>
        <v>31</v>
      </c>
      <c r="B38" s="9"/>
      <c r="C38" s="10" t="s">
        <v>68</v>
      </c>
      <c r="D38" s="11"/>
      <c r="E38" s="11"/>
      <c r="F38" s="11" t="s">
        <v>30</v>
      </c>
      <c r="G38" s="12"/>
      <c r="H38" s="12"/>
      <c r="I38" s="123" t="s">
        <v>338</v>
      </c>
      <c r="J38" s="121" t="str">
        <f t="shared" si="0"/>
        <v/>
      </c>
      <c r="K38" s="112">
        <f t="shared" si="1"/>
        <v>0</v>
      </c>
      <c r="L38" s="118"/>
      <c r="M38" s="56"/>
      <c r="N38" s="56"/>
      <c r="O38" s="108"/>
    </row>
    <row r="39" spans="1:24" s="13" customFormat="1" ht="38.25" x14ac:dyDescent="0.2">
      <c r="A39" s="107">
        <f t="shared" si="2"/>
        <v>32</v>
      </c>
      <c r="B39" s="9"/>
      <c r="C39" s="10" t="s">
        <v>69</v>
      </c>
      <c r="D39" s="11"/>
      <c r="E39" s="11"/>
      <c r="F39" s="11" t="s">
        <v>30</v>
      </c>
      <c r="G39" s="12"/>
      <c r="H39" s="12"/>
      <c r="I39" s="123" t="s">
        <v>338</v>
      </c>
      <c r="J39" s="121" t="str">
        <f t="shared" si="0"/>
        <v/>
      </c>
      <c r="K39" s="112">
        <f t="shared" si="1"/>
        <v>0</v>
      </c>
      <c r="L39" s="118"/>
      <c r="M39" s="56"/>
      <c r="N39" s="56"/>
      <c r="O39" s="108"/>
    </row>
    <row r="40" spans="1:24" s="13" customFormat="1" ht="25.5" x14ac:dyDescent="0.2">
      <c r="A40" s="107">
        <f t="shared" si="2"/>
        <v>33</v>
      </c>
      <c r="B40" s="9"/>
      <c r="C40" s="10" t="s">
        <v>70</v>
      </c>
      <c r="D40" s="11"/>
      <c r="E40" s="11"/>
      <c r="F40" s="11" t="s">
        <v>30</v>
      </c>
      <c r="G40" s="12"/>
      <c r="H40" s="12"/>
      <c r="I40" s="123" t="s">
        <v>334</v>
      </c>
      <c r="J40" s="121" t="str">
        <f t="shared" ref="J40:J71" si="3">IF(D40="","",IF(E40="","OPEN","CLOSED"))</f>
        <v/>
      </c>
      <c r="K40" s="112">
        <f t="shared" ref="K40:K71" si="4">IF(J40="open","",E40-D40)</f>
        <v>0</v>
      </c>
      <c r="L40" s="118"/>
      <c r="M40" s="56"/>
      <c r="N40" s="56"/>
      <c r="O40" s="108"/>
    </row>
    <row r="41" spans="1:24" s="13" customFormat="1" ht="38.25" x14ac:dyDescent="0.2">
      <c r="A41" s="107">
        <f t="shared" si="2"/>
        <v>34</v>
      </c>
      <c r="B41" s="9"/>
      <c r="C41" s="10" t="s">
        <v>71</v>
      </c>
      <c r="D41" s="11"/>
      <c r="E41" s="11"/>
      <c r="F41" s="11" t="s">
        <v>30</v>
      </c>
      <c r="G41" s="12"/>
      <c r="H41" s="12"/>
      <c r="I41" s="123" t="s">
        <v>335</v>
      </c>
      <c r="J41" s="121" t="str">
        <f t="shared" si="3"/>
        <v/>
      </c>
      <c r="K41" s="112">
        <f t="shared" si="4"/>
        <v>0</v>
      </c>
      <c r="L41" s="118"/>
      <c r="M41" s="57"/>
      <c r="N41" s="56"/>
      <c r="O41" s="108"/>
    </row>
    <row r="42" spans="1:24" s="13" customFormat="1" ht="63.75" x14ac:dyDescent="0.2">
      <c r="A42" s="107">
        <f t="shared" si="2"/>
        <v>35</v>
      </c>
      <c r="B42" s="9"/>
      <c r="C42" s="10" t="s">
        <v>72</v>
      </c>
      <c r="D42" s="11"/>
      <c r="E42" s="11"/>
      <c r="F42" s="11"/>
      <c r="G42" s="12" t="s">
        <v>27</v>
      </c>
      <c r="H42" s="12"/>
      <c r="I42" s="126" t="s">
        <v>73</v>
      </c>
      <c r="J42" s="121" t="str">
        <f t="shared" si="3"/>
        <v/>
      </c>
      <c r="K42" s="112">
        <f t="shared" si="4"/>
        <v>0</v>
      </c>
      <c r="L42" s="118"/>
      <c r="M42" s="57"/>
      <c r="N42" s="56"/>
      <c r="O42" s="108"/>
      <c r="P42" s="13" t="s">
        <v>332</v>
      </c>
    </row>
    <row r="43" spans="1:24" s="13" customFormat="1" ht="25.5" x14ac:dyDescent="0.2">
      <c r="A43" s="107">
        <f t="shared" si="2"/>
        <v>36</v>
      </c>
      <c r="B43" s="9"/>
      <c r="C43" s="10" t="s">
        <v>74</v>
      </c>
      <c r="D43" s="11"/>
      <c r="E43" s="11"/>
      <c r="F43" s="11" t="s">
        <v>30</v>
      </c>
      <c r="G43" s="12"/>
      <c r="H43" s="12"/>
      <c r="I43" s="123" t="s">
        <v>336</v>
      </c>
      <c r="J43" s="121" t="str">
        <f t="shared" si="3"/>
        <v/>
      </c>
      <c r="K43" s="112">
        <f t="shared" si="4"/>
        <v>0</v>
      </c>
      <c r="L43" s="118"/>
      <c r="M43" s="57"/>
      <c r="N43" s="56"/>
      <c r="O43" s="108"/>
    </row>
    <row r="44" spans="1:24" s="13" customFormat="1" ht="25.5" x14ac:dyDescent="0.2">
      <c r="A44" s="107">
        <f t="shared" si="2"/>
        <v>37</v>
      </c>
      <c r="B44" s="9"/>
      <c r="C44" s="10" t="s">
        <v>75</v>
      </c>
      <c r="D44" s="11"/>
      <c r="E44" s="11"/>
      <c r="F44" s="11" t="s">
        <v>30</v>
      </c>
      <c r="G44" s="12"/>
      <c r="H44" s="12"/>
      <c r="I44" s="126" t="s">
        <v>337</v>
      </c>
      <c r="J44" s="121" t="str">
        <f t="shared" si="3"/>
        <v/>
      </c>
      <c r="K44" s="112">
        <f t="shared" si="4"/>
        <v>0</v>
      </c>
      <c r="L44" s="118"/>
      <c r="M44" s="57"/>
      <c r="N44" s="56"/>
      <c r="O44" s="108"/>
      <c r="P44" s="13" t="s">
        <v>332</v>
      </c>
    </row>
    <row r="45" spans="1:24" s="13" customFormat="1" ht="51" x14ac:dyDescent="0.2">
      <c r="A45" s="107">
        <f t="shared" si="2"/>
        <v>38</v>
      </c>
      <c r="B45" s="9"/>
      <c r="C45" s="10" t="s">
        <v>339</v>
      </c>
      <c r="D45" s="11"/>
      <c r="E45" s="11"/>
      <c r="F45" s="11" t="s">
        <v>340</v>
      </c>
      <c r="G45" s="12" t="s">
        <v>27</v>
      </c>
      <c r="H45" s="12"/>
      <c r="I45" s="123" t="s">
        <v>341</v>
      </c>
      <c r="J45" s="121" t="str">
        <f t="shared" si="3"/>
        <v/>
      </c>
      <c r="K45" s="112">
        <f t="shared" si="4"/>
        <v>0</v>
      </c>
      <c r="L45" s="118"/>
      <c r="M45" s="57"/>
      <c r="N45" s="56"/>
      <c r="O45" s="108"/>
    </row>
    <row r="46" spans="1:24" s="13" customFormat="1" ht="51" x14ac:dyDescent="0.2">
      <c r="A46" s="107">
        <f t="shared" si="2"/>
        <v>39</v>
      </c>
      <c r="B46" s="9"/>
      <c r="C46" s="10" t="s">
        <v>342</v>
      </c>
      <c r="D46" s="11"/>
      <c r="E46" s="11"/>
      <c r="F46" s="11" t="s">
        <v>30</v>
      </c>
      <c r="G46" s="12"/>
      <c r="H46" s="12"/>
      <c r="I46" s="123" t="s">
        <v>381</v>
      </c>
      <c r="J46" s="121" t="str">
        <f t="shared" si="3"/>
        <v/>
      </c>
      <c r="K46" s="112">
        <f t="shared" si="4"/>
        <v>0</v>
      </c>
      <c r="L46" s="118"/>
      <c r="M46" s="57"/>
      <c r="N46" s="56"/>
      <c r="O46" s="108"/>
    </row>
    <row r="47" spans="1:24" s="13" customFormat="1" ht="51" x14ac:dyDescent="0.2">
      <c r="A47" s="107">
        <f t="shared" si="2"/>
        <v>40</v>
      </c>
      <c r="B47" s="9"/>
      <c r="C47" s="10" t="s">
        <v>343</v>
      </c>
      <c r="D47" s="11"/>
      <c r="E47" s="11"/>
      <c r="F47" s="11" t="s">
        <v>340</v>
      </c>
      <c r="G47" s="12" t="s">
        <v>27</v>
      </c>
      <c r="H47" s="12"/>
      <c r="I47" s="123" t="s">
        <v>344</v>
      </c>
      <c r="J47" s="121" t="str">
        <f t="shared" si="3"/>
        <v/>
      </c>
      <c r="K47" s="112">
        <f t="shared" si="4"/>
        <v>0</v>
      </c>
      <c r="L47" s="118"/>
      <c r="M47" s="57"/>
      <c r="N47" s="56"/>
      <c r="O47" s="108"/>
    </row>
    <row r="48" spans="1:24" s="13" customFormat="1" ht="178.5" x14ac:dyDescent="0.2">
      <c r="A48" s="107">
        <f t="shared" si="2"/>
        <v>41</v>
      </c>
      <c r="B48" s="9"/>
      <c r="C48" s="10" t="s">
        <v>345</v>
      </c>
      <c r="D48" s="11"/>
      <c r="E48" s="11"/>
      <c r="F48" s="11" t="s">
        <v>340</v>
      </c>
      <c r="G48" s="12" t="s">
        <v>27</v>
      </c>
      <c r="H48" s="12"/>
      <c r="I48" s="123" t="s">
        <v>346</v>
      </c>
      <c r="J48" s="121" t="str">
        <f t="shared" si="3"/>
        <v/>
      </c>
      <c r="K48" s="112">
        <f t="shared" si="4"/>
        <v>0</v>
      </c>
      <c r="L48" s="118"/>
      <c r="M48" s="57"/>
      <c r="N48" s="56"/>
      <c r="O48" s="108"/>
    </row>
    <row r="49" spans="1:15" s="13" customFormat="1" ht="51" x14ac:dyDescent="0.2">
      <c r="A49" s="107">
        <f t="shared" si="2"/>
        <v>42</v>
      </c>
      <c r="B49" s="9"/>
      <c r="C49" s="10" t="s">
        <v>347</v>
      </c>
      <c r="D49" s="11"/>
      <c r="E49" s="11"/>
      <c r="F49" s="11" t="s">
        <v>30</v>
      </c>
      <c r="G49" s="12"/>
      <c r="H49" s="12"/>
      <c r="I49" s="123" t="s">
        <v>375</v>
      </c>
      <c r="J49" s="121" t="str">
        <f t="shared" si="3"/>
        <v/>
      </c>
      <c r="K49" s="112">
        <f t="shared" si="4"/>
        <v>0</v>
      </c>
      <c r="L49" s="118"/>
      <c r="M49" s="57"/>
      <c r="N49" s="56"/>
      <c r="O49" s="108"/>
    </row>
    <row r="50" spans="1:15" s="13" customFormat="1" ht="51" x14ac:dyDescent="0.2">
      <c r="A50" s="107">
        <f t="shared" si="2"/>
        <v>43</v>
      </c>
      <c r="B50" s="9"/>
      <c r="C50" s="10" t="s">
        <v>348</v>
      </c>
      <c r="D50" s="11"/>
      <c r="E50" s="11"/>
      <c r="F50" s="11" t="s">
        <v>340</v>
      </c>
      <c r="G50" s="12" t="s">
        <v>27</v>
      </c>
      <c r="H50" s="12"/>
      <c r="I50" s="123" t="s">
        <v>349</v>
      </c>
      <c r="J50" s="121" t="str">
        <f t="shared" si="3"/>
        <v/>
      </c>
      <c r="K50" s="112">
        <f t="shared" si="4"/>
        <v>0</v>
      </c>
      <c r="L50" s="118"/>
      <c r="M50" s="57"/>
      <c r="N50" s="56"/>
      <c r="O50" s="108"/>
    </row>
    <row r="51" spans="1:15" s="13" customFormat="1" ht="38.25" x14ac:dyDescent="0.2">
      <c r="A51" s="107">
        <f t="shared" si="2"/>
        <v>44</v>
      </c>
      <c r="B51" s="9"/>
      <c r="C51" s="10" t="s">
        <v>350</v>
      </c>
      <c r="D51" s="11"/>
      <c r="E51" s="11"/>
      <c r="F51" s="11" t="s">
        <v>26</v>
      </c>
      <c r="G51" s="12" t="s">
        <v>27</v>
      </c>
      <c r="H51" s="12"/>
      <c r="I51" s="123" t="s">
        <v>351</v>
      </c>
      <c r="J51" s="121" t="str">
        <f t="shared" si="3"/>
        <v/>
      </c>
      <c r="K51" s="112">
        <f t="shared" si="4"/>
        <v>0</v>
      </c>
      <c r="L51" s="118"/>
      <c r="M51" s="57"/>
      <c r="N51" s="56"/>
      <c r="O51" s="108"/>
    </row>
    <row r="52" spans="1:15" s="13" customFormat="1" ht="76.5" x14ac:dyDescent="0.2">
      <c r="A52" s="107">
        <f t="shared" si="2"/>
        <v>45</v>
      </c>
      <c r="B52" s="9"/>
      <c r="C52" s="10" t="s">
        <v>352</v>
      </c>
      <c r="D52" s="11"/>
      <c r="E52" s="11"/>
      <c r="F52" s="11" t="s">
        <v>340</v>
      </c>
      <c r="G52" s="12" t="s">
        <v>27</v>
      </c>
      <c r="H52" s="12"/>
      <c r="I52" s="123" t="s">
        <v>353</v>
      </c>
      <c r="J52" s="121" t="str">
        <f t="shared" si="3"/>
        <v/>
      </c>
      <c r="K52" s="112">
        <f t="shared" si="4"/>
        <v>0</v>
      </c>
      <c r="L52" s="118"/>
      <c r="M52" s="57"/>
      <c r="N52" s="56"/>
      <c r="O52" s="108"/>
    </row>
    <row r="53" spans="1:15" s="13" customFormat="1" ht="51" x14ac:dyDescent="0.2">
      <c r="A53" s="107">
        <f t="shared" si="2"/>
        <v>46</v>
      </c>
      <c r="B53" s="9"/>
      <c r="C53" s="10" t="s">
        <v>354</v>
      </c>
      <c r="D53" s="11"/>
      <c r="E53" s="11"/>
      <c r="F53" s="11" t="s">
        <v>340</v>
      </c>
      <c r="G53" s="12" t="s">
        <v>27</v>
      </c>
      <c r="H53" s="12"/>
      <c r="I53" s="123" t="s">
        <v>355</v>
      </c>
      <c r="J53" s="121" t="str">
        <f t="shared" si="3"/>
        <v/>
      </c>
      <c r="K53" s="112">
        <f t="shared" si="4"/>
        <v>0</v>
      </c>
      <c r="L53" s="118"/>
      <c r="M53" s="57"/>
      <c r="N53" s="56"/>
      <c r="O53" s="108"/>
    </row>
    <row r="54" spans="1:15" s="13" customFormat="1" ht="76.5" x14ac:dyDescent="0.2">
      <c r="A54" s="107">
        <f t="shared" si="2"/>
        <v>47</v>
      </c>
      <c r="B54" s="9"/>
      <c r="C54" s="10" t="s">
        <v>356</v>
      </c>
      <c r="D54" s="11"/>
      <c r="E54" s="11"/>
      <c r="F54" s="11" t="s">
        <v>30</v>
      </c>
      <c r="G54" s="12"/>
      <c r="H54" s="12"/>
      <c r="I54" s="123" t="s">
        <v>382</v>
      </c>
      <c r="J54" s="121" t="str">
        <f t="shared" si="3"/>
        <v/>
      </c>
      <c r="K54" s="112">
        <f t="shared" si="4"/>
        <v>0</v>
      </c>
      <c r="L54" s="118"/>
      <c r="M54" s="57"/>
      <c r="N54" s="56"/>
      <c r="O54" s="108"/>
    </row>
    <row r="55" spans="1:15" s="13" customFormat="1" ht="38.25" x14ac:dyDescent="0.2">
      <c r="A55" s="107">
        <f t="shared" si="2"/>
        <v>48</v>
      </c>
      <c r="B55" s="9"/>
      <c r="C55" s="10" t="s">
        <v>357</v>
      </c>
      <c r="D55" s="11"/>
      <c r="E55" s="11"/>
      <c r="F55" s="11" t="s">
        <v>358</v>
      </c>
      <c r="G55" s="12" t="s">
        <v>359</v>
      </c>
      <c r="H55" s="12"/>
      <c r="I55" s="123" t="s">
        <v>360</v>
      </c>
      <c r="J55" s="121" t="str">
        <f t="shared" si="3"/>
        <v/>
      </c>
      <c r="K55" s="112">
        <f t="shared" si="4"/>
        <v>0</v>
      </c>
      <c r="L55" s="118"/>
      <c r="M55" s="57"/>
      <c r="N55" s="56"/>
      <c r="O55" s="108"/>
    </row>
    <row r="56" spans="1:15" s="13" customFormat="1" x14ac:dyDescent="0.2">
      <c r="A56" s="107">
        <f t="shared" si="2"/>
        <v>49</v>
      </c>
      <c r="B56" s="9"/>
      <c r="C56" s="10" t="s">
        <v>361</v>
      </c>
      <c r="D56" s="11"/>
      <c r="E56" s="11"/>
      <c r="F56" s="11" t="s">
        <v>30</v>
      </c>
      <c r="G56" s="12"/>
      <c r="H56" s="12"/>
      <c r="I56" s="123" t="s">
        <v>376</v>
      </c>
      <c r="J56" s="121" t="str">
        <f t="shared" si="3"/>
        <v/>
      </c>
      <c r="K56" s="112">
        <f t="shared" si="4"/>
        <v>0</v>
      </c>
      <c r="L56" s="118"/>
      <c r="M56" s="57"/>
      <c r="N56" s="56"/>
      <c r="O56" s="108"/>
    </row>
    <row r="57" spans="1:15" s="13" customFormat="1" ht="25.5" x14ac:dyDescent="0.2">
      <c r="A57" s="107">
        <f t="shared" si="2"/>
        <v>50</v>
      </c>
      <c r="B57" s="9"/>
      <c r="C57" s="10" t="s">
        <v>362</v>
      </c>
      <c r="D57" s="11"/>
      <c r="E57" s="11"/>
      <c r="F57" s="11" t="s">
        <v>30</v>
      </c>
      <c r="G57" s="12"/>
      <c r="H57" s="12"/>
      <c r="I57" s="123" t="s">
        <v>377</v>
      </c>
      <c r="J57" s="121" t="str">
        <f t="shared" si="3"/>
        <v/>
      </c>
      <c r="K57" s="112">
        <f t="shared" si="4"/>
        <v>0</v>
      </c>
      <c r="L57" s="118"/>
      <c r="M57" s="57"/>
      <c r="N57" s="56"/>
      <c r="O57" s="108"/>
    </row>
    <row r="58" spans="1:15" s="13" customFormat="1" ht="25.5" x14ac:dyDescent="0.2">
      <c r="A58" s="107">
        <f t="shared" si="2"/>
        <v>51</v>
      </c>
      <c r="B58" s="9"/>
      <c r="C58" s="10" t="s">
        <v>363</v>
      </c>
      <c r="D58" s="11"/>
      <c r="E58" s="11"/>
      <c r="F58" s="11" t="s">
        <v>30</v>
      </c>
      <c r="G58" s="12"/>
      <c r="H58" s="12"/>
      <c r="I58" s="123" t="s">
        <v>378</v>
      </c>
      <c r="J58" s="121" t="str">
        <f t="shared" si="3"/>
        <v/>
      </c>
      <c r="K58" s="112">
        <f t="shared" si="4"/>
        <v>0</v>
      </c>
      <c r="L58" s="118"/>
      <c r="M58" s="57"/>
      <c r="N58" s="56"/>
      <c r="O58" s="108"/>
    </row>
    <row r="59" spans="1:15" s="13" customFormat="1" ht="38.25" x14ac:dyDescent="0.2">
      <c r="A59" s="107">
        <f t="shared" si="2"/>
        <v>52</v>
      </c>
      <c r="B59" s="9"/>
      <c r="C59" s="10" t="s">
        <v>364</v>
      </c>
      <c r="D59" s="11"/>
      <c r="E59" s="11"/>
      <c r="F59" s="11" t="s">
        <v>30</v>
      </c>
      <c r="G59" s="12"/>
      <c r="H59" s="12"/>
      <c r="I59" s="123" t="s">
        <v>379</v>
      </c>
      <c r="J59" s="121" t="str">
        <f t="shared" si="3"/>
        <v/>
      </c>
      <c r="K59" s="112">
        <f t="shared" si="4"/>
        <v>0</v>
      </c>
      <c r="L59" s="118"/>
      <c r="M59" s="57"/>
      <c r="N59" s="56"/>
      <c r="O59" s="108"/>
    </row>
    <row r="60" spans="1:15" s="13" customFormat="1" ht="25.5" x14ac:dyDescent="0.2">
      <c r="A60" s="107">
        <f t="shared" si="2"/>
        <v>53</v>
      </c>
      <c r="B60" s="9"/>
      <c r="C60" s="10" t="s">
        <v>365</v>
      </c>
      <c r="D60" s="11"/>
      <c r="E60" s="11"/>
      <c r="F60" s="11" t="s">
        <v>30</v>
      </c>
      <c r="G60" s="12"/>
      <c r="H60" s="12"/>
      <c r="I60" s="123" t="s">
        <v>380</v>
      </c>
      <c r="J60" s="121" t="str">
        <f t="shared" si="3"/>
        <v/>
      </c>
      <c r="K60" s="112">
        <f t="shared" si="4"/>
        <v>0</v>
      </c>
      <c r="L60" s="118"/>
      <c r="M60" s="57"/>
      <c r="N60" s="56"/>
      <c r="O60" s="108"/>
    </row>
    <row r="61" spans="1:15" s="13" customFormat="1" ht="51" x14ac:dyDescent="0.2">
      <c r="A61" s="107">
        <f t="shared" si="2"/>
        <v>54</v>
      </c>
      <c r="B61" s="9"/>
      <c r="C61" s="10" t="s">
        <v>366</v>
      </c>
      <c r="D61" s="11"/>
      <c r="E61" s="11"/>
      <c r="F61" s="11" t="s">
        <v>30</v>
      </c>
      <c r="G61" s="12"/>
      <c r="H61" s="12"/>
      <c r="I61" s="123" t="s">
        <v>349</v>
      </c>
      <c r="J61" s="121" t="str">
        <f t="shared" si="3"/>
        <v/>
      </c>
      <c r="K61" s="112">
        <f t="shared" si="4"/>
        <v>0</v>
      </c>
      <c r="L61" s="118"/>
      <c r="M61" s="57"/>
      <c r="N61" s="56"/>
      <c r="O61" s="108"/>
    </row>
    <row r="62" spans="1:15" s="13" customFormat="1" ht="51" x14ac:dyDescent="0.2">
      <c r="A62" s="107">
        <f t="shared" si="2"/>
        <v>55</v>
      </c>
      <c r="B62" s="9"/>
      <c r="C62" s="10" t="s">
        <v>367</v>
      </c>
      <c r="D62" s="11"/>
      <c r="E62" s="11"/>
      <c r="F62" s="11" t="s">
        <v>117</v>
      </c>
      <c r="G62" s="12" t="s">
        <v>368</v>
      </c>
      <c r="H62" s="12"/>
      <c r="I62" s="123" t="s">
        <v>369</v>
      </c>
      <c r="J62" s="121" t="str">
        <f t="shared" si="3"/>
        <v/>
      </c>
      <c r="K62" s="112">
        <f t="shared" si="4"/>
        <v>0</v>
      </c>
      <c r="L62" s="118"/>
      <c r="M62" s="57"/>
      <c r="N62" s="56"/>
      <c r="O62" s="108"/>
    </row>
    <row r="63" spans="1:15" s="13" customFormat="1" ht="76.5" x14ac:dyDescent="0.2">
      <c r="A63" s="107">
        <f t="shared" si="2"/>
        <v>56</v>
      </c>
      <c r="B63" s="9"/>
      <c r="C63" s="10" t="s">
        <v>370</v>
      </c>
      <c r="D63" s="11"/>
      <c r="E63" s="11"/>
      <c r="F63" s="11" t="s">
        <v>109</v>
      </c>
      <c r="G63" s="12" t="s">
        <v>371</v>
      </c>
      <c r="H63" s="12"/>
      <c r="I63" s="123" t="s">
        <v>372</v>
      </c>
      <c r="J63" s="121" t="str">
        <f t="shared" si="3"/>
        <v/>
      </c>
      <c r="K63" s="112">
        <f t="shared" si="4"/>
        <v>0</v>
      </c>
      <c r="L63" s="118"/>
      <c r="M63" s="57"/>
      <c r="N63" s="56"/>
      <c r="O63" s="108"/>
    </row>
    <row r="64" spans="1:15" s="13" customFormat="1" ht="25.5" x14ac:dyDescent="0.2">
      <c r="A64" s="107">
        <f t="shared" si="2"/>
        <v>57</v>
      </c>
      <c r="B64" s="9"/>
      <c r="C64" s="10" t="s">
        <v>373</v>
      </c>
      <c r="D64" s="11"/>
      <c r="E64" s="11"/>
      <c r="F64" s="11" t="s">
        <v>30</v>
      </c>
      <c r="G64" s="12"/>
      <c r="H64" s="12"/>
      <c r="I64" s="123" t="s">
        <v>383</v>
      </c>
      <c r="J64" s="121" t="str">
        <f t="shared" si="3"/>
        <v/>
      </c>
      <c r="K64" s="112">
        <f t="shared" si="4"/>
        <v>0</v>
      </c>
      <c r="L64" s="118"/>
      <c r="M64" s="57"/>
      <c r="N64" s="56"/>
      <c r="O64" s="108"/>
    </row>
    <row r="65" spans="1:15" s="13" customFormat="1" ht="51" x14ac:dyDescent="0.2">
      <c r="A65" s="107">
        <f t="shared" si="2"/>
        <v>58</v>
      </c>
      <c r="B65" s="9"/>
      <c r="C65" s="10" t="s">
        <v>374</v>
      </c>
      <c r="D65" s="11"/>
      <c r="E65" s="11"/>
      <c r="F65" s="11" t="s">
        <v>30</v>
      </c>
      <c r="G65" s="12"/>
      <c r="H65" s="12"/>
      <c r="I65" s="123" t="s">
        <v>384</v>
      </c>
      <c r="J65" s="121" t="str">
        <f t="shared" si="3"/>
        <v/>
      </c>
      <c r="K65" s="112">
        <f t="shared" si="4"/>
        <v>0</v>
      </c>
      <c r="L65" s="118"/>
      <c r="M65" s="57"/>
      <c r="N65" s="56"/>
      <c r="O65" s="108"/>
    </row>
    <row r="66" spans="1:15" s="13" customFormat="1" x14ac:dyDescent="0.2">
      <c r="A66" s="107" t="str">
        <f t="shared" si="2"/>
        <v/>
      </c>
      <c r="B66" s="9"/>
      <c r="C66" s="10"/>
      <c r="D66" s="11"/>
      <c r="E66" s="11"/>
      <c r="F66" s="11"/>
      <c r="G66" s="12"/>
      <c r="H66" s="12"/>
      <c r="I66" s="123"/>
      <c r="J66" s="121" t="str">
        <f t="shared" si="3"/>
        <v/>
      </c>
      <c r="K66" s="112">
        <f t="shared" si="4"/>
        <v>0</v>
      </c>
      <c r="L66" s="118"/>
      <c r="M66" s="57"/>
      <c r="N66" s="56"/>
      <c r="O66" s="108"/>
    </row>
    <row r="67" spans="1:15" s="13" customFormat="1" x14ac:dyDescent="0.2">
      <c r="A67" s="107" t="str">
        <f t="shared" si="2"/>
        <v/>
      </c>
      <c r="B67" s="9"/>
      <c r="C67" s="10"/>
      <c r="D67" s="11"/>
      <c r="E67" s="11"/>
      <c r="F67" s="11"/>
      <c r="G67" s="12"/>
      <c r="H67" s="12"/>
      <c r="I67" s="123"/>
      <c r="J67" s="121" t="str">
        <f t="shared" si="3"/>
        <v/>
      </c>
      <c r="K67" s="112">
        <f t="shared" si="4"/>
        <v>0</v>
      </c>
      <c r="L67" s="118"/>
      <c r="M67" s="57"/>
      <c r="N67" s="56"/>
      <c r="O67" s="108"/>
    </row>
    <row r="68" spans="1:15" s="13" customFormat="1" x14ac:dyDescent="0.2">
      <c r="A68" s="107" t="str">
        <f t="shared" si="2"/>
        <v/>
      </c>
      <c r="B68" s="9"/>
      <c r="C68" s="10"/>
      <c r="D68" s="11"/>
      <c r="E68" s="11"/>
      <c r="F68" s="11"/>
      <c r="G68" s="12"/>
      <c r="H68" s="12"/>
      <c r="I68" s="123"/>
      <c r="J68" s="121" t="str">
        <f t="shared" si="3"/>
        <v/>
      </c>
      <c r="K68" s="112">
        <f t="shared" si="4"/>
        <v>0</v>
      </c>
      <c r="L68" s="118"/>
      <c r="M68" s="57"/>
      <c r="N68" s="56"/>
      <c r="O68" s="108"/>
    </row>
    <row r="69" spans="1:15" s="13" customFormat="1" x14ac:dyDescent="0.2">
      <c r="A69" s="107" t="str">
        <f t="shared" si="2"/>
        <v/>
      </c>
      <c r="B69" s="9"/>
      <c r="C69" s="10"/>
      <c r="D69" s="11"/>
      <c r="E69" s="11"/>
      <c r="F69" s="11"/>
      <c r="G69" s="12"/>
      <c r="H69" s="12"/>
      <c r="I69" s="123"/>
      <c r="J69" s="121" t="str">
        <f t="shared" si="3"/>
        <v/>
      </c>
      <c r="K69" s="112">
        <f t="shared" si="4"/>
        <v>0</v>
      </c>
      <c r="L69" s="118"/>
      <c r="M69" s="57"/>
      <c r="N69" s="56"/>
      <c r="O69" s="108"/>
    </row>
    <row r="70" spans="1:15" s="13" customFormat="1" x14ac:dyDescent="0.2">
      <c r="A70" s="107" t="str">
        <f t="shared" si="2"/>
        <v/>
      </c>
      <c r="B70" s="9"/>
      <c r="C70" s="10"/>
      <c r="D70" s="11"/>
      <c r="E70" s="11"/>
      <c r="F70" s="11"/>
      <c r="G70" s="12"/>
      <c r="H70" s="12"/>
      <c r="I70" s="123"/>
      <c r="J70" s="121" t="str">
        <f t="shared" si="3"/>
        <v/>
      </c>
      <c r="K70" s="112">
        <f t="shared" si="4"/>
        <v>0</v>
      </c>
      <c r="L70" s="118"/>
      <c r="M70" s="57"/>
      <c r="N70" s="56"/>
      <c r="O70" s="108"/>
    </row>
    <row r="71" spans="1:15" s="13" customFormat="1" x14ac:dyDescent="0.2">
      <c r="A71" s="107" t="str">
        <f t="shared" si="2"/>
        <v/>
      </c>
      <c r="B71" s="9"/>
      <c r="C71" s="10"/>
      <c r="D71" s="11"/>
      <c r="E71" s="11"/>
      <c r="F71" s="11"/>
      <c r="G71" s="12"/>
      <c r="H71" s="12"/>
      <c r="I71" s="123"/>
      <c r="J71" s="121" t="str">
        <f t="shared" si="3"/>
        <v/>
      </c>
      <c r="K71" s="112">
        <f t="shared" si="4"/>
        <v>0</v>
      </c>
      <c r="L71" s="118"/>
      <c r="M71" s="57"/>
      <c r="N71" s="56"/>
      <c r="O71" s="108"/>
    </row>
    <row r="72" spans="1:15" s="13" customFormat="1" x14ac:dyDescent="0.2">
      <c r="A72" s="107" t="str">
        <f t="shared" si="2"/>
        <v/>
      </c>
      <c r="B72" s="9"/>
      <c r="C72" s="10"/>
      <c r="D72" s="11"/>
      <c r="E72" s="11"/>
      <c r="F72" s="11"/>
      <c r="G72" s="12"/>
      <c r="H72" s="12"/>
      <c r="I72" s="123"/>
      <c r="J72" s="121" t="str">
        <f t="shared" ref="J72:J103" si="5">IF(D72="","",IF(E72="","OPEN","CLOSED"))</f>
        <v/>
      </c>
      <c r="K72" s="112">
        <f t="shared" ref="K72:K103" si="6">IF(J72="open","",E72-D72)</f>
        <v>0</v>
      </c>
      <c r="L72" s="118"/>
      <c r="M72" s="57"/>
      <c r="N72" s="56"/>
      <c r="O72" s="108"/>
    </row>
    <row r="73" spans="1:15" s="13" customFormat="1" x14ac:dyDescent="0.2">
      <c r="A73" s="107" t="str">
        <f t="shared" si="2"/>
        <v/>
      </c>
      <c r="B73" s="9"/>
      <c r="C73" s="10"/>
      <c r="D73" s="11"/>
      <c r="E73" s="11"/>
      <c r="F73" s="11"/>
      <c r="G73" s="12"/>
      <c r="H73" s="12"/>
      <c r="I73" s="123"/>
      <c r="J73" s="121" t="str">
        <f t="shared" si="5"/>
        <v/>
      </c>
      <c r="K73" s="112">
        <f t="shared" si="6"/>
        <v>0</v>
      </c>
      <c r="L73" s="118"/>
      <c r="M73" s="57"/>
      <c r="N73" s="56"/>
      <c r="O73" s="108"/>
    </row>
    <row r="74" spans="1:15" s="13" customFormat="1" x14ac:dyDescent="0.2">
      <c r="A74" s="107" t="str">
        <f t="shared" ref="A74:A137" si="7">IF(AND(C74="",D74=""),"",A73+1)</f>
        <v/>
      </c>
      <c r="B74" s="9"/>
      <c r="C74" s="10"/>
      <c r="D74" s="11"/>
      <c r="E74" s="11"/>
      <c r="F74" s="11"/>
      <c r="G74" s="12"/>
      <c r="H74" s="12"/>
      <c r="I74" s="123"/>
      <c r="J74" s="121" t="str">
        <f t="shared" si="5"/>
        <v/>
      </c>
      <c r="K74" s="112">
        <f t="shared" si="6"/>
        <v>0</v>
      </c>
      <c r="L74" s="118"/>
      <c r="M74" s="57"/>
      <c r="N74" s="56"/>
      <c r="O74" s="108"/>
    </row>
    <row r="75" spans="1:15" s="13" customFormat="1" x14ac:dyDescent="0.2">
      <c r="A75" s="107" t="str">
        <f t="shared" si="7"/>
        <v/>
      </c>
      <c r="B75" s="9"/>
      <c r="C75" s="10"/>
      <c r="D75" s="11"/>
      <c r="E75" s="11"/>
      <c r="F75" s="11"/>
      <c r="G75" s="12"/>
      <c r="H75" s="12"/>
      <c r="I75" s="123"/>
      <c r="J75" s="121" t="str">
        <f t="shared" si="5"/>
        <v/>
      </c>
      <c r="K75" s="112">
        <f t="shared" si="6"/>
        <v>0</v>
      </c>
      <c r="L75" s="118"/>
      <c r="M75" s="57"/>
      <c r="N75" s="56"/>
      <c r="O75" s="108"/>
    </row>
    <row r="76" spans="1:15" s="13" customFormat="1" x14ac:dyDescent="0.2">
      <c r="A76" s="107" t="str">
        <f t="shared" si="7"/>
        <v/>
      </c>
      <c r="B76" s="9"/>
      <c r="C76" s="10"/>
      <c r="D76" s="11"/>
      <c r="E76" s="11"/>
      <c r="F76" s="11"/>
      <c r="G76" s="12"/>
      <c r="H76" s="12"/>
      <c r="I76" s="123"/>
      <c r="J76" s="121" t="str">
        <f t="shared" si="5"/>
        <v/>
      </c>
      <c r="K76" s="112">
        <f t="shared" si="6"/>
        <v>0</v>
      </c>
      <c r="L76" s="118"/>
      <c r="M76" s="57"/>
      <c r="N76" s="56"/>
      <c r="O76" s="108"/>
    </row>
    <row r="77" spans="1:15" s="13" customFormat="1" x14ac:dyDescent="0.2">
      <c r="A77" s="107" t="str">
        <f t="shared" si="7"/>
        <v/>
      </c>
      <c r="B77" s="9"/>
      <c r="C77" s="10"/>
      <c r="D77" s="11"/>
      <c r="E77" s="11"/>
      <c r="F77" s="11"/>
      <c r="G77" s="12"/>
      <c r="H77" s="12"/>
      <c r="I77" s="123"/>
      <c r="J77" s="121" t="str">
        <f t="shared" si="5"/>
        <v/>
      </c>
      <c r="K77" s="112">
        <f t="shared" si="6"/>
        <v>0</v>
      </c>
      <c r="L77" s="118"/>
      <c r="M77" s="57"/>
      <c r="N77" s="56"/>
      <c r="O77" s="108"/>
    </row>
    <row r="78" spans="1:15" s="13" customFormat="1" x14ac:dyDescent="0.2">
      <c r="A78" s="107" t="str">
        <f t="shared" si="7"/>
        <v/>
      </c>
      <c r="B78" s="9"/>
      <c r="C78" s="10"/>
      <c r="D78" s="11"/>
      <c r="E78" s="11"/>
      <c r="F78" s="11"/>
      <c r="G78" s="12"/>
      <c r="H78" s="12"/>
      <c r="I78" s="123"/>
      <c r="J78" s="121" t="str">
        <f t="shared" si="5"/>
        <v/>
      </c>
      <c r="K78" s="112">
        <f t="shared" si="6"/>
        <v>0</v>
      </c>
      <c r="L78" s="118"/>
      <c r="M78" s="57"/>
      <c r="N78" s="56"/>
      <c r="O78" s="108"/>
    </row>
    <row r="79" spans="1:15" s="13" customFormat="1" x14ac:dyDescent="0.2">
      <c r="A79" s="107" t="str">
        <f t="shared" si="7"/>
        <v/>
      </c>
      <c r="B79" s="9"/>
      <c r="C79" s="10"/>
      <c r="D79" s="11"/>
      <c r="E79" s="11"/>
      <c r="F79" s="11"/>
      <c r="G79" s="12"/>
      <c r="H79" s="12"/>
      <c r="I79" s="123"/>
      <c r="J79" s="121" t="str">
        <f t="shared" si="5"/>
        <v/>
      </c>
      <c r="K79" s="112">
        <f t="shared" si="6"/>
        <v>0</v>
      </c>
      <c r="L79" s="118"/>
      <c r="M79" s="57"/>
      <c r="N79" s="56"/>
      <c r="O79" s="108"/>
    </row>
    <row r="80" spans="1:15" s="13" customFormat="1" x14ac:dyDescent="0.2">
      <c r="A80" s="107" t="str">
        <f t="shared" si="7"/>
        <v/>
      </c>
      <c r="B80" s="9"/>
      <c r="C80" s="10"/>
      <c r="D80" s="11"/>
      <c r="E80" s="11"/>
      <c r="F80" s="11"/>
      <c r="G80" s="12"/>
      <c r="H80" s="12"/>
      <c r="I80" s="123"/>
      <c r="J80" s="121" t="str">
        <f t="shared" si="5"/>
        <v/>
      </c>
      <c r="K80" s="112">
        <f t="shared" si="6"/>
        <v>0</v>
      </c>
      <c r="L80" s="118"/>
      <c r="M80" s="57"/>
      <c r="N80" s="56"/>
      <c r="O80" s="108"/>
    </row>
    <row r="81" spans="1:15" s="13" customFormat="1" x14ac:dyDescent="0.2">
      <c r="A81" s="107" t="str">
        <f t="shared" si="7"/>
        <v/>
      </c>
      <c r="B81" s="9"/>
      <c r="C81" s="10"/>
      <c r="D81" s="11"/>
      <c r="E81" s="11"/>
      <c r="F81" s="11"/>
      <c r="G81" s="12"/>
      <c r="H81" s="12"/>
      <c r="I81" s="123"/>
      <c r="J81" s="121" t="str">
        <f t="shared" si="5"/>
        <v/>
      </c>
      <c r="K81" s="112">
        <f t="shared" si="6"/>
        <v>0</v>
      </c>
      <c r="L81" s="118"/>
      <c r="M81" s="57"/>
      <c r="N81" s="56"/>
      <c r="O81" s="108"/>
    </row>
    <row r="82" spans="1:15" s="13" customFormat="1" x14ac:dyDescent="0.2">
      <c r="A82" s="107" t="str">
        <f t="shared" si="7"/>
        <v/>
      </c>
      <c r="B82" s="9"/>
      <c r="C82" s="10"/>
      <c r="D82" s="11"/>
      <c r="E82" s="11"/>
      <c r="F82" s="11"/>
      <c r="G82" s="12"/>
      <c r="H82" s="12"/>
      <c r="I82" s="123"/>
      <c r="J82" s="121" t="str">
        <f t="shared" si="5"/>
        <v/>
      </c>
      <c r="K82" s="112">
        <f t="shared" si="6"/>
        <v>0</v>
      </c>
      <c r="L82" s="118"/>
      <c r="M82" s="57"/>
      <c r="N82" s="56"/>
      <c r="O82" s="108"/>
    </row>
    <row r="83" spans="1:15" s="13" customFormat="1" x14ac:dyDescent="0.2">
      <c r="A83" s="107" t="str">
        <f t="shared" si="7"/>
        <v/>
      </c>
      <c r="B83" s="9"/>
      <c r="C83" s="10"/>
      <c r="D83" s="11"/>
      <c r="E83" s="11"/>
      <c r="F83" s="11"/>
      <c r="G83" s="12"/>
      <c r="H83" s="12"/>
      <c r="I83" s="123"/>
      <c r="J83" s="121" t="str">
        <f t="shared" si="5"/>
        <v/>
      </c>
      <c r="K83" s="112">
        <f t="shared" si="6"/>
        <v>0</v>
      </c>
      <c r="L83" s="118"/>
      <c r="M83" s="57"/>
      <c r="N83" s="56"/>
      <c r="O83" s="108"/>
    </row>
    <row r="84" spans="1:15" s="13" customFormat="1" x14ac:dyDescent="0.2">
      <c r="A84" s="107" t="str">
        <f t="shared" si="7"/>
        <v/>
      </c>
      <c r="B84" s="56"/>
      <c r="C84" s="56"/>
      <c r="D84" s="56"/>
      <c r="E84" s="56"/>
      <c r="F84" s="56"/>
      <c r="G84" s="56"/>
      <c r="H84" s="56"/>
      <c r="I84" s="124"/>
      <c r="J84" s="121" t="str">
        <f t="shared" si="5"/>
        <v/>
      </c>
      <c r="K84" s="112">
        <f t="shared" si="6"/>
        <v>0</v>
      </c>
      <c r="L84" s="119"/>
      <c r="M84" s="56"/>
      <c r="N84" s="56"/>
      <c r="O84" s="108"/>
    </row>
    <row r="85" spans="1:15" s="13" customFormat="1" x14ac:dyDescent="0.2">
      <c r="A85" s="107" t="str">
        <f t="shared" si="7"/>
        <v/>
      </c>
      <c r="B85" s="9"/>
      <c r="C85" s="10"/>
      <c r="D85" s="11"/>
      <c r="E85" s="11"/>
      <c r="F85" s="11"/>
      <c r="G85" s="12"/>
      <c r="H85" s="12"/>
      <c r="I85" s="123"/>
      <c r="J85" s="121" t="str">
        <f t="shared" si="5"/>
        <v/>
      </c>
      <c r="K85" s="112">
        <f t="shared" si="6"/>
        <v>0</v>
      </c>
      <c r="L85" s="118"/>
      <c r="M85" s="57"/>
      <c r="N85" s="56"/>
      <c r="O85" s="108"/>
    </row>
    <row r="86" spans="1:15" s="13" customFormat="1" x14ac:dyDescent="0.2">
      <c r="A86" s="107" t="str">
        <f t="shared" si="7"/>
        <v/>
      </c>
      <c r="B86" s="9"/>
      <c r="C86" s="10"/>
      <c r="D86" s="11"/>
      <c r="E86" s="11"/>
      <c r="F86" s="11"/>
      <c r="G86" s="12"/>
      <c r="H86" s="12"/>
      <c r="I86" s="123"/>
      <c r="J86" s="121" t="str">
        <f t="shared" si="5"/>
        <v/>
      </c>
      <c r="K86" s="112">
        <f t="shared" si="6"/>
        <v>0</v>
      </c>
      <c r="L86" s="118"/>
      <c r="M86" s="57"/>
      <c r="N86" s="56"/>
      <c r="O86" s="108"/>
    </row>
    <row r="87" spans="1:15" s="13" customFormat="1" x14ac:dyDescent="0.2">
      <c r="A87" s="107" t="str">
        <f t="shared" si="7"/>
        <v/>
      </c>
      <c r="B87" s="9"/>
      <c r="C87" s="10"/>
      <c r="D87" s="11"/>
      <c r="E87" s="11"/>
      <c r="F87" s="11"/>
      <c r="G87" s="12"/>
      <c r="H87" s="12"/>
      <c r="I87" s="123"/>
      <c r="J87" s="121" t="str">
        <f t="shared" si="5"/>
        <v/>
      </c>
      <c r="K87" s="112">
        <f t="shared" si="6"/>
        <v>0</v>
      </c>
      <c r="L87" s="118"/>
      <c r="M87" s="57"/>
      <c r="N87" s="56"/>
      <c r="O87" s="108"/>
    </row>
    <row r="88" spans="1:15" s="13" customFormat="1" x14ac:dyDescent="0.2">
      <c r="A88" s="107" t="str">
        <f t="shared" si="7"/>
        <v/>
      </c>
      <c r="B88" s="9"/>
      <c r="C88" s="10"/>
      <c r="D88" s="11"/>
      <c r="E88" s="11"/>
      <c r="F88" s="11"/>
      <c r="G88" s="12"/>
      <c r="H88" s="12"/>
      <c r="I88" s="123"/>
      <c r="J88" s="121" t="str">
        <f t="shared" si="5"/>
        <v/>
      </c>
      <c r="K88" s="112">
        <f t="shared" si="6"/>
        <v>0</v>
      </c>
      <c r="L88" s="118"/>
      <c r="M88" s="57"/>
      <c r="N88" s="56"/>
      <c r="O88" s="108"/>
    </row>
    <row r="89" spans="1:15" s="13" customFormat="1" x14ac:dyDescent="0.2">
      <c r="A89" s="107" t="str">
        <f t="shared" si="7"/>
        <v/>
      </c>
      <c r="B89" s="9"/>
      <c r="C89" s="10"/>
      <c r="D89" s="11"/>
      <c r="E89" s="11"/>
      <c r="F89" s="11"/>
      <c r="G89" s="12"/>
      <c r="H89" s="12"/>
      <c r="I89" s="123"/>
      <c r="J89" s="121" t="str">
        <f t="shared" si="5"/>
        <v/>
      </c>
      <c r="K89" s="112">
        <f t="shared" si="6"/>
        <v>0</v>
      </c>
      <c r="L89" s="118"/>
      <c r="M89" s="57"/>
      <c r="N89" s="56"/>
      <c r="O89" s="108"/>
    </row>
    <row r="90" spans="1:15" s="13" customFormat="1" x14ac:dyDescent="0.2">
      <c r="A90" s="107" t="str">
        <f t="shared" si="7"/>
        <v/>
      </c>
      <c r="B90" s="9"/>
      <c r="C90" s="10"/>
      <c r="D90" s="11"/>
      <c r="E90" s="11"/>
      <c r="F90" s="11"/>
      <c r="G90" s="12"/>
      <c r="H90" s="12"/>
      <c r="I90" s="123"/>
      <c r="J90" s="121" t="str">
        <f t="shared" si="5"/>
        <v/>
      </c>
      <c r="K90" s="112">
        <f t="shared" si="6"/>
        <v>0</v>
      </c>
      <c r="L90" s="118"/>
      <c r="M90" s="57"/>
      <c r="N90" s="56"/>
      <c r="O90" s="108"/>
    </row>
    <row r="91" spans="1:15" s="13" customFormat="1" x14ac:dyDescent="0.2">
      <c r="A91" s="107" t="str">
        <f t="shared" si="7"/>
        <v/>
      </c>
      <c r="B91" s="9"/>
      <c r="C91" s="10"/>
      <c r="D91" s="11"/>
      <c r="E91" s="11"/>
      <c r="F91" s="11"/>
      <c r="G91" s="12"/>
      <c r="H91" s="12"/>
      <c r="I91" s="123"/>
      <c r="J91" s="121" t="str">
        <f t="shared" si="5"/>
        <v/>
      </c>
      <c r="K91" s="112">
        <f t="shared" si="6"/>
        <v>0</v>
      </c>
      <c r="L91" s="118"/>
      <c r="M91" s="57"/>
      <c r="N91" s="56"/>
      <c r="O91" s="108"/>
    </row>
    <row r="92" spans="1:15" s="13" customFormat="1" x14ac:dyDescent="0.2">
      <c r="A92" s="107" t="str">
        <f t="shared" si="7"/>
        <v/>
      </c>
      <c r="B92" s="9"/>
      <c r="C92" s="10"/>
      <c r="D92" s="11"/>
      <c r="E92" s="11"/>
      <c r="F92" s="11"/>
      <c r="G92" s="12"/>
      <c r="H92" s="12"/>
      <c r="I92" s="123"/>
      <c r="J92" s="121" t="str">
        <f t="shared" si="5"/>
        <v/>
      </c>
      <c r="K92" s="112">
        <f t="shared" si="6"/>
        <v>0</v>
      </c>
      <c r="L92" s="118"/>
      <c r="M92" s="57"/>
      <c r="N92" s="56"/>
      <c r="O92" s="108"/>
    </row>
    <row r="93" spans="1:15" s="13" customFormat="1" x14ac:dyDescent="0.2">
      <c r="A93" s="107" t="str">
        <f t="shared" si="7"/>
        <v/>
      </c>
      <c r="B93" s="9"/>
      <c r="C93" s="10"/>
      <c r="D93" s="11"/>
      <c r="E93" s="11"/>
      <c r="F93" s="11"/>
      <c r="G93" s="12"/>
      <c r="H93" s="12"/>
      <c r="I93" s="123"/>
      <c r="J93" s="121" t="str">
        <f t="shared" si="5"/>
        <v/>
      </c>
      <c r="K93" s="112">
        <f t="shared" si="6"/>
        <v>0</v>
      </c>
      <c r="L93" s="118"/>
      <c r="M93" s="57"/>
      <c r="N93" s="56"/>
      <c r="O93" s="108"/>
    </row>
    <row r="94" spans="1:15" s="13" customFormat="1" x14ac:dyDescent="0.2">
      <c r="A94" s="107" t="str">
        <f t="shared" si="7"/>
        <v/>
      </c>
      <c r="B94" s="9"/>
      <c r="C94" s="10"/>
      <c r="D94" s="11"/>
      <c r="E94" s="11"/>
      <c r="F94" s="11"/>
      <c r="G94" s="12"/>
      <c r="H94" s="12"/>
      <c r="I94" s="123"/>
      <c r="J94" s="121" t="str">
        <f t="shared" si="5"/>
        <v/>
      </c>
      <c r="K94" s="112">
        <f t="shared" si="6"/>
        <v>0</v>
      </c>
      <c r="L94" s="118"/>
      <c r="M94" s="57"/>
      <c r="N94" s="56"/>
      <c r="O94" s="108"/>
    </row>
    <row r="95" spans="1:15" x14ac:dyDescent="0.2">
      <c r="A95" s="107" t="str">
        <f t="shared" si="7"/>
        <v/>
      </c>
      <c r="B95" s="9"/>
      <c r="C95" s="10"/>
      <c r="D95" s="11"/>
      <c r="E95" s="11"/>
      <c r="F95" s="11"/>
      <c r="G95" s="12"/>
      <c r="H95" s="12"/>
      <c r="I95" s="123"/>
      <c r="J95" s="121" t="str">
        <f t="shared" si="5"/>
        <v/>
      </c>
      <c r="K95" s="112">
        <f t="shared" si="6"/>
        <v>0</v>
      </c>
      <c r="L95" s="118"/>
      <c r="M95" s="57"/>
      <c r="N95" s="56"/>
      <c r="O95" s="108"/>
    </row>
    <row r="96" spans="1:15" x14ac:dyDescent="0.2">
      <c r="A96" s="107" t="str">
        <f t="shared" si="7"/>
        <v/>
      </c>
      <c r="B96" s="9"/>
      <c r="C96" s="10"/>
      <c r="D96" s="11"/>
      <c r="E96" s="11"/>
      <c r="F96" s="11"/>
      <c r="G96" s="12"/>
      <c r="H96" s="12"/>
      <c r="I96" s="123"/>
      <c r="J96" s="121" t="str">
        <f t="shared" si="5"/>
        <v/>
      </c>
      <c r="K96" s="112">
        <f t="shared" si="6"/>
        <v>0</v>
      </c>
      <c r="L96" s="118"/>
      <c r="M96" s="57"/>
      <c r="N96" s="56"/>
      <c r="O96" s="108"/>
    </row>
    <row r="97" spans="1:15" x14ac:dyDescent="0.2">
      <c r="A97" s="107" t="str">
        <f t="shared" si="7"/>
        <v/>
      </c>
      <c r="B97" s="9"/>
      <c r="C97" s="10"/>
      <c r="D97" s="11"/>
      <c r="E97" s="11"/>
      <c r="F97" s="11"/>
      <c r="G97" s="12"/>
      <c r="H97" s="12"/>
      <c r="I97" s="123"/>
      <c r="J97" s="121" t="str">
        <f t="shared" si="5"/>
        <v/>
      </c>
      <c r="K97" s="112">
        <f t="shared" si="6"/>
        <v>0</v>
      </c>
      <c r="L97" s="118"/>
      <c r="M97" s="57"/>
      <c r="N97" s="56"/>
      <c r="O97" s="108"/>
    </row>
    <row r="98" spans="1:15" x14ac:dyDescent="0.2">
      <c r="A98" s="107" t="str">
        <f t="shared" si="7"/>
        <v/>
      </c>
      <c r="B98" s="9"/>
      <c r="C98" s="10"/>
      <c r="D98" s="11"/>
      <c r="E98" s="11"/>
      <c r="F98" s="11"/>
      <c r="G98" s="12"/>
      <c r="H98" s="12"/>
      <c r="I98" s="123"/>
      <c r="J98" s="121" t="str">
        <f t="shared" si="5"/>
        <v/>
      </c>
      <c r="K98" s="112">
        <f t="shared" si="6"/>
        <v>0</v>
      </c>
      <c r="L98" s="118"/>
      <c r="M98" s="57"/>
      <c r="N98" s="56"/>
      <c r="O98" s="108"/>
    </row>
    <row r="99" spans="1:15" x14ac:dyDescent="0.2">
      <c r="A99" s="107" t="str">
        <f t="shared" si="7"/>
        <v/>
      </c>
      <c r="B99" s="9"/>
      <c r="C99" s="10"/>
      <c r="D99" s="11"/>
      <c r="E99" s="11"/>
      <c r="F99" s="11"/>
      <c r="G99" s="12"/>
      <c r="H99" s="12"/>
      <c r="I99" s="123"/>
      <c r="J99" s="121" t="str">
        <f t="shared" si="5"/>
        <v/>
      </c>
      <c r="K99" s="112">
        <f t="shared" si="6"/>
        <v>0</v>
      </c>
      <c r="L99" s="118"/>
      <c r="M99" s="57"/>
      <c r="N99" s="56"/>
      <c r="O99" s="108"/>
    </row>
    <row r="100" spans="1:15" x14ac:dyDescent="0.2">
      <c r="A100" s="107" t="str">
        <f t="shared" si="7"/>
        <v/>
      </c>
      <c r="B100" s="9"/>
      <c r="C100" s="10"/>
      <c r="D100" s="11"/>
      <c r="E100" s="11"/>
      <c r="F100" s="11"/>
      <c r="G100" s="12"/>
      <c r="H100" s="12"/>
      <c r="I100" s="123"/>
      <c r="J100" s="121" t="str">
        <f t="shared" si="5"/>
        <v/>
      </c>
      <c r="K100" s="112">
        <f t="shared" si="6"/>
        <v>0</v>
      </c>
      <c r="L100" s="118"/>
      <c r="M100" s="57"/>
      <c r="N100" s="56"/>
      <c r="O100" s="108"/>
    </row>
    <row r="101" spans="1:15" x14ac:dyDescent="0.2">
      <c r="A101" s="107" t="str">
        <f t="shared" si="7"/>
        <v/>
      </c>
      <c r="B101" s="9"/>
      <c r="C101" s="10"/>
      <c r="D101" s="11"/>
      <c r="E101" s="11"/>
      <c r="F101" s="11"/>
      <c r="G101" s="12"/>
      <c r="H101" s="12"/>
      <c r="I101" s="123"/>
      <c r="J101" s="121" t="str">
        <f t="shared" si="5"/>
        <v/>
      </c>
      <c r="K101" s="112">
        <f t="shared" si="6"/>
        <v>0</v>
      </c>
      <c r="L101" s="118"/>
      <c r="M101" s="57"/>
      <c r="N101" s="56"/>
      <c r="O101" s="108"/>
    </row>
    <row r="102" spans="1:15" x14ac:dyDescent="0.2">
      <c r="A102" s="107" t="str">
        <f t="shared" si="7"/>
        <v/>
      </c>
      <c r="B102" s="9"/>
      <c r="C102" s="10"/>
      <c r="D102" s="11"/>
      <c r="E102" s="11"/>
      <c r="F102" s="11"/>
      <c r="G102" s="12"/>
      <c r="H102" s="12"/>
      <c r="I102" s="123"/>
      <c r="J102" s="121" t="str">
        <f t="shared" si="5"/>
        <v/>
      </c>
      <c r="K102" s="112">
        <f t="shared" si="6"/>
        <v>0</v>
      </c>
      <c r="L102" s="118"/>
      <c r="M102" s="57"/>
      <c r="N102" s="56"/>
      <c r="O102" s="108"/>
    </row>
    <row r="103" spans="1:15" x14ac:dyDescent="0.2">
      <c r="A103" s="107" t="str">
        <f t="shared" si="7"/>
        <v/>
      </c>
      <c r="B103" s="9"/>
      <c r="C103" s="10"/>
      <c r="D103" s="11"/>
      <c r="E103" s="11"/>
      <c r="F103" s="11"/>
      <c r="G103" s="12"/>
      <c r="H103" s="12"/>
      <c r="I103" s="123"/>
      <c r="J103" s="121" t="str">
        <f t="shared" si="5"/>
        <v/>
      </c>
      <c r="K103" s="112">
        <f t="shared" si="6"/>
        <v>0</v>
      </c>
      <c r="L103" s="118"/>
      <c r="M103" s="57"/>
      <c r="N103" s="56"/>
      <c r="O103" s="108"/>
    </row>
    <row r="104" spans="1:15" x14ac:dyDescent="0.2">
      <c r="A104" s="107" t="str">
        <f t="shared" si="7"/>
        <v/>
      </c>
      <c r="B104" s="9"/>
      <c r="C104" s="10"/>
      <c r="D104" s="11"/>
      <c r="E104" s="11"/>
      <c r="F104" s="11"/>
      <c r="G104" s="12"/>
      <c r="H104" s="12"/>
      <c r="I104" s="123"/>
      <c r="J104" s="121" t="str">
        <f t="shared" ref="J104:J135" si="8">IF(D104="","",IF(E104="","OPEN","CLOSED"))</f>
        <v/>
      </c>
      <c r="K104" s="112">
        <f t="shared" ref="K104:K135" si="9">IF(J104="open","",E104-D104)</f>
        <v>0</v>
      </c>
      <c r="L104" s="118"/>
      <c r="M104" s="57"/>
      <c r="N104" s="56"/>
      <c r="O104" s="108"/>
    </row>
    <row r="105" spans="1:15" x14ac:dyDescent="0.2">
      <c r="A105" s="107" t="str">
        <f t="shared" si="7"/>
        <v/>
      </c>
      <c r="B105" s="9"/>
      <c r="C105" s="10"/>
      <c r="D105" s="11"/>
      <c r="E105" s="11"/>
      <c r="F105" s="11"/>
      <c r="G105" s="12"/>
      <c r="H105" s="12"/>
      <c r="I105" s="123"/>
      <c r="J105" s="121" t="str">
        <f t="shared" si="8"/>
        <v/>
      </c>
      <c r="K105" s="112">
        <f t="shared" si="9"/>
        <v>0</v>
      </c>
      <c r="L105" s="118"/>
      <c r="M105" s="57"/>
      <c r="N105" s="56"/>
      <c r="O105" s="108"/>
    </row>
    <row r="106" spans="1:15" x14ac:dyDescent="0.2">
      <c r="A106" s="107" t="str">
        <f t="shared" si="7"/>
        <v/>
      </c>
      <c r="B106" s="9"/>
      <c r="C106" s="10"/>
      <c r="D106" s="11"/>
      <c r="E106" s="11"/>
      <c r="F106" s="11"/>
      <c r="G106" s="12"/>
      <c r="H106" s="12"/>
      <c r="I106" s="123"/>
      <c r="J106" s="121" t="str">
        <f t="shared" si="8"/>
        <v/>
      </c>
      <c r="K106" s="112">
        <f t="shared" si="9"/>
        <v>0</v>
      </c>
      <c r="L106" s="118"/>
      <c r="M106" s="57"/>
      <c r="N106" s="56"/>
      <c r="O106" s="108"/>
    </row>
    <row r="107" spans="1:15" x14ac:dyDescent="0.2">
      <c r="A107" s="107" t="str">
        <f t="shared" si="7"/>
        <v/>
      </c>
      <c r="B107" s="9"/>
      <c r="C107" s="10"/>
      <c r="D107" s="11"/>
      <c r="E107" s="11"/>
      <c r="F107" s="11"/>
      <c r="G107" s="12"/>
      <c r="H107" s="12"/>
      <c r="I107" s="123"/>
      <c r="J107" s="121" t="str">
        <f t="shared" si="8"/>
        <v/>
      </c>
      <c r="K107" s="112">
        <f t="shared" si="9"/>
        <v>0</v>
      </c>
      <c r="L107" s="118"/>
      <c r="M107" s="57"/>
      <c r="N107" s="56"/>
      <c r="O107" s="108"/>
    </row>
    <row r="108" spans="1:15" x14ac:dyDescent="0.2">
      <c r="A108" s="107" t="str">
        <f t="shared" si="7"/>
        <v/>
      </c>
      <c r="B108" s="9"/>
      <c r="C108" s="10"/>
      <c r="D108" s="11"/>
      <c r="E108" s="11"/>
      <c r="F108" s="11"/>
      <c r="G108" s="12"/>
      <c r="H108" s="12"/>
      <c r="I108" s="123"/>
      <c r="J108" s="121" t="str">
        <f t="shared" si="8"/>
        <v/>
      </c>
      <c r="K108" s="112">
        <f t="shared" si="9"/>
        <v>0</v>
      </c>
      <c r="L108" s="118"/>
      <c r="M108" s="57"/>
      <c r="N108" s="56"/>
      <c r="O108" s="108"/>
    </row>
    <row r="109" spans="1:15" x14ac:dyDescent="0.2">
      <c r="A109" s="107" t="str">
        <f t="shared" si="7"/>
        <v/>
      </c>
      <c r="B109" s="9"/>
      <c r="C109" s="10"/>
      <c r="D109" s="11"/>
      <c r="E109" s="11"/>
      <c r="F109" s="11"/>
      <c r="G109" s="12"/>
      <c r="H109" s="12"/>
      <c r="I109" s="123"/>
      <c r="J109" s="121" t="str">
        <f t="shared" si="8"/>
        <v/>
      </c>
      <c r="K109" s="112">
        <f t="shared" si="9"/>
        <v>0</v>
      </c>
      <c r="L109" s="118"/>
      <c r="M109" s="57"/>
      <c r="N109" s="56"/>
      <c r="O109" s="108"/>
    </row>
    <row r="110" spans="1:15" x14ac:dyDescent="0.2">
      <c r="A110" s="107" t="str">
        <f t="shared" si="7"/>
        <v/>
      </c>
      <c r="B110" s="9"/>
      <c r="C110" s="10"/>
      <c r="D110" s="11"/>
      <c r="E110" s="11"/>
      <c r="F110" s="11"/>
      <c r="G110" s="12"/>
      <c r="H110" s="12"/>
      <c r="I110" s="123"/>
      <c r="J110" s="121" t="str">
        <f t="shared" si="8"/>
        <v/>
      </c>
      <c r="K110" s="112">
        <f t="shared" si="9"/>
        <v>0</v>
      </c>
      <c r="L110" s="118"/>
      <c r="M110" s="57"/>
      <c r="N110" s="56"/>
      <c r="O110" s="108"/>
    </row>
    <row r="111" spans="1:15" x14ac:dyDescent="0.2">
      <c r="A111" s="107" t="str">
        <f t="shared" si="7"/>
        <v/>
      </c>
      <c r="B111" s="9"/>
      <c r="C111" s="10"/>
      <c r="D111" s="11"/>
      <c r="E111" s="11"/>
      <c r="F111" s="11"/>
      <c r="G111" s="12"/>
      <c r="H111" s="12"/>
      <c r="I111" s="123"/>
      <c r="J111" s="121" t="str">
        <f t="shared" si="8"/>
        <v/>
      </c>
      <c r="K111" s="112">
        <f t="shared" si="9"/>
        <v>0</v>
      </c>
      <c r="L111" s="118"/>
      <c r="M111" s="57"/>
      <c r="N111" s="56"/>
      <c r="O111" s="108"/>
    </row>
    <row r="112" spans="1:15" x14ac:dyDescent="0.2">
      <c r="A112" s="107" t="str">
        <f t="shared" si="7"/>
        <v/>
      </c>
      <c r="B112" s="9"/>
      <c r="C112" s="10"/>
      <c r="D112" s="11"/>
      <c r="E112" s="11"/>
      <c r="F112" s="11"/>
      <c r="G112" s="12"/>
      <c r="H112" s="12"/>
      <c r="I112" s="123"/>
      <c r="J112" s="121" t="str">
        <f t="shared" si="8"/>
        <v/>
      </c>
      <c r="K112" s="112">
        <f t="shared" si="9"/>
        <v>0</v>
      </c>
      <c r="L112" s="118"/>
      <c r="M112" s="57"/>
      <c r="N112" s="56"/>
      <c r="O112" s="108"/>
    </row>
    <row r="113" spans="1:15" x14ac:dyDescent="0.2">
      <c r="A113" s="107" t="str">
        <f t="shared" si="7"/>
        <v/>
      </c>
      <c r="B113" s="9"/>
      <c r="C113" s="10"/>
      <c r="D113" s="11"/>
      <c r="E113" s="11"/>
      <c r="F113" s="11"/>
      <c r="G113" s="12"/>
      <c r="H113" s="12"/>
      <c r="I113" s="123"/>
      <c r="J113" s="121" t="str">
        <f t="shared" si="8"/>
        <v/>
      </c>
      <c r="K113" s="112">
        <f t="shared" si="9"/>
        <v>0</v>
      </c>
      <c r="L113" s="118"/>
      <c r="M113" s="57"/>
      <c r="N113" s="56"/>
      <c r="O113" s="108"/>
    </row>
    <row r="114" spans="1:15" x14ac:dyDescent="0.2">
      <c r="A114" s="107" t="str">
        <f t="shared" si="7"/>
        <v/>
      </c>
      <c r="B114" s="9"/>
      <c r="C114" s="10"/>
      <c r="D114" s="11"/>
      <c r="E114" s="11"/>
      <c r="F114" s="11"/>
      <c r="G114" s="12"/>
      <c r="H114" s="12"/>
      <c r="I114" s="123"/>
      <c r="J114" s="121" t="str">
        <f t="shared" si="8"/>
        <v/>
      </c>
      <c r="K114" s="112">
        <f t="shared" si="9"/>
        <v>0</v>
      </c>
      <c r="L114" s="118"/>
      <c r="M114" s="57"/>
      <c r="N114" s="56"/>
      <c r="O114" s="108"/>
    </row>
    <row r="115" spans="1:15" x14ac:dyDescent="0.2">
      <c r="A115" s="107" t="str">
        <f t="shared" si="7"/>
        <v/>
      </c>
      <c r="B115" s="9"/>
      <c r="C115" s="10"/>
      <c r="D115" s="11"/>
      <c r="E115" s="11"/>
      <c r="F115" s="11"/>
      <c r="G115" s="12"/>
      <c r="H115" s="12"/>
      <c r="I115" s="123"/>
      <c r="J115" s="121" t="str">
        <f t="shared" si="8"/>
        <v/>
      </c>
      <c r="K115" s="112">
        <f t="shared" si="9"/>
        <v>0</v>
      </c>
      <c r="L115" s="118"/>
      <c r="M115" s="57"/>
      <c r="N115" s="56"/>
      <c r="O115" s="108"/>
    </row>
    <row r="116" spans="1:15" x14ac:dyDescent="0.2">
      <c r="A116" s="107" t="str">
        <f t="shared" si="7"/>
        <v/>
      </c>
      <c r="B116" s="9"/>
      <c r="C116" s="10"/>
      <c r="D116" s="11"/>
      <c r="E116" s="11"/>
      <c r="F116" s="11"/>
      <c r="G116" s="12"/>
      <c r="H116" s="12"/>
      <c r="I116" s="123"/>
      <c r="J116" s="121" t="str">
        <f t="shared" si="8"/>
        <v/>
      </c>
      <c r="K116" s="112">
        <f t="shared" si="9"/>
        <v>0</v>
      </c>
      <c r="L116" s="118"/>
      <c r="M116" s="57"/>
      <c r="N116" s="56"/>
      <c r="O116" s="108"/>
    </row>
    <row r="117" spans="1:15" x14ac:dyDescent="0.2">
      <c r="A117" s="107" t="str">
        <f t="shared" si="7"/>
        <v/>
      </c>
      <c r="B117" s="9"/>
      <c r="C117" s="10"/>
      <c r="D117" s="11"/>
      <c r="E117" s="11"/>
      <c r="F117" s="11"/>
      <c r="G117" s="12"/>
      <c r="H117" s="12"/>
      <c r="I117" s="123"/>
      <c r="J117" s="121" t="str">
        <f t="shared" si="8"/>
        <v/>
      </c>
      <c r="K117" s="112">
        <f t="shared" si="9"/>
        <v>0</v>
      </c>
      <c r="L117" s="118"/>
      <c r="M117" s="57"/>
      <c r="N117" s="56"/>
      <c r="O117" s="108"/>
    </row>
    <row r="118" spans="1:15" x14ac:dyDescent="0.2">
      <c r="A118" s="107" t="str">
        <f t="shared" si="7"/>
        <v/>
      </c>
      <c r="B118" s="9"/>
      <c r="C118" s="10"/>
      <c r="D118" s="11"/>
      <c r="E118" s="11"/>
      <c r="F118" s="11"/>
      <c r="G118" s="12"/>
      <c r="H118" s="12"/>
      <c r="I118" s="123"/>
      <c r="J118" s="121" t="str">
        <f t="shared" si="8"/>
        <v/>
      </c>
      <c r="K118" s="112">
        <f t="shared" si="9"/>
        <v>0</v>
      </c>
      <c r="L118" s="118"/>
      <c r="M118" s="57"/>
      <c r="N118" s="56"/>
      <c r="O118" s="108"/>
    </row>
    <row r="119" spans="1:15" x14ac:dyDescent="0.2">
      <c r="A119" s="107" t="str">
        <f t="shared" si="7"/>
        <v/>
      </c>
      <c r="B119" s="9"/>
      <c r="C119" s="10"/>
      <c r="D119" s="11"/>
      <c r="E119" s="11"/>
      <c r="F119" s="11"/>
      <c r="G119" s="12"/>
      <c r="H119" s="12"/>
      <c r="I119" s="123"/>
      <c r="J119" s="121" t="str">
        <f t="shared" si="8"/>
        <v/>
      </c>
      <c r="K119" s="112">
        <f t="shared" si="9"/>
        <v>0</v>
      </c>
      <c r="L119" s="118"/>
      <c r="M119" s="57"/>
      <c r="N119" s="56"/>
      <c r="O119" s="108"/>
    </row>
    <row r="120" spans="1:15" x14ac:dyDescent="0.2">
      <c r="A120" s="107" t="str">
        <f t="shared" si="7"/>
        <v/>
      </c>
      <c r="B120" s="9"/>
      <c r="C120" s="10"/>
      <c r="D120" s="11"/>
      <c r="E120" s="11"/>
      <c r="F120" s="11"/>
      <c r="G120" s="12"/>
      <c r="H120" s="12"/>
      <c r="I120" s="123"/>
      <c r="J120" s="121" t="str">
        <f t="shared" si="8"/>
        <v/>
      </c>
      <c r="K120" s="112">
        <f t="shared" si="9"/>
        <v>0</v>
      </c>
      <c r="L120" s="118"/>
      <c r="M120" s="57"/>
      <c r="N120" s="56"/>
      <c r="O120" s="108"/>
    </row>
    <row r="121" spans="1:15" x14ac:dyDescent="0.2">
      <c r="A121" s="107" t="str">
        <f t="shared" si="7"/>
        <v/>
      </c>
      <c r="B121" s="9"/>
      <c r="C121" s="10"/>
      <c r="D121" s="11"/>
      <c r="E121" s="11"/>
      <c r="F121" s="11"/>
      <c r="G121" s="12"/>
      <c r="H121" s="12"/>
      <c r="I121" s="123"/>
      <c r="J121" s="121" t="str">
        <f t="shared" si="8"/>
        <v/>
      </c>
      <c r="K121" s="112">
        <f t="shared" si="9"/>
        <v>0</v>
      </c>
      <c r="L121" s="118"/>
      <c r="M121" s="57"/>
      <c r="N121" s="56"/>
      <c r="O121" s="108"/>
    </row>
    <row r="122" spans="1:15" x14ac:dyDescent="0.2">
      <c r="A122" s="107" t="str">
        <f t="shared" si="7"/>
        <v/>
      </c>
      <c r="B122" s="9"/>
      <c r="C122" s="10"/>
      <c r="D122" s="11"/>
      <c r="E122" s="11"/>
      <c r="F122" s="11"/>
      <c r="G122" s="12"/>
      <c r="H122" s="12"/>
      <c r="I122" s="123"/>
      <c r="J122" s="121" t="str">
        <f t="shared" si="8"/>
        <v/>
      </c>
      <c r="K122" s="112">
        <f t="shared" si="9"/>
        <v>0</v>
      </c>
      <c r="L122" s="118"/>
      <c r="M122" s="57"/>
      <c r="N122" s="56"/>
      <c r="O122" s="108"/>
    </row>
    <row r="123" spans="1:15" x14ac:dyDescent="0.2">
      <c r="A123" s="107" t="str">
        <f t="shared" si="7"/>
        <v/>
      </c>
      <c r="B123" s="9"/>
      <c r="C123" s="10"/>
      <c r="D123" s="11"/>
      <c r="E123" s="11"/>
      <c r="F123" s="11"/>
      <c r="G123" s="12"/>
      <c r="H123" s="12"/>
      <c r="I123" s="123"/>
      <c r="J123" s="121" t="str">
        <f t="shared" si="8"/>
        <v/>
      </c>
      <c r="K123" s="112">
        <f t="shared" si="9"/>
        <v>0</v>
      </c>
      <c r="L123" s="118"/>
      <c r="M123" s="57"/>
      <c r="N123" s="56"/>
      <c r="O123" s="108"/>
    </row>
    <row r="124" spans="1:15" x14ac:dyDescent="0.2">
      <c r="A124" s="107" t="str">
        <f t="shared" si="7"/>
        <v/>
      </c>
      <c r="B124" s="9"/>
      <c r="C124" s="10"/>
      <c r="D124" s="11"/>
      <c r="E124" s="11"/>
      <c r="F124" s="11"/>
      <c r="G124" s="12"/>
      <c r="H124" s="12"/>
      <c r="I124" s="123"/>
      <c r="J124" s="121" t="str">
        <f t="shared" si="8"/>
        <v/>
      </c>
      <c r="K124" s="112">
        <f t="shared" si="9"/>
        <v>0</v>
      </c>
      <c r="L124" s="118"/>
      <c r="M124" s="57"/>
      <c r="N124" s="56"/>
      <c r="O124" s="108"/>
    </row>
    <row r="125" spans="1:15" x14ac:dyDescent="0.2">
      <c r="A125" s="107" t="str">
        <f t="shared" si="7"/>
        <v/>
      </c>
      <c r="B125" s="9"/>
      <c r="C125" s="10"/>
      <c r="D125" s="11"/>
      <c r="E125" s="11"/>
      <c r="F125" s="11"/>
      <c r="G125" s="12"/>
      <c r="H125" s="12"/>
      <c r="I125" s="123"/>
      <c r="J125" s="121" t="str">
        <f t="shared" si="8"/>
        <v/>
      </c>
      <c r="K125" s="112">
        <f t="shared" si="9"/>
        <v>0</v>
      </c>
      <c r="L125" s="118"/>
      <c r="M125" s="57"/>
      <c r="N125" s="56"/>
      <c r="O125" s="108"/>
    </row>
    <row r="126" spans="1:15" x14ac:dyDescent="0.2">
      <c r="A126" s="107" t="str">
        <f t="shared" si="7"/>
        <v/>
      </c>
      <c r="B126" s="9"/>
      <c r="C126" s="10"/>
      <c r="D126" s="11"/>
      <c r="E126" s="11"/>
      <c r="F126" s="11"/>
      <c r="G126" s="12"/>
      <c r="H126" s="12"/>
      <c r="I126" s="123"/>
      <c r="J126" s="121" t="str">
        <f t="shared" si="8"/>
        <v/>
      </c>
      <c r="K126" s="112">
        <f t="shared" si="9"/>
        <v>0</v>
      </c>
      <c r="L126" s="118"/>
      <c r="M126" s="57"/>
      <c r="N126" s="56"/>
      <c r="O126" s="108"/>
    </row>
    <row r="127" spans="1:15" x14ac:dyDescent="0.2">
      <c r="A127" s="107" t="str">
        <f t="shared" si="7"/>
        <v/>
      </c>
      <c r="B127" s="9"/>
      <c r="C127" s="10"/>
      <c r="D127" s="11"/>
      <c r="E127" s="11"/>
      <c r="F127" s="11"/>
      <c r="G127" s="12"/>
      <c r="H127" s="12"/>
      <c r="I127" s="123"/>
      <c r="J127" s="121" t="str">
        <f t="shared" si="8"/>
        <v/>
      </c>
      <c r="K127" s="112">
        <f t="shared" si="9"/>
        <v>0</v>
      </c>
      <c r="L127" s="118"/>
      <c r="M127" s="57"/>
      <c r="N127" s="56"/>
      <c r="O127" s="108"/>
    </row>
    <row r="128" spans="1:15" x14ac:dyDescent="0.2">
      <c r="A128" s="107" t="str">
        <f t="shared" si="7"/>
        <v/>
      </c>
      <c r="B128" s="9"/>
      <c r="C128" s="10"/>
      <c r="D128" s="11"/>
      <c r="E128" s="11"/>
      <c r="F128" s="11"/>
      <c r="G128" s="12"/>
      <c r="H128" s="12"/>
      <c r="I128" s="123"/>
      <c r="J128" s="121" t="str">
        <f t="shared" si="8"/>
        <v/>
      </c>
      <c r="K128" s="112">
        <f t="shared" si="9"/>
        <v>0</v>
      </c>
      <c r="L128" s="118"/>
      <c r="M128" s="57"/>
      <c r="N128" s="56"/>
      <c r="O128" s="108"/>
    </row>
    <row r="129" spans="1:15" x14ac:dyDescent="0.2">
      <c r="A129" s="107" t="str">
        <f t="shared" si="7"/>
        <v/>
      </c>
      <c r="B129" s="9"/>
      <c r="C129" s="10"/>
      <c r="D129" s="11"/>
      <c r="E129" s="11"/>
      <c r="F129" s="11"/>
      <c r="G129" s="12"/>
      <c r="H129" s="12"/>
      <c r="I129" s="123"/>
      <c r="J129" s="121" t="str">
        <f t="shared" si="8"/>
        <v/>
      </c>
      <c r="K129" s="112">
        <f t="shared" si="9"/>
        <v>0</v>
      </c>
      <c r="L129" s="118"/>
      <c r="M129" s="57"/>
      <c r="N129" s="56"/>
      <c r="O129" s="108"/>
    </row>
    <row r="130" spans="1:15" x14ac:dyDescent="0.2">
      <c r="A130" s="107" t="str">
        <f t="shared" si="7"/>
        <v/>
      </c>
      <c r="B130" s="9"/>
      <c r="C130" s="10"/>
      <c r="D130" s="11"/>
      <c r="E130" s="11"/>
      <c r="F130" s="11"/>
      <c r="G130" s="12"/>
      <c r="H130" s="12"/>
      <c r="I130" s="123"/>
      <c r="J130" s="121" t="str">
        <f t="shared" si="8"/>
        <v/>
      </c>
      <c r="K130" s="112">
        <f t="shared" si="9"/>
        <v>0</v>
      </c>
      <c r="L130" s="118"/>
      <c r="M130" s="57"/>
      <c r="N130" s="56"/>
      <c r="O130" s="108"/>
    </row>
    <row r="131" spans="1:15" x14ac:dyDescent="0.2">
      <c r="A131" s="107" t="str">
        <f t="shared" si="7"/>
        <v/>
      </c>
      <c r="B131" s="9"/>
      <c r="C131" s="10"/>
      <c r="D131" s="11"/>
      <c r="E131" s="11"/>
      <c r="F131" s="11"/>
      <c r="G131" s="12"/>
      <c r="H131" s="12"/>
      <c r="I131" s="123"/>
      <c r="J131" s="121" t="str">
        <f t="shared" si="8"/>
        <v/>
      </c>
      <c r="K131" s="112">
        <f t="shared" si="9"/>
        <v>0</v>
      </c>
      <c r="L131" s="118"/>
      <c r="M131" s="57"/>
      <c r="N131" s="56"/>
      <c r="O131" s="108"/>
    </row>
    <row r="132" spans="1:15" x14ac:dyDescent="0.2">
      <c r="A132" s="107" t="str">
        <f t="shared" si="7"/>
        <v/>
      </c>
      <c r="B132" s="9"/>
      <c r="C132" s="10"/>
      <c r="D132" s="11"/>
      <c r="E132" s="11"/>
      <c r="F132" s="11"/>
      <c r="G132" s="12"/>
      <c r="H132" s="12"/>
      <c r="I132" s="123"/>
      <c r="J132" s="121" t="str">
        <f t="shared" si="8"/>
        <v/>
      </c>
      <c r="K132" s="112">
        <f t="shared" si="9"/>
        <v>0</v>
      </c>
      <c r="L132" s="118"/>
      <c r="M132" s="57"/>
      <c r="N132" s="56"/>
      <c r="O132" s="108"/>
    </row>
    <row r="133" spans="1:15" x14ac:dyDescent="0.2">
      <c r="A133" s="107" t="str">
        <f t="shared" si="7"/>
        <v/>
      </c>
      <c r="B133" s="9"/>
      <c r="C133" s="10"/>
      <c r="D133" s="11"/>
      <c r="E133" s="11"/>
      <c r="F133" s="11"/>
      <c r="G133" s="12"/>
      <c r="H133" s="12"/>
      <c r="I133" s="123"/>
      <c r="J133" s="121" t="str">
        <f t="shared" si="8"/>
        <v/>
      </c>
      <c r="K133" s="112">
        <f t="shared" si="9"/>
        <v>0</v>
      </c>
      <c r="L133" s="118"/>
      <c r="M133" s="57"/>
      <c r="N133" s="56"/>
      <c r="O133" s="108"/>
    </row>
    <row r="134" spans="1:15" x14ac:dyDescent="0.2">
      <c r="A134" s="107" t="str">
        <f t="shared" si="7"/>
        <v/>
      </c>
      <c r="B134" s="9"/>
      <c r="C134" s="10"/>
      <c r="D134" s="11"/>
      <c r="E134" s="11"/>
      <c r="F134" s="11"/>
      <c r="G134" s="12"/>
      <c r="H134" s="12"/>
      <c r="I134" s="123"/>
      <c r="J134" s="121" t="str">
        <f t="shared" si="8"/>
        <v/>
      </c>
      <c r="K134" s="112">
        <f t="shared" si="9"/>
        <v>0</v>
      </c>
      <c r="L134" s="118"/>
      <c r="M134" s="57"/>
      <c r="N134" s="56"/>
      <c r="O134" s="108"/>
    </row>
    <row r="135" spans="1:15" x14ac:dyDescent="0.2">
      <c r="A135" s="107" t="str">
        <f t="shared" si="7"/>
        <v/>
      </c>
      <c r="B135" s="9"/>
      <c r="C135" s="10"/>
      <c r="D135" s="11"/>
      <c r="E135" s="11"/>
      <c r="F135" s="11"/>
      <c r="G135" s="12"/>
      <c r="H135" s="12"/>
      <c r="I135" s="123"/>
      <c r="J135" s="121" t="str">
        <f t="shared" si="8"/>
        <v/>
      </c>
      <c r="K135" s="112">
        <f t="shared" si="9"/>
        <v>0</v>
      </c>
      <c r="L135" s="118"/>
      <c r="M135" s="57"/>
      <c r="N135" s="56"/>
      <c r="O135" s="108"/>
    </row>
    <row r="136" spans="1:15" x14ac:dyDescent="0.2">
      <c r="A136" s="107" t="str">
        <f t="shared" si="7"/>
        <v/>
      </c>
      <c r="B136" s="9"/>
      <c r="C136" s="10"/>
      <c r="D136" s="11"/>
      <c r="E136" s="11"/>
      <c r="F136" s="11"/>
      <c r="G136" s="12"/>
      <c r="H136" s="12"/>
      <c r="I136" s="123"/>
      <c r="J136" s="121" t="str">
        <f t="shared" ref="J136:J167" si="10">IF(D136="","",IF(E136="","OPEN","CLOSED"))</f>
        <v/>
      </c>
      <c r="K136" s="112">
        <f t="shared" ref="K136:K167" si="11">IF(J136="open","",E136-D136)</f>
        <v>0</v>
      </c>
      <c r="L136" s="118"/>
      <c r="M136" s="57"/>
      <c r="N136" s="56"/>
      <c r="O136" s="108"/>
    </row>
    <row r="137" spans="1:15" x14ac:dyDescent="0.2">
      <c r="A137" s="107" t="str">
        <f t="shared" si="7"/>
        <v/>
      </c>
      <c r="B137" s="9"/>
      <c r="C137" s="10"/>
      <c r="D137" s="11"/>
      <c r="E137" s="11"/>
      <c r="F137" s="11"/>
      <c r="G137" s="12"/>
      <c r="H137" s="12"/>
      <c r="I137" s="123"/>
      <c r="J137" s="121" t="str">
        <f t="shared" si="10"/>
        <v/>
      </c>
      <c r="K137" s="112">
        <f t="shared" si="11"/>
        <v>0</v>
      </c>
      <c r="L137" s="118"/>
      <c r="M137" s="57"/>
      <c r="N137" s="56"/>
      <c r="O137" s="108"/>
    </row>
    <row r="138" spans="1:15" x14ac:dyDescent="0.2">
      <c r="A138" s="107" t="str">
        <f t="shared" ref="A138:A201" si="12">IF(AND(C138="",D138=""),"",A137+1)</f>
        <v/>
      </c>
      <c r="B138" s="9"/>
      <c r="C138" s="10"/>
      <c r="D138" s="11"/>
      <c r="E138" s="11"/>
      <c r="F138" s="11"/>
      <c r="G138" s="12"/>
      <c r="H138" s="12"/>
      <c r="I138" s="123"/>
      <c r="J138" s="121" t="str">
        <f t="shared" si="10"/>
        <v/>
      </c>
      <c r="K138" s="112">
        <f t="shared" si="11"/>
        <v>0</v>
      </c>
      <c r="L138" s="118"/>
      <c r="M138" s="57"/>
      <c r="N138" s="56"/>
      <c r="O138" s="108"/>
    </row>
    <row r="139" spans="1:15" x14ac:dyDescent="0.2">
      <c r="A139" s="107" t="str">
        <f t="shared" si="12"/>
        <v/>
      </c>
      <c r="B139" s="9"/>
      <c r="C139" s="10"/>
      <c r="D139" s="11"/>
      <c r="E139" s="11"/>
      <c r="F139" s="11"/>
      <c r="G139" s="12"/>
      <c r="H139" s="12"/>
      <c r="I139" s="123"/>
      <c r="J139" s="121" t="str">
        <f t="shared" si="10"/>
        <v/>
      </c>
      <c r="K139" s="112">
        <f t="shared" si="11"/>
        <v>0</v>
      </c>
      <c r="L139" s="118"/>
      <c r="M139" s="57"/>
      <c r="N139" s="56"/>
      <c r="O139" s="108"/>
    </row>
    <row r="140" spans="1:15" x14ac:dyDescent="0.2">
      <c r="A140" s="107" t="str">
        <f t="shared" si="12"/>
        <v/>
      </c>
      <c r="B140" s="9"/>
      <c r="C140" s="10"/>
      <c r="D140" s="11"/>
      <c r="E140" s="11"/>
      <c r="F140" s="11"/>
      <c r="G140" s="12"/>
      <c r="H140" s="12"/>
      <c r="I140" s="123"/>
      <c r="J140" s="121" t="str">
        <f t="shared" si="10"/>
        <v/>
      </c>
      <c r="K140" s="112">
        <f t="shared" si="11"/>
        <v>0</v>
      </c>
      <c r="L140" s="118"/>
      <c r="M140" s="57"/>
      <c r="N140" s="56"/>
      <c r="O140" s="108"/>
    </row>
    <row r="141" spans="1:15" x14ac:dyDescent="0.2">
      <c r="A141" s="107" t="str">
        <f t="shared" si="12"/>
        <v/>
      </c>
      <c r="B141" s="9"/>
      <c r="C141" s="10"/>
      <c r="D141" s="11"/>
      <c r="E141" s="11"/>
      <c r="F141" s="11"/>
      <c r="G141" s="12"/>
      <c r="H141" s="12"/>
      <c r="I141" s="123"/>
      <c r="J141" s="121" t="str">
        <f t="shared" si="10"/>
        <v/>
      </c>
      <c r="K141" s="112">
        <f t="shared" si="11"/>
        <v>0</v>
      </c>
      <c r="L141" s="118"/>
      <c r="M141" s="57"/>
      <c r="N141" s="56"/>
      <c r="O141" s="108"/>
    </row>
    <row r="142" spans="1:15" x14ac:dyDescent="0.2">
      <c r="A142" s="107" t="str">
        <f t="shared" si="12"/>
        <v/>
      </c>
      <c r="B142" s="9"/>
      <c r="C142" s="10"/>
      <c r="D142" s="11"/>
      <c r="E142" s="11"/>
      <c r="F142" s="11"/>
      <c r="G142" s="12"/>
      <c r="H142" s="12"/>
      <c r="I142" s="123"/>
      <c r="J142" s="121" t="str">
        <f t="shared" si="10"/>
        <v/>
      </c>
      <c r="K142" s="112">
        <f t="shared" si="11"/>
        <v>0</v>
      </c>
      <c r="L142" s="118"/>
      <c r="M142" s="57"/>
      <c r="N142" s="56"/>
      <c r="O142" s="108"/>
    </row>
    <row r="143" spans="1:15" x14ac:dyDescent="0.2">
      <c r="A143" s="107" t="str">
        <f t="shared" si="12"/>
        <v/>
      </c>
      <c r="B143" s="9"/>
      <c r="C143" s="10"/>
      <c r="D143" s="11"/>
      <c r="E143" s="11"/>
      <c r="F143" s="11"/>
      <c r="G143" s="12"/>
      <c r="H143" s="12"/>
      <c r="I143" s="123"/>
      <c r="J143" s="121" t="str">
        <f t="shared" si="10"/>
        <v/>
      </c>
      <c r="K143" s="112">
        <f t="shared" si="11"/>
        <v>0</v>
      </c>
      <c r="L143" s="118"/>
      <c r="M143" s="57"/>
      <c r="N143" s="56"/>
      <c r="O143" s="108"/>
    </row>
    <row r="144" spans="1:15" x14ac:dyDescent="0.2">
      <c r="A144" s="107" t="str">
        <f t="shared" si="12"/>
        <v/>
      </c>
      <c r="B144" s="9"/>
      <c r="C144" s="10"/>
      <c r="D144" s="11"/>
      <c r="E144" s="11"/>
      <c r="F144" s="11"/>
      <c r="G144" s="12"/>
      <c r="H144" s="12"/>
      <c r="I144" s="123"/>
      <c r="J144" s="121" t="str">
        <f t="shared" si="10"/>
        <v/>
      </c>
      <c r="K144" s="112">
        <f t="shared" si="11"/>
        <v>0</v>
      </c>
      <c r="L144" s="118"/>
      <c r="M144" s="57"/>
      <c r="N144" s="56"/>
      <c r="O144" s="108"/>
    </row>
    <row r="145" spans="1:15" x14ac:dyDescent="0.2">
      <c r="A145" s="107" t="str">
        <f t="shared" si="12"/>
        <v/>
      </c>
      <c r="B145" s="9"/>
      <c r="C145" s="10"/>
      <c r="D145" s="11"/>
      <c r="E145" s="11"/>
      <c r="F145" s="11"/>
      <c r="G145" s="12"/>
      <c r="H145" s="12"/>
      <c r="I145" s="123"/>
      <c r="J145" s="121" t="str">
        <f t="shared" si="10"/>
        <v/>
      </c>
      <c r="K145" s="112">
        <f t="shared" si="11"/>
        <v>0</v>
      </c>
      <c r="L145" s="118"/>
      <c r="M145" s="57"/>
      <c r="N145" s="56"/>
      <c r="O145" s="108"/>
    </row>
    <row r="146" spans="1:15" x14ac:dyDescent="0.2">
      <c r="A146" s="107" t="str">
        <f t="shared" si="12"/>
        <v/>
      </c>
      <c r="B146" s="9"/>
      <c r="C146" s="10"/>
      <c r="D146" s="11"/>
      <c r="E146" s="11"/>
      <c r="F146" s="11"/>
      <c r="G146" s="12"/>
      <c r="H146" s="12"/>
      <c r="I146" s="123"/>
      <c r="J146" s="121" t="str">
        <f t="shared" si="10"/>
        <v/>
      </c>
      <c r="K146" s="112">
        <f t="shared" si="11"/>
        <v>0</v>
      </c>
      <c r="L146" s="118"/>
      <c r="M146" s="57"/>
      <c r="N146" s="56"/>
      <c r="O146" s="108"/>
    </row>
    <row r="147" spans="1:15" x14ac:dyDescent="0.2">
      <c r="A147" s="107" t="str">
        <f t="shared" si="12"/>
        <v/>
      </c>
      <c r="B147" s="9"/>
      <c r="C147" s="10"/>
      <c r="D147" s="11"/>
      <c r="E147" s="11"/>
      <c r="F147" s="11"/>
      <c r="G147" s="12"/>
      <c r="H147" s="12"/>
      <c r="I147" s="123"/>
      <c r="J147" s="121" t="str">
        <f t="shared" si="10"/>
        <v/>
      </c>
      <c r="K147" s="112">
        <f t="shared" si="11"/>
        <v>0</v>
      </c>
      <c r="L147" s="118"/>
      <c r="M147" s="57"/>
      <c r="N147" s="56"/>
      <c r="O147" s="108"/>
    </row>
    <row r="148" spans="1:15" x14ac:dyDescent="0.2">
      <c r="A148" s="107" t="str">
        <f t="shared" si="12"/>
        <v/>
      </c>
      <c r="B148" s="9"/>
      <c r="C148" s="10"/>
      <c r="D148" s="11"/>
      <c r="E148" s="11"/>
      <c r="F148" s="11"/>
      <c r="G148" s="12"/>
      <c r="H148" s="12"/>
      <c r="I148" s="123"/>
      <c r="J148" s="121" t="str">
        <f t="shared" si="10"/>
        <v/>
      </c>
      <c r="K148" s="112">
        <f t="shared" si="11"/>
        <v>0</v>
      </c>
      <c r="L148" s="118"/>
      <c r="M148" s="57"/>
      <c r="N148" s="56"/>
      <c r="O148" s="108"/>
    </row>
    <row r="149" spans="1:15" x14ac:dyDescent="0.2">
      <c r="A149" s="107" t="str">
        <f t="shared" si="12"/>
        <v/>
      </c>
      <c r="B149" s="9"/>
      <c r="C149" s="10"/>
      <c r="D149" s="11"/>
      <c r="E149" s="11"/>
      <c r="F149" s="11"/>
      <c r="G149" s="12"/>
      <c r="H149" s="12"/>
      <c r="I149" s="123"/>
      <c r="J149" s="121" t="str">
        <f t="shared" si="10"/>
        <v/>
      </c>
      <c r="K149" s="112">
        <f t="shared" si="11"/>
        <v>0</v>
      </c>
      <c r="L149" s="118"/>
      <c r="M149" s="57"/>
      <c r="N149" s="56"/>
      <c r="O149" s="108"/>
    </row>
    <row r="150" spans="1:15" x14ac:dyDescent="0.2">
      <c r="A150" s="107" t="str">
        <f t="shared" si="12"/>
        <v/>
      </c>
      <c r="B150" s="9"/>
      <c r="C150" s="10"/>
      <c r="D150" s="11"/>
      <c r="E150" s="11"/>
      <c r="F150" s="11"/>
      <c r="G150" s="12"/>
      <c r="H150" s="12"/>
      <c r="I150" s="123"/>
      <c r="J150" s="121" t="str">
        <f t="shared" si="10"/>
        <v/>
      </c>
      <c r="K150" s="112">
        <f t="shared" si="11"/>
        <v>0</v>
      </c>
      <c r="L150" s="118"/>
      <c r="M150" s="57"/>
      <c r="N150" s="56"/>
      <c r="O150" s="108"/>
    </row>
    <row r="151" spans="1:15" x14ac:dyDescent="0.2">
      <c r="A151" s="107" t="str">
        <f t="shared" si="12"/>
        <v/>
      </c>
      <c r="B151" s="9"/>
      <c r="C151" s="10"/>
      <c r="D151" s="11"/>
      <c r="E151" s="11"/>
      <c r="F151" s="11"/>
      <c r="G151" s="12"/>
      <c r="H151" s="12"/>
      <c r="I151" s="123"/>
      <c r="J151" s="121" t="str">
        <f t="shared" si="10"/>
        <v/>
      </c>
      <c r="K151" s="112">
        <f t="shared" si="11"/>
        <v>0</v>
      </c>
      <c r="L151" s="118"/>
      <c r="M151" s="57"/>
      <c r="N151" s="56"/>
      <c r="O151" s="108"/>
    </row>
    <row r="152" spans="1:15" x14ac:dyDescent="0.2">
      <c r="A152" s="107" t="str">
        <f t="shared" si="12"/>
        <v/>
      </c>
      <c r="B152" s="9"/>
      <c r="C152" s="10"/>
      <c r="D152" s="11"/>
      <c r="E152" s="11"/>
      <c r="F152" s="11"/>
      <c r="G152" s="12"/>
      <c r="H152" s="12"/>
      <c r="I152" s="123"/>
      <c r="J152" s="121" t="str">
        <f t="shared" si="10"/>
        <v/>
      </c>
      <c r="K152" s="112">
        <f t="shared" si="11"/>
        <v>0</v>
      </c>
      <c r="L152" s="118"/>
      <c r="M152" s="57"/>
      <c r="N152" s="56"/>
      <c r="O152" s="108"/>
    </row>
    <row r="153" spans="1:15" x14ac:dyDescent="0.2">
      <c r="A153" s="107" t="str">
        <f t="shared" si="12"/>
        <v/>
      </c>
      <c r="B153" s="9"/>
      <c r="C153" s="10"/>
      <c r="D153" s="11"/>
      <c r="E153" s="11"/>
      <c r="F153" s="11"/>
      <c r="G153" s="12"/>
      <c r="H153" s="12"/>
      <c r="I153" s="123"/>
      <c r="J153" s="121" t="str">
        <f t="shared" si="10"/>
        <v/>
      </c>
      <c r="K153" s="112">
        <f t="shared" si="11"/>
        <v>0</v>
      </c>
      <c r="L153" s="118"/>
      <c r="M153" s="57"/>
      <c r="N153" s="56"/>
      <c r="O153" s="108"/>
    </row>
    <row r="154" spans="1:15" x14ac:dyDescent="0.2">
      <c r="A154" s="107" t="str">
        <f t="shared" si="12"/>
        <v/>
      </c>
      <c r="B154" s="9"/>
      <c r="C154" s="10"/>
      <c r="D154" s="11"/>
      <c r="E154" s="11"/>
      <c r="F154" s="11"/>
      <c r="G154" s="12"/>
      <c r="H154" s="12"/>
      <c r="I154" s="123"/>
      <c r="J154" s="121" t="str">
        <f t="shared" si="10"/>
        <v/>
      </c>
      <c r="K154" s="112">
        <f t="shared" si="11"/>
        <v>0</v>
      </c>
      <c r="L154" s="118"/>
      <c r="M154" s="57"/>
      <c r="N154" s="56"/>
      <c r="O154" s="108"/>
    </row>
    <row r="155" spans="1:15" x14ac:dyDescent="0.2">
      <c r="A155" s="107" t="str">
        <f t="shared" si="12"/>
        <v/>
      </c>
      <c r="B155" s="9"/>
      <c r="C155" s="10"/>
      <c r="D155" s="11"/>
      <c r="E155" s="11"/>
      <c r="F155" s="11"/>
      <c r="G155" s="12"/>
      <c r="H155" s="12"/>
      <c r="I155" s="123"/>
      <c r="J155" s="121" t="str">
        <f t="shared" si="10"/>
        <v/>
      </c>
      <c r="K155" s="112">
        <f t="shared" si="11"/>
        <v>0</v>
      </c>
      <c r="L155" s="118"/>
      <c r="M155" s="57"/>
      <c r="N155" s="56"/>
      <c r="O155" s="108"/>
    </row>
    <row r="156" spans="1:15" x14ac:dyDescent="0.2">
      <c r="A156" s="107" t="str">
        <f t="shared" si="12"/>
        <v/>
      </c>
      <c r="B156" s="9"/>
      <c r="C156" s="10"/>
      <c r="D156" s="11"/>
      <c r="E156" s="11"/>
      <c r="F156" s="11"/>
      <c r="G156" s="12"/>
      <c r="H156" s="12"/>
      <c r="I156" s="123"/>
      <c r="J156" s="121" t="str">
        <f t="shared" si="10"/>
        <v/>
      </c>
      <c r="K156" s="112">
        <f t="shared" si="11"/>
        <v>0</v>
      </c>
      <c r="L156" s="118"/>
      <c r="M156" s="57"/>
      <c r="N156" s="56"/>
      <c r="O156" s="108"/>
    </row>
    <row r="157" spans="1:15" x14ac:dyDescent="0.2">
      <c r="A157" s="107" t="str">
        <f t="shared" si="12"/>
        <v/>
      </c>
      <c r="B157" s="9"/>
      <c r="C157" s="10"/>
      <c r="D157" s="11"/>
      <c r="E157" s="11"/>
      <c r="F157" s="11"/>
      <c r="G157" s="12"/>
      <c r="H157" s="12"/>
      <c r="I157" s="123"/>
      <c r="J157" s="121" t="str">
        <f t="shared" si="10"/>
        <v/>
      </c>
      <c r="K157" s="112">
        <f t="shared" si="11"/>
        <v>0</v>
      </c>
      <c r="L157" s="118"/>
      <c r="M157" s="57"/>
      <c r="N157" s="56"/>
      <c r="O157" s="108"/>
    </row>
    <row r="158" spans="1:15" x14ac:dyDescent="0.2">
      <c r="A158" s="107" t="str">
        <f t="shared" si="12"/>
        <v/>
      </c>
      <c r="B158" s="9"/>
      <c r="C158" s="10"/>
      <c r="D158" s="11"/>
      <c r="E158" s="11"/>
      <c r="F158" s="11"/>
      <c r="G158" s="12"/>
      <c r="H158" s="12"/>
      <c r="I158" s="123"/>
      <c r="J158" s="121" t="str">
        <f t="shared" si="10"/>
        <v/>
      </c>
      <c r="K158" s="112">
        <f t="shared" si="11"/>
        <v>0</v>
      </c>
      <c r="L158" s="118"/>
      <c r="M158" s="57"/>
      <c r="N158" s="56"/>
      <c r="O158" s="108"/>
    </row>
    <row r="159" spans="1:15" x14ac:dyDescent="0.2">
      <c r="A159" s="107" t="str">
        <f t="shared" si="12"/>
        <v/>
      </c>
      <c r="B159" s="9"/>
      <c r="C159" s="10"/>
      <c r="D159" s="11"/>
      <c r="E159" s="11"/>
      <c r="F159" s="11"/>
      <c r="G159" s="12"/>
      <c r="H159" s="12"/>
      <c r="I159" s="123"/>
      <c r="J159" s="121" t="str">
        <f t="shared" si="10"/>
        <v/>
      </c>
      <c r="K159" s="112">
        <f t="shared" si="11"/>
        <v>0</v>
      </c>
      <c r="L159" s="118"/>
      <c r="M159" s="57"/>
      <c r="N159" s="56"/>
      <c r="O159" s="108"/>
    </row>
    <row r="160" spans="1:15" x14ac:dyDescent="0.2">
      <c r="A160" s="107" t="str">
        <f t="shared" si="12"/>
        <v/>
      </c>
      <c r="B160" s="9"/>
      <c r="C160" s="10"/>
      <c r="D160" s="11"/>
      <c r="E160" s="11"/>
      <c r="F160" s="11"/>
      <c r="G160" s="12"/>
      <c r="H160" s="12"/>
      <c r="I160" s="123"/>
      <c r="J160" s="121" t="str">
        <f t="shared" si="10"/>
        <v/>
      </c>
      <c r="K160" s="112">
        <f t="shared" si="11"/>
        <v>0</v>
      </c>
      <c r="L160" s="118"/>
      <c r="M160" s="57"/>
      <c r="N160" s="56"/>
      <c r="O160" s="108"/>
    </row>
    <row r="161" spans="1:15" x14ac:dyDescent="0.2">
      <c r="A161" s="107" t="str">
        <f t="shared" si="12"/>
        <v/>
      </c>
      <c r="B161" s="9"/>
      <c r="C161" s="10"/>
      <c r="D161" s="11"/>
      <c r="E161" s="11"/>
      <c r="F161" s="11"/>
      <c r="G161" s="12"/>
      <c r="H161" s="12"/>
      <c r="I161" s="123"/>
      <c r="J161" s="121" t="str">
        <f t="shared" si="10"/>
        <v/>
      </c>
      <c r="K161" s="112">
        <f t="shared" si="11"/>
        <v>0</v>
      </c>
      <c r="L161" s="118"/>
      <c r="M161" s="57"/>
      <c r="N161" s="56"/>
      <c r="O161" s="108"/>
    </row>
    <row r="162" spans="1:15" x14ac:dyDescent="0.2">
      <c r="A162" s="107" t="str">
        <f t="shared" si="12"/>
        <v/>
      </c>
      <c r="B162" s="9"/>
      <c r="C162" s="10"/>
      <c r="D162" s="11"/>
      <c r="E162" s="11"/>
      <c r="F162" s="11"/>
      <c r="G162" s="12"/>
      <c r="H162" s="12"/>
      <c r="I162" s="123"/>
      <c r="J162" s="121" t="str">
        <f t="shared" si="10"/>
        <v/>
      </c>
      <c r="K162" s="112">
        <f t="shared" si="11"/>
        <v>0</v>
      </c>
      <c r="L162" s="118"/>
      <c r="M162" s="57"/>
      <c r="N162" s="56"/>
      <c r="O162" s="108"/>
    </row>
    <row r="163" spans="1:15" x14ac:dyDescent="0.2">
      <c r="A163" s="107" t="str">
        <f t="shared" si="12"/>
        <v/>
      </c>
      <c r="B163" s="9"/>
      <c r="C163" s="10"/>
      <c r="D163" s="11"/>
      <c r="E163" s="11"/>
      <c r="F163" s="11"/>
      <c r="G163" s="12"/>
      <c r="H163" s="12"/>
      <c r="I163" s="123"/>
      <c r="J163" s="121" t="str">
        <f t="shared" si="10"/>
        <v/>
      </c>
      <c r="K163" s="112">
        <f t="shared" si="11"/>
        <v>0</v>
      </c>
      <c r="L163" s="118"/>
      <c r="M163" s="57"/>
      <c r="N163" s="56"/>
      <c r="O163" s="108"/>
    </row>
    <row r="164" spans="1:15" x14ac:dyDescent="0.2">
      <c r="A164" s="107" t="str">
        <f t="shared" si="12"/>
        <v/>
      </c>
      <c r="B164" s="9"/>
      <c r="C164" s="10"/>
      <c r="D164" s="11"/>
      <c r="E164" s="11"/>
      <c r="F164" s="11"/>
      <c r="G164" s="12"/>
      <c r="H164" s="12"/>
      <c r="I164" s="123"/>
      <c r="J164" s="121" t="str">
        <f t="shared" si="10"/>
        <v/>
      </c>
      <c r="K164" s="112">
        <f t="shared" si="11"/>
        <v>0</v>
      </c>
      <c r="L164" s="118"/>
      <c r="M164" s="57"/>
      <c r="N164" s="56"/>
      <c r="O164" s="108"/>
    </row>
    <row r="165" spans="1:15" x14ac:dyDescent="0.2">
      <c r="A165" s="107" t="str">
        <f t="shared" si="12"/>
        <v/>
      </c>
      <c r="B165" s="9"/>
      <c r="C165" s="10"/>
      <c r="D165" s="11"/>
      <c r="E165" s="11"/>
      <c r="F165" s="11"/>
      <c r="G165" s="12"/>
      <c r="H165" s="12"/>
      <c r="I165" s="123"/>
      <c r="J165" s="121" t="str">
        <f t="shared" si="10"/>
        <v/>
      </c>
      <c r="K165" s="112">
        <f t="shared" si="11"/>
        <v>0</v>
      </c>
      <c r="L165" s="118"/>
      <c r="M165" s="57"/>
      <c r="N165" s="56"/>
      <c r="O165" s="108"/>
    </row>
    <row r="166" spans="1:15" x14ac:dyDescent="0.2">
      <c r="A166" s="107" t="str">
        <f t="shared" si="12"/>
        <v/>
      </c>
      <c r="B166" s="9"/>
      <c r="C166" s="10"/>
      <c r="D166" s="11"/>
      <c r="E166" s="11"/>
      <c r="F166" s="11"/>
      <c r="G166" s="12"/>
      <c r="H166" s="12"/>
      <c r="I166" s="123"/>
      <c r="J166" s="121" t="str">
        <f t="shared" si="10"/>
        <v/>
      </c>
      <c r="K166" s="112">
        <f t="shared" si="11"/>
        <v>0</v>
      </c>
      <c r="L166" s="118"/>
      <c r="M166" s="57"/>
      <c r="N166" s="56"/>
      <c r="O166" s="108"/>
    </row>
    <row r="167" spans="1:15" x14ac:dyDescent="0.2">
      <c r="A167" s="107" t="str">
        <f t="shared" si="12"/>
        <v/>
      </c>
      <c r="B167" s="9"/>
      <c r="C167" s="10"/>
      <c r="D167" s="11"/>
      <c r="E167" s="11"/>
      <c r="F167" s="11"/>
      <c r="G167" s="12"/>
      <c r="H167" s="12"/>
      <c r="I167" s="123"/>
      <c r="J167" s="121" t="str">
        <f t="shared" si="10"/>
        <v/>
      </c>
      <c r="K167" s="112">
        <f t="shared" si="11"/>
        <v>0</v>
      </c>
      <c r="L167" s="118"/>
      <c r="M167" s="57"/>
      <c r="N167" s="56"/>
      <c r="O167" s="108"/>
    </row>
    <row r="168" spans="1:15" x14ac:dyDescent="0.2">
      <c r="A168" s="107" t="str">
        <f t="shared" si="12"/>
        <v/>
      </c>
      <c r="B168" s="9"/>
      <c r="C168" s="10"/>
      <c r="D168" s="11"/>
      <c r="E168" s="11"/>
      <c r="F168" s="11"/>
      <c r="G168" s="12"/>
      <c r="H168" s="12"/>
      <c r="I168" s="123"/>
      <c r="J168" s="121" t="str">
        <f t="shared" ref="J168:J201" si="13">IF(D168="","",IF(E168="","OPEN","CLOSED"))</f>
        <v/>
      </c>
      <c r="K168" s="112">
        <f t="shared" ref="K168:K199" si="14">IF(J168="open","",E168-D168)</f>
        <v>0</v>
      </c>
      <c r="L168" s="118"/>
      <c r="M168" s="57"/>
      <c r="N168" s="56"/>
      <c r="O168" s="108"/>
    </row>
    <row r="169" spans="1:15" x14ac:dyDescent="0.2">
      <c r="A169" s="107" t="str">
        <f t="shared" si="12"/>
        <v/>
      </c>
      <c r="B169" s="9"/>
      <c r="C169" s="10"/>
      <c r="D169" s="11"/>
      <c r="E169" s="11"/>
      <c r="F169" s="11"/>
      <c r="G169" s="12"/>
      <c r="H169" s="12"/>
      <c r="I169" s="123"/>
      <c r="J169" s="121" t="str">
        <f t="shared" si="13"/>
        <v/>
      </c>
      <c r="K169" s="112">
        <f t="shared" si="14"/>
        <v>0</v>
      </c>
      <c r="L169" s="118"/>
      <c r="M169" s="57"/>
      <c r="N169" s="56"/>
      <c r="O169" s="108"/>
    </row>
    <row r="170" spans="1:15" x14ac:dyDescent="0.2">
      <c r="A170" s="107" t="str">
        <f t="shared" si="12"/>
        <v/>
      </c>
      <c r="B170" s="9"/>
      <c r="C170" s="10"/>
      <c r="D170" s="11"/>
      <c r="E170" s="11"/>
      <c r="F170" s="11"/>
      <c r="G170" s="12"/>
      <c r="H170" s="12"/>
      <c r="I170" s="123"/>
      <c r="J170" s="121" t="str">
        <f t="shared" si="13"/>
        <v/>
      </c>
      <c r="K170" s="112">
        <f t="shared" si="14"/>
        <v>0</v>
      </c>
      <c r="L170" s="118"/>
      <c r="M170" s="57"/>
      <c r="N170" s="56"/>
      <c r="O170" s="108"/>
    </row>
    <row r="171" spans="1:15" x14ac:dyDescent="0.2">
      <c r="A171" s="107" t="str">
        <f t="shared" si="12"/>
        <v/>
      </c>
      <c r="B171" s="9"/>
      <c r="C171" s="10"/>
      <c r="D171" s="11"/>
      <c r="E171" s="11"/>
      <c r="F171" s="11"/>
      <c r="G171" s="12"/>
      <c r="H171" s="12"/>
      <c r="I171" s="123"/>
      <c r="J171" s="121" t="str">
        <f t="shared" si="13"/>
        <v/>
      </c>
      <c r="K171" s="112">
        <f t="shared" si="14"/>
        <v>0</v>
      </c>
      <c r="L171" s="118"/>
      <c r="M171" s="57"/>
      <c r="N171" s="56"/>
      <c r="O171" s="108"/>
    </row>
    <row r="172" spans="1:15" x14ac:dyDescent="0.2">
      <c r="A172" s="107" t="str">
        <f t="shared" si="12"/>
        <v/>
      </c>
      <c r="B172" s="9"/>
      <c r="C172" s="10"/>
      <c r="D172" s="11"/>
      <c r="E172" s="11"/>
      <c r="F172" s="11"/>
      <c r="G172" s="12"/>
      <c r="H172" s="12"/>
      <c r="I172" s="123"/>
      <c r="J172" s="121" t="str">
        <f t="shared" si="13"/>
        <v/>
      </c>
      <c r="K172" s="112">
        <f t="shared" si="14"/>
        <v>0</v>
      </c>
      <c r="L172" s="118"/>
      <c r="M172" s="57"/>
      <c r="N172" s="56"/>
      <c r="O172" s="108"/>
    </row>
    <row r="173" spans="1:15" x14ac:dyDescent="0.2">
      <c r="A173" s="107" t="str">
        <f t="shared" si="12"/>
        <v/>
      </c>
      <c r="B173" s="9"/>
      <c r="C173" s="10"/>
      <c r="D173" s="11"/>
      <c r="E173" s="11"/>
      <c r="F173" s="11"/>
      <c r="G173" s="12"/>
      <c r="H173" s="12"/>
      <c r="I173" s="123"/>
      <c r="J173" s="121" t="str">
        <f t="shared" si="13"/>
        <v/>
      </c>
      <c r="K173" s="112">
        <f t="shared" si="14"/>
        <v>0</v>
      </c>
      <c r="L173" s="118"/>
      <c r="M173" s="57"/>
      <c r="N173" s="56"/>
      <c r="O173" s="108"/>
    </row>
    <row r="174" spans="1:15" x14ac:dyDescent="0.2">
      <c r="A174" s="107" t="str">
        <f t="shared" si="12"/>
        <v/>
      </c>
      <c r="B174" s="9"/>
      <c r="C174" s="10"/>
      <c r="D174" s="11"/>
      <c r="E174" s="11"/>
      <c r="F174" s="11"/>
      <c r="G174" s="12"/>
      <c r="H174" s="12"/>
      <c r="I174" s="123"/>
      <c r="J174" s="121" t="str">
        <f t="shared" si="13"/>
        <v/>
      </c>
      <c r="K174" s="112">
        <f t="shared" si="14"/>
        <v>0</v>
      </c>
      <c r="L174" s="118"/>
      <c r="M174" s="57"/>
      <c r="N174" s="56"/>
      <c r="O174" s="108"/>
    </row>
    <row r="175" spans="1:15" x14ac:dyDescent="0.2">
      <c r="A175" s="107" t="str">
        <f t="shared" si="12"/>
        <v/>
      </c>
      <c r="B175" s="9"/>
      <c r="C175" s="10"/>
      <c r="D175" s="11"/>
      <c r="E175" s="11"/>
      <c r="F175" s="11"/>
      <c r="G175" s="12"/>
      <c r="H175" s="12"/>
      <c r="I175" s="123"/>
      <c r="J175" s="121" t="str">
        <f t="shared" si="13"/>
        <v/>
      </c>
      <c r="K175" s="112">
        <f t="shared" si="14"/>
        <v>0</v>
      </c>
      <c r="L175" s="118"/>
      <c r="M175" s="57"/>
      <c r="N175" s="56"/>
      <c r="O175" s="108"/>
    </row>
    <row r="176" spans="1:15" x14ac:dyDescent="0.2">
      <c r="A176" s="107" t="str">
        <f t="shared" si="12"/>
        <v/>
      </c>
      <c r="B176" s="9"/>
      <c r="C176" s="10"/>
      <c r="D176" s="11"/>
      <c r="E176" s="11"/>
      <c r="F176" s="11"/>
      <c r="G176" s="12"/>
      <c r="H176" s="12"/>
      <c r="I176" s="123"/>
      <c r="J176" s="121" t="str">
        <f t="shared" si="13"/>
        <v/>
      </c>
      <c r="K176" s="112">
        <f t="shared" si="14"/>
        <v>0</v>
      </c>
      <c r="L176" s="118"/>
      <c r="M176" s="57"/>
      <c r="N176" s="56"/>
      <c r="O176" s="108"/>
    </row>
    <row r="177" spans="1:15" x14ac:dyDescent="0.2">
      <c r="A177" s="107" t="str">
        <f t="shared" si="12"/>
        <v/>
      </c>
      <c r="B177" s="9"/>
      <c r="C177" s="10"/>
      <c r="D177" s="11"/>
      <c r="E177" s="11"/>
      <c r="F177" s="11"/>
      <c r="G177" s="12"/>
      <c r="H177" s="12"/>
      <c r="I177" s="115"/>
      <c r="J177" s="111" t="str">
        <f t="shared" si="13"/>
        <v/>
      </c>
      <c r="K177" s="112">
        <f t="shared" si="14"/>
        <v>0</v>
      </c>
      <c r="L177" s="118"/>
      <c r="M177" s="57"/>
      <c r="N177" s="56"/>
      <c r="O177" s="108"/>
    </row>
    <row r="178" spans="1:15" x14ac:dyDescent="0.2">
      <c r="A178" s="107" t="str">
        <f t="shared" si="12"/>
        <v/>
      </c>
      <c r="B178" s="9"/>
      <c r="C178" s="10"/>
      <c r="D178" s="11"/>
      <c r="E178" s="11"/>
      <c r="F178" s="11"/>
      <c r="G178" s="12"/>
      <c r="H178" s="12"/>
      <c r="I178" s="115"/>
      <c r="J178" s="111" t="str">
        <f t="shared" si="13"/>
        <v/>
      </c>
      <c r="K178" s="112">
        <f t="shared" si="14"/>
        <v>0</v>
      </c>
      <c r="L178" s="118"/>
      <c r="M178" s="57"/>
      <c r="N178" s="56"/>
      <c r="O178" s="108"/>
    </row>
    <row r="179" spans="1:15" x14ac:dyDescent="0.2">
      <c r="A179" s="107" t="str">
        <f t="shared" si="12"/>
        <v/>
      </c>
      <c r="B179" s="9"/>
      <c r="C179" s="10"/>
      <c r="D179" s="11"/>
      <c r="E179" s="11"/>
      <c r="F179" s="11"/>
      <c r="G179" s="12"/>
      <c r="H179" s="12"/>
      <c r="I179" s="115"/>
      <c r="J179" s="111" t="str">
        <f t="shared" si="13"/>
        <v/>
      </c>
      <c r="K179" s="112">
        <f t="shared" si="14"/>
        <v>0</v>
      </c>
      <c r="L179" s="118"/>
      <c r="M179" s="57"/>
      <c r="N179" s="56"/>
      <c r="O179" s="108"/>
    </row>
    <row r="180" spans="1:15" x14ac:dyDescent="0.2">
      <c r="A180" s="107" t="str">
        <f t="shared" si="12"/>
        <v/>
      </c>
      <c r="B180" s="9"/>
      <c r="C180" s="10"/>
      <c r="D180" s="11"/>
      <c r="E180" s="11"/>
      <c r="F180" s="11"/>
      <c r="G180" s="12"/>
      <c r="H180" s="12"/>
      <c r="I180" s="115"/>
      <c r="J180" s="111" t="str">
        <f t="shared" si="13"/>
        <v/>
      </c>
      <c r="K180" s="112">
        <f t="shared" si="14"/>
        <v>0</v>
      </c>
      <c r="L180" s="118"/>
      <c r="M180" s="57"/>
      <c r="N180" s="56"/>
      <c r="O180" s="108"/>
    </row>
    <row r="181" spans="1:15" x14ac:dyDescent="0.2">
      <c r="A181" s="107" t="str">
        <f t="shared" si="12"/>
        <v/>
      </c>
      <c r="B181" s="9"/>
      <c r="C181" s="10"/>
      <c r="D181" s="11"/>
      <c r="E181" s="11"/>
      <c r="F181" s="11"/>
      <c r="G181" s="12"/>
      <c r="H181" s="12"/>
      <c r="I181" s="115"/>
      <c r="J181" s="111" t="str">
        <f t="shared" si="13"/>
        <v/>
      </c>
      <c r="K181" s="112">
        <f t="shared" si="14"/>
        <v>0</v>
      </c>
      <c r="L181" s="118"/>
      <c r="M181" s="57"/>
      <c r="N181" s="56"/>
      <c r="O181" s="108"/>
    </row>
    <row r="182" spans="1:15" x14ac:dyDescent="0.2">
      <c r="A182" s="107" t="str">
        <f t="shared" si="12"/>
        <v/>
      </c>
      <c r="B182" s="9"/>
      <c r="C182" s="10"/>
      <c r="D182" s="11"/>
      <c r="E182" s="11"/>
      <c r="F182" s="11"/>
      <c r="G182" s="12"/>
      <c r="H182" s="12"/>
      <c r="I182" s="115"/>
      <c r="J182" s="111" t="str">
        <f t="shared" si="13"/>
        <v/>
      </c>
      <c r="K182" s="112">
        <f t="shared" si="14"/>
        <v>0</v>
      </c>
      <c r="L182" s="118"/>
      <c r="M182" s="57"/>
      <c r="N182" s="56"/>
      <c r="O182" s="108"/>
    </row>
    <row r="183" spans="1:15" x14ac:dyDescent="0.2">
      <c r="A183" s="107" t="str">
        <f t="shared" si="12"/>
        <v/>
      </c>
      <c r="B183" s="9"/>
      <c r="C183" s="10"/>
      <c r="D183" s="11"/>
      <c r="E183" s="11"/>
      <c r="F183" s="11"/>
      <c r="G183" s="12"/>
      <c r="H183" s="12"/>
      <c r="I183" s="115"/>
      <c r="J183" s="111" t="str">
        <f t="shared" si="13"/>
        <v/>
      </c>
      <c r="K183" s="112">
        <f t="shared" si="14"/>
        <v>0</v>
      </c>
      <c r="L183" s="118"/>
      <c r="M183" s="57"/>
      <c r="N183" s="56"/>
      <c r="O183" s="108"/>
    </row>
    <row r="184" spans="1:15" x14ac:dyDescent="0.2">
      <c r="A184" s="107" t="str">
        <f t="shared" si="12"/>
        <v/>
      </c>
      <c r="B184" s="9"/>
      <c r="C184" s="10"/>
      <c r="D184" s="11"/>
      <c r="E184" s="11"/>
      <c r="F184" s="11"/>
      <c r="G184" s="12"/>
      <c r="H184" s="12"/>
      <c r="I184" s="115"/>
      <c r="J184" s="111" t="str">
        <f t="shared" si="13"/>
        <v/>
      </c>
      <c r="K184" s="112">
        <f t="shared" si="14"/>
        <v>0</v>
      </c>
      <c r="L184" s="118"/>
      <c r="M184" s="57"/>
      <c r="N184" s="56"/>
      <c r="O184" s="108"/>
    </row>
    <row r="185" spans="1:15" x14ac:dyDescent="0.2">
      <c r="A185" s="107" t="str">
        <f t="shared" si="12"/>
        <v/>
      </c>
      <c r="B185" s="9"/>
      <c r="C185" s="10"/>
      <c r="D185" s="11"/>
      <c r="E185" s="11"/>
      <c r="F185" s="11"/>
      <c r="G185" s="12"/>
      <c r="H185" s="12"/>
      <c r="I185" s="115"/>
      <c r="J185" s="111" t="str">
        <f t="shared" si="13"/>
        <v/>
      </c>
      <c r="K185" s="112">
        <f t="shared" si="14"/>
        <v>0</v>
      </c>
      <c r="L185" s="118"/>
      <c r="M185" s="57"/>
      <c r="N185" s="56"/>
      <c r="O185" s="108"/>
    </row>
    <row r="186" spans="1:15" x14ac:dyDescent="0.2">
      <c r="A186" s="107" t="str">
        <f t="shared" si="12"/>
        <v/>
      </c>
      <c r="B186" s="9"/>
      <c r="C186" s="10"/>
      <c r="D186" s="11"/>
      <c r="E186" s="11"/>
      <c r="F186" s="11"/>
      <c r="G186" s="12"/>
      <c r="H186" s="12"/>
      <c r="I186" s="115"/>
      <c r="J186" s="111" t="str">
        <f t="shared" si="13"/>
        <v/>
      </c>
      <c r="K186" s="112">
        <f t="shared" si="14"/>
        <v>0</v>
      </c>
      <c r="L186" s="118"/>
      <c r="M186" s="57"/>
      <c r="N186" s="56"/>
      <c r="O186" s="108"/>
    </row>
    <row r="187" spans="1:15" x14ac:dyDescent="0.2">
      <c r="A187" s="107" t="str">
        <f t="shared" si="12"/>
        <v/>
      </c>
      <c r="B187" s="9"/>
      <c r="C187" s="10"/>
      <c r="D187" s="11"/>
      <c r="E187" s="11"/>
      <c r="F187" s="11"/>
      <c r="G187" s="12"/>
      <c r="H187" s="12"/>
      <c r="I187" s="115"/>
      <c r="J187" s="111" t="str">
        <f t="shared" si="13"/>
        <v/>
      </c>
      <c r="K187" s="112">
        <f t="shared" si="14"/>
        <v>0</v>
      </c>
      <c r="L187" s="118"/>
      <c r="M187" s="57"/>
      <c r="N187" s="56"/>
      <c r="O187" s="108"/>
    </row>
    <row r="188" spans="1:15" x14ac:dyDescent="0.2">
      <c r="A188" s="107" t="str">
        <f t="shared" si="12"/>
        <v/>
      </c>
      <c r="B188" s="9"/>
      <c r="C188" s="10"/>
      <c r="D188" s="11"/>
      <c r="E188" s="11"/>
      <c r="F188" s="11"/>
      <c r="G188" s="12"/>
      <c r="H188" s="12"/>
      <c r="I188" s="115"/>
      <c r="J188" s="111" t="str">
        <f t="shared" si="13"/>
        <v/>
      </c>
      <c r="K188" s="112">
        <f t="shared" si="14"/>
        <v>0</v>
      </c>
      <c r="L188" s="118"/>
      <c r="M188" s="57"/>
      <c r="N188" s="56"/>
      <c r="O188" s="108"/>
    </row>
    <row r="189" spans="1:15" x14ac:dyDescent="0.2">
      <c r="A189" s="107" t="str">
        <f t="shared" si="12"/>
        <v/>
      </c>
      <c r="B189" s="9"/>
      <c r="C189" s="10"/>
      <c r="D189" s="11"/>
      <c r="E189" s="11"/>
      <c r="F189" s="11"/>
      <c r="G189" s="12"/>
      <c r="H189" s="12"/>
      <c r="I189" s="115"/>
      <c r="J189" s="111" t="str">
        <f t="shared" si="13"/>
        <v/>
      </c>
      <c r="K189" s="112">
        <f t="shared" si="14"/>
        <v>0</v>
      </c>
      <c r="L189" s="118"/>
      <c r="M189" s="57"/>
      <c r="N189" s="56"/>
      <c r="O189" s="108"/>
    </row>
    <row r="190" spans="1:15" x14ac:dyDescent="0.2">
      <c r="A190" s="107" t="str">
        <f t="shared" si="12"/>
        <v/>
      </c>
      <c r="B190" s="9"/>
      <c r="C190" s="10"/>
      <c r="D190" s="11"/>
      <c r="E190" s="11"/>
      <c r="F190" s="11"/>
      <c r="G190" s="12"/>
      <c r="H190" s="12"/>
      <c r="I190" s="115"/>
      <c r="J190" s="111" t="str">
        <f t="shared" si="13"/>
        <v/>
      </c>
      <c r="K190" s="112">
        <f t="shared" si="14"/>
        <v>0</v>
      </c>
      <c r="L190" s="118"/>
      <c r="M190" s="57"/>
      <c r="N190" s="56"/>
      <c r="O190" s="108"/>
    </row>
    <row r="191" spans="1:15" x14ac:dyDescent="0.2">
      <c r="A191" s="107" t="str">
        <f t="shared" si="12"/>
        <v/>
      </c>
      <c r="B191" s="9"/>
      <c r="C191" s="10"/>
      <c r="D191" s="11"/>
      <c r="E191" s="11"/>
      <c r="F191" s="11"/>
      <c r="G191" s="12"/>
      <c r="H191" s="12"/>
      <c r="I191" s="115"/>
      <c r="J191" s="111" t="str">
        <f t="shared" si="13"/>
        <v/>
      </c>
      <c r="K191" s="112">
        <f t="shared" si="14"/>
        <v>0</v>
      </c>
      <c r="L191" s="118"/>
      <c r="M191" s="57"/>
      <c r="N191" s="56"/>
      <c r="O191" s="108"/>
    </row>
    <row r="192" spans="1:15" x14ac:dyDescent="0.2">
      <c r="A192" s="107" t="str">
        <f t="shared" si="12"/>
        <v/>
      </c>
      <c r="B192" s="9"/>
      <c r="C192" s="10"/>
      <c r="D192" s="11"/>
      <c r="E192" s="11"/>
      <c r="F192" s="11"/>
      <c r="G192" s="12"/>
      <c r="H192" s="12"/>
      <c r="I192" s="115"/>
      <c r="J192" s="111" t="str">
        <f t="shared" si="13"/>
        <v/>
      </c>
      <c r="K192" s="112">
        <f t="shared" si="14"/>
        <v>0</v>
      </c>
      <c r="L192" s="118"/>
      <c r="M192" s="57"/>
      <c r="N192" s="56"/>
      <c r="O192" s="108"/>
    </row>
    <row r="193" spans="1:15" x14ac:dyDescent="0.2">
      <c r="A193" s="107" t="str">
        <f t="shared" si="12"/>
        <v/>
      </c>
      <c r="B193" s="9"/>
      <c r="C193" s="10"/>
      <c r="D193" s="11"/>
      <c r="E193" s="11"/>
      <c r="F193" s="11"/>
      <c r="G193" s="12"/>
      <c r="H193" s="12"/>
      <c r="I193" s="115"/>
      <c r="J193" s="111" t="str">
        <f t="shared" si="13"/>
        <v/>
      </c>
      <c r="K193" s="112">
        <f t="shared" si="14"/>
        <v>0</v>
      </c>
      <c r="L193" s="118"/>
      <c r="M193" s="57"/>
      <c r="N193" s="56"/>
      <c r="O193" s="108"/>
    </row>
    <row r="194" spans="1:15" x14ac:dyDescent="0.2">
      <c r="A194" s="107" t="str">
        <f t="shared" si="12"/>
        <v/>
      </c>
      <c r="B194" s="9"/>
      <c r="C194" s="10"/>
      <c r="D194" s="11"/>
      <c r="E194" s="11"/>
      <c r="F194" s="11"/>
      <c r="G194" s="12"/>
      <c r="H194" s="12"/>
      <c r="I194" s="115"/>
      <c r="J194" s="111" t="str">
        <f t="shared" si="13"/>
        <v/>
      </c>
      <c r="K194" s="112">
        <f t="shared" si="14"/>
        <v>0</v>
      </c>
      <c r="L194" s="118"/>
      <c r="M194" s="57"/>
      <c r="N194" s="56"/>
      <c r="O194" s="108"/>
    </row>
    <row r="195" spans="1:15" x14ac:dyDescent="0.2">
      <c r="A195" s="107" t="str">
        <f t="shared" si="12"/>
        <v/>
      </c>
      <c r="B195" s="9"/>
      <c r="C195" s="10"/>
      <c r="D195" s="11"/>
      <c r="E195" s="11"/>
      <c r="F195" s="11"/>
      <c r="G195" s="12"/>
      <c r="H195" s="12"/>
      <c r="I195" s="115"/>
      <c r="J195" s="111" t="str">
        <f t="shared" si="13"/>
        <v/>
      </c>
      <c r="K195" s="112">
        <f t="shared" si="14"/>
        <v>0</v>
      </c>
      <c r="L195" s="118"/>
      <c r="M195" s="57"/>
      <c r="N195" s="56"/>
      <c r="O195" s="108"/>
    </row>
    <row r="196" spans="1:15" x14ac:dyDescent="0.2">
      <c r="A196" s="107" t="str">
        <f t="shared" si="12"/>
        <v/>
      </c>
      <c r="B196" s="9"/>
      <c r="C196" s="10"/>
      <c r="D196" s="11"/>
      <c r="E196" s="11"/>
      <c r="F196" s="11"/>
      <c r="G196" s="12"/>
      <c r="H196" s="12"/>
      <c r="I196" s="115"/>
      <c r="J196" s="111" t="str">
        <f t="shared" si="13"/>
        <v/>
      </c>
      <c r="K196" s="112">
        <f t="shared" si="14"/>
        <v>0</v>
      </c>
      <c r="L196" s="118"/>
      <c r="M196" s="57"/>
      <c r="N196" s="56"/>
      <c r="O196" s="108"/>
    </row>
    <row r="197" spans="1:15" x14ac:dyDescent="0.2">
      <c r="A197" s="107" t="str">
        <f t="shared" si="12"/>
        <v/>
      </c>
      <c r="B197" s="9"/>
      <c r="C197" s="10"/>
      <c r="D197" s="11"/>
      <c r="E197" s="11"/>
      <c r="F197" s="11"/>
      <c r="G197" s="12"/>
      <c r="H197" s="12"/>
      <c r="I197" s="115"/>
      <c r="J197" s="111" t="str">
        <f t="shared" si="13"/>
        <v/>
      </c>
      <c r="K197" s="112">
        <f t="shared" si="14"/>
        <v>0</v>
      </c>
      <c r="L197" s="118"/>
      <c r="M197" s="57"/>
      <c r="N197" s="56"/>
      <c r="O197" s="108"/>
    </row>
    <row r="198" spans="1:15" x14ac:dyDescent="0.2">
      <c r="A198" s="107" t="str">
        <f t="shared" si="12"/>
        <v/>
      </c>
      <c r="B198" s="9"/>
      <c r="C198" s="10"/>
      <c r="D198" s="11"/>
      <c r="E198" s="11"/>
      <c r="F198" s="11"/>
      <c r="G198" s="12"/>
      <c r="H198" s="12"/>
      <c r="I198" s="115"/>
      <c r="J198" s="111" t="str">
        <f t="shared" si="13"/>
        <v/>
      </c>
      <c r="K198" s="112">
        <f t="shared" si="14"/>
        <v>0</v>
      </c>
      <c r="L198" s="118"/>
      <c r="M198" s="57"/>
      <c r="N198" s="56"/>
      <c r="O198" s="108"/>
    </row>
    <row r="199" spans="1:15" x14ac:dyDescent="0.2">
      <c r="A199" s="107" t="str">
        <f t="shared" si="12"/>
        <v/>
      </c>
      <c r="B199" s="9"/>
      <c r="C199" s="10"/>
      <c r="D199" s="11"/>
      <c r="E199" s="11"/>
      <c r="F199" s="11"/>
      <c r="G199" s="12"/>
      <c r="H199" s="12"/>
      <c r="I199" s="115"/>
      <c r="J199" s="111" t="str">
        <f t="shared" si="13"/>
        <v/>
      </c>
      <c r="K199" s="112">
        <f t="shared" si="14"/>
        <v>0</v>
      </c>
      <c r="L199" s="118"/>
      <c r="M199" s="57"/>
      <c r="N199" s="56"/>
      <c r="O199" s="108"/>
    </row>
    <row r="200" spans="1:15" x14ac:dyDescent="0.2">
      <c r="A200" s="107" t="str">
        <f t="shared" si="12"/>
        <v/>
      </c>
      <c r="B200" s="9"/>
      <c r="C200" s="10"/>
      <c r="D200" s="11"/>
      <c r="E200" s="11"/>
      <c r="F200" s="11"/>
      <c r="G200" s="12"/>
      <c r="H200" s="12"/>
      <c r="I200" s="115"/>
      <c r="J200" s="111" t="str">
        <f t="shared" si="13"/>
        <v/>
      </c>
      <c r="K200" s="112">
        <f t="shared" ref="K200:K201" si="15">IF(J200="open","",E200-D200)</f>
        <v>0</v>
      </c>
      <c r="L200" s="118"/>
      <c r="M200" s="57"/>
      <c r="N200" s="56"/>
      <c r="O200" s="108"/>
    </row>
    <row r="201" spans="1:15" x14ac:dyDescent="0.2">
      <c r="A201" s="107" t="str">
        <f t="shared" si="12"/>
        <v/>
      </c>
      <c r="B201" s="96"/>
      <c r="C201" s="97"/>
      <c r="D201" s="98"/>
      <c r="E201" s="98"/>
      <c r="F201" s="98"/>
      <c r="G201" s="99"/>
      <c r="H201" s="99"/>
      <c r="I201" s="116"/>
      <c r="J201" s="113" t="str">
        <f t="shared" si="13"/>
        <v/>
      </c>
      <c r="K201" s="114">
        <f t="shared" si="15"/>
        <v>0</v>
      </c>
      <c r="L201" s="120"/>
      <c r="M201" s="100"/>
      <c r="N201" s="101"/>
      <c r="O201" s="109"/>
    </row>
  </sheetData>
  <dataConsolidate link="1"/>
  <mergeCells count="5">
    <mergeCell ref="L6:O6"/>
    <mergeCell ref="J4:K5"/>
    <mergeCell ref="C6:I6"/>
    <mergeCell ref="J6:K6"/>
    <mergeCell ref="J3:K3"/>
  </mergeCells>
  <conditionalFormatting sqref="B8:F8 G8:J19 B9:B44 D9:F44 G20:H20 J20 G21:J23 G24:H25 J24:J25 G26:J28 J29:J37 C38:C44 G38:J44 J45:J65 B66:J83 J84 B85:J201">
    <cfRule type="expression" dxfId="8" priority="5">
      <formula>AND($J8="CLOSED")</formula>
    </cfRule>
    <cfRule type="cellIs" dxfId="7" priority="7" operator="equal">
      <formula>"OPEN"</formula>
    </cfRule>
  </conditionalFormatting>
  <conditionalFormatting sqref="B45:I65">
    <cfRule type="expression" dxfId="6" priority="1">
      <formula>AND($J45="CLOSED")</formula>
    </cfRule>
    <cfRule type="cellIs" dxfId="5" priority="2" operator="equal">
      <formula>"OPEN"</formula>
    </cfRule>
  </conditionalFormatting>
  <conditionalFormatting sqref="C9:C28">
    <cfRule type="expression" dxfId="4" priority="3">
      <formula>AND($J9="CLOSED")</formula>
    </cfRule>
    <cfRule type="cellIs" dxfId="3" priority="4" operator="equal">
      <formula>"OPEN"</formula>
    </cfRule>
  </conditionalFormatting>
  <conditionalFormatting sqref="C29:C36 G29:I36">
    <cfRule type="expression" dxfId="2" priority="8">
      <formula>AND($J30="CLOSED")</formula>
    </cfRule>
  </conditionalFormatting>
  <conditionalFormatting sqref="C37 G37:I37">
    <cfRule type="expression" dxfId="1" priority="9">
      <formula>AND(#REF!="CLOSED")</formula>
    </cfRule>
  </conditionalFormatting>
  <conditionalFormatting sqref="J8:J201">
    <cfRule type="cellIs" dxfId="0" priority="6" operator="equal">
      <formula>"CLOSED"</formula>
    </cfRule>
  </conditionalFormatting>
  <printOptions horizontalCentered="1"/>
  <pageMargins left="0.1" right="0.1" top="0.39" bottom="0.54" header="0.37" footer="0.23"/>
  <pageSetup scale="53" fitToHeight="10" orientation="portrait" r:id="rId1"/>
  <headerFooter alignWithMargins="0">
    <oddHeader xml:space="preserve">&amp;C
</oddHeader>
    <oddFooter xml:space="preserve">&amp;L&amp;F&amp;CPage &amp;P&amp;RPrinted: &amp;D &amp;T
</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DD04-3C06-45C1-BEBF-5A094738A100}">
  <dimension ref="A1:J29"/>
  <sheetViews>
    <sheetView workbookViewId="0">
      <selection activeCell="F1" sqref="F1:J1"/>
    </sheetView>
  </sheetViews>
  <sheetFormatPr defaultRowHeight="12.75" x14ac:dyDescent="0.2"/>
  <cols>
    <col min="1" max="1" width="21.42578125" customWidth="1"/>
    <col min="2" max="2" width="44.42578125" customWidth="1"/>
    <col min="3" max="3" width="24.85546875" customWidth="1"/>
    <col min="6" max="6" width="19.28515625" style="47" customWidth="1"/>
    <col min="7" max="7" width="19.5703125" style="47" customWidth="1"/>
    <col min="8" max="8" width="20.7109375" style="47" customWidth="1"/>
    <col min="9" max="9" width="20.28515625" style="47" customWidth="1"/>
    <col min="10" max="10" width="22.42578125" style="47" customWidth="1"/>
  </cols>
  <sheetData>
    <row r="1" spans="1:10" ht="145.5" customHeight="1" x14ac:dyDescent="0.2">
      <c r="A1" s="140" t="s">
        <v>76</v>
      </c>
      <c r="B1" s="141"/>
      <c r="C1" s="141"/>
      <c r="F1" s="143" t="s">
        <v>77</v>
      </c>
      <c r="G1" s="144"/>
      <c r="H1" s="144"/>
      <c r="I1" s="144"/>
      <c r="J1" s="144"/>
    </row>
    <row r="2" spans="1:10" ht="25.5" customHeight="1" thickBot="1" x14ac:dyDescent="0.25"/>
    <row r="3" spans="1:10" ht="13.5" thickBot="1" x14ac:dyDescent="0.25">
      <c r="A3" s="42" t="s">
        <v>78</v>
      </c>
      <c r="B3" s="43" t="s">
        <v>79</v>
      </c>
      <c r="C3" s="44" t="s">
        <v>80</v>
      </c>
      <c r="F3" s="51" t="s">
        <v>81</v>
      </c>
      <c r="G3" s="52" t="s">
        <v>82</v>
      </c>
      <c r="H3" s="52" t="s">
        <v>83</v>
      </c>
      <c r="I3" s="52" t="s">
        <v>84</v>
      </c>
      <c r="J3" s="53" t="s">
        <v>85</v>
      </c>
    </row>
    <row r="4" spans="1:10" ht="25.5" x14ac:dyDescent="0.2">
      <c r="A4" s="40" t="s">
        <v>86</v>
      </c>
      <c r="B4" s="41" t="s">
        <v>87</v>
      </c>
      <c r="C4" s="40" t="s">
        <v>88</v>
      </c>
      <c r="F4" s="145" t="s">
        <v>89</v>
      </c>
      <c r="G4" s="50" t="s">
        <v>90</v>
      </c>
      <c r="H4" s="50" t="s">
        <v>91</v>
      </c>
      <c r="I4" s="50" t="s">
        <v>92</v>
      </c>
      <c r="J4" s="50" t="s">
        <v>93</v>
      </c>
    </row>
    <row r="5" spans="1:10" ht="25.5" x14ac:dyDescent="0.2">
      <c r="A5" s="38" t="s">
        <v>94</v>
      </c>
      <c r="B5" s="39" t="s">
        <v>95</v>
      </c>
      <c r="C5" s="38" t="s">
        <v>96</v>
      </c>
      <c r="F5" s="137"/>
      <c r="G5" s="48" t="s">
        <v>97</v>
      </c>
      <c r="H5" s="48" t="s">
        <v>98</v>
      </c>
      <c r="I5" s="48" t="s">
        <v>99</v>
      </c>
      <c r="J5" s="48" t="s">
        <v>100</v>
      </c>
    </row>
    <row r="6" spans="1:10" ht="25.5" x14ac:dyDescent="0.2">
      <c r="A6" s="38" t="s">
        <v>101</v>
      </c>
      <c r="B6" s="46" t="s">
        <v>102</v>
      </c>
      <c r="C6" s="38"/>
      <c r="F6" s="137"/>
      <c r="G6" s="48" t="s">
        <v>103</v>
      </c>
      <c r="H6" s="48" t="s">
        <v>104</v>
      </c>
      <c r="I6" s="48" t="s">
        <v>104</v>
      </c>
      <c r="J6" s="48" t="s">
        <v>105</v>
      </c>
    </row>
    <row r="7" spans="1:10" ht="38.25" x14ac:dyDescent="0.2">
      <c r="A7" s="38" t="s">
        <v>106</v>
      </c>
      <c r="B7" s="46" t="s">
        <v>107</v>
      </c>
      <c r="C7" s="38" t="s">
        <v>96</v>
      </c>
      <c r="F7" s="137"/>
      <c r="G7" s="48" t="s">
        <v>108</v>
      </c>
      <c r="H7" s="48" t="s">
        <v>109</v>
      </c>
      <c r="I7" s="48" t="s">
        <v>109</v>
      </c>
      <c r="J7" s="49"/>
    </row>
    <row r="8" spans="1:10" ht="38.25" x14ac:dyDescent="0.2">
      <c r="A8" s="38" t="s">
        <v>104</v>
      </c>
      <c r="B8" s="46" t="s">
        <v>110</v>
      </c>
      <c r="C8" s="38" t="s">
        <v>96</v>
      </c>
      <c r="F8" s="137"/>
      <c r="G8" s="49"/>
      <c r="H8" s="48" t="s">
        <v>111</v>
      </c>
      <c r="I8" s="48" t="s">
        <v>111</v>
      </c>
      <c r="J8" s="49"/>
    </row>
    <row r="9" spans="1:10" ht="25.5" x14ac:dyDescent="0.2">
      <c r="A9" s="38" t="s">
        <v>111</v>
      </c>
      <c r="B9" s="46" t="s">
        <v>112</v>
      </c>
      <c r="C9" s="38" t="s">
        <v>96</v>
      </c>
      <c r="F9" s="137"/>
      <c r="G9" s="49"/>
      <c r="H9" s="48" t="s">
        <v>113</v>
      </c>
      <c r="I9" s="48" t="s">
        <v>113</v>
      </c>
      <c r="J9" s="49"/>
    </row>
    <row r="10" spans="1:10" ht="25.5" x14ac:dyDescent="0.2">
      <c r="A10" s="38" t="s">
        <v>109</v>
      </c>
      <c r="B10" s="46" t="s">
        <v>112</v>
      </c>
      <c r="C10" s="38" t="s">
        <v>96</v>
      </c>
      <c r="F10" s="137"/>
      <c r="G10" s="49"/>
      <c r="H10" s="48" t="s">
        <v>114</v>
      </c>
      <c r="I10" s="48" t="s">
        <v>115</v>
      </c>
      <c r="J10" s="49"/>
    </row>
    <row r="11" spans="1:10" ht="25.5" x14ac:dyDescent="0.2">
      <c r="A11" s="38" t="s">
        <v>113</v>
      </c>
      <c r="B11" s="46" t="s">
        <v>112</v>
      </c>
      <c r="C11" s="38" t="s">
        <v>96</v>
      </c>
      <c r="F11" s="137"/>
      <c r="G11" s="49"/>
      <c r="H11" s="48" t="s">
        <v>116</v>
      </c>
      <c r="I11" s="49"/>
      <c r="J11" s="49"/>
    </row>
    <row r="12" spans="1:10" ht="27.75" customHeight="1" x14ac:dyDescent="0.2">
      <c r="F12" s="138"/>
      <c r="G12" s="49"/>
      <c r="H12" s="48" t="s">
        <v>117</v>
      </c>
      <c r="I12" s="48" t="s">
        <v>118</v>
      </c>
      <c r="J12" s="49"/>
    </row>
    <row r="13" spans="1:10" ht="64.5" customHeight="1" x14ac:dyDescent="0.2">
      <c r="A13" s="45" t="s">
        <v>119</v>
      </c>
      <c r="B13" s="142" t="s">
        <v>120</v>
      </c>
      <c r="C13" s="142"/>
      <c r="F13" s="136" t="s">
        <v>121</v>
      </c>
      <c r="G13" s="48" t="s">
        <v>122</v>
      </c>
      <c r="H13" s="48" t="s">
        <v>122</v>
      </c>
      <c r="I13" s="48" t="s">
        <v>123</v>
      </c>
      <c r="J13" s="48" t="s">
        <v>124</v>
      </c>
    </row>
    <row r="14" spans="1:10" ht="52.5" customHeight="1" x14ac:dyDescent="0.2">
      <c r="A14" s="45" t="s">
        <v>125</v>
      </c>
      <c r="B14" s="142" t="s">
        <v>126</v>
      </c>
      <c r="C14" s="142"/>
      <c r="F14" s="137"/>
      <c r="G14" s="48" t="s">
        <v>127</v>
      </c>
      <c r="H14" s="48" t="s">
        <v>127</v>
      </c>
      <c r="I14" s="48" t="s">
        <v>127</v>
      </c>
      <c r="J14" s="48" t="s">
        <v>128</v>
      </c>
    </row>
    <row r="15" spans="1:10" ht="66.75" customHeight="1" x14ac:dyDescent="0.2">
      <c r="A15" s="45" t="s">
        <v>129</v>
      </c>
      <c r="B15" s="142" t="s">
        <v>130</v>
      </c>
      <c r="C15" s="142"/>
      <c r="F15" s="137"/>
      <c r="G15" s="48" t="s">
        <v>131</v>
      </c>
      <c r="H15" s="48" t="s">
        <v>131</v>
      </c>
      <c r="I15" s="48" t="s">
        <v>132</v>
      </c>
      <c r="J15" s="48" t="s">
        <v>133</v>
      </c>
    </row>
    <row r="16" spans="1:10" ht="25.5" x14ac:dyDescent="0.2">
      <c r="F16" s="137"/>
      <c r="G16" s="49"/>
      <c r="H16" s="48" t="s">
        <v>134</v>
      </c>
      <c r="I16" s="48" t="s">
        <v>135</v>
      </c>
      <c r="J16" s="49"/>
    </row>
    <row r="17" spans="6:10" ht="25.5" x14ac:dyDescent="0.2">
      <c r="F17" s="137"/>
      <c r="G17" s="49"/>
      <c r="H17" s="48" t="s">
        <v>136</v>
      </c>
      <c r="I17" s="49"/>
      <c r="J17" s="49"/>
    </row>
    <row r="18" spans="6:10" x14ac:dyDescent="0.2">
      <c r="F18" s="137"/>
      <c r="G18" s="49"/>
      <c r="H18" s="48" t="s">
        <v>117</v>
      </c>
      <c r="I18" s="49"/>
      <c r="J18" s="49"/>
    </row>
    <row r="19" spans="6:10" x14ac:dyDescent="0.2">
      <c r="F19" s="137"/>
      <c r="G19" s="49"/>
      <c r="H19" s="48" t="s">
        <v>137</v>
      </c>
      <c r="I19" s="49"/>
      <c r="J19" s="49"/>
    </row>
    <row r="20" spans="6:10" ht="25.5" x14ac:dyDescent="0.2">
      <c r="F20" s="137"/>
      <c r="G20" s="49"/>
      <c r="H20" s="48" t="s">
        <v>138</v>
      </c>
      <c r="I20" s="49"/>
      <c r="J20" s="49"/>
    </row>
    <row r="21" spans="6:10" x14ac:dyDescent="0.2">
      <c r="F21" s="138"/>
      <c r="G21" s="49"/>
      <c r="H21" s="48" t="s">
        <v>139</v>
      </c>
      <c r="I21" s="49"/>
      <c r="J21" s="49"/>
    </row>
    <row r="22" spans="6:10" x14ac:dyDescent="0.2">
      <c r="F22" s="136" t="s">
        <v>140</v>
      </c>
      <c r="G22" s="49"/>
      <c r="H22" s="48" t="s">
        <v>141</v>
      </c>
      <c r="I22" s="49" t="s">
        <v>141</v>
      </c>
      <c r="J22" s="49"/>
    </row>
    <row r="23" spans="6:10" x14ac:dyDescent="0.2">
      <c r="F23" s="137"/>
      <c r="G23" s="49"/>
      <c r="H23" s="49" t="s">
        <v>142</v>
      </c>
      <c r="I23" s="49" t="s">
        <v>142</v>
      </c>
      <c r="J23" s="49"/>
    </row>
    <row r="24" spans="6:10" x14ac:dyDescent="0.2">
      <c r="F24" s="137"/>
      <c r="G24" s="49"/>
      <c r="H24" s="49" t="s">
        <v>143</v>
      </c>
      <c r="I24" s="49" t="s">
        <v>143</v>
      </c>
      <c r="J24" s="49"/>
    </row>
    <row r="25" spans="6:10" ht="25.5" x14ac:dyDescent="0.2">
      <c r="F25" s="137"/>
      <c r="G25" s="49"/>
      <c r="H25" s="49" t="s">
        <v>144</v>
      </c>
      <c r="I25" s="49" t="s">
        <v>145</v>
      </c>
      <c r="J25" s="49"/>
    </row>
    <row r="26" spans="6:10" x14ac:dyDescent="0.2">
      <c r="F26" s="138"/>
      <c r="G26" s="49"/>
      <c r="H26" s="49" t="s">
        <v>146</v>
      </c>
      <c r="I26" s="49" t="s">
        <v>146</v>
      </c>
      <c r="J26" s="49"/>
    </row>
    <row r="27" spans="6:10" ht="25.5" x14ac:dyDescent="0.2">
      <c r="F27" s="139" t="s">
        <v>147</v>
      </c>
      <c r="G27" s="48" t="s">
        <v>148</v>
      </c>
      <c r="H27" s="48" t="s">
        <v>149</v>
      </c>
      <c r="I27" s="48" t="s">
        <v>150</v>
      </c>
      <c r="J27" s="48" t="s">
        <v>151</v>
      </c>
    </row>
    <row r="28" spans="6:10" ht="25.5" x14ac:dyDescent="0.2">
      <c r="F28" s="139"/>
      <c r="G28" s="49"/>
      <c r="H28" s="48" t="s">
        <v>152</v>
      </c>
      <c r="I28" s="48" t="s">
        <v>152</v>
      </c>
      <c r="J28" s="48" t="s">
        <v>153</v>
      </c>
    </row>
    <row r="29" spans="6:10" ht="20.25" customHeight="1" x14ac:dyDescent="0.2">
      <c r="F29" s="139"/>
      <c r="G29" s="48" t="s">
        <v>154</v>
      </c>
      <c r="H29" s="48" t="s">
        <v>154</v>
      </c>
      <c r="I29" s="48" t="s">
        <v>154</v>
      </c>
      <c r="J29" s="49"/>
    </row>
  </sheetData>
  <mergeCells count="9">
    <mergeCell ref="F22:F26"/>
    <mergeCell ref="F27:F29"/>
    <mergeCell ref="A1:C1"/>
    <mergeCell ref="B13:C13"/>
    <mergeCell ref="B14:C14"/>
    <mergeCell ref="B15:C15"/>
    <mergeCell ref="F1:J1"/>
    <mergeCell ref="F4:F12"/>
    <mergeCell ref="F13:F2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E0CD8-AFF8-4C34-BBD9-E33AB0BB0403}">
  <dimension ref="A1:C51"/>
  <sheetViews>
    <sheetView topLeftCell="A4" workbookViewId="0">
      <selection activeCell="B15" sqref="B15"/>
    </sheetView>
  </sheetViews>
  <sheetFormatPr defaultRowHeight="12.75" x14ac:dyDescent="0.2"/>
  <cols>
    <col min="1" max="1" width="25" customWidth="1"/>
    <col min="2" max="2" width="22.5703125" customWidth="1"/>
    <col min="3" max="3" width="27.140625" customWidth="1"/>
  </cols>
  <sheetData>
    <row r="1" spans="1:3" x14ac:dyDescent="0.2">
      <c r="A1" s="54" t="s">
        <v>155</v>
      </c>
      <c r="C1" s="54" t="s">
        <v>156</v>
      </c>
    </row>
    <row r="2" spans="1:3" x14ac:dyDescent="0.2">
      <c r="A2" t="s">
        <v>157</v>
      </c>
      <c r="C2" s="36" t="s">
        <v>158</v>
      </c>
    </row>
    <row r="3" spans="1:3" x14ac:dyDescent="0.2">
      <c r="A3" t="s">
        <v>159</v>
      </c>
      <c r="C3" s="36" t="s">
        <v>160</v>
      </c>
    </row>
    <row r="4" spans="1:3" x14ac:dyDescent="0.2">
      <c r="A4" t="s">
        <v>161</v>
      </c>
      <c r="C4" s="36" t="s">
        <v>162</v>
      </c>
    </row>
    <row r="5" spans="1:3" x14ac:dyDescent="0.2">
      <c r="A5" t="s">
        <v>163</v>
      </c>
      <c r="C5" s="36" t="s">
        <v>164</v>
      </c>
    </row>
    <row r="6" spans="1:3" x14ac:dyDescent="0.2">
      <c r="A6" t="s">
        <v>165</v>
      </c>
      <c r="C6" s="36" t="s">
        <v>166</v>
      </c>
    </row>
    <row r="7" spans="1:3" x14ac:dyDescent="0.2">
      <c r="A7" t="s">
        <v>167</v>
      </c>
      <c r="C7" s="36" t="s">
        <v>168</v>
      </c>
    </row>
    <row r="8" spans="1:3" x14ac:dyDescent="0.2">
      <c r="A8" t="s">
        <v>169</v>
      </c>
      <c r="C8" s="36" t="s">
        <v>170</v>
      </c>
    </row>
    <row r="9" spans="1:3" x14ac:dyDescent="0.2">
      <c r="A9" t="s">
        <v>171</v>
      </c>
    </row>
    <row r="10" spans="1:3" x14ac:dyDescent="0.2">
      <c r="A10" t="s">
        <v>172</v>
      </c>
    </row>
    <row r="11" spans="1:3" x14ac:dyDescent="0.2">
      <c r="A11" t="s">
        <v>173</v>
      </c>
    </row>
    <row r="12" spans="1:3" x14ac:dyDescent="0.2">
      <c r="A12" t="s">
        <v>174</v>
      </c>
    </row>
    <row r="13" spans="1:3" x14ac:dyDescent="0.2">
      <c r="A13" t="s">
        <v>175</v>
      </c>
    </row>
    <row r="14" spans="1:3" x14ac:dyDescent="0.2">
      <c r="A14" t="s">
        <v>176</v>
      </c>
    </row>
    <row r="15" spans="1:3" x14ac:dyDescent="0.2">
      <c r="A15" t="s">
        <v>177</v>
      </c>
    </row>
    <row r="16" spans="1:3" x14ac:dyDescent="0.2">
      <c r="A16" t="s">
        <v>178</v>
      </c>
    </row>
    <row r="18" spans="1:1" x14ac:dyDescent="0.2">
      <c r="A18" t="s">
        <v>179</v>
      </c>
    </row>
    <row r="19" spans="1:1" x14ac:dyDescent="0.2">
      <c r="A19" t="s">
        <v>180</v>
      </c>
    </row>
    <row r="20" spans="1:1" x14ac:dyDescent="0.2">
      <c r="A20" t="s">
        <v>181</v>
      </c>
    </row>
    <row r="21" spans="1:1" x14ac:dyDescent="0.2">
      <c r="A21" t="s">
        <v>182</v>
      </c>
    </row>
    <row r="22" spans="1:1" x14ac:dyDescent="0.2">
      <c r="A22" t="s">
        <v>183</v>
      </c>
    </row>
    <row r="23" spans="1:1" x14ac:dyDescent="0.2">
      <c r="A23" s="36" t="s">
        <v>184</v>
      </c>
    </row>
    <row r="24" spans="1:1" x14ac:dyDescent="0.2">
      <c r="A24" s="36" t="s">
        <v>185</v>
      </c>
    </row>
    <row r="25" spans="1:1" x14ac:dyDescent="0.2">
      <c r="A25" s="36" t="s">
        <v>186</v>
      </c>
    </row>
    <row r="26" spans="1:1" x14ac:dyDescent="0.2">
      <c r="A26" s="36" t="s">
        <v>187</v>
      </c>
    </row>
    <row r="27" spans="1:1" x14ac:dyDescent="0.2">
      <c r="A27" s="36" t="s">
        <v>188</v>
      </c>
    </row>
    <row r="28" spans="1:1" x14ac:dyDescent="0.2">
      <c r="A28" s="36" t="s">
        <v>189</v>
      </c>
    </row>
    <row r="29" spans="1:1" x14ac:dyDescent="0.2">
      <c r="A29" s="36" t="s">
        <v>190</v>
      </c>
    </row>
    <row r="31" spans="1:1" x14ac:dyDescent="0.2">
      <c r="A31" t="s">
        <v>191</v>
      </c>
    </row>
    <row r="32" spans="1:1" x14ac:dyDescent="0.2">
      <c r="A32" t="s">
        <v>192</v>
      </c>
    </row>
    <row r="33" spans="1:1" x14ac:dyDescent="0.2">
      <c r="A33" t="s">
        <v>193</v>
      </c>
    </row>
    <row r="34" spans="1:1" x14ac:dyDescent="0.2">
      <c r="A34" t="s">
        <v>194</v>
      </c>
    </row>
    <row r="36" spans="1:1" x14ac:dyDescent="0.2">
      <c r="A36" t="s">
        <v>195</v>
      </c>
    </row>
    <row r="37" spans="1:1" x14ac:dyDescent="0.2">
      <c r="A37" t="s">
        <v>196</v>
      </c>
    </row>
    <row r="38" spans="1:1" x14ac:dyDescent="0.2">
      <c r="A38" t="s">
        <v>197</v>
      </c>
    </row>
    <row r="39" spans="1:1" x14ac:dyDescent="0.2">
      <c r="A39" t="s">
        <v>198</v>
      </c>
    </row>
    <row r="40" spans="1:1" x14ac:dyDescent="0.2">
      <c r="A40" t="s">
        <v>199</v>
      </c>
    </row>
    <row r="41" spans="1:1" x14ac:dyDescent="0.2">
      <c r="A41" t="s">
        <v>200</v>
      </c>
    </row>
    <row r="42" spans="1:1" x14ac:dyDescent="0.2">
      <c r="A42" t="s">
        <v>201</v>
      </c>
    </row>
    <row r="43" spans="1:1" x14ac:dyDescent="0.2">
      <c r="A43" t="s">
        <v>202</v>
      </c>
    </row>
    <row r="44" spans="1:1" x14ac:dyDescent="0.2">
      <c r="A44" t="s">
        <v>203</v>
      </c>
    </row>
    <row r="46" spans="1:1" x14ac:dyDescent="0.2">
      <c r="A46" t="s">
        <v>204</v>
      </c>
    </row>
    <row r="47" spans="1:1" x14ac:dyDescent="0.2">
      <c r="A47" t="s">
        <v>205</v>
      </c>
    </row>
    <row r="48" spans="1:1" x14ac:dyDescent="0.2">
      <c r="A48" t="s">
        <v>206</v>
      </c>
    </row>
    <row r="49" spans="1:1" x14ac:dyDescent="0.2">
      <c r="A49" t="s">
        <v>207</v>
      </c>
    </row>
    <row r="50" spans="1:1" x14ac:dyDescent="0.2">
      <c r="A50" t="s">
        <v>208</v>
      </c>
    </row>
    <row r="51" spans="1:1" x14ac:dyDescent="0.2">
      <c r="A51" t="s">
        <v>209</v>
      </c>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B2696-256F-495A-B24F-2C96FA281E3E}">
  <dimension ref="A1:B81"/>
  <sheetViews>
    <sheetView topLeftCell="A20" workbookViewId="0">
      <selection activeCell="C32" sqref="C32"/>
    </sheetView>
  </sheetViews>
  <sheetFormatPr defaultRowHeight="12.75" x14ac:dyDescent="0.2"/>
  <cols>
    <col min="1" max="1" width="40.140625" customWidth="1"/>
    <col min="2" max="2" width="54.42578125" customWidth="1"/>
  </cols>
  <sheetData>
    <row r="1" spans="1:2" x14ac:dyDescent="0.2">
      <c r="A1" s="21" t="s">
        <v>210</v>
      </c>
      <c r="B1" s="22" t="e">
        <f>#REF!</f>
        <v>#REF!</v>
      </c>
    </row>
    <row r="2" spans="1:2" x14ac:dyDescent="0.2">
      <c r="A2" s="21" t="s">
        <v>211</v>
      </c>
      <c r="B2" s="23" t="e">
        <f>#REF!</f>
        <v>#REF!</v>
      </c>
    </row>
    <row r="3" spans="1:2" x14ac:dyDescent="0.2">
      <c r="A3" s="21" t="s">
        <v>212</v>
      </c>
      <c r="B3" s="22" t="e">
        <f>#REF!</f>
        <v>#REF!</v>
      </c>
    </row>
    <row r="4" spans="1:2" x14ac:dyDescent="0.2">
      <c r="A4" s="21" t="s">
        <v>213</v>
      </c>
      <c r="B4" s="22" t="e">
        <f>#REF!</f>
        <v>#REF!</v>
      </c>
    </row>
    <row r="5" spans="1:2" x14ac:dyDescent="0.2">
      <c r="A5" s="21" t="s">
        <v>214</v>
      </c>
      <c r="B5" s="22" t="e">
        <f>#REF!</f>
        <v>#REF!</v>
      </c>
    </row>
    <row r="6" spans="1:2" x14ac:dyDescent="0.2">
      <c r="A6" s="21" t="s">
        <v>215</v>
      </c>
      <c r="B6" s="22" t="e">
        <f>#REF!</f>
        <v>#REF!</v>
      </c>
    </row>
    <row r="7" spans="1:2" x14ac:dyDescent="0.2">
      <c r="A7" s="21" t="s">
        <v>216</v>
      </c>
      <c r="B7" s="24" t="e">
        <f>#REF!</f>
        <v>#REF!</v>
      </c>
    </row>
    <row r="8" spans="1:2" x14ac:dyDescent="0.2">
      <c r="A8" s="25" t="s">
        <v>217</v>
      </c>
      <c r="B8" s="26" t="e">
        <f>#REF!</f>
        <v>#REF!</v>
      </c>
    </row>
    <row r="9" spans="1:2" x14ac:dyDescent="0.2">
      <c r="A9" s="25" t="s">
        <v>218</v>
      </c>
      <c r="B9" s="26" t="e">
        <f>#REF!</f>
        <v>#REF!</v>
      </c>
    </row>
    <row r="10" spans="1:2" x14ac:dyDescent="0.2">
      <c r="A10" s="25" t="s">
        <v>219</v>
      </c>
      <c r="B10" s="26" t="e">
        <f>#REF!</f>
        <v>#REF!</v>
      </c>
    </row>
    <row r="11" spans="1:2" x14ac:dyDescent="0.2">
      <c r="A11" s="25" t="s">
        <v>220</v>
      </c>
      <c r="B11" s="26" t="e">
        <f>#REF!</f>
        <v>#REF!</v>
      </c>
    </row>
    <row r="12" spans="1:2" x14ac:dyDescent="0.2">
      <c r="A12" s="25" t="s">
        <v>221</v>
      </c>
      <c r="B12" s="26" t="e">
        <f>#REF!</f>
        <v>#REF!</v>
      </c>
    </row>
    <row r="13" spans="1:2" x14ac:dyDescent="0.2">
      <c r="A13" s="25" t="s">
        <v>222</v>
      </c>
      <c r="B13" s="26" t="e">
        <f>#REF!</f>
        <v>#REF!</v>
      </c>
    </row>
    <row r="14" spans="1:2" x14ac:dyDescent="0.2">
      <c r="A14" s="25" t="s">
        <v>223</v>
      </c>
      <c r="B14" s="26" t="e">
        <f>#REF!</f>
        <v>#REF!</v>
      </c>
    </row>
    <row r="15" spans="1:2" x14ac:dyDescent="0.2">
      <c r="A15" s="25" t="s">
        <v>224</v>
      </c>
      <c r="B15" s="26" t="e">
        <f>#REF!</f>
        <v>#REF!</v>
      </c>
    </row>
    <row r="16" spans="1:2" x14ac:dyDescent="0.2">
      <c r="A16" s="25" t="s">
        <v>225</v>
      </c>
      <c r="B16" s="26" t="e">
        <f>#REF!</f>
        <v>#REF!</v>
      </c>
    </row>
    <row r="17" spans="1:2" x14ac:dyDescent="0.2">
      <c r="A17" s="25" t="s">
        <v>226</v>
      </c>
      <c r="B17" s="26" t="e">
        <f>#REF!</f>
        <v>#REF!</v>
      </c>
    </row>
    <row r="18" spans="1:2" x14ac:dyDescent="0.2">
      <c r="A18" s="25" t="s">
        <v>227</v>
      </c>
      <c r="B18" s="26" t="e">
        <f>#REF!</f>
        <v>#REF!</v>
      </c>
    </row>
    <row r="19" spans="1:2" x14ac:dyDescent="0.2">
      <c r="A19" s="25" t="s">
        <v>228</v>
      </c>
      <c r="B19" s="26" t="e">
        <f>#REF!</f>
        <v>#REF!</v>
      </c>
    </row>
    <row r="20" spans="1:2" x14ac:dyDescent="0.2">
      <c r="A20" s="25" t="s">
        <v>229</v>
      </c>
      <c r="B20" s="26" t="e">
        <f>#REF!</f>
        <v>#REF!</v>
      </c>
    </row>
    <row r="21" spans="1:2" x14ac:dyDescent="0.2">
      <c r="A21" s="25" t="s">
        <v>230</v>
      </c>
      <c r="B21" s="26" t="e">
        <f>#REF!</f>
        <v>#REF!</v>
      </c>
    </row>
    <row r="22" spans="1:2" x14ac:dyDescent="0.2">
      <c r="A22" s="25" t="s">
        <v>231</v>
      </c>
      <c r="B22" s="26" t="e">
        <f>#REF!</f>
        <v>#REF!</v>
      </c>
    </row>
    <row r="23" spans="1:2" x14ac:dyDescent="0.2">
      <c r="A23" s="25" t="s">
        <v>232</v>
      </c>
      <c r="B23" s="26" t="e">
        <f>#REF!</f>
        <v>#REF!</v>
      </c>
    </row>
    <row r="24" spans="1:2" x14ac:dyDescent="0.2">
      <c r="A24" s="25" t="s">
        <v>233</v>
      </c>
      <c r="B24" s="26" t="e">
        <f>#REF!</f>
        <v>#REF!</v>
      </c>
    </row>
    <row r="25" spans="1:2" x14ac:dyDescent="0.2">
      <c r="A25" s="27" t="s">
        <v>234</v>
      </c>
      <c r="B25" s="28" t="e">
        <f>#REF!</f>
        <v>#REF!</v>
      </c>
    </row>
    <row r="26" spans="1:2" x14ac:dyDescent="0.2">
      <c r="A26" s="27" t="s">
        <v>235</v>
      </c>
      <c r="B26" s="28" t="e">
        <f>#REF!</f>
        <v>#REF!</v>
      </c>
    </row>
    <row r="27" spans="1:2" x14ac:dyDescent="0.2">
      <c r="A27" s="27" t="s">
        <v>236</v>
      </c>
      <c r="B27" s="28" t="e">
        <f>#REF!</f>
        <v>#REF!</v>
      </c>
    </row>
    <row r="28" spans="1:2" hidden="1" x14ac:dyDescent="0.2">
      <c r="A28" s="27" t="s">
        <v>237</v>
      </c>
      <c r="B28" s="28" t="e">
        <f>#REF!</f>
        <v>#REF!</v>
      </c>
    </row>
    <row r="29" spans="1:2" ht="30" customHeight="1" x14ac:dyDescent="0.2">
      <c r="A29" s="29" t="s">
        <v>238</v>
      </c>
      <c r="B29" s="33" t="s">
        <v>239</v>
      </c>
    </row>
    <row r="30" spans="1:2" x14ac:dyDescent="0.2">
      <c r="A30" s="30" t="s">
        <v>240</v>
      </c>
      <c r="B30" s="31" t="e">
        <f>#REF!</f>
        <v>#REF!</v>
      </c>
    </row>
    <row r="31" spans="1:2" x14ac:dyDescent="0.2">
      <c r="A31" s="30" t="s">
        <v>241</v>
      </c>
      <c r="B31" s="32" t="e">
        <f>#REF!</f>
        <v>#REF!</v>
      </c>
    </row>
    <row r="32" spans="1:2" x14ac:dyDescent="0.2">
      <c r="A32" s="30" t="s">
        <v>242</v>
      </c>
      <c r="B32" s="31" t="e">
        <f>#REF!</f>
        <v>#REF!</v>
      </c>
    </row>
    <row r="33" spans="1:2" x14ac:dyDescent="0.2">
      <c r="A33" s="30" t="s">
        <v>243</v>
      </c>
      <c r="B33" s="32" t="e">
        <f>#REF!</f>
        <v>#REF!</v>
      </c>
    </row>
    <row r="34" spans="1:2" x14ac:dyDescent="0.2">
      <c r="A34" s="30" t="s">
        <v>244</v>
      </c>
      <c r="B34" s="31" t="e">
        <f>#REF!</f>
        <v>#REF!</v>
      </c>
    </row>
    <row r="35" spans="1:2" x14ac:dyDescent="0.2">
      <c r="A35" s="30" t="s">
        <v>245</v>
      </c>
      <c r="B35" s="32" t="e">
        <f>#REF!</f>
        <v>#REF!</v>
      </c>
    </row>
    <row r="36" spans="1:2" x14ac:dyDescent="0.2">
      <c r="A36" s="30" t="s">
        <v>246</v>
      </c>
      <c r="B36" s="31" t="e">
        <f>#REF!</f>
        <v>#REF!</v>
      </c>
    </row>
    <row r="37" spans="1:2" x14ac:dyDescent="0.2">
      <c r="A37" s="30" t="s">
        <v>247</v>
      </c>
      <c r="B37" s="32" t="e">
        <f>#REF!</f>
        <v>#REF!</v>
      </c>
    </row>
    <row r="38" spans="1:2" x14ac:dyDescent="0.2">
      <c r="A38" s="30" t="s">
        <v>248</v>
      </c>
      <c r="B38" s="31" t="e">
        <f>#REF!</f>
        <v>#REF!</v>
      </c>
    </row>
    <row r="39" spans="1:2" x14ac:dyDescent="0.2">
      <c r="A39" s="30" t="s">
        <v>249</v>
      </c>
      <c r="B39" s="32" t="e">
        <f>#REF!</f>
        <v>#REF!</v>
      </c>
    </row>
    <row r="40" spans="1:2" x14ac:dyDescent="0.2">
      <c r="A40" s="30" t="s">
        <v>250</v>
      </c>
      <c r="B40" s="31" t="e">
        <f>#REF!</f>
        <v>#REF!</v>
      </c>
    </row>
    <row r="41" spans="1:2" x14ac:dyDescent="0.2">
      <c r="A41" s="30" t="s">
        <v>251</v>
      </c>
      <c r="B41" s="32" t="e">
        <f>#REF!</f>
        <v>#REF!</v>
      </c>
    </row>
    <row r="42" spans="1:2" x14ac:dyDescent="0.2">
      <c r="A42" s="30" t="s">
        <v>252</v>
      </c>
      <c r="B42" s="31" t="e">
        <f>#REF!</f>
        <v>#REF!</v>
      </c>
    </row>
    <row r="43" spans="1:2" x14ac:dyDescent="0.2">
      <c r="A43" s="30" t="s">
        <v>253</v>
      </c>
      <c r="B43" s="32" t="e">
        <f>#REF!</f>
        <v>#REF!</v>
      </c>
    </row>
    <row r="44" spans="1:2" x14ac:dyDescent="0.2">
      <c r="A44" s="34" t="s">
        <v>254</v>
      </c>
      <c r="B44" s="35" t="e">
        <f>#REF!</f>
        <v>#REF!</v>
      </c>
    </row>
    <row r="45" spans="1:2" x14ac:dyDescent="0.2">
      <c r="A45" s="34" t="s">
        <v>255</v>
      </c>
      <c r="B45" s="35" t="e">
        <f>#REF!</f>
        <v>#REF!</v>
      </c>
    </row>
    <row r="46" spans="1:2" x14ac:dyDescent="0.2">
      <c r="A46" s="34" t="s">
        <v>256</v>
      </c>
      <c r="B46" s="35" t="e">
        <f>#REF!</f>
        <v>#REF!</v>
      </c>
    </row>
    <row r="47" spans="1:2" x14ac:dyDescent="0.2">
      <c r="A47" s="34" t="s">
        <v>257</v>
      </c>
      <c r="B47" s="35" t="e">
        <f>#REF!</f>
        <v>#REF!</v>
      </c>
    </row>
    <row r="48" spans="1:2" x14ac:dyDescent="0.2">
      <c r="A48" s="34" t="s">
        <v>258</v>
      </c>
      <c r="B48" s="35" t="e">
        <f>#REF!</f>
        <v>#REF!</v>
      </c>
    </row>
    <row r="49" spans="1:2" x14ac:dyDescent="0.2">
      <c r="A49" s="34" t="s">
        <v>259</v>
      </c>
      <c r="B49" s="35" t="e">
        <f>#REF!</f>
        <v>#REF!</v>
      </c>
    </row>
    <row r="50" spans="1:2" x14ac:dyDescent="0.2">
      <c r="A50" s="34" t="s">
        <v>260</v>
      </c>
      <c r="B50" s="35" t="e">
        <f>#REF!</f>
        <v>#REF!</v>
      </c>
    </row>
    <row r="51" spans="1:2" x14ac:dyDescent="0.2">
      <c r="A51" s="34" t="s">
        <v>261</v>
      </c>
      <c r="B51" s="35" t="e">
        <f>#REF!</f>
        <v>#REF!</v>
      </c>
    </row>
    <row r="52" spans="1:2" x14ac:dyDescent="0.2">
      <c r="A52" s="34" t="s">
        <v>262</v>
      </c>
      <c r="B52" s="35" t="e">
        <f>#REF!</f>
        <v>#REF!</v>
      </c>
    </row>
    <row r="53" spans="1:2" x14ac:dyDescent="0.2">
      <c r="A53" s="34" t="s">
        <v>263</v>
      </c>
      <c r="B53" s="35" t="e">
        <f>#REF!</f>
        <v>#REF!</v>
      </c>
    </row>
    <row r="54" spans="1:2" x14ac:dyDescent="0.2">
      <c r="A54" s="34" t="s">
        <v>264</v>
      </c>
      <c r="B54" s="35" t="e">
        <f>#REF!</f>
        <v>#REF!</v>
      </c>
    </row>
    <row r="55" spans="1:2" x14ac:dyDescent="0.2">
      <c r="A55" s="34" t="s">
        <v>265</v>
      </c>
      <c r="B55" s="35" t="e">
        <f>#REF!</f>
        <v>#REF!</v>
      </c>
    </row>
    <row r="56" spans="1:2" x14ac:dyDescent="0.2">
      <c r="A56" s="34" t="s">
        <v>266</v>
      </c>
      <c r="B56" s="35" t="e">
        <f>#REF!</f>
        <v>#REF!</v>
      </c>
    </row>
    <row r="57" spans="1:2" x14ac:dyDescent="0.2">
      <c r="A57" s="34" t="s">
        <v>267</v>
      </c>
      <c r="B57" s="35" t="e">
        <f>#REF!</f>
        <v>#REF!</v>
      </c>
    </row>
    <row r="58" spans="1:2" x14ac:dyDescent="0.2">
      <c r="A58" s="34" t="s">
        <v>268</v>
      </c>
      <c r="B58" s="35" t="e">
        <f>#REF!</f>
        <v>#REF!</v>
      </c>
    </row>
    <row r="59" spans="1:2" x14ac:dyDescent="0.2">
      <c r="A59" s="34" t="s">
        <v>269</v>
      </c>
      <c r="B59" s="35" t="e">
        <f>#REF!</f>
        <v>#REF!</v>
      </c>
    </row>
    <row r="60" spans="1:2" x14ac:dyDescent="0.2">
      <c r="A60" s="34" t="s">
        <v>270</v>
      </c>
      <c r="B60" s="35" t="e">
        <f>#REF!</f>
        <v>#REF!</v>
      </c>
    </row>
    <row r="61" spans="1:2" x14ac:dyDescent="0.2">
      <c r="A61" s="34" t="s">
        <v>271</v>
      </c>
      <c r="B61" s="35" t="e">
        <f>#REF!</f>
        <v>#REF!</v>
      </c>
    </row>
    <row r="62" spans="1:2" x14ac:dyDescent="0.2">
      <c r="A62" s="34" t="s">
        <v>272</v>
      </c>
      <c r="B62" s="35" t="e">
        <f>#REF!</f>
        <v>#REF!</v>
      </c>
    </row>
    <row r="63" spans="1:2" x14ac:dyDescent="0.2">
      <c r="A63" s="34" t="s">
        <v>273</v>
      </c>
      <c r="B63" s="35" t="e">
        <f>#REF!</f>
        <v>#REF!</v>
      </c>
    </row>
    <row r="64" spans="1:2" x14ac:dyDescent="0.2">
      <c r="A64" s="34" t="s">
        <v>274</v>
      </c>
      <c r="B64" s="35" t="e">
        <f>#REF!</f>
        <v>#REF!</v>
      </c>
    </row>
    <row r="65" spans="1:2" x14ac:dyDescent="0.2">
      <c r="A65" s="34" t="s">
        <v>275</v>
      </c>
      <c r="B65" s="35" t="e">
        <f>#REF!</f>
        <v>#REF!</v>
      </c>
    </row>
    <row r="66" spans="1:2" x14ac:dyDescent="0.2">
      <c r="A66" s="34" t="s">
        <v>276</v>
      </c>
      <c r="B66" s="35" t="e">
        <f>#REF!</f>
        <v>#REF!</v>
      </c>
    </row>
    <row r="67" spans="1:2" x14ac:dyDescent="0.2">
      <c r="A67" s="34" t="s">
        <v>277</v>
      </c>
      <c r="B67" s="35" t="e">
        <f>#REF!</f>
        <v>#REF!</v>
      </c>
    </row>
    <row r="68" spans="1:2" x14ac:dyDescent="0.2">
      <c r="A68" s="34" t="s">
        <v>278</v>
      </c>
      <c r="B68" s="35" t="e">
        <f>#REF!</f>
        <v>#REF!</v>
      </c>
    </row>
    <row r="69" spans="1:2" x14ac:dyDescent="0.2">
      <c r="A69" s="34" t="s">
        <v>279</v>
      </c>
      <c r="B69" s="35" t="e">
        <f>#REF!</f>
        <v>#REF!</v>
      </c>
    </row>
    <row r="70" spans="1:2" x14ac:dyDescent="0.2">
      <c r="A70" s="34" t="s">
        <v>280</v>
      </c>
      <c r="B70" s="35" t="e">
        <f>#REF!</f>
        <v>#REF!</v>
      </c>
    </row>
    <row r="71" spans="1:2" x14ac:dyDescent="0.2">
      <c r="A71" s="34" t="s">
        <v>281</v>
      </c>
      <c r="B71" s="35" t="e">
        <f>#REF!</f>
        <v>#REF!</v>
      </c>
    </row>
    <row r="72" spans="1:2" x14ac:dyDescent="0.2">
      <c r="A72" s="34" t="s">
        <v>282</v>
      </c>
      <c r="B72" s="35" t="e">
        <f>#REF!</f>
        <v>#REF!</v>
      </c>
    </row>
    <row r="73" spans="1:2" x14ac:dyDescent="0.2">
      <c r="A73" s="34" t="s">
        <v>283</v>
      </c>
      <c r="B73" s="35" t="e">
        <f>#REF!</f>
        <v>#REF!</v>
      </c>
    </row>
    <row r="74" spans="1:2" x14ac:dyDescent="0.2">
      <c r="A74" s="21" t="s">
        <v>284</v>
      </c>
      <c r="B74" s="22" t="e">
        <f>#REF!</f>
        <v>#REF!</v>
      </c>
    </row>
    <row r="75" spans="1:2" x14ac:dyDescent="0.2">
      <c r="A75" s="21" t="s">
        <v>285</v>
      </c>
      <c r="B75" s="22" t="e">
        <f>#REF!</f>
        <v>#REF!</v>
      </c>
    </row>
    <row r="76" spans="1:2" x14ac:dyDescent="0.2">
      <c r="A76" s="34" t="s">
        <v>286</v>
      </c>
      <c r="B76" s="35" t="e">
        <f>#REF!</f>
        <v>#REF!</v>
      </c>
    </row>
    <row r="77" spans="1:2" x14ac:dyDescent="0.2">
      <c r="A77" s="34" t="s">
        <v>287</v>
      </c>
      <c r="B77" s="35" t="e">
        <f>#REF!</f>
        <v>#REF!</v>
      </c>
    </row>
    <row r="78" spans="1:2" x14ac:dyDescent="0.2">
      <c r="A78" s="34" t="s">
        <v>288</v>
      </c>
      <c r="B78" s="35" t="e">
        <f>#REF!</f>
        <v>#REF!</v>
      </c>
    </row>
    <row r="79" spans="1:2" x14ac:dyDescent="0.2">
      <c r="A79" s="34" t="s">
        <v>289</v>
      </c>
      <c r="B79" s="35" t="e">
        <f>#REF!</f>
        <v>#REF!</v>
      </c>
    </row>
    <row r="80" spans="1:2" x14ac:dyDescent="0.2">
      <c r="A80" s="34" t="s">
        <v>290</v>
      </c>
      <c r="B80" s="35" t="e">
        <f>#REF!</f>
        <v>#REF!</v>
      </c>
    </row>
    <row r="81" spans="1:2" x14ac:dyDescent="0.2">
      <c r="A81" s="34" t="s">
        <v>291</v>
      </c>
      <c r="B81" s="35" t="e">
        <f>#REF!</f>
        <v>#REF!</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851C-B7E6-4041-8955-B8AF2AF4690F}">
  <dimension ref="A1:A41"/>
  <sheetViews>
    <sheetView workbookViewId="0">
      <selection activeCell="C17" sqref="C17"/>
    </sheetView>
  </sheetViews>
  <sheetFormatPr defaultRowHeight="12.75" x14ac:dyDescent="0.2"/>
  <cols>
    <col min="1" max="1" width="89.42578125" customWidth="1"/>
  </cols>
  <sheetData>
    <row r="1" spans="1:1" x14ac:dyDescent="0.2">
      <c r="A1" t="s">
        <v>24</v>
      </c>
    </row>
    <row r="2" spans="1:1" x14ac:dyDescent="0.2">
      <c r="A2" t="s">
        <v>292</v>
      </c>
    </row>
    <row r="3" spans="1:1" x14ac:dyDescent="0.2">
      <c r="A3" s="37" t="s">
        <v>293</v>
      </c>
    </row>
    <row r="4" spans="1:1" x14ac:dyDescent="0.2">
      <c r="A4" t="s">
        <v>294</v>
      </c>
    </row>
    <row r="5" spans="1:1" x14ac:dyDescent="0.2">
      <c r="A5" s="37" t="s">
        <v>295</v>
      </c>
    </row>
    <row r="6" spans="1:1" x14ac:dyDescent="0.2">
      <c r="A6" t="s">
        <v>296</v>
      </c>
    </row>
    <row r="7" spans="1:1" x14ac:dyDescent="0.2">
      <c r="A7" s="37" t="s">
        <v>297</v>
      </c>
    </row>
    <row r="8" spans="1:1" x14ac:dyDescent="0.2">
      <c r="A8" t="s">
        <v>298</v>
      </c>
    </row>
    <row r="9" spans="1:1" x14ac:dyDescent="0.2">
      <c r="A9" s="37" t="s">
        <v>299</v>
      </c>
    </row>
    <row r="11" spans="1:1" x14ac:dyDescent="0.2">
      <c r="A11" s="37" t="s">
        <v>300</v>
      </c>
    </row>
    <row r="12" spans="1:1" x14ac:dyDescent="0.2">
      <c r="A12" t="s">
        <v>301</v>
      </c>
    </row>
    <row r="13" spans="1:1" x14ac:dyDescent="0.2">
      <c r="A13" s="37" t="s">
        <v>302</v>
      </c>
    </row>
    <row r="14" spans="1:1" x14ac:dyDescent="0.2">
      <c r="A14" t="s">
        <v>303</v>
      </c>
    </row>
    <row r="15" spans="1:1" x14ac:dyDescent="0.2">
      <c r="A15" s="37" t="s">
        <v>304</v>
      </c>
    </row>
    <row r="16" spans="1:1" x14ac:dyDescent="0.2">
      <c r="A16" t="s">
        <v>305</v>
      </c>
    </row>
    <row r="17" spans="1:1" x14ac:dyDescent="0.2">
      <c r="A17" s="37" t="s">
        <v>306</v>
      </c>
    </row>
    <row r="18" spans="1:1" x14ac:dyDescent="0.2">
      <c r="A18" t="s">
        <v>307</v>
      </c>
    </row>
    <row r="19" spans="1:1" x14ac:dyDescent="0.2">
      <c r="A19" s="37" t="s">
        <v>308</v>
      </c>
    </row>
    <row r="20" spans="1:1" x14ac:dyDescent="0.2">
      <c r="A20" t="s">
        <v>309</v>
      </c>
    </row>
    <row r="21" spans="1:1" x14ac:dyDescent="0.2">
      <c r="A21" s="37" t="s">
        <v>310</v>
      </c>
    </row>
    <row r="22" spans="1:1" x14ac:dyDescent="0.2">
      <c r="A22" t="s">
        <v>311</v>
      </c>
    </row>
    <row r="23" spans="1:1" x14ac:dyDescent="0.2">
      <c r="A23" s="37" t="s">
        <v>312</v>
      </c>
    </row>
    <row r="24" spans="1:1" x14ac:dyDescent="0.2">
      <c r="A24" t="s">
        <v>313</v>
      </c>
    </row>
    <row r="25" spans="1:1" x14ac:dyDescent="0.2">
      <c r="A25" s="37" t="s">
        <v>314</v>
      </c>
    </row>
    <row r="26" spans="1:1" x14ac:dyDescent="0.2">
      <c r="A26" t="s">
        <v>315</v>
      </c>
    </row>
    <row r="27" spans="1:1" x14ac:dyDescent="0.2">
      <c r="A27" s="37" t="s">
        <v>316</v>
      </c>
    </row>
    <row r="28" spans="1:1" x14ac:dyDescent="0.2">
      <c r="A28" t="s">
        <v>317</v>
      </c>
    </row>
    <row r="29" spans="1:1" x14ac:dyDescent="0.2">
      <c r="A29" s="37" t="s">
        <v>318</v>
      </c>
    </row>
    <row r="31" spans="1:1" x14ac:dyDescent="0.2">
      <c r="A31" s="37" t="s">
        <v>319</v>
      </c>
    </row>
    <row r="32" spans="1:1" x14ac:dyDescent="0.2">
      <c r="A32" t="s">
        <v>320</v>
      </c>
    </row>
    <row r="33" spans="1:1" x14ac:dyDescent="0.2">
      <c r="A33" s="37" t="s">
        <v>321</v>
      </c>
    </row>
    <row r="35" spans="1:1" x14ac:dyDescent="0.2">
      <c r="A35" s="37" t="s">
        <v>322</v>
      </c>
    </row>
    <row r="36" spans="1:1" x14ac:dyDescent="0.2">
      <c r="A36" t="s">
        <v>323</v>
      </c>
    </row>
    <row r="37" spans="1:1" x14ac:dyDescent="0.2">
      <c r="A37" s="37" t="s">
        <v>324</v>
      </c>
    </row>
    <row r="38" spans="1:1" x14ac:dyDescent="0.2">
      <c r="A38" t="s">
        <v>325</v>
      </c>
    </row>
    <row r="39" spans="1:1" x14ac:dyDescent="0.2">
      <c r="A39" s="37" t="s">
        <v>326</v>
      </c>
    </row>
    <row r="40" spans="1:1" x14ac:dyDescent="0.2">
      <c r="A40" t="s">
        <v>327</v>
      </c>
    </row>
    <row r="41" spans="1:1" x14ac:dyDescent="0.2">
      <c r="A41" s="37" t="s">
        <v>328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0C835469B4C6FE49AC56E2E652BF1038" ma:contentTypeVersion="6" ma:contentTypeDescription="Create a new document." ma:contentTypeScope="" ma:versionID="99de5e8710f800b4d4b7777a4f2d69a2">
  <xsd:schema xmlns:xsd="http://www.w3.org/2001/XMLSchema" xmlns:xs="http://www.w3.org/2001/XMLSchema" xmlns:p="http://schemas.microsoft.com/office/2006/metadata/properties" xmlns:ns2="4cae46c3-96c1-441d-be56-fffa1ed00dee" xmlns:ns3="303f35b9-d853-49a8-ae99-82ad2ed7ec73" targetNamespace="http://schemas.microsoft.com/office/2006/metadata/properties" ma:root="true" ma:fieldsID="928588a6c87647babec161a40c23a041" ns2:_="" ns3:_="">
    <xsd:import namespace="4cae46c3-96c1-441d-be56-fffa1ed00dee"/>
    <xsd:import namespace="303f35b9-d853-49a8-ae99-82ad2ed7ec7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ae46c3-96c1-441d-be56-fffa1ed00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3f35b9-d853-49a8-ae99-82ad2ed7ec7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A5A537-76D3-44EB-AA98-28FFFF323C54}">
  <ds:schemaRefs>
    <ds:schemaRef ds:uri="http://schemas.microsoft.com/DataMashup"/>
  </ds:schemaRefs>
</ds:datastoreItem>
</file>

<file path=customXml/itemProps2.xml><?xml version="1.0" encoding="utf-8"?>
<ds:datastoreItem xmlns:ds="http://schemas.openxmlformats.org/officeDocument/2006/customXml" ds:itemID="{4D01C95B-3E30-4A23-9BA7-FDD47DECBFF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CD25682-ED6A-4107-938A-399DF2FFBB0C}">
  <ds:schemaRefs>
    <ds:schemaRef ds:uri="http://schemas.microsoft.com/sharepoint/v3/contenttype/forms"/>
  </ds:schemaRefs>
</ds:datastoreItem>
</file>

<file path=customXml/itemProps4.xml><?xml version="1.0" encoding="utf-8"?>
<ds:datastoreItem xmlns:ds="http://schemas.openxmlformats.org/officeDocument/2006/customXml" ds:itemID="{F946A5D3-498F-419A-82E4-DBDBEAFBFE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ae46c3-96c1-441d-be56-fffa1ed00dee"/>
    <ds:schemaRef ds:uri="303f35b9-d853-49a8-ae99-82ad2ed7ec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Comment-Response Log</vt:lpstr>
      <vt:lpstr>Responsibility Matrix</vt:lpstr>
      <vt:lpstr>Software Dropdown</vt:lpstr>
      <vt:lpstr>DynamoInfo</vt:lpstr>
      <vt:lpstr>Building Codes List</vt:lpstr>
      <vt:lpstr>'Comment-Response Log'!Print_Area</vt:lpstr>
      <vt:lpstr>'Comment-Response Log'!Print_Titles</vt:lpstr>
    </vt:vector>
  </TitlesOfParts>
  <Manager/>
  <Company>Nortel Networks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Genther</dc:creator>
  <cp:keywords/>
  <dc:description/>
  <cp:lastModifiedBy>Moffitt, Pamela R.</cp:lastModifiedBy>
  <cp:revision/>
  <dcterms:created xsi:type="dcterms:W3CDTF">2003-01-14T16:10:36Z</dcterms:created>
  <dcterms:modified xsi:type="dcterms:W3CDTF">2026-05-08T18:49:31Z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0x0101000C835469B4C6FE49AC56E2E652BF1038</vt:lpwstr>
  </property>
</Properties>
</file>