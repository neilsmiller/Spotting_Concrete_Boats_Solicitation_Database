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kelly_mann_va_gov/Documents/CONTRACTING - FROM U DRIVE/@@@ FY26/763 - LANCASTER/Q0131 - AUTOBAG 2.5 X 10 X 15  - 0423  OM  NEED 06-15-26/SOLICITATION/"/>
    </mc:Choice>
  </mc:AlternateContent>
  <xr:revisionPtr revIDLastSave="75" documentId="8_{D6445569-6558-468E-903E-5EE6CB39C2A4}" xr6:coauthVersionLast="47" xr6:coauthVersionMax="47" xr10:uidLastSave="{AEB8C0B5-708E-4CB3-A011-0B1AAA618320}"/>
  <bookViews>
    <workbookView xWindow="-120" yWindow="-120" windowWidth="29040" windowHeight="15720" xr2:uid="{00000000-000D-0000-FFFF-FFFF00000000}"/>
  </bookViews>
  <sheets>
    <sheet name="Pharmacy List" sheetId="1" r:id="rId1"/>
    <sheet name="Abstract of Offerors" sheetId="2" r:id="rId2"/>
    <sheet name="Awa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0" i="1" l="1"/>
  <c r="L26" i="1"/>
  <c r="L27" i="1" s="1"/>
  <c r="L19" i="1" l="1"/>
  <c r="L20" i="1" s="1"/>
  <c r="L13" i="1"/>
  <c r="L14" i="1" s="1"/>
  <c r="N30" i="3"/>
  <c r="N29" i="3"/>
  <c r="N28" i="3" s="1"/>
  <c r="N26" i="3"/>
  <c r="N25" i="3"/>
  <c r="N24" i="3"/>
  <c r="N21" i="3"/>
  <c r="N20" i="3"/>
  <c r="N17" i="3"/>
  <c r="N16" i="3" s="1"/>
  <c r="N14" i="3"/>
  <c r="N13" i="3" s="1"/>
  <c r="N23" i="3" l="1"/>
  <c r="N19" i="3"/>
</calcChain>
</file>

<file path=xl/sharedStrings.xml><?xml version="1.0" encoding="utf-8"?>
<sst xmlns="http://schemas.openxmlformats.org/spreadsheetml/2006/main" count="165" uniqueCount="62">
  <si>
    <t xml:space="preserve">Pharmaceuticals </t>
  </si>
  <si>
    <t>Posted</t>
  </si>
  <si>
    <t xml:space="preserve">VA CMOP - </t>
  </si>
  <si>
    <t>Due Date</t>
  </si>
  <si>
    <t>1) Full Delivery required within 10 days ARO, no partials accepted without prior approval</t>
  </si>
  <si>
    <t>2) All NDCs submitted for bid will need to pass RPH evaluation and approval</t>
  </si>
  <si>
    <t>Vendor Name:</t>
  </si>
  <si>
    <t>Vendor Point of Contact:</t>
  </si>
  <si>
    <t>Point of Contact Email:</t>
  </si>
  <si>
    <t>LINE ITEM</t>
  </si>
  <si>
    <t>NDC #/UPC</t>
  </si>
  <si>
    <t>CMOP
Item #</t>
  </si>
  <si>
    <t>DESCRIPTION</t>
  </si>
  <si>
    <t>ACCEPTABLE ALT NDC'S</t>
  </si>
  <si>
    <t>MFR.</t>
  </si>
  <si>
    <t>COUNTRY OF 
ORIGIN</t>
  </si>
  <si>
    <t>PKG</t>
  </si>
  <si>
    <t>QTY</t>
  </si>
  <si>
    <t>UNIT OF 
MEASURE</t>
  </si>
  <si>
    <t>UNIT PRICE</t>
  </si>
  <si>
    <t>TOTAL PRICE</t>
  </si>
  <si>
    <t>1</t>
  </si>
  <si>
    <t>2</t>
  </si>
  <si>
    <t>3</t>
  </si>
  <si>
    <t>4</t>
  </si>
  <si>
    <t>5</t>
  </si>
  <si>
    <t>NDC Proposed</t>
  </si>
  <si>
    <t>ORIGIN COUNTRY</t>
  </si>
  <si>
    <t xml:space="preserve">Solicitation # </t>
  </si>
  <si>
    <t>IMF#</t>
  </si>
  <si>
    <t>BT SZ</t>
  </si>
  <si>
    <t>UNIT</t>
  </si>
  <si>
    <t>IGCE</t>
  </si>
  <si>
    <t>Vendor Alt NDC</t>
  </si>
  <si>
    <t>Delivery to be 10 Days ARO</t>
  </si>
  <si>
    <t>eCMS PO #</t>
  </si>
  <si>
    <t>Socio-economic Size</t>
  </si>
  <si>
    <t xml:space="preserve"> Awd  PO #                                               Awd 2237</t>
  </si>
  <si>
    <t>eCMS PO#</t>
  </si>
  <si>
    <t xml:space="preserve"> -- DUNS </t>
  </si>
  <si>
    <t xml:space="preserve">  -- DUNS </t>
  </si>
  <si>
    <t>ISSUED</t>
  </si>
  <si>
    <t>DUE DATE</t>
  </si>
  <si>
    <r>
      <t xml:space="preserve">VENDOR COMMENTS </t>
    </r>
    <r>
      <rPr>
        <b/>
        <sz val="12"/>
        <color rgb="FFFF0000"/>
        <rFont val="Times New Roman"/>
        <family val="1"/>
      </rPr>
      <t>DELIVERY SCHEDULE (REQUIRED)</t>
    </r>
  </si>
  <si>
    <t>SAM UEI#:</t>
  </si>
  <si>
    <t>COUNTRY OF ORIGIN</t>
  </si>
  <si>
    <t>Phone Number:</t>
  </si>
  <si>
    <t>*** REQUIRED INFORMATION ***</t>
  </si>
  <si>
    <t>CURRENT STOCK #</t>
  </si>
  <si>
    <t>LANCASTER</t>
  </si>
  <si>
    <t>SOLICITATION: 36C77026Q0131</t>
  </si>
  <si>
    <t>2237: 763-26-3-228-0423</t>
  </si>
  <si>
    <t>AUTOBAG, OEM 2.5ML 10IN WIDE X 15IN LONG 0.25" SKIRT 2 PERFED 0.25IN AIR HOLES,HIGH INTEGRITY SIDE-SEAL-3/16IN CORRUGATED SIDEPLATE.</t>
  </si>
  <si>
    <t>700/RO</t>
  </si>
  <si>
    <t>RO</t>
  </si>
  <si>
    <t>BASE PERIOD: 06/15/26 - 12/15/26</t>
  </si>
  <si>
    <t>OPTION PERIOD 1: 12/16/26 - 06/16/27</t>
  </si>
  <si>
    <t>OPTION PERIOD 2: 06/17/27 - 12/17/27</t>
  </si>
  <si>
    <t>TOTAL COST FOR BASE + TWO OPTION PERIODS:</t>
  </si>
  <si>
    <t>VENDOR PRODUCT ID</t>
  </si>
  <si>
    <t>05/05/2026</t>
  </si>
  <si>
    <t>05/12/26 @ 5PM CDT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</si>
</sst>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0"/>
    <numFmt numFmtId="165" formatCode="&quot;$&quot;#,##0.0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rgb="FFFF0000"/>
      <name val="Arial"/>
      <family val="2"/>
    </font>
    <font>
      <b/>
      <sz val="9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0"/>
      <color rgb="FF222222"/>
      <name val="Arial"/>
      <family val="2"/>
    </font>
    <font>
      <b/>
      <sz val="12"/>
      <name val="Times New Roman"/>
      <family val="1"/>
    </font>
    <font>
      <b/>
      <sz val="12"/>
      <color theme="0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55">
    <xf numFmtId="0" fontId="0" fillId="0" borderId="0" xfId="0"/>
    <xf numFmtId="14" fontId="21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49" fontId="21" fillId="0" borderId="0" xfId="0" applyNumberFormat="1" applyFont="1" applyAlignment="1" applyProtection="1">
      <alignment horizontal="center"/>
      <protection locked="0"/>
    </xf>
    <xf numFmtId="49" fontId="24" fillId="0" borderId="0" xfId="0" applyNumberFormat="1" applyFont="1" applyAlignment="1">
      <alignment horizontal="left"/>
    </xf>
    <xf numFmtId="49" fontId="18" fillId="0" borderId="10" xfId="0" applyNumberFormat="1" applyFont="1" applyBorder="1" applyAlignment="1" applyProtection="1">
      <alignment horizontal="center" wrapText="1"/>
      <protection locked="0"/>
    </xf>
    <xf numFmtId="49" fontId="18" fillId="0" borderId="10" xfId="0" applyNumberFormat="1" applyFont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6" fillId="0" borderId="10" xfId="0" applyFont="1" applyBorder="1" applyAlignment="1" applyProtection="1">
      <alignment horizontal="center" wrapText="1"/>
      <protection locked="0"/>
    </xf>
    <xf numFmtId="0" fontId="19" fillId="0" borderId="10" xfId="42" applyBorder="1" applyAlignment="1">
      <alignment horizontal="center"/>
    </xf>
    <xf numFmtId="0" fontId="19" fillId="0" borderId="10" xfId="42" applyBorder="1"/>
    <xf numFmtId="0" fontId="25" fillId="0" borderId="10" xfId="0" applyFont="1" applyBorder="1" applyAlignment="1" applyProtection="1">
      <alignment horizontal="center"/>
      <protection locked="0"/>
    </xf>
    <xf numFmtId="0" fontId="19" fillId="0" borderId="10" xfId="42" applyBorder="1" applyAlignment="1">
      <alignment horizontal="center" wrapText="1"/>
    </xf>
    <xf numFmtId="49" fontId="19" fillId="0" borderId="10" xfId="42" applyNumberFormat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0" fillId="0" borderId="10" xfId="42" applyFont="1" applyBorder="1" applyAlignment="1">
      <alignment horizontal="center"/>
    </xf>
    <xf numFmtId="14" fontId="1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16" fillId="0" borderId="0" xfId="0" applyNumberFormat="1" applyFont="1" applyAlignment="1" applyProtection="1">
      <alignment horizontal="left"/>
      <protection locked="0"/>
    </xf>
    <xf numFmtId="49" fontId="18" fillId="0" borderId="11" xfId="0" applyNumberFormat="1" applyFont="1" applyBorder="1" applyAlignment="1" applyProtection="1">
      <alignment horizontal="center" wrapText="1"/>
      <protection locked="0"/>
    </xf>
    <xf numFmtId="49" fontId="18" fillId="0" borderId="11" xfId="0" applyNumberFormat="1" applyFont="1" applyBorder="1" applyAlignment="1" applyProtection="1">
      <alignment horizontal="center"/>
      <protection locked="0"/>
    </xf>
    <xf numFmtId="49" fontId="16" fillId="0" borderId="14" xfId="0" applyNumberFormat="1" applyFont="1" applyBorder="1" applyAlignment="1" applyProtection="1">
      <alignment horizontal="left"/>
      <protection locked="0"/>
    </xf>
    <xf numFmtId="0" fontId="0" fillId="0" borderId="14" xfId="0" applyBorder="1"/>
    <xf numFmtId="0" fontId="0" fillId="33" borderId="16" xfId="0" applyFill="1" applyBorder="1"/>
    <xf numFmtId="0" fontId="0" fillId="33" borderId="0" xfId="0" applyFill="1"/>
    <xf numFmtId="14" fontId="0" fillId="33" borderId="0" xfId="0" applyNumberFormat="1" applyFill="1"/>
    <xf numFmtId="0" fontId="27" fillId="33" borderId="13" xfId="46" applyFill="1" applyBorder="1"/>
    <xf numFmtId="49" fontId="18" fillId="33" borderId="15" xfId="0" applyNumberFormat="1" applyFont="1" applyFill="1" applyBorder="1" applyAlignment="1" applyProtection="1">
      <alignment horizontal="center" wrapText="1"/>
      <protection locked="0"/>
    </xf>
    <xf numFmtId="49" fontId="18" fillId="33" borderId="10" xfId="0" applyNumberFormat="1" applyFont="1" applyFill="1" applyBorder="1" applyAlignment="1" applyProtection="1">
      <alignment horizontal="center"/>
      <protection locked="0"/>
    </xf>
    <xf numFmtId="49" fontId="18" fillId="33" borderId="10" xfId="0" applyNumberFormat="1" applyFont="1" applyFill="1" applyBorder="1" applyAlignment="1" applyProtection="1">
      <alignment horizontal="center" wrapText="1"/>
      <protection locked="0"/>
    </xf>
    <xf numFmtId="164" fontId="18" fillId="33" borderId="10" xfId="0" applyNumberFormat="1" applyFont="1" applyFill="1" applyBorder="1" applyAlignment="1" applyProtection="1">
      <alignment horizontal="center" wrapText="1"/>
      <protection locked="0"/>
    </xf>
    <xf numFmtId="165" fontId="18" fillId="33" borderId="10" xfId="0" applyNumberFormat="1" applyFont="1" applyFill="1" applyBorder="1" applyAlignment="1" applyProtection="1">
      <alignment horizontal="center" wrapText="1"/>
      <protection locked="0"/>
    </xf>
    <xf numFmtId="0" fontId="0" fillId="33" borderId="10" xfId="0" applyFill="1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34" borderId="16" xfId="0" applyFill="1" applyBorder="1"/>
    <xf numFmtId="0" fontId="0" fillId="34" borderId="0" xfId="0" applyFill="1"/>
    <xf numFmtId="14" fontId="0" fillId="34" borderId="0" xfId="0" applyNumberFormat="1" applyFill="1"/>
    <xf numFmtId="0" fontId="27" fillId="34" borderId="13" xfId="46" applyFill="1" applyBorder="1"/>
    <xf numFmtId="49" fontId="18" fillId="34" borderId="15" xfId="0" applyNumberFormat="1" applyFont="1" applyFill="1" applyBorder="1" applyAlignment="1" applyProtection="1">
      <alignment horizontal="center" wrapText="1"/>
      <protection locked="0"/>
    </xf>
    <xf numFmtId="49" fontId="18" fillId="34" borderId="10" xfId="0" applyNumberFormat="1" applyFont="1" applyFill="1" applyBorder="1" applyAlignment="1" applyProtection="1">
      <alignment horizontal="center"/>
      <protection locked="0"/>
    </xf>
    <xf numFmtId="49" fontId="18" fillId="34" borderId="10" xfId="0" applyNumberFormat="1" applyFont="1" applyFill="1" applyBorder="1" applyAlignment="1" applyProtection="1">
      <alignment horizontal="center" wrapText="1"/>
      <protection locked="0"/>
    </xf>
    <xf numFmtId="164" fontId="18" fillId="34" borderId="10" xfId="0" applyNumberFormat="1" applyFont="1" applyFill="1" applyBorder="1" applyAlignment="1" applyProtection="1">
      <alignment horizontal="center" wrapText="1"/>
      <protection locked="0"/>
    </xf>
    <xf numFmtId="165" fontId="18" fillId="34" borderId="10" xfId="0" applyNumberFormat="1" applyFont="1" applyFill="1" applyBorder="1" applyAlignment="1" applyProtection="1">
      <alignment horizontal="center" wrapText="1"/>
      <protection locked="0"/>
    </xf>
    <xf numFmtId="0" fontId="0" fillId="34" borderId="10" xfId="0" applyFill="1" applyBorder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0" fontId="0" fillId="36" borderId="16" xfId="0" applyFill="1" applyBorder="1"/>
    <xf numFmtId="0" fontId="0" fillId="36" borderId="0" xfId="0" applyFill="1"/>
    <xf numFmtId="14" fontId="0" fillId="36" borderId="0" xfId="0" applyNumberFormat="1" applyFill="1"/>
    <xf numFmtId="49" fontId="18" fillId="36" borderId="15" xfId="0" applyNumberFormat="1" applyFont="1" applyFill="1" applyBorder="1" applyAlignment="1" applyProtection="1">
      <alignment horizontal="center" wrapText="1"/>
      <protection locked="0"/>
    </xf>
    <xf numFmtId="49" fontId="18" fillId="36" borderId="10" xfId="0" applyNumberFormat="1" applyFont="1" applyFill="1" applyBorder="1" applyAlignment="1" applyProtection="1">
      <alignment horizontal="center"/>
      <protection locked="0"/>
    </xf>
    <xf numFmtId="49" fontId="18" fillId="36" borderId="10" xfId="0" applyNumberFormat="1" applyFont="1" applyFill="1" applyBorder="1" applyAlignment="1" applyProtection="1">
      <alignment horizontal="center" wrapText="1"/>
      <protection locked="0"/>
    </xf>
    <xf numFmtId="164" fontId="18" fillId="36" borderId="10" xfId="0" applyNumberFormat="1" applyFont="1" applyFill="1" applyBorder="1" applyAlignment="1" applyProtection="1">
      <alignment horizontal="center" wrapText="1"/>
      <protection locked="0"/>
    </xf>
    <xf numFmtId="165" fontId="18" fillId="36" borderId="10" xfId="0" applyNumberFormat="1" applyFont="1" applyFill="1" applyBorder="1" applyAlignment="1" applyProtection="1">
      <alignment horizontal="center" wrapText="1"/>
      <protection locked="0"/>
    </xf>
    <xf numFmtId="0" fontId="0" fillId="36" borderId="10" xfId="0" applyFill="1" applyBorder="1" applyAlignment="1">
      <alignment horizontal="center"/>
    </xf>
    <xf numFmtId="165" fontId="0" fillId="36" borderId="10" xfId="0" applyNumberFormat="1" applyFill="1" applyBorder="1" applyAlignment="1">
      <alignment horizontal="center"/>
    </xf>
    <xf numFmtId="0" fontId="0" fillId="37" borderId="16" xfId="0" applyFill="1" applyBorder="1"/>
    <xf numFmtId="0" fontId="0" fillId="37" borderId="0" xfId="0" applyFill="1"/>
    <xf numFmtId="14" fontId="0" fillId="37" borderId="0" xfId="0" applyNumberFormat="1" applyFill="1"/>
    <xf numFmtId="49" fontId="27" fillId="37" borderId="11" xfId="46" applyNumberFormat="1" applyFill="1" applyBorder="1" applyAlignment="1" applyProtection="1">
      <alignment horizontal="left"/>
      <protection locked="0"/>
    </xf>
    <xf numFmtId="49" fontId="18" fillId="37" borderId="15" xfId="0" applyNumberFormat="1" applyFont="1" applyFill="1" applyBorder="1" applyAlignment="1" applyProtection="1">
      <alignment horizontal="center" wrapText="1"/>
      <protection locked="0"/>
    </xf>
    <xf numFmtId="49" fontId="18" fillId="37" borderId="10" xfId="0" applyNumberFormat="1" applyFont="1" applyFill="1" applyBorder="1" applyAlignment="1" applyProtection="1">
      <alignment horizontal="center"/>
      <protection locked="0"/>
    </xf>
    <xf numFmtId="49" fontId="18" fillId="37" borderId="10" xfId="0" applyNumberFormat="1" applyFont="1" applyFill="1" applyBorder="1" applyAlignment="1" applyProtection="1">
      <alignment horizontal="center" wrapText="1"/>
      <protection locked="0"/>
    </xf>
    <xf numFmtId="164" fontId="18" fillId="37" borderId="10" xfId="0" applyNumberFormat="1" applyFont="1" applyFill="1" applyBorder="1" applyAlignment="1" applyProtection="1">
      <alignment horizontal="center" wrapText="1"/>
      <protection locked="0"/>
    </xf>
    <xf numFmtId="165" fontId="18" fillId="37" borderId="10" xfId="0" applyNumberFormat="1" applyFont="1" applyFill="1" applyBorder="1" applyAlignment="1" applyProtection="1">
      <alignment horizontal="center" wrapText="1"/>
      <protection locked="0"/>
    </xf>
    <xf numFmtId="0" fontId="0" fillId="37" borderId="10" xfId="0" applyFill="1" applyBorder="1" applyAlignment="1">
      <alignment horizontal="center"/>
    </xf>
    <xf numFmtId="165" fontId="0" fillId="37" borderId="10" xfId="0" applyNumberForma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27" fillId="36" borderId="13" xfId="46" applyFill="1" applyBorder="1"/>
    <xf numFmtId="0" fontId="0" fillId="38" borderId="16" xfId="0" applyFill="1" applyBorder="1"/>
    <xf numFmtId="0" fontId="0" fillId="38" borderId="0" xfId="0" applyFill="1"/>
    <xf numFmtId="14" fontId="0" fillId="38" borderId="0" xfId="0" applyNumberFormat="1" applyFill="1"/>
    <xf numFmtId="0" fontId="27" fillId="38" borderId="13" xfId="46" applyFill="1" applyBorder="1"/>
    <xf numFmtId="49" fontId="18" fillId="38" borderId="15" xfId="0" applyNumberFormat="1" applyFont="1" applyFill="1" applyBorder="1" applyAlignment="1" applyProtection="1">
      <alignment horizontal="center" wrapText="1"/>
      <protection locked="0"/>
    </xf>
    <xf numFmtId="49" fontId="18" fillId="38" borderId="10" xfId="0" applyNumberFormat="1" applyFont="1" applyFill="1" applyBorder="1" applyAlignment="1" applyProtection="1">
      <alignment horizontal="center"/>
      <protection locked="0"/>
    </xf>
    <xf numFmtId="49" fontId="18" fillId="38" borderId="10" xfId="0" applyNumberFormat="1" applyFont="1" applyFill="1" applyBorder="1" applyAlignment="1" applyProtection="1">
      <alignment horizontal="center" wrapText="1"/>
      <protection locked="0"/>
    </xf>
    <xf numFmtId="164" fontId="18" fillId="38" borderId="10" xfId="0" applyNumberFormat="1" applyFont="1" applyFill="1" applyBorder="1" applyAlignment="1" applyProtection="1">
      <alignment horizontal="center" wrapText="1"/>
      <protection locked="0"/>
    </xf>
    <xf numFmtId="165" fontId="18" fillId="38" borderId="10" xfId="0" applyNumberFormat="1" applyFont="1" applyFill="1" applyBorder="1" applyAlignment="1" applyProtection="1">
      <alignment horizontal="center" wrapText="1"/>
      <protection locked="0"/>
    </xf>
    <xf numFmtId="0" fontId="19" fillId="38" borderId="10" xfId="42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65" fontId="0" fillId="38" borderId="10" xfId="0" applyNumberFormat="1" applyFill="1" applyBorder="1" applyAlignment="1">
      <alignment horizontal="center"/>
    </xf>
    <xf numFmtId="0" fontId="0" fillId="39" borderId="16" xfId="0" applyFill="1" applyBorder="1"/>
    <xf numFmtId="0" fontId="0" fillId="39" borderId="0" xfId="0" applyFill="1"/>
    <xf numFmtId="14" fontId="0" fillId="39" borderId="0" xfId="0" applyNumberFormat="1" applyFill="1"/>
    <xf numFmtId="0" fontId="27" fillId="39" borderId="13" xfId="46" applyFill="1" applyBorder="1"/>
    <xf numFmtId="49" fontId="18" fillId="39" borderId="15" xfId="0" applyNumberFormat="1" applyFont="1" applyFill="1" applyBorder="1" applyAlignment="1" applyProtection="1">
      <alignment horizontal="center" wrapText="1"/>
      <protection locked="0"/>
    </xf>
    <xf numFmtId="49" fontId="18" fillId="39" borderId="10" xfId="0" applyNumberFormat="1" applyFont="1" applyFill="1" applyBorder="1" applyAlignment="1" applyProtection="1">
      <alignment horizontal="center"/>
      <protection locked="0"/>
    </xf>
    <xf numFmtId="49" fontId="18" fillId="39" borderId="10" xfId="0" applyNumberFormat="1" applyFont="1" applyFill="1" applyBorder="1" applyAlignment="1" applyProtection="1">
      <alignment horizontal="center" wrapText="1"/>
      <protection locked="0"/>
    </xf>
    <xf numFmtId="164" fontId="18" fillId="39" borderId="10" xfId="0" applyNumberFormat="1" applyFont="1" applyFill="1" applyBorder="1" applyAlignment="1" applyProtection="1">
      <alignment horizontal="center" wrapText="1"/>
      <protection locked="0"/>
    </xf>
    <xf numFmtId="165" fontId="18" fillId="39" borderId="10" xfId="0" applyNumberFormat="1" applyFont="1" applyFill="1" applyBorder="1" applyAlignment="1" applyProtection="1">
      <alignment horizontal="center" wrapText="1"/>
      <protection locked="0"/>
    </xf>
    <xf numFmtId="0" fontId="19" fillId="39" borderId="10" xfId="42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165" fontId="0" fillId="39" borderId="10" xfId="0" applyNumberFormat="1" applyFill="1" applyBorder="1" applyAlignment="1">
      <alignment horizontal="center"/>
    </xf>
    <xf numFmtId="0" fontId="0" fillId="39" borderId="10" xfId="0" applyFill="1" applyBorder="1"/>
    <xf numFmtId="0" fontId="0" fillId="40" borderId="16" xfId="0" applyFill="1" applyBorder="1"/>
    <xf numFmtId="0" fontId="0" fillId="40" borderId="0" xfId="0" applyFill="1"/>
    <xf numFmtId="0" fontId="27" fillId="40" borderId="13" xfId="46" applyFill="1" applyBorder="1"/>
    <xf numFmtId="49" fontId="18" fillId="40" borderId="15" xfId="0" applyNumberFormat="1" applyFont="1" applyFill="1" applyBorder="1" applyAlignment="1" applyProtection="1">
      <alignment horizontal="center" wrapText="1"/>
      <protection locked="0"/>
    </xf>
    <xf numFmtId="49" fontId="18" fillId="40" borderId="10" xfId="0" applyNumberFormat="1" applyFont="1" applyFill="1" applyBorder="1" applyAlignment="1" applyProtection="1">
      <alignment horizontal="center"/>
      <protection locked="0"/>
    </xf>
    <xf numFmtId="49" fontId="18" fillId="40" borderId="10" xfId="0" applyNumberFormat="1" applyFont="1" applyFill="1" applyBorder="1" applyAlignment="1" applyProtection="1">
      <alignment horizontal="center" wrapText="1"/>
      <protection locked="0"/>
    </xf>
    <xf numFmtId="164" fontId="18" fillId="40" borderId="10" xfId="0" applyNumberFormat="1" applyFont="1" applyFill="1" applyBorder="1" applyAlignment="1" applyProtection="1">
      <alignment horizontal="center" wrapText="1"/>
      <protection locked="0"/>
    </xf>
    <xf numFmtId="165" fontId="18" fillId="40" borderId="10" xfId="0" applyNumberFormat="1" applyFont="1" applyFill="1" applyBorder="1" applyAlignment="1" applyProtection="1">
      <alignment horizontal="center" wrapText="1"/>
      <protection locked="0"/>
    </xf>
    <xf numFmtId="0" fontId="0" fillId="40" borderId="10" xfId="0" applyFill="1" applyBorder="1" applyAlignment="1">
      <alignment horizontal="center"/>
    </xf>
    <xf numFmtId="165" fontId="0" fillId="40" borderId="10" xfId="0" applyNumberFormat="1" applyFill="1" applyBorder="1" applyAlignment="1">
      <alignment horizontal="center"/>
    </xf>
    <xf numFmtId="14" fontId="0" fillId="40" borderId="0" xfId="0" applyNumberFormat="1" applyFill="1"/>
    <xf numFmtId="0" fontId="0" fillId="41" borderId="16" xfId="0" applyFill="1" applyBorder="1"/>
    <xf numFmtId="0" fontId="0" fillId="41" borderId="0" xfId="0" applyFill="1"/>
    <xf numFmtId="14" fontId="0" fillId="41" borderId="0" xfId="0" applyNumberFormat="1" applyFill="1"/>
    <xf numFmtId="0" fontId="27" fillId="41" borderId="13" xfId="46" applyFill="1" applyBorder="1"/>
    <xf numFmtId="49" fontId="18" fillId="41" borderId="15" xfId="0" applyNumberFormat="1" applyFont="1" applyFill="1" applyBorder="1" applyAlignment="1" applyProtection="1">
      <alignment horizontal="center" wrapText="1"/>
      <protection locked="0"/>
    </xf>
    <xf numFmtId="49" fontId="18" fillId="41" borderId="10" xfId="0" applyNumberFormat="1" applyFont="1" applyFill="1" applyBorder="1" applyAlignment="1" applyProtection="1">
      <alignment horizontal="center"/>
      <protection locked="0"/>
    </xf>
    <xf numFmtId="49" fontId="18" fillId="41" borderId="10" xfId="0" applyNumberFormat="1" applyFont="1" applyFill="1" applyBorder="1" applyAlignment="1" applyProtection="1">
      <alignment horizontal="center" wrapText="1"/>
      <protection locked="0"/>
    </xf>
    <xf numFmtId="164" fontId="18" fillId="41" borderId="10" xfId="0" applyNumberFormat="1" applyFont="1" applyFill="1" applyBorder="1" applyAlignment="1" applyProtection="1">
      <alignment horizontal="center" wrapText="1"/>
      <protection locked="0"/>
    </xf>
    <xf numFmtId="165" fontId="18" fillId="41" borderId="10" xfId="0" applyNumberFormat="1" applyFont="1" applyFill="1" applyBorder="1" applyAlignment="1" applyProtection="1">
      <alignment horizontal="center" wrapText="1"/>
      <protection locked="0"/>
    </xf>
    <xf numFmtId="0" fontId="28" fillId="41" borderId="10" xfId="0" applyFont="1" applyFill="1" applyBorder="1" applyAlignment="1" applyProtection="1">
      <alignment horizontal="center"/>
      <protection locked="0"/>
    </xf>
    <xf numFmtId="0" fontId="0" fillId="41" borderId="10" xfId="0" applyFill="1" applyBorder="1" applyAlignment="1">
      <alignment horizontal="center"/>
    </xf>
    <xf numFmtId="165" fontId="0" fillId="41" borderId="10" xfId="0" applyNumberFormat="1" applyFill="1" applyBorder="1" applyAlignment="1">
      <alignment horizontal="center"/>
    </xf>
    <xf numFmtId="0" fontId="19" fillId="35" borderId="0" xfId="42" applyFill="1" applyAlignment="1">
      <alignment horizontal="center"/>
    </xf>
    <xf numFmtId="49" fontId="18" fillId="0" borderId="10" xfId="0" applyNumberFormat="1" applyFont="1" applyBorder="1" applyAlignment="1" applyProtection="1">
      <alignment horizontal="center" vertical="center" wrapText="1"/>
      <protection locked="0"/>
    </xf>
    <xf numFmtId="49" fontId="18" fillId="0" borderId="10" xfId="0" applyNumberFormat="1" applyFont="1" applyBorder="1" applyAlignment="1" applyProtection="1">
      <alignment horizontal="center" vertical="center"/>
      <protection locked="0"/>
    </xf>
    <xf numFmtId="0" fontId="29" fillId="0" borderId="10" xfId="0" applyFont="1" applyBorder="1" applyAlignment="1">
      <alignment horizontal="center" vertical="center" wrapText="1"/>
    </xf>
    <xf numFmtId="164" fontId="18" fillId="0" borderId="10" xfId="0" applyNumberFormat="1" applyFont="1" applyBorder="1" applyAlignment="1" applyProtection="1">
      <alignment horizontal="center" vertical="center" wrapText="1"/>
      <protection locked="0"/>
    </xf>
    <xf numFmtId="165" fontId="18" fillId="0" borderId="1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49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wrapText="1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3" fontId="36" fillId="0" borderId="0" xfId="0" applyNumberFormat="1" applyFont="1" applyAlignment="1">
      <alignment horizontal="center" wrapText="1"/>
    </xf>
    <xf numFmtId="0" fontId="37" fillId="0" borderId="0" xfId="0" applyFont="1" applyAlignment="1">
      <alignment horizontal="center"/>
    </xf>
    <xf numFmtId="165" fontId="37" fillId="0" borderId="0" xfId="0" applyNumberFormat="1" applyFont="1" applyAlignment="1">
      <alignment horizontal="center"/>
    </xf>
    <xf numFmtId="0" fontId="38" fillId="0" borderId="0" xfId="0" applyFont="1"/>
    <xf numFmtId="0" fontId="30" fillId="0" borderId="0" xfId="0" applyFont="1"/>
    <xf numFmtId="0" fontId="39" fillId="0" borderId="18" xfId="0" applyFont="1" applyBorder="1"/>
    <xf numFmtId="0" fontId="40" fillId="0" borderId="18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0" fillId="0" borderId="18" xfId="0" applyFont="1" applyBorder="1" applyAlignment="1">
      <alignment horizontal="left"/>
    </xf>
    <xf numFmtId="0" fontId="41" fillId="0" borderId="18" xfId="0" applyFont="1" applyBorder="1"/>
    <xf numFmtId="3" fontId="41" fillId="0" borderId="18" xfId="0" applyNumberFormat="1" applyFont="1" applyBorder="1" applyAlignment="1">
      <alignment horizontal="center"/>
    </xf>
    <xf numFmtId="165" fontId="42" fillId="0" borderId="18" xfId="0" applyNumberFormat="1" applyFont="1" applyBorder="1" applyAlignment="1">
      <alignment horizontal="center"/>
    </xf>
    <xf numFmtId="0" fontId="41" fillId="0" borderId="18" xfId="0" applyFont="1" applyBorder="1" applyAlignment="1">
      <alignment horizontal="left" wrapText="1"/>
    </xf>
    <xf numFmtId="165" fontId="41" fillId="0" borderId="18" xfId="45" applyNumberFormat="1" applyFont="1" applyFill="1" applyBorder="1" applyAlignment="1"/>
    <xf numFmtId="0" fontId="43" fillId="0" borderId="0" xfId="0" applyFont="1"/>
    <xf numFmtId="0" fontId="41" fillId="0" borderId="0" xfId="0" applyFont="1"/>
    <xf numFmtId="0" fontId="44" fillId="0" borderId="0" xfId="0" applyFont="1"/>
    <xf numFmtId="0" fontId="0" fillId="0" borderId="10" xfId="0" applyBorder="1" applyAlignment="1">
      <alignment horizontal="center"/>
    </xf>
    <xf numFmtId="0" fontId="32" fillId="0" borderId="10" xfId="42" applyFont="1" applyBorder="1" applyAlignment="1">
      <alignment horizontal="center" wrapText="1"/>
    </xf>
    <xf numFmtId="3" fontId="16" fillId="0" borderId="10" xfId="0" applyNumberFormat="1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32" fillId="0" borderId="10" xfId="0" applyFont="1" applyBorder="1" applyAlignment="1">
      <alignment horizontal="left"/>
    </xf>
    <xf numFmtId="0" fontId="32" fillId="0" borderId="10" xfId="0" applyFont="1" applyBorder="1" applyAlignment="1" applyProtection="1">
      <alignment horizontal="center"/>
      <protection locked="0"/>
    </xf>
    <xf numFmtId="165" fontId="32" fillId="0" borderId="10" xfId="0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5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3" fontId="0" fillId="0" borderId="10" xfId="0" applyNumberFormat="1" applyBorder="1" applyAlignment="1">
      <alignment horizontal="center"/>
    </xf>
    <xf numFmtId="0" fontId="14" fillId="0" borderId="15" xfId="0" applyFont="1" applyBorder="1" applyAlignment="1">
      <alignment horizontal="center"/>
    </xf>
    <xf numFmtId="165" fontId="0" fillId="0" borderId="10" xfId="0" applyNumberFormat="1" applyBorder="1" applyAlignment="1" applyProtection="1">
      <alignment horizontal="center"/>
      <protection locked="0"/>
    </xf>
    <xf numFmtId="0" fontId="46" fillId="0" borderId="0" xfId="0" applyFont="1" applyAlignment="1">
      <alignment horizontal="center"/>
    </xf>
    <xf numFmtId="0" fontId="32" fillId="0" borderId="10" xfId="0" applyFont="1" applyBorder="1" applyAlignment="1">
      <alignment horizontal="center" wrapText="1"/>
    </xf>
    <xf numFmtId="0" fontId="0" fillId="0" borderId="10" xfId="0" applyBorder="1" applyAlignment="1" applyProtection="1">
      <alignment horizontal="left"/>
      <protection locked="0"/>
    </xf>
    <xf numFmtId="0" fontId="32" fillId="0" borderId="10" xfId="0" applyFont="1" applyBorder="1" applyAlignment="1" applyProtection="1">
      <alignment horizontal="left"/>
      <protection locked="0"/>
    </xf>
    <xf numFmtId="0" fontId="47" fillId="0" borderId="10" xfId="0" applyFont="1" applyBorder="1" applyAlignment="1" applyProtection="1">
      <alignment horizontal="center"/>
      <protection locked="0"/>
    </xf>
    <xf numFmtId="0" fontId="48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8" fillId="0" borderId="19" xfId="0" applyFont="1" applyBorder="1" applyAlignment="1">
      <alignment horizontal="center"/>
    </xf>
    <xf numFmtId="3" fontId="48" fillId="0" borderId="19" xfId="0" applyNumberFormat="1" applyFont="1" applyBorder="1" applyAlignment="1">
      <alignment horizontal="center"/>
    </xf>
    <xf numFmtId="165" fontId="48" fillId="0" borderId="19" xfId="0" applyNumberFormat="1" applyFont="1" applyBorder="1" applyAlignment="1">
      <alignment horizontal="center"/>
    </xf>
    <xf numFmtId="165" fontId="48" fillId="0" borderId="19" xfId="0" applyNumberFormat="1" applyFont="1" applyBorder="1" applyAlignment="1">
      <alignment horizontal="center" wrapText="1"/>
    </xf>
    <xf numFmtId="165" fontId="48" fillId="0" borderId="19" xfId="45" applyNumberFormat="1" applyFont="1" applyFill="1" applyBorder="1" applyAlignment="1">
      <alignment horizontal="center"/>
    </xf>
    <xf numFmtId="0" fontId="25" fillId="0" borderId="10" xfId="0" applyFont="1" applyBorder="1"/>
    <xf numFmtId="165" fontId="1" fillId="0" borderId="10" xfId="44" applyNumberFormat="1" applyFont="1" applyFill="1" applyBorder="1" applyAlignment="1">
      <alignment horizontal="center"/>
    </xf>
    <xf numFmtId="165" fontId="1" fillId="0" borderId="10" xfId="44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49" fillId="0" borderId="0" xfId="0" applyNumberFormat="1" applyFont="1" applyAlignment="1">
      <alignment horizontal="center"/>
    </xf>
    <xf numFmtId="49" fontId="49" fillId="0" borderId="0" xfId="0" applyNumberFormat="1" applyFont="1" applyAlignment="1">
      <alignment horizontal="left"/>
    </xf>
    <xf numFmtId="49" fontId="49" fillId="0" borderId="0" xfId="0" applyNumberFormat="1" applyFont="1" applyAlignment="1" applyProtection="1">
      <alignment horizontal="center"/>
      <protection locked="0"/>
    </xf>
    <xf numFmtId="164" fontId="49" fillId="0" borderId="0" xfId="0" applyNumberFormat="1" applyFont="1" applyAlignment="1" applyProtection="1">
      <alignment horizontal="center"/>
      <protection locked="0"/>
    </xf>
    <xf numFmtId="165" fontId="49" fillId="0" borderId="0" xfId="0" applyNumberFormat="1" applyFont="1" applyAlignment="1" applyProtection="1">
      <alignment horizontal="center"/>
      <protection locked="0"/>
    </xf>
    <xf numFmtId="49" fontId="50" fillId="0" borderId="0" xfId="0" applyNumberFormat="1" applyFont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left"/>
    </xf>
    <xf numFmtId="49" fontId="50" fillId="0" borderId="10" xfId="0" applyNumberFormat="1" applyFont="1" applyBorder="1" applyAlignment="1" applyProtection="1">
      <alignment horizontal="left"/>
      <protection locked="0"/>
    </xf>
    <xf numFmtId="49" fontId="52" fillId="0" borderId="10" xfId="42" applyNumberFormat="1" applyFont="1" applyBorder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/>
      <protection locked="0"/>
    </xf>
    <xf numFmtId="0" fontId="52" fillId="0" borderId="10" xfId="42" applyFont="1" applyBorder="1" applyAlignment="1">
      <alignment horizontal="center" vertical="center" wrapText="1"/>
    </xf>
    <xf numFmtId="0" fontId="52" fillId="0" borderId="10" xfId="42" applyFont="1" applyBorder="1" applyAlignment="1">
      <alignment horizontal="center" vertical="center"/>
    </xf>
    <xf numFmtId="165" fontId="49" fillId="0" borderId="10" xfId="0" applyNumberFormat="1" applyFont="1" applyBorder="1" applyAlignment="1" applyProtection="1">
      <alignment horizontal="center" vertical="center"/>
      <protection locked="0"/>
    </xf>
    <xf numFmtId="14" fontId="52" fillId="0" borderId="0" xfId="0" applyNumberFormat="1" applyFont="1" applyAlignment="1">
      <alignment horizontal="left"/>
    </xf>
    <xf numFmtId="49" fontId="51" fillId="0" borderId="10" xfId="0" applyNumberFormat="1" applyFont="1" applyBorder="1" applyAlignment="1" applyProtection="1">
      <alignment horizontal="center" vertical="center" wrapText="1"/>
      <protection locked="0"/>
    </xf>
    <xf numFmtId="49" fontId="51" fillId="0" borderId="10" xfId="0" applyNumberFormat="1" applyFont="1" applyBorder="1" applyAlignment="1" applyProtection="1">
      <alignment horizontal="center" vertical="center"/>
      <protection locked="0"/>
    </xf>
    <xf numFmtId="164" fontId="51" fillId="0" borderId="10" xfId="0" applyNumberFormat="1" applyFont="1" applyBorder="1" applyAlignment="1" applyProtection="1">
      <alignment horizontal="center" vertical="center" wrapText="1"/>
      <protection locked="0"/>
    </xf>
    <xf numFmtId="165" fontId="51" fillId="0" borderId="10" xfId="0" applyNumberFormat="1" applyFont="1" applyBorder="1" applyAlignment="1" applyProtection="1">
      <alignment horizontal="center" vertical="center" wrapText="1"/>
      <protection locked="0"/>
    </xf>
    <xf numFmtId="0" fontId="49" fillId="0" borderId="0" xfId="0" applyFont="1" applyAlignment="1">
      <alignment vertical="center"/>
    </xf>
    <xf numFmtId="0" fontId="50" fillId="42" borderId="10" xfId="0" applyFont="1" applyFill="1" applyBorder="1" applyAlignment="1" applyProtection="1">
      <alignment horizontal="center" vertical="center" wrapText="1"/>
      <protection locked="0"/>
    </xf>
    <xf numFmtId="49" fontId="53" fillId="42" borderId="10" xfId="0" applyNumberFormat="1" applyFont="1" applyFill="1" applyBorder="1" applyAlignment="1" applyProtection="1">
      <alignment horizontal="center" vertical="center"/>
      <protection locked="0"/>
    </xf>
    <xf numFmtId="49" fontId="53" fillId="42" borderId="10" xfId="0" applyNumberFormat="1" applyFont="1" applyFill="1" applyBorder="1" applyAlignment="1" applyProtection="1">
      <alignment horizontal="center" vertical="center" wrapText="1"/>
      <protection locked="0"/>
    </xf>
    <xf numFmtId="49" fontId="53" fillId="0" borderId="0" xfId="0" applyNumberFormat="1" applyFont="1" applyAlignment="1" applyProtection="1">
      <alignment horizontal="center"/>
      <protection locked="0"/>
    </xf>
    <xf numFmtId="0" fontId="49" fillId="0" borderId="10" xfId="0" applyFont="1" applyBorder="1" applyAlignment="1" applyProtection="1">
      <alignment horizontal="center" vertical="center" wrapText="1"/>
      <protection locked="0"/>
    </xf>
    <xf numFmtId="3" fontId="50" fillId="0" borderId="10" xfId="0" applyNumberFormat="1" applyFont="1" applyBorder="1" applyAlignment="1" applyProtection="1">
      <alignment horizontal="center" vertical="center"/>
      <protection locked="0"/>
    </xf>
    <xf numFmtId="0" fontId="52" fillId="0" borderId="11" xfId="0" applyFont="1" applyBorder="1" applyAlignment="1" applyProtection="1">
      <alignment horizontal="left" vertical="center" wrapText="1"/>
      <protection locked="0"/>
    </xf>
    <xf numFmtId="49" fontId="27" fillId="0" borderId="10" xfId="46" applyNumberFormat="1" applyBorder="1" applyAlignment="1" applyProtection="1">
      <alignment horizontal="left"/>
      <protection locked="0"/>
    </xf>
    <xf numFmtId="165" fontId="49" fillId="0" borderId="0" xfId="0" applyNumberFormat="1" applyFont="1"/>
    <xf numFmtId="0" fontId="53" fillId="0" borderId="0" xfId="0" applyFont="1" applyAlignment="1">
      <alignment horizontal="center"/>
    </xf>
    <xf numFmtId="0" fontId="55" fillId="0" borderId="0" xfId="0" applyFont="1"/>
    <xf numFmtId="49" fontId="53" fillId="0" borderId="0" xfId="0" applyNumberFormat="1" applyFont="1"/>
    <xf numFmtId="0" fontId="53" fillId="42" borderId="10" xfId="0" applyFont="1" applyFill="1" applyBorder="1"/>
    <xf numFmtId="0" fontId="55" fillId="42" borderId="10" xfId="0" applyFont="1" applyFill="1" applyBorder="1"/>
    <xf numFmtId="49" fontId="53" fillId="42" borderId="10" xfId="0" applyNumberFormat="1" applyFont="1" applyFill="1" applyBorder="1" applyAlignment="1">
      <alignment horizontal="center"/>
    </xf>
    <xf numFmtId="0" fontId="56" fillId="0" borderId="10" xfId="0" applyFont="1" applyBorder="1"/>
    <xf numFmtId="49" fontId="57" fillId="42" borderId="10" xfId="0" applyNumberFormat="1" applyFont="1" applyFill="1" applyBorder="1"/>
    <xf numFmtId="49" fontId="57" fillId="42" borderId="10" xfId="0" applyNumberFormat="1" applyFont="1" applyFill="1" applyBorder="1" applyAlignment="1">
      <alignment horizontal="center"/>
    </xf>
    <xf numFmtId="49" fontId="54" fillId="42" borderId="10" xfId="0" applyNumberFormat="1" applyFont="1" applyFill="1" applyBorder="1" applyAlignment="1">
      <alignment horizontal="center"/>
    </xf>
    <xf numFmtId="49" fontId="54" fillId="42" borderId="10" xfId="0" applyNumberFormat="1" applyFont="1" applyFill="1" applyBorder="1" applyAlignment="1" applyProtection="1">
      <alignment horizontal="center"/>
      <protection locked="0"/>
    </xf>
    <xf numFmtId="49" fontId="50" fillId="0" borderId="11" xfId="0" applyNumberFormat="1" applyFont="1" applyBorder="1" applyAlignment="1" applyProtection="1">
      <alignment horizontal="left"/>
      <protection locked="0"/>
    </xf>
    <xf numFmtId="49" fontId="58" fillId="43" borderId="22" xfId="0" applyNumberFormat="1" applyFont="1" applyFill="1" applyBorder="1" applyAlignment="1">
      <alignment horizontal="center"/>
    </xf>
    <xf numFmtId="165" fontId="49" fillId="0" borderId="23" xfId="0" applyNumberFormat="1" applyFont="1" applyBorder="1" applyAlignment="1" applyProtection="1">
      <alignment horizontal="center" vertical="center"/>
      <protection locked="0"/>
    </xf>
    <xf numFmtId="165" fontId="53" fillId="42" borderId="22" xfId="0" applyNumberFormat="1" applyFont="1" applyFill="1" applyBorder="1"/>
    <xf numFmtId="165" fontId="53" fillId="0" borderId="0" xfId="0" applyNumberFormat="1" applyFont="1"/>
    <xf numFmtId="2" fontId="57" fillId="0" borderId="11" xfId="0" applyNumberFormat="1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53" fillId="0" borderId="0" xfId="0" applyFont="1"/>
    <xf numFmtId="165" fontId="53" fillId="34" borderId="22" xfId="0" applyNumberFormat="1" applyFont="1" applyFill="1" applyBorder="1"/>
    <xf numFmtId="1" fontId="57" fillId="0" borderId="11" xfId="0" applyNumberFormat="1" applyFont="1" applyBorder="1" applyAlignment="1" applyProtection="1">
      <alignment horizontal="center" vertical="center"/>
      <protection locked="0"/>
    </xf>
    <xf numFmtId="49" fontId="53" fillId="42" borderId="21" xfId="0" applyNumberFormat="1" applyFont="1" applyFill="1" applyBorder="1" applyAlignment="1" applyProtection="1">
      <alignment horizontal="right" wrapText="1"/>
      <protection locked="0"/>
    </xf>
    <xf numFmtId="49" fontId="53" fillId="42" borderId="20" xfId="0" applyNumberFormat="1" applyFont="1" applyFill="1" applyBorder="1" applyAlignment="1" applyProtection="1">
      <alignment horizontal="right" wrapText="1"/>
      <protection locked="0"/>
    </xf>
    <xf numFmtId="49" fontId="53" fillId="0" borderId="0" xfId="0" applyNumberFormat="1" applyFont="1" applyAlignment="1">
      <alignment horizontal="left"/>
    </xf>
    <xf numFmtId="49" fontId="53" fillId="42" borderId="10" xfId="0" applyNumberFormat="1" applyFont="1" applyFill="1" applyBorder="1" applyAlignment="1" applyProtection="1">
      <alignment horizontal="right"/>
      <protection locked="0"/>
    </xf>
    <xf numFmtId="49" fontId="49" fillId="0" borderId="0" xfId="0" applyNumberFormat="1" applyFont="1" applyAlignment="1">
      <alignment horizontal="left"/>
    </xf>
    <xf numFmtId="0" fontId="53" fillId="44" borderId="21" xfId="0" applyFont="1" applyFill="1" applyBorder="1" applyAlignment="1">
      <alignment horizontal="center"/>
    </xf>
    <xf numFmtId="0" fontId="53" fillId="44" borderId="24" xfId="0" applyFont="1" applyFill="1" applyBorder="1" applyAlignment="1">
      <alignment horizontal="center"/>
    </xf>
    <xf numFmtId="0" fontId="53" fillId="44" borderId="20" xfId="0" applyFont="1" applyFill="1" applyBorder="1" applyAlignment="1">
      <alignment horizontal="center"/>
    </xf>
    <xf numFmtId="0" fontId="53" fillId="44" borderId="10" xfId="0" applyFont="1" applyFill="1" applyBorder="1" applyAlignment="1">
      <alignment horizontal="center"/>
    </xf>
    <xf numFmtId="49" fontId="53" fillId="42" borderId="21" xfId="0" applyNumberFormat="1" applyFont="1" applyFill="1" applyBorder="1" applyAlignment="1" applyProtection="1">
      <alignment horizontal="right"/>
      <protection locked="0"/>
    </xf>
    <xf numFmtId="49" fontId="53" fillId="42" borderId="20" xfId="0" applyNumberFormat="1" applyFont="1" applyFill="1" applyBorder="1" applyAlignment="1" applyProtection="1">
      <alignment horizontal="right"/>
      <protection locked="0"/>
    </xf>
    <xf numFmtId="0" fontId="53" fillId="34" borderId="25" xfId="0" applyFont="1" applyFill="1" applyBorder="1" applyAlignment="1">
      <alignment horizontal="right"/>
    </xf>
    <xf numFmtId="0" fontId="53" fillId="34" borderId="26" xfId="0" applyFont="1" applyFill="1" applyBorder="1" applyAlignment="1">
      <alignment horizontal="right"/>
    </xf>
    <xf numFmtId="0" fontId="53" fillId="34" borderId="27" xfId="0" applyFont="1" applyFill="1" applyBorder="1" applyAlignment="1">
      <alignment horizontal="right"/>
    </xf>
    <xf numFmtId="49" fontId="26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6" fillId="0" borderId="0" xfId="0" applyNumberFormat="1" applyFont="1" applyAlignment="1" applyProtection="1">
      <alignment horizontal="right"/>
      <protection locked="0"/>
    </xf>
    <xf numFmtId="49" fontId="16" fillId="0" borderId="12" xfId="0" applyNumberFormat="1" applyFont="1" applyBorder="1" applyAlignment="1" applyProtection="1">
      <alignment horizontal="right"/>
      <protection locked="0"/>
    </xf>
    <xf numFmtId="49" fontId="16" fillId="0" borderId="13" xfId="0" applyNumberFormat="1" applyFont="1" applyBorder="1" applyAlignment="1" applyProtection="1">
      <alignment horizontal="right"/>
      <protection locked="0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" xfId="45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8000000}"/>
    <cellStyle name="Normal 3" xfId="43" xr:uid="{00000000-0005-0000-0000-000029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110" zoomScaleNormal="110" workbookViewId="0">
      <selection activeCell="H6" sqref="H6"/>
    </sheetView>
  </sheetViews>
  <sheetFormatPr defaultColWidth="9.140625" defaultRowHeight="15.75" x14ac:dyDescent="0.25"/>
  <cols>
    <col min="1" max="1" width="14.7109375" style="192" customWidth="1"/>
    <col min="2" max="2" width="25.42578125" style="192" customWidth="1"/>
    <col min="3" max="3" width="32.42578125" style="192" customWidth="1"/>
    <col min="4" max="4" width="72.42578125" style="192" customWidth="1"/>
    <col min="5" max="5" width="15.28515625" style="192" customWidth="1"/>
    <col min="6" max="6" width="18.7109375" style="192" customWidth="1"/>
    <col min="7" max="7" width="13.140625" style="192" customWidth="1"/>
    <col min="8" max="9" width="15" style="192" customWidth="1"/>
    <col min="10" max="10" width="19.5703125" style="192" customWidth="1"/>
    <col min="11" max="11" width="15" style="192" customWidth="1"/>
    <col min="12" max="12" width="19.5703125" style="192" customWidth="1"/>
    <col min="13" max="13" width="33.42578125" style="192" customWidth="1"/>
    <col min="14" max="14" width="34.28515625" style="192" customWidth="1"/>
    <col min="15" max="16384" width="9.140625" style="192"/>
  </cols>
  <sheetData>
    <row r="1" spans="1:13" x14ac:dyDescent="0.25">
      <c r="A1" s="218" t="s">
        <v>50</v>
      </c>
      <c r="B1" s="219"/>
      <c r="C1" s="216"/>
      <c r="D1" s="215"/>
    </row>
    <row r="2" spans="1:13" x14ac:dyDescent="0.25">
      <c r="A2" s="222" t="s">
        <v>51</v>
      </c>
      <c r="B2" s="222"/>
      <c r="C2" s="217"/>
      <c r="D2" s="187"/>
      <c r="E2" s="188"/>
      <c r="F2" s="224" t="s">
        <v>41</v>
      </c>
      <c r="G2" s="188"/>
      <c r="H2" s="188"/>
      <c r="I2" s="188"/>
      <c r="J2" s="188"/>
      <c r="K2" s="188"/>
      <c r="L2" s="189"/>
      <c r="M2" s="190"/>
    </row>
    <row r="3" spans="1:13" x14ac:dyDescent="0.25">
      <c r="A3" s="223" t="s">
        <v>2</v>
      </c>
      <c r="B3" s="223" t="s">
        <v>49</v>
      </c>
      <c r="C3" s="238"/>
      <c r="D3" s="238"/>
      <c r="E3" s="188"/>
      <c r="F3" s="220" t="s">
        <v>60</v>
      </c>
      <c r="G3" s="188"/>
      <c r="H3" s="188"/>
      <c r="I3" s="188"/>
      <c r="J3" s="188"/>
      <c r="K3" s="188"/>
      <c r="L3" s="189"/>
      <c r="M3" s="190"/>
    </row>
    <row r="4" spans="1:13" ht="16.5" thickBot="1" x14ac:dyDescent="0.3">
      <c r="A4" s="186"/>
      <c r="B4" s="240"/>
      <c r="C4" s="240"/>
      <c r="D4" s="240"/>
      <c r="E4" s="188"/>
      <c r="F4" s="188"/>
      <c r="G4" s="188"/>
      <c r="H4" s="188"/>
      <c r="I4" s="188"/>
      <c r="J4" s="188"/>
      <c r="K4" s="188"/>
      <c r="L4" s="189"/>
      <c r="M4" s="190"/>
    </row>
    <row r="5" spans="1:13" ht="16.5" thickBot="1" x14ac:dyDescent="0.3">
      <c r="A5" s="186"/>
      <c r="B5" s="193"/>
      <c r="C5" s="191"/>
      <c r="D5" s="227" t="s">
        <v>47</v>
      </c>
      <c r="E5" s="188"/>
      <c r="F5" s="225" t="s">
        <v>42</v>
      </c>
      <c r="G5" s="188"/>
      <c r="H5" s="188"/>
      <c r="I5" s="188"/>
      <c r="J5" s="188"/>
      <c r="K5" s="188"/>
      <c r="L5" s="189"/>
      <c r="M5" s="190"/>
    </row>
    <row r="6" spans="1:13" ht="31.5" x14ac:dyDescent="0.25">
      <c r="B6" s="239" t="s">
        <v>6</v>
      </c>
      <c r="C6" s="239"/>
      <c r="D6" s="226"/>
      <c r="E6" s="209"/>
      <c r="F6" s="208" t="s">
        <v>61</v>
      </c>
      <c r="G6" s="209"/>
      <c r="H6" s="209"/>
      <c r="I6" s="209"/>
      <c r="J6" s="209"/>
      <c r="K6" s="209"/>
      <c r="L6" s="189"/>
      <c r="M6" s="190"/>
    </row>
    <row r="7" spans="1:13" x14ac:dyDescent="0.25">
      <c r="B7" s="239" t="s">
        <v>7</v>
      </c>
      <c r="C7" s="239"/>
      <c r="D7" s="194"/>
      <c r="E7" s="188"/>
      <c r="F7" s="188"/>
      <c r="G7" s="188"/>
      <c r="H7" s="188"/>
      <c r="I7" s="188"/>
      <c r="J7" s="188"/>
      <c r="K7" s="188"/>
      <c r="L7" s="189"/>
      <c r="M7" s="190"/>
    </row>
    <row r="8" spans="1:13" x14ac:dyDescent="0.25">
      <c r="B8" s="236" t="s">
        <v>46</v>
      </c>
      <c r="C8" s="237"/>
      <c r="D8" s="194"/>
      <c r="E8" s="188"/>
      <c r="F8" s="188"/>
      <c r="G8" s="188"/>
      <c r="H8" s="188"/>
      <c r="I8" s="188"/>
      <c r="J8" s="188"/>
      <c r="K8" s="188"/>
      <c r="L8" s="189"/>
      <c r="M8" s="190"/>
    </row>
    <row r="9" spans="1:13" x14ac:dyDescent="0.25">
      <c r="B9" s="239" t="s">
        <v>8</v>
      </c>
      <c r="C9" s="239"/>
      <c r="D9" s="213"/>
      <c r="F9" s="188"/>
      <c r="G9" s="188"/>
      <c r="H9" s="188"/>
      <c r="I9" s="188"/>
      <c r="J9" s="188"/>
      <c r="K9" s="188"/>
      <c r="L9" s="189"/>
      <c r="M9" s="190"/>
    </row>
    <row r="10" spans="1:13" x14ac:dyDescent="0.25">
      <c r="B10" s="245" t="s">
        <v>44</v>
      </c>
      <c r="C10" s="246"/>
      <c r="D10" s="221"/>
      <c r="F10" s="188"/>
      <c r="G10" s="188"/>
      <c r="H10" s="188"/>
      <c r="I10" s="188"/>
      <c r="J10" s="188"/>
      <c r="K10" s="188"/>
      <c r="L10" s="189"/>
      <c r="M10" s="190"/>
    </row>
    <row r="11" spans="1:13" x14ac:dyDescent="0.25">
      <c r="A11" s="241" t="s">
        <v>55</v>
      </c>
      <c r="B11" s="242"/>
      <c r="C11" s="243"/>
      <c r="D11" s="221"/>
      <c r="F11" s="188"/>
      <c r="G11" s="188"/>
      <c r="H11" s="188"/>
      <c r="I11" s="188"/>
      <c r="J11" s="188"/>
      <c r="K11" s="188"/>
      <c r="L11" s="189"/>
      <c r="M11" s="190"/>
    </row>
    <row r="12" spans="1:13" s="205" customFormat="1" ht="78.75" x14ac:dyDescent="0.25">
      <c r="A12" s="201" t="s">
        <v>9</v>
      </c>
      <c r="B12" s="201" t="s">
        <v>48</v>
      </c>
      <c r="C12" s="201" t="s">
        <v>11</v>
      </c>
      <c r="D12" s="202" t="s">
        <v>12</v>
      </c>
      <c r="E12" s="202" t="s">
        <v>16</v>
      </c>
      <c r="F12" s="202" t="s">
        <v>17</v>
      </c>
      <c r="G12" s="201" t="s">
        <v>18</v>
      </c>
      <c r="H12" s="207" t="s">
        <v>14</v>
      </c>
      <c r="I12" s="208" t="s">
        <v>45</v>
      </c>
      <c r="J12" s="208" t="s">
        <v>59</v>
      </c>
      <c r="K12" s="203" t="s">
        <v>19</v>
      </c>
      <c r="L12" s="204" t="s">
        <v>20</v>
      </c>
      <c r="M12" s="206" t="s">
        <v>43</v>
      </c>
    </row>
    <row r="13" spans="1:13" ht="54.75" customHeight="1" thickBot="1" x14ac:dyDescent="0.3">
      <c r="A13" s="195" t="s">
        <v>21</v>
      </c>
      <c r="B13" s="235">
        <v>2201301343001</v>
      </c>
      <c r="C13" s="196">
        <v>19493</v>
      </c>
      <c r="D13" s="212" t="s">
        <v>52</v>
      </c>
      <c r="E13" s="197" t="s">
        <v>53</v>
      </c>
      <c r="F13" s="211">
        <v>3120</v>
      </c>
      <c r="G13" s="198" t="s">
        <v>54</v>
      </c>
      <c r="H13" s="198"/>
      <c r="I13" s="198"/>
      <c r="J13" s="198"/>
      <c r="K13" s="199"/>
      <c r="L13" s="228">
        <f>K13*F13</f>
        <v>0</v>
      </c>
      <c r="M13" s="210"/>
    </row>
    <row r="14" spans="1:13" ht="16.5" thickBot="1" x14ac:dyDescent="0.3">
      <c r="L14" s="229">
        <f>SUM(L13)</f>
        <v>0</v>
      </c>
    </row>
    <row r="15" spans="1:13" x14ac:dyDescent="0.25">
      <c r="D15" s="200"/>
    </row>
    <row r="17" spans="1:13" x14ac:dyDescent="0.25">
      <c r="A17" s="244" t="s">
        <v>56</v>
      </c>
      <c r="B17" s="244"/>
      <c r="C17" s="244"/>
    </row>
    <row r="18" spans="1:13" s="205" customFormat="1" ht="47.25" x14ac:dyDescent="0.25">
      <c r="A18" s="201" t="s">
        <v>9</v>
      </c>
      <c r="B18" s="201" t="s">
        <v>48</v>
      </c>
      <c r="C18" s="201" t="s">
        <v>11</v>
      </c>
      <c r="D18" s="202" t="s">
        <v>12</v>
      </c>
      <c r="E18" s="202" t="s">
        <v>16</v>
      </c>
      <c r="F18" s="202" t="s">
        <v>17</v>
      </c>
      <c r="G18" s="201" t="s">
        <v>18</v>
      </c>
      <c r="H18" s="207" t="s">
        <v>14</v>
      </c>
      <c r="I18" s="208" t="s">
        <v>45</v>
      </c>
      <c r="J18" s="208" t="s">
        <v>59</v>
      </c>
      <c r="K18" s="203" t="s">
        <v>19</v>
      </c>
      <c r="L18" s="204" t="s">
        <v>20</v>
      </c>
      <c r="M18" s="206" t="s">
        <v>43</v>
      </c>
    </row>
    <row r="19" spans="1:13" ht="48" thickBot="1" x14ac:dyDescent="0.3">
      <c r="A19" s="195" t="s">
        <v>22</v>
      </c>
      <c r="B19" s="231">
        <v>2201301343001</v>
      </c>
      <c r="C19" s="196">
        <v>19493</v>
      </c>
      <c r="D19" s="212" t="s">
        <v>52</v>
      </c>
      <c r="E19" s="197" t="s">
        <v>53</v>
      </c>
      <c r="F19" s="211">
        <v>3120</v>
      </c>
      <c r="G19" s="198" t="s">
        <v>54</v>
      </c>
      <c r="H19" s="198"/>
      <c r="I19" s="198"/>
      <c r="J19" s="198"/>
      <c r="K19" s="199"/>
      <c r="L19" s="228">
        <f>K19*F19</f>
        <v>0</v>
      </c>
      <c r="M19" s="210"/>
    </row>
    <row r="20" spans="1:13" ht="16.5" thickBot="1" x14ac:dyDescent="0.3">
      <c r="L20" s="229">
        <f>SUM(L19)</f>
        <v>0</v>
      </c>
    </row>
    <row r="21" spans="1:13" x14ac:dyDescent="0.25">
      <c r="L21" s="230"/>
    </row>
    <row r="22" spans="1:13" x14ac:dyDescent="0.25">
      <c r="L22" s="230"/>
    </row>
    <row r="23" spans="1:13" x14ac:dyDescent="0.25">
      <c r="L23" s="230"/>
    </row>
    <row r="24" spans="1:13" x14ac:dyDescent="0.25">
      <c r="A24" s="244" t="s">
        <v>57</v>
      </c>
      <c r="B24" s="244"/>
      <c r="C24" s="244"/>
    </row>
    <row r="25" spans="1:13" s="205" customFormat="1" ht="47.25" x14ac:dyDescent="0.25">
      <c r="A25" s="201" t="s">
        <v>9</v>
      </c>
      <c r="B25" s="201" t="s">
        <v>48</v>
      </c>
      <c r="C25" s="201" t="s">
        <v>11</v>
      </c>
      <c r="D25" s="202" t="s">
        <v>12</v>
      </c>
      <c r="E25" s="202" t="s">
        <v>16</v>
      </c>
      <c r="F25" s="202" t="s">
        <v>17</v>
      </c>
      <c r="G25" s="201" t="s">
        <v>18</v>
      </c>
      <c r="H25" s="207" t="s">
        <v>14</v>
      </c>
      <c r="I25" s="208" t="s">
        <v>45</v>
      </c>
      <c r="J25" s="208" t="s">
        <v>59</v>
      </c>
      <c r="K25" s="203" t="s">
        <v>19</v>
      </c>
      <c r="L25" s="204" t="s">
        <v>20</v>
      </c>
      <c r="M25" s="206" t="s">
        <v>43</v>
      </c>
    </row>
    <row r="26" spans="1:13" ht="48" thickBot="1" x14ac:dyDescent="0.3">
      <c r="A26" s="195" t="s">
        <v>22</v>
      </c>
      <c r="B26" s="231">
        <v>2201301343001</v>
      </c>
      <c r="C26" s="196">
        <v>19493</v>
      </c>
      <c r="D26" s="212" t="s">
        <v>52</v>
      </c>
      <c r="E26" s="197" t="s">
        <v>53</v>
      </c>
      <c r="F26" s="211">
        <v>3120</v>
      </c>
      <c r="G26" s="198" t="s">
        <v>54</v>
      </c>
      <c r="H26" s="198"/>
      <c r="I26" s="198"/>
      <c r="J26" s="198"/>
      <c r="K26" s="199"/>
      <c r="L26" s="199">
        <f>K26*F26</f>
        <v>0</v>
      </c>
      <c r="M26" s="210"/>
    </row>
    <row r="27" spans="1:13" ht="16.5" thickBot="1" x14ac:dyDescent="0.3">
      <c r="H27" s="232"/>
      <c r="L27" s="229">
        <f>SUM(L26)</f>
        <v>0</v>
      </c>
    </row>
    <row r="28" spans="1:13" x14ac:dyDescent="0.25">
      <c r="M28" s="230"/>
    </row>
    <row r="29" spans="1:13" ht="16.5" thickBot="1" x14ac:dyDescent="0.3">
      <c r="M29" s="230"/>
    </row>
    <row r="30" spans="1:13" ht="16.5" thickBot="1" x14ac:dyDescent="0.3">
      <c r="D30" s="233"/>
      <c r="E30" s="233"/>
      <c r="F30" s="233"/>
      <c r="G30" s="233"/>
      <c r="H30" s="247" t="s">
        <v>58</v>
      </c>
      <c r="I30" s="248"/>
      <c r="J30" s="248"/>
      <c r="K30" s="249"/>
      <c r="L30" s="234">
        <f>SUM(L27,L20,L14)</f>
        <v>0</v>
      </c>
      <c r="M30" s="214"/>
    </row>
  </sheetData>
  <mergeCells count="11">
    <mergeCell ref="A11:C11"/>
    <mergeCell ref="A17:C17"/>
    <mergeCell ref="B10:C10"/>
    <mergeCell ref="A24:C24"/>
    <mergeCell ref="H30:K30"/>
    <mergeCell ref="B8:C8"/>
    <mergeCell ref="C3:D3"/>
    <mergeCell ref="B6:C6"/>
    <mergeCell ref="B7:C7"/>
    <mergeCell ref="B9:C9"/>
    <mergeCell ref="B4:D4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7"/>
  <sheetViews>
    <sheetView workbookViewId="0">
      <selection activeCell="C2" sqref="C2:D2"/>
    </sheetView>
  </sheetViews>
  <sheetFormatPr defaultColWidth="8.85546875" defaultRowHeight="15" x14ac:dyDescent="0.25"/>
  <cols>
    <col min="1" max="1" width="5.85546875" bestFit="1" customWidth="1"/>
    <col min="2" max="2" width="16" customWidth="1"/>
    <col min="4" max="4" width="47" customWidth="1"/>
    <col min="5" max="5" width="14.7109375" customWidth="1"/>
    <col min="8" max="8" width="10.28515625" customWidth="1"/>
    <col min="9" max="9" width="14.140625" customWidth="1"/>
    <col min="11" max="11" width="11" customWidth="1"/>
    <col min="12" max="12" width="9.85546875" customWidth="1"/>
    <col min="13" max="13" width="10.140625" bestFit="1" customWidth="1"/>
    <col min="14" max="14" width="14.140625" customWidth="1"/>
    <col min="16" max="16" width="10.7109375" customWidth="1"/>
    <col min="18" max="18" width="9.7109375" bestFit="1" customWidth="1"/>
    <col min="19" max="19" width="14.140625" customWidth="1"/>
    <col min="21" max="21" width="11.140625" customWidth="1"/>
    <col min="23" max="23" width="10.7109375" bestFit="1" customWidth="1"/>
    <col min="24" max="24" width="14.140625" customWidth="1"/>
    <col min="25" max="25" width="10" customWidth="1"/>
    <col min="26" max="26" width="11.28515625" customWidth="1"/>
    <col min="28" max="28" width="10.7109375" bestFit="1" customWidth="1"/>
    <col min="29" max="29" width="14.140625" customWidth="1"/>
    <col min="31" max="31" width="11.28515625" customWidth="1"/>
    <col min="33" max="33" width="10.7109375" bestFit="1" customWidth="1"/>
    <col min="34" max="34" width="14.140625" customWidth="1"/>
    <col min="36" max="36" width="11.28515625" customWidth="1"/>
    <col min="38" max="38" width="11.140625" customWidth="1"/>
    <col min="39" max="39" width="14.140625" customWidth="1"/>
    <col min="41" max="41" width="11.85546875" customWidth="1"/>
    <col min="43" max="43" width="10.7109375" bestFit="1" customWidth="1"/>
    <col min="44" max="44" width="14.140625" customWidth="1"/>
    <col min="46" max="46" width="11.140625" customWidth="1"/>
    <col min="48" max="48" width="10.7109375" bestFit="1" customWidth="1"/>
  </cols>
  <sheetData>
    <row r="1" spans="1:48" ht="18.75" x14ac:dyDescent="0.3">
      <c r="A1" s="3"/>
      <c r="B1" s="18" t="s">
        <v>0</v>
      </c>
      <c r="C1" s="4"/>
      <c r="D1" s="5"/>
      <c r="E1" s="6" t="s">
        <v>1</v>
      </c>
      <c r="F1" s="7"/>
      <c r="G1" s="7"/>
      <c r="H1" s="7"/>
    </row>
    <row r="2" spans="1:48" ht="18.75" x14ac:dyDescent="0.3">
      <c r="A2" s="3"/>
      <c r="B2" s="18" t="s">
        <v>2</v>
      </c>
      <c r="C2" s="250"/>
      <c r="D2" s="250"/>
      <c r="E2" s="3"/>
      <c r="F2" s="7"/>
      <c r="G2" s="7"/>
      <c r="H2" s="7"/>
    </row>
    <row r="3" spans="1:48" ht="15.75" x14ac:dyDescent="0.25">
      <c r="A3" s="3"/>
      <c r="B3" s="251"/>
      <c r="C3" s="251"/>
      <c r="D3" s="251"/>
      <c r="E3" s="7"/>
      <c r="F3" s="7"/>
      <c r="G3" s="7"/>
      <c r="H3" s="7"/>
    </row>
    <row r="4" spans="1:48" ht="18.75" x14ac:dyDescent="0.3">
      <c r="A4" s="3"/>
      <c r="B4" s="19"/>
      <c r="C4" s="4"/>
      <c r="D4" s="8" t="s">
        <v>28</v>
      </c>
      <c r="E4" s="2" t="s">
        <v>3</v>
      </c>
      <c r="F4" s="7"/>
      <c r="G4" s="7"/>
      <c r="H4" s="7"/>
    </row>
    <row r="5" spans="1:48" ht="18.75" x14ac:dyDescent="0.3">
      <c r="A5" s="3"/>
      <c r="B5" s="22" t="s">
        <v>4</v>
      </c>
      <c r="C5" s="4"/>
      <c r="D5" s="8"/>
      <c r="E5" s="1"/>
      <c r="F5" s="7"/>
      <c r="G5" s="7"/>
      <c r="H5" s="7"/>
    </row>
    <row r="6" spans="1:48" ht="18.75" x14ac:dyDescent="0.3">
      <c r="A6" s="3"/>
      <c r="B6" s="22" t="s">
        <v>5</v>
      </c>
      <c r="C6" s="4"/>
      <c r="D6" s="8"/>
      <c r="F6" s="7"/>
      <c r="G6" s="7"/>
      <c r="H6" s="7"/>
    </row>
    <row r="7" spans="1:48" ht="15.75" x14ac:dyDescent="0.25">
      <c r="B7" s="252"/>
      <c r="C7" s="252"/>
      <c r="D7" s="23"/>
      <c r="F7" s="7"/>
      <c r="G7" s="7"/>
      <c r="H7" s="7"/>
      <c r="I7" s="28"/>
      <c r="J7" s="29"/>
      <c r="K7" s="29"/>
      <c r="L7" s="29"/>
      <c r="M7" s="30"/>
      <c r="N7" s="60"/>
      <c r="O7" s="61"/>
      <c r="P7" s="61"/>
      <c r="Q7" s="61"/>
      <c r="R7" s="62"/>
      <c r="S7" s="50"/>
      <c r="T7" s="51"/>
      <c r="U7" s="51"/>
      <c r="V7" s="51"/>
      <c r="W7" s="52"/>
      <c r="X7" s="73"/>
      <c r="Y7" s="74"/>
      <c r="Z7" s="74"/>
      <c r="AA7" s="74"/>
      <c r="AB7" s="75"/>
      <c r="AC7" s="85"/>
      <c r="AD7" s="86"/>
      <c r="AE7" s="86"/>
      <c r="AF7" s="86"/>
      <c r="AG7" s="87"/>
      <c r="AH7" s="98"/>
      <c r="AI7" s="99"/>
      <c r="AJ7" s="99"/>
      <c r="AK7" s="99"/>
      <c r="AL7" s="108"/>
      <c r="AM7" s="109"/>
      <c r="AN7" s="110"/>
      <c r="AO7" s="110"/>
      <c r="AP7" s="110"/>
      <c r="AQ7" s="111"/>
      <c r="AR7" s="39"/>
      <c r="AS7" s="40"/>
      <c r="AT7" s="40"/>
      <c r="AU7" s="40"/>
      <c r="AV7" s="41"/>
    </row>
    <row r="8" spans="1:48" ht="15.75" x14ac:dyDescent="0.25">
      <c r="B8" s="252"/>
      <c r="C8" s="252"/>
      <c r="D8" s="23"/>
      <c r="F8" s="7"/>
      <c r="G8" s="7"/>
      <c r="H8" s="7"/>
      <c r="I8" s="28"/>
      <c r="J8" s="29"/>
      <c r="K8" s="29"/>
      <c r="L8" s="29"/>
      <c r="M8" s="29"/>
      <c r="N8" s="60"/>
      <c r="O8" s="61"/>
      <c r="P8" s="61"/>
      <c r="Q8" s="61"/>
      <c r="R8" s="61"/>
      <c r="S8" s="50"/>
      <c r="T8" s="51"/>
      <c r="U8" s="51"/>
      <c r="V8" s="51"/>
      <c r="W8" s="51"/>
      <c r="X8" s="73"/>
      <c r="Y8" s="74"/>
      <c r="Z8" s="74"/>
      <c r="AA8" s="74"/>
      <c r="AB8" s="74"/>
      <c r="AC8" s="85"/>
      <c r="AD8" s="86"/>
      <c r="AE8" s="86"/>
      <c r="AF8" s="86"/>
      <c r="AG8" s="86"/>
      <c r="AH8" s="98"/>
      <c r="AI8" s="99"/>
      <c r="AJ8" s="99"/>
      <c r="AK8" s="99"/>
      <c r="AL8" s="99"/>
      <c r="AM8" s="109"/>
      <c r="AN8" s="110"/>
      <c r="AO8" s="110"/>
      <c r="AP8" s="110"/>
      <c r="AQ8" s="110"/>
      <c r="AR8" s="39"/>
      <c r="AS8" s="40"/>
      <c r="AT8" s="40"/>
      <c r="AU8" s="40"/>
      <c r="AV8" s="40"/>
    </row>
    <row r="9" spans="1:48" ht="15.75" x14ac:dyDescent="0.25">
      <c r="A9" s="27"/>
      <c r="B9" s="253"/>
      <c r="C9" s="254"/>
      <c r="D9" s="26"/>
      <c r="G9" s="7"/>
      <c r="H9" s="7"/>
      <c r="I9" s="31"/>
      <c r="J9" s="29"/>
      <c r="K9" s="29"/>
      <c r="L9" s="29"/>
      <c r="M9" s="29"/>
      <c r="N9" s="63"/>
      <c r="O9" s="61"/>
      <c r="P9" s="61"/>
      <c r="Q9" s="61"/>
      <c r="R9" s="61"/>
      <c r="S9" s="72"/>
      <c r="T9" s="51"/>
      <c r="U9" s="51"/>
      <c r="V9" s="51"/>
      <c r="W9" s="51"/>
      <c r="X9" s="76"/>
      <c r="Y9" s="74"/>
      <c r="Z9" s="74"/>
      <c r="AA9" s="74"/>
      <c r="AB9" s="74"/>
      <c r="AC9" s="88"/>
      <c r="AD9" s="86"/>
      <c r="AE9" s="86"/>
      <c r="AF9" s="86"/>
      <c r="AG9" s="86"/>
      <c r="AH9" s="100"/>
      <c r="AI9" s="99"/>
      <c r="AJ9" s="99"/>
      <c r="AK9" s="99"/>
      <c r="AL9" s="99"/>
      <c r="AM9" s="112"/>
      <c r="AN9" s="110"/>
      <c r="AO9" s="110"/>
      <c r="AP9" s="110"/>
      <c r="AQ9" s="110"/>
      <c r="AR9" s="42"/>
      <c r="AS9" s="40"/>
      <c r="AT9" s="40"/>
      <c r="AU9" s="40"/>
      <c r="AV9" s="40"/>
    </row>
    <row r="10" spans="1:48" ht="47.25" x14ac:dyDescent="0.25">
      <c r="A10" s="24" t="s">
        <v>9</v>
      </c>
      <c r="B10" s="10" t="s">
        <v>10</v>
      </c>
      <c r="C10" s="9" t="s">
        <v>11</v>
      </c>
      <c r="D10" s="25" t="s">
        <v>12</v>
      </c>
      <c r="E10" s="12" t="s">
        <v>13</v>
      </c>
      <c r="F10" s="10" t="s">
        <v>16</v>
      </c>
      <c r="G10" s="10" t="s">
        <v>17</v>
      </c>
      <c r="H10" s="9" t="s">
        <v>18</v>
      </c>
      <c r="I10" s="32" t="s">
        <v>26</v>
      </c>
      <c r="J10" s="33" t="s">
        <v>14</v>
      </c>
      <c r="K10" s="34" t="s">
        <v>27</v>
      </c>
      <c r="L10" s="35" t="s">
        <v>19</v>
      </c>
      <c r="M10" s="36" t="s">
        <v>20</v>
      </c>
      <c r="N10" s="64" t="s">
        <v>26</v>
      </c>
      <c r="O10" s="65" t="s">
        <v>14</v>
      </c>
      <c r="P10" s="66" t="s">
        <v>27</v>
      </c>
      <c r="Q10" s="67" t="s">
        <v>19</v>
      </c>
      <c r="R10" s="68" t="s">
        <v>20</v>
      </c>
      <c r="S10" s="53" t="s">
        <v>26</v>
      </c>
      <c r="T10" s="54" t="s">
        <v>14</v>
      </c>
      <c r="U10" s="55" t="s">
        <v>27</v>
      </c>
      <c r="V10" s="56" t="s">
        <v>19</v>
      </c>
      <c r="W10" s="57" t="s">
        <v>20</v>
      </c>
      <c r="X10" s="77" t="s">
        <v>26</v>
      </c>
      <c r="Y10" s="78" t="s">
        <v>14</v>
      </c>
      <c r="Z10" s="79" t="s">
        <v>27</v>
      </c>
      <c r="AA10" s="80" t="s">
        <v>19</v>
      </c>
      <c r="AB10" s="81" t="s">
        <v>20</v>
      </c>
      <c r="AC10" s="89" t="s">
        <v>26</v>
      </c>
      <c r="AD10" s="90" t="s">
        <v>14</v>
      </c>
      <c r="AE10" s="91" t="s">
        <v>27</v>
      </c>
      <c r="AF10" s="92" t="s">
        <v>19</v>
      </c>
      <c r="AG10" s="93" t="s">
        <v>20</v>
      </c>
      <c r="AH10" s="101" t="s">
        <v>26</v>
      </c>
      <c r="AI10" s="102" t="s">
        <v>14</v>
      </c>
      <c r="AJ10" s="103" t="s">
        <v>27</v>
      </c>
      <c r="AK10" s="104" t="s">
        <v>19</v>
      </c>
      <c r="AL10" s="105" t="s">
        <v>20</v>
      </c>
      <c r="AM10" s="113" t="s">
        <v>26</v>
      </c>
      <c r="AN10" s="114" t="s">
        <v>14</v>
      </c>
      <c r="AO10" s="115" t="s">
        <v>27</v>
      </c>
      <c r="AP10" s="116" t="s">
        <v>19</v>
      </c>
      <c r="AQ10" s="117" t="s">
        <v>20</v>
      </c>
      <c r="AR10" s="43" t="s">
        <v>26</v>
      </c>
      <c r="AS10" s="44" t="s">
        <v>14</v>
      </c>
      <c r="AT10" s="45" t="s">
        <v>27</v>
      </c>
      <c r="AU10" s="46" t="s">
        <v>19</v>
      </c>
      <c r="AV10" s="47" t="s">
        <v>20</v>
      </c>
    </row>
    <row r="11" spans="1:48" x14ac:dyDescent="0.25">
      <c r="A11" s="17" t="s">
        <v>21</v>
      </c>
      <c r="B11" s="13"/>
      <c r="C11" s="13"/>
      <c r="D11" s="14"/>
      <c r="E11" s="13"/>
      <c r="F11" s="16"/>
      <c r="G11" s="15"/>
      <c r="H11" s="13"/>
      <c r="I11" s="37"/>
      <c r="J11" s="37"/>
      <c r="K11" s="37"/>
      <c r="L11" s="38"/>
      <c r="M11" s="38"/>
      <c r="N11" s="69"/>
      <c r="O11" s="69"/>
      <c r="P11" s="69"/>
      <c r="Q11" s="70"/>
      <c r="R11" s="70"/>
      <c r="S11" s="58"/>
      <c r="T11" s="58"/>
      <c r="U11" s="58"/>
      <c r="V11" s="59"/>
      <c r="W11" s="59"/>
      <c r="X11" s="82"/>
      <c r="Y11" s="83"/>
      <c r="Z11" s="83"/>
      <c r="AA11" s="84"/>
      <c r="AB11" s="84"/>
      <c r="AC11" s="94"/>
      <c r="AD11" s="95"/>
      <c r="AE11" s="95"/>
      <c r="AF11" s="96"/>
      <c r="AG11" s="96"/>
      <c r="AH11" s="106"/>
      <c r="AI11" s="106"/>
      <c r="AJ11" s="106"/>
      <c r="AK11" s="107"/>
      <c r="AL11" s="107"/>
      <c r="AM11" s="118"/>
      <c r="AN11" s="119"/>
      <c r="AO11" s="119"/>
      <c r="AP11" s="120"/>
      <c r="AQ11" s="120"/>
      <c r="AR11" s="48"/>
      <c r="AS11" s="48"/>
      <c r="AT11" s="48"/>
      <c r="AU11" s="49"/>
      <c r="AV11" s="49"/>
    </row>
    <row r="12" spans="1:48" x14ac:dyDescent="0.25">
      <c r="A12" s="17" t="s">
        <v>22</v>
      </c>
      <c r="B12" s="13"/>
      <c r="C12" s="13"/>
      <c r="D12" s="14"/>
      <c r="E12" s="13"/>
      <c r="F12" s="16"/>
      <c r="G12" s="15"/>
      <c r="H12" s="15"/>
      <c r="I12" s="37"/>
      <c r="J12" s="37"/>
      <c r="K12" s="37"/>
      <c r="L12" s="38"/>
      <c r="M12" s="38"/>
      <c r="N12" s="69"/>
      <c r="O12" s="69"/>
      <c r="P12" s="69"/>
      <c r="Q12" s="69"/>
      <c r="R12" s="69"/>
      <c r="S12" s="58"/>
      <c r="T12" s="58"/>
      <c r="U12" s="58"/>
      <c r="V12" s="59"/>
      <c r="W12" s="59"/>
      <c r="X12" s="82"/>
      <c r="Y12" s="83"/>
      <c r="Z12" s="83"/>
      <c r="AA12" s="84"/>
      <c r="AB12" s="84"/>
      <c r="AC12" s="94"/>
      <c r="AD12" s="95"/>
      <c r="AE12" s="95"/>
      <c r="AF12" s="96"/>
      <c r="AG12" s="96"/>
      <c r="AH12" s="106"/>
      <c r="AI12" s="106"/>
      <c r="AJ12" s="106"/>
      <c r="AK12" s="107"/>
      <c r="AL12" s="107"/>
      <c r="AM12" s="119"/>
      <c r="AN12" s="119"/>
      <c r="AO12" s="119"/>
      <c r="AP12" s="120"/>
      <c r="AQ12" s="120"/>
      <c r="AR12" s="48"/>
      <c r="AS12" s="48"/>
      <c r="AT12" s="48"/>
      <c r="AU12" s="49"/>
      <c r="AV12" s="49"/>
    </row>
    <row r="13" spans="1:48" x14ac:dyDescent="0.25">
      <c r="A13" s="17" t="s">
        <v>23</v>
      </c>
      <c r="B13" s="13"/>
      <c r="C13" s="13"/>
      <c r="D13" s="14"/>
      <c r="E13" s="13"/>
      <c r="F13" s="16"/>
      <c r="G13" s="15"/>
      <c r="H13" s="15"/>
      <c r="I13" s="37"/>
      <c r="J13" s="37"/>
      <c r="K13" s="37"/>
      <c r="L13" s="38"/>
      <c r="M13" s="38"/>
      <c r="N13" s="69"/>
      <c r="O13" s="69"/>
      <c r="P13" s="69"/>
      <c r="Q13" s="69"/>
      <c r="R13" s="69"/>
      <c r="S13" s="58"/>
      <c r="T13" s="58"/>
      <c r="U13" s="58"/>
      <c r="V13" s="59"/>
      <c r="W13" s="59"/>
      <c r="X13" s="82"/>
      <c r="Y13" s="83"/>
      <c r="Z13" s="83"/>
      <c r="AA13" s="84"/>
      <c r="AB13" s="84"/>
      <c r="AC13" s="94"/>
      <c r="AD13" s="95"/>
      <c r="AE13" s="95"/>
      <c r="AF13" s="96"/>
      <c r="AG13" s="96"/>
      <c r="AH13" s="106"/>
      <c r="AI13" s="106"/>
      <c r="AJ13" s="106"/>
      <c r="AK13" s="107"/>
      <c r="AL13" s="107"/>
      <c r="AM13" s="118"/>
      <c r="AN13" s="119"/>
      <c r="AO13" s="119"/>
      <c r="AP13" s="120"/>
      <c r="AQ13" s="120"/>
      <c r="AR13" s="48"/>
      <c r="AS13" s="48"/>
      <c r="AT13" s="48"/>
      <c r="AU13" s="49"/>
      <c r="AV13" s="49"/>
    </row>
    <row r="14" spans="1:48" x14ac:dyDescent="0.25">
      <c r="A14" s="17" t="s">
        <v>24</v>
      </c>
      <c r="B14" s="13"/>
      <c r="C14" s="13"/>
      <c r="D14" s="14"/>
      <c r="E14" s="20"/>
      <c r="F14" s="16"/>
      <c r="G14" s="15"/>
      <c r="H14" s="15"/>
      <c r="I14" s="37"/>
      <c r="J14" s="37"/>
      <c r="K14" s="37"/>
      <c r="L14" s="38"/>
      <c r="M14" s="38"/>
      <c r="N14" s="69"/>
      <c r="O14" s="69"/>
      <c r="P14" s="69"/>
      <c r="Q14" s="69"/>
      <c r="R14" s="69"/>
      <c r="S14" s="58"/>
      <c r="T14" s="58"/>
      <c r="U14" s="58"/>
      <c r="V14" s="59"/>
      <c r="W14" s="59"/>
      <c r="X14" s="82"/>
      <c r="Y14" s="83"/>
      <c r="Z14" s="83"/>
      <c r="AA14" s="84"/>
      <c r="AB14" s="84"/>
      <c r="AC14" s="97"/>
      <c r="AD14" s="95"/>
      <c r="AE14" s="95"/>
      <c r="AF14" s="96"/>
      <c r="AG14" s="96"/>
      <c r="AH14" s="106"/>
      <c r="AI14" s="106"/>
      <c r="AJ14" s="106"/>
      <c r="AK14" s="107"/>
      <c r="AL14" s="107"/>
      <c r="AM14" s="119"/>
      <c r="AN14" s="119"/>
      <c r="AO14" s="119"/>
      <c r="AP14" s="120"/>
      <c r="AQ14" s="120"/>
      <c r="AR14" s="48"/>
      <c r="AS14" s="48"/>
      <c r="AT14" s="48"/>
      <c r="AU14" s="49"/>
      <c r="AV14" s="49"/>
    </row>
    <row r="15" spans="1:48" x14ac:dyDescent="0.25">
      <c r="A15" s="17" t="s">
        <v>25</v>
      </c>
      <c r="B15" s="13"/>
      <c r="C15" s="13"/>
      <c r="D15" s="14"/>
      <c r="E15" s="13"/>
      <c r="F15" s="16"/>
      <c r="G15" s="15"/>
      <c r="H15" s="15"/>
      <c r="I15" s="37"/>
      <c r="J15" s="37"/>
      <c r="K15" s="37"/>
      <c r="L15" s="38"/>
      <c r="M15" s="38"/>
      <c r="N15" s="69"/>
      <c r="O15" s="69"/>
      <c r="P15" s="69"/>
      <c r="Q15" s="69"/>
      <c r="R15" s="69"/>
      <c r="S15" s="58"/>
      <c r="T15" s="58"/>
      <c r="U15" s="58"/>
      <c r="V15" s="59"/>
      <c r="W15" s="59"/>
      <c r="X15" s="82"/>
      <c r="Y15" s="83"/>
      <c r="Z15" s="83"/>
      <c r="AA15" s="84"/>
      <c r="AB15" s="84"/>
      <c r="AC15" s="97"/>
      <c r="AD15" s="95"/>
      <c r="AE15" s="95"/>
      <c r="AF15" s="96"/>
      <c r="AG15" s="96"/>
      <c r="AH15" s="106"/>
      <c r="AI15" s="106"/>
      <c r="AJ15" s="106"/>
      <c r="AK15" s="107"/>
      <c r="AL15" s="107"/>
      <c r="AM15" s="119"/>
      <c r="AN15" s="119"/>
      <c r="AO15" s="119"/>
      <c r="AP15" s="120"/>
      <c r="AQ15" s="120"/>
      <c r="AR15" s="48"/>
      <c r="AS15" s="48"/>
      <c r="AT15" s="48"/>
      <c r="AU15" s="49"/>
      <c r="AV15" s="49"/>
    </row>
    <row r="16" spans="1:48" x14ac:dyDescent="0.25">
      <c r="E16" s="19"/>
      <c r="S16" s="71"/>
      <c r="AC16" s="121"/>
      <c r="AR16" s="71"/>
    </row>
    <row r="17" spans="4:5" x14ac:dyDescent="0.25">
      <c r="D17" s="21"/>
      <c r="E17" s="19"/>
    </row>
  </sheetData>
  <mergeCells count="5">
    <mergeCell ref="C2:D2"/>
    <mergeCell ref="B3:D3"/>
    <mergeCell ref="B7:C7"/>
    <mergeCell ref="B8:C8"/>
    <mergeCell ref="B9:C9"/>
  </mergeCells>
  <pageMargins left="0.7" right="0.7" top="0.75" bottom="0.75" header="0.3" footer="0.3"/>
  <pageSetup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workbookViewId="0">
      <selection activeCell="C2" sqref="C2:D2"/>
    </sheetView>
  </sheetViews>
  <sheetFormatPr defaultColWidth="8.85546875" defaultRowHeight="15" x14ac:dyDescent="0.25"/>
  <cols>
    <col min="2" max="2" width="16" customWidth="1"/>
    <col min="4" max="4" width="16" customWidth="1"/>
    <col min="5" max="5" width="46.42578125" customWidth="1"/>
    <col min="6" max="6" width="12.42578125" customWidth="1"/>
    <col min="7" max="7" width="11.85546875" customWidth="1"/>
    <col min="12" max="12" width="10.28515625" customWidth="1"/>
  </cols>
  <sheetData>
    <row r="1" spans="1:17" ht="18.75" x14ac:dyDescent="0.3">
      <c r="A1" s="3"/>
      <c r="B1" s="18" t="s">
        <v>0</v>
      </c>
      <c r="C1" s="4"/>
      <c r="D1" s="5"/>
      <c r="F1" s="6" t="s">
        <v>1</v>
      </c>
    </row>
    <row r="2" spans="1:17" ht="18.75" x14ac:dyDescent="0.3">
      <c r="A2" s="3"/>
      <c r="B2" s="18" t="s">
        <v>2</v>
      </c>
      <c r="C2" s="250"/>
      <c r="D2" s="250"/>
      <c r="E2" s="3"/>
    </row>
    <row r="3" spans="1:17" ht="15.75" x14ac:dyDescent="0.25">
      <c r="A3" s="3"/>
      <c r="B3" s="251"/>
      <c r="C3" s="251"/>
      <c r="D3" s="251"/>
      <c r="E3" s="7"/>
    </row>
    <row r="4" spans="1:17" ht="18.75" x14ac:dyDescent="0.3">
      <c r="A4" s="3"/>
      <c r="B4" s="19"/>
      <c r="C4" s="4"/>
      <c r="E4" s="128" t="s">
        <v>28</v>
      </c>
      <c r="F4" s="2" t="s">
        <v>3</v>
      </c>
    </row>
    <row r="5" spans="1:17" x14ac:dyDescent="0.25">
      <c r="E5" s="19"/>
    </row>
    <row r="6" spans="1:17" ht="15.75" x14ac:dyDescent="0.25">
      <c r="E6" s="129" t="s">
        <v>34</v>
      </c>
    </row>
    <row r="10" spans="1:17" s="127" customFormat="1" ht="47.25" x14ac:dyDescent="0.25">
      <c r="A10" s="122" t="s">
        <v>9</v>
      </c>
      <c r="B10" s="123" t="s">
        <v>10</v>
      </c>
      <c r="C10" s="124" t="s">
        <v>29</v>
      </c>
      <c r="D10" s="122" t="s">
        <v>11</v>
      </c>
      <c r="E10" s="123" t="s">
        <v>12</v>
      </c>
      <c r="F10" s="122" t="s">
        <v>30</v>
      </c>
      <c r="G10" s="123" t="s">
        <v>31</v>
      </c>
      <c r="H10" s="123" t="s">
        <v>17</v>
      </c>
      <c r="I10" s="123" t="s">
        <v>32</v>
      </c>
      <c r="J10" s="122" t="s">
        <v>33</v>
      </c>
      <c r="K10" s="123" t="s">
        <v>14</v>
      </c>
      <c r="L10" s="122" t="s">
        <v>15</v>
      </c>
      <c r="M10" s="125" t="s">
        <v>19</v>
      </c>
      <c r="N10" s="126" t="s">
        <v>20</v>
      </c>
    </row>
    <row r="11" spans="1:17" ht="45" x14ac:dyDescent="0.25">
      <c r="F11" s="130" t="s">
        <v>36</v>
      </c>
      <c r="G11" t="s">
        <v>35</v>
      </c>
    </row>
    <row r="12" spans="1:17" ht="18.75" x14ac:dyDescent="0.3">
      <c r="A12" s="131"/>
      <c r="B12" s="132"/>
      <c r="C12" s="131"/>
      <c r="E12" s="133" t="s">
        <v>37</v>
      </c>
      <c r="F12" s="134"/>
      <c r="G12" s="135"/>
      <c r="H12" s="136"/>
      <c r="I12" s="137"/>
      <c r="J12" s="138"/>
      <c r="K12" s="139"/>
      <c r="L12" s="140"/>
      <c r="M12" s="137"/>
      <c r="N12" s="137"/>
      <c r="O12" s="141"/>
      <c r="P12" s="142"/>
      <c r="Q12" s="142"/>
    </row>
    <row r="13" spans="1:17" s="156" customFormat="1" ht="16.5" thickBot="1" x14ac:dyDescent="0.3">
      <c r="A13" s="143" t="s">
        <v>40</v>
      </c>
      <c r="B13" s="144"/>
      <c r="C13" s="145"/>
      <c r="D13" s="146"/>
      <c r="E13" s="147"/>
      <c r="F13" s="145"/>
      <c r="G13" s="148"/>
      <c r="H13" s="149"/>
      <c r="I13" s="145"/>
      <c r="J13" s="150"/>
      <c r="K13" s="146"/>
      <c r="L13" s="151"/>
      <c r="M13" s="152"/>
      <c r="N13" s="153">
        <f>SUM(N14:N14)</f>
        <v>0</v>
      </c>
      <c r="O13" s="154"/>
      <c r="P13" s="155"/>
      <c r="Q13" s="155"/>
    </row>
    <row r="14" spans="1:17" s="164" customFormat="1" ht="18" customHeight="1" x14ac:dyDescent="0.25">
      <c r="A14" s="157"/>
      <c r="B14" s="13"/>
      <c r="C14" s="158"/>
      <c r="D14" s="157"/>
      <c r="E14" s="14"/>
      <c r="F14" s="157"/>
      <c r="G14" s="157"/>
      <c r="H14" s="159"/>
      <c r="I14" s="160"/>
      <c r="J14" s="161"/>
      <c r="K14" s="162"/>
      <c r="L14" s="162"/>
      <c r="M14" s="163"/>
      <c r="N14" s="163">
        <f>M14*2112</f>
        <v>0</v>
      </c>
    </row>
    <row r="15" spans="1:17" ht="18.75" x14ac:dyDescent="0.3">
      <c r="A15" s="131"/>
      <c r="B15" s="132"/>
      <c r="C15" s="165" t="s">
        <v>39</v>
      </c>
      <c r="E15" s="133" t="s">
        <v>37</v>
      </c>
      <c r="F15" s="166"/>
      <c r="G15" s="135" t="s">
        <v>38</v>
      </c>
      <c r="H15" s="136"/>
      <c r="I15" s="137"/>
      <c r="J15" s="138"/>
      <c r="K15" s="139"/>
      <c r="L15" s="140"/>
      <c r="M15" s="137"/>
      <c r="N15" s="137"/>
      <c r="O15" s="141"/>
      <c r="P15" s="142"/>
      <c r="Q15" s="142"/>
    </row>
    <row r="16" spans="1:17" s="156" customFormat="1" ht="16.5" thickBot="1" x14ac:dyDescent="0.3">
      <c r="A16" s="143"/>
      <c r="B16" s="144"/>
      <c r="C16" s="145"/>
      <c r="D16" s="146"/>
      <c r="E16" s="147"/>
      <c r="F16" s="145"/>
      <c r="G16" s="148"/>
      <c r="H16" s="149"/>
      <c r="I16" s="145"/>
      <c r="J16" s="150"/>
      <c r="K16" s="146"/>
      <c r="L16" s="151"/>
      <c r="M16" s="152"/>
      <c r="N16" s="153">
        <f>SUM(N17:N17)</f>
        <v>0</v>
      </c>
      <c r="O16" s="154"/>
      <c r="P16" s="155"/>
      <c r="Q16" s="155"/>
    </row>
    <row r="17" spans="1:17" s="164" customFormat="1" ht="18" customHeight="1" x14ac:dyDescent="0.25">
      <c r="A17" s="157"/>
      <c r="B17" s="11"/>
      <c r="C17" s="158"/>
      <c r="D17" s="157"/>
      <c r="E17" s="14"/>
      <c r="F17" s="157"/>
      <c r="G17" s="157"/>
      <c r="H17" s="167"/>
      <c r="I17" s="160"/>
      <c r="J17" s="168"/>
      <c r="K17" s="11"/>
      <c r="L17" s="11"/>
      <c r="M17" s="169"/>
      <c r="N17" s="169">
        <f>M17*60</f>
        <v>0</v>
      </c>
    </row>
    <row r="18" spans="1:17" ht="18.75" x14ac:dyDescent="0.3">
      <c r="A18" s="131"/>
      <c r="B18" s="132"/>
      <c r="C18" s="165" t="s">
        <v>39</v>
      </c>
      <c r="E18" s="133" t="s">
        <v>37</v>
      </c>
      <c r="F18" s="170"/>
      <c r="G18" s="135" t="s">
        <v>38</v>
      </c>
      <c r="H18" s="136"/>
      <c r="I18" s="137"/>
      <c r="J18" s="138"/>
      <c r="K18" s="139"/>
      <c r="L18" s="140"/>
      <c r="M18" s="137"/>
      <c r="N18" s="137"/>
      <c r="O18" s="141"/>
      <c r="P18" s="142"/>
      <c r="Q18" s="142"/>
    </row>
    <row r="19" spans="1:17" s="156" customFormat="1" ht="16.5" thickBot="1" x14ac:dyDescent="0.3">
      <c r="A19" s="143"/>
      <c r="B19" s="144"/>
      <c r="C19" s="145"/>
      <c r="D19" s="146"/>
      <c r="E19" s="147"/>
      <c r="F19" s="144"/>
      <c r="G19" s="148"/>
      <c r="H19" s="149"/>
      <c r="I19" s="145"/>
      <c r="J19" s="150"/>
      <c r="K19" s="146"/>
      <c r="L19" s="151"/>
      <c r="M19" s="152"/>
      <c r="N19" s="153">
        <f>SUM(N20:N21)</f>
        <v>0</v>
      </c>
      <c r="O19" s="154"/>
      <c r="P19" s="155"/>
      <c r="Q19" s="155"/>
    </row>
    <row r="20" spans="1:17" s="164" customFormat="1" x14ac:dyDescent="0.25">
      <c r="A20" s="157"/>
      <c r="B20" s="13"/>
      <c r="C20" s="171"/>
      <c r="D20" s="11"/>
      <c r="E20" s="14"/>
      <c r="F20" s="11"/>
      <c r="G20" s="11"/>
      <c r="H20" s="11"/>
      <c r="I20" s="169"/>
      <c r="J20" s="172"/>
      <c r="K20" s="11"/>
      <c r="L20" s="11"/>
      <c r="M20" s="169"/>
      <c r="N20" s="169">
        <f>M20*516</f>
        <v>0</v>
      </c>
    </row>
    <row r="21" spans="1:17" s="164" customFormat="1" ht="18" customHeight="1" x14ac:dyDescent="0.25">
      <c r="A21" s="157"/>
      <c r="B21" s="13"/>
      <c r="C21" s="158"/>
      <c r="D21" s="11"/>
      <c r="E21" s="14"/>
      <c r="F21" s="11"/>
      <c r="G21" s="11"/>
      <c r="H21" s="11"/>
      <c r="I21" s="169"/>
      <c r="J21" s="173"/>
      <c r="K21" s="174"/>
      <c r="L21" s="11"/>
      <c r="M21" s="169"/>
      <c r="N21" s="169">
        <f>M21*424</f>
        <v>0</v>
      </c>
    </row>
    <row r="22" spans="1:17" ht="18.75" x14ac:dyDescent="0.3">
      <c r="A22" s="131"/>
      <c r="B22" s="132"/>
      <c r="C22" s="165" t="s">
        <v>39</v>
      </c>
      <c r="E22" s="133" t="s">
        <v>37</v>
      </c>
      <c r="F22" s="170"/>
      <c r="G22" s="135" t="s">
        <v>38</v>
      </c>
      <c r="H22" s="136"/>
      <c r="I22" s="137"/>
      <c r="J22" s="138"/>
      <c r="K22" s="139"/>
      <c r="L22" s="140"/>
      <c r="M22" s="137"/>
      <c r="N22" s="137"/>
      <c r="O22" s="141"/>
      <c r="P22" s="142"/>
      <c r="Q22" s="142"/>
    </row>
    <row r="23" spans="1:17" s="156" customFormat="1" ht="16.5" thickBot="1" x14ac:dyDescent="0.3">
      <c r="A23" s="143"/>
      <c r="B23" s="144"/>
      <c r="C23" s="145"/>
      <c r="D23" s="146"/>
      <c r="E23" s="147"/>
      <c r="F23" s="144"/>
      <c r="G23" s="148"/>
      <c r="H23" s="149"/>
      <c r="I23" s="145"/>
      <c r="J23" s="150"/>
      <c r="K23" s="146"/>
      <c r="L23" s="151"/>
      <c r="M23" s="152"/>
      <c r="N23" s="153">
        <f>SUM(N24:N26)</f>
        <v>0</v>
      </c>
      <c r="O23" s="154"/>
      <c r="P23" s="155"/>
      <c r="Q23" s="155"/>
    </row>
    <row r="24" spans="1:17" s="156" customFormat="1" x14ac:dyDescent="0.25">
      <c r="A24" s="175"/>
      <c r="B24" s="13"/>
      <c r="C24" s="176"/>
      <c r="D24" s="177"/>
      <c r="E24" s="14"/>
      <c r="F24" s="175"/>
      <c r="G24" s="177"/>
      <c r="H24" s="177"/>
      <c r="I24" s="177"/>
      <c r="J24" s="178"/>
      <c r="K24" s="177"/>
      <c r="L24" s="179"/>
      <c r="M24" s="180"/>
      <c r="N24" s="181">
        <f>M24*72</f>
        <v>0</v>
      </c>
      <c r="O24" s="154"/>
      <c r="P24" s="155"/>
      <c r="Q24" s="155"/>
    </row>
    <row r="25" spans="1:17" s="164" customFormat="1" ht="18" customHeight="1" x14ac:dyDescent="0.25">
      <c r="A25" s="157"/>
      <c r="B25" s="13"/>
      <c r="C25" s="158"/>
      <c r="D25" s="11"/>
      <c r="E25" s="182"/>
      <c r="F25" s="11"/>
      <c r="G25" s="11"/>
      <c r="H25" s="11"/>
      <c r="I25" s="169"/>
      <c r="J25" s="172"/>
      <c r="K25" s="11"/>
      <c r="L25" s="11"/>
      <c r="M25" s="169"/>
      <c r="N25" s="169">
        <f>M25*1200</f>
        <v>0</v>
      </c>
    </row>
    <row r="26" spans="1:17" s="164" customFormat="1" ht="18" customHeight="1" x14ac:dyDescent="0.25">
      <c r="A26" s="185"/>
      <c r="B26" s="13"/>
      <c r="C26" s="158"/>
      <c r="D26" s="11"/>
      <c r="E26" s="14"/>
      <c r="F26" s="11"/>
      <c r="G26" s="11"/>
      <c r="H26" s="11"/>
      <c r="I26" s="169"/>
      <c r="J26" s="172"/>
      <c r="K26" s="11"/>
      <c r="L26" s="11"/>
      <c r="M26" s="169"/>
      <c r="N26" s="169">
        <f>M26*1200</f>
        <v>0</v>
      </c>
    </row>
    <row r="27" spans="1:17" ht="18.75" x14ac:dyDescent="0.3">
      <c r="A27" s="131"/>
      <c r="B27" s="132"/>
      <c r="C27" s="165"/>
      <c r="E27" s="133" t="s">
        <v>37</v>
      </c>
      <c r="F27" s="170"/>
      <c r="G27" s="135" t="s">
        <v>38</v>
      </c>
      <c r="H27" s="136"/>
      <c r="I27" s="137"/>
      <c r="J27" s="138"/>
      <c r="K27" s="139"/>
      <c r="L27" s="140"/>
      <c r="M27" s="137"/>
      <c r="N27" s="137"/>
      <c r="O27" s="141"/>
      <c r="P27" s="142"/>
      <c r="Q27" s="142"/>
    </row>
    <row r="28" spans="1:17" s="156" customFormat="1" ht="16.5" thickBot="1" x14ac:dyDescent="0.3">
      <c r="A28" s="143" t="s">
        <v>40</v>
      </c>
      <c r="B28" s="144"/>
      <c r="C28" s="145"/>
      <c r="D28" s="146"/>
      <c r="E28" s="147"/>
      <c r="F28" s="144"/>
      <c r="G28" s="148"/>
      <c r="H28" s="149"/>
      <c r="I28" s="145"/>
      <c r="J28" s="150"/>
      <c r="K28" s="146"/>
      <c r="L28" s="151"/>
      <c r="M28" s="152"/>
      <c r="N28" s="153">
        <f>SUM(N29:N30)</f>
        <v>0</v>
      </c>
      <c r="O28" s="154"/>
      <c r="P28" s="155"/>
      <c r="Q28" s="155"/>
    </row>
    <row r="29" spans="1:17" s="156" customFormat="1" x14ac:dyDescent="0.25">
      <c r="A29" s="175"/>
      <c r="B29" s="13"/>
      <c r="C29" s="175"/>
      <c r="D29" s="177"/>
      <c r="E29" s="14"/>
      <c r="F29" s="177"/>
      <c r="G29" s="177"/>
      <c r="H29" s="177"/>
      <c r="I29" s="179"/>
      <c r="J29" s="178"/>
      <c r="K29" s="177"/>
      <c r="L29" s="179"/>
      <c r="M29" s="180"/>
      <c r="N29" s="181">
        <f>M29*3648</f>
        <v>0</v>
      </c>
      <c r="O29" s="154"/>
      <c r="P29" s="155"/>
      <c r="Q29" s="155"/>
    </row>
    <row r="30" spans="1:17" s="164" customFormat="1" ht="18" customHeight="1" x14ac:dyDescent="0.25">
      <c r="A30" s="157"/>
      <c r="B30" s="13"/>
      <c r="C30" s="171"/>
      <c r="D30" s="11"/>
      <c r="E30" s="14"/>
      <c r="F30" s="11"/>
      <c r="G30" s="11"/>
      <c r="H30" s="11"/>
      <c r="I30" s="169"/>
      <c r="J30" s="172"/>
      <c r="K30" s="11"/>
      <c r="L30" s="11"/>
      <c r="M30" s="183"/>
      <c r="N30" s="184">
        <f>M30*240</f>
        <v>0</v>
      </c>
    </row>
  </sheetData>
  <mergeCells count="2">
    <mergeCell ref="C2:D2"/>
    <mergeCell ref="B3:D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Pharmacy List</vt:lpstr>
      <vt:lpstr>Abstract of Offerors</vt:lpstr>
      <vt:lpstr>Awards</vt:lpstr>
    </vt:vector>
  </TitlesOfParts>
  <Company>Veteran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Manderscheid, Josie M.</dc:creator>
  <cp:lastModifiedBy>Mann, Kelly L.</cp:lastModifiedBy>
  <dcterms:created xsi:type="dcterms:W3CDTF">2013-11-05T17:17:20Z</dcterms:created>
  <dcterms:modified xsi:type="dcterms:W3CDTF">2026-05-05T20:46:11Z</dcterms:modified>
</cp:coreProperties>
</file>