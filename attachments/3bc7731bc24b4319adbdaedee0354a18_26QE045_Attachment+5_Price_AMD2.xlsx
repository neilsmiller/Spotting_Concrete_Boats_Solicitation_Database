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nnie.Swailes\Downloads\"/>
    </mc:Choice>
  </mc:AlternateContent>
  <xr:revisionPtr revIDLastSave="0" documentId="8_{47A04B82-9060-4CC9-9379-1A5414CAC86A}" xr6:coauthVersionLast="47" xr6:coauthVersionMax="47" xr10:uidLastSave="{00000000-0000-0000-0000-000000000000}"/>
  <workbookProtection workbookAlgorithmName="SHA-512" workbookHashValue="MoZQmZjX1zXkryCM0SFO+19qD6Vtu4lYa+OibkQtMc0JVl3QTwfkUnbv6tQZq6q8ozaiVgyCxOKr4Vh7uE6y7g==" workbookSaltValue="CbLtpEJTlz2O9wiO/qHgQg==" workbookSpinCount="100000" lockStructure="1"/>
  <bookViews>
    <workbookView xWindow="28680" yWindow="-120" windowWidth="29040" windowHeight="15720" activeTab="1" xr2:uid="{0BD6B9F7-1A29-4A31-A86F-50F0F613FB06}"/>
  </bookViews>
  <sheets>
    <sheet name="Summary" sheetId="2" r:id="rId1"/>
    <sheet name="Japan Safety A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8" i="1" l="1"/>
  <c r="P37" i="1"/>
  <c r="P36" i="1"/>
  <c r="P35" i="1"/>
  <c r="P34" i="1"/>
  <c r="P33" i="1"/>
  <c r="P31" i="1"/>
  <c r="P30" i="1"/>
  <c r="P29" i="1"/>
  <c r="P28" i="1"/>
  <c r="P27" i="1"/>
  <c r="P26" i="1"/>
  <c r="P24" i="1"/>
  <c r="P23" i="1"/>
  <c r="P22" i="1"/>
  <c r="P21" i="1"/>
  <c r="P20" i="1"/>
  <c r="P19" i="1"/>
  <c r="E135" i="1"/>
  <c r="E137" i="1"/>
  <c r="E134" i="1"/>
  <c r="F134" i="1" s="1"/>
  <c r="E136" i="1"/>
  <c r="E146" i="1"/>
  <c r="E145" i="1"/>
  <c r="E144" i="1"/>
  <c r="E143" i="1"/>
  <c r="E142" i="1"/>
  <c r="E141" i="1"/>
  <c r="E139" i="1"/>
  <c r="F139" i="1" s="1"/>
  <c r="F15" i="1"/>
  <c r="F12" i="1"/>
  <c r="F43" i="1"/>
  <c r="F48" i="1"/>
  <c r="F61" i="1"/>
  <c r="F93" i="1"/>
  <c r="F119" i="1"/>
  <c r="F24" i="1"/>
  <c r="F146" i="1" l="1"/>
  <c r="F145" i="1"/>
  <c r="F144" i="1"/>
  <c r="F143" i="1"/>
  <c r="F142" i="1"/>
  <c r="F141" i="1"/>
  <c r="F138" i="1"/>
  <c r="F137" i="1"/>
  <c r="F136" i="1"/>
  <c r="F135" i="1"/>
  <c r="F102" i="1"/>
  <c r="F101" i="1"/>
  <c r="F100" i="1"/>
  <c r="F99" i="1"/>
  <c r="F98" i="1"/>
  <c r="F97" i="1"/>
  <c r="F77" i="1"/>
  <c r="F76" i="1"/>
  <c r="F75" i="1"/>
  <c r="F74" i="1"/>
  <c r="F73" i="1"/>
  <c r="F72" i="1"/>
  <c r="F52" i="1"/>
  <c r="F51" i="1"/>
  <c r="F50" i="1"/>
  <c r="F49" i="1"/>
  <c r="F47" i="1"/>
  <c r="F127" i="1"/>
  <c r="F126" i="1"/>
  <c r="F125" i="1"/>
  <c r="F124" i="1"/>
  <c r="F123" i="1"/>
  <c r="F122" i="1"/>
  <c r="F27" i="1"/>
  <c r="F26" i="1"/>
  <c r="F25" i="1"/>
  <c r="F23" i="1"/>
  <c r="F22" i="1"/>
  <c r="F117" i="1"/>
  <c r="F33" i="1"/>
  <c r="F120" i="1"/>
  <c r="F118" i="1"/>
  <c r="F116" i="1"/>
  <c r="F115" i="1"/>
  <c r="F113" i="1"/>
  <c r="F112" i="1"/>
  <c r="F111" i="1"/>
  <c r="F110" i="1"/>
  <c r="F109" i="1"/>
  <c r="F108" i="1"/>
  <c r="F95" i="1"/>
  <c r="F94" i="1"/>
  <c r="F92" i="1"/>
  <c r="F91" i="1"/>
  <c r="F90" i="1"/>
  <c r="F88" i="1"/>
  <c r="F87" i="1"/>
  <c r="F86" i="1"/>
  <c r="F85" i="1"/>
  <c r="F84" i="1"/>
  <c r="F83" i="1"/>
  <c r="F70" i="1"/>
  <c r="F69" i="1"/>
  <c r="F68" i="1"/>
  <c r="F67" i="1"/>
  <c r="F66" i="1"/>
  <c r="F65" i="1"/>
  <c r="F63" i="1"/>
  <c r="F62" i="1"/>
  <c r="F60" i="1"/>
  <c r="F59" i="1"/>
  <c r="F58" i="1"/>
  <c r="F45" i="1"/>
  <c r="F44" i="1"/>
  <c r="F42" i="1"/>
  <c r="F41" i="1"/>
  <c r="F40" i="1"/>
  <c r="F38" i="1"/>
  <c r="F37" i="1"/>
  <c r="F36" i="1"/>
  <c r="F35" i="1"/>
  <c r="F34" i="1"/>
  <c r="F9" i="1"/>
  <c r="F20" i="1"/>
  <c r="F19" i="1"/>
  <c r="F18" i="1"/>
  <c r="F17" i="1"/>
  <c r="F16" i="1"/>
  <c r="F13" i="1"/>
  <c r="F11" i="1"/>
  <c r="F10" i="1"/>
  <c r="F8" i="1"/>
  <c r="F147" i="1" l="1"/>
  <c r="C12" i="2" s="1"/>
  <c r="F128" i="1"/>
  <c r="C10" i="2" s="1"/>
  <c r="F78" i="1"/>
  <c r="C8" i="2" s="1"/>
  <c r="F53" i="1"/>
  <c r="C7" i="2" s="1"/>
  <c r="F28" i="1"/>
  <c r="C6" i="2" s="1"/>
  <c r="F103" i="1"/>
  <c r="C9" i="2" s="1"/>
  <c r="C11" i="2" l="1"/>
  <c r="C13" i="2" s="1"/>
</calcChain>
</file>

<file path=xl/sharedStrings.xml><?xml version="1.0" encoding="utf-8"?>
<sst xmlns="http://schemas.openxmlformats.org/spreadsheetml/2006/main" count="478" uniqueCount="186">
  <si>
    <t>DoWEA Pacific East District - Japan Military Community</t>
  </si>
  <si>
    <t>Mainland, Japan Bus Safety Attendant and Safety Aides</t>
  </si>
  <si>
    <t>Base Period and Options</t>
  </si>
  <si>
    <t>Mainland Japan Bus Safety Attendant/ Safety Aides</t>
  </si>
  <si>
    <t>Estimated Price</t>
  </si>
  <si>
    <t xml:space="preserve">Base Year </t>
  </si>
  <si>
    <t>Option Year 1</t>
  </si>
  <si>
    <t>Option Year 2</t>
  </si>
  <si>
    <t>Option Year 3</t>
  </si>
  <si>
    <t>Option Year 4</t>
  </si>
  <si>
    <t>Total Estimated Amounts (Base - Option Year 4)</t>
  </si>
  <si>
    <t>FAR 52.217-8</t>
  </si>
  <si>
    <t>Overall Estimated Amount</t>
  </si>
  <si>
    <r>
      <rPr>
        <b/>
        <u/>
        <sz val="12"/>
        <color rgb="FF000000"/>
        <rFont val="Times New Roman"/>
        <family val="1"/>
      </rPr>
      <t xml:space="preserve">Note for Base and Option Years </t>
    </r>
    <r>
      <rPr>
        <b/>
        <u/>
        <sz val="12"/>
        <color rgb="FF0033CC"/>
        <rFont val="Times New Roman"/>
        <family val="1"/>
      </rPr>
      <t xml:space="preserve">UNIT PRICES (U/Ps):
</t>
    </r>
    <r>
      <rPr>
        <b/>
        <sz val="12"/>
        <color rgb="FF000000"/>
        <rFont val="Times New Roman"/>
        <family val="1"/>
      </rPr>
      <t xml:space="preserve">Due to potential rounding/calculation errors, </t>
    </r>
    <r>
      <rPr>
        <b/>
        <u/>
        <sz val="12"/>
        <color rgb="FF000000"/>
        <rFont val="Times New Roman"/>
        <family val="1"/>
      </rPr>
      <t xml:space="preserve">do not </t>
    </r>
    <r>
      <rPr>
        <b/>
        <sz val="12"/>
        <color rgb="FF000000"/>
        <rFont val="Times New Roman"/>
        <family val="1"/>
      </rPr>
      <t>submit U/Ps with formula (i.e. escalation) in the U/P cells. To deconflict possible errors, the U/Ps specified will be evaluated based on their face value. For example, if a U/P is YEN1.20, then the face value of  YEN1.20 will be used, so the evaluated Total Cost might differ from the Offeror's stated Total Cost.</t>
    </r>
  </si>
  <si>
    <t>DoWEA Pacific East District - Mainland Japan Military Community</t>
  </si>
  <si>
    <t xml:space="preserve">  Mainland, Japan Bus Safety Attendant and Safety Aides</t>
  </si>
  <si>
    <t>PAC East SA/A</t>
  </si>
  <si>
    <t>Base Year  SY 2026 - 2027</t>
  </si>
  <si>
    <t>CLIN/SLIN</t>
  </si>
  <si>
    <t>Description</t>
  </si>
  <si>
    <t>Unit of Issue</t>
  </si>
  <si>
    <r>
      <rPr>
        <b/>
        <sz val="12"/>
        <color rgb="FF000000"/>
        <rFont val="Times New Roman"/>
        <family val="1"/>
      </rPr>
      <t xml:space="preserve"> Estimated</t>
    </r>
    <r>
      <rPr>
        <b/>
        <u/>
        <sz val="12"/>
        <color rgb="FF000000"/>
        <rFont val="Times New Roman"/>
        <family val="1"/>
      </rPr>
      <t xml:space="preserve"> Quantity</t>
    </r>
  </si>
  <si>
    <t>Unit Price</t>
  </si>
  <si>
    <t>Estimated Amounts</t>
  </si>
  <si>
    <t>0001</t>
  </si>
  <si>
    <t>PAC East Safety Attendant</t>
  </si>
  <si>
    <t>0001AA</t>
  </si>
  <si>
    <t>Iwakuni Safety Attendant</t>
  </si>
  <si>
    <t>0001AB</t>
  </si>
  <si>
    <t>Misawa Safety Attendant</t>
  </si>
  <si>
    <t>0001AC</t>
  </si>
  <si>
    <t>Sasebo Safety Attendant</t>
  </si>
  <si>
    <t>0001AD</t>
  </si>
  <si>
    <t>Yokosuka Safety Attendant</t>
  </si>
  <si>
    <t>0001AE</t>
  </si>
  <si>
    <t>Yokota Safety Attendant</t>
  </si>
  <si>
    <t>0001AF</t>
  </si>
  <si>
    <t>Zama/Atsugi Safety Attendant</t>
  </si>
  <si>
    <t>0002</t>
  </si>
  <si>
    <t>PAC East Safety Aide</t>
  </si>
  <si>
    <t>0002AA</t>
  </si>
  <si>
    <t>Iwakuni Safety Aide</t>
  </si>
  <si>
    <t>0002AB</t>
  </si>
  <si>
    <t>Misawa Safety Aide</t>
  </si>
  <si>
    <t>0002AC</t>
  </si>
  <si>
    <t>Sasebo Safety Aide</t>
  </si>
  <si>
    <t>0002AD</t>
  </si>
  <si>
    <t>Yokosuka Safety Aide</t>
  </si>
  <si>
    <t>0002AE</t>
  </si>
  <si>
    <t>Yokota Safety Aide</t>
  </si>
  <si>
    <t>0002AF</t>
  </si>
  <si>
    <t>Zama/Atsugi Safety Aide</t>
  </si>
  <si>
    <t>0003</t>
  </si>
  <si>
    <t>PAC East ESY Safety Aide</t>
  </si>
  <si>
    <t>0003AA</t>
  </si>
  <si>
    <t>Iwakuni ESY Safety Aide</t>
  </si>
  <si>
    <t>0003AB</t>
  </si>
  <si>
    <t>Misawa ESY Safety Aide</t>
  </si>
  <si>
    <t>0003AC</t>
  </si>
  <si>
    <t>Sasebo ESY Safety Aide</t>
  </si>
  <si>
    <t>0003AD</t>
  </si>
  <si>
    <t>Yokosuka ESY Safety Aide</t>
  </si>
  <si>
    <t>0003AE</t>
  </si>
  <si>
    <t>Yokota ESY Safety Aide</t>
  </si>
  <si>
    <t>0003AF</t>
  </si>
  <si>
    <t>Zama/Atsugi ESY Safety Aide</t>
  </si>
  <si>
    <t>BASE YEAR TOTAL</t>
  </si>
  <si>
    <t> </t>
  </si>
  <si>
    <t>Option Year 1 SY 2027 - 2028</t>
  </si>
  <si>
    <t>1001</t>
  </si>
  <si>
    <t>1001AA</t>
  </si>
  <si>
    <t>1001AB</t>
  </si>
  <si>
    <t>1001AC</t>
  </si>
  <si>
    <t>1001AD</t>
  </si>
  <si>
    <t>1001AE</t>
  </si>
  <si>
    <t>1001AF</t>
  </si>
  <si>
    <t>1002</t>
  </si>
  <si>
    <t>1002AA</t>
  </si>
  <si>
    <t>1002AB</t>
  </si>
  <si>
    <t>1002AC</t>
  </si>
  <si>
    <t>1002AD</t>
  </si>
  <si>
    <t>1002AE</t>
  </si>
  <si>
    <t>1002AF</t>
  </si>
  <si>
    <t>1003</t>
  </si>
  <si>
    <t>1003AA</t>
  </si>
  <si>
    <t>1003AB</t>
  </si>
  <si>
    <t>1003AC</t>
  </si>
  <si>
    <t>1003AD</t>
  </si>
  <si>
    <t>1003AE</t>
  </si>
  <si>
    <t>1003AF</t>
  </si>
  <si>
    <t>OPTION YEAR 1 TOTAL</t>
  </si>
  <si>
    <t>Option Year 2  SY 2028 - 2029</t>
  </si>
  <si>
    <t>2001</t>
  </si>
  <si>
    <t>2001AA</t>
  </si>
  <si>
    <t>2001AB</t>
  </si>
  <si>
    <t>2001AC</t>
  </si>
  <si>
    <t>2001AD</t>
  </si>
  <si>
    <t>2001AE</t>
  </si>
  <si>
    <t>2001AF</t>
  </si>
  <si>
    <t>2002</t>
  </si>
  <si>
    <t>2002AA</t>
  </si>
  <si>
    <t>2002AB</t>
  </si>
  <si>
    <t>2002AC</t>
  </si>
  <si>
    <t>2002AD</t>
  </si>
  <si>
    <t>2002AE</t>
  </si>
  <si>
    <t>2002AF</t>
  </si>
  <si>
    <t>2003</t>
  </si>
  <si>
    <t>2003AA</t>
  </si>
  <si>
    <t>2003AB</t>
  </si>
  <si>
    <t>2003AC</t>
  </si>
  <si>
    <t>2003AD</t>
  </si>
  <si>
    <t>2003AE</t>
  </si>
  <si>
    <t>2003AF</t>
  </si>
  <si>
    <t>OPTION YEAR 2 TOTAL</t>
  </si>
  <si>
    <t>Option Year  3 SY 2029 - 2030</t>
  </si>
  <si>
    <t>3001</t>
  </si>
  <si>
    <t>3001AA</t>
  </si>
  <si>
    <t>3001AB</t>
  </si>
  <si>
    <t>3001AC</t>
  </si>
  <si>
    <t>3001AD</t>
  </si>
  <si>
    <t>3001AE</t>
  </si>
  <si>
    <t>3001AF</t>
  </si>
  <si>
    <t>3002</t>
  </si>
  <si>
    <t>3002AA</t>
  </si>
  <si>
    <t>3002AB</t>
  </si>
  <si>
    <t>3002AC</t>
  </si>
  <si>
    <t>3002AD</t>
  </si>
  <si>
    <t>3002AE</t>
  </si>
  <si>
    <t>3002AF</t>
  </si>
  <si>
    <t>3003</t>
  </si>
  <si>
    <t>3003AA</t>
  </si>
  <si>
    <t>3003AB</t>
  </si>
  <si>
    <t>3003AC</t>
  </si>
  <si>
    <t>3003AD</t>
  </si>
  <si>
    <t>3003AE</t>
  </si>
  <si>
    <t>3003AF</t>
  </si>
  <si>
    <t>OPTION YEAR 3 TOTAL</t>
  </si>
  <si>
    <t>Option Year 4  SY 2030 - 2031</t>
  </si>
  <si>
    <t>4004</t>
  </si>
  <si>
    <t>4001AA</t>
  </si>
  <si>
    <t>4001AB</t>
  </si>
  <si>
    <t>4001AC</t>
  </si>
  <si>
    <t>4001AD</t>
  </si>
  <si>
    <t>4001AE</t>
  </si>
  <si>
    <t>4001AF</t>
  </si>
  <si>
    <t>4002</t>
  </si>
  <si>
    <t>4002AA</t>
  </si>
  <si>
    <t>4002AB</t>
  </si>
  <si>
    <t>4002AC</t>
  </si>
  <si>
    <t>4002AD</t>
  </si>
  <si>
    <t>4002AE</t>
  </si>
  <si>
    <t>4002AF</t>
  </si>
  <si>
    <t>4003</t>
  </si>
  <si>
    <t>4003AA</t>
  </si>
  <si>
    <t>4003AB</t>
  </si>
  <si>
    <t>4003AC</t>
  </si>
  <si>
    <t>4003AD</t>
  </si>
  <si>
    <t>4003AE</t>
  </si>
  <si>
    <t>4003AF</t>
  </si>
  <si>
    <t>OPTION YEAR 4 TOTAL</t>
  </si>
  <si>
    <t>Japan Bus Safety Attendants and Safety Aides</t>
  </si>
  <si>
    <t xml:space="preserve">FAR 52.217-8 Option  </t>
  </si>
  <si>
    <t>FAR 52.217-8 Option to Extend Services may be exercised for an additional six (6) months of service to be exercised at any time during the contract. Considering the potential exercise of FAR 52.217-8, the unit prices proposed for Option Period 4 will be considered in making the award.</t>
  </si>
  <si>
    <t>5001</t>
  </si>
  <si>
    <t>5001AA</t>
  </si>
  <si>
    <t>5001AB</t>
  </si>
  <si>
    <t>5001AC</t>
  </si>
  <si>
    <t>5001AD</t>
  </si>
  <si>
    <t>5001AE</t>
  </si>
  <si>
    <t>5001AF</t>
  </si>
  <si>
    <t>5002</t>
  </si>
  <si>
    <t>5002AA</t>
  </si>
  <si>
    <t>5002AB</t>
  </si>
  <si>
    <t>5002AC</t>
  </si>
  <si>
    <t>5002AD</t>
  </si>
  <si>
    <t>5002AE</t>
  </si>
  <si>
    <t>5002AF</t>
  </si>
  <si>
    <t>FAR 52.217-8 OPTION TOTAL</t>
  </si>
  <si>
    <t xml:space="preserve"> HE125426QE045 - Attachment 5: Price</t>
  </si>
  <si>
    <t>Runs</t>
  </si>
  <si>
    <t>Workload Data</t>
  </si>
  <si>
    <t># Routes</t>
  </si>
  <si>
    <t># Runs/day</t>
  </si>
  <si>
    <t># School Days</t>
  </si>
  <si>
    <t>Total Run</t>
  </si>
  <si>
    <t>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</si>
</sst>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11]* #,##0.00_-;\-[$¥-411]* #,##0.00_-;_-[$¥-411]* &quot;-&quot;??_-;_-@_-"/>
    <numFmt numFmtId="165" formatCode="[$¥-411]#,##0.00"/>
  </numFmts>
  <fonts count="12" x14ac:knownFonts="1">
    <font>
      <sz val="11"/>
      <color theme="1"/>
      <name val="Aptos Narrow"/>
      <family val="2"/>
      <scheme val="minor"/>
    </font>
    <font>
      <sz val="11"/>
      <color theme="1"/>
      <name val="Aptos Narrow"/>
      <family val="2"/>
      <scheme val="minor"/>
    </font>
    <font>
      <b/>
      <sz val="12"/>
      <color rgb="FF000000"/>
      <name val="Times New Roman"/>
      <family val="1"/>
    </font>
    <font>
      <b/>
      <sz val="12"/>
      <name val="Times New Roman"/>
      <family val="1"/>
    </font>
    <font>
      <b/>
      <u/>
      <sz val="12"/>
      <color rgb="FF000000"/>
      <name val="Times New Roman"/>
      <family val="1"/>
    </font>
    <font>
      <sz val="12"/>
      <color rgb="FF000000"/>
      <name val="Times New Roman"/>
      <family val="1"/>
    </font>
    <font>
      <b/>
      <sz val="12"/>
      <color theme="1"/>
      <name val="Times New Roman"/>
      <family val="1"/>
    </font>
    <font>
      <b/>
      <u/>
      <sz val="12"/>
      <name val="Times New Roman"/>
      <family val="1"/>
    </font>
    <font>
      <b/>
      <u/>
      <sz val="12"/>
      <color rgb="FF0033CC"/>
      <name val="Times New Roman"/>
      <family val="1"/>
    </font>
    <font>
      <b/>
      <sz val="14"/>
      <color theme="1"/>
      <name val="Times New Roman"/>
      <family val="1"/>
    </font>
    <font>
      <sz val="12"/>
      <color theme="1"/>
      <name val="Times New Roman"/>
      <family val="1"/>
    </font>
    <font>
      <b/>
      <sz val="14"/>
      <color rgb="FF000000"/>
      <name val="Times New Roman"/>
      <family val="1"/>
    </font>
  </fonts>
  <fills count="19">
    <fill>
      <patternFill patternType="none"/>
    </fill>
    <fill>
      <patternFill patternType="gray125"/>
    </fill>
    <fill>
      <patternFill patternType="solid">
        <fgColor rgb="FF44B3E1"/>
        <bgColor rgb="FFFDE9D9"/>
      </patternFill>
    </fill>
    <fill>
      <patternFill patternType="solid">
        <fgColor rgb="FF44B3E1"/>
        <bgColor rgb="FF000000"/>
      </patternFill>
    </fill>
    <fill>
      <patternFill patternType="solid">
        <fgColor theme="0" tint="-0.249977111117893"/>
        <bgColor indexed="64"/>
      </patternFill>
    </fill>
    <fill>
      <patternFill patternType="solid">
        <fgColor rgb="FF00B0F0"/>
        <bgColor indexed="64"/>
      </patternFill>
    </fill>
    <fill>
      <patternFill patternType="solid">
        <fgColor rgb="FFFFFF00"/>
        <bgColor rgb="FF000000"/>
      </patternFill>
    </fill>
    <fill>
      <patternFill patternType="solid">
        <fgColor rgb="FFBFBFBF"/>
        <bgColor rgb="FF000000"/>
      </patternFill>
    </fill>
    <fill>
      <patternFill patternType="solid">
        <fgColor theme="9" tint="0.79998168889431442"/>
        <bgColor indexed="64"/>
      </patternFill>
    </fill>
    <fill>
      <patternFill patternType="solid">
        <fgColor rgb="FFF8CBAD"/>
        <bgColor rgb="FF000000"/>
      </patternFill>
    </fill>
    <fill>
      <patternFill patternType="solid">
        <fgColor rgb="FF92D050"/>
        <bgColor rgb="FFFDE9D9"/>
      </patternFill>
    </fill>
    <fill>
      <patternFill patternType="solid">
        <fgColor rgb="FF92D050"/>
        <bgColor rgb="FF000000"/>
      </patternFill>
    </fill>
    <fill>
      <patternFill patternType="solid">
        <fgColor theme="0" tint="-0.14999847407452621"/>
        <bgColor indexed="64"/>
      </patternFill>
    </fill>
    <fill>
      <patternFill patternType="solid">
        <fgColor rgb="FFCCFF66"/>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0" tint="-0.14999847407452621"/>
        <bgColor rgb="FF000000"/>
      </patternFill>
    </fill>
    <fill>
      <patternFill patternType="solid">
        <fgColor rgb="FFFFFF00"/>
        <bgColor indexed="64"/>
      </patternFill>
    </fill>
    <fill>
      <patternFill patternType="solid">
        <fgColor theme="6" tint="0.79998168889431442"/>
        <bgColor indexed="64"/>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top/>
      <bottom style="thin">
        <color indexed="64"/>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74">
    <xf numFmtId="0" fontId="0" fillId="0" borderId="0" xfId="0"/>
    <xf numFmtId="0" fontId="4" fillId="0" borderId="4" xfId="0" applyFont="1" applyBorder="1" applyAlignment="1">
      <alignment horizontal="lef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2" fillId="4" borderId="7" xfId="0" applyFont="1" applyFill="1" applyBorder="1" applyAlignment="1">
      <alignment vertical="center" wrapText="1"/>
    </xf>
    <xf numFmtId="0" fontId="4" fillId="4" borderId="0" xfId="0" applyFont="1" applyFill="1" applyAlignment="1">
      <alignment horizontal="center" vertical="center" wrapText="1"/>
    </xf>
    <xf numFmtId="0" fontId="5" fillId="0" borderId="9" xfId="0" applyFont="1" applyBorder="1" applyAlignment="1">
      <alignment horizontal="left"/>
    </xf>
    <xf numFmtId="0" fontId="5" fillId="0" borderId="10" xfId="0" applyFont="1" applyBorder="1"/>
    <xf numFmtId="3" fontId="5" fillId="5" borderId="12" xfId="0" applyNumberFormat="1" applyFont="1" applyFill="1" applyBorder="1" applyAlignment="1">
      <alignment horizontal="center"/>
    </xf>
    <xf numFmtId="165" fontId="5" fillId="0" borderId="11" xfId="0" applyNumberFormat="1" applyFont="1" applyBorder="1" applyAlignment="1">
      <alignment vertical="center" wrapText="1"/>
    </xf>
    <xf numFmtId="49" fontId="5" fillId="0" borderId="9" xfId="0" applyNumberFormat="1" applyFont="1" applyBorder="1"/>
    <xf numFmtId="0" fontId="5" fillId="0" borderId="7" xfId="0" applyFont="1" applyBorder="1"/>
    <xf numFmtId="0" fontId="5" fillId="0" borderId="13" xfId="0" applyFont="1" applyBorder="1"/>
    <xf numFmtId="0" fontId="5" fillId="0" borderId="13" xfId="0" applyFont="1" applyBorder="1" applyAlignment="1">
      <alignment horizontal="left"/>
    </xf>
    <xf numFmtId="0" fontId="5" fillId="0" borderId="10" xfId="0" applyFont="1" applyBorder="1" applyAlignment="1">
      <alignment horizontal="left"/>
    </xf>
    <xf numFmtId="0" fontId="5" fillId="5" borderId="14" xfId="0" applyFont="1" applyFill="1" applyBorder="1" applyAlignment="1">
      <alignment horizontal="center"/>
    </xf>
    <xf numFmtId="49" fontId="5" fillId="0" borderId="15" xfId="0" applyNumberFormat="1" applyFont="1" applyBorder="1"/>
    <xf numFmtId="0" fontId="2" fillId="7" borderId="1" xfId="0" applyFont="1" applyFill="1" applyBorder="1" applyAlignment="1">
      <alignment horizontal="left"/>
    </xf>
    <xf numFmtId="0" fontId="2" fillId="7" borderId="2" xfId="0" applyFont="1" applyFill="1" applyBorder="1" applyAlignment="1">
      <alignment horizontal="left"/>
    </xf>
    <xf numFmtId="0" fontId="2" fillId="7" borderId="2" xfId="0" applyFont="1" applyFill="1" applyBorder="1"/>
    <xf numFmtId="0" fontId="2" fillId="7" borderId="2" xfId="0" applyFont="1" applyFill="1" applyBorder="1" applyAlignment="1">
      <alignment vertical="center" wrapText="1"/>
    </xf>
    <xf numFmtId="165" fontId="2" fillId="7" borderId="17" xfId="0" applyNumberFormat="1" applyFont="1" applyFill="1" applyBorder="1" applyAlignment="1">
      <alignment vertical="center" wrapText="1"/>
    </xf>
    <xf numFmtId="0" fontId="2" fillId="4" borderId="7" xfId="0" applyFont="1" applyFill="1" applyBorder="1" applyAlignment="1">
      <alignment vertical="center"/>
    </xf>
    <xf numFmtId="0" fontId="5" fillId="0" borderId="16" xfId="0" applyFont="1" applyBorder="1"/>
    <xf numFmtId="3" fontId="5" fillId="5" borderId="13" xfId="0" applyNumberFormat="1" applyFont="1" applyFill="1" applyBorder="1" applyAlignment="1">
      <alignment horizontal="center"/>
    </xf>
    <xf numFmtId="0" fontId="6" fillId="12" borderId="21" xfId="0" applyFont="1" applyFill="1" applyBorder="1" applyAlignment="1">
      <alignment horizontal="center" vertical="center"/>
    </xf>
    <xf numFmtId="0" fontId="6" fillId="13" borderId="22" xfId="0" applyFont="1" applyFill="1" applyBorder="1" applyAlignment="1">
      <alignment horizontal="center" vertical="center"/>
    </xf>
    <xf numFmtId="165" fontId="5" fillId="0" borderId="23" xfId="1" applyNumberFormat="1" applyFont="1" applyFill="1" applyBorder="1"/>
    <xf numFmtId="165" fontId="5" fillId="0" borderId="24" xfId="1" applyNumberFormat="1" applyFont="1" applyFill="1" applyBorder="1"/>
    <xf numFmtId="165" fontId="2" fillId="4" borderId="26" xfId="1" applyNumberFormat="1" applyFont="1" applyFill="1" applyBorder="1"/>
    <xf numFmtId="165" fontId="5" fillId="0" borderId="27" xfId="1" applyNumberFormat="1" applyFont="1" applyFill="1" applyBorder="1"/>
    <xf numFmtId="49" fontId="2" fillId="15" borderId="9" xfId="0" applyNumberFormat="1" applyFont="1" applyFill="1" applyBorder="1"/>
    <xf numFmtId="164" fontId="5" fillId="16" borderId="11" xfId="0" applyNumberFormat="1" applyFont="1" applyFill="1" applyBorder="1" applyAlignment="1">
      <alignment vertical="center" wrapText="1"/>
    </xf>
    <xf numFmtId="164" fontId="5" fillId="6" borderId="11" xfId="0" applyNumberFormat="1" applyFont="1" applyFill="1" applyBorder="1" applyAlignment="1" applyProtection="1">
      <alignment vertical="center" wrapText="1"/>
      <protection locked="0"/>
    </xf>
    <xf numFmtId="0" fontId="10" fillId="0" borderId="9" xfId="0" applyFont="1" applyBorder="1" applyAlignment="1">
      <alignment horizontal="left" vertical="center"/>
    </xf>
    <xf numFmtId="0" fontId="10" fillId="0" borderId="15" xfId="0" applyFont="1" applyBorder="1" applyAlignment="1">
      <alignment horizontal="left" vertical="center"/>
    </xf>
    <xf numFmtId="0" fontId="6" fillId="4" borderId="25" xfId="0" applyFont="1" applyFill="1" applyBorder="1" applyAlignment="1">
      <alignment horizontal="left" vertical="center"/>
    </xf>
    <xf numFmtId="0" fontId="10" fillId="0" borderId="15" xfId="0" applyFont="1" applyBorder="1" applyAlignment="1">
      <alignment horizontal="left"/>
    </xf>
    <xf numFmtId="0" fontId="9" fillId="14" borderId="25" xfId="0" applyFont="1" applyFill="1" applyBorder="1" applyAlignment="1">
      <alignment horizontal="left"/>
    </xf>
    <xf numFmtId="165" fontId="11" fillId="14" borderId="26" xfId="1" applyNumberFormat="1" applyFont="1" applyFill="1" applyBorder="1"/>
    <xf numFmtId="0" fontId="5" fillId="17" borderId="11" xfId="0" applyFont="1" applyFill="1" applyBorder="1" applyAlignment="1">
      <alignment horizontal="center"/>
    </xf>
    <xf numFmtId="0" fontId="9" fillId="8" borderId="0" xfId="0" applyFont="1" applyFill="1" applyAlignment="1">
      <alignment horizontal="center"/>
    </xf>
    <xf numFmtId="0" fontId="10" fillId="8" borderId="0" xfId="0" applyFont="1" applyFill="1" applyAlignment="1">
      <alignment horizontal="center"/>
    </xf>
    <xf numFmtId="0" fontId="4" fillId="4" borderId="8" xfId="0" applyFont="1" applyFill="1" applyBorder="1" applyAlignment="1">
      <alignment horizontal="center" vertical="center" wrapText="1"/>
    </xf>
    <xf numFmtId="0" fontId="2" fillId="7" borderId="1" xfId="0" applyFont="1" applyFill="1" applyBorder="1" applyAlignment="1">
      <alignment horizontal="left"/>
    </xf>
    <xf numFmtId="0" fontId="2" fillId="7" borderId="2" xfId="0" applyFont="1" applyFill="1" applyBorder="1" applyAlignment="1">
      <alignment horizontal="left"/>
    </xf>
    <xf numFmtId="0" fontId="2" fillId="10" borderId="1" xfId="0" applyFont="1" applyFill="1" applyBorder="1"/>
    <xf numFmtId="0" fontId="2" fillId="10" borderId="2" xfId="0" applyFont="1" applyFill="1" applyBorder="1"/>
    <xf numFmtId="0" fontId="3" fillId="11" borderId="2" xfId="0" applyFont="1" applyFill="1" applyBorder="1"/>
    <xf numFmtId="0" fontId="3" fillId="11" borderId="3" xfId="0" applyFont="1" applyFill="1" applyBorder="1"/>
    <xf numFmtId="0" fontId="5" fillId="10" borderId="18" xfId="0" applyFont="1" applyFill="1" applyBorder="1" applyAlignment="1">
      <alignment wrapText="1"/>
    </xf>
    <xf numFmtId="0" fontId="5" fillId="10" borderId="19" xfId="0" applyFont="1" applyFill="1" applyBorder="1" applyAlignment="1">
      <alignment wrapText="1"/>
    </xf>
    <xf numFmtId="0" fontId="5" fillId="10" borderId="20" xfId="0" applyFont="1" applyFill="1" applyBorder="1" applyAlignment="1">
      <alignment wrapText="1"/>
    </xf>
    <xf numFmtId="0" fontId="2" fillId="2" borderId="1" xfId="0" applyFont="1" applyFill="1" applyBorder="1"/>
    <xf numFmtId="0" fontId="2" fillId="2" borderId="2" xfId="0" applyFont="1" applyFill="1" applyBorder="1"/>
    <xf numFmtId="0" fontId="3" fillId="3" borderId="2" xfId="0" applyFont="1" applyFill="1" applyBorder="1"/>
    <xf numFmtId="0" fontId="3" fillId="3" borderId="3" xfId="0" applyFont="1" applyFill="1" applyBorder="1"/>
    <xf numFmtId="0" fontId="7" fillId="9" borderId="0" xfId="0" applyFont="1" applyFill="1" applyAlignment="1">
      <alignment horizontal="center" wrapText="1"/>
    </xf>
    <xf numFmtId="0" fontId="6" fillId="8" borderId="0" xfId="0" applyFont="1" applyFill="1" applyAlignment="1">
      <alignment horizontal="center"/>
    </xf>
    <xf numFmtId="0" fontId="6" fillId="18" borderId="0" xfId="0" applyFont="1" applyFill="1" applyAlignment="1">
      <alignment horizontal="center"/>
    </xf>
    <xf numFmtId="0" fontId="2" fillId="15" borderId="28" xfId="0" applyFont="1" applyFill="1" applyBorder="1" applyAlignment="1">
      <alignment horizontal="center"/>
    </xf>
    <xf numFmtId="0" fontId="2" fillId="15" borderId="7" xfId="0" applyFont="1" applyFill="1" applyBorder="1" applyAlignment="1">
      <alignment horizontal="center"/>
    </xf>
    <xf numFmtId="0" fontId="10" fillId="0" borderId="0" xfId="0" applyFont="1"/>
    <xf numFmtId="0" fontId="6" fillId="0" borderId="0" xfId="0" applyFont="1" applyAlignment="1">
      <alignment horizontal="center"/>
    </xf>
    <xf numFmtId="0" fontId="5" fillId="0" borderId="13" xfId="0" applyFont="1" applyBorder="1" applyAlignment="1">
      <alignment horizontal="center"/>
    </xf>
    <xf numFmtId="0" fontId="5" fillId="5" borderId="13" xfId="0" applyFont="1" applyFill="1" applyBorder="1" applyAlignment="1">
      <alignment horizontal="center"/>
    </xf>
    <xf numFmtId="0" fontId="10" fillId="0" borderId="13" xfId="0" applyFont="1" applyBorder="1" applyAlignment="1">
      <alignment horizontal="center"/>
    </xf>
    <xf numFmtId="1" fontId="10" fillId="0" borderId="13" xfId="0" applyNumberFormat="1" applyFont="1" applyBorder="1" applyAlignment="1">
      <alignment horizontal="center"/>
    </xf>
    <xf numFmtId="0" fontId="2" fillId="15" borderId="10" xfId="0" applyFont="1" applyFill="1" applyBorder="1"/>
    <xf numFmtId="0" fontId="2" fillId="15" borderId="29" xfId="0" applyFont="1" applyFill="1" applyBorder="1"/>
    <xf numFmtId="1" fontId="10" fillId="0" borderId="0" xfId="0" applyNumberFormat="1" applyFont="1" applyAlignment="1">
      <alignment horizontal="center"/>
    </xf>
    <xf numFmtId="0" fontId="5" fillId="0" borderId="16" xfId="0" applyFont="1" applyBorder="1" applyAlignment="1">
      <alignment horizontal="center"/>
    </xf>
    <xf numFmtId="0" fontId="5" fillId="0" borderId="14" xfId="0"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3B24-A936-48E7-91B6-C50E314DB2B1}">
  <dimension ref="B1:C13"/>
  <sheetViews>
    <sheetView workbookViewId="0">
      <selection activeCell="C13" sqref="C13"/>
    </sheetView>
  </sheetViews>
  <sheetFormatPr defaultRowHeight="15" x14ac:dyDescent="0.25"/>
  <cols>
    <col min="2" max="2" width="52.85546875" customWidth="1"/>
    <col min="3" max="3" width="67.85546875" customWidth="1"/>
  </cols>
  <sheetData>
    <row r="1" spans="2:3" ht="18.75" x14ac:dyDescent="0.3">
      <c r="B1" s="42" t="s">
        <v>178</v>
      </c>
      <c r="C1" s="42"/>
    </row>
    <row r="2" spans="2:3" ht="15.75" x14ac:dyDescent="0.25">
      <c r="B2" s="43" t="s">
        <v>0</v>
      </c>
      <c r="C2" s="43"/>
    </row>
    <row r="3" spans="2:3" ht="15.75" x14ac:dyDescent="0.25">
      <c r="B3" s="43" t="s">
        <v>1</v>
      </c>
      <c r="C3" s="43"/>
    </row>
    <row r="4" spans="2:3" ht="16.5" thickBot="1" x14ac:dyDescent="0.3">
      <c r="B4" s="43" t="s">
        <v>2</v>
      </c>
      <c r="C4" s="43"/>
    </row>
    <row r="5" spans="2:3" ht="27.95" customHeight="1" x14ac:dyDescent="0.25">
      <c r="B5" s="26" t="s">
        <v>3</v>
      </c>
      <c r="C5" s="27" t="s">
        <v>4</v>
      </c>
    </row>
    <row r="6" spans="2:3" ht="27.6" customHeight="1" x14ac:dyDescent="0.25">
      <c r="B6" s="35" t="s">
        <v>5</v>
      </c>
      <c r="C6" s="28">
        <f>'Japan Safety AA'!F28</f>
        <v>0</v>
      </c>
    </row>
    <row r="7" spans="2:3" ht="24.6" customHeight="1" x14ac:dyDescent="0.25">
      <c r="B7" s="35" t="s">
        <v>6</v>
      </c>
      <c r="C7" s="28">
        <f>'Japan Safety AA'!F53</f>
        <v>0</v>
      </c>
    </row>
    <row r="8" spans="2:3" ht="21.6" customHeight="1" x14ac:dyDescent="0.25">
      <c r="B8" s="35" t="s">
        <v>7</v>
      </c>
      <c r="C8" s="28">
        <f>'Japan Safety AA'!F78</f>
        <v>0</v>
      </c>
    </row>
    <row r="9" spans="2:3" ht="26.1" customHeight="1" x14ac:dyDescent="0.25">
      <c r="B9" s="35" t="s">
        <v>8</v>
      </c>
      <c r="C9" s="28">
        <f>'Japan Safety AA'!F103</f>
        <v>0</v>
      </c>
    </row>
    <row r="10" spans="2:3" ht="26.1" customHeight="1" thickBot="1" x14ac:dyDescent="0.3">
      <c r="B10" s="36" t="s">
        <v>9</v>
      </c>
      <c r="C10" s="29">
        <f>'Japan Safety AA'!F128</f>
        <v>0</v>
      </c>
    </row>
    <row r="11" spans="2:3" ht="24.6" customHeight="1" thickBot="1" x14ac:dyDescent="0.3">
      <c r="B11" s="37" t="s">
        <v>10</v>
      </c>
      <c r="C11" s="30">
        <f>SUM(C6:C10)</f>
        <v>0</v>
      </c>
    </row>
    <row r="12" spans="2:3" ht="26.45" customHeight="1" thickBot="1" x14ac:dyDescent="0.3">
      <c r="B12" s="38" t="s">
        <v>11</v>
      </c>
      <c r="C12" s="31">
        <f>'Japan Safety AA'!F147</f>
        <v>0</v>
      </c>
    </row>
    <row r="13" spans="2:3" ht="24.95" customHeight="1" thickBot="1" x14ac:dyDescent="0.35">
      <c r="B13" s="39" t="s">
        <v>12</v>
      </c>
      <c r="C13" s="40">
        <f>SUM(C11,C12)</f>
        <v>0</v>
      </c>
    </row>
  </sheetData>
  <mergeCells count="4">
    <mergeCell ref="B1:C1"/>
    <mergeCell ref="B2:C2"/>
    <mergeCell ref="B3:C3"/>
    <mergeCell ref="B4:C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1D23-1C10-4FE3-9C4D-11B8305584D8}">
  <dimension ref="A1:P147"/>
  <sheetViews>
    <sheetView tabSelected="1" workbookViewId="0">
      <selection activeCell="E47" sqref="E47"/>
    </sheetView>
  </sheetViews>
  <sheetFormatPr defaultRowHeight="15" x14ac:dyDescent="0.25"/>
  <cols>
    <col min="1" max="1" width="15" customWidth="1"/>
    <col min="2" max="2" width="30.5703125" customWidth="1"/>
    <col min="3" max="3" width="16.42578125" customWidth="1"/>
    <col min="4" max="4" width="17.5703125" customWidth="1"/>
    <col min="5" max="5" width="30.140625" customWidth="1"/>
    <col min="6" max="6" width="36.140625" customWidth="1"/>
    <col min="8" max="8" width="27" customWidth="1"/>
    <col min="14" max="14" width="11.140625" customWidth="1"/>
    <col min="15" max="15" width="15" customWidth="1"/>
    <col min="16" max="16" width="10" customWidth="1"/>
  </cols>
  <sheetData>
    <row r="1" spans="1:13" ht="15.75" customHeight="1" x14ac:dyDescent="0.25">
      <c r="A1" s="59" t="s">
        <v>178</v>
      </c>
      <c r="B1" s="59"/>
      <c r="C1" s="59"/>
      <c r="D1" s="59"/>
      <c r="E1" s="59"/>
      <c r="F1" s="59"/>
      <c r="H1" s="58" t="s">
        <v>13</v>
      </c>
      <c r="I1" s="58"/>
      <c r="J1" s="58"/>
      <c r="K1" s="58"/>
      <c r="L1" s="58"/>
      <c r="M1" s="58"/>
    </row>
    <row r="2" spans="1:13" ht="15.75" x14ac:dyDescent="0.25">
      <c r="A2" s="59" t="s">
        <v>14</v>
      </c>
      <c r="B2" s="59"/>
      <c r="C2" s="59"/>
      <c r="D2" s="59"/>
      <c r="E2" s="59"/>
      <c r="F2" s="59"/>
      <c r="H2" s="58"/>
      <c r="I2" s="58"/>
      <c r="J2" s="58"/>
      <c r="K2" s="58"/>
      <c r="L2" s="58"/>
      <c r="M2" s="58"/>
    </row>
    <row r="3" spans="1:13" ht="15.75" x14ac:dyDescent="0.25">
      <c r="A3" s="59" t="s">
        <v>15</v>
      </c>
      <c r="B3" s="59"/>
      <c r="C3" s="59"/>
      <c r="D3" s="59"/>
      <c r="E3" s="59"/>
      <c r="F3" s="59"/>
      <c r="H3" s="58"/>
      <c r="I3" s="58"/>
      <c r="J3" s="58"/>
      <c r="K3" s="58"/>
      <c r="L3" s="58"/>
      <c r="M3" s="58"/>
    </row>
    <row r="4" spans="1:13" ht="16.5" thickBot="1" x14ac:dyDescent="0.3">
      <c r="A4" s="59" t="s">
        <v>2</v>
      </c>
      <c r="B4" s="59"/>
      <c r="C4" s="59"/>
      <c r="D4" s="59"/>
      <c r="E4" s="59"/>
      <c r="F4" s="59"/>
      <c r="H4" s="58"/>
      <c r="I4" s="58"/>
      <c r="J4" s="58"/>
      <c r="K4" s="58"/>
      <c r="L4" s="58"/>
      <c r="M4" s="58"/>
    </row>
    <row r="5" spans="1:13" ht="16.5" thickBot="1" x14ac:dyDescent="0.3">
      <c r="A5" s="54" t="s">
        <v>16</v>
      </c>
      <c r="B5" s="55"/>
      <c r="C5" s="56" t="s">
        <v>17</v>
      </c>
      <c r="D5" s="56"/>
      <c r="E5" s="56"/>
      <c r="F5" s="57"/>
      <c r="H5" s="58"/>
      <c r="I5" s="58"/>
      <c r="J5" s="58"/>
      <c r="K5" s="58"/>
      <c r="L5" s="58"/>
      <c r="M5" s="58"/>
    </row>
    <row r="6" spans="1:13" ht="31.5" x14ac:dyDescent="0.25">
      <c r="A6" s="1" t="s">
        <v>18</v>
      </c>
      <c r="B6" s="2" t="s">
        <v>19</v>
      </c>
      <c r="C6" s="3" t="s">
        <v>20</v>
      </c>
      <c r="D6" s="3" t="s">
        <v>21</v>
      </c>
      <c r="E6" s="3" t="s">
        <v>22</v>
      </c>
      <c r="F6" s="4" t="s">
        <v>23</v>
      </c>
      <c r="H6" s="58"/>
      <c r="I6" s="58"/>
      <c r="J6" s="58"/>
      <c r="K6" s="58"/>
      <c r="L6" s="58"/>
      <c r="M6" s="58"/>
    </row>
    <row r="7" spans="1:13" ht="15.75" customHeight="1" x14ac:dyDescent="0.25">
      <c r="A7" s="32" t="s">
        <v>24</v>
      </c>
      <c r="B7" s="23" t="s">
        <v>25</v>
      </c>
      <c r="C7" s="44"/>
      <c r="D7" s="44"/>
      <c r="E7" s="44"/>
      <c r="F7" s="6"/>
      <c r="H7" s="58"/>
      <c r="I7" s="58"/>
      <c r="J7" s="58"/>
      <c r="K7" s="58"/>
      <c r="L7" s="58"/>
      <c r="M7" s="58"/>
    </row>
    <row r="8" spans="1:13" ht="15.75" x14ac:dyDescent="0.25">
      <c r="A8" s="7" t="s">
        <v>26</v>
      </c>
      <c r="B8" s="8" t="s">
        <v>27</v>
      </c>
      <c r="C8" s="41" t="s">
        <v>179</v>
      </c>
      <c r="D8" s="9">
        <v>3600</v>
      </c>
      <c r="E8" s="34">
        <v>0</v>
      </c>
      <c r="F8" s="10">
        <f>D8*E8</f>
        <v>0</v>
      </c>
      <c r="H8" s="58"/>
      <c r="I8" s="58"/>
      <c r="J8" s="58"/>
      <c r="K8" s="58"/>
      <c r="L8" s="58"/>
      <c r="M8" s="58"/>
    </row>
    <row r="9" spans="1:13" ht="15.75" x14ac:dyDescent="0.25">
      <c r="A9" s="11" t="s">
        <v>28</v>
      </c>
      <c r="B9" s="12" t="s">
        <v>29</v>
      </c>
      <c r="C9" s="41" t="s">
        <v>179</v>
      </c>
      <c r="D9" s="9">
        <v>3600</v>
      </c>
      <c r="E9" s="34">
        <v>0</v>
      </c>
      <c r="F9" s="10">
        <f>D9*E9</f>
        <v>0</v>
      </c>
      <c r="H9" s="58"/>
      <c r="I9" s="58"/>
      <c r="J9" s="58"/>
      <c r="K9" s="58"/>
      <c r="L9" s="58"/>
      <c r="M9" s="58"/>
    </row>
    <row r="10" spans="1:13" ht="15.75" x14ac:dyDescent="0.25">
      <c r="A10" s="11" t="s">
        <v>30</v>
      </c>
      <c r="B10" s="13" t="s">
        <v>31</v>
      </c>
      <c r="C10" s="41" t="s">
        <v>179</v>
      </c>
      <c r="D10" s="9">
        <v>5400</v>
      </c>
      <c r="E10" s="34">
        <v>0</v>
      </c>
      <c r="F10" s="10">
        <f t="shared" ref="F10:F13" si="0">D10*E10</f>
        <v>0</v>
      </c>
      <c r="H10" s="58"/>
      <c r="I10" s="58"/>
      <c r="J10" s="58"/>
      <c r="K10" s="58"/>
      <c r="L10" s="58"/>
      <c r="M10" s="58"/>
    </row>
    <row r="11" spans="1:13" ht="15.75" x14ac:dyDescent="0.25">
      <c r="A11" s="11" t="s">
        <v>32</v>
      </c>
      <c r="B11" s="13" t="s">
        <v>33</v>
      </c>
      <c r="C11" s="41" t="s">
        <v>179</v>
      </c>
      <c r="D11" s="9">
        <v>8280</v>
      </c>
      <c r="E11" s="34">
        <v>0</v>
      </c>
      <c r="F11" s="10">
        <f t="shared" si="0"/>
        <v>0</v>
      </c>
      <c r="H11" s="58"/>
      <c r="I11" s="58"/>
      <c r="J11" s="58"/>
      <c r="K11" s="58"/>
      <c r="L11" s="58"/>
      <c r="M11" s="58"/>
    </row>
    <row r="12" spans="1:13" ht="15.75" x14ac:dyDescent="0.25">
      <c r="A12" s="11" t="s">
        <v>34</v>
      </c>
      <c r="B12" s="13" t="s">
        <v>35</v>
      </c>
      <c r="C12" s="41" t="s">
        <v>179</v>
      </c>
      <c r="D12" s="9">
        <v>6120</v>
      </c>
      <c r="E12" s="34">
        <v>0</v>
      </c>
      <c r="F12" s="10">
        <f>D12*E12</f>
        <v>0</v>
      </c>
      <c r="H12" s="58"/>
      <c r="I12" s="58"/>
      <c r="J12" s="58"/>
      <c r="K12" s="58"/>
      <c r="L12" s="58"/>
      <c r="M12" s="58"/>
    </row>
    <row r="13" spans="1:13" ht="15.75" x14ac:dyDescent="0.25">
      <c r="A13" s="11" t="s">
        <v>36</v>
      </c>
      <c r="B13" s="14" t="s">
        <v>37</v>
      </c>
      <c r="C13" s="41" t="s">
        <v>179</v>
      </c>
      <c r="D13" s="9">
        <v>6120</v>
      </c>
      <c r="E13" s="34">
        <v>0</v>
      </c>
      <c r="F13" s="10">
        <f t="shared" si="0"/>
        <v>0</v>
      </c>
      <c r="H13" s="58"/>
      <c r="I13" s="58"/>
      <c r="J13" s="58"/>
      <c r="K13" s="58"/>
      <c r="L13" s="58"/>
      <c r="M13" s="58"/>
    </row>
    <row r="14" spans="1:13" ht="15" customHeight="1" x14ac:dyDescent="0.25">
      <c r="A14" s="32" t="s">
        <v>38</v>
      </c>
      <c r="B14" s="5" t="s">
        <v>39</v>
      </c>
      <c r="C14" s="44"/>
      <c r="D14" s="44"/>
      <c r="E14" s="44"/>
      <c r="F14" s="6"/>
      <c r="H14" s="58"/>
      <c r="I14" s="58"/>
      <c r="J14" s="58"/>
      <c r="K14" s="58"/>
      <c r="L14" s="58"/>
      <c r="M14" s="58"/>
    </row>
    <row r="15" spans="1:13" ht="15.75" x14ac:dyDescent="0.25">
      <c r="A15" s="11" t="s">
        <v>40</v>
      </c>
      <c r="B15" s="14" t="s">
        <v>41</v>
      </c>
      <c r="C15" s="41" t="s">
        <v>179</v>
      </c>
      <c r="D15" s="9">
        <v>540</v>
      </c>
      <c r="E15" s="34">
        <v>0</v>
      </c>
      <c r="F15" s="10">
        <f>D15*E15</f>
        <v>0</v>
      </c>
      <c r="H15" s="58"/>
      <c r="I15" s="58"/>
      <c r="J15" s="58"/>
      <c r="K15" s="58"/>
      <c r="L15" s="58"/>
      <c r="M15" s="58"/>
    </row>
    <row r="16" spans="1:13" ht="15.75" x14ac:dyDescent="0.25">
      <c r="A16" s="11" t="s">
        <v>42</v>
      </c>
      <c r="B16" s="15" t="s">
        <v>43</v>
      </c>
      <c r="C16" s="41" t="s">
        <v>179</v>
      </c>
      <c r="D16" s="9">
        <v>540</v>
      </c>
      <c r="E16" s="34">
        <v>0</v>
      </c>
      <c r="F16" s="10">
        <f t="shared" ref="F16:F20" si="1">D16*E16</f>
        <v>0</v>
      </c>
    </row>
    <row r="17" spans="1:16" ht="15.75" x14ac:dyDescent="0.25">
      <c r="A17" s="11" t="s">
        <v>44</v>
      </c>
      <c r="B17" s="15" t="s">
        <v>45</v>
      </c>
      <c r="C17" s="41" t="s">
        <v>179</v>
      </c>
      <c r="D17" s="9">
        <v>540</v>
      </c>
      <c r="E17" s="34">
        <v>0</v>
      </c>
      <c r="F17" s="10">
        <f t="shared" si="1"/>
        <v>0</v>
      </c>
      <c r="H17" s="60" t="s">
        <v>180</v>
      </c>
      <c r="I17" s="60"/>
      <c r="J17" s="60"/>
      <c r="K17" s="60"/>
      <c r="L17" s="60"/>
      <c r="M17" s="60"/>
      <c r="N17" s="60"/>
      <c r="O17" s="60"/>
      <c r="P17" s="60"/>
    </row>
    <row r="18" spans="1:16" ht="15.75" x14ac:dyDescent="0.25">
      <c r="A18" s="11" t="s">
        <v>46</v>
      </c>
      <c r="B18" s="15" t="s">
        <v>47</v>
      </c>
      <c r="C18" s="41" t="s">
        <v>179</v>
      </c>
      <c r="D18" s="9">
        <v>1620</v>
      </c>
      <c r="E18" s="34">
        <v>0</v>
      </c>
      <c r="F18" s="10">
        <f t="shared" si="1"/>
        <v>0</v>
      </c>
      <c r="H18" s="61" t="s">
        <v>25</v>
      </c>
      <c r="I18" s="62"/>
      <c r="J18" s="62"/>
      <c r="K18" s="63"/>
      <c r="L18" s="64" t="s">
        <v>181</v>
      </c>
      <c r="M18" s="64" t="s">
        <v>181</v>
      </c>
      <c r="N18" s="64" t="s">
        <v>182</v>
      </c>
      <c r="O18" s="64" t="s">
        <v>183</v>
      </c>
      <c r="P18" s="64" t="s">
        <v>184</v>
      </c>
    </row>
    <row r="19" spans="1:16" ht="15.75" x14ac:dyDescent="0.25">
      <c r="A19" s="11" t="s">
        <v>48</v>
      </c>
      <c r="B19" s="15" t="s">
        <v>49</v>
      </c>
      <c r="C19" s="41" t="s">
        <v>179</v>
      </c>
      <c r="D19" s="9">
        <v>540</v>
      </c>
      <c r="E19" s="34">
        <v>0</v>
      </c>
      <c r="F19" s="10">
        <f t="shared" si="1"/>
        <v>0</v>
      </c>
      <c r="H19" s="13" t="s">
        <v>27</v>
      </c>
      <c r="I19" s="65" t="s">
        <v>185</v>
      </c>
      <c r="J19" s="66">
        <v>3600</v>
      </c>
      <c r="K19" s="63"/>
      <c r="L19" s="67">
        <v>10</v>
      </c>
      <c r="M19" s="67">
        <v>10</v>
      </c>
      <c r="N19" s="67">
        <v>2</v>
      </c>
      <c r="O19" s="67">
        <v>180</v>
      </c>
      <c r="P19" s="67">
        <f>L19*N19*O19</f>
        <v>3600</v>
      </c>
    </row>
    <row r="20" spans="1:16" ht="15.75" x14ac:dyDescent="0.25">
      <c r="A20" s="11" t="s">
        <v>50</v>
      </c>
      <c r="B20" s="15" t="s">
        <v>51</v>
      </c>
      <c r="C20" s="41" t="s">
        <v>179</v>
      </c>
      <c r="D20" s="9">
        <v>1620</v>
      </c>
      <c r="E20" s="34">
        <v>0</v>
      </c>
      <c r="F20" s="10">
        <f t="shared" si="1"/>
        <v>0</v>
      </c>
      <c r="H20" s="13" t="s">
        <v>29</v>
      </c>
      <c r="I20" s="65" t="s">
        <v>185</v>
      </c>
      <c r="J20" s="66">
        <v>3600</v>
      </c>
      <c r="K20" s="63"/>
      <c r="L20" s="68">
        <v>10</v>
      </c>
      <c r="M20" s="68">
        <v>10</v>
      </c>
      <c r="N20" s="68">
        <v>2</v>
      </c>
      <c r="O20" s="68">
        <v>180</v>
      </c>
      <c r="P20" s="67">
        <f t="shared" ref="P20:P31" si="2">L20*N20*O20</f>
        <v>3600</v>
      </c>
    </row>
    <row r="21" spans="1:16" ht="17.25" customHeight="1" x14ac:dyDescent="0.25">
      <c r="A21" s="32" t="s">
        <v>52</v>
      </c>
      <c r="B21" s="5" t="s">
        <v>53</v>
      </c>
      <c r="C21" s="44"/>
      <c r="D21" s="44"/>
      <c r="E21" s="44"/>
      <c r="F21" s="6"/>
      <c r="H21" s="13" t="s">
        <v>31</v>
      </c>
      <c r="I21" s="65" t="s">
        <v>185</v>
      </c>
      <c r="J21" s="66">
        <v>5400</v>
      </c>
      <c r="K21" s="63"/>
      <c r="L21" s="68">
        <v>15</v>
      </c>
      <c r="M21" s="68">
        <v>15</v>
      </c>
      <c r="N21" s="68">
        <v>2</v>
      </c>
      <c r="O21" s="68">
        <v>180</v>
      </c>
      <c r="P21" s="67">
        <f t="shared" si="2"/>
        <v>5400</v>
      </c>
    </row>
    <row r="22" spans="1:16" ht="15.75" x14ac:dyDescent="0.25">
      <c r="A22" s="11" t="s">
        <v>54</v>
      </c>
      <c r="B22" s="13" t="s">
        <v>55</v>
      </c>
      <c r="C22" s="41" t="s">
        <v>179</v>
      </c>
      <c r="D22" s="16">
        <v>40</v>
      </c>
      <c r="E22" s="34">
        <v>0</v>
      </c>
      <c r="F22" s="10">
        <f t="shared" ref="F22:F27" si="3">D22*E22</f>
        <v>0</v>
      </c>
      <c r="H22" s="13" t="s">
        <v>33</v>
      </c>
      <c r="I22" s="65" t="s">
        <v>185</v>
      </c>
      <c r="J22" s="66">
        <v>8280</v>
      </c>
      <c r="K22" s="63"/>
      <c r="L22" s="68">
        <v>23</v>
      </c>
      <c r="M22" s="68">
        <v>23</v>
      </c>
      <c r="N22" s="68">
        <v>2</v>
      </c>
      <c r="O22" s="68">
        <v>180</v>
      </c>
      <c r="P22" s="67">
        <f t="shared" si="2"/>
        <v>8280</v>
      </c>
    </row>
    <row r="23" spans="1:16" ht="15.75" x14ac:dyDescent="0.25">
      <c r="A23" s="17" t="s">
        <v>56</v>
      </c>
      <c r="B23" s="24" t="s">
        <v>57</v>
      </c>
      <c r="C23" s="41" t="s">
        <v>179</v>
      </c>
      <c r="D23" s="16">
        <v>40</v>
      </c>
      <c r="E23" s="34">
        <v>0</v>
      </c>
      <c r="F23" s="10">
        <f t="shared" si="3"/>
        <v>0</v>
      </c>
      <c r="H23" s="13" t="s">
        <v>35</v>
      </c>
      <c r="I23" s="65" t="s">
        <v>185</v>
      </c>
      <c r="J23" s="66">
        <v>6120</v>
      </c>
      <c r="K23" s="63"/>
      <c r="L23" s="68">
        <v>17</v>
      </c>
      <c r="M23" s="68">
        <v>17</v>
      </c>
      <c r="N23" s="68">
        <v>2</v>
      </c>
      <c r="O23" s="68">
        <v>180</v>
      </c>
      <c r="P23" s="67">
        <f t="shared" si="2"/>
        <v>6120</v>
      </c>
    </row>
    <row r="24" spans="1:16" ht="15.75" x14ac:dyDescent="0.25">
      <c r="A24" s="17" t="s">
        <v>58</v>
      </c>
      <c r="B24" s="24" t="s">
        <v>59</v>
      </c>
      <c r="C24" s="41" t="s">
        <v>179</v>
      </c>
      <c r="D24" s="16">
        <v>40</v>
      </c>
      <c r="E24" s="34">
        <v>0</v>
      </c>
      <c r="F24" s="10">
        <f>D24*E24</f>
        <v>0</v>
      </c>
      <c r="H24" s="14" t="s">
        <v>37</v>
      </c>
      <c r="I24" s="65" t="s">
        <v>185</v>
      </c>
      <c r="J24" s="66">
        <v>6120</v>
      </c>
      <c r="K24" s="63"/>
      <c r="L24" s="68">
        <v>17</v>
      </c>
      <c r="M24" s="68">
        <v>17</v>
      </c>
      <c r="N24" s="68">
        <v>2</v>
      </c>
      <c r="O24" s="68">
        <v>180</v>
      </c>
      <c r="P24" s="67">
        <f t="shared" si="2"/>
        <v>6120</v>
      </c>
    </row>
    <row r="25" spans="1:16" ht="15.75" x14ac:dyDescent="0.25">
      <c r="A25" s="17" t="s">
        <v>60</v>
      </c>
      <c r="B25" s="24" t="s">
        <v>61</v>
      </c>
      <c r="C25" s="41" t="s">
        <v>179</v>
      </c>
      <c r="D25" s="16">
        <v>80</v>
      </c>
      <c r="E25" s="34">
        <v>0</v>
      </c>
      <c r="F25" s="10">
        <f t="shared" si="3"/>
        <v>0</v>
      </c>
      <c r="H25" s="69" t="s">
        <v>39</v>
      </c>
      <c r="I25" s="70"/>
      <c r="J25" s="70"/>
      <c r="K25" s="63"/>
      <c r="L25" s="71"/>
      <c r="M25" s="71"/>
      <c r="N25" s="71"/>
      <c r="O25" s="71"/>
      <c r="P25" s="71"/>
    </row>
    <row r="26" spans="1:16" ht="15.75" x14ac:dyDescent="0.25">
      <c r="A26" s="17" t="s">
        <v>62</v>
      </c>
      <c r="B26" s="24" t="s">
        <v>63</v>
      </c>
      <c r="C26" s="41" t="s">
        <v>179</v>
      </c>
      <c r="D26" s="16">
        <v>40</v>
      </c>
      <c r="E26" s="34">
        <v>0</v>
      </c>
      <c r="F26" s="10">
        <f t="shared" si="3"/>
        <v>0</v>
      </c>
      <c r="H26" s="14" t="s">
        <v>41</v>
      </c>
      <c r="I26" s="72" t="s">
        <v>185</v>
      </c>
      <c r="J26" s="66">
        <v>540</v>
      </c>
      <c r="K26" s="63"/>
      <c r="L26" s="68">
        <v>1</v>
      </c>
      <c r="M26" s="68">
        <v>1</v>
      </c>
      <c r="N26" s="68">
        <v>3</v>
      </c>
      <c r="O26" s="68">
        <v>180</v>
      </c>
      <c r="P26" s="67">
        <f t="shared" si="2"/>
        <v>540</v>
      </c>
    </row>
    <row r="27" spans="1:16" ht="16.5" thickBot="1" x14ac:dyDescent="0.3">
      <c r="A27" s="17" t="s">
        <v>64</v>
      </c>
      <c r="B27" s="24" t="s">
        <v>65</v>
      </c>
      <c r="C27" s="41" t="s">
        <v>179</v>
      </c>
      <c r="D27" s="16">
        <v>40</v>
      </c>
      <c r="E27" s="34">
        <v>0</v>
      </c>
      <c r="F27" s="10">
        <f t="shared" si="3"/>
        <v>0</v>
      </c>
      <c r="H27" s="15" t="s">
        <v>43</v>
      </c>
      <c r="I27" s="65" t="s">
        <v>185</v>
      </c>
      <c r="J27" s="66">
        <v>540</v>
      </c>
      <c r="K27" s="63"/>
      <c r="L27" s="68">
        <v>1</v>
      </c>
      <c r="M27" s="68">
        <v>1</v>
      </c>
      <c r="N27" s="68">
        <v>3</v>
      </c>
      <c r="O27" s="68">
        <v>180</v>
      </c>
      <c r="P27" s="67">
        <f t="shared" si="2"/>
        <v>540</v>
      </c>
    </row>
    <row r="28" spans="1:16" ht="16.5" thickBot="1" x14ac:dyDescent="0.3">
      <c r="A28" s="45" t="s">
        <v>66</v>
      </c>
      <c r="B28" s="46"/>
      <c r="C28" s="20" t="s">
        <v>67</v>
      </c>
      <c r="D28" s="20" t="s">
        <v>67</v>
      </c>
      <c r="E28" s="21" t="s">
        <v>67</v>
      </c>
      <c r="F28" s="22">
        <f>SUM(F8:F27)</f>
        <v>0</v>
      </c>
      <c r="H28" s="15" t="s">
        <v>45</v>
      </c>
      <c r="I28" s="65" t="s">
        <v>185</v>
      </c>
      <c r="J28" s="66">
        <v>540</v>
      </c>
      <c r="K28" s="63"/>
      <c r="L28" s="68">
        <v>1</v>
      </c>
      <c r="M28" s="68">
        <v>1</v>
      </c>
      <c r="N28" s="68">
        <v>3</v>
      </c>
      <c r="O28" s="68">
        <v>180</v>
      </c>
      <c r="P28" s="67">
        <f t="shared" si="2"/>
        <v>540</v>
      </c>
    </row>
    <row r="29" spans="1:16" ht="16.5" thickBot="1" x14ac:dyDescent="0.3">
      <c r="H29" s="15" t="s">
        <v>47</v>
      </c>
      <c r="I29" s="65" t="s">
        <v>185</v>
      </c>
      <c r="J29" s="66">
        <v>1620</v>
      </c>
      <c r="K29" s="63"/>
      <c r="L29" s="68">
        <v>3</v>
      </c>
      <c r="M29" s="68">
        <v>3</v>
      </c>
      <c r="N29" s="68">
        <v>3</v>
      </c>
      <c r="O29" s="68">
        <v>180</v>
      </c>
      <c r="P29" s="67">
        <f t="shared" si="2"/>
        <v>1620</v>
      </c>
    </row>
    <row r="30" spans="1:16" ht="16.5" thickBot="1" x14ac:dyDescent="0.3">
      <c r="A30" s="54" t="s">
        <v>16</v>
      </c>
      <c r="B30" s="55"/>
      <c r="C30" s="56" t="s">
        <v>68</v>
      </c>
      <c r="D30" s="56"/>
      <c r="E30" s="56"/>
      <c r="F30" s="57"/>
      <c r="H30" s="15" t="s">
        <v>49</v>
      </c>
      <c r="I30" s="65" t="s">
        <v>185</v>
      </c>
      <c r="J30" s="66">
        <v>540</v>
      </c>
      <c r="K30" s="63"/>
      <c r="L30" s="68">
        <v>1</v>
      </c>
      <c r="M30" s="68">
        <v>1</v>
      </c>
      <c r="N30" s="68">
        <v>3</v>
      </c>
      <c r="O30" s="68">
        <v>180</v>
      </c>
      <c r="P30" s="67">
        <f t="shared" si="2"/>
        <v>540</v>
      </c>
    </row>
    <row r="31" spans="1:16" ht="31.5" x14ac:dyDescent="0.25">
      <c r="A31" s="1" t="s">
        <v>18</v>
      </c>
      <c r="B31" s="2" t="s">
        <v>19</v>
      </c>
      <c r="C31" s="3" t="s">
        <v>20</v>
      </c>
      <c r="D31" s="3" t="s">
        <v>21</v>
      </c>
      <c r="E31" s="3" t="s">
        <v>22</v>
      </c>
      <c r="F31" s="4" t="s">
        <v>23</v>
      </c>
      <c r="H31" s="15" t="s">
        <v>51</v>
      </c>
      <c r="I31" s="65" t="s">
        <v>185</v>
      </c>
      <c r="J31" s="66">
        <v>1620</v>
      </c>
      <c r="K31" s="63"/>
      <c r="L31" s="68">
        <v>3</v>
      </c>
      <c r="M31" s="68">
        <v>3</v>
      </c>
      <c r="N31" s="68">
        <v>3</v>
      </c>
      <c r="O31" s="68">
        <v>180</v>
      </c>
      <c r="P31" s="67">
        <f t="shared" si="2"/>
        <v>1620</v>
      </c>
    </row>
    <row r="32" spans="1:16" ht="15.75" x14ac:dyDescent="0.25">
      <c r="A32" s="32" t="s">
        <v>69</v>
      </c>
      <c r="B32" s="5" t="s">
        <v>25</v>
      </c>
      <c r="C32" s="44"/>
      <c r="D32" s="44"/>
      <c r="E32" s="44"/>
      <c r="F32" s="6"/>
      <c r="H32" s="69" t="s">
        <v>53</v>
      </c>
      <c r="I32" s="70"/>
      <c r="J32" s="70"/>
      <c r="K32" s="63"/>
      <c r="L32" s="71"/>
      <c r="M32" s="71"/>
      <c r="N32" s="71"/>
      <c r="O32" s="71"/>
      <c r="P32" s="71"/>
    </row>
    <row r="33" spans="1:16" ht="15.75" x14ac:dyDescent="0.25">
      <c r="A33" s="11" t="s">
        <v>70</v>
      </c>
      <c r="B33" s="8" t="s">
        <v>27</v>
      </c>
      <c r="C33" s="41" t="s">
        <v>179</v>
      </c>
      <c r="D33" s="9">
        <v>3600</v>
      </c>
      <c r="E33" s="34">
        <v>0</v>
      </c>
      <c r="F33" s="10">
        <f>D33*E33</f>
        <v>0</v>
      </c>
      <c r="H33" s="13" t="s">
        <v>55</v>
      </c>
      <c r="I33" s="73" t="s">
        <v>185</v>
      </c>
      <c r="J33" s="66">
        <v>40</v>
      </c>
      <c r="K33" s="63"/>
      <c r="L33" s="68">
        <v>1</v>
      </c>
      <c r="M33" s="68">
        <v>1</v>
      </c>
      <c r="N33" s="68">
        <v>2</v>
      </c>
      <c r="O33" s="68">
        <v>20</v>
      </c>
      <c r="P33" s="67">
        <f t="shared" ref="P33:P38" si="4">L33*N33*O33</f>
        <v>40</v>
      </c>
    </row>
    <row r="34" spans="1:16" ht="15.75" x14ac:dyDescent="0.25">
      <c r="A34" s="11" t="s">
        <v>71</v>
      </c>
      <c r="B34" s="12" t="s">
        <v>29</v>
      </c>
      <c r="C34" s="41" t="s">
        <v>179</v>
      </c>
      <c r="D34" s="9">
        <v>3600</v>
      </c>
      <c r="E34" s="34">
        <v>0</v>
      </c>
      <c r="F34" s="10">
        <f t="shared" ref="F34:F38" si="5">D34*E34</f>
        <v>0</v>
      </c>
      <c r="H34" s="24" t="s">
        <v>57</v>
      </c>
      <c r="I34" s="65" t="s">
        <v>185</v>
      </c>
      <c r="J34" s="66">
        <v>40</v>
      </c>
      <c r="K34" s="63"/>
      <c r="L34" s="68">
        <v>1</v>
      </c>
      <c r="M34" s="68">
        <v>1</v>
      </c>
      <c r="N34" s="68">
        <v>2</v>
      </c>
      <c r="O34" s="68">
        <v>20</v>
      </c>
      <c r="P34" s="67">
        <f t="shared" si="4"/>
        <v>40</v>
      </c>
    </row>
    <row r="35" spans="1:16" ht="15.75" x14ac:dyDescent="0.25">
      <c r="A35" s="11" t="s">
        <v>72</v>
      </c>
      <c r="B35" s="13" t="s">
        <v>31</v>
      </c>
      <c r="C35" s="41" t="s">
        <v>179</v>
      </c>
      <c r="D35" s="9">
        <v>5400</v>
      </c>
      <c r="E35" s="34">
        <v>0</v>
      </c>
      <c r="F35" s="10">
        <f t="shared" si="5"/>
        <v>0</v>
      </c>
      <c r="H35" s="24" t="s">
        <v>59</v>
      </c>
      <c r="I35" s="65" t="s">
        <v>185</v>
      </c>
      <c r="J35" s="66">
        <v>40</v>
      </c>
      <c r="K35" s="63"/>
      <c r="L35" s="68">
        <v>1</v>
      </c>
      <c r="M35" s="68">
        <v>1</v>
      </c>
      <c r="N35" s="68">
        <v>2</v>
      </c>
      <c r="O35" s="68">
        <v>20</v>
      </c>
      <c r="P35" s="67">
        <f t="shared" si="4"/>
        <v>40</v>
      </c>
    </row>
    <row r="36" spans="1:16" ht="15.75" x14ac:dyDescent="0.25">
      <c r="A36" s="11" t="s">
        <v>73</v>
      </c>
      <c r="B36" s="13" t="s">
        <v>33</v>
      </c>
      <c r="C36" s="41" t="s">
        <v>179</v>
      </c>
      <c r="D36" s="9">
        <v>8280</v>
      </c>
      <c r="E36" s="34">
        <v>0</v>
      </c>
      <c r="F36" s="10">
        <f t="shared" si="5"/>
        <v>0</v>
      </c>
      <c r="H36" s="24" t="s">
        <v>61</v>
      </c>
      <c r="I36" s="65" t="s">
        <v>185</v>
      </c>
      <c r="J36" s="66">
        <v>80</v>
      </c>
      <c r="K36" s="63"/>
      <c r="L36" s="68">
        <v>2</v>
      </c>
      <c r="M36" s="68">
        <v>2</v>
      </c>
      <c r="N36" s="68">
        <v>2</v>
      </c>
      <c r="O36" s="68">
        <v>20</v>
      </c>
      <c r="P36" s="67">
        <f t="shared" si="4"/>
        <v>80</v>
      </c>
    </row>
    <row r="37" spans="1:16" ht="15.75" x14ac:dyDescent="0.25">
      <c r="A37" s="11" t="s">
        <v>74</v>
      </c>
      <c r="B37" s="13" t="s">
        <v>35</v>
      </c>
      <c r="C37" s="41" t="s">
        <v>179</v>
      </c>
      <c r="D37" s="9">
        <v>6120</v>
      </c>
      <c r="E37" s="34">
        <v>0</v>
      </c>
      <c r="F37" s="10">
        <f t="shared" si="5"/>
        <v>0</v>
      </c>
      <c r="H37" s="24" t="s">
        <v>63</v>
      </c>
      <c r="I37" s="65" t="s">
        <v>185</v>
      </c>
      <c r="J37" s="66">
        <v>40</v>
      </c>
      <c r="K37" s="63"/>
      <c r="L37" s="68">
        <v>1</v>
      </c>
      <c r="M37" s="68">
        <v>1</v>
      </c>
      <c r="N37" s="68">
        <v>2</v>
      </c>
      <c r="O37" s="68">
        <v>20</v>
      </c>
      <c r="P37" s="67">
        <f t="shared" si="4"/>
        <v>40</v>
      </c>
    </row>
    <row r="38" spans="1:16" ht="15.75" x14ac:dyDescent="0.25">
      <c r="A38" s="11" t="s">
        <v>75</v>
      </c>
      <c r="B38" s="14" t="s">
        <v>37</v>
      </c>
      <c r="C38" s="41" t="s">
        <v>179</v>
      </c>
      <c r="D38" s="9">
        <v>6120</v>
      </c>
      <c r="E38" s="34">
        <v>0</v>
      </c>
      <c r="F38" s="10">
        <f t="shared" si="5"/>
        <v>0</v>
      </c>
      <c r="H38" s="13" t="s">
        <v>65</v>
      </c>
      <c r="I38" s="65" t="s">
        <v>185</v>
      </c>
      <c r="J38" s="66">
        <v>40</v>
      </c>
      <c r="K38" s="63"/>
      <c r="L38" s="68">
        <v>1</v>
      </c>
      <c r="M38" s="68">
        <v>1</v>
      </c>
      <c r="N38" s="68">
        <v>2</v>
      </c>
      <c r="O38" s="68">
        <v>20</v>
      </c>
      <c r="P38" s="67">
        <f t="shared" si="4"/>
        <v>40</v>
      </c>
    </row>
    <row r="39" spans="1:16" ht="15.75" x14ac:dyDescent="0.25">
      <c r="A39" s="32" t="s">
        <v>76</v>
      </c>
      <c r="B39" s="5" t="s">
        <v>39</v>
      </c>
      <c r="C39" s="44"/>
      <c r="D39" s="44"/>
      <c r="E39" s="44"/>
      <c r="F39" s="6"/>
    </row>
    <row r="40" spans="1:16" ht="15.75" x14ac:dyDescent="0.25">
      <c r="A40" s="11" t="s">
        <v>77</v>
      </c>
      <c r="B40" s="14" t="s">
        <v>41</v>
      </c>
      <c r="C40" s="41" t="s">
        <v>179</v>
      </c>
      <c r="D40" s="9">
        <v>540</v>
      </c>
      <c r="E40" s="34">
        <v>0</v>
      </c>
      <c r="F40" s="10">
        <f t="shared" ref="F40:F45" si="6">D40*E40</f>
        <v>0</v>
      </c>
    </row>
    <row r="41" spans="1:16" ht="15.75" x14ac:dyDescent="0.25">
      <c r="A41" s="11" t="s">
        <v>78</v>
      </c>
      <c r="B41" s="15" t="s">
        <v>43</v>
      </c>
      <c r="C41" s="41" t="s">
        <v>179</v>
      </c>
      <c r="D41" s="9">
        <v>540</v>
      </c>
      <c r="E41" s="34">
        <v>0</v>
      </c>
      <c r="F41" s="10">
        <f t="shared" si="6"/>
        <v>0</v>
      </c>
    </row>
    <row r="42" spans="1:16" ht="15.75" x14ac:dyDescent="0.25">
      <c r="A42" s="11" t="s">
        <v>79</v>
      </c>
      <c r="B42" s="15" t="s">
        <v>45</v>
      </c>
      <c r="C42" s="41" t="s">
        <v>179</v>
      </c>
      <c r="D42" s="9">
        <v>540</v>
      </c>
      <c r="E42" s="34">
        <v>0</v>
      </c>
      <c r="F42" s="10">
        <f t="shared" si="6"/>
        <v>0</v>
      </c>
    </row>
    <row r="43" spans="1:16" ht="15.75" x14ac:dyDescent="0.25">
      <c r="A43" s="11" t="s">
        <v>80</v>
      </c>
      <c r="B43" s="15" t="s">
        <v>47</v>
      </c>
      <c r="C43" s="41" t="s">
        <v>179</v>
      </c>
      <c r="D43" s="9">
        <v>1620</v>
      </c>
      <c r="E43" s="34">
        <v>0</v>
      </c>
      <c r="F43" s="10">
        <f>D43*E43</f>
        <v>0</v>
      </c>
    </row>
    <row r="44" spans="1:16" ht="15.75" x14ac:dyDescent="0.25">
      <c r="A44" s="11" t="s">
        <v>81</v>
      </c>
      <c r="B44" s="15" t="s">
        <v>49</v>
      </c>
      <c r="C44" s="41" t="s">
        <v>179</v>
      </c>
      <c r="D44" s="9">
        <v>540</v>
      </c>
      <c r="E44" s="34">
        <v>0</v>
      </c>
      <c r="F44" s="10">
        <f t="shared" si="6"/>
        <v>0</v>
      </c>
    </row>
    <row r="45" spans="1:16" ht="15.75" x14ac:dyDescent="0.25">
      <c r="A45" s="11" t="s">
        <v>82</v>
      </c>
      <c r="B45" s="15" t="s">
        <v>51</v>
      </c>
      <c r="C45" s="41" t="s">
        <v>179</v>
      </c>
      <c r="D45" s="9">
        <v>1620</v>
      </c>
      <c r="E45" s="34">
        <v>0</v>
      </c>
      <c r="F45" s="10">
        <f t="shared" si="6"/>
        <v>0</v>
      </c>
    </row>
    <row r="46" spans="1:16" ht="15.75" x14ac:dyDescent="0.25">
      <c r="A46" s="32" t="s">
        <v>83</v>
      </c>
      <c r="B46" s="5" t="s">
        <v>53</v>
      </c>
      <c r="C46" s="44"/>
      <c r="D46" s="44"/>
      <c r="E46" s="44"/>
      <c r="F46" s="6"/>
    </row>
    <row r="47" spans="1:16" ht="15.75" x14ac:dyDescent="0.25">
      <c r="A47" s="11" t="s">
        <v>84</v>
      </c>
      <c r="B47" s="13" t="s">
        <v>55</v>
      </c>
      <c r="C47" s="41" t="s">
        <v>179</v>
      </c>
      <c r="D47" s="16">
        <v>40</v>
      </c>
      <c r="E47" s="34">
        <v>0</v>
      </c>
      <c r="F47" s="10">
        <f t="shared" ref="F47:F52" si="7">D47*E47</f>
        <v>0</v>
      </c>
    </row>
    <row r="48" spans="1:16" ht="15.75" x14ac:dyDescent="0.25">
      <c r="A48" s="17" t="s">
        <v>85</v>
      </c>
      <c r="B48" s="24" t="s">
        <v>57</v>
      </c>
      <c r="C48" s="41" t="s">
        <v>179</v>
      </c>
      <c r="D48" s="16">
        <v>40</v>
      </c>
      <c r="E48" s="34">
        <v>0</v>
      </c>
      <c r="F48" s="10">
        <f>D48*E48</f>
        <v>0</v>
      </c>
    </row>
    <row r="49" spans="1:6" ht="15.75" x14ac:dyDescent="0.25">
      <c r="A49" s="17" t="s">
        <v>86</v>
      </c>
      <c r="B49" s="24" t="s">
        <v>59</v>
      </c>
      <c r="C49" s="41" t="s">
        <v>179</v>
      </c>
      <c r="D49" s="16">
        <v>40</v>
      </c>
      <c r="E49" s="34">
        <v>0</v>
      </c>
      <c r="F49" s="10">
        <f t="shared" si="7"/>
        <v>0</v>
      </c>
    </row>
    <row r="50" spans="1:6" ht="15.75" x14ac:dyDescent="0.25">
      <c r="A50" s="17" t="s">
        <v>87</v>
      </c>
      <c r="B50" s="24" t="s">
        <v>61</v>
      </c>
      <c r="C50" s="41" t="s">
        <v>179</v>
      </c>
      <c r="D50" s="16">
        <v>80</v>
      </c>
      <c r="E50" s="34">
        <v>0</v>
      </c>
      <c r="F50" s="10">
        <f t="shared" si="7"/>
        <v>0</v>
      </c>
    </row>
    <row r="51" spans="1:6" ht="15.75" x14ac:dyDescent="0.25">
      <c r="A51" s="17" t="s">
        <v>88</v>
      </c>
      <c r="B51" s="24" t="s">
        <v>63</v>
      </c>
      <c r="C51" s="41" t="s">
        <v>179</v>
      </c>
      <c r="D51" s="16">
        <v>40</v>
      </c>
      <c r="E51" s="34">
        <v>0</v>
      </c>
      <c r="F51" s="10">
        <f t="shared" si="7"/>
        <v>0</v>
      </c>
    </row>
    <row r="52" spans="1:6" ht="16.5" thickBot="1" x14ac:dyDescent="0.3">
      <c r="A52" s="17" t="s">
        <v>89</v>
      </c>
      <c r="B52" s="24" t="s">
        <v>65</v>
      </c>
      <c r="C52" s="41" t="s">
        <v>179</v>
      </c>
      <c r="D52" s="16">
        <v>40</v>
      </c>
      <c r="E52" s="34">
        <v>0</v>
      </c>
      <c r="F52" s="10">
        <f t="shared" si="7"/>
        <v>0</v>
      </c>
    </row>
    <row r="53" spans="1:6" ht="16.5" thickBot="1" x14ac:dyDescent="0.3">
      <c r="A53" s="45" t="s">
        <v>90</v>
      </c>
      <c r="B53" s="46"/>
      <c r="C53" s="20" t="s">
        <v>67</v>
      </c>
      <c r="D53" s="20" t="s">
        <v>67</v>
      </c>
      <c r="E53" s="21" t="s">
        <v>67</v>
      </c>
      <c r="F53" s="22">
        <f>SUM(F33:F52)</f>
        <v>0</v>
      </c>
    </row>
    <row r="54" spans="1:6" ht="15.75" thickBot="1" x14ac:dyDescent="0.3"/>
    <row r="55" spans="1:6" ht="16.5" thickBot="1" x14ac:dyDescent="0.3">
      <c r="A55" s="54" t="s">
        <v>16</v>
      </c>
      <c r="B55" s="55"/>
      <c r="C55" s="56" t="s">
        <v>91</v>
      </c>
      <c r="D55" s="56"/>
      <c r="E55" s="56"/>
      <c r="F55" s="57"/>
    </row>
    <row r="56" spans="1:6" ht="31.5" x14ac:dyDescent="0.25">
      <c r="A56" s="1" t="s">
        <v>18</v>
      </c>
      <c r="B56" s="2" t="s">
        <v>19</v>
      </c>
      <c r="C56" s="3" t="s">
        <v>20</v>
      </c>
      <c r="D56" s="3" t="s">
        <v>21</v>
      </c>
      <c r="E56" s="3" t="s">
        <v>22</v>
      </c>
      <c r="F56" s="4" t="s">
        <v>23</v>
      </c>
    </row>
    <row r="57" spans="1:6" ht="15.75" x14ac:dyDescent="0.25">
      <c r="A57" s="32" t="s">
        <v>92</v>
      </c>
      <c r="B57" s="5" t="s">
        <v>25</v>
      </c>
      <c r="C57" s="44"/>
      <c r="D57" s="44"/>
      <c r="E57" s="44"/>
      <c r="F57" s="6"/>
    </row>
    <row r="58" spans="1:6" ht="15.75" x14ac:dyDescent="0.25">
      <c r="A58" s="11" t="s">
        <v>93</v>
      </c>
      <c r="B58" s="8" t="s">
        <v>27</v>
      </c>
      <c r="C58" s="41" t="s">
        <v>179</v>
      </c>
      <c r="D58" s="9">
        <v>3600</v>
      </c>
      <c r="E58" s="34">
        <v>0</v>
      </c>
      <c r="F58" s="10">
        <f>D58*E58</f>
        <v>0</v>
      </c>
    </row>
    <row r="59" spans="1:6" ht="15.75" x14ac:dyDescent="0.25">
      <c r="A59" s="11" t="s">
        <v>94</v>
      </c>
      <c r="B59" s="12" t="s">
        <v>29</v>
      </c>
      <c r="C59" s="41" t="s">
        <v>179</v>
      </c>
      <c r="D59" s="9">
        <v>3600</v>
      </c>
      <c r="E59" s="34">
        <v>0</v>
      </c>
      <c r="F59" s="10">
        <f t="shared" ref="F59:F63" si="8">D59*E59</f>
        <v>0</v>
      </c>
    </row>
    <row r="60" spans="1:6" ht="15.75" x14ac:dyDescent="0.25">
      <c r="A60" s="11" t="s">
        <v>95</v>
      </c>
      <c r="B60" s="13" t="s">
        <v>31</v>
      </c>
      <c r="C60" s="41" t="s">
        <v>179</v>
      </c>
      <c r="D60" s="9">
        <v>5400</v>
      </c>
      <c r="E60" s="34">
        <v>0</v>
      </c>
      <c r="F60" s="10">
        <f t="shared" si="8"/>
        <v>0</v>
      </c>
    </row>
    <row r="61" spans="1:6" ht="15.75" x14ac:dyDescent="0.25">
      <c r="A61" s="11" t="s">
        <v>96</v>
      </c>
      <c r="B61" s="13" t="s">
        <v>33</v>
      </c>
      <c r="C61" s="41" t="s">
        <v>179</v>
      </c>
      <c r="D61" s="9">
        <v>8280</v>
      </c>
      <c r="E61" s="34">
        <v>0</v>
      </c>
      <c r="F61" s="10">
        <f>D61*E61</f>
        <v>0</v>
      </c>
    </row>
    <row r="62" spans="1:6" ht="15.75" x14ac:dyDescent="0.25">
      <c r="A62" s="11" t="s">
        <v>97</v>
      </c>
      <c r="B62" s="13" t="s">
        <v>35</v>
      </c>
      <c r="C62" s="41" t="s">
        <v>179</v>
      </c>
      <c r="D62" s="9">
        <v>6120</v>
      </c>
      <c r="E62" s="34">
        <v>0</v>
      </c>
      <c r="F62" s="10">
        <f t="shared" si="8"/>
        <v>0</v>
      </c>
    </row>
    <row r="63" spans="1:6" ht="15.75" x14ac:dyDescent="0.25">
      <c r="A63" s="11" t="s">
        <v>98</v>
      </c>
      <c r="B63" s="14" t="s">
        <v>37</v>
      </c>
      <c r="C63" s="41" t="s">
        <v>179</v>
      </c>
      <c r="D63" s="9">
        <v>6120</v>
      </c>
      <c r="E63" s="34">
        <v>0</v>
      </c>
      <c r="F63" s="10">
        <f t="shared" si="8"/>
        <v>0</v>
      </c>
    </row>
    <row r="64" spans="1:6" ht="15.75" x14ac:dyDescent="0.25">
      <c r="A64" s="32" t="s">
        <v>99</v>
      </c>
      <c r="B64" s="5" t="s">
        <v>39</v>
      </c>
      <c r="C64" s="44"/>
      <c r="D64" s="44"/>
      <c r="E64" s="44"/>
      <c r="F64" s="6"/>
    </row>
    <row r="65" spans="1:6" ht="15.75" x14ac:dyDescent="0.25">
      <c r="A65" s="11" t="s">
        <v>100</v>
      </c>
      <c r="B65" s="14" t="s">
        <v>41</v>
      </c>
      <c r="C65" s="41" t="s">
        <v>179</v>
      </c>
      <c r="D65" s="9">
        <v>540</v>
      </c>
      <c r="E65" s="34">
        <v>0</v>
      </c>
      <c r="F65" s="10">
        <f t="shared" ref="F65:F70" si="9">D65*E65</f>
        <v>0</v>
      </c>
    </row>
    <row r="66" spans="1:6" ht="15.75" x14ac:dyDescent="0.25">
      <c r="A66" s="11" t="s">
        <v>101</v>
      </c>
      <c r="B66" s="15" t="s">
        <v>43</v>
      </c>
      <c r="C66" s="41" t="s">
        <v>179</v>
      </c>
      <c r="D66" s="9">
        <v>540</v>
      </c>
      <c r="E66" s="34">
        <v>0</v>
      </c>
      <c r="F66" s="10">
        <f t="shared" si="9"/>
        <v>0</v>
      </c>
    </row>
    <row r="67" spans="1:6" ht="15.75" x14ac:dyDescent="0.25">
      <c r="A67" s="11" t="s">
        <v>102</v>
      </c>
      <c r="B67" s="15" t="s">
        <v>45</v>
      </c>
      <c r="C67" s="41" t="s">
        <v>179</v>
      </c>
      <c r="D67" s="9">
        <v>540</v>
      </c>
      <c r="E67" s="34">
        <v>0</v>
      </c>
      <c r="F67" s="10">
        <f t="shared" si="9"/>
        <v>0</v>
      </c>
    </row>
    <row r="68" spans="1:6" ht="15.75" x14ac:dyDescent="0.25">
      <c r="A68" s="11" t="s">
        <v>103</v>
      </c>
      <c r="B68" s="15" t="s">
        <v>47</v>
      </c>
      <c r="C68" s="41" t="s">
        <v>179</v>
      </c>
      <c r="D68" s="9">
        <v>1620</v>
      </c>
      <c r="E68" s="34">
        <v>0</v>
      </c>
      <c r="F68" s="10">
        <f t="shared" si="9"/>
        <v>0</v>
      </c>
    </row>
    <row r="69" spans="1:6" ht="15.75" x14ac:dyDescent="0.25">
      <c r="A69" s="11" t="s">
        <v>104</v>
      </c>
      <c r="B69" s="15" t="s">
        <v>49</v>
      </c>
      <c r="C69" s="41" t="s">
        <v>179</v>
      </c>
      <c r="D69" s="9">
        <v>540</v>
      </c>
      <c r="E69" s="34">
        <v>0</v>
      </c>
      <c r="F69" s="10">
        <f t="shared" si="9"/>
        <v>0</v>
      </c>
    </row>
    <row r="70" spans="1:6" ht="15.75" x14ac:dyDescent="0.25">
      <c r="A70" s="11" t="s">
        <v>105</v>
      </c>
      <c r="B70" s="15" t="s">
        <v>51</v>
      </c>
      <c r="C70" s="41" t="s">
        <v>179</v>
      </c>
      <c r="D70" s="9">
        <v>1620</v>
      </c>
      <c r="E70" s="34">
        <v>0</v>
      </c>
      <c r="F70" s="10">
        <f t="shared" si="9"/>
        <v>0</v>
      </c>
    </row>
    <row r="71" spans="1:6" ht="15.75" x14ac:dyDescent="0.25">
      <c r="A71" s="32" t="s">
        <v>106</v>
      </c>
      <c r="B71" s="5" t="s">
        <v>53</v>
      </c>
      <c r="C71" s="44"/>
      <c r="D71" s="44"/>
      <c r="E71" s="44"/>
      <c r="F71" s="6"/>
    </row>
    <row r="72" spans="1:6" ht="15.75" x14ac:dyDescent="0.25">
      <c r="A72" s="11" t="s">
        <v>107</v>
      </c>
      <c r="B72" s="13" t="s">
        <v>55</v>
      </c>
      <c r="C72" s="41" t="s">
        <v>179</v>
      </c>
      <c r="D72" s="16">
        <v>40</v>
      </c>
      <c r="E72" s="34">
        <v>0</v>
      </c>
      <c r="F72" s="10">
        <f t="shared" ref="F72:F77" si="10">D72*E72</f>
        <v>0</v>
      </c>
    </row>
    <row r="73" spans="1:6" ht="15.75" x14ac:dyDescent="0.25">
      <c r="A73" s="17" t="s">
        <v>108</v>
      </c>
      <c r="B73" s="24" t="s">
        <v>57</v>
      </c>
      <c r="C73" s="41" t="s">
        <v>179</v>
      </c>
      <c r="D73" s="16">
        <v>40</v>
      </c>
      <c r="E73" s="34">
        <v>0</v>
      </c>
      <c r="F73" s="10">
        <f t="shared" si="10"/>
        <v>0</v>
      </c>
    </row>
    <row r="74" spans="1:6" ht="15.75" x14ac:dyDescent="0.25">
      <c r="A74" s="17" t="s">
        <v>109</v>
      </c>
      <c r="B74" s="24" t="s">
        <v>59</v>
      </c>
      <c r="C74" s="41" t="s">
        <v>179</v>
      </c>
      <c r="D74" s="16">
        <v>40</v>
      </c>
      <c r="E74" s="34">
        <v>0</v>
      </c>
      <c r="F74" s="10">
        <f t="shared" si="10"/>
        <v>0</v>
      </c>
    </row>
    <row r="75" spans="1:6" ht="15.75" x14ac:dyDescent="0.25">
      <c r="A75" s="17" t="s">
        <v>110</v>
      </c>
      <c r="B75" s="24" t="s">
        <v>61</v>
      </c>
      <c r="C75" s="41" t="s">
        <v>179</v>
      </c>
      <c r="D75" s="16">
        <v>80</v>
      </c>
      <c r="E75" s="34">
        <v>0</v>
      </c>
      <c r="F75" s="10">
        <f t="shared" si="10"/>
        <v>0</v>
      </c>
    </row>
    <row r="76" spans="1:6" ht="15.75" x14ac:dyDescent="0.25">
      <c r="A76" s="17" t="s">
        <v>111</v>
      </c>
      <c r="B76" s="24" t="s">
        <v>63</v>
      </c>
      <c r="C76" s="41" t="s">
        <v>179</v>
      </c>
      <c r="D76" s="16">
        <v>40</v>
      </c>
      <c r="E76" s="34">
        <v>0</v>
      </c>
      <c r="F76" s="10">
        <f t="shared" si="10"/>
        <v>0</v>
      </c>
    </row>
    <row r="77" spans="1:6" ht="16.5" thickBot="1" x14ac:dyDescent="0.3">
      <c r="A77" s="17" t="s">
        <v>112</v>
      </c>
      <c r="B77" s="24" t="s">
        <v>65</v>
      </c>
      <c r="C77" s="41" t="s">
        <v>179</v>
      </c>
      <c r="D77" s="16">
        <v>40</v>
      </c>
      <c r="E77" s="34">
        <v>0</v>
      </c>
      <c r="F77" s="10">
        <f t="shared" si="10"/>
        <v>0</v>
      </c>
    </row>
    <row r="78" spans="1:6" ht="16.5" thickBot="1" x14ac:dyDescent="0.3">
      <c r="A78" s="45" t="s">
        <v>113</v>
      </c>
      <c r="B78" s="46"/>
      <c r="C78" s="20" t="s">
        <v>67</v>
      </c>
      <c r="D78" s="20" t="s">
        <v>67</v>
      </c>
      <c r="E78" s="21" t="s">
        <v>67</v>
      </c>
      <c r="F78" s="22">
        <f>SUM(F58:F77)</f>
        <v>0</v>
      </c>
    </row>
    <row r="79" spans="1:6" ht="15.75" thickBot="1" x14ac:dyDescent="0.3"/>
    <row r="80" spans="1:6" ht="16.5" thickBot="1" x14ac:dyDescent="0.3">
      <c r="A80" s="54" t="s">
        <v>16</v>
      </c>
      <c r="B80" s="55"/>
      <c r="C80" s="56" t="s">
        <v>114</v>
      </c>
      <c r="D80" s="56"/>
      <c r="E80" s="56"/>
      <c r="F80" s="57"/>
    </row>
    <row r="81" spans="1:6" ht="31.5" x14ac:dyDescent="0.25">
      <c r="A81" s="1" t="s">
        <v>18</v>
      </c>
      <c r="B81" s="2" t="s">
        <v>19</v>
      </c>
      <c r="C81" s="3" t="s">
        <v>20</v>
      </c>
      <c r="D81" s="3" t="s">
        <v>21</v>
      </c>
      <c r="E81" s="3" t="s">
        <v>22</v>
      </c>
      <c r="F81" s="4" t="s">
        <v>23</v>
      </c>
    </row>
    <row r="82" spans="1:6" ht="15.75" x14ac:dyDescent="0.25">
      <c r="A82" s="32" t="s">
        <v>115</v>
      </c>
      <c r="B82" s="5" t="s">
        <v>25</v>
      </c>
      <c r="C82" s="44"/>
      <c r="D82" s="44"/>
      <c r="E82" s="44"/>
      <c r="F82" s="6"/>
    </row>
    <row r="83" spans="1:6" ht="15.75" x14ac:dyDescent="0.25">
      <c r="A83" s="11" t="s">
        <v>116</v>
      </c>
      <c r="B83" s="8" t="s">
        <v>27</v>
      </c>
      <c r="C83" s="41" t="s">
        <v>179</v>
      </c>
      <c r="D83" s="9">
        <v>3600</v>
      </c>
      <c r="E83" s="34">
        <v>0</v>
      </c>
      <c r="F83" s="10">
        <f>D83*E83</f>
        <v>0</v>
      </c>
    </row>
    <row r="84" spans="1:6" ht="15.75" x14ac:dyDescent="0.25">
      <c r="A84" s="11" t="s">
        <v>117</v>
      </c>
      <c r="B84" s="12" t="s">
        <v>29</v>
      </c>
      <c r="C84" s="41" t="s">
        <v>179</v>
      </c>
      <c r="D84" s="9">
        <v>3600</v>
      </c>
      <c r="E84" s="34">
        <v>0</v>
      </c>
      <c r="F84" s="10">
        <f t="shared" ref="F84:F88" si="11">D84*E84</f>
        <v>0</v>
      </c>
    </row>
    <row r="85" spans="1:6" ht="15.75" x14ac:dyDescent="0.25">
      <c r="A85" s="11" t="s">
        <v>118</v>
      </c>
      <c r="B85" s="13" t="s">
        <v>31</v>
      </c>
      <c r="C85" s="41" t="s">
        <v>179</v>
      </c>
      <c r="D85" s="9">
        <v>5400</v>
      </c>
      <c r="E85" s="34">
        <v>0</v>
      </c>
      <c r="F85" s="10">
        <f t="shared" si="11"/>
        <v>0</v>
      </c>
    </row>
    <row r="86" spans="1:6" ht="15.75" x14ac:dyDescent="0.25">
      <c r="A86" s="11" t="s">
        <v>119</v>
      </c>
      <c r="B86" s="13" t="s">
        <v>33</v>
      </c>
      <c r="C86" s="41" t="s">
        <v>179</v>
      </c>
      <c r="D86" s="9">
        <v>8280</v>
      </c>
      <c r="E86" s="34">
        <v>0</v>
      </c>
      <c r="F86" s="10">
        <f t="shared" si="11"/>
        <v>0</v>
      </c>
    </row>
    <row r="87" spans="1:6" ht="15.75" x14ac:dyDescent="0.25">
      <c r="A87" s="11" t="s">
        <v>120</v>
      </c>
      <c r="B87" s="13" t="s">
        <v>35</v>
      </c>
      <c r="C87" s="41" t="s">
        <v>179</v>
      </c>
      <c r="D87" s="9">
        <v>6120</v>
      </c>
      <c r="E87" s="34">
        <v>0</v>
      </c>
      <c r="F87" s="10">
        <f t="shared" si="11"/>
        <v>0</v>
      </c>
    </row>
    <row r="88" spans="1:6" ht="15.75" x14ac:dyDescent="0.25">
      <c r="A88" s="11" t="s">
        <v>121</v>
      </c>
      <c r="B88" s="14" t="s">
        <v>37</v>
      </c>
      <c r="C88" s="41" t="s">
        <v>179</v>
      </c>
      <c r="D88" s="9">
        <v>6120</v>
      </c>
      <c r="E88" s="34">
        <v>0</v>
      </c>
      <c r="F88" s="10">
        <f t="shared" si="11"/>
        <v>0</v>
      </c>
    </row>
    <row r="89" spans="1:6" ht="15.75" x14ac:dyDescent="0.25">
      <c r="A89" s="32" t="s">
        <v>122</v>
      </c>
      <c r="B89" s="5" t="s">
        <v>39</v>
      </c>
      <c r="C89" s="44"/>
      <c r="D89" s="44"/>
      <c r="E89" s="44"/>
      <c r="F89" s="6"/>
    </row>
    <row r="90" spans="1:6" ht="15.75" x14ac:dyDescent="0.25">
      <c r="A90" s="11" t="s">
        <v>123</v>
      </c>
      <c r="B90" s="14" t="s">
        <v>41</v>
      </c>
      <c r="C90" s="41" t="s">
        <v>179</v>
      </c>
      <c r="D90" s="9">
        <v>540</v>
      </c>
      <c r="E90" s="34">
        <v>0</v>
      </c>
      <c r="F90" s="10">
        <f t="shared" ref="F90:F95" si="12">D90*E90</f>
        <v>0</v>
      </c>
    </row>
    <row r="91" spans="1:6" ht="15.75" x14ac:dyDescent="0.25">
      <c r="A91" s="11" t="s">
        <v>124</v>
      </c>
      <c r="B91" s="15" t="s">
        <v>43</v>
      </c>
      <c r="C91" s="41" t="s">
        <v>179</v>
      </c>
      <c r="D91" s="9">
        <v>540</v>
      </c>
      <c r="E91" s="34">
        <v>0</v>
      </c>
      <c r="F91" s="10">
        <f t="shared" si="12"/>
        <v>0</v>
      </c>
    </row>
    <row r="92" spans="1:6" ht="15.75" x14ac:dyDescent="0.25">
      <c r="A92" s="11" t="s">
        <v>125</v>
      </c>
      <c r="B92" s="15" t="s">
        <v>45</v>
      </c>
      <c r="C92" s="41" t="s">
        <v>179</v>
      </c>
      <c r="D92" s="9">
        <v>540</v>
      </c>
      <c r="E92" s="34">
        <v>0</v>
      </c>
      <c r="F92" s="10">
        <f t="shared" si="12"/>
        <v>0</v>
      </c>
    </row>
    <row r="93" spans="1:6" ht="15.75" x14ac:dyDescent="0.25">
      <c r="A93" s="11" t="s">
        <v>126</v>
      </c>
      <c r="B93" s="15" t="s">
        <v>47</v>
      </c>
      <c r="C93" s="41" t="s">
        <v>179</v>
      </c>
      <c r="D93" s="9">
        <v>1620</v>
      </c>
      <c r="E93" s="34">
        <v>0</v>
      </c>
      <c r="F93" s="10">
        <f>D93*E93</f>
        <v>0</v>
      </c>
    </row>
    <row r="94" spans="1:6" ht="15.75" x14ac:dyDescent="0.25">
      <c r="A94" s="11" t="s">
        <v>127</v>
      </c>
      <c r="B94" s="15" t="s">
        <v>49</v>
      </c>
      <c r="C94" s="41" t="s">
        <v>179</v>
      </c>
      <c r="D94" s="9">
        <v>540</v>
      </c>
      <c r="E94" s="34">
        <v>0</v>
      </c>
      <c r="F94" s="10">
        <f t="shared" si="12"/>
        <v>0</v>
      </c>
    </row>
    <row r="95" spans="1:6" ht="15.75" x14ac:dyDescent="0.25">
      <c r="A95" s="11" t="s">
        <v>128</v>
      </c>
      <c r="B95" s="15" t="s">
        <v>51</v>
      </c>
      <c r="C95" s="41" t="s">
        <v>179</v>
      </c>
      <c r="D95" s="9">
        <v>1620</v>
      </c>
      <c r="E95" s="34">
        <v>0</v>
      </c>
      <c r="F95" s="10">
        <f t="shared" si="12"/>
        <v>0</v>
      </c>
    </row>
    <row r="96" spans="1:6" ht="15.75" x14ac:dyDescent="0.25">
      <c r="A96" s="32" t="s">
        <v>129</v>
      </c>
      <c r="B96" s="5" t="s">
        <v>53</v>
      </c>
      <c r="C96" s="44"/>
      <c r="D96" s="44"/>
      <c r="E96" s="44"/>
      <c r="F96" s="6"/>
    </row>
    <row r="97" spans="1:6" ht="15.75" x14ac:dyDescent="0.25">
      <c r="A97" s="11" t="s">
        <v>130</v>
      </c>
      <c r="B97" s="13" t="s">
        <v>55</v>
      </c>
      <c r="C97" s="41" t="s">
        <v>179</v>
      </c>
      <c r="D97" s="16">
        <v>40</v>
      </c>
      <c r="E97" s="34">
        <v>0</v>
      </c>
      <c r="F97" s="10">
        <f t="shared" ref="F97:F102" si="13">D97*E97</f>
        <v>0</v>
      </c>
    </row>
    <row r="98" spans="1:6" ht="15.75" x14ac:dyDescent="0.25">
      <c r="A98" s="17" t="s">
        <v>131</v>
      </c>
      <c r="B98" s="24" t="s">
        <v>57</v>
      </c>
      <c r="C98" s="41" t="s">
        <v>179</v>
      </c>
      <c r="D98" s="16">
        <v>40</v>
      </c>
      <c r="E98" s="34">
        <v>0</v>
      </c>
      <c r="F98" s="10">
        <f t="shared" si="13"/>
        <v>0</v>
      </c>
    </row>
    <row r="99" spans="1:6" ht="15.75" x14ac:dyDescent="0.25">
      <c r="A99" s="17" t="s">
        <v>132</v>
      </c>
      <c r="B99" s="24" t="s">
        <v>59</v>
      </c>
      <c r="C99" s="41" t="s">
        <v>179</v>
      </c>
      <c r="D99" s="16">
        <v>40</v>
      </c>
      <c r="E99" s="34">
        <v>0</v>
      </c>
      <c r="F99" s="10">
        <f t="shared" si="13"/>
        <v>0</v>
      </c>
    </row>
    <row r="100" spans="1:6" ht="15.75" x14ac:dyDescent="0.25">
      <c r="A100" s="17" t="s">
        <v>133</v>
      </c>
      <c r="B100" s="24" t="s">
        <v>61</v>
      </c>
      <c r="C100" s="41" t="s">
        <v>179</v>
      </c>
      <c r="D100" s="16">
        <v>80</v>
      </c>
      <c r="E100" s="34">
        <v>0</v>
      </c>
      <c r="F100" s="10">
        <f t="shared" si="13"/>
        <v>0</v>
      </c>
    </row>
    <row r="101" spans="1:6" ht="15.75" x14ac:dyDescent="0.25">
      <c r="A101" s="17" t="s">
        <v>134</v>
      </c>
      <c r="B101" s="24" t="s">
        <v>63</v>
      </c>
      <c r="C101" s="41" t="s">
        <v>179</v>
      </c>
      <c r="D101" s="16">
        <v>40</v>
      </c>
      <c r="E101" s="34">
        <v>0</v>
      </c>
      <c r="F101" s="10">
        <f t="shared" si="13"/>
        <v>0</v>
      </c>
    </row>
    <row r="102" spans="1:6" ht="16.5" thickBot="1" x14ac:dyDescent="0.3">
      <c r="A102" s="17" t="s">
        <v>135</v>
      </c>
      <c r="B102" s="24" t="s">
        <v>65</v>
      </c>
      <c r="C102" s="41" t="s">
        <v>179</v>
      </c>
      <c r="D102" s="16">
        <v>40</v>
      </c>
      <c r="E102" s="34">
        <v>0</v>
      </c>
      <c r="F102" s="10">
        <f t="shared" si="13"/>
        <v>0</v>
      </c>
    </row>
    <row r="103" spans="1:6" ht="16.5" thickBot="1" x14ac:dyDescent="0.3">
      <c r="A103" s="45" t="s">
        <v>136</v>
      </c>
      <c r="B103" s="46"/>
      <c r="C103" s="20" t="s">
        <v>67</v>
      </c>
      <c r="D103" s="20" t="s">
        <v>67</v>
      </c>
      <c r="E103" s="21" t="s">
        <v>67</v>
      </c>
      <c r="F103" s="22">
        <f>SUM(F83:F102)</f>
        <v>0</v>
      </c>
    </row>
    <row r="104" spans="1:6" ht="15.75" thickBot="1" x14ac:dyDescent="0.3"/>
    <row r="105" spans="1:6" ht="16.5" thickBot="1" x14ac:dyDescent="0.3">
      <c r="A105" s="54" t="s">
        <v>16</v>
      </c>
      <c r="B105" s="55"/>
      <c r="C105" s="56" t="s">
        <v>137</v>
      </c>
      <c r="D105" s="56"/>
      <c r="E105" s="56"/>
      <c r="F105" s="57"/>
    </row>
    <row r="106" spans="1:6" ht="31.5" x14ac:dyDescent="0.25">
      <c r="A106" s="1" t="s">
        <v>18</v>
      </c>
      <c r="B106" s="2" t="s">
        <v>19</v>
      </c>
      <c r="C106" s="3" t="s">
        <v>20</v>
      </c>
      <c r="D106" s="3" t="s">
        <v>21</v>
      </c>
      <c r="E106" s="3" t="s">
        <v>22</v>
      </c>
      <c r="F106" s="4" t="s">
        <v>23</v>
      </c>
    </row>
    <row r="107" spans="1:6" ht="15.75" x14ac:dyDescent="0.25">
      <c r="A107" s="32" t="s">
        <v>138</v>
      </c>
      <c r="B107" s="5" t="s">
        <v>25</v>
      </c>
      <c r="C107" s="44"/>
      <c r="D107" s="44"/>
      <c r="E107" s="44"/>
      <c r="F107" s="6"/>
    </row>
    <row r="108" spans="1:6" ht="15.75" x14ac:dyDescent="0.25">
      <c r="A108" s="11" t="s">
        <v>139</v>
      </c>
      <c r="B108" s="8" t="s">
        <v>27</v>
      </c>
      <c r="C108" s="41" t="s">
        <v>179</v>
      </c>
      <c r="D108" s="9">
        <v>3600</v>
      </c>
      <c r="E108" s="34">
        <v>0</v>
      </c>
      <c r="F108" s="10">
        <f>D108*E108</f>
        <v>0</v>
      </c>
    </row>
    <row r="109" spans="1:6" ht="15.75" x14ac:dyDescent="0.25">
      <c r="A109" s="11" t="s">
        <v>140</v>
      </c>
      <c r="B109" s="12" t="s">
        <v>29</v>
      </c>
      <c r="C109" s="41" t="s">
        <v>179</v>
      </c>
      <c r="D109" s="9">
        <v>3600</v>
      </c>
      <c r="E109" s="34">
        <v>0</v>
      </c>
      <c r="F109" s="10">
        <f t="shared" ref="F109:F113" si="14">D109*E109</f>
        <v>0</v>
      </c>
    </row>
    <row r="110" spans="1:6" ht="15.75" x14ac:dyDescent="0.25">
      <c r="A110" s="11" t="s">
        <v>141</v>
      </c>
      <c r="B110" s="13" t="s">
        <v>31</v>
      </c>
      <c r="C110" s="41" t="s">
        <v>179</v>
      </c>
      <c r="D110" s="9">
        <v>5400</v>
      </c>
      <c r="E110" s="34">
        <v>0</v>
      </c>
      <c r="F110" s="10">
        <f t="shared" si="14"/>
        <v>0</v>
      </c>
    </row>
    <row r="111" spans="1:6" ht="15.75" x14ac:dyDescent="0.25">
      <c r="A111" s="11" t="s">
        <v>142</v>
      </c>
      <c r="B111" s="13" t="s">
        <v>33</v>
      </c>
      <c r="C111" s="41" t="s">
        <v>179</v>
      </c>
      <c r="D111" s="9">
        <v>8280</v>
      </c>
      <c r="E111" s="34">
        <v>0</v>
      </c>
      <c r="F111" s="10">
        <f t="shared" si="14"/>
        <v>0</v>
      </c>
    </row>
    <row r="112" spans="1:6" ht="15.75" x14ac:dyDescent="0.25">
      <c r="A112" s="11" t="s">
        <v>143</v>
      </c>
      <c r="B112" s="13" t="s">
        <v>35</v>
      </c>
      <c r="C112" s="41" t="s">
        <v>179</v>
      </c>
      <c r="D112" s="9">
        <v>6120</v>
      </c>
      <c r="E112" s="34">
        <v>0</v>
      </c>
      <c r="F112" s="10">
        <f t="shared" si="14"/>
        <v>0</v>
      </c>
    </row>
    <row r="113" spans="1:6" ht="15.75" x14ac:dyDescent="0.25">
      <c r="A113" s="11" t="s">
        <v>144</v>
      </c>
      <c r="B113" s="14" t="s">
        <v>37</v>
      </c>
      <c r="C113" s="41" t="s">
        <v>179</v>
      </c>
      <c r="D113" s="9">
        <v>6120</v>
      </c>
      <c r="E113" s="34">
        <v>0</v>
      </c>
      <c r="F113" s="10">
        <f t="shared" si="14"/>
        <v>0</v>
      </c>
    </row>
    <row r="114" spans="1:6" ht="15.75" x14ac:dyDescent="0.25">
      <c r="A114" s="32" t="s">
        <v>145</v>
      </c>
      <c r="B114" s="5" t="s">
        <v>39</v>
      </c>
      <c r="C114" s="44"/>
      <c r="D114" s="44"/>
      <c r="E114" s="44"/>
      <c r="F114" s="6"/>
    </row>
    <row r="115" spans="1:6" ht="15.75" x14ac:dyDescent="0.25">
      <c r="A115" s="11" t="s">
        <v>146</v>
      </c>
      <c r="B115" s="14" t="s">
        <v>41</v>
      </c>
      <c r="C115" s="41" t="s">
        <v>179</v>
      </c>
      <c r="D115" s="9">
        <v>540</v>
      </c>
      <c r="E115" s="34">
        <v>0</v>
      </c>
      <c r="F115" s="10">
        <f t="shared" ref="F115:F127" si="15">D115*E115</f>
        <v>0</v>
      </c>
    </row>
    <row r="116" spans="1:6" ht="15.75" x14ac:dyDescent="0.25">
      <c r="A116" s="11" t="s">
        <v>147</v>
      </c>
      <c r="B116" s="15" t="s">
        <v>43</v>
      </c>
      <c r="C116" s="41" t="s">
        <v>179</v>
      </c>
      <c r="D116" s="9">
        <v>540</v>
      </c>
      <c r="E116" s="34">
        <v>0</v>
      </c>
      <c r="F116" s="10">
        <f t="shared" si="15"/>
        <v>0</v>
      </c>
    </row>
    <row r="117" spans="1:6" ht="15.75" x14ac:dyDescent="0.25">
      <c r="A117" s="11" t="s">
        <v>148</v>
      </c>
      <c r="B117" s="15" t="s">
        <v>45</v>
      </c>
      <c r="C117" s="41" t="s">
        <v>179</v>
      </c>
      <c r="D117" s="9">
        <v>540</v>
      </c>
      <c r="E117" s="34">
        <v>0</v>
      </c>
      <c r="F117" s="10">
        <f>D117*E117</f>
        <v>0</v>
      </c>
    </row>
    <row r="118" spans="1:6" ht="15.75" x14ac:dyDescent="0.25">
      <c r="A118" s="11" t="s">
        <v>149</v>
      </c>
      <c r="B118" s="15" t="s">
        <v>47</v>
      </c>
      <c r="C118" s="41" t="s">
        <v>179</v>
      </c>
      <c r="D118" s="9">
        <v>1620</v>
      </c>
      <c r="E118" s="34">
        <v>0</v>
      </c>
      <c r="F118" s="10">
        <f t="shared" si="15"/>
        <v>0</v>
      </c>
    </row>
    <row r="119" spans="1:6" ht="15.75" x14ac:dyDescent="0.25">
      <c r="A119" s="11" t="s">
        <v>150</v>
      </c>
      <c r="B119" s="15" t="s">
        <v>49</v>
      </c>
      <c r="C119" s="41" t="s">
        <v>179</v>
      </c>
      <c r="D119" s="9">
        <v>540</v>
      </c>
      <c r="E119" s="34">
        <v>0</v>
      </c>
      <c r="F119" s="10">
        <f>D119*E119</f>
        <v>0</v>
      </c>
    </row>
    <row r="120" spans="1:6" ht="15.75" x14ac:dyDescent="0.25">
      <c r="A120" s="11" t="s">
        <v>151</v>
      </c>
      <c r="B120" s="15" t="s">
        <v>51</v>
      </c>
      <c r="C120" s="41" t="s">
        <v>179</v>
      </c>
      <c r="D120" s="9">
        <v>1620</v>
      </c>
      <c r="E120" s="34">
        <v>0</v>
      </c>
      <c r="F120" s="10">
        <f t="shared" si="15"/>
        <v>0</v>
      </c>
    </row>
    <row r="121" spans="1:6" ht="15.75" x14ac:dyDescent="0.25">
      <c r="A121" s="32" t="s">
        <v>152</v>
      </c>
      <c r="B121" s="5" t="s">
        <v>53</v>
      </c>
      <c r="C121" s="44"/>
      <c r="D121" s="44"/>
      <c r="E121" s="44"/>
      <c r="F121" s="6"/>
    </row>
    <row r="122" spans="1:6" ht="15.75" x14ac:dyDescent="0.25">
      <c r="A122" s="11" t="s">
        <v>153</v>
      </c>
      <c r="B122" s="13" t="s">
        <v>55</v>
      </c>
      <c r="C122" s="41" t="s">
        <v>179</v>
      </c>
      <c r="D122" s="16">
        <v>40</v>
      </c>
      <c r="E122" s="34">
        <v>0</v>
      </c>
      <c r="F122" s="10">
        <f t="shared" si="15"/>
        <v>0</v>
      </c>
    </row>
    <row r="123" spans="1:6" ht="15.75" x14ac:dyDescent="0.25">
      <c r="A123" s="17" t="s">
        <v>154</v>
      </c>
      <c r="B123" s="24" t="s">
        <v>57</v>
      </c>
      <c r="C123" s="41" t="s">
        <v>179</v>
      </c>
      <c r="D123" s="16">
        <v>40</v>
      </c>
      <c r="E123" s="34">
        <v>0</v>
      </c>
      <c r="F123" s="10">
        <f t="shared" si="15"/>
        <v>0</v>
      </c>
    </row>
    <row r="124" spans="1:6" ht="15.75" x14ac:dyDescent="0.25">
      <c r="A124" s="17" t="s">
        <v>155</v>
      </c>
      <c r="B124" s="24" t="s">
        <v>59</v>
      </c>
      <c r="C124" s="41" t="s">
        <v>179</v>
      </c>
      <c r="D124" s="16">
        <v>40</v>
      </c>
      <c r="E124" s="34">
        <v>0</v>
      </c>
      <c r="F124" s="10">
        <f t="shared" si="15"/>
        <v>0</v>
      </c>
    </row>
    <row r="125" spans="1:6" ht="15.75" x14ac:dyDescent="0.25">
      <c r="A125" s="17" t="s">
        <v>156</v>
      </c>
      <c r="B125" s="24" t="s">
        <v>61</v>
      </c>
      <c r="C125" s="41" t="s">
        <v>179</v>
      </c>
      <c r="D125" s="16">
        <v>80</v>
      </c>
      <c r="E125" s="34">
        <v>0</v>
      </c>
      <c r="F125" s="10">
        <f t="shared" si="15"/>
        <v>0</v>
      </c>
    </row>
    <row r="126" spans="1:6" ht="15.75" x14ac:dyDescent="0.25">
      <c r="A126" s="17" t="s">
        <v>157</v>
      </c>
      <c r="B126" s="24" t="s">
        <v>63</v>
      </c>
      <c r="C126" s="41" t="s">
        <v>179</v>
      </c>
      <c r="D126" s="16">
        <v>40</v>
      </c>
      <c r="E126" s="34">
        <v>0</v>
      </c>
      <c r="F126" s="10">
        <f t="shared" si="15"/>
        <v>0</v>
      </c>
    </row>
    <row r="127" spans="1:6" ht="16.5" thickBot="1" x14ac:dyDescent="0.3">
      <c r="A127" s="17" t="s">
        <v>158</v>
      </c>
      <c r="B127" s="24" t="s">
        <v>65</v>
      </c>
      <c r="C127" s="41" t="s">
        <v>179</v>
      </c>
      <c r="D127" s="16">
        <v>40</v>
      </c>
      <c r="E127" s="34">
        <v>0</v>
      </c>
      <c r="F127" s="10">
        <f t="shared" si="15"/>
        <v>0</v>
      </c>
    </row>
    <row r="128" spans="1:6" ht="16.5" thickBot="1" x14ac:dyDescent="0.3">
      <c r="A128" s="45" t="s">
        <v>159</v>
      </c>
      <c r="B128" s="46"/>
      <c r="C128" s="20" t="s">
        <v>67</v>
      </c>
      <c r="D128" s="20" t="s">
        <v>67</v>
      </c>
      <c r="E128" s="21" t="s">
        <v>67</v>
      </c>
      <c r="F128" s="22">
        <f>SUM(F108:F127)</f>
        <v>0</v>
      </c>
    </row>
    <row r="129" spans="1:6" ht="15.75" thickBot="1" x14ac:dyDescent="0.3"/>
    <row r="130" spans="1:6" ht="16.5" thickBot="1" x14ac:dyDescent="0.3">
      <c r="A130" s="47" t="s">
        <v>160</v>
      </c>
      <c r="B130" s="48"/>
      <c r="C130" s="49" t="s">
        <v>161</v>
      </c>
      <c r="D130" s="49"/>
      <c r="E130" s="49"/>
      <c r="F130" s="50"/>
    </row>
    <row r="131" spans="1:6" ht="15.75" x14ac:dyDescent="0.25">
      <c r="A131" s="51" t="s">
        <v>162</v>
      </c>
      <c r="B131" s="52"/>
      <c r="C131" s="52"/>
      <c r="D131" s="52"/>
      <c r="E131" s="52"/>
      <c r="F131" s="53"/>
    </row>
    <row r="132" spans="1:6" ht="31.5" x14ac:dyDescent="0.25">
      <c r="A132" s="1" t="s">
        <v>18</v>
      </c>
      <c r="B132" s="2" t="s">
        <v>19</v>
      </c>
      <c r="C132" s="3" t="s">
        <v>20</v>
      </c>
      <c r="D132" s="3" t="s">
        <v>21</v>
      </c>
      <c r="E132" s="3" t="s">
        <v>22</v>
      </c>
      <c r="F132" s="4" t="s">
        <v>23</v>
      </c>
    </row>
    <row r="133" spans="1:6" ht="15.75" x14ac:dyDescent="0.25">
      <c r="A133" s="32" t="s">
        <v>163</v>
      </c>
      <c r="B133" s="5" t="s">
        <v>25</v>
      </c>
      <c r="C133" s="44"/>
      <c r="D133" s="44"/>
      <c r="E133" s="44"/>
      <c r="F133" s="6"/>
    </row>
    <row r="134" spans="1:6" ht="15.75" x14ac:dyDescent="0.25">
      <c r="A134" s="11" t="s">
        <v>164</v>
      </c>
      <c r="B134" s="13" t="s">
        <v>27</v>
      </c>
      <c r="C134" s="41" t="s">
        <v>179</v>
      </c>
      <c r="D134" s="25">
        <v>1800</v>
      </c>
      <c r="E134" s="33">
        <f>E108</f>
        <v>0</v>
      </c>
      <c r="F134" s="10">
        <f>D134*E134</f>
        <v>0</v>
      </c>
    </row>
    <row r="135" spans="1:6" ht="15.75" x14ac:dyDescent="0.25">
      <c r="A135" s="11" t="s">
        <v>165</v>
      </c>
      <c r="B135" s="13" t="s">
        <v>29</v>
      </c>
      <c r="C135" s="41" t="s">
        <v>179</v>
      </c>
      <c r="D135" s="25">
        <v>1800</v>
      </c>
      <c r="E135" s="33">
        <f>E109</f>
        <v>0</v>
      </c>
      <c r="F135" s="10">
        <f t="shared" ref="F135:F138" si="16">D135*E135</f>
        <v>0</v>
      </c>
    </row>
    <row r="136" spans="1:6" ht="15.75" x14ac:dyDescent="0.25">
      <c r="A136" s="11" t="s">
        <v>166</v>
      </c>
      <c r="B136" s="13" t="s">
        <v>31</v>
      </c>
      <c r="C136" s="41" t="s">
        <v>179</v>
      </c>
      <c r="D136" s="25">
        <v>2700</v>
      </c>
      <c r="E136" s="33">
        <f>E110</f>
        <v>0</v>
      </c>
      <c r="F136" s="10">
        <f t="shared" si="16"/>
        <v>0</v>
      </c>
    </row>
    <row r="137" spans="1:6" ht="15.75" x14ac:dyDescent="0.25">
      <c r="A137" s="11" t="s">
        <v>167</v>
      </c>
      <c r="B137" s="13" t="s">
        <v>33</v>
      </c>
      <c r="C137" s="41" t="s">
        <v>179</v>
      </c>
      <c r="D137" s="25">
        <v>4140</v>
      </c>
      <c r="E137" s="33">
        <f>E111</f>
        <v>0</v>
      </c>
      <c r="F137" s="10">
        <f t="shared" si="16"/>
        <v>0</v>
      </c>
    </row>
    <row r="138" spans="1:6" ht="15.75" x14ac:dyDescent="0.25">
      <c r="A138" s="11" t="s">
        <v>168</v>
      </c>
      <c r="B138" s="13" t="s">
        <v>35</v>
      </c>
      <c r="C138" s="41" t="s">
        <v>179</v>
      </c>
      <c r="D138" s="25">
        <v>3060</v>
      </c>
      <c r="E138" s="33">
        <v>0</v>
      </c>
      <c r="F138" s="10">
        <f t="shared" si="16"/>
        <v>0</v>
      </c>
    </row>
    <row r="139" spans="1:6" ht="15.75" x14ac:dyDescent="0.25">
      <c r="A139" s="11" t="s">
        <v>169</v>
      </c>
      <c r="B139" s="14" t="s">
        <v>37</v>
      </c>
      <c r="C139" s="41" t="s">
        <v>179</v>
      </c>
      <c r="D139" s="25">
        <v>3060</v>
      </c>
      <c r="E139" s="33">
        <f>E113</f>
        <v>0</v>
      </c>
      <c r="F139" s="10">
        <f>D139*E139</f>
        <v>0</v>
      </c>
    </row>
    <row r="140" spans="1:6" ht="15.75" x14ac:dyDescent="0.25">
      <c r="A140" s="32" t="s">
        <v>170</v>
      </c>
      <c r="B140" s="5" t="s">
        <v>39</v>
      </c>
      <c r="C140" s="44"/>
      <c r="D140" s="44"/>
      <c r="E140" s="44"/>
      <c r="F140" s="6"/>
    </row>
    <row r="141" spans="1:6" ht="15.75" x14ac:dyDescent="0.25">
      <c r="A141" s="11" t="s">
        <v>171</v>
      </c>
      <c r="B141" s="14" t="s">
        <v>41</v>
      </c>
      <c r="C141" s="41" t="s">
        <v>179</v>
      </c>
      <c r="D141" s="25">
        <v>270</v>
      </c>
      <c r="E141" s="33">
        <f t="shared" ref="E141:E146" si="17">E115</f>
        <v>0</v>
      </c>
      <c r="F141" s="10">
        <f t="shared" ref="F141:F146" si="18">D141*E141</f>
        <v>0</v>
      </c>
    </row>
    <row r="142" spans="1:6" ht="15.75" x14ac:dyDescent="0.25">
      <c r="A142" s="11" t="s">
        <v>172</v>
      </c>
      <c r="B142" s="15" t="s">
        <v>43</v>
      </c>
      <c r="C142" s="41" t="s">
        <v>179</v>
      </c>
      <c r="D142" s="25">
        <v>270</v>
      </c>
      <c r="E142" s="33">
        <f t="shared" si="17"/>
        <v>0</v>
      </c>
      <c r="F142" s="10">
        <f t="shared" si="18"/>
        <v>0</v>
      </c>
    </row>
    <row r="143" spans="1:6" ht="15.75" x14ac:dyDescent="0.25">
      <c r="A143" s="11" t="s">
        <v>173</v>
      </c>
      <c r="B143" s="15" t="s">
        <v>45</v>
      </c>
      <c r="C143" s="41" t="s">
        <v>179</v>
      </c>
      <c r="D143" s="25">
        <v>270</v>
      </c>
      <c r="E143" s="33">
        <f t="shared" si="17"/>
        <v>0</v>
      </c>
      <c r="F143" s="10">
        <f t="shared" si="18"/>
        <v>0</v>
      </c>
    </row>
    <row r="144" spans="1:6" ht="15.75" x14ac:dyDescent="0.25">
      <c r="A144" s="11" t="s">
        <v>174</v>
      </c>
      <c r="B144" s="15" t="s">
        <v>47</v>
      </c>
      <c r="C144" s="41" t="s">
        <v>179</v>
      </c>
      <c r="D144" s="25">
        <v>810</v>
      </c>
      <c r="E144" s="33">
        <f t="shared" si="17"/>
        <v>0</v>
      </c>
      <c r="F144" s="10">
        <f t="shared" si="18"/>
        <v>0</v>
      </c>
    </row>
    <row r="145" spans="1:6" ht="15.75" x14ac:dyDescent="0.25">
      <c r="A145" s="11" t="s">
        <v>175</v>
      </c>
      <c r="B145" s="15" t="s">
        <v>49</v>
      </c>
      <c r="C145" s="41" t="s">
        <v>179</v>
      </c>
      <c r="D145" s="25">
        <v>270</v>
      </c>
      <c r="E145" s="33">
        <f t="shared" si="17"/>
        <v>0</v>
      </c>
      <c r="F145" s="10">
        <f t="shared" si="18"/>
        <v>0</v>
      </c>
    </row>
    <row r="146" spans="1:6" ht="16.5" thickBot="1" x14ac:dyDescent="0.3">
      <c r="A146" s="11" t="s">
        <v>176</v>
      </c>
      <c r="B146" s="15" t="s">
        <v>51</v>
      </c>
      <c r="C146" s="41" t="s">
        <v>179</v>
      </c>
      <c r="D146" s="25">
        <v>810</v>
      </c>
      <c r="E146" s="33">
        <f t="shared" si="17"/>
        <v>0</v>
      </c>
      <c r="F146" s="10">
        <f t="shared" si="18"/>
        <v>0</v>
      </c>
    </row>
    <row r="147" spans="1:6" ht="16.5" thickBot="1" x14ac:dyDescent="0.3">
      <c r="A147" s="18" t="s">
        <v>177</v>
      </c>
      <c r="B147" s="19" t="s">
        <v>67</v>
      </c>
      <c r="C147" s="20" t="s">
        <v>67</v>
      </c>
      <c r="D147" s="20" t="s">
        <v>67</v>
      </c>
      <c r="E147" s="21" t="s">
        <v>67</v>
      </c>
      <c r="F147" s="22">
        <f>SUM(F134:F146)</f>
        <v>0</v>
      </c>
    </row>
  </sheetData>
  <sheetProtection algorithmName="SHA-512" hashValue="Oip8aiaRJzXyyhLs277jOmwZqzmZs5EyPkCChKlHCI5l5+aHBhvieHISZilBJR9+gtGtBK6jGkHmQOa5ZmzPoA==" saltValue="KGhejSQFclQEm1AQnNPRoA==" spinCount="100000" sheet="1" formatRows="0" sort="0" autoFilter="0"/>
  <protectedRanges>
    <protectedRange sqref="E33:E38 E40:E45 E47:E52" name="Range1_9"/>
    <protectedRange sqref="E58:E63 E65:E70 E72:E77" name="Range1_10"/>
    <protectedRange sqref="E83:E88 E90:E95 E97:E102" name="Range1_11"/>
    <protectedRange sqref="E134:E139 E141:E146 E108:E113 E115:E120 E122:E127" name="Range1_12"/>
  </protectedRanges>
  <mergeCells count="42">
    <mergeCell ref="C39:E39"/>
    <mergeCell ref="A5:B5"/>
    <mergeCell ref="C5:F5"/>
    <mergeCell ref="C7:E7"/>
    <mergeCell ref="A1:F1"/>
    <mergeCell ref="A2:F2"/>
    <mergeCell ref="A3:F3"/>
    <mergeCell ref="A4:F4"/>
    <mergeCell ref="C14:E14"/>
    <mergeCell ref="C21:E21"/>
    <mergeCell ref="A28:B28"/>
    <mergeCell ref="H1:M15"/>
    <mergeCell ref="A30:B30"/>
    <mergeCell ref="C30:F30"/>
    <mergeCell ref="C32:E32"/>
    <mergeCell ref="H18:J18"/>
    <mergeCell ref="H17:P17"/>
    <mergeCell ref="A103:B103"/>
    <mergeCell ref="A105:B105"/>
    <mergeCell ref="C105:F105"/>
    <mergeCell ref="C107:E107"/>
    <mergeCell ref="C46:E46"/>
    <mergeCell ref="A53:B53"/>
    <mergeCell ref="A55:B55"/>
    <mergeCell ref="C55:F55"/>
    <mergeCell ref="C57:E57"/>
    <mergeCell ref="C64:E64"/>
    <mergeCell ref="C140:E140"/>
    <mergeCell ref="C121:E121"/>
    <mergeCell ref="A128:B128"/>
    <mergeCell ref="A130:B130"/>
    <mergeCell ref="C130:F130"/>
    <mergeCell ref="A131:F131"/>
    <mergeCell ref="C133:E133"/>
    <mergeCell ref="C114:E114"/>
    <mergeCell ref="C71:E71"/>
    <mergeCell ref="A78:B78"/>
    <mergeCell ref="A80:B80"/>
    <mergeCell ref="C80:F80"/>
    <mergeCell ref="C82:E82"/>
    <mergeCell ref="C89:E89"/>
    <mergeCell ref="C96:E9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98FA2F4DBC7947AD140E0E7B457240" ma:contentTypeVersion="18" ma:contentTypeDescription="Create a new document." ma:contentTypeScope="" ma:versionID="2cc6a41d7beb279ab0a8e08015d55f3f">
  <xsd:schema xmlns:xsd="http://www.w3.org/2001/XMLSchema" xmlns:xs="http://www.w3.org/2001/XMLSchema" xmlns:p="http://schemas.microsoft.com/office/2006/metadata/properties" xmlns:ns1="http://schemas.microsoft.com/sharepoint/v3" xmlns:ns2="ea060dc6-3480-4c8e-809c-224405e03b9e" xmlns:ns3="ff559184-0d06-4629-a649-4481ff06bf8b" targetNamespace="http://schemas.microsoft.com/office/2006/metadata/properties" ma:root="true" ma:fieldsID="aa0bd3490cba307ee0489331013c453c" ns1:_="" ns2:_="" ns3:_="">
    <xsd:import namespace="http://schemas.microsoft.com/sharepoint/v3"/>
    <xsd:import namespace="ea060dc6-3480-4c8e-809c-224405e03b9e"/>
    <xsd:import namespace="ff559184-0d06-4629-a649-4481ff06bf8b"/>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060dc6-3480-4c8e-809c-224405e03b9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df072a5-769d-472a-8166-36f66dcee0f6"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59184-0d06-4629-a649-4481ff06bf8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81dc9e0-ff9d-4700-82ee-45ef04a8a585}" ma:internalName="TaxCatchAll" ma:showField="CatchAllData" ma:web="ff559184-0d06-4629-a649-4481ff06bf8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ff559184-0d06-4629-a649-4481ff06bf8b" xsi:nil="true"/>
    <_ip_UnifiedCompliancePolicyProperties xmlns="http://schemas.microsoft.com/sharepoint/v3" xsi:nil="true"/>
    <lcf76f155ced4ddcb4097134ff3c332f xmlns="ea060dc6-3480-4c8e-809c-224405e03b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2130A2-080B-4BB0-B67C-DFC3BC29F227}">
  <ds:schemaRefs>
    <ds:schemaRef ds:uri="http://schemas.microsoft.com/sharepoint/v3/contenttype/forms"/>
  </ds:schemaRefs>
</ds:datastoreItem>
</file>

<file path=customXml/itemProps2.xml><?xml version="1.0" encoding="utf-8"?>
<ds:datastoreItem xmlns:ds="http://schemas.openxmlformats.org/officeDocument/2006/customXml" ds:itemID="{3AF94FCD-486A-4E6D-8493-38AAF97626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a060dc6-3480-4c8e-809c-224405e03b9e"/>
    <ds:schemaRef ds:uri="ff559184-0d06-4629-a649-4481ff06bf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ADCC7B-C811-4A87-A6CF-03E9E495C594}">
  <ds:schemaRefs>
    <ds:schemaRef ds:uri="http://purl.org/dc/terms/"/>
    <ds:schemaRef ds:uri="ea060dc6-3480-4c8e-809c-224405e03b9e"/>
    <ds:schemaRef ds:uri="http://schemas.microsoft.com/office/infopath/2007/PartnerControls"/>
    <ds:schemaRef ds:uri="ff559184-0d06-4629-a649-4481ff06bf8b"/>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purl.org/dc/elements/1.1/"/>
    <ds:schemaRef ds:uri="http://schemas.microsoft.com/sharepoint/v3"/>
    <ds:schemaRef ds:uri="http://www.w3.org/XML/1998/namespace"/>
  </ds:schemaRefs>
</ds:datastoreItem>
</file>

<file path=docMetadata/LabelInfo.xml><?xml version="1.0" encoding="utf-8"?>
<clbl:labelList xmlns:clbl="http://schemas.microsoft.com/office/2020/mipLabelMetadata">
  <clbl:label id="{ce0f7be2-a755-4893-8d70-2b153371922c}" enabled="0" method="" siteId="{ce0f7be2-a755-4893-8d70-2b153371922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Japan Safety AA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Ronnie Ms. CIV OSD/DoDEA-HQ</dc:creator>
  <cp:keywords/>
  <dc:description/>
  <cp:lastModifiedBy>Swailes, Ronnie Ms. CIV OSW/DoWEA-HQ</cp:lastModifiedBy>
  <cp:revision/>
  <dcterms:created xsi:type="dcterms:W3CDTF">2026-03-06T14:07:39Z</dcterms:created>
  <dcterms:modified xsi:type="dcterms:W3CDTF">2026-05-07T14:02:49Z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0x0101004798FA2F4DBC7947AD140E0E7B457240</vt:lpwstr>
  </property>
  <property fmtid="{D5CDD505-2E9C-101B-9397-08002B2CF9AE}" pid="3" name="MediaServiceImageTags">
    <vt:lpwstr/>
  </property>
</Properties>
</file>