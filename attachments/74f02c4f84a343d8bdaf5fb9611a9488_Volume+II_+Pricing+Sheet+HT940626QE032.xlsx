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militaryhealth-my.sharepoint-mil.us/personal/gerrie_m_johnson_civ_health_mil/Documents/Desktop/CS Review/2- Requirements/Koffi/Med Waste/"/>
    </mc:Choice>
  </mc:AlternateContent>
  <xr:revisionPtr revIDLastSave="0" documentId="8_{F92AECE7-F79A-4DDB-A215-33CB3867FA80}" xr6:coauthVersionLast="47" xr6:coauthVersionMax="47" xr10:uidLastSave="{00000000-0000-0000-0000-000000000000}"/>
  <bookViews>
    <workbookView xWindow="-120" yWindow="90" windowWidth="29040" windowHeight="15510" xr2:uid="{00000000-000D-0000-FFFF-FFFF00000000}"/>
  </bookViews>
  <sheets>
    <sheet name="Pricing" sheetId="2" r:id="rId1"/>
  </sheet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2" l="1"/>
  <c r="E4" i="2"/>
  <c r="E17" i="2" l="1"/>
  <c r="E14" i="2"/>
  <c r="E11" i="2"/>
  <c r="E7" i="2"/>
  <c r="E8" i="2"/>
  <c r="E20" i="2" l="1"/>
  <c r="E16" i="2"/>
  <c r="E23" i="2" s="1"/>
  <c r="E13" i="2"/>
  <c r="E22" i="2" s="1"/>
  <c r="E10" i="2"/>
  <c r="E21" i="2" s="1"/>
  <c r="E19" i="2" l="1"/>
  <c r="E24" i="2" s="1"/>
</calcChain>
</file>

<file path=xl/sharedStrings.xml><?xml version="1.0" encoding="utf-8"?>
<sst xmlns="http://schemas.openxmlformats.org/spreadsheetml/2006/main" count="39" uniqueCount="39">
  <si>
    <t>CLIN</t>
  </si>
  <si>
    <t>Description</t>
  </si>
  <si>
    <t>Unit Price</t>
  </si>
  <si>
    <t>Total Price</t>
  </si>
  <si>
    <t>BASE PERIOD</t>
  </si>
  <si>
    <t>OPTION PERIOD 3</t>
  </si>
  <si>
    <t>OPTION PERIOD 1</t>
  </si>
  <si>
    <t>OPTION PERIOD 2</t>
  </si>
  <si>
    <t>OPTION PERIOD 4</t>
  </si>
  <si>
    <t>Total Proposed Price</t>
  </si>
  <si>
    <t>PRICING SHEET TOTALS</t>
  </si>
  <si>
    <t>Total Price Per Period of Performance</t>
  </si>
  <si>
    <t>Base</t>
  </si>
  <si>
    <t>Option Period 1</t>
  </si>
  <si>
    <t>Option Period 2</t>
  </si>
  <si>
    <t>Option Period 4</t>
  </si>
  <si>
    <t>Option Period 3</t>
  </si>
  <si>
    <t>PRICING SHEET RFQ # HT940626QE032</t>
  </si>
  <si>
    <t>0001</t>
  </si>
  <si>
    <t>Medical Waste Removal and Disposal      
Naval Health Clinic Cherry Point, NC
Period of Performance: 01 October 2026 - 30 September 2027</t>
  </si>
  <si>
    <t>Pharmaceutical Waste Removal and Disposal                                                                                              Naval Health Clinic Cherry Point, NC                                             Period of Performance: 01 October 2026 - 30 September 2027</t>
  </si>
  <si>
    <t>0002</t>
  </si>
  <si>
    <t>2001</t>
  </si>
  <si>
    <t>2002</t>
  </si>
  <si>
    <t>1001</t>
  </si>
  <si>
    <t>1002</t>
  </si>
  <si>
    <t>Medical Waste Removal and Disposal        
Naval Health Clinic Cherry Point, NC
Period of Performance: 01 October 2027- 30 September 2028</t>
  </si>
  <si>
    <t>Pharmaceutical Waste Removal and Disposal                                                                                                Naval Health Clinic Cherry Point, NC                                             Period of Performance: 01 October 2027 - 30 September 2028</t>
  </si>
  <si>
    <t>Medical Waste Removal and Disposal        
Naval Health Clinic Cherry Point, NC
Period of Performance: 01 October 2028 - 30 September 2029</t>
  </si>
  <si>
    <t>3001</t>
  </si>
  <si>
    <t>3002</t>
  </si>
  <si>
    <t>Pharmaceutical Waste Removal and Disposal                                                                                               Naval Health Clinic Cherry Point, NC                                             Period of Performance: 01 October 2028 - 30 September 2029</t>
  </si>
  <si>
    <t>Medical Waster Removal and Disposal        
Naval Health Clinic Cherry Point, NC
Period of Performance: 01 October 2029 - 30 September 2030</t>
  </si>
  <si>
    <t>Pharmaceutical Waste Removal and Disposal                                                                                               Naval Health Clinic Cherry Point, NC                                             Period of Performance: 01 October 2029 - 30 September 2030</t>
  </si>
  <si>
    <t>4001</t>
  </si>
  <si>
    <t>4002</t>
  </si>
  <si>
    <t>Medical Waste Removal and Disposal         
Naval Health Clinic Cherry Point, NC
Period of Performance: 01 October 2030 - 30 September 2031</t>
  </si>
  <si>
    <t>Pharmaceutical Waste Removal and Disposal                                                                                               Naval Health Clinic Cherry Point, NC                                             Period of Performance: 01 October 2030 - 30 September 2031</t>
  </si>
  <si>
    <t>Quantity
(Box)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</si>
</sst>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</numFmts>
  <fonts count="11" x14ac:knownFonts="1"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color theme="1"/>
      <name val="Times New Roman"/>
      <family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Times New Roman"/>
      <family val="1"/>
    </font>
    <font>
      <b/>
      <sz val="10"/>
      <name val="Times New Roman"/>
      <family val="1"/>
    </font>
    <font>
      <b/>
      <u/>
      <sz val="10"/>
      <name val="Times New Roman"/>
      <family val="1"/>
    </font>
    <font>
      <b/>
      <sz val="11"/>
      <color theme="1"/>
      <name val="Times New Roman"/>
      <family val="1"/>
    </font>
    <font>
      <b/>
      <u/>
      <sz val="10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62">
    <xf numFmtId="0" fontId="0" fillId="0" borderId="0"/>
    <xf numFmtId="0" fontId="5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44" fontId="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4" fontId="4" fillId="0" borderId="0" applyFont="0" applyFill="0" applyBorder="0" applyAlignment="0" applyProtection="0"/>
    <xf numFmtId="0" fontId="4" fillId="0" borderId="0"/>
    <xf numFmtId="0" fontId="3" fillId="0" borderId="0"/>
    <xf numFmtId="0" fontId="4" fillId="0" borderId="0"/>
    <xf numFmtId="0" fontId="4" fillId="0" borderId="0"/>
    <xf numFmtId="0" fontId="4" fillId="0" borderId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4" fontId="4" fillId="0" borderId="0" applyFont="0" applyFill="0" applyBorder="0" applyAlignment="0" applyProtection="0"/>
    <xf numFmtId="0" fontId="4" fillId="0" borderId="0"/>
    <xf numFmtId="0" fontId="3" fillId="0" borderId="0"/>
    <xf numFmtId="0" fontId="4" fillId="0" borderId="0"/>
    <xf numFmtId="0" fontId="4" fillId="0" borderId="0"/>
    <xf numFmtId="0" fontId="4" fillId="0" borderId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46">
    <xf numFmtId="0" fontId="0" fillId="0" borderId="0" xfId="0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49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44" fontId="7" fillId="0" borderId="1" xfId="0" applyNumberFormat="1" applyFont="1" applyBorder="1" applyAlignment="1" applyProtection="1">
      <alignment horizontal="center" vertical="center" wrapText="1"/>
      <protection locked="0"/>
    </xf>
    <xf numFmtId="164" fontId="7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3" fontId="1" fillId="0" borderId="1" xfId="0" applyNumberFormat="1" applyFont="1" applyBorder="1" applyAlignment="1">
      <alignment horizontal="center" vertical="center" wrapText="1"/>
    </xf>
    <xf numFmtId="164" fontId="6" fillId="2" borderId="1" xfId="0" applyNumberFormat="1" applyFont="1" applyFill="1" applyBorder="1" applyAlignment="1" applyProtection="1">
      <alignment horizontal="center" vertical="center"/>
      <protection locked="0"/>
    </xf>
    <xf numFmtId="164" fontId="6" fillId="0" borderId="1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7" fillId="4" borderId="0" xfId="0" applyFont="1" applyFill="1" applyAlignment="1">
      <alignment horizontal="center" vertical="center"/>
    </xf>
    <xf numFmtId="164" fontId="7" fillId="4" borderId="0" xfId="0" applyNumberFormat="1" applyFont="1" applyFill="1" applyAlignment="1">
      <alignment horizontal="center" vertical="center" wrapText="1"/>
    </xf>
    <xf numFmtId="49" fontId="1" fillId="4" borderId="0" xfId="0" applyNumberFormat="1" applyFont="1" applyFill="1" applyAlignment="1">
      <alignment horizontal="center" vertical="center"/>
    </xf>
    <xf numFmtId="164" fontId="6" fillId="4" borderId="0" xfId="0" applyNumberFormat="1" applyFont="1" applyFill="1" applyAlignment="1">
      <alignment horizontal="center" vertical="center"/>
    </xf>
    <xf numFmtId="0" fontId="6" fillId="0" borderId="0" xfId="0" applyFont="1" applyAlignment="1">
      <alignment vertical="center" wrapText="1"/>
    </xf>
    <xf numFmtId="49" fontId="1" fillId="0" borderId="1" xfId="0" applyNumberFormat="1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 wrapText="1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vertical="center"/>
    </xf>
    <xf numFmtId="49" fontId="1" fillId="0" borderId="7" xfId="0" applyNumberFormat="1" applyFont="1" applyBorder="1" applyAlignment="1">
      <alignment horizontal="right"/>
    </xf>
    <xf numFmtId="0" fontId="6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49" fontId="1" fillId="4" borderId="5" xfId="0" applyNumberFormat="1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/>
    </xf>
    <xf numFmtId="49" fontId="1" fillId="3" borderId="2" xfId="0" applyNumberFormat="1" applyFont="1" applyFill="1" applyBorder="1" applyAlignment="1">
      <alignment horizontal="center" vertical="center"/>
    </xf>
    <xf numFmtId="49" fontId="1" fillId="3" borderId="3" xfId="0" applyNumberFormat="1" applyFont="1" applyFill="1" applyBorder="1" applyAlignment="1">
      <alignment horizontal="center" vertical="center"/>
    </xf>
    <xf numFmtId="49" fontId="1" fillId="3" borderId="4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vertical="center"/>
    </xf>
    <xf numFmtId="0" fontId="10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 wrapText="1"/>
    </xf>
    <xf numFmtId="0" fontId="9" fillId="0" borderId="0" xfId="0" applyFont="1" applyBorder="1" applyAlignment="1">
      <alignment horizontal="center" vertical="top" wrapText="1"/>
    </xf>
    <xf numFmtId="0" fontId="9" fillId="0" borderId="0" xfId="0" applyFont="1" applyBorder="1"/>
    <xf numFmtId="0" fontId="9" fillId="0" borderId="0" xfId="0" applyFont="1" applyBorder="1" applyAlignment="1">
      <alignment horizontal="left"/>
    </xf>
  </cellXfs>
  <cellStyles count="162">
    <cellStyle name="Comma 2" xfId="58" xr:uid="{00000000-0005-0000-0000-000000000000}"/>
    <cellStyle name="Comma 3" xfId="57" xr:uid="{00000000-0005-0000-0000-000001000000}"/>
    <cellStyle name="Currency 2" xfId="5" xr:uid="{00000000-0005-0000-0000-000002000000}"/>
    <cellStyle name="Currency 3" xfId="10" xr:uid="{00000000-0005-0000-0000-000003000000}"/>
    <cellStyle name="Currency 3 2" xfId="13" xr:uid="{00000000-0005-0000-0000-000004000000}"/>
    <cellStyle name="Currency 3 2 2" xfId="27" xr:uid="{00000000-0005-0000-0000-000005000000}"/>
    <cellStyle name="Currency 3 2 2 2" xfId="53" xr:uid="{00000000-0005-0000-0000-000006000000}"/>
    <cellStyle name="Currency 3 2 2 2 2" xfId="107" xr:uid="{00000000-0005-0000-0000-000007000000}"/>
    <cellStyle name="Currency 3 2 2 2 3" xfId="156" xr:uid="{00000000-0005-0000-0000-000008000000}"/>
    <cellStyle name="Currency 3 2 2 3" xfId="81" xr:uid="{00000000-0005-0000-0000-000009000000}"/>
    <cellStyle name="Currency 3 2 2 4" xfId="131" xr:uid="{00000000-0005-0000-0000-00000A000000}"/>
    <cellStyle name="Currency 3 2 3" xfId="41" xr:uid="{00000000-0005-0000-0000-00000B000000}"/>
    <cellStyle name="Currency 3 2 3 2" xfId="95" xr:uid="{00000000-0005-0000-0000-00000C000000}"/>
    <cellStyle name="Currency 3 2 3 3" xfId="144" xr:uid="{00000000-0005-0000-0000-00000D000000}"/>
    <cellStyle name="Currency 3 2 4" xfId="69" xr:uid="{00000000-0005-0000-0000-00000E000000}"/>
    <cellStyle name="Currency 3 2 5" xfId="119" xr:uid="{00000000-0005-0000-0000-00000F000000}"/>
    <cellStyle name="Currency 3 3" xfId="24" xr:uid="{00000000-0005-0000-0000-000010000000}"/>
    <cellStyle name="Currency 3 3 2" xfId="50" xr:uid="{00000000-0005-0000-0000-000011000000}"/>
    <cellStyle name="Currency 3 3 2 2" xfId="104" xr:uid="{00000000-0005-0000-0000-000012000000}"/>
    <cellStyle name="Currency 3 3 2 3" xfId="153" xr:uid="{00000000-0005-0000-0000-000013000000}"/>
    <cellStyle name="Currency 3 3 3" xfId="78" xr:uid="{00000000-0005-0000-0000-000014000000}"/>
    <cellStyle name="Currency 3 3 4" xfId="128" xr:uid="{00000000-0005-0000-0000-000015000000}"/>
    <cellStyle name="Currency 3 4" xfId="38" xr:uid="{00000000-0005-0000-0000-000016000000}"/>
    <cellStyle name="Currency 3 4 2" xfId="92" xr:uid="{00000000-0005-0000-0000-000017000000}"/>
    <cellStyle name="Currency 3 4 3" xfId="141" xr:uid="{00000000-0005-0000-0000-000018000000}"/>
    <cellStyle name="Currency 3 5" xfId="66" xr:uid="{00000000-0005-0000-0000-000019000000}"/>
    <cellStyle name="Currency 3 6" xfId="116" xr:uid="{00000000-0005-0000-0000-00001A000000}"/>
    <cellStyle name="Currency 4" xfId="19" xr:uid="{00000000-0005-0000-0000-00001B000000}"/>
    <cellStyle name="Currency 5" xfId="2" xr:uid="{00000000-0005-0000-0000-00001C000000}"/>
    <cellStyle name="Currency 6" xfId="32" xr:uid="{00000000-0005-0000-0000-00001D000000}"/>
    <cellStyle name="Currency 6 2" xfId="86" xr:uid="{00000000-0005-0000-0000-00001E000000}"/>
    <cellStyle name="Currency 6 3" xfId="136" xr:uid="{00000000-0005-0000-0000-00001F000000}"/>
    <cellStyle name="Normal" xfId="0" builtinId="0"/>
    <cellStyle name="Normal 10" xfId="17" xr:uid="{00000000-0005-0000-0000-000021000000}"/>
    <cellStyle name="Normal 10 2" xfId="45" xr:uid="{00000000-0005-0000-0000-000022000000}"/>
    <cellStyle name="Normal 10 2 2" xfId="99" xr:uid="{00000000-0005-0000-0000-000023000000}"/>
    <cellStyle name="Normal 10 2 3" xfId="148" xr:uid="{00000000-0005-0000-0000-000024000000}"/>
    <cellStyle name="Normal 10 3" xfId="73" xr:uid="{00000000-0005-0000-0000-000025000000}"/>
    <cellStyle name="Normal 10 4" xfId="123" xr:uid="{00000000-0005-0000-0000-000026000000}"/>
    <cellStyle name="Normal 11" xfId="1" xr:uid="{00000000-0005-0000-0000-000027000000}"/>
    <cellStyle name="Normal 11 2" xfId="88" xr:uid="{00000000-0005-0000-0000-000028000000}"/>
    <cellStyle name="Normal 11 3" xfId="34" xr:uid="{00000000-0005-0000-0000-000029000000}"/>
    <cellStyle name="Normal 12" xfId="31" xr:uid="{00000000-0005-0000-0000-00002A000000}"/>
    <cellStyle name="Normal 12 2" xfId="85" xr:uid="{00000000-0005-0000-0000-00002B000000}"/>
    <cellStyle name="Normal 12 3" xfId="135" xr:uid="{00000000-0005-0000-0000-00002C000000}"/>
    <cellStyle name="Normal 13" xfId="161" xr:uid="{00000000-0005-0000-0000-00002D000000}"/>
    <cellStyle name="Normal 2" xfId="4" xr:uid="{00000000-0005-0000-0000-00002E000000}"/>
    <cellStyle name="Normal 2 2" xfId="59" xr:uid="{00000000-0005-0000-0000-00002F000000}"/>
    <cellStyle name="Normal 2 2 2" xfId="111" xr:uid="{00000000-0005-0000-0000-000030000000}"/>
    <cellStyle name="Normal 2 2 3" xfId="160" xr:uid="{00000000-0005-0000-0000-000031000000}"/>
    <cellStyle name="Normal 3" xfId="3" xr:uid="{00000000-0005-0000-0000-000032000000}"/>
    <cellStyle name="Normal 4" xfId="6" xr:uid="{00000000-0005-0000-0000-000033000000}"/>
    <cellStyle name="Normal 4 2" xfId="14" xr:uid="{00000000-0005-0000-0000-000034000000}"/>
    <cellStyle name="Normal 4 2 2" xfId="28" xr:uid="{00000000-0005-0000-0000-000035000000}"/>
    <cellStyle name="Normal 4 2 2 2" xfId="54" xr:uid="{00000000-0005-0000-0000-000036000000}"/>
    <cellStyle name="Normal 4 2 2 2 2" xfId="108" xr:uid="{00000000-0005-0000-0000-000037000000}"/>
    <cellStyle name="Normal 4 2 2 2 3" xfId="157" xr:uid="{00000000-0005-0000-0000-000038000000}"/>
    <cellStyle name="Normal 4 2 2 3" xfId="82" xr:uid="{00000000-0005-0000-0000-000039000000}"/>
    <cellStyle name="Normal 4 2 2 4" xfId="132" xr:uid="{00000000-0005-0000-0000-00003A000000}"/>
    <cellStyle name="Normal 4 2 3" xfId="42" xr:uid="{00000000-0005-0000-0000-00003B000000}"/>
    <cellStyle name="Normal 4 2 3 2" xfId="96" xr:uid="{00000000-0005-0000-0000-00003C000000}"/>
    <cellStyle name="Normal 4 2 3 3" xfId="145" xr:uid="{00000000-0005-0000-0000-00003D000000}"/>
    <cellStyle name="Normal 4 2 4" xfId="70" xr:uid="{00000000-0005-0000-0000-00003E000000}"/>
    <cellStyle name="Normal 4 2 5" xfId="120" xr:uid="{00000000-0005-0000-0000-00003F000000}"/>
    <cellStyle name="Normal 4 3" xfId="20" xr:uid="{00000000-0005-0000-0000-000040000000}"/>
    <cellStyle name="Normal 4 3 2" xfId="46" xr:uid="{00000000-0005-0000-0000-000041000000}"/>
    <cellStyle name="Normal 4 3 2 2" xfId="100" xr:uid="{00000000-0005-0000-0000-000042000000}"/>
    <cellStyle name="Normal 4 3 2 3" xfId="149" xr:uid="{00000000-0005-0000-0000-000043000000}"/>
    <cellStyle name="Normal 4 3 3" xfId="74" xr:uid="{00000000-0005-0000-0000-000044000000}"/>
    <cellStyle name="Normal 4 3 4" xfId="124" xr:uid="{00000000-0005-0000-0000-000045000000}"/>
    <cellStyle name="Normal 4 4" xfId="35" xr:uid="{00000000-0005-0000-0000-000046000000}"/>
    <cellStyle name="Normal 4 4 2" xfId="89" xr:uid="{00000000-0005-0000-0000-000047000000}"/>
    <cellStyle name="Normal 4 4 3" xfId="138" xr:uid="{00000000-0005-0000-0000-000048000000}"/>
    <cellStyle name="Normal 4 5" xfId="62" xr:uid="{00000000-0005-0000-0000-000049000000}"/>
    <cellStyle name="Normal 4 6" xfId="112" xr:uid="{00000000-0005-0000-0000-00004A000000}"/>
    <cellStyle name="Normal 5" xfId="7" xr:uid="{00000000-0005-0000-0000-00004B000000}"/>
    <cellStyle name="Normal 5 2" xfId="15" xr:uid="{00000000-0005-0000-0000-00004C000000}"/>
    <cellStyle name="Normal 5 2 2" xfId="29" xr:uid="{00000000-0005-0000-0000-00004D000000}"/>
    <cellStyle name="Normal 5 2 2 2" xfId="55" xr:uid="{00000000-0005-0000-0000-00004E000000}"/>
    <cellStyle name="Normal 5 2 2 2 2" xfId="109" xr:uid="{00000000-0005-0000-0000-00004F000000}"/>
    <cellStyle name="Normal 5 2 2 2 3" xfId="158" xr:uid="{00000000-0005-0000-0000-000050000000}"/>
    <cellStyle name="Normal 5 2 2 3" xfId="83" xr:uid="{00000000-0005-0000-0000-000051000000}"/>
    <cellStyle name="Normal 5 2 2 4" xfId="133" xr:uid="{00000000-0005-0000-0000-000052000000}"/>
    <cellStyle name="Normal 5 2 3" xfId="43" xr:uid="{00000000-0005-0000-0000-000053000000}"/>
    <cellStyle name="Normal 5 2 3 2" xfId="97" xr:uid="{00000000-0005-0000-0000-000054000000}"/>
    <cellStyle name="Normal 5 2 3 3" xfId="146" xr:uid="{00000000-0005-0000-0000-000055000000}"/>
    <cellStyle name="Normal 5 2 4" xfId="71" xr:uid="{00000000-0005-0000-0000-000056000000}"/>
    <cellStyle name="Normal 5 2 5" xfId="121" xr:uid="{00000000-0005-0000-0000-000057000000}"/>
    <cellStyle name="Normal 5 3" xfId="21" xr:uid="{00000000-0005-0000-0000-000058000000}"/>
    <cellStyle name="Normal 5 3 2" xfId="47" xr:uid="{00000000-0005-0000-0000-000059000000}"/>
    <cellStyle name="Normal 5 3 2 2" xfId="101" xr:uid="{00000000-0005-0000-0000-00005A000000}"/>
    <cellStyle name="Normal 5 3 2 3" xfId="150" xr:uid="{00000000-0005-0000-0000-00005B000000}"/>
    <cellStyle name="Normal 5 3 3" xfId="75" xr:uid="{00000000-0005-0000-0000-00005C000000}"/>
    <cellStyle name="Normal 5 3 4" xfId="125" xr:uid="{00000000-0005-0000-0000-00005D000000}"/>
    <cellStyle name="Normal 5 4" xfId="36" xr:uid="{00000000-0005-0000-0000-00005E000000}"/>
    <cellStyle name="Normal 5 4 2" xfId="90" xr:uid="{00000000-0005-0000-0000-00005F000000}"/>
    <cellStyle name="Normal 5 4 3" xfId="139" xr:uid="{00000000-0005-0000-0000-000060000000}"/>
    <cellStyle name="Normal 5 5" xfId="63" xr:uid="{00000000-0005-0000-0000-000061000000}"/>
    <cellStyle name="Normal 5 6" xfId="113" xr:uid="{00000000-0005-0000-0000-000062000000}"/>
    <cellStyle name="Normal 6" xfId="8" xr:uid="{00000000-0005-0000-0000-000063000000}"/>
    <cellStyle name="Normal 6 2" xfId="16" xr:uid="{00000000-0005-0000-0000-000064000000}"/>
    <cellStyle name="Normal 6 2 2" xfId="30" xr:uid="{00000000-0005-0000-0000-000065000000}"/>
    <cellStyle name="Normal 6 2 2 2" xfId="56" xr:uid="{00000000-0005-0000-0000-000066000000}"/>
    <cellStyle name="Normal 6 2 2 2 2" xfId="110" xr:uid="{00000000-0005-0000-0000-000067000000}"/>
    <cellStyle name="Normal 6 2 2 2 3" xfId="159" xr:uid="{00000000-0005-0000-0000-000068000000}"/>
    <cellStyle name="Normal 6 2 2 3" xfId="84" xr:uid="{00000000-0005-0000-0000-000069000000}"/>
    <cellStyle name="Normal 6 2 2 4" xfId="134" xr:uid="{00000000-0005-0000-0000-00006A000000}"/>
    <cellStyle name="Normal 6 2 3" xfId="44" xr:uid="{00000000-0005-0000-0000-00006B000000}"/>
    <cellStyle name="Normal 6 2 3 2" xfId="98" xr:uid="{00000000-0005-0000-0000-00006C000000}"/>
    <cellStyle name="Normal 6 2 3 3" xfId="147" xr:uid="{00000000-0005-0000-0000-00006D000000}"/>
    <cellStyle name="Normal 6 2 4" xfId="72" xr:uid="{00000000-0005-0000-0000-00006E000000}"/>
    <cellStyle name="Normal 6 2 5" xfId="122" xr:uid="{00000000-0005-0000-0000-00006F000000}"/>
    <cellStyle name="Normal 6 3" xfId="22" xr:uid="{00000000-0005-0000-0000-000070000000}"/>
    <cellStyle name="Normal 6 3 2" xfId="48" xr:uid="{00000000-0005-0000-0000-000071000000}"/>
    <cellStyle name="Normal 6 3 2 2" xfId="102" xr:uid="{00000000-0005-0000-0000-000072000000}"/>
    <cellStyle name="Normal 6 3 2 3" xfId="151" xr:uid="{00000000-0005-0000-0000-000073000000}"/>
    <cellStyle name="Normal 6 3 3" xfId="76" xr:uid="{00000000-0005-0000-0000-000074000000}"/>
    <cellStyle name="Normal 6 3 4" xfId="126" xr:uid="{00000000-0005-0000-0000-000075000000}"/>
    <cellStyle name="Normal 6 4" xfId="37" xr:uid="{00000000-0005-0000-0000-000076000000}"/>
    <cellStyle name="Normal 6 4 2" xfId="91" xr:uid="{00000000-0005-0000-0000-000077000000}"/>
    <cellStyle name="Normal 6 4 3" xfId="140" xr:uid="{00000000-0005-0000-0000-000078000000}"/>
    <cellStyle name="Normal 6 5" xfId="64" xr:uid="{00000000-0005-0000-0000-000079000000}"/>
    <cellStyle name="Normal 6 6" xfId="114" xr:uid="{00000000-0005-0000-0000-00007A000000}"/>
    <cellStyle name="Normal 7" xfId="9" xr:uid="{00000000-0005-0000-0000-00007B000000}"/>
    <cellStyle name="Normal 7 2" xfId="12" xr:uid="{00000000-0005-0000-0000-00007C000000}"/>
    <cellStyle name="Normal 7 2 2" xfId="26" xr:uid="{00000000-0005-0000-0000-00007D000000}"/>
    <cellStyle name="Normal 7 2 2 2" xfId="52" xr:uid="{00000000-0005-0000-0000-00007E000000}"/>
    <cellStyle name="Normal 7 2 2 2 2" xfId="106" xr:uid="{00000000-0005-0000-0000-00007F000000}"/>
    <cellStyle name="Normal 7 2 2 2 3" xfId="155" xr:uid="{00000000-0005-0000-0000-000080000000}"/>
    <cellStyle name="Normal 7 2 2 3" xfId="80" xr:uid="{00000000-0005-0000-0000-000081000000}"/>
    <cellStyle name="Normal 7 2 2 4" xfId="130" xr:uid="{00000000-0005-0000-0000-000082000000}"/>
    <cellStyle name="Normal 7 2 3" xfId="40" xr:uid="{00000000-0005-0000-0000-000083000000}"/>
    <cellStyle name="Normal 7 2 3 2" xfId="94" xr:uid="{00000000-0005-0000-0000-000084000000}"/>
    <cellStyle name="Normal 7 2 3 3" xfId="143" xr:uid="{00000000-0005-0000-0000-000085000000}"/>
    <cellStyle name="Normal 7 2 4" xfId="68" xr:uid="{00000000-0005-0000-0000-000086000000}"/>
    <cellStyle name="Normal 7 2 5" xfId="118" xr:uid="{00000000-0005-0000-0000-000087000000}"/>
    <cellStyle name="Normal 7 3" xfId="23" xr:uid="{00000000-0005-0000-0000-000088000000}"/>
    <cellStyle name="Normal 7 3 2" xfId="49" xr:uid="{00000000-0005-0000-0000-000089000000}"/>
    <cellStyle name="Normal 7 3 2 2" xfId="103" xr:uid="{00000000-0005-0000-0000-00008A000000}"/>
    <cellStyle name="Normal 7 3 2 3" xfId="152" xr:uid="{00000000-0005-0000-0000-00008B000000}"/>
    <cellStyle name="Normal 7 3 3" xfId="77" xr:uid="{00000000-0005-0000-0000-00008C000000}"/>
    <cellStyle name="Normal 7 3 4" xfId="127" xr:uid="{00000000-0005-0000-0000-00008D000000}"/>
    <cellStyle name="Normal 7 4" xfId="33" xr:uid="{00000000-0005-0000-0000-00008E000000}"/>
    <cellStyle name="Normal 7 4 2" xfId="87" xr:uid="{00000000-0005-0000-0000-00008F000000}"/>
    <cellStyle name="Normal 7 4 3" xfId="137" xr:uid="{00000000-0005-0000-0000-000090000000}"/>
    <cellStyle name="Normal 7 5" xfId="65" xr:uid="{00000000-0005-0000-0000-000091000000}"/>
    <cellStyle name="Normal 7 6" xfId="115" xr:uid="{00000000-0005-0000-0000-000092000000}"/>
    <cellStyle name="Normal 8" xfId="11" xr:uid="{00000000-0005-0000-0000-000093000000}"/>
    <cellStyle name="Normal 8 2" xfId="25" xr:uid="{00000000-0005-0000-0000-000094000000}"/>
    <cellStyle name="Normal 8 2 2" xfId="51" xr:uid="{00000000-0005-0000-0000-000095000000}"/>
    <cellStyle name="Normal 8 2 2 2" xfId="105" xr:uid="{00000000-0005-0000-0000-000096000000}"/>
    <cellStyle name="Normal 8 2 2 3" xfId="154" xr:uid="{00000000-0005-0000-0000-000097000000}"/>
    <cellStyle name="Normal 8 2 3" xfId="79" xr:uid="{00000000-0005-0000-0000-000098000000}"/>
    <cellStyle name="Normal 8 2 4" xfId="129" xr:uid="{00000000-0005-0000-0000-000099000000}"/>
    <cellStyle name="Normal 8 3" xfId="39" xr:uid="{00000000-0005-0000-0000-00009A000000}"/>
    <cellStyle name="Normal 8 3 2" xfId="93" xr:uid="{00000000-0005-0000-0000-00009B000000}"/>
    <cellStyle name="Normal 8 3 3" xfId="142" xr:uid="{00000000-0005-0000-0000-00009C000000}"/>
    <cellStyle name="Normal 8 4" xfId="67" xr:uid="{00000000-0005-0000-0000-00009D000000}"/>
    <cellStyle name="Normal 8 5" xfId="117" xr:uid="{00000000-0005-0000-0000-00009E000000}"/>
    <cellStyle name="Normal 9" xfId="18" xr:uid="{00000000-0005-0000-0000-00009F000000}"/>
    <cellStyle name="Percent 2" xfId="61" xr:uid="{00000000-0005-0000-0000-0000A0000000}"/>
    <cellStyle name="Percent 3" xfId="60" xr:uid="{00000000-0005-0000-0000-0000A1000000}"/>
  </cellStyles>
  <dxfs count="0"/>
  <tableStyles count="0" defaultTableStyle="TableStyleMedium9" defaultPivotStyle="PivotStyleLight16"/>
  <colors>
    <mruColors>
      <color rgb="FFE4EDF8"/>
      <color rgb="FFCCFFCC"/>
      <color rgb="FF66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R29"/>
  <sheetViews>
    <sheetView tabSelected="1" topLeftCell="A13" zoomScale="90" zoomScaleNormal="90" workbookViewId="0">
      <selection activeCell="E23" sqref="E23"/>
    </sheetView>
  </sheetViews>
  <sheetFormatPr defaultColWidth="9.140625" defaultRowHeight="12.75" x14ac:dyDescent="0.25"/>
  <cols>
    <col min="1" max="1" width="12" style="1" customWidth="1"/>
    <col min="2" max="2" width="55.7109375" style="2" customWidth="1"/>
    <col min="3" max="3" width="17.7109375" style="14" customWidth="1"/>
    <col min="4" max="4" width="20.7109375" style="1" customWidth="1"/>
    <col min="5" max="5" width="26.42578125" style="1" customWidth="1"/>
    <col min="6" max="6" width="1.140625" style="1" customWidth="1"/>
    <col min="7" max="7" width="9.140625" style="2"/>
    <col min="8" max="8" width="9.140625" style="2" customWidth="1"/>
    <col min="9" max="10" width="9.140625" style="2"/>
    <col min="11" max="11" width="4.42578125" style="2" customWidth="1"/>
    <col min="12" max="16384" width="9.140625" style="2"/>
  </cols>
  <sheetData>
    <row r="1" spans="1:18" ht="24.95" customHeight="1" x14ac:dyDescent="0.25">
      <c r="A1" s="38" t="s">
        <v>17</v>
      </c>
      <c r="B1" s="38"/>
      <c r="C1" s="38"/>
      <c r="D1" s="38"/>
      <c r="E1" s="38"/>
      <c r="F1" s="15"/>
    </row>
    <row r="2" spans="1:18" ht="48" customHeight="1" x14ac:dyDescent="0.25">
      <c r="A2" s="3" t="s">
        <v>0</v>
      </c>
      <c r="B2" s="4" t="s">
        <v>1</v>
      </c>
      <c r="C2" s="4" t="s">
        <v>38</v>
      </c>
      <c r="D2" s="5" t="s">
        <v>2</v>
      </c>
      <c r="E2" s="6" t="s">
        <v>3</v>
      </c>
      <c r="F2" s="16"/>
      <c r="H2" s="39"/>
      <c r="I2" s="39"/>
      <c r="J2" s="39"/>
      <c r="K2" s="40"/>
      <c r="L2" s="41"/>
      <c r="M2" s="41"/>
      <c r="N2" s="41"/>
      <c r="O2" s="41"/>
      <c r="P2" s="41"/>
      <c r="Q2" s="41"/>
      <c r="R2" s="40"/>
    </row>
    <row r="3" spans="1:18" x14ac:dyDescent="0.25">
      <c r="A3" s="35" t="s">
        <v>4</v>
      </c>
      <c r="B3" s="36"/>
      <c r="C3" s="36"/>
      <c r="D3" s="36"/>
      <c r="E3" s="37"/>
      <c r="F3" s="17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1:18" ht="52.5" customHeight="1" x14ac:dyDescent="0.25">
      <c r="A4" s="7" t="s">
        <v>18</v>
      </c>
      <c r="B4" s="8" t="s">
        <v>19</v>
      </c>
      <c r="C4" s="9">
        <v>240</v>
      </c>
      <c r="D4" s="10"/>
      <c r="E4" s="11">
        <f>C4*D4</f>
        <v>0</v>
      </c>
      <c r="F4" s="18"/>
      <c r="H4" s="42"/>
      <c r="I4" s="42"/>
      <c r="J4" s="42"/>
      <c r="K4" s="40"/>
      <c r="L4" s="40"/>
      <c r="M4" s="40"/>
      <c r="N4" s="40"/>
      <c r="O4" s="40"/>
      <c r="P4" s="40"/>
      <c r="Q4" s="40"/>
      <c r="R4" s="40"/>
    </row>
    <row r="5" spans="1:18" ht="52.5" customHeight="1" x14ac:dyDescent="0.2">
      <c r="A5" s="7" t="s">
        <v>21</v>
      </c>
      <c r="B5" s="8" t="s">
        <v>20</v>
      </c>
      <c r="C5" s="9">
        <v>36</v>
      </c>
      <c r="D5" s="10"/>
      <c r="E5" s="11">
        <f>C5*D5</f>
        <v>0</v>
      </c>
      <c r="F5" s="18"/>
      <c r="H5" s="43"/>
      <c r="I5" s="43"/>
      <c r="J5" s="43"/>
      <c r="K5" s="44"/>
      <c r="L5" s="44"/>
      <c r="M5" s="44"/>
      <c r="N5" s="40"/>
      <c r="O5" s="40"/>
      <c r="P5" s="40"/>
      <c r="Q5" s="40"/>
      <c r="R5" s="40"/>
    </row>
    <row r="6" spans="1:18" x14ac:dyDescent="0.25">
      <c r="A6" s="35" t="s">
        <v>6</v>
      </c>
      <c r="B6" s="36"/>
      <c r="C6" s="36"/>
      <c r="D6" s="36"/>
      <c r="E6" s="37"/>
      <c r="F6" s="17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</row>
    <row r="7" spans="1:18" ht="52.5" customHeight="1" x14ac:dyDescent="0.2">
      <c r="A7" s="7" t="s">
        <v>24</v>
      </c>
      <c r="B7" s="8" t="s">
        <v>26</v>
      </c>
      <c r="C7" s="9">
        <v>240</v>
      </c>
      <c r="D7" s="10"/>
      <c r="E7" s="11">
        <f>C7*D7</f>
        <v>0</v>
      </c>
      <c r="F7" s="18"/>
      <c r="H7" s="45"/>
      <c r="I7" s="45"/>
      <c r="J7" s="45"/>
      <c r="K7" s="40"/>
      <c r="L7" s="40"/>
      <c r="M7" s="40"/>
      <c r="N7" s="40"/>
      <c r="O7" s="40"/>
      <c r="P7" s="40"/>
      <c r="Q7" s="40"/>
      <c r="R7" s="40"/>
    </row>
    <row r="8" spans="1:18" ht="52.5" customHeight="1" x14ac:dyDescent="0.25">
      <c r="A8" s="7" t="s">
        <v>25</v>
      </c>
      <c r="B8" s="8" t="s">
        <v>27</v>
      </c>
      <c r="C8" s="9">
        <v>36</v>
      </c>
      <c r="D8" s="10"/>
      <c r="E8" s="11">
        <f t="shared" ref="E8" si="0">C8*D8</f>
        <v>0</v>
      </c>
      <c r="F8" s="18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</row>
    <row r="9" spans="1:18" x14ac:dyDescent="0.25">
      <c r="A9" s="35" t="s">
        <v>7</v>
      </c>
      <c r="B9" s="36"/>
      <c r="C9" s="36"/>
      <c r="D9" s="36"/>
      <c r="E9" s="37"/>
      <c r="F9" s="17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</row>
    <row r="10" spans="1:18" ht="52.5" customHeight="1" x14ac:dyDescent="0.25">
      <c r="A10" s="7" t="s">
        <v>22</v>
      </c>
      <c r="B10" s="8" t="s">
        <v>28</v>
      </c>
      <c r="C10" s="9">
        <v>240</v>
      </c>
      <c r="D10" s="10"/>
      <c r="E10" s="11">
        <f>C10*D10</f>
        <v>0</v>
      </c>
      <c r="F10" s="18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</row>
    <row r="11" spans="1:18" ht="52.5" customHeight="1" x14ac:dyDescent="0.25">
      <c r="A11" s="7" t="s">
        <v>23</v>
      </c>
      <c r="B11" s="8" t="s">
        <v>31</v>
      </c>
      <c r="C11" s="9">
        <v>36</v>
      </c>
      <c r="D11" s="10"/>
      <c r="E11" s="11">
        <f t="shared" ref="E11" si="1">C11*D11</f>
        <v>0</v>
      </c>
      <c r="F11" s="18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</row>
    <row r="12" spans="1:18" x14ac:dyDescent="0.25">
      <c r="A12" s="35" t="s">
        <v>5</v>
      </c>
      <c r="B12" s="36"/>
      <c r="C12" s="36"/>
      <c r="D12" s="36"/>
      <c r="E12" s="37"/>
      <c r="F12" s="17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</row>
    <row r="13" spans="1:18" ht="52.5" customHeight="1" x14ac:dyDescent="0.25">
      <c r="A13" s="7" t="s">
        <v>29</v>
      </c>
      <c r="B13" s="8" t="s">
        <v>32</v>
      </c>
      <c r="C13" s="9">
        <v>240</v>
      </c>
      <c r="D13" s="10"/>
      <c r="E13" s="11">
        <f>C13*D13</f>
        <v>0</v>
      </c>
      <c r="F13" s="18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</row>
    <row r="14" spans="1:18" ht="52.5" customHeight="1" x14ac:dyDescent="0.25">
      <c r="A14" s="7" t="s">
        <v>30</v>
      </c>
      <c r="B14" s="8" t="s">
        <v>33</v>
      </c>
      <c r="C14" s="9">
        <v>36</v>
      </c>
      <c r="D14" s="10"/>
      <c r="E14" s="11">
        <f t="shared" ref="E14" si="2">C14*D14</f>
        <v>0</v>
      </c>
      <c r="F14" s="18"/>
    </row>
    <row r="15" spans="1:18" x14ac:dyDescent="0.25">
      <c r="A15" s="35" t="s">
        <v>8</v>
      </c>
      <c r="B15" s="36"/>
      <c r="C15" s="36"/>
      <c r="D15" s="36"/>
      <c r="E15" s="37"/>
      <c r="F15" s="17"/>
    </row>
    <row r="16" spans="1:18" ht="52.5" customHeight="1" x14ac:dyDescent="0.25">
      <c r="A16" s="7" t="s">
        <v>34</v>
      </c>
      <c r="B16" s="8" t="s">
        <v>36</v>
      </c>
      <c r="C16" s="9">
        <v>240</v>
      </c>
      <c r="D16" s="10"/>
      <c r="E16" s="11">
        <f>C16*D16</f>
        <v>0</v>
      </c>
      <c r="F16" s="18"/>
    </row>
    <row r="17" spans="1:6" ht="52.5" customHeight="1" x14ac:dyDescent="0.25">
      <c r="A17" s="7" t="s">
        <v>35</v>
      </c>
      <c r="B17" s="8" t="s">
        <v>37</v>
      </c>
      <c r="C17" s="9">
        <v>36</v>
      </c>
      <c r="D17" s="10"/>
      <c r="E17" s="11">
        <f t="shared" ref="E17" si="3">C17*D17</f>
        <v>0</v>
      </c>
      <c r="F17" s="18"/>
    </row>
    <row r="18" spans="1:6" ht="13.9" customHeight="1" thickBot="1" x14ac:dyDescent="0.3">
      <c r="A18" s="29" t="s">
        <v>10</v>
      </c>
      <c r="B18" s="29"/>
      <c r="C18" s="29"/>
      <c r="D18" s="29"/>
      <c r="E18" s="29"/>
      <c r="F18" s="18"/>
    </row>
    <row r="19" spans="1:6" ht="20.100000000000001" customHeight="1" x14ac:dyDescent="0.2">
      <c r="A19" s="23"/>
      <c r="B19" s="24"/>
      <c r="C19" s="25" t="s">
        <v>11</v>
      </c>
      <c r="D19" s="20" t="s">
        <v>12</v>
      </c>
      <c r="E19" s="21">
        <f>SUM(E4:E5)</f>
        <v>0</v>
      </c>
      <c r="F19" s="13"/>
    </row>
    <row r="20" spans="1:6" ht="20.100000000000001" customHeight="1" x14ac:dyDescent="0.2">
      <c r="A20" s="26"/>
      <c r="C20" s="19"/>
      <c r="D20" s="20" t="s">
        <v>13</v>
      </c>
      <c r="E20" s="21">
        <f>SUM(E7:E8)</f>
        <v>0</v>
      </c>
      <c r="F20" s="13"/>
    </row>
    <row r="21" spans="1:6" ht="20.100000000000001" customHeight="1" x14ac:dyDescent="0.2">
      <c r="A21" s="26"/>
      <c r="C21" s="19"/>
      <c r="D21" s="20" t="s">
        <v>14</v>
      </c>
      <c r="E21" s="21">
        <f>SUM(E10:E11)</f>
        <v>0</v>
      </c>
      <c r="F21" s="13"/>
    </row>
    <row r="22" spans="1:6" ht="20.100000000000001" customHeight="1" x14ac:dyDescent="0.2">
      <c r="A22" s="30"/>
      <c r="B22" s="31"/>
      <c r="D22" s="20" t="s">
        <v>16</v>
      </c>
      <c r="E22" s="21">
        <f>SUM(E13:E14)</f>
        <v>0</v>
      </c>
      <c r="F22" s="13"/>
    </row>
    <row r="23" spans="1:6" ht="20.100000000000001" customHeight="1" x14ac:dyDescent="0.2">
      <c r="A23" s="34"/>
      <c r="B23" s="28"/>
      <c r="D23" s="20" t="s">
        <v>15</v>
      </c>
      <c r="E23" s="21">
        <f>SUM(E16:E17)</f>
        <v>0</v>
      </c>
      <c r="F23" s="13"/>
    </row>
    <row r="24" spans="1:6" ht="20.100000000000001" customHeight="1" thickBot="1" x14ac:dyDescent="0.25">
      <c r="A24" s="32"/>
      <c r="B24" s="33"/>
      <c r="C24" s="27"/>
      <c r="D24" s="22" t="s">
        <v>9</v>
      </c>
      <c r="E24" s="21">
        <f>SUM(E19:E23)</f>
        <v>0</v>
      </c>
      <c r="F24" s="13"/>
    </row>
    <row r="25" spans="1:6" ht="20.100000000000001" customHeight="1" x14ac:dyDescent="0.2">
      <c r="A25" s="28"/>
      <c r="B25" s="28"/>
      <c r="D25" s="12"/>
      <c r="E25" s="13"/>
      <c r="F25" s="13"/>
    </row>
    <row r="26" spans="1:6" ht="28.5" customHeight="1" x14ac:dyDescent="0.2">
      <c r="A26" s="31"/>
      <c r="B26" s="31"/>
      <c r="D26" s="12"/>
      <c r="E26" s="13"/>
      <c r="F26" s="13"/>
    </row>
    <row r="27" spans="1:6" ht="20.100000000000001" customHeight="1" x14ac:dyDescent="0.2">
      <c r="A27" s="28"/>
      <c r="B27" s="28"/>
      <c r="D27" s="12"/>
      <c r="E27" s="13"/>
      <c r="F27" s="13"/>
    </row>
    <row r="28" spans="1:6" ht="20.100000000000001" customHeight="1" x14ac:dyDescent="0.2">
      <c r="A28" s="31"/>
      <c r="B28" s="31"/>
      <c r="D28" s="2"/>
      <c r="E28" s="2"/>
      <c r="F28" s="13"/>
    </row>
    <row r="29" spans="1:6" ht="18.75" customHeight="1" x14ac:dyDescent="0.25">
      <c r="A29" s="28"/>
      <c r="B29" s="28"/>
      <c r="D29" s="2"/>
      <c r="E29" s="2"/>
      <c r="F29" s="2"/>
    </row>
  </sheetData>
  <sheetProtection selectLockedCells="1"/>
  <mergeCells count="20">
    <mergeCell ref="A15:E15"/>
    <mergeCell ref="A3:E3"/>
    <mergeCell ref="A1:E1"/>
    <mergeCell ref="A6:E6"/>
    <mergeCell ref="A9:E9"/>
    <mergeCell ref="A12:E12"/>
    <mergeCell ref="A29:B29"/>
    <mergeCell ref="A18:E18"/>
    <mergeCell ref="A22:B22"/>
    <mergeCell ref="A25:B25"/>
    <mergeCell ref="A24:B24"/>
    <mergeCell ref="A28:B28"/>
    <mergeCell ref="A23:B23"/>
    <mergeCell ref="A26:B26"/>
    <mergeCell ref="A27:B27"/>
    <mergeCell ref="H2:J2"/>
    <mergeCell ref="H4:J4"/>
    <mergeCell ref="H7:J7"/>
    <mergeCell ref="H5:J5"/>
    <mergeCell ref="L2:Q2"/>
  </mergeCells>
  <printOptions headings="1" gridLines="1"/>
  <pageMargins left="0.7" right="0.7" top="0.75" bottom="0.75" header="0.3" footer="0.3"/>
  <pageSetup scale="32" orientation="portrait" cellComments="asDisplayed" r:id="rId1"/>
  <ignoredErrors>
    <ignoredError sqref="A4:A5 A7:A8 A10:A11 A13:A14 A16:A17" numberStoredAsText="1"/>
  </ignoredErrors>
</worksheet>
</file>

<file path=docMetadata/LabelInfo.xml><?xml version="1.0" encoding="utf-8"?>
<clbl:labelList xmlns:clbl="http://schemas.microsoft.com/office/2020/mipLabelMetadata">
  <clbl:label id="{76a3f6ad-3d9b-49ad-9486-10bfd8fef73e}" enabled="1" method="Privileged" siteId="{8903a443-af33-4ed4-acf5-ee613bcb2f5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Pricing</vt:lpstr>
    </vt:vector>
  </TitlesOfParts>
  <Company>NMLC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Katie.Sheckels</dc:creator>
  <cp:lastModifiedBy>Johnson, Gerrie M CIV DHA DHA CONTRACTING ACT (USA)</cp:lastModifiedBy>
  <cp:lastPrinted>2018-02-27T12:33:48Z</cp:lastPrinted>
  <dcterms:created xsi:type="dcterms:W3CDTF">2012-10-03T18:31:54Z</dcterms:created>
  <dcterms:modified xsi:type="dcterms:W3CDTF">2026-04-30T17:50:17Z</dcterms:modified>
</cp:coreProperties>
</file>