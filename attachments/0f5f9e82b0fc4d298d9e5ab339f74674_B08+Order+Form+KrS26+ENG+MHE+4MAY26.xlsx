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armyeitaas-my.sharepoint-mil.us/personal/mandy_n_francisco_mil_army_mil/Documents/Documents/Contracts/KrS26/MHE/Final/"/>
    </mc:Choice>
  </mc:AlternateContent>
  <xr:revisionPtr revIDLastSave="1" documentId="14_{74017718-8737-40BE-920D-0C08DDFF8034}" xr6:coauthVersionLast="47" xr6:coauthVersionMax="47" xr10:uidLastSave="{A3EFEC43-254A-42DF-939D-FC34D78A0213}"/>
  <bookViews>
    <workbookView xWindow="28680" yWindow="120" windowWidth="29040" windowHeight="15480" tabRatio="545" xr2:uid="{D7C21B5D-0C25-4348-84D1-002FEA66894C}"/>
  </bookViews>
  <sheets>
    <sheet name="Overall Total" sheetId="15" r:id="rId1"/>
    <sheet name="MHE" sheetId="1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4" l="1"/>
  <c r="I5" i="14"/>
  <c r="I6" i="14"/>
  <c r="I7" i="14"/>
  <c r="I8" i="14" l="1"/>
  <c r="I9" i="14"/>
  <c r="H10" i="14"/>
  <c r="I10" i="14" a="1"/>
  <c r="I10" i="14" s="1"/>
  <c r="H5" i="15" s="1"/>
  <c r="F9" i="14"/>
  <c r="F8" i="14"/>
  <c r="F7" i="14"/>
  <c r="F6" i="14"/>
  <c r="F5" i="14"/>
  <c r="F4" i="14"/>
  <c r="H7" i="1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<sst xmlns="http://schemas.openxmlformats.org/spreadsheetml/2006/main" count="65" uniqueCount="49">
  <si>
    <t>NAME OF COMPANY SUBMITTING OFFER:</t>
  </si>
  <si>
    <t>ITEM #</t>
  </si>
  <si>
    <t>SCHEDULE OF SUPPLIES/SERVICES</t>
  </si>
  <si>
    <t>LOCATION</t>
  </si>
  <si>
    <t>UNITS (UM)</t>
  </si>
  <si>
    <t>POP</t>
  </si>
  <si>
    <t>DAYS</t>
  </si>
  <si>
    <t>UNIT PRICE PER DAY</t>
  </si>
  <si>
    <t>TOTAL</t>
  </si>
  <si>
    <t>1</t>
  </si>
  <si>
    <t>TRANSPORTATION</t>
  </si>
  <si>
    <t>The unit of measure is Days. The planning factor below are the amount of vehicles that are planned for during the PoP. However the planning factor is subject to change and only provided for predictablility and planning purposes.</t>
  </si>
  <si>
    <t>Item #</t>
  </si>
  <si>
    <t>REGION / REGIONS / LOCATION</t>
  </si>
  <si>
    <t>DESCRIPTION</t>
  </si>
  <si>
    <t xml:space="preserve">UNIT: </t>
  </si>
  <si>
    <t>UM</t>
  </si>
  <si>
    <t>UNIT PRICE</t>
  </si>
  <si>
    <t>Total</t>
  </si>
  <si>
    <t xml:space="preserve">Planning Factor:                                                        Number of Vans:                                       </t>
  </si>
  <si>
    <t xml:space="preserve">Planning Factor:                                                                                             Number of Days:  </t>
  </si>
  <si>
    <t>001</t>
  </si>
  <si>
    <t>Kota Belud, Kota Kinabalu</t>
  </si>
  <si>
    <t>Day</t>
  </si>
  <si>
    <t>002</t>
  </si>
  <si>
    <t>003</t>
  </si>
  <si>
    <t>004</t>
  </si>
  <si>
    <t>006</t>
  </si>
  <si>
    <t>RELOCATION FEE</t>
  </si>
  <si>
    <t>Start Date</t>
  </si>
  <si>
    <t>End Date</t>
  </si>
  <si>
    <t>Vehicle QTY</t>
  </si>
  <si>
    <t xml:space="preserve">NAME OF COMPANY SUBMITTING OFFER:  </t>
  </si>
  <si>
    <t>DBA Insurance</t>
  </si>
  <si>
    <t>MHE</t>
  </si>
  <si>
    <t>Backhoe will be used at 3 sites.  19MAY-30MAY will be at LSA.  Load 30 MAY and transport 1EA to Sites Z6 and LTTI
LSA (06°21'49.4539", 116°28'18.0078"), Z6 (06°20'07.6723", 116°33'51.2792"), LTTI (06°20'34.2477", 116°33'53.7632", )</t>
  </si>
  <si>
    <t xml:space="preserve">Dozers will be used at 3 sites.  19MAY-30MAY will be at LSA.  Load 30 MAY and transport 1EA to Sites Z6 and LTTI. 
LSA (06°21'49.4539", 116°28'18.0078"), Z6 (06°20'07.6723", 116°33'51.2792"), LTTI (06°20'34.2477", 116°33'53.7632", )
</t>
  </si>
  <si>
    <t>Roller will be used at 3 sites.  19MAY-30MAY will be at LSA.  Load 30 MAY and transport 1EA to Sites Z6 and LTTI
LSA (06°21'49.4539", 116°28'18.0078"), Z6 (06°20'07.6723", 116°33'51.2792"), LTTI (06°20'34.2477", 116°33'53.7632", )</t>
  </si>
  <si>
    <t>10-Ton Dump Trucks will be used at 3 sites.  19MAY-30MAY will be at LSA.  Starting 30 MAY Dump Trucks will be used at Sites Z6 and LTTI
LSA (06°21'49.4539", 116°28'18.0078"), Z6 (06°20'07.6723", 116°33'51.2792"), LTTI (06°20'34.2477", 116°33'53.7632", )</t>
  </si>
  <si>
    <t>Grader will be used at 3 sites.  19MAY-30MAY will be at LSA.  Load 30 MAY and transport to Sites Z6 and LTTI
LSA (06°21'49.4539", 116°28'18.0078"), Z6 (06°20'07.6723", 116°33'51.2792"), LTTI (06°20'34.2477", 116°33'53.7632", )</t>
  </si>
  <si>
    <t>007</t>
  </si>
  <si>
    <t>2 Hydraulic Excavators will be used at 3 sites. 19MAY-30MAY will be at LSA.  Starting 30 MAY Hydraulic Excavators will be used at Sites Z6 and LTTI</t>
  </si>
  <si>
    <t xml:space="preserve">Hydraulic Excavator IAW PWS 5.2.1
Rental without operator; A hydraulic excavator shall consist of an upper carriage with hydrauliorder form y rotating upper deck (revolving 360º) and attachment, directly mounted to either a wheeled or crawler undercarriage. The front end of the excavator attachment consists either of a bucket, grapple, scrap shear, or another implement. 2cy bucket capacity.
Tracked vehicle.
(Equipment must be Pre Positioned by 19May2026 0900hrs)                                Pertroleum, Oil's and Liquid (POL) Requested Daily
</t>
  </si>
  <si>
    <t>Vibratory Roller IAW PWS 5.2.1                     
Rental without operator; smooth drum vibe roller, auto vibe function. Must have windshield. 84” compaction width.                            
                                                                                                                                 (Equipment must be Pre Positioned by 19May2026 0900hrs)                         Pertroleum, Oil's and Liquid (POL) Requested Daily</t>
  </si>
  <si>
    <t>Motorized Grader  IAW PWS 5.2.1      
Rental without operator; use to maintain unpaved roads and establish the final grades on construction projects. Designed to create flat surfaces and can spread dirt and remove debris.                      
                                                                                                                             (Equipment must be Pre Positioned by 19May2026 0900hrs)                             Pertroleum, Oil's and Liquid (POL) Requested Daily</t>
  </si>
  <si>
    <t>BackHoe Loader IAW PWS 5.2.1
Rental without operator; shall be capable of digging to a depth of 4’ for footers and moving materials such as gravel, sand or earth. Must have functional stabilizer legs and windshield
(Equipment must be Pre Positioned by 19May2026 0900hrs)                    Pertroleum, Oil's and Liquid (POL) Requested Daily</t>
  </si>
  <si>
    <t xml:space="preserve">D7 Dozer IAW PWS 5.2.1              
Rental without operator; capable of land clearing, road building, and heavy excavation work. It is also used for agricultural applications such as plowing fields and grading land.
                                                                                                                                      (Equipment must be Pre Positioned by 19May2026 0900hrs)                         Pertroleum, Oil's and Liquid (POL) Requested Daily                                               </t>
  </si>
  <si>
    <t>10-Ton DumpTruck  IAW PWS 5.2.1                                                                                   
Rental without operator; Shall be capable or transporting bulk materials such as dirt, gravel, or waste to and from project site. Must be capable of dumping debris from vehicle. Is responsible for disposal of material.
(Equipment must be Pre Positioned by 19May2026 0900hrs)                                Pertroleum, Oil's and Liquid (POL) Requested Daily</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</si>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</sst>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_(* #,##0_);_(* \(#,##0\);_(* &quot;-&quot;??_);_(@_)"/>
    <numFmt numFmtId="165" formatCode="[$USD]\ #,##0.00"/>
    <numFmt numFmtId="166" formatCode="[$USD]\ #,##0.00_);[Red]\([$USD]\ #,##0.00\)"/>
    <numFmt numFmtId="167" formatCode="[$-409]d\-mmm\-yyyy;@"/>
    <numFmt numFmtId="168" formatCode="&quot;$&quot;#,##0.00"/>
  </numFmts>
  <fonts count="21" x14ac:knownFonts="1">
    <font>
      <sz val="10"/>
      <name val="Arial"/>
    </font>
    <font>
      <sz val="11"/>
      <color theme="1"/>
      <name val="Calibri"/>
      <family val="2"/>
      <scheme val="minor"/>
    </font>
    <font>
      <sz val="10"/>
      <name val="Arial"/>
      <family val="2"/>
    </font>
    <font>
      <b/>
      <i/>
      <u/>
      <sz val="10"/>
      <name val="Times New Roman"/>
      <family val="1"/>
    </font>
    <font>
      <sz val="8"/>
      <name val="Times New Roman"/>
      <family val="1"/>
    </font>
    <font>
      <sz val="10"/>
      <name val="Arial"/>
      <family val="2"/>
    </font>
    <font>
      <sz val="10"/>
      <name val="Times New Roman"/>
      <family val="1"/>
    </font>
    <font>
      <sz val="8"/>
      <name val="Arial"/>
      <family val="2"/>
    </font>
    <font>
      <b/>
      <u/>
      <sz val="10"/>
      <name val="Arial"/>
      <family val="2"/>
    </font>
    <font>
      <b/>
      <sz val="10"/>
      <name val="Arial"/>
      <family val="2"/>
    </font>
    <font>
      <b/>
      <sz val="12"/>
      <color theme="1"/>
      <name val="Calibri"/>
      <family val="2"/>
      <scheme val="minor"/>
    </font>
    <font>
      <b/>
      <sz val="12"/>
      <color rgb="FFFF0000"/>
      <name val="Calibri"/>
      <family val="2"/>
      <scheme val="minor"/>
    </font>
    <font>
      <sz val="10"/>
      <color rgb="FF211F1F"/>
      <name val="Arial"/>
      <family val="2"/>
    </font>
    <font>
      <b/>
      <sz val="12"/>
      <color theme="1"/>
      <name val="Arial"/>
      <family val="2"/>
    </font>
    <font>
      <b/>
      <sz val="12"/>
      <name val="Arial"/>
      <family val="2"/>
    </font>
    <font>
      <sz val="12"/>
      <name val="Arial"/>
      <family val="2"/>
    </font>
    <font>
      <b/>
      <i/>
      <u/>
      <sz val="12"/>
      <name val="Arial"/>
      <family val="2"/>
    </font>
    <font>
      <sz val="11"/>
      <name val="Arial"/>
      <family val="2"/>
    </font>
    <font>
      <sz val="12"/>
      <color rgb="FF211F1F"/>
      <name val="Arial"/>
      <family val="2"/>
    </font>
    <font>
      <sz val="10"/>
      <name val="Arial"/>
      <family val="2"/>
    </font>
    <font>
      <b/>
      <sz val="14"/>
      <name val="Arial"/>
      <family val="2"/>
    </font>
  </fonts>
  <fills count="8">
    <fill>
      <patternFill patternType="none"/>
    </fill>
    <fill>
      <patternFill patternType="gray125"/>
    </fill>
    <fill>
      <patternFill patternType="solid">
        <fgColor theme="1"/>
        <bgColor indexed="64"/>
      </patternFill>
    </fill>
    <fill>
      <patternFill patternType="solid">
        <fgColor rgb="FFC7F89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s>
  <cellStyleXfs count="6">
    <xf numFmtId="0" fontId="0" fillId="0" borderId="0"/>
    <xf numFmtId="43" fontId="2" fillId="0" borderId="0" applyFont="0" applyFill="0" applyBorder="0" applyAlignment="0" applyProtection="0"/>
    <xf numFmtId="43" fontId="5" fillId="0" borderId="0" applyFont="0" applyFill="0" applyBorder="0" applyAlignment="0" applyProtection="0"/>
    <xf numFmtId="0" fontId="5" fillId="0" borderId="0"/>
    <xf numFmtId="44" fontId="19" fillId="0" borderId="0" applyFont="0" applyFill="0" applyBorder="0" applyAlignment="0" applyProtection="0"/>
    <xf numFmtId="0" fontId="1" fillId="0" borderId="0"/>
  </cellStyleXfs>
  <cellXfs count="95">
    <xf numFmtId="0" fontId="0" fillId="0" borderId="0" xfId="0"/>
    <xf numFmtId="0" fontId="4" fillId="2" borderId="0" xfId="0" applyFont="1" applyFill="1"/>
    <xf numFmtId="164" fontId="4" fillId="2" borderId="0" xfId="1" applyNumberFormat="1" applyFont="1" applyFill="1" applyAlignment="1">
      <alignment horizontal="left"/>
    </xf>
    <xf numFmtId="8" fontId="4" fillId="2" borderId="0" xfId="0" applyNumberFormat="1" applyFont="1" applyFill="1" applyAlignment="1">
      <alignment horizontal="center"/>
    </xf>
    <xf numFmtId="49" fontId="4" fillId="2" borderId="0" xfId="0" applyNumberFormat="1" applyFont="1" applyFill="1" applyAlignment="1">
      <alignment horizontal="center"/>
    </xf>
    <xf numFmtId="0" fontId="11" fillId="2" borderId="0" xfId="0" applyFont="1" applyFill="1"/>
    <xf numFmtId="0" fontId="10" fillId="2" borderId="0" xfId="0" applyFont="1" applyFill="1"/>
    <xf numFmtId="0" fontId="4" fillId="2" borderId="0" xfId="0" applyFont="1" applyFill="1" applyAlignment="1">
      <alignment wrapText="1"/>
    </xf>
    <xf numFmtId="49" fontId="7" fillId="3" borderId="2" xfId="0" applyNumberFormat="1" applyFont="1" applyFill="1" applyBorder="1" applyAlignment="1">
      <alignment horizontal="center" vertical="center"/>
    </xf>
    <xf numFmtId="8" fontId="3" fillId="2" borderId="0" xfId="0" applyNumberFormat="1" applyFont="1" applyFill="1" applyAlignment="1">
      <alignment horizontal="center" wrapText="1"/>
    </xf>
    <xf numFmtId="8" fontId="7" fillId="2" borderId="0" xfId="0" applyNumberFormat="1" applyFont="1" applyFill="1" applyAlignment="1">
      <alignment horizontal="center"/>
    </xf>
    <xf numFmtId="0" fontId="8" fillId="0" borderId="1" xfId="0" applyFont="1" applyBorder="1" applyAlignment="1">
      <alignment horizontal="center" vertical="center" wrapText="1"/>
    </xf>
    <xf numFmtId="164" fontId="8" fillId="0" borderId="1" xfId="1" applyNumberFormat="1" applyFont="1" applyBorder="1" applyAlignment="1">
      <alignment horizontal="center" vertical="center" wrapText="1"/>
    </xf>
    <xf numFmtId="8" fontId="8" fillId="0" borderId="1" xfId="0" applyNumberFormat="1" applyFont="1" applyBorder="1" applyAlignment="1">
      <alignment horizontal="center" vertical="center" wrapText="1"/>
    </xf>
    <xf numFmtId="0" fontId="12" fillId="4" borderId="3" xfId="0" applyFont="1" applyFill="1" applyBorder="1" applyAlignment="1">
      <alignment horizontal="center" vertical="center" wrapText="1"/>
    </xf>
    <xf numFmtId="0" fontId="6" fillId="2" borderId="0" xfId="0" applyFont="1" applyFill="1"/>
    <xf numFmtId="164" fontId="6" fillId="2" borderId="0" xfId="1" applyNumberFormat="1" applyFont="1" applyFill="1" applyAlignment="1">
      <alignment horizontal="left"/>
    </xf>
    <xf numFmtId="49" fontId="8" fillId="0" borderId="4" xfId="0" applyNumberFormat="1" applyFont="1" applyBorder="1" applyAlignment="1">
      <alignment horizontal="center" vertical="center" wrapText="1"/>
    </xf>
    <xf numFmtId="0" fontId="0" fillId="4" borderId="0" xfId="0" applyFill="1"/>
    <xf numFmtId="0" fontId="15" fillId="4" borderId="0" xfId="0" applyFont="1" applyFill="1" applyAlignment="1">
      <alignment wrapText="1"/>
    </xf>
    <xf numFmtId="49" fontId="15" fillId="0" borderId="0" xfId="0" applyNumberFormat="1" applyFont="1" applyAlignment="1">
      <alignment horizontal="center"/>
    </xf>
    <xf numFmtId="0" fontId="15" fillId="4" borderId="0" xfId="0" applyFont="1" applyFill="1"/>
    <xf numFmtId="164" fontId="15" fillId="4" borderId="0" xfId="1" applyNumberFormat="1" applyFont="1" applyFill="1" applyAlignment="1">
      <alignment horizontal="left"/>
    </xf>
    <xf numFmtId="8" fontId="15" fillId="4" borderId="0" xfId="0" applyNumberFormat="1" applyFont="1" applyFill="1" applyAlignment="1">
      <alignment horizontal="center"/>
    </xf>
    <xf numFmtId="0" fontId="4" fillId="4" borderId="0" xfId="0" applyFont="1" applyFill="1"/>
    <xf numFmtId="49"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164" fontId="16" fillId="0" borderId="1" xfId="1" applyNumberFormat="1" applyFont="1" applyBorder="1" applyAlignment="1">
      <alignment horizontal="center" vertical="center" wrapText="1"/>
    </xf>
    <xf numFmtId="8" fontId="16" fillId="0" borderId="1" xfId="0" applyNumberFormat="1" applyFont="1" applyBorder="1" applyAlignment="1">
      <alignment horizontal="center" vertical="center" wrapText="1"/>
    </xf>
    <xf numFmtId="0" fontId="17" fillId="6" borderId="1" xfId="0" applyFont="1" applyFill="1" applyBorder="1" applyAlignment="1">
      <alignment horizontal="center" vertical="center" wrapText="1"/>
    </xf>
    <xf numFmtId="0" fontId="15" fillId="0" borderId="8" xfId="0" applyFont="1" applyBorder="1" applyAlignment="1">
      <alignment horizontal="left" vertical="top" wrapText="1"/>
    </xf>
    <xf numFmtId="0" fontId="15" fillId="0" borderId="8" xfId="0" applyFont="1" applyBorder="1" applyAlignment="1">
      <alignment horizontal="center" vertical="center" wrapText="1"/>
    </xf>
    <xf numFmtId="8" fontId="15" fillId="0" borderId="8" xfId="0" applyNumberFormat="1" applyFont="1" applyBorder="1" applyAlignment="1">
      <alignment horizontal="center" vertical="center"/>
    </xf>
    <xf numFmtId="0" fontId="18" fillId="0" borderId="8" xfId="0" applyFont="1" applyBorder="1" applyAlignment="1">
      <alignment horizontal="center" vertical="center" wrapText="1"/>
    </xf>
    <xf numFmtId="164" fontId="2" fillId="4" borderId="3" xfId="1" applyNumberFormat="1" applyFont="1" applyFill="1" applyBorder="1" applyAlignment="1">
      <alignment horizontal="center" vertical="center"/>
    </xf>
    <xf numFmtId="0" fontId="2" fillId="4" borderId="3" xfId="1" applyNumberFormat="1" applyFont="1" applyFill="1" applyBorder="1" applyAlignment="1">
      <alignment horizontal="center" vertical="center"/>
    </xf>
    <xf numFmtId="0" fontId="9" fillId="4"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166" fontId="15" fillId="0" borderId="16" xfId="0" applyNumberFormat="1" applyFont="1" applyBorder="1" applyAlignment="1">
      <alignment horizontal="center" vertical="center"/>
    </xf>
    <xf numFmtId="0" fontId="15" fillId="4" borderId="14" xfId="1" applyNumberFormat="1" applyFont="1" applyFill="1" applyBorder="1" applyAlignment="1">
      <alignment horizontal="center" vertical="center"/>
    </xf>
    <xf numFmtId="8" fontId="15" fillId="0" borderId="15" xfId="0" applyNumberFormat="1" applyFont="1" applyBorder="1" applyAlignment="1">
      <alignment horizontal="center" vertical="center"/>
    </xf>
    <xf numFmtId="166" fontId="15" fillId="0" borderId="0" xfId="0" applyNumberFormat="1" applyFont="1" applyAlignment="1">
      <alignment horizontal="center"/>
    </xf>
    <xf numFmtId="8" fontId="16" fillId="0" borderId="5" xfId="0" applyNumberFormat="1" applyFont="1" applyBorder="1" applyAlignment="1">
      <alignment horizontal="center" vertical="center" wrapText="1"/>
    </xf>
    <xf numFmtId="166" fontId="15" fillId="0" borderId="18" xfId="0" applyNumberFormat="1" applyFont="1" applyBorder="1" applyAlignment="1">
      <alignment horizontal="center" vertical="center"/>
    </xf>
    <xf numFmtId="49" fontId="15" fillId="7" borderId="7" xfId="0" applyNumberFormat="1" applyFont="1" applyFill="1" applyBorder="1" applyAlignment="1">
      <alignment horizontal="center" vertical="center"/>
    </xf>
    <xf numFmtId="0" fontId="9" fillId="7" borderId="7" xfId="0" applyFont="1" applyFill="1" applyBorder="1" applyAlignment="1">
      <alignment horizontal="center" vertical="center"/>
    </xf>
    <xf numFmtId="8" fontId="20" fillId="7" borderId="7" xfId="0" applyNumberFormat="1" applyFont="1" applyFill="1" applyBorder="1" applyAlignment="1">
      <alignment vertical="center"/>
    </xf>
    <xf numFmtId="166" fontId="20" fillId="7" borderId="8" xfId="4" applyNumberFormat="1" applyFont="1" applyFill="1" applyBorder="1" applyAlignment="1">
      <alignment vertical="center"/>
    </xf>
    <xf numFmtId="166" fontId="20" fillId="7" borderId="9" xfId="0" applyNumberFormat="1" applyFont="1" applyFill="1" applyBorder="1" applyAlignment="1">
      <alignment vertical="center"/>
    </xf>
    <xf numFmtId="0" fontId="12" fillId="4" borderId="2" xfId="0" applyFont="1" applyFill="1" applyBorder="1" applyAlignment="1">
      <alignment horizontal="center" vertical="center" wrapText="1"/>
    </xf>
    <xf numFmtId="164" fontId="2" fillId="4" borderId="2" xfId="1" applyNumberFormat="1" applyFont="1" applyFill="1" applyBorder="1" applyAlignment="1">
      <alignment horizontal="center" vertical="center"/>
    </xf>
    <xf numFmtId="0" fontId="2" fillId="4" borderId="2" xfId="1" applyNumberFormat="1" applyFont="1" applyFill="1" applyBorder="1" applyAlignment="1">
      <alignment horizontal="center" vertical="center"/>
    </xf>
    <xf numFmtId="165" fontId="2" fillId="5" borderId="21" xfId="0" applyNumberFormat="1" applyFont="1" applyFill="1" applyBorder="1" applyAlignment="1">
      <alignment horizontal="center" vertical="center"/>
    </xf>
    <xf numFmtId="165" fontId="2" fillId="5" borderId="22" xfId="0" applyNumberFormat="1" applyFont="1" applyFill="1" applyBorder="1" applyAlignment="1">
      <alignment horizontal="center" vertical="center"/>
    </xf>
    <xf numFmtId="8" fontId="2" fillId="0" borderId="23" xfId="0" applyNumberFormat="1" applyFont="1" applyBorder="1" applyAlignment="1">
      <alignment horizontal="center" vertical="center"/>
    </xf>
    <xf numFmtId="166" fontId="15" fillId="5" borderId="8" xfId="0" applyNumberFormat="1" applyFont="1" applyFill="1" applyBorder="1" applyAlignment="1">
      <alignment horizontal="center" vertical="center"/>
    </xf>
    <xf numFmtId="166" fontId="15" fillId="5" borderId="15" xfId="0" applyNumberFormat="1" applyFont="1" applyFill="1" applyBorder="1" applyAlignment="1">
      <alignment horizontal="center" vertical="center"/>
    </xf>
    <xf numFmtId="8" fontId="8" fillId="7" borderId="17" xfId="0" applyNumberFormat="1" applyFont="1" applyFill="1" applyBorder="1" applyAlignment="1">
      <alignment horizontal="center" vertical="center" wrapText="1"/>
    </xf>
    <xf numFmtId="0" fontId="15" fillId="0" borderId="15" xfId="0" applyFont="1" applyBorder="1" applyAlignment="1">
      <alignment horizontal="center" vertical="center" wrapText="1"/>
    </xf>
    <xf numFmtId="168" fontId="2" fillId="4" borderId="2" xfId="0" applyNumberFormat="1" applyFont="1" applyFill="1" applyBorder="1" applyAlignment="1">
      <alignment horizontal="center" vertical="center"/>
    </xf>
    <xf numFmtId="168" fontId="2" fillId="0" borderId="23" xfId="0" applyNumberFormat="1" applyFont="1" applyBorder="1" applyAlignment="1">
      <alignment horizontal="center" vertical="center"/>
    </xf>
    <xf numFmtId="0" fontId="15" fillId="0" borderId="0" xfId="0" applyFont="1" applyAlignment="1">
      <alignment horizontal="center" vertical="center" wrapText="1"/>
    </xf>
    <xf numFmtId="0" fontId="17" fillId="6" borderId="0" xfId="0" applyFont="1" applyFill="1" applyAlignment="1">
      <alignment horizontal="center" vertical="center" wrapText="1"/>
    </xf>
    <xf numFmtId="49" fontId="15" fillId="7" borderId="20" xfId="0" applyNumberFormat="1" applyFont="1" applyFill="1" applyBorder="1" applyAlignment="1">
      <alignment horizontal="center" vertical="center"/>
    </xf>
    <xf numFmtId="0" fontId="15" fillId="0" borderId="15" xfId="0" applyFont="1" applyBorder="1" applyAlignment="1">
      <alignment horizontal="left" vertical="top" wrapText="1"/>
    </xf>
    <xf numFmtId="0" fontId="18" fillId="0" borderId="15" xfId="0" applyFont="1" applyBorder="1" applyAlignment="1">
      <alignment horizontal="center" vertical="center" wrapText="1"/>
    </xf>
    <xf numFmtId="0" fontId="18" fillId="0" borderId="2" xfId="0" applyFont="1" applyBorder="1" applyAlignment="1">
      <alignment horizontal="center" vertical="center" wrapText="1"/>
    </xf>
    <xf numFmtId="0" fontId="15" fillId="0" borderId="0" xfId="0" applyFont="1" applyAlignment="1">
      <alignment horizontal="left" vertical="top" wrapText="1"/>
    </xf>
    <xf numFmtId="0" fontId="17" fillId="6" borderId="17"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5" fillId="0" borderId="18" xfId="0" applyFont="1" applyBorder="1" applyAlignment="1">
      <alignment horizontal="center" vertical="center" wrapText="1"/>
    </xf>
    <xf numFmtId="0" fontId="15" fillId="0" borderId="16" xfId="0" applyFont="1" applyBorder="1" applyAlignment="1">
      <alignment horizontal="center" vertical="center" wrapText="1"/>
    </xf>
    <xf numFmtId="0" fontId="15" fillId="4" borderId="20" xfId="1" applyNumberFormat="1" applyFont="1" applyFill="1" applyBorder="1" applyAlignment="1">
      <alignment horizontal="center" vertical="center"/>
    </xf>
    <xf numFmtId="8" fontId="15" fillId="0" borderId="24" xfId="0" applyNumberFormat="1" applyFont="1" applyBorder="1" applyAlignment="1">
      <alignment horizontal="center" vertical="center"/>
    </xf>
    <xf numFmtId="0" fontId="15" fillId="4" borderId="1" xfId="1" applyNumberFormat="1" applyFont="1" applyFill="1" applyBorder="1" applyAlignment="1">
      <alignment horizontal="center" vertical="center"/>
    </xf>
    <xf numFmtId="167" fontId="15" fillId="0" borderId="7" xfId="0" applyNumberFormat="1" applyFont="1" applyBorder="1" applyAlignment="1">
      <alignment horizontal="center" vertical="center"/>
    </xf>
    <xf numFmtId="167" fontId="15" fillId="4" borderId="9" xfId="1" applyNumberFormat="1" applyFont="1" applyFill="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9" xfId="0" applyFont="1" applyBorder="1" applyAlignment="1">
      <alignment horizontal="center"/>
    </xf>
    <xf numFmtId="0" fontId="10" fillId="0" borderId="13" xfId="0" applyFont="1" applyBorder="1" applyAlignment="1">
      <alignment horizontal="center"/>
    </xf>
    <xf numFmtId="0" fontId="13" fillId="0" borderId="7" xfId="0" applyFont="1" applyBorder="1"/>
    <xf numFmtId="0" fontId="0" fillId="0" borderId="8" xfId="0" applyBorder="1"/>
    <xf numFmtId="0" fontId="0" fillId="0" borderId="9" xfId="0" applyBorder="1"/>
    <xf numFmtId="0" fontId="14" fillId="4" borderId="7" xfId="0" applyFont="1" applyFill="1" applyBorder="1" applyAlignment="1">
      <alignment horizontal="center"/>
    </xf>
    <xf numFmtId="0" fontId="2" fillId="0" borderId="8" xfId="0" applyFont="1" applyBorder="1" applyAlignment="1">
      <alignment horizontal="center"/>
    </xf>
    <xf numFmtId="0" fontId="2" fillId="0" borderId="16" xfId="0" applyFont="1" applyBorder="1" applyAlignment="1">
      <alignment horizontal="center"/>
    </xf>
    <xf numFmtId="0" fontId="2" fillId="0" borderId="9" xfId="0" applyFont="1" applyBorder="1"/>
    <xf numFmtId="0" fontId="7" fillId="6" borderId="10" xfId="0" applyFont="1" applyFill="1" applyBorder="1" applyAlignment="1">
      <alignment horizontal="center" wrapText="1"/>
    </xf>
    <xf numFmtId="0" fontId="7" fillId="6" borderId="11" xfId="0" applyFont="1" applyFill="1" applyBorder="1" applyAlignment="1">
      <alignment horizontal="center" wrapText="1"/>
    </xf>
    <xf numFmtId="0" fontId="7" fillId="6" borderId="12" xfId="0" applyFont="1" applyFill="1" applyBorder="1" applyAlignment="1">
      <alignment horizontal="center" wrapText="1"/>
    </xf>
    <xf numFmtId="0" fontId="7" fillId="6" borderId="13" xfId="0" applyFont="1" applyFill="1" applyBorder="1" applyAlignment="1">
      <alignment horizontal="center" wrapText="1"/>
    </xf>
    <xf numFmtId="44" fontId="0" fillId="7" borderId="8" xfId="4" applyFont="1" applyFill="1" applyBorder="1" applyAlignment="1">
      <alignment horizontal="center"/>
    </xf>
    <xf numFmtId="44" fontId="0" fillId="7" borderId="9" xfId="4" applyFont="1" applyFill="1" applyBorder="1" applyAlignment="1">
      <alignment horizontal="center"/>
    </xf>
  </cellXfs>
  <cellStyles count="6">
    <cellStyle name="Comma" xfId="1" builtinId="3"/>
    <cellStyle name="Comma 2" xfId="2" xr:uid="{CF4D512C-374F-4474-9A19-F9B43821C64C}"/>
    <cellStyle name="Currency" xfId="4" builtinId="4"/>
    <cellStyle name="Normal" xfId="0" builtinId="0"/>
    <cellStyle name="Normal 2" xfId="3" xr:uid="{BDBBC6CE-8263-47A5-8082-3532DC7D3EB0}"/>
    <cellStyle name="Normal 3" xfId="5" xr:uid="{085D0EA7-260B-40DF-8E68-03DF4A9D64E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EA14-5F68-4C82-ADB2-F50CB9206702}">
  <dimension ref="A1:I7"/>
  <sheetViews>
    <sheetView tabSelected="1" workbookViewId="0">
      <selection activeCell="B16" sqref="B16"/>
    </sheetView>
  </sheetViews>
  <sheetFormatPr defaultRowHeight="12.75" x14ac:dyDescent="0.2"/>
  <cols>
    <col min="1" max="1" width="14.7109375" customWidth="1"/>
    <col min="2" max="2" width="52" customWidth="1"/>
    <col min="3" max="3" width="12.28515625" hidden="1" customWidth="1"/>
    <col min="4" max="4" width="9.5703125" hidden="1" customWidth="1"/>
    <col min="5" max="5" width="8.28515625" hidden="1" customWidth="1"/>
    <col min="6" max="6" width="9.42578125" hidden="1" customWidth="1"/>
    <col min="7" max="7" width="11" hidden="1" customWidth="1"/>
    <col min="8" max="8" width="16" customWidth="1"/>
  </cols>
  <sheetData>
    <row r="1" spans="1:9" ht="16.5" thickBot="1" x14ac:dyDescent="0.3">
      <c r="A1" s="80" t="s">
        <v>0</v>
      </c>
      <c r="B1" s="81"/>
      <c r="C1" s="5"/>
      <c r="D1" s="5"/>
      <c r="E1" s="6"/>
      <c r="F1" s="6"/>
      <c r="G1" s="7"/>
      <c r="H1" s="7"/>
      <c r="I1" s="7"/>
    </row>
    <row r="2" spans="1:9" ht="16.5" thickBot="1" x14ac:dyDescent="0.3">
      <c r="A2" s="78"/>
      <c r="B2" s="79"/>
      <c r="C2" s="5"/>
      <c r="D2" s="5"/>
      <c r="E2" s="6"/>
      <c r="F2" s="6"/>
      <c r="G2" s="7"/>
      <c r="H2" s="7"/>
      <c r="I2" s="7"/>
    </row>
    <row r="3" spans="1:9" ht="13.5" thickBot="1" x14ac:dyDescent="0.25">
      <c r="A3" s="4"/>
      <c r="B3" s="1"/>
      <c r="C3" s="1"/>
      <c r="D3" s="1"/>
      <c r="E3" s="2"/>
      <c r="F3" s="2"/>
      <c r="G3" s="3"/>
      <c r="H3" s="3"/>
      <c r="I3" s="3"/>
    </row>
    <row r="4" spans="1:9" ht="39" thickBot="1" x14ac:dyDescent="0.3">
      <c r="A4" s="17" t="s">
        <v>1</v>
      </c>
      <c r="B4" s="11" t="s">
        <v>14</v>
      </c>
      <c r="C4" s="11" t="s">
        <v>3</v>
      </c>
      <c r="D4" s="11" t="s">
        <v>4</v>
      </c>
      <c r="E4" s="12" t="s">
        <v>5</v>
      </c>
      <c r="F4" s="12" t="s">
        <v>6</v>
      </c>
      <c r="G4" s="13" t="s">
        <v>7</v>
      </c>
      <c r="H4" s="57" t="s">
        <v>8</v>
      </c>
      <c r="I4" s="9"/>
    </row>
    <row r="5" spans="1:9" ht="24" customHeight="1" x14ac:dyDescent="0.2">
      <c r="A5" s="8" t="s">
        <v>9</v>
      </c>
      <c r="B5" s="37" t="s">
        <v>34</v>
      </c>
      <c r="C5" s="49"/>
      <c r="D5" s="49"/>
      <c r="E5" s="50"/>
      <c r="F5" s="51"/>
      <c r="G5" s="53"/>
      <c r="H5" s="59">
        <f>MHE!I10</f>
        <v>0</v>
      </c>
      <c r="I5" s="10"/>
    </row>
    <row r="6" spans="1:9" ht="21.6" customHeight="1" x14ac:dyDescent="0.2">
      <c r="A6" s="8" t="s">
        <v>48</v>
      </c>
      <c r="B6" s="36" t="s">
        <v>33</v>
      </c>
      <c r="C6" s="14"/>
      <c r="D6" s="14">
        <v>0</v>
      </c>
      <c r="E6" s="34"/>
      <c r="F6" s="35">
        <v>0</v>
      </c>
      <c r="G6" s="52"/>
      <c r="H6" s="59">
        <v>0</v>
      </c>
      <c r="I6" s="10"/>
    </row>
    <row r="7" spans="1:9" x14ac:dyDescent="0.2">
      <c r="A7" s="4"/>
      <c r="B7" s="1"/>
      <c r="C7" s="15"/>
      <c r="D7" s="15"/>
      <c r="E7" s="16"/>
      <c r="F7" s="16"/>
      <c r="G7" s="54" t="s">
        <v>8</v>
      </c>
      <c r="H7" s="60">
        <f>SUM(H5:H6)</f>
        <v>0</v>
      </c>
      <c r="I7" s="3"/>
    </row>
  </sheetData>
  <mergeCells count="2">
    <mergeCell ref="A2:B2"/>
    <mergeCell ref="A1:B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5C48A-BC55-449E-8724-171E9D7CC79D}">
  <dimension ref="A1:P13"/>
  <sheetViews>
    <sheetView zoomScale="70" zoomScaleNormal="70" workbookViewId="0">
      <selection activeCell="B4" sqref="B4"/>
    </sheetView>
  </sheetViews>
  <sheetFormatPr defaultRowHeight="12.75" x14ac:dyDescent="0.2"/>
  <cols>
    <col min="2" max="2" width="77.7109375" customWidth="1"/>
    <col min="3" max="3" width="23" customWidth="1"/>
    <col min="4" max="4" width="20.42578125" customWidth="1"/>
    <col min="5" max="5" width="45.85546875" customWidth="1"/>
    <col min="6" max="6" width="9" bestFit="1" customWidth="1"/>
    <col min="7" max="7" width="7.5703125" bestFit="1" customWidth="1"/>
    <col min="8" max="8" width="15.85546875" customWidth="1"/>
    <col min="9" max="9" width="27.42578125" customWidth="1"/>
    <col min="10" max="10" width="17.140625" bestFit="1" customWidth="1"/>
    <col min="11" max="11" width="17.7109375" customWidth="1"/>
    <col min="13" max="14" width="0" hidden="1" customWidth="1"/>
  </cols>
  <sheetData>
    <row r="1" spans="1:16" ht="16.5" thickBot="1" x14ac:dyDescent="0.3">
      <c r="A1" s="82" t="s">
        <v>32</v>
      </c>
      <c r="B1" s="83"/>
      <c r="C1" s="83"/>
      <c r="D1" s="84"/>
      <c r="F1" s="18"/>
      <c r="G1" s="85" t="s">
        <v>10</v>
      </c>
      <c r="H1" s="86"/>
      <c r="I1" s="86"/>
      <c r="J1" s="87"/>
      <c r="K1" s="88"/>
      <c r="L1" s="19"/>
      <c r="M1" s="89" t="s">
        <v>11</v>
      </c>
      <c r="N1" s="90"/>
      <c r="O1" s="89" t="s">
        <v>11</v>
      </c>
      <c r="P1" s="90"/>
    </row>
    <row r="2" spans="1:16" ht="15.75" thickBot="1" x14ac:dyDescent="0.25">
      <c r="A2" s="20"/>
      <c r="B2" s="21"/>
      <c r="C2" s="21"/>
      <c r="D2" s="21"/>
      <c r="E2" s="21"/>
      <c r="F2" s="22"/>
      <c r="G2" s="23"/>
      <c r="H2" s="23"/>
      <c r="I2" s="23"/>
      <c r="J2" s="23"/>
      <c r="K2" s="23"/>
      <c r="L2" s="24"/>
      <c r="M2" s="91"/>
      <c r="N2" s="92"/>
      <c r="O2" s="91"/>
      <c r="P2" s="92"/>
    </row>
    <row r="3" spans="1:16" ht="67.5" customHeight="1" thickBot="1" x14ac:dyDescent="0.25">
      <c r="A3" s="25" t="s">
        <v>12</v>
      </c>
      <c r="B3" s="26" t="s">
        <v>2</v>
      </c>
      <c r="C3" s="26" t="s">
        <v>31</v>
      </c>
      <c r="D3" s="26" t="s">
        <v>13</v>
      </c>
      <c r="E3" s="26" t="s">
        <v>14</v>
      </c>
      <c r="F3" s="27" t="s">
        <v>15</v>
      </c>
      <c r="G3" s="28" t="s">
        <v>16</v>
      </c>
      <c r="H3" s="28" t="s">
        <v>17</v>
      </c>
      <c r="I3" s="42" t="s">
        <v>18</v>
      </c>
      <c r="J3" s="28" t="s">
        <v>29</v>
      </c>
      <c r="K3" s="28" t="s">
        <v>30</v>
      </c>
      <c r="L3" s="24"/>
      <c r="M3" s="29" t="s">
        <v>19</v>
      </c>
      <c r="N3" s="29" t="s">
        <v>20</v>
      </c>
      <c r="O3" s="29" t="s">
        <v>19</v>
      </c>
      <c r="P3" s="29" t="s">
        <v>20</v>
      </c>
    </row>
    <row r="4" spans="1:16" ht="138" customHeight="1" thickBot="1" x14ac:dyDescent="0.25">
      <c r="A4" s="44" t="s">
        <v>21</v>
      </c>
      <c r="B4" s="30" t="s">
        <v>46</v>
      </c>
      <c r="C4" s="31">
        <v>2</v>
      </c>
      <c r="D4" s="33" t="s">
        <v>22</v>
      </c>
      <c r="E4" s="31" t="s">
        <v>36</v>
      </c>
      <c r="F4" s="39">
        <f t="shared" ref="F4:F9" si="0">O4*P4</f>
        <v>48</v>
      </c>
      <c r="G4" s="32" t="s">
        <v>23</v>
      </c>
      <c r="H4" s="55">
        <v>0</v>
      </c>
      <c r="I4" s="38">
        <f t="shared" ref="I4:I9" si="1">SUM(H4*F4)</f>
        <v>0</v>
      </c>
      <c r="J4" s="76">
        <v>46161</v>
      </c>
      <c r="K4" s="77">
        <v>46184</v>
      </c>
      <c r="L4" s="24"/>
      <c r="M4" s="29"/>
      <c r="N4" s="29"/>
      <c r="O4" s="29">
        <v>2</v>
      </c>
      <c r="P4" s="29">
        <v>24</v>
      </c>
    </row>
    <row r="5" spans="1:16" ht="121.5" customHeight="1" thickBot="1" x14ac:dyDescent="0.25">
      <c r="A5" s="44" t="s">
        <v>24</v>
      </c>
      <c r="B5" s="30" t="s">
        <v>45</v>
      </c>
      <c r="C5" s="31">
        <v>2</v>
      </c>
      <c r="D5" s="33" t="s">
        <v>22</v>
      </c>
      <c r="E5" s="31" t="s">
        <v>35</v>
      </c>
      <c r="F5" s="39">
        <f t="shared" si="0"/>
        <v>48</v>
      </c>
      <c r="G5" s="32" t="s">
        <v>23</v>
      </c>
      <c r="H5" s="55">
        <v>0</v>
      </c>
      <c r="I5" s="38">
        <f t="shared" si="1"/>
        <v>0</v>
      </c>
      <c r="J5" s="76">
        <v>46161</v>
      </c>
      <c r="K5" s="77">
        <v>46184</v>
      </c>
      <c r="L5" s="24"/>
      <c r="M5" s="29"/>
      <c r="N5" s="29"/>
      <c r="O5" s="29">
        <v>2</v>
      </c>
      <c r="P5" s="29">
        <v>24</v>
      </c>
    </row>
    <row r="6" spans="1:16" ht="121.5" customHeight="1" thickBot="1" x14ac:dyDescent="0.25">
      <c r="A6" s="44" t="s">
        <v>25</v>
      </c>
      <c r="B6" s="30" t="s">
        <v>44</v>
      </c>
      <c r="C6" s="31">
        <v>3</v>
      </c>
      <c r="D6" s="33" t="s">
        <v>22</v>
      </c>
      <c r="E6" s="31" t="s">
        <v>39</v>
      </c>
      <c r="F6" s="39">
        <f t="shared" si="0"/>
        <v>72</v>
      </c>
      <c r="G6" s="32" t="s">
        <v>23</v>
      </c>
      <c r="H6" s="55">
        <v>0</v>
      </c>
      <c r="I6" s="38">
        <f t="shared" si="1"/>
        <v>0</v>
      </c>
      <c r="J6" s="76">
        <v>46161</v>
      </c>
      <c r="K6" s="77">
        <v>46184</v>
      </c>
      <c r="L6" s="24"/>
      <c r="M6" s="29"/>
      <c r="N6" s="29"/>
      <c r="O6" s="29">
        <v>3</v>
      </c>
      <c r="P6" s="29">
        <v>24</v>
      </c>
    </row>
    <row r="7" spans="1:16" ht="121.5" customHeight="1" thickBot="1" x14ac:dyDescent="0.25">
      <c r="A7" s="44" t="s">
        <v>26</v>
      </c>
      <c r="B7" s="30" t="s">
        <v>43</v>
      </c>
      <c r="C7" s="31">
        <v>2</v>
      </c>
      <c r="D7" s="33" t="s">
        <v>22</v>
      </c>
      <c r="E7" s="31" t="s">
        <v>37</v>
      </c>
      <c r="F7" s="39">
        <f t="shared" si="0"/>
        <v>48</v>
      </c>
      <c r="G7" s="32" t="s">
        <v>23</v>
      </c>
      <c r="H7" s="55">
        <v>0</v>
      </c>
      <c r="I7" s="38">
        <f t="shared" si="1"/>
        <v>0</v>
      </c>
      <c r="J7" s="76">
        <v>46161</v>
      </c>
      <c r="K7" s="77">
        <v>46184</v>
      </c>
      <c r="L7" s="24"/>
      <c r="M7" s="29"/>
      <c r="N7" s="29"/>
      <c r="O7" s="29">
        <v>2</v>
      </c>
      <c r="P7" s="29">
        <v>24</v>
      </c>
    </row>
    <row r="8" spans="1:16" ht="122.25" customHeight="1" thickBot="1" x14ac:dyDescent="0.25">
      <c r="A8" s="63" t="s">
        <v>27</v>
      </c>
      <c r="B8" s="64" t="s">
        <v>47</v>
      </c>
      <c r="C8" s="58">
        <v>3</v>
      </c>
      <c r="D8" s="65" t="s">
        <v>22</v>
      </c>
      <c r="E8" s="71" t="s">
        <v>38</v>
      </c>
      <c r="F8" s="73">
        <f t="shared" si="0"/>
        <v>72</v>
      </c>
      <c r="G8" s="40" t="s">
        <v>23</v>
      </c>
      <c r="H8" s="56">
        <v>0</v>
      </c>
      <c r="I8" s="43">
        <f t="shared" si="1"/>
        <v>0</v>
      </c>
      <c r="J8" s="76">
        <v>46161</v>
      </c>
      <c r="K8" s="77">
        <v>46184</v>
      </c>
      <c r="L8" s="24"/>
      <c r="M8" s="29"/>
      <c r="N8" s="29"/>
      <c r="O8" s="68">
        <v>3</v>
      </c>
      <c r="P8" s="68">
        <v>24</v>
      </c>
    </row>
    <row r="9" spans="1:16" ht="150.75" customHeight="1" thickBot="1" x14ac:dyDescent="0.25">
      <c r="A9" s="44" t="s">
        <v>40</v>
      </c>
      <c r="B9" s="30" t="s">
        <v>42</v>
      </c>
      <c r="C9" s="31">
        <v>2</v>
      </c>
      <c r="D9" s="66" t="s">
        <v>22</v>
      </c>
      <c r="E9" s="72" t="s">
        <v>41</v>
      </c>
      <c r="F9" s="75">
        <f t="shared" si="0"/>
        <v>48</v>
      </c>
      <c r="G9" s="74" t="s">
        <v>23</v>
      </c>
      <c r="H9" s="55">
        <v>0</v>
      </c>
      <c r="I9" s="43">
        <f t="shared" si="1"/>
        <v>0</v>
      </c>
      <c r="J9" s="76">
        <v>46161</v>
      </c>
      <c r="K9" s="77">
        <v>46184</v>
      </c>
      <c r="L9" s="24"/>
      <c r="M9" s="62"/>
      <c r="N9" s="62"/>
      <c r="O9" s="69">
        <v>2</v>
      </c>
      <c r="P9" s="70">
        <v>24</v>
      </c>
    </row>
    <row r="10" spans="1:16" ht="27.6" customHeight="1" thickBot="1" x14ac:dyDescent="0.25">
      <c r="B10" s="67"/>
      <c r="E10" s="61"/>
      <c r="G10" s="46" t="s">
        <v>18</v>
      </c>
      <c r="H10" s="47">
        <f>SUM(H4:H9)</f>
        <v>0</v>
      </c>
      <c r="I10" s="48" cm="1">
        <f t="array" ref="I10">SUM(I4:I9+F13)</f>
        <v>0</v>
      </c>
      <c r="J10" s="41"/>
    </row>
    <row r="12" spans="1:16" ht="13.5" thickBot="1" x14ac:dyDescent="0.25"/>
    <row r="13" spans="1:16" ht="13.5" thickBot="1" x14ac:dyDescent="0.25">
      <c r="E13" s="45" t="s">
        <v>28</v>
      </c>
      <c r="F13" s="93">
        <v>0</v>
      </c>
      <c r="G13" s="94"/>
    </row>
  </sheetData>
  <mergeCells count="5">
    <mergeCell ref="A1:D1"/>
    <mergeCell ref="G1:K1"/>
    <mergeCell ref="M1:N2"/>
    <mergeCell ref="F13:G13"/>
    <mergeCell ref="O1: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26C0236510F043A3EFBBB91C181C12" ma:contentTypeVersion="16" ma:contentTypeDescription="Create a new document." ma:contentTypeScope="" ma:versionID="22906b28021b58317fff07b1374f7c49">
  <xsd:schema xmlns:xsd="http://www.w3.org/2001/XMLSchema" xmlns:xs="http://www.w3.org/2001/XMLSchema" xmlns:p="http://schemas.microsoft.com/office/2006/metadata/properties" xmlns:ns1="http://schemas.microsoft.com/sharepoint/v3" xmlns:ns2="b5896bc4-9af0-47aa-a861-96ea3ff970bf" xmlns:ns3="26b7977d-846f-439e-b153-5ac9efcb7cf3" targetNamespace="http://schemas.microsoft.com/office/2006/metadata/properties" ma:root="true" ma:fieldsID="316b9386fd12cafd6bb25e72603d94fa" ns1:_="" ns2:_="" ns3:_="">
    <xsd:import namespace="http://schemas.microsoft.com/sharepoint/v3"/>
    <xsd:import namespace="b5896bc4-9af0-47aa-a861-96ea3ff970bf"/>
    <xsd:import namespace="26b7977d-846f-439e-b153-5ac9efcb7cf3"/>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896bc4-9af0-47aa-a861-96ea3ff970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b7977d-846f-439e-b153-5ac9efcb7cf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9cc1b169-5003-45a9-9937-dedbd88f0f9a}" ma:internalName="TaxCatchAll" ma:showField="CatchAllData" ma:web="26b7977d-846f-439e-b153-5ac9efcb7c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5896bc4-9af0-47aa-a861-96ea3ff970bf">
      <Terms xmlns="http://schemas.microsoft.com/office/infopath/2007/PartnerControls"/>
    </lcf76f155ced4ddcb4097134ff3c332f>
    <TaxCatchAll xmlns="26b7977d-846f-439e-b153-5ac9efcb7c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987177-9E8F-4AF5-9027-F6F19F40AF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896bc4-9af0-47aa-a861-96ea3ff970bf"/>
    <ds:schemaRef ds:uri="26b7977d-846f-439e-b153-5ac9efcb7c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22AC8D-83DD-40A9-B1B8-4CA67D534E45}">
  <ds:schemaRefs>
    <ds:schemaRef ds:uri="http://schemas.microsoft.com/sharepoint/v3"/>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dcmitype/"/>
    <ds:schemaRef ds:uri="http://purl.org/dc/elements/1.1/"/>
    <ds:schemaRef ds:uri="26b7977d-846f-439e-b153-5ac9efcb7cf3"/>
    <ds:schemaRef ds:uri="b5896bc4-9af0-47aa-a861-96ea3ff970bf"/>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AD5A9B8C-DDBE-4431-8D07-A4D49FABB37C}">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Total</vt:lpstr>
      <vt:lpstr>MHE</vt:lpstr>
    </vt:vector>
  </TitlesOfParts>
  <Manager/>
  <Company>Tripler Army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TAMC</dc:creator>
  <cp:keywords/>
  <dc:description/>
  <cp:lastModifiedBy>Francisco, Mandy N SFC USARMY 413 CONTR SPT BDE (USA)</cp:lastModifiedBy>
  <cp:revision/>
  <dcterms:created xsi:type="dcterms:W3CDTF">2004-03-04T23:21:33Z</dcterms:created>
  <dcterms:modified xsi:type="dcterms:W3CDTF">2026-05-05T02:06:04Z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0x010100D026C0236510F043A3EFBBB91C181C12</vt:lpwstr>
  </property>
  <property fmtid="{D5CDD505-2E9C-101B-9397-08002B2CF9AE}" pid="3" name="MediaServiceImageTags">
    <vt:lpwstr/>
  </property>
</Properties>
</file>