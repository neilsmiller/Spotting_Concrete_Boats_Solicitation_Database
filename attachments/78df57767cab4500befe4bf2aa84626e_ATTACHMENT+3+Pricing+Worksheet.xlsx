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CCFile.cc.nih.gov\share\Departments\OPC\Section 1\01. Section 1\Ryssa Nix\Contract Files\FY26\26-000008 MSA recompete\"/>
    </mc:Choice>
  </mc:AlternateContent>
  <xr:revisionPtr revIDLastSave="0" documentId="8_{531D93C2-3285-47E9-B07B-F96F4B2D04E0}" xr6:coauthVersionLast="47" xr6:coauthVersionMax="47" xr10:uidLastSave="{00000000-0000-0000-0000-000000000000}"/>
  <bookViews>
    <workbookView xWindow="6075" yWindow="2280" windowWidth="28800" windowHeight="15345" xr2:uid="{57E03618-DF45-48C4-8251-05FCCCB6E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H13" i="1"/>
  <c r="D13" i="1"/>
  <c r="H24" i="1"/>
  <c r="D24" i="1"/>
  <c r="D22" i="1"/>
  <c r="L21" i="1"/>
  <c r="H21" i="1"/>
  <c r="D21" i="1"/>
  <c r="J14" i="1"/>
  <c r="F14" i="1"/>
  <c r="B14" i="1"/>
  <c r="L12" i="1"/>
  <c r="D12" i="1"/>
  <c r="L11" i="1"/>
  <c r="D11" i="1"/>
  <c r="L10" i="1"/>
  <c r="H10" i="1"/>
  <c r="D10" i="1"/>
  <c r="L9" i="1"/>
  <c r="D9" i="1"/>
  <c r="H8" i="1"/>
  <c r="D8" i="1"/>
  <c r="H7" i="1"/>
  <c r="D7" i="1"/>
  <c r="L6" i="1"/>
  <c r="H6" i="1"/>
  <c r="D6" i="1"/>
  <c r="H5" i="1"/>
  <c r="D5" i="1"/>
  <c r="H9" i="1" l="1"/>
  <c r="D14" i="1"/>
  <c r="L7" i="1"/>
  <c r="L5" i="1"/>
  <c r="L8" i="1"/>
  <c r="H11" i="1"/>
  <c r="H12" i="1"/>
  <c r="H14" i="1" l="1"/>
  <c r="H22" i="1" s="1"/>
  <c r="L14" i="1"/>
  <c r="L22" i="1" s="1"/>
  <c r="L24" i="1" s="1"/>
</calcChain>
</file>

<file path=xl/sharedStrings.xml><?xml version="1.0" encoding="utf-8"?>
<sst xmlns="http://schemas.openxmlformats.org/spreadsheetml/2006/main" count="34" uniqueCount="27">
  <si>
    <t xml:space="preserve">POP: </t>
  </si>
  <si>
    <t xml:space="preserve">Base Period:  </t>
  </si>
  <si>
    <t xml:space="preserve">Option 1:   </t>
  </si>
  <si>
    <t xml:space="preserve">Option 2:  </t>
  </si>
  <si>
    <t>Labor Category</t>
  </si>
  <si>
    <t>QTY*</t>
  </si>
  <si>
    <t>Rate</t>
  </si>
  <si>
    <t>Total</t>
  </si>
  <si>
    <t>QTY</t>
  </si>
  <si>
    <t xml:space="preserve"> General Clerk III (MSA)</t>
  </si>
  <si>
    <t xml:space="preserve">MSA Health and Welfare </t>
  </si>
  <si>
    <t xml:space="preserve">MSA Evening/Night Differential </t>
  </si>
  <si>
    <t xml:space="preserve">MSA Weekend Differential </t>
  </si>
  <si>
    <t>MSA Holiday Differential (50%)</t>
  </si>
  <si>
    <t xml:space="preserve">Program Manager (Supervisor) </t>
  </si>
  <si>
    <t xml:space="preserve">PM Health and Welfare </t>
  </si>
  <si>
    <t>PSSD MSA</t>
  </si>
  <si>
    <t xml:space="preserve">PSSA Lead </t>
  </si>
  <si>
    <t>Labor Total</t>
  </si>
  <si>
    <t xml:space="preserve">Other Direct Costs </t>
  </si>
  <si>
    <t>(ODCs)</t>
  </si>
  <si>
    <t>IT Licensing</t>
  </si>
  <si>
    <t>Travel</t>
  </si>
  <si>
    <t>ODC/Travel Subtotal</t>
  </si>
  <si>
    <t>Period Total</t>
  </si>
  <si>
    <t>Admin Cost</t>
  </si>
  <si>
    <t>Cumulative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</si>
</sst>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 applyAlignment="1">
      <alignment horizontal="center"/>
    </xf>
    <xf numFmtId="0" fontId="0" fillId="3" borderId="2" xfId="0" applyFill="1" applyBorder="1"/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4" xfId="0" applyBorder="1"/>
    <xf numFmtId="44" fontId="0" fillId="0" borderId="4" xfId="1" applyFont="1" applyBorder="1"/>
    <xf numFmtId="164" fontId="0" fillId="0" borderId="4" xfId="0" applyNumberFormat="1" applyBorder="1"/>
    <xf numFmtId="0" fontId="0" fillId="5" borderId="4" xfId="0" applyFill="1" applyBorder="1"/>
    <xf numFmtId="0" fontId="3" fillId="0" borderId="4" xfId="0" applyFont="1" applyBorder="1"/>
    <xf numFmtId="44" fontId="0" fillId="0" borderId="4" xfId="0" applyNumberFormat="1" applyBorder="1"/>
    <xf numFmtId="0" fontId="0" fillId="0" borderId="6" xfId="0" applyBorder="1"/>
    <xf numFmtId="0" fontId="0" fillId="5" borderId="6" xfId="0" applyFill="1" applyBorder="1"/>
    <xf numFmtId="0" fontId="2" fillId="6" borderId="4" xfId="0" applyFont="1" applyFill="1" applyBorder="1"/>
    <xf numFmtId="164" fontId="2" fillId="6" borderId="4" xfId="0" applyNumberFormat="1" applyFont="1" applyFill="1" applyBorder="1"/>
    <xf numFmtId="0" fontId="2" fillId="7" borderId="4" xfId="0" applyFont="1" applyFill="1" applyBorder="1"/>
    <xf numFmtId="0" fontId="0" fillId="0" borderId="5" xfId="0" applyBorder="1"/>
    <xf numFmtId="0" fontId="0" fillId="5" borderId="5" xfId="0" applyFill="1" applyBorder="1"/>
    <xf numFmtId="0" fontId="2" fillId="0" borderId="4" xfId="0" applyFont="1" applyBorder="1"/>
    <xf numFmtId="8" fontId="3" fillId="0" borderId="4" xfId="0" applyNumberFormat="1" applyFont="1" applyBorder="1"/>
    <xf numFmtId="164" fontId="3" fillId="0" borderId="4" xfId="0" applyNumberFormat="1" applyFont="1" applyBorder="1"/>
    <xf numFmtId="0" fontId="3" fillId="5" borderId="4" xfId="0" applyFont="1" applyFill="1" applyBorder="1"/>
    <xf numFmtId="0" fontId="2" fillId="5" borderId="4" xfId="0" applyFont="1" applyFill="1" applyBorder="1"/>
    <xf numFmtId="44" fontId="3" fillId="0" borderId="4" xfId="1" applyFont="1" applyBorder="1"/>
    <xf numFmtId="0" fontId="0" fillId="7" borderId="6" xfId="0" applyFill="1" applyBorder="1"/>
    <xf numFmtId="0" fontId="2" fillId="4" borderId="5" xfId="0" applyFont="1" applyFill="1" applyBorder="1"/>
    <xf numFmtId="164" fontId="2" fillId="4" borderId="5" xfId="0" applyNumberFormat="1" applyFont="1" applyFill="1" applyBorder="1"/>
    <xf numFmtId="0" fontId="2" fillId="7" borderId="5" xfId="0" applyFont="1" applyFill="1" applyBorder="1"/>
    <xf numFmtId="0" fontId="2" fillId="8" borderId="4" xfId="0" applyFont="1" applyFill="1" applyBorder="1"/>
    <xf numFmtId="164" fontId="2" fillId="8" borderId="4" xfId="0" applyNumberFormat="1" applyFont="1" applyFill="1" applyBorder="1"/>
    <xf numFmtId="0" fontId="3" fillId="0" borderId="7" xfId="0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EFF9-6FE1-4774-897C-4BFF7CD94EE7}">
  <dimension ref="A1:L25"/>
  <sheetViews>
    <sheetView tabSelected="1" workbookViewId="0">
      <selection activeCell="A10" sqref="A10"/>
    </sheetView>
  </sheetViews>
  <sheetFormatPr defaultRowHeight="15" x14ac:dyDescent="0.25"/>
  <cols>
    <col min="1" max="1" width="27.28515625" bestFit="1" customWidth="1"/>
    <col min="4" max="4" width="12.7109375" bestFit="1" customWidth="1"/>
    <col min="8" max="8" width="12.7109375" bestFit="1" customWidth="1"/>
    <col min="12" max="12" width="13.85546875" bestFit="1" customWidth="1"/>
  </cols>
  <sheetData>
    <row r="1" spans="1:1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1"/>
      <c r="B2" s="3" t="s">
        <v>0</v>
      </c>
      <c r="C2" s="3"/>
      <c r="D2" s="3"/>
      <c r="E2" s="4"/>
      <c r="F2" s="3" t="s">
        <v>0</v>
      </c>
      <c r="G2" s="3"/>
      <c r="H2" s="3"/>
      <c r="I2" s="4"/>
      <c r="J2" s="3" t="s">
        <v>0</v>
      </c>
      <c r="K2" s="3"/>
      <c r="L2" s="3"/>
    </row>
    <row r="3" spans="1:12" x14ac:dyDescent="0.25">
      <c r="A3" s="5"/>
      <c r="B3" s="6" t="s">
        <v>1</v>
      </c>
      <c r="C3" s="6"/>
      <c r="D3" s="6"/>
      <c r="E3" s="5"/>
      <c r="F3" s="6" t="s">
        <v>2</v>
      </c>
      <c r="G3" s="6"/>
      <c r="H3" s="6"/>
      <c r="I3" s="5"/>
      <c r="J3" s="6" t="s">
        <v>3</v>
      </c>
      <c r="K3" s="6"/>
      <c r="L3" s="6"/>
    </row>
    <row r="4" spans="1:12" x14ac:dyDescent="0.25">
      <c r="A4" s="7" t="s">
        <v>4</v>
      </c>
      <c r="B4" s="7" t="s">
        <v>5</v>
      </c>
      <c r="C4" s="7" t="s">
        <v>6</v>
      </c>
      <c r="D4" s="7" t="s">
        <v>7</v>
      </c>
      <c r="E4" s="8"/>
      <c r="F4" s="7" t="s">
        <v>8</v>
      </c>
      <c r="G4" s="7" t="s">
        <v>6</v>
      </c>
      <c r="H4" s="7" t="s">
        <v>7</v>
      </c>
      <c r="I4" s="8"/>
      <c r="J4" s="7" t="s">
        <v>8</v>
      </c>
      <c r="K4" s="7" t="s">
        <v>6</v>
      </c>
      <c r="L4" s="7" t="s">
        <v>7</v>
      </c>
    </row>
    <row r="5" spans="1:12" x14ac:dyDescent="0.25">
      <c r="A5" s="13" t="s">
        <v>9</v>
      </c>
      <c r="B5" s="9">
        <v>75296</v>
      </c>
      <c r="C5" s="10"/>
      <c r="D5" s="11">
        <f xml:space="preserve"> B5*C5</f>
        <v>0</v>
      </c>
      <c r="E5" s="12"/>
      <c r="F5" s="9">
        <v>75296</v>
      </c>
      <c r="G5" s="10"/>
      <c r="H5" s="11">
        <f>(F5*G5)</f>
        <v>0</v>
      </c>
      <c r="I5" s="12"/>
      <c r="J5" s="9">
        <v>75296</v>
      </c>
      <c r="K5" s="10"/>
      <c r="L5" s="11">
        <f>(J5*K5)</f>
        <v>0</v>
      </c>
    </row>
    <row r="6" spans="1:12" x14ac:dyDescent="0.25">
      <c r="A6" s="13" t="s">
        <v>10</v>
      </c>
      <c r="B6" s="9">
        <v>75296</v>
      </c>
      <c r="C6" s="10"/>
      <c r="D6" s="11">
        <f t="shared" ref="D6:D11" si="0">(B6*C6)</f>
        <v>0</v>
      </c>
      <c r="E6" s="12"/>
      <c r="F6" s="9">
        <v>75296</v>
      </c>
      <c r="G6" s="10"/>
      <c r="H6" s="11">
        <f t="shared" ref="H6:H13" si="1">(F6*G6)</f>
        <v>0</v>
      </c>
      <c r="I6" s="12"/>
      <c r="J6" s="9">
        <v>75296</v>
      </c>
      <c r="K6" s="10"/>
      <c r="L6" s="11">
        <f t="shared" ref="L6:L13" si="2">(J6*K6)</f>
        <v>0</v>
      </c>
    </row>
    <row r="7" spans="1:12" x14ac:dyDescent="0.25">
      <c r="A7" s="13" t="s">
        <v>11</v>
      </c>
      <c r="B7" s="9">
        <v>22589</v>
      </c>
      <c r="C7" s="10"/>
      <c r="D7" s="11">
        <f t="shared" si="0"/>
        <v>0</v>
      </c>
      <c r="E7" s="12"/>
      <c r="F7" s="9">
        <v>22589</v>
      </c>
      <c r="G7" s="10"/>
      <c r="H7" s="11">
        <f t="shared" si="1"/>
        <v>0</v>
      </c>
      <c r="I7" s="12"/>
      <c r="J7" s="9">
        <v>22589</v>
      </c>
      <c r="K7" s="10"/>
      <c r="L7" s="11">
        <f t="shared" si="2"/>
        <v>0</v>
      </c>
    </row>
    <row r="8" spans="1:12" x14ac:dyDescent="0.25">
      <c r="A8" s="13" t="s">
        <v>12</v>
      </c>
      <c r="B8" s="9">
        <v>7530</v>
      </c>
      <c r="C8" s="14"/>
      <c r="D8" s="11">
        <f t="shared" si="0"/>
        <v>0</v>
      </c>
      <c r="E8" s="12"/>
      <c r="F8" s="9">
        <v>7530</v>
      </c>
      <c r="G8" s="10"/>
      <c r="H8" s="11">
        <f t="shared" si="1"/>
        <v>0</v>
      </c>
      <c r="I8" s="12"/>
      <c r="J8" s="9">
        <v>7530</v>
      </c>
      <c r="K8" s="10"/>
      <c r="L8" s="11">
        <f t="shared" si="2"/>
        <v>0</v>
      </c>
    </row>
    <row r="9" spans="1:12" x14ac:dyDescent="0.25">
      <c r="A9" s="13" t="s">
        <v>13</v>
      </c>
      <c r="B9" s="9">
        <v>1637</v>
      </c>
      <c r="C9" s="10"/>
      <c r="D9" s="11">
        <f t="shared" si="0"/>
        <v>0</v>
      </c>
      <c r="E9" s="12"/>
      <c r="F9" s="9">
        <v>1637</v>
      </c>
      <c r="G9" s="10"/>
      <c r="H9" s="11">
        <f t="shared" si="1"/>
        <v>0</v>
      </c>
      <c r="I9" s="12"/>
      <c r="J9" s="9">
        <v>1637</v>
      </c>
      <c r="K9" s="10"/>
      <c r="L9" s="11">
        <f t="shared" si="2"/>
        <v>0</v>
      </c>
    </row>
    <row r="10" spans="1:12" x14ac:dyDescent="0.25">
      <c r="A10" s="13" t="s">
        <v>14</v>
      </c>
      <c r="B10" s="9">
        <v>2080</v>
      </c>
      <c r="C10" s="10"/>
      <c r="D10" s="11">
        <f t="shared" si="0"/>
        <v>0</v>
      </c>
      <c r="E10" s="12"/>
      <c r="F10" s="9">
        <v>2080</v>
      </c>
      <c r="G10" s="10"/>
      <c r="H10" s="11">
        <f t="shared" si="1"/>
        <v>0</v>
      </c>
      <c r="I10" s="12"/>
      <c r="J10" s="9">
        <v>2080</v>
      </c>
      <c r="K10" s="10"/>
      <c r="L10" s="11">
        <f t="shared" si="2"/>
        <v>0</v>
      </c>
    </row>
    <row r="11" spans="1:12" x14ac:dyDescent="0.25">
      <c r="A11" s="13" t="s">
        <v>15</v>
      </c>
      <c r="B11" s="9">
        <v>2080</v>
      </c>
      <c r="C11" s="10"/>
      <c r="D11" s="11">
        <f t="shared" si="0"/>
        <v>0</v>
      </c>
      <c r="E11" s="12"/>
      <c r="F11" s="9">
        <v>2080</v>
      </c>
      <c r="G11" s="10"/>
      <c r="H11" s="11">
        <f t="shared" si="1"/>
        <v>0</v>
      </c>
      <c r="I11" s="12"/>
      <c r="J11" s="9">
        <v>2080</v>
      </c>
      <c r="K11" s="10"/>
      <c r="L11" s="11">
        <f t="shared" si="2"/>
        <v>0</v>
      </c>
    </row>
    <row r="12" spans="1:12" x14ac:dyDescent="0.25">
      <c r="A12" s="9" t="s">
        <v>16</v>
      </c>
      <c r="B12" s="9">
        <v>48000</v>
      </c>
      <c r="C12" s="10"/>
      <c r="D12" s="11">
        <f>(B12*C12)</f>
        <v>0</v>
      </c>
      <c r="E12" s="12"/>
      <c r="F12" s="9">
        <v>48000</v>
      </c>
      <c r="G12" s="10"/>
      <c r="H12" s="11">
        <f t="shared" si="1"/>
        <v>0</v>
      </c>
      <c r="I12" s="12"/>
      <c r="J12" s="9">
        <v>48000</v>
      </c>
      <c r="K12" s="10"/>
      <c r="L12" s="11">
        <f t="shared" si="2"/>
        <v>0</v>
      </c>
    </row>
    <row r="13" spans="1:12" x14ac:dyDescent="0.25">
      <c r="A13" s="15" t="s">
        <v>17</v>
      </c>
      <c r="B13" s="15">
        <v>1920</v>
      </c>
      <c r="C13" s="10"/>
      <c r="D13" s="11">
        <f>(B13*C13)</f>
        <v>0</v>
      </c>
      <c r="E13" s="16"/>
      <c r="F13" s="15">
        <v>1920</v>
      </c>
      <c r="G13" s="10"/>
      <c r="H13" s="11">
        <f>(F13*G13)</f>
        <v>0</v>
      </c>
      <c r="I13" s="16"/>
      <c r="J13" s="15">
        <v>1920</v>
      </c>
      <c r="K13" s="10"/>
      <c r="L13" s="11">
        <f>(J13*K13)</f>
        <v>0</v>
      </c>
    </row>
    <row r="14" spans="1:12" x14ac:dyDescent="0.25">
      <c r="A14" s="17" t="s">
        <v>18</v>
      </c>
      <c r="B14" s="17">
        <f>SUM(B5:B13)</f>
        <v>236428</v>
      </c>
      <c r="C14" s="17"/>
      <c r="D14" s="18">
        <f>SUM(D5:D13)</f>
        <v>0</v>
      </c>
      <c r="E14" s="19"/>
      <c r="F14" s="17">
        <f>SUM(F5:F13)</f>
        <v>236428</v>
      </c>
      <c r="G14" s="17"/>
      <c r="H14" s="18">
        <f>SUM(H5:H13)</f>
        <v>0</v>
      </c>
      <c r="I14" s="19"/>
      <c r="J14" s="17">
        <f>SUM(J5:J13)</f>
        <v>236428</v>
      </c>
      <c r="K14" s="17"/>
      <c r="L14" s="18">
        <f>SUM(L5:L13)</f>
        <v>0</v>
      </c>
    </row>
    <row r="15" spans="1:12" x14ac:dyDescent="0.25">
      <c r="A15" s="20"/>
      <c r="B15" s="20"/>
      <c r="C15" s="20"/>
      <c r="D15" s="20"/>
      <c r="E15" s="21"/>
      <c r="F15" s="20"/>
      <c r="G15" s="20"/>
      <c r="H15" s="20"/>
      <c r="I15" s="21"/>
      <c r="J15" s="20"/>
      <c r="K15" s="20"/>
      <c r="L15" s="20"/>
    </row>
    <row r="16" spans="1:12" x14ac:dyDescent="0.25">
      <c r="A16" s="22" t="s">
        <v>19</v>
      </c>
      <c r="B16" s="13"/>
      <c r="C16" s="23"/>
      <c r="D16" s="24"/>
      <c r="E16" s="25"/>
      <c r="F16" s="13"/>
      <c r="G16" s="13"/>
      <c r="H16" s="24"/>
      <c r="I16" s="25"/>
      <c r="J16" s="13"/>
      <c r="K16" s="13"/>
      <c r="L16" s="24"/>
    </row>
    <row r="17" spans="1:12" x14ac:dyDescent="0.25">
      <c r="A17" s="22" t="s">
        <v>20</v>
      </c>
      <c r="B17" s="22"/>
      <c r="C17" s="22"/>
      <c r="D17" s="22"/>
      <c r="E17" s="26"/>
      <c r="F17" s="22"/>
      <c r="G17" s="22"/>
      <c r="H17" s="22"/>
      <c r="I17" s="26"/>
      <c r="J17" s="22"/>
      <c r="K17" s="22"/>
      <c r="L17" s="22"/>
    </row>
    <row r="18" spans="1:12" x14ac:dyDescent="0.25">
      <c r="A18" s="22" t="s">
        <v>21</v>
      </c>
      <c r="B18" s="22"/>
      <c r="C18" s="22"/>
      <c r="D18" s="27"/>
      <c r="E18" s="26"/>
      <c r="F18" s="22"/>
      <c r="G18" s="22"/>
      <c r="H18" s="27"/>
      <c r="I18" s="26"/>
      <c r="J18" s="22"/>
      <c r="K18" s="22"/>
      <c r="L18" s="22"/>
    </row>
    <row r="19" spans="1:12" x14ac:dyDescent="0.25">
      <c r="A19" s="22" t="s">
        <v>22</v>
      </c>
      <c r="B19" s="13"/>
      <c r="C19" s="13"/>
      <c r="D19" s="27"/>
      <c r="E19" s="25"/>
      <c r="F19" s="13"/>
      <c r="G19" s="13"/>
      <c r="H19" s="27"/>
      <c r="I19" s="25"/>
      <c r="J19" s="13"/>
      <c r="K19" s="13"/>
      <c r="L19" s="24"/>
    </row>
    <row r="20" spans="1:12" x14ac:dyDescent="0.25">
      <c r="A20" s="15"/>
      <c r="B20" s="15"/>
      <c r="C20" s="15"/>
      <c r="D20" s="15"/>
      <c r="E20" s="28"/>
      <c r="F20" s="15"/>
      <c r="G20" s="15"/>
      <c r="H20" s="15"/>
      <c r="I20" s="16"/>
      <c r="J20" s="15"/>
      <c r="K20" s="15"/>
      <c r="L20" s="15"/>
    </row>
    <row r="21" spans="1:12" x14ac:dyDescent="0.25">
      <c r="A21" s="17" t="s">
        <v>23</v>
      </c>
      <c r="B21" s="17"/>
      <c r="C21" s="17"/>
      <c r="D21" s="18">
        <f>SUM(D16:D19)</f>
        <v>0</v>
      </c>
      <c r="E21" s="19"/>
      <c r="F21" s="17"/>
      <c r="G21" s="17"/>
      <c r="H21" s="18">
        <f>SUM(H16:H19)</f>
        <v>0</v>
      </c>
      <c r="I21" s="19"/>
      <c r="J21" s="17"/>
      <c r="K21" s="17"/>
      <c r="L21" s="18">
        <f>L16+L19</f>
        <v>0</v>
      </c>
    </row>
    <row r="22" spans="1:12" x14ac:dyDescent="0.25">
      <c r="A22" s="29" t="s">
        <v>24</v>
      </c>
      <c r="B22" s="29"/>
      <c r="C22" s="29"/>
      <c r="D22" s="30">
        <f>D14+D21</f>
        <v>0</v>
      </c>
      <c r="E22" s="31"/>
      <c r="F22" s="29"/>
      <c r="G22" s="29"/>
      <c r="H22" s="30">
        <f>H14+H21</f>
        <v>0</v>
      </c>
      <c r="I22" s="31"/>
      <c r="J22" s="29"/>
      <c r="K22" s="29"/>
      <c r="L22" s="30">
        <f>L14+L21</f>
        <v>0</v>
      </c>
    </row>
    <row r="23" spans="1:12" x14ac:dyDescent="0.25">
      <c r="A23" s="29" t="s">
        <v>25</v>
      </c>
      <c r="B23" s="29"/>
      <c r="C23" s="29"/>
      <c r="D23" s="30"/>
      <c r="E23" s="31"/>
      <c r="F23" s="29"/>
      <c r="G23" s="29"/>
      <c r="H23" s="30"/>
      <c r="I23" s="31"/>
      <c r="J23" s="29"/>
      <c r="K23" s="29"/>
      <c r="L23" s="30"/>
    </row>
    <row r="24" spans="1:12" x14ac:dyDescent="0.25">
      <c r="A24" s="32" t="s">
        <v>26</v>
      </c>
      <c r="B24" s="32"/>
      <c r="C24" s="32"/>
      <c r="D24" s="33">
        <f>SUM(D22+D23)</f>
        <v>0</v>
      </c>
      <c r="E24" s="32"/>
      <c r="F24" s="32"/>
      <c r="G24" s="32"/>
      <c r="H24" s="33">
        <f>SUM(H22,D24)</f>
        <v>0</v>
      </c>
      <c r="I24" s="32"/>
      <c r="J24" s="32"/>
      <c r="K24" s="32"/>
      <c r="L24" s="33">
        <f>SUM(L22,H24)</f>
        <v>0</v>
      </c>
    </row>
    <row r="25" spans="1:12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</row>
  </sheetData>
  <mergeCells count="6">
    <mergeCell ref="B2:D2"/>
    <mergeCell ref="F2:H2"/>
    <mergeCell ref="J2:L2"/>
    <mergeCell ref="B3:D3"/>
    <mergeCell ref="F3:H3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Nix, Chris Ryssa (NIH/OD) [E]</dc:creator>
  <cp:lastModifiedBy>Nix, Chris Ryssa (NIH/OD) [E]</cp:lastModifiedBy>
  <dcterms:created xsi:type="dcterms:W3CDTF">2026-04-01T16:04:18Z</dcterms:created>
  <dcterms:modified xsi:type="dcterms:W3CDTF">2026-04-01T16:07:13Z</dcterms:modified>
</cp:coreProperties>
</file>