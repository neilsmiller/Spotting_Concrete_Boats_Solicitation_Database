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725"/>
  <workbookPr/>
  <mc:AlternateContent xmlns:mc="http://schemas.openxmlformats.org/markup-compatibility/2006">
    <mc:Choice Requires="x15">
      <x15ac:absPath xmlns:x15ac="http://schemas.microsoft.com/office/spreadsheetml/2010/11/ac" url="https://ussen.sharepoint.com/sites/AcquisitionTestTeamSAA/Shared Documents/Pre-Posting Solicitation ($100K-$500K Renewals)/2026-R-051 (RFQ) Cisco Catalyst Hardware/"/>
    </mc:Choice>
  </mc:AlternateContent>
  <xr:revisionPtr revIDLastSave="5" documentId="8_{AD4EEF4A-AE6E-48CF-82CB-AC2D9186FA76}" xr6:coauthVersionLast="47" xr6:coauthVersionMax="47" xr10:uidLastSave="{1B0A8E1D-523D-4185-8E5F-5338F2C21A4D}"/>
  <bookViews>
    <workbookView xWindow="-108" yWindow="-108" windowWidth="41496" windowHeight="16776" xr2:uid="{00000000-000D-0000-FFFF-FFFF00000000}"/>
  </bookViews>
  <sheets>
    <sheet name=" PRICING TABLE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2" i="1" l="1"/>
  <c r="G34" i="1"/>
  <c r="G20" i="1"/>
  <c r="G36" i="1"/>
  <c r="G19" i="1"/>
  <c r="G30" i="1"/>
  <c r="G15" i="1"/>
  <c r="G13" i="1"/>
  <c r="G14" i="1"/>
  <c r="G16" i="1"/>
  <c r="G17" i="1"/>
  <c r="G18" i="1"/>
  <c r="G22" i="1"/>
  <c r="G23" i="1"/>
  <c r="G24" i="1"/>
  <c r="G25" i="1"/>
  <c r="G26" i="1"/>
  <c r="G27" i="1"/>
  <c r="G28" i="1"/>
  <c r="G29" i="1"/>
  <c r="G31" i="1"/>
  <c r="G32" i="1"/>
  <c r="G33" i="1"/>
</calcChain>
</file>

<file path=xl/sharedStrings.xml><?xml version="1.0" encoding="utf-8"?>
<sst xmlns="http://schemas.openxmlformats.org/spreadsheetml/2006/main" count="110" uniqueCount="87">
  <si>
    <t xml:space="preserve">SAA Request for Quotation </t>
  </si>
  <si>
    <t>2026-R-051</t>
  </si>
  <si>
    <t>PRICING TABLE</t>
  </si>
  <si>
    <t xml:space="preserve">1) The U.S. Senate Office of the Sergeant at Arms (SAA) requests a quotation for the products or services specified below. THE ENTIRE REQUEST FOR QUOTATION (RFQ) CONSISTS OF THIS PRICING TABLE, INSTRUCTIONS &amp; SUBMISSION REQUIREMENTS, CONTRACT CLAUSES, AND ADDENDUM TO COMMERCIAL AGREEMENTS (IF APPLICABLE).
</t>
  </si>
  <si>
    <t xml:space="preserve">2) The Offeror shall provide a quotation for the products or services listed below on a Firm-Fixed-Price basis. Shipping shall be on a F.O.B. Destination basis, United States Senate, Washington, DC 20510, and Offeror shall identify separately any shipping/handling charges. 
</t>
  </si>
  <si>
    <t xml:space="preserve">3) Offeror shall state below if quotation is Open Market, or subject to a GSA Schedule/NASA SEWP/Other GWAC.
</t>
  </si>
  <si>
    <t xml:space="preserve">4) Price quotes shall be valid until 07/31/2026.
</t>
  </si>
  <si>
    <t>5) The SAA reserves the right to reject Offeror’s quotation if not compliant with the INSTRUCTIONS &amp; SUBMISSION REQUIREMENTS of this RFQ.</t>
  </si>
  <si>
    <t>All prices are shown in USD</t>
  </si>
  <si>
    <t>Line Item #</t>
  </si>
  <si>
    <t>Manufacturer / 
Part Number</t>
  </si>
  <si>
    <t>Description</t>
  </si>
  <si>
    <t>Unit of Measure</t>
  </si>
  <si>
    <t>Quantity</t>
  </si>
  <si>
    <t>Unit Price</t>
  </si>
  <si>
    <t>Total Price</t>
  </si>
  <si>
    <t xml:space="preserve">Date of Award - One Time Purchase "CISCO CATALYST 9000" </t>
  </si>
  <si>
    <t>0001</t>
  </si>
  <si>
    <t>C9200CX-8P-2X2G-E</t>
  </si>
  <si>
    <t>Catalyst 9000 Compact Switch 8 port PoE+, 240W, Essentials</t>
  </si>
  <si>
    <t>Each</t>
  </si>
  <si>
    <t>0002</t>
  </si>
  <si>
    <t>C9200CX-DNXE-8-3Y</t>
  </si>
  <si>
    <t>C9200CX Ess software subscription, 8P, 3Yr Lic</t>
  </si>
  <si>
    <t>0003</t>
  </si>
  <si>
    <t>C9200CX-NW-E-8</t>
  </si>
  <si>
    <t>C9200CX Network Essentials, 8-port license</t>
  </si>
  <si>
    <t>0004</t>
  </si>
  <si>
    <t>CAB-TA-NA</t>
  </si>
  <si>
    <t>North America AC Type A Power Cable</t>
  </si>
  <si>
    <t>0005</t>
  </si>
  <si>
    <t>SCAT9200CXUK9-1712</t>
  </si>
  <si>
    <t>Cisco Catalyst 9200CX XE 17.12 UNIVERSAL</t>
  </si>
  <si>
    <t>0006</t>
  </si>
  <si>
    <t>NETWORK-PNP-NONE</t>
  </si>
  <si>
    <t>Network Plug-n-Play Opt Out SKU</t>
  </si>
  <si>
    <t>0007</t>
  </si>
  <si>
    <t>SVS-DNXS-CATSUBEM</t>
  </si>
  <si>
    <t>Software support included in Catalyst software subscription</t>
  </si>
  <si>
    <t>0008</t>
  </si>
  <si>
    <t>SVS-DNXD-CATHWEM</t>
  </si>
  <si>
    <t>Product support included in Catalyst software subscription</t>
  </si>
  <si>
    <t>SUB-TOTAL</t>
  </si>
  <si>
    <t>Date of Award - One Time Purchase "CISCO CATALYST 9200"</t>
  </si>
  <si>
    <t>0009</t>
  </si>
  <si>
    <t>C9200-48P-E</t>
  </si>
  <si>
    <t>Cisco Catalyst 9200 Series 48-Port PoE+ Network Essentials Switch</t>
  </si>
  <si>
    <t>0010</t>
  </si>
  <si>
    <t>CON-L1NBD-C92048PE</t>
  </si>
  <si>
    <t>Cisco CX Success Tracks Level 1 8X5XNBD - Extended Service</t>
  </si>
  <si>
    <t>0011</t>
  </si>
  <si>
    <t>C9200-DNA-E-48</t>
  </si>
  <si>
    <t>Cisco DNA Essentials License for 48-Port Switch</t>
  </si>
  <si>
    <t>0012</t>
  </si>
  <si>
    <t>CON-L1SWT-C92E48</t>
  </si>
  <si>
    <t>Cisco Smart Net Total Care Support for DNA Essentials (C9200)</t>
  </si>
  <si>
    <t>0013</t>
  </si>
  <si>
    <t>C9200-DNA-E-48-3Y</t>
  </si>
  <si>
    <t>0014</t>
  </si>
  <si>
    <t>C9200-NW-E-48</t>
  </si>
  <si>
    <t>Cisco Network Essentials License for C9200 48-Port</t>
  </si>
  <si>
    <t>0015</t>
  </si>
  <si>
    <t>C9200-NM-4X</t>
  </si>
  <si>
    <t>Cisco Catalyst 9200 4x10G SFP+ Network Module</t>
  </si>
  <si>
    <t>0016</t>
  </si>
  <si>
    <t>PWR-C6-1KWAC/2</t>
  </si>
  <si>
    <t>Cisco Catalyst 9200 1000W AC Power Supply (Secondary)</t>
  </si>
  <si>
    <t>0017</t>
  </si>
  <si>
    <t>Cisco AC Power Cord – North America (CAB-TA)</t>
  </si>
  <si>
    <t>0018</t>
  </si>
  <si>
    <t>C9K-ACC-SCR-4</t>
  </si>
  <si>
    <t>Cisco Catalyst 9000 Series Accessory Screw Kit for Rack Installation</t>
  </si>
  <si>
    <t>0019</t>
  </si>
  <si>
    <t>NETWORK-PNP- LIC</t>
  </si>
  <si>
    <t>Cisco Network Plug and Play Connect License for Zero Touch Deployment</t>
  </si>
  <si>
    <t>0020</t>
  </si>
  <si>
    <t>GLC-LH-SMD=</t>
  </si>
  <si>
    <t>Cisco 1000BASE-LX/LH SFP Transceiver Module, LC Connector, DOM</t>
  </si>
  <si>
    <t>TOTAL</t>
  </si>
  <si>
    <t>MANDATORY VENDOR INFORMATION:</t>
  </si>
  <si>
    <t>Company Name:</t>
  </si>
  <si>
    <t>Open Market/GSA/NASA SEWP:</t>
  </si>
  <si>
    <t>TAX ID NO.:</t>
  </si>
  <si>
    <t>DUNS or Unique Entity Identifier :</t>
  </si>
  <si>
    <t>Signature:</t>
  </si>
  <si>
    <t xml:space="preserve">Printed Name/Title/Date: </t>
  </si>
  <si>
    <t>Pricing Table V1 | December 2020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</si>
</sst>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(&quot;$&quot;* #,##0.00_);_(&quot;$&quot;* \(#,##0.00\);_(&quot;$&quot;* &quot;-&quot;??_);_(@_)"/>
    <numFmt numFmtId="164" formatCode="\$#,##0.00"/>
    <numFmt numFmtId="165" formatCode="&quot;$&quot;#,##0.00"/>
    <numFmt numFmtId="166" formatCode="[$$-409]#,##0"/>
  </numFmts>
  <fonts count="21" x14ac:knownFonts="1">
    <font>
      <sz val="11"/>
      <color rgb="FF000000"/>
      <name val="Calibri"/>
      <family val="2"/>
      <charset val="1"/>
    </font>
    <font>
      <sz val="10"/>
      <name val="Arial"/>
      <family val="2"/>
      <charset val="1"/>
    </font>
    <font>
      <b/>
      <sz val="10"/>
      <name val="Arial"/>
      <family val="2"/>
    </font>
    <font>
      <sz val="11"/>
      <color rgb="FF000000"/>
      <name val="Calibri"/>
      <family val="2"/>
      <charset val="1"/>
    </font>
    <font>
      <sz val="10"/>
      <name val="Arial"/>
      <family val="2"/>
    </font>
    <font>
      <b/>
      <sz val="12"/>
      <color rgb="FF000000"/>
      <name val="Arial"/>
      <family val="2"/>
    </font>
    <font>
      <b/>
      <sz val="12"/>
      <name val="Arial"/>
      <family val="2"/>
    </font>
    <font>
      <sz val="10"/>
      <color rgb="FF000000"/>
      <name val="Arial"/>
      <family val="2"/>
    </font>
    <font>
      <sz val="11"/>
      <name val="Arial"/>
      <family val="2"/>
    </font>
    <font>
      <b/>
      <sz val="9"/>
      <name val="Arial"/>
      <family val="2"/>
    </font>
    <font>
      <b/>
      <i/>
      <sz val="12"/>
      <name val="Arial"/>
      <family val="2"/>
    </font>
    <font>
      <sz val="12"/>
      <name val="Arial"/>
      <family val="2"/>
    </font>
    <font>
      <sz val="11"/>
      <color rgb="FF000000"/>
      <name val="Arial"/>
      <family val="2"/>
    </font>
    <font>
      <sz val="10"/>
      <color rgb="FFC00000"/>
      <name val="Arial"/>
      <family val="2"/>
    </font>
    <font>
      <b/>
      <sz val="11"/>
      <color rgb="FFFF0000"/>
      <name val="Calibri"/>
      <family val="2"/>
      <charset val="1"/>
    </font>
    <font>
      <b/>
      <sz val="10"/>
      <color theme="1" tint="4.9989318521683403E-2"/>
      <name val="Arial"/>
      <family val="2"/>
    </font>
    <font>
      <sz val="10"/>
      <color theme="1" tint="4.9989318521683403E-2"/>
      <name val="Arial"/>
      <family val="2"/>
    </font>
    <font>
      <b/>
      <i/>
      <sz val="11"/>
      <name val="Arial"/>
      <family val="2"/>
    </font>
    <font>
      <b/>
      <sz val="11"/>
      <color rgb="FFFF0000"/>
      <name val="Calibri"/>
      <family val="2"/>
    </font>
    <font>
      <sz val="11"/>
      <color theme="0"/>
      <name val="Calibri"/>
      <family val="2"/>
      <charset val="1"/>
    </font>
    <font>
      <sz val="8"/>
      <name val="Calibri"/>
      <family val="2"/>
      <charset val="1"/>
    </font>
  </fonts>
  <fills count="10">
    <fill>
      <patternFill patternType="none"/>
    </fill>
    <fill>
      <patternFill patternType="gray125"/>
    </fill>
    <fill>
      <patternFill patternType="solid">
        <fgColor rgb="FFC0C0C0"/>
        <bgColor rgb="FFBFBFBF"/>
      </patternFill>
    </fill>
    <fill>
      <patternFill patternType="solid">
        <fgColor rgb="FFFFC000"/>
        <bgColor rgb="FFFF9900"/>
      </patternFill>
    </fill>
    <fill>
      <patternFill patternType="solid">
        <fgColor rgb="FFADB9CA"/>
        <bgColor rgb="FFBFBFBF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/>
        <bgColor rgb="FFC0C0C0"/>
      </patternFill>
    </fill>
    <fill>
      <patternFill patternType="solid">
        <fgColor rgb="FFFFC000"/>
        <bgColor indexed="64"/>
      </patternFill>
    </fill>
    <fill>
      <patternFill patternType="solid">
        <fgColor rgb="FFFFC000"/>
        <bgColor rgb="FFC0C0C0"/>
      </patternFill>
    </fill>
    <fill>
      <patternFill patternType="solid">
        <fgColor theme="0"/>
        <bgColor indexed="64"/>
      </patternFill>
    </fill>
  </fills>
  <borders count="35">
    <border>
      <left/>
      <right/>
      <top/>
      <bottom/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/>
      <bottom/>
      <diagonal/>
    </border>
    <border>
      <left style="thin">
        <color indexed="64"/>
      </left>
      <right/>
      <top style="medium">
        <color auto="1"/>
      </top>
      <bottom/>
      <diagonal/>
    </border>
    <border>
      <left style="thin">
        <color indexed="64"/>
      </left>
      <right style="medium">
        <color auto="1"/>
      </right>
      <top style="medium">
        <color auto="1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auto="1"/>
      </left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auto="1"/>
      </bottom>
      <diagonal/>
    </border>
    <border>
      <left style="medium">
        <color indexed="64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auto="1"/>
      </bottom>
      <diagonal/>
    </border>
  </borders>
  <cellStyleXfs count="6">
    <xf numFmtId="0" fontId="0" fillId="0" borderId="0"/>
    <xf numFmtId="0" fontId="1" fillId="0" borderId="0"/>
    <xf numFmtId="0" fontId="1" fillId="0" borderId="0"/>
    <xf numFmtId="0" fontId="1" fillId="0" borderId="0"/>
    <xf numFmtId="0" fontId="1" fillId="0" borderId="0"/>
    <xf numFmtId="44" fontId="3" fillId="0" borderId="0" applyFont="0" applyFill="0" applyBorder="0" applyAlignment="0" applyProtection="0"/>
  </cellStyleXfs>
  <cellXfs count="101">
    <xf numFmtId="0" fontId="0" fillId="0" borderId="0" xfId="0"/>
    <xf numFmtId="0" fontId="4" fillId="0" borderId="0" xfId="1" applyFont="1"/>
    <xf numFmtId="0" fontId="6" fillId="0" borderId="4" xfId="3" applyFont="1" applyBorder="1" applyAlignment="1">
      <alignment horizontal="center"/>
    </xf>
    <xf numFmtId="0" fontId="8" fillId="0" borderId="0" xfId="1" applyFont="1"/>
    <xf numFmtId="0" fontId="4" fillId="5" borderId="9" xfId="1" applyFont="1" applyFill="1" applyBorder="1"/>
    <xf numFmtId="0" fontId="4" fillId="5" borderId="11" xfId="1" applyFont="1" applyFill="1" applyBorder="1"/>
    <xf numFmtId="0" fontId="6" fillId="5" borderId="11" xfId="1" applyFont="1" applyFill="1" applyBorder="1" applyAlignment="1">
      <alignment horizontal="center" wrapText="1"/>
    </xf>
    <xf numFmtId="0" fontId="9" fillId="4" borderId="9" xfId="1" applyFont="1" applyFill="1" applyBorder="1" applyAlignment="1">
      <alignment horizontal="center" wrapText="1"/>
    </xf>
    <xf numFmtId="0" fontId="9" fillId="3" borderId="9" xfId="1" applyFont="1" applyFill="1" applyBorder="1" applyAlignment="1">
      <alignment horizontal="center" wrapText="1"/>
    </xf>
    <xf numFmtId="0" fontId="4" fillId="0" borderId="0" xfId="1" applyFont="1" applyAlignment="1">
      <alignment horizontal="center"/>
    </xf>
    <xf numFmtId="0" fontId="11" fillId="0" borderId="0" xfId="1" applyFont="1"/>
    <xf numFmtId="0" fontId="6" fillId="0" borderId="3" xfId="1" applyFont="1" applyBorder="1"/>
    <xf numFmtId="0" fontId="4" fillId="0" borderId="6" xfId="0" applyFont="1" applyBorder="1" applyAlignment="1">
      <alignment horizontal="left" wrapText="1"/>
    </xf>
    <xf numFmtId="0" fontId="4" fillId="0" borderId="2" xfId="0" applyFont="1" applyBorder="1" applyAlignment="1">
      <alignment horizontal="left" wrapText="1"/>
    </xf>
    <xf numFmtId="0" fontId="4" fillId="0" borderId="2" xfId="0" applyFont="1" applyBorder="1" applyAlignment="1">
      <alignment horizontal="center" wrapText="1"/>
    </xf>
    <xf numFmtId="0" fontId="5" fillId="0" borderId="2" xfId="2" applyFont="1" applyBorder="1" applyAlignment="1">
      <alignment horizontal="right"/>
    </xf>
    <xf numFmtId="0" fontId="11" fillId="0" borderId="1" xfId="1" applyFont="1" applyBorder="1"/>
    <xf numFmtId="0" fontId="12" fillId="0" borderId="0" xfId="0" applyFont="1"/>
    <xf numFmtId="0" fontId="4" fillId="5" borderId="21" xfId="1" applyFont="1" applyFill="1" applyBorder="1"/>
    <xf numFmtId="0" fontId="9" fillId="4" borderId="21" xfId="1" applyFont="1" applyFill="1" applyBorder="1" applyAlignment="1">
      <alignment horizontal="center" wrapText="1"/>
    </xf>
    <xf numFmtId="0" fontId="9" fillId="4" borderId="22" xfId="1" applyFont="1" applyFill="1" applyBorder="1" applyAlignment="1">
      <alignment horizontal="center" wrapText="1"/>
    </xf>
    <xf numFmtId="0" fontId="2" fillId="3" borderId="21" xfId="1" applyFont="1" applyFill="1" applyBorder="1" applyAlignment="1">
      <alignment horizontal="center" wrapText="1"/>
    </xf>
    <xf numFmtId="0" fontId="9" fillId="3" borderId="22" xfId="1" applyFont="1" applyFill="1" applyBorder="1" applyAlignment="1">
      <alignment horizontal="center" wrapText="1"/>
    </xf>
    <xf numFmtId="0" fontId="4" fillId="0" borderId="0" xfId="1" applyFont="1" applyAlignment="1">
      <alignment vertical="top"/>
    </xf>
    <xf numFmtId="49" fontId="2" fillId="7" borderId="25" xfId="4" applyNumberFormat="1" applyFont="1" applyFill="1" applyBorder="1" applyAlignment="1">
      <alignment horizontal="center"/>
    </xf>
    <xf numFmtId="166" fontId="12" fillId="7" borderId="9" xfId="2" applyNumberFormat="1" applyFont="1" applyFill="1" applyBorder="1" applyAlignment="1">
      <alignment horizontal="left" wrapText="1"/>
    </xf>
    <xf numFmtId="0" fontId="10" fillId="7" borderId="9" xfId="2" applyFont="1" applyFill="1" applyBorder="1" applyAlignment="1">
      <alignment horizontal="center" wrapText="1"/>
    </xf>
    <xf numFmtId="0" fontId="4" fillId="7" borderId="26" xfId="2" applyFont="1" applyFill="1" applyBorder="1" applyAlignment="1">
      <alignment horizontal="center" wrapText="1"/>
    </xf>
    <xf numFmtId="0" fontId="4" fillId="7" borderId="27" xfId="2" applyFont="1" applyFill="1" applyBorder="1" applyAlignment="1">
      <alignment horizontal="center" wrapText="1"/>
    </xf>
    <xf numFmtId="0" fontId="4" fillId="7" borderId="11" xfId="2" applyFont="1" applyFill="1" applyBorder="1" applyAlignment="1">
      <alignment horizontal="center" wrapText="1"/>
    </xf>
    <xf numFmtId="164" fontId="2" fillId="7" borderId="22" xfId="4" applyNumberFormat="1" applyFont="1" applyFill="1" applyBorder="1" applyAlignment="1">
      <alignment horizontal="center" wrapText="1"/>
    </xf>
    <xf numFmtId="0" fontId="11" fillId="6" borderId="25" xfId="4" applyFont="1" applyFill="1" applyBorder="1"/>
    <xf numFmtId="0" fontId="4" fillId="6" borderId="28" xfId="2" applyFont="1" applyFill="1" applyBorder="1" applyAlignment="1">
      <alignment horizontal="left" wrapText="1"/>
    </xf>
    <xf numFmtId="0" fontId="10" fillId="6" borderId="29" xfId="2" applyFont="1" applyFill="1" applyBorder="1" applyAlignment="1">
      <alignment horizontal="left"/>
    </xf>
    <xf numFmtId="0" fontId="10" fillId="6" borderId="30" xfId="2" applyFont="1" applyFill="1" applyBorder="1" applyAlignment="1">
      <alignment horizontal="left"/>
    </xf>
    <xf numFmtId="0" fontId="10" fillId="6" borderId="31" xfId="2" applyFont="1" applyFill="1" applyBorder="1" applyAlignment="1">
      <alignment horizontal="left"/>
    </xf>
    <xf numFmtId="165" fontId="11" fillId="6" borderId="32" xfId="5" applyNumberFormat="1" applyFont="1" applyFill="1" applyBorder="1"/>
    <xf numFmtId="0" fontId="11" fillId="8" borderId="33" xfId="4" applyFont="1" applyFill="1" applyBorder="1"/>
    <xf numFmtId="0" fontId="4" fillId="8" borderId="33" xfId="2" applyFont="1" applyFill="1" applyBorder="1" applyAlignment="1">
      <alignment horizontal="left" wrapText="1"/>
    </xf>
    <xf numFmtId="0" fontId="10" fillId="8" borderId="33" xfId="2" applyFont="1" applyFill="1" applyBorder="1" applyAlignment="1">
      <alignment horizontal="left"/>
    </xf>
    <xf numFmtId="165" fontId="11" fillId="8" borderId="34" xfId="5" applyNumberFormat="1" applyFont="1" applyFill="1" applyBorder="1"/>
    <xf numFmtId="49" fontId="2" fillId="0" borderId="25" xfId="4" applyNumberFormat="1" applyFont="1" applyBorder="1" applyAlignment="1">
      <alignment horizontal="center"/>
    </xf>
    <xf numFmtId="166" fontId="12" fillId="0" borderId="9" xfId="2" applyNumberFormat="1" applyFont="1" applyBorder="1" applyAlignment="1">
      <alignment horizontal="left" wrapText="1"/>
    </xf>
    <xf numFmtId="0" fontId="4" fillId="0" borderId="10" xfId="2" applyFont="1" applyBorder="1" applyAlignment="1">
      <alignment horizontal="left" wrapText="1"/>
    </xf>
    <xf numFmtId="164" fontId="11" fillId="0" borderId="22" xfId="4" applyNumberFormat="1" applyFont="1" applyBorder="1"/>
    <xf numFmtId="49" fontId="15" fillId="0" borderId="23" xfId="1" quotePrefix="1" applyNumberFormat="1" applyFont="1" applyBorder="1" applyAlignment="1">
      <alignment horizontal="left" vertical="center"/>
    </xf>
    <xf numFmtId="0" fontId="16" fillId="0" borderId="10" xfId="0" applyFont="1" applyBorder="1" applyAlignment="1">
      <alignment horizontal="left" vertical="center" wrapText="1"/>
    </xf>
    <xf numFmtId="0" fontId="16" fillId="0" borderId="10" xfId="0" applyFont="1" applyBorder="1" applyAlignment="1">
      <alignment horizontal="center" vertical="center" wrapText="1"/>
    </xf>
    <xf numFmtId="1" fontId="16" fillId="0" borderId="10" xfId="0" applyNumberFormat="1" applyFont="1" applyBorder="1" applyAlignment="1">
      <alignment horizontal="center" vertical="center" wrapText="1"/>
    </xf>
    <xf numFmtId="165" fontId="16" fillId="0" borderId="12" xfId="1" applyNumberFormat="1" applyFont="1" applyBorder="1" applyAlignment="1">
      <alignment horizontal="center" vertical="center"/>
    </xf>
    <xf numFmtId="164" fontId="16" fillId="0" borderId="24" xfId="1" applyNumberFormat="1" applyFont="1" applyBorder="1" applyAlignment="1">
      <alignment horizontal="right" vertical="center" wrapText="1"/>
    </xf>
    <xf numFmtId="0" fontId="17" fillId="3" borderId="9" xfId="1" applyFont="1" applyFill="1" applyBorder="1" applyAlignment="1">
      <alignment horizontal="center" wrapText="1"/>
    </xf>
    <xf numFmtId="0" fontId="2" fillId="3" borderId="21" xfId="1" applyFont="1" applyFill="1" applyBorder="1" applyAlignment="1">
      <alignment horizontal="center" vertical="center" wrapText="1"/>
    </xf>
    <xf numFmtId="0" fontId="9" fillId="3" borderId="9" xfId="1" applyFont="1" applyFill="1" applyBorder="1" applyAlignment="1">
      <alignment horizontal="center" vertical="center" wrapText="1"/>
    </xf>
    <xf numFmtId="0" fontId="17" fillId="3" borderId="9" xfId="1" applyFont="1" applyFill="1" applyBorder="1" applyAlignment="1">
      <alignment horizontal="center" vertical="center" wrapText="1"/>
    </xf>
    <xf numFmtId="0" fontId="9" fillId="3" borderId="22" xfId="1" applyFont="1" applyFill="1" applyBorder="1" applyAlignment="1">
      <alignment horizontal="center" vertical="center" wrapText="1"/>
    </xf>
    <xf numFmtId="0" fontId="0" fillId="0" borderId="0" xfId="0" applyAlignment="1">
      <alignment vertical="center"/>
    </xf>
    <xf numFmtId="0" fontId="4" fillId="0" borderId="0" xfId="1" applyFont="1" applyAlignment="1">
      <alignment horizontal="center" vertical="center"/>
    </xf>
    <xf numFmtId="0" fontId="0" fillId="9" borderId="0" xfId="0" applyFill="1"/>
    <xf numFmtId="0" fontId="19" fillId="9" borderId="0" xfId="0" applyFont="1" applyFill="1"/>
    <xf numFmtId="0" fontId="14" fillId="9" borderId="0" xfId="0" applyFont="1" applyFill="1"/>
    <xf numFmtId="0" fontId="18" fillId="9" borderId="0" xfId="0" applyFont="1" applyFill="1"/>
    <xf numFmtId="0" fontId="0" fillId="9" borderId="0" xfId="0" applyFill="1" applyAlignment="1">
      <alignment vertical="center"/>
    </xf>
    <xf numFmtId="0" fontId="4" fillId="0" borderId="4" xfId="1" applyFont="1" applyBorder="1" applyAlignment="1">
      <alignment horizontal="left"/>
    </xf>
    <xf numFmtId="0" fontId="11" fillId="2" borderId="6" xfId="2" applyFont="1" applyFill="1" applyBorder="1"/>
    <xf numFmtId="0" fontId="11" fillId="2" borderId="2" xfId="2" applyFont="1" applyFill="1" applyBorder="1"/>
    <xf numFmtId="0" fontId="11" fillId="2" borderId="1" xfId="2" applyFont="1" applyFill="1" applyBorder="1"/>
    <xf numFmtId="0" fontId="5" fillId="0" borderId="6" xfId="2" applyFont="1" applyBorder="1" applyAlignment="1">
      <alignment horizontal="left"/>
    </xf>
    <xf numFmtId="0" fontId="5" fillId="0" borderId="2" xfId="2" applyFont="1" applyBorder="1" applyAlignment="1">
      <alignment horizontal="left"/>
    </xf>
    <xf numFmtId="0" fontId="5" fillId="0" borderId="1" xfId="2" applyFont="1" applyBorder="1" applyAlignment="1">
      <alignment horizontal="left"/>
    </xf>
    <xf numFmtId="0" fontId="6" fillId="0" borderId="6" xfId="0" applyFont="1" applyBorder="1" applyAlignment="1">
      <alignment horizontal="left" wrapText="1"/>
    </xf>
    <xf numFmtId="0" fontId="6" fillId="0" borderId="2" xfId="0" applyFont="1" applyBorder="1" applyAlignment="1">
      <alignment horizontal="left" wrapText="1"/>
    </xf>
    <xf numFmtId="0" fontId="6" fillId="0" borderId="1" xfId="0" applyFont="1" applyBorder="1" applyAlignment="1">
      <alignment horizontal="left" wrapText="1"/>
    </xf>
    <xf numFmtId="0" fontId="5" fillId="0" borderId="6" xfId="2" applyFont="1" applyBorder="1"/>
    <xf numFmtId="0" fontId="5" fillId="0" borderId="2" xfId="2" applyFont="1" applyBorder="1"/>
    <xf numFmtId="0" fontId="5" fillId="0" borderId="1" xfId="2" applyFont="1" applyBorder="1"/>
    <xf numFmtId="164" fontId="10" fillId="0" borderId="26" xfId="4" applyNumberFormat="1" applyFont="1" applyBorder="1" applyAlignment="1">
      <alignment horizontal="left" wrapText="1"/>
    </xf>
    <xf numFmtId="164" fontId="10" fillId="0" borderId="27" xfId="4" applyNumberFormat="1" applyFont="1" applyBorder="1" applyAlignment="1">
      <alignment horizontal="left" wrapText="1"/>
    </xf>
    <xf numFmtId="164" fontId="10" fillId="0" borderId="11" xfId="4" applyNumberFormat="1" applyFont="1" applyBorder="1" applyAlignment="1">
      <alignment horizontal="left" wrapText="1"/>
    </xf>
    <xf numFmtId="0" fontId="5" fillId="0" borderId="4" xfId="3" applyFont="1" applyBorder="1" applyAlignment="1">
      <alignment horizontal="right"/>
    </xf>
    <xf numFmtId="0" fontId="5" fillId="0" borderId="17" xfId="3" applyFont="1" applyBorder="1" applyAlignment="1">
      <alignment horizontal="right"/>
    </xf>
    <xf numFmtId="0" fontId="4" fillId="0" borderId="21" xfId="3" applyFont="1" applyBorder="1" applyAlignment="1" applyProtection="1">
      <alignment vertical="top" wrapText="1"/>
      <protection locked="0"/>
    </xf>
    <xf numFmtId="0" fontId="13" fillId="0" borderId="9" xfId="3" applyFont="1" applyBorder="1" applyAlignment="1" applyProtection="1">
      <alignment vertical="top" wrapText="1"/>
      <protection locked="0"/>
    </xf>
    <xf numFmtId="0" fontId="13" fillId="0" borderId="22" xfId="3" applyFont="1" applyBorder="1" applyAlignment="1" applyProtection="1">
      <alignment vertical="top" wrapText="1"/>
      <protection locked="0"/>
    </xf>
    <xf numFmtId="0" fontId="5" fillId="0" borderId="5" xfId="3" applyFont="1" applyBorder="1" applyAlignment="1">
      <alignment horizontal="left"/>
    </xf>
    <xf numFmtId="0" fontId="5" fillId="0" borderId="15" xfId="3" applyFont="1" applyBorder="1" applyAlignment="1">
      <alignment horizontal="left"/>
    </xf>
    <xf numFmtId="0" fontId="5" fillId="0" borderId="14" xfId="3" applyFont="1" applyBorder="1" applyAlignment="1">
      <alignment horizontal="center"/>
    </xf>
    <xf numFmtId="0" fontId="5" fillId="0" borderId="18" xfId="3" applyFont="1" applyBorder="1" applyAlignment="1">
      <alignment horizontal="center"/>
    </xf>
    <xf numFmtId="0" fontId="7" fillId="0" borderId="20" xfId="2" applyFont="1" applyBorder="1" applyAlignment="1" applyProtection="1">
      <alignment vertical="top" wrapText="1"/>
      <protection locked="0"/>
    </xf>
    <xf numFmtId="0" fontId="7" fillId="0" borderId="13" xfId="2" applyFont="1" applyBorder="1" applyAlignment="1" applyProtection="1">
      <alignment vertical="top" wrapText="1"/>
      <protection locked="0"/>
    </xf>
    <xf numFmtId="0" fontId="7" fillId="0" borderId="16" xfId="2" applyFont="1" applyBorder="1" applyAlignment="1" applyProtection="1">
      <alignment vertical="top" wrapText="1"/>
      <protection locked="0"/>
    </xf>
    <xf numFmtId="0" fontId="4" fillId="0" borderId="21" xfId="2" applyFont="1" applyBorder="1" applyAlignment="1" applyProtection="1">
      <alignment vertical="top" wrapText="1"/>
      <protection locked="0"/>
    </xf>
    <xf numFmtId="0" fontId="4" fillId="0" borderId="9" xfId="2" applyFont="1" applyBorder="1" applyAlignment="1" applyProtection="1">
      <alignment vertical="top" wrapText="1"/>
      <protection locked="0"/>
    </xf>
    <xf numFmtId="0" fontId="4" fillId="0" borderId="22" xfId="2" applyFont="1" applyBorder="1" applyAlignment="1" applyProtection="1">
      <alignment vertical="top" wrapText="1"/>
      <protection locked="0"/>
    </xf>
    <xf numFmtId="0" fontId="9" fillId="5" borderId="9" xfId="1" applyFont="1" applyFill="1" applyBorder="1" applyAlignment="1">
      <alignment horizontal="center"/>
    </xf>
    <xf numFmtId="0" fontId="9" fillId="5" borderId="22" xfId="1" applyFont="1" applyFill="1" applyBorder="1" applyAlignment="1">
      <alignment horizontal="center"/>
    </xf>
    <xf numFmtId="0" fontId="4" fillId="0" borderId="9" xfId="3" applyFont="1" applyBorder="1" applyAlignment="1" applyProtection="1">
      <alignment vertical="top" wrapText="1"/>
      <protection locked="0"/>
    </xf>
    <xf numFmtId="0" fontId="4" fillId="0" borderId="22" xfId="3" applyFont="1" applyBorder="1" applyAlignment="1" applyProtection="1">
      <alignment vertical="top" wrapText="1"/>
      <protection locked="0"/>
    </xf>
    <xf numFmtId="0" fontId="5" fillId="0" borderId="19" xfId="3" applyFont="1" applyBorder="1" applyAlignment="1">
      <alignment horizontal="center"/>
    </xf>
    <xf numFmtId="0" fontId="5" fillId="0" borderId="8" xfId="3" applyFont="1" applyBorder="1" applyAlignment="1">
      <alignment horizontal="center"/>
    </xf>
    <xf numFmtId="0" fontId="5" fillId="0" borderId="7" xfId="3" applyFont="1" applyBorder="1" applyAlignment="1">
      <alignment horizontal="center"/>
    </xf>
  </cellXfs>
  <cellStyles count="6">
    <cellStyle name="Currency 2" xfId="5" xr:uid="{1C95B0A8-940C-493D-971C-918CAA4F7B43}"/>
    <cellStyle name="Normal" xfId="0" builtinId="0"/>
    <cellStyle name="Normal 10" xfId="3" xr:uid="{00000000-0005-0000-0000-000002000000}"/>
    <cellStyle name="Normal 2" xfId="1" xr:uid="{00000000-0005-0000-0000-000003000000}"/>
    <cellStyle name="Normal 2 2" xfId="2" xr:uid="{00000000-0005-0000-0000-000004000000}"/>
    <cellStyle name="Normal 2 2 2" xfId="4" xr:uid="{C582F14F-5CD2-4B1D-AEB0-9F561D0538D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LY46"/>
  <sheetViews>
    <sheetView showGridLines="0" tabSelected="1" zoomScaleNormal="100" workbookViewId="0">
      <selection activeCell="H18" sqref="H18"/>
    </sheetView>
  </sheetViews>
  <sheetFormatPr defaultColWidth="15.109375" defaultRowHeight="14.4" x14ac:dyDescent="0.3"/>
  <cols>
    <col min="1" max="1" width="8.44140625" style="1" customWidth="1"/>
    <col min="2" max="2" width="26.6640625" style="1" customWidth="1"/>
    <col min="3" max="3" width="80" style="1" customWidth="1"/>
    <col min="4" max="4" width="8.44140625" style="9" customWidth="1"/>
    <col min="5" max="5" width="8.44140625" style="1" customWidth="1"/>
    <col min="6" max="7" width="15.6640625" style="1" customWidth="1"/>
    <col min="8" max="22" width="15.109375" style="58"/>
    <col min="27" max="1013" width="15.109375" style="1"/>
    <col min="1014" max="16384" width="15.109375" style="17"/>
  </cols>
  <sheetData>
    <row r="1" spans="1:26" s="1" customFormat="1" ht="15.6" x14ac:dyDescent="0.3">
      <c r="A1" s="84" t="s">
        <v>0</v>
      </c>
      <c r="B1" s="85"/>
      <c r="C1" s="85"/>
      <c r="D1" s="2"/>
      <c r="E1" s="79" t="s">
        <v>1</v>
      </c>
      <c r="F1" s="79"/>
      <c r="G1" s="80"/>
      <c r="H1" s="58"/>
      <c r="I1" s="58"/>
      <c r="J1" s="58"/>
      <c r="K1" s="58"/>
      <c r="L1" s="58"/>
      <c r="M1" s="58"/>
      <c r="N1" s="58"/>
      <c r="O1" s="58"/>
      <c r="P1" s="58"/>
      <c r="Q1" s="58"/>
      <c r="R1" s="58"/>
      <c r="S1" s="58"/>
      <c r="T1" s="58"/>
      <c r="U1" s="58"/>
      <c r="V1" s="58"/>
      <c r="W1"/>
      <c r="X1"/>
      <c r="Y1"/>
      <c r="Z1"/>
    </row>
    <row r="2" spans="1:26" s="1" customFormat="1" ht="15.6" x14ac:dyDescent="0.3">
      <c r="A2" s="86" t="s">
        <v>2</v>
      </c>
      <c r="B2" s="86"/>
      <c r="C2" s="86"/>
      <c r="D2" s="86"/>
      <c r="E2" s="86"/>
      <c r="F2" s="86"/>
      <c r="G2" s="87"/>
      <c r="H2" s="58"/>
      <c r="I2" s="58"/>
      <c r="J2" s="58"/>
      <c r="K2" s="58"/>
      <c r="L2" s="58"/>
      <c r="M2" s="58"/>
      <c r="N2" s="58"/>
      <c r="O2" s="58"/>
      <c r="P2" s="58"/>
      <c r="Q2" s="58"/>
      <c r="R2" s="58"/>
      <c r="S2" s="58"/>
      <c r="T2" s="58"/>
      <c r="U2" s="58"/>
      <c r="V2" s="58"/>
      <c r="W2"/>
      <c r="X2"/>
      <c r="Y2"/>
      <c r="Z2"/>
    </row>
    <row r="3" spans="1:26" s="1" customFormat="1" ht="16.2" thickBot="1" x14ac:dyDescent="0.35">
      <c r="A3" s="98"/>
      <c r="B3" s="99"/>
      <c r="C3" s="99"/>
      <c r="D3" s="99"/>
      <c r="E3" s="99"/>
      <c r="F3" s="99"/>
      <c r="G3" s="100"/>
      <c r="H3" s="58"/>
      <c r="I3" s="58"/>
      <c r="J3" s="58"/>
      <c r="K3" s="58"/>
      <c r="L3" s="58"/>
      <c r="M3" s="58"/>
      <c r="N3" s="58"/>
      <c r="O3" s="58"/>
      <c r="P3" s="58"/>
      <c r="Q3" s="58"/>
      <c r="R3" s="58"/>
      <c r="S3" s="58"/>
      <c r="T3" s="58"/>
      <c r="U3" s="58"/>
      <c r="V3" s="58"/>
      <c r="W3"/>
      <c r="X3"/>
      <c r="Y3"/>
      <c r="Z3"/>
    </row>
    <row r="4" spans="1:26" s="3" customFormat="1" ht="37.5" customHeight="1" x14ac:dyDescent="0.3">
      <c r="A4" s="88" t="s">
        <v>3</v>
      </c>
      <c r="B4" s="89"/>
      <c r="C4" s="89"/>
      <c r="D4" s="89"/>
      <c r="E4" s="89"/>
      <c r="F4" s="89"/>
      <c r="G4" s="90"/>
      <c r="H4" s="58"/>
      <c r="I4" s="58"/>
      <c r="J4" s="58"/>
      <c r="K4" s="58"/>
      <c r="L4" s="58"/>
      <c r="M4" s="58"/>
      <c r="N4" s="58"/>
      <c r="O4" s="58"/>
      <c r="P4" s="58"/>
      <c r="Q4" s="58"/>
      <c r="R4" s="58"/>
      <c r="S4" s="58"/>
      <c r="T4" s="58"/>
      <c r="U4" s="58"/>
      <c r="V4" s="58"/>
      <c r="W4"/>
      <c r="X4"/>
      <c r="Y4"/>
      <c r="Z4"/>
    </row>
    <row r="5" spans="1:26" s="1" customFormat="1" ht="36" customHeight="1" x14ac:dyDescent="0.3">
      <c r="A5" s="91" t="s">
        <v>4</v>
      </c>
      <c r="B5" s="92"/>
      <c r="C5" s="92"/>
      <c r="D5" s="92"/>
      <c r="E5" s="92"/>
      <c r="F5" s="92"/>
      <c r="G5" s="93"/>
      <c r="H5" s="58"/>
      <c r="I5" s="58"/>
      <c r="J5" s="58"/>
      <c r="K5" s="58"/>
      <c r="L5" s="58"/>
      <c r="M5" s="58"/>
      <c r="N5" s="58"/>
      <c r="O5" s="58"/>
      <c r="P5" s="58"/>
      <c r="Q5" s="58"/>
      <c r="R5" s="58"/>
      <c r="S5" s="58"/>
      <c r="T5" s="58"/>
      <c r="U5" s="58"/>
      <c r="V5" s="58"/>
      <c r="W5"/>
      <c r="X5"/>
      <c r="Y5"/>
      <c r="Z5"/>
    </row>
    <row r="6" spans="1:26" s="1" customFormat="1" ht="21" customHeight="1" x14ac:dyDescent="0.3">
      <c r="A6" s="81" t="s">
        <v>5</v>
      </c>
      <c r="B6" s="96"/>
      <c r="C6" s="96"/>
      <c r="D6" s="96"/>
      <c r="E6" s="96"/>
      <c r="F6" s="96"/>
      <c r="G6" s="97"/>
      <c r="H6" s="58"/>
      <c r="I6" s="58"/>
      <c r="J6" s="58"/>
      <c r="K6" s="58"/>
      <c r="L6" s="58"/>
      <c r="M6" s="58"/>
      <c r="N6" s="58"/>
      <c r="O6" s="58"/>
      <c r="P6" s="58"/>
      <c r="Q6" s="58"/>
      <c r="R6" s="58"/>
      <c r="S6" s="58"/>
      <c r="T6" s="58"/>
      <c r="U6" s="58"/>
      <c r="V6" s="58"/>
      <c r="W6"/>
      <c r="X6"/>
      <c r="Y6"/>
      <c r="Z6"/>
    </row>
    <row r="7" spans="1:26" s="23" customFormat="1" ht="21" customHeight="1" x14ac:dyDescent="0.3">
      <c r="A7" s="81" t="s">
        <v>6</v>
      </c>
      <c r="B7" s="82"/>
      <c r="C7" s="82"/>
      <c r="D7" s="82"/>
      <c r="E7" s="82"/>
      <c r="F7" s="82"/>
      <c r="G7" s="83"/>
      <c r="H7" s="59"/>
      <c r="I7" s="59"/>
      <c r="J7" s="58"/>
      <c r="K7" s="58"/>
      <c r="L7" s="58"/>
      <c r="M7" s="58"/>
      <c r="N7" s="58"/>
      <c r="O7" s="58"/>
      <c r="P7" s="58"/>
      <c r="Q7" s="58"/>
      <c r="R7" s="58"/>
      <c r="S7" s="58"/>
      <c r="T7" s="58"/>
      <c r="U7" s="58"/>
      <c r="V7" s="58"/>
      <c r="W7"/>
      <c r="X7"/>
      <c r="Y7"/>
      <c r="Z7"/>
    </row>
    <row r="8" spans="1:26" s="1" customFormat="1" ht="21" customHeight="1" x14ac:dyDescent="0.3">
      <c r="A8" s="91" t="s">
        <v>7</v>
      </c>
      <c r="B8" s="92"/>
      <c r="C8" s="92"/>
      <c r="D8" s="92"/>
      <c r="E8" s="92"/>
      <c r="F8" s="92"/>
      <c r="G8" s="93"/>
      <c r="H8" s="58"/>
      <c r="I8" s="58"/>
      <c r="J8" s="58"/>
      <c r="K8" s="58"/>
      <c r="L8" s="58"/>
      <c r="M8" s="58"/>
      <c r="N8" s="58"/>
      <c r="O8" s="58"/>
      <c r="P8" s="58"/>
      <c r="Q8" s="58"/>
      <c r="R8" s="58"/>
      <c r="S8" s="58"/>
      <c r="T8" s="58"/>
      <c r="U8" s="58"/>
      <c r="V8" s="58"/>
      <c r="W8"/>
      <c r="X8"/>
      <c r="Y8"/>
      <c r="Z8"/>
    </row>
    <row r="9" spans="1:26" s="1" customFormat="1" ht="15.6" x14ac:dyDescent="0.3">
      <c r="A9" s="18"/>
      <c r="B9" s="5"/>
      <c r="C9" s="6"/>
      <c r="D9" s="6"/>
      <c r="E9" s="4"/>
      <c r="F9" s="94" t="s">
        <v>8</v>
      </c>
      <c r="G9" s="95"/>
      <c r="H9" s="58"/>
      <c r="I9" s="58"/>
      <c r="J9" s="58"/>
      <c r="K9" s="58"/>
      <c r="L9" s="58"/>
      <c r="M9" s="58"/>
      <c r="N9" s="58"/>
      <c r="O9" s="58"/>
      <c r="P9" s="58"/>
      <c r="Q9" s="58"/>
      <c r="R9" s="58"/>
      <c r="S9" s="58"/>
      <c r="T9" s="58"/>
      <c r="U9" s="58"/>
      <c r="V9" s="58"/>
      <c r="W9"/>
      <c r="X9"/>
      <c r="Y9"/>
      <c r="Z9"/>
    </row>
    <row r="10" spans="1:26" s="1" customFormat="1" ht="24.6" x14ac:dyDescent="0.3">
      <c r="A10" s="19" t="s">
        <v>9</v>
      </c>
      <c r="B10" s="7" t="s">
        <v>10</v>
      </c>
      <c r="C10" s="7" t="s">
        <v>11</v>
      </c>
      <c r="D10" s="7" t="s">
        <v>12</v>
      </c>
      <c r="E10" s="7" t="s">
        <v>13</v>
      </c>
      <c r="F10" s="7" t="s">
        <v>14</v>
      </c>
      <c r="G10" s="20" t="s">
        <v>15</v>
      </c>
      <c r="H10" s="60"/>
      <c r="I10" s="60"/>
      <c r="J10" s="60"/>
      <c r="K10" s="60"/>
      <c r="L10" s="60"/>
      <c r="M10" s="60"/>
      <c r="N10" s="60"/>
      <c r="O10" s="58"/>
      <c r="P10" s="58"/>
      <c r="Q10" s="58"/>
      <c r="R10" s="58"/>
      <c r="S10" s="58"/>
      <c r="T10" s="58"/>
      <c r="U10" s="58"/>
      <c r="V10" s="58"/>
      <c r="W10"/>
      <c r="X10"/>
      <c r="Y10"/>
      <c r="Z10"/>
    </row>
    <row r="11" spans="1:26" s="1" customFormat="1" x14ac:dyDescent="0.3">
      <c r="A11" s="21"/>
      <c r="B11" s="8"/>
      <c r="C11" s="51" t="s">
        <v>16</v>
      </c>
      <c r="D11" s="8"/>
      <c r="E11" s="8"/>
      <c r="F11" s="8"/>
      <c r="G11" s="22"/>
      <c r="H11" s="60"/>
      <c r="I11" s="60"/>
      <c r="J11" s="58"/>
      <c r="K11" s="58"/>
      <c r="L11" s="58"/>
      <c r="M11" s="58"/>
      <c r="N11" s="58"/>
      <c r="O11" s="58"/>
      <c r="P11" s="58"/>
      <c r="Q11" s="58"/>
      <c r="R11" s="58"/>
      <c r="S11" s="58"/>
      <c r="T11" s="58"/>
      <c r="U11" s="58"/>
      <c r="V11" s="58"/>
      <c r="W11"/>
      <c r="X11"/>
      <c r="Y11"/>
      <c r="Z11"/>
    </row>
    <row r="12" spans="1:26" s="9" customFormat="1" ht="15.75" customHeight="1" x14ac:dyDescent="0.3">
      <c r="A12" s="45" t="s">
        <v>17</v>
      </c>
      <c r="B12" s="46" t="s">
        <v>18</v>
      </c>
      <c r="C12" s="46" t="s">
        <v>19</v>
      </c>
      <c r="D12" s="47" t="s">
        <v>20</v>
      </c>
      <c r="E12" s="48">
        <v>30</v>
      </c>
      <c r="F12" s="49"/>
      <c r="G12" s="50">
        <f>E12*F12</f>
        <v>0</v>
      </c>
      <c r="H12" s="61"/>
      <c r="I12" s="61"/>
      <c r="J12" s="61"/>
      <c r="K12" s="61"/>
      <c r="L12" s="61"/>
      <c r="M12" s="61"/>
      <c r="N12" s="61"/>
      <c r="O12" s="61"/>
      <c r="P12" s="61"/>
      <c r="Q12" s="61"/>
      <c r="R12" s="58"/>
      <c r="S12" s="58"/>
      <c r="T12" s="58"/>
      <c r="U12" s="58"/>
      <c r="V12" s="58"/>
      <c r="W12"/>
      <c r="X12"/>
      <c r="Y12"/>
      <c r="Z12"/>
    </row>
    <row r="13" spans="1:26" s="9" customFormat="1" ht="15.75" customHeight="1" x14ac:dyDescent="0.3">
      <c r="A13" s="45" t="s">
        <v>21</v>
      </c>
      <c r="B13" s="46" t="s">
        <v>22</v>
      </c>
      <c r="C13" s="46" t="s">
        <v>23</v>
      </c>
      <c r="D13" s="47" t="s">
        <v>20</v>
      </c>
      <c r="E13" s="48">
        <v>30</v>
      </c>
      <c r="F13" s="49"/>
      <c r="G13" s="50">
        <f t="shared" ref="G12:G19" si="0">E13*F13</f>
        <v>0</v>
      </c>
      <c r="H13" s="58"/>
      <c r="I13" s="58"/>
      <c r="J13" s="58"/>
      <c r="K13" s="58"/>
      <c r="L13" s="58"/>
      <c r="M13" s="58"/>
      <c r="N13" s="58"/>
      <c r="O13" s="58"/>
      <c r="P13" s="58"/>
      <c r="Q13" s="58"/>
      <c r="R13" s="58"/>
      <c r="S13" s="58"/>
      <c r="T13" s="58"/>
      <c r="U13" s="58"/>
      <c r="V13" s="58"/>
      <c r="W13"/>
      <c r="X13"/>
      <c r="Y13"/>
      <c r="Z13"/>
    </row>
    <row r="14" spans="1:26" s="9" customFormat="1" ht="15.75" customHeight="1" x14ac:dyDescent="0.3">
      <c r="A14" s="45" t="s">
        <v>24</v>
      </c>
      <c r="B14" s="46" t="s">
        <v>25</v>
      </c>
      <c r="C14" s="46" t="s">
        <v>26</v>
      </c>
      <c r="D14" s="47" t="s">
        <v>20</v>
      </c>
      <c r="E14" s="48">
        <v>30</v>
      </c>
      <c r="F14" s="49"/>
      <c r="G14" s="50">
        <f t="shared" si="0"/>
        <v>0</v>
      </c>
      <c r="H14" s="58"/>
      <c r="I14" s="58"/>
      <c r="J14" s="58"/>
      <c r="K14" s="58"/>
      <c r="L14" s="58"/>
      <c r="M14" s="58"/>
      <c r="N14" s="58"/>
      <c r="O14" s="58"/>
      <c r="P14" s="58"/>
      <c r="Q14" s="58"/>
      <c r="R14" s="58"/>
      <c r="S14" s="58"/>
      <c r="T14" s="58"/>
      <c r="U14" s="58"/>
      <c r="V14" s="58"/>
      <c r="W14"/>
      <c r="X14"/>
      <c r="Y14"/>
      <c r="Z14"/>
    </row>
    <row r="15" spans="1:26" s="9" customFormat="1" ht="15.75" customHeight="1" x14ac:dyDescent="0.3">
      <c r="A15" s="45" t="s">
        <v>27</v>
      </c>
      <c r="B15" s="46" t="s">
        <v>28</v>
      </c>
      <c r="C15" s="46" t="s">
        <v>29</v>
      </c>
      <c r="D15" s="47" t="s">
        <v>20</v>
      </c>
      <c r="E15" s="48">
        <v>30</v>
      </c>
      <c r="F15" s="49"/>
      <c r="G15" s="50">
        <f t="shared" si="0"/>
        <v>0</v>
      </c>
      <c r="H15" s="58"/>
      <c r="I15" s="58"/>
      <c r="J15" s="58"/>
      <c r="K15" s="58"/>
      <c r="L15" s="58"/>
      <c r="M15" s="58"/>
      <c r="N15" s="58"/>
      <c r="O15" s="58"/>
      <c r="P15" s="58"/>
      <c r="Q15" s="58"/>
      <c r="R15" s="58"/>
      <c r="S15" s="58"/>
      <c r="T15" s="58"/>
      <c r="U15" s="58"/>
      <c r="V15" s="58"/>
      <c r="W15"/>
      <c r="X15"/>
      <c r="Y15"/>
      <c r="Z15"/>
    </row>
    <row r="16" spans="1:26" s="9" customFormat="1" ht="15.75" customHeight="1" x14ac:dyDescent="0.3">
      <c r="A16" s="45" t="s">
        <v>30</v>
      </c>
      <c r="B16" s="46" t="s">
        <v>31</v>
      </c>
      <c r="C16" s="46" t="s">
        <v>32</v>
      </c>
      <c r="D16" s="47" t="s">
        <v>20</v>
      </c>
      <c r="E16" s="48">
        <v>30</v>
      </c>
      <c r="F16" s="49"/>
      <c r="G16" s="50">
        <f t="shared" si="0"/>
        <v>0</v>
      </c>
      <c r="H16" s="58"/>
      <c r="I16" s="58"/>
      <c r="J16" s="58"/>
      <c r="K16" s="58"/>
      <c r="L16" s="58"/>
      <c r="M16" s="58"/>
      <c r="N16" s="58"/>
      <c r="O16" s="58"/>
      <c r="P16" s="58"/>
      <c r="Q16" s="58"/>
      <c r="R16" s="58"/>
      <c r="S16" s="58"/>
      <c r="T16" s="58"/>
      <c r="U16" s="58"/>
      <c r="V16" s="58"/>
      <c r="W16"/>
      <c r="X16"/>
      <c r="Y16"/>
      <c r="Z16"/>
    </row>
    <row r="17" spans="1:26" s="9" customFormat="1" ht="15.75" customHeight="1" x14ac:dyDescent="0.3">
      <c r="A17" s="45" t="s">
        <v>33</v>
      </c>
      <c r="B17" s="46" t="s">
        <v>34</v>
      </c>
      <c r="C17" s="46" t="s">
        <v>35</v>
      </c>
      <c r="D17" s="47" t="s">
        <v>20</v>
      </c>
      <c r="E17" s="48">
        <v>30</v>
      </c>
      <c r="F17" s="49"/>
      <c r="G17" s="50">
        <f t="shared" si="0"/>
        <v>0</v>
      </c>
      <c r="H17" s="58"/>
      <c r="I17" s="58"/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/>
      <c r="X17"/>
      <c r="Y17"/>
      <c r="Z17"/>
    </row>
    <row r="18" spans="1:26" s="9" customFormat="1" ht="15.75" customHeight="1" x14ac:dyDescent="0.3">
      <c r="A18" s="45" t="s">
        <v>36</v>
      </c>
      <c r="B18" s="46" t="s">
        <v>37</v>
      </c>
      <c r="C18" s="46" t="s">
        <v>38</v>
      </c>
      <c r="D18" s="47" t="s">
        <v>20</v>
      </c>
      <c r="E18" s="48">
        <v>30</v>
      </c>
      <c r="F18" s="49"/>
      <c r="G18" s="50">
        <f t="shared" si="0"/>
        <v>0</v>
      </c>
      <c r="H18" s="58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/>
      <c r="X18"/>
      <c r="Y18"/>
      <c r="Z18"/>
    </row>
    <row r="19" spans="1:26" s="9" customFormat="1" ht="15.75" customHeight="1" x14ac:dyDescent="0.3">
      <c r="A19" s="45" t="s">
        <v>39</v>
      </c>
      <c r="B19" s="46" t="s">
        <v>40</v>
      </c>
      <c r="C19" s="46" t="s">
        <v>41</v>
      </c>
      <c r="D19" s="47" t="s">
        <v>20</v>
      </c>
      <c r="E19" s="48">
        <v>30</v>
      </c>
      <c r="F19" s="49"/>
      <c r="G19" s="50">
        <f t="shared" si="0"/>
        <v>0</v>
      </c>
      <c r="H19" s="58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/>
      <c r="X19"/>
      <c r="Y19"/>
      <c r="Z19"/>
    </row>
    <row r="20" spans="1:26" s="9" customFormat="1" ht="15.75" customHeight="1" x14ac:dyDescent="0.3">
      <c r="A20" s="41"/>
      <c r="B20" s="42"/>
      <c r="C20" s="43"/>
      <c r="D20" s="76" t="s">
        <v>42</v>
      </c>
      <c r="E20" s="77"/>
      <c r="F20" s="78"/>
      <c r="G20" s="44">
        <f>SUM(G12:G19)</f>
        <v>0</v>
      </c>
      <c r="H20" s="58"/>
      <c r="I20" s="58"/>
      <c r="J20" s="58"/>
      <c r="K20" s="58"/>
      <c r="L20" s="58"/>
      <c r="M20" s="58"/>
      <c r="N20" s="58"/>
      <c r="O20" s="58"/>
      <c r="P20" s="58"/>
      <c r="Q20" s="58"/>
      <c r="R20" s="58"/>
      <c r="S20" s="58"/>
      <c r="T20" s="58"/>
      <c r="U20" s="58"/>
      <c r="V20" s="58"/>
      <c r="W20"/>
      <c r="X20"/>
      <c r="Y20"/>
      <c r="Z20"/>
    </row>
    <row r="21" spans="1:26" s="57" customFormat="1" x14ac:dyDescent="0.3">
      <c r="A21" s="52"/>
      <c r="B21" s="53"/>
      <c r="C21" s="54" t="s">
        <v>43</v>
      </c>
      <c r="D21" s="53"/>
      <c r="E21" s="53"/>
      <c r="F21" s="53"/>
      <c r="G21" s="55"/>
      <c r="H21" s="62"/>
      <c r="I21" s="62"/>
      <c r="J21" s="62"/>
      <c r="K21" s="62"/>
      <c r="L21" s="62"/>
      <c r="M21" s="62"/>
      <c r="N21" s="62"/>
      <c r="O21" s="62"/>
      <c r="P21" s="62"/>
      <c r="Q21" s="62"/>
      <c r="R21" s="62"/>
      <c r="S21" s="62"/>
      <c r="T21" s="62"/>
      <c r="U21" s="62"/>
      <c r="V21" s="62"/>
      <c r="W21" s="56"/>
      <c r="X21" s="56"/>
      <c r="Y21" s="56"/>
      <c r="Z21" s="56"/>
    </row>
    <row r="22" spans="1:26" s="9" customFormat="1" ht="15.75" customHeight="1" x14ac:dyDescent="0.3">
      <c r="A22" s="45" t="s">
        <v>44</v>
      </c>
      <c r="B22" s="46" t="s">
        <v>45</v>
      </c>
      <c r="C22" s="46" t="s">
        <v>46</v>
      </c>
      <c r="D22" s="47" t="s">
        <v>20</v>
      </c>
      <c r="E22" s="48">
        <v>9</v>
      </c>
      <c r="F22" s="49"/>
      <c r="G22" s="50">
        <f t="shared" ref="G22:G33" si="1">E22*F22</f>
        <v>0</v>
      </c>
      <c r="H22" s="58"/>
      <c r="I22" s="58"/>
      <c r="J22" s="58"/>
      <c r="K22" s="58"/>
      <c r="L22" s="58"/>
      <c r="M22" s="58"/>
      <c r="N22" s="58"/>
      <c r="O22" s="58"/>
      <c r="P22" s="58"/>
      <c r="Q22" s="58"/>
      <c r="R22" s="58"/>
      <c r="S22" s="58"/>
      <c r="T22" s="58"/>
      <c r="U22" s="58"/>
      <c r="V22" s="58"/>
      <c r="W22"/>
      <c r="X22"/>
      <c r="Y22"/>
      <c r="Z22"/>
    </row>
    <row r="23" spans="1:26" s="9" customFormat="1" ht="15.75" customHeight="1" x14ac:dyDescent="0.3">
      <c r="A23" s="45" t="s">
        <v>47</v>
      </c>
      <c r="B23" s="46" t="s">
        <v>48</v>
      </c>
      <c r="C23" s="46" t="s">
        <v>49</v>
      </c>
      <c r="D23" s="47" t="s">
        <v>20</v>
      </c>
      <c r="E23" s="48">
        <v>9</v>
      </c>
      <c r="F23" s="49"/>
      <c r="G23" s="50">
        <f t="shared" si="1"/>
        <v>0</v>
      </c>
      <c r="H23" s="58"/>
      <c r="I23" s="58"/>
      <c r="J23" s="58"/>
      <c r="K23" s="58"/>
      <c r="L23" s="58"/>
      <c r="M23" s="58"/>
      <c r="N23" s="58"/>
      <c r="O23" s="58"/>
      <c r="P23" s="58"/>
      <c r="Q23" s="58"/>
      <c r="R23" s="58"/>
      <c r="S23" s="58"/>
      <c r="T23" s="58"/>
      <c r="U23" s="58"/>
      <c r="V23" s="58"/>
      <c r="W23"/>
      <c r="X23"/>
      <c r="Y23"/>
      <c r="Z23"/>
    </row>
    <row r="24" spans="1:26" s="9" customFormat="1" ht="15.75" customHeight="1" x14ac:dyDescent="0.3">
      <c r="A24" s="45" t="s">
        <v>50</v>
      </c>
      <c r="B24" s="46" t="s">
        <v>51</v>
      </c>
      <c r="C24" s="46" t="s">
        <v>52</v>
      </c>
      <c r="D24" s="47" t="s">
        <v>20</v>
      </c>
      <c r="E24" s="48">
        <v>9</v>
      </c>
      <c r="F24" s="49"/>
      <c r="G24" s="50">
        <f t="shared" si="1"/>
        <v>0</v>
      </c>
      <c r="H24" s="58"/>
      <c r="I24" s="58"/>
      <c r="J24" s="58"/>
      <c r="K24" s="58"/>
      <c r="L24" s="58"/>
      <c r="M24" s="58"/>
      <c r="N24" s="58"/>
      <c r="O24" s="58"/>
      <c r="P24" s="58"/>
      <c r="Q24" s="58"/>
      <c r="R24" s="58"/>
      <c r="S24" s="58"/>
      <c r="T24" s="58"/>
      <c r="U24" s="58"/>
      <c r="V24" s="58"/>
      <c r="W24"/>
      <c r="X24"/>
      <c r="Y24"/>
      <c r="Z24"/>
    </row>
    <row r="25" spans="1:26" s="9" customFormat="1" ht="15.75" customHeight="1" x14ac:dyDescent="0.3">
      <c r="A25" s="45" t="s">
        <v>53</v>
      </c>
      <c r="B25" s="46" t="s">
        <v>54</v>
      </c>
      <c r="C25" s="46" t="s">
        <v>55</v>
      </c>
      <c r="D25" s="47" t="s">
        <v>20</v>
      </c>
      <c r="E25" s="48">
        <v>9</v>
      </c>
      <c r="F25" s="49"/>
      <c r="G25" s="50">
        <f t="shared" si="1"/>
        <v>0</v>
      </c>
      <c r="H25" s="58"/>
      <c r="I25" s="58"/>
      <c r="J25" s="58"/>
      <c r="K25" s="58"/>
      <c r="L25" s="58"/>
      <c r="M25" s="58"/>
      <c r="N25" s="58"/>
      <c r="O25" s="58"/>
      <c r="P25" s="58"/>
      <c r="Q25" s="58"/>
      <c r="R25" s="58"/>
      <c r="S25" s="58"/>
      <c r="T25" s="58"/>
      <c r="U25" s="58"/>
      <c r="V25" s="58"/>
      <c r="W25"/>
      <c r="X25"/>
      <c r="Y25"/>
      <c r="Z25"/>
    </row>
    <row r="26" spans="1:26" s="9" customFormat="1" ht="15.75" customHeight="1" x14ac:dyDescent="0.3">
      <c r="A26" s="45" t="s">
        <v>56</v>
      </c>
      <c r="B26" s="46" t="s">
        <v>57</v>
      </c>
      <c r="C26" s="46" t="s">
        <v>52</v>
      </c>
      <c r="D26" s="47" t="s">
        <v>20</v>
      </c>
      <c r="E26" s="48">
        <v>9</v>
      </c>
      <c r="F26" s="49"/>
      <c r="G26" s="50">
        <f t="shared" si="1"/>
        <v>0</v>
      </c>
      <c r="H26" s="58"/>
      <c r="I26" s="58"/>
      <c r="J26" s="58"/>
      <c r="K26" s="58"/>
      <c r="L26" s="58"/>
      <c r="M26" s="58"/>
      <c r="N26" s="58"/>
      <c r="O26" s="58"/>
      <c r="P26" s="58"/>
      <c r="Q26" s="58"/>
      <c r="R26" s="58"/>
      <c r="S26" s="58"/>
      <c r="T26" s="58"/>
      <c r="U26" s="58"/>
      <c r="V26" s="58"/>
      <c r="W26"/>
      <c r="X26"/>
      <c r="Y26"/>
      <c r="Z26"/>
    </row>
    <row r="27" spans="1:26" s="9" customFormat="1" ht="15.75" customHeight="1" x14ac:dyDescent="0.3">
      <c r="A27" s="45" t="s">
        <v>58</v>
      </c>
      <c r="B27" s="46" t="s">
        <v>59</v>
      </c>
      <c r="C27" s="46" t="s">
        <v>60</v>
      </c>
      <c r="D27" s="47" t="s">
        <v>20</v>
      </c>
      <c r="E27" s="48">
        <v>9</v>
      </c>
      <c r="F27" s="49"/>
      <c r="G27" s="50">
        <f t="shared" si="1"/>
        <v>0</v>
      </c>
      <c r="H27" s="58"/>
      <c r="I27" s="58"/>
      <c r="J27" s="58"/>
      <c r="K27" s="58"/>
      <c r="L27" s="58"/>
      <c r="M27" s="58"/>
      <c r="N27" s="58"/>
      <c r="O27" s="58"/>
      <c r="P27" s="58"/>
      <c r="Q27" s="58"/>
      <c r="R27" s="58"/>
      <c r="S27" s="58"/>
      <c r="T27" s="58"/>
      <c r="U27" s="58"/>
      <c r="V27" s="58"/>
      <c r="W27"/>
      <c r="X27"/>
      <c r="Y27"/>
      <c r="Z27"/>
    </row>
    <row r="28" spans="1:26" s="9" customFormat="1" ht="15.75" customHeight="1" x14ac:dyDescent="0.3">
      <c r="A28" s="45" t="s">
        <v>61</v>
      </c>
      <c r="B28" s="46" t="s">
        <v>62</v>
      </c>
      <c r="C28" s="46" t="s">
        <v>63</v>
      </c>
      <c r="D28" s="47" t="s">
        <v>20</v>
      </c>
      <c r="E28" s="48">
        <v>9</v>
      </c>
      <c r="F28" s="49"/>
      <c r="G28" s="50">
        <f t="shared" si="1"/>
        <v>0</v>
      </c>
      <c r="H28" s="58"/>
      <c r="I28" s="58"/>
      <c r="J28" s="58"/>
      <c r="K28" s="58"/>
      <c r="L28" s="58"/>
      <c r="M28" s="58"/>
      <c r="N28" s="58"/>
      <c r="O28" s="58"/>
      <c r="P28" s="58"/>
      <c r="Q28" s="58"/>
      <c r="R28" s="58"/>
      <c r="S28" s="58"/>
      <c r="T28" s="58"/>
      <c r="U28" s="58"/>
      <c r="V28" s="58"/>
      <c r="W28"/>
      <c r="X28"/>
      <c r="Y28"/>
      <c r="Z28"/>
    </row>
    <row r="29" spans="1:26" s="9" customFormat="1" ht="15.75" customHeight="1" x14ac:dyDescent="0.3">
      <c r="A29" s="45" t="s">
        <v>64</v>
      </c>
      <c r="B29" s="46" t="s">
        <v>65</v>
      </c>
      <c r="C29" s="46" t="s">
        <v>66</v>
      </c>
      <c r="D29" s="47" t="s">
        <v>20</v>
      </c>
      <c r="E29" s="48">
        <v>9</v>
      </c>
      <c r="F29" s="49"/>
      <c r="G29" s="50">
        <f t="shared" si="1"/>
        <v>0</v>
      </c>
      <c r="H29" s="58"/>
      <c r="I29" s="58"/>
      <c r="J29" s="58"/>
      <c r="K29" s="58"/>
      <c r="L29" s="58"/>
      <c r="M29" s="58"/>
      <c r="N29" s="58"/>
      <c r="O29" s="58"/>
      <c r="P29" s="58"/>
      <c r="Q29" s="58"/>
      <c r="R29" s="58"/>
      <c r="S29" s="58"/>
      <c r="T29" s="58"/>
      <c r="U29" s="58"/>
      <c r="V29" s="58"/>
      <c r="W29"/>
      <c r="X29"/>
      <c r="Y29"/>
      <c r="Z29"/>
    </row>
    <row r="30" spans="1:26" s="9" customFormat="1" ht="15.75" customHeight="1" x14ac:dyDescent="0.3">
      <c r="A30" s="45" t="s">
        <v>67</v>
      </c>
      <c r="B30" s="46" t="s">
        <v>28</v>
      </c>
      <c r="C30" s="46" t="s">
        <v>68</v>
      </c>
      <c r="D30" s="47" t="s">
        <v>20</v>
      </c>
      <c r="E30" s="48">
        <v>18</v>
      </c>
      <c r="F30" s="49"/>
      <c r="G30" s="50">
        <f t="shared" si="1"/>
        <v>0</v>
      </c>
      <c r="H30" s="58"/>
      <c r="I30" s="58"/>
      <c r="J30" s="58"/>
      <c r="K30" s="58"/>
      <c r="L30" s="58"/>
      <c r="M30" s="58"/>
      <c r="N30" s="58"/>
      <c r="O30" s="58"/>
      <c r="P30" s="58"/>
      <c r="Q30" s="58"/>
      <c r="R30" s="58"/>
      <c r="S30" s="58"/>
      <c r="T30" s="58"/>
      <c r="U30" s="58"/>
      <c r="V30" s="58"/>
      <c r="W30"/>
      <c r="X30"/>
      <c r="Y30"/>
      <c r="Z30"/>
    </row>
    <row r="31" spans="1:26" s="9" customFormat="1" ht="15.75" customHeight="1" x14ac:dyDescent="0.3">
      <c r="A31" s="45" t="s">
        <v>69</v>
      </c>
      <c r="B31" s="46" t="s">
        <v>70</v>
      </c>
      <c r="C31" s="46" t="s">
        <v>71</v>
      </c>
      <c r="D31" s="47" t="s">
        <v>20</v>
      </c>
      <c r="E31" s="48">
        <v>9</v>
      </c>
      <c r="F31" s="49"/>
      <c r="G31" s="50">
        <f t="shared" si="1"/>
        <v>0</v>
      </c>
      <c r="H31" s="58"/>
      <c r="I31" s="58"/>
      <c r="J31" s="58"/>
      <c r="K31" s="58"/>
      <c r="L31" s="58"/>
      <c r="M31" s="58"/>
      <c r="N31" s="58"/>
      <c r="O31" s="58"/>
      <c r="P31" s="58"/>
      <c r="Q31" s="58"/>
      <c r="R31" s="58"/>
      <c r="S31" s="58"/>
      <c r="T31" s="58"/>
      <c r="U31" s="58"/>
      <c r="V31" s="58"/>
      <c r="W31"/>
      <c r="X31"/>
      <c r="Y31"/>
      <c r="Z31"/>
    </row>
    <row r="32" spans="1:26" s="9" customFormat="1" ht="15.75" customHeight="1" x14ac:dyDescent="0.3">
      <c r="A32" s="45" t="s">
        <v>72</v>
      </c>
      <c r="B32" s="46" t="s">
        <v>73</v>
      </c>
      <c r="C32" s="46" t="s">
        <v>74</v>
      </c>
      <c r="D32" s="47" t="s">
        <v>20</v>
      </c>
      <c r="E32" s="48">
        <v>9</v>
      </c>
      <c r="F32" s="49"/>
      <c r="G32" s="50">
        <f t="shared" si="1"/>
        <v>0</v>
      </c>
      <c r="H32" s="58"/>
      <c r="I32" s="58"/>
      <c r="J32" s="58"/>
      <c r="K32" s="58"/>
      <c r="L32" s="58"/>
      <c r="M32" s="58"/>
      <c r="N32" s="58"/>
      <c r="O32" s="58"/>
      <c r="P32" s="58"/>
      <c r="Q32" s="58"/>
      <c r="R32" s="58"/>
      <c r="S32" s="58"/>
      <c r="T32" s="58"/>
      <c r="U32" s="58"/>
      <c r="V32" s="58"/>
      <c r="W32"/>
      <c r="X32"/>
      <c r="Y32"/>
      <c r="Z32"/>
    </row>
    <row r="33" spans="1:26" s="9" customFormat="1" ht="15.75" customHeight="1" x14ac:dyDescent="0.3">
      <c r="A33" s="45" t="s">
        <v>75</v>
      </c>
      <c r="B33" s="46" t="s">
        <v>76</v>
      </c>
      <c r="C33" s="46" t="s">
        <v>77</v>
      </c>
      <c r="D33" s="47" t="s">
        <v>20</v>
      </c>
      <c r="E33" s="48">
        <v>36</v>
      </c>
      <c r="F33" s="49"/>
      <c r="G33" s="50">
        <f t="shared" si="1"/>
        <v>0</v>
      </c>
      <c r="H33" s="58"/>
      <c r="I33" s="58"/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/>
      <c r="X33"/>
      <c r="Y33"/>
      <c r="Z33"/>
    </row>
    <row r="34" spans="1:26" s="9" customFormat="1" ht="15.75" customHeight="1" x14ac:dyDescent="0.3">
      <c r="A34" s="41"/>
      <c r="B34" s="42"/>
      <c r="C34" s="43"/>
      <c r="D34" s="76" t="s">
        <v>42</v>
      </c>
      <c r="E34" s="77"/>
      <c r="F34" s="78"/>
      <c r="G34" s="44">
        <f>SUM(G22:G33)</f>
        <v>0</v>
      </c>
      <c r="H34" s="58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/>
      <c r="X34"/>
      <c r="Y34"/>
      <c r="Z34"/>
    </row>
    <row r="35" spans="1:26" s="9" customFormat="1" ht="16.5" customHeight="1" x14ac:dyDescent="0.3">
      <c r="A35" s="24"/>
      <c r="B35" s="25"/>
      <c r="C35" s="26" t="s">
        <v>78</v>
      </c>
      <c r="D35" s="27"/>
      <c r="E35" s="28"/>
      <c r="F35" s="29"/>
      <c r="G35" s="30"/>
      <c r="H35" s="58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/>
      <c r="X35"/>
      <c r="Y35"/>
      <c r="Z35"/>
    </row>
    <row r="36" spans="1:26" s="9" customFormat="1" ht="15.75" customHeight="1" x14ac:dyDescent="0.3">
      <c r="A36" s="31"/>
      <c r="B36" s="32"/>
      <c r="C36" s="32"/>
      <c r="D36" s="33" t="s">
        <v>78</v>
      </c>
      <c r="E36" s="34"/>
      <c r="F36" s="35"/>
      <c r="G36" s="36">
        <f>G20+G34</f>
        <v>0</v>
      </c>
      <c r="H36" s="58"/>
      <c r="I36" s="58"/>
      <c r="J36" s="58"/>
      <c r="K36" s="58"/>
      <c r="L36" s="58"/>
      <c r="M36" s="58"/>
      <c r="N36" s="58"/>
      <c r="O36" s="58"/>
      <c r="P36" s="58"/>
      <c r="Q36" s="58"/>
      <c r="R36" s="58"/>
      <c r="S36" s="58"/>
      <c r="T36" s="58"/>
      <c r="U36" s="58"/>
      <c r="V36" s="58"/>
      <c r="W36"/>
      <c r="X36"/>
      <c r="Y36"/>
      <c r="Z36"/>
    </row>
    <row r="37" spans="1:26" s="10" customFormat="1" ht="16.5" customHeight="1" thickBot="1" x14ac:dyDescent="0.35">
      <c r="A37" s="37"/>
      <c r="B37" s="38"/>
      <c r="C37" s="38"/>
      <c r="D37" s="39"/>
      <c r="E37" s="39"/>
      <c r="F37" s="39"/>
      <c r="G37" s="40"/>
      <c r="H37" s="58"/>
      <c r="I37" s="58"/>
      <c r="J37" s="58"/>
      <c r="K37" s="58"/>
      <c r="L37" s="58"/>
      <c r="M37" s="58"/>
      <c r="N37" s="58"/>
      <c r="O37" s="58"/>
      <c r="P37" s="58"/>
      <c r="Q37" s="58"/>
      <c r="R37" s="58"/>
      <c r="S37" s="58"/>
      <c r="T37" s="58"/>
      <c r="U37" s="58"/>
      <c r="V37" s="58"/>
      <c r="W37"/>
      <c r="X37"/>
      <c r="Y37"/>
      <c r="Z37"/>
    </row>
    <row r="38" spans="1:26" s="10" customFormat="1" ht="16.2" thickBot="1" x14ac:dyDescent="0.35">
      <c r="A38" s="11" t="s">
        <v>79</v>
      </c>
      <c r="B38" s="12"/>
      <c r="C38" s="13"/>
      <c r="D38" s="14"/>
      <c r="E38" s="14"/>
      <c r="F38" s="15"/>
      <c r="G38" s="16"/>
      <c r="H38" s="58"/>
      <c r="I38" s="58"/>
      <c r="J38" s="58"/>
      <c r="K38" s="58"/>
      <c r="L38" s="58"/>
      <c r="M38" s="58"/>
      <c r="N38" s="58"/>
      <c r="O38" s="58"/>
      <c r="P38" s="58"/>
      <c r="Q38" s="58"/>
      <c r="R38" s="58"/>
      <c r="S38" s="58"/>
      <c r="T38" s="58"/>
      <c r="U38" s="58"/>
      <c r="V38" s="58"/>
      <c r="W38"/>
      <c r="X38"/>
      <c r="Y38"/>
      <c r="Z38"/>
    </row>
    <row r="39" spans="1:26" s="10" customFormat="1" ht="16.2" thickBot="1" x14ac:dyDescent="0.35">
      <c r="A39" s="70" t="s">
        <v>80</v>
      </c>
      <c r="B39" s="71"/>
      <c r="C39" s="71"/>
      <c r="D39" s="71"/>
      <c r="E39" s="71"/>
      <c r="F39" s="71"/>
      <c r="G39" s="72"/>
      <c r="H39" s="58"/>
      <c r="I39" s="58"/>
      <c r="J39" s="58"/>
      <c r="K39" s="58"/>
      <c r="L39" s="58"/>
      <c r="M39" s="58"/>
      <c r="N39" s="58"/>
      <c r="O39" s="58"/>
      <c r="P39" s="58"/>
      <c r="Q39" s="58"/>
      <c r="R39" s="58"/>
      <c r="S39" s="58"/>
      <c r="T39" s="58"/>
      <c r="U39" s="58"/>
      <c r="V39" s="58"/>
      <c r="W39"/>
      <c r="X39"/>
      <c r="Y39"/>
    </row>
    <row r="40" spans="1:26" s="10" customFormat="1" ht="16.2" thickBot="1" x14ac:dyDescent="0.35">
      <c r="A40" s="67" t="s">
        <v>81</v>
      </c>
      <c r="B40" s="68"/>
      <c r="C40" s="68"/>
      <c r="D40" s="68"/>
      <c r="E40" s="68"/>
      <c r="F40" s="68"/>
      <c r="G40" s="69"/>
      <c r="H40" s="58"/>
      <c r="I40" s="58"/>
      <c r="J40" s="58"/>
      <c r="K40" s="58"/>
      <c r="L40" s="58"/>
      <c r="M40" s="58"/>
      <c r="N40" s="58"/>
      <c r="O40" s="58"/>
      <c r="P40" s="58"/>
      <c r="Q40" s="58"/>
      <c r="R40" s="58"/>
      <c r="S40" s="58"/>
      <c r="T40" s="58"/>
      <c r="U40" s="58"/>
      <c r="V40" s="58"/>
      <c r="W40"/>
      <c r="X40"/>
      <c r="Y40"/>
    </row>
    <row r="41" spans="1:26" s="10" customFormat="1" ht="16.2" thickBot="1" x14ac:dyDescent="0.35">
      <c r="A41" s="73" t="s">
        <v>82</v>
      </c>
      <c r="B41" s="74"/>
      <c r="C41" s="74"/>
      <c r="D41" s="74"/>
      <c r="E41" s="74"/>
      <c r="F41" s="74"/>
      <c r="G41" s="75"/>
      <c r="H41" s="58"/>
      <c r="I41" s="58"/>
      <c r="J41" s="58"/>
      <c r="K41" s="58"/>
      <c r="L41" s="58"/>
      <c r="M41" s="58"/>
      <c r="N41" s="58"/>
      <c r="O41" s="58"/>
      <c r="P41" s="58"/>
      <c r="Q41" s="58"/>
      <c r="R41" s="58"/>
      <c r="S41" s="58"/>
      <c r="T41" s="58"/>
      <c r="U41" s="58"/>
      <c r="V41" s="58"/>
      <c r="W41"/>
      <c r="X41"/>
      <c r="Y41"/>
    </row>
    <row r="42" spans="1:26" s="10" customFormat="1" ht="16.2" thickBot="1" x14ac:dyDescent="0.35">
      <c r="A42" s="73" t="s">
        <v>83</v>
      </c>
      <c r="B42" s="74"/>
      <c r="C42" s="74"/>
      <c r="D42" s="74"/>
      <c r="E42" s="74"/>
      <c r="F42" s="74"/>
      <c r="G42" s="75"/>
      <c r="H42" s="58"/>
      <c r="I42" s="58"/>
      <c r="J42" s="58"/>
      <c r="K42" s="58"/>
      <c r="L42" s="58"/>
      <c r="M42" s="58"/>
      <c r="N42" s="58"/>
      <c r="O42" s="58"/>
      <c r="P42" s="58"/>
      <c r="Q42" s="58"/>
      <c r="R42" s="58"/>
      <c r="S42" s="58"/>
      <c r="T42" s="58"/>
      <c r="U42" s="58"/>
      <c r="V42" s="58"/>
      <c r="W42"/>
      <c r="X42"/>
      <c r="Y42"/>
    </row>
    <row r="43" spans="1:26" s="10" customFormat="1" ht="16.2" thickBot="1" x14ac:dyDescent="0.35">
      <c r="A43" s="64"/>
      <c r="B43" s="65"/>
      <c r="C43" s="65"/>
      <c r="D43" s="65"/>
      <c r="E43" s="65"/>
      <c r="F43" s="65"/>
      <c r="G43" s="66"/>
      <c r="H43" s="58"/>
      <c r="I43" s="58"/>
      <c r="J43" s="58"/>
      <c r="K43" s="58"/>
      <c r="L43" s="58"/>
      <c r="M43" s="58"/>
      <c r="N43" s="58"/>
      <c r="O43" s="58"/>
      <c r="P43" s="58"/>
      <c r="Q43" s="58"/>
      <c r="R43" s="58"/>
      <c r="S43" s="58"/>
      <c r="T43" s="58"/>
      <c r="U43" s="58"/>
      <c r="V43" s="58"/>
      <c r="W43"/>
      <c r="X43"/>
      <c r="Y43"/>
    </row>
    <row r="44" spans="1:26" s="10" customFormat="1" ht="16.5" customHeight="1" thickBot="1" x14ac:dyDescent="0.35">
      <c r="A44" s="67" t="s">
        <v>84</v>
      </c>
      <c r="B44" s="68"/>
      <c r="C44" s="68"/>
      <c r="D44" s="68"/>
      <c r="E44" s="68"/>
      <c r="F44" s="68"/>
      <c r="G44" s="69"/>
      <c r="H44" s="58"/>
      <c r="I44" s="58"/>
      <c r="J44" s="58"/>
      <c r="K44" s="58"/>
      <c r="L44" s="58"/>
      <c r="M44" s="58"/>
      <c r="N44" s="58"/>
      <c r="O44" s="58"/>
      <c r="P44" s="58"/>
      <c r="Q44" s="58"/>
      <c r="R44" s="58"/>
      <c r="S44" s="58"/>
      <c r="T44" s="58"/>
      <c r="U44" s="58"/>
      <c r="V44" s="58"/>
      <c r="W44"/>
      <c r="X44"/>
      <c r="Y44"/>
    </row>
    <row r="45" spans="1:26" s="10" customFormat="1" ht="16.2" thickBot="1" x14ac:dyDescent="0.35">
      <c r="A45" s="67" t="s">
        <v>85</v>
      </c>
      <c r="B45" s="68"/>
      <c r="C45" s="68"/>
      <c r="D45" s="68"/>
      <c r="E45" s="68"/>
      <c r="F45" s="68"/>
      <c r="G45" s="69"/>
      <c r="H45" s="58"/>
      <c r="I45" s="58"/>
      <c r="J45" s="58"/>
      <c r="K45" s="58"/>
      <c r="L45" s="58"/>
      <c r="M45" s="58"/>
      <c r="N45" s="58"/>
      <c r="O45" s="58"/>
      <c r="P45" s="58"/>
      <c r="Q45" s="58"/>
      <c r="R45" s="58"/>
      <c r="S45" s="58"/>
      <c r="T45" s="58"/>
      <c r="U45" s="58"/>
      <c r="V45" s="58"/>
      <c r="W45"/>
      <c r="X45"/>
      <c r="Y45"/>
    </row>
    <row r="46" spans="1:26" x14ac:dyDescent="0.3">
      <c r="A46" s="63" t="s">
        <v>86</v>
      </c>
      <c r="B46" s="63"/>
      <c r="C46" s="63"/>
      <c r="D46" s="63"/>
      <c r="E46" s="63"/>
      <c r="F46" s="63"/>
      <c r="G46" s="63"/>
    </row>
  </sheetData>
  <mergeCells count="20">
    <mergeCell ref="D34:F34"/>
    <mergeCell ref="E1:G1"/>
    <mergeCell ref="A7:G7"/>
    <mergeCell ref="A1:C1"/>
    <mergeCell ref="A2:G2"/>
    <mergeCell ref="A4:G4"/>
    <mergeCell ref="A5:G5"/>
    <mergeCell ref="A8:G8"/>
    <mergeCell ref="F9:G9"/>
    <mergeCell ref="A6:G6"/>
    <mergeCell ref="A3:G3"/>
    <mergeCell ref="D20:F20"/>
    <mergeCell ref="A46:G46"/>
    <mergeCell ref="A43:G43"/>
    <mergeCell ref="A44:G44"/>
    <mergeCell ref="A45:G45"/>
    <mergeCell ref="A39:G39"/>
    <mergeCell ref="A40:G40"/>
    <mergeCell ref="A41:G41"/>
    <mergeCell ref="A42:G42"/>
  </mergeCells>
  <phoneticPr fontId="20" type="noConversion"/>
  <printOptions horizontalCentered="1"/>
  <pageMargins left="0.5" right="0.5" top="0.5" bottom="0.5" header="0.51180555555555496" footer="0.3"/>
  <pageSetup scale="76" firstPageNumber="0" orientation="portrait" horizontalDpi="300" verticalDpi="300" r:id="rId1"/>
  <headerFooter>
    <oddFooter>Page &amp;P</oddFooter>
  </headerFooter>
  <ignoredErrors>
    <ignoredError sqref="A12:A19 A22:A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0f84bba906045b4af568ee102a52dcb xmlns="60cf2265-0123-4bdd-b005-f29651438544">
      <Terms xmlns="http://schemas.microsoft.com/office/infopath/2007/PartnerControls">
        <TermInfo xmlns="http://schemas.microsoft.com/office/infopath/2007/PartnerControls">
          <TermName xmlns="http://schemas.microsoft.com/office/infopath/2007/PartnerControls">SAATeams</TermName>
          <TermId xmlns="http://schemas.microsoft.com/office/infopath/2007/PartnerControls">41c42ab1-b1a9-432c-905b-304b551048c3</TermId>
        </TermInfo>
      </Terms>
    </i0f84bba906045b4af568ee102a52dcb>
    <TaxCatchAll xmlns="60cf2265-0123-4bdd-b005-f29651438544">
      <Value>4</Value>
    </TaxCatchAll>
    <lcf76f155ced4ddcb4097134ff3c332f xmlns="f0197cb2-fa5d-407e-8d9e-ff0c4ef4ac2c">
      <Terms xmlns="http://schemas.microsoft.com/office/infopath/2007/PartnerControls"/>
    </lcf76f155ced4ddcb4097134ff3c332f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5A67B8AF75D78D489A513AB5B80AACBB" ma:contentTypeVersion="17" ma:contentTypeDescription="Create a new document." ma:contentTypeScope="" ma:versionID="a9fb82569d1aa2bbf0dc72d2eecfffb2">
  <xsd:schema xmlns:xsd="http://www.w3.org/2001/XMLSchema" xmlns:xs="http://www.w3.org/2001/XMLSchema" xmlns:p="http://schemas.microsoft.com/office/2006/metadata/properties" xmlns:ns2="f0197cb2-fa5d-407e-8d9e-ff0c4ef4ac2c" xmlns:ns3="60cf2265-0123-4bdd-b005-f29651438544" targetNamespace="http://schemas.microsoft.com/office/2006/metadata/properties" ma:root="true" ma:fieldsID="667eaf7c05e3d8d4b60d2685e58caae0" ns2:_="" ns3:_="">
    <xsd:import namespace="f0197cb2-fa5d-407e-8d9e-ff0c4ef4ac2c"/>
    <xsd:import namespace="60cf2265-0123-4bdd-b005-f2965143854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ObjectDetectorVersions" minOccurs="0"/>
                <xsd:element ref="ns3:i0f84bba906045b4af568ee102a52dcb" minOccurs="0"/>
                <xsd:element ref="ns2:MediaServiceSearchProperties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0197cb2-fa5d-407e-8d9e-ff0c4ef4ac2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a6c7ba20-d28d-4670-8008-cb20b00b110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2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0cf2265-0123-4bdd-b005-f29651438544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3f5a4536-2c3c-4077-a3fb-f1982af522c3}" ma:internalName="TaxCatchAll" ma:showField="CatchAllData" ma:web="60cf2265-0123-4bdd-b005-f2965143854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2" nillable="true" ma:taxonomy="true" ma:internalName="i0f84bba906045b4af568ee102a52dcb" ma:taxonomyFieldName="RevIMBCS" ma:displayName="SAAAvePtGroup" ma:indexed="true" ma:default="4;#SAATeams|41c42ab1-b1a9-432c-905b-304b551048c3" ma:fieldId="{20f84bba-9060-45b4-af56-8ee102a52dcb}" ma:sspId="a6c7ba20-d28d-4670-8008-cb20b00b110c" ma:termSetId="bedebaea-e226-498c-b6ba-62b821ed5438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B7ADC07-3EE4-49CC-9496-F5A44B5CFAE3}">
  <ds:schemaRefs>
    <ds:schemaRef ds:uri="http://schemas.microsoft.com/office/2006/metadata/properties"/>
    <ds:schemaRef ds:uri="http://schemas.microsoft.com/office/infopath/2007/PartnerControls"/>
    <ds:schemaRef ds:uri="60cf2265-0123-4bdd-b005-f29651438544"/>
    <ds:schemaRef ds:uri="f0197cb2-fa5d-407e-8d9e-ff0c4ef4ac2c"/>
  </ds:schemaRefs>
</ds:datastoreItem>
</file>

<file path=customXml/itemProps2.xml><?xml version="1.0" encoding="utf-8"?>
<ds:datastoreItem xmlns:ds="http://schemas.openxmlformats.org/officeDocument/2006/customXml" ds:itemID="{79CFF50A-A977-4F7F-BDBF-DC39D6E4B6B3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E89AC6-3CFB-4C67-8C86-4B896BD117B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0197cb2-fa5d-407e-8d9e-ff0c4ef4ac2c"/>
    <ds:schemaRef ds:uri="60cf2265-0123-4bdd-b005-f2965143854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PRICING TABLE</vt:lpstr>
    </vt:vector>
  </TitlesOfParts>
  <Manager/>
  <Company>United States Senate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Hann, Amy (SAA)</dc:creator>
  <cp:keywords/>
  <dc:description/>
  <cp:lastModifiedBy>Hansen, Ron (SAA)</cp:lastModifiedBy>
  <cp:revision/>
  <dcterms:created xsi:type="dcterms:W3CDTF">2020-10-29T14:27:47Z</dcterms:created>
  <dcterms:modified xsi:type="dcterms:W3CDTF">2026-04-09T13:12:29Z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0x0101005A67B8AF75D78D489A513AB5B80AACBB</vt:lpwstr>
  </property>
  <property fmtid="{D5CDD505-2E9C-101B-9397-08002B2CF9AE}" pid="3" name="MediaServiceImageTags">
    <vt:lpwstr/>
  </property>
  <property fmtid="{D5CDD505-2E9C-101B-9397-08002B2CF9AE}" pid="4" name="RevIMBCS">
    <vt:lpwstr>4;#SAATeams|41c42ab1-b1a9-432c-905b-304b551048c3</vt:lpwstr>
  </property>
</Properties>
</file>