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warcewicz_ios_doi_gov/Documents/Desktop/Awarded Contracts/FY26 - In progress/140P5326R0017 - BLRI - Vista Clearing FY26/B- Solicitation/"/>
    </mc:Choice>
  </mc:AlternateContent>
  <xr:revisionPtr revIDLastSave="2" documentId="8_{601D0E9C-6C0D-4CB1-A753-C38D68B3C862}" xr6:coauthVersionLast="47" xr6:coauthVersionMax="47" xr10:uidLastSave="{EF2DAB2A-08E7-4B5A-9E39-9F956C7F842E}"/>
  <bookViews>
    <workbookView xWindow="-110" yWindow="-110" windowWidth="19420" windowHeight="10300" xr2:uid="{00000000-000D-0000-FFFF-FFFF00000000}"/>
  </bookViews>
  <sheets>
    <sheet name="Price Sheet" sheetId="2" r:id="rId1"/>
  </sheets>
  <definedNames>
    <definedName name="_xlnm.Print_Area" localSheetId="0">'Price Sheet'!$A$1:$E$23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2" l="1"/>
  <c r="D19" i="2" s="1"/>
  <c r="D14" i="2"/>
  <c r="D15" i="2" s="1"/>
  <c r="D10" i="2"/>
  <c r="D11" i="2" s="1"/>
  <c r="D6" i="2"/>
  <c r="D7" i="2" s="1"/>
  <c r="D20" i="2" l="1"/>
</calcChain>
</file>

<file path=xl/sharedStrings.xml><?xml version="1.0" encoding="utf-8"?>
<sst xmlns="http://schemas.openxmlformats.org/spreadsheetml/2006/main" count="36" uniqueCount="25">
  <si>
    <t>QTY</t>
  </si>
  <si>
    <t>TOTAL</t>
  </si>
  <si>
    <t>EA</t>
  </si>
  <si>
    <t>Required Work Total</t>
  </si>
  <si>
    <t>Option 1 Work Total</t>
  </si>
  <si>
    <t>Option 3 Work Total</t>
  </si>
  <si>
    <t>Base Work</t>
  </si>
  <si>
    <t>Vista Depth</t>
  </si>
  <si>
    <t>30'</t>
  </si>
  <si>
    <t>Mile Post 21 to 204</t>
  </si>
  <si>
    <t>All, Some or None of the Option Work will be funded depending on available funding.</t>
  </si>
  <si>
    <t>Notes</t>
  </si>
  <si>
    <t>Vista Depth refers to the most frequently occuring clearing depth requirement. Refer to Vista Master Spreadsheet for deviations.</t>
  </si>
  <si>
    <t xml:space="preserve">Application of herbicide options may be excluded, but will not be awarded without the trimming option they reference. </t>
  </si>
  <si>
    <t>2026 Virginia Clearing</t>
  </si>
  <si>
    <t>Option 1</t>
  </si>
  <si>
    <t>Option 2</t>
  </si>
  <si>
    <t>Option 3</t>
  </si>
  <si>
    <t>Option 2 Work Total</t>
  </si>
  <si>
    <t>Vistas # 214 to 272 (Mile Post 98.9 to 137.6)</t>
  </si>
  <si>
    <t>Mow without application of herbicide
Vistas # 1 to 213 (Mile Post 0 to 98.9)
Vistas # 273 to 280 (Mile Post 139.3 to 144.8)</t>
  </si>
  <si>
    <t>Apply herbicde where approved as indicated on Vista Log to first 30' of Base Work after cutting</t>
  </si>
  <si>
    <t>Apply herbicde where approved as indicated on Vista Log to first 30' of Option 1 Work after cutting</t>
  </si>
  <si>
    <t>Mile Post 0 to 98.9</t>
  </si>
  <si>
    <t>Price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</si>
</sst>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44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4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44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44" fontId="1" fillId="0" borderId="3" xfId="0" applyNumberFormat="1" applyFont="1" applyBorder="1"/>
    <xf numFmtId="44" fontId="4" fillId="0" borderId="3" xfId="0" applyNumberFormat="1" applyFont="1" applyBorder="1"/>
    <xf numFmtId="44" fontId="4" fillId="0" borderId="4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left" wrapText="1"/>
    </xf>
    <xf numFmtId="0" fontId="3" fillId="0" borderId="15" xfId="0" applyFont="1" applyBorder="1" applyAlignment="1">
      <alignment horizontal="right"/>
    </xf>
    <xf numFmtId="9" fontId="1" fillId="0" borderId="16" xfId="0" applyNumberFormat="1" applyFont="1" applyBorder="1" applyAlignment="1">
      <alignment horizontal="center" vertical="center"/>
    </xf>
    <xf numFmtId="44" fontId="4" fillId="0" borderId="18" xfId="0" applyNumberFormat="1" applyFont="1" applyBorder="1"/>
    <xf numFmtId="9" fontId="1" fillId="0" borderId="19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right"/>
    </xf>
    <xf numFmtId="0" fontId="4" fillId="0" borderId="17" xfId="0" applyFont="1" applyBorder="1" applyAlignment="1">
      <alignment horizontal="right" wrapText="1"/>
    </xf>
    <xf numFmtId="9" fontId="1" fillId="0" borderId="16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0" xfId="1" applyNumberFormat="1" applyFont="1"/>
    <xf numFmtId="0" fontId="1" fillId="0" borderId="20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44" fontId="4" fillId="0" borderId="21" xfId="0" applyNumberFormat="1" applyFont="1" applyBorder="1" applyAlignment="1">
      <alignment horizontal="right"/>
    </xf>
    <xf numFmtId="9" fontId="1" fillId="0" borderId="22" xfId="0" applyNumberFormat="1" applyFont="1" applyBorder="1" applyAlignment="1">
      <alignment horizontal="center" vertical="center"/>
    </xf>
    <xf numFmtId="44" fontId="4" fillId="0" borderId="21" xfId="0" applyNumberFormat="1" applyFont="1" applyBorder="1"/>
    <xf numFmtId="0" fontId="1" fillId="0" borderId="23" xfId="0" applyFont="1" applyBorder="1" applyAlignment="1">
      <alignment horizontal="right"/>
    </xf>
    <xf numFmtId="0" fontId="4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1" fillId="0" borderId="1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top"/>
    </xf>
    <xf numFmtId="9" fontId="1" fillId="0" borderId="12" xfId="0" applyNumberFormat="1" applyFont="1" applyBorder="1" applyAlignment="1">
      <alignment horizontal="center"/>
    </xf>
    <xf numFmtId="9" fontId="1" fillId="0" borderId="14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6364-7E14-447C-BFDA-F6C76FCCFFE5}">
  <sheetPr>
    <pageSetUpPr fitToPage="1"/>
  </sheetPr>
  <dimension ref="A1:L27"/>
  <sheetViews>
    <sheetView tabSelected="1" topLeftCell="A8" zoomScaleNormal="100" workbookViewId="0">
      <selection activeCell="C14" sqref="C14"/>
    </sheetView>
  </sheetViews>
  <sheetFormatPr defaultColWidth="9.1796875" defaultRowHeight="15.5" x14ac:dyDescent="0.35"/>
  <cols>
    <col min="1" max="1" width="46.81640625" style="1" customWidth="1"/>
    <col min="2" max="2" width="13.81640625" style="1" customWidth="1"/>
    <col min="3" max="3" width="23.453125" style="1" bestFit="1" customWidth="1"/>
    <col min="4" max="4" width="15.7265625" style="1" bestFit="1" customWidth="1"/>
    <col min="5" max="5" width="22.1796875" style="1" customWidth="1"/>
    <col min="6" max="6" width="9.1796875" style="1"/>
    <col min="7" max="7" width="14" style="1" bestFit="1" customWidth="1"/>
    <col min="8" max="8" width="9.1796875" style="1"/>
    <col min="9" max="9" width="14" style="1" bestFit="1" customWidth="1"/>
    <col min="10" max="10" width="12.7265625" style="31" bestFit="1" customWidth="1"/>
    <col min="11" max="11" width="9.1796875" style="1"/>
    <col min="12" max="12" width="14" style="1" bestFit="1" customWidth="1"/>
    <col min="13" max="16384" width="9.1796875" style="1"/>
  </cols>
  <sheetData>
    <row r="1" spans="1:12" ht="18.5" x14ac:dyDescent="0.45">
      <c r="A1" s="2" t="s">
        <v>24</v>
      </c>
    </row>
    <row r="2" spans="1:12" ht="18.5" x14ac:dyDescent="0.45">
      <c r="A2" s="2" t="s">
        <v>14</v>
      </c>
    </row>
    <row r="3" spans="1:12" x14ac:dyDescent="0.35">
      <c r="A3" s="3"/>
      <c r="B3" s="4"/>
    </row>
    <row r="4" spans="1:12" ht="16" thickBot="1" x14ac:dyDescent="0.4">
      <c r="A4" s="3"/>
      <c r="B4" s="4"/>
    </row>
    <row r="5" spans="1:12" x14ac:dyDescent="0.35">
      <c r="A5" s="18" t="s">
        <v>6</v>
      </c>
      <c r="B5" s="19" t="s">
        <v>0</v>
      </c>
      <c r="C5" s="19" t="s">
        <v>2</v>
      </c>
      <c r="D5" s="20" t="s">
        <v>1</v>
      </c>
      <c r="E5" s="21" t="s">
        <v>7</v>
      </c>
      <c r="F5" s="5"/>
    </row>
    <row r="6" spans="1:12" ht="16.5" customHeight="1" x14ac:dyDescent="0.35">
      <c r="A6" s="42" t="s">
        <v>20</v>
      </c>
      <c r="B6" s="40">
        <v>207</v>
      </c>
      <c r="C6" s="10"/>
      <c r="D6" s="15">
        <f>B6*C6</f>
        <v>0</v>
      </c>
      <c r="E6" s="45">
        <v>1</v>
      </c>
      <c r="F6" s="6"/>
    </row>
    <row r="7" spans="1:12" ht="32.25" customHeight="1" x14ac:dyDescent="0.35">
      <c r="A7" s="43"/>
      <c r="B7" s="44"/>
      <c r="C7" s="11" t="s">
        <v>3</v>
      </c>
      <c r="D7" s="16">
        <f>D6</f>
        <v>0</v>
      </c>
      <c r="E7" s="46"/>
      <c r="F7" s="6"/>
    </row>
    <row r="8" spans="1:12" x14ac:dyDescent="0.35">
      <c r="A8" s="23"/>
      <c r="B8" s="12"/>
      <c r="C8" s="13"/>
      <c r="D8" s="12"/>
      <c r="E8" s="35"/>
      <c r="F8" s="6"/>
    </row>
    <row r="9" spans="1:12" x14ac:dyDescent="0.35">
      <c r="A9" s="27" t="s">
        <v>15</v>
      </c>
      <c r="B9" s="9" t="s">
        <v>0</v>
      </c>
      <c r="C9" s="9" t="s">
        <v>2</v>
      </c>
      <c r="D9" s="14" t="s">
        <v>1</v>
      </c>
      <c r="E9" s="24"/>
      <c r="F9" s="6"/>
    </row>
    <row r="10" spans="1:12" x14ac:dyDescent="0.35">
      <c r="A10" s="42" t="s">
        <v>19</v>
      </c>
      <c r="B10" s="40">
        <v>44</v>
      </c>
      <c r="C10" s="10"/>
      <c r="D10" s="15">
        <f>B10*C10</f>
        <v>0</v>
      </c>
      <c r="E10" s="29">
        <v>1</v>
      </c>
      <c r="F10" s="6"/>
    </row>
    <row r="11" spans="1:12" ht="15.75" customHeight="1" x14ac:dyDescent="0.35">
      <c r="A11" s="43"/>
      <c r="B11" s="44"/>
      <c r="C11" s="11" t="s">
        <v>4</v>
      </c>
      <c r="D11" s="16">
        <f>D10</f>
        <v>0</v>
      </c>
      <c r="E11" s="24"/>
      <c r="F11" s="6"/>
      <c r="I11" s="4"/>
    </row>
    <row r="12" spans="1:12" s="31" customFormat="1" ht="15.75" customHeight="1" x14ac:dyDescent="0.35">
      <c r="A12" s="32"/>
      <c r="B12" s="33"/>
      <c r="C12" s="34"/>
      <c r="D12" s="36"/>
      <c r="E12" s="35"/>
      <c r="F12" s="6"/>
      <c r="G12" s="1"/>
      <c r="H12" s="1"/>
      <c r="I12" s="4"/>
      <c r="K12" s="1"/>
      <c r="L12" s="1"/>
    </row>
    <row r="13" spans="1:12" s="31" customFormat="1" x14ac:dyDescent="0.35">
      <c r="A13" s="27" t="s">
        <v>16</v>
      </c>
      <c r="B13" s="9" t="s">
        <v>0</v>
      </c>
      <c r="C13" s="9" t="s">
        <v>2</v>
      </c>
      <c r="D13" s="14" t="s">
        <v>1</v>
      </c>
      <c r="E13" s="24"/>
      <c r="F13" s="6"/>
      <c r="G13" s="1"/>
      <c r="H13" s="1"/>
      <c r="I13" s="1"/>
      <c r="K13" s="1"/>
      <c r="L13" s="1"/>
    </row>
    <row r="14" spans="1:12" s="31" customFormat="1" ht="32.25" customHeight="1" x14ac:dyDescent="0.35">
      <c r="A14" s="30" t="s">
        <v>21</v>
      </c>
      <c r="B14" s="40">
        <v>184</v>
      </c>
      <c r="C14" s="10"/>
      <c r="D14" s="15">
        <f>B14*C14</f>
        <v>0</v>
      </c>
      <c r="E14" s="24" t="s">
        <v>8</v>
      </c>
      <c r="F14" s="6"/>
      <c r="G14" s="1"/>
      <c r="H14" s="1"/>
      <c r="I14" s="1"/>
      <c r="K14" s="1"/>
      <c r="L14" s="1"/>
    </row>
    <row r="15" spans="1:12" s="31" customFormat="1" x14ac:dyDescent="0.35">
      <c r="A15" s="22" t="s">
        <v>23</v>
      </c>
      <c r="B15" s="44"/>
      <c r="C15" s="11" t="s">
        <v>18</v>
      </c>
      <c r="D15" s="16">
        <f>D14</f>
        <v>0</v>
      </c>
      <c r="E15" s="24"/>
      <c r="F15" s="6"/>
      <c r="G15" s="1"/>
      <c r="H15" s="1"/>
      <c r="I15" s="1"/>
      <c r="K15" s="1"/>
      <c r="L15" s="1"/>
    </row>
    <row r="16" spans="1:12" s="31" customFormat="1" x14ac:dyDescent="0.35">
      <c r="A16" s="37"/>
      <c r="B16" s="38"/>
      <c r="C16" s="34"/>
      <c r="D16" s="36"/>
      <c r="E16" s="35"/>
      <c r="F16" s="6"/>
      <c r="G16" s="1"/>
      <c r="H16" s="1"/>
      <c r="I16" s="1"/>
      <c r="K16" s="1"/>
      <c r="L16" s="1"/>
    </row>
    <row r="17" spans="1:12" s="31" customFormat="1" x14ac:dyDescent="0.35">
      <c r="A17" s="28" t="s">
        <v>17</v>
      </c>
      <c r="B17" s="9" t="s">
        <v>0</v>
      </c>
      <c r="C17" s="9" t="s">
        <v>2</v>
      </c>
      <c r="D17" s="14" t="s">
        <v>1</v>
      </c>
      <c r="E17" s="24"/>
      <c r="F17" s="6"/>
      <c r="G17" s="1"/>
      <c r="H17" s="1"/>
      <c r="I17" s="1"/>
      <c r="K17" s="1"/>
      <c r="L17" s="1"/>
    </row>
    <row r="18" spans="1:12" s="31" customFormat="1" ht="47.25" customHeight="1" x14ac:dyDescent="0.35">
      <c r="A18" s="30" t="s">
        <v>22</v>
      </c>
      <c r="B18" s="40">
        <v>30</v>
      </c>
      <c r="C18" s="10"/>
      <c r="D18" s="15">
        <f>B18*C18</f>
        <v>0</v>
      </c>
      <c r="E18" s="29" t="s">
        <v>8</v>
      </c>
      <c r="F18" s="6"/>
      <c r="G18" s="4"/>
      <c r="H18" s="1"/>
      <c r="I18" s="1"/>
      <c r="K18" s="1"/>
      <c r="L18" s="1"/>
    </row>
    <row r="19" spans="1:12" s="31" customFormat="1" ht="16" thickBot="1" x14ac:dyDescent="0.4">
      <c r="A19" s="39" t="s">
        <v>9</v>
      </c>
      <c r="B19" s="41"/>
      <c r="C19" s="17" t="s">
        <v>5</v>
      </c>
      <c r="D19" s="25">
        <f>D18</f>
        <v>0</v>
      </c>
      <c r="E19" s="26"/>
      <c r="F19" s="6"/>
      <c r="G19" s="1"/>
      <c r="H19" s="1"/>
      <c r="I19" s="1"/>
      <c r="K19" s="1"/>
      <c r="L19" s="1"/>
    </row>
    <row r="20" spans="1:12" s="31" customFormat="1" x14ac:dyDescent="0.35">
      <c r="A20" s="1"/>
      <c r="B20" s="1"/>
      <c r="C20" s="7" t="s">
        <v>1</v>
      </c>
      <c r="D20" s="8">
        <f>D7+D19+D15+D11</f>
        <v>0</v>
      </c>
      <c r="E20" s="6"/>
      <c r="F20" s="6"/>
      <c r="G20" s="1"/>
      <c r="H20" s="1"/>
      <c r="I20" s="1"/>
      <c r="K20" s="1"/>
      <c r="L20" s="1"/>
    </row>
    <row r="21" spans="1:12" s="31" customFormat="1" x14ac:dyDescent="0.35">
      <c r="A21" s="1" t="s">
        <v>11</v>
      </c>
      <c r="B21" s="1"/>
      <c r="C21" s="1"/>
      <c r="D21" s="1"/>
      <c r="E21" s="5"/>
      <c r="F21" s="5"/>
      <c r="G21" s="1"/>
      <c r="H21" s="1"/>
      <c r="I21" s="1"/>
      <c r="K21" s="1"/>
      <c r="L21" s="1"/>
    </row>
    <row r="22" spans="1:12" s="31" customFormat="1" x14ac:dyDescent="0.35">
      <c r="A22" s="1" t="s">
        <v>10</v>
      </c>
      <c r="B22" s="1"/>
      <c r="C22" s="1"/>
      <c r="D22" s="1"/>
      <c r="E22" s="5"/>
      <c r="F22" s="5"/>
      <c r="G22" s="1"/>
      <c r="H22" s="1"/>
      <c r="I22" s="1"/>
      <c r="K22" s="1"/>
      <c r="L22" s="1"/>
    </row>
    <row r="23" spans="1:12" s="31" customFormat="1" x14ac:dyDescent="0.35">
      <c r="A23" s="1" t="s">
        <v>13</v>
      </c>
      <c r="B23" s="1"/>
      <c r="C23" s="1"/>
      <c r="D23" s="1"/>
      <c r="E23" s="4"/>
      <c r="F23" s="1"/>
      <c r="G23" s="1"/>
      <c r="H23" s="1"/>
      <c r="I23" s="1"/>
      <c r="K23" s="1"/>
      <c r="L23" s="1"/>
    </row>
    <row r="24" spans="1:12" s="31" customFormat="1" x14ac:dyDescent="0.35">
      <c r="A24" s="1" t="s">
        <v>12</v>
      </c>
      <c r="B24" s="1"/>
      <c r="C24" s="1"/>
      <c r="D24" s="1"/>
      <c r="E24" s="1"/>
      <c r="F24" s="1"/>
      <c r="G24" s="1"/>
      <c r="H24" s="1"/>
      <c r="I24" s="1"/>
      <c r="K24" s="1"/>
      <c r="L24" s="1"/>
    </row>
    <row r="25" spans="1:12" s="31" customFormat="1" x14ac:dyDescent="0.35">
      <c r="A25" s="1"/>
      <c r="B25" s="1"/>
      <c r="C25" s="1"/>
      <c r="D25" s="1"/>
      <c r="E25" s="5"/>
      <c r="F25" s="5"/>
      <c r="G25" s="1"/>
      <c r="H25" s="1"/>
      <c r="I25" s="1"/>
      <c r="K25" s="1"/>
      <c r="L25" s="1"/>
    </row>
    <row r="26" spans="1:12" s="31" customFormat="1" x14ac:dyDescent="0.35">
      <c r="A26" s="1"/>
      <c r="B26" s="1"/>
      <c r="C26" s="1"/>
      <c r="D26" s="1"/>
      <c r="E26" s="5"/>
      <c r="F26" s="5"/>
      <c r="G26" s="1"/>
      <c r="H26" s="1"/>
      <c r="I26" s="1"/>
      <c r="K26" s="1"/>
      <c r="L26" s="1"/>
    </row>
    <row r="27" spans="1:12" s="31" customFormat="1" x14ac:dyDescent="0.35">
      <c r="A27" s="1"/>
      <c r="B27" s="1"/>
      <c r="C27" s="1"/>
      <c r="D27" s="1"/>
      <c r="E27" s="4"/>
      <c r="F27" s="1"/>
      <c r="G27" s="1"/>
      <c r="H27" s="1"/>
      <c r="I27" s="1"/>
      <c r="K27" s="1"/>
      <c r="L27" s="1"/>
    </row>
  </sheetData>
  <mergeCells count="7">
    <mergeCell ref="B18:B19"/>
    <mergeCell ref="A6:A7"/>
    <mergeCell ref="B6:B7"/>
    <mergeCell ref="E6:E7"/>
    <mergeCell ref="A10:A11"/>
    <mergeCell ref="B10:B11"/>
    <mergeCell ref="B14:B15"/>
  </mergeCells>
  <pageMargins left="1" right="1" top="1" bottom="1" header="0.5" footer="0.5"/>
  <pageSetup scale="66" fitToHeight="0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Epling</dc:creator>
  <cp:lastModifiedBy>Warcewicz, Ashley M</cp:lastModifiedBy>
  <cp:lastPrinted>2026-02-25T14:32:18Z</cp:lastPrinted>
  <dcterms:created xsi:type="dcterms:W3CDTF">2015-09-01T17:59:14Z</dcterms:created>
  <dcterms:modified xsi:type="dcterms:W3CDTF">2026-05-05T15:21:19Z</dcterms:modified>
</cp:coreProperties>
</file>