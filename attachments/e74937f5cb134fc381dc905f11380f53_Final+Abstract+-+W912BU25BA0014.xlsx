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sigs" ContentType="application/vnd.openxmlformats-package.digital-signature-origin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ace-my.dps.mil/personal/brandon_r_mormello_usace_army_mil/Documents/Desktop/Brandon's Folder/USACE Contracts/"/>
    </mc:Choice>
  </mc:AlternateContent>
  <xr:revisionPtr revIDLastSave="0" documentId="13_ncr:201_{EA639490-B712-4FA6-9867-49FFEC8787D1}" xr6:coauthVersionLast="47" xr6:coauthVersionMax="47" xr10:uidLastSave="{00000000-0000-0000-0000-000000000000}"/>
  <bookViews>
    <workbookView xWindow="-120" yWindow="-90" windowWidth="29040" windowHeight="15690" xr2:uid="{37F3C21E-3ACF-4FFE-9437-A8333EDEB552}"/>
  </bookViews>
  <sheets>
    <sheet name="Abstract" sheetId="1" r:id="rId1"/>
  </sheets>
  <externalReferences>
    <externalReference r:id="rId2"/>
    <externalReference r:id="rId3"/>
  </externalReferences>
  <definedNames>
    <definedName name="_________________________KEY1" hidden="1">#REF!</definedName>
    <definedName name="________________________k1" hidden="1">#REF!</definedName>
    <definedName name="________________________KEY1" hidden="1">#REF!</definedName>
    <definedName name="_______________________k1" hidden="1">#REF!</definedName>
    <definedName name="_______________________KEY1" hidden="1">#REF!</definedName>
    <definedName name="______________________k1" hidden="1">#REF!</definedName>
    <definedName name="_____________________KEY1" hidden="1">#REF!</definedName>
    <definedName name="____________________k1" hidden="1">#REF!</definedName>
    <definedName name="____________________KEY1" hidden="1">#REF!</definedName>
    <definedName name="___________________k1" hidden="1">#REF!</definedName>
    <definedName name="___________________KEY1" hidden="1">#REF!</definedName>
    <definedName name="__________________k1" hidden="1">#REF!</definedName>
    <definedName name="__________________KEY1" hidden="1">#REF!</definedName>
    <definedName name="_________________k1" hidden="1">#REF!</definedName>
    <definedName name="_________________KEY1" hidden="1">#REF!</definedName>
    <definedName name="________________k1" hidden="1">#REF!</definedName>
    <definedName name="________________KEY1" hidden="1">#REF!</definedName>
    <definedName name="_______________k1" hidden="1">#REF!</definedName>
    <definedName name="_______________KEY1" hidden="1">#REF!</definedName>
    <definedName name="______________k1" hidden="1">#REF!</definedName>
    <definedName name="______________KEY1" hidden="1">#REF!</definedName>
    <definedName name="_____________k1" hidden="1">#REF!</definedName>
    <definedName name="_____________KEY1" hidden="1">#REF!</definedName>
    <definedName name="____________k1" hidden="1">#REF!</definedName>
    <definedName name="____________KEY1" hidden="1">#REF!</definedName>
    <definedName name="___________k1" hidden="1">#REF!</definedName>
    <definedName name="___________KEY1" hidden="1">#REF!</definedName>
    <definedName name="__________k1" hidden="1">#REF!</definedName>
    <definedName name="__________KEY1" hidden="1">#REF!</definedName>
    <definedName name="_________k1" hidden="1">#REF!</definedName>
    <definedName name="_________KEY1" hidden="1">#REF!</definedName>
    <definedName name="________k1" hidden="1">#REF!</definedName>
    <definedName name="_______k1" hidden="1">#REF!</definedName>
    <definedName name="_______KEY1" hidden="1">#REF!</definedName>
    <definedName name="______k1" hidden="1">#REF!</definedName>
    <definedName name="_____KEY1" hidden="1">#REF!</definedName>
    <definedName name="____k1" hidden="1">#REF!</definedName>
    <definedName name="____KEY1" hidden="1">#REF!</definedName>
    <definedName name="___k1" hidden="1">#REF!</definedName>
    <definedName name="___KEY1" hidden="1">#REF!</definedName>
    <definedName name="__k1" hidden="1">#REF!</definedName>
    <definedName name="__KEY1" hidden="1">#REF!</definedName>
    <definedName name="_k1" hidden="1">#REF!</definedName>
    <definedName name="_Key1" hidden="1">#REF!</definedName>
    <definedName name="_Order1" hidden="1">0</definedName>
    <definedName name="bond">[1]Dredge5!$B$44</definedName>
    <definedName name="cubicyard">[1]Dredge1!$F$25</definedName>
    <definedName name="d" hidden="1">#REF!</definedName>
    <definedName name="field">[1]Dredge4!$F$48</definedName>
    <definedName name="fieldlaborno">[1]Dredge4!$B$18</definedName>
    <definedName name="ganda">[1]Dredge5!$B$40</definedName>
    <definedName name="key" hidden="1">#REF!</definedName>
    <definedName name="labor">[1]Dredge3!$H$35</definedName>
    <definedName name="misc">[1]Dredge5!$E$10</definedName>
    <definedName name="monthlaborno">[1]Dredge3!$C$27</definedName>
    <definedName name="operating">[1]Dredge3!$H$58</definedName>
    <definedName name="ownership">[1]Dredge2!$M$23</definedName>
    <definedName name="profit">[1]Dredge5!$B$42</definedName>
    <definedName name="Remaining_Monthly_Operating_Costs">[1]Dredge3!$H$56</definedName>
    <definedName name="ssetc">[1]Dredge3!$C$31</definedName>
    <definedName name="TOTAL_FIXED_COSTS">[1]Dredge5!$E$28</definedName>
    <definedName name="Total_Monthly_Costs">[1]Dredge5!$E$19</definedName>
    <definedName name="usemonth">[1]Dredge2!$M$7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2" i="1" l="1"/>
  <c r="W30" i="1"/>
  <c r="W28" i="1"/>
  <c r="W33" i="1" s="1"/>
  <c r="W26" i="1"/>
  <c r="W24" i="1"/>
  <c r="W23" i="1"/>
  <c r="W22" i="1"/>
  <c r="W16" i="1"/>
  <c r="W13" i="1"/>
  <c r="W9" i="1"/>
  <c r="U13" i="1"/>
  <c r="S13" i="1"/>
  <c r="S14" i="1"/>
  <c r="Q13" i="1"/>
  <c r="Q14" i="1"/>
  <c r="O13" i="1"/>
  <c r="O14" i="1"/>
  <c r="O27" i="1"/>
  <c r="O28" i="1"/>
  <c r="O29" i="1"/>
  <c r="Q28" i="1"/>
  <c r="Q29" i="1"/>
  <c r="S27" i="1"/>
  <c r="S28" i="1"/>
  <c r="S29" i="1"/>
  <c r="U28" i="1"/>
  <c r="U22" i="1"/>
  <c r="U23" i="1"/>
  <c r="S22" i="1"/>
  <c r="S23" i="1"/>
  <c r="Q22" i="1"/>
  <c r="Q23" i="1"/>
  <c r="O22" i="1"/>
  <c r="S32" i="1"/>
  <c r="Q32" i="1"/>
  <c r="O32" i="1"/>
  <c r="F32" i="1"/>
  <c r="F31" i="1"/>
  <c r="U30" i="1"/>
  <c r="S30" i="1"/>
  <c r="Q30" i="1"/>
  <c r="O30" i="1"/>
  <c r="F30" i="1"/>
  <c r="F28" i="1"/>
  <c r="F25" i="1"/>
  <c r="F22" i="1"/>
  <c r="F13" i="1"/>
  <c r="W17" i="1" l="1"/>
  <c r="W35" i="1" s="1"/>
  <c r="W41" i="1" s="1"/>
  <c r="W43" i="1" s="1"/>
  <c r="S33" i="1"/>
  <c r="Q33" i="1"/>
  <c r="U33" i="1"/>
  <c r="O33" i="1"/>
  <c r="F33" i="1"/>
  <c r="U24" i="1"/>
  <c r="U26" i="1" s="1"/>
  <c r="U16" i="1"/>
  <c r="S24" i="1"/>
  <c r="S26" i="1" s="1"/>
  <c r="S16" i="1"/>
  <c r="S12" i="1"/>
  <c r="Q24" i="1"/>
  <c r="Q26" i="1" s="1"/>
  <c r="Q16" i="1"/>
  <c r="Q12" i="1"/>
  <c r="O24" i="1"/>
  <c r="O26" i="1" s="1"/>
  <c r="F24" i="1"/>
  <c r="F26" i="1" s="1"/>
  <c r="S9" i="1" l="1"/>
  <c r="U9" i="1"/>
  <c r="O12" i="1"/>
  <c r="O16" i="1"/>
  <c r="L12" i="1"/>
  <c r="L16" i="1"/>
  <c r="L39" i="1" l="1"/>
  <c r="L38" i="1"/>
  <c r="L37" i="1"/>
  <c r="D10" i="1"/>
  <c r="C10" i="1"/>
  <c r="Q9" i="1"/>
  <c r="O9" i="1"/>
  <c r="U17" i="1" l="1"/>
  <c r="Q17" i="1"/>
  <c r="S10" i="1"/>
  <c r="S17" i="1" s="1"/>
  <c r="L10" i="1"/>
  <c r="O10" i="1"/>
  <c r="O17" i="1" s="1"/>
  <c r="F16" i="1"/>
  <c r="I16" i="1"/>
  <c r="I12" i="1"/>
  <c r="F10" i="1"/>
  <c r="I10" i="1"/>
  <c r="U35" i="1" l="1"/>
  <c r="U41" i="1" s="1"/>
  <c r="S35" i="1"/>
  <c r="S41" i="1" s="1"/>
  <c r="Q35" i="1"/>
  <c r="Q41" i="1" s="1"/>
  <c r="O35" i="1"/>
  <c r="O41" i="1" s="1"/>
  <c r="F17" i="1"/>
  <c r="L34" i="1"/>
  <c r="I34" i="1"/>
  <c r="F35" i="1" l="1"/>
  <c r="F41" i="1" s="1"/>
  <c r="S43" i="1" s="1"/>
  <c r="I41" i="1"/>
  <c r="J34" i="1" s="1"/>
  <c r="L41" i="1"/>
  <c r="M34" i="1" s="1"/>
  <c r="O43" i="1" l="1"/>
  <c r="Q43" i="1"/>
  <c r="M16" i="1"/>
  <c r="M12" i="1"/>
  <c r="M35" i="1"/>
  <c r="M10" i="1"/>
  <c r="U43" i="1"/>
  <c r="J16" i="1"/>
  <c r="J35" i="1"/>
  <c r="J12" i="1"/>
  <c r="J10" i="1"/>
  <c r="M41" i="1" l="1"/>
  <c r="J41" i="1"/>
  <c r="G12" i="1" l="1"/>
  <c r="I43" i="1"/>
  <c r="G16" i="1"/>
  <c r="L43" i="1"/>
  <c r="G34" i="1"/>
  <c r="G10" i="1"/>
  <c r="G4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usace</author>
  </authors>
  <commentList>
    <comment ref="A40" authorId="0" shapeId="0" xr:uid="{9703800F-82A0-479B-B58E-DFE23E760E20}">
      <text>
        <r>
          <rPr>
            <b/>
            <sz val="8"/>
            <color indexed="81"/>
            <rFont val="Tahoma"/>
            <family val="2"/>
          </rPr>
          <t xml:space="preserve">Estimator:  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b/>
            <sz val="8"/>
            <color indexed="81"/>
            <rFont val="Tahoma"/>
            <family val="2"/>
          </rPr>
          <t xml:space="preserve">Do not forget to email a copy of the bid abstract </t>
        </r>
        <r>
          <rPr>
            <b/>
            <u/>
            <sz val="8"/>
            <color indexed="81"/>
            <rFont val="Tahoma"/>
            <family val="2"/>
          </rPr>
          <t>ONLY</t>
        </r>
        <r>
          <rPr>
            <b/>
            <sz val="8"/>
            <color indexed="81"/>
            <rFont val="Tahoma"/>
            <family val="2"/>
          </rPr>
          <t xml:space="preserve"> to Karl J Clark (KC) when completed.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96" authorId="0" shapeId="0" xr:uid="{5638584C-936A-4BB1-8E54-F53984E07560}">
      <text>
        <r>
          <rPr>
            <b/>
            <sz val="8"/>
            <color indexed="81"/>
            <rFont val="Tahoma"/>
            <family val="2"/>
          </rPr>
          <t xml:space="preserve">Estimator:  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b/>
            <sz val="8"/>
            <color indexed="81"/>
            <rFont val="Tahoma"/>
            <family val="2"/>
          </rPr>
          <t xml:space="preserve">Do not forget to email a copy of the bid abstract </t>
        </r>
        <r>
          <rPr>
            <b/>
            <u/>
            <sz val="8"/>
            <color indexed="81"/>
            <rFont val="Tahoma"/>
            <family val="2"/>
          </rPr>
          <t>ONLY</t>
        </r>
        <r>
          <rPr>
            <b/>
            <sz val="8"/>
            <color indexed="81"/>
            <rFont val="Tahoma"/>
            <family val="2"/>
          </rPr>
          <t xml:space="preserve"> to Karl J Clark (KC) when completed.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<sst xmlns="http://schemas.openxmlformats.org/spreadsheetml/2006/main" count="102" uniqueCount="68">
  <si>
    <t xml:space="preserve">        ABSTRACT OF BIDS - CONSTRUCTION </t>
  </si>
  <si>
    <t>CENAP</t>
  </si>
  <si>
    <t>page 1 of 1</t>
  </si>
  <si>
    <t xml:space="preserve">        BID NO.</t>
  </si>
  <si>
    <t>1 of 5</t>
  </si>
  <si>
    <t>2 of 5</t>
  </si>
  <si>
    <t xml:space="preserve"> 1 of  4</t>
  </si>
  <si>
    <t>2 of 4</t>
  </si>
  <si>
    <t>3 of 4</t>
  </si>
  <si>
    <t xml:space="preserve">        BID NO.4of 4</t>
  </si>
  <si>
    <t xml:space="preserve">        BID NO. 5 of 5</t>
  </si>
  <si>
    <t>For:</t>
  </si>
  <si>
    <t>Lead Paint Abatement and Painting at BM and BLTZ</t>
  </si>
  <si>
    <t>W912BU-25-BA-014</t>
  </si>
  <si>
    <t>Norfolk Dredging</t>
  </si>
  <si>
    <t>Kokosing</t>
  </si>
  <si>
    <t>Titan Construction Management</t>
  </si>
  <si>
    <t>Thomas Joseph Solutions INC</t>
  </si>
  <si>
    <t>Royal Bridge, INC</t>
  </si>
  <si>
    <t>Ozark Tic JV, LLC</t>
  </si>
  <si>
    <t>Ritz Construction INC</t>
  </si>
  <si>
    <t xml:space="preserve">I CERTIFY that I have opened, read, and recorded </t>
  </si>
  <si>
    <t>Date Opened:</t>
  </si>
  <si>
    <t xml:space="preserve">1787 S pinellas Ave STE 600, </t>
  </si>
  <si>
    <t>643 Ridge Pike</t>
  </si>
  <si>
    <t>3601 Alt 19 STE A</t>
  </si>
  <si>
    <t>3067 S Westwood BLVD</t>
  </si>
  <si>
    <t>47 E All Saints ST</t>
  </si>
  <si>
    <t xml:space="preserve">all offers recieved in response to this solicitation </t>
  </si>
  <si>
    <t>GOVERNMENT ESTIMATE</t>
  </si>
  <si>
    <t xml:space="preserve">Tarpon Springs, FL 34689-1930 </t>
  </si>
  <si>
    <t>Lafayette Hill, Pennsylvania</t>
  </si>
  <si>
    <t>Palm Harbor, Florida</t>
  </si>
  <si>
    <t>Poplar Bluff, Missouri</t>
  </si>
  <si>
    <t xml:space="preserve"> Frederick, Maryland</t>
  </si>
  <si>
    <r>
      <rPr>
        <b/>
        <sz val="10"/>
        <color rgb="FF000000"/>
        <rFont val="Arial"/>
      </rPr>
      <t>Name and title of Certifiying Official:</t>
    </r>
    <r>
      <rPr>
        <sz val="10"/>
        <color rgb="FF000000"/>
        <rFont val="Arial"/>
      </rPr>
      <t xml:space="preserve"> Brandon Mormello - Contracting Officer</t>
    </r>
  </si>
  <si>
    <t>United States</t>
  </si>
  <si>
    <t>19444, United States</t>
  </si>
  <si>
    <t>34683-1479, United States</t>
  </si>
  <si>
    <t>63901-7378, United States</t>
  </si>
  <si>
    <t>21701-5633, United States</t>
  </si>
  <si>
    <t>Amendment Acknowledged: Yes</t>
  </si>
  <si>
    <t>Amendment Acknowledged : Yes</t>
  </si>
  <si>
    <t>Item</t>
  </si>
  <si>
    <t xml:space="preserve">  Description of Bid Item</t>
  </si>
  <si>
    <t>Estimated</t>
  </si>
  <si>
    <t>Unit</t>
  </si>
  <si>
    <t>Unit Price</t>
  </si>
  <si>
    <t>Percentage of Work Plan</t>
  </si>
  <si>
    <t>No.</t>
  </si>
  <si>
    <t>Quantity</t>
  </si>
  <si>
    <t>Cost</t>
  </si>
  <si>
    <t>BASE WORK</t>
  </si>
  <si>
    <t>0001</t>
  </si>
  <si>
    <t>Lead Based Paint Removal and Repainting of Exterior Elevator Shaft Framing</t>
  </si>
  <si>
    <t>0002</t>
  </si>
  <si>
    <t>Lead Based Paint Removal and Repainting of Water Supply Line Valve</t>
  </si>
  <si>
    <t>JOB</t>
  </si>
  <si>
    <t>0003</t>
  </si>
  <si>
    <t>Debris Removal and Disposal</t>
  </si>
  <si>
    <t>TOTAL ESTIMATED BASE BID AMOUNT :</t>
  </si>
  <si>
    <t>Estimator: Dominic Franchi</t>
  </si>
  <si>
    <t>TOTAL</t>
  </si>
  <si>
    <t>MAXIMUM</t>
  </si>
  <si>
    <t>Titan Construction</t>
  </si>
  <si>
    <t>Thomas Joseph Solutions</t>
  </si>
  <si>
    <t>Royal Bridge INC</t>
  </si>
  <si>
    <t>Ozark TIC JV,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</si>
</sst>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&quot;$&quot;#,##0.00\ ;\(&quot;$&quot;#,##0.00\)"/>
    <numFmt numFmtId="165" formatCode="dd\-mmm\-yy"/>
    <numFmt numFmtId="166" formatCode="&quot;$&quot;#,##0.00"/>
  </numFmts>
  <fonts count="22" x14ac:knownFonts="1">
    <font>
      <sz val="11"/>
      <color theme="1"/>
      <name val="Calibri"/>
      <family val="2"/>
      <scheme val="minor"/>
    </font>
    <font>
      <sz val="10"/>
      <color indexed="24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u/>
      <sz val="8"/>
      <color indexed="81"/>
      <name val="Tahoma"/>
      <family val="2"/>
    </font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indexed="8"/>
      <name val="Arial"/>
      <family val="2"/>
    </font>
    <font>
      <b/>
      <sz val="12"/>
      <name val="Arial"/>
      <family val="2"/>
    </font>
    <font>
      <sz val="8"/>
      <name val="Calibri"/>
      <family val="2"/>
      <scheme val="minor"/>
    </font>
    <font>
      <b/>
      <sz val="14"/>
      <color indexed="8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Arial"/>
    </font>
    <font>
      <sz val="10"/>
      <color rgb="FF000000"/>
      <name val="Arial"/>
    </font>
    <font>
      <b/>
      <sz val="12"/>
      <color indexed="8"/>
      <name val="Calibri"/>
      <scheme val="minor"/>
    </font>
    <font>
      <b/>
      <sz val="12"/>
      <name val="Calibri"/>
      <scheme val="minor"/>
    </font>
    <font>
      <b/>
      <sz val="10"/>
      <color rgb="FFFF0000"/>
      <name val="Arial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818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44" fontId="10" fillId="0" borderId="0" applyFont="0" applyFill="0" applyBorder="0" applyAlignment="0" applyProtection="0"/>
    <xf numFmtId="0" fontId="11" fillId="0" borderId="0"/>
  </cellStyleXfs>
  <cellXfs count="183">
    <xf numFmtId="0" fontId="0" fillId="0" borderId="0" xfId="0"/>
    <xf numFmtId="0" fontId="2" fillId="0" borderId="1" xfId="1" applyFont="1" applyBorder="1" applyProtection="1">
      <protection locked="0"/>
    </xf>
    <xf numFmtId="0" fontId="2" fillId="0" borderId="2" xfId="1" applyFont="1" applyBorder="1" applyProtection="1">
      <protection locked="0"/>
    </xf>
    <xf numFmtId="0" fontId="2" fillId="0" borderId="1" xfId="1" applyFont="1" applyBorder="1" applyAlignment="1" applyProtection="1">
      <alignment horizontal="center"/>
      <protection locked="0"/>
    </xf>
    <xf numFmtId="0" fontId="2" fillId="0" borderId="3" xfId="1" applyFont="1" applyBorder="1" applyProtection="1">
      <protection locked="0"/>
    </xf>
    <xf numFmtId="0" fontId="2" fillId="0" borderId="0" xfId="1" applyFont="1" applyProtection="1">
      <protection locked="0"/>
    </xf>
    <xf numFmtId="164" fontId="2" fillId="0" borderId="0" xfId="1" applyNumberFormat="1" applyFont="1" applyProtection="1">
      <protection locked="0"/>
    </xf>
    <xf numFmtId="0" fontId="2" fillId="0" borderId="0" xfId="1" applyFont="1"/>
    <xf numFmtId="0" fontId="2" fillId="0" borderId="5" xfId="1" applyFont="1" applyBorder="1" applyProtection="1">
      <protection locked="0"/>
    </xf>
    <xf numFmtId="0" fontId="2" fillId="0" borderId="9" xfId="1" applyFont="1" applyBorder="1" applyAlignment="1" applyProtection="1">
      <alignment horizontal="center"/>
      <protection locked="0"/>
    </xf>
    <xf numFmtId="0" fontId="2" fillId="0" borderId="7" xfId="1" applyFont="1" applyBorder="1" applyProtection="1">
      <protection locked="0"/>
    </xf>
    <xf numFmtId="0" fontId="2" fillId="0" borderId="10" xfId="1" applyFont="1" applyBorder="1" applyAlignment="1" applyProtection="1">
      <alignment horizontal="center"/>
      <protection locked="0"/>
    </xf>
    <xf numFmtId="3" fontId="2" fillId="0" borderId="4" xfId="1" applyNumberFormat="1" applyFont="1" applyBorder="1" applyAlignment="1" applyProtection="1">
      <alignment horizontal="center"/>
      <protection locked="0"/>
    </xf>
    <xf numFmtId="0" fontId="2" fillId="0" borderId="4" xfId="1" applyFont="1" applyBorder="1" applyAlignment="1" applyProtection="1">
      <alignment horizontal="center"/>
      <protection locked="0"/>
    </xf>
    <xf numFmtId="164" fontId="2" fillId="0" borderId="4" xfId="1" applyNumberFormat="1" applyFont="1" applyBorder="1" applyAlignment="1" applyProtection="1">
      <alignment horizontal="center"/>
      <protection locked="0"/>
    </xf>
    <xf numFmtId="164" fontId="2" fillId="0" borderId="4" xfId="1" applyNumberFormat="1" applyFont="1" applyBorder="1" applyProtection="1">
      <protection locked="0"/>
    </xf>
    <xf numFmtId="164" fontId="2" fillId="0" borderId="11" xfId="1" applyNumberFormat="1" applyFont="1" applyBorder="1" applyProtection="1">
      <protection locked="0"/>
    </xf>
    <xf numFmtId="3" fontId="2" fillId="0" borderId="5" xfId="1" applyNumberFormat="1" applyFont="1" applyBorder="1" applyAlignment="1" applyProtection="1">
      <alignment horizontal="center"/>
      <protection locked="0"/>
    </xf>
    <xf numFmtId="3" fontId="2" fillId="0" borderId="5" xfId="1" applyNumberFormat="1" applyFont="1" applyBorder="1" applyAlignment="1" applyProtection="1">
      <alignment horizontal="left"/>
      <protection locked="0"/>
    </xf>
    <xf numFmtId="0" fontId="2" fillId="0" borderId="5" xfId="1" applyFont="1" applyBorder="1" applyAlignment="1" applyProtection="1">
      <alignment horizontal="center"/>
      <protection locked="0"/>
    </xf>
    <xf numFmtId="164" fontId="2" fillId="0" borderId="5" xfId="1" applyNumberFormat="1" applyFont="1" applyBorder="1" applyProtection="1">
      <protection locked="0"/>
    </xf>
    <xf numFmtId="164" fontId="2" fillId="0" borderId="12" xfId="1" applyNumberFormat="1" applyFont="1" applyBorder="1" applyProtection="1">
      <protection locked="0"/>
    </xf>
    <xf numFmtId="3" fontId="2" fillId="0" borderId="5" xfId="1" applyNumberFormat="1" applyFont="1" applyBorder="1" applyProtection="1">
      <protection locked="0"/>
    </xf>
    <xf numFmtId="0" fontId="2" fillId="0" borderId="0" xfId="1" applyFont="1" applyAlignment="1" applyProtection="1">
      <alignment horizontal="right"/>
      <protection locked="0"/>
    </xf>
    <xf numFmtId="0" fontId="2" fillId="3" borderId="7" xfId="1" applyFont="1" applyFill="1" applyBorder="1" applyProtection="1">
      <protection locked="0"/>
    </xf>
    <xf numFmtId="0" fontId="2" fillId="0" borderId="13" xfId="1" applyFont="1" applyBorder="1" applyProtection="1">
      <protection locked="0"/>
    </xf>
    <xf numFmtId="10" fontId="2" fillId="0" borderId="7" xfId="1" applyNumberFormat="1" applyFont="1" applyBorder="1" applyProtection="1">
      <protection locked="0"/>
    </xf>
    <xf numFmtId="10" fontId="2" fillId="0" borderId="0" xfId="1" applyNumberFormat="1" applyFont="1" applyProtection="1">
      <protection locked="0"/>
    </xf>
    <xf numFmtId="0" fontId="3" fillId="0" borderId="0" xfId="1" applyFont="1" applyProtection="1">
      <protection locked="0"/>
    </xf>
    <xf numFmtId="0" fontId="2" fillId="0" borderId="0" xfId="1" applyFont="1" applyAlignment="1">
      <alignment horizontal="left"/>
    </xf>
    <xf numFmtId="15" fontId="2" fillId="0" borderId="0" xfId="1" applyNumberFormat="1" applyFont="1" applyAlignment="1">
      <alignment horizontal="right"/>
    </xf>
    <xf numFmtId="3" fontId="2" fillId="0" borderId="0" xfId="1" applyNumberFormat="1" applyFont="1" applyProtection="1">
      <protection locked="0"/>
    </xf>
    <xf numFmtId="3" fontId="2" fillId="0" borderId="0" xfId="1" applyNumberFormat="1" applyFont="1" applyAlignment="1" applyProtection="1">
      <alignment horizontal="center"/>
      <protection locked="0"/>
    </xf>
    <xf numFmtId="3" fontId="2" fillId="0" borderId="0" xfId="1" applyNumberFormat="1" applyFont="1" applyAlignment="1">
      <alignment horizontal="center"/>
    </xf>
    <xf numFmtId="0" fontId="2" fillId="0" borderId="0" xfId="1" applyFont="1" applyAlignment="1" applyProtection="1">
      <alignment horizontal="left"/>
      <protection locked="0"/>
    </xf>
    <xf numFmtId="0" fontId="2" fillId="0" borderId="0" xfId="1" applyFont="1" applyAlignment="1">
      <alignment horizontal="center"/>
    </xf>
    <xf numFmtId="0" fontId="3" fillId="0" borderId="0" xfId="1" applyFont="1" applyAlignment="1" applyProtection="1">
      <alignment horizontal="center"/>
      <protection locked="0"/>
    </xf>
    <xf numFmtId="0" fontId="2" fillId="3" borderId="0" xfId="1" applyFont="1" applyFill="1" applyProtection="1">
      <protection locked="0"/>
    </xf>
    <xf numFmtId="3" fontId="2" fillId="0" borderId="5" xfId="1" applyNumberFormat="1" applyFont="1" applyBorder="1" applyAlignment="1" applyProtection="1">
      <alignment horizontal="left" wrapText="1"/>
      <protection locked="0"/>
    </xf>
    <xf numFmtId="3" fontId="2" fillId="0" borderId="0" xfId="1" applyNumberFormat="1" applyFont="1" applyBorder="1" applyAlignment="1" applyProtection="1">
      <alignment horizontal="center"/>
      <protection locked="0"/>
    </xf>
    <xf numFmtId="164" fontId="2" fillId="0" borderId="0" xfId="1" applyNumberFormat="1" applyFont="1" applyBorder="1" applyProtection="1">
      <protection locked="0"/>
    </xf>
    <xf numFmtId="0" fontId="4" fillId="0" borderId="12" xfId="4" applyFont="1" applyBorder="1" applyAlignment="1">
      <alignment horizontal="left" vertical="top" wrapText="1"/>
    </xf>
    <xf numFmtId="3" fontId="2" fillId="0" borderId="5" xfId="1" quotePrefix="1" applyNumberFormat="1" applyFont="1" applyBorder="1" applyAlignment="1" applyProtection="1">
      <alignment horizontal="center"/>
      <protection locked="0"/>
    </xf>
    <xf numFmtId="166" fontId="13" fillId="0" borderId="6" xfId="0" applyNumberFormat="1" applyFont="1" applyBorder="1" applyAlignment="1">
      <alignment horizontal="right" vertical="top"/>
    </xf>
    <xf numFmtId="166" fontId="13" fillId="0" borderId="12" xfId="3" applyNumberFormat="1" applyFont="1" applyFill="1" applyBorder="1" applyAlignment="1">
      <alignment vertical="top"/>
    </xf>
    <xf numFmtId="164" fontId="12" fillId="0" borderId="2" xfId="1" applyNumberFormat="1" applyFont="1" applyBorder="1" applyProtection="1">
      <protection locked="0"/>
    </xf>
    <xf numFmtId="164" fontId="12" fillId="0" borderId="5" xfId="1" applyNumberFormat="1" applyFont="1" applyBorder="1" applyProtection="1">
      <protection locked="0"/>
    </xf>
    <xf numFmtId="164" fontId="12" fillId="0" borderId="12" xfId="1" applyNumberFormat="1" applyFont="1" applyBorder="1" applyProtection="1">
      <protection locked="0"/>
    </xf>
    <xf numFmtId="164" fontId="12" fillId="6" borderId="13" xfId="1" applyNumberFormat="1" applyFont="1" applyFill="1" applyBorder="1" applyProtection="1">
      <protection locked="0"/>
    </xf>
    <xf numFmtId="0" fontId="2" fillId="4" borderId="0" xfId="1" applyFont="1" applyFill="1" applyAlignment="1" applyProtection="1">
      <alignment horizontal="right"/>
      <protection locked="0"/>
    </xf>
    <xf numFmtId="0" fontId="6" fillId="0" borderId="0" xfId="2" applyFont="1" applyAlignment="1">
      <alignment horizontal="center" wrapText="1"/>
    </xf>
    <xf numFmtId="0" fontId="2" fillId="0" borderId="0" xfId="1" applyFont="1" applyBorder="1" applyProtection="1">
      <protection locked="0"/>
    </xf>
    <xf numFmtId="10" fontId="2" fillId="4" borderId="13" xfId="1" applyNumberFormat="1" applyFont="1" applyFill="1" applyBorder="1" applyProtection="1">
      <protection locked="0"/>
    </xf>
    <xf numFmtId="0" fontId="2" fillId="0" borderId="1" xfId="1" applyFont="1" applyBorder="1" applyAlignment="1">
      <alignment horizontal="left"/>
    </xf>
    <xf numFmtId="10" fontId="2" fillId="0" borderId="5" xfId="1" applyNumberFormat="1" applyFont="1" applyBorder="1" applyAlignment="1" applyProtection="1">
      <alignment horizontal="center"/>
      <protection locked="0"/>
    </xf>
    <xf numFmtId="10" fontId="12" fillId="0" borderId="2" xfId="1" applyNumberFormat="1" applyFont="1" applyBorder="1" applyProtection="1">
      <protection locked="0"/>
    </xf>
    <xf numFmtId="10" fontId="2" fillId="0" borderId="12" xfId="1" applyNumberFormat="1" applyFont="1" applyBorder="1" applyAlignment="1" applyProtection="1">
      <alignment horizontal="center"/>
      <protection locked="0"/>
    </xf>
    <xf numFmtId="10" fontId="12" fillId="4" borderId="2" xfId="1" applyNumberFormat="1" applyFont="1" applyFill="1" applyBorder="1" applyProtection="1">
      <protection locked="0"/>
    </xf>
    <xf numFmtId="164" fontId="12" fillId="0" borderId="1" xfId="1" applyNumberFormat="1" applyFont="1" applyBorder="1" applyProtection="1">
      <protection locked="0"/>
    </xf>
    <xf numFmtId="0" fontId="2" fillId="0" borderId="5" xfId="1" applyFont="1" applyBorder="1" applyAlignment="1" applyProtection="1">
      <alignment horizontal="right"/>
      <protection locked="0"/>
    </xf>
    <xf numFmtId="10" fontId="2" fillId="5" borderId="10" xfId="1" applyNumberFormat="1" applyFont="1" applyFill="1" applyBorder="1" applyProtection="1">
      <protection locked="0"/>
    </xf>
    <xf numFmtId="164" fontId="12" fillId="4" borderId="1" xfId="1" applyNumberFormat="1" applyFont="1" applyFill="1" applyBorder="1" applyProtection="1">
      <protection locked="0"/>
    </xf>
    <xf numFmtId="0" fontId="2" fillId="4" borderId="5" xfId="1" applyFont="1" applyFill="1" applyBorder="1" applyAlignment="1" applyProtection="1">
      <alignment horizontal="right"/>
      <protection locked="0"/>
    </xf>
    <xf numFmtId="10" fontId="2" fillId="4" borderId="10" xfId="1" applyNumberFormat="1" applyFont="1" applyFill="1" applyBorder="1" applyProtection="1">
      <protection locked="0"/>
    </xf>
    <xf numFmtId="0" fontId="2" fillId="0" borderId="12" xfId="1" applyFont="1" applyBorder="1" applyAlignment="1" applyProtection="1">
      <alignment horizontal="right"/>
      <protection locked="0"/>
    </xf>
    <xf numFmtId="10" fontId="2" fillId="5" borderId="7" xfId="1" applyNumberFormat="1" applyFont="1" applyFill="1" applyBorder="1" applyProtection="1">
      <protection locked="0"/>
    </xf>
    <xf numFmtId="10" fontId="12" fillId="0" borderId="9" xfId="1" applyNumberFormat="1" applyFont="1" applyFill="1" applyBorder="1" applyProtection="1">
      <protection locked="0"/>
    </xf>
    <xf numFmtId="0" fontId="6" fillId="0" borderId="0" xfId="1" applyFont="1" applyAlignment="1" applyProtection="1">
      <alignment wrapText="1"/>
      <protection locked="0"/>
    </xf>
    <xf numFmtId="165" fontId="2" fillId="2" borderId="0" xfId="1" applyNumberFormat="1" applyFont="1" applyFill="1" applyAlignment="1" applyProtection="1">
      <protection locked="0"/>
    </xf>
    <xf numFmtId="0" fontId="4" fillId="0" borderId="0" xfId="2" applyAlignment="1"/>
    <xf numFmtId="166" fontId="2" fillId="0" borderId="0" xfId="1" applyNumberFormat="1" applyFont="1" applyAlignment="1">
      <alignment horizontal="right"/>
    </xf>
    <xf numFmtId="166" fontId="4" fillId="0" borderId="0" xfId="2" applyNumberFormat="1" applyAlignment="1"/>
    <xf numFmtId="166" fontId="6" fillId="0" borderId="0" xfId="2" applyNumberFormat="1" applyFont="1" applyAlignment="1">
      <alignment wrapText="1"/>
    </xf>
    <xf numFmtId="164" fontId="2" fillId="0" borderId="0" xfId="1" applyNumberFormat="1" applyFont="1" applyAlignment="1" applyProtection="1">
      <protection locked="0"/>
    </xf>
    <xf numFmtId="0" fontId="6" fillId="0" borderId="0" xfId="1" applyFont="1" applyAlignment="1" applyProtection="1">
      <protection locked="0"/>
    </xf>
    <xf numFmtId="166" fontId="2" fillId="0" borderId="0" xfId="1" applyNumberFormat="1" applyFont="1" applyAlignment="1" applyProtection="1">
      <alignment horizontal="center"/>
      <protection locked="0"/>
    </xf>
    <xf numFmtId="10" fontId="2" fillId="0" borderId="0" xfId="1" applyNumberFormat="1" applyFont="1" applyAlignment="1" applyProtection="1">
      <alignment horizontal="center"/>
      <protection locked="0"/>
    </xf>
    <xf numFmtId="10" fontId="12" fillId="0" borderId="1" xfId="1" applyNumberFormat="1" applyFont="1" applyFill="1" applyBorder="1" applyProtection="1">
      <protection locked="0"/>
    </xf>
    <xf numFmtId="10" fontId="2" fillId="0" borderId="7" xfId="1" applyNumberFormat="1" applyFont="1" applyFill="1" applyBorder="1" applyProtection="1">
      <protection locked="0"/>
    </xf>
    <xf numFmtId="0" fontId="2" fillId="0" borderId="5" xfId="1" applyFont="1" applyFill="1" applyBorder="1" applyAlignment="1" applyProtection="1">
      <alignment horizontal="right"/>
      <protection locked="0"/>
    </xf>
    <xf numFmtId="0" fontId="2" fillId="0" borderId="6" xfId="1" applyFont="1" applyFill="1" applyBorder="1" applyAlignment="1" applyProtection="1">
      <alignment horizontal="right"/>
      <protection locked="0"/>
    </xf>
    <xf numFmtId="0" fontId="2" fillId="0" borderId="0" xfId="1" applyFont="1" applyFill="1" applyBorder="1" applyAlignment="1" applyProtection="1">
      <alignment horizontal="right"/>
      <protection locked="0"/>
    </xf>
    <xf numFmtId="0" fontId="2" fillId="0" borderId="12" xfId="1" applyFont="1" applyFill="1" applyBorder="1" applyAlignment="1" applyProtection="1">
      <alignment horizontal="right"/>
      <protection locked="0"/>
    </xf>
    <xf numFmtId="3" fontId="2" fillId="0" borderId="15" xfId="1" quotePrefix="1" applyNumberFormat="1" applyFont="1" applyBorder="1" applyAlignment="1" applyProtection="1">
      <alignment horizontal="center"/>
      <protection locked="0"/>
    </xf>
    <xf numFmtId="3" fontId="2" fillId="0" borderId="15" xfId="1" applyNumberFormat="1" applyFont="1" applyBorder="1" applyAlignment="1" applyProtection="1">
      <alignment horizontal="left" wrapText="1"/>
      <protection locked="0"/>
    </xf>
    <xf numFmtId="3" fontId="2" fillId="0" borderId="15" xfId="1" applyNumberFormat="1" applyFont="1" applyBorder="1" applyAlignment="1" applyProtection="1">
      <alignment horizontal="center"/>
      <protection locked="0"/>
    </xf>
    <xf numFmtId="164" fontId="2" fillId="0" borderId="15" xfId="1" applyNumberFormat="1" applyFont="1" applyBorder="1" applyAlignment="1" applyProtection="1">
      <alignment horizontal="center"/>
      <protection locked="0"/>
    </xf>
    <xf numFmtId="10" fontId="2" fillId="0" borderId="14" xfId="1" applyNumberFormat="1" applyFont="1" applyBorder="1" applyAlignment="1" applyProtection="1">
      <alignment horizontal="center"/>
      <protection locked="0"/>
    </xf>
    <xf numFmtId="164" fontId="2" fillId="0" borderId="16" xfId="1" applyNumberFormat="1" applyFont="1" applyBorder="1" applyProtection="1">
      <protection locked="0"/>
    </xf>
    <xf numFmtId="164" fontId="2" fillId="0" borderId="15" xfId="1" applyNumberFormat="1" applyFont="1" applyBorder="1" applyProtection="1">
      <protection locked="0"/>
    </xf>
    <xf numFmtId="10" fontId="2" fillId="0" borderId="15" xfId="1" applyNumberFormat="1" applyFont="1" applyBorder="1" applyAlignment="1" applyProtection="1">
      <alignment horizontal="center"/>
      <protection locked="0"/>
    </xf>
    <xf numFmtId="164" fontId="2" fillId="0" borderId="14" xfId="1" applyNumberFormat="1" applyFont="1" applyBorder="1" applyProtection="1">
      <protection locked="0"/>
    </xf>
    <xf numFmtId="165" fontId="2" fillId="2" borderId="5" xfId="1" applyNumberFormat="1" applyFont="1" applyFill="1" applyBorder="1" applyAlignment="1" applyProtection="1">
      <alignment horizontal="center"/>
      <protection locked="0"/>
    </xf>
    <xf numFmtId="165" fontId="2" fillId="2" borderId="0" xfId="1" applyNumberFormat="1" applyFont="1" applyFill="1" applyBorder="1" applyAlignment="1" applyProtection="1">
      <alignment horizontal="center"/>
      <protection locked="0"/>
    </xf>
    <xf numFmtId="165" fontId="2" fillId="2" borderId="6" xfId="1" applyNumberFormat="1" applyFont="1" applyFill="1" applyBorder="1" applyAlignment="1" applyProtection="1">
      <alignment horizontal="center"/>
      <protection locked="0"/>
    </xf>
    <xf numFmtId="10" fontId="2" fillId="4" borderId="7" xfId="1" applyNumberFormat="1" applyFont="1" applyFill="1" applyBorder="1" applyProtection="1">
      <protection locked="0"/>
    </xf>
    <xf numFmtId="164" fontId="2" fillId="0" borderId="15" xfId="1" applyNumberFormat="1" applyFont="1" applyBorder="1" applyAlignment="1" applyProtection="1">
      <alignment horizontal="right"/>
      <protection locked="0"/>
    </xf>
    <xf numFmtId="10" fontId="2" fillId="4" borderId="8" xfId="1" applyNumberFormat="1" applyFont="1" applyFill="1" applyBorder="1" applyProtection="1">
      <protection locked="0"/>
    </xf>
    <xf numFmtId="164" fontId="2" fillId="0" borderId="14" xfId="1" applyNumberFormat="1" applyFont="1" applyBorder="1" applyAlignment="1" applyProtection="1">
      <alignment horizontal="right"/>
      <protection locked="0"/>
    </xf>
    <xf numFmtId="164" fontId="12" fillId="7" borderId="1" xfId="1" applyNumberFormat="1" applyFont="1" applyFill="1" applyBorder="1" applyProtection="1">
      <protection locked="0"/>
    </xf>
    <xf numFmtId="10" fontId="2" fillId="7" borderId="10" xfId="1" applyNumberFormat="1" applyFont="1" applyFill="1" applyBorder="1" applyProtection="1">
      <protection locked="0"/>
    </xf>
    <xf numFmtId="0" fontId="2" fillId="0" borderId="12" xfId="1" applyFont="1" applyBorder="1"/>
    <xf numFmtId="164" fontId="15" fillId="0" borderId="5" xfId="1" applyNumberFormat="1" applyFont="1" applyFill="1" applyBorder="1" applyAlignment="1" applyProtection="1">
      <alignment horizontal="center"/>
      <protection locked="0"/>
    </xf>
    <xf numFmtId="0" fontId="2" fillId="0" borderId="9" xfId="1" applyFont="1" applyBorder="1"/>
    <xf numFmtId="164" fontId="12" fillId="4" borderId="9" xfId="1" applyNumberFormat="1" applyFont="1" applyFill="1" applyBorder="1" applyProtection="1">
      <protection locked="0"/>
    </xf>
    <xf numFmtId="164" fontId="15" fillId="8" borderId="5" xfId="1" applyNumberFormat="1" applyFont="1" applyFill="1" applyBorder="1" applyAlignment="1" applyProtection="1">
      <alignment horizontal="center"/>
      <protection locked="0"/>
    </xf>
    <xf numFmtId="10" fontId="2" fillId="8" borderId="7" xfId="1" applyNumberFormat="1" applyFont="1" applyFill="1" applyBorder="1" applyProtection="1">
      <protection locked="0"/>
    </xf>
    <xf numFmtId="164" fontId="12" fillId="8" borderId="1" xfId="1" applyNumberFormat="1" applyFont="1" applyFill="1" applyBorder="1" applyProtection="1">
      <protection locked="0"/>
    </xf>
    <xf numFmtId="164" fontId="12" fillId="8" borderId="9" xfId="1" applyNumberFormat="1" applyFont="1" applyFill="1" applyBorder="1" applyProtection="1">
      <protection locked="0"/>
    </xf>
    <xf numFmtId="10" fontId="2" fillId="8" borderId="10" xfId="1" applyNumberFormat="1" applyFont="1" applyFill="1" applyBorder="1" applyProtection="1">
      <protection locked="0"/>
    </xf>
    <xf numFmtId="164" fontId="12" fillId="8" borderId="13" xfId="1" applyNumberFormat="1" applyFont="1" applyFill="1" applyBorder="1" applyProtection="1">
      <protection locked="0"/>
    </xf>
    <xf numFmtId="0" fontId="2" fillId="0" borderId="7" xfId="1" applyFont="1" applyBorder="1" applyAlignment="1" applyProtection="1">
      <alignment horizontal="center"/>
      <protection locked="0"/>
    </xf>
    <xf numFmtId="164" fontId="19" fillId="0" borderId="5" xfId="1" applyNumberFormat="1" applyFont="1" applyBorder="1" applyAlignment="1" applyProtection="1">
      <alignment horizontal="right"/>
      <protection locked="0"/>
    </xf>
    <xf numFmtId="166" fontId="20" fillId="0" borderId="6" xfId="0" applyNumberFormat="1" applyFont="1" applyBorder="1" applyAlignment="1">
      <alignment horizontal="right" vertical="top"/>
    </xf>
    <xf numFmtId="164" fontId="2" fillId="6" borderId="0" xfId="1" applyNumberFormat="1" applyFont="1" applyFill="1" applyBorder="1" applyAlignment="1" applyProtection="1">
      <alignment horizontal="center"/>
      <protection locked="0"/>
    </xf>
    <xf numFmtId="0" fontId="2" fillId="6" borderId="1" xfId="1" applyFont="1" applyFill="1" applyBorder="1" applyAlignment="1" applyProtection="1">
      <alignment horizontal="center"/>
      <protection locked="0"/>
    </xf>
    <xf numFmtId="0" fontId="2" fillId="6" borderId="9" xfId="1" applyFont="1" applyFill="1" applyBorder="1" applyAlignment="1" applyProtection="1">
      <alignment horizontal="center"/>
      <protection locked="0"/>
    </xf>
    <xf numFmtId="0" fontId="2" fillId="6" borderId="7" xfId="1" applyFont="1" applyFill="1" applyBorder="1" applyAlignment="1" applyProtection="1">
      <alignment horizontal="center"/>
      <protection locked="0"/>
    </xf>
    <xf numFmtId="0" fontId="2" fillId="6" borderId="10" xfId="1" applyFont="1" applyFill="1" applyBorder="1" applyAlignment="1" applyProtection="1">
      <alignment horizontal="center"/>
      <protection locked="0"/>
    </xf>
    <xf numFmtId="164" fontId="2" fillId="6" borderId="4" xfId="1" applyNumberFormat="1" applyFont="1" applyFill="1" applyBorder="1" applyProtection="1">
      <protection locked="0"/>
    </xf>
    <xf numFmtId="164" fontId="2" fillId="6" borderId="11" xfId="1" applyNumberFormat="1" applyFont="1" applyFill="1" applyBorder="1" applyProtection="1">
      <protection locked="0"/>
    </xf>
    <xf numFmtId="164" fontId="2" fillId="6" borderId="5" xfId="1" applyNumberFormat="1" applyFont="1" applyFill="1" applyBorder="1" applyProtection="1">
      <protection locked="0"/>
    </xf>
    <xf numFmtId="164" fontId="2" fillId="6" borderId="15" xfId="1" applyNumberFormat="1" applyFont="1" applyFill="1" applyBorder="1" applyProtection="1">
      <protection locked="0"/>
    </xf>
    <xf numFmtId="164" fontId="12" fillId="6" borderId="5" xfId="1" applyNumberFormat="1" applyFont="1" applyFill="1" applyBorder="1" applyProtection="1">
      <protection locked="0"/>
    </xf>
    <xf numFmtId="164" fontId="2" fillId="0" borderId="5" xfId="1" applyNumberFormat="1" applyFont="1" applyBorder="1" applyAlignment="1" applyProtection="1">
      <alignment horizontal="center"/>
      <protection locked="0"/>
    </xf>
    <xf numFmtId="164" fontId="2" fillId="0" borderId="0" xfId="1" applyNumberFormat="1" applyFont="1" applyBorder="1" applyAlignment="1" applyProtection="1">
      <alignment horizontal="center"/>
      <protection locked="0"/>
    </xf>
    <xf numFmtId="164" fontId="2" fillId="0" borderId="6" xfId="1" applyNumberFormat="1" applyFont="1" applyBorder="1" applyAlignment="1" applyProtection="1">
      <alignment horizontal="center"/>
      <protection locked="0"/>
    </xf>
    <xf numFmtId="0" fontId="5" fillId="0" borderId="0" xfId="2" applyFont="1" applyAlignment="1">
      <alignment horizontal="center"/>
    </xf>
    <xf numFmtId="0" fontId="6" fillId="0" borderId="0" xfId="2" applyFont="1" applyAlignment="1">
      <alignment horizontal="center"/>
    </xf>
    <xf numFmtId="0" fontId="2" fillId="0" borderId="0" xfId="1" applyFont="1" applyAlignment="1" applyProtection="1">
      <alignment horizontal="center"/>
      <protection locked="0"/>
    </xf>
    <xf numFmtId="0" fontId="4" fillId="0" borderId="0" xfId="2" applyAlignment="1">
      <alignment horizontal="center"/>
    </xf>
    <xf numFmtId="164" fontId="2" fillId="0" borderId="0" xfId="1" applyNumberFormat="1" applyFont="1" applyAlignment="1" applyProtection="1">
      <alignment horizontal="center"/>
      <protection locked="0"/>
    </xf>
    <xf numFmtId="164" fontId="2" fillId="6" borderId="5" xfId="1" applyNumberFormat="1" applyFont="1" applyFill="1" applyBorder="1" applyAlignment="1" applyProtection="1">
      <alignment horizontal="left"/>
      <protection locked="0"/>
    </xf>
    <xf numFmtId="164" fontId="2" fillId="0" borderId="5" xfId="1" applyNumberFormat="1" applyFont="1" applyBorder="1" applyAlignment="1" applyProtection="1">
      <alignment horizontal="left"/>
      <protection locked="0"/>
    </xf>
    <xf numFmtId="0" fontId="16" fillId="0" borderId="5" xfId="1" applyFont="1" applyBorder="1" applyAlignment="1" applyProtection="1">
      <alignment horizontal="right"/>
      <protection locked="0"/>
    </xf>
    <xf numFmtId="0" fontId="18" fillId="0" borderId="5" xfId="1" applyFont="1" applyBorder="1" applyAlignment="1" applyProtection="1">
      <alignment horizontal="left"/>
      <protection locked="0"/>
    </xf>
    <xf numFmtId="0" fontId="3" fillId="0" borderId="2" xfId="1" applyFont="1" applyBorder="1" applyAlignment="1" applyProtection="1">
      <alignment horizontal="right" vertical="top"/>
      <protection locked="0"/>
    </xf>
    <xf numFmtId="0" fontId="16" fillId="0" borderId="1" xfId="1" applyFont="1" applyBorder="1" applyAlignment="1" applyProtection="1">
      <alignment vertical="center"/>
      <protection locked="0"/>
    </xf>
    <xf numFmtId="164" fontId="2" fillId="0" borderId="1" xfId="1" applyNumberFormat="1" applyFont="1" applyBorder="1" applyAlignment="1" applyProtection="1">
      <alignment horizontal="left"/>
      <protection locked="0"/>
    </xf>
    <xf numFmtId="164" fontId="2" fillId="0" borderId="3" xfId="1" applyNumberFormat="1" applyFont="1" applyBorder="1" applyAlignment="1" applyProtection="1">
      <alignment horizontal="left"/>
      <protection locked="0"/>
    </xf>
    <xf numFmtId="164" fontId="2" fillId="0" borderId="5" xfId="1" applyNumberFormat="1" applyFont="1" applyBorder="1" applyAlignment="1" applyProtection="1">
      <alignment horizontal="left"/>
      <protection locked="0"/>
    </xf>
    <xf numFmtId="164" fontId="2" fillId="0" borderId="6" xfId="1" applyNumberFormat="1" applyFont="1" applyBorder="1" applyAlignment="1" applyProtection="1">
      <alignment horizontal="left"/>
      <protection locked="0"/>
    </xf>
    <xf numFmtId="0" fontId="21" fillId="0" borderId="7" xfId="1" applyFont="1" applyBorder="1" applyAlignment="1" applyProtection="1">
      <alignment horizontal="left"/>
      <protection locked="0"/>
    </xf>
    <xf numFmtId="0" fontId="2" fillId="0" borderId="8" xfId="1" applyFont="1" applyBorder="1" applyAlignment="1" applyProtection="1">
      <alignment horizontal="left"/>
      <protection locked="0"/>
    </xf>
    <xf numFmtId="164" fontId="2" fillId="0" borderId="1" xfId="1" applyNumberFormat="1" applyFont="1" applyBorder="1" applyAlignment="1" applyProtection="1">
      <alignment horizontal="center"/>
      <protection locked="0"/>
    </xf>
    <xf numFmtId="164" fontId="2" fillId="0" borderId="2" xfId="1" applyNumberFormat="1" applyFont="1" applyBorder="1" applyAlignment="1" applyProtection="1">
      <alignment horizontal="center"/>
      <protection locked="0"/>
    </xf>
    <xf numFmtId="164" fontId="2" fillId="0" borderId="0" xfId="1" applyNumberFormat="1" applyFont="1" applyBorder="1" applyAlignment="1" applyProtection="1">
      <alignment horizontal="left"/>
      <protection locked="0"/>
    </xf>
    <xf numFmtId="0" fontId="6" fillId="0" borderId="7" xfId="1" applyFont="1" applyBorder="1" applyAlignment="1" applyProtection="1">
      <alignment horizontal="left"/>
      <protection locked="0"/>
    </xf>
    <xf numFmtId="0" fontId="6" fillId="0" borderId="13" xfId="1" applyFont="1" applyBorder="1" applyAlignment="1" applyProtection="1">
      <alignment horizontal="left"/>
      <protection locked="0"/>
    </xf>
    <xf numFmtId="164" fontId="2" fillId="0" borderId="3" xfId="1" applyNumberFormat="1" applyFont="1" applyBorder="1" applyAlignment="1" applyProtection="1">
      <alignment horizontal="center"/>
      <protection locked="0"/>
    </xf>
    <xf numFmtId="0" fontId="6" fillId="0" borderId="7" xfId="1" applyFont="1" applyBorder="1" applyAlignment="1" applyProtection="1">
      <alignment horizontal="center" wrapText="1"/>
      <protection locked="0"/>
    </xf>
    <xf numFmtId="0" fontId="6" fillId="0" borderId="13" xfId="1" applyFont="1" applyBorder="1" applyAlignment="1" applyProtection="1">
      <alignment horizontal="center" wrapText="1"/>
      <protection locked="0"/>
    </xf>
    <xf numFmtId="0" fontId="6" fillId="0" borderId="8" xfId="1" applyFont="1" applyBorder="1" applyAlignment="1" applyProtection="1">
      <alignment horizontal="center" wrapText="1"/>
      <protection locked="0"/>
    </xf>
    <xf numFmtId="0" fontId="2" fillId="0" borderId="13" xfId="1" applyFont="1" applyBorder="1" applyAlignment="1" applyProtection="1">
      <alignment horizontal="left"/>
      <protection locked="0"/>
    </xf>
    <xf numFmtId="164" fontId="2" fillId="6" borderId="1" xfId="1" applyNumberFormat="1" applyFont="1" applyFill="1" applyBorder="1" applyAlignment="1" applyProtection="1">
      <alignment horizontal="center"/>
      <protection locked="0"/>
    </xf>
    <xf numFmtId="164" fontId="2" fillId="6" borderId="2" xfId="1" applyNumberFormat="1" applyFont="1" applyFill="1" applyBorder="1" applyAlignment="1" applyProtection="1">
      <alignment horizontal="center"/>
      <protection locked="0"/>
    </xf>
    <xf numFmtId="164" fontId="2" fillId="6" borderId="5" xfId="1" applyNumberFormat="1" applyFont="1" applyFill="1" applyBorder="1" applyAlignment="1" applyProtection="1">
      <alignment horizontal="left"/>
      <protection locked="0"/>
    </xf>
    <xf numFmtId="164" fontId="2" fillId="6" borderId="6" xfId="1" applyNumberFormat="1" applyFont="1" applyFill="1" applyBorder="1" applyAlignment="1" applyProtection="1">
      <alignment horizontal="left"/>
      <protection locked="0"/>
    </xf>
    <xf numFmtId="0" fontId="6" fillId="6" borderId="7" xfId="1" applyFont="1" applyFill="1" applyBorder="1" applyAlignment="1" applyProtection="1">
      <alignment horizontal="left"/>
      <protection locked="0"/>
    </xf>
    <xf numFmtId="0" fontId="6" fillId="6" borderId="13" xfId="1" applyFont="1" applyFill="1" applyBorder="1" applyAlignment="1" applyProtection="1">
      <alignment horizontal="left"/>
      <protection locked="0"/>
    </xf>
    <xf numFmtId="0" fontId="2" fillId="0" borderId="0" xfId="1" applyFont="1" applyAlignment="1" applyProtection="1">
      <alignment horizontal="center"/>
      <protection locked="0"/>
    </xf>
    <xf numFmtId="0" fontId="4" fillId="0" borderId="0" xfId="2" applyAlignment="1">
      <alignment horizontal="center"/>
    </xf>
    <xf numFmtId="164" fontId="2" fillId="0" borderId="0" xfId="1" applyNumberFormat="1" applyFont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0" fontId="4" fillId="0" borderId="0" xfId="2" applyFont="1" applyAlignment="1">
      <alignment horizontal="center"/>
    </xf>
    <xf numFmtId="15" fontId="2" fillId="0" borderId="2" xfId="1" applyNumberFormat="1" applyFont="1" applyBorder="1" applyAlignment="1">
      <alignment horizontal="left"/>
    </xf>
    <xf numFmtId="15" fontId="2" fillId="0" borderId="3" xfId="1" applyNumberFormat="1" applyFont="1" applyBorder="1" applyAlignment="1">
      <alignment horizontal="left"/>
    </xf>
    <xf numFmtId="165" fontId="3" fillId="2" borderId="1" xfId="1" applyNumberFormat="1" applyFont="1" applyFill="1" applyBorder="1" applyAlignment="1" applyProtection="1">
      <alignment horizontal="center"/>
      <protection locked="0"/>
    </xf>
    <xf numFmtId="165" fontId="3" fillId="2" borderId="2" xfId="1" applyNumberFormat="1" applyFont="1" applyFill="1" applyBorder="1" applyAlignment="1" applyProtection="1">
      <alignment horizontal="center"/>
      <protection locked="0"/>
    </xf>
    <xf numFmtId="165" fontId="3" fillId="2" borderId="3" xfId="1" applyNumberFormat="1" applyFont="1" applyFill="1" applyBorder="1" applyAlignment="1" applyProtection="1">
      <alignment horizontal="center"/>
      <protection locked="0"/>
    </xf>
    <xf numFmtId="164" fontId="2" fillId="0" borderId="5" xfId="1" applyNumberFormat="1" applyFont="1" applyBorder="1" applyAlignment="1" applyProtection="1">
      <alignment horizontal="center"/>
      <protection locked="0"/>
    </xf>
    <xf numFmtId="164" fontId="2" fillId="0" borderId="0" xfId="1" applyNumberFormat="1" applyFont="1" applyBorder="1" applyAlignment="1" applyProtection="1">
      <alignment horizontal="center"/>
      <protection locked="0"/>
    </xf>
    <xf numFmtId="164" fontId="2" fillId="0" borderId="6" xfId="1" applyNumberFormat="1" applyFont="1" applyBorder="1" applyAlignment="1" applyProtection="1">
      <alignment horizontal="center"/>
      <protection locked="0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5" fillId="0" borderId="0" xfId="2" applyFont="1" applyAlignment="1">
      <alignment horizontal="center"/>
    </xf>
    <xf numFmtId="0" fontId="6" fillId="0" borderId="0" xfId="1" applyFont="1" applyAlignment="1" applyProtection="1">
      <alignment horizontal="center"/>
      <protection locked="0"/>
    </xf>
    <xf numFmtId="0" fontId="6" fillId="0" borderId="0" xfId="2" applyFont="1" applyAlignment="1">
      <alignment horizontal="center"/>
    </xf>
    <xf numFmtId="164" fontId="2" fillId="4" borderId="1" xfId="1" applyNumberFormat="1" applyFont="1" applyFill="1" applyBorder="1" applyAlignment="1" applyProtection="1">
      <alignment horizontal="center"/>
      <protection locked="0"/>
    </xf>
    <xf numFmtId="164" fontId="2" fillId="4" borderId="2" xfId="1" applyNumberFormat="1" applyFont="1" applyFill="1" applyBorder="1" applyAlignment="1" applyProtection="1">
      <alignment horizontal="center"/>
      <protection locked="0"/>
    </xf>
    <xf numFmtId="164" fontId="2" fillId="4" borderId="3" xfId="1" applyNumberFormat="1" applyFont="1" applyFill="1" applyBorder="1" applyAlignment="1" applyProtection="1">
      <alignment horizontal="center"/>
      <protection locked="0"/>
    </xf>
  </cellXfs>
  <cellStyles count="5">
    <cellStyle name="Currency" xfId="3" builtinId="4"/>
    <cellStyle name="Normal" xfId="0" builtinId="0"/>
    <cellStyle name="Normal 2" xfId="2" xr:uid="{1CAF88DD-E5C8-4FE0-BB6C-EB67A46E6D92}"/>
    <cellStyle name="Normal 2 3" xfId="4" xr:uid="{13B6AA94-33CE-4BA1-BCEB-DD362003919B}"/>
    <cellStyle name="Normal_ABSTRACT" xfId="1" xr:uid="{91DDAC99-6623-42D8-98BD-F2884E870522}"/>
  </cellStyles>
  <dxfs count="0"/>
  <tableStyles count="0" defaultTableStyle="TableStyleMedium2" defaultPivotStyle="PivotStyleLight16"/>
  <colors>
    <mruColors>
      <color rgb="FFFF81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vd\mvn\jobs\advertised\2015-Dredging\15-B-0013SWPHopper\Lot3-14B-0054revise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2021_W912BU-21-B-0006_DPS%20Maint%20Dredging%20Phila%20to%20Sea_Wilmington%20Harbor\IGE\IGE\Item%200002AA%20-%20CEDEP%20-%2021B0006__DPS_22in_202109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 (2)"/>
      <sheetName val="Justification"/>
      <sheetName val="Cover"/>
      <sheetName val="Abstract"/>
      <sheetName val="Adequacy of Funds"/>
      <sheetName val="Bidsheet"/>
      <sheetName val="Mobilization"/>
      <sheetName val="MiscMob"/>
      <sheetName val="Dredge1"/>
      <sheetName val="Dredge2"/>
      <sheetName val="Dredge3"/>
      <sheetName val="Dredge4"/>
      <sheetName val="Dredge5"/>
      <sheetName val="Tugboat Rental"/>
      <sheetName val="Crewboat Rental"/>
      <sheetName val="Engr_services - Calculation"/>
      <sheetName val="Engr_Services - Email"/>
      <sheetName val="0004 -Sea Turtle Observers"/>
      <sheetName val="Description"/>
      <sheetName val="0005 - Silent Inspector 1 of 2"/>
      <sheetName val="Silent Inspector 2 of 2"/>
      <sheetName val="Sea Turtle Trawling &amp; MobDemob"/>
      <sheetName val="Pay ef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bstract"/>
      <sheetName val="Adequacy of Funds"/>
      <sheetName val="Cover"/>
      <sheetName val="Bidsheet"/>
      <sheetName val="Factors"/>
      <sheetName val="item2AAExcinputs"/>
      <sheetName val="Exc Input"/>
      <sheetName val="A"/>
      <sheetName val="B"/>
      <sheetName val="C"/>
      <sheetName val="D"/>
      <sheetName val="D1"/>
      <sheetName val="D2"/>
      <sheetName val="D3"/>
      <sheetName val="D4"/>
      <sheetName val="E"/>
      <sheetName val="Mob Input"/>
      <sheetName val="M"/>
      <sheetName val="Chklist"/>
      <sheetName val="DB_E"/>
      <sheetName val="DB_L"/>
      <sheetName val="Justification"/>
      <sheetName val="FieldTripReport"/>
      <sheetName val="Messages"/>
      <sheetName val="Modul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2">
          <cell r="A12" t="str">
            <v>0001</v>
          </cell>
          <cell r="C12">
            <v>1</v>
          </cell>
          <cell r="D12" t="str">
            <v>JOB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44571-F577-49B2-BC0F-0F822E53C5D6}">
  <sheetPr>
    <tabColor rgb="FF00B050"/>
  </sheetPr>
  <dimension ref="A1:X100"/>
  <sheetViews>
    <sheetView showGridLines="0" showZeros="0" tabSelected="1" showWhiteSpace="0" topLeftCell="B12" zoomScale="80" zoomScaleNormal="80" workbookViewId="0">
      <selection activeCell="S50" sqref="S50"/>
    </sheetView>
  </sheetViews>
  <sheetFormatPr defaultColWidth="10.28515625" defaultRowHeight="12.75" x14ac:dyDescent="0.2"/>
  <cols>
    <col min="1" max="1" width="7.42578125" style="7" customWidth="1"/>
    <col min="2" max="2" width="54.85546875" style="7" customWidth="1"/>
    <col min="3" max="3" width="11.28515625" style="7" customWidth="1"/>
    <col min="4" max="4" width="6.28515625" style="7" customWidth="1"/>
    <col min="5" max="5" width="14.85546875" style="7" bestFit="1" customWidth="1"/>
    <col min="6" max="6" width="20.140625" style="7" bestFit="1" customWidth="1"/>
    <col min="7" max="7" width="22.85546875" style="7" hidden="1" customWidth="1"/>
    <col min="8" max="8" width="14.7109375" style="7" hidden="1" customWidth="1"/>
    <col min="9" max="10" width="24.42578125" style="7" hidden="1" customWidth="1"/>
    <col min="11" max="11" width="14.7109375" style="7" hidden="1" customWidth="1"/>
    <col min="12" max="13" width="22" style="7" hidden="1" customWidth="1"/>
    <col min="14" max="14" width="14.140625" style="7" bestFit="1" customWidth="1"/>
    <col min="15" max="15" width="17.7109375" style="7" customWidth="1"/>
    <col min="16" max="16" width="14" style="7" customWidth="1"/>
    <col min="17" max="17" width="18" style="7" bestFit="1" customWidth="1"/>
    <col min="18" max="18" width="15.7109375" style="7" customWidth="1"/>
    <col min="19" max="19" width="19.5703125" style="7" customWidth="1"/>
    <col min="20" max="20" width="14.28515625" style="7" customWidth="1"/>
    <col min="21" max="21" width="18" style="7" customWidth="1"/>
    <col min="22" max="22" width="31.5703125" style="7" customWidth="1"/>
    <col min="23" max="23" width="22.140625" style="7" customWidth="1"/>
    <col min="24" max="24" width="0.28515625" style="7" customWidth="1"/>
    <col min="25" max="201" width="10.28515625" style="7" customWidth="1"/>
    <col min="202" max="202" width="1.7109375" style="7" customWidth="1"/>
    <col min="203" max="16384" width="10.28515625" style="7"/>
  </cols>
  <sheetData>
    <row r="1" spans="1:24" x14ac:dyDescent="0.2">
      <c r="A1" s="1"/>
      <c r="B1" s="136" t="s">
        <v>0</v>
      </c>
      <c r="C1" s="2"/>
      <c r="D1" s="2"/>
      <c r="E1" s="3" t="s">
        <v>1</v>
      </c>
      <c r="F1" s="3" t="s">
        <v>2</v>
      </c>
      <c r="G1" s="3"/>
      <c r="H1" s="1" t="s">
        <v>3</v>
      </c>
      <c r="I1" s="2" t="s">
        <v>4</v>
      </c>
      <c r="J1" s="2"/>
      <c r="K1" s="1" t="s">
        <v>3</v>
      </c>
      <c r="L1" s="4" t="s">
        <v>5</v>
      </c>
      <c r="M1" s="2"/>
      <c r="N1" s="1" t="s">
        <v>3</v>
      </c>
      <c r="O1" s="4" t="s">
        <v>6</v>
      </c>
      <c r="P1" s="1" t="s">
        <v>3</v>
      </c>
      <c r="Q1" s="4" t="s">
        <v>7</v>
      </c>
      <c r="R1" s="1" t="s">
        <v>3</v>
      </c>
      <c r="S1" s="4" t="s">
        <v>8</v>
      </c>
      <c r="T1" s="1" t="s">
        <v>9</v>
      </c>
      <c r="U1" s="2"/>
      <c r="V1" s="1" t="s">
        <v>10</v>
      </c>
      <c r="W1" s="2"/>
    </row>
    <row r="2" spans="1:24" x14ac:dyDescent="0.2">
      <c r="A2" s="1" t="s">
        <v>11</v>
      </c>
      <c r="B2" s="137" t="s">
        <v>12</v>
      </c>
      <c r="C2" s="2"/>
      <c r="D2" s="2"/>
      <c r="E2" s="173" t="s">
        <v>13</v>
      </c>
      <c r="F2" s="174"/>
      <c r="G2" s="175"/>
      <c r="H2" s="180" t="s">
        <v>14</v>
      </c>
      <c r="I2" s="181"/>
      <c r="J2" s="182"/>
      <c r="K2" s="144" t="s">
        <v>15</v>
      </c>
      <c r="L2" s="145"/>
      <c r="M2" s="149"/>
      <c r="N2" s="154" t="s">
        <v>16</v>
      </c>
      <c r="O2" s="155"/>
      <c r="P2" s="144" t="s">
        <v>17</v>
      </c>
      <c r="Q2" s="145"/>
      <c r="R2" s="144" t="s">
        <v>18</v>
      </c>
      <c r="S2" s="145"/>
      <c r="T2" s="144" t="s">
        <v>19</v>
      </c>
      <c r="U2" s="149"/>
      <c r="V2" s="138" t="s">
        <v>20</v>
      </c>
      <c r="W2" s="139"/>
    </row>
    <row r="3" spans="1:24" x14ac:dyDescent="0.2">
      <c r="A3" s="8"/>
      <c r="B3" s="134" t="s">
        <v>21</v>
      </c>
      <c r="C3" s="5"/>
      <c r="D3" s="5"/>
      <c r="E3" s="53" t="s">
        <v>22</v>
      </c>
      <c r="F3" s="165">
        <v>45919</v>
      </c>
      <c r="G3" s="166"/>
      <c r="H3" s="170"/>
      <c r="I3" s="171"/>
      <c r="J3" s="172"/>
      <c r="K3" s="170"/>
      <c r="L3" s="171"/>
      <c r="M3" s="172"/>
      <c r="N3" s="156" t="s">
        <v>23</v>
      </c>
      <c r="O3" s="157"/>
      <c r="P3" s="140" t="s">
        <v>24</v>
      </c>
      <c r="Q3" s="146"/>
      <c r="R3" s="140" t="s">
        <v>25</v>
      </c>
      <c r="S3" s="146"/>
      <c r="T3" s="140" t="s">
        <v>26</v>
      </c>
      <c r="U3" s="141"/>
      <c r="V3" s="140" t="s">
        <v>27</v>
      </c>
      <c r="W3" s="141"/>
    </row>
    <row r="4" spans="1:24" x14ac:dyDescent="0.2">
      <c r="A4" s="8"/>
      <c r="B4" s="134" t="s">
        <v>28</v>
      </c>
      <c r="C4" s="5"/>
      <c r="D4" s="5"/>
      <c r="E4" s="167" t="s">
        <v>29</v>
      </c>
      <c r="F4" s="168"/>
      <c r="G4" s="169"/>
      <c r="H4" s="170"/>
      <c r="I4" s="171"/>
      <c r="J4" s="172"/>
      <c r="K4" s="170"/>
      <c r="L4" s="171"/>
      <c r="M4" s="172"/>
      <c r="N4" s="156" t="s">
        <v>30</v>
      </c>
      <c r="O4" s="157"/>
      <c r="P4" s="140" t="s">
        <v>31</v>
      </c>
      <c r="Q4" s="146"/>
      <c r="R4" s="140" t="s">
        <v>32</v>
      </c>
      <c r="S4" s="146"/>
      <c r="T4" s="140" t="s">
        <v>33</v>
      </c>
      <c r="U4" s="141"/>
      <c r="V4" s="140" t="s">
        <v>34</v>
      </c>
      <c r="W4" s="141"/>
    </row>
    <row r="5" spans="1:24" x14ac:dyDescent="0.2">
      <c r="A5" s="8"/>
      <c r="B5" s="135" t="s">
        <v>35</v>
      </c>
      <c r="C5" s="5"/>
      <c r="D5" s="5"/>
      <c r="E5" s="92"/>
      <c r="F5" s="93"/>
      <c r="G5" s="94"/>
      <c r="H5" s="124"/>
      <c r="I5" s="125"/>
      <c r="J5" s="126"/>
      <c r="K5" s="124"/>
      <c r="L5" s="125"/>
      <c r="M5" s="126"/>
      <c r="N5" s="132" t="s">
        <v>36</v>
      </c>
      <c r="O5" s="114"/>
      <c r="P5" s="133" t="s">
        <v>37</v>
      </c>
      <c r="Q5" s="125"/>
      <c r="R5" s="133" t="s">
        <v>38</v>
      </c>
      <c r="S5" s="125"/>
      <c r="T5" s="133" t="s">
        <v>39</v>
      </c>
      <c r="U5" s="126"/>
      <c r="V5" s="133" t="s">
        <v>40</v>
      </c>
      <c r="W5" s="126"/>
    </row>
    <row r="6" spans="1:24" x14ac:dyDescent="0.2">
      <c r="A6" s="8"/>
      <c r="B6" s="8"/>
      <c r="C6" s="5"/>
      <c r="D6" s="5"/>
      <c r="E6" s="150"/>
      <c r="F6" s="151"/>
      <c r="G6" s="152"/>
      <c r="H6" s="150"/>
      <c r="I6" s="151"/>
      <c r="J6" s="152"/>
      <c r="K6" s="150"/>
      <c r="L6" s="151"/>
      <c r="M6" s="152"/>
      <c r="N6" s="158" t="s">
        <v>41</v>
      </c>
      <c r="O6" s="159"/>
      <c r="P6" s="142" t="s">
        <v>42</v>
      </c>
      <c r="Q6" s="153"/>
      <c r="R6" s="147" t="s">
        <v>42</v>
      </c>
      <c r="S6" s="148"/>
      <c r="T6" s="142" t="s">
        <v>41</v>
      </c>
      <c r="U6" s="143"/>
      <c r="V6" s="142" t="s">
        <v>42</v>
      </c>
      <c r="W6" s="143"/>
    </row>
    <row r="7" spans="1:24" x14ac:dyDescent="0.2">
      <c r="A7" s="3" t="s">
        <v>43</v>
      </c>
      <c r="B7" s="3" t="s">
        <v>44</v>
      </c>
      <c r="C7" s="3" t="s">
        <v>45</v>
      </c>
      <c r="D7" s="3" t="s">
        <v>46</v>
      </c>
      <c r="E7" s="3" t="s">
        <v>47</v>
      </c>
      <c r="F7" s="3" t="s">
        <v>45</v>
      </c>
      <c r="G7" s="3" t="s">
        <v>48</v>
      </c>
      <c r="H7" s="3" t="s">
        <v>47</v>
      </c>
      <c r="I7" s="3" t="s">
        <v>45</v>
      </c>
      <c r="J7" s="3" t="s">
        <v>48</v>
      </c>
      <c r="K7" s="3" t="s">
        <v>47</v>
      </c>
      <c r="L7" s="9" t="s">
        <v>45</v>
      </c>
      <c r="M7" s="3" t="s">
        <v>48</v>
      </c>
      <c r="N7" s="115" t="s">
        <v>47</v>
      </c>
      <c r="O7" s="116" t="s">
        <v>45</v>
      </c>
      <c r="P7" s="3" t="s">
        <v>47</v>
      </c>
      <c r="Q7" s="9" t="s">
        <v>45</v>
      </c>
      <c r="R7" s="3" t="s">
        <v>47</v>
      </c>
      <c r="S7" s="9" t="s">
        <v>45</v>
      </c>
      <c r="T7" s="3" t="s">
        <v>47</v>
      </c>
      <c r="U7" s="9" t="s">
        <v>45</v>
      </c>
      <c r="V7" s="3" t="s">
        <v>47</v>
      </c>
      <c r="W7" s="9" t="s">
        <v>45</v>
      </c>
    </row>
    <row r="8" spans="1:24" x14ac:dyDescent="0.2">
      <c r="A8" s="111" t="s">
        <v>49</v>
      </c>
      <c r="B8" s="10"/>
      <c r="C8" s="111" t="s">
        <v>50</v>
      </c>
      <c r="D8" s="111"/>
      <c r="E8" s="111"/>
      <c r="F8" s="111" t="s">
        <v>51</v>
      </c>
      <c r="G8" s="111"/>
      <c r="H8" s="111"/>
      <c r="I8" s="111" t="s">
        <v>51</v>
      </c>
      <c r="J8" s="111"/>
      <c r="K8" s="111"/>
      <c r="L8" s="11" t="s">
        <v>51</v>
      </c>
      <c r="M8" s="111"/>
      <c r="N8" s="117"/>
      <c r="O8" s="118" t="s">
        <v>51</v>
      </c>
      <c r="P8" s="111"/>
      <c r="Q8" s="11" t="s">
        <v>51</v>
      </c>
      <c r="R8" s="111"/>
      <c r="S8" s="11" t="s">
        <v>51</v>
      </c>
      <c r="T8" s="111"/>
      <c r="U8" s="11" t="s">
        <v>51</v>
      </c>
      <c r="V8" s="111"/>
      <c r="W8" s="11" t="s">
        <v>51</v>
      </c>
    </row>
    <row r="9" spans="1:24" x14ac:dyDescent="0.2">
      <c r="A9" s="12"/>
      <c r="B9" s="12" t="s">
        <v>52</v>
      </c>
      <c r="C9" s="12"/>
      <c r="D9" s="13"/>
      <c r="E9" s="14"/>
      <c r="F9" s="14"/>
      <c r="G9" s="14"/>
      <c r="H9" s="15"/>
      <c r="I9" s="15"/>
      <c r="J9" s="15"/>
      <c r="K9" s="15"/>
      <c r="L9" s="16"/>
      <c r="M9" s="15"/>
      <c r="N9" s="119"/>
      <c r="O9" s="120">
        <f t="shared" ref="O9" si="0">$C9*N9</f>
        <v>0</v>
      </c>
      <c r="P9" s="15"/>
      <c r="Q9" s="16">
        <f t="shared" ref="Q9" si="1">$C9*P9</f>
        <v>0</v>
      </c>
      <c r="R9" s="15"/>
      <c r="S9" s="16">
        <f t="shared" ref="S9" si="2">$C9*R9</f>
        <v>0</v>
      </c>
      <c r="T9" s="15"/>
      <c r="U9" s="16">
        <f t="shared" ref="U9" si="3">$C9*T9</f>
        <v>0</v>
      </c>
      <c r="V9" s="15"/>
      <c r="W9" s="16">
        <f t="shared" ref="W9" si="4">$C9*V9</f>
        <v>0</v>
      </c>
      <c r="X9" s="16"/>
    </row>
    <row r="10" spans="1:24" ht="25.5" x14ac:dyDescent="0.2">
      <c r="A10" s="42" t="s">
        <v>53</v>
      </c>
      <c r="B10" s="38" t="s">
        <v>54</v>
      </c>
      <c r="C10" s="17">
        <f>[2]Bidsheet!C12</f>
        <v>1</v>
      </c>
      <c r="D10" s="19" t="str">
        <f>[2]Bidsheet!D12</f>
        <v>JOB</v>
      </c>
      <c r="E10" s="124">
        <v>556491</v>
      </c>
      <c r="F10" s="124">
        <f t="shared" ref="F10:F16" si="5">$C10*E10</f>
        <v>556491</v>
      </c>
      <c r="G10" s="54">
        <f>(F10/$F$41)</f>
        <v>0.31402894078836363</v>
      </c>
      <c r="H10" s="20">
        <v>2570000</v>
      </c>
      <c r="I10" s="20">
        <f>H10*$C10</f>
        <v>2570000</v>
      </c>
      <c r="J10" s="54" t="e">
        <f>(I10/$I$41)</f>
        <v>#REF!</v>
      </c>
      <c r="K10" s="20">
        <v>5000000</v>
      </c>
      <c r="L10" s="20">
        <f t="shared" ref="L10" si="6">K10*$C10</f>
        <v>5000000</v>
      </c>
      <c r="M10" s="54" t="e">
        <f>(L10/$L$41)</f>
        <v>#REF!</v>
      </c>
      <c r="N10" s="121">
        <v>215000</v>
      </c>
      <c r="O10" s="121">
        <f t="shared" ref="O10" si="7">N10*$C10</f>
        <v>215000</v>
      </c>
      <c r="P10" s="20">
        <v>499977</v>
      </c>
      <c r="Q10" s="20">
        <v>499997</v>
      </c>
      <c r="R10" s="20">
        <v>167740</v>
      </c>
      <c r="S10" s="20">
        <f t="shared" ref="S10" si="8">R10*$C10</f>
        <v>167740</v>
      </c>
      <c r="T10" s="20">
        <v>826795</v>
      </c>
      <c r="U10" s="21">
        <v>826795</v>
      </c>
      <c r="V10" s="20">
        <v>1177921</v>
      </c>
      <c r="W10" s="20">
        <v>1177921</v>
      </c>
    </row>
    <row r="11" spans="1:24" x14ac:dyDescent="0.2">
      <c r="A11" s="17"/>
      <c r="B11" s="38"/>
      <c r="C11" s="17"/>
      <c r="D11" s="17"/>
      <c r="E11" s="124"/>
      <c r="F11" s="124"/>
      <c r="G11" s="56"/>
      <c r="H11" s="40"/>
      <c r="I11" s="20"/>
      <c r="J11" s="54"/>
      <c r="K11" s="20"/>
      <c r="L11" s="20"/>
      <c r="M11" s="54"/>
      <c r="N11" s="121"/>
      <c r="O11" s="121"/>
      <c r="P11" s="20"/>
      <c r="Q11" s="20"/>
      <c r="R11" s="20"/>
      <c r="S11" s="20"/>
      <c r="T11" s="20"/>
      <c r="U11" s="21"/>
      <c r="V11" s="20"/>
      <c r="W11" s="21"/>
    </row>
    <row r="12" spans="1:24" ht="25.5" x14ac:dyDescent="0.2">
      <c r="A12" s="42" t="s">
        <v>55</v>
      </c>
      <c r="B12" s="41" t="s">
        <v>56</v>
      </c>
      <c r="C12" s="39">
        <v>1</v>
      </c>
      <c r="D12" s="17" t="s">
        <v>57</v>
      </c>
      <c r="E12" s="124">
        <v>54900</v>
      </c>
      <c r="F12" s="124">
        <v>54900</v>
      </c>
      <c r="G12" s="56">
        <f>(F12/$F$41)</f>
        <v>3.0980175509183732E-2</v>
      </c>
      <c r="H12" s="40">
        <v>9</v>
      </c>
      <c r="I12" s="20">
        <f>H12*$C12</f>
        <v>9</v>
      </c>
      <c r="J12" s="54" t="e">
        <f>(I12/$I$41)</f>
        <v>#REF!</v>
      </c>
      <c r="K12" s="20">
        <v>36.75</v>
      </c>
      <c r="L12" s="20">
        <f t="shared" ref="L12" si="9">K12*$C12</f>
        <v>36.75</v>
      </c>
      <c r="M12" s="54" t="e">
        <f>(L12/$L$41)</f>
        <v>#REF!</v>
      </c>
      <c r="N12" s="121">
        <v>75000</v>
      </c>
      <c r="O12" s="121">
        <f t="shared" ref="O12:O14" si="10">N12*$C12</f>
        <v>75000</v>
      </c>
      <c r="P12" s="20">
        <v>119966</v>
      </c>
      <c r="Q12" s="20">
        <f t="shared" ref="Q12:Q14" si="11">P12*$C12</f>
        <v>119966</v>
      </c>
      <c r="R12" s="20">
        <v>80000</v>
      </c>
      <c r="S12" s="20">
        <f t="shared" ref="S12:S14" si="12">R12*$C12</f>
        <v>80000</v>
      </c>
      <c r="T12" s="20">
        <v>32944</v>
      </c>
      <c r="U12" s="21">
        <v>32594</v>
      </c>
      <c r="V12" s="20">
        <v>335867</v>
      </c>
      <c r="W12" s="20">
        <v>335867</v>
      </c>
    </row>
    <row r="13" spans="1:24" x14ac:dyDescent="0.2">
      <c r="A13" s="42"/>
      <c r="B13" s="41"/>
      <c r="C13" s="39"/>
      <c r="D13" s="17"/>
      <c r="E13" s="124"/>
      <c r="F13" s="124">
        <f t="shared" si="5"/>
        <v>0</v>
      </c>
      <c r="G13" s="56"/>
      <c r="H13" s="40"/>
      <c r="I13" s="20"/>
      <c r="J13" s="54"/>
      <c r="K13" s="20"/>
      <c r="L13" s="20"/>
      <c r="M13" s="54"/>
      <c r="N13" s="121"/>
      <c r="O13" s="121">
        <f t="shared" si="10"/>
        <v>0</v>
      </c>
      <c r="P13" s="20"/>
      <c r="Q13" s="20">
        <f t="shared" si="11"/>
        <v>0</v>
      </c>
      <c r="R13" s="20"/>
      <c r="S13" s="20">
        <f t="shared" si="12"/>
        <v>0</v>
      </c>
      <c r="T13" s="20"/>
      <c r="U13" s="21">
        <f t="shared" ref="U13" si="13">T13*$C13</f>
        <v>0</v>
      </c>
      <c r="V13" s="20"/>
      <c r="W13" s="21">
        <f t="shared" ref="W13" si="14">V13*$C13</f>
        <v>0</v>
      </c>
    </row>
    <row r="14" spans="1:24" x14ac:dyDescent="0.2">
      <c r="A14" s="42" t="s">
        <v>58</v>
      </c>
      <c r="B14" s="41" t="s">
        <v>59</v>
      </c>
      <c r="C14" s="39">
        <v>1</v>
      </c>
      <c r="D14" s="17" t="s">
        <v>57</v>
      </c>
      <c r="E14" s="124">
        <v>1160710</v>
      </c>
      <c r="F14" s="124">
        <v>1160710</v>
      </c>
      <c r="G14" s="56"/>
      <c r="H14" s="40"/>
      <c r="I14" s="20"/>
      <c r="J14" s="54"/>
      <c r="K14" s="20"/>
      <c r="L14" s="20"/>
      <c r="M14" s="54"/>
      <c r="N14" s="121">
        <v>482000</v>
      </c>
      <c r="O14" s="121">
        <f t="shared" si="10"/>
        <v>482000</v>
      </c>
      <c r="P14" s="20"/>
      <c r="Q14" s="20">
        <f t="shared" si="11"/>
        <v>0</v>
      </c>
      <c r="R14" s="20"/>
      <c r="S14" s="20">
        <f t="shared" si="12"/>
        <v>0</v>
      </c>
      <c r="T14" s="20"/>
      <c r="U14" s="21"/>
      <c r="V14" s="20"/>
      <c r="W14" s="21"/>
    </row>
    <row r="15" spans="1:24" x14ac:dyDescent="0.2">
      <c r="A15" s="17"/>
      <c r="B15" s="38"/>
      <c r="C15" s="17"/>
      <c r="D15" s="17"/>
      <c r="E15" s="124"/>
      <c r="F15" s="124"/>
      <c r="G15" s="56"/>
      <c r="H15" s="40"/>
      <c r="I15" s="20"/>
      <c r="J15" s="54"/>
      <c r="K15" s="20"/>
      <c r="L15" s="20"/>
      <c r="M15" s="54"/>
      <c r="N15" s="121"/>
      <c r="O15" s="121"/>
      <c r="P15" s="20">
        <v>591797.25</v>
      </c>
      <c r="Q15" s="20">
        <v>591797.25</v>
      </c>
      <c r="R15" s="20">
        <v>550000</v>
      </c>
      <c r="S15" s="20">
        <v>550000</v>
      </c>
      <c r="T15" s="20">
        <v>448673</v>
      </c>
      <c r="U15" s="21">
        <v>448673</v>
      </c>
      <c r="V15" s="20">
        <v>2112583</v>
      </c>
      <c r="W15" s="20">
        <v>2112583</v>
      </c>
    </row>
    <row r="16" spans="1:24" ht="13.5" thickBot="1" x14ac:dyDescent="0.25">
      <c r="A16" s="83"/>
      <c r="B16" s="84"/>
      <c r="C16" s="85"/>
      <c r="D16" s="85"/>
      <c r="E16" s="86"/>
      <c r="F16" s="86">
        <f t="shared" si="5"/>
        <v>0</v>
      </c>
      <c r="G16" s="87">
        <f>(F16/$F$41)</f>
        <v>0</v>
      </c>
      <c r="H16" s="88">
        <v>1500</v>
      </c>
      <c r="I16" s="89">
        <f>H16*$C16</f>
        <v>0</v>
      </c>
      <c r="J16" s="90" t="e">
        <f>(I16/$I$41)</f>
        <v>#REF!</v>
      </c>
      <c r="K16" s="89">
        <v>600</v>
      </c>
      <c r="L16" s="89">
        <f t="shared" ref="L16" si="15">K16*$C16</f>
        <v>0</v>
      </c>
      <c r="M16" s="90" t="e">
        <f>(L16/$L$41)</f>
        <v>#REF!</v>
      </c>
      <c r="N16" s="122"/>
      <c r="O16" s="122">
        <f t="shared" ref="O16" si="16">N16*$C16</f>
        <v>0</v>
      </c>
      <c r="P16" s="89"/>
      <c r="Q16" s="89">
        <f t="shared" ref="Q16" si="17">P16*$C16</f>
        <v>0</v>
      </c>
      <c r="R16" s="89"/>
      <c r="S16" s="89">
        <f t="shared" ref="S16" si="18">R16*$C16</f>
        <v>0</v>
      </c>
      <c r="T16" s="89"/>
      <c r="U16" s="91">
        <f t="shared" ref="U16" si="19">T16*$C16</f>
        <v>0</v>
      </c>
      <c r="V16" s="89"/>
      <c r="W16" s="91">
        <f t="shared" ref="W16" si="20">V16*$C16</f>
        <v>0</v>
      </c>
    </row>
    <row r="17" spans="1:23" ht="15.75" x14ac:dyDescent="0.25">
      <c r="A17" s="42"/>
      <c r="B17" s="38"/>
      <c r="C17" s="17"/>
      <c r="D17" s="17"/>
      <c r="E17" s="113" t="s">
        <v>60</v>
      </c>
      <c r="F17" s="44">
        <f>SUM(F10:F16)</f>
        <v>1772101</v>
      </c>
      <c r="G17" s="56"/>
      <c r="H17" s="40"/>
      <c r="I17" s="20"/>
      <c r="J17" s="54"/>
      <c r="K17" s="20"/>
      <c r="L17" s="20"/>
      <c r="M17" s="54"/>
      <c r="N17" s="121"/>
      <c r="O17" s="123">
        <f>SUM(O10:O16)</f>
        <v>772000</v>
      </c>
      <c r="P17" s="20"/>
      <c r="Q17" s="46">
        <f>SUM(Q10:Q16)</f>
        <v>1211760.25</v>
      </c>
      <c r="R17" s="20"/>
      <c r="S17" s="46">
        <f>SUM(S10:S16)</f>
        <v>797740</v>
      </c>
      <c r="T17" s="20"/>
      <c r="U17" s="47">
        <f>SUM(U10:U16)</f>
        <v>1308062</v>
      </c>
      <c r="V17" s="46">
        <v>3626371</v>
      </c>
      <c r="W17" s="47">
        <f>SUM(W10:W16)</f>
        <v>3626371</v>
      </c>
    </row>
    <row r="18" spans="1:23" x14ac:dyDescent="0.2">
      <c r="A18" s="17"/>
      <c r="B18" s="38"/>
      <c r="C18" s="17"/>
      <c r="D18" s="17"/>
      <c r="E18" s="124"/>
      <c r="F18" s="124"/>
      <c r="G18" s="56"/>
      <c r="H18" s="40"/>
      <c r="I18" s="20"/>
      <c r="J18" s="54"/>
      <c r="K18" s="20"/>
      <c r="L18" s="20"/>
      <c r="M18" s="54"/>
      <c r="N18" s="20"/>
      <c r="O18" s="20"/>
      <c r="P18" s="20"/>
      <c r="Q18" s="20"/>
      <c r="R18" s="20"/>
      <c r="S18" s="20"/>
      <c r="T18" s="20"/>
      <c r="U18" s="21"/>
      <c r="V18" s="20"/>
      <c r="W18" s="21"/>
    </row>
    <row r="19" spans="1:23" ht="18" x14ac:dyDescent="0.25">
      <c r="A19" s="17"/>
      <c r="B19" s="38"/>
      <c r="C19" s="17"/>
      <c r="D19" s="17"/>
      <c r="E19" s="112"/>
      <c r="F19" s="105"/>
      <c r="G19" s="56"/>
      <c r="H19" s="40"/>
      <c r="I19" s="20"/>
      <c r="J19" s="54"/>
      <c r="K19" s="20"/>
      <c r="L19" s="20"/>
      <c r="M19" s="54"/>
      <c r="N19" s="20"/>
      <c r="O19" s="107"/>
      <c r="P19" s="20"/>
      <c r="Q19" s="107"/>
      <c r="R19" s="20"/>
      <c r="S19" s="107"/>
      <c r="T19" s="20"/>
      <c r="U19" s="108"/>
      <c r="V19" s="20"/>
      <c r="W19" s="108"/>
    </row>
    <row r="20" spans="1:23" ht="18" x14ac:dyDescent="0.25">
      <c r="A20" s="17"/>
      <c r="B20" s="38"/>
      <c r="C20" s="17"/>
      <c r="D20" s="17"/>
      <c r="E20" s="124"/>
      <c r="F20" s="102"/>
      <c r="G20" s="56"/>
      <c r="H20" s="40"/>
      <c r="I20" s="20"/>
      <c r="J20" s="54"/>
      <c r="K20" s="20"/>
      <c r="L20" s="20"/>
      <c r="M20" s="54"/>
      <c r="N20" s="20"/>
      <c r="O20" s="106"/>
      <c r="P20" s="20"/>
      <c r="Q20" s="106"/>
      <c r="R20" s="20"/>
      <c r="S20" s="106"/>
      <c r="T20" s="20"/>
      <c r="U20" s="109"/>
      <c r="V20" s="20"/>
      <c r="W20" s="109"/>
    </row>
    <row r="21" spans="1:23" x14ac:dyDescent="0.2">
      <c r="A21" s="17"/>
      <c r="B21" s="38"/>
      <c r="C21" s="17"/>
      <c r="D21" s="17"/>
      <c r="E21" s="124"/>
      <c r="F21" s="124"/>
      <c r="G21" s="56"/>
      <c r="H21" s="40"/>
      <c r="I21" s="20"/>
      <c r="J21" s="54"/>
      <c r="K21" s="20"/>
      <c r="L21" s="20"/>
      <c r="M21" s="54"/>
      <c r="N21" s="20"/>
      <c r="O21" s="103"/>
      <c r="P21" s="20"/>
      <c r="Q21" s="20"/>
      <c r="R21" s="20"/>
      <c r="S21" s="20"/>
      <c r="T21" s="20"/>
      <c r="U21" s="21"/>
      <c r="V21" s="20"/>
      <c r="W21" s="21"/>
    </row>
    <row r="22" spans="1:23" x14ac:dyDescent="0.2">
      <c r="A22" s="42"/>
      <c r="B22" s="38"/>
      <c r="C22" s="17"/>
      <c r="D22" s="17"/>
      <c r="E22" s="124"/>
      <c r="F22" s="124">
        <f t="shared" ref="F22" si="21">$C22*E22</f>
        <v>0</v>
      </c>
      <c r="G22" s="56"/>
      <c r="H22" s="40"/>
      <c r="I22" s="20"/>
      <c r="J22" s="54"/>
      <c r="K22" s="20"/>
      <c r="L22" s="20"/>
      <c r="M22" s="54"/>
      <c r="N22" s="20"/>
      <c r="O22" s="20">
        <f t="shared" ref="O22:O24" si="22">N22*$C22</f>
        <v>0</v>
      </c>
      <c r="P22" s="20"/>
      <c r="Q22" s="20">
        <f t="shared" ref="Q22:Q24" si="23">P22*$C22</f>
        <v>0</v>
      </c>
      <c r="R22" s="20"/>
      <c r="S22" s="20">
        <f t="shared" ref="S22:S24" si="24">R22*$C22</f>
        <v>0</v>
      </c>
      <c r="T22" s="20"/>
      <c r="U22" s="21">
        <f t="shared" ref="U22:U23" si="25">T22*$C22</f>
        <v>0</v>
      </c>
      <c r="V22" s="20"/>
      <c r="W22" s="21">
        <f t="shared" ref="W22:W24" si="26">V22*$C22</f>
        <v>0</v>
      </c>
    </row>
    <row r="23" spans="1:23" x14ac:dyDescent="0.2">
      <c r="A23" s="17"/>
      <c r="B23" s="38"/>
      <c r="C23" s="17"/>
      <c r="D23" s="17"/>
      <c r="E23" s="124"/>
      <c r="F23" s="124"/>
      <c r="G23" s="56"/>
      <c r="H23" s="40"/>
      <c r="I23" s="20"/>
      <c r="J23" s="54"/>
      <c r="K23" s="20"/>
      <c r="L23" s="20"/>
      <c r="M23" s="54"/>
      <c r="N23" s="20"/>
      <c r="O23" s="20"/>
      <c r="P23" s="20"/>
      <c r="Q23" s="20">
        <f t="shared" si="23"/>
        <v>0</v>
      </c>
      <c r="R23" s="20"/>
      <c r="S23" s="20">
        <f t="shared" si="24"/>
        <v>0</v>
      </c>
      <c r="T23" s="20"/>
      <c r="U23" s="21">
        <f t="shared" si="25"/>
        <v>0</v>
      </c>
      <c r="V23" s="20"/>
      <c r="W23" s="21">
        <f t="shared" si="26"/>
        <v>0</v>
      </c>
    </row>
    <row r="24" spans="1:23" ht="34.5" customHeight="1" x14ac:dyDescent="0.2">
      <c r="A24" s="42"/>
      <c r="B24" s="38"/>
      <c r="C24" s="17"/>
      <c r="D24" s="17"/>
      <c r="E24" s="124"/>
      <c r="F24" s="124">
        <f t="shared" ref="F24:F25" si="27">$C24*E24</f>
        <v>0</v>
      </c>
      <c r="G24" s="56"/>
      <c r="H24" s="40"/>
      <c r="I24" s="20"/>
      <c r="J24" s="54"/>
      <c r="K24" s="20"/>
      <c r="L24" s="20"/>
      <c r="M24" s="54"/>
      <c r="N24" s="20"/>
      <c r="O24" s="20">
        <f t="shared" si="22"/>
        <v>0</v>
      </c>
      <c r="P24" s="20"/>
      <c r="Q24" s="20">
        <f t="shared" si="23"/>
        <v>0</v>
      </c>
      <c r="R24" s="20"/>
      <c r="S24" s="20">
        <f t="shared" si="24"/>
        <v>0</v>
      </c>
      <c r="T24" s="20"/>
      <c r="U24" s="21">
        <f t="shared" ref="U24" si="28">T24*$C24</f>
        <v>0</v>
      </c>
      <c r="V24" s="20"/>
      <c r="W24" s="21">
        <f t="shared" si="26"/>
        <v>0</v>
      </c>
    </row>
    <row r="25" spans="1:23" x14ac:dyDescent="0.2">
      <c r="A25" s="17"/>
      <c r="B25" s="38"/>
      <c r="C25" s="17"/>
      <c r="D25" s="17"/>
      <c r="E25" s="124"/>
      <c r="F25" s="124">
        <f t="shared" si="27"/>
        <v>0</v>
      </c>
      <c r="G25" s="56"/>
      <c r="H25" s="40"/>
      <c r="I25" s="20"/>
      <c r="J25" s="54"/>
      <c r="K25" s="20"/>
      <c r="L25" s="20"/>
      <c r="M25" s="54"/>
      <c r="N25" s="20"/>
      <c r="O25" s="20"/>
      <c r="P25" s="20"/>
      <c r="Q25" s="20"/>
      <c r="R25" s="20"/>
      <c r="S25" s="20"/>
      <c r="T25" s="20"/>
      <c r="U25" s="21"/>
      <c r="V25" s="20"/>
      <c r="W25" s="21"/>
    </row>
    <row r="26" spans="1:23" ht="15.75" x14ac:dyDescent="0.2">
      <c r="A26" s="17"/>
      <c r="B26" s="38"/>
      <c r="C26" s="17"/>
      <c r="D26" s="17"/>
      <c r="E26" s="43"/>
      <c r="F26" s="44">
        <f>SUM(F22:F25)</f>
        <v>0</v>
      </c>
      <c r="G26" s="56"/>
      <c r="H26" s="40"/>
      <c r="I26" s="20"/>
      <c r="J26" s="54"/>
      <c r="K26" s="20"/>
      <c r="L26" s="20"/>
      <c r="M26" s="54"/>
      <c r="N26" s="20"/>
      <c r="O26" s="44">
        <f>SUM(O22:O25)</f>
        <v>0</v>
      </c>
      <c r="P26" s="20"/>
      <c r="Q26" s="44">
        <f>SUM(Q22:Q25)</f>
        <v>0</v>
      </c>
      <c r="R26" s="20"/>
      <c r="S26" s="44">
        <f>SUM(S22:S25)</f>
        <v>0</v>
      </c>
      <c r="T26" s="20"/>
      <c r="U26" s="44">
        <f>SUM(U22:U25)</f>
        <v>0</v>
      </c>
      <c r="V26" s="20"/>
      <c r="W26" s="44">
        <f>SUM(W22:W25)</f>
        <v>0</v>
      </c>
    </row>
    <row r="27" spans="1:23" x14ac:dyDescent="0.2">
      <c r="A27" s="17"/>
      <c r="B27" s="38"/>
      <c r="C27" s="17"/>
      <c r="D27" s="17"/>
      <c r="E27" s="124"/>
      <c r="F27" s="124"/>
      <c r="G27" s="56"/>
      <c r="H27" s="40"/>
      <c r="I27" s="20"/>
      <c r="J27" s="54"/>
      <c r="K27" s="20"/>
      <c r="L27" s="20"/>
      <c r="M27" s="54"/>
      <c r="N27" s="20"/>
      <c r="O27" s="20">
        <f t="shared" ref="O27:O29" si="29">N27*$C27</f>
        <v>0</v>
      </c>
      <c r="P27" s="20"/>
      <c r="Q27" s="20"/>
      <c r="R27" s="20"/>
      <c r="S27" s="20">
        <f t="shared" ref="S27:S29" si="30">R27*$C27</f>
        <v>0</v>
      </c>
      <c r="T27" s="20"/>
      <c r="U27" s="21"/>
      <c r="V27" s="20"/>
      <c r="W27" s="21"/>
    </row>
    <row r="28" spans="1:23" x14ac:dyDescent="0.2">
      <c r="A28" s="42"/>
      <c r="B28" s="38"/>
      <c r="C28" s="17"/>
      <c r="D28" s="17"/>
      <c r="E28" s="124"/>
      <c r="F28" s="124">
        <f t="shared" ref="F28" si="31">$C28*E28</f>
        <v>0</v>
      </c>
      <c r="G28" s="56"/>
      <c r="H28" s="40"/>
      <c r="I28" s="20"/>
      <c r="J28" s="54"/>
      <c r="K28" s="20"/>
      <c r="L28" s="20"/>
      <c r="M28" s="54"/>
      <c r="N28" s="20"/>
      <c r="O28" s="20">
        <f t="shared" si="29"/>
        <v>0</v>
      </c>
      <c r="P28" s="20"/>
      <c r="Q28" s="20">
        <f t="shared" ref="Q28:Q30" si="32">P28*$C28</f>
        <v>0</v>
      </c>
      <c r="R28" s="20"/>
      <c r="S28" s="20">
        <f t="shared" si="30"/>
        <v>0</v>
      </c>
      <c r="T28" s="20"/>
      <c r="U28" s="21">
        <f t="shared" ref="U28:U30" si="33">T28*$C28</f>
        <v>0</v>
      </c>
      <c r="V28" s="20"/>
      <c r="W28" s="21">
        <f t="shared" ref="W28" si="34">V28*$C28</f>
        <v>0</v>
      </c>
    </row>
    <row r="29" spans="1:23" x14ac:dyDescent="0.2">
      <c r="A29" s="17"/>
      <c r="B29" s="38"/>
      <c r="C29" s="17"/>
      <c r="D29" s="17"/>
      <c r="E29" s="124"/>
      <c r="F29" s="124"/>
      <c r="G29" s="56"/>
      <c r="H29" s="40"/>
      <c r="I29" s="20"/>
      <c r="J29" s="54"/>
      <c r="K29" s="20"/>
      <c r="L29" s="20"/>
      <c r="M29" s="54"/>
      <c r="N29" s="20"/>
      <c r="O29" s="20">
        <f t="shared" si="29"/>
        <v>0</v>
      </c>
      <c r="P29" s="20"/>
      <c r="Q29" s="20">
        <f t="shared" si="32"/>
        <v>0</v>
      </c>
      <c r="R29" s="20"/>
      <c r="S29" s="20">
        <f t="shared" si="30"/>
        <v>0</v>
      </c>
      <c r="T29" s="20"/>
      <c r="U29" s="21"/>
      <c r="V29" s="20"/>
      <c r="W29" s="21"/>
    </row>
    <row r="30" spans="1:23" ht="34.5" customHeight="1" x14ac:dyDescent="0.2">
      <c r="A30" s="42"/>
      <c r="B30" s="17"/>
      <c r="C30" s="17"/>
      <c r="D30" s="17"/>
      <c r="E30" s="124"/>
      <c r="F30" s="124">
        <f t="shared" ref="F30:F32" si="35">$C30*E30</f>
        <v>0</v>
      </c>
      <c r="G30" s="56"/>
      <c r="H30" s="40"/>
      <c r="I30" s="20"/>
      <c r="J30" s="54"/>
      <c r="K30" s="20"/>
      <c r="L30" s="20"/>
      <c r="M30" s="54"/>
      <c r="N30" s="20"/>
      <c r="O30" s="20">
        <f t="shared" ref="O30" si="36">N30*$C30</f>
        <v>0</v>
      </c>
      <c r="P30" s="20"/>
      <c r="Q30" s="20">
        <f t="shared" si="32"/>
        <v>0</v>
      </c>
      <c r="R30" s="20"/>
      <c r="S30" s="20">
        <f t="shared" ref="S30" si="37">R30*$C30</f>
        <v>0</v>
      </c>
      <c r="T30" s="20"/>
      <c r="U30" s="21">
        <f t="shared" si="33"/>
        <v>0</v>
      </c>
      <c r="V30" s="20"/>
      <c r="W30" s="21">
        <f t="shared" ref="W30" si="38">V30*$C30</f>
        <v>0</v>
      </c>
    </row>
    <row r="31" spans="1:23" x14ac:dyDescent="0.2">
      <c r="A31" s="17"/>
      <c r="B31" s="38"/>
      <c r="C31" s="17"/>
      <c r="D31" s="17"/>
      <c r="E31" s="124"/>
      <c r="F31" s="124">
        <f t="shared" si="35"/>
        <v>0</v>
      </c>
      <c r="G31" s="56"/>
      <c r="H31" s="40"/>
      <c r="I31" s="20"/>
      <c r="J31" s="54"/>
      <c r="K31" s="20"/>
      <c r="L31" s="20"/>
      <c r="M31" s="54"/>
      <c r="N31" s="20"/>
      <c r="O31" s="20"/>
      <c r="P31" s="20"/>
      <c r="Q31" s="20"/>
      <c r="R31" s="20"/>
      <c r="S31" s="20"/>
      <c r="T31" s="20"/>
      <c r="U31" s="21"/>
      <c r="V31" s="20"/>
      <c r="W31" s="21"/>
    </row>
    <row r="32" spans="1:23" ht="13.5" thickBot="1" x14ac:dyDescent="0.25">
      <c r="A32" s="83"/>
      <c r="B32" s="84"/>
      <c r="C32" s="85"/>
      <c r="D32" s="85"/>
      <c r="E32" s="86"/>
      <c r="F32" s="86">
        <f t="shared" si="35"/>
        <v>0</v>
      </c>
      <c r="G32" s="87"/>
      <c r="H32" s="88"/>
      <c r="I32" s="89"/>
      <c r="J32" s="90"/>
      <c r="K32" s="89"/>
      <c r="L32" s="89"/>
      <c r="M32" s="90"/>
      <c r="N32" s="89"/>
      <c r="O32" s="96">
        <f t="shared" ref="O32" si="39">$C32*N32</f>
        <v>0</v>
      </c>
      <c r="P32" s="89"/>
      <c r="Q32" s="96">
        <f t="shared" ref="Q32" si="40">$C32*P32</f>
        <v>0</v>
      </c>
      <c r="R32" s="89"/>
      <c r="S32" s="96">
        <f t="shared" ref="S32" si="41">$C32*R32</f>
        <v>0</v>
      </c>
      <c r="T32" s="89"/>
      <c r="U32" s="98"/>
      <c r="V32" s="89"/>
      <c r="W32" s="98">
        <f t="shared" ref="W32" si="42">$C32*V32</f>
        <v>0</v>
      </c>
    </row>
    <row r="33" spans="1:23" ht="15.75" x14ac:dyDescent="0.2">
      <c r="B33" s="38"/>
      <c r="C33" s="17"/>
      <c r="D33" s="17"/>
      <c r="E33" s="43"/>
      <c r="F33" s="44">
        <f>SUM(F28:F32)</f>
        <v>0</v>
      </c>
      <c r="G33" s="56"/>
      <c r="H33" s="40"/>
      <c r="I33" s="20"/>
      <c r="J33" s="54"/>
      <c r="K33" s="20"/>
      <c r="L33" s="20"/>
      <c r="M33" s="54"/>
      <c r="N33" s="20"/>
      <c r="O33" s="44">
        <f>SUM(O27:O32)</f>
        <v>0</v>
      </c>
      <c r="P33" s="20"/>
      <c r="Q33" s="44">
        <f>SUM(Q27:Q32)</f>
        <v>0</v>
      </c>
      <c r="R33" s="20"/>
      <c r="S33" s="44">
        <f>SUM(S27:S32)</f>
        <v>0</v>
      </c>
      <c r="T33" s="20"/>
      <c r="U33" s="44">
        <f>SUM(U27:U32)</f>
        <v>0</v>
      </c>
      <c r="V33" s="20"/>
      <c r="W33" s="44">
        <f>SUM(W27:W32)</f>
        <v>0</v>
      </c>
    </row>
    <row r="34" spans="1:23" ht="15" customHeight="1" x14ac:dyDescent="0.25">
      <c r="A34" s="17"/>
      <c r="B34" s="38"/>
      <c r="C34" s="17"/>
      <c r="D34" s="17"/>
      <c r="E34" s="124"/>
      <c r="F34" s="124"/>
      <c r="G34" s="56">
        <f>(F17/$F$41)</f>
        <v>1</v>
      </c>
      <c r="H34" s="40"/>
      <c r="I34" s="46">
        <f>SUM(I10:I16)</f>
        <v>2570009</v>
      </c>
      <c r="J34" s="54" t="e">
        <f>(I34/$I$41)</f>
        <v>#REF!</v>
      </c>
      <c r="K34" s="20"/>
      <c r="L34" s="46">
        <f>SUM(L10:L16)</f>
        <v>5000036.75</v>
      </c>
      <c r="M34" s="54" t="e">
        <f>(L34/$L$41)</f>
        <v>#REF!</v>
      </c>
      <c r="N34" s="20"/>
      <c r="O34" s="46"/>
      <c r="P34" s="20"/>
      <c r="Q34" s="46"/>
      <c r="R34" s="20"/>
      <c r="S34" s="46"/>
      <c r="T34" s="20"/>
      <c r="U34" s="47"/>
      <c r="V34" s="20"/>
      <c r="W34" s="47"/>
    </row>
    <row r="35" spans="1:23" ht="15" customHeight="1" x14ac:dyDescent="0.25">
      <c r="A35" s="17"/>
      <c r="B35" s="18"/>
      <c r="C35" s="17"/>
      <c r="D35" s="17"/>
      <c r="E35" s="43"/>
      <c r="F35" s="44">
        <f>F26+F17+F33</f>
        <v>1772101</v>
      </c>
      <c r="G35" s="56"/>
      <c r="H35" s="40"/>
      <c r="I35" s="20"/>
      <c r="J35" s="54" t="e">
        <f>(I35/$I$41)</f>
        <v>#REF!</v>
      </c>
      <c r="K35" s="20"/>
      <c r="L35" s="20"/>
      <c r="M35" s="54" t="e">
        <f>(L35/$L$41)</f>
        <v>#REF!</v>
      </c>
      <c r="N35" s="20"/>
      <c r="O35" s="46">
        <f>O26+O17+O33</f>
        <v>772000</v>
      </c>
      <c r="P35" s="20"/>
      <c r="Q35" s="46">
        <f>Q26+Q17+Q33</f>
        <v>1211760.25</v>
      </c>
      <c r="R35" s="20"/>
      <c r="S35" s="46">
        <f>S26+S17+S33</f>
        <v>797740</v>
      </c>
      <c r="T35" s="20"/>
      <c r="U35" s="47">
        <f>U26+U17+U33</f>
        <v>1308062</v>
      </c>
      <c r="V35" s="20"/>
      <c r="W35" s="47">
        <f>W26+W17+W33</f>
        <v>3626371</v>
      </c>
    </row>
    <row r="36" spans="1:23" x14ac:dyDescent="0.2">
      <c r="A36" s="17"/>
      <c r="B36" s="18"/>
      <c r="C36" s="17"/>
      <c r="D36" s="17"/>
      <c r="E36" s="124"/>
      <c r="F36" s="124"/>
      <c r="G36" s="56"/>
      <c r="H36" s="40"/>
      <c r="I36" s="20"/>
      <c r="J36" s="54"/>
      <c r="K36" s="20"/>
      <c r="L36" s="20"/>
      <c r="M36" s="54"/>
      <c r="N36" s="20"/>
      <c r="O36" s="20"/>
      <c r="P36" s="20"/>
      <c r="Q36" s="21"/>
      <c r="R36" s="54"/>
      <c r="S36" s="54"/>
      <c r="T36" s="20"/>
      <c r="U36" s="21"/>
      <c r="V36" s="20"/>
      <c r="W36" s="21"/>
    </row>
    <row r="37" spans="1:23" x14ac:dyDescent="0.2">
      <c r="A37" s="17"/>
      <c r="B37" s="18"/>
      <c r="C37" s="17"/>
      <c r="D37" s="17"/>
      <c r="E37" s="101"/>
      <c r="F37" s="101"/>
      <c r="G37" s="124"/>
      <c r="H37" s="20"/>
      <c r="I37" s="20"/>
      <c r="J37" s="20"/>
      <c r="K37" s="20"/>
      <c r="L37" s="21">
        <f t="shared" ref="L37:L39" si="43">$C37*K37</f>
        <v>0</v>
      </c>
      <c r="M37" s="20"/>
      <c r="N37" s="20"/>
      <c r="O37" s="21"/>
      <c r="P37" s="20"/>
      <c r="Q37" s="21"/>
      <c r="R37" s="20"/>
      <c r="S37" s="20"/>
      <c r="T37" s="20"/>
      <c r="U37" s="21"/>
      <c r="V37" s="20"/>
      <c r="W37" s="21"/>
    </row>
    <row r="38" spans="1:23" x14ac:dyDescent="0.2">
      <c r="A38" s="17"/>
      <c r="B38" s="18"/>
      <c r="C38" s="17"/>
      <c r="D38" s="17"/>
      <c r="E38" s="124"/>
      <c r="F38" s="124"/>
      <c r="G38" s="124"/>
      <c r="H38" s="20"/>
      <c r="I38" s="20"/>
      <c r="J38" s="20"/>
      <c r="K38" s="20"/>
      <c r="L38" s="21">
        <f t="shared" si="43"/>
        <v>0</v>
      </c>
      <c r="M38" s="20"/>
      <c r="N38" s="20"/>
      <c r="O38" s="21"/>
      <c r="P38" s="20"/>
      <c r="Q38" s="21"/>
      <c r="R38" s="20"/>
      <c r="S38" s="20"/>
      <c r="T38" s="20"/>
      <c r="U38" s="21"/>
      <c r="V38" s="20"/>
      <c r="W38" s="21"/>
    </row>
    <row r="39" spans="1:23" x14ac:dyDescent="0.2">
      <c r="A39" s="19"/>
      <c r="B39" s="8"/>
      <c r="C39" s="17"/>
      <c r="D39" s="19"/>
      <c r="E39" s="20"/>
      <c r="F39" s="124"/>
      <c r="G39" s="124"/>
      <c r="H39" s="20"/>
      <c r="I39" s="20"/>
      <c r="J39" s="20"/>
      <c r="K39" s="20"/>
      <c r="L39" s="21">
        <f t="shared" si="43"/>
        <v>0</v>
      </c>
      <c r="M39" s="20"/>
      <c r="N39" s="20"/>
      <c r="O39" s="21"/>
      <c r="P39" s="20"/>
      <c r="Q39" s="21"/>
      <c r="R39" s="20"/>
      <c r="S39" s="20"/>
      <c r="T39" s="20"/>
      <c r="U39" s="21"/>
      <c r="V39" s="20"/>
      <c r="W39" s="21"/>
    </row>
    <row r="40" spans="1:23" x14ac:dyDescent="0.2">
      <c r="A40" s="19"/>
      <c r="B40" s="8"/>
      <c r="C40" s="22"/>
      <c r="D40" s="19"/>
      <c r="E40" s="20"/>
      <c r="F40" s="124"/>
      <c r="G40" s="124"/>
      <c r="H40" s="20"/>
      <c r="I40" s="20"/>
      <c r="J40" s="20"/>
      <c r="K40" s="20"/>
      <c r="L40" s="21"/>
      <c r="M40" s="20"/>
      <c r="N40" s="20"/>
      <c r="O40" s="21"/>
      <c r="P40" s="20"/>
      <c r="Q40" s="21"/>
      <c r="R40" s="20"/>
      <c r="S40" s="20"/>
      <c r="T40" s="20"/>
      <c r="U40" s="21"/>
      <c r="V40" s="20"/>
      <c r="W40" s="21"/>
    </row>
    <row r="41" spans="1:23" ht="15.75" x14ac:dyDescent="0.25">
      <c r="A41" s="19"/>
      <c r="B41" s="1" t="s">
        <v>61</v>
      </c>
      <c r="C41" s="2"/>
      <c r="D41" s="2"/>
      <c r="E41" s="1" t="s">
        <v>62</v>
      </c>
      <c r="F41" s="45">
        <f>F35</f>
        <v>1772101</v>
      </c>
      <c r="G41" s="55" t="e">
        <f>SUM(G10:G16)+SUM(#REF!)</f>
        <v>#REF!</v>
      </c>
      <c r="H41" s="1"/>
      <c r="I41" s="61" t="e">
        <f>#REF!+I34</f>
        <v>#REF!</v>
      </c>
      <c r="J41" s="57" t="e">
        <f>SUM(J10:J16)+SUM(#REF!)</f>
        <v>#REF!</v>
      </c>
      <c r="K41" s="1"/>
      <c r="L41" s="58" t="e">
        <f>#REF!+L34</f>
        <v>#REF!</v>
      </c>
      <c r="M41" s="66" t="e">
        <f>SUM(M10:M16)+SUM(#REF!)</f>
        <v>#REF!</v>
      </c>
      <c r="N41" s="1"/>
      <c r="O41" s="61">
        <f>O35</f>
        <v>772000</v>
      </c>
      <c r="P41" s="1"/>
      <c r="Q41" s="61">
        <f>Q35</f>
        <v>1211760.25</v>
      </c>
      <c r="R41" s="77"/>
      <c r="S41" s="99">
        <f>S35</f>
        <v>797740</v>
      </c>
      <c r="T41" s="1"/>
      <c r="U41" s="104">
        <f>U35</f>
        <v>1308062</v>
      </c>
      <c r="V41" s="1"/>
      <c r="W41" s="104">
        <f>W35</f>
        <v>3626371</v>
      </c>
    </row>
    <row r="42" spans="1:23" x14ac:dyDescent="0.2">
      <c r="A42" s="19"/>
      <c r="B42" s="8"/>
      <c r="C42" s="5"/>
      <c r="D42" s="5"/>
      <c r="E42" s="8"/>
      <c r="F42" s="6"/>
      <c r="G42" s="6"/>
      <c r="H42" s="8"/>
      <c r="I42" s="62"/>
      <c r="J42" s="49"/>
      <c r="K42" s="8"/>
      <c r="L42" s="59"/>
      <c r="M42" s="64"/>
      <c r="N42" s="8"/>
      <c r="O42" s="79"/>
      <c r="P42" s="8"/>
      <c r="Q42" s="82"/>
      <c r="R42" s="59"/>
      <c r="S42" s="81"/>
      <c r="T42" s="8"/>
      <c r="U42" s="80"/>
      <c r="V42" s="8"/>
      <c r="W42" s="80"/>
    </row>
    <row r="43" spans="1:23" ht="15.75" x14ac:dyDescent="0.25">
      <c r="A43" s="111"/>
      <c r="B43" s="24" t="s">
        <v>12</v>
      </c>
      <c r="C43" s="25"/>
      <c r="D43" s="25"/>
      <c r="E43" s="10" t="s">
        <v>63</v>
      </c>
      <c r="F43" s="110"/>
      <c r="G43" s="48"/>
      <c r="H43" s="10"/>
      <c r="I43" s="63" t="e">
        <f>IF(I41=0,0,(I41-$F41)/$F41)</f>
        <v>#REF!</v>
      </c>
      <c r="J43" s="52"/>
      <c r="K43" s="26"/>
      <c r="L43" s="65" t="e">
        <f>IF(L41=0,0,(L41-$F41)/$F41)</f>
        <v>#REF!</v>
      </c>
      <c r="M43" s="60"/>
      <c r="N43" s="26"/>
      <c r="O43" s="95">
        <f>IF(O41=0,0,(O41-$F41)/$F41)</f>
        <v>-0.5643589163371614</v>
      </c>
      <c r="P43" s="26"/>
      <c r="Q43" s="63">
        <f>IF(Q41=0,0,(Q41-$F41)/$F41)</f>
        <v>-0.31620136211197897</v>
      </c>
      <c r="R43" s="78"/>
      <c r="S43" s="100">
        <f>IF(S41=0,0,(S41-$F41)/$F41)</f>
        <v>-0.54983378486892109</v>
      </c>
      <c r="T43" s="26"/>
      <c r="U43" s="97">
        <f t="shared" ref="U43" si="44">IF(U41=0,0,(U41-$F41)/$F41)</f>
        <v>-0.26185809951012951</v>
      </c>
      <c r="V43" s="26"/>
      <c r="W43" s="97">
        <f t="shared" ref="W43" si="45">IF(W41=0,0,(W41-$F41)/$F41)</f>
        <v>1.046368124615922</v>
      </c>
    </row>
    <row r="44" spans="1:23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51"/>
      <c r="S44" s="51"/>
      <c r="T44" s="5"/>
      <c r="U44" s="5"/>
    </row>
    <row r="45" spans="1:23" x14ac:dyDescent="0.2">
      <c r="A45" s="5"/>
      <c r="B45" s="28"/>
      <c r="C45" s="5"/>
      <c r="D45" s="5"/>
      <c r="E45" s="129"/>
      <c r="F45" s="129"/>
      <c r="G45" s="129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</row>
    <row r="46" spans="1:23" x14ac:dyDescent="0.2">
      <c r="A46" s="5"/>
      <c r="B46" s="5"/>
      <c r="C46" s="5"/>
      <c r="D46" s="5"/>
      <c r="E46" s="176"/>
      <c r="F46" s="177"/>
      <c r="G46" s="127"/>
      <c r="H46" s="73"/>
      <c r="I46" s="69"/>
      <c r="J46" s="130"/>
      <c r="K46" s="162"/>
      <c r="L46" s="161"/>
      <c r="M46" s="130"/>
      <c r="N46" s="162" t="s">
        <v>64</v>
      </c>
      <c r="O46" s="161"/>
      <c r="P46" s="162"/>
      <c r="Q46" s="161"/>
      <c r="R46" s="130"/>
      <c r="S46" s="130"/>
      <c r="T46" s="5"/>
      <c r="U46" s="5"/>
    </row>
    <row r="47" spans="1:23" x14ac:dyDescent="0.2">
      <c r="A47" s="5"/>
      <c r="B47" s="5"/>
      <c r="C47" s="5"/>
      <c r="D47" s="5"/>
      <c r="E47" s="29"/>
      <c r="F47" s="70"/>
      <c r="G47" s="30"/>
      <c r="H47" s="73"/>
      <c r="I47" s="71"/>
      <c r="J47" s="130"/>
      <c r="K47" s="162"/>
      <c r="L47" s="161"/>
      <c r="M47" s="130"/>
      <c r="N47" s="162" t="s">
        <v>65</v>
      </c>
      <c r="O47" s="161"/>
      <c r="P47" s="162"/>
      <c r="Q47" s="161"/>
      <c r="R47" s="130"/>
      <c r="S47" s="130"/>
      <c r="T47" s="5"/>
      <c r="U47" s="5"/>
    </row>
    <row r="48" spans="1:23" x14ac:dyDescent="0.2">
      <c r="A48" s="5"/>
      <c r="B48" s="5"/>
      <c r="C48" s="5"/>
      <c r="D48" s="5"/>
      <c r="E48" s="68"/>
      <c r="F48" s="71"/>
      <c r="G48" s="130"/>
      <c r="H48" s="73"/>
      <c r="I48" s="73"/>
      <c r="J48" s="130"/>
      <c r="K48" s="162"/>
      <c r="L48" s="161"/>
      <c r="M48" s="130"/>
      <c r="N48" s="162" t="s">
        <v>66</v>
      </c>
      <c r="O48" s="161"/>
      <c r="P48" s="162"/>
      <c r="Q48" s="161"/>
      <c r="R48" s="130"/>
      <c r="S48" s="130"/>
      <c r="T48" s="5"/>
      <c r="U48" s="5"/>
    </row>
    <row r="49" spans="1:21" x14ac:dyDescent="0.2">
      <c r="A49" s="5"/>
      <c r="B49" s="5"/>
      <c r="C49" s="5"/>
      <c r="D49" s="5"/>
      <c r="E49" s="67"/>
      <c r="F49" s="72"/>
      <c r="G49" s="50"/>
      <c r="H49" s="74"/>
      <c r="I49" s="128"/>
      <c r="J49" s="128"/>
      <c r="K49" s="178"/>
      <c r="L49" s="179"/>
      <c r="M49" s="128"/>
      <c r="N49" s="163" t="s">
        <v>67</v>
      </c>
      <c r="O49" s="164"/>
      <c r="P49" s="160"/>
      <c r="Q49" s="161"/>
      <c r="R49" s="130"/>
      <c r="S49" s="130"/>
      <c r="T49" s="5"/>
      <c r="U49" s="5"/>
    </row>
    <row r="50" spans="1:21" x14ac:dyDescent="0.2">
      <c r="A50" s="129"/>
      <c r="B50" s="129"/>
      <c r="C50" s="129"/>
      <c r="D50" s="129"/>
      <c r="E50" s="129"/>
      <c r="F50" s="76"/>
      <c r="G50" s="129"/>
      <c r="H50" s="129"/>
      <c r="I50" s="129"/>
      <c r="J50" s="129"/>
      <c r="K50" s="129"/>
      <c r="L50" s="129"/>
      <c r="M50" s="129"/>
      <c r="N50" s="163" t="s">
        <v>20</v>
      </c>
      <c r="O50" s="164"/>
      <c r="P50" s="129"/>
      <c r="Q50" s="129"/>
      <c r="R50" s="129"/>
      <c r="S50" s="129"/>
      <c r="T50" s="5"/>
      <c r="U50" s="5"/>
    </row>
    <row r="51" spans="1:21" x14ac:dyDescent="0.2">
      <c r="A51" s="129"/>
      <c r="B51" s="5"/>
      <c r="C51" s="129"/>
      <c r="D51" s="129"/>
      <c r="E51" s="129"/>
      <c r="F51" s="75"/>
      <c r="G51" s="129"/>
      <c r="H51" s="129"/>
      <c r="I51" s="129"/>
      <c r="J51" s="129"/>
      <c r="K51" s="129"/>
      <c r="L51" s="129"/>
      <c r="M51" s="129"/>
      <c r="N51" s="163"/>
      <c r="O51" s="164"/>
      <c r="P51" s="129"/>
      <c r="Q51" s="129"/>
      <c r="R51" s="129"/>
      <c r="S51" s="129"/>
      <c r="T51" s="5"/>
      <c r="U51" s="5"/>
    </row>
    <row r="52" spans="1:21" x14ac:dyDescent="0.2">
      <c r="A52" s="5"/>
      <c r="B52" s="5"/>
      <c r="C52" s="31"/>
      <c r="D52" s="129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5"/>
      <c r="U52" s="5"/>
    </row>
    <row r="53" spans="1:21" x14ac:dyDescent="0.2">
      <c r="A53" s="32"/>
      <c r="B53" s="32"/>
      <c r="C53" s="32"/>
      <c r="D53" s="129"/>
      <c r="E53" s="131"/>
      <c r="F53" s="131"/>
      <c r="G53" s="131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5"/>
      <c r="U53" s="5"/>
    </row>
    <row r="54" spans="1:21" x14ac:dyDescent="0.2">
      <c r="A54" s="32"/>
      <c r="B54" s="32"/>
      <c r="C54" s="32"/>
      <c r="D54" s="129"/>
      <c r="E54" s="131"/>
      <c r="F54" s="131"/>
      <c r="G54" s="131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5"/>
      <c r="U54" s="5"/>
    </row>
    <row r="55" spans="1:21" x14ac:dyDescent="0.2">
      <c r="A55" s="32"/>
      <c r="B55" s="32"/>
      <c r="C55" s="32"/>
      <c r="D55" s="129"/>
      <c r="E55" s="131"/>
      <c r="F55" s="131"/>
      <c r="G55" s="131"/>
      <c r="I55" s="6"/>
      <c r="J55" s="6"/>
      <c r="L55" s="6"/>
      <c r="M55" s="6"/>
      <c r="O55" s="6"/>
      <c r="Q55" s="6"/>
      <c r="R55" s="6"/>
      <c r="S55" s="6"/>
      <c r="T55" s="5"/>
      <c r="U55" s="5"/>
    </row>
    <row r="56" spans="1:21" x14ac:dyDescent="0.2">
      <c r="A56" s="32"/>
      <c r="B56" s="32"/>
      <c r="C56" s="32"/>
      <c r="D56" s="129"/>
      <c r="E56" s="131"/>
      <c r="F56" s="131"/>
      <c r="G56" s="131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5"/>
      <c r="U56" s="5"/>
    </row>
    <row r="57" spans="1:21" x14ac:dyDescent="0.2">
      <c r="A57" s="32"/>
      <c r="B57" s="32"/>
      <c r="C57" s="32"/>
      <c r="D57" s="129"/>
      <c r="E57" s="131"/>
      <c r="F57" s="131"/>
      <c r="G57" s="131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5"/>
      <c r="U57" s="5"/>
    </row>
    <row r="58" spans="1:21" x14ac:dyDescent="0.2">
      <c r="A58" s="32"/>
      <c r="B58" s="32"/>
      <c r="C58" s="32"/>
      <c r="D58" s="129"/>
      <c r="E58" s="131"/>
      <c r="F58" s="131"/>
      <c r="G58" s="131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5"/>
      <c r="U58" s="5"/>
    </row>
    <row r="59" spans="1:21" x14ac:dyDescent="0.2">
      <c r="A59" s="32"/>
      <c r="B59" s="32"/>
      <c r="C59" s="32"/>
      <c r="D59" s="129"/>
      <c r="E59" s="131"/>
      <c r="F59" s="131"/>
      <c r="G59" s="131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5"/>
      <c r="U59" s="5"/>
    </row>
    <row r="60" spans="1:21" x14ac:dyDescent="0.2">
      <c r="A60" s="32"/>
      <c r="B60" s="32"/>
      <c r="C60" s="32"/>
      <c r="D60" s="129"/>
      <c r="E60" s="131"/>
      <c r="F60" s="131"/>
      <c r="G60" s="131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5"/>
      <c r="U60" s="5"/>
    </row>
    <row r="61" spans="1:21" x14ac:dyDescent="0.2">
      <c r="A61" s="32"/>
      <c r="B61" s="32"/>
      <c r="C61" s="32"/>
      <c r="D61" s="129"/>
      <c r="E61" s="131"/>
      <c r="F61" s="131"/>
      <c r="G61" s="131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5"/>
      <c r="U61" s="5"/>
    </row>
    <row r="62" spans="1:21" x14ac:dyDescent="0.2">
      <c r="A62" s="32"/>
      <c r="B62" s="32"/>
      <c r="C62" s="32"/>
      <c r="D62" s="129"/>
      <c r="E62" s="131"/>
      <c r="F62" s="131"/>
      <c r="G62" s="131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5"/>
      <c r="U62" s="5"/>
    </row>
    <row r="63" spans="1:21" x14ac:dyDescent="0.2">
      <c r="A63" s="32"/>
      <c r="B63" s="32"/>
      <c r="C63" s="32"/>
      <c r="D63" s="129"/>
      <c r="E63" s="131"/>
      <c r="F63" s="131"/>
      <c r="G63" s="131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5"/>
      <c r="U63" s="5"/>
    </row>
    <row r="64" spans="1:21" x14ac:dyDescent="0.2">
      <c r="A64" s="32"/>
      <c r="B64" s="32"/>
      <c r="C64" s="32"/>
      <c r="D64" s="129"/>
      <c r="E64" s="131"/>
      <c r="F64" s="131"/>
      <c r="G64" s="131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5"/>
      <c r="U64" s="5"/>
    </row>
    <row r="65" spans="1:19" x14ac:dyDescent="0.2">
      <c r="A65" s="32"/>
      <c r="B65" s="32"/>
      <c r="C65" s="32"/>
      <c r="D65" s="129"/>
      <c r="E65" s="131"/>
      <c r="F65" s="131"/>
      <c r="G65" s="131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</row>
    <row r="66" spans="1:19" x14ac:dyDescent="0.2">
      <c r="A66" s="32"/>
      <c r="B66" s="32"/>
      <c r="C66" s="32"/>
      <c r="D66" s="129"/>
      <c r="E66" s="131"/>
      <c r="F66" s="131"/>
      <c r="G66" s="131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</row>
    <row r="67" spans="1:19" x14ac:dyDescent="0.2">
      <c r="A67" s="32"/>
      <c r="B67" s="32"/>
      <c r="C67" s="32"/>
      <c r="D67" s="129"/>
      <c r="E67" s="131"/>
      <c r="F67" s="131"/>
      <c r="G67" s="131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</row>
    <row r="68" spans="1:19" x14ac:dyDescent="0.2">
      <c r="A68" s="32"/>
      <c r="B68" s="32"/>
      <c r="C68" s="32"/>
      <c r="D68" s="129"/>
      <c r="E68" s="131"/>
      <c r="F68" s="131"/>
      <c r="G68" s="131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</row>
    <row r="69" spans="1:19" x14ac:dyDescent="0.2">
      <c r="A69" s="32"/>
      <c r="B69" s="32"/>
      <c r="C69" s="32"/>
      <c r="D69" s="129"/>
      <c r="E69" s="131"/>
      <c r="F69" s="131"/>
      <c r="G69" s="131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</row>
    <row r="70" spans="1:19" x14ac:dyDescent="0.2">
      <c r="A70" s="32"/>
      <c r="B70" s="32"/>
      <c r="C70" s="32"/>
      <c r="D70" s="129"/>
      <c r="E70" s="131"/>
      <c r="F70" s="131"/>
      <c r="G70" s="131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</row>
    <row r="71" spans="1:19" x14ac:dyDescent="0.2">
      <c r="A71" s="32"/>
      <c r="C71" s="33"/>
      <c r="D71" s="129"/>
      <c r="E71" s="131"/>
      <c r="F71" s="131"/>
      <c r="G71" s="131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</row>
    <row r="72" spans="1:19" x14ac:dyDescent="0.2">
      <c r="A72" s="32"/>
      <c r="C72" s="32"/>
      <c r="D72" s="129"/>
      <c r="E72" s="6"/>
      <c r="F72" s="131"/>
      <c r="G72" s="131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</row>
    <row r="73" spans="1:19" x14ac:dyDescent="0.2">
      <c r="A73" s="32"/>
      <c r="B73" s="129"/>
      <c r="C73" s="32"/>
      <c r="D73" s="129"/>
      <c r="E73" s="6"/>
      <c r="F73" s="131"/>
      <c r="G73" s="131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</row>
    <row r="74" spans="1:19" x14ac:dyDescent="0.2">
      <c r="A74" s="32"/>
      <c r="B74" s="34"/>
      <c r="C74" s="32"/>
      <c r="D74" s="129"/>
      <c r="E74" s="6"/>
      <c r="F74" s="131"/>
      <c r="G74" s="131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</row>
    <row r="75" spans="1:19" x14ac:dyDescent="0.2">
      <c r="A75" s="32"/>
      <c r="B75" s="34"/>
      <c r="C75" s="32"/>
      <c r="D75" s="129"/>
      <c r="E75" s="6"/>
      <c r="F75" s="131"/>
      <c r="G75" s="131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</row>
    <row r="76" spans="1:19" x14ac:dyDescent="0.2">
      <c r="A76" s="32"/>
      <c r="B76" s="5"/>
      <c r="C76" s="35"/>
      <c r="D76" s="129"/>
      <c r="E76" s="6"/>
      <c r="F76" s="131"/>
      <c r="G76" s="131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</row>
    <row r="77" spans="1:19" x14ac:dyDescent="0.2">
      <c r="A77" s="129"/>
      <c r="B77" s="5"/>
      <c r="C77" s="35"/>
      <c r="D77" s="129"/>
      <c r="E77" s="131"/>
      <c r="F77" s="131"/>
      <c r="G77" s="131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</row>
    <row r="78" spans="1:19" x14ac:dyDescent="0.2">
      <c r="A78" s="129"/>
      <c r="C78" s="35"/>
      <c r="D78" s="129"/>
      <c r="E78" s="131"/>
      <c r="F78" s="131"/>
      <c r="G78" s="131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</row>
    <row r="79" spans="1:19" x14ac:dyDescent="0.2">
      <c r="A79" s="129"/>
      <c r="C79" s="35"/>
      <c r="D79" s="129"/>
      <c r="E79" s="6"/>
      <c r="F79" s="131"/>
      <c r="G79" s="131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</row>
    <row r="80" spans="1:19" x14ac:dyDescent="0.2">
      <c r="A80" s="129"/>
      <c r="B80" s="5"/>
      <c r="C80" s="35"/>
      <c r="D80" s="129"/>
      <c r="E80" s="6"/>
      <c r="F80" s="131"/>
      <c r="G80" s="131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</row>
    <row r="81" spans="1:19" x14ac:dyDescent="0.2">
      <c r="A81" s="129"/>
      <c r="B81" s="5"/>
      <c r="C81" s="35"/>
      <c r="D81" s="129"/>
      <c r="E81" s="6"/>
      <c r="F81" s="131"/>
      <c r="G81" s="131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</row>
    <row r="82" spans="1:19" x14ac:dyDescent="0.2">
      <c r="A82" s="129"/>
      <c r="B82" s="5"/>
      <c r="C82" s="35"/>
      <c r="D82" s="129"/>
      <c r="E82" s="6"/>
      <c r="F82" s="131"/>
      <c r="G82" s="131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</row>
    <row r="83" spans="1:19" x14ac:dyDescent="0.2">
      <c r="A83" s="129"/>
      <c r="C83" s="32"/>
      <c r="D83" s="129"/>
      <c r="E83" s="6"/>
      <c r="F83" s="131"/>
      <c r="G83" s="131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</row>
    <row r="84" spans="1:19" x14ac:dyDescent="0.2">
      <c r="A84" s="129"/>
      <c r="B84" s="5"/>
      <c r="C84" s="32"/>
      <c r="D84" s="129"/>
      <c r="E84" s="6"/>
      <c r="F84" s="131"/>
      <c r="G84" s="131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</row>
    <row r="85" spans="1:19" x14ac:dyDescent="0.2">
      <c r="A85" s="129"/>
      <c r="B85" s="34"/>
      <c r="C85" s="129"/>
      <c r="D85" s="129"/>
      <c r="E85" s="131"/>
      <c r="F85" s="131"/>
      <c r="G85" s="131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</row>
    <row r="86" spans="1:19" x14ac:dyDescent="0.2">
      <c r="A86" s="129"/>
      <c r="B86" s="34"/>
      <c r="C86" s="129"/>
      <c r="D86" s="129"/>
      <c r="E86" s="6"/>
      <c r="F86" s="131"/>
      <c r="G86" s="131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</row>
    <row r="87" spans="1:19" x14ac:dyDescent="0.2">
      <c r="A87" s="129"/>
      <c r="B87" s="34"/>
      <c r="C87" s="129"/>
      <c r="D87" s="129"/>
      <c r="E87" s="6"/>
      <c r="F87" s="131"/>
      <c r="G87" s="131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19" x14ac:dyDescent="0.2">
      <c r="A88" s="129"/>
      <c r="B88" s="5"/>
      <c r="C88" s="32"/>
      <c r="D88" s="129"/>
      <c r="E88" s="6"/>
      <c r="F88" s="131"/>
      <c r="G88" s="131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19" x14ac:dyDescent="0.2">
      <c r="A89" s="129"/>
      <c r="B89" s="5"/>
      <c r="C89" s="32"/>
      <c r="D89" s="129"/>
      <c r="E89" s="6"/>
      <c r="F89" s="131"/>
      <c r="G89" s="131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 x14ac:dyDescent="0.2">
      <c r="A90" s="129"/>
      <c r="B90" s="5"/>
      <c r="C90" s="32"/>
      <c r="D90" s="129"/>
      <c r="E90" s="6"/>
      <c r="F90" s="131"/>
      <c r="G90" s="131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19" x14ac:dyDescent="0.2">
      <c r="A91" s="129"/>
      <c r="B91" s="36"/>
      <c r="C91" s="32"/>
      <c r="D91" s="129"/>
      <c r="E91" s="6"/>
      <c r="F91" s="131"/>
      <c r="G91" s="131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 x14ac:dyDescent="0.2">
      <c r="A92" s="129"/>
      <c r="B92" s="129"/>
      <c r="C92" s="32"/>
      <c r="D92" s="129"/>
      <c r="E92" s="6"/>
      <c r="F92" s="131"/>
      <c r="G92" s="131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 x14ac:dyDescent="0.2">
      <c r="A93" s="129"/>
      <c r="B93" s="129"/>
      <c r="C93" s="32"/>
      <c r="D93" s="129"/>
      <c r="E93" s="6"/>
      <c r="F93" s="131"/>
      <c r="G93" s="131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 x14ac:dyDescent="0.2">
      <c r="A94" s="129"/>
      <c r="B94" s="5"/>
      <c r="C94" s="32"/>
      <c r="D94" s="129"/>
      <c r="E94" s="6"/>
      <c r="F94" s="131"/>
      <c r="G94" s="131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 spans="1:19" x14ac:dyDescent="0.2">
      <c r="A95" s="129"/>
      <c r="B95" s="5"/>
      <c r="C95" s="32"/>
      <c r="D95" s="129"/>
      <c r="E95" s="6"/>
      <c r="F95" s="131"/>
      <c r="G95" s="131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 spans="1:19" x14ac:dyDescent="0.2">
      <c r="A96" s="129"/>
      <c r="B96" s="5"/>
      <c r="C96" s="31"/>
      <c r="D96" s="129"/>
      <c r="E96" s="6"/>
      <c r="F96" s="131"/>
      <c r="G96" s="131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 spans="1:19" x14ac:dyDescent="0.2">
      <c r="A97" s="129"/>
      <c r="B97" s="5"/>
      <c r="C97" s="5"/>
      <c r="D97" s="5"/>
      <c r="E97" s="5"/>
      <c r="F97" s="6"/>
      <c r="G97" s="6"/>
      <c r="H97" s="5"/>
      <c r="I97" s="6"/>
      <c r="J97" s="6"/>
      <c r="K97" s="5"/>
      <c r="L97" s="6"/>
      <c r="M97" s="6"/>
      <c r="N97" s="5"/>
      <c r="O97" s="6"/>
      <c r="P97" s="5"/>
      <c r="Q97" s="6"/>
      <c r="R97" s="6"/>
      <c r="S97" s="6"/>
    </row>
    <row r="98" spans="1:19" x14ac:dyDescent="0.2">
      <c r="A98" s="129"/>
      <c r="B98" s="5"/>
      <c r="C98" s="5"/>
      <c r="D98" s="5"/>
      <c r="E98" s="5"/>
      <c r="F98" s="6"/>
      <c r="G98" s="6"/>
      <c r="H98" s="5"/>
      <c r="I98" s="23"/>
      <c r="J98" s="23"/>
      <c r="K98" s="5"/>
      <c r="L98" s="23"/>
      <c r="M98" s="23"/>
      <c r="N98" s="5"/>
      <c r="O98" s="23"/>
      <c r="P98" s="5"/>
      <c r="Q98" s="23"/>
      <c r="R98" s="23"/>
      <c r="S98" s="23"/>
    </row>
    <row r="99" spans="1:19" x14ac:dyDescent="0.2">
      <c r="A99" s="129"/>
      <c r="B99" s="37"/>
      <c r="C99" s="5"/>
      <c r="D99" s="5"/>
      <c r="E99" s="5"/>
      <c r="F99" s="6"/>
      <c r="G99" s="6"/>
      <c r="H99" s="5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</row>
    <row r="100" spans="1:19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</row>
  </sheetData>
  <mergeCells count="47">
    <mergeCell ref="N50:O50"/>
    <mergeCell ref="N51:O51"/>
    <mergeCell ref="K2:M2"/>
    <mergeCell ref="F3:G3"/>
    <mergeCell ref="E4:G4"/>
    <mergeCell ref="E6:G6"/>
    <mergeCell ref="K3:M3"/>
    <mergeCell ref="K4:M4"/>
    <mergeCell ref="K6:M6"/>
    <mergeCell ref="E2:G2"/>
    <mergeCell ref="E46:F46"/>
    <mergeCell ref="K49:L49"/>
    <mergeCell ref="N49:O49"/>
    <mergeCell ref="H2:J2"/>
    <mergeCell ref="H3:J3"/>
    <mergeCell ref="H4:J4"/>
    <mergeCell ref="P49:Q49"/>
    <mergeCell ref="K46:L46"/>
    <mergeCell ref="N46:O46"/>
    <mergeCell ref="P46:Q46"/>
    <mergeCell ref="K47:L47"/>
    <mergeCell ref="N47:O47"/>
    <mergeCell ref="P47:Q47"/>
    <mergeCell ref="K48:L48"/>
    <mergeCell ref="N48:O48"/>
    <mergeCell ref="P48:Q48"/>
    <mergeCell ref="H6:J6"/>
    <mergeCell ref="P3:Q3"/>
    <mergeCell ref="P4:Q4"/>
    <mergeCell ref="P6:Q6"/>
    <mergeCell ref="N2:O2"/>
    <mergeCell ref="N3:O3"/>
    <mergeCell ref="N4:O4"/>
    <mergeCell ref="N6:O6"/>
    <mergeCell ref="P2:Q2"/>
    <mergeCell ref="V2:W2"/>
    <mergeCell ref="V3:W3"/>
    <mergeCell ref="V4:W4"/>
    <mergeCell ref="V6:W6"/>
    <mergeCell ref="R2:S2"/>
    <mergeCell ref="R3:S3"/>
    <mergeCell ref="R4:S4"/>
    <mergeCell ref="R6:S6"/>
    <mergeCell ref="T2:U2"/>
    <mergeCell ref="T3:U3"/>
    <mergeCell ref="T4:U4"/>
    <mergeCell ref="T6:U6"/>
  </mergeCells>
  <phoneticPr fontId="14" type="noConversion"/>
  <printOptions horizontalCentered="1" verticalCentered="1" gridLinesSet="0"/>
  <pageMargins left="0.25" right="0.25" top="0.25" bottom="0.25" header="0.5" footer="0.5"/>
  <pageSetup paperSize="5" scale="78" fitToHeight="2" orientation="landscape" blackAndWhite="1" r:id="rId1"/>
  <headerFooter alignWithMargins="0"/>
  <rowBreaks count="1" manualBreakCount="1">
    <brk id="44" max="16383" man="1"/>
  </rowBreaks>
  <legacy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JxIO6l1+smzGSirHd1l7B0oYLLRfbHT8sjNDPED8dJM=</DigestValue>
    </Reference>
    <Reference Type="http://www.w3.org/2000/09/xmldsig#Object" URI="#idOfficeObject">
      <DigestMethod Algorithm="http://www.w3.org/2001/04/xmlenc#sha256"/>
      <DigestValue>PvGBoRtjVE/HJp9vjkz4Nr9G+St8lfQMNiX0bUutVuo=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kI/Zvem7CiwloR6yUalFqKcbzZK7r0nc7B7fdEnvFzo=</DigestValue>
    </Reference>
    <Reference Type="http://www.w3.org/2000/09/xmldsig#Object" URI="#idValidSigLnImg">
      <DigestMethod Algorithm="http://www.w3.org/2001/04/xmlenc#sha256"/>
      <DigestValue>bSDPbsmwGiOQGm/D4lfknkTP/8RQ5gXPhChwB8eesW0=</DigestValue>
    </Reference>
    <Reference Type="http://www.w3.org/2000/09/xmldsig#Object" URI="#idInvalidSigLnImg">
      <DigestMethod Algorithm="http://www.w3.org/2001/04/xmlenc#sha256"/>
      <DigestValue>HlC1qbBbZnGRMLBZwrnkL35iC86NZ2C6Ight0lI/d0I=</DigestValue>
    </Reference>
  </SignedInfo>
  <SignatureValue>m5oN5WxbNYV2Peq5HbyvNte7AUxLSjWOXE0lXr+vwTrR6Qvbvx45MNmVwuUgCpzNn2TA6ZNyjITT
kkHXMp1AbOX3pPLSgbTbJ7WZ+SCIwzsypnfE57o4Vc4ybLktG4XAsW/JpqcGsdRg2H37CyJhC7SN
8aX/NTgVBRc0clt8ozb5ntKdwrplwcfnOJIc48/nJpPYCRvmsmml6nfU3L55WWNKwPKHKD3ZKKE8
+3X2UxGrDGynEnBHCg6DweaBQgpw+XDCMCP+XYD69XxMRntFWDMSenpOzoJ5/qqEAbw+9hKC4Mbp
hFn7+vql/TAeaxuPyOokwo3ompz7wHL4AHaTBg==</SignatureValue>
  <KeyInfo>
    <X509Data>
      <X509Certificate>MIIE0zCCA7ugAwIBAgIDEAiqMA0GCSqGSIb3DQEBCwUAMF0xCzAJBgNVBAYTAlVTMRgwFgYDVQQKEw9VLlMuIEdvdmVybm1lbnQxDDAKBgNVBAsTA0RvRDEMMAoGA1UECxMDUEtJMRgwFgYDVQQDEw9ET0QgRU1BSUwgQ0EtNzEwHhcNMjQxMjMwMDAwMDAwWhcNMjcxMjE1MjM1OTU5WjB5MQswCQYDVQQGEwJVUzEYMBYGA1UEChMPVS5TLiBHb3Zlcm5tZW50MQwwCgYDVQQLEwNEb0QxDDAKBgNVBAsTA1BLSTEMMAoGA1UECxMDVVNBMSYwJAYDVQQDEx1NT1JNRUxMTy5CUkFORE9OLlIuMTUyMzcxODU2NDCCASIwDQYJKoZIhvcNAQEBBQADggEPADCCAQoCggEBAMF2mbKSDolDTPmN71Odi0kyBNQb/E9AE+VSPpeLuP/nkOYfpk/Tj5uGVgvASpvcHqUpnkm88IJjm96vuQiVsj9yd+NZKzqjUr1Obq9mj2vnPZ7+fLEYUxViQBee6PahTZIvSVnuC2hPjUpu1P7HLb+56X1kiXktJ8Fv/5zD7zCEZezQ0yGiHbfDaQZ1iVoH8+SOnEkfkpvHfYgu9NhLvjYpJtL+rrvetBIJvAkeTCkFXtem7Gx5omxIGBdECAIBdG8ky9/CBBifx+bxVzWwIoHfFJ/eI+DrNS5qBAFY7Kn8N0GOis3Qg1rs+q+0+3yuExhIxcvSQ6Dt6iehL7UFO1MCAwEAAaOCAX4wggF6MB8GA1UdIwQYMBaAFO0YbBzyMIYvgy1RXi6PRGvrjmxgMDoGA1UdHwQzMDEwL6AtoCuGKWh0dHA6Ly9jcmwuZGlzYS5taWwvY3JsL0RPREVNQUlMQ0FfNzEuY3JsMA4GA1UdDwEB/wQEAwIGwDAWBgNVHSAEDzANMAsGCWCGSAFlAgELKjAdBgNVHQ4EFgQUY3RyEIeuREkayXV6rdZGouBBVmcwaAYIKwYBBQUHAQEEXDBaMDYGCCsGAQUFBzAChipodHRwOi8vY3JsLmRpc2EubWlsL3NpZ24vRE9ERU1BSUxDQV83MS5jZXIwIAYIKwYBBQUHMAGGFGh0dHA6Ly9vY3NwLmRpc2EubWlsMCwGA1UdEQQlMCOBIWJyYW5kb24uci5tb3JtZWxsb0B1c2FjZS5hcm15Lm1pbDAbBgNVHQkEFDASMBAGCCsGAQUFBwkEMQQTAlVTMB8GA1UdJQQYMBYGCCsGAQUFBwMEBgorBgEEAYI3CgMMMA0GCSqGSIb3DQEBCwUAA4IBAQDi+zbp5GR1X5HrUmP8RrKbHAPZsGYfiqSdFPMqUNmKixpARgfvgX1ZhrUarMQ+ACvFj44GzPjxwNa7dNDKMYdMu60MMNg+KrUdOIdH3GDMiv9BoIEAUtECaBQXoYejsDRiKwtfNouJBqe603bZGpA0Ytj8IgzXW/CuLa1kDlwr/kOpLbJIM7h/oIWa9VxPg5J0VwEIYJ0IxeJMCoGMU2BWR8Nnf7dixGtPoNbYuiGZbyAbzvfjZnlO4mVvMMmow4yo7Vf64k3P1v1G7q4qOGBXAVorZPCv9G91QGc3tNb95+qwTgOC8X/maoSKoDI2Gyyvi/ULSVnn9u2+cgce6VMn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APL8YGyf5CzBV49B1EXxRR6G42iDXj/zddEoULmhylU=</DigestValue>
      </Reference>
      <Reference URI="/xl/calcChain.xml?ContentType=application/vnd.openxmlformats-officedocument.spreadsheetml.calcChain+xml">
        <DigestMethod Algorithm="http://www.w3.org/2001/04/xmlenc#sha256"/>
        <DigestValue>2HxuHpbyYRquHGD4qMNchqQTcSxwzX4QgLqMgtC1TFE=</DigestValue>
      </Reference>
      <Reference URI="/xl/comments1.xml?ContentType=application/vnd.openxmlformats-officedocument.spreadsheetml.comments+xml">
        <DigestMethod Algorithm="http://www.w3.org/2001/04/xmlenc#sha256"/>
        <DigestValue>e16us/C3Ou3gWseGEtUOmuZ8s6oe2nmYJPrk5sIHmRA=</DigestValue>
      </Reference>
      <Reference URI="/xl/drawings/_rels/vmlDrawing1.v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LLQF6CCIfjb3dFrBWtNElhv3ShnoV7Cmzqz7zlCW6P8=</DigestValue>
      </Reference>
      <Reference URI="/xl/drawings/vmlDrawing1.vml?ContentType=application/vnd.openxmlformats-officedocument.vmlDrawing">
        <DigestMethod Algorithm="http://www.w3.org/2001/04/xmlenc#sha256"/>
        <DigestValue>g8LJzOIn7HOrkMi1/RzmjsCBnzpTem4ieot0D5OM5hA=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6Xf9RY5ENkQ2qWFeB7n8frdiNsZXxSUQPhcjUzxTLyQ=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pMwDqRfjzFRnluDVdVHIQH/jSkMrPL2XmttKF6ZqU5M=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3G1aip0IlyhWn6mntB03Eb0Fql2O2Oh3xVotmpT4lYY=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DqbZIhILsY3AfF2nkp6eap0fb+0JhH4iWrtSy433Soc=</DigestValue>
      </Reference>
      <Reference URI="/xl/media/image1.emf?ContentType=image/x-emf">
        <DigestMethod Algorithm="http://www.w3.org/2001/04/xmlenc#sha256"/>
        <DigestValue>ODnhSLTabdA+eXUwzbt8DrA16KwRd6hxMPXmx5NMaaY=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nbYCcjQn/IoaPo81qxYvctTmQi5jXh09QbBxGLB85/A=</DigestValue>
      </Reference>
      <Reference URI="/xl/sharedStrings.xml?ContentType=application/vnd.openxmlformats-officedocument.spreadsheetml.sharedStrings+xml">
        <DigestMethod Algorithm="http://www.w3.org/2001/04/xmlenc#sha256"/>
        <DigestValue>nSjgC7MBN/Qu1tYCwZNhj0dTGOCh0r6ZwXQZULZx85M=</DigestValue>
      </Reference>
      <Reference URI="/xl/styles.xml?ContentType=application/vnd.openxmlformats-officedocument.spreadsheetml.styles+xml">
        <DigestMethod Algorithm="http://www.w3.org/2001/04/xmlenc#sha256"/>
        <DigestValue>xKiTAyuKYdUNQZHBTvWDim5gJaHdB1/QovJE1SuKxzc=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+r52h3hn0cq5uOBZQYG9gYa6pwDNaVKOOgGXIBHxD88=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tAw0CM4ccbE0LI7BZe2RQojB2vCAlZVSovckU6XQgKA=</DigestValue>
      </Reference>
      <Reference URI="/xl/worksheets/sheet1.xml?ContentType=application/vnd.openxmlformats-officedocument.spreadsheetml.worksheet+xml">
        <DigestMethod Algorithm="http://www.w3.org/2001/04/xmlenc#sha256"/>
        <DigestValue>w5CVGuTcX8AKsqKQX6qKQ0f3J/9YeZJa9aFSKDsGlfc=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2025-09-23T19:57:38Z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>{93C66BAA-A585-46E9-9CAF-7D80139E6300}</SetupID>
          <SignatureText/>
          <SignatureImage>AQAAAGwAAADc/////////wcBAABZAAAAcv3//wAAAADhHwAAsgoAACBFTUYAAAEAsAgAADUAAAACAAAAAAAAAAAAAAAAAAAAgAcAADgEAABWAgAAUAEAAAAAAAAAAAAAAAAAAPAfCQCAIAUAIQAAAAgAAAAMAAAAEAAAAAAAAAAAAAAACgAAABAAAAAAAAAAAAAAAHMAAAAMAAAAAAAAACEAAAAIAAAAYgAAAAwAAAABAAAAJAAAACQAAAAAAIA9AAAAAAAAAAAAAIA9AAAAAAAAAAACAAAAXwAAADgAAAABAAAAOAAAAAAAAAA4AAAAAAAAAAAAAQAVAAAAAAAAAAAAAAAAAAAAAAAAAAAAAAAlAAAADAAAAAEAAAAlAAAADAAAAAUAAIBVAAAARAAAAAkAAAABAAAAEQAAAEAAAAAKAAAA8QDgA/EAmQPeAHMD0AAwA8UA+QLHAKoCwQBxAq4AtQHBAOwAwQAwACUAAAAMAAAABwAAgCUAAAAMAAAAAAAAgCQAAAAkAAAAAACAQQAAAAAAAAAAAACAQQAAAAAAAAAAAgAAACgAAAAMAAAAAQAAACQAAAAkAAAAAACAPQAAAAAAAAAAAACAPQAAAAAAAAAAAgAAAF8AAAA4AAAAAQAAADgAAAAAAAAAOAAAAAAAAAAAAAEAFQAAAAAAAAAAAAAAAAAAAAAAAAAAAAAAJQAAAAwAAAABAAAAJQAAAAwAAAAFAACAVQAAALAAAADc////BgAAAEIAAAA+AAAAJQAAAEEAgQBPAIgAcgCdAIEAoQAUAcIAxgF+AFACsABQAt4AXAIZAUACQAEVAn0BsAGVAXEBsAE8AccBBQHZAdAA8AFxAfABEQLpAbECAQIPAw8CgAMnAtADUAL/A2gC8QOWAvEDwALxAxgDyAMEA4EDMAMUA3QDcwKVA/ABoQPXALkD5v2hAwH/oQMx/6EDYf+hA5H/oQMlAAAADAAAAAcAAIAlAAAADAAAAAAAAIAkAAAAJAAAAAAAgEEAAAAAAAAAAAAAgEEAAAAAAAAAAAIAAAAoAAAADAAAAAEAAAAkAAAAJAAAAAAAgD0AAAAAAAAAAAAAgD0AAAAAAAAAAAIAAABfAAAAOAAAAAEAAAA4AAAAAAAAADgAAAAAAAAAAAABABUAAAAAAAAAAAAAAAAAAAAAAAAAAAAAACUAAAAMAAAAAQAAACUAAAAMAAAABQAAgFUAAAD4AAAANwAAAAgAAACeAAAAWQAAADcAAACQA5ADqQN4A+MDUAMABDADFgQZAzAE8wJABOACQAQbA0IESANRBIEDlARaA8YELgPhBNECCAVKAkMFvgFQBTEBUAXjAE8FywBxBaEAaQVWAW4FzQFQBYACKwVhAw0FQATwBCEF6gRRBfAEQgXhBHEF5gQEBQkFtQQhBVEEKgUqBC0F9wMwBdADNAWqAycFjwNABXADVgVVA58FSAPABUEDKgYpA4gGHgPxBgADBgf7AhsH9gIxB/EC6AbxAqYG9gJhBgADqgY3A94GMANRBzADIQgwA/EIMAPBCTADJQAAAAwAAAAHAACAJQAAAAwAAAAAAACAJAAAACQAAAAAAIBBAAAAAAAAAAAAAIBBAAAAAAAAAAACAAAAKAAAAAwAAAABAAAAJAAAACQAAAAAAIA9AAAAAAAAAAAAAIA9AAAAAAAAAAACAAAAXwAAADgAAAABAAAAOAAAAAAAAAA4AAAAAAAAAAAAAQAVAAAAAAAAAAAAAAAAAAAAAAAAAAAAAAAlAAAADAAAAAEAAAAlAAAADAAAAAUAAIBVAAAAnAIAAIAAAAD/////BwEAAD8AAACgAAAAIQjQAyYIigNHCFUDUAgQA10ItgJuCFsCcQgBAnIIwQFxCCoAcQjBAHEINQF/CJABoAgBArsIWgLUCIYCEAnRAiYJ7AIyCR4DUAkwA2YJMANxCTADgQkwA7kJJgOuCT8D0AkQA/gJ2wL1CawCAApxAg0KLAIbCucBIAqhASUKZwEgCioBIArxADAKJAE1ClsBQAqQAVUK7wFnCkUCgAqgAowKyQKPCu4CoQoQA7EKMAO9CksD4QpQAwMLVgMHC0sDEAswAx0LDQMVC/gCIQvgAiYL2wIrC9YCMAvRAikL6QIlC98CIQsAAx8LEAMiCyEDIQswAzULJAM5CxIDUAsQA24LDgNRC+4CYAtBA2oLdgNoC4MDkQtwA68LYgPLC+EC0QvAAtMLtALRC1oC0QuAAtELiwLRC5YC0QugAtEL5gLVC0UD4AtwA/ILYAMNDGUDIQxBAzIMIANXDM8CYQyxAmcMnQJdDIUCYQxxAmEMkwJUDNYCcAzgAoIM5wIZDfMCIA3xAl8N4QJRDaQCUQ1xAlENUAJRDTACUQ0QAiANMgL4DEYC4AyRAs8MxwLQDAcD0AxBA9AMVgPQDGsD0AyBA+8MRwMfDdsCQA2RAn4NBgKpDVcBwQ3BAMgNlADLDVcA0A0wANANIADQDRsA0A0QAMkN0QCwDY8BsA1QArANrwKyDQ0DwQ1hAw8ONgMpDhIDQA6gAmEO/AHNDqcB4A7xAOYOvADgDoUA4A5QANQOeQCyDvcAoA4xAXoOrQFxDiUCUA6gAj4O5gJDDgkDUA4wA2IOJQNqDiUDgA4QA5cO+wLJDt8C8Q7RAjgPuAKED8AC0A/AAgkQwAIiEKgCURCRAiUAAAAMAAAABwAAgCUAAAAMAAAAAAAAgCQAAAAkAAAAAACAQQAAAAAAAAAAAACAQQAAAAAAAAAAAgAAACgAAAAMAAAAAQAAAHMAAAAMAAAAAAAAACIAAAAMAAAA/////yIAAAAMAAAA/////yEAAAAIAAAADAAAABAAAAAAAAAAAAAAAAoAAAAQAAAAAAAAAAAAAABzAAAADAAAAAAAAABzAAAADAAAAAAAAAAiAAAADAAAAP////8OAAAAFAAAAAAAAAAQAAAAFAAAAA==</SignatureImage>
          <SignatureComments/>
          <WindowsVersion>10.0</WindowsVersion>
          <OfficeVersion>16.0.18526/26</OfficeVersion>
          <ApplicationVersion>16.0.18526</ApplicationVersion>
          <Monitors>3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2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2025-09-23T19:57:38Z</xd:SigningTime>
          <xd:SigningCertificate>
            <xd:Cert>
              <xd:CertDigest>
                <DigestMethod Algorithm="http://www.w3.org/2001/04/xmlenc#sha256"/>
                <DigestValue>XMN5R5WZ7BFqPYICvDtv8ciiwY6sSQZ8KD+gtOIOsR4=</DigestValue>
              </xd:CertDigest>
              <xd:IssuerSerial>
                <X509IssuerName>CN=DOD EMAIL CA-71, OU=PKI, OU=DoD, O=U.S. Government, C=US</X509IssuerName>
                <X509SerialNumber>1050794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EvDCCA6SgAwIBAgICBwswDQYJKoZIhvcNAQELBQAwWzELMAkGA1UEBhMCVVMxGDAWBgNVBAoTD1UuUy4gR292ZXJubWVudDEMMAoGA1UECxMDRG9EMQwwCgYDVQQLEwNQS0kxFjAUBgNVBAMTDURvRCBSb290IENBIDMwHhcNMjIxMjA2MTcxMDI0WhcNMjgxMjA2MTcxMDI0WjBdMQswCQYDVQQGEwJVUzEYMBYGA1UEChMPVS5TLiBHb3Zlcm5tZW50MQwwCgYDVQQLEwNEb0QxDDAKBgNVBAsTA1BLSTEYMBYGA1UEAxMPRE9EIEVNQUlMIENBLTcxMIIBIjANBgkqhkiG9w0BAQEFAAOCAQ8AMIIBCgKCAQEA5AgAt4r/7tmU05ddW38CewltE9MXnytDMeyaVrIz4kV7i36oxAPKw2v7JkljBx8XlXcMFwgLh/8S/chNteIT6OMPFzahGMdhhr+ykafEHkiuGYJAccSOKV+LbvjFp6bozmRLibxdyZ/LpPM6VF/TJQ/isB1QhjKap7op0Dpmd49pZnrXLLxmCNL/NiWJcC/V9ArqXWXx0y3bEmrzN9twLa4UNa5ZlUZYdHBOI2n0M4SmRml1VAOTB6mcnwZ51PzOY4u4/c2hOxrheQK3G5Wc6RD3aECvgL8pDi8wQJMOHu78IkkZRtGj8jQX2gFQKdDVIFiTld9YCx3UVeSfEJDNRQIDAQABo4IBhjCCAYIwHwYDVR0jBBgwFoAUbIqUonexgHIdgXoWqvLczmbuRcAwHQYDVR0OBBYEFO0YbBzyMIYvgy1RXi6PRGvrjmxgMA4GA1UdDwEB/wQEAwIBhjBnBgNVHSAEYDBeMAsGCWCGSAFlAgELJDALBglghkgBZQIBCycwCwYJYIZIAWUCAQsqMAsGCWCGSAFlAgELOzAMBgpghkgBZQMCAQMNMAwGCmCGSAFlAwIBAxEwDAYKYIZIAWUDAgEDJzASBgNVHRMBAf8ECDAGAQH/AgEAMAwGA1UdJAQFMAOAAQAwNwYDVR0fBDAwLjAsoCqgKIYmaHR0cDovL2NybC5kaXNhLm1pbC9jcmwvRE9EUk9PVENBMy5jcmwwbAYIKwYBBQUHAQEEYDBeMDoGCCsGAQUFBzAChi5odHRwOi8vY3JsLmRpc2EubWlsL2lzc3VlZHRvL0RPRFJPT1RDQTNfSVQucDdjMCAGCCsGAQUFBzABhhRodHRwOi8vb2NzcC5kaXNhLm1pbDANBgkqhkiG9w0BAQsFAAOCAQEALgWV8BY2chSp8ySycAnxdh/tK4X+IH//kmMKR7eyxhHH8xG+2l8d4ki3X3WTU3m8duLOJN5ahfNf25lYuoKepwXZ/I5R9uzk6WwgCwIFhsjv75QfeeSuvI344OnwsdpVUCrB/Be0H3MxA8r2pKlZDltEvroqGU6RpYLmk23HJwKc5l9vW5qD+mXiqmHQGQZGX/rROCcCCc+bk/RmWiPqw3LeBX8Hh5bCqNlyMCykaGOWPldfbzVF7OAlDKdYhMMm/Nkz/QCJGtkR098DWHjqdENBTPebQ6eCLfbeKpepTwDL8Ixgdlo04AIVfE5G5xzvXNygUd15QW+qoB+oikZoKA==</xd:EncapsulatedX509Certificate>
            <xd:EncapsulatedX509Certificate>MIIDczCCAlugAwIBAgIBATANBgkqhkiG9w0BAQsFADBbMQswCQYDVQQGEwJVUzEYMBYGA1UEChMPVS5TLiBHb3Zlcm5tZW50MQwwCgYDVQQLEwNEb0QxDDAKBgNVBAsTA1BLSTEWMBQGA1UEAxMNRG9EIFJvb3QgQ0EgMzAeFw0xMjAzMjAxODQ2NDFaFw0yOTEyMzAxODQ2NDFaMFsxCzAJBgNVBAYTAlVTMRgwFgYDVQQKEw9VLlMuIEdvdmVybm1lbnQxDDAKBgNVBAsTA0RvRDEMMAoGA1UECxMDUEtJMRYwFAYDVQQDEw1Eb0QgUm9vdCBDQSAzMIIBIjANBgkqhkiG9w0BAQEFAAOCAQ8AMIIBCgKCAQEAqewUcoroS3Cj2hADhKb7pzYNKjpSFr8wFVKGBUcgz6qmzXXEZG7v8WAjywpmQK60yGgqAFFoSTfpWTJNlbxDJ+lAjToQzhS8Qxih+d7M54V2c14YGiNbvT8f8u2NGcwD0UCkj6cgAkwnWnk29qM3IY4AWgYWytNVlm8xKbtyDsviSFHy1DekNdZv7hezsQarCxmG6CNtMRsoeGXF3mJSvMF96+6gXVQE+7LLK7IjVJGCTPC/unRAOwwERYBnXMXrolfDGn8KLb1/udzBmbDIB+QMhjaUOiUv8n3mlzwblLSXWQbJOuQL2erp/DtzNG/955jk86HCkF8c9T8u1xnTfwIDAQABo0IwQDAdBgNVHQ4EFgQUbIqUonexgHIdgXoWqvLczmbuRcAwDgYDVR0PAQH/BAQDAgGGMA8GA1UdEwEB/wQFMAMBAf8wDQYJKoZIhvcNAQELBQADggEBAJ9xpMC2ltKAQ6BI6R92BPnFPK1mGFhjm8O26GiKhVpCZhK00uaLiH+H9Jj1qMYJyR/wLB/sgrj0pUc4wTMr30x+mr4LC7HLD3xQKBDPio2i6bqshtfUsZNfIo+WBbRODHWRfdPy55TClBR2T48MqxCHWDKFB3WGEgte6lO0CshMhJIf6+hBhjy69E5BStFsWEdBw4Za8u7p8pgnguouNtb4Bl6C8aBSk0QJutKpGVpYo6hdIG1PZPgwhxuQE0iBzcqQxw3B1Jg/jvIOV2gzEo6ZCbHw5PYQ9DbySb3qozjIVkEjg5rfoRs1fOs/QbP1b0s6Xq5vk3aY0vGZnUXEjnI=</xd:EncapsulatedX509Certificate>
          </xd:CertificateValues>
        </xd:UnsignedSignatureProperties>
      </xd:UnsignedProperties>
    </xd:QualifyingProperties>
  </Object>
  <Object Id="idValidSigLnImg">AQAAAGwAAAAAAAAAAAAAAAoBAAB/AAAAAAAAAAAAAAB8IAAAjw8AACBFTUYAAAEAjCQAAPIAAAAGAAAAAAAAAAAAAAAAAAAAgAcAADgEAABWAgAAUAEAAAAAAAAAAAAAAAAAAPAfCQCAIAUACgAAABAAAAAAAAAAAAAAAEsAAAAQAAAAAAAAAAUAAAAeAAAAGAAAAAAAAAAAAAAACwEAAIAAAAAnAAAAGAAAAAEAAAAAAAAAAAAAAAAAAAAlAAAADAAAAAEAAABMAAAAZAAAAAAAAAAAAAAACgEAAH8AAAAAAAAAAAAAAAs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AKAQAAfwAAAAAAAAAAAAAACwEAAIAAAAAhAPAAAAAAAAAAAAAAAIA/AAAAAAAAAAAAAIA/AAAAAAAAAAAAAAAAAAAAAAAAAAAAAAAAAAAAAAAAAAAlAAAADAAAAAAAAIAoAAAADAAAAAEAAAAnAAAAGAAAAAEAAAAAAAAA8PDwAAAAAAAlAAAADAAAAAEAAABMAAAAZAAAAAAAAAAAAAAACgEAAH8AAAAAAAAAAAAAAAsBAACAAAAAIQDwAAAAAAAAAAAAAACAPwAAAAAAAAAAAACAPwAAAAAAAAAAAAAAAAAAAAAAAAAAAAAAAAAAAAAAAAAAJQAAAAwAAAAAAACAKAAAAAwAAAABAAAAJwAAABgAAAABAAAAAAAAAPDw8AAAAAAAJQAAAAwAAAABAAAATAAAAGQAAAAAAAAAAAAAAAoBAAB/AAAAAAAAAAAAAAALAQAAgAAAACEA8AAAAAAAAAAAAAAAgD8AAAAAAAAAAAAAgD8AAAAAAAAAAAAAAAAAAAAAAAAAAAAAAAAAAAAAAAAAACUAAAAMAAAAAAAAgCgAAAAMAAAAAQAAACcAAAAYAAAAAQAAAAAAAADw8PAAAAAAACUAAAAMAAAAAQAAAEwAAABkAAAAAAAAAAAAAAAKAQAAfwAAAAAAAAAAAAAACwEAAIAAAAAhAPAAAAAAAAAAAAAAAIA/AAAAAAAAAAAAAIA/AAAAAAAAAAAAAAAAAAAAAAAAAAAAAAAAAAAAAAAAAAAlAAAADAAAAAAAAIAoAAAADAAAAAEAAAAnAAAAGAAAAAEAAAAAAAAA////AAAAAAAlAAAADAAAAAEAAABMAAAAZAAAAAAAAAAAAAAACgEAAH8AAAAAAAAAAAAAAAsBAACAAAAAIQDwAAAAAAAAAAAAAACAPwAAAAAAAAAAAACAPwAAAAAAAAAAAAAAAAAAAAAAAAAAAAAAAAAAAAAAAAAAJQAAAAwAAAAAAACAKAAAAAwAAAABAAAAJwAAABgAAAABAAAAAAAAAP///wAAAAAAJQAAAAwAAAABAAAATAAAAGQAAAAAAAAAAAAAAAoBAAB/AAAAAAAAAAAAAAAL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MMAAAAEAAAA9gAAABAAAADDAAAABAAAADQAAAANAAAAIQDwAAAAAAAAAAAAAACAPwAAAAAAAAAAAACAPwAAAAAAAAAAAAAAAAAAAAAAAAAAAAAAAAAAAAAAAAAAJQAAAAwAAAAAAACAKAAAAAwAAAABAAAAUgAAAHABAAABAAAA9f///wAAAAAAAAAAAAAAAJABAAAAAAABAAAAAHMAZQBnAG8AZQAgAHU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ZHYACAAAAAAlAAAADAAAAAEAAAAYAAAADAAAAAAAAAASAAAADAAAAAEAAAAeAAAAGAAAAMMAAAAEAAAA9wAAABEAAAAlAAAADAAAAAEAAABUAAAAhAAAAMQAAAAEAAAA9QAAABAAAAABAAAAqyr5QY7j+EHEAAAABAAAAAkAAABMAAAAAAAAAAAAAAAAAAAA//////////9gAAAAOQAvADIAMwAvADIAMAAyADUAAAAGAAAABAAAAAYAAAAGAAAABAAAAAYAAAAGAAAABgAAAAYAAABLAAAAQAAAADAAAAAFAAAAIAAAAAEAAAABAAAAEAAAAAAAAAAAAAAACwEAAIAAAAAAAAAAAAAAAAsBAACAAAAAUgAAAHABAAACAAAAEAAAAAcAAAAAAAAAAAAAALwCAAAAAAAAAQICIlMAeQBzAHQAZQB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ZHYACAAAAAAlAAAADAAAAAIAAAAnAAAAGAAAAAMAAAAAAAAAAAAAAAAAAAAlAAAADAAAAAMAAABMAAAAZAAAAAAAAAAAAAAA//////////8AAAAAFgAAAAAAAAA1AAAAIQDwAAAAAAAAAAAAAACAPwAAAAAAAAAAAACAPwAAAAAAAAAAAAAAAAAAAAAAAAAAAAAAAAAAAAAAAAAAJQAAAAwAAAAAAACAKAAAAAwAAAADAAAAJwAAABgAAAADAAAAAAAAAAAAAAAAAAAAJQAAAAwAAAADAAAATAAAAGQAAAAAAAAAAAAAAP//////////AAAAABYAAAAAAQAAAAAAACEA8AAAAAAAAAAAAAAAgD8AAAAAAAAAAAAAgD8AAAAAAAAAAAAAAAAAAAAAAAAAAAAAAAAAAAAAAAAAACUAAAAMAAAAAAAAgCgAAAAMAAAAAwAAACcAAAAYAAAAAwAAAAAAAAAAAAAAAAAAACUAAAAMAAAAAwAAAEwAAABkAAAAAAAAAAAAAAD//////////wABAAAWAAAAAAAAADUAAAAhAPAAAAAAAAAAAAAAAIA/AAAAAAAAAAAAAIA/AAAAAAAAAAAAAAAAAAAAAAAAAAAAAAAAAAAAAAAAAAAlAAAADAAAAAAAAIAoAAAADAAAAAMAAAAnAAAAGAAAAAMAAAAAAAAAAAAAAAAAAAAlAAAADAAAAAMAAABMAAAAZAAAAAAAAABLAAAA/wAAAEwAAAAAAAAASwAAAAABAAACAAAAIQDwAAAAAAAAAAAAAACAPwAAAAAAAAAAAACAPwAAAAAAAAAAAAAAAAAAAAAAAAAAAAAAAAAAAAAAAAAAJQAAAAwAAAAAAACAKAAAAAwAAAADAAAAJwAAABgAAAADAAAAAAAAAP///wAAAAAAJQAAAAwAAAADAAAATAAAAGQAAAAAAAAAFgAAAP8AAABKAAAAAAAAABYAAAAAAQAANQAAACEA8AAAAAAAAAAAAAAAgD8AAAAAAAAAAAAAgD8AAAAAAAAAAAAAAAAAAAAAAAAAAAAAAAAAAAAAAAAAACUAAAAMAAAAAAAAgCgAAAAMAAAAAwAAACcAAAAYAAAAAwAAAAAAAAD///8AAAAAACUAAAAMAAAAAwAAAEwAAABkAAAACQAAACcAAAAfAAAASgAAAAkAAAAnAAAAFwAAACQAAAAhAPAAAAAAAAAAAAAAAIA/AAAAAAAAAAAAAIA/AAAAAAAAAAAAAAAAAAAAAAAAAAAAAAAAAAAAAAAAAAAlAAAADAAAAAAAAIAoAAAADAAAAAMAAABSAAAAcAEAAAMAAADg////AAAAAAAAAAAAAAAAkAEAAAAAAAEAAAAAYQByAGkAYQBs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kdgAIAAAAACUAAAAMAAAAAwAAABgAAAAMAAAAAAAAABIAAAAMAAAAAQAAABYAAAAMAAAACAAAAFQAAABUAAAACgAAACcAAAAeAAAASgAAAAEAAACrKvlBjuP4QQoAAABLAAAAAQAAAEwAAAAEAAAACQAAACcAAAAgAAAASwAAAFAAAABYAAAAFQAAABYAAAAMAAAAAAAAACUAAAAMAAAAAgAAACcAAAAYAAAABAAAAAAAAAD///8AAAAAACUAAAAMAAAABAAAAEwAAABkAAAAKQAAABkAAAD2AAAASgAAACkAAAAZAAAAzgAAADIAAAAhAPAAAAAAAAAAAAAAAIA/AAAAAAAAAAAAAIA/AAAAAAAAAAAAAAAAAAAAAAAAAAAAAAAAAAAAAAAAAAAlAAAADAAAAAAAAIAoAAAADAAAAAQAAAAnAAAAGAAAAAQAAAAAAAAA////AAAAAAAlAAAADAAAAAQAAABMAAAAZAAAACkAAAAZAAAA9gAAAEcAAAApAAAAGQAAAM4AAAAvAAAAIQDwAAAAAAAAAAAAAACAPwAAAAAAAAAAAACAPwAAAAAAAAAAAAAAAAAAAAAAAAAAAAAAAAAAAAAAAAAAJQAAAAwAAAAAAACAKAAAAAwAAAAEAAAAJwAAABgAAAAEAAAAAAAAAP///wAAAAAAJQAAAAwAAAAEAAAATAAAAGQAAAApAAAAGQAAAPYAAABHAAAAKQAAABkAAADOAAAALwAAACEA8AAAAAAAAAAAAAAAgD8AAAAAAAAAAAAAgD8AAAAAAAAAAAAAAAAAAAAAAAAAAAAAAAAAAAAAAAAAACUAAAAMAAAAAAAAgCgAAAAMAAAABAAAACEAAAAIAAAAYgAAAAwAAAABAAAASwAAABAAAAAAAAAABQAAACEAAAAIAAAAHgAAABgAAAAAAAAAAAAAAAsBAACAAAAAHAAAAAgAAAAhAAAACAAAACEAAAAIAAAAcwAAAAwAAAAAAAAAHAAAAAgAAAAlAAAADAAAAAAAAIAlAAAADAAAAAcAAIAlAAAADAAAAA4AAIAZAAAADAAAAP///wAYAAAADAAAAAAAAAASAAAADAAAAAIAAAATAAAADAAAAAEAAAAUAAAADAAAAA0AAAAVAAAADAAAAAEAAAAWAAAADAAAAAAAAAANAAAAEAAAAAAAAAAAAAAAOgAAAAwAAAAKAAAAGwAAABAAAAAAAAAAAAAAACMAAAAgAAAAhK0HPwAAAAAAAAAArM4FP9mDUEIAAMhBJAAAACQAAACErQc/AAAAAAAAAACszgU/2YNQQgAAyEEEAAAAcwAAAAwAAAAAAAAADQAAABAAAAApAAAAGQAAAFIAAABwAQAABAAAABAAAAAHAAAAAAAAAAAAAAC8AgAAAAAAAAcCAiJTAHkAcwB0AGUAb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R2AAgAAAAAJQAAAAwAAAAEAAAARgAAACgAAAAcAAAAR0RJQwIAAADr////AAAAAAYBAABYAAAAAAAAACEAAAAIAAAAYgAAAAwAAAABAAAAJAAAACQAAAAAAIA9AAAAAAAAAAAAAIA9AAAAAAAAAAACAAAAXwAAADgAAAAFAAAAOAAAAAAAAAA4AAAAAAAAAAAAAQAVAAAAAAAAAAAAAAAAAAAAAAAAAAAAAAAlAAAADAAAAAUAAAAlAAAADAAAAAUAAIBVAAAARAAAADgAAAAZAAAAPgAAADsAAAAKAAAA8QDgA/EAmQPeAHMD0AAwA8UA+QLHAKoCwQBxAq4AtQHBAOwAwQAwACUAAAAMAAAABwAAgCUAAAAMAAAAAAAAgCQAAAAkAAAAAACAQQAAAAAAAAAAAACAQQAAAAAAAAAAAgAAACgAAAAMAAAABQAAACEAAAAIAAAAHgAAABgAAAAAAAAAAAAAAAsBAACAAAAAJAAAACQAAAAAAIA9AAAAAAAAAAAAAIA9AAAAAAAAAAACAAAAXwAAADgAAAAFAAAAOAAAAAAAAAA4AAAAAAAAAAAAAQAVAAAAAAAAAAAAAAAAAAAAAAAAAAAAAAAlAAAADAAAAAUAAAAlAAAADAAAAAUAAIBVAAAAsAAAADQAAAAbAAAAWAAAADoAAAAlAAAAQQCBAE8AiAByAJ0AgQChABQBwgDGAX4AUAKwAFAC3gBcAhkBQAJAARUCfQGwAZUBcQGwATwBxwEFAdkB0ADwAXEB8AERAukBsQIBAg8DDwKAAycC0ANQAv8DaALxA5YC8QPAAvEDGAPIAwQDgQMwAxQDdANzApUD8AGhA9cAuQPm/aEDAf+hAzH/oQNh/6EDkf+hAyUAAAAMAAAABwAAgCUAAAAMAAAAAAAAgCQAAAAkAAAAAACAQQAAAAAAAAAAAACAQQAAAAAAAAAAAgAAACIAAAAMAAAA/////ygAAAAMAAAABQAAACQAAAAkAAAAAACAPQAAAAAAAAAAAACAPQAAAAAAAAAAAgAAAF8AAAA4AAAABQAAADgAAAAAAAAAOAAAAAAAAAAAAAEAFQAAAAAAAAAAAAAAAAAAAAAAAAAAAAAAJQAAAAwAAAAFAAAAJQAAAAwAAAAFAACAVQAAAPgAAABRAAAAHAAAAIkAAABIAAAANwAAAJADkAOpA3gD4wNQAwAEMAMWBBkDMATzAkAE4AJABBsDQgRIA1EEgQOUBFoDxgQuA+EE0QIIBUoCQwW+AVAFMQFQBeMATwXLAHEFoQBpBVYBbgXNAVAFgAIrBWEDDQVABPAEIQXqBFEF8ARCBeEEcQXmBAQFCQW1BCEFUQQqBSoELQX3AzAF0AM0BaoDJwWPA0AFcANWBVUDnwVIA8AFQQMqBikDiAYeA/EGAAMGB/sCGwf2AjEH8QLoBvECpgb2AmEGAAOqBjcD3gYwA1EHMAMhCDAD8QgwA8EJMAMlAAAADAAAAAcAAIAlAAAADAAAAAAAAIAkAAAAJAAAAAAAgEEAAAAAAAAAAAAAgEEAAAAAAAAAAAIAAAAoAAAADAAAAAUAAAAhAAAACAAAAB4AAAAYAAAAAAAAAAAAAAALAQAAgAAAACQAAAAkAAAAAACAPQAAAAAAAAAAAACAPQAAAAAAAAAAAgAAAF8AAAA4AAAABQAAADgAAAAAAAAAOAAAAAAAAAAAAAEAFQAAAAAAAAAAAAAAAAAAAAAAAAAAAAAAJQAAAAwAAAAFAAAAJQAAAAwAAAAFAACAVQAAAJwCAAB3AAAAGQAAAMAAAAA7AAAAoAAAACEI0AMmCIoDRwhVA1AIEANdCLYCbghbAnEIAQJyCMEBcQgqAHEIwQBxCDUBfwiQAaAIAQK7CFoC1AiGAhAJ0QImCewCMgkeA1AJMANmCTADcQkwA4EJMAO5CSYDrgk/A9AJEAP4CdsC9QmsAgAKcQINCiwCGwrnASAKoQElCmcBIAoqASAK8QAwCiQBNQpbAUAKkAFVCu8BZwpFAoAKoAKMCskCjwruAqEKEAOxCjADvQpLA+EKUAMDC1YDBwtLAxALMAMdCw0DFQv4AiEL4AImC9sCKwvWAjAL0QIpC+kCJQvfAiELAAMfCxADIgshAyELMAM1CyQDOQsSA1ALEANuCw4DUQvuAmALQQNqC3YDaAuDA5ELcAOvC2IDywvhAtELwALTC7QC0QtaAtELgALRC4sC0QuWAtELoALRC+YC1QtFA+ALcAPyC2ADDQxlAyEMQQMyDCADVwzPAmEMsQJnDJ0CXQyFAmEMcQJhDJMCVAzWAnAM4AKCDOcCGQ3zAiAN8QJfDeECUQ2kAlENcQJRDVACUQ0wAlENEAIgDTIC+AxGAuAMkQLPDMcC0AwHA9AMQQPQDFYD0AxrA9AMgQPvDEcDHw3bAkANkQJ+DQYCqQ1XAcENwQDIDZQAyw1XANANMADQDSAA0A0bANANEADJDdEAsA2PAbANUAKwDa8Csg0NA8ENYQMPDjYDKQ4SA0AOoAJhDvwBzQ6nAeAO8QDmDrwA4A6FAOAOUADUDnkAsg73AKAOMQF6Dq0BcQ4lAlAOoAI+DuYCQw4JA1AOMANiDiUDag4lA4AOEAOXDvsCyQ7fAvEO0QI4D7gChA/AAtAPwAIJEMACIhCoAlEQkQIlAAAADAAAAAcAAIAlAAAADAAAAAAAAIAkAAAAJAAAAAAAgEEAAAAAAAAAAAAAgEEAAAAAAAAAAAIAAAAiAAAADAAAAP////8oAAAADAAAAAUAAABGAAAAFAAAAAgAAABHRElDAwAAACIAAAAMAAAA/////yIAAAAMAAAA/////yUAAAAMAAAADQAAgCgAAAAMAAAABAAAACIAAAAMAAAA/////yIAAAAMAAAA/v///ycAAAAYAAAABAAAAAAAAAD///8AAAAAACUAAAAMAAAABAAAAEwAAABkAAAAAAAAAFAAAAAKAQAAfAAAAAAAAABQAAAACwEAAC0AAAAhAPAAAAAAAAAAAAAAAIA/AAAAAAAAAAAAAIA/AAAAAAAAAAAAAAAAAAAAAAAAAAAAAAAAAAAAAAAAAAAlAAAADAAAAAAAAIAoAAAADAAAAAQAAAAnAAAAGAAAAAQAAAAAAAAA////AAAAAAAlAAAADAAAAAQAAABMAAAAZAAAAAkAAABQAAAA/wAAAFwAAAAJAAAAUAAAAPcAAAANAAAAIQDwAAAAAAAAAAAAAACAPwAAAAAAAAAAAACAPwAAAAAAAAAAAAAAAAAAAAAAAAAAAAAAAAAAAAAAAAAAJQAAAAwAAAAAAACAKAAAAAwAAAAEAAAAJQAAAAwAAAABAAAAGAAAAAwAAAAAAAAAEgAAAAwAAAABAAAAHgAAABgAAAAJAAAAUAAAAAABAABdAAAAJQAAAAwAAAABAAAAVAAAAKwAAAAKAAAAUAAAAGkAAABcAAAAAQAAAKsq+UGO4/hBCgAAAFAAAAAQAAAATAAAAAAAAAAAAAAAAAAAAP//////////bAAAAEIAcgBhAG4AZABvAG4AIABNAG8AcgBtAGUAbABsAG8ABgAAAAQAAAAGAAAABwAAAAcAAAAHAAAABwAAAAMAAAAKAAAABwAAAAQAAAAJAAAABgAAAAMAAAADAAAABwAAAEsAAABAAAAAMAAAAAUAAAAgAAAAAQAAAAEAAAAQAAAAAAAAAAAAAAALAQAAgAAAAAAAAAAAAAAACwEAAIAAAAAlAAAADAAAAAIAAAAnAAAAGAAAAAQAAAAAAAAA////AAAAAAAlAAAADAAAAAQAAABMAAAAZAAAAAkAAABgAAAA/wAAAGwAAAAJAAAAYAAAAPcAAAANAAAAIQDwAAAAAAAAAAAAAACAPwAAAAAAAAAAAACAPwAAAAAAAAAAAAAAAAAAAAAAAAAAAAAAAAAAAAAAAAAAJQAAAAwAAAAAAACAKAAAAAwAAAAEAAAAJQAAAAwAAAABAAAAGAAAAAwAAAAAAAAAEgAAAAwAAAABAAAAHgAAABgAAAAJAAAAYAAAAAABAABtAAAAJQAAAAwAAAABAAAAVAAAAMAAAAAKAAAAYAAAAGwAAABsAAAAAQAAAKsq+UGO4/hBCgAAAGAAAAATAAAATAAAAAAAAAAAAAAAAAAAAP//////////dAAAAEMAbwBuAHQAcgBhAGMAdABpAG4AZwAgAE8AZgBmAGkAYwBlAHIAGQAHAAAABwAAAAcAAAAEAAAABAAAAAYAAAAFAAAABAAAAAMAAAAHAAAABwAAAAMAAAAJAAAABAAAAAQAAAADAAAABQAAAAYAAAAEAAAASwAAAEAAAAAwAAAABQAAACAAAAABAAAAAQAAABAAAAAAAAAAAAAAAAsBAACAAAAAAAAAAAAAAAALAQAAgAAAACUAAAAMAAAAAgAAACcAAAAYAAAABAAAAAAAAAD///8AAAAAACUAAAAMAAAABAAAAEwAAABkAAAACQAAAHAAAAABAQAAfAAAAAkAAABwAAAA+QAAAA0AAAAhAPAAAAAAAAAAAAAAAIA/AAAAAAAAAAAAAIA/AAAAAAAAAAAAAAAAAAAAAAAAAAAAAAAAAAAAAAAAAAAlAAAADAAAAAAAAIAoAAAADAAAAAQAAAAlAAAADAAAAAEAAAAYAAAADAAAAAAAAAASAAAADAAAAAEAAAAWAAAADAAAAAAAAABUAAAAPAEAAAoAAABwAAAAAAEAAHwAAAABAAAAqyr5QY7j+EEKAAAAcAAAACgAAABMAAAABAAAAAkAAABwAAAAAgEAAH0AAACcAAAAUwBpAGcAbgBlAGQAIABiAHkAOgAgAE0ATwBSAE0ARQBMAEwATwAuAEIAUgBBAE4ARABPAE4ALgBSAC4AMQA1ADIAMwA3ADEAOAA1ADYANAAGAAAAAwAAAAcAAAAHAAAABgAAAAcAAAADAAAABwAAAAUAAAADAAAAAwAAAAoAAAAJAAAABwAAAAoAAAAGAAAABQAAAAUAAAAJAAAAAwAAAAYAAAAHAAAABwAAAAgAAAAIAAAACQAAAAgAAAADAAAABwAAAAMAAAAGAAAABgAAAAYAAAAGAAAABgAAAAYAAAAGAAAABgAAAAYAAAAGAAAAFgAAAAwAAAAAAAAAJQAAAAwAAAACAAAADgAAABQAAAAAAAAAEAAAABQAAAA=</Object>
  <Object Id="idInvalidSigLnImg">AQAAAGwAAAAAAAAAAAAAAAoBAAB/AAAAAAAAAAAAAAB8IAAAjw8AACBFTUYAAAEACCoAAPkAAAAGAAAAAAAAAAAAAAAAAAAAgAcAADgEAABWAgAAUAEAAAAAAAAAAAAAAAAAAPAfCQCAIAUACgAAABAAAAAAAAAAAAAAAEsAAAAQAAAAAAAAAAUAAAAeAAAAGAAAAAAAAAAAAAAACwEAAIAAAAAnAAAAGAAAAAEAAAAAAAAAAAAAAAAAAAAlAAAADAAAAAEAAABMAAAAZAAAAAAAAAAAAAAACgEAAH8AAAAAAAAAAAAAAAs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AKAQAAfwAAAAAAAAAAAAAACwEAAIAAAAAhAPAAAAAAAAAAAAAAAIA/AAAAAAAAAAAAAIA/AAAAAAAAAAAAAAAAAAAAAAAAAAAAAAAAAAAAAAAAAAAlAAAADAAAAAAAAIAoAAAADAAAAAEAAAAnAAAAGAAAAAEAAAAAAAAA8PDwAAAAAAAlAAAADAAAAAEAAABMAAAAZAAAAAAAAAAAAAAACgEAAH8AAAAAAAAAAAAAAAsBAACAAAAAIQDwAAAAAAAAAAAAAACAPwAAAAAAAAAAAACAPwAAAAAAAAAAAAAAAAAAAAAAAAAAAAAAAAAAAAAAAAAAJQAAAAwAAAAAAACAKAAAAAwAAAABAAAAJwAAABgAAAABAAAAAAAAAPDw8AAAAAAAJQAAAAwAAAABAAAATAAAAGQAAAAAAAAAAAAAAAoBAAB/AAAAAAAAAAAAAAALAQAAgAAAACEA8AAAAAAAAAAAAAAAgD8AAAAAAAAAAAAAgD8AAAAAAAAAAAAAAAAAAAAAAAAAAAAAAAAAAAAAAAAAACUAAAAMAAAAAAAAgCgAAAAMAAAAAQAAACcAAAAYAAAAAQAAAAAAAADw8PAAAAAAACUAAAAMAAAAAQAAAEwAAABkAAAAAAAAAAAAAAAKAQAAfwAAAAAAAAAAAAAACwEAAIAAAAAhAPAAAAAAAAAAAAAAAIA/AAAAAAAAAAAAAIA/AAAAAAAAAAAAAAAAAAAAAAAAAAAAAAAAAAAAAAAAAAAlAAAADAAAAAAAAIAoAAAADAAAAAEAAAAnAAAAGAAAAAEAAAAAAAAA////AAAAAAAlAAAADAAAAAEAAABMAAAAZAAAAAAAAAAAAAAACgEAAH8AAAAAAAAAAAAAAAsBAACAAAAAIQDwAAAAAAAAAAAAAACAPwAAAAAAAAAAAACAPwAAAAAAAAAAAAAAAAAAAAAAAAAAAAAAAAAAAAAAAAAAJQAAAAwAAAAAAACAKAAAAAwAAAABAAAAJwAAABgAAAABAAAAAAAAAP///wAAAAAAJQAAAAwAAAABAAAATAAAAGQAAAAAAAAAAAAAAAoBAAB/AAAAAAAAAAAAAAAL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AkAAAADAAAAGAAAABIAAAAJAAAAAwAAABAAAAAQAAAAIQDwAAAAAAAAAAAAAACAPwAAAAAAAAAAAACAPwAAAAAAAAAAAAAAAAAAAAAAAAAAAAAAAAAAAAAAAAAAJQAAAAwAAAAAAACAKAAAAAwAAAABAAAAFQAAAAwAAAADAAAAcgAAAKAEAAAKAAAAAwAAABcAAAAQAAAACgAAAAMAAAAOAAAADgAAAAAA/wEAAAAAAAAAAAAAgD8AAAAAAAAAAAAAgD8AAAAAAAAAAP///wAAAAAAbAAAADQAAACgAAAAAAQAAA4AAAAOAAAAKAAAABAAAAAQAAAAAQAgAAMAAAAABAAAAAAAAAAAAAAAAAAAAAAAAAAA/wAA/wAA/wAAAAAAAAAAAAAAAAAAAAAAAAAAAAAAAAAAAAAAAAAAAAAAAAAAAAAAAAAAAAAAAAAAAAAAAAAAAAAAAAAAAAAAAAAAAAAAAAAAAAAAAAAAAAAAAAAAAAAAAAAAAAAAAAAAAAAAAAAAAAAAAAAAAAAAAAAAAAAAAAAAAAAAAAAAAAAAAAAAAAAAAAAAAAAAHh8fihgZGW4AAAAAAAAAAA4POT01N9bmAAAAAAAAAAAAAAAAAAAAADs97f8AAAAAAAAAAAAAAAAAAAAAAAAAADo7O6Y4Ojr/ODo6/wsLCzEAAAAADg85PTU31uYAAAAAAAAAADs97f8AAAAAAAAAAAAAAAAAAAAAAAAAAAAAAAA6Ozumpqen//r6+v9OUFD/kZKS/wAAAAAODzk9NTfW5js97f8AAAAAAAAAAAAAAAAAAAAAAAAAAAAAAAAAAAAAOjs7pqanp//6+vr/+vr6//r6+v+srKyvAAAAADs97f81N9bmAAAAAAAAAAAAAAAAAAAAAAAAAAAAAAAAAAAAADo7O6amp6f/+vr6//r6+v88PDw9AAAAADs97f8AAAAADg85PTU31uYAAAAAAAAAAAAAAAAAAAAAAAAAAAAAAAA6Ozumpqen//r6+v88PDw9AAAAADs97f8AAAAAAAAAAAAAAAAODzk9NTfW5gAAAAAAAAAAAAAAAAAAAAAAAAAAOjs7ppGSkv84Ojr/ODo6/xISElEAAAAAAAAAAAAAAAAAAAAAAAAAAAAAAAAAAAAAAAAAAAAAAAAAAAAAAAAAADo7O6ZOUFD/+vr6//r6+v+vr6/xOzs7e0lLS8wAAAAAAAAAAAAAAAAAAAAAAAAAAAAAAAAAAAAAAAAAAAAAAABFR0f2+vr6//r6+v/6+vr/+vr6//r6+v9ISkr4CwsLMQAAAAAAAAAAAAAAAAAAAAAAAAAAAAAAAAAAAAAYGRluiImJ9vr6+v/6+vr/+vr6//r6+v/6+vr/pqen/x4fH4oAAAAAAAAAAAAAAAAAAAAAAAAAAAAAAAAAAAAAGBkZboiJifb6+vr/+vr6//r6+v/6+vr/+vr6/6anp/8eHx+KAAAAAAAAAAAAAAAAAAAAAAAAAAAAAAAAAAAAAAsLCzFISkr4+vr6//r6+v/6+vr/+vr6//r6+v9dXl72EhISUQAAAAAAAAAAAAAAAAAAAAAAAAAAAAAAAAAAAAAAAAAAHh8fimZnZ//6+vr/+vr6//r6+v97fX3/OTs7uwAAAAAAAAAAAAAAAAAAAAAAAAAAAAAAAAAAAAAAAAAAAAAAAAAAAAAYGRluODo6/zg6Ov84Ojr/Hh8figAAAAAAAAAAAAAAAAAAAAAAAAAAAAAAAAAAAAAnAAAAGAAAAAEAAAAAAAAA////AAAAAAAlAAAADAAAAAEAAABMAAAAZAAAACIAAAAEAAAAeQAAABAAAAAiAAAABAAAAFgAAAANAAAAIQDwAAAAAAAAAAAAAACAPwAAAAAAAAAAAACAPwAAAAAAAAAAAAAAAAAAAAAAAAAAAAAAAAAAAAAAAAAAJQAAAAwAAAAAAACAKAAAAAwAAAABAAAAUgAAAHABAAABAAAA9f///wAAAAAAAAAAAAAAAJABAAAAAAABAAAAAHMAZQBnAG8AZQAgAHU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ZHYACAAAAAAlAAAADAAAAAEAAAAYAAAADAAAAP8AAAASAAAADAAAAAEAAAAeAAAAGAAAACIAAAAEAAAAegAAABEAAAAlAAAADAAAAAEAAABUAAAAtAAAACMAAAAEAAAAeAAAABAAAAABAAAAqyr5QY7j+EEjAAAABAAAABEAAABMAAAAAAAAAAAAAAAAAAAA//////////9wAAAASQBuAHYAYQBsAGkAZAAgAHMAaQBnAG4AYQB0AHUAcgBlAIA/AwAAAAcAAAAFAAAABgAAAAMAAAADAAAABwAAAAMAAAAFAAAAAwAAAAcAAAAHAAAABgAAAAQAAAAHAAAABAAAAAYAAABLAAAAQAAAADAAAAAFAAAAIAAAAAEAAAABAAAAEAAAAAAAAAAAAAAACwEAAIAAAAAAAAAAAAAAAAsBAACAAAAAUgAAAHABAAACAAAAEAAAAAcAAAAAAAAAAAAAALwCAAAAAAAAAQICIlMAeQBzAHQAZQB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ZHYACAAAAAAlAAAADAAAAAIAAAAnAAAAGAAAAAMAAAAAAAAAAAAAAAAAAAAlAAAADAAAAAMAAABMAAAAZAAAAAAAAAAAAAAA//////////8AAAAAFgAAAAAAAAA1AAAAIQDwAAAAAAAAAAAAAACAPwAAAAAAAAAAAACAPwAAAAAAAAAAAAAAAAAAAAAAAAAAAAAAAAAAAAAAAAAAJQAAAAwAAAAAAACAKAAAAAwAAAADAAAAJwAAABgAAAADAAAAAAAAAAAAAAAAAAAAJQAAAAwAAAADAAAATAAAAGQAAAAAAAAAAAAAAP//////////AAAAABYAAAAAAQAAAAAAACEA8AAAAAAAAAAAAAAAgD8AAAAAAAAAAAAAgD8AAAAAAAAAAAAAAAAAAAAAAAAAAAAAAAAAAAAAAAAAACUAAAAMAAAAAAAAgCgAAAAMAAAAAwAAACcAAAAYAAAAAwAAAAAAAAAAAAAAAAAAACUAAAAMAAAAAwAAAEwAAABkAAAAAAAAAAAAAAD//////////wABAAAWAAAAAAAAADUAAAAhAPAAAAAAAAAAAAAAAIA/AAAAAAAAAAAAAIA/AAAAAAAAAAAAAAAAAAAAAAAAAAAAAAAAAAAAAAAAAAAlAAAADAAAAAAAAIAoAAAADAAAAAMAAAAnAAAAGAAAAAMAAAAAAAAAAAAAAAAAAAAlAAAADAAAAAMAAABMAAAAZAAAAAAAAABLAAAA/wAAAEwAAAAAAAAASwAAAAABAAACAAAAIQDwAAAAAAAAAAAAAACAPwAAAAAAAAAAAACAPwAAAAAAAAAAAAAAAAAAAAAAAAAAAAAAAAAAAAAAAAAAJQAAAAwAAAAAAACAKAAAAAwAAAADAAAAJwAAABgAAAADAAAAAAAAAP///wAAAAAAJQAAAAwAAAADAAAATAAAAGQAAAAAAAAAFgAAAP8AAABKAAAAAAAAABYAAAAAAQAANQAAACEA8AAAAAAAAAAAAAAAgD8AAAAAAAAAAAAAgD8AAAAAAAAAAAAAAAAAAAAAAAAAAAAAAAAAAAAAAAAAACUAAAAMAAAAAAAAgCgAAAAMAAAAAwAAACcAAAAYAAAAAwAAAAAAAAD///8AAAAAACUAAAAMAAAAAwAAAEwAAABkAAAACQAAACcAAAAfAAAASgAAAAkAAAAnAAAAFwAAACQAAAAhAPAAAAAAAAAAAAAAAIA/AAAAAAAAAAAAAIA/AAAAAAAAAAAAAAAAAAAAAAAAAAAAAAAAAAAAAAAAAAAlAAAADAAAAAAAAIAoAAAADAAAAAMAAABSAAAAcAEAAAMAAADg////AAAAAAAAAAAAAAAAkAEAAAAAAAEAAAAAYQByAGkAYQBs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kdgAIAAAAACUAAAAMAAAAAwAAABgAAAAMAAAAAAAAABIAAAAMAAAAAQAAABYAAAAMAAAACAAAAFQAAABUAAAACgAAACcAAAAeAAAASgAAAAEAAACrKvlBjuP4QQoAAABLAAAAAQAAAEwAAAAEAAAACQAAACcAAAAgAAAASwAAAFAAAABYAAAAFQAAABYAAAAMAAAAAAAAACUAAAAMAAAAAgAAACcAAAAYAAAABAAAAAAAAAD///8AAAAAACUAAAAMAAAABAAAAEwAAABkAAAAKQAAABkAAAD2AAAASgAAACkAAAAZAAAAzgAAADIAAAAhAPAAAAAAAAAAAAAAAIA/AAAAAAAAAAAAAIA/AAAAAAAAAAAAAAAAAAAAAAAAAAAAAAAAAAAAAAAAAAAlAAAADAAAAAAAAIAoAAAADAAAAAQAAAAnAAAAGAAAAAQAAAAAAAAA////AAAAAAAlAAAADAAAAAQAAABMAAAAZAAAACkAAAAZAAAA9gAAAEcAAAApAAAAGQAAAM4AAAAvAAAAIQDwAAAAAAAAAAAAAACAPwAAAAAAAAAAAACAPwAAAAAAAAAAAAAAAAAAAAAAAAAAAAAAAAAAAAAAAAAAJQAAAAwAAAAAAACAKAAAAAwAAAAEAAAAJwAAABgAAAAEAAAAAAAAAP///wAAAAAAJQAAAAwAAAAEAAAATAAAAGQAAAApAAAAGQAAAPYAAABHAAAAKQAAABkAAADOAAAALwAAACEA8AAAAAAAAAAAAAAAgD8AAAAAAAAAAAAAgD8AAAAAAAAAAAAAAAAAAAAAAAAAAAAAAAAAAAAAAAAAACUAAAAMAAAAAAAAgCgAAAAMAAAABAAAACEAAAAIAAAAYgAAAAwAAAABAAAASwAAABAAAAAAAAAABQAAACEAAAAIAAAAHgAAABgAAAAAAAAAAAAAAAsBAACAAAAAHAAAAAgAAAAhAAAACAAAACEAAAAIAAAAcwAAAAwAAAAAAAAAHAAAAAgAAAAlAAAADAAAAAAAAIAlAAAADAAAAAcAAIAlAAAADAAAAA4AAIAZAAAADAAAAP///wAYAAAADAAAAAAAAAASAAAADAAAAAIAAAATAAAADAAAAAEAAAAUAAAADAAAAA0AAAAVAAAADAAAAAEAAAAWAAAADAAAAAAAAAANAAAAEAAAAAAAAAAAAAAAOgAAAAwAAAAKAAAAGwAAABAAAAAAAAAAAAAAACMAAAAgAAAAhK0HPwAAAAAAAAAArM4FP9mDUEIAAMhBJAAAACQAAACErQc/AAAAAAAAAACszgU/2YNQQgAAyEEEAAAAcwAAAAwAAAAAAAAADQAAABAAAAApAAAAGQAAAFIAAABwAQAABAAAABAAAAAHAAAAAAAAAAAAAAC8AgAAAAAAAAcCAiJTAHkAcwB0AGUAb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R2AAgAAAAAJQAAAAwAAAAEAAAARgAAACgAAAAcAAAAR0RJQwIAAADr////AAAAAAYBAABYAAAAAAAAACEAAAAIAAAAYgAAAAwAAAABAAAAJAAAACQAAAAAAIA9AAAAAAAAAAAAAIA9AAAAAAAAAAACAAAAXwAAADgAAAAFAAAAOAAAAAAAAAA4AAAAAAAAAAAAAQAVAAAAAAAAAAAAAAAAAAAAAAAAAAAAAAAlAAAADAAAAAUAAAAlAAAADAAAAAUAAIBVAAAARAAAADgAAAAZAAAAPgAAADsAAAAKAAAA8QDgA/EAmQPeAHMD0AAwA8UA+QLHAKoCwQBxAq4AtQHBAOwAwQAwACUAAAAMAAAABwAAgCUAAAAMAAAAAAAAgCQAAAAkAAAAAACAQQAAAAAAAAAAAACAQQAAAAAAAAAAAgAAACgAAAAMAAAABQAAACEAAAAIAAAAHgAAABgAAAAAAAAAAAAAAAsBAACAAAAAJAAAACQAAAAAAIA9AAAAAAAAAAAAAIA9AAAAAAAAAAACAAAAXwAAADgAAAAFAAAAOAAAAAAAAAA4AAAAAAAAAAAAAQAVAAAAAAAAAAAAAAAAAAAAAAAAAAAAAAAlAAAADAAAAAUAAAAlAAAADAAAAAUAAIBVAAAAsAAAADQAAAAbAAAAWAAAADoAAAAlAAAAQQCBAE8AiAByAJ0AgQChABQBwgDGAX4AUAKwAFAC3gBcAhkBQAJAARUCfQGwAZUBcQGwATwBxwEFAdkB0ADwAXEB8AERAukBsQIBAg8DDwKAAycC0ANQAv8DaALxA5YC8QPAAvEDGAPIAwQDgQMwAxQDdANzApUD8AGhA9cAuQPm/aEDAf+hAzH/oQNh/6EDkf+hAyUAAAAMAAAABwAAgCUAAAAMAAAAAAAAgCQAAAAkAAAAAACAQQAAAAAAAAAAAACAQQAAAAAAAAAAAgAAACIAAAAMAAAA/////ygAAAAMAAAABQAAACQAAAAkAAAAAACAPQAAAAAAAAAAAACAPQAAAAAAAAAAAgAAAF8AAAA4AAAABQAAADgAAAAAAAAAOAAAAAAAAAAAAAEAFQAAAAAAAAAAAAAAAAAAAAAAAAAAAAAAJQAAAAwAAAAFAAAAJQAAAAwAAAAFAACAVQAAAPgAAABRAAAAHAAAAIkAAABIAAAANwAAAJADkAOpA3gD4wNQAwAEMAMWBBkDMATzAkAE4AJABBsDQgRIA1EEgQOUBFoDxgQuA+EE0QIIBUoCQwW+AVAFMQFQBeMATwXLAHEFoQBpBVYBbgXNAVAFgAIrBWEDDQVABPAEIQXqBFEF8ARCBeEEcQXmBAQFCQW1BCEFUQQqBSoELQX3AzAF0AM0BaoDJwWPA0AFcANWBVUDnwVIA8AFQQMqBikDiAYeA/EGAAMGB/sCGwf2AjEH8QLoBvECpgb2AmEGAAOqBjcD3gYwA1EHMAMhCDAD8QgwA8EJMAMlAAAADAAAAAcAAIAlAAAADAAAAAAAAIAkAAAAJAAAAAAAgEEAAAAAAAAAAAAAgEEAAAAAAAAAAAIAAAAoAAAADAAAAAUAAAAhAAAACAAAAB4AAAAYAAAAAAAAAAAAAAALAQAAgAAAACQAAAAkAAAAAACAPQAAAAAAAAAAAACAPQAAAAAAAAAAAgAAAF8AAAA4AAAABQAAADgAAAAAAAAAOAAAAAAAAAAAAAEAFQAAAAAAAAAAAAAAAAAAAAAAAAAAAAAAJQAAAAwAAAAFAAAAJQAAAAwAAAAFAACAVQAAAJwCAAB3AAAAGQAAAMAAAAA7AAAAoAAAACEI0AMmCIoDRwhVA1AIEANdCLYCbghbAnEIAQJyCMEBcQgqAHEIwQBxCDUBfwiQAaAIAQK7CFoC1AiGAhAJ0QImCewCMgkeA1AJMANmCTADcQkwA4EJMAO5CSYDrgk/A9AJEAP4CdsC9QmsAgAKcQINCiwCGwrnASAKoQElCmcBIAoqASAK8QAwCiQBNQpbAUAKkAFVCu8BZwpFAoAKoAKMCskCjwruAqEKEAOxCjADvQpLA+EKUAMDC1YDBwtLAxALMAMdCw0DFQv4AiEL4AImC9sCKwvWAjAL0QIpC+kCJQvfAiELAAMfCxADIgshAyELMAM1CyQDOQsSA1ALEANuCw4DUQvuAmALQQNqC3YDaAuDA5ELcAOvC2IDywvhAtELwALTC7QC0QtaAtELgALRC4sC0QuWAtELoALRC+YC1QtFA+ALcAPyC2ADDQxlAyEMQQMyDCADVwzPAmEMsQJnDJ0CXQyFAmEMcQJhDJMCVAzWAnAM4AKCDOcCGQ3zAiAN8QJfDeECUQ2kAlENcQJRDVACUQ0wAlENEAIgDTIC+AxGAuAMkQLPDMcC0AwHA9AMQQPQDFYD0AxrA9AMgQPvDEcDHw3bAkANkQJ+DQYCqQ1XAcENwQDIDZQAyw1XANANMADQDSAA0A0bANANEADJDdEAsA2PAbANUAKwDa8Csg0NA8ENYQMPDjYDKQ4SA0AOoAJhDvwBzQ6nAeAO8QDmDrwA4A6FAOAOUADUDnkAsg73AKAOMQF6Dq0BcQ4lAlAOoAI+DuYCQw4JA1AOMANiDiUDag4lA4AOEAOXDvsCyQ7fAvEO0QI4D7gChA/AAtAPwAIJEMACIhCoAlEQkQIlAAAADAAAAAcAAIAlAAAADAAAAAAAAIAkAAAAJAAAAAAAgEEAAAAAAAAAAAAAgEEAAAAAAAAAAAIAAAAiAAAADAAAAP////8oAAAADAAAAAUAAABGAAAAFAAAAAgAAABHRElDAwAAACIAAAAMAAAA/////yIAAAAMAAAA/////yUAAAAMAAAADQAAgCgAAAAMAAAABAAAACIAAAAMAAAA/////yIAAAAMAAAA/v///ycAAAAYAAAABAAAAAAAAAD///8AAAAAACUAAAAMAAAABAAAAEwAAABkAAAAAAAAAFAAAAAKAQAAfAAAAAAAAABQAAAACwEAAC0AAAAhAPAAAAAAAAAAAAAAAIA/AAAAAAAAAAAAAIA/AAAAAAAAAAAAAAAAAAAAAAAAAAAAAAAAAAAAAAAAAAAlAAAADAAAAAAAAIAoAAAADAAAAAQAAAAnAAAAGAAAAAQAAAAAAAAA////AAAAAAAlAAAADAAAAAQAAABMAAAAZAAAAAkAAABQAAAA/wAAAFwAAAAJAAAAUAAAAPcAAAANAAAAIQDwAAAAAAAAAAAAAACAPwAAAAAAAAAAAACAPwAAAAAAAAAAAAAAAAAAAAAAAAAAAAAAAAAAAAAAAAAAJQAAAAwAAAAAAACAKAAAAAwAAAAEAAAAJQAAAAwAAAABAAAAGAAAAAwAAAAAAAAAEgAAAAwAAAABAAAAHgAAABgAAAAJAAAAUAAAAAABAABdAAAAJQAAAAwAAAABAAAAVAAAAKwAAAAKAAAAUAAAAGkAAABcAAAAAQAAAKsq+UGO4/hBCgAAAFAAAAAQAAAATAAAAAAAAAAAAAAAAAAAAP//////////bAAAAEIAcgBhAG4AZABvAG4AIABNAG8AcgBtAGUAbABsAG8ABgAAAAQAAAAGAAAABwAAAAcAAAAHAAAABwAAAAMAAAAKAAAABwAAAAQAAAAJAAAABgAAAAMAAAADAAAABwAAAEsAAABAAAAAMAAAAAUAAAAgAAAAAQAAAAEAAAAQAAAAAAAAAAAAAAALAQAAgAAAAAAAAAAAAAAACwEAAIAAAAAlAAAADAAAAAIAAAAnAAAAGAAAAAQAAAAAAAAA////AAAAAAAlAAAADAAAAAQAAABMAAAAZAAAAAkAAABgAAAA/wAAAGwAAAAJAAAAYAAAAPcAAAANAAAAIQDwAAAAAAAAAAAAAACAPwAAAAAAAAAAAACAPwAAAAAAAAAAAAAAAAAAAAAAAAAAAAAAAAAAAAAAAAAAJQAAAAwAAAAAAACAKAAAAAwAAAAEAAAAJQAAAAwAAAABAAAAGAAAAAwAAAAAAAAAEgAAAAwAAAABAAAAHgAAABgAAAAJAAAAYAAAAAABAABtAAAAJQAAAAwAAAABAAAAVAAAAMAAAAAKAAAAYAAAAGwAAABsAAAAAQAAAKsq+UGO4/hBCgAAAGAAAAATAAAATAAAAAAAAAAAAAAAAAAAAP//////////dAAAAEMAbwBuAHQAcgBhAGMAdABpAG4AZwAgAE8AZgBmAGkAYwBlAHIACgAHAAAABwAAAAcAAAAEAAAABAAAAAYAAAAFAAAABAAAAAMAAAAHAAAABwAAAAMAAAAJAAAABAAAAAQAAAADAAAABQAAAAYAAAAEAAAASwAAAEAAAAAwAAAABQAAACAAAAABAAAAAQAAABAAAAAAAAAAAAAAAAsBAACAAAAAAAAAAAAAAAALAQAAgAAAACUAAAAMAAAAAgAAACcAAAAYAAAABAAAAAAAAAD///8AAAAAACUAAAAMAAAABAAAAEwAAABkAAAACQAAAHAAAAABAQAAfAAAAAkAAABwAAAA+QAAAA0AAAAhAPAAAAAAAAAAAAAAAIA/AAAAAAAAAAAAAIA/AAAAAAAAAAAAAAAAAAAAAAAAAAAAAAAAAAAAAAAAAAAlAAAADAAAAAAAAIAoAAAADAAAAAQAAAAlAAAADAAAAAEAAAAYAAAADAAAAAAAAAASAAAADAAAAAEAAAAWAAAADAAAAAAAAABUAAAAPAEAAAoAAABwAAAAAAEAAHwAAAABAAAAqyr5QY7j+EEKAAAAcAAAACgAAABMAAAABAAAAAkAAABwAAAAAgEAAH0AAACcAAAAUwBpAGcAbgBlAGQAIABiAHkAOgAgAE0ATwBSAE0ARQBMAEwATwAuAEIAUgBBAE4ARABPAE4ALgBSAC4AMQA1ADIAMwA3ADEAOAA1ADYANAAGAAAAAwAAAAcAAAAHAAAABgAAAAcAAAADAAAABwAAAAUAAAADAAAAAwAAAAoAAAAJAAAABwAAAAoAAAAGAAAABQAAAAUAAAAJAAAAAwAAAAYAAAAHAAAABwAAAAgAAAAIAAAACQAAAAgAAAADAAAABwAAAAMAAAAGAAAABgAAAAYAAAAGAAAABgAAAAYAAAAGAAAABgAAAAYAAAAGAAAAFgAAAAwAAAAAAAAAJQAAAAwAAAACAAAADgAAABQAAAAAAAAAEAAAABQAAAA=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Abstract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Sklencar, Jeffrey P (Jeff)  CIV USARMY CENAP (USA)</dc:creator>
  <cp:keywords/>
  <dc:description/>
  <cp:lastModifiedBy>Mormello, Brandon R CIV USARMY CENAP (USA)</cp:lastModifiedBy>
  <cp:revision/>
  <dcterms:created xsi:type="dcterms:W3CDTF">2021-09-13T17:34:25Z</dcterms:created>
  <dcterms:modified xsi:type="dcterms:W3CDTF">2025-09-23T19:57:22Z</dcterms:modified>
  <cp:category/>
  <cp:contentStatus/>
</cp:coreProperties>
</file>