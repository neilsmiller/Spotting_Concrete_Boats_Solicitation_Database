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N:\K_Dir\PHARMACY\UFBPA\BPA &amp; ADP Preaward\FY26Q4 - RFQ HT9402-26-Q-9300\Class Review\Solicitation Materials\"/>
    </mc:Choice>
  </mc:AlternateContent>
  <xr:revisionPtr revIDLastSave="0" documentId="13_ncr:1_{9C5BEEA4-3837-4C6C-AB68-282983B5BD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PA" sheetId="4" r:id="rId1"/>
    <sheet name="ADP (non-FAMP Discount)" sheetId="1" r:id="rId2"/>
  </sheets>
  <calcPr calcId="191029"/>
  <customWorkbookViews>
    <customWorkbookView name="Hudson W. Tompkins - Personal View" guid="{D9F77BF7-A32D-418A-A0F1-BD82524C2AF7}" mergeInterval="0" personalView="1" maximized="1" xWindow="-16" yWindow="-2" windowWidth="3872" windowHeight="207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4" l="1"/>
  <c r="H173" i="4"/>
  <c r="G173" i="4"/>
  <c r="E173" i="4"/>
  <c r="D173" i="4"/>
  <c r="C173" i="4"/>
  <c r="H172" i="4"/>
  <c r="G172" i="4"/>
  <c r="E172" i="4"/>
  <c r="D172" i="4"/>
  <c r="C172" i="4"/>
  <c r="B171" i="4"/>
  <c r="H170" i="4"/>
  <c r="G170" i="4"/>
  <c r="E170" i="4"/>
  <c r="D170" i="4"/>
  <c r="C170" i="4"/>
  <c r="H169" i="4"/>
  <c r="G169" i="4"/>
  <c r="E169" i="4"/>
  <c r="D169" i="4"/>
  <c r="C169" i="4"/>
  <c r="H168" i="4"/>
  <c r="G168" i="4"/>
  <c r="E168" i="4"/>
  <c r="D168" i="4"/>
  <c r="C168" i="4"/>
  <c r="H157" i="4"/>
  <c r="G157" i="4"/>
  <c r="E157" i="4"/>
  <c r="D157" i="4"/>
  <c r="C157" i="4"/>
  <c r="H156" i="4"/>
  <c r="G156" i="4"/>
  <c r="E156" i="4"/>
  <c r="D156" i="4"/>
  <c r="C156" i="4"/>
  <c r="B155" i="4"/>
  <c r="H154" i="4"/>
  <c r="G154" i="4"/>
  <c r="E154" i="4"/>
  <c r="D154" i="4"/>
  <c r="C154" i="4"/>
  <c r="H153" i="4"/>
  <c r="G153" i="4"/>
  <c r="E153" i="4"/>
  <c r="D153" i="4"/>
  <c r="C153" i="4"/>
  <c r="H152" i="4"/>
  <c r="G152" i="4"/>
  <c r="E152" i="4"/>
  <c r="D152" i="4"/>
  <c r="C152" i="4"/>
  <c r="H141" i="4"/>
  <c r="G141" i="4"/>
  <c r="E141" i="4"/>
  <c r="D141" i="4"/>
  <c r="C141" i="4"/>
  <c r="H140" i="4"/>
  <c r="G140" i="4"/>
  <c r="E140" i="4"/>
  <c r="D140" i="4"/>
  <c r="C140" i="4"/>
  <c r="B139" i="4"/>
  <c r="H138" i="4"/>
  <c r="G138" i="4"/>
  <c r="E138" i="4"/>
  <c r="D138" i="4"/>
  <c r="C138" i="4"/>
  <c r="H137" i="4"/>
  <c r="G137" i="4"/>
  <c r="E137" i="4"/>
  <c r="D137" i="4"/>
  <c r="C137" i="4"/>
  <c r="H136" i="4"/>
  <c r="G136" i="4"/>
  <c r="E136" i="4"/>
  <c r="D136" i="4"/>
  <c r="C136" i="4"/>
  <c r="H125" i="4"/>
  <c r="G125" i="4"/>
  <c r="E125" i="4"/>
  <c r="D125" i="4"/>
  <c r="C125" i="4"/>
  <c r="H124" i="4"/>
  <c r="G124" i="4"/>
  <c r="E124" i="4"/>
  <c r="D124" i="4"/>
  <c r="C124" i="4"/>
  <c r="B123" i="4"/>
  <c r="H122" i="4"/>
  <c r="G122" i="4"/>
  <c r="E122" i="4"/>
  <c r="D122" i="4"/>
  <c r="C122" i="4"/>
  <c r="H121" i="4"/>
  <c r="G121" i="4"/>
  <c r="E121" i="4"/>
  <c r="D121" i="4"/>
  <c r="C121" i="4"/>
  <c r="H120" i="4"/>
  <c r="G120" i="4"/>
  <c r="E120" i="4"/>
  <c r="D120" i="4"/>
  <c r="C120" i="4"/>
  <c r="H109" i="4"/>
  <c r="G109" i="4"/>
  <c r="E109" i="4"/>
  <c r="D109" i="4"/>
  <c r="C109" i="4"/>
  <c r="H108" i="4"/>
  <c r="G108" i="4"/>
  <c r="E108" i="4"/>
  <c r="D108" i="4"/>
  <c r="C108" i="4"/>
  <c r="B107" i="4"/>
  <c r="H106" i="4"/>
  <c r="G106" i="4"/>
  <c r="E106" i="4"/>
  <c r="D106" i="4"/>
  <c r="C106" i="4"/>
  <c r="H105" i="4"/>
  <c r="G105" i="4"/>
  <c r="E105" i="4"/>
  <c r="D105" i="4"/>
  <c r="C105" i="4"/>
  <c r="H104" i="4"/>
  <c r="G104" i="4"/>
  <c r="E104" i="4"/>
  <c r="D104" i="4"/>
  <c r="C104" i="4"/>
  <c r="H93" i="4"/>
  <c r="G93" i="4"/>
  <c r="E93" i="4"/>
  <c r="D93" i="4"/>
  <c r="C93" i="4"/>
  <c r="H92" i="4"/>
  <c r="G92" i="4"/>
  <c r="E92" i="4"/>
  <c r="D92" i="4"/>
  <c r="C92" i="4"/>
  <c r="B91" i="4"/>
  <c r="H90" i="4"/>
  <c r="G90" i="4"/>
  <c r="E90" i="4"/>
  <c r="D90" i="4"/>
  <c r="C90" i="4"/>
  <c r="H89" i="4"/>
  <c r="G89" i="4"/>
  <c r="E89" i="4"/>
  <c r="D89" i="4"/>
  <c r="C89" i="4"/>
  <c r="H88" i="4"/>
  <c r="G88" i="4"/>
  <c r="E88" i="4"/>
  <c r="D88" i="4"/>
  <c r="C88" i="4"/>
  <c r="H77" i="4"/>
  <c r="G77" i="4"/>
  <c r="E77" i="4"/>
  <c r="D77" i="4"/>
  <c r="C77" i="4"/>
  <c r="H76" i="4"/>
  <c r="G76" i="4"/>
  <c r="E76" i="4"/>
  <c r="D76" i="4"/>
  <c r="C76" i="4"/>
  <c r="B75" i="4"/>
  <c r="H74" i="4"/>
  <c r="G74" i="4"/>
  <c r="E74" i="4"/>
  <c r="D74" i="4"/>
  <c r="C74" i="4"/>
  <c r="H73" i="4"/>
  <c r="G73" i="4"/>
  <c r="E73" i="4"/>
  <c r="D73" i="4"/>
  <c r="C73" i="4"/>
  <c r="H72" i="4"/>
  <c r="G72" i="4"/>
  <c r="E72" i="4"/>
  <c r="D72" i="4"/>
  <c r="C72" i="4"/>
  <c r="H61" i="4"/>
  <c r="G61" i="4"/>
  <c r="E61" i="4"/>
  <c r="D61" i="4"/>
  <c r="C61" i="4"/>
  <c r="H60" i="4"/>
  <c r="G60" i="4"/>
  <c r="E60" i="4"/>
  <c r="D60" i="4"/>
  <c r="C60" i="4"/>
  <c r="B59" i="4"/>
  <c r="H58" i="4"/>
  <c r="G58" i="4"/>
  <c r="E58" i="4"/>
  <c r="D58" i="4"/>
  <c r="C58" i="4"/>
  <c r="H57" i="4"/>
  <c r="G57" i="4"/>
  <c r="E57" i="4"/>
  <c r="D57" i="4"/>
  <c r="C57" i="4"/>
  <c r="H56" i="4"/>
  <c r="G56" i="4"/>
  <c r="E56" i="4"/>
  <c r="D56" i="4"/>
  <c r="C56" i="4"/>
  <c r="G45" i="4"/>
  <c r="G44" i="4"/>
  <c r="G42" i="4"/>
  <c r="G41" i="4"/>
  <c r="G40" i="4"/>
  <c r="G29" i="4"/>
  <c r="G28" i="4"/>
  <c r="G26" i="4"/>
  <c r="G25" i="4"/>
  <c r="G24" i="4"/>
  <c r="B167" i="4"/>
  <c r="B151" i="4"/>
  <c r="B135" i="4"/>
  <c r="B119" i="4"/>
  <c r="B103" i="4"/>
  <c r="B87" i="4"/>
  <c r="B71" i="4"/>
  <c r="B55" i="4"/>
  <c r="B39" i="4"/>
  <c r="B160" i="4"/>
  <c r="B144" i="4"/>
  <c r="B128" i="4"/>
  <c r="B112" i="4"/>
  <c r="B96" i="4"/>
  <c r="B80" i="4"/>
  <c r="B64" i="4"/>
  <c r="B48" i="4"/>
  <c r="B32" i="4"/>
  <c r="G162" i="4"/>
  <c r="G146" i="4"/>
  <c r="G130" i="4"/>
  <c r="G114" i="4"/>
  <c r="G98" i="4"/>
  <c r="G82" i="4"/>
  <c r="G66" i="4"/>
  <c r="G50" i="4"/>
  <c r="G34" i="4"/>
  <c r="E173" i="1"/>
  <c r="D173" i="1"/>
  <c r="C173" i="1"/>
  <c r="E172" i="1"/>
  <c r="D172" i="1"/>
  <c r="C172" i="1"/>
  <c r="B171" i="1"/>
  <c r="E170" i="1"/>
  <c r="D170" i="1"/>
  <c r="C170" i="1"/>
  <c r="H169" i="1"/>
  <c r="H170" i="1" s="1"/>
  <c r="H172" i="1" s="1"/>
  <c r="H173" i="1" s="1"/>
  <c r="F169" i="1"/>
  <c r="F170" i="1" s="1"/>
  <c r="E169" i="1"/>
  <c r="D169" i="1"/>
  <c r="C169" i="1"/>
  <c r="J168" i="1"/>
  <c r="I168" i="1"/>
  <c r="E168" i="1"/>
  <c r="D168" i="1"/>
  <c r="C168" i="1"/>
  <c r="E157" i="1"/>
  <c r="D157" i="1"/>
  <c r="C157" i="1"/>
  <c r="E156" i="1"/>
  <c r="D156" i="1"/>
  <c r="C156" i="1"/>
  <c r="B155" i="1"/>
  <c r="E154" i="1"/>
  <c r="D154" i="1"/>
  <c r="C154" i="1"/>
  <c r="H153" i="1"/>
  <c r="H154" i="1" s="1"/>
  <c r="H156" i="1" s="1"/>
  <c r="H157" i="1" s="1"/>
  <c r="F153" i="1"/>
  <c r="I153" i="1" s="1"/>
  <c r="E153" i="1"/>
  <c r="D153" i="1"/>
  <c r="C153" i="1"/>
  <c r="J152" i="1"/>
  <c r="I152" i="1"/>
  <c r="E152" i="1"/>
  <c r="D152" i="1"/>
  <c r="C152" i="1"/>
  <c r="E141" i="1"/>
  <c r="D141" i="1"/>
  <c r="C141" i="1"/>
  <c r="E140" i="1"/>
  <c r="D140" i="1"/>
  <c r="C140" i="1"/>
  <c r="B139" i="1"/>
  <c r="F138" i="1"/>
  <c r="J138" i="1" s="1"/>
  <c r="E138" i="1"/>
  <c r="D138" i="1"/>
  <c r="C138" i="1"/>
  <c r="I137" i="1"/>
  <c r="H137" i="1"/>
  <c r="H138" i="1" s="1"/>
  <c r="H140" i="1" s="1"/>
  <c r="H141" i="1" s="1"/>
  <c r="F137" i="1"/>
  <c r="J137" i="1" s="1"/>
  <c r="E137" i="1"/>
  <c r="D137" i="1"/>
  <c r="C137" i="1"/>
  <c r="J136" i="1"/>
  <c r="I136" i="1"/>
  <c r="E136" i="1"/>
  <c r="D136" i="1"/>
  <c r="C136" i="1"/>
  <c r="E125" i="1"/>
  <c r="D125" i="1"/>
  <c r="C125" i="1"/>
  <c r="E124" i="1"/>
  <c r="D124" i="1"/>
  <c r="C124" i="1"/>
  <c r="B123" i="1"/>
  <c r="E122" i="1"/>
  <c r="D122" i="1"/>
  <c r="C122" i="1"/>
  <c r="H121" i="1"/>
  <c r="H122" i="1" s="1"/>
  <c r="H124" i="1" s="1"/>
  <c r="H125" i="1" s="1"/>
  <c r="F121" i="1"/>
  <c r="F122" i="1" s="1"/>
  <c r="E121" i="1"/>
  <c r="D121" i="1"/>
  <c r="C121" i="1"/>
  <c r="J120" i="1"/>
  <c r="I120" i="1"/>
  <c r="E120" i="1"/>
  <c r="D120" i="1"/>
  <c r="C120" i="1"/>
  <c r="E109" i="1"/>
  <c r="D109" i="1"/>
  <c r="C109" i="1"/>
  <c r="E108" i="1"/>
  <c r="D108" i="1"/>
  <c r="C108" i="1"/>
  <c r="B107" i="1"/>
  <c r="E106" i="1"/>
  <c r="D106" i="1"/>
  <c r="C106" i="1"/>
  <c r="H105" i="1"/>
  <c r="H106" i="1" s="1"/>
  <c r="H108" i="1" s="1"/>
  <c r="H109" i="1" s="1"/>
  <c r="F105" i="1"/>
  <c r="F106" i="1" s="1"/>
  <c r="E105" i="1"/>
  <c r="D105" i="1"/>
  <c r="C105" i="1"/>
  <c r="J104" i="1"/>
  <c r="I104" i="1"/>
  <c r="E104" i="1"/>
  <c r="D104" i="1"/>
  <c r="C104" i="1"/>
  <c r="E93" i="1"/>
  <c r="D93" i="1"/>
  <c r="C93" i="1"/>
  <c r="E92" i="1"/>
  <c r="D92" i="1"/>
  <c r="C92" i="1"/>
  <c r="B91" i="1"/>
  <c r="E90" i="1"/>
  <c r="D90" i="1"/>
  <c r="C90" i="1"/>
  <c r="J89" i="1"/>
  <c r="I89" i="1"/>
  <c r="H89" i="1"/>
  <c r="H90" i="1" s="1"/>
  <c r="H92" i="1" s="1"/>
  <c r="H93" i="1" s="1"/>
  <c r="F89" i="1"/>
  <c r="F90" i="1" s="1"/>
  <c r="E89" i="1"/>
  <c r="D89" i="1"/>
  <c r="C89" i="1"/>
  <c r="J88" i="1"/>
  <c r="I88" i="1"/>
  <c r="E88" i="1"/>
  <c r="D88" i="1"/>
  <c r="C88" i="1"/>
  <c r="E77" i="1"/>
  <c r="D77" i="1"/>
  <c r="C77" i="1"/>
  <c r="E76" i="1"/>
  <c r="D76" i="1"/>
  <c r="C76" i="1"/>
  <c r="B75" i="1"/>
  <c r="E74" i="1"/>
  <c r="D74" i="1"/>
  <c r="C74" i="1"/>
  <c r="H73" i="1"/>
  <c r="H74" i="1" s="1"/>
  <c r="H76" i="1" s="1"/>
  <c r="H77" i="1" s="1"/>
  <c r="F73" i="1"/>
  <c r="F74" i="1" s="1"/>
  <c r="E73" i="1"/>
  <c r="D73" i="1"/>
  <c r="C73" i="1"/>
  <c r="J72" i="1"/>
  <c r="I72" i="1"/>
  <c r="E72" i="1"/>
  <c r="D72" i="1"/>
  <c r="C72" i="1"/>
  <c r="E61" i="1"/>
  <c r="D61" i="1"/>
  <c r="C61" i="1"/>
  <c r="E60" i="1"/>
  <c r="D60" i="1"/>
  <c r="C60" i="1"/>
  <c r="B59" i="1"/>
  <c r="E58" i="1"/>
  <c r="D58" i="1"/>
  <c r="C58" i="1"/>
  <c r="H57" i="1"/>
  <c r="H58" i="1" s="1"/>
  <c r="H60" i="1" s="1"/>
  <c r="H61" i="1" s="1"/>
  <c r="F57" i="1"/>
  <c r="F58" i="1" s="1"/>
  <c r="E57" i="1"/>
  <c r="D57" i="1"/>
  <c r="C57" i="1"/>
  <c r="J56" i="1"/>
  <c r="I56" i="1"/>
  <c r="E56" i="1"/>
  <c r="D56" i="1"/>
  <c r="C56" i="1"/>
  <c r="E45" i="4"/>
  <c r="E44" i="4"/>
  <c r="D45" i="4"/>
  <c r="D44" i="4"/>
  <c r="E42" i="4"/>
  <c r="E41" i="4"/>
  <c r="E40" i="4"/>
  <c r="D42" i="4"/>
  <c r="D41" i="4"/>
  <c r="D40" i="4"/>
  <c r="C45" i="4"/>
  <c r="C44" i="4"/>
  <c r="C42" i="4"/>
  <c r="C41" i="4"/>
  <c r="C40" i="4"/>
  <c r="E45" i="1"/>
  <c r="E44" i="1"/>
  <c r="D45" i="1"/>
  <c r="D44" i="1"/>
  <c r="E42" i="1"/>
  <c r="E41" i="1"/>
  <c r="E40" i="1"/>
  <c r="D42" i="1"/>
  <c r="D41" i="1"/>
  <c r="D40" i="1"/>
  <c r="C45" i="1"/>
  <c r="C44" i="1"/>
  <c r="C42" i="1"/>
  <c r="C41" i="1"/>
  <c r="C40" i="1"/>
  <c r="J170" i="1" l="1"/>
  <c r="I170" i="1"/>
  <c r="F172" i="1"/>
  <c r="I169" i="1"/>
  <c r="J169" i="1"/>
  <c r="J153" i="1"/>
  <c r="F154" i="1"/>
  <c r="F140" i="1"/>
  <c r="I138" i="1"/>
  <c r="J122" i="1"/>
  <c r="I122" i="1"/>
  <c r="F124" i="1"/>
  <c r="I121" i="1"/>
  <c r="J121" i="1"/>
  <c r="J106" i="1"/>
  <c r="I106" i="1"/>
  <c r="F108" i="1"/>
  <c r="I105" i="1"/>
  <c r="J105" i="1"/>
  <c r="J90" i="1"/>
  <c r="I90" i="1"/>
  <c r="F92" i="1"/>
  <c r="J74" i="1"/>
  <c r="I74" i="1"/>
  <c r="F76" i="1"/>
  <c r="I73" i="1"/>
  <c r="J73" i="1"/>
  <c r="J58" i="1"/>
  <c r="I58" i="1"/>
  <c r="F60" i="1"/>
  <c r="I57" i="1"/>
  <c r="J57" i="1"/>
  <c r="F25" i="1"/>
  <c r="F26" i="1" s="1"/>
  <c r="F28" i="1" s="1"/>
  <c r="F29" i="1" s="1"/>
  <c r="H25" i="1"/>
  <c r="H26" i="1" s="1"/>
  <c r="H28" i="1" s="1"/>
  <c r="H29" i="1" s="1"/>
  <c r="D3" i="1"/>
  <c r="B43" i="1"/>
  <c r="B39" i="1"/>
  <c r="H41" i="1"/>
  <c r="F41" i="1"/>
  <c r="F42" i="1" s="1"/>
  <c r="J40" i="1"/>
  <c r="I40" i="1"/>
  <c r="I41" i="1" l="1"/>
  <c r="J41" i="1"/>
  <c r="H42" i="1"/>
  <c r="H44" i="1" s="1"/>
  <c r="H45" i="1" s="1"/>
  <c r="J172" i="1"/>
  <c r="I172" i="1"/>
  <c r="F173" i="1"/>
  <c r="I154" i="1"/>
  <c r="F156" i="1"/>
  <c r="J154" i="1"/>
  <c r="F141" i="1"/>
  <c r="J140" i="1"/>
  <c r="I140" i="1"/>
  <c r="F125" i="1"/>
  <c r="J124" i="1"/>
  <c r="I124" i="1"/>
  <c r="F109" i="1"/>
  <c r="I108" i="1"/>
  <c r="J108" i="1"/>
  <c r="F93" i="1"/>
  <c r="J92" i="1"/>
  <c r="I92" i="1"/>
  <c r="F77" i="1"/>
  <c r="J76" i="1"/>
  <c r="I76" i="1"/>
  <c r="F61" i="1"/>
  <c r="J60" i="1"/>
  <c r="I60" i="1"/>
  <c r="J42" i="1"/>
  <c r="F44" i="1"/>
  <c r="F45" i="1" s="1"/>
  <c r="I42" i="1" l="1"/>
  <c r="J173" i="1"/>
  <c r="I173" i="1"/>
  <c r="F157" i="1"/>
  <c r="J156" i="1"/>
  <c r="I156" i="1"/>
  <c r="J141" i="1"/>
  <c r="I141" i="1"/>
  <c r="J125" i="1"/>
  <c r="I125" i="1"/>
  <c r="I109" i="1"/>
  <c r="J109" i="1"/>
  <c r="J93" i="1"/>
  <c r="I93" i="1"/>
  <c r="I77" i="1"/>
  <c r="J77" i="1"/>
  <c r="J61" i="1"/>
  <c r="I61" i="1"/>
  <c r="J44" i="1"/>
  <c r="I44" i="1"/>
  <c r="J157" i="1" l="1"/>
  <c r="I157" i="1"/>
  <c r="I45" i="1"/>
  <c r="J45" i="1"/>
  <c r="J24" i="1" l="1"/>
  <c r="I24" i="1"/>
  <c r="J25" i="1" l="1"/>
  <c r="J26" i="1"/>
  <c r="I25" i="1"/>
  <c r="I26" i="1" l="1"/>
  <c r="G163" i="4" l="1"/>
  <c r="D163" i="4"/>
  <c r="D162" i="4"/>
  <c r="G147" i="4"/>
  <c r="D147" i="4"/>
  <c r="D146" i="4"/>
  <c r="G131" i="4"/>
  <c r="D131" i="4"/>
  <c r="D130" i="4"/>
  <c r="G115" i="4"/>
  <c r="D115" i="4"/>
  <c r="D114" i="4"/>
  <c r="G99" i="4"/>
  <c r="D99" i="4"/>
  <c r="D98" i="4"/>
  <c r="G83" i="4"/>
  <c r="D83" i="4"/>
  <c r="D82" i="4"/>
  <c r="G67" i="4"/>
  <c r="D67" i="4"/>
  <c r="D66" i="4"/>
  <c r="G51" i="4"/>
  <c r="D51" i="4"/>
  <c r="D50" i="4"/>
  <c r="H45" i="4"/>
  <c r="H44" i="4"/>
  <c r="H42" i="4"/>
  <c r="H41" i="4"/>
  <c r="H40" i="4"/>
  <c r="G35" i="4"/>
  <c r="D35" i="4"/>
  <c r="D34" i="4"/>
  <c r="H25" i="4" l="1"/>
  <c r="B167" i="1" l="1"/>
  <c r="G164" i="1"/>
  <c r="B160" i="1"/>
  <c r="B151" i="1"/>
  <c r="G148" i="1"/>
  <c r="B144" i="1"/>
  <c r="B135" i="1"/>
  <c r="G132" i="1"/>
  <c r="B128" i="1"/>
  <c r="B119" i="1"/>
  <c r="G116" i="1"/>
  <c r="B112" i="1"/>
  <c r="B103" i="1"/>
  <c r="G100" i="1"/>
  <c r="B96" i="1"/>
  <c r="B87" i="1"/>
  <c r="G84" i="1"/>
  <c r="B80" i="1"/>
  <c r="B71" i="1"/>
  <c r="G68" i="1"/>
  <c r="B64" i="1"/>
  <c r="B55" i="1"/>
  <c r="G52" i="1"/>
  <c r="B48" i="1"/>
  <c r="G36" i="1"/>
  <c r="B32" i="1"/>
  <c r="H29" i="4" l="1"/>
  <c r="H4" i="1" l="1"/>
  <c r="H3" i="1"/>
  <c r="D4" i="1"/>
  <c r="E130" i="1" l="1"/>
  <c r="E114" i="1"/>
  <c r="E98" i="1"/>
  <c r="E82" i="1"/>
  <c r="E66" i="1"/>
  <c r="E50" i="1"/>
  <c r="E34" i="1"/>
  <c r="E162" i="1"/>
  <c r="E146" i="1"/>
  <c r="E67" i="1"/>
  <c r="E51" i="1"/>
  <c r="E35" i="1"/>
  <c r="E163" i="1"/>
  <c r="E147" i="1"/>
  <c r="E131" i="1"/>
  <c r="E115" i="1"/>
  <c r="E99" i="1"/>
  <c r="E83" i="1"/>
  <c r="I98" i="1"/>
  <c r="I82" i="1"/>
  <c r="I66" i="1"/>
  <c r="I50" i="1"/>
  <c r="I34" i="1"/>
  <c r="I162" i="1"/>
  <c r="I146" i="1"/>
  <c r="I130" i="1"/>
  <c r="I114" i="1"/>
  <c r="I35" i="1"/>
  <c r="I163" i="1"/>
  <c r="I147" i="1"/>
  <c r="I131" i="1"/>
  <c r="I115" i="1"/>
  <c r="I99" i="1"/>
  <c r="I83" i="1"/>
  <c r="I67" i="1"/>
  <c r="I51" i="1"/>
  <c r="I19" i="1"/>
  <c r="I18" i="1"/>
  <c r="E19" i="1"/>
  <c r="E18" i="1"/>
  <c r="H28" i="4"/>
  <c r="H26" i="4"/>
  <c r="G19" i="4"/>
  <c r="G18" i="4"/>
  <c r="D19" i="4"/>
  <c r="H24" i="4" l="1"/>
  <c r="D18" i="4"/>
  <c r="J28" i="1" l="1"/>
  <c r="I29" i="1" l="1"/>
  <c r="J29" i="1"/>
  <c r="I28" i="1"/>
</calcChain>
</file>

<file path=xl/sharedStrings.xml><?xml version="1.0" encoding="utf-8"?>
<sst xmlns="http://schemas.openxmlformats.org/spreadsheetml/2006/main" count="484" uniqueCount="74">
  <si>
    <t>NDC Number</t>
  </si>
  <si>
    <t>Drug Name</t>
  </si>
  <si>
    <t>Strength</t>
  </si>
  <si>
    <t>Dosage Form</t>
  </si>
  <si>
    <t>Package Size</t>
  </si>
  <si>
    <t>Formulary Category</t>
  </si>
  <si>
    <t>Formulary Notes</t>
  </si>
  <si>
    <t>P&amp;T Committee Meeting:</t>
  </si>
  <si>
    <t>#1</t>
  </si>
  <si>
    <t>Formulary Scenarios</t>
  </si>
  <si>
    <t>Formulary Category Description</t>
  </si>
  <si>
    <t>Price per NDC</t>
  </si>
  <si>
    <t>Scenario 1</t>
  </si>
  <si>
    <t>Scenario 2</t>
  </si>
  <si>
    <t>#2</t>
  </si>
  <si>
    <t>#3</t>
  </si>
  <si>
    <t>#4</t>
  </si>
  <si>
    <t>#5</t>
  </si>
  <si>
    <t>Condition Set #</t>
  </si>
  <si>
    <t>Standard Refund Per FCP</t>
  </si>
  <si>
    <t>Total Calculated Retail Refund Per FCP Package*</t>
  </si>
  <si>
    <t>Non-FAMP Price of Drug Per FCP Package**</t>
  </si>
  <si>
    <t>Additional Offered Refund Per FCP Package**</t>
  </si>
  <si>
    <t>Current Annual Federal Ceiling Price Per FCP Package**</t>
  </si>
  <si>
    <t>#6</t>
  </si>
  <si>
    <t>#7</t>
  </si>
  <si>
    <t>#8</t>
  </si>
  <si>
    <t>#9</t>
  </si>
  <si>
    <t>#10</t>
  </si>
  <si>
    <t>If cell highlights red, please confirm intent not to submit a quote</t>
  </si>
  <si>
    <t>Quotes due:</t>
  </si>
  <si>
    <t>One of (x) Number of Branded Agents</t>
  </si>
  <si>
    <t>Military Treatment Facility &amp; Mail Order</t>
  </si>
  <si>
    <t>TRICARE RETAIL REFUND</t>
  </si>
  <si>
    <t>Blanket Purchase Agreement Appendix  – Class Review</t>
  </si>
  <si>
    <t>Additional Discount Program Appendix  – Class Review</t>
  </si>
  <si>
    <t>One of (x) Number of Brand Agents</t>
  </si>
  <si>
    <t>Price per Unit</t>
  </si>
  <si>
    <t>DoW Uniform Formulary Class:</t>
  </si>
  <si>
    <t>DoW Uniform Formulary Subclass:</t>
  </si>
  <si>
    <r>
      <t xml:space="preserve">
Notes to Manufacturers: </t>
    </r>
    <r>
      <rPr>
        <sz val="12"/>
        <color theme="1"/>
        <rFont val="Times New Roman"/>
        <family val="1"/>
      </rPr>
      <t>Do not forget to submit the Quote Review Checklist and fully executed signature pages, along with quote information. 
* Total Calculated Refund Per FCP is calculated as: ((non-FAMP-FCP)+(non-FAMP*Y%)) = Total Calculated Refund
**Based on the most recent annual non-FAMP (reported to the Department of Veterans Affairs) from which the current annual Federal Ceiling Price (FCP) calculated ceiling is derived. The current annual FCP and the annual non-FAMP from which it is derived will be applicable to all prescriptions filled during a calendar year. The quoted additional refund percentage will remain static during the life of the agreement but the most recent annual non-FAMP, and thus the calculated refund, may change each calendar year.</t>
    </r>
  </si>
  <si>
    <r>
      <t xml:space="preserve">
Notes to Manufacturers: </t>
    </r>
    <r>
      <rPr>
        <sz val="12"/>
        <color theme="1"/>
        <rFont val="Times New Roman"/>
        <family val="1"/>
      </rPr>
      <t>Do not forget to submit the Quote Review Checklist and fully executed signature pages, along with quote information. 
The price per unit of measure for a given dosage form and strength (each, gram, mL, etc.) of the pharmaceutical agent will be the same for all available package sizes (e.g., 30s, 100s, 1000s) within a given dispensing venue.</t>
    </r>
  </si>
  <si>
    <r>
      <t xml:space="preserve">UF BPA NDC Price List for the </t>
    </r>
    <r>
      <rPr>
        <b/>
        <sz val="24"/>
        <color rgb="FFFF0000"/>
        <rFont val="Times New Roman"/>
        <family val="1"/>
      </rPr>
      <t>August 2026</t>
    </r>
    <r>
      <rPr>
        <b/>
        <sz val="24"/>
        <color theme="1"/>
        <rFont val="Times New Roman"/>
        <family val="1"/>
      </rPr>
      <t xml:space="preserve"> DoW P&amp;T Meeting</t>
    </r>
  </si>
  <si>
    <t>ONCOLOGICAL AGENTS</t>
  </si>
  <si>
    <t>BRAF-MEK INHIBITORS</t>
  </si>
  <si>
    <t>Aug 5-6, 2026</t>
  </si>
  <si>
    <t>Scenario 2: One or more BRAF-inhibitor and MEK-inhibitor Combination UF.</t>
  </si>
  <si>
    <t>264OABMG1UFBS1</t>
  </si>
  <si>
    <t>264OABMG1UFAS1M</t>
  </si>
  <si>
    <t>264OABMG1NFAS1M</t>
  </si>
  <si>
    <t>Uniform Formulary 
Before-Step Therapy</t>
  </si>
  <si>
    <t>Uniform Formulary
After-Step Therapy</t>
  </si>
  <si>
    <t>Non-Formulary
After-Step Therapy</t>
  </si>
  <si>
    <t>1 or more</t>
  </si>
  <si>
    <t>264OABMG1UF1M</t>
  </si>
  <si>
    <t>264OABMG1NF1M</t>
  </si>
  <si>
    <t>Uniform Formulary</t>
  </si>
  <si>
    <t>Non-Formulary</t>
  </si>
  <si>
    <t>Scenario 2: One or more BRAF-inhibitor and MEK-inhibitor Combinations T2.</t>
  </si>
  <si>
    <t>264OABMG1T2BS1</t>
  </si>
  <si>
    <t>264OABMG1T2AS1M</t>
  </si>
  <si>
    <t>264OABMG1T3AS1M</t>
  </si>
  <si>
    <t>264OABMG1T21M</t>
  </si>
  <si>
    <t>264OABMG1T31M</t>
  </si>
  <si>
    <t>Tier 2</t>
  </si>
  <si>
    <t>Tier 3</t>
  </si>
  <si>
    <r>
      <t xml:space="preserve">UF ADP Appendix for the </t>
    </r>
    <r>
      <rPr>
        <b/>
        <sz val="24"/>
        <color rgb="FFFF0000"/>
        <rFont val="Times New Roman"/>
        <family val="1"/>
      </rPr>
      <t>August 2026</t>
    </r>
    <r>
      <rPr>
        <b/>
        <sz val="24"/>
        <color theme="1"/>
        <rFont val="Times New Roman"/>
        <family val="1"/>
      </rPr>
      <t xml:space="preserve"> DoW P&amp;T Meeting</t>
    </r>
  </si>
  <si>
    <t>Scenario 1:  One BRAF-inhibitor and MEK-inhibitor Combination T2 and before the step.</t>
  </si>
  <si>
    <t>Scenario 1: One BRAF-inhibitor and MEK-inhibitor Combination UF and before the step.</t>
  </si>
  <si>
    <r>
      <rPr>
        <b/>
        <sz val="12"/>
        <color theme="1"/>
        <rFont val="Times New Roman"/>
        <family val="1"/>
      </rPr>
      <t xml:space="preserve">Class Note(s):  </t>
    </r>
    <r>
      <rPr>
        <sz val="12"/>
        <color theme="1"/>
        <rFont val="Times New Roman"/>
        <family val="1"/>
      </rPr>
      <t xml:space="preserve">Prior Authorization (PA) may apply. Agents may be identified as possible candidates for special reimbursement methods, amounts, and procedures to encourage use of high-value products and discourage use of low-value products. The P&amp;T Committee may recommend consideration of preferential status to any non-generic pharmaceutical agent by treating it for purposes of cost sharing as a generic product (Tier 1). Similarly, the P&amp;T Committee may identify candidates to recommend for complete exclusion from the TRICARE pharmacy benefit program.
</t>
    </r>
    <r>
      <rPr>
        <b/>
        <sz val="12"/>
        <color theme="1"/>
        <rFont val="Times New Roman"/>
        <family val="1"/>
      </rPr>
      <t xml:space="preserve">Step Therapy Addendum: </t>
    </r>
    <r>
      <rPr>
        <sz val="12"/>
        <color theme="1"/>
        <rFont val="Times New Roman"/>
        <family val="1"/>
      </rPr>
      <t xml:space="preserve"> </t>
    </r>
    <r>
      <rPr>
        <u/>
        <sz val="12"/>
        <color theme="1"/>
        <rFont val="Times New Roman"/>
        <family val="1"/>
      </rPr>
      <t>Grandfathering:</t>
    </r>
    <r>
      <rPr>
        <sz val="12"/>
        <color theme="1"/>
        <rFont val="Times New Roman"/>
        <family val="1"/>
      </rPr>
      <t xml:space="preserve"> a prior authorization process that allows current patients to remain on current therapy and requires new patients to complete an adequate trial of the step-preferred (before-step) regimen before a non-step-preferred (after-step) regimen is provided to the patient at any MTF, Retail, or Mail point of service.  The P&amp;T Committee may consider approving specialist bypass for the step-preferred (before-step) regimen.</t>
    </r>
    <r>
      <rPr>
        <b/>
        <sz val="12"/>
        <color theme="1"/>
        <rFont val="Times New Roman"/>
        <family val="1"/>
      </rPr>
      <t xml:space="preserve">
The condition set is specific for a combination chemotherapy regimen which consists of a BRAF inhibitor and a MEK inhibitor.
</t>
    </r>
    <r>
      <rPr>
        <sz val="12"/>
        <color theme="1"/>
        <rFont val="Times New Roman"/>
        <family val="1"/>
      </rPr>
      <t>*Note: Step Therapy may be applicable to agents that share the same FDA-approved indication(s).</t>
    </r>
    <r>
      <rPr>
        <b/>
        <sz val="12"/>
        <color theme="1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>Agents with RFQ not submitted or selected may be designated non-step preferred (after-step).</t>
    </r>
  </si>
  <si>
    <r>
      <rPr>
        <b/>
        <sz val="12"/>
        <color theme="1"/>
        <rFont val="Times New Roman"/>
        <family val="1"/>
      </rPr>
      <t>Class Note(s):</t>
    </r>
    <r>
      <rPr>
        <sz val="12"/>
        <color theme="1"/>
        <rFont val="Times New Roman"/>
        <family val="1"/>
      </rPr>
      <t xml:space="preserve">  Prior Authorization (PA) may apply. Agents may be identified as possible candidates for special reimbursement methods, amounts, and procedures to encourage use of high-value products and discourage use of low-value products. The P&amp;T Committee may recommend consideration of preferential status to any non-generic pharmaceutical agent by treating it for purposes of cost sharing as a generic product (Tier 1). Similarly, the P&amp;T Committee may identify candidates to recommend for complete exclusion from the TRICARE pharmacy benefit program.
</t>
    </r>
    <r>
      <rPr>
        <b/>
        <sz val="12"/>
        <color theme="1"/>
        <rFont val="Times New Roman"/>
        <family val="1"/>
      </rPr>
      <t xml:space="preserve">Step Therapy Addendum: </t>
    </r>
    <r>
      <rPr>
        <sz val="12"/>
        <color theme="1"/>
        <rFont val="Times New Roman"/>
        <family val="1"/>
      </rPr>
      <t xml:space="preserve"> </t>
    </r>
    <r>
      <rPr>
        <u/>
        <sz val="12"/>
        <color theme="1"/>
        <rFont val="Times New Roman"/>
        <family val="1"/>
      </rPr>
      <t>Grandfathering:</t>
    </r>
    <r>
      <rPr>
        <sz val="12"/>
        <color theme="1"/>
        <rFont val="Times New Roman"/>
        <family val="1"/>
      </rPr>
      <t xml:space="preserve"> a prior authorization process that allows current patients to remain on current therapy and requires new patients to complete an adequate trial of the step-preferred (before-step) regimen before a non-step-preferred (after-step) regimen is provided to the patient at any MTF, Retail, or Mail point of service.  The P&amp;T Committee may consider approving specialist bypass for the step-preferred (before-step) regimen.
</t>
    </r>
    <r>
      <rPr>
        <b/>
        <sz val="12"/>
        <color theme="1"/>
        <rFont val="Times New Roman"/>
        <family val="1"/>
      </rPr>
      <t>The condition set is specific for a combination chemotherapy regimen which consists of a BRAF inhibitor and a MEK inhibitor.</t>
    </r>
    <r>
      <rPr>
        <sz val="12"/>
        <color theme="1"/>
        <rFont val="Times New Roman"/>
        <family val="1"/>
      </rPr>
      <t xml:space="preserve">
*Note: Step Therapy may be applicable to agents that share the same FDA-approved indication(s).
Agents with RFQ not submitted or selected may be designated non-step preferred (after-step).</t>
    </r>
  </si>
  <si>
    <t>Tier 2
Before-Step Therapy</t>
  </si>
  <si>
    <t>Tier 2
After-Step Therapy</t>
  </si>
  <si>
    <t>Tier 3
After-Step 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</si>
</sst>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000%"/>
    <numFmt numFmtId="165" formatCode="&quot;$&quot;#,##0.00"/>
    <numFmt numFmtId="166" formatCode="[$-409]mmmm\-yy;@"/>
    <numFmt numFmtId="167" formatCode="[$-409]mmmm\ d\,\ 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24"/>
      <color rgb="FFFF0000"/>
      <name val="Times New Roman"/>
      <family val="1"/>
    </font>
    <font>
      <sz val="12"/>
      <name val="Times New Roman"/>
      <family val="1"/>
    </font>
    <font>
      <b/>
      <sz val="12"/>
      <color theme="0"/>
      <name val="Times New Roman"/>
      <family val="1"/>
    </font>
    <font>
      <u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theme="4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2">
    <xf numFmtId="0" fontId="0" fillId="0" borderId="0" xfId="0"/>
    <xf numFmtId="0" fontId="2" fillId="0" borderId="0" xfId="0" applyFont="1"/>
    <xf numFmtId="0" fontId="3" fillId="3" borderId="1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/>
    </xf>
    <xf numFmtId="165" fontId="2" fillId="2" borderId="1" xfId="1" applyNumberFormat="1" applyFont="1" applyFill="1" applyBorder="1" applyAlignment="1" applyProtection="1">
      <alignment horizontal="center" vertical="center"/>
    </xf>
    <xf numFmtId="0" fontId="2" fillId="2" borderId="0" xfId="0" applyFont="1" applyFill="1"/>
    <xf numFmtId="165" fontId="2" fillId="0" borderId="11" xfId="2" applyNumberFormat="1" applyFont="1" applyBorder="1" applyAlignment="1" applyProtection="1">
      <alignment horizontal="center" vertical="center"/>
      <protection locked="0"/>
    </xf>
    <xf numFmtId="165" fontId="2" fillId="0" borderId="35" xfId="2" applyNumberFormat="1" applyFont="1" applyBorder="1" applyAlignment="1" applyProtection="1">
      <alignment horizontal="center" vertical="center"/>
      <protection locked="0"/>
    </xf>
    <xf numFmtId="2" fontId="2" fillId="2" borderId="35" xfId="2" applyNumberFormat="1" applyFont="1" applyFill="1" applyBorder="1" applyAlignment="1" applyProtection="1">
      <alignment horizontal="center" vertical="center"/>
    </xf>
    <xf numFmtId="165" fontId="2" fillId="0" borderId="1" xfId="2" applyNumberFormat="1" applyFont="1" applyBorder="1" applyAlignment="1" applyProtection="1">
      <alignment horizontal="center" vertical="center"/>
      <protection locked="0"/>
    </xf>
    <xf numFmtId="2" fontId="2" fillId="2" borderId="11" xfId="2" applyNumberFormat="1" applyFont="1" applyFill="1" applyBorder="1" applyAlignment="1" applyProtection="1">
      <alignment horizontal="center" vertical="center"/>
    </xf>
    <xf numFmtId="165" fontId="2" fillId="2" borderId="17" xfId="2" applyNumberFormat="1" applyFont="1" applyFill="1" applyBorder="1" applyAlignment="1" applyProtection="1">
      <alignment horizontal="center" vertical="center"/>
    </xf>
    <xf numFmtId="165" fontId="2" fillId="2" borderId="23" xfId="2" applyNumberFormat="1" applyFont="1" applyFill="1" applyBorder="1" applyAlignment="1" applyProtection="1">
      <alignment horizontal="center" vertical="center"/>
    </xf>
    <xf numFmtId="2" fontId="2" fillId="2" borderId="1" xfId="2" applyNumberFormat="1" applyFont="1" applyFill="1" applyBorder="1" applyAlignment="1" applyProtection="1">
      <alignment horizontal="center" vertical="center"/>
    </xf>
    <xf numFmtId="165" fontId="2" fillId="2" borderId="12" xfId="2" applyNumberFormat="1" applyFont="1" applyFill="1" applyBorder="1" applyAlignment="1" applyProtection="1">
      <alignment horizontal="center" vertical="center"/>
    </xf>
    <xf numFmtId="164" fontId="2" fillId="0" borderId="35" xfId="2" applyNumberFormat="1" applyFont="1" applyBorder="1" applyAlignment="1" applyProtection="1">
      <alignment horizontal="center" vertical="center"/>
      <protection locked="0"/>
    </xf>
    <xf numFmtId="165" fontId="2" fillId="2" borderId="35" xfId="1" applyNumberFormat="1" applyFont="1" applyFill="1" applyBorder="1" applyAlignment="1" applyProtection="1">
      <alignment horizontal="center" vertical="center"/>
    </xf>
    <xf numFmtId="0" fontId="3" fillId="3" borderId="35" xfId="0" applyFont="1" applyFill="1" applyBorder="1" applyAlignment="1">
      <alignment horizontal="center"/>
    </xf>
    <xf numFmtId="44" fontId="3" fillId="3" borderId="35" xfId="1" applyFont="1" applyFill="1" applyBorder="1" applyAlignment="1" applyProtection="1">
      <alignment horizontal="center" vertical="center"/>
    </xf>
    <xf numFmtId="49" fontId="2" fillId="0" borderId="35" xfId="0" applyNumberFormat="1" applyFont="1" applyBorder="1" applyAlignment="1" applyProtection="1">
      <alignment horizontal="center" vertical="center"/>
      <protection locked="0"/>
    </xf>
    <xf numFmtId="2" fontId="2" fillId="0" borderId="35" xfId="0" applyNumberFormat="1" applyFont="1" applyBorder="1" applyAlignment="1" applyProtection="1">
      <alignment horizontal="center" vertical="center"/>
      <protection locked="0"/>
    </xf>
    <xf numFmtId="0" fontId="3" fillId="3" borderId="11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 applyProtection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vertical="center"/>
    </xf>
    <xf numFmtId="0" fontId="3" fillId="3" borderId="19" xfId="0" applyFont="1" applyFill="1" applyBorder="1" applyAlignment="1">
      <alignment vertical="center"/>
    </xf>
    <xf numFmtId="0" fontId="3" fillId="3" borderId="33" xfId="0" applyFont="1" applyFill="1" applyBorder="1" applyAlignment="1">
      <alignment horizontal="center" vertical="center"/>
    </xf>
    <xf numFmtId="0" fontId="3" fillId="3" borderId="22" xfId="1" applyNumberFormat="1" applyFont="1" applyFill="1" applyBorder="1" applyAlignment="1" applyProtection="1">
      <alignment horizontal="center" vertical="center"/>
    </xf>
    <xf numFmtId="0" fontId="3" fillId="3" borderId="24" xfId="1" applyNumberFormat="1" applyFont="1" applyFill="1" applyBorder="1" applyAlignment="1" applyProtection="1">
      <alignment horizontal="center" vertical="center" wrapText="1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>
      <alignment horizontal="center" vertical="center"/>
    </xf>
    <xf numFmtId="0" fontId="3" fillId="3" borderId="32" xfId="1" applyNumberFormat="1" applyFont="1" applyFill="1" applyBorder="1" applyAlignment="1" applyProtection="1">
      <alignment horizontal="center" vertical="center" wrapText="1"/>
    </xf>
    <xf numFmtId="0" fontId="3" fillId="3" borderId="34" xfId="2" applyNumberFormat="1" applyFont="1" applyFill="1" applyBorder="1" applyAlignment="1" applyProtection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15" xfId="1" applyNumberFormat="1" applyFont="1" applyFill="1" applyBorder="1" applyAlignment="1" applyProtection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2" applyNumberFormat="1" applyFont="1" applyBorder="1" applyProtection="1"/>
    <xf numFmtId="0" fontId="2" fillId="0" borderId="0" xfId="1" applyNumberFormat="1" applyFont="1" applyProtection="1"/>
    <xf numFmtId="0" fontId="2" fillId="0" borderId="0" xfId="2" applyNumberFormat="1" applyFont="1" applyProtection="1"/>
    <xf numFmtId="0" fontId="2" fillId="0" borderId="0" xfId="0" applyFont="1" applyAlignment="1">
      <alignment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wrapText="1"/>
    </xf>
    <xf numFmtId="0" fontId="3" fillId="3" borderId="35" xfId="1" applyNumberFormat="1" applyFont="1" applyFill="1" applyBorder="1" applyAlignment="1" applyProtection="1">
      <alignment horizontal="center" vertical="center" wrapText="1"/>
    </xf>
    <xf numFmtId="0" fontId="2" fillId="0" borderId="35" xfId="0" applyFont="1" applyBorder="1" applyAlignment="1" applyProtection="1">
      <alignment horizontal="center" vertical="center" wrapText="1"/>
      <protection locked="0"/>
    </xf>
    <xf numFmtId="0" fontId="2" fillId="2" borderId="3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1" xfId="0" applyFont="1" applyFill="1" applyBorder="1" applyAlignment="1">
      <alignment vertical="center" wrapText="1"/>
    </xf>
    <xf numFmtId="0" fontId="3" fillId="3" borderId="35" xfId="0" applyFont="1" applyFill="1" applyBorder="1" applyAlignment="1">
      <alignment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164" fontId="2" fillId="0" borderId="11" xfId="2" applyNumberFormat="1" applyFont="1" applyBorder="1" applyAlignment="1" applyProtection="1">
      <alignment horizontal="center" vertical="center"/>
      <protection locked="0"/>
    </xf>
    <xf numFmtId="164" fontId="2" fillId="0" borderId="1" xfId="2" applyNumberFormat="1" applyFont="1" applyBorder="1" applyAlignment="1" applyProtection="1">
      <alignment horizontal="center" vertical="center"/>
      <protection locked="0"/>
    </xf>
    <xf numFmtId="165" fontId="2" fillId="0" borderId="11" xfId="1" applyNumberFormat="1" applyFont="1" applyBorder="1" applyAlignment="1" applyProtection="1">
      <alignment horizontal="center" vertical="center"/>
      <protection locked="0"/>
    </xf>
    <xf numFmtId="165" fontId="2" fillId="0" borderId="11" xfId="1" applyNumberFormat="1" applyFont="1" applyFill="1" applyBorder="1" applyAlignment="1" applyProtection="1">
      <alignment horizontal="center" vertical="center"/>
    </xf>
    <xf numFmtId="165" fontId="2" fillId="0" borderId="1" xfId="1" applyNumberFormat="1" applyFont="1" applyFill="1" applyBorder="1" applyAlignment="1" applyProtection="1">
      <alignment horizontal="center" vertical="center"/>
    </xf>
    <xf numFmtId="165" fontId="2" fillId="2" borderId="11" xfId="1" applyNumberFormat="1" applyFont="1" applyFill="1" applyBorder="1" applyAlignment="1" applyProtection="1">
      <alignment horizontal="center" vertical="center"/>
    </xf>
    <xf numFmtId="165" fontId="2" fillId="2" borderId="11" xfId="0" applyNumberFormat="1" applyFont="1" applyFill="1" applyBorder="1" applyAlignment="1">
      <alignment horizontal="center" vertical="center"/>
    </xf>
    <xf numFmtId="165" fontId="2" fillId="2" borderId="17" xfId="1" applyNumberFormat="1" applyFont="1" applyFill="1" applyBorder="1" applyAlignment="1" applyProtection="1">
      <alignment horizontal="center" vertical="center"/>
    </xf>
    <xf numFmtId="165" fontId="2" fillId="2" borderId="35" xfId="0" applyNumberFormat="1" applyFont="1" applyFill="1" applyBorder="1" applyAlignment="1">
      <alignment horizontal="center" vertical="center"/>
    </xf>
    <xf numFmtId="165" fontId="2" fillId="2" borderId="23" xfId="1" applyNumberFormat="1" applyFont="1" applyFill="1" applyBorder="1" applyAlignment="1" applyProtection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2" fillId="2" borderId="12" xfId="1" applyNumberFormat="1" applyFont="1" applyFill="1" applyBorder="1" applyAlignment="1" applyProtection="1">
      <alignment horizontal="center" vertical="center"/>
    </xf>
    <xf numFmtId="0" fontId="2" fillId="0" borderId="0" xfId="1" applyNumberFormat="1" applyFont="1" applyAlignment="1" applyProtection="1"/>
    <xf numFmtId="0" fontId="3" fillId="3" borderId="4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0" borderId="0" xfId="1" applyNumberFormat="1" applyFont="1" applyBorder="1" applyAlignment="1" applyProtection="1"/>
    <xf numFmtId="0" fontId="2" fillId="0" borderId="0" xfId="1" applyNumberFormat="1" applyFont="1" applyAlignment="1" applyProtection="1">
      <alignment wrapText="1"/>
    </xf>
    <xf numFmtId="0" fontId="3" fillId="3" borderId="21" xfId="0" applyFont="1" applyFill="1" applyBorder="1" applyAlignment="1">
      <alignment vertical="center" wrapText="1"/>
    </xf>
    <xf numFmtId="0" fontId="3" fillId="3" borderId="19" xfId="0" applyFont="1" applyFill="1" applyBorder="1" applyAlignment="1">
      <alignment vertical="center" wrapText="1"/>
    </xf>
    <xf numFmtId="0" fontId="3" fillId="3" borderId="22" xfId="1" applyNumberFormat="1" applyFont="1" applyFill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1" applyNumberFormat="1" applyFont="1" applyBorder="1" applyAlignment="1" applyProtection="1">
      <alignment wrapText="1"/>
    </xf>
    <xf numFmtId="167" fontId="2" fillId="0" borderId="35" xfId="0" applyNumberFormat="1" applyFont="1" applyBorder="1" applyAlignment="1">
      <alignment horizontal="center" vertical="center"/>
    </xf>
    <xf numFmtId="167" fontId="2" fillId="0" borderId="23" xfId="0" applyNumberFormat="1" applyFont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 wrapText="1"/>
    </xf>
    <xf numFmtId="0" fontId="2" fillId="5" borderId="13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wrapText="1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3" borderId="8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166" fontId="2" fillId="0" borderId="8" xfId="0" applyNumberFormat="1" applyFont="1" applyBorder="1" applyAlignment="1">
      <alignment horizontal="center" vertical="center"/>
    </xf>
    <xf numFmtId="166" fontId="2" fillId="0" borderId="9" xfId="0" applyNumberFormat="1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7" fontId="2" fillId="0" borderId="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wrapText="1"/>
    </xf>
    <xf numFmtId="0" fontId="2" fillId="5" borderId="13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3" fillId="3" borderId="7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7" fontId="2" fillId="0" borderId="29" xfId="0" applyNumberFormat="1" applyFont="1" applyBorder="1" applyAlignment="1">
      <alignment horizontal="center" vertical="center"/>
    </xf>
    <xf numFmtId="167" fontId="2" fillId="0" borderId="30" xfId="0" applyNumberFormat="1" applyFont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7" fontId="2" fillId="0" borderId="10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top"/>
    </xf>
    <xf numFmtId="0" fontId="3" fillId="3" borderId="21" xfId="0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wrapText="1"/>
    </xf>
  </cellXfs>
  <cellStyles count="3">
    <cellStyle name="Currency" xfId="1" builtinId="4"/>
    <cellStyle name="Normal" xfId="0" builtinId="0"/>
    <cellStyle name="Percent" xfId="2" builtinId="5"/>
  </cellStyles>
  <dxfs count="191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rgb="FFFFB3B3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B3B3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F99"/>
      <color rgb="FFFFB3B3"/>
      <color rgb="FFFFB3FF"/>
      <color rgb="FFFF3300"/>
      <color rgb="FFFFFF66"/>
      <color rgb="FFFFABAB"/>
      <color rgb="FFFF9FA1"/>
      <color rgb="FFFFB7B7"/>
      <color rgb="FFAFFFA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  <pageSetUpPr fitToPage="1"/>
  </sheetPr>
  <dimension ref="A1:H174"/>
  <sheetViews>
    <sheetView showGridLines="0" tabSelected="1" view="pageBreakPreview" zoomScale="115" zoomScaleNormal="70" zoomScaleSheetLayoutView="115" workbookViewId="0">
      <selection activeCell="B6" sqref="B6:H13"/>
    </sheetView>
  </sheetViews>
  <sheetFormatPr defaultColWidth="8.85546875" defaultRowHeight="15.75" x14ac:dyDescent="0.25"/>
  <cols>
    <col min="1" max="1" width="8.85546875" style="1"/>
    <col min="2" max="2" width="13" style="1" customWidth="1"/>
    <col min="3" max="3" width="37.7109375" style="49" customWidth="1"/>
    <col min="4" max="5" width="29.42578125" style="49" customWidth="1"/>
    <col min="6" max="6" width="28.7109375" style="1" customWidth="1"/>
    <col min="7" max="7" width="31.140625" style="1" bestFit="1" customWidth="1"/>
    <col min="8" max="8" width="28.7109375" style="1" bestFit="1" customWidth="1"/>
    <col min="9" max="16384" width="8.85546875" style="1"/>
  </cols>
  <sheetData>
    <row r="1" spans="2:8" ht="16.5" thickBot="1" x14ac:dyDescent="0.3"/>
    <row r="2" spans="2:8" ht="30.75" thickBot="1" x14ac:dyDescent="0.3">
      <c r="B2" s="119" t="s">
        <v>42</v>
      </c>
      <c r="C2" s="120"/>
      <c r="D2" s="120"/>
      <c r="E2" s="120"/>
      <c r="F2" s="120"/>
      <c r="G2" s="120"/>
      <c r="H2" s="121"/>
    </row>
    <row r="3" spans="2:8" ht="16.5" thickBot="1" x14ac:dyDescent="0.3">
      <c r="B3" s="125" t="s">
        <v>38</v>
      </c>
      <c r="C3" s="126"/>
      <c r="D3" s="115" t="s">
        <v>43</v>
      </c>
      <c r="E3" s="116"/>
      <c r="F3" s="3" t="s">
        <v>7</v>
      </c>
      <c r="G3" s="127" t="s">
        <v>45</v>
      </c>
      <c r="H3" s="128"/>
    </row>
    <row r="4" spans="2:8" ht="16.5" customHeight="1" thickBot="1" x14ac:dyDescent="0.3">
      <c r="B4" s="125" t="s">
        <v>39</v>
      </c>
      <c r="C4" s="126"/>
      <c r="D4" s="117" t="s">
        <v>44</v>
      </c>
      <c r="E4" s="118"/>
      <c r="F4" s="4" t="s">
        <v>30</v>
      </c>
      <c r="G4" s="129">
        <v>46202</v>
      </c>
      <c r="H4" s="130"/>
    </row>
    <row r="5" spans="2:8" ht="16.5" thickBot="1" x14ac:dyDescent="0.3">
      <c r="B5" s="122" t="s">
        <v>6</v>
      </c>
      <c r="C5" s="123"/>
      <c r="D5" s="123"/>
      <c r="E5" s="123"/>
      <c r="F5" s="123"/>
      <c r="G5" s="123"/>
      <c r="H5" s="124"/>
    </row>
    <row r="6" spans="2:8" ht="15.75" customHeight="1" x14ac:dyDescent="0.25">
      <c r="B6" s="131" t="s">
        <v>69</v>
      </c>
      <c r="C6" s="132"/>
      <c r="D6" s="132"/>
      <c r="E6" s="132"/>
      <c r="F6" s="132"/>
      <c r="G6" s="132"/>
      <c r="H6" s="133"/>
    </row>
    <row r="7" spans="2:8" x14ac:dyDescent="0.25">
      <c r="B7" s="134"/>
      <c r="C7" s="135"/>
      <c r="D7" s="135"/>
      <c r="E7" s="135"/>
      <c r="F7" s="135"/>
      <c r="G7" s="135"/>
      <c r="H7" s="136"/>
    </row>
    <row r="8" spans="2:8" x14ac:dyDescent="0.25">
      <c r="B8" s="134"/>
      <c r="C8" s="135"/>
      <c r="D8" s="135"/>
      <c r="E8" s="135"/>
      <c r="F8" s="135"/>
      <c r="G8" s="135"/>
      <c r="H8" s="136"/>
    </row>
    <row r="9" spans="2:8" x14ac:dyDescent="0.25">
      <c r="B9" s="134"/>
      <c r="C9" s="135"/>
      <c r="D9" s="135"/>
      <c r="E9" s="135"/>
      <c r="F9" s="135"/>
      <c r="G9" s="135"/>
      <c r="H9" s="136"/>
    </row>
    <row r="10" spans="2:8" x14ac:dyDescent="0.25">
      <c r="B10" s="134"/>
      <c r="C10" s="135"/>
      <c r="D10" s="135"/>
      <c r="E10" s="135"/>
      <c r="F10" s="135"/>
      <c r="G10" s="135"/>
      <c r="H10" s="136"/>
    </row>
    <row r="11" spans="2:8" x14ac:dyDescent="0.25">
      <c r="B11" s="134"/>
      <c r="C11" s="135"/>
      <c r="D11" s="135"/>
      <c r="E11" s="135"/>
      <c r="F11" s="135"/>
      <c r="G11" s="135"/>
      <c r="H11" s="136"/>
    </row>
    <row r="12" spans="2:8" x14ac:dyDescent="0.25">
      <c r="B12" s="134"/>
      <c r="C12" s="135"/>
      <c r="D12" s="135"/>
      <c r="E12" s="135"/>
      <c r="F12" s="135"/>
      <c r="G12" s="135"/>
      <c r="H12" s="136"/>
    </row>
    <row r="13" spans="2:8" ht="111" customHeight="1" thickBot="1" x14ac:dyDescent="0.3">
      <c r="B13" s="137"/>
      <c r="C13" s="138"/>
      <c r="D13" s="138"/>
      <c r="E13" s="138"/>
      <c r="F13" s="138"/>
      <c r="G13" s="138"/>
      <c r="H13" s="139"/>
    </row>
    <row r="14" spans="2:8" ht="88.5" customHeight="1" thickBot="1" x14ac:dyDescent="0.3">
      <c r="B14" s="114" t="s">
        <v>41</v>
      </c>
      <c r="C14" s="114"/>
      <c r="D14" s="114"/>
      <c r="E14" s="114"/>
      <c r="F14" s="114"/>
      <c r="G14" s="114"/>
      <c r="H14" s="114"/>
    </row>
    <row r="15" spans="2:8" ht="3.75" hidden="1" customHeight="1" thickBot="1" x14ac:dyDescent="0.3"/>
    <row r="16" spans="2:8" ht="14.45" customHeight="1" x14ac:dyDescent="0.25">
      <c r="B16" s="99" t="s">
        <v>34</v>
      </c>
      <c r="C16" s="100"/>
      <c r="D16" s="100"/>
      <c r="E16" s="100"/>
      <c r="F16" s="100"/>
      <c r="G16" s="100"/>
      <c r="H16" s="101"/>
    </row>
    <row r="17" spans="2:8" ht="16.5" thickBot="1" x14ac:dyDescent="0.3">
      <c r="B17" s="102"/>
      <c r="C17" s="103"/>
      <c r="D17" s="103"/>
      <c r="E17" s="103"/>
      <c r="F17" s="103"/>
      <c r="G17" s="103"/>
      <c r="H17" s="104"/>
    </row>
    <row r="18" spans="2:8" ht="16.149999999999999" customHeight="1" x14ac:dyDescent="0.25">
      <c r="B18" s="105" t="s">
        <v>8</v>
      </c>
      <c r="C18" s="57" t="s">
        <v>38</v>
      </c>
      <c r="D18" s="107" t="str">
        <f>$D$3</f>
        <v>ONCOLOGICAL AGENTS</v>
      </c>
      <c r="E18" s="107"/>
      <c r="F18" s="22" t="s">
        <v>7</v>
      </c>
      <c r="G18" s="108" t="str">
        <f>$G$3</f>
        <v>Aug 5-6, 2026</v>
      </c>
      <c r="H18" s="109"/>
    </row>
    <row r="19" spans="2:8" ht="16.5" customHeight="1" x14ac:dyDescent="0.25">
      <c r="B19" s="106"/>
      <c r="C19" s="58" t="s">
        <v>39</v>
      </c>
      <c r="D19" s="110" t="str">
        <f>$D$4</f>
        <v>BRAF-MEK INHIBITORS</v>
      </c>
      <c r="E19" s="110"/>
      <c r="F19" s="18" t="s">
        <v>30</v>
      </c>
      <c r="G19" s="87">
        <f>$G$4</f>
        <v>46202</v>
      </c>
      <c r="H19" s="88"/>
    </row>
    <row r="20" spans="2:8" ht="16.5" customHeight="1" x14ac:dyDescent="0.25">
      <c r="B20" s="106"/>
      <c r="C20" s="59" t="s">
        <v>0</v>
      </c>
      <c r="D20" s="52" t="s">
        <v>1</v>
      </c>
      <c r="E20" s="52" t="s">
        <v>2</v>
      </c>
      <c r="F20" s="19" t="s">
        <v>3</v>
      </c>
      <c r="G20" s="19" t="s">
        <v>4</v>
      </c>
      <c r="H20" s="89" t="s">
        <v>32</v>
      </c>
    </row>
    <row r="21" spans="2:8" x14ac:dyDescent="0.25">
      <c r="B21" s="106"/>
      <c r="C21" s="53"/>
      <c r="D21" s="53"/>
      <c r="E21" s="53"/>
      <c r="F21" s="20"/>
      <c r="G21" s="21"/>
      <c r="H21" s="89"/>
    </row>
    <row r="22" spans="2:8" ht="32.25" thickBot="1" x14ac:dyDescent="0.3">
      <c r="B22" s="23" t="s">
        <v>9</v>
      </c>
      <c r="C22" s="24" t="s">
        <v>18</v>
      </c>
      <c r="D22" s="24" t="s">
        <v>10</v>
      </c>
      <c r="E22" s="24" t="s">
        <v>36</v>
      </c>
      <c r="F22" s="25" t="s">
        <v>11</v>
      </c>
      <c r="G22" s="24" t="s">
        <v>4</v>
      </c>
      <c r="H22" s="26" t="s">
        <v>37</v>
      </c>
    </row>
    <row r="23" spans="2:8" ht="16.5" thickBot="1" x14ac:dyDescent="0.3">
      <c r="B23" s="90" t="s">
        <v>68</v>
      </c>
      <c r="C23" s="91"/>
      <c r="D23" s="91"/>
      <c r="E23" s="91"/>
      <c r="F23" s="91"/>
      <c r="G23" s="91"/>
      <c r="H23" s="92"/>
    </row>
    <row r="24" spans="2:8" s="6" customFormat="1" ht="31.5" x14ac:dyDescent="0.25">
      <c r="B24" s="111" t="s">
        <v>12</v>
      </c>
      <c r="C24" s="44" t="s">
        <v>47</v>
      </c>
      <c r="D24" s="44" t="s">
        <v>50</v>
      </c>
      <c r="E24" s="44">
        <v>1</v>
      </c>
      <c r="F24" s="7"/>
      <c r="G24" s="11" t="str">
        <f>IF(NOT(ISBLANK($G21)),$G21,"")</f>
        <v/>
      </c>
      <c r="H24" s="12" t="str">
        <f>IF(ISBLANK(F24),"NO QUOTE", IF(F24=0,"NO QUOTE",IF(NOT(ISBLANK(F24)),F24/G24, "")))</f>
        <v>NO QUOTE</v>
      </c>
    </row>
    <row r="25" spans="2:8" s="6" customFormat="1" ht="31.5" x14ac:dyDescent="0.25">
      <c r="B25" s="112"/>
      <c r="C25" s="54" t="s">
        <v>48</v>
      </c>
      <c r="D25" s="54" t="s">
        <v>51</v>
      </c>
      <c r="E25" s="54" t="s">
        <v>53</v>
      </c>
      <c r="F25" s="8"/>
      <c r="G25" s="9" t="str">
        <f>IF(NOT(ISBLANK($G21)),$G21,"")</f>
        <v/>
      </c>
      <c r="H25" s="13" t="str">
        <f>IF(ISBLANK(F25),"NO QUOTE", IF(F25=0,"NO QUOTE",IF(NOT(ISBLANK(F25)),F25/G25, "")))</f>
        <v>NO QUOTE</v>
      </c>
    </row>
    <row r="26" spans="2:8" s="6" customFormat="1" ht="32.25" thickBot="1" x14ac:dyDescent="0.3">
      <c r="B26" s="113"/>
      <c r="C26" s="45" t="s">
        <v>49</v>
      </c>
      <c r="D26" s="45" t="s">
        <v>52</v>
      </c>
      <c r="E26" s="45" t="s">
        <v>53</v>
      </c>
      <c r="F26" s="10"/>
      <c r="G26" s="14" t="str">
        <f>IF(NOT(ISBLANK($G21)),$G21,"")</f>
        <v/>
      </c>
      <c r="H26" s="15" t="str">
        <f>IF(ISBLANK(F26),"NO QUOTE", IF(F26=0,"NO QUOTE",IF(NOT(ISBLANK(F26)),F26/G26, "")))</f>
        <v>NO QUOTE</v>
      </c>
    </row>
    <row r="27" spans="2:8" ht="16.5" thickBot="1" x14ac:dyDescent="0.3">
      <c r="B27" s="90" t="s">
        <v>46</v>
      </c>
      <c r="C27" s="91"/>
      <c r="D27" s="91"/>
      <c r="E27" s="91"/>
      <c r="F27" s="91"/>
      <c r="G27" s="91"/>
      <c r="H27" s="92"/>
    </row>
    <row r="28" spans="2:8" s="6" customFormat="1" x14ac:dyDescent="0.25">
      <c r="B28" s="111" t="s">
        <v>13</v>
      </c>
      <c r="C28" s="44" t="s">
        <v>54</v>
      </c>
      <c r="D28" s="44" t="s">
        <v>56</v>
      </c>
      <c r="E28" s="44" t="s">
        <v>53</v>
      </c>
      <c r="F28" s="7"/>
      <c r="G28" s="11" t="str">
        <f>IF(NOT(ISBLANK($G21)),$G21,"")</f>
        <v/>
      </c>
      <c r="H28" s="12" t="str">
        <f>IF(ISBLANK(F28),"NO QUOTE", IF(F28=0,"NO QUOTE",IF(NOT(ISBLANK(F28)),F28/G28, "")))</f>
        <v>NO QUOTE</v>
      </c>
    </row>
    <row r="29" spans="2:8" s="6" customFormat="1" ht="16.5" thickBot="1" x14ac:dyDescent="0.3">
      <c r="B29" s="113"/>
      <c r="C29" s="55" t="s">
        <v>55</v>
      </c>
      <c r="D29" s="45" t="s">
        <v>57</v>
      </c>
      <c r="E29" s="45" t="s">
        <v>53</v>
      </c>
      <c r="F29" s="10"/>
      <c r="G29" s="27" t="str">
        <f>IF(NOT(ISBLANK($G21)),$G21,"")</f>
        <v/>
      </c>
      <c r="H29" s="15" t="str">
        <f>IF(ISBLANK(F29),"NO QUOTE", IF(F29=0,"NO QUOTE",IF(NOT(ISBLANK(F29)),F29/G29, "")))</f>
        <v>NO QUOTE</v>
      </c>
    </row>
    <row r="30" spans="2:8" ht="16.149999999999999" customHeight="1" thickBot="1" x14ac:dyDescent="0.3">
      <c r="C30" s="56"/>
      <c r="D30" s="56"/>
      <c r="E30" s="56"/>
      <c r="F30" s="96" t="s">
        <v>29</v>
      </c>
      <c r="G30" s="97"/>
      <c r="H30" s="98"/>
    </row>
    <row r="31" spans="2:8" ht="16.5" thickBot="1" x14ac:dyDescent="0.3"/>
    <row r="32" spans="2:8" ht="15.6" customHeight="1" x14ac:dyDescent="0.25">
      <c r="B32" s="99" t="str">
        <f>$B$16</f>
        <v>Blanket Purchase Agreement Appendix  – Class Review</v>
      </c>
      <c r="C32" s="100"/>
      <c r="D32" s="100"/>
      <c r="E32" s="100"/>
      <c r="F32" s="100"/>
      <c r="G32" s="100"/>
      <c r="H32" s="101"/>
    </row>
    <row r="33" spans="1:8" ht="16.149999999999999" customHeight="1" thickBot="1" x14ac:dyDescent="0.3">
      <c r="B33" s="102"/>
      <c r="C33" s="103"/>
      <c r="D33" s="103"/>
      <c r="E33" s="103"/>
      <c r="F33" s="103"/>
      <c r="G33" s="103"/>
      <c r="H33" s="104"/>
    </row>
    <row r="34" spans="1:8" x14ac:dyDescent="0.25">
      <c r="B34" s="105" t="s">
        <v>14</v>
      </c>
      <c r="C34" s="57" t="s">
        <v>38</v>
      </c>
      <c r="D34" s="107" t="str">
        <f>$D$3</f>
        <v>ONCOLOGICAL AGENTS</v>
      </c>
      <c r="E34" s="107"/>
      <c r="F34" s="22" t="s">
        <v>7</v>
      </c>
      <c r="G34" s="108" t="str">
        <f>$G$3</f>
        <v>Aug 5-6, 2026</v>
      </c>
      <c r="H34" s="109"/>
    </row>
    <row r="35" spans="1:8" ht="16.149999999999999" customHeight="1" x14ac:dyDescent="0.25">
      <c r="B35" s="106"/>
      <c r="C35" s="58" t="s">
        <v>39</v>
      </c>
      <c r="D35" s="110" t="str">
        <f>$D$4</f>
        <v>BRAF-MEK INHIBITORS</v>
      </c>
      <c r="E35" s="110"/>
      <c r="F35" s="18" t="s">
        <v>30</v>
      </c>
      <c r="G35" s="87">
        <f>$G$4</f>
        <v>46202</v>
      </c>
      <c r="H35" s="88"/>
    </row>
    <row r="36" spans="1:8" ht="16.149999999999999" customHeight="1" x14ac:dyDescent="0.25">
      <c r="B36" s="106"/>
      <c r="C36" s="59" t="s">
        <v>0</v>
      </c>
      <c r="D36" s="52" t="s">
        <v>1</v>
      </c>
      <c r="E36" s="52" t="s">
        <v>2</v>
      </c>
      <c r="F36" s="19" t="s">
        <v>3</v>
      </c>
      <c r="G36" s="19" t="s">
        <v>4</v>
      </c>
      <c r="H36" s="89" t="s">
        <v>32</v>
      </c>
    </row>
    <row r="37" spans="1:8" x14ac:dyDescent="0.25">
      <c r="B37" s="106"/>
      <c r="C37" s="53"/>
      <c r="D37" s="53"/>
      <c r="E37" s="53"/>
      <c r="F37" s="20"/>
      <c r="G37" s="21"/>
      <c r="H37" s="89"/>
    </row>
    <row r="38" spans="1:8" ht="32.25" thickBot="1" x14ac:dyDescent="0.3">
      <c r="B38" s="23" t="s">
        <v>9</v>
      </c>
      <c r="C38" s="24" t="s">
        <v>18</v>
      </c>
      <c r="D38" s="24" t="s">
        <v>10</v>
      </c>
      <c r="E38" s="24" t="s">
        <v>36</v>
      </c>
      <c r="F38" s="25" t="s">
        <v>11</v>
      </c>
      <c r="G38" s="24" t="s">
        <v>4</v>
      </c>
      <c r="H38" s="26" t="s">
        <v>37</v>
      </c>
    </row>
    <row r="39" spans="1:8" s="6" customFormat="1" ht="16.5" customHeight="1" thickBot="1" x14ac:dyDescent="0.3">
      <c r="A39" s="1"/>
      <c r="B39" s="90" t="str">
        <f>$B$23</f>
        <v>Scenario 1: One BRAF-inhibitor and MEK-inhibitor Combination UF and before the step.</v>
      </c>
      <c r="C39" s="91"/>
      <c r="D39" s="91"/>
      <c r="E39" s="91"/>
      <c r="F39" s="91"/>
      <c r="G39" s="91"/>
      <c r="H39" s="92"/>
    </row>
    <row r="40" spans="1:8" s="6" customFormat="1" ht="31.5" x14ac:dyDescent="0.25">
      <c r="B40" s="93" t="s">
        <v>12</v>
      </c>
      <c r="C40" s="60" t="str">
        <f>C$24</f>
        <v>264OABMG1UFBS1</v>
      </c>
      <c r="D40" s="44" t="str">
        <f>D$24</f>
        <v>Uniform Formulary 
Before-Step Therapy</v>
      </c>
      <c r="E40" s="44">
        <f>E$24</f>
        <v>1</v>
      </c>
      <c r="F40" s="7"/>
      <c r="G40" s="11" t="str">
        <f>IF(NOT(ISBLANK($G37)),$G37,"")</f>
        <v/>
      </c>
      <c r="H40" s="12" t="str">
        <f>IF(ISBLANK(F40),"NO QUOTE", IF(F40=0,"NO QUOTE",IF(NOT(ISBLANK(F40)),F40/G40, "")))</f>
        <v>NO QUOTE</v>
      </c>
    </row>
    <row r="41" spans="1:8" s="6" customFormat="1" ht="31.5" x14ac:dyDescent="0.25">
      <c r="B41" s="94"/>
      <c r="C41" s="62" t="str">
        <f>C$25</f>
        <v>264OABMG1UFAS1M</v>
      </c>
      <c r="D41" s="54" t="str">
        <f>D$25</f>
        <v>Uniform Formulary
After-Step Therapy</v>
      </c>
      <c r="E41" s="54" t="str">
        <f>E$25</f>
        <v>1 or more</v>
      </c>
      <c r="F41" s="8"/>
      <c r="G41" s="9" t="str">
        <f>IF(NOT(ISBLANK($G37)),$G37,"")</f>
        <v/>
      </c>
      <c r="H41" s="13" t="str">
        <f>IF(ISBLANK(F41),"NO QUOTE", IF(F41=0,"NO QUOTE",IF(NOT(ISBLANK(F41)),F41/G41, "")))</f>
        <v>NO QUOTE</v>
      </c>
    </row>
    <row r="42" spans="1:8" s="6" customFormat="1" ht="32.25" thickBot="1" x14ac:dyDescent="0.3">
      <c r="B42" s="95"/>
      <c r="C42" s="61" t="str">
        <f>C$26</f>
        <v>264OABMG1NFAS1M</v>
      </c>
      <c r="D42" s="45" t="str">
        <f>D$26</f>
        <v>Non-Formulary
After-Step Therapy</v>
      </c>
      <c r="E42" s="45" t="str">
        <f>E$26</f>
        <v>1 or more</v>
      </c>
      <c r="F42" s="10"/>
      <c r="G42" s="14" t="str">
        <f>IF(NOT(ISBLANK($G37)),$G37,"")</f>
        <v/>
      </c>
      <c r="H42" s="15" t="str">
        <f>IF(ISBLANK(F42),"NO QUOTE", IF(F42=0,"NO QUOTE",IF(NOT(ISBLANK(F42)),F42/G42, "")))</f>
        <v>NO QUOTE</v>
      </c>
    </row>
    <row r="43" spans="1:8" s="6" customFormat="1" ht="16.5" customHeight="1" thickBot="1" x14ac:dyDescent="0.3">
      <c r="A43" s="1"/>
      <c r="B43" s="90" t="str">
        <f>$B$27</f>
        <v>Scenario 2: One or more BRAF-inhibitor and MEK-inhibitor Combination UF.</v>
      </c>
      <c r="C43" s="91"/>
      <c r="D43" s="91"/>
      <c r="E43" s="91"/>
      <c r="F43" s="91"/>
      <c r="G43" s="91"/>
      <c r="H43" s="92"/>
    </row>
    <row r="44" spans="1:8" x14ac:dyDescent="0.25">
      <c r="A44" s="6"/>
      <c r="B44" s="93" t="s">
        <v>13</v>
      </c>
      <c r="C44" s="60" t="str">
        <f>C$28</f>
        <v>264OABMG1UF1M</v>
      </c>
      <c r="D44" s="44" t="str">
        <f>D$28</f>
        <v>Uniform Formulary</v>
      </c>
      <c r="E44" s="44" t="str">
        <f>E$28</f>
        <v>1 or more</v>
      </c>
      <c r="F44" s="7"/>
      <c r="G44" s="11" t="str">
        <f>IF(NOT(ISBLANK($G37)),$G37,"")</f>
        <v/>
      </c>
      <c r="H44" s="12" t="str">
        <f>IF(ISBLANK(F44),"NO QUOTE", IF(F44=0,"NO QUOTE",IF(NOT(ISBLANK(F44)),F44/G44, "")))</f>
        <v>NO QUOTE</v>
      </c>
    </row>
    <row r="45" spans="1:8" ht="16.5" thickBot="1" x14ac:dyDescent="0.3">
      <c r="A45" s="6"/>
      <c r="B45" s="95"/>
      <c r="C45" s="61" t="str">
        <f>C$29</f>
        <v>264OABMG1NF1M</v>
      </c>
      <c r="D45" s="45" t="str">
        <f>D$29</f>
        <v>Non-Formulary</v>
      </c>
      <c r="E45" s="45" t="str">
        <f>E$29</f>
        <v>1 or more</v>
      </c>
      <c r="F45" s="10"/>
      <c r="G45" s="27" t="str">
        <f>IF(NOT(ISBLANK($G37)),$G37,"")</f>
        <v/>
      </c>
      <c r="H45" s="15" t="str">
        <f>IF(ISBLANK(F45),"NO QUOTE", IF(F45=0,"NO QUOTE",IF(NOT(ISBLANK(F45)),F45/G45, "")))</f>
        <v>NO QUOTE</v>
      </c>
    </row>
    <row r="46" spans="1:8" ht="16.5" customHeight="1" thickBot="1" x14ac:dyDescent="0.3">
      <c r="C46" s="56"/>
      <c r="D46" s="56"/>
      <c r="E46" s="56"/>
      <c r="F46" s="96" t="s">
        <v>29</v>
      </c>
      <c r="G46" s="97"/>
      <c r="H46" s="98"/>
    </row>
    <row r="47" spans="1:8" ht="16.5" thickBot="1" x14ac:dyDescent="0.3"/>
    <row r="48" spans="1:8" x14ac:dyDescent="0.25">
      <c r="B48" s="99" t="str">
        <f>$B$16</f>
        <v>Blanket Purchase Agreement Appendix  – Class Review</v>
      </c>
      <c r="C48" s="100"/>
      <c r="D48" s="100"/>
      <c r="E48" s="100"/>
      <c r="F48" s="100"/>
      <c r="G48" s="100"/>
      <c r="H48" s="101"/>
    </row>
    <row r="49" spans="1:8" ht="16.149999999999999" customHeight="1" thickBot="1" x14ac:dyDescent="0.3">
      <c r="B49" s="102"/>
      <c r="C49" s="103"/>
      <c r="D49" s="103"/>
      <c r="E49" s="103"/>
      <c r="F49" s="103"/>
      <c r="G49" s="103"/>
      <c r="H49" s="104"/>
    </row>
    <row r="50" spans="1:8" ht="16.149999999999999" customHeight="1" x14ac:dyDescent="0.25">
      <c r="B50" s="105" t="s">
        <v>15</v>
      </c>
      <c r="C50" s="57" t="s">
        <v>38</v>
      </c>
      <c r="D50" s="107" t="str">
        <f>$D$3</f>
        <v>ONCOLOGICAL AGENTS</v>
      </c>
      <c r="E50" s="107"/>
      <c r="F50" s="22" t="s">
        <v>7</v>
      </c>
      <c r="G50" s="108" t="str">
        <f>$G$3</f>
        <v>Aug 5-6, 2026</v>
      </c>
      <c r="H50" s="109"/>
    </row>
    <row r="51" spans="1:8" ht="16.5" customHeight="1" x14ac:dyDescent="0.25">
      <c r="B51" s="106"/>
      <c r="C51" s="58" t="s">
        <v>39</v>
      </c>
      <c r="D51" s="110" t="str">
        <f>$D$4</f>
        <v>BRAF-MEK INHIBITORS</v>
      </c>
      <c r="E51" s="110"/>
      <c r="F51" s="18" t="s">
        <v>30</v>
      </c>
      <c r="G51" s="87">
        <f>$G$4</f>
        <v>46202</v>
      </c>
      <c r="H51" s="88"/>
    </row>
    <row r="52" spans="1:8" ht="16.5" customHeight="1" x14ac:dyDescent="0.25">
      <c r="B52" s="106"/>
      <c r="C52" s="59" t="s">
        <v>0</v>
      </c>
      <c r="D52" s="52" t="s">
        <v>1</v>
      </c>
      <c r="E52" s="52" t="s">
        <v>2</v>
      </c>
      <c r="F52" s="19" t="s">
        <v>3</v>
      </c>
      <c r="G52" s="19" t="s">
        <v>4</v>
      </c>
      <c r="H52" s="89" t="s">
        <v>32</v>
      </c>
    </row>
    <row r="53" spans="1:8" s="6" customFormat="1" x14ac:dyDescent="0.25">
      <c r="A53" s="1"/>
      <c r="B53" s="106"/>
      <c r="C53" s="53"/>
      <c r="D53" s="53"/>
      <c r="E53" s="53"/>
      <c r="F53" s="20"/>
      <c r="G53" s="21"/>
      <c r="H53" s="89"/>
    </row>
    <row r="54" spans="1:8" s="6" customFormat="1" ht="32.25" thickBot="1" x14ac:dyDescent="0.3">
      <c r="A54" s="1"/>
      <c r="B54" s="23" t="s">
        <v>9</v>
      </c>
      <c r="C54" s="24" t="s">
        <v>18</v>
      </c>
      <c r="D54" s="24" t="s">
        <v>10</v>
      </c>
      <c r="E54" s="24" t="s">
        <v>36</v>
      </c>
      <c r="F54" s="25" t="s">
        <v>11</v>
      </c>
      <c r="G54" s="24" t="s">
        <v>4</v>
      </c>
      <c r="H54" s="26" t="s">
        <v>37</v>
      </c>
    </row>
    <row r="55" spans="1:8" s="6" customFormat="1" ht="16.5" customHeight="1" thickBot="1" x14ac:dyDescent="0.3">
      <c r="A55" s="1"/>
      <c r="B55" s="90" t="str">
        <f>$B$23</f>
        <v>Scenario 1: One BRAF-inhibitor and MEK-inhibitor Combination UF and before the step.</v>
      </c>
      <c r="C55" s="91"/>
      <c r="D55" s="91"/>
      <c r="E55" s="91"/>
      <c r="F55" s="91"/>
      <c r="G55" s="91"/>
      <c r="H55" s="92"/>
    </row>
    <row r="56" spans="1:8" s="6" customFormat="1" ht="31.5" x14ac:dyDescent="0.25">
      <c r="B56" s="93" t="s">
        <v>12</v>
      </c>
      <c r="C56" s="60" t="str">
        <f>C$24</f>
        <v>264OABMG1UFBS1</v>
      </c>
      <c r="D56" s="44" t="str">
        <f>D$24</f>
        <v>Uniform Formulary 
Before-Step Therapy</v>
      </c>
      <c r="E56" s="44">
        <f>E$24</f>
        <v>1</v>
      </c>
      <c r="F56" s="7"/>
      <c r="G56" s="11" t="str">
        <f>IF(NOT(ISBLANK($G53)),$G53,"")</f>
        <v/>
      </c>
      <c r="H56" s="12" t="str">
        <f>IF(ISBLANK(F56),"NO QUOTE", IF(F56=0,"NO QUOTE",IF(NOT(ISBLANK(F56)),F56/G56, "")))</f>
        <v>NO QUOTE</v>
      </c>
    </row>
    <row r="57" spans="1:8" s="6" customFormat="1" ht="31.5" x14ac:dyDescent="0.25">
      <c r="B57" s="94"/>
      <c r="C57" s="62" t="str">
        <f>C$25</f>
        <v>264OABMG1UFAS1M</v>
      </c>
      <c r="D57" s="54" t="str">
        <f>D$25</f>
        <v>Uniform Formulary
After-Step Therapy</v>
      </c>
      <c r="E57" s="54" t="str">
        <f>E$25</f>
        <v>1 or more</v>
      </c>
      <c r="F57" s="8"/>
      <c r="G57" s="9" t="str">
        <f>IF(NOT(ISBLANK($G53)),$G53,"")</f>
        <v/>
      </c>
      <c r="H57" s="13" t="str">
        <f>IF(ISBLANK(F57),"NO QUOTE", IF(F57=0,"NO QUOTE",IF(NOT(ISBLANK(F57)),F57/G57, "")))</f>
        <v>NO QUOTE</v>
      </c>
    </row>
    <row r="58" spans="1:8" s="6" customFormat="1" ht="32.25" thickBot="1" x14ac:dyDescent="0.3">
      <c r="B58" s="95"/>
      <c r="C58" s="61" t="str">
        <f>C$26</f>
        <v>264OABMG1NFAS1M</v>
      </c>
      <c r="D58" s="45" t="str">
        <f>D$26</f>
        <v>Non-Formulary
After-Step Therapy</v>
      </c>
      <c r="E58" s="45" t="str">
        <f>E$26</f>
        <v>1 or more</v>
      </c>
      <c r="F58" s="10"/>
      <c r="G58" s="14" t="str">
        <f>IF(NOT(ISBLANK($G53)),$G53,"")</f>
        <v/>
      </c>
      <c r="H58" s="15" t="str">
        <f>IF(ISBLANK(F58),"NO QUOTE", IF(F58=0,"NO QUOTE",IF(NOT(ISBLANK(F58)),F58/G58, "")))</f>
        <v>NO QUOTE</v>
      </c>
    </row>
    <row r="59" spans="1:8" s="6" customFormat="1" ht="16.5" customHeight="1" thickBot="1" x14ac:dyDescent="0.3">
      <c r="A59" s="1"/>
      <c r="B59" s="90" t="str">
        <f>$B$27</f>
        <v>Scenario 2: One or more BRAF-inhibitor and MEK-inhibitor Combination UF.</v>
      </c>
      <c r="C59" s="91"/>
      <c r="D59" s="91"/>
      <c r="E59" s="91"/>
      <c r="F59" s="91"/>
      <c r="G59" s="91"/>
      <c r="H59" s="92"/>
    </row>
    <row r="60" spans="1:8" x14ac:dyDescent="0.25">
      <c r="A60" s="6"/>
      <c r="B60" s="93" t="s">
        <v>13</v>
      </c>
      <c r="C60" s="60" t="str">
        <f>C$28</f>
        <v>264OABMG1UF1M</v>
      </c>
      <c r="D60" s="44" t="str">
        <f>D$28</f>
        <v>Uniform Formulary</v>
      </c>
      <c r="E60" s="44" t="str">
        <f>E$28</f>
        <v>1 or more</v>
      </c>
      <c r="F60" s="7"/>
      <c r="G60" s="11" t="str">
        <f>IF(NOT(ISBLANK($G53)),$G53,"")</f>
        <v/>
      </c>
      <c r="H60" s="12" t="str">
        <f>IF(ISBLANK(F60),"NO QUOTE", IF(F60=0,"NO QUOTE",IF(NOT(ISBLANK(F60)),F60/G60, "")))</f>
        <v>NO QUOTE</v>
      </c>
    </row>
    <row r="61" spans="1:8" ht="16.5" thickBot="1" x14ac:dyDescent="0.3">
      <c r="A61" s="6"/>
      <c r="B61" s="95"/>
      <c r="C61" s="61" t="str">
        <f>C$29</f>
        <v>264OABMG1NF1M</v>
      </c>
      <c r="D61" s="45" t="str">
        <f>D$29</f>
        <v>Non-Formulary</v>
      </c>
      <c r="E61" s="45" t="str">
        <f>E$29</f>
        <v>1 or more</v>
      </c>
      <c r="F61" s="10"/>
      <c r="G61" s="27" t="str">
        <f>IF(NOT(ISBLANK($G53)),$G53,"")</f>
        <v/>
      </c>
      <c r="H61" s="15" t="str">
        <f>IF(ISBLANK(F61),"NO QUOTE", IF(F61=0,"NO QUOTE",IF(NOT(ISBLANK(F61)),F61/G61, "")))</f>
        <v>NO QUOTE</v>
      </c>
    </row>
    <row r="62" spans="1:8" ht="16.5" customHeight="1" thickBot="1" x14ac:dyDescent="0.3">
      <c r="C62" s="56"/>
      <c r="D62" s="56"/>
      <c r="E62" s="56"/>
      <c r="F62" s="96" t="s">
        <v>29</v>
      </c>
      <c r="G62" s="97"/>
      <c r="H62" s="98"/>
    </row>
    <row r="63" spans="1:8" ht="16.149999999999999" customHeight="1" thickBot="1" x14ac:dyDescent="0.3"/>
    <row r="64" spans="1:8" ht="16.149999999999999" customHeight="1" x14ac:dyDescent="0.25">
      <c r="B64" s="99" t="str">
        <f>$B$16</f>
        <v>Blanket Purchase Agreement Appendix  – Class Review</v>
      </c>
      <c r="C64" s="100"/>
      <c r="D64" s="100"/>
      <c r="E64" s="100"/>
      <c r="F64" s="100"/>
      <c r="G64" s="100"/>
      <c r="H64" s="101"/>
    </row>
    <row r="65" spans="1:8" ht="16.5" thickBot="1" x14ac:dyDescent="0.3">
      <c r="B65" s="102"/>
      <c r="C65" s="103"/>
      <c r="D65" s="103"/>
      <c r="E65" s="103"/>
      <c r="F65" s="103"/>
      <c r="G65" s="103"/>
      <c r="H65" s="104"/>
    </row>
    <row r="66" spans="1:8" x14ac:dyDescent="0.25">
      <c r="B66" s="105" t="s">
        <v>16</v>
      </c>
      <c r="C66" s="57" t="s">
        <v>38</v>
      </c>
      <c r="D66" s="107" t="str">
        <f>$D$3</f>
        <v>ONCOLOGICAL AGENTS</v>
      </c>
      <c r="E66" s="107"/>
      <c r="F66" s="22" t="s">
        <v>7</v>
      </c>
      <c r="G66" s="108" t="str">
        <f>$G$3</f>
        <v>Aug 5-6, 2026</v>
      </c>
      <c r="H66" s="109"/>
    </row>
    <row r="67" spans="1:8" s="6" customFormat="1" ht="16.149999999999999" customHeight="1" x14ac:dyDescent="0.25">
      <c r="A67" s="1"/>
      <c r="B67" s="106"/>
      <c r="C67" s="58" t="s">
        <v>39</v>
      </c>
      <c r="D67" s="110" t="str">
        <f>$D$4</f>
        <v>BRAF-MEK INHIBITORS</v>
      </c>
      <c r="E67" s="110"/>
      <c r="F67" s="18" t="s">
        <v>30</v>
      </c>
      <c r="G67" s="87">
        <f>$G$4</f>
        <v>46202</v>
      </c>
      <c r="H67" s="88"/>
    </row>
    <row r="68" spans="1:8" s="6" customFormat="1" ht="16.5" customHeight="1" x14ac:dyDescent="0.25">
      <c r="A68" s="1"/>
      <c r="B68" s="106"/>
      <c r="C68" s="59" t="s">
        <v>0</v>
      </c>
      <c r="D68" s="52" t="s">
        <v>1</v>
      </c>
      <c r="E68" s="52" t="s">
        <v>2</v>
      </c>
      <c r="F68" s="19" t="s">
        <v>3</v>
      </c>
      <c r="G68" s="19" t="s">
        <v>4</v>
      </c>
      <c r="H68" s="89" t="s">
        <v>32</v>
      </c>
    </row>
    <row r="69" spans="1:8" s="6" customFormat="1" x14ac:dyDescent="0.25">
      <c r="A69" s="1"/>
      <c r="B69" s="106"/>
      <c r="C69" s="53"/>
      <c r="D69" s="53"/>
      <c r="E69" s="53"/>
      <c r="F69" s="20"/>
      <c r="G69" s="21"/>
      <c r="H69" s="89"/>
    </row>
    <row r="70" spans="1:8" s="6" customFormat="1" ht="32.25" thickBot="1" x14ac:dyDescent="0.3">
      <c r="A70" s="1"/>
      <c r="B70" s="23" t="s">
        <v>9</v>
      </c>
      <c r="C70" s="24" t="s">
        <v>18</v>
      </c>
      <c r="D70" s="24" t="s">
        <v>10</v>
      </c>
      <c r="E70" s="24" t="s">
        <v>36</v>
      </c>
      <c r="F70" s="25" t="s">
        <v>11</v>
      </c>
      <c r="G70" s="24" t="s">
        <v>4</v>
      </c>
      <c r="H70" s="26" t="s">
        <v>37</v>
      </c>
    </row>
    <row r="71" spans="1:8" s="6" customFormat="1" ht="16.5" customHeight="1" thickBot="1" x14ac:dyDescent="0.3">
      <c r="A71" s="1"/>
      <c r="B71" s="90" t="str">
        <f>$B$23</f>
        <v>Scenario 1: One BRAF-inhibitor and MEK-inhibitor Combination UF and before the step.</v>
      </c>
      <c r="C71" s="91"/>
      <c r="D71" s="91"/>
      <c r="E71" s="91"/>
      <c r="F71" s="91"/>
      <c r="G71" s="91"/>
      <c r="H71" s="92"/>
    </row>
    <row r="72" spans="1:8" s="6" customFormat="1" ht="31.5" x14ac:dyDescent="0.25">
      <c r="B72" s="93" t="s">
        <v>12</v>
      </c>
      <c r="C72" s="60" t="str">
        <f>C$24</f>
        <v>264OABMG1UFBS1</v>
      </c>
      <c r="D72" s="44" t="str">
        <f>D$24</f>
        <v>Uniform Formulary 
Before-Step Therapy</v>
      </c>
      <c r="E72" s="44">
        <f>E$24</f>
        <v>1</v>
      </c>
      <c r="F72" s="7"/>
      <c r="G72" s="11" t="str">
        <f>IF(NOT(ISBLANK($G69)),$G69,"")</f>
        <v/>
      </c>
      <c r="H72" s="12" t="str">
        <f>IF(ISBLANK(F72),"NO QUOTE", IF(F72=0,"NO QUOTE",IF(NOT(ISBLANK(F72)),F72/G72, "")))</f>
        <v>NO QUOTE</v>
      </c>
    </row>
    <row r="73" spans="1:8" s="6" customFormat="1" ht="31.5" x14ac:dyDescent="0.25">
      <c r="B73" s="94"/>
      <c r="C73" s="62" t="str">
        <f>C$25</f>
        <v>264OABMG1UFAS1M</v>
      </c>
      <c r="D73" s="54" t="str">
        <f>D$25</f>
        <v>Uniform Formulary
After-Step Therapy</v>
      </c>
      <c r="E73" s="54" t="str">
        <f>E$25</f>
        <v>1 or more</v>
      </c>
      <c r="F73" s="8"/>
      <c r="G73" s="9" t="str">
        <f>IF(NOT(ISBLANK($G69)),$G69,"")</f>
        <v/>
      </c>
      <c r="H73" s="13" t="str">
        <f>IF(ISBLANK(F73),"NO QUOTE", IF(F73=0,"NO QUOTE",IF(NOT(ISBLANK(F73)),F73/G73, "")))</f>
        <v>NO QUOTE</v>
      </c>
    </row>
    <row r="74" spans="1:8" s="6" customFormat="1" ht="32.25" thickBot="1" x14ac:dyDescent="0.3">
      <c r="B74" s="95"/>
      <c r="C74" s="61" t="str">
        <f>C$26</f>
        <v>264OABMG1NFAS1M</v>
      </c>
      <c r="D74" s="45" t="str">
        <f>D$26</f>
        <v>Non-Formulary
After-Step Therapy</v>
      </c>
      <c r="E74" s="45" t="str">
        <f>E$26</f>
        <v>1 or more</v>
      </c>
      <c r="F74" s="10"/>
      <c r="G74" s="14" t="str">
        <f>IF(NOT(ISBLANK($G69)),$G69,"")</f>
        <v/>
      </c>
      <c r="H74" s="15" t="str">
        <f>IF(ISBLANK(F74),"NO QUOTE", IF(F74=0,"NO QUOTE",IF(NOT(ISBLANK(F74)),F74/G74, "")))</f>
        <v>NO QUOTE</v>
      </c>
    </row>
    <row r="75" spans="1:8" s="6" customFormat="1" ht="16.5" customHeight="1" thickBot="1" x14ac:dyDescent="0.3">
      <c r="A75" s="1"/>
      <c r="B75" s="90" t="str">
        <f>$B$27</f>
        <v>Scenario 2: One or more BRAF-inhibitor and MEK-inhibitor Combination UF.</v>
      </c>
      <c r="C75" s="91"/>
      <c r="D75" s="91"/>
      <c r="E75" s="91"/>
      <c r="F75" s="91"/>
      <c r="G75" s="91"/>
      <c r="H75" s="92"/>
    </row>
    <row r="76" spans="1:8" x14ac:dyDescent="0.25">
      <c r="A76" s="6"/>
      <c r="B76" s="93" t="s">
        <v>13</v>
      </c>
      <c r="C76" s="60" t="str">
        <f>C$28</f>
        <v>264OABMG1UF1M</v>
      </c>
      <c r="D76" s="44" t="str">
        <f>D$28</f>
        <v>Uniform Formulary</v>
      </c>
      <c r="E76" s="44" t="str">
        <f>E$28</f>
        <v>1 or more</v>
      </c>
      <c r="F76" s="7"/>
      <c r="G76" s="11" t="str">
        <f>IF(NOT(ISBLANK($G69)),$G69,"")</f>
        <v/>
      </c>
      <c r="H76" s="12" t="str">
        <f>IF(ISBLANK(F76),"NO QUOTE", IF(F76=0,"NO QUOTE",IF(NOT(ISBLANK(F76)),F76/G76, "")))</f>
        <v>NO QUOTE</v>
      </c>
    </row>
    <row r="77" spans="1:8" ht="16.5" thickBot="1" x14ac:dyDescent="0.3">
      <c r="A77" s="6"/>
      <c r="B77" s="95"/>
      <c r="C77" s="61" t="str">
        <f>C$29</f>
        <v>264OABMG1NF1M</v>
      </c>
      <c r="D77" s="45" t="str">
        <f>D$29</f>
        <v>Non-Formulary</v>
      </c>
      <c r="E77" s="45" t="str">
        <f>E$29</f>
        <v>1 or more</v>
      </c>
      <c r="F77" s="10"/>
      <c r="G77" s="27" t="str">
        <f>IF(NOT(ISBLANK($G69)),$G69,"")</f>
        <v/>
      </c>
      <c r="H77" s="15" t="str">
        <f>IF(ISBLANK(F77),"NO QUOTE", IF(F77=0,"NO QUOTE",IF(NOT(ISBLANK(F77)),F77/G77, "")))</f>
        <v>NO QUOTE</v>
      </c>
    </row>
    <row r="78" spans="1:8" ht="16.149999999999999" customHeight="1" thickBot="1" x14ac:dyDescent="0.3">
      <c r="C78" s="56"/>
      <c r="D78" s="56"/>
      <c r="E78" s="56"/>
      <c r="F78" s="96" t="s">
        <v>29</v>
      </c>
      <c r="G78" s="97"/>
      <c r="H78" s="98"/>
    </row>
    <row r="79" spans="1:8" ht="16.5" thickBot="1" x14ac:dyDescent="0.3"/>
    <row r="80" spans="1:8" x14ac:dyDescent="0.25">
      <c r="B80" s="99" t="str">
        <f>$B$16</f>
        <v>Blanket Purchase Agreement Appendix  – Class Review</v>
      </c>
      <c r="C80" s="100"/>
      <c r="D80" s="100"/>
      <c r="E80" s="100"/>
      <c r="F80" s="100"/>
      <c r="G80" s="100"/>
      <c r="H80" s="101"/>
    </row>
    <row r="81" spans="1:8" s="6" customFormat="1" ht="16.5" thickBot="1" x14ac:dyDescent="0.3">
      <c r="A81" s="1"/>
      <c r="B81" s="102"/>
      <c r="C81" s="103"/>
      <c r="D81" s="103"/>
      <c r="E81" s="103"/>
      <c r="F81" s="103"/>
      <c r="G81" s="103"/>
      <c r="H81" s="104"/>
    </row>
    <row r="82" spans="1:8" s="6" customFormat="1" x14ac:dyDescent="0.25">
      <c r="A82" s="1"/>
      <c r="B82" s="105" t="s">
        <v>17</v>
      </c>
      <c r="C82" s="57" t="s">
        <v>38</v>
      </c>
      <c r="D82" s="107" t="str">
        <f>$D$3</f>
        <v>ONCOLOGICAL AGENTS</v>
      </c>
      <c r="E82" s="107"/>
      <c r="F82" s="22" t="s">
        <v>7</v>
      </c>
      <c r="G82" s="108" t="str">
        <f>$G$3</f>
        <v>Aug 5-6, 2026</v>
      </c>
      <c r="H82" s="109"/>
    </row>
    <row r="83" spans="1:8" s="6" customFormat="1" ht="16.149999999999999" customHeight="1" x14ac:dyDescent="0.25">
      <c r="A83" s="1"/>
      <c r="B83" s="106"/>
      <c r="C83" s="58" t="s">
        <v>39</v>
      </c>
      <c r="D83" s="110" t="str">
        <f>$D$4</f>
        <v>BRAF-MEK INHIBITORS</v>
      </c>
      <c r="E83" s="110"/>
      <c r="F83" s="18" t="s">
        <v>30</v>
      </c>
      <c r="G83" s="87">
        <f>$G$4</f>
        <v>46202</v>
      </c>
      <c r="H83" s="88"/>
    </row>
    <row r="84" spans="1:8" s="6" customFormat="1" ht="16.5" customHeight="1" x14ac:dyDescent="0.25">
      <c r="A84" s="1"/>
      <c r="B84" s="106"/>
      <c r="C84" s="59" t="s">
        <v>0</v>
      </c>
      <c r="D84" s="52" t="s">
        <v>1</v>
      </c>
      <c r="E84" s="52" t="s">
        <v>2</v>
      </c>
      <c r="F84" s="19" t="s">
        <v>3</v>
      </c>
      <c r="G84" s="19" t="s">
        <v>4</v>
      </c>
      <c r="H84" s="89" t="s">
        <v>32</v>
      </c>
    </row>
    <row r="85" spans="1:8" ht="16.149999999999999" customHeight="1" x14ac:dyDescent="0.25">
      <c r="B85" s="106"/>
      <c r="C85" s="53"/>
      <c r="D85" s="53"/>
      <c r="E85" s="53"/>
      <c r="F85" s="20"/>
      <c r="G85" s="21">
        <v>1</v>
      </c>
      <c r="H85" s="89"/>
    </row>
    <row r="86" spans="1:8" ht="32.25" thickBot="1" x14ac:dyDescent="0.3">
      <c r="B86" s="23" t="s">
        <v>9</v>
      </c>
      <c r="C86" s="24" t="s">
        <v>18</v>
      </c>
      <c r="D86" s="24" t="s">
        <v>10</v>
      </c>
      <c r="E86" s="24" t="s">
        <v>36</v>
      </c>
      <c r="F86" s="25" t="s">
        <v>11</v>
      </c>
      <c r="G86" s="24" t="s">
        <v>4</v>
      </c>
      <c r="H86" s="26" t="s">
        <v>37</v>
      </c>
    </row>
    <row r="87" spans="1:8" s="6" customFormat="1" ht="16.5" customHeight="1" thickBot="1" x14ac:dyDescent="0.3">
      <c r="A87" s="1"/>
      <c r="B87" s="90" t="str">
        <f>$B$23</f>
        <v>Scenario 1: One BRAF-inhibitor and MEK-inhibitor Combination UF and before the step.</v>
      </c>
      <c r="C87" s="91"/>
      <c r="D87" s="91"/>
      <c r="E87" s="91"/>
      <c r="F87" s="91"/>
      <c r="G87" s="91"/>
      <c r="H87" s="92"/>
    </row>
    <row r="88" spans="1:8" s="6" customFormat="1" ht="31.5" x14ac:dyDescent="0.25">
      <c r="B88" s="93" t="s">
        <v>12</v>
      </c>
      <c r="C88" s="60" t="str">
        <f>C$24</f>
        <v>264OABMG1UFBS1</v>
      </c>
      <c r="D88" s="44" t="str">
        <f>D$24</f>
        <v>Uniform Formulary 
Before-Step Therapy</v>
      </c>
      <c r="E88" s="44">
        <f>E$24</f>
        <v>1</v>
      </c>
      <c r="F88" s="7"/>
      <c r="G88" s="11">
        <f>IF(NOT(ISBLANK($G85)),$G85,"")</f>
        <v>1</v>
      </c>
      <c r="H88" s="12" t="str">
        <f>IF(ISBLANK(F88),"NO QUOTE", IF(F88=0,"NO QUOTE",IF(NOT(ISBLANK(F88)),F88/G88, "")))</f>
        <v>NO QUOTE</v>
      </c>
    </row>
    <row r="89" spans="1:8" s="6" customFormat="1" ht="31.5" x14ac:dyDescent="0.25">
      <c r="B89" s="94"/>
      <c r="C89" s="62" t="str">
        <f>C$25</f>
        <v>264OABMG1UFAS1M</v>
      </c>
      <c r="D89" s="54" t="str">
        <f>D$25</f>
        <v>Uniform Formulary
After-Step Therapy</v>
      </c>
      <c r="E89" s="54" t="str">
        <f>E$25</f>
        <v>1 or more</v>
      </c>
      <c r="F89" s="8"/>
      <c r="G89" s="9">
        <f>IF(NOT(ISBLANK($G85)),$G85,"")</f>
        <v>1</v>
      </c>
      <c r="H89" s="13" t="str">
        <f>IF(ISBLANK(F89),"NO QUOTE", IF(F89=0,"NO QUOTE",IF(NOT(ISBLANK(F89)),F89/G89, "")))</f>
        <v>NO QUOTE</v>
      </c>
    </row>
    <row r="90" spans="1:8" s="6" customFormat="1" ht="32.25" thickBot="1" x14ac:dyDescent="0.3">
      <c r="B90" s="95"/>
      <c r="C90" s="61" t="str">
        <f>C$26</f>
        <v>264OABMG1NFAS1M</v>
      </c>
      <c r="D90" s="45" t="str">
        <f>D$26</f>
        <v>Non-Formulary
After-Step Therapy</v>
      </c>
      <c r="E90" s="45" t="str">
        <f>E$26</f>
        <v>1 or more</v>
      </c>
      <c r="F90" s="10"/>
      <c r="G90" s="14">
        <f>IF(NOT(ISBLANK($G85)),$G85,"")</f>
        <v>1</v>
      </c>
      <c r="H90" s="15" t="str">
        <f>IF(ISBLANK(F90),"NO QUOTE", IF(F90=0,"NO QUOTE",IF(NOT(ISBLANK(F90)),F90/G90, "")))</f>
        <v>NO QUOTE</v>
      </c>
    </row>
    <row r="91" spans="1:8" s="6" customFormat="1" ht="16.5" customHeight="1" thickBot="1" x14ac:dyDescent="0.3">
      <c r="A91" s="1"/>
      <c r="B91" s="90" t="str">
        <f>$B$27</f>
        <v>Scenario 2: One or more BRAF-inhibitor and MEK-inhibitor Combination UF.</v>
      </c>
      <c r="C91" s="91"/>
      <c r="D91" s="91"/>
      <c r="E91" s="91"/>
      <c r="F91" s="91"/>
      <c r="G91" s="91"/>
      <c r="H91" s="92"/>
    </row>
    <row r="92" spans="1:8" x14ac:dyDescent="0.25">
      <c r="A92" s="6"/>
      <c r="B92" s="93" t="s">
        <v>13</v>
      </c>
      <c r="C92" s="60" t="str">
        <f>C$28</f>
        <v>264OABMG1UF1M</v>
      </c>
      <c r="D92" s="44" t="str">
        <f>D$28</f>
        <v>Uniform Formulary</v>
      </c>
      <c r="E92" s="44" t="str">
        <f>E$28</f>
        <v>1 or more</v>
      </c>
      <c r="F92" s="7"/>
      <c r="G92" s="11">
        <f>IF(NOT(ISBLANK($G85)),$G85,"")</f>
        <v>1</v>
      </c>
      <c r="H92" s="12" t="str">
        <f>IF(ISBLANK(F92),"NO QUOTE", IF(F92=0,"NO QUOTE",IF(NOT(ISBLANK(F92)),F92/G92, "")))</f>
        <v>NO QUOTE</v>
      </c>
    </row>
    <row r="93" spans="1:8" ht="16.5" thickBot="1" x14ac:dyDescent="0.3">
      <c r="A93" s="6"/>
      <c r="B93" s="95"/>
      <c r="C93" s="61" t="str">
        <f>C$29</f>
        <v>264OABMG1NF1M</v>
      </c>
      <c r="D93" s="45" t="str">
        <f>D$29</f>
        <v>Non-Formulary</v>
      </c>
      <c r="E93" s="45" t="str">
        <f>E$29</f>
        <v>1 or more</v>
      </c>
      <c r="F93" s="10"/>
      <c r="G93" s="27">
        <f>IF(NOT(ISBLANK($G85)),$G85,"")</f>
        <v>1</v>
      </c>
      <c r="H93" s="15" t="str">
        <f>IF(ISBLANK(F93),"NO QUOTE", IF(F93=0,"NO QUOTE",IF(NOT(ISBLANK(F93)),F93/G93, "")))</f>
        <v>NO QUOTE</v>
      </c>
    </row>
    <row r="94" spans="1:8" ht="16.149999999999999" customHeight="1" thickBot="1" x14ac:dyDescent="0.3">
      <c r="C94" s="56"/>
      <c r="D94" s="56"/>
      <c r="E94" s="56"/>
      <c r="F94" s="96" t="s">
        <v>29</v>
      </c>
      <c r="G94" s="97"/>
      <c r="H94" s="98"/>
    </row>
    <row r="95" spans="1:8" s="6" customFormat="1" ht="16.5" thickBot="1" x14ac:dyDescent="0.3">
      <c r="A95" s="1"/>
      <c r="B95" s="1"/>
      <c r="C95" s="49"/>
      <c r="D95" s="49"/>
      <c r="E95" s="49"/>
      <c r="F95" s="1"/>
      <c r="G95" s="1"/>
      <c r="H95" s="1"/>
    </row>
    <row r="96" spans="1:8" s="6" customFormat="1" x14ac:dyDescent="0.25">
      <c r="A96" s="1"/>
      <c r="B96" s="99" t="str">
        <f>$B$16</f>
        <v>Blanket Purchase Agreement Appendix  – Class Review</v>
      </c>
      <c r="C96" s="100"/>
      <c r="D96" s="100"/>
      <c r="E96" s="100"/>
      <c r="F96" s="100"/>
      <c r="G96" s="100"/>
      <c r="H96" s="101"/>
    </row>
    <row r="97" spans="1:8" s="6" customFormat="1" ht="16.5" thickBot="1" x14ac:dyDescent="0.3">
      <c r="A97" s="1"/>
      <c r="B97" s="102"/>
      <c r="C97" s="103"/>
      <c r="D97" s="103"/>
      <c r="E97" s="103"/>
      <c r="F97" s="103"/>
      <c r="G97" s="103"/>
      <c r="H97" s="104"/>
    </row>
    <row r="98" spans="1:8" s="6" customFormat="1" x14ac:dyDescent="0.25">
      <c r="A98" s="1"/>
      <c r="B98" s="105" t="s">
        <v>24</v>
      </c>
      <c r="C98" s="57" t="s">
        <v>38</v>
      </c>
      <c r="D98" s="107" t="str">
        <f>$D$3</f>
        <v>ONCOLOGICAL AGENTS</v>
      </c>
      <c r="E98" s="107"/>
      <c r="F98" s="22" t="s">
        <v>7</v>
      </c>
      <c r="G98" s="108" t="str">
        <f>$G$3</f>
        <v>Aug 5-6, 2026</v>
      </c>
      <c r="H98" s="109"/>
    </row>
    <row r="99" spans="1:8" ht="16.149999999999999" customHeight="1" x14ac:dyDescent="0.25">
      <c r="B99" s="106"/>
      <c r="C99" s="58" t="s">
        <v>39</v>
      </c>
      <c r="D99" s="110" t="str">
        <f>$D$4</f>
        <v>BRAF-MEK INHIBITORS</v>
      </c>
      <c r="E99" s="110"/>
      <c r="F99" s="18" t="s">
        <v>30</v>
      </c>
      <c r="G99" s="87">
        <f>$G$4</f>
        <v>46202</v>
      </c>
      <c r="H99" s="88"/>
    </row>
    <row r="100" spans="1:8" ht="16.5" customHeight="1" x14ac:dyDescent="0.25">
      <c r="B100" s="106"/>
      <c r="C100" s="59" t="s">
        <v>0</v>
      </c>
      <c r="D100" s="52" t="s">
        <v>1</v>
      </c>
      <c r="E100" s="52" t="s">
        <v>2</v>
      </c>
      <c r="F100" s="19" t="s">
        <v>3</v>
      </c>
      <c r="G100" s="19" t="s">
        <v>4</v>
      </c>
      <c r="H100" s="89" t="s">
        <v>32</v>
      </c>
    </row>
    <row r="101" spans="1:8" x14ac:dyDescent="0.25">
      <c r="B101" s="106"/>
      <c r="C101" s="53"/>
      <c r="D101" s="53"/>
      <c r="E101" s="53"/>
      <c r="F101" s="20"/>
      <c r="G101" s="21"/>
      <c r="H101" s="89"/>
    </row>
    <row r="102" spans="1:8" ht="32.25" thickBot="1" x14ac:dyDescent="0.3">
      <c r="B102" s="23" t="s">
        <v>9</v>
      </c>
      <c r="C102" s="24" t="s">
        <v>18</v>
      </c>
      <c r="D102" s="24" t="s">
        <v>10</v>
      </c>
      <c r="E102" s="24" t="s">
        <v>36</v>
      </c>
      <c r="F102" s="25" t="s">
        <v>11</v>
      </c>
      <c r="G102" s="24" t="s">
        <v>4</v>
      </c>
      <c r="H102" s="26" t="s">
        <v>37</v>
      </c>
    </row>
    <row r="103" spans="1:8" s="6" customFormat="1" ht="16.5" customHeight="1" thickBot="1" x14ac:dyDescent="0.3">
      <c r="A103" s="1"/>
      <c r="B103" s="90" t="str">
        <f>$B$23</f>
        <v>Scenario 1: One BRAF-inhibitor and MEK-inhibitor Combination UF and before the step.</v>
      </c>
      <c r="C103" s="91"/>
      <c r="D103" s="91"/>
      <c r="E103" s="91"/>
      <c r="F103" s="91"/>
      <c r="G103" s="91"/>
      <c r="H103" s="92"/>
    </row>
    <row r="104" spans="1:8" s="6" customFormat="1" ht="31.5" x14ac:dyDescent="0.25">
      <c r="B104" s="93" t="s">
        <v>12</v>
      </c>
      <c r="C104" s="60" t="str">
        <f>C$24</f>
        <v>264OABMG1UFBS1</v>
      </c>
      <c r="D104" s="44" t="str">
        <f>D$24</f>
        <v>Uniform Formulary 
Before-Step Therapy</v>
      </c>
      <c r="E104" s="44">
        <f>E$24</f>
        <v>1</v>
      </c>
      <c r="F104" s="7"/>
      <c r="G104" s="11" t="str">
        <f>IF(NOT(ISBLANK($G101)),$G101,"")</f>
        <v/>
      </c>
      <c r="H104" s="12" t="str">
        <f>IF(ISBLANK(F104),"NO QUOTE", IF(F104=0,"NO QUOTE",IF(NOT(ISBLANK(F104)),F104/G104, "")))</f>
        <v>NO QUOTE</v>
      </c>
    </row>
    <row r="105" spans="1:8" s="6" customFormat="1" ht="31.5" x14ac:dyDescent="0.25">
      <c r="B105" s="94"/>
      <c r="C105" s="62" t="str">
        <f>C$25</f>
        <v>264OABMG1UFAS1M</v>
      </c>
      <c r="D105" s="54" t="str">
        <f>D$25</f>
        <v>Uniform Formulary
After-Step Therapy</v>
      </c>
      <c r="E105" s="54" t="str">
        <f>E$25</f>
        <v>1 or more</v>
      </c>
      <c r="F105" s="8"/>
      <c r="G105" s="9" t="str">
        <f>IF(NOT(ISBLANK($G101)),$G101,"")</f>
        <v/>
      </c>
      <c r="H105" s="13" t="str">
        <f>IF(ISBLANK(F105),"NO QUOTE", IF(F105=0,"NO QUOTE",IF(NOT(ISBLANK(F105)),F105/G105, "")))</f>
        <v>NO QUOTE</v>
      </c>
    </row>
    <row r="106" spans="1:8" s="6" customFormat="1" ht="32.25" thickBot="1" x14ac:dyDescent="0.3">
      <c r="B106" s="95"/>
      <c r="C106" s="61" t="str">
        <f>C$26</f>
        <v>264OABMG1NFAS1M</v>
      </c>
      <c r="D106" s="45" t="str">
        <f>D$26</f>
        <v>Non-Formulary
After-Step Therapy</v>
      </c>
      <c r="E106" s="45" t="str">
        <f>E$26</f>
        <v>1 or more</v>
      </c>
      <c r="F106" s="10"/>
      <c r="G106" s="14" t="str">
        <f>IF(NOT(ISBLANK($G101)),$G101,"")</f>
        <v/>
      </c>
      <c r="H106" s="15" t="str">
        <f>IF(ISBLANK(F106),"NO QUOTE", IF(F106=0,"NO QUOTE",IF(NOT(ISBLANK(F106)),F106/G106, "")))</f>
        <v>NO QUOTE</v>
      </c>
    </row>
    <row r="107" spans="1:8" s="6" customFormat="1" ht="16.5" customHeight="1" thickBot="1" x14ac:dyDescent="0.3">
      <c r="A107" s="1"/>
      <c r="B107" s="90" t="str">
        <f>$B$27</f>
        <v>Scenario 2: One or more BRAF-inhibitor and MEK-inhibitor Combination UF.</v>
      </c>
      <c r="C107" s="91"/>
      <c r="D107" s="91"/>
      <c r="E107" s="91"/>
      <c r="F107" s="91"/>
      <c r="G107" s="91"/>
      <c r="H107" s="92"/>
    </row>
    <row r="108" spans="1:8" x14ac:dyDescent="0.25">
      <c r="A108" s="6"/>
      <c r="B108" s="93" t="s">
        <v>13</v>
      </c>
      <c r="C108" s="60" t="str">
        <f>C$28</f>
        <v>264OABMG1UF1M</v>
      </c>
      <c r="D108" s="44" t="str">
        <f>D$28</f>
        <v>Uniform Formulary</v>
      </c>
      <c r="E108" s="44" t="str">
        <f>E$28</f>
        <v>1 or more</v>
      </c>
      <c r="F108" s="7"/>
      <c r="G108" s="11" t="str">
        <f>IF(NOT(ISBLANK($G101)),$G101,"")</f>
        <v/>
      </c>
      <c r="H108" s="12" t="str">
        <f>IF(ISBLANK(F108),"NO QUOTE", IF(F108=0,"NO QUOTE",IF(NOT(ISBLANK(F108)),F108/G108, "")))</f>
        <v>NO QUOTE</v>
      </c>
    </row>
    <row r="109" spans="1:8" ht="16.5" thickBot="1" x14ac:dyDescent="0.3">
      <c r="A109" s="6"/>
      <c r="B109" s="95"/>
      <c r="C109" s="61" t="str">
        <f>C$29</f>
        <v>264OABMG1NF1M</v>
      </c>
      <c r="D109" s="45" t="str">
        <f>D$29</f>
        <v>Non-Formulary</v>
      </c>
      <c r="E109" s="45" t="str">
        <f>E$29</f>
        <v>1 or more</v>
      </c>
      <c r="F109" s="10"/>
      <c r="G109" s="27" t="str">
        <f>IF(NOT(ISBLANK($G101)),$G101,"")</f>
        <v/>
      </c>
      <c r="H109" s="15" t="str">
        <f>IF(ISBLANK(F109),"NO QUOTE", IF(F109=0,"NO QUOTE",IF(NOT(ISBLANK(F109)),F109/G109, "")))</f>
        <v>NO QUOTE</v>
      </c>
    </row>
    <row r="110" spans="1:8" s="6" customFormat="1" ht="16.5" customHeight="1" thickBot="1" x14ac:dyDescent="0.3">
      <c r="A110" s="1"/>
      <c r="B110" s="1"/>
      <c r="C110" s="56"/>
      <c r="D110" s="56"/>
      <c r="E110" s="56"/>
      <c r="F110" s="96" t="s">
        <v>29</v>
      </c>
      <c r="G110" s="97"/>
      <c r="H110" s="98"/>
    </row>
    <row r="111" spans="1:8" s="6" customFormat="1" ht="16.5" thickBot="1" x14ac:dyDescent="0.3">
      <c r="A111" s="1"/>
      <c r="B111" s="1"/>
      <c r="C111" s="49"/>
      <c r="D111" s="49"/>
      <c r="E111" s="49"/>
      <c r="F111" s="1"/>
      <c r="G111" s="1"/>
      <c r="H111" s="1"/>
    </row>
    <row r="112" spans="1:8" s="6" customFormat="1" x14ac:dyDescent="0.25">
      <c r="A112" s="1"/>
      <c r="B112" s="99" t="str">
        <f>$B$16</f>
        <v>Blanket Purchase Agreement Appendix  – Class Review</v>
      </c>
      <c r="C112" s="100"/>
      <c r="D112" s="100"/>
      <c r="E112" s="100"/>
      <c r="F112" s="100"/>
      <c r="G112" s="100"/>
      <c r="H112" s="101"/>
    </row>
    <row r="113" spans="1:8" ht="16.149999999999999" customHeight="1" thickBot="1" x14ac:dyDescent="0.3">
      <c r="B113" s="102"/>
      <c r="C113" s="103"/>
      <c r="D113" s="103"/>
      <c r="E113" s="103"/>
      <c r="F113" s="103"/>
      <c r="G113" s="103"/>
      <c r="H113" s="104"/>
    </row>
    <row r="114" spans="1:8" x14ac:dyDescent="0.25">
      <c r="B114" s="105" t="s">
        <v>25</v>
      </c>
      <c r="C114" s="57" t="s">
        <v>38</v>
      </c>
      <c r="D114" s="107" t="str">
        <f>$D$3</f>
        <v>ONCOLOGICAL AGENTS</v>
      </c>
      <c r="E114" s="107"/>
      <c r="F114" s="22" t="s">
        <v>7</v>
      </c>
      <c r="G114" s="108" t="str">
        <f>$G$3</f>
        <v>Aug 5-6, 2026</v>
      </c>
      <c r="H114" s="109"/>
    </row>
    <row r="115" spans="1:8" ht="16.149999999999999" customHeight="1" x14ac:dyDescent="0.25">
      <c r="B115" s="106"/>
      <c r="C115" s="58" t="s">
        <v>39</v>
      </c>
      <c r="D115" s="110" t="str">
        <f>$D$4</f>
        <v>BRAF-MEK INHIBITORS</v>
      </c>
      <c r="E115" s="110"/>
      <c r="F115" s="18" t="s">
        <v>30</v>
      </c>
      <c r="G115" s="87">
        <f>$G$4</f>
        <v>46202</v>
      </c>
      <c r="H115" s="88"/>
    </row>
    <row r="116" spans="1:8" ht="16.5" customHeight="1" x14ac:dyDescent="0.25">
      <c r="B116" s="106"/>
      <c r="C116" s="59" t="s">
        <v>0</v>
      </c>
      <c r="D116" s="52" t="s">
        <v>1</v>
      </c>
      <c r="E116" s="52" t="s">
        <v>2</v>
      </c>
      <c r="F116" s="19" t="s">
        <v>3</v>
      </c>
      <c r="G116" s="19" t="s">
        <v>4</v>
      </c>
      <c r="H116" s="89" t="s">
        <v>32</v>
      </c>
    </row>
    <row r="117" spans="1:8" x14ac:dyDescent="0.25">
      <c r="B117" s="106"/>
      <c r="C117" s="53"/>
      <c r="D117" s="53"/>
      <c r="E117" s="53"/>
      <c r="F117" s="20"/>
      <c r="G117" s="21"/>
      <c r="H117" s="89"/>
    </row>
    <row r="118" spans="1:8" ht="16.149999999999999" customHeight="1" thickBot="1" x14ac:dyDescent="0.3">
      <c r="B118" s="23" t="s">
        <v>9</v>
      </c>
      <c r="C118" s="24" t="s">
        <v>18</v>
      </c>
      <c r="D118" s="24" t="s">
        <v>10</v>
      </c>
      <c r="E118" s="24" t="s">
        <v>36</v>
      </c>
      <c r="F118" s="25" t="s">
        <v>11</v>
      </c>
      <c r="G118" s="24" t="s">
        <v>4</v>
      </c>
      <c r="H118" s="26" t="s">
        <v>37</v>
      </c>
    </row>
    <row r="119" spans="1:8" s="6" customFormat="1" ht="16.5" customHeight="1" thickBot="1" x14ac:dyDescent="0.3">
      <c r="A119" s="1"/>
      <c r="B119" s="90" t="str">
        <f>$B$23</f>
        <v>Scenario 1: One BRAF-inhibitor and MEK-inhibitor Combination UF and before the step.</v>
      </c>
      <c r="C119" s="91"/>
      <c r="D119" s="91"/>
      <c r="E119" s="91"/>
      <c r="F119" s="91"/>
      <c r="G119" s="91"/>
      <c r="H119" s="92"/>
    </row>
    <row r="120" spans="1:8" s="6" customFormat="1" ht="31.5" x14ac:dyDescent="0.25">
      <c r="B120" s="93" t="s">
        <v>12</v>
      </c>
      <c r="C120" s="60" t="str">
        <f>C$24</f>
        <v>264OABMG1UFBS1</v>
      </c>
      <c r="D120" s="44" t="str">
        <f>D$24</f>
        <v>Uniform Formulary 
Before-Step Therapy</v>
      </c>
      <c r="E120" s="44">
        <f>E$24</f>
        <v>1</v>
      </c>
      <c r="F120" s="7"/>
      <c r="G120" s="11" t="str">
        <f>IF(NOT(ISBLANK($G117)),$G117,"")</f>
        <v/>
      </c>
      <c r="H120" s="12" t="str">
        <f>IF(ISBLANK(F120),"NO QUOTE", IF(F120=0,"NO QUOTE",IF(NOT(ISBLANK(F120)),F120/G120, "")))</f>
        <v>NO QUOTE</v>
      </c>
    </row>
    <row r="121" spans="1:8" s="6" customFormat="1" ht="31.5" x14ac:dyDescent="0.25">
      <c r="B121" s="94"/>
      <c r="C121" s="62" t="str">
        <f>C$25</f>
        <v>264OABMG1UFAS1M</v>
      </c>
      <c r="D121" s="54" t="str">
        <f>D$25</f>
        <v>Uniform Formulary
After-Step Therapy</v>
      </c>
      <c r="E121" s="54" t="str">
        <f>E$25</f>
        <v>1 or more</v>
      </c>
      <c r="F121" s="8"/>
      <c r="G121" s="9" t="str">
        <f>IF(NOT(ISBLANK($G117)),$G117,"")</f>
        <v/>
      </c>
      <c r="H121" s="13" t="str">
        <f>IF(ISBLANK(F121),"NO QUOTE", IF(F121=0,"NO QUOTE",IF(NOT(ISBLANK(F121)),F121/G121, "")))</f>
        <v>NO QUOTE</v>
      </c>
    </row>
    <row r="122" spans="1:8" s="6" customFormat="1" ht="32.25" thickBot="1" x14ac:dyDescent="0.3">
      <c r="B122" s="95"/>
      <c r="C122" s="61" t="str">
        <f>C$26</f>
        <v>264OABMG1NFAS1M</v>
      </c>
      <c r="D122" s="45" t="str">
        <f>D$26</f>
        <v>Non-Formulary
After-Step Therapy</v>
      </c>
      <c r="E122" s="45" t="str">
        <f>E$26</f>
        <v>1 or more</v>
      </c>
      <c r="F122" s="10"/>
      <c r="G122" s="14" t="str">
        <f>IF(NOT(ISBLANK($G117)),$G117,"")</f>
        <v/>
      </c>
      <c r="H122" s="15" t="str">
        <f>IF(ISBLANK(F122),"NO QUOTE", IF(F122=0,"NO QUOTE",IF(NOT(ISBLANK(F122)),F122/G122, "")))</f>
        <v>NO QUOTE</v>
      </c>
    </row>
    <row r="123" spans="1:8" s="6" customFormat="1" ht="16.5" customHeight="1" thickBot="1" x14ac:dyDescent="0.3">
      <c r="A123" s="1"/>
      <c r="B123" s="90" t="str">
        <f>$B$27</f>
        <v>Scenario 2: One or more BRAF-inhibitor and MEK-inhibitor Combination UF.</v>
      </c>
      <c r="C123" s="91"/>
      <c r="D123" s="91"/>
      <c r="E123" s="91"/>
      <c r="F123" s="91"/>
      <c r="G123" s="91"/>
      <c r="H123" s="92"/>
    </row>
    <row r="124" spans="1:8" x14ac:dyDescent="0.25">
      <c r="A124" s="6"/>
      <c r="B124" s="93" t="s">
        <v>13</v>
      </c>
      <c r="C124" s="60" t="str">
        <f>C$28</f>
        <v>264OABMG1UF1M</v>
      </c>
      <c r="D124" s="44" t="str">
        <f>D$28</f>
        <v>Uniform Formulary</v>
      </c>
      <c r="E124" s="44" t="str">
        <f>E$28</f>
        <v>1 or more</v>
      </c>
      <c r="F124" s="7"/>
      <c r="G124" s="11" t="str">
        <f>IF(NOT(ISBLANK($G117)),$G117,"")</f>
        <v/>
      </c>
      <c r="H124" s="12" t="str">
        <f>IF(ISBLANK(F124),"NO QUOTE", IF(F124=0,"NO QUOTE",IF(NOT(ISBLANK(F124)),F124/G124, "")))</f>
        <v>NO QUOTE</v>
      </c>
    </row>
    <row r="125" spans="1:8" ht="16.5" thickBot="1" x14ac:dyDescent="0.3">
      <c r="A125" s="6"/>
      <c r="B125" s="95"/>
      <c r="C125" s="61" t="str">
        <f>C$29</f>
        <v>264OABMG1NF1M</v>
      </c>
      <c r="D125" s="45" t="str">
        <f>D$29</f>
        <v>Non-Formulary</v>
      </c>
      <c r="E125" s="45" t="str">
        <f>E$29</f>
        <v>1 or more</v>
      </c>
      <c r="F125" s="10"/>
      <c r="G125" s="27" t="str">
        <f>IF(NOT(ISBLANK($G117)),$G117,"")</f>
        <v/>
      </c>
      <c r="H125" s="15" t="str">
        <f>IF(ISBLANK(F125),"NO QUOTE", IF(F125=0,"NO QUOTE",IF(NOT(ISBLANK(F125)),F125/G125, "")))</f>
        <v>NO QUOTE</v>
      </c>
    </row>
    <row r="126" spans="1:8" s="6" customFormat="1" ht="16.5" customHeight="1" thickBot="1" x14ac:dyDescent="0.3">
      <c r="A126" s="1"/>
      <c r="B126" s="1"/>
      <c r="C126" s="56"/>
      <c r="D126" s="56"/>
      <c r="E126" s="56"/>
      <c r="F126" s="96" t="s">
        <v>29</v>
      </c>
      <c r="G126" s="97"/>
      <c r="H126" s="98"/>
    </row>
    <row r="127" spans="1:8" ht="16.149999999999999" customHeight="1" thickBot="1" x14ac:dyDescent="0.3"/>
    <row r="128" spans="1:8" x14ac:dyDescent="0.25">
      <c r="B128" s="99" t="str">
        <f>$B$16</f>
        <v>Blanket Purchase Agreement Appendix  – Class Review</v>
      </c>
      <c r="C128" s="100"/>
      <c r="D128" s="100"/>
      <c r="E128" s="100"/>
      <c r="F128" s="100"/>
      <c r="G128" s="100"/>
      <c r="H128" s="101"/>
    </row>
    <row r="129" spans="1:8" ht="16.5" thickBot="1" x14ac:dyDescent="0.3">
      <c r="B129" s="102"/>
      <c r="C129" s="103"/>
      <c r="D129" s="103"/>
      <c r="E129" s="103"/>
      <c r="F129" s="103"/>
      <c r="G129" s="103"/>
      <c r="H129" s="104"/>
    </row>
    <row r="130" spans="1:8" x14ac:dyDescent="0.25">
      <c r="B130" s="105" t="s">
        <v>26</v>
      </c>
      <c r="C130" s="57" t="s">
        <v>38</v>
      </c>
      <c r="D130" s="107" t="str">
        <f>$D$3</f>
        <v>ONCOLOGICAL AGENTS</v>
      </c>
      <c r="E130" s="107"/>
      <c r="F130" s="22" t="s">
        <v>7</v>
      </c>
      <c r="G130" s="108" t="str">
        <f>$G$3</f>
        <v>Aug 5-6, 2026</v>
      </c>
      <c r="H130" s="109"/>
    </row>
    <row r="131" spans="1:8" ht="16.5" customHeight="1" x14ac:dyDescent="0.25">
      <c r="B131" s="106"/>
      <c r="C131" s="58" t="s">
        <v>39</v>
      </c>
      <c r="D131" s="110" t="str">
        <f>$D$4</f>
        <v>BRAF-MEK INHIBITORS</v>
      </c>
      <c r="E131" s="110"/>
      <c r="F131" s="18" t="s">
        <v>30</v>
      </c>
      <c r="G131" s="87">
        <f>$G$4</f>
        <v>46202</v>
      </c>
      <c r="H131" s="88"/>
    </row>
    <row r="132" spans="1:8" ht="16.5" customHeight="1" x14ac:dyDescent="0.25">
      <c r="B132" s="106"/>
      <c r="C132" s="59" t="s">
        <v>0</v>
      </c>
      <c r="D132" s="52" t="s">
        <v>1</v>
      </c>
      <c r="E132" s="52" t="s">
        <v>2</v>
      </c>
      <c r="F132" s="19" t="s">
        <v>3</v>
      </c>
      <c r="G132" s="19" t="s">
        <v>4</v>
      </c>
      <c r="H132" s="89" t="s">
        <v>32</v>
      </c>
    </row>
    <row r="133" spans="1:8" ht="16.149999999999999" customHeight="1" x14ac:dyDescent="0.25">
      <c r="B133" s="106"/>
      <c r="C133" s="53"/>
      <c r="D133" s="53"/>
      <c r="E133" s="53"/>
      <c r="F133" s="20"/>
      <c r="G133" s="21"/>
      <c r="H133" s="89"/>
    </row>
    <row r="134" spans="1:8" ht="32.25" thickBot="1" x14ac:dyDescent="0.3">
      <c r="B134" s="23" t="s">
        <v>9</v>
      </c>
      <c r="C134" s="24" t="s">
        <v>18</v>
      </c>
      <c r="D134" s="24" t="s">
        <v>10</v>
      </c>
      <c r="E134" s="24" t="s">
        <v>36</v>
      </c>
      <c r="F134" s="25" t="s">
        <v>11</v>
      </c>
      <c r="G134" s="24" t="s">
        <v>4</v>
      </c>
      <c r="H134" s="26" t="s">
        <v>37</v>
      </c>
    </row>
    <row r="135" spans="1:8" s="6" customFormat="1" ht="16.5" customHeight="1" thickBot="1" x14ac:dyDescent="0.3">
      <c r="A135" s="1"/>
      <c r="B135" s="90" t="str">
        <f>$B$23</f>
        <v>Scenario 1: One BRAF-inhibitor and MEK-inhibitor Combination UF and before the step.</v>
      </c>
      <c r="C135" s="91"/>
      <c r="D135" s="91"/>
      <c r="E135" s="91"/>
      <c r="F135" s="91"/>
      <c r="G135" s="91"/>
      <c r="H135" s="92"/>
    </row>
    <row r="136" spans="1:8" s="6" customFormat="1" ht="31.5" x14ac:dyDescent="0.25">
      <c r="B136" s="93" t="s">
        <v>12</v>
      </c>
      <c r="C136" s="60" t="str">
        <f>C$24</f>
        <v>264OABMG1UFBS1</v>
      </c>
      <c r="D136" s="44" t="str">
        <f>D$24</f>
        <v>Uniform Formulary 
Before-Step Therapy</v>
      </c>
      <c r="E136" s="44">
        <f>E$24</f>
        <v>1</v>
      </c>
      <c r="F136" s="7"/>
      <c r="G136" s="11" t="str">
        <f>IF(NOT(ISBLANK($G133)),$G133,"")</f>
        <v/>
      </c>
      <c r="H136" s="12" t="str">
        <f>IF(ISBLANK(F136),"NO QUOTE", IF(F136=0,"NO QUOTE",IF(NOT(ISBLANK(F136)),F136/G136, "")))</f>
        <v>NO QUOTE</v>
      </c>
    </row>
    <row r="137" spans="1:8" s="6" customFormat="1" ht="31.5" x14ac:dyDescent="0.25">
      <c r="B137" s="94"/>
      <c r="C137" s="62" t="str">
        <f>C$25</f>
        <v>264OABMG1UFAS1M</v>
      </c>
      <c r="D137" s="54" t="str">
        <f>D$25</f>
        <v>Uniform Formulary
After-Step Therapy</v>
      </c>
      <c r="E137" s="54" t="str">
        <f>E$25</f>
        <v>1 or more</v>
      </c>
      <c r="F137" s="8"/>
      <c r="G137" s="9" t="str">
        <f>IF(NOT(ISBLANK($G133)),$G133,"")</f>
        <v/>
      </c>
      <c r="H137" s="13" t="str">
        <f>IF(ISBLANK(F137),"NO QUOTE", IF(F137=0,"NO QUOTE",IF(NOT(ISBLANK(F137)),F137/G137, "")))</f>
        <v>NO QUOTE</v>
      </c>
    </row>
    <row r="138" spans="1:8" s="6" customFormat="1" ht="32.25" thickBot="1" x14ac:dyDescent="0.3">
      <c r="B138" s="95"/>
      <c r="C138" s="61" t="str">
        <f>C$26</f>
        <v>264OABMG1NFAS1M</v>
      </c>
      <c r="D138" s="45" t="str">
        <f>D$26</f>
        <v>Non-Formulary
After-Step Therapy</v>
      </c>
      <c r="E138" s="45" t="str">
        <f>E$26</f>
        <v>1 or more</v>
      </c>
      <c r="F138" s="10"/>
      <c r="G138" s="14" t="str">
        <f>IF(NOT(ISBLANK($G133)),$G133,"")</f>
        <v/>
      </c>
      <c r="H138" s="15" t="str">
        <f>IF(ISBLANK(F138),"NO QUOTE", IF(F138=0,"NO QUOTE",IF(NOT(ISBLANK(F138)),F138/G138, "")))</f>
        <v>NO QUOTE</v>
      </c>
    </row>
    <row r="139" spans="1:8" s="6" customFormat="1" ht="16.5" customHeight="1" thickBot="1" x14ac:dyDescent="0.3">
      <c r="A139" s="1"/>
      <c r="B139" s="90" t="str">
        <f>$B$27</f>
        <v>Scenario 2: One or more BRAF-inhibitor and MEK-inhibitor Combination UF.</v>
      </c>
      <c r="C139" s="91"/>
      <c r="D139" s="91"/>
      <c r="E139" s="91"/>
      <c r="F139" s="91"/>
      <c r="G139" s="91"/>
      <c r="H139" s="92"/>
    </row>
    <row r="140" spans="1:8" x14ac:dyDescent="0.25">
      <c r="A140" s="6"/>
      <c r="B140" s="93" t="s">
        <v>13</v>
      </c>
      <c r="C140" s="60" t="str">
        <f>C$28</f>
        <v>264OABMG1UF1M</v>
      </c>
      <c r="D140" s="44" t="str">
        <f>D$28</f>
        <v>Uniform Formulary</v>
      </c>
      <c r="E140" s="44" t="str">
        <f>E$28</f>
        <v>1 or more</v>
      </c>
      <c r="F140" s="7"/>
      <c r="G140" s="11" t="str">
        <f>IF(NOT(ISBLANK($G133)),$G133,"")</f>
        <v/>
      </c>
      <c r="H140" s="12" t="str">
        <f>IF(ISBLANK(F140),"NO QUOTE", IF(F140=0,"NO QUOTE",IF(NOT(ISBLANK(F140)),F140/G140, "")))</f>
        <v>NO QUOTE</v>
      </c>
    </row>
    <row r="141" spans="1:8" ht="16.5" thickBot="1" x14ac:dyDescent="0.3">
      <c r="A141" s="6"/>
      <c r="B141" s="95"/>
      <c r="C141" s="61" t="str">
        <f>C$29</f>
        <v>264OABMG1NF1M</v>
      </c>
      <c r="D141" s="45" t="str">
        <f>D$29</f>
        <v>Non-Formulary</v>
      </c>
      <c r="E141" s="45" t="str">
        <f>E$29</f>
        <v>1 or more</v>
      </c>
      <c r="F141" s="10"/>
      <c r="G141" s="27" t="str">
        <f>IF(NOT(ISBLANK($G133)),$G133,"")</f>
        <v/>
      </c>
      <c r="H141" s="15" t="str">
        <f>IF(ISBLANK(F141),"NO QUOTE", IF(F141=0,"NO QUOTE",IF(NOT(ISBLANK(F141)),F141/G141, "")))</f>
        <v>NO QUOTE</v>
      </c>
    </row>
    <row r="142" spans="1:8" ht="16.5" customHeight="1" thickBot="1" x14ac:dyDescent="0.3">
      <c r="C142" s="56"/>
      <c r="D142" s="56"/>
      <c r="E142" s="56"/>
      <c r="F142" s="96" t="s">
        <v>29</v>
      </c>
      <c r="G142" s="97"/>
      <c r="H142" s="98"/>
    </row>
    <row r="143" spans="1:8" ht="16.5" thickBot="1" x14ac:dyDescent="0.3"/>
    <row r="144" spans="1:8" x14ac:dyDescent="0.25">
      <c r="B144" s="99" t="str">
        <f>$B$16</f>
        <v>Blanket Purchase Agreement Appendix  – Class Review</v>
      </c>
      <c r="C144" s="100"/>
      <c r="D144" s="100"/>
      <c r="E144" s="100"/>
      <c r="F144" s="100"/>
      <c r="G144" s="100"/>
      <c r="H144" s="101"/>
    </row>
    <row r="145" spans="1:8" ht="16.5" thickBot="1" x14ac:dyDescent="0.3">
      <c r="B145" s="102"/>
      <c r="C145" s="103"/>
      <c r="D145" s="103"/>
      <c r="E145" s="103"/>
      <c r="F145" s="103"/>
      <c r="G145" s="103"/>
      <c r="H145" s="104"/>
    </row>
    <row r="146" spans="1:8" ht="16.149999999999999" customHeight="1" x14ac:dyDescent="0.25">
      <c r="B146" s="105" t="s">
        <v>27</v>
      </c>
      <c r="C146" s="57" t="s">
        <v>38</v>
      </c>
      <c r="D146" s="107" t="str">
        <f>$D$3</f>
        <v>ONCOLOGICAL AGENTS</v>
      </c>
      <c r="E146" s="107"/>
      <c r="F146" s="22" t="s">
        <v>7</v>
      </c>
      <c r="G146" s="108" t="str">
        <f>$G$3</f>
        <v>Aug 5-6, 2026</v>
      </c>
      <c r="H146" s="109"/>
    </row>
    <row r="147" spans="1:8" ht="16.149999999999999" customHeight="1" x14ac:dyDescent="0.25">
      <c r="B147" s="106"/>
      <c r="C147" s="58" t="s">
        <v>39</v>
      </c>
      <c r="D147" s="110" t="str">
        <f>$D$4</f>
        <v>BRAF-MEK INHIBITORS</v>
      </c>
      <c r="E147" s="110"/>
      <c r="F147" s="18" t="s">
        <v>30</v>
      </c>
      <c r="G147" s="87">
        <f>$G$4</f>
        <v>46202</v>
      </c>
      <c r="H147" s="88"/>
    </row>
    <row r="148" spans="1:8" ht="16.5" customHeight="1" x14ac:dyDescent="0.25">
      <c r="B148" s="106"/>
      <c r="C148" s="59" t="s">
        <v>0</v>
      </c>
      <c r="D148" s="52" t="s">
        <v>1</v>
      </c>
      <c r="E148" s="52" t="s">
        <v>2</v>
      </c>
      <c r="F148" s="19" t="s">
        <v>3</v>
      </c>
      <c r="G148" s="19" t="s">
        <v>4</v>
      </c>
      <c r="H148" s="89" t="s">
        <v>32</v>
      </c>
    </row>
    <row r="149" spans="1:8" x14ac:dyDescent="0.25">
      <c r="B149" s="106"/>
      <c r="C149" s="53"/>
      <c r="D149" s="53"/>
      <c r="E149" s="53"/>
      <c r="F149" s="20"/>
      <c r="G149" s="21"/>
      <c r="H149" s="89"/>
    </row>
    <row r="150" spans="1:8" s="6" customFormat="1" ht="32.25" thickBot="1" x14ac:dyDescent="0.3">
      <c r="A150" s="1"/>
      <c r="B150" s="23" t="s">
        <v>9</v>
      </c>
      <c r="C150" s="24" t="s">
        <v>18</v>
      </c>
      <c r="D150" s="24" t="s">
        <v>10</v>
      </c>
      <c r="E150" s="24" t="s">
        <v>36</v>
      </c>
      <c r="F150" s="25" t="s">
        <v>11</v>
      </c>
      <c r="G150" s="24" t="s">
        <v>4</v>
      </c>
      <c r="H150" s="26" t="s">
        <v>37</v>
      </c>
    </row>
    <row r="151" spans="1:8" s="6" customFormat="1" ht="16.5" customHeight="1" thickBot="1" x14ac:dyDescent="0.3">
      <c r="A151" s="1"/>
      <c r="B151" s="90" t="str">
        <f>$B$23</f>
        <v>Scenario 1: One BRAF-inhibitor and MEK-inhibitor Combination UF and before the step.</v>
      </c>
      <c r="C151" s="91"/>
      <c r="D151" s="91"/>
      <c r="E151" s="91"/>
      <c r="F151" s="91"/>
      <c r="G151" s="91"/>
      <c r="H151" s="92"/>
    </row>
    <row r="152" spans="1:8" s="6" customFormat="1" ht="31.5" x14ac:dyDescent="0.25">
      <c r="B152" s="93" t="s">
        <v>12</v>
      </c>
      <c r="C152" s="60" t="str">
        <f>C$24</f>
        <v>264OABMG1UFBS1</v>
      </c>
      <c r="D152" s="44" t="str">
        <f>D$24</f>
        <v>Uniform Formulary 
Before-Step Therapy</v>
      </c>
      <c r="E152" s="44">
        <f>E$24</f>
        <v>1</v>
      </c>
      <c r="F152" s="7"/>
      <c r="G152" s="11" t="str">
        <f>IF(NOT(ISBLANK($G149)),$G149,"")</f>
        <v/>
      </c>
      <c r="H152" s="12" t="str">
        <f>IF(ISBLANK(F152),"NO QUOTE", IF(F152=0,"NO QUOTE",IF(NOT(ISBLANK(F152)),F152/G152, "")))</f>
        <v>NO QUOTE</v>
      </c>
    </row>
    <row r="153" spans="1:8" s="6" customFormat="1" ht="31.5" x14ac:dyDescent="0.25">
      <c r="B153" s="94"/>
      <c r="C153" s="62" t="str">
        <f>C$25</f>
        <v>264OABMG1UFAS1M</v>
      </c>
      <c r="D153" s="54" t="str">
        <f>D$25</f>
        <v>Uniform Formulary
After-Step Therapy</v>
      </c>
      <c r="E153" s="54" t="str">
        <f>E$25</f>
        <v>1 or more</v>
      </c>
      <c r="F153" s="8"/>
      <c r="G153" s="9" t="str">
        <f>IF(NOT(ISBLANK($G149)),$G149,"")</f>
        <v/>
      </c>
      <c r="H153" s="13" t="str">
        <f>IF(ISBLANK(F153),"NO QUOTE", IF(F153=0,"NO QUOTE",IF(NOT(ISBLANK(F153)),F153/G153, "")))</f>
        <v>NO QUOTE</v>
      </c>
    </row>
    <row r="154" spans="1:8" s="6" customFormat="1" ht="32.25" thickBot="1" x14ac:dyDescent="0.3">
      <c r="B154" s="95"/>
      <c r="C154" s="61" t="str">
        <f>C$26</f>
        <v>264OABMG1NFAS1M</v>
      </c>
      <c r="D154" s="45" t="str">
        <f>D$26</f>
        <v>Non-Formulary
After-Step Therapy</v>
      </c>
      <c r="E154" s="45" t="str">
        <f>E$26</f>
        <v>1 or more</v>
      </c>
      <c r="F154" s="10"/>
      <c r="G154" s="14" t="str">
        <f>IF(NOT(ISBLANK($G149)),$G149,"")</f>
        <v/>
      </c>
      <c r="H154" s="15" t="str">
        <f>IF(ISBLANK(F154),"NO QUOTE", IF(F154=0,"NO QUOTE",IF(NOT(ISBLANK(F154)),F154/G154, "")))</f>
        <v>NO QUOTE</v>
      </c>
    </row>
    <row r="155" spans="1:8" s="6" customFormat="1" ht="16.5" customHeight="1" thickBot="1" x14ac:dyDescent="0.3">
      <c r="A155" s="1"/>
      <c r="B155" s="90" t="str">
        <f>$B$27</f>
        <v>Scenario 2: One or more BRAF-inhibitor and MEK-inhibitor Combination UF.</v>
      </c>
      <c r="C155" s="91"/>
      <c r="D155" s="91"/>
      <c r="E155" s="91"/>
      <c r="F155" s="91"/>
      <c r="G155" s="91"/>
      <c r="H155" s="92"/>
    </row>
    <row r="156" spans="1:8" x14ac:dyDescent="0.25">
      <c r="A156" s="6"/>
      <c r="B156" s="93" t="s">
        <v>13</v>
      </c>
      <c r="C156" s="60" t="str">
        <f>C$28</f>
        <v>264OABMG1UF1M</v>
      </c>
      <c r="D156" s="44" t="str">
        <f>D$28</f>
        <v>Uniform Formulary</v>
      </c>
      <c r="E156" s="44" t="str">
        <f>E$28</f>
        <v>1 or more</v>
      </c>
      <c r="F156" s="7"/>
      <c r="G156" s="11" t="str">
        <f>IF(NOT(ISBLANK($G149)),$G149,"")</f>
        <v/>
      </c>
      <c r="H156" s="12" t="str">
        <f>IF(ISBLANK(F156),"NO QUOTE", IF(F156=0,"NO QUOTE",IF(NOT(ISBLANK(F156)),F156/G156, "")))</f>
        <v>NO QUOTE</v>
      </c>
    </row>
    <row r="157" spans="1:8" ht="16.5" thickBot="1" x14ac:dyDescent="0.3">
      <c r="A157" s="6"/>
      <c r="B157" s="95"/>
      <c r="C157" s="61" t="str">
        <f>C$29</f>
        <v>264OABMG1NF1M</v>
      </c>
      <c r="D157" s="45" t="str">
        <f>D$29</f>
        <v>Non-Formulary</v>
      </c>
      <c r="E157" s="45" t="str">
        <f>E$29</f>
        <v>1 or more</v>
      </c>
      <c r="F157" s="10"/>
      <c r="G157" s="27" t="str">
        <f>IF(NOT(ISBLANK($G149)),$G149,"")</f>
        <v/>
      </c>
      <c r="H157" s="15" t="str">
        <f>IF(ISBLANK(F157),"NO QUOTE", IF(F157=0,"NO QUOTE",IF(NOT(ISBLANK(F157)),F157/G157, "")))</f>
        <v>NO QUOTE</v>
      </c>
    </row>
    <row r="158" spans="1:8" ht="16.5" customHeight="1" thickBot="1" x14ac:dyDescent="0.3">
      <c r="C158" s="56"/>
      <c r="D158" s="56"/>
      <c r="E158" s="56"/>
      <c r="F158" s="96" t="s">
        <v>29</v>
      </c>
      <c r="G158" s="97"/>
      <c r="H158" s="98"/>
    </row>
    <row r="159" spans="1:8" ht="16.5" thickBot="1" x14ac:dyDescent="0.3"/>
    <row r="160" spans="1:8" x14ac:dyDescent="0.25">
      <c r="B160" s="99" t="str">
        <f>$B$16</f>
        <v>Blanket Purchase Agreement Appendix  – Class Review</v>
      </c>
      <c r="C160" s="100"/>
      <c r="D160" s="100"/>
      <c r="E160" s="100"/>
      <c r="F160" s="100"/>
      <c r="G160" s="100"/>
      <c r="H160" s="101"/>
    </row>
    <row r="161" spans="1:8" ht="16.5" thickBot="1" x14ac:dyDescent="0.3">
      <c r="B161" s="102"/>
      <c r="C161" s="103"/>
      <c r="D161" s="103"/>
      <c r="E161" s="103"/>
      <c r="F161" s="103"/>
      <c r="G161" s="103"/>
      <c r="H161" s="104"/>
    </row>
    <row r="162" spans="1:8" x14ac:dyDescent="0.25">
      <c r="B162" s="105" t="s">
        <v>28</v>
      </c>
      <c r="C162" s="57" t="s">
        <v>38</v>
      </c>
      <c r="D162" s="107" t="str">
        <f>$D$3</f>
        <v>ONCOLOGICAL AGENTS</v>
      </c>
      <c r="E162" s="107"/>
      <c r="F162" s="22" t="s">
        <v>7</v>
      </c>
      <c r="G162" s="108" t="str">
        <f>$G$3</f>
        <v>Aug 5-6, 2026</v>
      </c>
      <c r="H162" s="109"/>
    </row>
    <row r="163" spans="1:8" ht="16.5" customHeight="1" x14ac:dyDescent="0.25">
      <c r="B163" s="106"/>
      <c r="C163" s="58" t="s">
        <v>39</v>
      </c>
      <c r="D163" s="110" t="str">
        <f>$D$4</f>
        <v>BRAF-MEK INHIBITORS</v>
      </c>
      <c r="E163" s="110"/>
      <c r="F163" s="18" t="s">
        <v>30</v>
      </c>
      <c r="G163" s="87">
        <f>$G$4</f>
        <v>46202</v>
      </c>
      <c r="H163" s="88"/>
    </row>
    <row r="164" spans="1:8" ht="16.5" customHeight="1" x14ac:dyDescent="0.25">
      <c r="B164" s="106"/>
      <c r="C164" s="59" t="s">
        <v>0</v>
      </c>
      <c r="D164" s="52" t="s">
        <v>1</v>
      </c>
      <c r="E164" s="52" t="s">
        <v>2</v>
      </c>
      <c r="F164" s="19" t="s">
        <v>3</v>
      </c>
      <c r="G164" s="19" t="s">
        <v>4</v>
      </c>
      <c r="H164" s="89" t="s">
        <v>32</v>
      </c>
    </row>
    <row r="165" spans="1:8" x14ac:dyDescent="0.25">
      <c r="B165" s="106"/>
      <c r="C165" s="53"/>
      <c r="D165" s="53"/>
      <c r="E165" s="53"/>
      <c r="F165" s="20"/>
      <c r="G165" s="21"/>
      <c r="H165" s="89"/>
    </row>
    <row r="166" spans="1:8" ht="32.25" thickBot="1" x14ac:dyDescent="0.3">
      <c r="B166" s="23" t="s">
        <v>9</v>
      </c>
      <c r="C166" s="24" t="s">
        <v>18</v>
      </c>
      <c r="D166" s="24" t="s">
        <v>10</v>
      </c>
      <c r="E166" s="24" t="s">
        <v>36</v>
      </c>
      <c r="F166" s="25" t="s">
        <v>11</v>
      </c>
      <c r="G166" s="24" t="s">
        <v>4</v>
      </c>
      <c r="H166" s="26" t="s">
        <v>37</v>
      </c>
    </row>
    <row r="167" spans="1:8" s="6" customFormat="1" ht="16.5" customHeight="1" thickBot="1" x14ac:dyDescent="0.3">
      <c r="A167" s="1"/>
      <c r="B167" s="90" t="str">
        <f>$B$23</f>
        <v>Scenario 1: One BRAF-inhibitor and MEK-inhibitor Combination UF and before the step.</v>
      </c>
      <c r="C167" s="91"/>
      <c r="D167" s="91"/>
      <c r="E167" s="91"/>
      <c r="F167" s="91"/>
      <c r="G167" s="91"/>
      <c r="H167" s="92"/>
    </row>
    <row r="168" spans="1:8" s="6" customFormat="1" ht="31.5" x14ac:dyDescent="0.25">
      <c r="B168" s="93" t="s">
        <v>12</v>
      </c>
      <c r="C168" s="60" t="str">
        <f>C$24</f>
        <v>264OABMG1UFBS1</v>
      </c>
      <c r="D168" s="44" t="str">
        <f>D$24</f>
        <v>Uniform Formulary 
Before-Step Therapy</v>
      </c>
      <c r="E168" s="44">
        <f>E$24</f>
        <v>1</v>
      </c>
      <c r="F168" s="7"/>
      <c r="G168" s="11" t="str">
        <f>IF(NOT(ISBLANK($G165)),$G165,"")</f>
        <v/>
      </c>
      <c r="H168" s="12" t="str">
        <f>IF(ISBLANK(F168),"NO QUOTE", IF(F168=0,"NO QUOTE",IF(NOT(ISBLANK(F168)),F168/G168, "")))</f>
        <v>NO QUOTE</v>
      </c>
    </row>
    <row r="169" spans="1:8" s="6" customFormat="1" ht="31.5" x14ac:dyDescent="0.25">
      <c r="B169" s="94"/>
      <c r="C169" s="62" t="str">
        <f>C$25</f>
        <v>264OABMG1UFAS1M</v>
      </c>
      <c r="D169" s="54" t="str">
        <f>D$25</f>
        <v>Uniform Formulary
After-Step Therapy</v>
      </c>
      <c r="E169" s="54" t="str">
        <f>E$25</f>
        <v>1 or more</v>
      </c>
      <c r="F169" s="8"/>
      <c r="G169" s="9" t="str">
        <f>IF(NOT(ISBLANK($G165)),$G165,"")</f>
        <v/>
      </c>
      <c r="H169" s="13" t="str">
        <f>IF(ISBLANK(F169),"NO QUOTE", IF(F169=0,"NO QUOTE",IF(NOT(ISBLANK(F169)),F169/G169, "")))</f>
        <v>NO QUOTE</v>
      </c>
    </row>
    <row r="170" spans="1:8" s="6" customFormat="1" ht="32.25" thickBot="1" x14ac:dyDescent="0.3">
      <c r="B170" s="95"/>
      <c r="C170" s="61" t="str">
        <f>C$26</f>
        <v>264OABMG1NFAS1M</v>
      </c>
      <c r="D170" s="45" t="str">
        <f>D$26</f>
        <v>Non-Formulary
After-Step Therapy</v>
      </c>
      <c r="E170" s="45" t="str">
        <f>E$26</f>
        <v>1 or more</v>
      </c>
      <c r="F170" s="10"/>
      <c r="G170" s="14" t="str">
        <f>IF(NOT(ISBLANK($G165)),$G165,"")</f>
        <v/>
      </c>
      <c r="H170" s="15" t="str">
        <f>IF(ISBLANK(F170),"NO QUOTE", IF(F170=0,"NO QUOTE",IF(NOT(ISBLANK(F170)),F170/G170, "")))</f>
        <v>NO QUOTE</v>
      </c>
    </row>
    <row r="171" spans="1:8" s="6" customFormat="1" ht="16.5" customHeight="1" thickBot="1" x14ac:dyDescent="0.3">
      <c r="A171" s="1"/>
      <c r="B171" s="90" t="str">
        <f>$B$27</f>
        <v>Scenario 2: One or more BRAF-inhibitor and MEK-inhibitor Combination UF.</v>
      </c>
      <c r="C171" s="91"/>
      <c r="D171" s="91"/>
      <c r="E171" s="91"/>
      <c r="F171" s="91"/>
      <c r="G171" s="91"/>
      <c r="H171" s="92"/>
    </row>
    <row r="172" spans="1:8" x14ac:dyDescent="0.25">
      <c r="A172" s="6"/>
      <c r="B172" s="93" t="s">
        <v>13</v>
      </c>
      <c r="C172" s="60" t="str">
        <f>C$28</f>
        <v>264OABMG1UF1M</v>
      </c>
      <c r="D172" s="44" t="str">
        <f>D$28</f>
        <v>Uniform Formulary</v>
      </c>
      <c r="E172" s="44" t="str">
        <f>E$28</f>
        <v>1 or more</v>
      </c>
      <c r="F172" s="7"/>
      <c r="G172" s="11" t="str">
        <f>IF(NOT(ISBLANK($G165)),$G165,"")</f>
        <v/>
      </c>
      <c r="H172" s="12" t="str">
        <f>IF(ISBLANK(F172),"NO QUOTE", IF(F172=0,"NO QUOTE",IF(NOT(ISBLANK(F172)),F172/G172, "")))</f>
        <v>NO QUOTE</v>
      </c>
    </row>
    <row r="173" spans="1:8" ht="16.5" thickBot="1" x14ac:dyDescent="0.3">
      <c r="A173" s="6"/>
      <c r="B173" s="95"/>
      <c r="C173" s="61" t="str">
        <f>C$29</f>
        <v>264OABMG1NF1M</v>
      </c>
      <c r="D173" s="45" t="str">
        <f>D$29</f>
        <v>Non-Formulary</v>
      </c>
      <c r="E173" s="45" t="str">
        <f>E$29</f>
        <v>1 or more</v>
      </c>
      <c r="F173" s="10"/>
      <c r="G173" s="27" t="str">
        <f>IF(NOT(ISBLANK($G165)),$G165,"")</f>
        <v/>
      </c>
      <c r="H173" s="15" t="str">
        <f>IF(ISBLANK(F173),"NO QUOTE", IF(F173=0,"NO QUOTE",IF(NOT(ISBLANK(F173)),F173/G173, "")))</f>
        <v>NO QUOTE</v>
      </c>
    </row>
    <row r="174" spans="1:8" ht="16.5" customHeight="1" thickBot="1" x14ac:dyDescent="0.3">
      <c r="C174" s="56"/>
      <c r="D174" s="56"/>
      <c r="E174" s="56"/>
      <c r="F174" s="96" t="s">
        <v>29</v>
      </c>
      <c r="G174" s="97"/>
      <c r="H174" s="98"/>
    </row>
  </sheetData>
  <sheetProtection algorithmName="SHA-512" hashValue="7hHqsSnzDER+g/lq/NILPR25t5wFsx08e5y7tw1J9QqIOdliRoEbbdhVBYSfkxGHGQVvToeh6B4JvOnMx+tUHA==" saltValue="sXc9nLJ2cfkmM2r9gEz8gA==" spinCount="100000" sheet="1" objects="1" scenarios="1"/>
  <mergeCells count="130">
    <mergeCell ref="B152:B154"/>
    <mergeCell ref="B14:H14"/>
    <mergeCell ref="D3:E3"/>
    <mergeCell ref="D4:E4"/>
    <mergeCell ref="D18:E18"/>
    <mergeCell ref="D19:E19"/>
    <mergeCell ref="B2:H2"/>
    <mergeCell ref="B5:H5"/>
    <mergeCell ref="B3:C3"/>
    <mergeCell ref="B4:C4"/>
    <mergeCell ref="G3:H3"/>
    <mergeCell ref="G4:H4"/>
    <mergeCell ref="B18:B21"/>
    <mergeCell ref="G19:H19"/>
    <mergeCell ref="H20:H21"/>
    <mergeCell ref="G18:H18"/>
    <mergeCell ref="B6:H13"/>
    <mergeCell ref="B16:H17"/>
    <mergeCell ref="B76:B77"/>
    <mergeCell ref="F78:H78"/>
    <mergeCell ref="B80:H81"/>
    <mergeCell ref="F62:H62"/>
    <mergeCell ref="B64:H65"/>
    <mergeCell ref="D146:E146"/>
    <mergeCell ref="B120:B122"/>
    <mergeCell ref="B123:H123"/>
    <mergeCell ref="B124:B125"/>
    <mergeCell ref="F126:H126"/>
    <mergeCell ref="B128:H129"/>
    <mergeCell ref="B103:H103"/>
    <mergeCell ref="B104:B106"/>
    <mergeCell ref="B107:H107"/>
    <mergeCell ref="B108:B109"/>
    <mergeCell ref="F110:H110"/>
    <mergeCell ref="B112:H113"/>
    <mergeCell ref="D66:E66"/>
    <mergeCell ref="G66:H66"/>
    <mergeCell ref="D67:E67"/>
    <mergeCell ref="G67:H67"/>
    <mergeCell ref="H68:H69"/>
    <mergeCell ref="B71:H71"/>
    <mergeCell ref="B72:B74"/>
    <mergeCell ref="B75:H75"/>
    <mergeCell ref="B119:H119"/>
    <mergeCell ref="B55:H55"/>
    <mergeCell ref="B56:B58"/>
    <mergeCell ref="B59:H59"/>
    <mergeCell ref="B60:B61"/>
    <mergeCell ref="B146:B149"/>
    <mergeCell ref="D147:E147"/>
    <mergeCell ref="G147:H147"/>
    <mergeCell ref="H148:H149"/>
    <mergeCell ref="B114:B117"/>
    <mergeCell ref="D114:E114"/>
    <mergeCell ref="G114:H114"/>
    <mergeCell ref="D115:E115"/>
    <mergeCell ref="G115:H115"/>
    <mergeCell ref="H116:H117"/>
    <mergeCell ref="B82:B85"/>
    <mergeCell ref="D82:E82"/>
    <mergeCell ref="G82:H82"/>
    <mergeCell ref="D83:E83"/>
    <mergeCell ref="G83:H83"/>
    <mergeCell ref="H84:H85"/>
    <mergeCell ref="B87:H87"/>
    <mergeCell ref="B88:B90"/>
    <mergeCell ref="B91:H91"/>
    <mergeCell ref="B66:B69"/>
    <mergeCell ref="B151:H151"/>
    <mergeCell ref="B130:B133"/>
    <mergeCell ref="D130:E130"/>
    <mergeCell ref="G130:H130"/>
    <mergeCell ref="H132:H133"/>
    <mergeCell ref="B135:H135"/>
    <mergeCell ref="B144:H145"/>
    <mergeCell ref="B136:B138"/>
    <mergeCell ref="B139:H139"/>
    <mergeCell ref="B140:B141"/>
    <mergeCell ref="F142:H142"/>
    <mergeCell ref="G146:H146"/>
    <mergeCell ref="D131:E131"/>
    <mergeCell ref="G131:H131"/>
    <mergeCell ref="B23:H23"/>
    <mergeCell ref="B27:H27"/>
    <mergeCell ref="B39:H39"/>
    <mergeCell ref="B40:B42"/>
    <mergeCell ref="B43:H43"/>
    <mergeCell ref="B44:B45"/>
    <mergeCell ref="F46:H46"/>
    <mergeCell ref="B48:H49"/>
    <mergeCell ref="B50:B53"/>
    <mergeCell ref="D50:E50"/>
    <mergeCell ref="G50:H50"/>
    <mergeCell ref="D51:E51"/>
    <mergeCell ref="G51:H51"/>
    <mergeCell ref="H52:H53"/>
    <mergeCell ref="F30:H30"/>
    <mergeCell ref="B34:B37"/>
    <mergeCell ref="D34:E34"/>
    <mergeCell ref="G34:H34"/>
    <mergeCell ref="D35:E35"/>
    <mergeCell ref="G35:H35"/>
    <mergeCell ref="H36:H37"/>
    <mergeCell ref="B24:B26"/>
    <mergeCell ref="B28:B29"/>
    <mergeCell ref="B32:H33"/>
    <mergeCell ref="G163:H163"/>
    <mergeCell ref="H164:H165"/>
    <mergeCell ref="B167:H167"/>
    <mergeCell ref="B168:B170"/>
    <mergeCell ref="B171:H171"/>
    <mergeCell ref="B172:B173"/>
    <mergeCell ref="F174:H174"/>
    <mergeCell ref="B92:B93"/>
    <mergeCell ref="F94:H94"/>
    <mergeCell ref="B96:H97"/>
    <mergeCell ref="B98:B101"/>
    <mergeCell ref="D98:E98"/>
    <mergeCell ref="G98:H98"/>
    <mergeCell ref="D99:E99"/>
    <mergeCell ref="G99:H99"/>
    <mergeCell ref="H100:H101"/>
    <mergeCell ref="B155:H155"/>
    <mergeCell ref="B156:B157"/>
    <mergeCell ref="F158:H158"/>
    <mergeCell ref="B160:H161"/>
    <mergeCell ref="B162:B165"/>
    <mergeCell ref="D162:E162"/>
    <mergeCell ref="G162:H162"/>
    <mergeCell ref="D163:E163"/>
  </mergeCells>
  <conditionalFormatting sqref="B3:B4">
    <cfRule type="expression" dxfId="190" priority="858">
      <formula>ISBLANK(D3)</formula>
    </cfRule>
  </conditionalFormatting>
  <conditionalFormatting sqref="C3:C4">
    <cfRule type="expression" dxfId="189" priority="1074">
      <formula>ISBLANK(F3)</formula>
    </cfRule>
  </conditionalFormatting>
  <conditionalFormatting sqref="C18:C19 F18:F19">
    <cfRule type="expression" dxfId="188" priority="805">
      <formula>ISBLANK(D18)</formula>
    </cfRule>
  </conditionalFormatting>
  <conditionalFormatting sqref="C22">
    <cfRule type="expression" dxfId="187" priority="1069">
      <formula>OR(ISBLANK(C24),ISBLANK(C29))</formula>
    </cfRule>
  </conditionalFormatting>
  <conditionalFormatting sqref="C34:C35 F34:F35">
    <cfRule type="expression" dxfId="186" priority="224">
      <formula>ISBLANK(D34)</formula>
    </cfRule>
  </conditionalFormatting>
  <conditionalFormatting sqref="C38">
    <cfRule type="expression" dxfId="185" priority="225">
      <formula>OR(ISBLANK(C40),ISBLANK(C45))</formula>
    </cfRule>
  </conditionalFormatting>
  <conditionalFormatting sqref="C50:C51 F50:F51">
    <cfRule type="expression" dxfId="184" priority="214">
      <formula>ISBLANK(D50)</formula>
    </cfRule>
  </conditionalFormatting>
  <conditionalFormatting sqref="C54">
    <cfRule type="expression" dxfId="183" priority="215">
      <formula>OR(ISBLANK(C56),ISBLANK(C61))</formula>
    </cfRule>
  </conditionalFormatting>
  <conditionalFormatting sqref="C66:C67 F66:F67">
    <cfRule type="expression" dxfId="182" priority="204">
      <formula>ISBLANK(D66)</formula>
    </cfRule>
  </conditionalFormatting>
  <conditionalFormatting sqref="C70">
    <cfRule type="expression" dxfId="181" priority="205">
      <formula>OR(ISBLANK(C72),ISBLANK(C77))</formula>
    </cfRule>
  </conditionalFormatting>
  <conditionalFormatting sqref="C82:C83 F82:F83">
    <cfRule type="expression" dxfId="180" priority="194">
      <formula>ISBLANK(D82)</formula>
    </cfRule>
  </conditionalFormatting>
  <conditionalFormatting sqref="C86">
    <cfRule type="expression" dxfId="179" priority="195">
      <formula>OR(ISBLANK(C88),ISBLANK(C93))</formula>
    </cfRule>
  </conditionalFormatting>
  <conditionalFormatting sqref="C98:C99 F98:F99">
    <cfRule type="expression" dxfId="178" priority="184">
      <formula>ISBLANK(D98)</formula>
    </cfRule>
  </conditionalFormatting>
  <conditionalFormatting sqref="C102">
    <cfRule type="expression" dxfId="177" priority="185">
      <formula>OR(ISBLANK(C104),ISBLANK(C109))</formula>
    </cfRule>
  </conditionalFormatting>
  <conditionalFormatting sqref="C114:C115 F114:F115">
    <cfRule type="expression" dxfId="176" priority="174">
      <formula>ISBLANK(D114)</formula>
    </cfRule>
  </conditionalFormatting>
  <conditionalFormatting sqref="C118">
    <cfRule type="expression" dxfId="175" priority="175">
      <formula>OR(ISBLANK(C120),ISBLANK(C125))</formula>
    </cfRule>
  </conditionalFormatting>
  <conditionalFormatting sqref="C130:C131 F130:F131">
    <cfRule type="expression" dxfId="174" priority="164">
      <formula>ISBLANK(D130)</formula>
    </cfRule>
  </conditionalFormatting>
  <conditionalFormatting sqref="C134">
    <cfRule type="expression" dxfId="173" priority="165">
      <formula>OR(ISBLANK(C136),ISBLANK(C141))</formula>
    </cfRule>
  </conditionalFormatting>
  <conditionalFormatting sqref="C146:C147 F146:F147">
    <cfRule type="expression" dxfId="172" priority="154">
      <formula>ISBLANK(D146)</formula>
    </cfRule>
  </conditionalFormatting>
  <conditionalFormatting sqref="C150">
    <cfRule type="expression" dxfId="171" priority="155">
      <formula>OR(ISBLANK(C152),ISBLANK(C157))</formula>
    </cfRule>
  </conditionalFormatting>
  <conditionalFormatting sqref="C162:C163 F162:F163">
    <cfRule type="expression" dxfId="170" priority="144">
      <formula>ISBLANK(D162)</formula>
    </cfRule>
  </conditionalFormatting>
  <conditionalFormatting sqref="C166">
    <cfRule type="expression" dxfId="169" priority="145">
      <formula>OR(ISBLANK(C168),ISBLANK(C173))</formula>
    </cfRule>
  </conditionalFormatting>
  <conditionalFormatting sqref="C21:G21">
    <cfRule type="expression" dxfId="168" priority="444">
      <formula>ISBLANK(C21)</formula>
    </cfRule>
  </conditionalFormatting>
  <conditionalFormatting sqref="C37:G37">
    <cfRule type="expression" dxfId="167" priority="221">
      <formula>ISBLANK(C37)</formula>
    </cfRule>
  </conditionalFormatting>
  <conditionalFormatting sqref="C53:G53">
    <cfRule type="expression" dxfId="166" priority="211">
      <formula>ISBLANK(C53)</formula>
    </cfRule>
  </conditionalFormatting>
  <conditionalFormatting sqref="C69:G69">
    <cfRule type="expression" dxfId="165" priority="201">
      <formula>ISBLANK(C69)</formula>
    </cfRule>
  </conditionalFormatting>
  <conditionalFormatting sqref="C85:G85">
    <cfRule type="expression" dxfId="164" priority="191">
      <formula>ISBLANK(C85)</formula>
    </cfRule>
  </conditionalFormatting>
  <conditionalFormatting sqref="C101:G101">
    <cfRule type="expression" dxfId="163" priority="181">
      <formula>ISBLANK(C101)</formula>
    </cfRule>
  </conditionalFormatting>
  <conditionalFormatting sqref="C117:G117">
    <cfRule type="expression" dxfId="162" priority="171">
      <formula>ISBLANK(C117)</formula>
    </cfRule>
  </conditionalFormatting>
  <conditionalFormatting sqref="C133:G133">
    <cfRule type="expression" dxfId="161" priority="161">
      <formula>ISBLANK(C133)</formula>
    </cfRule>
  </conditionalFormatting>
  <conditionalFormatting sqref="C149:G149">
    <cfRule type="expression" dxfId="160" priority="151">
      <formula>ISBLANK(C149)</formula>
    </cfRule>
  </conditionalFormatting>
  <conditionalFormatting sqref="C165:G165">
    <cfRule type="expression" dxfId="159" priority="141">
      <formula>ISBLANK(C165)</formula>
    </cfRule>
  </conditionalFormatting>
  <conditionalFormatting sqref="D22">
    <cfRule type="expression" dxfId="158" priority="1070">
      <formula>OR(COUNTA($D$24:$D$29)=0,COUNTA($C$24:$C$29)&gt;COUNTA(D24:D29))</formula>
    </cfRule>
  </conditionalFormatting>
  <conditionalFormatting sqref="D38">
    <cfRule type="expression" dxfId="157" priority="226">
      <formula>OR(COUNTA($D$24:$D$29)=0,COUNTA($C$24:$C$29)&gt;COUNTA(D40:D45))</formula>
    </cfRule>
  </conditionalFormatting>
  <conditionalFormatting sqref="D54">
    <cfRule type="expression" dxfId="156" priority="216">
      <formula>OR(COUNTA($D$24:$D$29)=0,COUNTA($C$24:$C$29)&gt;COUNTA(D56:D61))</formula>
    </cfRule>
  </conditionalFormatting>
  <conditionalFormatting sqref="D70">
    <cfRule type="expression" dxfId="155" priority="206">
      <formula>OR(COUNTA($D$24:$D$29)=0,COUNTA($C$24:$C$29)&gt;COUNTA(D72:D77))</formula>
    </cfRule>
  </conditionalFormatting>
  <conditionalFormatting sqref="D86">
    <cfRule type="expression" dxfId="154" priority="196">
      <formula>OR(COUNTA($D$24:$D$29)=0,COUNTA($C$24:$C$29)&gt;COUNTA(D88:D93))</formula>
    </cfRule>
  </conditionalFormatting>
  <conditionalFormatting sqref="D102">
    <cfRule type="expression" dxfId="153" priority="186">
      <formula>OR(COUNTA($D$24:$D$29)=0,COUNTA($C$24:$C$29)&gt;COUNTA(D104:D109))</formula>
    </cfRule>
  </conditionalFormatting>
  <conditionalFormatting sqref="D118">
    <cfRule type="expression" dxfId="152" priority="176">
      <formula>OR(COUNTA($D$24:$D$29)=0,COUNTA($C$24:$C$29)&gt;COUNTA(D120:D125))</formula>
    </cfRule>
  </conditionalFormatting>
  <conditionalFormatting sqref="D134">
    <cfRule type="expression" dxfId="151" priority="166">
      <formula>OR(COUNTA($D$24:$D$29)=0,COUNTA($C$24:$C$29)&gt;COUNTA(D136:D141))</formula>
    </cfRule>
  </conditionalFormatting>
  <conditionalFormatting sqref="D150">
    <cfRule type="expression" dxfId="150" priority="156">
      <formula>OR(COUNTA($D$24:$D$29)=0,COUNTA($C$24:$C$29)&gt;COUNTA(D152:D157))</formula>
    </cfRule>
  </conditionalFormatting>
  <conditionalFormatting sqref="D166">
    <cfRule type="expression" dxfId="149" priority="146">
      <formula>OR(COUNTA($D$24:$D$29)=0,COUNTA($C$24:$C$29)&gt;COUNTA(D168:D173))</formula>
    </cfRule>
  </conditionalFormatting>
  <conditionalFormatting sqref="E22">
    <cfRule type="expression" dxfId="148" priority="582">
      <formula>OR(COUNTA(C24:C29)=0,COUNTA(E24:E29)&lt;COUNTA(C24:C29))</formula>
    </cfRule>
  </conditionalFormatting>
  <conditionalFormatting sqref="E38">
    <cfRule type="expression" dxfId="147" priority="223">
      <formula>OR(COUNTA(C40:C45)=0,COUNTA(E40:E45)&lt;COUNTA(C40:C45))</formula>
    </cfRule>
  </conditionalFormatting>
  <conditionalFormatting sqref="E54">
    <cfRule type="expression" dxfId="146" priority="213">
      <formula>OR(COUNTA(C56:C61)=0,COUNTA(E56:E61)&lt;COUNTA(C56:C61))</formula>
    </cfRule>
  </conditionalFormatting>
  <conditionalFormatting sqref="E70">
    <cfRule type="expression" dxfId="145" priority="203">
      <formula>OR(COUNTA(C72:C77)=0,COUNTA(E72:E77)&lt;COUNTA(C72:C77))</formula>
    </cfRule>
  </conditionalFormatting>
  <conditionalFormatting sqref="E86">
    <cfRule type="expression" dxfId="144" priority="193">
      <formula>OR(COUNTA(C88:C93)=0,COUNTA(E88:E93)&lt;COUNTA(C88:C93))</formula>
    </cfRule>
  </conditionalFormatting>
  <conditionalFormatting sqref="E102">
    <cfRule type="expression" dxfId="143" priority="183">
      <formula>OR(COUNTA(C104:C109)=0,COUNTA(E104:E109)&lt;COUNTA(C104:C109))</formula>
    </cfRule>
  </conditionalFormatting>
  <conditionalFormatting sqref="E118">
    <cfRule type="expression" dxfId="142" priority="173">
      <formula>OR(COUNTA(C120:C125)=0,COUNTA(E120:E125)&lt;COUNTA(C120:C125))</formula>
    </cfRule>
  </conditionalFormatting>
  <conditionalFormatting sqref="E134">
    <cfRule type="expression" dxfId="141" priority="163">
      <formula>OR(COUNTA(C136:C141)=0,COUNTA(E136:E141)&lt;COUNTA(C136:C141))</formula>
    </cfRule>
  </conditionalFormatting>
  <conditionalFormatting sqref="E150">
    <cfRule type="expression" dxfId="140" priority="153">
      <formula>OR(COUNTA(C152:C157)=0,COUNTA(E152:E157)&lt;COUNTA(C152:C157))</formula>
    </cfRule>
  </conditionalFormatting>
  <conditionalFormatting sqref="E166">
    <cfRule type="expression" dxfId="139" priority="143">
      <formula>OR(COUNTA(C168:C173)=0,COUNTA(E168:E173)&lt;COUNTA(C168:C173))</formula>
    </cfRule>
  </conditionalFormatting>
  <conditionalFormatting sqref="F3:F4">
    <cfRule type="expression" dxfId="138" priority="701">
      <formula>ISBLANK(G3)</formula>
    </cfRule>
  </conditionalFormatting>
  <conditionalFormatting sqref="F24:F26 F28:F29">
    <cfRule type="expression" dxfId="137" priority="442">
      <formula>AND(NOT(ISBLANK(C24)),NOT(ISBLANK(F24)),F24=0)</formula>
    </cfRule>
    <cfRule type="expression" dxfId="136" priority="443">
      <formula>ISBLANK(F24)</formula>
    </cfRule>
  </conditionalFormatting>
  <conditionalFormatting sqref="F40:F42 F44:F45">
    <cfRule type="expression" dxfId="135" priority="220">
      <formula>ISBLANK(F40)</formula>
    </cfRule>
    <cfRule type="expression" dxfId="134" priority="219">
      <formula>AND(NOT(ISBLANK(C40)),NOT(ISBLANK(F40)),F40=0)</formula>
    </cfRule>
  </conditionalFormatting>
  <conditionalFormatting sqref="F56:F58 F60:F61">
    <cfRule type="expression" dxfId="133" priority="31">
      <formula>AND(NOT(ISBLANK(C56)),NOT(ISBLANK(F56)),F56=0)</formula>
    </cfRule>
    <cfRule type="expression" dxfId="132" priority="32">
      <formula>ISBLANK(F56)</formula>
    </cfRule>
  </conditionalFormatting>
  <conditionalFormatting sqref="F72:F74 F76:F77">
    <cfRule type="expression" dxfId="131" priority="27">
      <formula>AND(NOT(ISBLANK(C72)),NOT(ISBLANK(F72)),F72=0)</formula>
    </cfRule>
    <cfRule type="expression" dxfId="130" priority="28">
      <formula>ISBLANK(F72)</formula>
    </cfRule>
  </conditionalFormatting>
  <conditionalFormatting sqref="F88:F90 F92:F93">
    <cfRule type="expression" dxfId="129" priority="23">
      <formula>AND(NOT(ISBLANK(C88)),NOT(ISBLANK(F88)),F88=0)</formula>
    </cfRule>
    <cfRule type="expression" dxfId="128" priority="24">
      <formula>ISBLANK(F88)</formula>
    </cfRule>
  </conditionalFormatting>
  <conditionalFormatting sqref="F104:F106 F108:F109">
    <cfRule type="expression" dxfId="127" priority="20">
      <formula>ISBLANK(F104)</formula>
    </cfRule>
    <cfRule type="expression" dxfId="126" priority="19">
      <formula>AND(NOT(ISBLANK(C104)),NOT(ISBLANK(F104)),F104=0)</formula>
    </cfRule>
  </conditionalFormatting>
  <conditionalFormatting sqref="F120:F122 F124:F125">
    <cfRule type="expression" dxfId="125" priority="16">
      <formula>ISBLANK(F120)</formula>
    </cfRule>
    <cfRule type="expression" dxfId="124" priority="15">
      <formula>AND(NOT(ISBLANK(C120)),NOT(ISBLANK(F120)),F120=0)</formula>
    </cfRule>
  </conditionalFormatting>
  <conditionalFormatting sqref="F136:F138 F140:F141">
    <cfRule type="expression" dxfId="123" priority="11">
      <formula>AND(NOT(ISBLANK(C136)),NOT(ISBLANK(F136)),F136=0)</formula>
    </cfRule>
    <cfRule type="expression" dxfId="122" priority="12">
      <formula>ISBLANK(F136)</formula>
    </cfRule>
  </conditionalFormatting>
  <conditionalFormatting sqref="F152:F154 F156:F157">
    <cfRule type="expression" dxfId="121" priority="8">
      <formula>ISBLANK(F152)</formula>
    </cfRule>
    <cfRule type="expression" dxfId="120" priority="7">
      <formula>AND(NOT(ISBLANK(C152)),NOT(ISBLANK(F152)),F152=0)</formula>
    </cfRule>
  </conditionalFormatting>
  <conditionalFormatting sqref="F168:F170 F172:F173">
    <cfRule type="expression" dxfId="119" priority="4">
      <formula>ISBLANK(F168)</formula>
    </cfRule>
    <cfRule type="expression" dxfId="118" priority="3">
      <formula>AND(NOT(ISBLANK(C168)),NOT(ISBLANK(F168)),F168=0)</formula>
    </cfRule>
  </conditionalFormatting>
  <conditionalFormatting sqref="H24:H26">
    <cfRule type="cellIs" dxfId="117" priority="368" operator="equal">
      <formula>"NO QUOTE"</formula>
    </cfRule>
  </conditionalFormatting>
  <conditionalFormatting sqref="H28:H29">
    <cfRule type="cellIs" dxfId="116" priority="367" operator="equal">
      <formula>"NO QUOTE"</formula>
    </cfRule>
  </conditionalFormatting>
  <conditionalFormatting sqref="H40:H42">
    <cfRule type="cellIs" dxfId="115" priority="218" operator="equal">
      <formula>"NO QUOTE"</formula>
    </cfRule>
  </conditionalFormatting>
  <conditionalFormatting sqref="H44:H45">
    <cfRule type="cellIs" dxfId="114" priority="217" operator="equal">
      <formula>"NO QUOTE"</formula>
    </cfRule>
  </conditionalFormatting>
  <conditionalFormatting sqref="H56:H58">
    <cfRule type="cellIs" dxfId="113" priority="30" operator="equal">
      <formula>"NO QUOTE"</formula>
    </cfRule>
  </conditionalFormatting>
  <conditionalFormatting sqref="H60:H61">
    <cfRule type="cellIs" dxfId="112" priority="29" operator="equal">
      <formula>"NO QUOTE"</formula>
    </cfRule>
  </conditionalFormatting>
  <conditionalFormatting sqref="H72:H74">
    <cfRule type="cellIs" dxfId="111" priority="26" operator="equal">
      <formula>"NO QUOTE"</formula>
    </cfRule>
  </conditionalFormatting>
  <conditionalFormatting sqref="H76:H77">
    <cfRule type="cellIs" dxfId="110" priority="25" operator="equal">
      <formula>"NO QUOTE"</formula>
    </cfRule>
  </conditionalFormatting>
  <conditionalFormatting sqref="H88:H90">
    <cfRule type="cellIs" dxfId="109" priority="22" operator="equal">
      <formula>"NO QUOTE"</formula>
    </cfRule>
  </conditionalFormatting>
  <conditionalFormatting sqref="H92:H93">
    <cfRule type="cellIs" dxfId="108" priority="21" operator="equal">
      <formula>"NO QUOTE"</formula>
    </cfRule>
  </conditionalFormatting>
  <conditionalFormatting sqref="H104:H106">
    <cfRule type="cellIs" dxfId="107" priority="18" operator="equal">
      <formula>"NO QUOTE"</formula>
    </cfRule>
  </conditionalFormatting>
  <conditionalFormatting sqref="H108:H109">
    <cfRule type="cellIs" dxfId="106" priority="17" operator="equal">
      <formula>"NO QUOTE"</formula>
    </cfRule>
  </conditionalFormatting>
  <conditionalFormatting sqref="H120:H122">
    <cfRule type="cellIs" dxfId="105" priority="14" operator="equal">
      <formula>"NO QUOTE"</formula>
    </cfRule>
  </conditionalFormatting>
  <conditionalFormatting sqref="H124:H125">
    <cfRule type="cellIs" dxfId="104" priority="13" operator="equal">
      <formula>"NO QUOTE"</formula>
    </cfRule>
  </conditionalFormatting>
  <conditionalFormatting sqref="H136:H138">
    <cfRule type="cellIs" dxfId="103" priority="10" operator="equal">
      <formula>"NO QUOTE"</formula>
    </cfRule>
  </conditionalFormatting>
  <conditionalFormatting sqref="H140:H141">
    <cfRule type="cellIs" dxfId="102" priority="9" operator="equal">
      <formula>"NO QUOTE"</formula>
    </cfRule>
  </conditionalFormatting>
  <conditionalFormatting sqref="H152:H154">
    <cfRule type="cellIs" dxfId="101" priority="6" operator="equal">
      <formula>"NO QUOTE"</formula>
    </cfRule>
  </conditionalFormatting>
  <conditionalFormatting sqref="H156:H157">
    <cfRule type="cellIs" dxfId="100" priority="5" operator="equal">
      <formula>"NO QUOTE"</formula>
    </cfRule>
  </conditionalFormatting>
  <conditionalFormatting sqref="H168:H170">
    <cfRule type="cellIs" dxfId="99" priority="2" operator="equal">
      <formula>"NO QUOTE"</formula>
    </cfRule>
  </conditionalFormatting>
  <conditionalFormatting sqref="H172:H173">
    <cfRule type="cellIs" dxfId="98" priority="1" operator="equal">
      <formula>"NO QUOTE"</formula>
    </cfRule>
  </conditionalFormatting>
  <pageMargins left="0.25" right="0.25" top="0.75" bottom="0.75" header="0.3" footer="0.3"/>
  <pageSetup scale="49" fitToHeight="0" orientation="portrait" horizontalDpi="1200" verticalDpi="1200" r:id="rId1"/>
  <headerFooter>
    <oddFooter>&amp;C&amp;"-,Italic"Use or disclosure of data contained on this sheet is subject to the restriction on the title page of this quote.</oddFooter>
  </headerFooter>
  <rowBreaks count="2" manualBreakCount="2">
    <brk id="63" max="16383" man="1"/>
    <brk id="14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  <pageSetUpPr fitToPage="1"/>
  </sheetPr>
  <dimension ref="B1:J174"/>
  <sheetViews>
    <sheetView showGridLines="0" view="pageBreakPreview" zoomScaleNormal="70" zoomScaleSheetLayoutView="100" workbookViewId="0">
      <selection activeCell="B6" sqref="B6:J13"/>
    </sheetView>
  </sheetViews>
  <sheetFormatPr defaultColWidth="9.140625" defaultRowHeight="15.75" x14ac:dyDescent="0.25"/>
  <cols>
    <col min="1" max="1" width="9.140625" style="1"/>
    <col min="2" max="2" width="15.42578125" style="1" customWidth="1"/>
    <col min="3" max="3" width="23.42578125" style="1" customWidth="1"/>
    <col min="4" max="4" width="26.7109375" style="80" customWidth="1"/>
    <col min="5" max="5" width="40.85546875" style="75" bestFit="1" customWidth="1"/>
    <col min="6" max="6" width="31.85546875" style="48" customWidth="1"/>
    <col min="7" max="7" width="29.85546875" style="49" bestFit="1" customWidth="1"/>
    <col min="8" max="8" width="27.5703125" style="1" customWidth="1"/>
    <col min="9" max="9" width="24.140625" style="47" customWidth="1"/>
    <col min="10" max="10" width="21.85546875" style="1" customWidth="1"/>
    <col min="11" max="12" width="9.140625" style="1"/>
    <col min="13" max="13" width="9.42578125" style="1" bestFit="1" customWidth="1"/>
    <col min="14" max="16384" width="9.140625" style="1"/>
  </cols>
  <sheetData>
    <row r="1" spans="2:10" ht="16.5" thickBot="1" x14ac:dyDescent="0.3"/>
    <row r="2" spans="2:10" ht="30.75" thickBot="1" x14ac:dyDescent="0.3">
      <c r="B2" s="119" t="s">
        <v>66</v>
      </c>
      <c r="C2" s="120"/>
      <c r="D2" s="120"/>
      <c r="E2" s="120"/>
      <c r="F2" s="120"/>
      <c r="G2" s="120"/>
      <c r="H2" s="120"/>
      <c r="I2" s="120"/>
      <c r="J2" s="121"/>
    </row>
    <row r="3" spans="2:10" ht="16.5" thickBot="1" x14ac:dyDescent="0.3">
      <c r="B3" s="166" t="s">
        <v>38</v>
      </c>
      <c r="C3" s="166"/>
      <c r="D3" s="168" t="str">
        <f>BPA!$D$3</f>
        <v>ONCOLOGICAL AGENTS</v>
      </c>
      <c r="E3" s="169"/>
      <c r="F3" s="170"/>
      <c r="G3" s="50" t="s">
        <v>7</v>
      </c>
      <c r="H3" s="161" t="str">
        <f>BPA!$G$3</f>
        <v>Aug 5-6, 2026</v>
      </c>
      <c r="I3" s="162"/>
      <c r="J3" s="163"/>
    </row>
    <row r="4" spans="2:10" ht="16.5" thickBot="1" x14ac:dyDescent="0.3">
      <c r="B4" s="167" t="s">
        <v>39</v>
      </c>
      <c r="C4" s="167"/>
      <c r="D4" s="117" t="str">
        <f>BPA!$D$4</f>
        <v>BRAF-MEK INHIBITORS</v>
      </c>
      <c r="E4" s="171"/>
      <c r="F4" s="118"/>
      <c r="G4" s="51" t="s">
        <v>30</v>
      </c>
      <c r="H4" s="129">
        <f>BPA!$G$4</f>
        <v>46202</v>
      </c>
      <c r="I4" s="164"/>
      <c r="J4" s="130"/>
    </row>
    <row r="5" spans="2:10" ht="16.5" thickBot="1" x14ac:dyDescent="0.3">
      <c r="B5" s="122" t="s">
        <v>6</v>
      </c>
      <c r="C5" s="123"/>
      <c r="D5" s="123"/>
      <c r="E5" s="123"/>
      <c r="F5" s="123"/>
      <c r="G5" s="123"/>
      <c r="H5" s="123"/>
      <c r="I5" s="123"/>
      <c r="J5" s="124"/>
    </row>
    <row r="6" spans="2:10" ht="15.6" customHeight="1" x14ac:dyDescent="0.25">
      <c r="B6" s="131" t="s">
        <v>70</v>
      </c>
      <c r="C6" s="132"/>
      <c r="D6" s="132"/>
      <c r="E6" s="132"/>
      <c r="F6" s="132"/>
      <c r="G6" s="132"/>
      <c r="H6" s="132"/>
      <c r="I6" s="132"/>
      <c r="J6" s="133"/>
    </row>
    <row r="7" spans="2:10" x14ac:dyDescent="0.25">
      <c r="B7" s="134"/>
      <c r="C7" s="135"/>
      <c r="D7" s="135"/>
      <c r="E7" s="135"/>
      <c r="F7" s="135"/>
      <c r="G7" s="135"/>
      <c r="H7" s="135"/>
      <c r="I7" s="135"/>
      <c r="J7" s="136"/>
    </row>
    <row r="8" spans="2:10" x14ac:dyDescent="0.25">
      <c r="B8" s="134"/>
      <c r="C8" s="135"/>
      <c r="D8" s="135"/>
      <c r="E8" s="135"/>
      <c r="F8" s="135"/>
      <c r="G8" s="135"/>
      <c r="H8" s="135"/>
      <c r="I8" s="135"/>
      <c r="J8" s="136"/>
    </row>
    <row r="9" spans="2:10" x14ac:dyDescent="0.25">
      <c r="B9" s="134"/>
      <c r="C9" s="135"/>
      <c r="D9" s="135"/>
      <c r="E9" s="135"/>
      <c r="F9" s="135"/>
      <c r="G9" s="135"/>
      <c r="H9" s="135"/>
      <c r="I9" s="135"/>
      <c r="J9" s="136"/>
    </row>
    <row r="10" spans="2:10" x14ac:dyDescent="0.25">
      <c r="B10" s="134"/>
      <c r="C10" s="135"/>
      <c r="D10" s="135"/>
      <c r="E10" s="135"/>
      <c r="F10" s="135"/>
      <c r="G10" s="135"/>
      <c r="H10" s="135"/>
      <c r="I10" s="135"/>
      <c r="J10" s="136"/>
    </row>
    <row r="11" spans="2:10" x14ac:dyDescent="0.25">
      <c r="B11" s="134"/>
      <c r="C11" s="135"/>
      <c r="D11" s="135"/>
      <c r="E11" s="135"/>
      <c r="F11" s="135"/>
      <c r="G11" s="135"/>
      <c r="H11" s="135"/>
      <c r="I11" s="135"/>
      <c r="J11" s="136"/>
    </row>
    <row r="12" spans="2:10" x14ac:dyDescent="0.25">
      <c r="B12" s="134"/>
      <c r="C12" s="135"/>
      <c r="D12" s="135"/>
      <c r="E12" s="135"/>
      <c r="F12" s="135"/>
      <c r="G12" s="135"/>
      <c r="H12" s="135"/>
      <c r="I12" s="135"/>
      <c r="J12" s="136"/>
    </row>
    <row r="13" spans="2:10" ht="99" customHeight="1" thickBot="1" x14ac:dyDescent="0.3">
      <c r="B13" s="137"/>
      <c r="C13" s="138"/>
      <c r="D13" s="138"/>
      <c r="E13" s="138"/>
      <c r="F13" s="138"/>
      <c r="G13" s="138"/>
      <c r="H13" s="138"/>
      <c r="I13" s="138"/>
      <c r="J13" s="139"/>
    </row>
    <row r="14" spans="2:10" ht="113.45" customHeight="1" x14ac:dyDescent="0.25">
      <c r="B14" s="114" t="s">
        <v>40</v>
      </c>
      <c r="C14" s="165"/>
      <c r="D14" s="165"/>
      <c r="E14" s="165"/>
      <c r="F14" s="165"/>
      <c r="G14" s="165"/>
      <c r="H14" s="165"/>
      <c r="I14" s="165"/>
      <c r="J14" s="165"/>
    </row>
    <row r="15" spans="2:10" ht="16.5" thickBot="1" x14ac:dyDescent="0.3"/>
    <row r="16" spans="2:10" x14ac:dyDescent="0.25">
      <c r="B16" s="99" t="s">
        <v>35</v>
      </c>
      <c r="C16" s="100"/>
      <c r="D16" s="100"/>
      <c r="E16" s="100"/>
      <c r="F16" s="100"/>
      <c r="G16" s="100"/>
      <c r="H16" s="100"/>
      <c r="I16" s="100"/>
      <c r="J16" s="101"/>
    </row>
    <row r="17" spans="2:10" ht="16.5" thickBot="1" x14ac:dyDescent="0.3">
      <c r="B17" s="145"/>
      <c r="C17" s="146"/>
      <c r="D17" s="146"/>
      <c r="E17" s="146"/>
      <c r="F17" s="146"/>
      <c r="G17" s="146"/>
      <c r="H17" s="146"/>
      <c r="I17" s="146"/>
      <c r="J17" s="147"/>
    </row>
    <row r="18" spans="2:10" ht="16.5" thickBot="1" x14ac:dyDescent="0.3">
      <c r="B18" s="148" t="s">
        <v>8</v>
      </c>
      <c r="C18" s="28" t="s">
        <v>38</v>
      </c>
      <c r="D18" s="81"/>
      <c r="E18" s="150" t="str">
        <f>$D$3</f>
        <v>ONCOLOGICAL AGENTS</v>
      </c>
      <c r="F18" s="151"/>
      <c r="G18" s="145" t="s">
        <v>7</v>
      </c>
      <c r="H18" s="147"/>
      <c r="I18" s="152" t="str">
        <f>$H$3</f>
        <v>Aug 5-6, 2026</v>
      </c>
      <c r="J18" s="153"/>
    </row>
    <row r="19" spans="2:10" ht="16.5" thickBot="1" x14ac:dyDescent="0.3">
      <c r="B19" s="148"/>
      <c r="C19" s="29" t="s">
        <v>39</v>
      </c>
      <c r="D19" s="82"/>
      <c r="E19" s="154" t="str">
        <f>$D$4</f>
        <v>BRAF-MEK INHIBITORS</v>
      </c>
      <c r="F19" s="155"/>
      <c r="G19" s="156" t="s">
        <v>30</v>
      </c>
      <c r="H19" s="157"/>
      <c r="I19" s="158">
        <f>$H$4</f>
        <v>46202</v>
      </c>
      <c r="J19" s="159"/>
    </row>
    <row r="20" spans="2:10" ht="29.25" customHeight="1" thickBot="1" x14ac:dyDescent="0.3">
      <c r="B20" s="148"/>
      <c r="C20" s="30" t="s">
        <v>0</v>
      </c>
      <c r="D20" s="83" t="s">
        <v>1</v>
      </c>
      <c r="E20" s="31" t="s">
        <v>2</v>
      </c>
      <c r="F20" s="31" t="s">
        <v>3</v>
      </c>
      <c r="G20" s="32" t="s">
        <v>4</v>
      </c>
      <c r="H20" s="99" t="s">
        <v>33</v>
      </c>
      <c r="I20" s="100"/>
      <c r="J20" s="101"/>
    </row>
    <row r="21" spans="2:10" ht="16.5" thickBot="1" x14ac:dyDescent="0.3">
      <c r="B21" s="149"/>
      <c r="C21" s="33"/>
      <c r="D21" s="84"/>
      <c r="E21" s="34"/>
      <c r="F21" s="34"/>
      <c r="G21" s="35"/>
      <c r="H21" s="145"/>
      <c r="I21" s="146"/>
      <c r="J21" s="147"/>
    </row>
    <row r="22" spans="2:10" ht="48" thickBot="1" x14ac:dyDescent="0.3">
      <c r="B22" s="2" t="s">
        <v>9</v>
      </c>
      <c r="C22" s="36" t="s">
        <v>18</v>
      </c>
      <c r="D22" s="85" t="s">
        <v>5</v>
      </c>
      <c r="E22" s="76" t="s">
        <v>36</v>
      </c>
      <c r="F22" s="37" t="s">
        <v>21</v>
      </c>
      <c r="G22" s="38" t="s">
        <v>22</v>
      </c>
      <c r="H22" s="37" t="s">
        <v>23</v>
      </c>
      <c r="I22" s="39" t="s">
        <v>19</v>
      </c>
      <c r="J22" s="40" t="s">
        <v>20</v>
      </c>
    </row>
    <row r="23" spans="2:10" ht="16.149999999999999" customHeight="1" thickBot="1" x14ac:dyDescent="0.3">
      <c r="B23" s="140" t="s">
        <v>67</v>
      </c>
      <c r="C23" s="141"/>
      <c r="D23" s="141"/>
      <c r="E23" s="141"/>
      <c r="F23" s="141"/>
      <c r="G23" s="141"/>
      <c r="H23" s="141"/>
      <c r="I23" s="141"/>
      <c r="J23" s="141"/>
    </row>
    <row r="24" spans="2:10" ht="31.5" x14ac:dyDescent="0.25">
      <c r="B24" s="111" t="s">
        <v>12</v>
      </c>
      <c r="C24" s="41" t="s">
        <v>59</v>
      </c>
      <c r="D24" s="44" t="s">
        <v>71</v>
      </c>
      <c r="E24" s="41">
        <v>1</v>
      </c>
      <c r="F24" s="65"/>
      <c r="G24" s="63"/>
      <c r="H24" s="65"/>
      <c r="I24" s="69" t="str">
        <f>IF(NOT(ISBLANK(H24)),F24-H24,"")</f>
        <v/>
      </c>
      <c r="J24" s="70" t="str">
        <f>IF(NOT(ISBLANK(H24)),((1+G24)*F24-H24), "")</f>
        <v/>
      </c>
    </row>
    <row r="25" spans="2:10" ht="31.5" x14ac:dyDescent="0.25">
      <c r="B25" s="112"/>
      <c r="C25" s="42" t="s">
        <v>60</v>
      </c>
      <c r="D25" s="54" t="s">
        <v>72</v>
      </c>
      <c r="E25" s="42" t="s">
        <v>53</v>
      </c>
      <c r="F25" s="17" t="str">
        <f>IF(NOT(ISBLANK(F24)),F24,"")</f>
        <v/>
      </c>
      <c r="G25" s="16"/>
      <c r="H25" s="17" t="str">
        <f>IF(NOT(ISBLANK(H24)),H24,"")</f>
        <v/>
      </c>
      <c r="I25" s="71" t="str">
        <f>IFERROR(F25-H25, "")</f>
        <v/>
      </c>
      <c r="J25" s="72" t="str">
        <f t="shared" ref="J25" si="0">IFERROR(((1+G25)*F25-H25), "")</f>
        <v/>
      </c>
    </row>
    <row r="26" spans="2:10" ht="32.25" thickBot="1" x14ac:dyDescent="0.3">
      <c r="B26" s="113"/>
      <c r="C26" s="43" t="s">
        <v>61</v>
      </c>
      <c r="D26" s="45" t="s">
        <v>73</v>
      </c>
      <c r="E26" s="43" t="s">
        <v>53</v>
      </c>
      <c r="F26" s="5" t="str">
        <f>IF(NOT(ISBLANK(F25)),F25,"")</f>
        <v/>
      </c>
      <c r="G26" s="64"/>
      <c r="H26" s="5" t="str">
        <f>IF(NOT(ISBLANK(H25)),H25,"")</f>
        <v/>
      </c>
      <c r="I26" s="73" t="str">
        <f>IFERROR(F26-H26, "")</f>
        <v/>
      </c>
      <c r="J26" s="74" t="str">
        <f t="shared" ref="J26" si="1">IFERROR(((1+G26)*F26-H26), "")</f>
        <v/>
      </c>
    </row>
    <row r="27" spans="2:10" ht="16.149999999999999" customHeight="1" thickBot="1" x14ac:dyDescent="0.3">
      <c r="B27" s="90" t="s">
        <v>58</v>
      </c>
      <c r="C27" s="91"/>
      <c r="D27" s="91"/>
      <c r="E27" s="91"/>
      <c r="F27" s="91"/>
      <c r="G27" s="91"/>
      <c r="H27" s="91"/>
      <c r="I27" s="91"/>
      <c r="J27" s="91"/>
    </row>
    <row r="28" spans="2:10" x14ac:dyDescent="0.25">
      <c r="B28" s="93" t="s">
        <v>13</v>
      </c>
      <c r="C28" s="77" t="s">
        <v>62</v>
      </c>
      <c r="D28" s="44" t="s">
        <v>64</v>
      </c>
      <c r="E28" s="41" t="s">
        <v>53</v>
      </c>
      <c r="F28" s="66" t="str">
        <f>IF(NOT(ISBLANK(F26)),F26,"")</f>
        <v/>
      </c>
      <c r="G28" s="63"/>
      <c r="H28" s="68" t="str">
        <f>IF(NOT(ISBLANK(H26)),H26,"")</f>
        <v/>
      </c>
      <c r="I28" s="69" t="str">
        <f>IFERROR(F28-H28, "")</f>
        <v/>
      </c>
      <c r="J28" s="70" t="str">
        <f>IFERROR(((1+G28)*F28-H28), "")</f>
        <v/>
      </c>
    </row>
    <row r="29" spans="2:10" ht="16.5" thickBot="1" x14ac:dyDescent="0.3">
      <c r="B29" s="95"/>
      <c r="C29" s="78" t="s">
        <v>63</v>
      </c>
      <c r="D29" s="45" t="s">
        <v>65</v>
      </c>
      <c r="E29" s="43" t="s">
        <v>53</v>
      </c>
      <c r="F29" s="67" t="str">
        <f>IF(NOT(ISBLANK(F28)),F28,"")</f>
        <v/>
      </c>
      <c r="G29" s="64"/>
      <c r="H29" s="5" t="str">
        <f>IF(NOT(ISBLANK(H28)),H28,"")</f>
        <v/>
      </c>
      <c r="I29" s="73" t="str">
        <f>IFERROR(F29-H29, "")</f>
        <v/>
      </c>
      <c r="J29" s="74" t="str">
        <f>IFERROR(((1+G29)*F29-H29), "")</f>
        <v/>
      </c>
    </row>
    <row r="30" spans="2:10" ht="16.5" thickBot="1" x14ac:dyDescent="0.3">
      <c r="D30" s="86"/>
      <c r="E30" s="79"/>
      <c r="F30" s="46"/>
      <c r="G30" s="142" t="s">
        <v>29</v>
      </c>
      <c r="H30" s="143"/>
      <c r="I30" s="143"/>
      <c r="J30" s="144"/>
    </row>
    <row r="31" spans="2:10" ht="16.5" thickBot="1" x14ac:dyDescent="0.3">
      <c r="D31" s="86"/>
      <c r="E31" s="79"/>
      <c r="F31" s="46"/>
    </row>
    <row r="32" spans="2:10" x14ac:dyDescent="0.25">
      <c r="B32" s="99" t="str">
        <f>$B$16</f>
        <v>Additional Discount Program Appendix  – Class Review</v>
      </c>
      <c r="C32" s="100"/>
      <c r="D32" s="100"/>
      <c r="E32" s="100"/>
      <c r="F32" s="100"/>
      <c r="G32" s="100"/>
      <c r="H32" s="100"/>
      <c r="I32" s="100"/>
      <c r="J32" s="101"/>
    </row>
    <row r="33" spans="2:10" ht="16.5" thickBot="1" x14ac:dyDescent="0.3">
      <c r="B33" s="145"/>
      <c r="C33" s="146"/>
      <c r="D33" s="146"/>
      <c r="E33" s="146"/>
      <c r="F33" s="146"/>
      <c r="G33" s="146"/>
      <c r="H33" s="146"/>
      <c r="I33" s="146"/>
      <c r="J33" s="147"/>
    </row>
    <row r="34" spans="2:10" ht="16.5" thickBot="1" x14ac:dyDescent="0.3">
      <c r="B34" s="148" t="s">
        <v>14</v>
      </c>
      <c r="C34" s="28" t="s">
        <v>38</v>
      </c>
      <c r="D34" s="81"/>
      <c r="E34" s="150" t="str">
        <f>$D$3</f>
        <v>ONCOLOGICAL AGENTS</v>
      </c>
      <c r="F34" s="151"/>
      <c r="G34" s="145" t="s">
        <v>7</v>
      </c>
      <c r="H34" s="147"/>
      <c r="I34" s="152" t="str">
        <f>$H$3</f>
        <v>Aug 5-6, 2026</v>
      </c>
      <c r="J34" s="153"/>
    </row>
    <row r="35" spans="2:10" ht="16.149999999999999" customHeight="1" thickBot="1" x14ac:dyDescent="0.3">
      <c r="B35" s="148"/>
      <c r="C35" s="29" t="s">
        <v>39</v>
      </c>
      <c r="D35" s="82"/>
      <c r="E35" s="154" t="str">
        <f>$D$4</f>
        <v>BRAF-MEK INHIBITORS</v>
      </c>
      <c r="F35" s="155"/>
      <c r="G35" s="156" t="s">
        <v>30</v>
      </c>
      <c r="H35" s="157"/>
      <c r="I35" s="158">
        <f>$H$4</f>
        <v>46202</v>
      </c>
      <c r="J35" s="159"/>
    </row>
    <row r="36" spans="2:10" ht="16.5" thickBot="1" x14ac:dyDescent="0.3">
      <c r="B36" s="148"/>
      <c r="C36" s="30" t="s">
        <v>0</v>
      </c>
      <c r="D36" s="83" t="s">
        <v>1</v>
      </c>
      <c r="E36" s="31" t="s">
        <v>2</v>
      </c>
      <c r="F36" s="31" t="s">
        <v>3</v>
      </c>
      <c r="G36" s="32" t="str">
        <f>$G$20</f>
        <v>Package Size</v>
      </c>
      <c r="H36" s="99" t="s">
        <v>33</v>
      </c>
      <c r="I36" s="100"/>
      <c r="J36" s="101"/>
    </row>
    <row r="37" spans="2:10" ht="16.5" thickBot="1" x14ac:dyDescent="0.3">
      <c r="B37" s="149"/>
      <c r="C37" s="33"/>
      <c r="D37" s="84"/>
      <c r="E37" s="34"/>
      <c r="F37" s="34"/>
      <c r="G37" s="35"/>
      <c r="H37" s="145"/>
      <c r="I37" s="146"/>
      <c r="J37" s="147"/>
    </row>
    <row r="38" spans="2:10" ht="48" thickBot="1" x14ac:dyDescent="0.3">
      <c r="B38" s="2" t="s">
        <v>9</v>
      </c>
      <c r="C38" s="36" t="s">
        <v>18</v>
      </c>
      <c r="D38" s="85" t="s">
        <v>5</v>
      </c>
      <c r="E38" s="76" t="s">
        <v>36</v>
      </c>
      <c r="F38" s="37" t="s">
        <v>21</v>
      </c>
      <c r="G38" s="38" t="s">
        <v>22</v>
      </c>
      <c r="H38" s="37" t="s">
        <v>23</v>
      </c>
      <c r="I38" s="39" t="s">
        <v>19</v>
      </c>
      <c r="J38" s="40" t="s">
        <v>20</v>
      </c>
    </row>
    <row r="39" spans="2:10" ht="16.5" thickBot="1" x14ac:dyDescent="0.3">
      <c r="B39" s="140" t="str">
        <f>$B$23</f>
        <v>Scenario 1:  One BRAF-inhibitor and MEK-inhibitor Combination T2 and before the step.</v>
      </c>
      <c r="C39" s="141"/>
      <c r="D39" s="141"/>
      <c r="E39" s="141"/>
      <c r="F39" s="141"/>
      <c r="G39" s="141"/>
      <c r="H39" s="141"/>
      <c r="I39" s="141"/>
      <c r="J39" s="141"/>
    </row>
    <row r="40" spans="2:10" ht="31.5" x14ac:dyDescent="0.25">
      <c r="B40" s="111" t="s">
        <v>12</v>
      </c>
      <c r="C40" s="41" t="str">
        <f>C$24</f>
        <v>264OABMG1T2BS1</v>
      </c>
      <c r="D40" s="44" t="str">
        <f>D$24</f>
        <v>Tier 2
Before-Step Therapy</v>
      </c>
      <c r="E40" s="41">
        <f>E$24</f>
        <v>1</v>
      </c>
      <c r="F40" s="65"/>
      <c r="G40" s="63"/>
      <c r="H40" s="65"/>
      <c r="I40" s="69" t="str">
        <f>IF(NOT(ISBLANK(H40)),F40-H40,"")</f>
        <v/>
      </c>
      <c r="J40" s="70" t="str">
        <f>IF(NOT(ISBLANK(H40)),((1+G40)*F40-H40), "")</f>
        <v/>
      </c>
    </row>
    <row r="41" spans="2:10" ht="31.5" x14ac:dyDescent="0.25">
      <c r="B41" s="112"/>
      <c r="C41" s="42" t="str">
        <f>C$25</f>
        <v>264OABMG1T2AS1M</v>
      </c>
      <c r="D41" s="54" t="str">
        <f>D$25</f>
        <v>Tier 2
After-Step Therapy</v>
      </c>
      <c r="E41" s="42" t="str">
        <f>E$25</f>
        <v>1 or more</v>
      </c>
      <c r="F41" s="17" t="str">
        <f>IF(NOT(ISBLANK(F40)),F40,"")</f>
        <v/>
      </c>
      <c r="G41" s="16"/>
      <c r="H41" s="17" t="str">
        <f>IF(NOT(ISBLANK(H40)),H40,"")</f>
        <v/>
      </c>
      <c r="I41" s="71" t="str">
        <f>IFERROR(F41-H41, "")</f>
        <v/>
      </c>
      <c r="J41" s="72" t="str">
        <f t="shared" ref="J41:J42" si="2">IFERROR(((1+G41)*F41-H41), "")</f>
        <v/>
      </c>
    </row>
    <row r="42" spans="2:10" ht="32.25" thickBot="1" x14ac:dyDescent="0.3">
      <c r="B42" s="113"/>
      <c r="C42" s="43" t="str">
        <f>C$26</f>
        <v>264OABMG1T3AS1M</v>
      </c>
      <c r="D42" s="45" t="str">
        <f>D$26</f>
        <v>Tier 3
After-Step Therapy</v>
      </c>
      <c r="E42" s="43" t="str">
        <f>E$26</f>
        <v>1 or more</v>
      </c>
      <c r="F42" s="5" t="str">
        <f>IF(NOT(ISBLANK(F41)),F41,"")</f>
        <v/>
      </c>
      <c r="G42" s="64"/>
      <c r="H42" s="5" t="str">
        <f>IF(NOT(ISBLANK(H41)),H41,"")</f>
        <v/>
      </c>
      <c r="I42" s="73" t="str">
        <f>IFERROR(F42-H42, "")</f>
        <v/>
      </c>
      <c r="J42" s="74" t="str">
        <f t="shared" si="2"/>
        <v/>
      </c>
    </row>
    <row r="43" spans="2:10" ht="16.149999999999999" customHeight="1" thickBot="1" x14ac:dyDescent="0.3">
      <c r="B43" s="90" t="str">
        <f>$B$27</f>
        <v>Scenario 2: One or more BRAF-inhibitor and MEK-inhibitor Combinations T2.</v>
      </c>
      <c r="C43" s="91"/>
      <c r="D43" s="91"/>
      <c r="E43" s="91"/>
      <c r="F43" s="91"/>
      <c r="G43" s="91"/>
      <c r="H43" s="91"/>
      <c r="I43" s="91"/>
      <c r="J43" s="91"/>
    </row>
    <row r="44" spans="2:10" x14ac:dyDescent="0.25">
      <c r="B44" s="93" t="s">
        <v>13</v>
      </c>
      <c r="C44" s="77" t="str">
        <f>C$28</f>
        <v>264OABMG1T21M</v>
      </c>
      <c r="D44" s="44" t="str">
        <f>D$28</f>
        <v>Tier 2</v>
      </c>
      <c r="E44" s="41" t="str">
        <f>E$28</f>
        <v>1 or more</v>
      </c>
      <c r="F44" s="66" t="str">
        <f>IF(NOT(ISBLANK(F42)),F42,"")</f>
        <v/>
      </c>
      <c r="G44" s="63"/>
      <c r="H44" s="68" t="str">
        <f>IF(NOT(ISBLANK(H42)),H42,"")</f>
        <v/>
      </c>
      <c r="I44" s="69" t="str">
        <f>IFERROR(F44-H44, "")</f>
        <v/>
      </c>
      <c r="J44" s="70" t="str">
        <f>IFERROR(((1+G44)*F44-H44), "")</f>
        <v/>
      </c>
    </row>
    <row r="45" spans="2:10" ht="16.5" thickBot="1" x14ac:dyDescent="0.3">
      <c r="B45" s="95"/>
      <c r="C45" s="78" t="str">
        <f>C$29</f>
        <v>264OABMG1T31M</v>
      </c>
      <c r="D45" s="45" t="str">
        <f>D$29</f>
        <v>Tier 3</v>
      </c>
      <c r="E45" s="43" t="str">
        <f>E$29</f>
        <v>1 or more</v>
      </c>
      <c r="F45" s="67" t="str">
        <f>IF(NOT(ISBLANK(F44)),F44,"")</f>
        <v/>
      </c>
      <c r="G45" s="64"/>
      <c r="H45" s="5" t="str">
        <f>IF(NOT(ISBLANK(H44)),H44,"")</f>
        <v/>
      </c>
      <c r="I45" s="73" t="str">
        <f>IFERROR(F45-H45, "")</f>
        <v/>
      </c>
      <c r="J45" s="74" t="str">
        <f>IFERROR(((1+G45)*F45-H45), "")</f>
        <v/>
      </c>
    </row>
    <row r="46" spans="2:10" ht="16.5" thickBot="1" x14ac:dyDescent="0.3">
      <c r="D46" s="86"/>
      <c r="E46" s="79"/>
      <c r="F46" s="46"/>
      <c r="G46" s="142" t="s">
        <v>29</v>
      </c>
      <c r="H46" s="143"/>
      <c r="I46" s="143"/>
      <c r="J46" s="144"/>
    </row>
    <row r="47" spans="2:10" ht="16.5" thickBot="1" x14ac:dyDescent="0.3"/>
    <row r="48" spans="2:10" x14ac:dyDescent="0.25">
      <c r="B48" s="99" t="str">
        <f>$B$16</f>
        <v>Additional Discount Program Appendix  – Class Review</v>
      </c>
      <c r="C48" s="100"/>
      <c r="D48" s="100"/>
      <c r="E48" s="100"/>
      <c r="F48" s="100"/>
      <c r="G48" s="100"/>
      <c r="H48" s="100"/>
      <c r="I48" s="100"/>
      <c r="J48" s="101"/>
    </row>
    <row r="49" spans="2:10" ht="16.149999999999999" customHeight="1" thickBot="1" x14ac:dyDescent="0.3">
      <c r="B49" s="145"/>
      <c r="C49" s="146"/>
      <c r="D49" s="146"/>
      <c r="E49" s="146"/>
      <c r="F49" s="146"/>
      <c r="G49" s="146"/>
      <c r="H49" s="146"/>
      <c r="I49" s="146"/>
      <c r="J49" s="147"/>
    </row>
    <row r="50" spans="2:10" ht="16.5" thickBot="1" x14ac:dyDescent="0.3">
      <c r="B50" s="148" t="s">
        <v>15</v>
      </c>
      <c r="C50" s="28" t="s">
        <v>38</v>
      </c>
      <c r="D50" s="81"/>
      <c r="E50" s="150" t="str">
        <f>$D$3</f>
        <v>ONCOLOGICAL AGENTS</v>
      </c>
      <c r="F50" s="151"/>
      <c r="G50" s="145" t="s">
        <v>7</v>
      </c>
      <c r="H50" s="147"/>
      <c r="I50" s="152" t="str">
        <f>$H$3</f>
        <v>Aug 5-6, 2026</v>
      </c>
      <c r="J50" s="153"/>
    </row>
    <row r="51" spans="2:10" ht="16.5" thickBot="1" x14ac:dyDescent="0.3">
      <c r="B51" s="148"/>
      <c r="C51" s="29" t="s">
        <v>39</v>
      </c>
      <c r="D51" s="82"/>
      <c r="E51" s="154" t="str">
        <f>$D$4</f>
        <v>BRAF-MEK INHIBITORS</v>
      </c>
      <c r="F51" s="155"/>
      <c r="G51" s="156" t="s">
        <v>30</v>
      </c>
      <c r="H51" s="157"/>
      <c r="I51" s="158">
        <f>$H$4</f>
        <v>46202</v>
      </c>
      <c r="J51" s="159"/>
    </row>
    <row r="52" spans="2:10" ht="16.5" thickBot="1" x14ac:dyDescent="0.3">
      <c r="B52" s="148"/>
      <c r="C52" s="30" t="s">
        <v>0</v>
      </c>
      <c r="D52" s="83" t="s">
        <v>1</v>
      </c>
      <c r="E52" s="31" t="s">
        <v>2</v>
      </c>
      <c r="F52" s="31" t="s">
        <v>3</v>
      </c>
      <c r="G52" s="32" t="str">
        <f>$G$20</f>
        <v>Package Size</v>
      </c>
      <c r="H52" s="99" t="s">
        <v>33</v>
      </c>
      <c r="I52" s="100"/>
      <c r="J52" s="101"/>
    </row>
    <row r="53" spans="2:10" ht="16.5" thickBot="1" x14ac:dyDescent="0.3">
      <c r="B53" s="149"/>
      <c r="C53" s="33"/>
      <c r="D53" s="84"/>
      <c r="E53" s="34"/>
      <c r="F53" s="34"/>
      <c r="G53" s="35"/>
      <c r="H53" s="145"/>
      <c r="I53" s="146"/>
      <c r="J53" s="147"/>
    </row>
    <row r="54" spans="2:10" ht="48" thickBot="1" x14ac:dyDescent="0.3">
      <c r="B54" s="2" t="s">
        <v>9</v>
      </c>
      <c r="C54" s="36" t="s">
        <v>18</v>
      </c>
      <c r="D54" s="85" t="s">
        <v>5</v>
      </c>
      <c r="E54" s="76" t="s">
        <v>36</v>
      </c>
      <c r="F54" s="37" t="s">
        <v>21</v>
      </c>
      <c r="G54" s="38" t="s">
        <v>22</v>
      </c>
      <c r="H54" s="37" t="s">
        <v>23</v>
      </c>
      <c r="I54" s="39" t="s">
        <v>19</v>
      </c>
      <c r="J54" s="40" t="s">
        <v>20</v>
      </c>
    </row>
    <row r="55" spans="2:10" ht="16.5" thickBot="1" x14ac:dyDescent="0.3">
      <c r="B55" s="140" t="str">
        <f>$B$23</f>
        <v>Scenario 1:  One BRAF-inhibitor and MEK-inhibitor Combination T2 and before the step.</v>
      </c>
      <c r="C55" s="141"/>
      <c r="D55" s="141"/>
      <c r="E55" s="141"/>
      <c r="F55" s="141"/>
      <c r="G55" s="141"/>
      <c r="H55" s="141"/>
      <c r="I55" s="141"/>
      <c r="J55" s="141"/>
    </row>
    <row r="56" spans="2:10" ht="31.5" x14ac:dyDescent="0.25">
      <c r="B56" s="111" t="s">
        <v>12</v>
      </c>
      <c r="C56" s="41" t="str">
        <f>C$24</f>
        <v>264OABMG1T2BS1</v>
      </c>
      <c r="D56" s="44" t="str">
        <f>D$24</f>
        <v>Tier 2
Before-Step Therapy</v>
      </c>
      <c r="E56" s="41">
        <f>E$24</f>
        <v>1</v>
      </c>
      <c r="F56" s="65"/>
      <c r="G56" s="63"/>
      <c r="H56" s="65"/>
      <c r="I56" s="69" t="str">
        <f>IF(NOT(ISBLANK(H56)),F56-H56,"")</f>
        <v/>
      </c>
      <c r="J56" s="70" t="str">
        <f>IF(NOT(ISBLANK(H56)),((1+G56)*F56-H56), "")</f>
        <v/>
      </c>
    </row>
    <row r="57" spans="2:10" ht="31.5" x14ac:dyDescent="0.25">
      <c r="B57" s="112"/>
      <c r="C57" s="42" t="str">
        <f>C$25</f>
        <v>264OABMG1T2AS1M</v>
      </c>
      <c r="D57" s="54" t="str">
        <f>D$25</f>
        <v>Tier 2
After-Step Therapy</v>
      </c>
      <c r="E57" s="42" t="str">
        <f>E$25</f>
        <v>1 or more</v>
      </c>
      <c r="F57" s="17" t="str">
        <f>IF(NOT(ISBLANK(F56)),F56,"")</f>
        <v/>
      </c>
      <c r="G57" s="16"/>
      <c r="H57" s="17" t="str">
        <f>IF(NOT(ISBLANK(H56)),H56,"")</f>
        <v/>
      </c>
      <c r="I57" s="71" t="str">
        <f>IFERROR(F57-H57, "")</f>
        <v/>
      </c>
      <c r="J57" s="72" t="str">
        <f t="shared" ref="J57:J58" si="3">IFERROR(((1+G57)*F57-H57), "")</f>
        <v/>
      </c>
    </row>
    <row r="58" spans="2:10" ht="32.25" thickBot="1" x14ac:dyDescent="0.3">
      <c r="B58" s="113"/>
      <c r="C58" s="43" t="str">
        <f>C$26</f>
        <v>264OABMG1T3AS1M</v>
      </c>
      <c r="D58" s="45" t="str">
        <f>D$26</f>
        <v>Tier 3
After-Step Therapy</v>
      </c>
      <c r="E58" s="43" t="str">
        <f>E$26</f>
        <v>1 or more</v>
      </c>
      <c r="F58" s="5" t="str">
        <f>IF(NOT(ISBLANK(F57)),F57,"")</f>
        <v/>
      </c>
      <c r="G58" s="64"/>
      <c r="H58" s="5" t="str">
        <f>IF(NOT(ISBLANK(H57)),H57,"")</f>
        <v/>
      </c>
      <c r="I58" s="73" t="str">
        <f>IFERROR(F58-H58, "")</f>
        <v/>
      </c>
      <c r="J58" s="74" t="str">
        <f t="shared" si="3"/>
        <v/>
      </c>
    </row>
    <row r="59" spans="2:10" ht="16.149999999999999" customHeight="1" thickBot="1" x14ac:dyDescent="0.3">
      <c r="B59" s="90" t="str">
        <f>$B$27</f>
        <v>Scenario 2: One or more BRAF-inhibitor and MEK-inhibitor Combinations T2.</v>
      </c>
      <c r="C59" s="91"/>
      <c r="D59" s="91"/>
      <c r="E59" s="91"/>
      <c r="F59" s="91"/>
      <c r="G59" s="91"/>
      <c r="H59" s="91"/>
      <c r="I59" s="91"/>
      <c r="J59" s="91"/>
    </row>
    <row r="60" spans="2:10" x14ac:dyDescent="0.25">
      <c r="B60" s="93" t="s">
        <v>13</v>
      </c>
      <c r="C60" s="77" t="str">
        <f>C$28</f>
        <v>264OABMG1T21M</v>
      </c>
      <c r="D60" s="44" t="str">
        <f>D$28</f>
        <v>Tier 2</v>
      </c>
      <c r="E60" s="41" t="str">
        <f>E$28</f>
        <v>1 or more</v>
      </c>
      <c r="F60" s="66" t="str">
        <f>IF(NOT(ISBLANK(F58)),F58,"")</f>
        <v/>
      </c>
      <c r="G60" s="63"/>
      <c r="H60" s="68" t="str">
        <f>IF(NOT(ISBLANK(H58)),H58,"")</f>
        <v/>
      </c>
      <c r="I60" s="69" t="str">
        <f>IFERROR(F60-H60, "")</f>
        <v/>
      </c>
      <c r="J60" s="70" t="str">
        <f>IFERROR(((1+G60)*F60-H60), "")</f>
        <v/>
      </c>
    </row>
    <row r="61" spans="2:10" ht="16.5" thickBot="1" x14ac:dyDescent="0.3">
      <c r="B61" s="95"/>
      <c r="C61" s="78" t="str">
        <f>C$29</f>
        <v>264OABMG1T31M</v>
      </c>
      <c r="D61" s="45" t="str">
        <f>D$29</f>
        <v>Tier 3</v>
      </c>
      <c r="E61" s="43" t="str">
        <f>E$29</f>
        <v>1 or more</v>
      </c>
      <c r="F61" s="67" t="str">
        <f>IF(NOT(ISBLANK(F60)),F60,"")</f>
        <v/>
      </c>
      <c r="G61" s="64"/>
      <c r="H61" s="5" t="str">
        <f>IF(NOT(ISBLANK(H60)),H60,"")</f>
        <v/>
      </c>
      <c r="I61" s="73" t="str">
        <f>IFERROR(F61-H61, "")</f>
        <v/>
      </c>
      <c r="J61" s="74" t="str">
        <f>IFERROR(((1+G61)*F61-H61), "")</f>
        <v/>
      </c>
    </row>
    <row r="62" spans="2:10" ht="16.5" customHeight="1" thickBot="1" x14ac:dyDescent="0.3">
      <c r="D62" s="86"/>
      <c r="E62" s="79"/>
      <c r="F62" s="46"/>
      <c r="G62" s="142" t="s">
        <v>29</v>
      </c>
      <c r="H62" s="143"/>
      <c r="I62" s="143"/>
      <c r="J62" s="144"/>
    </row>
    <row r="63" spans="2:10" ht="16.149999999999999" customHeight="1" thickBot="1" x14ac:dyDescent="0.3"/>
    <row r="64" spans="2:10" x14ac:dyDescent="0.25">
      <c r="B64" s="99" t="str">
        <f>$B$16</f>
        <v>Additional Discount Program Appendix  – Class Review</v>
      </c>
      <c r="C64" s="100"/>
      <c r="D64" s="100"/>
      <c r="E64" s="100"/>
      <c r="F64" s="100"/>
      <c r="G64" s="100"/>
      <c r="H64" s="100"/>
      <c r="I64" s="100"/>
      <c r="J64" s="101"/>
    </row>
    <row r="65" spans="2:10" ht="16.5" thickBot="1" x14ac:dyDescent="0.3">
      <c r="B65" s="145"/>
      <c r="C65" s="146"/>
      <c r="D65" s="146"/>
      <c r="E65" s="146"/>
      <c r="F65" s="146"/>
      <c r="G65" s="146"/>
      <c r="H65" s="146"/>
      <c r="I65" s="146"/>
      <c r="J65" s="147"/>
    </row>
    <row r="66" spans="2:10" ht="16.5" thickBot="1" x14ac:dyDescent="0.3">
      <c r="B66" s="148" t="s">
        <v>16</v>
      </c>
      <c r="C66" s="28" t="s">
        <v>38</v>
      </c>
      <c r="D66" s="81"/>
      <c r="E66" s="150" t="str">
        <f>$D$3</f>
        <v>ONCOLOGICAL AGENTS</v>
      </c>
      <c r="F66" s="151"/>
      <c r="G66" s="145" t="s">
        <v>7</v>
      </c>
      <c r="H66" s="147"/>
      <c r="I66" s="152" t="str">
        <f>$H$3</f>
        <v>Aug 5-6, 2026</v>
      </c>
      <c r="J66" s="153"/>
    </row>
    <row r="67" spans="2:10" ht="16.5" thickBot="1" x14ac:dyDescent="0.3">
      <c r="B67" s="148"/>
      <c r="C67" s="29" t="s">
        <v>39</v>
      </c>
      <c r="D67" s="82"/>
      <c r="E67" s="154" t="str">
        <f>$D$4</f>
        <v>BRAF-MEK INHIBITORS</v>
      </c>
      <c r="F67" s="155"/>
      <c r="G67" s="156" t="s">
        <v>30</v>
      </c>
      <c r="H67" s="157"/>
      <c r="I67" s="158">
        <f>$H$4</f>
        <v>46202</v>
      </c>
      <c r="J67" s="159"/>
    </row>
    <row r="68" spans="2:10" ht="16.5" thickBot="1" x14ac:dyDescent="0.3">
      <c r="B68" s="148"/>
      <c r="C68" s="30" t="s">
        <v>0</v>
      </c>
      <c r="D68" s="83" t="s">
        <v>1</v>
      </c>
      <c r="E68" s="31" t="s">
        <v>2</v>
      </c>
      <c r="F68" s="31" t="s">
        <v>3</v>
      </c>
      <c r="G68" s="32" t="str">
        <f>$G$20</f>
        <v>Package Size</v>
      </c>
      <c r="H68" s="99" t="s">
        <v>33</v>
      </c>
      <c r="I68" s="100"/>
      <c r="J68" s="101"/>
    </row>
    <row r="69" spans="2:10" ht="16.5" thickBot="1" x14ac:dyDescent="0.3">
      <c r="B69" s="149"/>
      <c r="C69" s="33"/>
      <c r="D69" s="84"/>
      <c r="E69" s="34"/>
      <c r="F69" s="34"/>
      <c r="G69" s="35"/>
      <c r="H69" s="145"/>
      <c r="I69" s="146"/>
      <c r="J69" s="147"/>
    </row>
    <row r="70" spans="2:10" ht="48" thickBot="1" x14ac:dyDescent="0.3">
      <c r="B70" s="2" t="s">
        <v>9</v>
      </c>
      <c r="C70" s="36" t="s">
        <v>18</v>
      </c>
      <c r="D70" s="85" t="s">
        <v>5</v>
      </c>
      <c r="E70" s="76" t="s">
        <v>36</v>
      </c>
      <c r="F70" s="37" t="s">
        <v>21</v>
      </c>
      <c r="G70" s="38" t="s">
        <v>22</v>
      </c>
      <c r="H70" s="37" t="s">
        <v>23</v>
      </c>
      <c r="I70" s="39" t="s">
        <v>19</v>
      </c>
      <c r="J70" s="40" t="s">
        <v>20</v>
      </c>
    </row>
    <row r="71" spans="2:10" ht="16.149999999999999" customHeight="1" thickBot="1" x14ac:dyDescent="0.3">
      <c r="B71" s="140" t="str">
        <f>$B$23</f>
        <v>Scenario 1:  One BRAF-inhibitor and MEK-inhibitor Combination T2 and before the step.</v>
      </c>
      <c r="C71" s="141"/>
      <c r="D71" s="141"/>
      <c r="E71" s="141"/>
      <c r="F71" s="141"/>
      <c r="G71" s="141"/>
      <c r="H71" s="141"/>
      <c r="I71" s="141"/>
      <c r="J71" s="141"/>
    </row>
    <row r="72" spans="2:10" ht="31.5" x14ac:dyDescent="0.25">
      <c r="B72" s="111" t="s">
        <v>12</v>
      </c>
      <c r="C72" s="41" t="str">
        <f>C$24</f>
        <v>264OABMG1T2BS1</v>
      </c>
      <c r="D72" s="44" t="str">
        <f>D$24</f>
        <v>Tier 2
Before-Step Therapy</v>
      </c>
      <c r="E72" s="41">
        <f>E$24</f>
        <v>1</v>
      </c>
      <c r="F72" s="65"/>
      <c r="G72" s="63"/>
      <c r="H72" s="65"/>
      <c r="I72" s="69" t="str">
        <f>IF(NOT(ISBLANK(H72)),F72-H72,"")</f>
        <v/>
      </c>
      <c r="J72" s="70" t="str">
        <f>IF(NOT(ISBLANK(H72)),((1+G72)*F72-H72), "")</f>
        <v/>
      </c>
    </row>
    <row r="73" spans="2:10" ht="31.5" x14ac:dyDescent="0.25">
      <c r="B73" s="112"/>
      <c r="C73" s="42" t="str">
        <f>C$25</f>
        <v>264OABMG1T2AS1M</v>
      </c>
      <c r="D73" s="54" t="str">
        <f>D$25</f>
        <v>Tier 2
After-Step Therapy</v>
      </c>
      <c r="E73" s="42" t="str">
        <f>E$25</f>
        <v>1 or more</v>
      </c>
      <c r="F73" s="17" t="str">
        <f>IF(NOT(ISBLANK(F72)),F72,"")</f>
        <v/>
      </c>
      <c r="G73" s="16"/>
      <c r="H73" s="17" t="str">
        <f>IF(NOT(ISBLANK(H72)),H72,"")</f>
        <v/>
      </c>
      <c r="I73" s="71" t="str">
        <f>IFERROR(F73-H73, "")</f>
        <v/>
      </c>
      <c r="J73" s="72" t="str">
        <f t="shared" ref="J73:J74" si="4">IFERROR(((1+G73)*F73-H73), "")</f>
        <v/>
      </c>
    </row>
    <row r="74" spans="2:10" ht="32.25" thickBot="1" x14ac:dyDescent="0.3">
      <c r="B74" s="113"/>
      <c r="C74" s="43" t="str">
        <f>C$26</f>
        <v>264OABMG1T3AS1M</v>
      </c>
      <c r="D74" s="45" t="str">
        <f>D$26</f>
        <v>Tier 3
After-Step Therapy</v>
      </c>
      <c r="E74" s="43" t="str">
        <f>E$26</f>
        <v>1 or more</v>
      </c>
      <c r="F74" s="5" t="str">
        <f>IF(NOT(ISBLANK(F73)),F73,"")</f>
        <v/>
      </c>
      <c r="G74" s="64"/>
      <c r="H74" s="5" t="str">
        <f>IF(NOT(ISBLANK(H73)),H73,"")</f>
        <v/>
      </c>
      <c r="I74" s="73" t="str">
        <f>IFERROR(F74-H74, "")</f>
        <v/>
      </c>
      <c r="J74" s="74" t="str">
        <f t="shared" si="4"/>
        <v/>
      </c>
    </row>
    <row r="75" spans="2:10" ht="16.149999999999999" customHeight="1" thickBot="1" x14ac:dyDescent="0.3">
      <c r="B75" s="90" t="str">
        <f>$B$27</f>
        <v>Scenario 2: One or more BRAF-inhibitor and MEK-inhibitor Combinations T2.</v>
      </c>
      <c r="C75" s="91"/>
      <c r="D75" s="91"/>
      <c r="E75" s="91"/>
      <c r="F75" s="91"/>
      <c r="G75" s="91"/>
      <c r="H75" s="91"/>
      <c r="I75" s="91"/>
      <c r="J75" s="91"/>
    </row>
    <row r="76" spans="2:10" x14ac:dyDescent="0.25">
      <c r="B76" s="93" t="s">
        <v>13</v>
      </c>
      <c r="C76" s="77" t="str">
        <f>C$28</f>
        <v>264OABMG1T21M</v>
      </c>
      <c r="D76" s="44" t="str">
        <f>D$28</f>
        <v>Tier 2</v>
      </c>
      <c r="E76" s="41" t="str">
        <f>E$28</f>
        <v>1 or more</v>
      </c>
      <c r="F76" s="66" t="str">
        <f>IF(NOT(ISBLANK(F74)),F74,"")</f>
        <v/>
      </c>
      <c r="G76" s="63"/>
      <c r="H76" s="68" t="str">
        <f>IF(NOT(ISBLANK(H74)),H74,"")</f>
        <v/>
      </c>
      <c r="I76" s="69" t="str">
        <f>IFERROR(F76-H76, "")</f>
        <v/>
      </c>
      <c r="J76" s="70" t="str">
        <f>IFERROR(((1+G76)*F76-H76), "")</f>
        <v/>
      </c>
    </row>
    <row r="77" spans="2:10" ht="16.5" thickBot="1" x14ac:dyDescent="0.3">
      <c r="B77" s="95"/>
      <c r="C77" s="78" t="str">
        <f>C$29</f>
        <v>264OABMG1T31M</v>
      </c>
      <c r="D77" s="45" t="str">
        <f>D$29</f>
        <v>Tier 3</v>
      </c>
      <c r="E77" s="43" t="str">
        <f>E$29</f>
        <v>1 or more</v>
      </c>
      <c r="F77" s="67" t="str">
        <f>IF(NOT(ISBLANK(F76)),F76,"")</f>
        <v/>
      </c>
      <c r="G77" s="64"/>
      <c r="H77" s="5" t="str">
        <f>IF(NOT(ISBLANK(H76)),H76,"")</f>
        <v/>
      </c>
      <c r="I77" s="73" t="str">
        <f>IFERROR(F77-H77, "")</f>
        <v/>
      </c>
      <c r="J77" s="74" t="str">
        <f>IFERROR(((1+G77)*F77-H77), "")</f>
        <v/>
      </c>
    </row>
    <row r="78" spans="2:10" ht="16.5" customHeight="1" thickBot="1" x14ac:dyDescent="0.3">
      <c r="D78" s="86"/>
      <c r="E78" s="79"/>
      <c r="F78" s="46"/>
      <c r="G78" s="142" t="s">
        <v>29</v>
      </c>
      <c r="H78" s="143"/>
      <c r="I78" s="143"/>
      <c r="J78" s="144"/>
    </row>
    <row r="79" spans="2:10" ht="16.5" thickBot="1" x14ac:dyDescent="0.3"/>
    <row r="80" spans="2:10" x14ac:dyDescent="0.25">
      <c r="B80" s="99" t="str">
        <f>$B$16</f>
        <v>Additional Discount Program Appendix  – Class Review</v>
      </c>
      <c r="C80" s="100"/>
      <c r="D80" s="100"/>
      <c r="E80" s="100"/>
      <c r="F80" s="100"/>
      <c r="G80" s="100"/>
      <c r="H80" s="100"/>
      <c r="I80" s="100"/>
      <c r="J80" s="101"/>
    </row>
    <row r="81" spans="2:10" ht="16.5" thickBot="1" x14ac:dyDescent="0.3">
      <c r="B81" s="145"/>
      <c r="C81" s="146"/>
      <c r="D81" s="146"/>
      <c r="E81" s="146"/>
      <c r="F81" s="146"/>
      <c r="G81" s="146"/>
      <c r="H81" s="146"/>
      <c r="I81" s="146"/>
      <c r="J81" s="147"/>
    </row>
    <row r="82" spans="2:10" ht="16.5" thickBot="1" x14ac:dyDescent="0.3">
      <c r="B82" s="148" t="s">
        <v>17</v>
      </c>
      <c r="C82" s="28" t="s">
        <v>38</v>
      </c>
      <c r="D82" s="81"/>
      <c r="E82" s="150" t="str">
        <f>$D$3</f>
        <v>ONCOLOGICAL AGENTS</v>
      </c>
      <c r="F82" s="151"/>
      <c r="G82" s="145" t="s">
        <v>7</v>
      </c>
      <c r="H82" s="147"/>
      <c r="I82" s="152" t="str">
        <f>$H$3</f>
        <v>Aug 5-6, 2026</v>
      </c>
      <c r="J82" s="153"/>
    </row>
    <row r="83" spans="2:10" ht="16.5" thickBot="1" x14ac:dyDescent="0.3">
      <c r="B83" s="148"/>
      <c r="C83" s="29" t="s">
        <v>39</v>
      </c>
      <c r="D83" s="82"/>
      <c r="E83" s="154" t="str">
        <f>$D$4</f>
        <v>BRAF-MEK INHIBITORS</v>
      </c>
      <c r="F83" s="155"/>
      <c r="G83" s="156" t="s">
        <v>30</v>
      </c>
      <c r="H83" s="157"/>
      <c r="I83" s="158">
        <f>$H$4</f>
        <v>46202</v>
      </c>
      <c r="J83" s="159"/>
    </row>
    <row r="84" spans="2:10" ht="16.5" thickBot="1" x14ac:dyDescent="0.3">
      <c r="B84" s="148"/>
      <c r="C84" s="30" t="s">
        <v>0</v>
      </c>
      <c r="D84" s="83" t="s">
        <v>1</v>
      </c>
      <c r="E84" s="31" t="s">
        <v>2</v>
      </c>
      <c r="F84" s="31" t="s">
        <v>3</v>
      </c>
      <c r="G84" s="32" t="str">
        <f>$G$20</f>
        <v>Package Size</v>
      </c>
      <c r="H84" s="99" t="s">
        <v>33</v>
      </c>
      <c r="I84" s="100"/>
      <c r="J84" s="101"/>
    </row>
    <row r="85" spans="2:10" ht="16.149999999999999" customHeight="1" thickBot="1" x14ac:dyDescent="0.3">
      <c r="B85" s="149"/>
      <c r="C85" s="33"/>
      <c r="D85" s="84"/>
      <c r="E85" s="34"/>
      <c r="F85" s="34"/>
      <c r="G85" s="35"/>
      <c r="H85" s="145"/>
      <c r="I85" s="146"/>
      <c r="J85" s="147"/>
    </row>
    <row r="86" spans="2:10" ht="48" thickBot="1" x14ac:dyDescent="0.3">
      <c r="B86" s="2" t="s">
        <v>9</v>
      </c>
      <c r="C86" s="36" t="s">
        <v>18</v>
      </c>
      <c r="D86" s="85" t="s">
        <v>5</v>
      </c>
      <c r="E86" s="76" t="s">
        <v>36</v>
      </c>
      <c r="F86" s="37" t="s">
        <v>21</v>
      </c>
      <c r="G86" s="38" t="s">
        <v>22</v>
      </c>
      <c r="H86" s="37" t="s">
        <v>23</v>
      </c>
      <c r="I86" s="39" t="s">
        <v>19</v>
      </c>
      <c r="J86" s="40" t="s">
        <v>20</v>
      </c>
    </row>
    <row r="87" spans="2:10" ht="16.5" thickBot="1" x14ac:dyDescent="0.3">
      <c r="B87" s="140" t="str">
        <f>$B$23</f>
        <v>Scenario 1:  One BRAF-inhibitor and MEK-inhibitor Combination T2 and before the step.</v>
      </c>
      <c r="C87" s="141"/>
      <c r="D87" s="141"/>
      <c r="E87" s="141"/>
      <c r="F87" s="141"/>
      <c r="G87" s="141"/>
      <c r="H87" s="141"/>
      <c r="I87" s="141"/>
      <c r="J87" s="141"/>
    </row>
    <row r="88" spans="2:10" ht="31.5" x14ac:dyDescent="0.25">
      <c r="B88" s="111" t="s">
        <v>12</v>
      </c>
      <c r="C88" s="41" t="str">
        <f>C$24</f>
        <v>264OABMG1T2BS1</v>
      </c>
      <c r="D88" s="44" t="str">
        <f>D$24</f>
        <v>Tier 2
Before-Step Therapy</v>
      </c>
      <c r="E88" s="41">
        <f>E$24</f>
        <v>1</v>
      </c>
      <c r="F88" s="65"/>
      <c r="G88" s="63"/>
      <c r="H88" s="65"/>
      <c r="I88" s="69" t="str">
        <f>IF(NOT(ISBLANK(H88)),F88-H88,"")</f>
        <v/>
      </c>
      <c r="J88" s="70" t="str">
        <f>IF(NOT(ISBLANK(H88)),((1+G88)*F88-H88), "")</f>
        <v/>
      </c>
    </row>
    <row r="89" spans="2:10" ht="31.5" x14ac:dyDescent="0.25">
      <c r="B89" s="112"/>
      <c r="C89" s="42" t="str">
        <f>C$25</f>
        <v>264OABMG1T2AS1M</v>
      </c>
      <c r="D89" s="54" t="str">
        <f>D$25</f>
        <v>Tier 2
After-Step Therapy</v>
      </c>
      <c r="E89" s="42" t="str">
        <f>E$25</f>
        <v>1 or more</v>
      </c>
      <c r="F89" s="17" t="str">
        <f>IF(NOT(ISBLANK(F88)),F88,"")</f>
        <v/>
      </c>
      <c r="G89" s="16"/>
      <c r="H89" s="17" t="str">
        <f>IF(NOT(ISBLANK(H88)),H88,"")</f>
        <v/>
      </c>
      <c r="I89" s="71" t="str">
        <f>IFERROR(F89-H89, "")</f>
        <v/>
      </c>
      <c r="J89" s="72" t="str">
        <f t="shared" ref="J89:J90" si="5">IFERROR(((1+G89)*F89-H89), "")</f>
        <v/>
      </c>
    </row>
    <row r="90" spans="2:10" ht="32.25" thickBot="1" x14ac:dyDescent="0.3">
      <c r="B90" s="113"/>
      <c r="C90" s="43" t="str">
        <f>C$26</f>
        <v>264OABMG1T3AS1M</v>
      </c>
      <c r="D90" s="45" t="str">
        <f>D$26</f>
        <v>Tier 3
After-Step Therapy</v>
      </c>
      <c r="E90" s="43" t="str">
        <f>E$26</f>
        <v>1 or more</v>
      </c>
      <c r="F90" s="5" t="str">
        <f>IF(NOT(ISBLANK(F89)),F89,"")</f>
        <v/>
      </c>
      <c r="G90" s="64"/>
      <c r="H90" s="5" t="str">
        <f>IF(NOT(ISBLANK(H89)),H89,"")</f>
        <v/>
      </c>
      <c r="I90" s="73" t="str">
        <f>IFERROR(F90-H90, "")</f>
        <v/>
      </c>
      <c r="J90" s="74" t="str">
        <f t="shared" si="5"/>
        <v/>
      </c>
    </row>
    <row r="91" spans="2:10" ht="16.149999999999999" customHeight="1" thickBot="1" x14ac:dyDescent="0.3">
      <c r="B91" s="90" t="str">
        <f>$B$27</f>
        <v>Scenario 2: One or more BRAF-inhibitor and MEK-inhibitor Combinations T2.</v>
      </c>
      <c r="C91" s="91"/>
      <c r="D91" s="91"/>
      <c r="E91" s="91"/>
      <c r="F91" s="91"/>
      <c r="G91" s="91"/>
      <c r="H91" s="91"/>
      <c r="I91" s="91"/>
      <c r="J91" s="91"/>
    </row>
    <row r="92" spans="2:10" x14ac:dyDescent="0.25">
      <c r="B92" s="93" t="s">
        <v>13</v>
      </c>
      <c r="C92" s="77" t="str">
        <f>C$28</f>
        <v>264OABMG1T21M</v>
      </c>
      <c r="D92" s="44" t="str">
        <f>D$28</f>
        <v>Tier 2</v>
      </c>
      <c r="E92" s="41" t="str">
        <f>E$28</f>
        <v>1 or more</v>
      </c>
      <c r="F92" s="66" t="str">
        <f>IF(NOT(ISBLANK(F90)),F90,"")</f>
        <v/>
      </c>
      <c r="G92" s="63"/>
      <c r="H92" s="68" t="str">
        <f>IF(NOT(ISBLANK(H90)),H90,"")</f>
        <v/>
      </c>
      <c r="I92" s="69" t="str">
        <f>IFERROR(F92-H92, "")</f>
        <v/>
      </c>
      <c r="J92" s="70" t="str">
        <f>IFERROR(((1+G92)*F92-H92), "")</f>
        <v/>
      </c>
    </row>
    <row r="93" spans="2:10" ht="16.5" thickBot="1" x14ac:dyDescent="0.3">
      <c r="B93" s="95"/>
      <c r="C93" s="78" t="str">
        <f>C$29</f>
        <v>264OABMG1T31M</v>
      </c>
      <c r="D93" s="45" t="str">
        <f>D$29</f>
        <v>Tier 3</v>
      </c>
      <c r="E93" s="43" t="str">
        <f>E$29</f>
        <v>1 or more</v>
      </c>
      <c r="F93" s="67" t="str">
        <f>IF(NOT(ISBLANK(F92)),F92,"")</f>
        <v/>
      </c>
      <c r="G93" s="64"/>
      <c r="H93" s="5" t="str">
        <f>IF(NOT(ISBLANK(H92)),H92,"")</f>
        <v/>
      </c>
      <c r="I93" s="73" t="str">
        <f>IFERROR(F93-H93, "")</f>
        <v/>
      </c>
      <c r="J93" s="74" t="str">
        <f>IFERROR(((1+G93)*F93-H93), "")</f>
        <v/>
      </c>
    </row>
    <row r="94" spans="2:10" ht="16.5" customHeight="1" thickBot="1" x14ac:dyDescent="0.3">
      <c r="D94" s="86"/>
      <c r="E94" s="79"/>
      <c r="F94" s="46"/>
      <c r="G94" s="142" t="s">
        <v>29</v>
      </c>
      <c r="H94" s="143"/>
      <c r="I94" s="143"/>
      <c r="J94" s="144"/>
    </row>
    <row r="95" spans="2:10" ht="16.5" thickBot="1" x14ac:dyDescent="0.3"/>
    <row r="96" spans="2:10" x14ac:dyDescent="0.25">
      <c r="B96" s="99" t="str">
        <f>$B$16</f>
        <v>Additional Discount Program Appendix  – Class Review</v>
      </c>
      <c r="C96" s="100"/>
      <c r="D96" s="100"/>
      <c r="E96" s="100"/>
      <c r="F96" s="100"/>
      <c r="G96" s="100"/>
      <c r="H96" s="100"/>
      <c r="I96" s="100"/>
      <c r="J96" s="101"/>
    </row>
    <row r="97" spans="2:10" ht="16.5" thickBot="1" x14ac:dyDescent="0.3">
      <c r="B97" s="145"/>
      <c r="C97" s="146"/>
      <c r="D97" s="146"/>
      <c r="E97" s="146"/>
      <c r="F97" s="146"/>
      <c r="G97" s="146"/>
      <c r="H97" s="146"/>
      <c r="I97" s="146"/>
      <c r="J97" s="147"/>
    </row>
    <row r="98" spans="2:10" ht="16.5" thickBot="1" x14ac:dyDescent="0.3">
      <c r="B98" s="148" t="s">
        <v>24</v>
      </c>
      <c r="C98" s="28" t="s">
        <v>38</v>
      </c>
      <c r="D98" s="81"/>
      <c r="E98" s="150" t="str">
        <f>$D$3</f>
        <v>ONCOLOGICAL AGENTS</v>
      </c>
      <c r="F98" s="151"/>
      <c r="G98" s="145" t="s">
        <v>7</v>
      </c>
      <c r="H98" s="147"/>
      <c r="I98" s="152" t="str">
        <f>$H$3</f>
        <v>Aug 5-6, 2026</v>
      </c>
      <c r="J98" s="153"/>
    </row>
    <row r="99" spans="2:10" ht="16.149999999999999" customHeight="1" thickBot="1" x14ac:dyDescent="0.3">
      <c r="B99" s="148"/>
      <c r="C99" s="29" t="s">
        <v>39</v>
      </c>
      <c r="D99" s="82"/>
      <c r="E99" s="154" t="str">
        <f>$D$4</f>
        <v>BRAF-MEK INHIBITORS</v>
      </c>
      <c r="F99" s="155"/>
      <c r="G99" s="156" t="s">
        <v>30</v>
      </c>
      <c r="H99" s="157"/>
      <c r="I99" s="158">
        <f>$H$4</f>
        <v>46202</v>
      </c>
      <c r="J99" s="159"/>
    </row>
    <row r="100" spans="2:10" ht="16.5" thickBot="1" x14ac:dyDescent="0.3">
      <c r="B100" s="148"/>
      <c r="C100" s="30" t="s">
        <v>0</v>
      </c>
      <c r="D100" s="83" t="s">
        <v>1</v>
      </c>
      <c r="E100" s="31" t="s">
        <v>2</v>
      </c>
      <c r="F100" s="31" t="s">
        <v>3</v>
      </c>
      <c r="G100" s="32" t="str">
        <f>$G$20</f>
        <v>Package Size</v>
      </c>
      <c r="H100" s="99" t="s">
        <v>33</v>
      </c>
      <c r="I100" s="100"/>
      <c r="J100" s="101"/>
    </row>
    <row r="101" spans="2:10" ht="16.5" thickBot="1" x14ac:dyDescent="0.3">
      <c r="B101" s="149"/>
      <c r="C101" s="33"/>
      <c r="D101" s="84"/>
      <c r="E101" s="34"/>
      <c r="F101" s="34"/>
      <c r="G101" s="35"/>
      <c r="H101" s="145"/>
      <c r="I101" s="146"/>
      <c r="J101" s="147"/>
    </row>
    <row r="102" spans="2:10" ht="48" thickBot="1" x14ac:dyDescent="0.3">
      <c r="B102" s="2" t="s">
        <v>9</v>
      </c>
      <c r="C102" s="36" t="s">
        <v>18</v>
      </c>
      <c r="D102" s="85" t="s">
        <v>5</v>
      </c>
      <c r="E102" s="76" t="s">
        <v>36</v>
      </c>
      <c r="F102" s="37" t="s">
        <v>21</v>
      </c>
      <c r="G102" s="38" t="s">
        <v>22</v>
      </c>
      <c r="H102" s="37" t="s">
        <v>23</v>
      </c>
      <c r="I102" s="39" t="s">
        <v>19</v>
      </c>
      <c r="J102" s="40" t="s">
        <v>20</v>
      </c>
    </row>
    <row r="103" spans="2:10" ht="16.5" thickBot="1" x14ac:dyDescent="0.3">
      <c r="B103" s="140" t="str">
        <f>$B$23</f>
        <v>Scenario 1:  One BRAF-inhibitor and MEK-inhibitor Combination T2 and before the step.</v>
      </c>
      <c r="C103" s="141"/>
      <c r="D103" s="141"/>
      <c r="E103" s="141"/>
      <c r="F103" s="141"/>
      <c r="G103" s="141"/>
      <c r="H103" s="141"/>
      <c r="I103" s="141"/>
      <c r="J103" s="141"/>
    </row>
    <row r="104" spans="2:10" ht="31.5" x14ac:dyDescent="0.25">
      <c r="B104" s="111" t="s">
        <v>12</v>
      </c>
      <c r="C104" s="41" t="str">
        <f>C$24</f>
        <v>264OABMG1T2BS1</v>
      </c>
      <c r="D104" s="44" t="str">
        <f>D$24</f>
        <v>Tier 2
Before-Step Therapy</v>
      </c>
      <c r="E104" s="41">
        <f>E$24</f>
        <v>1</v>
      </c>
      <c r="F104" s="65"/>
      <c r="G104" s="63"/>
      <c r="H104" s="65"/>
      <c r="I104" s="69" t="str">
        <f>IF(NOT(ISBLANK(H104)),F104-H104,"")</f>
        <v/>
      </c>
      <c r="J104" s="70" t="str">
        <f>IF(NOT(ISBLANK(H104)),((1+G104)*F104-H104), "")</f>
        <v/>
      </c>
    </row>
    <row r="105" spans="2:10" ht="31.5" x14ac:dyDescent="0.25">
      <c r="B105" s="112"/>
      <c r="C105" s="42" t="str">
        <f>C$25</f>
        <v>264OABMG1T2AS1M</v>
      </c>
      <c r="D105" s="54" t="str">
        <f>D$25</f>
        <v>Tier 2
After-Step Therapy</v>
      </c>
      <c r="E105" s="42" t="str">
        <f>E$25</f>
        <v>1 or more</v>
      </c>
      <c r="F105" s="17" t="str">
        <f>IF(NOT(ISBLANK(F104)),F104,"")</f>
        <v/>
      </c>
      <c r="G105" s="16"/>
      <c r="H105" s="17" t="str">
        <f>IF(NOT(ISBLANK(H104)),H104,"")</f>
        <v/>
      </c>
      <c r="I105" s="71" t="str">
        <f>IFERROR(F105-H105, "")</f>
        <v/>
      </c>
      <c r="J105" s="72" t="str">
        <f t="shared" ref="J105:J106" si="6">IFERROR(((1+G105)*F105-H105), "")</f>
        <v/>
      </c>
    </row>
    <row r="106" spans="2:10" ht="32.25" thickBot="1" x14ac:dyDescent="0.3">
      <c r="B106" s="113"/>
      <c r="C106" s="43" t="str">
        <f>C$26</f>
        <v>264OABMG1T3AS1M</v>
      </c>
      <c r="D106" s="45" t="str">
        <f>D$26</f>
        <v>Tier 3
After-Step Therapy</v>
      </c>
      <c r="E106" s="43" t="str">
        <f>E$26</f>
        <v>1 or more</v>
      </c>
      <c r="F106" s="5" t="str">
        <f>IF(NOT(ISBLANK(F105)),F105,"")</f>
        <v/>
      </c>
      <c r="G106" s="64"/>
      <c r="H106" s="5" t="str">
        <f>IF(NOT(ISBLANK(H105)),H105,"")</f>
        <v/>
      </c>
      <c r="I106" s="73" t="str">
        <f>IFERROR(F106-H106, "")</f>
        <v/>
      </c>
      <c r="J106" s="74" t="str">
        <f t="shared" si="6"/>
        <v/>
      </c>
    </row>
    <row r="107" spans="2:10" ht="16.149999999999999" customHeight="1" thickBot="1" x14ac:dyDescent="0.3">
      <c r="B107" s="90" t="str">
        <f>$B$27</f>
        <v>Scenario 2: One or more BRAF-inhibitor and MEK-inhibitor Combinations T2.</v>
      </c>
      <c r="C107" s="91"/>
      <c r="D107" s="91"/>
      <c r="E107" s="91"/>
      <c r="F107" s="91"/>
      <c r="G107" s="91"/>
      <c r="H107" s="91"/>
      <c r="I107" s="91"/>
      <c r="J107" s="91"/>
    </row>
    <row r="108" spans="2:10" x14ac:dyDescent="0.25">
      <c r="B108" s="93" t="s">
        <v>13</v>
      </c>
      <c r="C108" s="77" t="str">
        <f>C$28</f>
        <v>264OABMG1T21M</v>
      </c>
      <c r="D108" s="44" t="str">
        <f>D$28</f>
        <v>Tier 2</v>
      </c>
      <c r="E108" s="41" t="str">
        <f>E$28</f>
        <v>1 or more</v>
      </c>
      <c r="F108" s="66" t="str">
        <f>IF(NOT(ISBLANK(F106)),F106,"")</f>
        <v/>
      </c>
      <c r="G108" s="63"/>
      <c r="H108" s="68" t="str">
        <f>IF(NOT(ISBLANK(H106)),H106,"")</f>
        <v/>
      </c>
      <c r="I108" s="69" t="str">
        <f>IFERROR(F108-H108, "")</f>
        <v/>
      </c>
      <c r="J108" s="70" t="str">
        <f>IFERROR(((1+G108)*F108-H108), "")</f>
        <v/>
      </c>
    </row>
    <row r="109" spans="2:10" ht="16.5" thickBot="1" x14ac:dyDescent="0.3">
      <c r="B109" s="95"/>
      <c r="C109" s="78" t="str">
        <f>C$29</f>
        <v>264OABMG1T31M</v>
      </c>
      <c r="D109" s="45" t="str">
        <f>D$29</f>
        <v>Tier 3</v>
      </c>
      <c r="E109" s="43" t="str">
        <f>E$29</f>
        <v>1 or more</v>
      </c>
      <c r="F109" s="67" t="str">
        <f>IF(NOT(ISBLANK(F108)),F108,"")</f>
        <v/>
      </c>
      <c r="G109" s="64"/>
      <c r="H109" s="5" t="str">
        <f>IF(NOT(ISBLANK(H108)),H108,"")</f>
        <v/>
      </c>
      <c r="I109" s="73" t="str">
        <f>IFERROR(F109-H109, "")</f>
        <v/>
      </c>
      <c r="J109" s="74" t="str">
        <f>IFERROR(((1+G109)*F109-H109), "")</f>
        <v/>
      </c>
    </row>
    <row r="110" spans="2:10" ht="16.5" customHeight="1" thickBot="1" x14ac:dyDescent="0.3">
      <c r="D110" s="86"/>
      <c r="E110" s="79"/>
      <c r="F110" s="46"/>
      <c r="G110" s="142" t="s">
        <v>29</v>
      </c>
      <c r="H110" s="143"/>
      <c r="I110" s="143"/>
      <c r="J110" s="144"/>
    </row>
    <row r="111" spans="2:10" ht="16.5" thickBot="1" x14ac:dyDescent="0.3"/>
    <row r="112" spans="2:10" x14ac:dyDescent="0.25">
      <c r="B112" s="99" t="str">
        <f>$B$16</f>
        <v>Additional Discount Program Appendix  – Class Review</v>
      </c>
      <c r="C112" s="100"/>
      <c r="D112" s="100"/>
      <c r="E112" s="100"/>
      <c r="F112" s="100"/>
      <c r="G112" s="100"/>
      <c r="H112" s="100"/>
      <c r="I112" s="100"/>
      <c r="J112" s="101"/>
    </row>
    <row r="113" spans="2:10" ht="16.149999999999999" customHeight="1" thickBot="1" x14ac:dyDescent="0.3">
      <c r="B113" s="145"/>
      <c r="C113" s="146"/>
      <c r="D113" s="146"/>
      <c r="E113" s="146"/>
      <c r="F113" s="146"/>
      <c r="G113" s="146"/>
      <c r="H113" s="146"/>
      <c r="I113" s="146"/>
      <c r="J113" s="147"/>
    </row>
    <row r="114" spans="2:10" ht="16.5" thickBot="1" x14ac:dyDescent="0.3">
      <c r="B114" s="148" t="s">
        <v>25</v>
      </c>
      <c r="C114" s="28" t="s">
        <v>38</v>
      </c>
      <c r="D114" s="81"/>
      <c r="E114" s="150" t="str">
        <f>$D$3</f>
        <v>ONCOLOGICAL AGENTS</v>
      </c>
      <c r="F114" s="151"/>
      <c r="G114" s="145" t="s">
        <v>7</v>
      </c>
      <c r="H114" s="147"/>
      <c r="I114" s="152" t="str">
        <f>$H$3</f>
        <v>Aug 5-6, 2026</v>
      </c>
      <c r="J114" s="153"/>
    </row>
    <row r="115" spans="2:10" ht="16.5" thickBot="1" x14ac:dyDescent="0.3">
      <c r="B115" s="148"/>
      <c r="C115" s="29" t="s">
        <v>39</v>
      </c>
      <c r="D115" s="82"/>
      <c r="E115" s="154" t="str">
        <f>$D$4</f>
        <v>BRAF-MEK INHIBITORS</v>
      </c>
      <c r="F115" s="155"/>
      <c r="G115" s="156" t="s">
        <v>30</v>
      </c>
      <c r="H115" s="157"/>
      <c r="I115" s="158">
        <f>$H$4</f>
        <v>46202</v>
      </c>
      <c r="J115" s="159"/>
    </row>
    <row r="116" spans="2:10" ht="16.5" thickBot="1" x14ac:dyDescent="0.3">
      <c r="B116" s="148"/>
      <c r="C116" s="30" t="s">
        <v>0</v>
      </c>
      <c r="D116" s="83" t="s">
        <v>1</v>
      </c>
      <c r="E116" s="31" t="s">
        <v>2</v>
      </c>
      <c r="F116" s="31" t="s">
        <v>3</v>
      </c>
      <c r="G116" s="32" t="str">
        <f>$G$20</f>
        <v>Package Size</v>
      </c>
      <c r="H116" s="99" t="s">
        <v>33</v>
      </c>
      <c r="I116" s="100"/>
      <c r="J116" s="101"/>
    </row>
    <row r="117" spans="2:10" ht="16.5" thickBot="1" x14ac:dyDescent="0.3">
      <c r="B117" s="149"/>
      <c r="C117" s="33"/>
      <c r="D117" s="84"/>
      <c r="E117" s="34"/>
      <c r="F117" s="34"/>
      <c r="G117" s="35"/>
      <c r="H117" s="145"/>
      <c r="I117" s="146"/>
      <c r="J117" s="147"/>
    </row>
    <row r="118" spans="2:10" ht="16.149999999999999" customHeight="1" thickBot="1" x14ac:dyDescent="0.3">
      <c r="B118" s="2" t="s">
        <v>9</v>
      </c>
      <c r="C118" s="36" t="s">
        <v>18</v>
      </c>
      <c r="D118" s="85" t="s">
        <v>5</v>
      </c>
      <c r="E118" s="76" t="s">
        <v>36</v>
      </c>
      <c r="F118" s="37" t="s">
        <v>21</v>
      </c>
      <c r="G118" s="38" t="s">
        <v>22</v>
      </c>
      <c r="H118" s="37" t="s">
        <v>23</v>
      </c>
      <c r="I118" s="39" t="s">
        <v>19</v>
      </c>
      <c r="J118" s="40" t="s">
        <v>20</v>
      </c>
    </row>
    <row r="119" spans="2:10" ht="16.5" thickBot="1" x14ac:dyDescent="0.3">
      <c r="B119" s="140" t="str">
        <f>$B$23</f>
        <v>Scenario 1:  One BRAF-inhibitor and MEK-inhibitor Combination T2 and before the step.</v>
      </c>
      <c r="C119" s="141"/>
      <c r="D119" s="141"/>
      <c r="E119" s="141"/>
      <c r="F119" s="141"/>
      <c r="G119" s="141"/>
      <c r="H119" s="141"/>
      <c r="I119" s="141"/>
      <c r="J119" s="160"/>
    </row>
    <row r="120" spans="2:10" ht="31.5" x14ac:dyDescent="0.25">
      <c r="B120" s="111" t="s">
        <v>12</v>
      </c>
      <c r="C120" s="41" t="str">
        <f>C$24</f>
        <v>264OABMG1T2BS1</v>
      </c>
      <c r="D120" s="44" t="str">
        <f>D$24</f>
        <v>Tier 2
Before-Step Therapy</v>
      </c>
      <c r="E120" s="41">
        <f>E$24</f>
        <v>1</v>
      </c>
      <c r="F120" s="65"/>
      <c r="G120" s="63"/>
      <c r="H120" s="65"/>
      <c r="I120" s="69" t="str">
        <f>IF(NOT(ISBLANK(H120)),F120-H120,"")</f>
        <v/>
      </c>
      <c r="J120" s="70" t="str">
        <f>IF(NOT(ISBLANK(H120)),((1+G120)*F120-H120), "")</f>
        <v/>
      </c>
    </row>
    <row r="121" spans="2:10" ht="31.5" x14ac:dyDescent="0.25">
      <c r="B121" s="112"/>
      <c r="C121" s="42" t="str">
        <f>C$25</f>
        <v>264OABMG1T2AS1M</v>
      </c>
      <c r="D121" s="54" t="str">
        <f>D$25</f>
        <v>Tier 2
After-Step Therapy</v>
      </c>
      <c r="E121" s="42" t="str">
        <f>E$25</f>
        <v>1 or more</v>
      </c>
      <c r="F121" s="17" t="str">
        <f>IF(NOT(ISBLANK(F120)),F120,"")</f>
        <v/>
      </c>
      <c r="G121" s="16"/>
      <c r="H121" s="17" t="str">
        <f>IF(NOT(ISBLANK(H120)),H120,"")</f>
        <v/>
      </c>
      <c r="I121" s="71" t="str">
        <f>IFERROR(F121-H121, "")</f>
        <v/>
      </c>
      <c r="J121" s="72" t="str">
        <f t="shared" ref="J121:J122" si="7">IFERROR(((1+G121)*F121-H121), "")</f>
        <v/>
      </c>
    </row>
    <row r="122" spans="2:10" ht="32.25" thickBot="1" x14ac:dyDescent="0.3">
      <c r="B122" s="113"/>
      <c r="C122" s="43" t="str">
        <f>C$26</f>
        <v>264OABMG1T3AS1M</v>
      </c>
      <c r="D122" s="45" t="str">
        <f>D$26</f>
        <v>Tier 3
After-Step Therapy</v>
      </c>
      <c r="E122" s="43" t="str">
        <f>E$26</f>
        <v>1 or more</v>
      </c>
      <c r="F122" s="5" t="str">
        <f>IF(NOT(ISBLANK(F121)),F121,"")</f>
        <v/>
      </c>
      <c r="G122" s="64"/>
      <c r="H122" s="5" t="str">
        <f>IF(NOT(ISBLANK(H121)),H121,"")</f>
        <v/>
      </c>
      <c r="I122" s="73" t="str">
        <f>IFERROR(F122-H122, "")</f>
        <v/>
      </c>
      <c r="J122" s="74" t="str">
        <f t="shared" si="7"/>
        <v/>
      </c>
    </row>
    <row r="123" spans="2:10" ht="16.149999999999999" customHeight="1" thickBot="1" x14ac:dyDescent="0.3">
      <c r="B123" s="90" t="str">
        <f>$B$27</f>
        <v>Scenario 2: One or more BRAF-inhibitor and MEK-inhibitor Combinations T2.</v>
      </c>
      <c r="C123" s="91"/>
      <c r="D123" s="91"/>
      <c r="E123" s="91"/>
      <c r="F123" s="91"/>
      <c r="G123" s="91"/>
      <c r="H123" s="91"/>
      <c r="I123" s="91"/>
      <c r="J123" s="91"/>
    </row>
    <row r="124" spans="2:10" x14ac:dyDescent="0.25">
      <c r="B124" s="93" t="s">
        <v>13</v>
      </c>
      <c r="C124" s="77" t="str">
        <f>C$28</f>
        <v>264OABMG1T21M</v>
      </c>
      <c r="D124" s="44" t="str">
        <f>D$28</f>
        <v>Tier 2</v>
      </c>
      <c r="E124" s="41" t="str">
        <f>E$28</f>
        <v>1 or more</v>
      </c>
      <c r="F124" s="66" t="str">
        <f>IF(NOT(ISBLANK(F122)),F122,"")</f>
        <v/>
      </c>
      <c r="G124" s="63"/>
      <c r="H124" s="68" t="str">
        <f>IF(NOT(ISBLANK(H122)),H122,"")</f>
        <v/>
      </c>
      <c r="I124" s="69" t="str">
        <f>IFERROR(F124-H124, "")</f>
        <v/>
      </c>
      <c r="J124" s="70" t="str">
        <f>IFERROR(((1+G124)*F124-H124), "")</f>
        <v/>
      </c>
    </row>
    <row r="125" spans="2:10" ht="16.5" thickBot="1" x14ac:dyDescent="0.3">
      <c r="B125" s="95"/>
      <c r="C125" s="78" t="str">
        <f>C$29</f>
        <v>264OABMG1T31M</v>
      </c>
      <c r="D125" s="45" t="str">
        <f>D$29</f>
        <v>Tier 3</v>
      </c>
      <c r="E125" s="43" t="str">
        <f>E$29</f>
        <v>1 or more</v>
      </c>
      <c r="F125" s="67" t="str">
        <f>IF(NOT(ISBLANK(F124)),F124,"")</f>
        <v/>
      </c>
      <c r="G125" s="64"/>
      <c r="H125" s="5" t="str">
        <f>IF(NOT(ISBLANK(H124)),H124,"")</f>
        <v/>
      </c>
      <c r="I125" s="73" t="str">
        <f>IFERROR(F125-H125, "")</f>
        <v/>
      </c>
      <c r="J125" s="74" t="str">
        <f>IFERROR(((1+G125)*F125-H125), "")</f>
        <v/>
      </c>
    </row>
    <row r="126" spans="2:10" ht="16.5" customHeight="1" thickBot="1" x14ac:dyDescent="0.3">
      <c r="D126" s="86"/>
      <c r="E126" s="79"/>
      <c r="F126" s="46"/>
      <c r="G126" s="142" t="s">
        <v>29</v>
      </c>
      <c r="H126" s="143"/>
      <c r="I126" s="143"/>
      <c r="J126" s="144"/>
    </row>
    <row r="127" spans="2:10" ht="16.149999999999999" customHeight="1" thickBot="1" x14ac:dyDescent="0.3"/>
    <row r="128" spans="2:10" x14ac:dyDescent="0.25">
      <c r="B128" s="99" t="str">
        <f>$B$16</f>
        <v>Additional Discount Program Appendix  – Class Review</v>
      </c>
      <c r="C128" s="100"/>
      <c r="D128" s="100"/>
      <c r="E128" s="100"/>
      <c r="F128" s="100"/>
      <c r="G128" s="100"/>
      <c r="H128" s="100"/>
      <c r="I128" s="100"/>
      <c r="J128" s="101"/>
    </row>
    <row r="129" spans="2:10" ht="16.5" thickBot="1" x14ac:dyDescent="0.3">
      <c r="B129" s="145"/>
      <c r="C129" s="146"/>
      <c r="D129" s="146"/>
      <c r="E129" s="146"/>
      <c r="F129" s="146"/>
      <c r="G129" s="146"/>
      <c r="H129" s="146"/>
      <c r="I129" s="146"/>
      <c r="J129" s="147"/>
    </row>
    <row r="130" spans="2:10" ht="16.5" thickBot="1" x14ac:dyDescent="0.3">
      <c r="B130" s="148" t="s">
        <v>26</v>
      </c>
      <c r="C130" s="28" t="s">
        <v>38</v>
      </c>
      <c r="D130" s="81"/>
      <c r="E130" s="150" t="str">
        <f>$D$3</f>
        <v>ONCOLOGICAL AGENTS</v>
      </c>
      <c r="F130" s="151"/>
      <c r="G130" s="145" t="s">
        <v>7</v>
      </c>
      <c r="H130" s="147"/>
      <c r="I130" s="152" t="str">
        <f>$H$3</f>
        <v>Aug 5-6, 2026</v>
      </c>
      <c r="J130" s="153"/>
    </row>
    <row r="131" spans="2:10" ht="16.5" thickBot="1" x14ac:dyDescent="0.3">
      <c r="B131" s="148"/>
      <c r="C131" s="29" t="s">
        <v>39</v>
      </c>
      <c r="D131" s="82"/>
      <c r="E131" s="154" t="str">
        <f>$D$4</f>
        <v>BRAF-MEK INHIBITORS</v>
      </c>
      <c r="F131" s="155"/>
      <c r="G131" s="156" t="s">
        <v>30</v>
      </c>
      <c r="H131" s="157"/>
      <c r="I131" s="158">
        <f>$H$4</f>
        <v>46202</v>
      </c>
      <c r="J131" s="159"/>
    </row>
    <row r="132" spans="2:10" ht="16.149999999999999" customHeight="1" thickBot="1" x14ac:dyDescent="0.3">
      <c r="B132" s="148"/>
      <c r="C132" s="30" t="s">
        <v>0</v>
      </c>
      <c r="D132" s="83" t="s">
        <v>1</v>
      </c>
      <c r="E132" s="31" t="s">
        <v>2</v>
      </c>
      <c r="F132" s="31" t="s">
        <v>3</v>
      </c>
      <c r="G132" s="32" t="str">
        <f>$G$20</f>
        <v>Package Size</v>
      </c>
      <c r="H132" s="99" t="s">
        <v>33</v>
      </c>
      <c r="I132" s="100"/>
      <c r="J132" s="101"/>
    </row>
    <row r="133" spans="2:10" ht="16.5" thickBot="1" x14ac:dyDescent="0.3">
      <c r="B133" s="149"/>
      <c r="C133" s="33"/>
      <c r="D133" s="84"/>
      <c r="E133" s="34"/>
      <c r="F133" s="34"/>
      <c r="G133" s="35"/>
      <c r="H133" s="145"/>
      <c r="I133" s="146"/>
      <c r="J133" s="147"/>
    </row>
    <row r="134" spans="2:10" ht="48" thickBot="1" x14ac:dyDescent="0.3">
      <c r="B134" s="2" t="s">
        <v>9</v>
      </c>
      <c r="C134" s="36" t="s">
        <v>18</v>
      </c>
      <c r="D134" s="85" t="s">
        <v>5</v>
      </c>
      <c r="E134" s="76" t="s">
        <v>36</v>
      </c>
      <c r="F134" s="37" t="s">
        <v>21</v>
      </c>
      <c r="G134" s="38" t="s">
        <v>22</v>
      </c>
      <c r="H134" s="37" t="s">
        <v>23</v>
      </c>
      <c r="I134" s="39" t="s">
        <v>19</v>
      </c>
      <c r="J134" s="40" t="s">
        <v>20</v>
      </c>
    </row>
    <row r="135" spans="2:10" ht="16.5" thickBot="1" x14ac:dyDescent="0.3">
      <c r="B135" s="140" t="str">
        <f>$B$23</f>
        <v>Scenario 1:  One BRAF-inhibitor and MEK-inhibitor Combination T2 and before the step.</v>
      </c>
      <c r="C135" s="141"/>
      <c r="D135" s="141"/>
      <c r="E135" s="141"/>
      <c r="F135" s="141"/>
      <c r="G135" s="141"/>
      <c r="H135" s="141"/>
      <c r="I135" s="141"/>
      <c r="J135" s="141"/>
    </row>
    <row r="136" spans="2:10" ht="31.5" x14ac:dyDescent="0.25">
      <c r="B136" s="111" t="s">
        <v>12</v>
      </c>
      <c r="C136" s="41" t="str">
        <f>C$24</f>
        <v>264OABMG1T2BS1</v>
      </c>
      <c r="D136" s="44" t="str">
        <f>D$24</f>
        <v>Tier 2
Before-Step Therapy</v>
      </c>
      <c r="E136" s="41">
        <f>E$24</f>
        <v>1</v>
      </c>
      <c r="F136" s="65"/>
      <c r="G136" s="63"/>
      <c r="H136" s="65"/>
      <c r="I136" s="69" t="str">
        <f>IF(NOT(ISBLANK(H136)),F136-H136,"")</f>
        <v/>
      </c>
      <c r="J136" s="70" t="str">
        <f>IF(NOT(ISBLANK(H136)),((1+G136)*F136-H136), "")</f>
        <v/>
      </c>
    </row>
    <row r="137" spans="2:10" ht="31.5" x14ac:dyDescent="0.25">
      <c r="B137" s="112"/>
      <c r="C137" s="42" t="str">
        <f>C$25</f>
        <v>264OABMG1T2AS1M</v>
      </c>
      <c r="D137" s="54" t="str">
        <f>D$25</f>
        <v>Tier 2
After-Step Therapy</v>
      </c>
      <c r="E137" s="42" t="str">
        <f>E$25</f>
        <v>1 or more</v>
      </c>
      <c r="F137" s="17" t="str">
        <f>IF(NOT(ISBLANK(F136)),F136,"")</f>
        <v/>
      </c>
      <c r="G137" s="16"/>
      <c r="H137" s="17" t="str">
        <f>IF(NOT(ISBLANK(H136)),H136,"")</f>
        <v/>
      </c>
      <c r="I137" s="71" t="str">
        <f>IFERROR(F137-H137, "")</f>
        <v/>
      </c>
      <c r="J137" s="72" t="str">
        <f t="shared" ref="J137:J138" si="8">IFERROR(((1+G137)*F137-H137), "")</f>
        <v/>
      </c>
    </row>
    <row r="138" spans="2:10" ht="32.25" thickBot="1" x14ac:dyDescent="0.3">
      <c r="B138" s="113"/>
      <c r="C138" s="43" t="str">
        <f>C$26</f>
        <v>264OABMG1T3AS1M</v>
      </c>
      <c r="D138" s="45" t="str">
        <f>D$26</f>
        <v>Tier 3
After-Step Therapy</v>
      </c>
      <c r="E138" s="43" t="str">
        <f>E$26</f>
        <v>1 or more</v>
      </c>
      <c r="F138" s="5" t="str">
        <f>IF(NOT(ISBLANK(F137)),F137,"")</f>
        <v/>
      </c>
      <c r="G138" s="64"/>
      <c r="H138" s="5" t="str">
        <f>IF(NOT(ISBLANK(H137)),H137,"")</f>
        <v/>
      </c>
      <c r="I138" s="73" t="str">
        <f>IFERROR(F138-H138, "")</f>
        <v/>
      </c>
      <c r="J138" s="74" t="str">
        <f t="shared" si="8"/>
        <v/>
      </c>
    </row>
    <row r="139" spans="2:10" ht="16.149999999999999" customHeight="1" thickBot="1" x14ac:dyDescent="0.3">
      <c r="B139" s="90" t="str">
        <f>$B$27</f>
        <v>Scenario 2: One or more BRAF-inhibitor and MEK-inhibitor Combinations T2.</v>
      </c>
      <c r="C139" s="91"/>
      <c r="D139" s="91"/>
      <c r="E139" s="91"/>
      <c r="F139" s="91"/>
      <c r="G139" s="91"/>
      <c r="H139" s="91"/>
      <c r="I139" s="91"/>
      <c r="J139" s="91"/>
    </row>
    <row r="140" spans="2:10" x14ac:dyDescent="0.25">
      <c r="B140" s="93" t="s">
        <v>13</v>
      </c>
      <c r="C140" s="77" t="str">
        <f>C$28</f>
        <v>264OABMG1T21M</v>
      </c>
      <c r="D140" s="44" t="str">
        <f>D$28</f>
        <v>Tier 2</v>
      </c>
      <c r="E140" s="41" t="str">
        <f>E$28</f>
        <v>1 or more</v>
      </c>
      <c r="F140" s="66" t="str">
        <f>IF(NOT(ISBLANK(F138)),F138,"")</f>
        <v/>
      </c>
      <c r="G140" s="63"/>
      <c r="H140" s="68" t="str">
        <f>IF(NOT(ISBLANK(H138)),H138,"")</f>
        <v/>
      </c>
      <c r="I140" s="69" t="str">
        <f>IFERROR(F140-H140, "")</f>
        <v/>
      </c>
      <c r="J140" s="70" t="str">
        <f>IFERROR(((1+G140)*F140-H140), "")</f>
        <v/>
      </c>
    </row>
    <row r="141" spans="2:10" ht="16.5" thickBot="1" x14ac:dyDescent="0.3">
      <c r="B141" s="95"/>
      <c r="C141" s="78" t="str">
        <f>C$29</f>
        <v>264OABMG1T31M</v>
      </c>
      <c r="D141" s="45" t="str">
        <f>D$29</f>
        <v>Tier 3</v>
      </c>
      <c r="E141" s="43" t="str">
        <f>E$29</f>
        <v>1 or more</v>
      </c>
      <c r="F141" s="67" t="str">
        <f>IF(NOT(ISBLANK(F140)),F140,"")</f>
        <v/>
      </c>
      <c r="G141" s="64"/>
      <c r="H141" s="5" t="str">
        <f>IF(NOT(ISBLANK(H140)),H140,"")</f>
        <v/>
      </c>
      <c r="I141" s="73" t="str">
        <f>IFERROR(F141-H141, "")</f>
        <v/>
      </c>
      <c r="J141" s="74" t="str">
        <f>IFERROR(((1+G141)*F141-H141), "")</f>
        <v/>
      </c>
    </row>
    <row r="142" spans="2:10" ht="16.5" customHeight="1" thickBot="1" x14ac:dyDescent="0.3">
      <c r="D142" s="86"/>
      <c r="E142" s="79"/>
      <c r="F142" s="46"/>
      <c r="G142" s="142" t="s">
        <v>29</v>
      </c>
      <c r="H142" s="143"/>
      <c r="I142" s="143"/>
      <c r="J142" s="144"/>
    </row>
    <row r="143" spans="2:10" ht="16.5" thickBot="1" x14ac:dyDescent="0.3"/>
    <row r="144" spans="2:10" x14ac:dyDescent="0.25">
      <c r="B144" s="99" t="str">
        <f>$B$16</f>
        <v>Additional Discount Program Appendix  – Class Review</v>
      </c>
      <c r="C144" s="100"/>
      <c r="D144" s="100"/>
      <c r="E144" s="100"/>
      <c r="F144" s="100"/>
      <c r="G144" s="100"/>
      <c r="H144" s="100"/>
      <c r="I144" s="100"/>
      <c r="J144" s="101"/>
    </row>
    <row r="145" spans="2:10" ht="16.5" thickBot="1" x14ac:dyDescent="0.3">
      <c r="B145" s="145"/>
      <c r="C145" s="146"/>
      <c r="D145" s="146"/>
      <c r="E145" s="146"/>
      <c r="F145" s="146"/>
      <c r="G145" s="146"/>
      <c r="H145" s="146"/>
      <c r="I145" s="146"/>
      <c r="J145" s="147"/>
    </row>
    <row r="146" spans="2:10" ht="16.149999999999999" customHeight="1" thickBot="1" x14ac:dyDescent="0.3">
      <c r="B146" s="148" t="s">
        <v>27</v>
      </c>
      <c r="C146" s="28" t="s">
        <v>38</v>
      </c>
      <c r="D146" s="81"/>
      <c r="E146" s="150" t="str">
        <f>$D$3</f>
        <v>ONCOLOGICAL AGENTS</v>
      </c>
      <c r="F146" s="151"/>
      <c r="G146" s="145" t="s">
        <v>7</v>
      </c>
      <c r="H146" s="147"/>
      <c r="I146" s="152" t="str">
        <f>$H$3</f>
        <v>Aug 5-6, 2026</v>
      </c>
      <c r="J146" s="153"/>
    </row>
    <row r="147" spans="2:10" ht="16.5" thickBot="1" x14ac:dyDescent="0.3">
      <c r="B147" s="148"/>
      <c r="C147" s="29" t="s">
        <v>39</v>
      </c>
      <c r="D147" s="82"/>
      <c r="E147" s="154" t="str">
        <f>$D$4</f>
        <v>BRAF-MEK INHIBITORS</v>
      </c>
      <c r="F147" s="155"/>
      <c r="G147" s="156" t="s">
        <v>30</v>
      </c>
      <c r="H147" s="157"/>
      <c r="I147" s="158">
        <f>$H$4</f>
        <v>46202</v>
      </c>
      <c r="J147" s="159"/>
    </row>
    <row r="148" spans="2:10" ht="16.5" thickBot="1" x14ac:dyDescent="0.3">
      <c r="B148" s="148"/>
      <c r="C148" s="30" t="s">
        <v>0</v>
      </c>
      <c r="D148" s="83" t="s">
        <v>1</v>
      </c>
      <c r="E148" s="31" t="s">
        <v>2</v>
      </c>
      <c r="F148" s="31" t="s">
        <v>3</v>
      </c>
      <c r="G148" s="32" t="str">
        <f>$G$20</f>
        <v>Package Size</v>
      </c>
      <c r="H148" s="99" t="s">
        <v>33</v>
      </c>
      <c r="I148" s="100"/>
      <c r="J148" s="101"/>
    </row>
    <row r="149" spans="2:10" ht="16.5" thickBot="1" x14ac:dyDescent="0.3">
      <c r="B149" s="149"/>
      <c r="C149" s="33"/>
      <c r="D149" s="84"/>
      <c r="E149" s="34"/>
      <c r="F149" s="34"/>
      <c r="G149" s="35"/>
      <c r="H149" s="145"/>
      <c r="I149" s="146"/>
      <c r="J149" s="147"/>
    </row>
    <row r="150" spans="2:10" ht="48" thickBot="1" x14ac:dyDescent="0.3">
      <c r="B150" s="2" t="s">
        <v>9</v>
      </c>
      <c r="C150" s="36" t="s">
        <v>18</v>
      </c>
      <c r="D150" s="85" t="s">
        <v>5</v>
      </c>
      <c r="E150" s="76" t="s">
        <v>36</v>
      </c>
      <c r="F150" s="37" t="s">
        <v>21</v>
      </c>
      <c r="G150" s="38" t="s">
        <v>22</v>
      </c>
      <c r="H150" s="37" t="s">
        <v>23</v>
      </c>
      <c r="I150" s="39" t="s">
        <v>19</v>
      </c>
      <c r="J150" s="40" t="s">
        <v>20</v>
      </c>
    </row>
    <row r="151" spans="2:10" ht="16.5" thickBot="1" x14ac:dyDescent="0.3">
      <c r="B151" s="140" t="str">
        <f>$B$23</f>
        <v>Scenario 1:  One BRAF-inhibitor and MEK-inhibitor Combination T2 and before the step.</v>
      </c>
      <c r="C151" s="141"/>
      <c r="D151" s="141"/>
      <c r="E151" s="141"/>
      <c r="F151" s="141"/>
      <c r="G151" s="141"/>
      <c r="H151" s="141"/>
      <c r="I151" s="141"/>
      <c r="J151" s="141"/>
    </row>
    <row r="152" spans="2:10" ht="31.5" x14ac:dyDescent="0.25">
      <c r="B152" s="111" t="s">
        <v>12</v>
      </c>
      <c r="C152" s="41" t="str">
        <f>C$24</f>
        <v>264OABMG1T2BS1</v>
      </c>
      <c r="D152" s="44" t="str">
        <f>D$24</f>
        <v>Tier 2
Before-Step Therapy</v>
      </c>
      <c r="E152" s="41">
        <f>E$24</f>
        <v>1</v>
      </c>
      <c r="F152" s="65"/>
      <c r="G152" s="63"/>
      <c r="H152" s="65"/>
      <c r="I152" s="69" t="str">
        <f>IF(NOT(ISBLANK(H152)),F152-H152,"")</f>
        <v/>
      </c>
      <c r="J152" s="70" t="str">
        <f>IF(NOT(ISBLANK(H152)),((1+G152)*F152-H152), "")</f>
        <v/>
      </c>
    </row>
    <row r="153" spans="2:10" ht="31.5" x14ac:dyDescent="0.25">
      <c r="B153" s="112"/>
      <c r="C153" s="42" t="str">
        <f>C$25</f>
        <v>264OABMG1T2AS1M</v>
      </c>
      <c r="D153" s="54" t="str">
        <f>D$25</f>
        <v>Tier 2
After-Step Therapy</v>
      </c>
      <c r="E153" s="42" t="str">
        <f>E$25</f>
        <v>1 or more</v>
      </c>
      <c r="F153" s="17" t="str">
        <f>IF(NOT(ISBLANK(F152)),F152,"")</f>
        <v/>
      </c>
      <c r="G153" s="16"/>
      <c r="H153" s="17" t="str">
        <f>IF(NOT(ISBLANK(H152)),H152,"")</f>
        <v/>
      </c>
      <c r="I153" s="71" t="str">
        <f>IFERROR(F153-H153, "")</f>
        <v/>
      </c>
      <c r="J153" s="72" t="str">
        <f t="shared" ref="J153:J154" si="9">IFERROR(((1+G153)*F153-H153), "")</f>
        <v/>
      </c>
    </row>
    <row r="154" spans="2:10" ht="32.25" thickBot="1" x14ac:dyDescent="0.3">
      <c r="B154" s="113"/>
      <c r="C154" s="43" t="str">
        <f>C$26</f>
        <v>264OABMG1T3AS1M</v>
      </c>
      <c r="D154" s="45" t="str">
        <f>D$26</f>
        <v>Tier 3
After-Step Therapy</v>
      </c>
      <c r="E154" s="43" t="str">
        <f>E$26</f>
        <v>1 or more</v>
      </c>
      <c r="F154" s="5" t="str">
        <f>IF(NOT(ISBLANK(F153)),F153,"")</f>
        <v/>
      </c>
      <c r="G154" s="64"/>
      <c r="H154" s="5" t="str">
        <f>IF(NOT(ISBLANK(H153)),H153,"")</f>
        <v/>
      </c>
      <c r="I154" s="73" t="str">
        <f>IFERROR(F154-H154, "")</f>
        <v/>
      </c>
      <c r="J154" s="74" t="str">
        <f t="shared" si="9"/>
        <v/>
      </c>
    </row>
    <row r="155" spans="2:10" ht="16.149999999999999" customHeight="1" thickBot="1" x14ac:dyDescent="0.3">
      <c r="B155" s="90" t="str">
        <f>$B$27</f>
        <v>Scenario 2: One or more BRAF-inhibitor and MEK-inhibitor Combinations T2.</v>
      </c>
      <c r="C155" s="91"/>
      <c r="D155" s="91"/>
      <c r="E155" s="91"/>
      <c r="F155" s="91"/>
      <c r="G155" s="91"/>
      <c r="H155" s="91"/>
      <c r="I155" s="91"/>
      <c r="J155" s="91"/>
    </row>
    <row r="156" spans="2:10" x14ac:dyDescent="0.25">
      <c r="B156" s="93" t="s">
        <v>13</v>
      </c>
      <c r="C156" s="77" t="str">
        <f>C$28</f>
        <v>264OABMG1T21M</v>
      </c>
      <c r="D156" s="44" t="str">
        <f>D$28</f>
        <v>Tier 2</v>
      </c>
      <c r="E156" s="41" t="str">
        <f>E$28</f>
        <v>1 or more</v>
      </c>
      <c r="F156" s="66" t="str">
        <f>IF(NOT(ISBLANK(F154)),F154,"")</f>
        <v/>
      </c>
      <c r="G156" s="63"/>
      <c r="H156" s="68" t="str">
        <f>IF(NOT(ISBLANK(H154)),H154,"")</f>
        <v/>
      </c>
      <c r="I156" s="69" t="str">
        <f>IFERROR(F156-H156, "")</f>
        <v/>
      </c>
      <c r="J156" s="70" t="str">
        <f>IFERROR(((1+G156)*F156-H156), "")</f>
        <v/>
      </c>
    </row>
    <row r="157" spans="2:10" ht="16.5" thickBot="1" x14ac:dyDescent="0.3">
      <c r="B157" s="95"/>
      <c r="C157" s="78" t="str">
        <f>C$29</f>
        <v>264OABMG1T31M</v>
      </c>
      <c r="D157" s="45" t="str">
        <f>D$29</f>
        <v>Tier 3</v>
      </c>
      <c r="E157" s="43" t="str">
        <f>E$29</f>
        <v>1 or more</v>
      </c>
      <c r="F157" s="67" t="str">
        <f>IF(NOT(ISBLANK(F156)),F156,"")</f>
        <v/>
      </c>
      <c r="G157" s="64"/>
      <c r="H157" s="5" t="str">
        <f>IF(NOT(ISBLANK(H156)),H156,"")</f>
        <v/>
      </c>
      <c r="I157" s="73" t="str">
        <f>IFERROR(F157-H157, "")</f>
        <v/>
      </c>
      <c r="J157" s="74" t="str">
        <f>IFERROR(((1+G157)*F157-H157), "")</f>
        <v/>
      </c>
    </row>
    <row r="158" spans="2:10" ht="16.5" customHeight="1" thickBot="1" x14ac:dyDescent="0.3">
      <c r="D158" s="86"/>
      <c r="E158" s="79"/>
      <c r="F158" s="46"/>
      <c r="G158" s="142" t="s">
        <v>29</v>
      </c>
      <c r="H158" s="143"/>
      <c r="I158" s="143"/>
      <c r="J158" s="144"/>
    </row>
    <row r="159" spans="2:10" ht="16.5" thickBot="1" x14ac:dyDescent="0.3"/>
    <row r="160" spans="2:10" x14ac:dyDescent="0.25">
      <c r="B160" s="99" t="str">
        <f>$B$16</f>
        <v>Additional Discount Program Appendix  – Class Review</v>
      </c>
      <c r="C160" s="100"/>
      <c r="D160" s="100"/>
      <c r="E160" s="100"/>
      <c r="F160" s="100"/>
      <c r="G160" s="100"/>
      <c r="H160" s="100"/>
      <c r="I160" s="100"/>
      <c r="J160" s="101"/>
    </row>
    <row r="161" spans="2:10" ht="16.5" thickBot="1" x14ac:dyDescent="0.3">
      <c r="B161" s="145"/>
      <c r="C161" s="146"/>
      <c r="D161" s="146"/>
      <c r="E161" s="146"/>
      <c r="F161" s="146"/>
      <c r="G161" s="146"/>
      <c r="H161" s="146"/>
      <c r="I161" s="146"/>
      <c r="J161" s="147"/>
    </row>
    <row r="162" spans="2:10" ht="16.5" thickBot="1" x14ac:dyDescent="0.3">
      <c r="B162" s="148" t="s">
        <v>28</v>
      </c>
      <c r="C162" s="28" t="s">
        <v>38</v>
      </c>
      <c r="D162" s="81"/>
      <c r="E162" s="150" t="str">
        <f>$D$3</f>
        <v>ONCOLOGICAL AGENTS</v>
      </c>
      <c r="F162" s="151"/>
      <c r="G162" s="145" t="s">
        <v>7</v>
      </c>
      <c r="H162" s="147"/>
      <c r="I162" s="152" t="str">
        <f>$H$3</f>
        <v>Aug 5-6, 2026</v>
      </c>
      <c r="J162" s="153"/>
    </row>
    <row r="163" spans="2:10" ht="16.5" thickBot="1" x14ac:dyDescent="0.3">
      <c r="B163" s="148"/>
      <c r="C163" s="29" t="s">
        <v>39</v>
      </c>
      <c r="D163" s="82"/>
      <c r="E163" s="154" t="str">
        <f>$D$4</f>
        <v>BRAF-MEK INHIBITORS</v>
      </c>
      <c r="F163" s="155"/>
      <c r="G163" s="156" t="s">
        <v>30</v>
      </c>
      <c r="H163" s="157"/>
      <c r="I163" s="158">
        <f>$H$4</f>
        <v>46202</v>
      </c>
      <c r="J163" s="159"/>
    </row>
    <row r="164" spans="2:10" ht="16.5" thickBot="1" x14ac:dyDescent="0.3">
      <c r="B164" s="148"/>
      <c r="C164" s="30" t="s">
        <v>0</v>
      </c>
      <c r="D164" s="83" t="s">
        <v>1</v>
      </c>
      <c r="E164" s="31" t="s">
        <v>2</v>
      </c>
      <c r="F164" s="31" t="s">
        <v>3</v>
      </c>
      <c r="G164" s="32" t="str">
        <f>$G$20</f>
        <v>Package Size</v>
      </c>
      <c r="H164" s="99" t="s">
        <v>33</v>
      </c>
      <c r="I164" s="100"/>
      <c r="J164" s="101"/>
    </row>
    <row r="165" spans="2:10" ht="16.5" thickBot="1" x14ac:dyDescent="0.3">
      <c r="B165" s="149"/>
      <c r="C165" s="33"/>
      <c r="D165" s="84"/>
      <c r="E165" s="34"/>
      <c r="F165" s="34"/>
      <c r="G165" s="35"/>
      <c r="H165" s="145"/>
      <c r="I165" s="146"/>
      <c r="J165" s="147"/>
    </row>
    <row r="166" spans="2:10" ht="48" thickBot="1" x14ac:dyDescent="0.3">
      <c r="B166" s="2" t="s">
        <v>9</v>
      </c>
      <c r="C166" s="36" t="s">
        <v>18</v>
      </c>
      <c r="D166" s="85" t="s">
        <v>5</v>
      </c>
      <c r="E166" s="76" t="s">
        <v>31</v>
      </c>
      <c r="F166" s="37" t="s">
        <v>21</v>
      </c>
      <c r="G166" s="38" t="s">
        <v>22</v>
      </c>
      <c r="H166" s="37" t="s">
        <v>23</v>
      </c>
      <c r="I166" s="39" t="s">
        <v>19</v>
      </c>
      <c r="J166" s="40" t="s">
        <v>20</v>
      </c>
    </row>
    <row r="167" spans="2:10" ht="16.5" thickBot="1" x14ac:dyDescent="0.3">
      <c r="B167" s="140" t="str">
        <f>$B$23</f>
        <v>Scenario 1:  One BRAF-inhibitor and MEK-inhibitor Combination T2 and before the step.</v>
      </c>
      <c r="C167" s="141"/>
      <c r="D167" s="141"/>
      <c r="E167" s="141"/>
      <c r="F167" s="141"/>
      <c r="G167" s="141"/>
      <c r="H167" s="141"/>
      <c r="I167" s="141"/>
      <c r="J167" s="141"/>
    </row>
    <row r="168" spans="2:10" ht="31.5" x14ac:dyDescent="0.25">
      <c r="B168" s="111" t="s">
        <v>12</v>
      </c>
      <c r="C168" s="41" t="str">
        <f>C$24</f>
        <v>264OABMG1T2BS1</v>
      </c>
      <c r="D168" s="44" t="str">
        <f>D$24</f>
        <v>Tier 2
Before-Step Therapy</v>
      </c>
      <c r="E168" s="41">
        <f>E$24</f>
        <v>1</v>
      </c>
      <c r="F168" s="65"/>
      <c r="G168" s="63"/>
      <c r="H168" s="65"/>
      <c r="I168" s="69" t="str">
        <f>IF(NOT(ISBLANK(H168)),F168-H168,"")</f>
        <v/>
      </c>
      <c r="J168" s="70" t="str">
        <f>IF(NOT(ISBLANK(H168)),((1+G168)*F168-H168), "")</f>
        <v/>
      </c>
    </row>
    <row r="169" spans="2:10" ht="31.5" x14ac:dyDescent="0.25">
      <c r="B169" s="112"/>
      <c r="C169" s="42" t="str">
        <f>C$25</f>
        <v>264OABMG1T2AS1M</v>
      </c>
      <c r="D169" s="54" t="str">
        <f>D$25</f>
        <v>Tier 2
After-Step Therapy</v>
      </c>
      <c r="E169" s="42" t="str">
        <f>E$25</f>
        <v>1 or more</v>
      </c>
      <c r="F169" s="17" t="str">
        <f>IF(NOT(ISBLANK(F168)),F168,"")</f>
        <v/>
      </c>
      <c r="G169" s="16"/>
      <c r="H169" s="17" t="str">
        <f>IF(NOT(ISBLANK(H168)),H168,"")</f>
        <v/>
      </c>
      <c r="I169" s="71" t="str">
        <f>IFERROR(F169-H169, "")</f>
        <v/>
      </c>
      <c r="J169" s="72" t="str">
        <f t="shared" ref="J169:J170" si="10">IFERROR(((1+G169)*F169-H169), "")</f>
        <v/>
      </c>
    </row>
    <row r="170" spans="2:10" ht="32.25" thickBot="1" x14ac:dyDescent="0.3">
      <c r="B170" s="113"/>
      <c r="C170" s="43" t="str">
        <f>C$26</f>
        <v>264OABMG1T3AS1M</v>
      </c>
      <c r="D170" s="45" t="str">
        <f>D$26</f>
        <v>Tier 3
After-Step Therapy</v>
      </c>
      <c r="E170" s="43" t="str">
        <f>E$26</f>
        <v>1 or more</v>
      </c>
      <c r="F170" s="5" t="str">
        <f>IF(NOT(ISBLANK(F169)),F169,"")</f>
        <v/>
      </c>
      <c r="G170" s="64"/>
      <c r="H170" s="5" t="str">
        <f>IF(NOT(ISBLANK(H169)),H169,"")</f>
        <v/>
      </c>
      <c r="I170" s="73" t="str">
        <f>IFERROR(F170-H170, "")</f>
        <v/>
      </c>
      <c r="J170" s="74" t="str">
        <f t="shared" si="10"/>
        <v/>
      </c>
    </row>
    <row r="171" spans="2:10" ht="16.149999999999999" customHeight="1" thickBot="1" x14ac:dyDescent="0.3">
      <c r="B171" s="90" t="str">
        <f>$B$27</f>
        <v>Scenario 2: One or more BRAF-inhibitor and MEK-inhibitor Combinations T2.</v>
      </c>
      <c r="C171" s="91"/>
      <c r="D171" s="91"/>
      <c r="E171" s="91"/>
      <c r="F171" s="91"/>
      <c r="G171" s="91"/>
      <c r="H171" s="91"/>
      <c r="I171" s="91"/>
      <c r="J171" s="91"/>
    </row>
    <row r="172" spans="2:10" x14ac:dyDescent="0.25">
      <c r="B172" s="93" t="s">
        <v>13</v>
      </c>
      <c r="C172" s="77" t="str">
        <f>C$28</f>
        <v>264OABMG1T21M</v>
      </c>
      <c r="D172" s="44" t="str">
        <f>D$28</f>
        <v>Tier 2</v>
      </c>
      <c r="E172" s="41" t="str">
        <f>E$28</f>
        <v>1 or more</v>
      </c>
      <c r="F172" s="66" t="str">
        <f>IF(NOT(ISBLANK(F170)),F170,"")</f>
        <v/>
      </c>
      <c r="G172" s="63"/>
      <c r="H172" s="68" t="str">
        <f>IF(NOT(ISBLANK(H170)),H170,"")</f>
        <v/>
      </c>
      <c r="I172" s="69" t="str">
        <f>IFERROR(F172-H172, "")</f>
        <v/>
      </c>
      <c r="J172" s="70" t="str">
        <f>IFERROR(((1+G172)*F172-H172), "")</f>
        <v/>
      </c>
    </row>
    <row r="173" spans="2:10" ht="16.5" thickBot="1" x14ac:dyDescent="0.3">
      <c r="B173" s="95"/>
      <c r="C173" s="78" t="str">
        <f>C$29</f>
        <v>264OABMG1T31M</v>
      </c>
      <c r="D173" s="45" t="str">
        <f>D$29</f>
        <v>Tier 3</v>
      </c>
      <c r="E173" s="43" t="str">
        <f>E$29</f>
        <v>1 or more</v>
      </c>
      <c r="F173" s="67" t="str">
        <f>IF(NOT(ISBLANK(F172)),F172,"")</f>
        <v/>
      </c>
      <c r="G173" s="64"/>
      <c r="H173" s="5" t="str">
        <f>IF(NOT(ISBLANK(H172)),H172,"")</f>
        <v/>
      </c>
      <c r="I173" s="73" t="str">
        <f>IFERROR(F173-H173, "")</f>
        <v/>
      </c>
      <c r="J173" s="74" t="str">
        <f>IFERROR(((1+G173)*F173-H173), "")</f>
        <v/>
      </c>
    </row>
    <row r="174" spans="2:10" ht="16.5" customHeight="1" thickBot="1" x14ac:dyDescent="0.3">
      <c r="D174" s="86"/>
      <c r="E174" s="79"/>
      <c r="F174" s="46"/>
      <c r="G174" s="142" t="s">
        <v>29</v>
      </c>
      <c r="H174" s="143"/>
      <c r="I174" s="143"/>
      <c r="J174" s="144"/>
    </row>
  </sheetData>
  <sheetProtection algorithmName="SHA-512" hashValue="BpRAvazK8DkRdi4bshB9oWrAb9LirYj0RsDbVF46WhsrgsV0Li66HnyrodlBedRdiS1B+3cLj7n5caKOFZlIrA==" saltValue="+zgBUUaSDYSIe1sDhbIhMw==" spinCount="100000" sheet="1" objects="1" scenarios="1"/>
  <customSheetViews>
    <customSheetView guid="{D9F77BF7-A32D-418A-A0F1-BD82524C2AF7}" showGridLines="0" fitToPage="1">
      <selection activeCell="J10" sqref="J10"/>
      <pageMargins left="0.7" right="0.7" top="0.75" bottom="0.75" header="0.3" footer="0.3"/>
      <pageSetup scale="57" fitToHeight="0" orientation="portrait" r:id="rId1"/>
    </customSheetView>
  </customSheetViews>
  <mergeCells count="150">
    <mergeCell ref="B2:J2"/>
    <mergeCell ref="H3:J3"/>
    <mergeCell ref="H4:J4"/>
    <mergeCell ref="B5:J5"/>
    <mergeCell ref="B136:B138"/>
    <mergeCell ref="E146:F146"/>
    <mergeCell ref="G146:H146"/>
    <mergeCell ref="I146:J146"/>
    <mergeCell ref="B14:J14"/>
    <mergeCell ref="B3:C3"/>
    <mergeCell ref="B4:C4"/>
    <mergeCell ref="D3:F3"/>
    <mergeCell ref="D4:F4"/>
    <mergeCell ref="G18:H18"/>
    <mergeCell ref="B6:J13"/>
    <mergeCell ref="B34:B37"/>
    <mergeCell ref="E34:F34"/>
    <mergeCell ref="G34:H34"/>
    <mergeCell ref="I34:J34"/>
    <mergeCell ref="E35:F35"/>
    <mergeCell ref="G35:H35"/>
    <mergeCell ref="I35:J35"/>
    <mergeCell ref="H36:J37"/>
    <mergeCell ref="B16:J17"/>
    <mergeCell ref="B155:J155"/>
    <mergeCell ref="B103:J103"/>
    <mergeCell ref="B104:B106"/>
    <mergeCell ref="B107:J107"/>
    <mergeCell ref="B108:B109"/>
    <mergeCell ref="G110:J110"/>
    <mergeCell ref="B112:J113"/>
    <mergeCell ref="B24:B26"/>
    <mergeCell ref="B28:B29"/>
    <mergeCell ref="G30:J30"/>
    <mergeCell ref="B55:J55"/>
    <mergeCell ref="B56:B58"/>
    <mergeCell ref="B59:J59"/>
    <mergeCell ref="B60:B61"/>
    <mergeCell ref="G62:J62"/>
    <mergeCell ref="B64:J65"/>
    <mergeCell ref="B114:B117"/>
    <mergeCell ref="E114:F114"/>
    <mergeCell ref="G114:H114"/>
    <mergeCell ref="I114:J114"/>
    <mergeCell ref="E115:F115"/>
    <mergeCell ref="G115:H115"/>
    <mergeCell ref="I115:J115"/>
    <mergeCell ref="B32:J33"/>
    <mergeCell ref="B18:B21"/>
    <mergeCell ref="E18:F18"/>
    <mergeCell ref="E19:F19"/>
    <mergeCell ref="G19:H19"/>
    <mergeCell ref="I18:J18"/>
    <mergeCell ref="I19:J19"/>
    <mergeCell ref="H20:J21"/>
    <mergeCell ref="B120:B122"/>
    <mergeCell ref="B123:J123"/>
    <mergeCell ref="H116:J117"/>
    <mergeCell ref="B119:J119"/>
    <mergeCell ref="B23:J23"/>
    <mergeCell ref="B27:J27"/>
    <mergeCell ref="B39:J39"/>
    <mergeCell ref="B40:B42"/>
    <mergeCell ref="B43:J43"/>
    <mergeCell ref="B44:B45"/>
    <mergeCell ref="G46:J46"/>
    <mergeCell ref="B48:J49"/>
    <mergeCell ref="B50:B53"/>
    <mergeCell ref="E50:F50"/>
    <mergeCell ref="G50:H50"/>
    <mergeCell ref="I50:J50"/>
    <mergeCell ref="E51:F51"/>
    <mergeCell ref="B124:B125"/>
    <mergeCell ref="B152:B154"/>
    <mergeCell ref="E131:F131"/>
    <mergeCell ref="G131:H131"/>
    <mergeCell ref="I131:J131"/>
    <mergeCell ref="B140:B141"/>
    <mergeCell ref="G142:J142"/>
    <mergeCell ref="B144:J145"/>
    <mergeCell ref="B146:B149"/>
    <mergeCell ref="E147:F147"/>
    <mergeCell ref="G147:H147"/>
    <mergeCell ref="I147:J147"/>
    <mergeCell ref="H148:J149"/>
    <mergeCell ref="B151:J151"/>
    <mergeCell ref="G126:J126"/>
    <mergeCell ref="B128:J129"/>
    <mergeCell ref="B130:B133"/>
    <mergeCell ref="E130:F130"/>
    <mergeCell ref="G130:H130"/>
    <mergeCell ref="I130:J130"/>
    <mergeCell ref="H132:J133"/>
    <mergeCell ref="B135:J135"/>
    <mergeCell ref="B139:J139"/>
    <mergeCell ref="G51:H51"/>
    <mergeCell ref="I51:J51"/>
    <mergeCell ref="H52:J53"/>
    <mergeCell ref="E66:F66"/>
    <mergeCell ref="G66:H66"/>
    <mergeCell ref="I66:J66"/>
    <mergeCell ref="E67:F67"/>
    <mergeCell ref="G67:H67"/>
    <mergeCell ref="I67:J67"/>
    <mergeCell ref="H68:J69"/>
    <mergeCell ref="B71:J71"/>
    <mergeCell ref="B72:B74"/>
    <mergeCell ref="B75:J75"/>
    <mergeCell ref="B76:B77"/>
    <mergeCell ref="G78:J78"/>
    <mergeCell ref="B80:J81"/>
    <mergeCell ref="B82:B85"/>
    <mergeCell ref="E82:F82"/>
    <mergeCell ref="G82:H82"/>
    <mergeCell ref="I82:J82"/>
    <mergeCell ref="E83:F83"/>
    <mergeCell ref="G83:H83"/>
    <mergeCell ref="I83:J83"/>
    <mergeCell ref="H84:J85"/>
    <mergeCell ref="B66:B69"/>
    <mergeCell ref="B87:J87"/>
    <mergeCell ref="B88:B90"/>
    <mergeCell ref="B91:J91"/>
    <mergeCell ref="B92:B93"/>
    <mergeCell ref="G94:J94"/>
    <mergeCell ref="B96:J97"/>
    <mergeCell ref="B98:B101"/>
    <mergeCell ref="E98:F98"/>
    <mergeCell ref="G98:H98"/>
    <mergeCell ref="I98:J98"/>
    <mergeCell ref="E99:F99"/>
    <mergeCell ref="G99:H99"/>
    <mergeCell ref="I99:J99"/>
    <mergeCell ref="H100:J101"/>
    <mergeCell ref="B167:J167"/>
    <mergeCell ref="B168:B170"/>
    <mergeCell ref="B171:J171"/>
    <mergeCell ref="B172:B173"/>
    <mergeCell ref="G174:J174"/>
    <mergeCell ref="B156:B157"/>
    <mergeCell ref="G158:J158"/>
    <mergeCell ref="B160:J161"/>
    <mergeCell ref="B162:B165"/>
    <mergeCell ref="E162:F162"/>
    <mergeCell ref="G162:H162"/>
    <mergeCell ref="I162:J162"/>
    <mergeCell ref="E163:F163"/>
    <mergeCell ref="G163:H163"/>
    <mergeCell ref="I163:J163"/>
    <mergeCell ref="H164:J165"/>
  </mergeCells>
  <conditionalFormatting sqref="B3:B4 C18:C19 G18:G19">
    <cfRule type="expression" dxfId="97" priority="510">
      <formula>ISBLANK(D3)</formula>
    </cfRule>
  </conditionalFormatting>
  <conditionalFormatting sqref="C3:C4">
    <cfRule type="expression" dxfId="96" priority="511">
      <formula>ISBLANK(G3)</formula>
    </cfRule>
  </conditionalFormatting>
  <conditionalFormatting sqref="C22 C38 C54 C70 C86 C102 C118 C134 C150">
    <cfRule type="expression" dxfId="95" priority="1051">
      <formula>OR(ISBLANK(C24),ISBLANK(C29))</formula>
    </cfRule>
  </conditionalFormatting>
  <conditionalFormatting sqref="C34:C35 G34:G35">
    <cfRule type="expression" dxfId="94" priority="296">
      <formula>ISBLANK(E34)</formula>
    </cfRule>
  </conditionalFormatting>
  <conditionalFormatting sqref="C50:C51 G50:G51">
    <cfRule type="expression" dxfId="93" priority="294">
      <formula>ISBLANK(E50)</formula>
    </cfRule>
  </conditionalFormatting>
  <conditionalFormatting sqref="C66:C67 G66:G67">
    <cfRule type="expression" dxfId="92" priority="292">
      <formula>ISBLANK(E66)</formula>
    </cfRule>
  </conditionalFormatting>
  <conditionalFormatting sqref="C82:C83 G82:G83">
    <cfRule type="expression" dxfId="91" priority="290">
      <formula>ISBLANK(E82)</formula>
    </cfRule>
  </conditionalFormatting>
  <conditionalFormatting sqref="C98:C99 G98:G99">
    <cfRule type="expression" dxfId="90" priority="288">
      <formula>ISBLANK(E98)</formula>
    </cfRule>
  </conditionalFormatting>
  <conditionalFormatting sqref="C114:C115 G114:G115">
    <cfRule type="expression" dxfId="89" priority="286">
      <formula>ISBLANK(E114)</formula>
    </cfRule>
  </conditionalFormatting>
  <conditionalFormatting sqref="C130:C131 G130:G131">
    <cfRule type="expression" dxfId="88" priority="284">
      <formula>ISBLANK(E130)</formula>
    </cfRule>
  </conditionalFormatting>
  <conditionalFormatting sqref="C146:C147 G146:G147">
    <cfRule type="expression" dxfId="87" priority="282">
      <formula>ISBLANK(E146)</formula>
    </cfRule>
  </conditionalFormatting>
  <conditionalFormatting sqref="C162:C163 G162:G163">
    <cfRule type="expression" dxfId="86" priority="280">
      <formula>ISBLANK(E162)</formula>
    </cfRule>
  </conditionalFormatting>
  <conditionalFormatting sqref="C166">
    <cfRule type="expression" dxfId="85" priority="1048">
      <formula>OR(ISBLANK(C168),ISBLANK(C173))</formula>
    </cfRule>
  </conditionalFormatting>
  <conditionalFormatting sqref="C21:G21">
    <cfRule type="expression" dxfId="84" priority="383">
      <formula>ISBLANK(C21)</formula>
    </cfRule>
  </conditionalFormatting>
  <conditionalFormatting sqref="C37:G37">
    <cfRule type="expression" dxfId="83" priority="275">
      <formula>ISBLANK(C37)</formula>
    </cfRule>
  </conditionalFormatting>
  <conditionalFormatting sqref="C53:G53">
    <cfRule type="expression" dxfId="82" priority="266">
      <formula>ISBLANK(C53)</formula>
    </cfRule>
  </conditionalFormatting>
  <conditionalFormatting sqref="C69:G69">
    <cfRule type="expression" dxfId="81" priority="257">
      <formula>ISBLANK(C69)</formula>
    </cfRule>
  </conditionalFormatting>
  <conditionalFormatting sqref="C85:G85">
    <cfRule type="expression" dxfId="80" priority="248">
      <formula>ISBLANK(C85)</formula>
    </cfRule>
  </conditionalFormatting>
  <conditionalFormatting sqref="C101:G101">
    <cfRule type="expression" dxfId="79" priority="239">
      <formula>ISBLANK(C101)</formula>
    </cfRule>
  </conditionalFormatting>
  <conditionalFormatting sqref="C117:G117">
    <cfRule type="expression" dxfId="78" priority="230">
      <formula>ISBLANK(C117)</formula>
    </cfRule>
  </conditionalFormatting>
  <conditionalFormatting sqref="C133:G133">
    <cfRule type="expression" dxfId="77" priority="221">
      <formula>ISBLANK(C133)</formula>
    </cfRule>
  </conditionalFormatting>
  <conditionalFormatting sqref="C149:G149">
    <cfRule type="expression" dxfId="76" priority="212">
      <formula>ISBLANK(C149)</formula>
    </cfRule>
  </conditionalFormatting>
  <conditionalFormatting sqref="C165:G165">
    <cfRule type="expression" dxfId="75" priority="203">
      <formula>ISBLANK(C165)</formula>
    </cfRule>
  </conditionalFormatting>
  <conditionalFormatting sqref="D18:D19">
    <cfRule type="expression" dxfId="74" priority="958">
      <formula>ISBLANK(G18)</formula>
    </cfRule>
  </conditionalFormatting>
  <conditionalFormatting sqref="D22 D38 D54 D70 D86 D102 D118 D134 D150">
    <cfRule type="expression" dxfId="73" priority="1050">
      <formula>OR(COUNTA(D24:D29)=0,COUNTA(D24:D29)&lt;COUNTA(C24:C29))</formula>
    </cfRule>
  </conditionalFormatting>
  <conditionalFormatting sqref="D34:D35">
    <cfRule type="expression" dxfId="72" priority="297">
      <formula>ISBLANK(G34)</formula>
    </cfRule>
  </conditionalFormatting>
  <conditionalFormatting sqref="D50:D51">
    <cfRule type="expression" dxfId="71" priority="295">
      <formula>ISBLANK(G50)</formula>
    </cfRule>
  </conditionalFormatting>
  <conditionalFormatting sqref="D66:D67">
    <cfRule type="expression" dxfId="70" priority="293">
      <formula>ISBLANK(G66)</formula>
    </cfRule>
  </conditionalFormatting>
  <conditionalFormatting sqref="D82:D83">
    <cfRule type="expression" dxfId="69" priority="291">
      <formula>ISBLANK(G82)</formula>
    </cfRule>
  </conditionalFormatting>
  <conditionalFormatting sqref="D98:D99">
    <cfRule type="expression" dxfId="68" priority="289">
      <formula>ISBLANK(G98)</formula>
    </cfRule>
  </conditionalFormatting>
  <conditionalFormatting sqref="D114:D115">
    <cfRule type="expression" dxfId="67" priority="287">
      <formula>ISBLANK(G114)</formula>
    </cfRule>
  </conditionalFormatting>
  <conditionalFormatting sqref="D130:D131">
    <cfRule type="expression" dxfId="66" priority="285">
      <formula>ISBLANK(G130)</formula>
    </cfRule>
  </conditionalFormatting>
  <conditionalFormatting sqref="D146:D147">
    <cfRule type="expression" dxfId="65" priority="283">
      <formula>ISBLANK(G146)</formula>
    </cfRule>
  </conditionalFormatting>
  <conditionalFormatting sqref="D162:D163">
    <cfRule type="expression" dxfId="64" priority="281">
      <formula>ISBLANK(G162)</formula>
    </cfRule>
  </conditionalFormatting>
  <conditionalFormatting sqref="D166">
    <cfRule type="expression" dxfId="63" priority="1047">
      <formula>OR(COUNTA(D168:D173)=0,COUNTA(D168:D173)&lt;COUNTA(C168:C173))</formula>
    </cfRule>
  </conditionalFormatting>
  <conditionalFormatting sqref="E22 E38 E54 E70 E86 E102 E118 E134 E150">
    <cfRule type="expression" dxfId="62" priority="1049">
      <formula>OR(COUNTA($D$26:$D$30)=0,COUNTA($C$26:$C$30)&gt;COUNTA(E24:E29))</formula>
    </cfRule>
  </conditionalFormatting>
  <conditionalFormatting sqref="E166">
    <cfRule type="expression" dxfId="61" priority="1052">
      <formula>OR(COUNTA($D$26:$D$30)=0,COUNTA($C$26:$C$30)&gt;COUNTA(E168:E173))</formula>
    </cfRule>
  </conditionalFormatting>
  <conditionalFormatting sqref="F24">
    <cfRule type="expression" dxfId="60" priority="198">
      <formula>ISBLANK(F24)</formula>
    </cfRule>
  </conditionalFormatting>
  <conditionalFormatting sqref="F40">
    <cfRule type="expression" dxfId="59" priority="52">
      <formula>ISBLANK(F40)</formula>
    </cfRule>
  </conditionalFormatting>
  <conditionalFormatting sqref="F56">
    <cfRule type="expression" dxfId="58" priority="46">
      <formula>ISBLANK(F56)</formula>
    </cfRule>
  </conditionalFormatting>
  <conditionalFormatting sqref="F72">
    <cfRule type="expression" dxfId="57" priority="40">
      <formula>ISBLANK(F72)</formula>
    </cfRule>
  </conditionalFormatting>
  <conditionalFormatting sqref="F88">
    <cfRule type="expression" dxfId="56" priority="34">
      <formula>ISBLANK(F88)</formula>
    </cfRule>
  </conditionalFormatting>
  <conditionalFormatting sqref="F104">
    <cfRule type="expression" dxfId="55" priority="28">
      <formula>ISBLANK(F104)</formula>
    </cfRule>
  </conditionalFormatting>
  <conditionalFormatting sqref="F120">
    <cfRule type="expression" dxfId="54" priority="22">
      <formula>ISBLANK(F120)</formula>
    </cfRule>
  </conditionalFormatting>
  <conditionalFormatting sqref="F136">
    <cfRule type="expression" dxfId="53" priority="16">
      <formula>ISBLANK(F136)</formula>
    </cfRule>
  </conditionalFormatting>
  <conditionalFormatting sqref="F152">
    <cfRule type="expression" dxfId="52" priority="10">
      <formula>ISBLANK(F152)</formula>
    </cfRule>
  </conditionalFormatting>
  <conditionalFormatting sqref="F168">
    <cfRule type="expression" dxfId="51" priority="4">
      <formula>ISBLANK(F168)</formula>
    </cfRule>
  </conditionalFormatting>
  <conditionalFormatting sqref="G3:G4">
    <cfRule type="expression" dxfId="50" priority="509">
      <formula>ISBLANK(H3)</formula>
    </cfRule>
  </conditionalFormatting>
  <conditionalFormatting sqref="G24:G26">
    <cfRule type="expression" dxfId="49" priority="197">
      <formula>ISBLANK(G24)</formula>
    </cfRule>
    <cfRule type="expression" dxfId="48" priority="196">
      <formula>AND(NOT(ISBLANK(C24)),NOT(ISBLANK(G24)),G24=0)</formula>
    </cfRule>
  </conditionalFormatting>
  <conditionalFormatting sqref="G28:G29">
    <cfRule type="expression" dxfId="47" priority="381">
      <formula>ISBLANK(G28)</formula>
    </cfRule>
    <cfRule type="expression" dxfId="46" priority="380">
      <formula>AND(NOT(ISBLANK(C28)),NOT(ISBLANK(G28)),G28=0)</formula>
    </cfRule>
  </conditionalFormatting>
  <conditionalFormatting sqref="G40:G42">
    <cfRule type="expression" dxfId="45" priority="51">
      <formula>ISBLANK(G40)</formula>
    </cfRule>
    <cfRule type="expression" dxfId="44" priority="50">
      <formula>AND(NOT(ISBLANK(C40)),NOT(ISBLANK(G40)),G40=0)</formula>
    </cfRule>
  </conditionalFormatting>
  <conditionalFormatting sqref="G44:G45">
    <cfRule type="expression" dxfId="43" priority="54">
      <formula>ISBLANK(G44)</formula>
    </cfRule>
    <cfRule type="expression" dxfId="42" priority="53">
      <formula>AND(NOT(ISBLANK(C44)),NOT(ISBLANK(G44)),G44=0)</formula>
    </cfRule>
  </conditionalFormatting>
  <conditionalFormatting sqref="G56:G58">
    <cfRule type="expression" dxfId="41" priority="45">
      <formula>ISBLANK(G56)</formula>
    </cfRule>
    <cfRule type="expression" dxfId="40" priority="44">
      <formula>AND(NOT(ISBLANK(C56)),NOT(ISBLANK(G56)),G56=0)</formula>
    </cfRule>
  </conditionalFormatting>
  <conditionalFormatting sqref="G60:G61">
    <cfRule type="expression" dxfId="39" priority="48">
      <formula>ISBLANK(G60)</formula>
    </cfRule>
    <cfRule type="expression" dxfId="38" priority="47">
      <formula>AND(NOT(ISBLANK(C60)),NOT(ISBLANK(G60)),G60=0)</formula>
    </cfRule>
  </conditionalFormatting>
  <conditionalFormatting sqref="G72:G74">
    <cfRule type="expression" dxfId="37" priority="38">
      <formula>AND(NOT(ISBLANK(C72)),NOT(ISBLANK(G72)),G72=0)</formula>
    </cfRule>
    <cfRule type="expression" dxfId="36" priority="39">
      <formula>ISBLANK(G72)</formula>
    </cfRule>
  </conditionalFormatting>
  <conditionalFormatting sqref="G76:G77">
    <cfRule type="expression" dxfId="35" priority="42">
      <formula>ISBLANK(G76)</formula>
    </cfRule>
    <cfRule type="expression" dxfId="34" priority="41">
      <formula>AND(NOT(ISBLANK(C76)),NOT(ISBLANK(G76)),G76=0)</formula>
    </cfRule>
  </conditionalFormatting>
  <conditionalFormatting sqref="G88:G90">
    <cfRule type="expression" dxfId="33" priority="33">
      <formula>ISBLANK(G88)</formula>
    </cfRule>
    <cfRule type="expression" dxfId="32" priority="32">
      <formula>AND(NOT(ISBLANK(C88)),NOT(ISBLANK(G88)),G88=0)</formula>
    </cfRule>
  </conditionalFormatting>
  <conditionalFormatting sqref="G92:G93">
    <cfRule type="expression" dxfId="31" priority="36">
      <formula>ISBLANK(G92)</formula>
    </cfRule>
    <cfRule type="expression" dxfId="30" priority="35">
      <formula>AND(NOT(ISBLANK(C92)),NOT(ISBLANK(G92)),G92=0)</formula>
    </cfRule>
  </conditionalFormatting>
  <conditionalFormatting sqref="G104:G106">
    <cfRule type="expression" dxfId="29" priority="27">
      <formula>ISBLANK(G104)</formula>
    </cfRule>
    <cfRule type="expression" dxfId="28" priority="26">
      <formula>AND(NOT(ISBLANK(C104)),NOT(ISBLANK(G104)),G104=0)</formula>
    </cfRule>
  </conditionalFormatting>
  <conditionalFormatting sqref="G108:G109">
    <cfRule type="expression" dxfId="27" priority="30">
      <formula>ISBLANK(G108)</formula>
    </cfRule>
    <cfRule type="expression" dxfId="26" priority="29">
      <formula>AND(NOT(ISBLANK(C108)),NOT(ISBLANK(G108)),G108=0)</formula>
    </cfRule>
  </conditionalFormatting>
  <conditionalFormatting sqref="G120:G122">
    <cfRule type="expression" dxfId="25" priority="20">
      <formula>AND(NOT(ISBLANK(C120)),NOT(ISBLANK(G120)),G120=0)</formula>
    </cfRule>
    <cfRule type="expression" dxfId="24" priority="21">
      <formula>ISBLANK(G120)</formula>
    </cfRule>
  </conditionalFormatting>
  <conditionalFormatting sqref="G124:G125">
    <cfRule type="expression" dxfId="23" priority="23">
      <formula>AND(NOT(ISBLANK(C124)),NOT(ISBLANK(G124)),G124=0)</formula>
    </cfRule>
    <cfRule type="expression" dxfId="22" priority="24">
      <formula>ISBLANK(G124)</formula>
    </cfRule>
  </conditionalFormatting>
  <conditionalFormatting sqref="G136:G138">
    <cfRule type="expression" dxfId="21" priority="15">
      <formula>ISBLANK(G136)</formula>
    </cfRule>
    <cfRule type="expression" dxfId="20" priority="14">
      <formula>AND(NOT(ISBLANK(C136)),NOT(ISBLANK(G136)),G136=0)</formula>
    </cfRule>
  </conditionalFormatting>
  <conditionalFormatting sqref="G140:G141">
    <cfRule type="expression" dxfId="19" priority="17">
      <formula>AND(NOT(ISBLANK(C140)),NOT(ISBLANK(G140)),G140=0)</formula>
    </cfRule>
    <cfRule type="expression" dxfId="18" priority="18">
      <formula>ISBLANK(G140)</formula>
    </cfRule>
  </conditionalFormatting>
  <conditionalFormatting sqref="G152:G154">
    <cfRule type="expression" dxfId="17" priority="8">
      <formula>AND(NOT(ISBLANK(C152)),NOT(ISBLANK(G152)),G152=0)</formula>
    </cfRule>
    <cfRule type="expression" dxfId="16" priority="9">
      <formula>ISBLANK(G152)</formula>
    </cfRule>
  </conditionalFormatting>
  <conditionalFormatting sqref="G156:G157">
    <cfRule type="expression" dxfId="15" priority="12">
      <formula>ISBLANK(G156)</formula>
    </cfRule>
    <cfRule type="expression" dxfId="14" priority="11">
      <formula>AND(NOT(ISBLANK(C156)),NOT(ISBLANK(G156)),G156=0)</formula>
    </cfRule>
  </conditionalFormatting>
  <conditionalFormatting sqref="G168:G170">
    <cfRule type="expression" dxfId="13" priority="2">
      <formula>AND(NOT(ISBLANK(C168)),NOT(ISBLANK(G168)),G168=0)</formula>
    </cfRule>
    <cfRule type="expression" dxfId="12" priority="3">
      <formula>ISBLANK(G168)</formula>
    </cfRule>
  </conditionalFormatting>
  <conditionalFormatting sqref="G172:G173">
    <cfRule type="expression" dxfId="11" priority="6">
      <formula>ISBLANK(G172)</formula>
    </cfRule>
    <cfRule type="expression" dxfId="10" priority="5">
      <formula>AND(NOT(ISBLANK(C172)),NOT(ISBLANK(G172)),G172=0)</formula>
    </cfRule>
  </conditionalFormatting>
  <conditionalFormatting sqref="H24">
    <cfRule type="expression" dxfId="9" priority="195">
      <formula>ISBLANK(H24)</formula>
    </cfRule>
  </conditionalFormatting>
  <conditionalFormatting sqref="H40">
    <cfRule type="expression" dxfId="8" priority="49">
      <formula>ISBLANK(H40)</formula>
    </cfRule>
  </conditionalFormatting>
  <conditionalFormatting sqref="H56">
    <cfRule type="expression" dxfId="7" priority="43">
      <formula>ISBLANK(H56)</formula>
    </cfRule>
  </conditionalFormatting>
  <conditionalFormatting sqref="H72">
    <cfRule type="expression" dxfId="6" priority="37">
      <formula>ISBLANK(H72)</formula>
    </cfRule>
  </conditionalFormatting>
  <conditionalFormatting sqref="H88">
    <cfRule type="expression" dxfId="5" priority="31">
      <formula>ISBLANK(H88)</formula>
    </cfRule>
  </conditionalFormatting>
  <conditionalFormatting sqref="H104">
    <cfRule type="expression" dxfId="4" priority="25">
      <formula>ISBLANK(H104)</formula>
    </cfRule>
  </conditionalFormatting>
  <conditionalFormatting sqref="H120">
    <cfRule type="expression" dxfId="3" priority="19">
      <formula>ISBLANK(H120)</formula>
    </cfRule>
  </conditionalFormatting>
  <conditionalFormatting sqref="H136">
    <cfRule type="expression" dxfId="2" priority="13">
      <formula>ISBLANK(H136)</formula>
    </cfRule>
  </conditionalFormatting>
  <conditionalFormatting sqref="H152">
    <cfRule type="expression" dxfId="1" priority="7">
      <formula>ISBLANK(H152)</formula>
    </cfRule>
  </conditionalFormatting>
  <conditionalFormatting sqref="H168">
    <cfRule type="expression" dxfId="0" priority="1">
      <formula>ISBLANK(H168)</formula>
    </cfRule>
  </conditionalFormatting>
  <pageMargins left="0.25" right="0.25" top="0.75" bottom="0.75" header="0.3" footer="0.3"/>
  <pageSetup scale="40" fitToHeight="0" orientation="portrait" r:id="rId2"/>
  <headerFooter>
    <oddFooter>&amp;C&amp;"-,Italic"Use or disclosure of data contained on this sheet is subject to the restriction on the title page of this quote.</oddFooter>
  </headerFooter>
  <rowBreaks count="2" manualBreakCount="2">
    <brk id="63" max="16383" man="1"/>
    <brk id="142" max="9" man="1"/>
  </rowBreaks>
</worksheet>
</file>

<file path=docMetadata/LabelInfo.xml><?xml version="1.0" encoding="utf-8"?>
<clbl:labelList xmlns:clbl="http://schemas.microsoft.com/office/2020/mipLabelMetadata">
  <clbl:label id="{76a3f6ad-3d9b-49ad-9486-10bfd8fef73e}" enabled="1" method="Privileged" siteId="{8903a443-af33-4ed4-acf5-ee613bcb2f5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BPA</vt:lpstr>
      <vt:lpstr>ADP (non-FAMP Discount)</vt:lpstr>
    </vt:vector>
  </TitlesOfParts>
  <Company>DHA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 W. Tompkins</dc:creator>
  <cp:lastModifiedBy>Marasigan, Keith B CTR DHA DHA CONTRACTING ACT (USA)</cp:lastModifiedBy>
  <cp:lastPrinted>2026-04-23T17:07:05Z</cp:lastPrinted>
  <dcterms:created xsi:type="dcterms:W3CDTF">2021-06-17T16:38:51Z</dcterms:created>
  <dcterms:modified xsi:type="dcterms:W3CDTF">2026-05-05T14:19:01Z</dcterms:modified>
</cp:coreProperties>
</file>