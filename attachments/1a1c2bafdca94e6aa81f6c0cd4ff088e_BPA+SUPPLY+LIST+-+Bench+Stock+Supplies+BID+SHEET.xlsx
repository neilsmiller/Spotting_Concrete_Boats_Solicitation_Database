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O:\Phil Wendzillo\000 - FY2026 Requisitions\IHS1524217- Phil - PIMC - BIOMED\"/>
    </mc:Choice>
  </mc:AlternateContent>
  <xr:revisionPtr revIDLastSave="0" documentId="14_{1F6E01FB-1F46-4FA1-96C2-B89FB465F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Y - NEW" sheetId="9" r:id="rId1"/>
    <sheet name="Sheet1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M40" i="9" l="1"/>
  <c r="Q40" i="9" l="1"/>
  <c r="W42" i="9"/>
  <c r="S42" i="9"/>
  <c r="O42" i="9"/>
  <c r="J39" i="9"/>
  <c r="M39" i="9" s="1"/>
  <c r="J38" i="9"/>
  <c r="K38" i="9" s="1"/>
  <c r="J37" i="9"/>
  <c r="K37" i="9" s="1"/>
  <c r="J36" i="9"/>
  <c r="M36" i="9" s="1"/>
  <c r="J35" i="9"/>
  <c r="M35" i="9" s="1"/>
  <c r="J34" i="9"/>
  <c r="M34" i="9" s="1"/>
  <c r="J33" i="9"/>
  <c r="M33" i="9" s="1"/>
  <c r="J32" i="9"/>
  <c r="J31" i="9"/>
  <c r="J30" i="9"/>
  <c r="J29" i="9"/>
  <c r="J28" i="9"/>
  <c r="M28" i="9" s="1"/>
  <c r="J27" i="9"/>
  <c r="J26" i="9"/>
  <c r="J25" i="9"/>
  <c r="K25" i="9" s="1"/>
  <c r="J24" i="9"/>
  <c r="M24" i="9" s="1"/>
  <c r="J23" i="9"/>
  <c r="M23" i="9" s="1"/>
  <c r="J22" i="9"/>
  <c r="M22" i="9" s="1"/>
  <c r="J21" i="9"/>
  <c r="M21" i="9" s="1"/>
  <c r="J20" i="9"/>
  <c r="J19" i="9"/>
  <c r="J18" i="9"/>
  <c r="J17" i="9"/>
  <c r="J16" i="9"/>
  <c r="J15" i="9"/>
  <c r="J14" i="9"/>
  <c r="J13" i="9"/>
  <c r="M13" i="9" s="1"/>
  <c r="J12" i="9"/>
  <c r="M12" i="9" s="1"/>
  <c r="J11" i="9"/>
  <c r="M11" i="9" s="1"/>
  <c r="J10" i="9"/>
  <c r="J9" i="9"/>
  <c r="J8" i="9"/>
  <c r="J7" i="9"/>
  <c r="M7" i="9" s="1"/>
  <c r="J6" i="9"/>
  <c r="J5" i="9"/>
  <c r="M5" i="9" s="1"/>
  <c r="J4" i="9"/>
  <c r="J3" i="9"/>
  <c r="M3" i="9" s="1"/>
  <c r="U40" i="9" l="1"/>
  <c r="K3" i="9"/>
  <c r="K24" i="9"/>
  <c r="N24" i="9"/>
  <c r="O24" i="9" s="1"/>
  <c r="K21" i="9"/>
  <c r="K22" i="9"/>
  <c r="K23" i="9"/>
  <c r="N23" i="9"/>
  <c r="Q23" i="9" s="1"/>
  <c r="R23" i="9" s="1"/>
  <c r="M38" i="9"/>
  <c r="N38" i="9" s="1"/>
  <c r="K35" i="9"/>
  <c r="K36" i="9"/>
  <c r="M31" i="9"/>
  <c r="N31" i="9" s="1"/>
  <c r="K31" i="9"/>
  <c r="M20" i="9"/>
  <c r="N20" i="9" s="1"/>
  <c r="K20" i="9"/>
  <c r="K14" i="9"/>
  <c r="M14" i="9"/>
  <c r="N14" i="9" s="1"/>
  <c r="M15" i="9"/>
  <c r="N15" i="9" s="1"/>
  <c r="K15" i="9"/>
  <c r="K19" i="9"/>
  <c r="M19" i="9"/>
  <c r="N19" i="9" s="1"/>
  <c r="M10" i="9"/>
  <c r="N10" i="9" s="1"/>
  <c r="K10" i="9"/>
  <c r="M32" i="9"/>
  <c r="N32" i="9" s="1"/>
  <c r="K32" i="9"/>
  <c r="K6" i="9"/>
  <c r="K8" i="9"/>
  <c r="M25" i="9"/>
  <c r="N25" i="9" s="1"/>
  <c r="N12" i="9"/>
  <c r="N13" i="9"/>
  <c r="K17" i="9"/>
  <c r="K34" i="9"/>
  <c r="M17" i="9"/>
  <c r="N17" i="9" s="1"/>
  <c r="M37" i="9"/>
  <c r="N37" i="9" s="1"/>
  <c r="N3" i="9"/>
  <c r="N22" i="9"/>
  <c r="M4" i="9"/>
  <c r="N4" i="9" s="1"/>
  <c r="K18" i="9"/>
  <c r="M18" i="9"/>
  <c r="N18" i="9" s="1"/>
  <c r="K4" i="9"/>
  <c r="M6" i="9"/>
  <c r="N6" i="9" s="1"/>
  <c r="K9" i="9"/>
  <c r="M9" i="9"/>
  <c r="N9" i="9" s="1"/>
  <c r="K11" i="9"/>
  <c r="N35" i="9"/>
  <c r="N36" i="9"/>
  <c r="K30" i="9"/>
  <c r="K13" i="9"/>
  <c r="M30" i="9"/>
  <c r="N30" i="9" s="1"/>
  <c r="N5" i="9"/>
  <c r="N39" i="9"/>
  <c r="K39" i="9"/>
  <c r="N7" i="9"/>
  <c r="K7" i="9"/>
  <c r="K5" i="9"/>
  <c r="M8" i="9"/>
  <c r="N8" i="9" s="1"/>
  <c r="N11" i="9"/>
  <c r="M26" i="9"/>
  <c r="N26" i="9" s="1"/>
  <c r="N33" i="9"/>
  <c r="K27" i="9"/>
  <c r="M27" i="9"/>
  <c r="N27" i="9" s="1"/>
  <c r="N34" i="9"/>
  <c r="N28" i="9"/>
  <c r="K28" i="9"/>
  <c r="K26" i="9"/>
  <c r="K29" i="9"/>
  <c r="K12" i="9"/>
  <c r="M29" i="9"/>
  <c r="N29" i="9" s="1"/>
  <c r="K16" i="9"/>
  <c r="K33" i="9"/>
  <c r="M16" i="9"/>
  <c r="N16" i="9" s="1"/>
  <c r="N21" i="9"/>
  <c r="O23" i="9" l="1"/>
  <c r="Q24" i="9"/>
  <c r="R24" i="9" s="1"/>
  <c r="S24" i="9" s="1"/>
  <c r="Q6" i="9"/>
  <c r="R6" i="9" s="1"/>
  <c r="O6" i="9"/>
  <c r="S23" i="9"/>
  <c r="U23" i="9"/>
  <c r="V23" i="9" s="1"/>
  <c r="W23" i="9" s="1"/>
  <c r="Q29" i="9"/>
  <c r="R29" i="9" s="1"/>
  <c r="O29" i="9"/>
  <c r="Q16" i="9"/>
  <c r="R16" i="9" s="1"/>
  <c r="O16" i="9"/>
  <c r="O27" i="9"/>
  <c r="Q27" i="9"/>
  <c r="R27" i="9" s="1"/>
  <c r="O26" i="9"/>
  <c r="Q26" i="9"/>
  <c r="R26" i="9" s="1"/>
  <c r="Q18" i="9"/>
  <c r="R18" i="9" s="1"/>
  <c r="O18" i="9"/>
  <c r="O8" i="9"/>
  <c r="Q8" i="9"/>
  <c r="R8" i="9" s="1"/>
  <c r="O15" i="9"/>
  <c r="Q15" i="9"/>
  <c r="R15" i="9" s="1"/>
  <c r="Q37" i="9"/>
  <c r="R37" i="9" s="1"/>
  <c r="O37" i="9"/>
  <c r="Q17" i="9"/>
  <c r="R17" i="9" s="1"/>
  <c r="O17" i="9"/>
  <c r="Q4" i="9"/>
  <c r="R4" i="9" s="1"/>
  <c r="O4" i="9"/>
  <c r="O34" i="9"/>
  <c r="Q34" i="9"/>
  <c r="R34" i="9" s="1"/>
  <c r="O33" i="9"/>
  <c r="Q33" i="9"/>
  <c r="R33" i="9" s="1"/>
  <c r="Q38" i="9"/>
  <c r="R38" i="9" s="1"/>
  <c r="O38" i="9"/>
  <c r="O9" i="9"/>
  <c r="Q9" i="9"/>
  <c r="R9" i="9" s="1"/>
  <c r="Q5" i="9"/>
  <c r="R5" i="9" s="1"/>
  <c r="O5" i="9"/>
  <c r="Q22" i="9"/>
  <c r="R22" i="9" s="1"/>
  <c r="O22" i="9"/>
  <c r="O19" i="9"/>
  <c r="Q19" i="9"/>
  <c r="R19" i="9" s="1"/>
  <c r="O11" i="9"/>
  <c r="Q11" i="9"/>
  <c r="R11" i="9" s="1"/>
  <c r="Q14" i="9"/>
  <c r="R14" i="9" s="1"/>
  <c r="O14" i="9"/>
  <c r="Q35" i="9"/>
  <c r="R35" i="9" s="1"/>
  <c r="O35" i="9"/>
  <c r="O20" i="9"/>
  <c r="Q20" i="9"/>
  <c r="R20" i="9" s="1"/>
  <c r="O12" i="9"/>
  <c r="Q12" i="9"/>
  <c r="R12" i="9" s="1"/>
  <c r="O3" i="9"/>
  <c r="Q3" i="9"/>
  <c r="R3" i="9" s="1"/>
  <c r="Q30" i="9"/>
  <c r="R30" i="9" s="1"/>
  <c r="O30" i="9"/>
  <c r="O25" i="9"/>
  <c r="Q25" i="9"/>
  <c r="R25" i="9" s="1"/>
  <c r="O21" i="9"/>
  <c r="Q21" i="9"/>
  <c r="R21" i="9" s="1"/>
  <c r="O36" i="9"/>
  <c r="Q36" i="9"/>
  <c r="R36" i="9" s="1"/>
  <c r="O32" i="9"/>
  <c r="Q32" i="9"/>
  <c r="R32" i="9" s="1"/>
  <c r="Q28" i="9"/>
  <c r="R28" i="9" s="1"/>
  <c r="O28" i="9"/>
  <c r="Q10" i="9"/>
  <c r="R10" i="9" s="1"/>
  <c r="O10" i="9"/>
  <c r="O7" i="9"/>
  <c r="Q7" i="9"/>
  <c r="R7" i="9" s="1"/>
  <c r="Q31" i="9"/>
  <c r="R31" i="9" s="1"/>
  <c r="O31" i="9"/>
  <c r="Q39" i="9"/>
  <c r="R39" i="9" s="1"/>
  <c r="O39" i="9"/>
  <c r="O13" i="9"/>
  <c r="Q13" i="9"/>
  <c r="R13" i="9" s="1"/>
  <c r="O43" i="9" l="1"/>
  <c r="U24" i="9"/>
  <c r="V24" i="9" s="1"/>
  <c r="W24" i="9" s="1"/>
  <c r="U15" i="9"/>
  <c r="V15" i="9" s="1"/>
  <c r="W15" i="9" s="1"/>
  <c r="S15" i="9"/>
  <c r="U11" i="9"/>
  <c r="V11" i="9" s="1"/>
  <c r="W11" i="9" s="1"/>
  <c r="S11" i="9"/>
  <c r="S19" i="9"/>
  <c r="U19" i="9"/>
  <c r="V19" i="9" s="1"/>
  <c r="W19" i="9" s="1"/>
  <c r="S38" i="9"/>
  <c r="U38" i="9"/>
  <c r="V38" i="9" s="1"/>
  <c r="W38" i="9" s="1"/>
  <c r="S27" i="9"/>
  <c r="U27" i="9"/>
  <c r="V27" i="9" s="1"/>
  <c r="W27" i="9" s="1"/>
  <c r="S35" i="9"/>
  <c r="U35" i="9"/>
  <c r="V35" i="9" s="1"/>
  <c r="W35" i="9" s="1"/>
  <c r="S16" i="9"/>
  <c r="U16" i="9"/>
  <c r="V16" i="9" s="1"/>
  <c r="W16" i="9" s="1"/>
  <c r="S12" i="9"/>
  <c r="U12" i="9"/>
  <c r="V12" i="9" s="1"/>
  <c r="W12" i="9" s="1"/>
  <c r="S39" i="9"/>
  <c r="U39" i="9"/>
  <c r="V39" i="9" s="1"/>
  <c r="W39" i="9" s="1"/>
  <c r="S26" i="9"/>
  <c r="U26" i="9"/>
  <c r="V26" i="9" s="1"/>
  <c r="W26" i="9" s="1"/>
  <c r="U34" i="9"/>
  <c r="V34" i="9" s="1"/>
  <c r="W34" i="9" s="1"/>
  <c r="S34" i="9"/>
  <c r="S31" i="9"/>
  <c r="U31" i="9"/>
  <c r="V31" i="9" s="1"/>
  <c r="W31" i="9" s="1"/>
  <c r="S5" i="9"/>
  <c r="U5" i="9"/>
  <c r="V5" i="9" s="1"/>
  <c r="W5" i="9" s="1"/>
  <c r="S33" i="9"/>
  <c r="U33" i="9"/>
  <c r="V33" i="9" s="1"/>
  <c r="W33" i="9" s="1"/>
  <c r="S10" i="9"/>
  <c r="U10" i="9"/>
  <c r="V10" i="9" s="1"/>
  <c r="W10" i="9" s="1"/>
  <c r="S29" i="9"/>
  <c r="U29" i="9"/>
  <c r="V29" i="9" s="1"/>
  <c r="W29" i="9" s="1"/>
  <c r="S20" i="9"/>
  <c r="U20" i="9"/>
  <c r="V20" i="9" s="1"/>
  <c r="W20" i="9" s="1"/>
  <c r="S13" i="9"/>
  <c r="U13" i="9"/>
  <c r="V13" i="9" s="1"/>
  <c r="W13" i="9" s="1"/>
  <c r="S14" i="9"/>
  <c r="U14" i="9"/>
  <c r="V14" i="9" s="1"/>
  <c r="W14" i="9" s="1"/>
  <c r="S22" i="9"/>
  <c r="U22" i="9"/>
  <c r="V22" i="9" s="1"/>
  <c r="W22" i="9" s="1"/>
  <c r="S18" i="9"/>
  <c r="U18" i="9"/>
  <c r="V18" i="9" s="1"/>
  <c r="W18" i="9" s="1"/>
  <c r="S17" i="9"/>
  <c r="U17" i="9"/>
  <c r="V17" i="9" s="1"/>
  <c r="W17" i="9" s="1"/>
  <c r="S37" i="9"/>
  <c r="U37" i="9"/>
  <c r="V37" i="9" s="1"/>
  <c r="W37" i="9" s="1"/>
  <c r="U9" i="9"/>
  <c r="V9" i="9" s="1"/>
  <c r="W9" i="9" s="1"/>
  <c r="S9" i="9"/>
  <c r="S28" i="9"/>
  <c r="U28" i="9"/>
  <c r="V28" i="9" s="1"/>
  <c r="W28" i="9" s="1"/>
  <c r="S8" i="9"/>
  <c r="U8" i="9"/>
  <c r="V8" i="9" s="1"/>
  <c r="W8" i="9" s="1"/>
  <c r="S6" i="9"/>
  <c r="U6" i="9"/>
  <c r="V6" i="9" s="1"/>
  <c r="W6" i="9" s="1"/>
  <c r="S21" i="9"/>
  <c r="U21" i="9"/>
  <c r="V21" i="9" s="1"/>
  <c r="W21" i="9" s="1"/>
  <c r="S25" i="9"/>
  <c r="U25" i="9"/>
  <c r="V25" i="9" s="1"/>
  <c r="W25" i="9" s="1"/>
  <c r="S30" i="9"/>
  <c r="U30" i="9"/>
  <c r="V30" i="9" s="1"/>
  <c r="W30" i="9" s="1"/>
  <c r="S32" i="9"/>
  <c r="U32" i="9"/>
  <c r="V32" i="9" s="1"/>
  <c r="W32" i="9" s="1"/>
  <c r="S7" i="9"/>
  <c r="U7" i="9"/>
  <c r="V7" i="9" s="1"/>
  <c r="W7" i="9" s="1"/>
  <c r="S3" i="9"/>
  <c r="U3" i="9"/>
  <c r="V3" i="9" s="1"/>
  <c r="W3" i="9" s="1"/>
  <c r="S36" i="9"/>
  <c r="U36" i="9"/>
  <c r="V36" i="9" s="1"/>
  <c r="W36" i="9" s="1"/>
  <c r="S4" i="9"/>
  <c r="U4" i="9"/>
  <c r="V4" i="9" s="1"/>
  <c r="W4" i="9" s="1"/>
  <c r="W43" i="9" l="1"/>
  <c r="S43" i="9"/>
  <c r="K42" i="9"/>
  <c r="K43" i="9" s="1"/>
</calcChain>
</file>

<file path=xl/sharedStrings.xml><?xml version="1.0" encoding="utf-8"?>
<sst xmlns="http://schemas.openxmlformats.org/spreadsheetml/2006/main" count="161" uniqueCount="66">
  <si>
    <t>DESCRIPTION</t>
  </si>
  <si>
    <t>Base Year</t>
  </si>
  <si>
    <t>Option Year 1</t>
  </si>
  <si>
    <t>Option Year 2</t>
  </si>
  <si>
    <t>Option Year 3</t>
  </si>
  <si>
    <t>Option Year 4</t>
  </si>
  <si>
    <t>U/M</t>
  </si>
  <si>
    <t>NO.</t>
  </si>
  <si>
    <t>Base Year:</t>
  </si>
  <si>
    <t>QTY</t>
  </si>
  <si>
    <t>UNIT PRICE</t>
  </si>
  <si>
    <t>AMOUNT</t>
  </si>
  <si>
    <t>OPTION YEAR 1</t>
  </si>
  <si>
    <t>OPTION YEAR 2</t>
  </si>
  <si>
    <t>OPTION YEAR 3</t>
  </si>
  <si>
    <t>OPTION YEAR 4</t>
  </si>
  <si>
    <t xml:space="preserve"> </t>
  </si>
  <si>
    <t>PRODUCT NO.</t>
  </si>
  <si>
    <t>Each</t>
  </si>
  <si>
    <t>2.5%</t>
  </si>
  <si>
    <t>TOTAL</t>
  </si>
  <si>
    <t>VDC Carbon Filter, 13 FT</t>
  </si>
  <si>
    <t>P764336798</t>
  </si>
  <si>
    <t>Compressor Paddle, 24 CM x 29 CM</t>
  </si>
  <si>
    <t>Preventative Maintenance Kit</t>
  </si>
  <si>
    <t>3</t>
  </si>
  <si>
    <t>8</t>
  </si>
  <si>
    <t>Hand Control, CMAX/4085/5085 Table</t>
  </si>
  <si>
    <t>Battery, 3.8 AH, NIHM, 9.6V</t>
  </si>
  <si>
    <t>Housing &amp; Battery Door</t>
  </si>
  <si>
    <t>B2679693</t>
  </si>
  <si>
    <t>100FT Display Port AOC Cable Plenum 30M</t>
  </si>
  <si>
    <t>Pump Module Calibrated Set Rte Control</t>
  </si>
  <si>
    <t>BPM-100-14</t>
  </si>
  <si>
    <t>Coiled Blood Monitor Tubing</t>
  </si>
  <si>
    <t>Hepa Filter</t>
  </si>
  <si>
    <t>4600 X Series AC Fan</t>
  </si>
  <si>
    <t>MSL Board</t>
  </si>
  <si>
    <t>9400 Probe - Cracked Plastic Chassis</t>
  </si>
  <si>
    <t>NBP Pump Assembly</t>
  </si>
  <si>
    <t>73305-O</t>
  </si>
  <si>
    <t>5FT 6V Direct Plug Power Supply</t>
  </si>
  <si>
    <t>Welch Allyn Macroview Plus OTO for IEX</t>
  </si>
  <si>
    <t>Battery UPS Sealed Lead Acid 24V 18 AH</t>
  </si>
  <si>
    <t>Glycerin, 1 Gallon Bottle</t>
  </si>
  <si>
    <t>LVP Door Assembly</t>
  </si>
  <si>
    <t>147080-100</t>
  </si>
  <si>
    <t>Latch Kit Assembly</t>
  </si>
  <si>
    <t>Power Cord Wrap</t>
  </si>
  <si>
    <t xml:space="preserve">8" 200CM Cable Ties, 2-1/8" </t>
  </si>
  <si>
    <t>Flush Mount w/ Tilt &amp; Swivel</t>
  </si>
  <si>
    <t>Battery, Rechargeable. 9 Cell Lithium 7.5 AH, 11.1 V</t>
  </si>
  <si>
    <t>Surge Protector Power Strip 6-Outlet 4 USB Ports</t>
  </si>
  <si>
    <t>Diagnostic Battery Cover for Dopplers FD2</t>
  </si>
  <si>
    <t>Battery, Sealed Lad Acid, 12V, 2.9 AH, 0.187 IN</t>
  </si>
  <si>
    <t>TZE Standard Adhesive Laminated Labeling Tape</t>
  </si>
  <si>
    <t>Pivot Arm, 12IN, 60LB Maximum Arm Load, 30LB</t>
  </si>
  <si>
    <t>Cap Plunger Actuator Body Kit</t>
  </si>
  <si>
    <t>Non-Invasive Blood Pressure Connector</t>
  </si>
  <si>
    <t>NIBP Modules Service Kit</t>
  </si>
  <si>
    <t>Barcode Scanner &amp; Holter Kit</t>
  </si>
  <si>
    <t>AED Tag 5-3/4 x 3 IN BK &amp; R/WHT PK10</t>
  </si>
  <si>
    <t>Medcaster 5" Avant Caster w/ Threaded Swivel Stem 1-1/2H" Stem 220</t>
  </si>
  <si>
    <t>Display Port to DP Multi Monitor - Splitter - 2 Port MST HUB - Video, Splitter</t>
  </si>
  <si>
    <t>10FT 18 AWG NEMA 5-15P C13 Hospital Grade Power Cord - Gray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</si>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</sst>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/>
    <xf numFmtId="0" fontId="0" fillId="0" borderId="14" xfId="0" applyBorder="1"/>
    <xf numFmtId="0" fontId="2" fillId="0" borderId="15" xfId="0" applyFont="1" applyBorder="1"/>
    <xf numFmtId="0" fontId="3" fillId="0" borderId="0" xfId="0" applyFont="1" applyFill="1" applyBorder="1"/>
    <xf numFmtId="44" fontId="3" fillId="0" borderId="0" xfId="1" applyFont="1" applyFill="1" applyBorder="1"/>
    <xf numFmtId="44" fontId="3" fillId="0" borderId="0" xfId="0" applyNumberFormat="1" applyFont="1" applyFill="1" applyBorder="1"/>
    <xf numFmtId="0" fontId="0" fillId="0" borderId="0" xfId="0" applyFill="1" applyBorder="1"/>
    <xf numFmtId="0" fontId="8" fillId="3" borderId="11" xfId="0" applyFont="1" applyFill="1" applyBorder="1" applyAlignment="1">
      <alignment horizontal="center"/>
    </xf>
    <xf numFmtId="1" fontId="8" fillId="3" borderId="5" xfId="0" applyNumberFormat="1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wrapText="1"/>
    </xf>
    <xf numFmtId="38" fontId="8" fillId="3" borderId="5" xfId="0" applyNumberFormat="1" applyFont="1" applyFill="1" applyBorder="1" applyAlignment="1">
      <alignment horizontal="center" wrapText="1"/>
    </xf>
    <xf numFmtId="40" fontId="8" fillId="3" borderId="6" xfId="0" applyNumberFormat="1" applyFont="1" applyFill="1" applyBorder="1" applyAlignment="1">
      <alignment horizontal="center" wrapText="1"/>
    </xf>
    <xf numFmtId="40" fontId="8" fillId="3" borderId="13" xfId="0" applyNumberFormat="1" applyFont="1" applyFill="1" applyBorder="1" applyAlignment="1">
      <alignment horizontal="center" wrapText="1"/>
    </xf>
    <xf numFmtId="0" fontId="9" fillId="0" borderId="0" xfId="0" applyFont="1" applyAlignment="1"/>
    <xf numFmtId="0" fontId="5" fillId="0" borderId="15" xfId="0" applyFont="1" applyBorder="1"/>
    <xf numFmtId="0" fontId="4" fillId="0" borderId="1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" fontId="7" fillId="0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wrapText="1"/>
    </xf>
    <xf numFmtId="1" fontId="7" fillId="0" borderId="10" xfId="0" applyNumberFormat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wrapText="1"/>
    </xf>
    <xf numFmtId="0" fontId="10" fillId="0" borderId="19" xfId="0" applyFont="1" applyBorder="1"/>
    <xf numFmtId="0" fontId="10" fillId="0" borderId="20" xfId="0" applyFont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8" fontId="7" fillId="2" borderId="10" xfId="0" applyNumberFormat="1" applyFont="1" applyFill="1" applyBorder="1" applyAlignment="1">
      <alignment horizontal="center"/>
    </xf>
    <xf numFmtId="44" fontId="7" fillId="2" borderId="3" xfId="1" applyFont="1" applyFill="1" applyBorder="1"/>
    <xf numFmtId="44" fontId="7" fillId="2" borderId="2" xfId="1" applyFont="1" applyFill="1" applyBorder="1"/>
    <xf numFmtId="0" fontId="7" fillId="0" borderId="17" xfId="0" applyFont="1" applyBorder="1" applyAlignment="1">
      <alignment horizontal="center"/>
    </xf>
    <xf numFmtId="1" fontId="7" fillId="0" borderId="9" xfId="0" applyNumberFormat="1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44" fontId="6" fillId="0" borderId="0" xfId="0" applyNumberFormat="1" applyFont="1"/>
    <xf numFmtId="0" fontId="6" fillId="0" borderId="0" xfId="0" applyFont="1" applyBorder="1"/>
    <xf numFmtId="0" fontId="7" fillId="0" borderId="0" xfId="0" applyFont="1" applyBorder="1"/>
    <xf numFmtId="0" fontId="11" fillId="0" borderId="0" xfId="0" applyFont="1" applyFill="1" applyBorder="1"/>
    <xf numFmtId="44" fontId="11" fillId="0" borderId="0" xfId="1" applyFont="1" applyFill="1" applyBorder="1"/>
    <xf numFmtId="49" fontId="7" fillId="2" borderId="10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38" fontId="7" fillId="2" borderId="9" xfId="0" applyNumberFormat="1" applyFont="1" applyFill="1" applyBorder="1" applyAlignment="1">
      <alignment horizontal="center"/>
    </xf>
    <xf numFmtId="44" fontId="7" fillId="2" borderId="8" xfId="1" applyFont="1" applyFill="1" applyBorder="1"/>
    <xf numFmtId="44" fontId="7" fillId="2" borderId="7" xfId="1" applyFont="1" applyFill="1" applyBorder="1"/>
    <xf numFmtId="44" fontId="6" fillId="2" borderId="18" xfId="1" applyFont="1" applyFill="1" applyBorder="1"/>
    <xf numFmtId="44" fontId="6" fillId="2" borderId="18" xfId="0" applyNumberFormat="1" applyFont="1" applyFill="1" applyBorder="1"/>
    <xf numFmtId="0" fontId="7" fillId="2" borderId="1" xfId="0" applyFont="1" applyFill="1" applyBorder="1" applyAlignment="1">
      <alignment wrapText="1"/>
    </xf>
    <xf numFmtId="40" fontId="8" fillId="3" borderId="22" xfId="0" applyNumberFormat="1" applyFont="1" applyFill="1" applyBorder="1" applyAlignment="1">
      <alignment horizontal="center" wrapText="1"/>
    </xf>
    <xf numFmtId="44" fontId="7" fillId="2" borderId="21" xfId="1" applyFont="1" applyFill="1" applyBorder="1"/>
    <xf numFmtId="44" fontId="7" fillId="2" borderId="23" xfId="1" applyFont="1" applyFill="1" applyBorder="1"/>
    <xf numFmtId="40" fontId="8" fillId="3" borderId="6" xfId="0" quotePrefix="1" applyNumberFormat="1" applyFont="1" applyFill="1" applyBorder="1" applyAlignment="1">
      <alignment horizontal="right" wrapText="1"/>
    </xf>
    <xf numFmtId="0" fontId="6" fillId="0" borderId="8" xfId="0" applyFont="1" applyFill="1" applyBorder="1" applyAlignment="1">
      <alignment horizontal="right" wrapText="1"/>
    </xf>
    <xf numFmtId="0" fontId="6" fillId="2" borderId="24" xfId="0" applyFont="1" applyFill="1" applyBorder="1" applyAlignment="1">
      <alignment horizontal="right"/>
    </xf>
    <xf numFmtId="0" fontId="6" fillId="2" borderId="25" xfId="0" applyFont="1" applyFill="1" applyBorder="1" applyAlignment="1">
      <alignment horizontal="right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  <color rgb="FFFF66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X51"/>
  <sheetViews>
    <sheetView tabSelected="1" topLeftCell="A33" zoomScale="120" zoomScaleNormal="120" workbookViewId="0">
      <selection activeCell="A40" sqref="A40"/>
    </sheetView>
  </sheetViews>
  <sheetFormatPr defaultRowHeight="14.4" x14ac:dyDescent="0.3"/>
  <cols>
    <col min="1" max="1" width="4.5546875" style="1" customWidth="1"/>
    <col min="2" max="2" width="13.33203125" customWidth="1"/>
    <col min="3" max="3" width="60.109375" customWidth="1"/>
    <col min="4" max="5" width="6.33203125" customWidth="1"/>
    <col min="6" max="6" width="10.109375" customWidth="1"/>
    <col min="7" max="7" width="12.88671875" customWidth="1"/>
    <col min="8" max="8" width="6.109375" customWidth="1"/>
    <col min="9" max="9" width="7.6640625" hidden="1" customWidth="1"/>
    <col min="10" max="10" width="10.88671875" style="1" customWidth="1"/>
    <col min="11" max="11" width="10.88671875" customWidth="1"/>
    <col min="12" max="12" width="6.6640625" customWidth="1"/>
    <col min="13" max="13" width="7.6640625" style="1" hidden="1" customWidth="1"/>
    <col min="14" max="14" width="11.109375" style="1" customWidth="1"/>
    <col min="15" max="15" width="12.33203125" style="1" customWidth="1"/>
    <col min="16" max="16" width="5.88671875" customWidth="1"/>
    <col min="17" max="17" width="7.6640625" style="1" hidden="1" customWidth="1"/>
    <col min="18" max="19" width="10.6640625" style="1" customWidth="1"/>
    <col min="20" max="20" width="5.6640625" customWidth="1"/>
    <col min="21" max="21" width="7.6640625" style="1" hidden="1" customWidth="1"/>
    <col min="22" max="22" width="10.109375" style="1" customWidth="1"/>
    <col min="23" max="23" width="11.33203125" style="1" customWidth="1"/>
    <col min="24" max="24" width="8.6640625" customWidth="1"/>
  </cols>
  <sheetData>
    <row r="1" spans="1:24" ht="15" thickTop="1" x14ac:dyDescent="0.3">
      <c r="A1" s="2"/>
      <c r="B1" s="3"/>
      <c r="C1" s="16"/>
      <c r="D1" s="17"/>
      <c r="E1" s="54" t="s">
        <v>1</v>
      </c>
      <c r="F1" s="54"/>
      <c r="G1" s="55"/>
      <c r="H1" s="54" t="s">
        <v>2</v>
      </c>
      <c r="I1" s="54"/>
      <c r="J1" s="54"/>
      <c r="K1" s="55"/>
      <c r="L1" s="54" t="s">
        <v>3</v>
      </c>
      <c r="M1" s="54"/>
      <c r="N1" s="54"/>
      <c r="O1" s="55"/>
      <c r="P1" s="54" t="s">
        <v>4</v>
      </c>
      <c r="Q1" s="54"/>
      <c r="R1" s="54"/>
      <c r="S1" s="55"/>
      <c r="T1" s="54" t="s">
        <v>5</v>
      </c>
      <c r="U1" s="54"/>
      <c r="V1" s="54"/>
      <c r="W1" s="55"/>
    </row>
    <row r="2" spans="1:24" s="15" customFormat="1" ht="30" customHeight="1" x14ac:dyDescent="0.25">
      <c r="A2" s="8" t="s">
        <v>7</v>
      </c>
      <c r="B2" s="9" t="s">
        <v>17</v>
      </c>
      <c r="C2" s="10" t="s">
        <v>0</v>
      </c>
      <c r="D2" s="11" t="s">
        <v>6</v>
      </c>
      <c r="E2" s="12" t="s">
        <v>9</v>
      </c>
      <c r="F2" s="13" t="s">
        <v>10</v>
      </c>
      <c r="G2" s="14" t="s">
        <v>11</v>
      </c>
      <c r="H2" s="12" t="s">
        <v>9</v>
      </c>
      <c r="I2" s="50" t="s">
        <v>19</v>
      </c>
      <c r="J2" s="47" t="s">
        <v>10</v>
      </c>
      <c r="K2" s="14" t="s">
        <v>11</v>
      </c>
      <c r="L2" s="12" t="s">
        <v>9</v>
      </c>
      <c r="M2" s="50" t="s">
        <v>19</v>
      </c>
      <c r="N2" s="47" t="s">
        <v>10</v>
      </c>
      <c r="O2" s="14" t="s">
        <v>11</v>
      </c>
      <c r="P2" s="12" t="s">
        <v>9</v>
      </c>
      <c r="Q2" s="50" t="s">
        <v>19</v>
      </c>
      <c r="R2" s="47" t="s">
        <v>10</v>
      </c>
      <c r="S2" s="14" t="s">
        <v>11</v>
      </c>
      <c r="T2" s="12" t="s">
        <v>9</v>
      </c>
      <c r="U2" s="50" t="s">
        <v>19</v>
      </c>
      <c r="V2" s="47" t="s">
        <v>10</v>
      </c>
      <c r="W2" s="14" t="s">
        <v>11</v>
      </c>
    </row>
    <row r="3" spans="1:24" x14ac:dyDescent="0.3">
      <c r="A3" s="18">
        <v>1</v>
      </c>
      <c r="B3" s="19" t="s">
        <v>22</v>
      </c>
      <c r="C3" s="20" t="s">
        <v>21</v>
      </c>
      <c r="D3" s="26" t="s">
        <v>18</v>
      </c>
      <c r="E3" s="39" t="s">
        <v>25</v>
      </c>
      <c r="F3" s="29"/>
      <c r="G3" s="28"/>
      <c r="H3" s="39" t="s">
        <v>25</v>
      </c>
      <c r="I3" s="29">
        <f>SUM(F3*2.5%)</f>
        <v>0</v>
      </c>
      <c r="J3" s="48">
        <f t="shared" ref="J3:J39" si="0">SUM(F3+I3)</f>
        <v>0</v>
      </c>
      <c r="K3" s="28">
        <f t="shared" ref="K3:K31" si="1">SUM(H3*J3)</f>
        <v>0</v>
      </c>
      <c r="L3" s="39" t="s">
        <v>25</v>
      </c>
      <c r="M3" s="29">
        <f>SUM(J3*2.5%)</f>
        <v>0</v>
      </c>
      <c r="N3" s="48">
        <f>SUM(J3+M3)</f>
        <v>0</v>
      </c>
      <c r="O3" s="28">
        <f>SUM(L3*N3)</f>
        <v>0</v>
      </c>
      <c r="P3" s="39" t="s">
        <v>25</v>
      </c>
      <c r="Q3" s="29">
        <f>SUM(N3*2.5%)</f>
        <v>0</v>
      </c>
      <c r="R3" s="48">
        <f>SUM(N3+Q3)</f>
        <v>0</v>
      </c>
      <c r="S3" s="28">
        <f>SUM(P3*R3)</f>
        <v>0</v>
      </c>
      <c r="T3" s="39" t="s">
        <v>25</v>
      </c>
      <c r="U3" s="29">
        <f>SUM(R3*2.5%)</f>
        <v>0</v>
      </c>
      <c r="V3" s="48">
        <f>SUM(R3+U3)</f>
        <v>0</v>
      </c>
      <c r="W3" s="28">
        <f>SUM(T3*V3)</f>
        <v>0</v>
      </c>
    </row>
    <row r="4" spans="1:24" x14ac:dyDescent="0.3">
      <c r="A4" s="18">
        <v>2</v>
      </c>
      <c r="B4" s="19">
        <v>6933877</v>
      </c>
      <c r="C4" s="20" t="s">
        <v>23</v>
      </c>
      <c r="D4" s="26" t="s">
        <v>18</v>
      </c>
      <c r="E4" s="39" t="s">
        <v>25</v>
      </c>
      <c r="F4" s="29"/>
      <c r="G4" s="28"/>
      <c r="H4" s="39" t="s">
        <v>25</v>
      </c>
      <c r="I4" s="29">
        <f t="shared" ref="I4:I40" si="2">SUM(F4*2.5%)</f>
        <v>0</v>
      </c>
      <c r="J4" s="48">
        <f t="shared" si="0"/>
        <v>0</v>
      </c>
      <c r="K4" s="28">
        <f t="shared" si="1"/>
        <v>0</v>
      </c>
      <c r="L4" s="39" t="s">
        <v>25</v>
      </c>
      <c r="M4" s="29">
        <f t="shared" ref="M4:M40" si="3">SUM(J4*2.5%)</f>
        <v>0</v>
      </c>
      <c r="N4" s="48">
        <f t="shared" ref="N4:N39" si="4">SUM(J4+M4)</f>
        <v>0</v>
      </c>
      <c r="O4" s="28">
        <f t="shared" ref="O4:O39" si="5">SUM(L4*N4)</f>
        <v>0</v>
      </c>
      <c r="P4" s="39" t="s">
        <v>25</v>
      </c>
      <c r="Q4" s="29">
        <f t="shared" ref="Q4:Q40" si="6">SUM(N4*2.5%)</f>
        <v>0</v>
      </c>
      <c r="R4" s="48">
        <f t="shared" ref="R4:R39" si="7">SUM(N4+Q4)</f>
        <v>0</v>
      </c>
      <c r="S4" s="28">
        <f t="shared" ref="S4:S39" si="8">SUM(P4*R4)</f>
        <v>0</v>
      </c>
      <c r="T4" s="39" t="s">
        <v>25</v>
      </c>
      <c r="U4" s="29">
        <f t="shared" ref="U4:U40" si="9">SUM(R4*2.5%)</f>
        <v>0</v>
      </c>
      <c r="V4" s="48">
        <f t="shared" ref="V4:V39" si="10">SUM(R4+U4)</f>
        <v>0</v>
      </c>
      <c r="W4" s="28">
        <f t="shared" ref="W4:W39" si="11">SUM(T4*V4)</f>
        <v>0</v>
      </c>
    </row>
    <row r="5" spans="1:24" x14ac:dyDescent="0.3">
      <c r="A5" s="18">
        <v>3</v>
      </c>
      <c r="B5" s="19">
        <v>78401176</v>
      </c>
      <c r="C5" s="20" t="s">
        <v>24</v>
      </c>
      <c r="D5" s="26" t="s">
        <v>18</v>
      </c>
      <c r="E5" s="39" t="s">
        <v>25</v>
      </c>
      <c r="F5" s="29"/>
      <c r="G5" s="28"/>
      <c r="H5" s="39" t="s">
        <v>25</v>
      </c>
      <c r="I5" s="29">
        <f t="shared" si="2"/>
        <v>0</v>
      </c>
      <c r="J5" s="48">
        <f t="shared" si="0"/>
        <v>0</v>
      </c>
      <c r="K5" s="28">
        <f t="shared" si="1"/>
        <v>0</v>
      </c>
      <c r="L5" s="39" t="s">
        <v>25</v>
      </c>
      <c r="M5" s="29">
        <f t="shared" si="3"/>
        <v>0</v>
      </c>
      <c r="N5" s="48">
        <f t="shared" si="4"/>
        <v>0</v>
      </c>
      <c r="O5" s="28">
        <f t="shared" si="5"/>
        <v>0</v>
      </c>
      <c r="P5" s="39" t="s">
        <v>25</v>
      </c>
      <c r="Q5" s="29">
        <f t="shared" si="6"/>
        <v>0</v>
      </c>
      <c r="R5" s="48">
        <f t="shared" si="7"/>
        <v>0</v>
      </c>
      <c r="S5" s="28">
        <f t="shared" si="8"/>
        <v>0</v>
      </c>
      <c r="T5" s="39" t="s">
        <v>25</v>
      </c>
      <c r="U5" s="29">
        <f t="shared" si="9"/>
        <v>0</v>
      </c>
      <c r="V5" s="48">
        <f t="shared" si="10"/>
        <v>0</v>
      </c>
      <c r="W5" s="28">
        <f t="shared" si="11"/>
        <v>0</v>
      </c>
    </row>
    <row r="6" spans="1:24" x14ac:dyDescent="0.3">
      <c r="A6" s="18">
        <v>4</v>
      </c>
      <c r="B6" s="19">
        <v>6884550</v>
      </c>
      <c r="C6" s="46" t="s">
        <v>27</v>
      </c>
      <c r="D6" s="26" t="s">
        <v>18</v>
      </c>
      <c r="E6" s="39" t="s">
        <v>25</v>
      </c>
      <c r="F6" s="29"/>
      <c r="G6" s="28"/>
      <c r="H6" s="39" t="s">
        <v>25</v>
      </c>
      <c r="I6" s="29">
        <f t="shared" si="2"/>
        <v>0</v>
      </c>
      <c r="J6" s="48">
        <f t="shared" si="0"/>
        <v>0</v>
      </c>
      <c r="K6" s="28">
        <f t="shared" si="1"/>
        <v>0</v>
      </c>
      <c r="L6" s="39" t="s">
        <v>25</v>
      </c>
      <c r="M6" s="29">
        <f t="shared" si="3"/>
        <v>0</v>
      </c>
      <c r="N6" s="48">
        <f t="shared" si="4"/>
        <v>0</v>
      </c>
      <c r="O6" s="28">
        <f t="shared" si="5"/>
        <v>0</v>
      </c>
      <c r="P6" s="39" t="s">
        <v>25</v>
      </c>
      <c r="Q6" s="29">
        <f t="shared" si="6"/>
        <v>0</v>
      </c>
      <c r="R6" s="48">
        <f t="shared" si="7"/>
        <v>0</v>
      </c>
      <c r="S6" s="28">
        <f t="shared" si="8"/>
        <v>0</v>
      </c>
      <c r="T6" s="39" t="s">
        <v>25</v>
      </c>
      <c r="U6" s="29">
        <f t="shared" si="9"/>
        <v>0</v>
      </c>
      <c r="V6" s="48">
        <f t="shared" si="10"/>
        <v>0</v>
      </c>
      <c r="W6" s="28">
        <f t="shared" si="11"/>
        <v>0</v>
      </c>
    </row>
    <row r="7" spans="1:24" x14ac:dyDescent="0.3">
      <c r="A7" s="18">
        <v>5</v>
      </c>
      <c r="B7" s="19">
        <v>6137</v>
      </c>
      <c r="C7" s="20" t="s">
        <v>28</v>
      </c>
      <c r="D7" s="26" t="s">
        <v>18</v>
      </c>
      <c r="E7" s="39" t="s">
        <v>26</v>
      </c>
      <c r="F7" s="29"/>
      <c r="G7" s="28"/>
      <c r="H7" s="39" t="s">
        <v>26</v>
      </c>
      <c r="I7" s="29">
        <f t="shared" si="2"/>
        <v>0</v>
      </c>
      <c r="J7" s="48">
        <f t="shared" si="0"/>
        <v>0</v>
      </c>
      <c r="K7" s="28">
        <f t="shared" si="1"/>
        <v>0</v>
      </c>
      <c r="L7" s="39" t="s">
        <v>26</v>
      </c>
      <c r="M7" s="29">
        <f t="shared" si="3"/>
        <v>0</v>
      </c>
      <c r="N7" s="48">
        <f t="shared" si="4"/>
        <v>0</v>
      </c>
      <c r="O7" s="28">
        <f t="shared" si="5"/>
        <v>0</v>
      </c>
      <c r="P7" s="39" t="s">
        <v>26</v>
      </c>
      <c r="Q7" s="29">
        <f t="shared" si="6"/>
        <v>0</v>
      </c>
      <c r="R7" s="48">
        <f t="shared" si="7"/>
        <v>0</v>
      </c>
      <c r="S7" s="28">
        <f t="shared" si="8"/>
        <v>0</v>
      </c>
      <c r="T7" s="39" t="s">
        <v>26</v>
      </c>
      <c r="U7" s="29">
        <f t="shared" si="9"/>
        <v>0</v>
      </c>
      <c r="V7" s="48">
        <f t="shared" si="10"/>
        <v>0</v>
      </c>
      <c r="W7" s="28">
        <f t="shared" si="11"/>
        <v>0</v>
      </c>
    </row>
    <row r="8" spans="1:24" ht="16.5" customHeight="1" x14ac:dyDescent="0.3">
      <c r="A8" s="18">
        <v>6</v>
      </c>
      <c r="B8" s="21">
        <v>453564673981</v>
      </c>
      <c r="C8" s="20" t="s">
        <v>29</v>
      </c>
      <c r="D8" s="26" t="s">
        <v>18</v>
      </c>
      <c r="E8" s="39" t="s">
        <v>25</v>
      </c>
      <c r="F8" s="29"/>
      <c r="G8" s="28"/>
      <c r="H8" s="39" t="s">
        <v>25</v>
      </c>
      <c r="I8" s="29">
        <f t="shared" si="2"/>
        <v>0</v>
      </c>
      <c r="J8" s="48">
        <f t="shared" si="0"/>
        <v>0</v>
      </c>
      <c r="K8" s="28">
        <f t="shared" si="1"/>
        <v>0</v>
      </c>
      <c r="L8" s="39" t="s">
        <v>25</v>
      </c>
      <c r="M8" s="29">
        <f t="shared" si="3"/>
        <v>0</v>
      </c>
      <c r="N8" s="48">
        <f t="shared" si="4"/>
        <v>0</v>
      </c>
      <c r="O8" s="28">
        <f t="shared" si="5"/>
        <v>0</v>
      </c>
      <c r="P8" s="39" t="s">
        <v>25</v>
      </c>
      <c r="Q8" s="29">
        <f t="shared" si="6"/>
        <v>0</v>
      </c>
      <c r="R8" s="48">
        <f t="shared" si="7"/>
        <v>0</v>
      </c>
      <c r="S8" s="28">
        <f t="shared" si="8"/>
        <v>0</v>
      </c>
      <c r="T8" s="39" t="s">
        <v>25</v>
      </c>
      <c r="U8" s="29">
        <f t="shared" si="9"/>
        <v>0</v>
      </c>
      <c r="V8" s="48">
        <f t="shared" si="10"/>
        <v>0</v>
      </c>
      <c r="W8" s="28">
        <f t="shared" si="11"/>
        <v>0</v>
      </c>
    </row>
    <row r="9" spans="1:24" x14ac:dyDescent="0.3">
      <c r="A9" s="18">
        <v>7</v>
      </c>
      <c r="B9" s="22" t="s">
        <v>30</v>
      </c>
      <c r="C9" s="23" t="s">
        <v>62</v>
      </c>
      <c r="D9" s="26" t="s">
        <v>18</v>
      </c>
      <c r="E9" s="27">
        <v>8</v>
      </c>
      <c r="F9" s="29"/>
      <c r="G9" s="28"/>
      <c r="H9" s="27">
        <v>8</v>
      </c>
      <c r="I9" s="29">
        <f t="shared" si="2"/>
        <v>0</v>
      </c>
      <c r="J9" s="48">
        <f t="shared" si="0"/>
        <v>0</v>
      </c>
      <c r="K9" s="28">
        <f t="shared" si="1"/>
        <v>0</v>
      </c>
      <c r="L9" s="27">
        <v>8</v>
      </c>
      <c r="M9" s="29">
        <f t="shared" si="3"/>
        <v>0</v>
      </c>
      <c r="N9" s="48">
        <f t="shared" si="4"/>
        <v>0</v>
      </c>
      <c r="O9" s="28">
        <f t="shared" si="5"/>
        <v>0</v>
      </c>
      <c r="P9" s="27">
        <v>8</v>
      </c>
      <c r="Q9" s="29">
        <f t="shared" si="6"/>
        <v>0</v>
      </c>
      <c r="R9" s="48">
        <f t="shared" si="7"/>
        <v>0</v>
      </c>
      <c r="S9" s="28">
        <f t="shared" si="8"/>
        <v>0</v>
      </c>
      <c r="T9" s="27">
        <v>8</v>
      </c>
      <c r="U9" s="29">
        <f t="shared" si="9"/>
        <v>0</v>
      </c>
      <c r="V9" s="48">
        <f t="shared" si="10"/>
        <v>0</v>
      </c>
      <c r="W9" s="28">
        <f t="shared" si="11"/>
        <v>0</v>
      </c>
    </row>
    <row r="10" spans="1:24" s="1" customFormat="1" x14ac:dyDescent="0.3">
      <c r="A10" s="18">
        <v>8</v>
      </c>
      <c r="B10" s="21">
        <v>11776614</v>
      </c>
      <c r="C10" s="20" t="s">
        <v>63</v>
      </c>
      <c r="D10" s="26" t="s">
        <v>18</v>
      </c>
      <c r="E10" s="27">
        <v>3</v>
      </c>
      <c r="F10" s="29"/>
      <c r="G10" s="28"/>
      <c r="H10" s="27">
        <v>3</v>
      </c>
      <c r="I10" s="29">
        <f t="shared" si="2"/>
        <v>0</v>
      </c>
      <c r="J10" s="48">
        <f t="shared" si="0"/>
        <v>0</v>
      </c>
      <c r="K10" s="28">
        <f t="shared" si="1"/>
        <v>0</v>
      </c>
      <c r="L10" s="27">
        <v>3</v>
      </c>
      <c r="M10" s="29">
        <f t="shared" si="3"/>
        <v>0</v>
      </c>
      <c r="N10" s="48">
        <f t="shared" si="4"/>
        <v>0</v>
      </c>
      <c r="O10" s="28">
        <f t="shared" si="5"/>
        <v>0</v>
      </c>
      <c r="P10" s="27">
        <v>3</v>
      </c>
      <c r="Q10" s="29">
        <f t="shared" si="6"/>
        <v>0</v>
      </c>
      <c r="R10" s="48">
        <f t="shared" si="7"/>
        <v>0</v>
      </c>
      <c r="S10" s="28">
        <f t="shared" si="8"/>
        <v>0</v>
      </c>
      <c r="T10" s="27">
        <v>3</v>
      </c>
      <c r="U10" s="29">
        <f t="shared" si="9"/>
        <v>0</v>
      </c>
      <c r="V10" s="48">
        <f t="shared" si="10"/>
        <v>0</v>
      </c>
      <c r="W10" s="28">
        <f t="shared" si="11"/>
        <v>0</v>
      </c>
    </row>
    <row r="11" spans="1:24" s="1" customFormat="1" x14ac:dyDescent="0.3">
      <c r="A11" s="18">
        <v>9</v>
      </c>
      <c r="B11" s="21">
        <v>29538</v>
      </c>
      <c r="C11" s="25" t="s">
        <v>31</v>
      </c>
      <c r="D11" s="26" t="s">
        <v>18</v>
      </c>
      <c r="E11" s="27">
        <v>3</v>
      </c>
      <c r="F11" s="29"/>
      <c r="G11" s="28"/>
      <c r="H11" s="27">
        <v>3</v>
      </c>
      <c r="I11" s="29">
        <f t="shared" si="2"/>
        <v>0</v>
      </c>
      <c r="J11" s="48">
        <f t="shared" si="0"/>
        <v>0</v>
      </c>
      <c r="K11" s="28">
        <f t="shared" si="1"/>
        <v>0</v>
      </c>
      <c r="L11" s="27">
        <v>3</v>
      </c>
      <c r="M11" s="29">
        <f t="shared" si="3"/>
        <v>0</v>
      </c>
      <c r="N11" s="48">
        <f t="shared" si="4"/>
        <v>0</v>
      </c>
      <c r="O11" s="28">
        <f t="shared" si="5"/>
        <v>0</v>
      </c>
      <c r="P11" s="27">
        <v>3</v>
      </c>
      <c r="Q11" s="29">
        <f t="shared" si="6"/>
        <v>0</v>
      </c>
      <c r="R11" s="48">
        <f t="shared" si="7"/>
        <v>0</v>
      </c>
      <c r="S11" s="28">
        <f t="shared" si="8"/>
        <v>0</v>
      </c>
      <c r="T11" s="27">
        <v>3</v>
      </c>
      <c r="U11" s="29">
        <f t="shared" si="9"/>
        <v>0</v>
      </c>
      <c r="V11" s="48">
        <f t="shared" si="10"/>
        <v>0</v>
      </c>
      <c r="W11" s="28">
        <f t="shared" si="11"/>
        <v>0</v>
      </c>
    </row>
    <row r="12" spans="1:24" s="1" customFormat="1" x14ac:dyDescent="0.3">
      <c r="A12" s="18">
        <v>10</v>
      </c>
      <c r="B12" s="21">
        <v>6776700</v>
      </c>
      <c r="C12" s="24" t="s">
        <v>32</v>
      </c>
      <c r="D12" s="26" t="s">
        <v>18</v>
      </c>
      <c r="E12" s="27">
        <v>8</v>
      </c>
      <c r="F12" s="29"/>
      <c r="G12" s="28"/>
      <c r="H12" s="27">
        <v>8</v>
      </c>
      <c r="I12" s="29">
        <f t="shared" si="2"/>
        <v>0</v>
      </c>
      <c r="J12" s="48">
        <f t="shared" si="0"/>
        <v>0</v>
      </c>
      <c r="K12" s="28">
        <f t="shared" si="1"/>
        <v>0</v>
      </c>
      <c r="L12" s="27">
        <v>8</v>
      </c>
      <c r="M12" s="29">
        <f t="shared" si="3"/>
        <v>0</v>
      </c>
      <c r="N12" s="48">
        <f t="shared" si="4"/>
        <v>0</v>
      </c>
      <c r="O12" s="28">
        <f t="shared" si="5"/>
        <v>0</v>
      </c>
      <c r="P12" s="27">
        <v>8</v>
      </c>
      <c r="Q12" s="29">
        <f t="shared" si="6"/>
        <v>0</v>
      </c>
      <c r="R12" s="48">
        <f t="shared" si="7"/>
        <v>0</v>
      </c>
      <c r="S12" s="28">
        <f t="shared" si="8"/>
        <v>0</v>
      </c>
      <c r="T12" s="27">
        <v>8</v>
      </c>
      <c r="U12" s="29">
        <f t="shared" si="9"/>
        <v>0</v>
      </c>
      <c r="V12" s="48">
        <f t="shared" si="10"/>
        <v>0</v>
      </c>
      <c r="W12" s="28">
        <f t="shared" si="11"/>
        <v>0</v>
      </c>
    </row>
    <row r="13" spans="1:24" s="1" customFormat="1" x14ac:dyDescent="0.3">
      <c r="A13" s="18">
        <v>11</v>
      </c>
      <c r="B13" s="21" t="s">
        <v>33</v>
      </c>
      <c r="C13" s="24" t="s">
        <v>34</v>
      </c>
      <c r="D13" s="26" t="s">
        <v>18</v>
      </c>
      <c r="E13" s="27">
        <v>10</v>
      </c>
      <c r="F13" s="29"/>
      <c r="G13" s="28"/>
      <c r="H13" s="27">
        <v>10</v>
      </c>
      <c r="I13" s="29">
        <f t="shared" si="2"/>
        <v>0</v>
      </c>
      <c r="J13" s="48">
        <f t="shared" si="0"/>
        <v>0</v>
      </c>
      <c r="K13" s="28">
        <f t="shared" si="1"/>
        <v>0</v>
      </c>
      <c r="L13" s="27">
        <v>10</v>
      </c>
      <c r="M13" s="29">
        <f t="shared" si="3"/>
        <v>0</v>
      </c>
      <c r="N13" s="48">
        <f t="shared" si="4"/>
        <v>0</v>
      </c>
      <c r="O13" s="28">
        <f t="shared" si="5"/>
        <v>0</v>
      </c>
      <c r="P13" s="27">
        <v>10</v>
      </c>
      <c r="Q13" s="29">
        <f t="shared" si="6"/>
        <v>0</v>
      </c>
      <c r="R13" s="48">
        <f t="shared" si="7"/>
        <v>0</v>
      </c>
      <c r="S13" s="28">
        <f t="shared" si="8"/>
        <v>0</v>
      </c>
      <c r="T13" s="27">
        <v>10</v>
      </c>
      <c r="U13" s="29">
        <f t="shared" si="9"/>
        <v>0</v>
      </c>
      <c r="V13" s="48">
        <f t="shared" si="10"/>
        <v>0</v>
      </c>
      <c r="W13" s="28">
        <f t="shared" si="11"/>
        <v>0</v>
      </c>
    </row>
    <row r="14" spans="1:24" s="1" customFormat="1" x14ac:dyDescent="0.3">
      <c r="A14" s="18">
        <v>12</v>
      </c>
      <c r="B14" s="21">
        <v>6782511</v>
      </c>
      <c r="C14" s="24" t="s">
        <v>35</v>
      </c>
      <c r="D14" s="26" t="s">
        <v>18</v>
      </c>
      <c r="E14" s="27">
        <v>8</v>
      </c>
      <c r="F14" s="29"/>
      <c r="G14" s="28"/>
      <c r="H14" s="27">
        <v>8</v>
      </c>
      <c r="I14" s="29">
        <f t="shared" si="2"/>
        <v>0</v>
      </c>
      <c r="J14" s="48">
        <f t="shared" si="0"/>
        <v>0</v>
      </c>
      <c r="K14" s="28">
        <f t="shared" si="1"/>
        <v>0</v>
      </c>
      <c r="L14" s="27">
        <v>8</v>
      </c>
      <c r="M14" s="29">
        <f t="shared" si="3"/>
        <v>0</v>
      </c>
      <c r="N14" s="48">
        <f t="shared" si="4"/>
        <v>0</v>
      </c>
      <c r="O14" s="28">
        <f t="shared" si="5"/>
        <v>0</v>
      </c>
      <c r="P14" s="27">
        <v>8</v>
      </c>
      <c r="Q14" s="29">
        <f t="shared" si="6"/>
        <v>0</v>
      </c>
      <c r="R14" s="48">
        <f t="shared" si="7"/>
        <v>0</v>
      </c>
      <c r="S14" s="28">
        <f t="shared" si="8"/>
        <v>0</v>
      </c>
      <c r="T14" s="27">
        <v>8</v>
      </c>
      <c r="U14" s="29">
        <f t="shared" si="9"/>
        <v>0</v>
      </c>
      <c r="V14" s="48">
        <f t="shared" si="10"/>
        <v>0</v>
      </c>
      <c r="W14" s="28">
        <f t="shared" si="11"/>
        <v>0</v>
      </c>
    </row>
    <row r="15" spans="1:24" s="1" customFormat="1" x14ac:dyDescent="0.3">
      <c r="A15" s="18">
        <v>13</v>
      </c>
      <c r="B15" s="21">
        <v>70105455</v>
      </c>
      <c r="C15" s="24" t="s">
        <v>36</v>
      </c>
      <c r="D15" s="26" t="s">
        <v>18</v>
      </c>
      <c r="E15" s="27">
        <v>3</v>
      </c>
      <c r="F15" s="29"/>
      <c r="G15" s="28"/>
      <c r="H15" s="27">
        <v>3</v>
      </c>
      <c r="I15" s="29">
        <f t="shared" si="2"/>
        <v>0</v>
      </c>
      <c r="J15" s="48">
        <f t="shared" si="0"/>
        <v>0</v>
      </c>
      <c r="K15" s="28">
        <f t="shared" si="1"/>
        <v>0</v>
      </c>
      <c r="L15" s="27">
        <v>3</v>
      </c>
      <c r="M15" s="29">
        <f t="shared" si="3"/>
        <v>0</v>
      </c>
      <c r="N15" s="48">
        <f t="shared" si="4"/>
        <v>0</v>
      </c>
      <c r="O15" s="28">
        <f t="shared" si="5"/>
        <v>0</v>
      </c>
      <c r="P15" s="27">
        <v>3</v>
      </c>
      <c r="Q15" s="29">
        <f t="shared" si="6"/>
        <v>0</v>
      </c>
      <c r="R15" s="48">
        <f t="shared" si="7"/>
        <v>0</v>
      </c>
      <c r="S15" s="28">
        <f t="shared" si="8"/>
        <v>0</v>
      </c>
      <c r="T15" s="27">
        <v>3</v>
      </c>
      <c r="U15" s="29">
        <f t="shared" si="9"/>
        <v>0</v>
      </c>
      <c r="V15" s="48">
        <f t="shared" si="10"/>
        <v>0</v>
      </c>
      <c r="W15" s="28">
        <f t="shared" si="11"/>
        <v>0</v>
      </c>
    </row>
    <row r="16" spans="1:24" s="1" customFormat="1" x14ac:dyDescent="0.3">
      <c r="A16" s="18">
        <v>14</v>
      </c>
      <c r="B16" s="21">
        <v>6797913</v>
      </c>
      <c r="C16" s="20" t="s">
        <v>37</v>
      </c>
      <c r="D16" s="26" t="s">
        <v>18</v>
      </c>
      <c r="E16" s="27">
        <v>3</v>
      </c>
      <c r="F16" s="29"/>
      <c r="G16" s="28"/>
      <c r="H16" s="27">
        <v>3</v>
      </c>
      <c r="I16" s="29">
        <f t="shared" si="2"/>
        <v>0</v>
      </c>
      <c r="J16" s="48">
        <f t="shared" si="0"/>
        <v>0</v>
      </c>
      <c r="K16" s="28">
        <f t="shared" si="1"/>
        <v>0</v>
      </c>
      <c r="L16" s="27">
        <v>3</v>
      </c>
      <c r="M16" s="29">
        <f t="shared" si="3"/>
        <v>0</v>
      </c>
      <c r="N16" s="48">
        <f t="shared" si="4"/>
        <v>0</v>
      </c>
      <c r="O16" s="28">
        <f t="shared" si="5"/>
        <v>0</v>
      </c>
      <c r="P16" s="27">
        <v>3</v>
      </c>
      <c r="Q16" s="29">
        <f t="shared" si="6"/>
        <v>0</v>
      </c>
      <c r="R16" s="48">
        <f t="shared" si="7"/>
        <v>0</v>
      </c>
      <c r="S16" s="28">
        <f t="shared" si="8"/>
        <v>0</v>
      </c>
      <c r="T16" s="27">
        <v>3</v>
      </c>
      <c r="U16" s="29">
        <f t="shared" si="9"/>
        <v>0</v>
      </c>
      <c r="V16" s="48">
        <f t="shared" si="10"/>
        <v>0</v>
      </c>
      <c r="W16" s="28">
        <f t="shared" si="11"/>
        <v>0</v>
      </c>
      <c r="X16" s="1" t="s">
        <v>16</v>
      </c>
    </row>
    <row r="17" spans="1:24" s="1" customFormat="1" x14ac:dyDescent="0.3">
      <c r="A17" s="18">
        <v>15</v>
      </c>
      <c r="B17" s="21">
        <v>48020</v>
      </c>
      <c r="C17" s="20" t="s">
        <v>64</v>
      </c>
      <c r="D17" s="26" t="s">
        <v>18</v>
      </c>
      <c r="E17" s="27">
        <v>10</v>
      </c>
      <c r="F17" s="29"/>
      <c r="G17" s="28"/>
      <c r="H17" s="27">
        <v>10</v>
      </c>
      <c r="I17" s="29">
        <f t="shared" si="2"/>
        <v>0</v>
      </c>
      <c r="J17" s="48">
        <f t="shared" si="0"/>
        <v>0</v>
      </c>
      <c r="K17" s="28">
        <f t="shared" si="1"/>
        <v>0</v>
      </c>
      <c r="L17" s="27">
        <v>10</v>
      </c>
      <c r="M17" s="29">
        <f t="shared" si="3"/>
        <v>0</v>
      </c>
      <c r="N17" s="48">
        <f t="shared" si="4"/>
        <v>0</v>
      </c>
      <c r="O17" s="28">
        <f t="shared" si="5"/>
        <v>0</v>
      </c>
      <c r="P17" s="27">
        <v>10</v>
      </c>
      <c r="Q17" s="29">
        <f t="shared" si="6"/>
        <v>0</v>
      </c>
      <c r="R17" s="48">
        <f t="shared" si="7"/>
        <v>0</v>
      </c>
      <c r="S17" s="28">
        <f t="shared" si="8"/>
        <v>0</v>
      </c>
      <c r="T17" s="27">
        <v>10</v>
      </c>
      <c r="U17" s="29">
        <f t="shared" si="9"/>
        <v>0</v>
      </c>
      <c r="V17" s="48">
        <f t="shared" si="10"/>
        <v>0</v>
      </c>
      <c r="W17" s="28">
        <f t="shared" si="11"/>
        <v>0</v>
      </c>
      <c r="X17" s="1" t="s">
        <v>16</v>
      </c>
    </row>
    <row r="18" spans="1:24" s="1" customFormat="1" x14ac:dyDescent="0.3">
      <c r="A18" s="18">
        <v>16</v>
      </c>
      <c r="B18" s="19">
        <v>9453788</v>
      </c>
      <c r="C18" s="20" t="s">
        <v>38</v>
      </c>
      <c r="D18" s="26" t="s">
        <v>18</v>
      </c>
      <c r="E18" s="27">
        <v>3</v>
      </c>
      <c r="F18" s="29"/>
      <c r="G18" s="28"/>
      <c r="H18" s="27">
        <v>3</v>
      </c>
      <c r="I18" s="29">
        <f t="shared" si="2"/>
        <v>0</v>
      </c>
      <c r="J18" s="48">
        <f t="shared" si="0"/>
        <v>0</v>
      </c>
      <c r="K18" s="28">
        <f t="shared" si="1"/>
        <v>0</v>
      </c>
      <c r="L18" s="27">
        <v>3</v>
      </c>
      <c r="M18" s="29">
        <f t="shared" si="3"/>
        <v>0</v>
      </c>
      <c r="N18" s="48">
        <f t="shared" si="4"/>
        <v>0</v>
      </c>
      <c r="O18" s="28">
        <f t="shared" si="5"/>
        <v>0</v>
      </c>
      <c r="P18" s="27">
        <v>3</v>
      </c>
      <c r="Q18" s="29">
        <f t="shared" si="6"/>
        <v>0</v>
      </c>
      <c r="R18" s="48">
        <f t="shared" si="7"/>
        <v>0</v>
      </c>
      <c r="S18" s="28">
        <f t="shared" si="8"/>
        <v>0</v>
      </c>
      <c r="T18" s="27">
        <v>3</v>
      </c>
      <c r="U18" s="29">
        <f t="shared" si="9"/>
        <v>0</v>
      </c>
      <c r="V18" s="48">
        <f t="shared" si="10"/>
        <v>0</v>
      </c>
      <c r="W18" s="28">
        <f t="shared" si="11"/>
        <v>0</v>
      </c>
    </row>
    <row r="19" spans="1:24" s="1" customFormat="1" x14ac:dyDescent="0.3">
      <c r="A19" s="18">
        <v>17</v>
      </c>
      <c r="B19" s="19">
        <v>6690467</v>
      </c>
      <c r="C19" s="20" t="s">
        <v>39</v>
      </c>
      <c r="D19" s="26" t="s">
        <v>18</v>
      </c>
      <c r="E19" s="27">
        <v>3</v>
      </c>
      <c r="F19" s="29"/>
      <c r="G19" s="28"/>
      <c r="H19" s="27">
        <v>3</v>
      </c>
      <c r="I19" s="29">
        <f t="shared" si="2"/>
        <v>0</v>
      </c>
      <c r="J19" s="48">
        <f t="shared" si="0"/>
        <v>0</v>
      </c>
      <c r="K19" s="28">
        <f t="shared" si="1"/>
        <v>0</v>
      </c>
      <c r="L19" s="27">
        <v>3</v>
      </c>
      <c r="M19" s="29">
        <f t="shared" si="3"/>
        <v>0</v>
      </c>
      <c r="N19" s="48">
        <f t="shared" si="4"/>
        <v>0</v>
      </c>
      <c r="O19" s="28">
        <f t="shared" si="5"/>
        <v>0</v>
      </c>
      <c r="P19" s="27">
        <v>3</v>
      </c>
      <c r="Q19" s="29">
        <f t="shared" si="6"/>
        <v>0</v>
      </c>
      <c r="R19" s="48">
        <f t="shared" si="7"/>
        <v>0</v>
      </c>
      <c r="S19" s="28">
        <f t="shared" si="8"/>
        <v>0</v>
      </c>
      <c r="T19" s="27">
        <v>3</v>
      </c>
      <c r="U19" s="29">
        <f t="shared" si="9"/>
        <v>0</v>
      </c>
      <c r="V19" s="48">
        <f t="shared" si="10"/>
        <v>0</v>
      </c>
      <c r="W19" s="28">
        <f t="shared" si="11"/>
        <v>0</v>
      </c>
    </row>
    <row r="20" spans="1:24" s="1" customFormat="1" x14ac:dyDescent="0.3">
      <c r="A20" s="18">
        <v>18</v>
      </c>
      <c r="B20" s="19" t="s">
        <v>40</v>
      </c>
      <c r="C20" s="20" t="s">
        <v>41</v>
      </c>
      <c r="D20" s="26" t="s">
        <v>18</v>
      </c>
      <c r="E20" s="27">
        <v>3</v>
      </c>
      <c r="F20" s="29"/>
      <c r="G20" s="28"/>
      <c r="H20" s="27">
        <v>3</v>
      </c>
      <c r="I20" s="29">
        <f t="shared" si="2"/>
        <v>0</v>
      </c>
      <c r="J20" s="48">
        <f t="shared" si="0"/>
        <v>0</v>
      </c>
      <c r="K20" s="28">
        <f t="shared" si="1"/>
        <v>0</v>
      </c>
      <c r="L20" s="27">
        <v>3</v>
      </c>
      <c r="M20" s="29">
        <f t="shared" si="3"/>
        <v>0</v>
      </c>
      <c r="N20" s="48">
        <f t="shared" si="4"/>
        <v>0</v>
      </c>
      <c r="O20" s="28">
        <f t="shared" si="5"/>
        <v>0</v>
      </c>
      <c r="P20" s="27">
        <v>3</v>
      </c>
      <c r="Q20" s="29">
        <f t="shared" si="6"/>
        <v>0</v>
      </c>
      <c r="R20" s="48">
        <f t="shared" si="7"/>
        <v>0</v>
      </c>
      <c r="S20" s="28">
        <f t="shared" si="8"/>
        <v>0</v>
      </c>
      <c r="T20" s="27">
        <v>3</v>
      </c>
      <c r="U20" s="29">
        <f t="shared" si="9"/>
        <v>0</v>
      </c>
      <c r="V20" s="48">
        <f t="shared" si="10"/>
        <v>0</v>
      </c>
      <c r="W20" s="28">
        <f t="shared" si="11"/>
        <v>0</v>
      </c>
    </row>
    <row r="21" spans="1:24" s="1" customFormat="1" x14ac:dyDescent="0.3">
      <c r="A21" s="18">
        <v>19</v>
      </c>
      <c r="B21" s="19">
        <v>6709802</v>
      </c>
      <c r="C21" s="20" t="s">
        <v>42</v>
      </c>
      <c r="D21" s="26" t="s">
        <v>18</v>
      </c>
      <c r="E21" s="27">
        <v>3</v>
      </c>
      <c r="F21" s="29"/>
      <c r="G21" s="28"/>
      <c r="H21" s="27">
        <v>3</v>
      </c>
      <c r="I21" s="29">
        <f t="shared" si="2"/>
        <v>0</v>
      </c>
      <c r="J21" s="48">
        <f t="shared" si="0"/>
        <v>0</v>
      </c>
      <c r="K21" s="28">
        <f t="shared" si="1"/>
        <v>0</v>
      </c>
      <c r="L21" s="27">
        <v>3</v>
      </c>
      <c r="M21" s="29">
        <f t="shared" si="3"/>
        <v>0</v>
      </c>
      <c r="N21" s="48">
        <f t="shared" si="4"/>
        <v>0</v>
      </c>
      <c r="O21" s="28">
        <f t="shared" si="5"/>
        <v>0</v>
      </c>
      <c r="P21" s="27">
        <v>3</v>
      </c>
      <c r="Q21" s="29">
        <f t="shared" si="6"/>
        <v>0</v>
      </c>
      <c r="R21" s="48">
        <f t="shared" si="7"/>
        <v>0</v>
      </c>
      <c r="S21" s="28">
        <f t="shared" si="8"/>
        <v>0</v>
      </c>
      <c r="T21" s="27">
        <v>3</v>
      </c>
      <c r="U21" s="29">
        <f t="shared" si="9"/>
        <v>0</v>
      </c>
      <c r="V21" s="48">
        <f t="shared" si="10"/>
        <v>0</v>
      </c>
      <c r="W21" s="28">
        <f t="shared" si="11"/>
        <v>0</v>
      </c>
    </row>
    <row r="22" spans="1:24" s="1" customFormat="1" x14ac:dyDescent="0.3">
      <c r="A22" s="18">
        <v>20</v>
      </c>
      <c r="B22" s="19">
        <v>6804457</v>
      </c>
      <c r="C22" s="20" t="s">
        <v>43</v>
      </c>
      <c r="D22" s="26" t="s">
        <v>18</v>
      </c>
      <c r="E22" s="27">
        <v>3</v>
      </c>
      <c r="F22" s="29"/>
      <c r="G22" s="28"/>
      <c r="H22" s="27">
        <v>3</v>
      </c>
      <c r="I22" s="29">
        <f t="shared" si="2"/>
        <v>0</v>
      </c>
      <c r="J22" s="48">
        <f t="shared" si="0"/>
        <v>0</v>
      </c>
      <c r="K22" s="28">
        <f t="shared" si="1"/>
        <v>0</v>
      </c>
      <c r="L22" s="27">
        <v>3</v>
      </c>
      <c r="M22" s="29">
        <f t="shared" si="3"/>
        <v>0</v>
      </c>
      <c r="N22" s="48">
        <f t="shared" si="4"/>
        <v>0</v>
      </c>
      <c r="O22" s="28">
        <f t="shared" si="5"/>
        <v>0</v>
      </c>
      <c r="P22" s="27">
        <v>3</v>
      </c>
      <c r="Q22" s="29">
        <f t="shared" si="6"/>
        <v>0</v>
      </c>
      <c r="R22" s="48">
        <f t="shared" si="7"/>
        <v>0</v>
      </c>
      <c r="S22" s="28">
        <f t="shared" si="8"/>
        <v>0</v>
      </c>
      <c r="T22" s="27">
        <v>3</v>
      </c>
      <c r="U22" s="29">
        <f t="shared" si="9"/>
        <v>0</v>
      </c>
      <c r="V22" s="48">
        <f t="shared" si="10"/>
        <v>0</v>
      </c>
      <c r="W22" s="28">
        <f t="shared" si="11"/>
        <v>0</v>
      </c>
    </row>
    <row r="23" spans="1:24" s="1" customFormat="1" x14ac:dyDescent="0.3">
      <c r="A23" s="18">
        <v>21</v>
      </c>
      <c r="B23" s="19">
        <v>712113</v>
      </c>
      <c r="C23" s="20" t="s">
        <v>44</v>
      </c>
      <c r="D23" s="26" t="s">
        <v>18</v>
      </c>
      <c r="E23" s="27">
        <v>3</v>
      </c>
      <c r="F23" s="29"/>
      <c r="G23" s="28"/>
      <c r="H23" s="27">
        <v>3</v>
      </c>
      <c r="I23" s="29">
        <f t="shared" si="2"/>
        <v>0</v>
      </c>
      <c r="J23" s="48">
        <f t="shared" si="0"/>
        <v>0</v>
      </c>
      <c r="K23" s="28">
        <f t="shared" si="1"/>
        <v>0</v>
      </c>
      <c r="L23" s="27">
        <v>3</v>
      </c>
      <c r="M23" s="29">
        <f t="shared" si="3"/>
        <v>0</v>
      </c>
      <c r="N23" s="48">
        <f t="shared" si="4"/>
        <v>0</v>
      </c>
      <c r="O23" s="28">
        <f t="shared" si="5"/>
        <v>0</v>
      </c>
      <c r="P23" s="27">
        <v>3</v>
      </c>
      <c r="Q23" s="29">
        <f t="shared" si="6"/>
        <v>0</v>
      </c>
      <c r="R23" s="48">
        <f t="shared" si="7"/>
        <v>0</v>
      </c>
      <c r="S23" s="28">
        <f t="shared" si="8"/>
        <v>0</v>
      </c>
      <c r="T23" s="27">
        <v>3</v>
      </c>
      <c r="U23" s="29">
        <f t="shared" si="9"/>
        <v>0</v>
      </c>
      <c r="V23" s="48">
        <f t="shared" si="10"/>
        <v>0</v>
      </c>
      <c r="W23" s="28">
        <f t="shared" si="11"/>
        <v>0</v>
      </c>
    </row>
    <row r="24" spans="1:24" s="1" customFormat="1" x14ac:dyDescent="0.3">
      <c r="A24" s="18">
        <v>22</v>
      </c>
      <c r="B24" s="19">
        <v>6677883</v>
      </c>
      <c r="C24" s="20" t="s">
        <v>45</v>
      </c>
      <c r="D24" s="26" t="s">
        <v>18</v>
      </c>
      <c r="E24" s="27">
        <v>3</v>
      </c>
      <c r="F24" s="29"/>
      <c r="G24" s="28"/>
      <c r="H24" s="27">
        <v>3</v>
      </c>
      <c r="I24" s="29">
        <f t="shared" si="2"/>
        <v>0</v>
      </c>
      <c r="J24" s="48">
        <f t="shared" si="0"/>
        <v>0</v>
      </c>
      <c r="K24" s="28">
        <f t="shared" si="1"/>
        <v>0</v>
      </c>
      <c r="L24" s="27">
        <v>3</v>
      </c>
      <c r="M24" s="29">
        <f t="shared" si="3"/>
        <v>0</v>
      </c>
      <c r="N24" s="48">
        <f t="shared" si="4"/>
        <v>0</v>
      </c>
      <c r="O24" s="28">
        <f t="shared" si="5"/>
        <v>0</v>
      </c>
      <c r="P24" s="27">
        <v>3</v>
      </c>
      <c r="Q24" s="29">
        <f t="shared" si="6"/>
        <v>0</v>
      </c>
      <c r="R24" s="48">
        <f t="shared" si="7"/>
        <v>0</v>
      </c>
      <c r="S24" s="28">
        <f t="shared" si="8"/>
        <v>0</v>
      </c>
      <c r="T24" s="27">
        <v>3</v>
      </c>
      <c r="U24" s="29">
        <f t="shared" si="9"/>
        <v>0</v>
      </c>
      <c r="V24" s="48">
        <f t="shared" si="10"/>
        <v>0</v>
      </c>
      <c r="W24" s="28">
        <f t="shared" si="11"/>
        <v>0</v>
      </c>
    </row>
    <row r="25" spans="1:24" s="1" customFormat="1" x14ac:dyDescent="0.3">
      <c r="A25" s="18">
        <v>23</v>
      </c>
      <c r="B25" s="19" t="s">
        <v>46</v>
      </c>
      <c r="C25" s="20" t="s">
        <v>47</v>
      </c>
      <c r="D25" s="26" t="s">
        <v>18</v>
      </c>
      <c r="E25" s="27">
        <v>10</v>
      </c>
      <c r="F25" s="29"/>
      <c r="G25" s="28"/>
      <c r="H25" s="27">
        <v>10</v>
      </c>
      <c r="I25" s="29">
        <f t="shared" si="2"/>
        <v>0</v>
      </c>
      <c r="J25" s="48">
        <f t="shared" si="0"/>
        <v>0</v>
      </c>
      <c r="K25" s="28">
        <f t="shared" si="1"/>
        <v>0</v>
      </c>
      <c r="L25" s="27">
        <v>10</v>
      </c>
      <c r="M25" s="29">
        <f t="shared" si="3"/>
        <v>0</v>
      </c>
      <c r="N25" s="48">
        <f t="shared" si="4"/>
        <v>0</v>
      </c>
      <c r="O25" s="28">
        <f t="shared" si="5"/>
        <v>0</v>
      </c>
      <c r="P25" s="27">
        <v>10</v>
      </c>
      <c r="Q25" s="29">
        <f t="shared" si="6"/>
        <v>0</v>
      </c>
      <c r="R25" s="48">
        <f t="shared" si="7"/>
        <v>0</v>
      </c>
      <c r="S25" s="28">
        <f t="shared" si="8"/>
        <v>0</v>
      </c>
      <c r="T25" s="27">
        <v>10</v>
      </c>
      <c r="U25" s="29">
        <f t="shared" si="9"/>
        <v>0</v>
      </c>
      <c r="V25" s="48">
        <f t="shared" si="10"/>
        <v>0</v>
      </c>
      <c r="W25" s="28">
        <f t="shared" si="11"/>
        <v>0</v>
      </c>
    </row>
    <row r="26" spans="1:24" s="1" customFormat="1" x14ac:dyDescent="0.3">
      <c r="A26" s="18">
        <v>24</v>
      </c>
      <c r="B26" s="19">
        <v>6877868</v>
      </c>
      <c r="C26" s="20" t="s">
        <v>48</v>
      </c>
      <c r="D26" s="26" t="s">
        <v>18</v>
      </c>
      <c r="E26" s="27">
        <v>10</v>
      </c>
      <c r="F26" s="29"/>
      <c r="G26" s="28"/>
      <c r="H26" s="27">
        <v>10</v>
      </c>
      <c r="I26" s="29">
        <f t="shared" si="2"/>
        <v>0</v>
      </c>
      <c r="J26" s="48">
        <f t="shared" si="0"/>
        <v>0</v>
      </c>
      <c r="K26" s="28">
        <f t="shared" si="1"/>
        <v>0</v>
      </c>
      <c r="L26" s="27">
        <v>10</v>
      </c>
      <c r="M26" s="29">
        <f t="shared" si="3"/>
        <v>0</v>
      </c>
      <c r="N26" s="48">
        <f t="shared" si="4"/>
        <v>0</v>
      </c>
      <c r="O26" s="28">
        <f t="shared" si="5"/>
        <v>0</v>
      </c>
      <c r="P26" s="27">
        <v>10</v>
      </c>
      <c r="Q26" s="29">
        <f t="shared" si="6"/>
        <v>0</v>
      </c>
      <c r="R26" s="48">
        <f t="shared" si="7"/>
        <v>0</v>
      </c>
      <c r="S26" s="28">
        <f t="shared" si="8"/>
        <v>0</v>
      </c>
      <c r="T26" s="27">
        <v>10</v>
      </c>
      <c r="U26" s="29">
        <f t="shared" si="9"/>
        <v>0</v>
      </c>
      <c r="V26" s="48">
        <f t="shared" si="10"/>
        <v>0</v>
      </c>
      <c r="W26" s="28">
        <f t="shared" si="11"/>
        <v>0</v>
      </c>
    </row>
    <row r="27" spans="1:24" s="1" customFormat="1" x14ac:dyDescent="0.3">
      <c r="A27" s="18">
        <v>25</v>
      </c>
      <c r="B27" s="19">
        <v>8427004</v>
      </c>
      <c r="C27" s="20" t="s">
        <v>49</v>
      </c>
      <c r="D27" s="26" t="s">
        <v>18</v>
      </c>
      <c r="E27" s="27">
        <v>3</v>
      </c>
      <c r="F27" s="29"/>
      <c r="G27" s="28"/>
      <c r="H27" s="27">
        <v>3</v>
      </c>
      <c r="I27" s="29">
        <f t="shared" si="2"/>
        <v>0</v>
      </c>
      <c r="J27" s="48">
        <f t="shared" si="0"/>
        <v>0</v>
      </c>
      <c r="K27" s="28">
        <f t="shared" si="1"/>
        <v>0</v>
      </c>
      <c r="L27" s="27">
        <v>3</v>
      </c>
      <c r="M27" s="29">
        <f t="shared" si="3"/>
        <v>0</v>
      </c>
      <c r="N27" s="48">
        <f t="shared" si="4"/>
        <v>0</v>
      </c>
      <c r="O27" s="28">
        <f t="shared" si="5"/>
        <v>0</v>
      </c>
      <c r="P27" s="27">
        <v>3</v>
      </c>
      <c r="Q27" s="29">
        <f t="shared" si="6"/>
        <v>0</v>
      </c>
      <c r="R27" s="48">
        <f t="shared" si="7"/>
        <v>0</v>
      </c>
      <c r="S27" s="28">
        <f t="shared" si="8"/>
        <v>0</v>
      </c>
      <c r="T27" s="27">
        <v>3</v>
      </c>
      <c r="U27" s="29">
        <f t="shared" si="9"/>
        <v>0</v>
      </c>
      <c r="V27" s="48">
        <f t="shared" si="10"/>
        <v>0</v>
      </c>
      <c r="W27" s="28">
        <f t="shared" si="11"/>
        <v>0</v>
      </c>
    </row>
    <row r="28" spans="1:24" s="1" customFormat="1" x14ac:dyDescent="0.3">
      <c r="A28" s="18">
        <v>26</v>
      </c>
      <c r="B28" s="19">
        <v>8244714</v>
      </c>
      <c r="C28" s="20" t="s">
        <v>50</v>
      </c>
      <c r="D28" s="26" t="s">
        <v>18</v>
      </c>
      <c r="E28" s="27">
        <v>3</v>
      </c>
      <c r="F28" s="29"/>
      <c r="G28" s="28"/>
      <c r="H28" s="27">
        <v>3</v>
      </c>
      <c r="I28" s="29">
        <f t="shared" si="2"/>
        <v>0</v>
      </c>
      <c r="J28" s="48">
        <f t="shared" si="0"/>
        <v>0</v>
      </c>
      <c r="K28" s="28">
        <f t="shared" si="1"/>
        <v>0</v>
      </c>
      <c r="L28" s="27">
        <v>3</v>
      </c>
      <c r="M28" s="29">
        <f t="shared" si="3"/>
        <v>0</v>
      </c>
      <c r="N28" s="48">
        <f t="shared" si="4"/>
        <v>0</v>
      </c>
      <c r="O28" s="28">
        <f t="shared" si="5"/>
        <v>0</v>
      </c>
      <c r="P28" s="27">
        <v>3</v>
      </c>
      <c r="Q28" s="29">
        <f t="shared" si="6"/>
        <v>0</v>
      </c>
      <c r="R28" s="48">
        <f t="shared" si="7"/>
        <v>0</v>
      </c>
      <c r="S28" s="28">
        <f t="shared" si="8"/>
        <v>0</v>
      </c>
      <c r="T28" s="27">
        <v>3</v>
      </c>
      <c r="U28" s="29">
        <f t="shared" si="9"/>
        <v>0</v>
      </c>
      <c r="V28" s="48">
        <f t="shared" si="10"/>
        <v>0</v>
      </c>
      <c r="W28" s="28">
        <f t="shared" si="11"/>
        <v>0</v>
      </c>
    </row>
    <row r="29" spans="1:24" s="1" customFormat="1" x14ac:dyDescent="0.3">
      <c r="A29" s="18">
        <v>27</v>
      </c>
      <c r="B29" s="19">
        <v>8379324</v>
      </c>
      <c r="C29" s="20" t="s">
        <v>51</v>
      </c>
      <c r="D29" s="26" t="s">
        <v>18</v>
      </c>
      <c r="E29" s="27">
        <v>3</v>
      </c>
      <c r="F29" s="29"/>
      <c r="G29" s="28"/>
      <c r="H29" s="27">
        <v>3</v>
      </c>
      <c r="I29" s="29">
        <f t="shared" si="2"/>
        <v>0</v>
      </c>
      <c r="J29" s="48">
        <f t="shared" si="0"/>
        <v>0</v>
      </c>
      <c r="K29" s="28">
        <f t="shared" si="1"/>
        <v>0</v>
      </c>
      <c r="L29" s="27">
        <v>3</v>
      </c>
      <c r="M29" s="29">
        <f t="shared" si="3"/>
        <v>0</v>
      </c>
      <c r="N29" s="48">
        <f t="shared" si="4"/>
        <v>0</v>
      </c>
      <c r="O29" s="28">
        <f t="shared" si="5"/>
        <v>0</v>
      </c>
      <c r="P29" s="27">
        <v>3</v>
      </c>
      <c r="Q29" s="29">
        <f t="shared" si="6"/>
        <v>0</v>
      </c>
      <c r="R29" s="48">
        <f t="shared" si="7"/>
        <v>0</v>
      </c>
      <c r="S29" s="28">
        <f t="shared" si="8"/>
        <v>0</v>
      </c>
      <c r="T29" s="27">
        <v>3</v>
      </c>
      <c r="U29" s="29">
        <f t="shared" si="9"/>
        <v>0</v>
      </c>
      <c r="V29" s="48">
        <f t="shared" si="10"/>
        <v>0</v>
      </c>
      <c r="W29" s="28">
        <f t="shared" si="11"/>
        <v>0</v>
      </c>
    </row>
    <row r="30" spans="1:24" s="1" customFormat="1" x14ac:dyDescent="0.3">
      <c r="A30" s="18">
        <v>28</v>
      </c>
      <c r="B30" s="19">
        <v>8085913</v>
      </c>
      <c r="C30" s="20" t="s">
        <v>52</v>
      </c>
      <c r="D30" s="26" t="s">
        <v>18</v>
      </c>
      <c r="E30" s="27">
        <v>2</v>
      </c>
      <c r="F30" s="29"/>
      <c r="G30" s="28"/>
      <c r="H30" s="27">
        <v>2</v>
      </c>
      <c r="I30" s="29">
        <f t="shared" si="2"/>
        <v>0</v>
      </c>
      <c r="J30" s="48">
        <f t="shared" si="0"/>
        <v>0</v>
      </c>
      <c r="K30" s="28">
        <f t="shared" si="1"/>
        <v>0</v>
      </c>
      <c r="L30" s="27">
        <v>2</v>
      </c>
      <c r="M30" s="29">
        <f t="shared" si="3"/>
        <v>0</v>
      </c>
      <c r="N30" s="48">
        <f t="shared" si="4"/>
        <v>0</v>
      </c>
      <c r="O30" s="28">
        <f t="shared" si="5"/>
        <v>0</v>
      </c>
      <c r="P30" s="27">
        <v>2</v>
      </c>
      <c r="Q30" s="29">
        <f t="shared" si="6"/>
        <v>0</v>
      </c>
      <c r="R30" s="48">
        <f t="shared" si="7"/>
        <v>0</v>
      </c>
      <c r="S30" s="28">
        <f t="shared" si="8"/>
        <v>0</v>
      </c>
      <c r="T30" s="27">
        <v>2</v>
      </c>
      <c r="U30" s="29">
        <f t="shared" si="9"/>
        <v>0</v>
      </c>
      <c r="V30" s="48">
        <f t="shared" si="10"/>
        <v>0</v>
      </c>
      <c r="W30" s="28">
        <f t="shared" si="11"/>
        <v>0</v>
      </c>
    </row>
    <row r="31" spans="1:24" s="1" customFormat="1" x14ac:dyDescent="0.3">
      <c r="A31" s="18">
        <v>29</v>
      </c>
      <c r="B31" s="19">
        <v>8318468</v>
      </c>
      <c r="C31" s="20" t="s">
        <v>53</v>
      </c>
      <c r="D31" s="26" t="s">
        <v>18</v>
      </c>
      <c r="E31" s="27">
        <v>5</v>
      </c>
      <c r="F31" s="29"/>
      <c r="G31" s="28"/>
      <c r="H31" s="27">
        <v>5</v>
      </c>
      <c r="I31" s="29">
        <f t="shared" si="2"/>
        <v>0</v>
      </c>
      <c r="J31" s="48">
        <f t="shared" si="0"/>
        <v>0</v>
      </c>
      <c r="K31" s="28">
        <f t="shared" si="1"/>
        <v>0</v>
      </c>
      <c r="L31" s="27">
        <v>5</v>
      </c>
      <c r="M31" s="29">
        <f t="shared" si="3"/>
        <v>0</v>
      </c>
      <c r="N31" s="48">
        <f t="shared" si="4"/>
        <v>0</v>
      </c>
      <c r="O31" s="28">
        <f t="shared" si="5"/>
        <v>0</v>
      </c>
      <c r="P31" s="27">
        <v>5</v>
      </c>
      <c r="Q31" s="29">
        <f t="shared" si="6"/>
        <v>0</v>
      </c>
      <c r="R31" s="48">
        <f t="shared" si="7"/>
        <v>0</v>
      </c>
      <c r="S31" s="28">
        <f t="shared" si="8"/>
        <v>0</v>
      </c>
      <c r="T31" s="27">
        <v>5</v>
      </c>
      <c r="U31" s="29">
        <f t="shared" si="9"/>
        <v>0</v>
      </c>
      <c r="V31" s="48">
        <f t="shared" si="10"/>
        <v>0</v>
      </c>
      <c r="W31" s="28">
        <f t="shared" si="11"/>
        <v>0</v>
      </c>
    </row>
    <row r="32" spans="1:24" s="1" customFormat="1" x14ac:dyDescent="0.3">
      <c r="A32" s="18">
        <v>30</v>
      </c>
      <c r="B32" s="19">
        <v>8318357</v>
      </c>
      <c r="C32" s="20" t="s">
        <v>54</v>
      </c>
      <c r="D32" s="26" t="s">
        <v>18</v>
      </c>
      <c r="E32" s="27">
        <v>4</v>
      </c>
      <c r="F32" s="29"/>
      <c r="G32" s="28"/>
      <c r="H32" s="27">
        <v>4</v>
      </c>
      <c r="I32" s="29">
        <f t="shared" si="2"/>
        <v>0</v>
      </c>
      <c r="J32" s="48">
        <f t="shared" si="0"/>
        <v>0</v>
      </c>
      <c r="K32" s="28">
        <f t="shared" ref="K32:K39" si="12">SUM(H32*J32)</f>
        <v>0</v>
      </c>
      <c r="L32" s="27">
        <v>4</v>
      </c>
      <c r="M32" s="29">
        <f t="shared" si="3"/>
        <v>0</v>
      </c>
      <c r="N32" s="48">
        <f t="shared" si="4"/>
        <v>0</v>
      </c>
      <c r="O32" s="28">
        <f t="shared" si="5"/>
        <v>0</v>
      </c>
      <c r="P32" s="27">
        <v>4</v>
      </c>
      <c r="Q32" s="29">
        <f t="shared" si="6"/>
        <v>0</v>
      </c>
      <c r="R32" s="48">
        <f t="shared" si="7"/>
        <v>0</v>
      </c>
      <c r="S32" s="28">
        <f t="shared" si="8"/>
        <v>0</v>
      </c>
      <c r="T32" s="27">
        <v>4</v>
      </c>
      <c r="U32" s="29">
        <f t="shared" si="9"/>
        <v>0</v>
      </c>
      <c r="V32" s="48">
        <f t="shared" si="10"/>
        <v>0</v>
      </c>
      <c r="W32" s="28">
        <f t="shared" si="11"/>
        <v>0</v>
      </c>
    </row>
    <row r="33" spans="1:23" s="1" customFormat="1" x14ac:dyDescent="0.3">
      <c r="A33" s="18">
        <v>31</v>
      </c>
      <c r="B33" s="19">
        <v>8250433</v>
      </c>
      <c r="C33" s="20" t="s">
        <v>55</v>
      </c>
      <c r="D33" s="26" t="s">
        <v>18</v>
      </c>
      <c r="E33" s="27">
        <v>6</v>
      </c>
      <c r="F33" s="29"/>
      <c r="G33" s="28"/>
      <c r="H33" s="27">
        <v>6</v>
      </c>
      <c r="I33" s="29">
        <f t="shared" si="2"/>
        <v>0</v>
      </c>
      <c r="J33" s="48">
        <f t="shared" si="0"/>
        <v>0</v>
      </c>
      <c r="K33" s="28">
        <f t="shared" si="12"/>
        <v>0</v>
      </c>
      <c r="L33" s="27">
        <v>6</v>
      </c>
      <c r="M33" s="29">
        <f t="shared" si="3"/>
        <v>0</v>
      </c>
      <c r="N33" s="48">
        <f t="shared" si="4"/>
        <v>0</v>
      </c>
      <c r="O33" s="28">
        <f t="shared" si="5"/>
        <v>0</v>
      </c>
      <c r="P33" s="27">
        <v>6</v>
      </c>
      <c r="Q33" s="29">
        <f t="shared" si="6"/>
        <v>0</v>
      </c>
      <c r="R33" s="48">
        <f t="shared" si="7"/>
        <v>0</v>
      </c>
      <c r="S33" s="28">
        <f t="shared" si="8"/>
        <v>0</v>
      </c>
      <c r="T33" s="27">
        <v>6</v>
      </c>
      <c r="U33" s="29">
        <f t="shared" si="9"/>
        <v>0</v>
      </c>
      <c r="V33" s="48">
        <f t="shared" si="10"/>
        <v>0</v>
      </c>
      <c r="W33" s="28">
        <f t="shared" si="11"/>
        <v>0</v>
      </c>
    </row>
    <row r="34" spans="1:23" s="1" customFormat="1" x14ac:dyDescent="0.3">
      <c r="A34" s="18">
        <v>32</v>
      </c>
      <c r="B34" s="19">
        <v>8244568</v>
      </c>
      <c r="C34" s="20" t="s">
        <v>56</v>
      </c>
      <c r="D34" s="26" t="s">
        <v>18</v>
      </c>
      <c r="E34" s="27">
        <v>2</v>
      </c>
      <c r="F34" s="29"/>
      <c r="G34" s="28"/>
      <c r="H34" s="27">
        <v>2</v>
      </c>
      <c r="I34" s="29">
        <f t="shared" si="2"/>
        <v>0</v>
      </c>
      <c r="J34" s="48">
        <f t="shared" si="0"/>
        <v>0</v>
      </c>
      <c r="K34" s="28">
        <f t="shared" si="12"/>
        <v>0</v>
      </c>
      <c r="L34" s="27">
        <v>2</v>
      </c>
      <c r="M34" s="29">
        <f t="shared" si="3"/>
        <v>0</v>
      </c>
      <c r="N34" s="48">
        <f t="shared" si="4"/>
        <v>0</v>
      </c>
      <c r="O34" s="28">
        <f t="shared" si="5"/>
        <v>0</v>
      </c>
      <c r="P34" s="27">
        <v>2</v>
      </c>
      <c r="Q34" s="29">
        <f t="shared" si="6"/>
        <v>0</v>
      </c>
      <c r="R34" s="48">
        <f t="shared" si="7"/>
        <v>0</v>
      </c>
      <c r="S34" s="28">
        <f t="shared" si="8"/>
        <v>0</v>
      </c>
      <c r="T34" s="27">
        <v>2</v>
      </c>
      <c r="U34" s="29">
        <f t="shared" si="9"/>
        <v>0</v>
      </c>
      <c r="V34" s="48">
        <f t="shared" si="10"/>
        <v>0</v>
      </c>
      <c r="W34" s="28">
        <f t="shared" si="11"/>
        <v>0</v>
      </c>
    </row>
    <row r="35" spans="1:23" s="1" customFormat="1" x14ac:dyDescent="0.3">
      <c r="A35" s="18">
        <v>33</v>
      </c>
      <c r="B35" s="19">
        <v>8393852</v>
      </c>
      <c r="C35" s="20" t="s">
        <v>57</v>
      </c>
      <c r="D35" s="26" t="s">
        <v>18</v>
      </c>
      <c r="E35" s="27">
        <v>3</v>
      </c>
      <c r="F35" s="29"/>
      <c r="G35" s="28"/>
      <c r="H35" s="27">
        <v>3</v>
      </c>
      <c r="I35" s="29">
        <f t="shared" si="2"/>
        <v>0</v>
      </c>
      <c r="J35" s="48">
        <f t="shared" si="0"/>
        <v>0</v>
      </c>
      <c r="K35" s="28">
        <f t="shared" si="12"/>
        <v>0</v>
      </c>
      <c r="L35" s="27">
        <v>3</v>
      </c>
      <c r="M35" s="29">
        <f t="shared" si="3"/>
        <v>0</v>
      </c>
      <c r="N35" s="48">
        <f t="shared" si="4"/>
        <v>0</v>
      </c>
      <c r="O35" s="28">
        <f t="shared" si="5"/>
        <v>0</v>
      </c>
      <c r="P35" s="27">
        <v>3</v>
      </c>
      <c r="Q35" s="29">
        <f t="shared" si="6"/>
        <v>0</v>
      </c>
      <c r="R35" s="48">
        <f t="shared" si="7"/>
        <v>0</v>
      </c>
      <c r="S35" s="28">
        <f t="shared" si="8"/>
        <v>0</v>
      </c>
      <c r="T35" s="27">
        <v>3</v>
      </c>
      <c r="U35" s="29">
        <f t="shared" si="9"/>
        <v>0</v>
      </c>
      <c r="V35" s="48">
        <f t="shared" si="10"/>
        <v>0</v>
      </c>
      <c r="W35" s="28">
        <f t="shared" si="11"/>
        <v>0</v>
      </c>
    </row>
    <row r="36" spans="1:23" s="1" customFormat="1" x14ac:dyDescent="0.3">
      <c r="A36" s="18">
        <v>34</v>
      </c>
      <c r="B36" s="19">
        <v>8695006</v>
      </c>
      <c r="C36" s="20" t="s">
        <v>58</v>
      </c>
      <c r="D36" s="26" t="s">
        <v>18</v>
      </c>
      <c r="E36" s="27">
        <v>20</v>
      </c>
      <c r="F36" s="29"/>
      <c r="G36" s="28"/>
      <c r="H36" s="27">
        <v>20</v>
      </c>
      <c r="I36" s="29">
        <f t="shared" si="2"/>
        <v>0</v>
      </c>
      <c r="J36" s="48">
        <f t="shared" si="0"/>
        <v>0</v>
      </c>
      <c r="K36" s="28">
        <f t="shared" si="12"/>
        <v>0</v>
      </c>
      <c r="L36" s="27">
        <v>20</v>
      </c>
      <c r="M36" s="29">
        <f t="shared" si="3"/>
        <v>0</v>
      </c>
      <c r="N36" s="48">
        <f t="shared" si="4"/>
        <v>0</v>
      </c>
      <c r="O36" s="28">
        <f t="shared" si="5"/>
        <v>0</v>
      </c>
      <c r="P36" s="27">
        <v>20</v>
      </c>
      <c r="Q36" s="29">
        <f t="shared" si="6"/>
        <v>0</v>
      </c>
      <c r="R36" s="48">
        <f t="shared" si="7"/>
        <v>0</v>
      </c>
      <c r="S36" s="28">
        <f t="shared" si="8"/>
        <v>0</v>
      </c>
      <c r="T36" s="27">
        <v>20</v>
      </c>
      <c r="U36" s="29">
        <f t="shared" si="9"/>
        <v>0</v>
      </c>
      <c r="V36" s="48">
        <f t="shared" si="10"/>
        <v>0</v>
      </c>
      <c r="W36" s="28">
        <f t="shared" si="11"/>
        <v>0</v>
      </c>
    </row>
    <row r="37" spans="1:23" s="1" customFormat="1" x14ac:dyDescent="0.3">
      <c r="A37" s="18">
        <v>35</v>
      </c>
      <c r="B37" s="19">
        <v>8420477</v>
      </c>
      <c r="C37" s="20" t="s">
        <v>59</v>
      </c>
      <c r="D37" s="26" t="s">
        <v>18</v>
      </c>
      <c r="E37" s="27">
        <v>2</v>
      </c>
      <c r="F37" s="29"/>
      <c r="G37" s="28"/>
      <c r="H37" s="27">
        <v>2</v>
      </c>
      <c r="I37" s="29">
        <f t="shared" si="2"/>
        <v>0</v>
      </c>
      <c r="J37" s="48">
        <f t="shared" si="0"/>
        <v>0</v>
      </c>
      <c r="K37" s="28">
        <f t="shared" si="12"/>
        <v>0</v>
      </c>
      <c r="L37" s="27">
        <v>2</v>
      </c>
      <c r="M37" s="29">
        <f t="shared" si="3"/>
        <v>0</v>
      </c>
      <c r="N37" s="48">
        <f t="shared" si="4"/>
        <v>0</v>
      </c>
      <c r="O37" s="28">
        <f t="shared" si="5"/>
        <v>0</v>
      </c>
      <c r="P37" s="27">
        <v>2</v>
      </c>
      <c r="Q37" s="29">
        <f t="shared" si="6"/>
        <v>0</v>
      </c>
      <c r="R37" s="48">
        <f t="shared" si="7"/>
        <v>0</v>
      </c>
      <c r="S37" s="28">
        <f t="shared" si="8"/>
        <v>0</v>
      </c>
      <c r="T37" s="27">
        <v>2</v>
      </c>
      <c r="U37" s="29">
        <f t="shared" si="9"/>
        <v>0</v>
      </c>
      <c r="V37" s="48">
        <f t="shared" si="10"/>
        <v>0</v>
      </c>
      <c r="W37" s="28">
        <f t="shared" si="11"/>
        <v>0</v>
      </c>
    </row>
    <row r="38" spans="1:23" s="1" customFormat="1" x14ac:dyDescent="0.3">
      <c r="A38" s="18">
        <v>36</v>
      </c>
      <c r="B38" s="19">
        <v>8112048</v>
      </c>
      <c r="C38" s="20" t="s">
        <v>60</v>
      </c>
      <c r="D38" s="26" t="s">
        <v>18</v>
      </c>
      <c r="E38" s="27">
        <v>3</v>
      </c>
      <c r="F38" s="29"/>
      <c r="G38" s="28"/>
      <c r="H38" s="27">
        <v>3</v>
      </c>
      <c r="I38" s="29">
        <f t="shared" si="2"/>
        <v>0</v>
      </c>
      <c r="J38" s="48">
        <f t="shared" si="0"/>
        <v>0</v>
      </c>
      <c r="K38" s="28">
        <f t="shared" si="12"/>
        <v>0</v>
      </c>
      <c r="L38" s="27">
        <v>3</v>
      </c>
      <c r="M38" s="29">
        <f t="shared" si="3"/>
        <v>0</v>
      </c>
      <c r="N38" s="48">
        <f t="shared" si="4"/>
        <v>0</v>
      </c>
      <c r="O38" s="28">
        <f t="shared" si="5"/>
        <v>0</v>
      </c>
      <c r="P38" s="27">
        <v>3</v>
      </c>
      <c r="Q38" s="29">
        <f t="shared" si="6"/>
        <v>0</v>
      </c>
      <c r="R38" s="48">
        <f t="shared" si="7"/>
        <v>0</v>
      </c>
      <c r="S38" s="28">
        <f t="shared" si="8"/>
        <v>0</v>
      </c>
      <c r="T38" s="27">
        <v>3</v>
      </c>
      <c r="U38" s="29">
        <f t="shared" si="9"/>
        <v>0</v>
      </c>
      <c r="V38" s="48">
        <f t="shared" si="10"/>
        <v>0</v>
      </c>
      <c r="W38" s="28">
        <f t="shared" si="11"/>
        <v>0</v>
      </c>
    </row>
    <row r="39" spans="1:23" s="1" customFormat="1" x14ac:dyDescent="0.3">
      <c r="A39" s="18">
        <v>37</v>
      </c>
      <c r="B39" s="19">
        <v>8426938</v>
      </c>
      <c r="C39" s="20" t="s">
        <v>61</v>
      </c>
      <c r="D39" s="26" t="s">
        <v>18</v>
      </c>
      <c r="E39" s="27">
        <v>2</v>
      </c>
      <c r="F39" s="29"/>
      <c r="G39" s="28"/>
      <c r="H39" s="27">
        <v>2</v>
      </c>
      <c r="I39" s="29">
        <f t="shared" si="2"/>
        <v>0</v>
      </c>
      <c r="J39" s="48">
        <f t="shared" si="0"/>
        <v>0</v>
      </c>
      <c r="K39" s="28">
        <f t="shared" si="12"/>
        <v>0</v>
      </c>
      <c r="L39" s="27">
        <v>2</v>
      </c>
      <c r="M39" s="29">
        <f t="shared" si="3"/>
        <v>0</v>
      </c>
      <c r="N39" s="48">
        <f t="shared" si="4"/>
        <v>0</v>
      </c>
      <c r="O39" s="28">
        <f t="shared" si="5"/>
        <v>0</v>
      </c>
      <c r="P39" s="27">
        <v>2</v>
      </c>
      <c r="Q39" s="29">
        <f t="shared" si="6"/>
        <v>0</v>
      </c>
      <c r="R39" s="48">
        <f t="shared" si="7"/>
        <v>0</v>
      </c>
      <c r="S39" s="28">
        <f t="shared" si="8"/>
        <v>0</v>
      </c>
      <c r="T39" s="27">
        <v>2</v>
      </c>
      <c r="U39" s="29">
        <f t="shared" si="9"/>
        <v>0</v>
      </c>
      <c r="V39" s="48">
        <f t="shared" si="10"/>
        <v>0</v>
      </c>
      <c r="W39" s="28">
        <f t="shared" si="11"/>
        <v>0</v>
      </c>
    </row>
    <row r="40" spans="1:23" s="1" customFormat="1" x14ac:dyDescent="0.3">
      <c r="A40" s="18">
        <v>38</v>
      </c>
      <c r="B40" s="19"/>
      <c r="C40" s="20" t="s">
        <v>65</v>
      </c>
      <c r="D40" s="26" t="s">
        <v>18</v>
      </c>
      <c r="E40" s="27"/>
      <c r="F40" s="29"/>
      <c r="G40" s="28"/>
      <c r="H40" s="27"/>
      <c r="I40" s="29">
        <f t="shared" si="2"/>
        <v>0</v>
      </c>
      <c r="J40" s="48" t="s">
        <v>16</v>
      </c>
      <c r="K40" s="28" t="s">
        <v>16</v>
      </c>
      <c r="L40" s="27" t="s">
        <v>16</v>
      </c>
      <c r="M40" s="29" t="e">
        <f t="shared" si="3"/>
        <v>#VALUE!</v>
      </c>
      <c r="N40" s="48" t="s">
        <v>16</v>
      </c>
      <c r="O40" s="28" t="s">
        <v>16</v>
      </c>
      <c r="P40" s="27"/>
      <c r="Q40" s="29" t="e">
        <f t="shared" si="6"/>
        <v>#VALUE!</v>
      </c>
      <c r="R40" s="48" t="s">
        <v>16</v>
      </c>
      <c r="S40" s="28" t="s">
        <v>16</v>
      </c>
      <c r="T40" s="27"/>
      <c r="U40" s="29" t="e">
        <f t="shared" si="9"/>
        <v>#VALUE!</v>
      </c>
      <c r="V40" s="48" t="s">
        <v>16</v>
      </c>
      <c r="W40" s="28" t="s">
        <v>16</v>
      </c>
    </row>
    <row r="41" spans="1:23" s="1" customFormat="1" x14ac:dyDescent="0.3">
      <c r="A41" s="18"/>
      <c r="B41" s="19"/>
      <c r="C41" s="20"/>
      <c r="D41" s="26"/>
      <c r="E41" s="27"/>
      <c r="F41" s="29"/>
      <c r="G41" s="28"/>
      <c r="H41" s="27"/>
      <c r="I41" s="29"/>
      <c r="J41" s="48"/>
      <c r="K41" s="28"/>
      <c r="L41" s="27"/>
      <c r="M41" s="29"/>
      <c r="N41" s="48"/>
      <c r="O41" s="28"/>
      <c r="P41" s="27"/>
      <c r="Q41" s="29"/>
      <c r="R41" s="48"/>
      <c r="S41" s="28"/>
      <c r="T41" s="27"/>
      <c r="U41" s="29"/>
      <c r="V41" s="48"/>
      <c r="W41" s="28"/>
    </row>
    <row r="42" spans="1:23" s="1" customFormat="1" ht="15" thickBot="1" x14ac:dyDescent="0.35">
      <c r="A42" s="30"/>
      <c r="B42" s="31"/>
      <c r="C42" s="51" t="s">
        <v>20</v>
      </c>
      <c r="D42" s="40"/>
      <c r="E42" s="41">
        <v>1</v>
      </c>
      <c r="F42" s="42"/>
      <c r="G42" s="43"/>
      <c r="H42" s="41">
        <v>1</v>
      </c>
      <c r="I42" s="42">
        <v>0</v>
      </c>
      <c r="J42" s="49"/>
      <c r="K42" s="43">
        <f>SUM(H42*I42)</f>
        <v>0</v>
      </c>
      <c r="L42" s="41">
        <v>1</v>
      </c>
      <c r="M42" s="42">
        <v>0</v>
      </c>
      <c r="N42" s="49"/>
      <c r="O42" s="43">
        <f t="shared" ref="O42" si="13">SUM(L42*M42)</f>
        <v>0</v>
      </c>
      <c r="P42" s="41">
        <v>1</v>
      </c>
      <c r="Q42" s="42">
        <v>0</v>
      </c>
      <c r="R42" s="49"/>
      <c r="S42" s="43">
        <f t="shared" ref="S42" si="14">SUM(P42*Q42)</f>
        <v>0</v>
      </c>
      <c r="T42" s="41">
        <v>1</v>
      </c>
      <c r="U42" s="42">
        <v>0</v>
      </c>
      <c r="V42" s="49"/>
      <c r="W42" s="43">
        <f t="shared" ref="W42" si="15">SUM(T42*U42)</f>
        <v>0</v>
      </c>
    </row>
    <row r="43" spans="1:23" ht="15" thickTop="1" x14ac:dyDescent="0.3">
      <c r="A43" s="32"/>
      <c r="B43" s="33"/>
      <c r="C43" s="33"/>
      <c r="D43" s="33"/>
      <c r="E43" s="33"/>
      <c r="F43" s="33"/>
      <c r="G43" s="34"/>
      <c r="H43" s="33"/>
      <c r="I43" s="33"/>
      <c r="J43" s="33"/>
      <c r="K43" s="34">
        <f>SUM(K3:K42)</f>
        <v>0</v>
      </c>
      <c r="L43" s="33"/>
      <c r="M43" s="33"/>
      <c r="N43" s="33"/>
      <c r="O43" s="34">
        <f>SUM(O3:O42)</f>
        <v>0</v>
      </c>
      <c r="P43" s="33"/>
      <c r="Q43" s="33"/>
      <c r="R43" s="33"/>
      <c r="S43" s="34">
        <f>SUM(S3:S42)</f>
        <v>0</v>
      </c>
      <c r="T43" s="35"/>
      <c r="U43" s="33"/>
      <c r="V43" s="33"/>
      <c r="W43" s="34">
        <f>SUM(W3:W42)</f>
        <v>0</v>
      </c>
    </row>
    <row r="44" spans="1:23" ht="15" thickBot="1" x14ac:dyDescent="0.3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6"/>
      <c r="U44" s="32"/>
      <c r="V44" s="32"/>
      <c r="W44" s="32"/>
    </row>
    <row r="45" spans="1:23" ht="15.6" thickTop="1" thickBot="1" x14ac:dyDescent="0.35">
      <c r="A45" s="32"/>
      <c r="B45" s="37"/>
      <c r="C45" s="38"/>
      <c r="D45" s="32"/>
      <c r="E45" s="52" t="s">
        <v>8</v>
      </c>
      <c r="F45" s="53"/>
      <c r="G45" s="44"/>
      <c r="H45" s="32"/>
      <c r="I45" s="32"/>
      <c r="J45" s="32"/>
      <c r="K45" s="32" t="s">
        <v>16</v>
      </c>
      <c r="L45" s="32"/>
      <c r="M45" s="32"/>
      <c r="N45" s="32"/>
      <c r="O45" s="32" t="s">
        <v>16</v>
      </c>
      <c r="P45" s="32"/>
      <c r="Q45" s="32"/>
      <c r="R45" s="32"/>
      <c r="S45" s="32" t="s">
        <v>16</v>
      </c>
      <c r="T45" s="36"/>
      <c r="U45" s="32"/>
      <c r="V45" s="32"/>
      <c r="W45" s="32" t="s">
        <v>16</v>
      </c>
    </row>
    <row r="46" spans="1:23" ht="15.6" thickTop="1" thickBot="1" x14ac:dyDescent="0.35">
      <c r="A46" s="32"/>
      <c r="B46" s="37"/>
      <c r="C46" s="38"/>
      <c r="D46" s="32"/>
      <c r="E46" s="52" t="s">
        <v>12</v>
      </c>
      <c r="F46" s="53"/>
      <c r="G46" s="44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 ht="15.6" thickTop="1" thickBot="1" x14ac:dyDescent="0.35">
      <c r="A47" s="32"/>
      <c r="B47" s="37"/>
      <c r="C47" s="38"/>
      <c r="D47" s="32"/>
      <c r="E47" s="52" t="s">
        <v>13</v>
      </c>
      <c r="F47" s="53"/>
      <c r="G47" s="44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 ht="15.6" thickTop="1" thickBot="1" x14ac:dyDescent="0.35">
      <c r="B48" s="4"/>
      <c r="C48" s="5"/>
      <c r="E48" s="52" t="s">
        <v>14</v>
      </c>
      <c r="F48" s="53"/>
      <c r="G48" s="44"/>
    </row>
    <row r="49" spans="2:7" ht="15.6" thickTop="1" thickBot="1" x14ac:dyDescent="0.35">
      <c r="B49" s="4"/>
      <c r="C49" s="5"/>
      <c r="E49" s="52" t="s">
        <v>15</v>
      </c>
      <c r="F49" s="53"/>
      <c r="G49" s="44"/>
    </row>
    <row r="50" spans="2:7" ht="15.6" thickTop="1" thickBot="1" x14ac:dyDescent="0.35">
      <c r="B50" s="4"/>
      <c r="C50" s="6"/>
      <c r="E50" s="52" t="s">
        <v>20</v>
      </c>
      <c r="F50" s="53"/>
      <c r="G50" s="45"/>
    </row>
    <row r="51" spans="2:7" ht="15" thickTop="1" x14ac:dyDescent="0.3">
      <c r="B51" s="7"/>
      <c r="C51" s="7"/>
    </row>
  </sheetData>
  <sortState xmlns:xlrd2="http://schemas.microsoft.com/office/spreadsheetml/2017/richdata2" ref="B4:D53">
    <sortCondition ref="B3"/>
  </sortState>
  <mergeCells count="11">
    <mergeCell ref="H1:K1"/>
    <mergeCell ref="L1:O1"/>
    <mergeCell ref="P1:S1"/>
    <mergeCell ref="T1:W1"/>
    <mergeCell ref="E1:G1"/>
    <mergeCell ref="E50:F50"/>
    <mergeCell ref="E45:F45"/>
    <mergeCell ref="E46:F46"/>
    <mergeCell ref="E47:F47"/>
    <mergeCell ref="E48:F48"/>
    <mergeCell ref="E49:F49"/>
  </mergeCells>
  <pageMargins left="0.2" right="0.2" top="0.25" bottom="0.2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HARDY - NEW</vt:lpstr>
      <vt:lpstr>Sheet1</vt:lpstr>
    </vt:vector>
  </TitlesOfParts>
  <Company>Indian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Area</dc:creator>
  <cp:lastModifiedBy>Wendzillo, Phillip (IHS/PHX/AO)</cp:lastModifiedBy>
  <cp:lastPrinted>2023-02-03T21:08:32Z</cp:lastPrinted>
  <dcterms:created xsi:type="dcterms:W3CDTF">2017-10-12T18:43:56Z</dcterms:created>
  <dcterms:modified xsi:type="dcterms:W3CDTF">2026-02-22T19:43:02Z</dcterms:modified>
</cp:coreProperties>
</file>