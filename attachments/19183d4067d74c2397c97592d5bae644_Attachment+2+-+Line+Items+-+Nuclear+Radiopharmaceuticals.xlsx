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danielle_kramer_va_gov/Documents/Desktop/"/>
    </mc:Choice>
  </mc:AlternateContent>
  <xr:revisionPtr revIDLastSave="159" documentId="13_ncr:1_{CA67B318-163C-481C-A82F-0FC1182DE6F4}" xr6:coauthVersionLast="47" xr6:coauthVersionMax="47" xr10:uidLastSave="{FFE10C4A-8711-438D-AEA8-3CC0E83132A0}"/>
  <bookViews>
    <workbookView xWindow="-25635" yWindow="0" windowWidth="23490" windowHeight="15585" xr2:uid="{1D1579E6-6E8E-4B36-99A9-56D3F8ADB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4" i="1" l="1"/>
  <c r="G132" i="1"/>
  <c r="G106" i="1"/>
  <c r="G80" i="1"/>
  <c r="G54" i="1"/>
  <c r="G28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" i="1"/>
</calcChain>
</file>

<file path=xl/sharedStrings.xml><?xml version="1.0" encoding="utf-8"?>
<sst xmlns="http://schemas.openxmlformats.org/spreadsheetml/2006/main" count="272" uniqueCount="47">
  <si>
    <t>Line Item</t>
  </si>
  <si>
    <t>Description</t>
  </si>
  <si>
    <t>Unit of Measure</t>
  </si>
  <si>
    <t>Unit Price</t>
  </si>
  <si>
    <t>Xe133 20mCi Vials</t>
  </si>
  <si>
    <t>EACH</t>
  </si>
  <si>
    <t>Albumin Aggregated (MAA) Kit</t>
  </si>
  <si>
    <t>Mebrofenin (Choletec) Kit</t>
  </si>
  <si>
    <t>Mebrofenin (Generic) Kit</t>
  </si>
  <si>
    <t>Medronate (MDP) Kit</t>
  </si>
  <si>
    <t>Albumin Aggregated Tc-99m Non-HEU</t>
  </si>
  <si>
    <t>Sodium Pertechnetate Tc-99m - Pre-Cal Over Time Limit</t>
  </si>
  <si>
    <t>Sodium Pertechnetate Tc-99m - Act Over Dose Range mCi</t>
  </si>
  <si>
    <t>Sodium Pertechnetate Tc-99m Non-HEU - Multi-Dose Quantity</t>
  </si>
  <si>
    <t>Sodium Pertechnetate Tc-99m Non-HEU</t>
  </si>
  <si>
    <t>I-123 Capsule (200uCi)</t>
  </si>
  <si>
    <t>Mebrofenin (Generic) Tc-99m Non-HEU</t>
  </si>
  <si>
    <t>Medronate (MDP) Tc-99m Non-HEU</t>
  </si>
  <si>
    <t>Mertiatide (MAG-3) Tc-99m Non-HEU</t>
  </si>
  <si>
    <t>Pyrophosphate (PYP) Tc-99m Non-HEU</t>
  </si>
  <si>
    <t>Sestamibi Tc-99m Non-HEU</t>
  </si>
  <si>
    <t>Sulfur Colloid Tc-99m Non-HEU</t>
  </si>
  <si>
    <t>Oxidronate (HDP) Tc-99m Non-HEU (Amyloid)</t>
  </si>
  <si>
    <t>Delivery Charges</t>
  </si>
  <si>
    <t>Co-57 sheet source</t>
  </si>
  <si>
    <t>Survey Meter Calibration</t>
  </si>
  <si>
    <t>Syringe shield 3ml w/set screw</t>
  </si>
  <si>
    <t>Syringe shield 5ml w/set screw</t>
  </si>
  <si>
    <t>Xenon vent kit 132-793</t>
  </si>
  <si>
    <t xml:space="preserve">Estimated Quantities </t>
  </si>
  <si>
    <t xml:space="preserve">Base Ordering Period </t>
  </si>
  <si>
    <t>06-01-2026 to 05-31-2027</t>
  </si>
  <si>
    <t>Ordering Period 1</t>
  </si>
  <si>
    <t>Ordering Period 3</t>
  </si>
  <si>
    <t>Ordering Period 4</t>
  </si>
  <si>
    <t>06-01-2027 to 05-31-2028</t>
  </si>
  <si>
    <t xml:space="preserve">Ordering Period 1 Total </t>
  </si>
  <si>
    <t xml:space="preserve">Base Ordering Period Total </t>
  </si>
  <si>
    <t>Ordering Period 2</t>
  </si>
  <si>
    <t>06-01-2028 to 05-31-2029</t>
  </si>
  <si>
    <t xml:space="preserve">Ordering Period 2 Total </t>
  </si>
  <si>
    <t>06-01-2029 to 05-31-2030</t>
  </si>
  <si>
    <t xml:space="preserve">Ordering Period 3 Total </t>
  </si>
  <si>
    <t xml:space="preserve">Grand Estimated Total </t>
  </si>
  <si>
    <t>06-01-2031 to 05-31-2031</t>
  </si>
  <si>
    <t xml:space="preserve">Ordering Period 4 Total </t>
  </si>
  <si>
    <t>Estimated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</si>
</sst>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6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/>
    <xf numFmtId="0" fontId="5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4" xfId="0" applyFont="1" applyBorder="1"/>
    <xf numFmtId="0" fontId="3" fillId="0" borderId="5" xfId="0" applyFont="1" applyBorder="1"/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9" xfId="0" applyFont="1" applyFill="1" applyBorder="1" applyAlignment="1">
      <alignment horizontal="right" vertical="center" wrapText="1"/>
    </xf>
    <xf numFmtId="0" fontId="2" fillId="0" borderId="10" xfId="0" applyFont="1" applyFill="1" applyBorder="1" applyAlignment="1">
      <alignment horizontal="right" vertical="center" wrapText="1"/>
    </xf>
    <xf numFmtId="0" fontId="2" fillId="0" borderId="9" xfId="0" applyFont="1" applyFill="1" applyBorder="1" applyAlignment="1">
      <alignment vertical="center" wrapText="1"/>
    </xf>
    <xf numFmtId="44" fontId="2" fillId="0" borderId="2" xfId="1" applyFont="1" applyBorder="1" applyAlignment="1">
      <alignment vertical="center" wrapText="1"/>
    </xf>
    <xf numFmtId="44" fontId="2" fillId="0" borderId="3" xfId="1" applyFont="1" applyBorder="1" applyAlignment="1">
      <alignment vertical="center" wrapText="1"/>
    </xf>
    <xf numFmtId="44" fontId="2" fillId="0" borderId="5" xfId="1" applyFont="1" applyBorder="1" applyAlignment="1">
      <alignment vertical="center" wrapText="1"/>
    </xf>
    <xf numFmtId="44" fontId="2" fillId="0" borderId="1" xfId="1" applyFont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F7BC-AADC-4020-ADC7-599350EB7A0E}">
  <dimension ref="A2:G134"/>
  <sheetViews>
    <sheetView tabSelected="1" workbookViewId="0">
      <selection activeCell="G135" sqref="G135"/>
    </sheetView>
  </sheetViews>
  <sheetFormatPr defaultRowHeight="14.5" x14ac:dyDescent="0.35"/>
  <cols>
    <col min="1" max="1" width="25.08984375" customWidth="1"/>
    <col min="2" max="2" width="16.81640625" customWidth="1"/>
    <col min="3" max="3" width="47.81640625" customWidth="1"/>
    <col min="4" max="4" width="20" customWidth="1"/>
    <col min="5" max="5" width="12.1796875" customWidth="1"/>
    <col min="6" max="6" width="24.36328125" customWidth="1"/>
    <col min="7" max="7" width="33" customWidth="1"/>
  </cols>
  <sheetData>
    <row r="2" spans="1:7" ht="58.5" customHeight="1" x14ac:dyDescent="0.35">
      <c r="A2" s="7"/>
      <c r="B2" s="8" t="s">
        <v>0</v>
      </c>
      <c r="C2" s="8" t="s">
        <v>1</v>
      </c>
      <c r="D2" s="8" t="s">
        <v>29</v>
      </c>
      <c r="E2" s="8" t="s">
        <v>2</v>
      </c>
      <c r="F2" s="8" t="s">
        <v>3</v>
      </c>
      <c r="G2" s="8" t="s">
        <v>46</v>
      </c>
    </row>
    <row r="3" spans="1:7" ht="15.5" x14ac:dyDescent="0.35">
      <c r="A3" s="7" t="s">
        <v>30</v>
      </c>
      <c r="B3" s="9">
        <v>1</v>
      </c>
      <c r="C3" s="1" t="s">
        <v>4</v>
      </c>
      <c r="D3" s="1">
        <v>208</v>
      </c>
      <c r="E3" s="2" t="s">
        <v>5</v>
      </c>
      <c r="F3" s="22"/>
      <c r="G3" s="22">
        <f>D3*F3</f>
        <v>0</v>
      </c>
    </row>
    <row r="4" spans="1:7" ht="15.5" x14ac:dyDescent="0.35">
      <c r="A4" s="10" t="s">
        <v>31</v>
      </c>
      <c r="B4" s="9">
        <v>2</v>
      </c>
      <c r="C4" s="1" t="s">
        <v>6</v>
      </c>
      <c r="D4" s="1">
        <v>26</v>
      </c>
      <c r="E4" s="2" t="s">
        <v>5</v>
      </c>
      <c r="F4" s="22"/>
      <c r="G4" s="22">
        <f t="shared" ref="G4:G27" si="0">D4*F4</f>
        <v>0</v>
      </c>
    </row>
    <row r="5" spans="1:7" ht="15.5" x14ac:dyDescent="0.35">
      <c r="A5" s="10"/>
      <c r="B5" s="9">
        <v>3</v>
      </c>
      <c r="C5" s="1" t="s">
        <v>7</v>
      </c>
      <c r="D5" s="1">
        <v>25</v>
      </c>
      <c r="E5" s="2" t="s">
        <v>5</v>
      </c>
      <c r="F5" s="22"/>
      <c r="G5" s="22">
        <f t="shared" si="0"/>
        <v>0</v>
      </c>
    </row>
    <row r="6" spans="1:7" ht="15.5" x14ac:dyDescent="0.35">
      <c r="A6" s="10"/>
      <c r="B6" s="9">
        <v>4</v>
      </c>
      <c r="C6" s="1" t="s">
        <v>8</v>
      </c>
      <c r="D6" s="1">
        <v>50</v>
      </c>
      <c r="E6" s="2" t="s">
        <v>5</v>
      </c>
      <c r="F6" s="22"/>
      <c r="G6" s="22">
        <f t="shared" si="0"/>
        <v>0</v>
      </c>
    </row>
    <row r="7" spans="1:7" ht="15.5" x14ac:dyDescent="0.35">
      <c r="A7" s="10"/>
      <c r="B7" s="9">
        <v>5</v>
      </c>
      <c r="C7" s="1" t="s">
        <v>9</v>
      </c>
      <c r="D7" s="1">
        <v>50</v>
      </c>
      <c r="E7" s="2" t="s">
        <v>5</v>
      </c>
      <c r="F7" s="22"/>
      <c r="G7" s="22">
        <f t="shared" si="0"/>
        <v>0</v>
      </c>
    </row>
    <row r="8" spans="1:7" ht="15.5" x14ac:dyDescent="0.35">
      <c r="A8" s="10"/>
      <c r="B8" s="9">
        <v>6</v>
      </c>
      <c r="C8" s="1" t="s">
        <v>10</v>
      </c>
      <c r="D8" s="1">
        <v>50</v>
      </c>
      <c r="E8" s="2" t="s">
        <v>5</v>
      </c>
      <c r="F8" s="22"/>
      <c r="G8" s="22">
        <f t="shared" si="0"/>
        <v>0</v>
      </c>
    </row>
    <row r="9" spans="1:7" ht="15.5" x14ac:dyDescent="0.35">
      <c r="A9" s="10"/>
      <c r="B9" s="9">
        <v>7</v>
      </c>
      <c r="C9" s="1" t="s">
        <v>11</v>
      </c>
      <c r="D9" s="1">
        <v>60</v>
      </c>
      <c r="E9" s="2" t="s">
        <v>5</v>
      </c>
      <c r="F9" s="22"/>
      <c r="G9" s="22">
        <f t="shared" si="0"/>
        <v>0</v>
      </c>
    </row>
    <row r="10" spans="1:7" ht="15.5" x14ac:dyDescent="0.35">
      <c r="A10" s="10"/>
      <c r="B10" s="9">
        <v>8</v>
      </c>
      <c r="C10" s="1" t="s">
        <v>12</v>
      </c>
      <c r="D10" s="1">
        <v>40</v>
      </c>
      <c r="E10" s="2" t="s">
        <v>5</v>
      </c>
      <c r="F10" s="22"/>
      <c r="G10" s="22">
        <f t="shared" si="0"/>
        <v>0</v>
      </c>
    </row>
    <row r="11" spans="1:7" ht="15.5" x14ac:dyDescent="0.35">
      <c r="A11" s="10"/>
      <c r="B11" s="9">
        <v>9</v>
      </c>
      <c r="C11" s="1" t="s">
        <v>13</v>
      </c>
      <c r="D11" s="1">
        <v>140</v>
      </c>
      <c r="E11" s="2" t="s">
        <v>5</v>
      </c>
      <c r="F11" s="22"/>
      <c r="G11" s="22">
        <f t="shared" si="0"/>
        <v>0</v>
      </c>
    </row>
    <row r="12" spans="1:7" ht="15.5" x14ac:dyDescent="0.35">
      <c r="A12" s="10"/>
      <c r="B12" s="9">
        <v>10</v>
      </c>
      <c r="C12" s="1" t="s">
        <v>14</v>
      </c>
      <c r="D12" s="1">
        <v>120</v>
      </c>
      <c r="E12" s="2" t="s">
        <v>5</v>
      </c>
      <c r="F12" s="22"/>
      <c r="G12" s="22">
        <f t="shared" si="0"/>
        <v>0</v>
      </c>
    </row>
    <row r="13" spans="1:7" ht="15.5" x14ac:dyDescent="0.35">
      <c r="A13" s="10"/>
      <c r="B13" s="9">
        <v>11</v>
      </c>
      <c r="C13" s="1" t="s">
        <v>14</v>
      </c>
      <c r="D13" s="1">
        <v>90</v>
      </c>
      <c r="E13" s="2" t="s">
        <v>5</v>
      </c>
      <c r="F13" s="22"/>
      <c r="G13" s="22">
        <f t="shared" si="0"/>
        <v>0</v>
      </c>
    </row>
    <row r="14" spans="1:7" ht="15.5" x14ac:dyDescent="0.35">
      <c r="A14" s="10"/>
      <c r="B14" s="9">
        <v>12</v>
      </c>
      <c r="C14" s="1" t="s">
        <v>15</v>
      </c>
      <c r="D14" s="3">
        <v>50</v>
      </c>
      <c r="E14" s="2" t="s">
        <v>5</v>
      </c>
      <c r="F14" s="22"/>
      <c r="G14" s="22">
        <f t="shared" si="0"/>
        <v>0</v>
      </c>
    </row>
    <row r="15" spans="1:7" ht="15.5" x14ac:dyDescent="0.35">
      <c r="A15" s="10"/>
      <c r="B15" s="9">
        <v>13</v>
      </c>
      <c r="C15" s="1" t="s">
        <v>16</v>
      </c>
      <c r="D15" s="1">
        <v>80</v>
      </c>
      <c r="E15" s="2" t="s">
        <v>5</v>
      </c>
      <c r="F15" s="22"/>
      <c r="G15" s="22">
        <f t="shared" si="0"/>
        <v>0</v>
      </c>
    </row>
    <row r="16" spans="1:7" ht="15.5" x14ac:dyDescent="0.35">
      <c r="A16" s="10"/>
      <c r="B16" s="9">
        <v>14</v>
      </c>
      <c r="C16" s="1" t="s">
        <v>17</v>
      </c>
      <c r="D16" s="1">
        <v>85</v>
      </c>
      <c r="E16" s="2" t="s">
        <v>5</v>
      </c>
      <c r="F16" s="22"/>
      <c r="G16" s="22">
        <f t="shared" si="0"/>
        <v>0</v>
      </c>
    </row>
    <row r="17" spans="1:7" ht="15.5" x14ac:dyDescent="0.35">
      <c r="A17" s="10"/>
      <c r="B17" s="9">
        <v>15</v>
      </c>
      <c r="C17" s="1" t="s">
        <v>18</v>
      </c>
      <c r="D17" s="1">
        <v>50</v>
      </c>
      <c r="E17" s="2" t="s">
        <v>5</v>
      </c>
      <c r="F17" s="22"/>
      <c r="G17" s="22">
        <f t="shared" si="0"/>
        <v>0</v>
      </c>
    </row>
    <row r="18" spans="1:7" ht="15.5" x14ac:dyDescent="0.35">
      <c r="A18" s="10"/>
      <c r="B18" s="9">
        <v>16</v>
      </c>
      <c r="C18" s="1" t="s">
        <v>19</v>
      </c>
      <c r="D18" s="1">
        <v>50</v>
      </c>
      <c r="E18" s="2" t="s">
        <v>5</v>
      </c>
      <c r="F18" s="22"/>
      <c r="G18" s="22">
        <f t="shared" si="0"/>
        <v>0</v>
      </c>
    </row>
    <row r="19" spans="1:7" ht="15.5" x14ac:dyDescent="0.35">
      <c r="A19" s="10"/>
      <c r="B19" s="9">
        <v>17</v>
      </c>
      <c r="C19" s="1" t="s">
        <v>20</v>
      </c>
      <c r="D19" s="1">
        <v>1000</v>
      </c>
      <c r="E19" s="2" t="s">
        <v>5</v>
      </c>
      <c r="F19" s="22"/>
      <c r="G19" s="22">
        <f t="shared" si="0"/>
        <v>0</v>
      </c>
    </row>
    <row r="20" spans="1:7" ht="15.5" x14ac:dyDescent="0.35">
      <c r="A20" s="10"/>
      <c r="B20" s="9">
        <v>18</v>
      </c>
      <c r="C20" s="1" t="s">
        <v>21</v>
      </c>
      <c r="D20" s="1">
        <v>60</v>
      </c>
      <c r="E20" s="2" t="s">
        <v>5</v>
      </c>
      <c r="F20" s="22"/>
      <c r="G20" s="22">
        <f t="shared" si="0"/>
        <v>0</v>
      </c>
    </row>
    <row r="21" spans="1:7" ht="15.5" x14ac:dyDescent="0.35">
      <c r="A21" s="10"/>
      <c r="B21" s="9">
        <v>19</v>
      </c>
      <c r="C21" s="1" t="s">
        <v>22</v>
      </c>
      <c r="D21" s="1">
        <v>28</v>
      </c>
      <c r="E21" s="2" t="s">
        <v>5</v>
      </c>
      <c r="F21" s="22"/>
      <c r="G21" s="22">
        <f t="shared" si="0"/>
        <v>0</v>
      </c>
    </row>
    <row r="22" spans="1:7" ht="15.5" x14ac:dyDescent="0.35">
      <c r="A22" s="10"/>
      <c r="B22" s="9">
        <v>20</v>
      </c>
      <c r="C22" s="1" t="s">
        <v>23</v>
      </c>
      <c r="D22" s="1">
        <v>520</v>
      </c>
      <c r="E22" s="2" t="s">
        <v>5</v>
      </c>
      <c r="F22" s="22"/>
      <c r="G22" s="22">
        <f t="shared" si="0"/>
        <v>0</v>
      </c>
    </row>
    <row r="23" spans="1:7" ht="15.5" x14ac:dyDescent="0.35">
      <c r="A23" s="10"/>
      <c r="B23" s="9">
        <v>21</v>
      </c>
      <c r="C23" s="1" t="s">
        <v>24</v>
      </c>
      <c r="D23" s="1">
        <v>2</v>
      </c>
      <c r="E23" s="2" t="s">
        <v>5</v>
      </c>
      <c r="F23" s="22"/>
      <c r="G23" s="22">
        <f t="shared" si="0"/>
        <v>0</v>
      </c>
    </row>
    <row r="24" spans="1:7" ht="15.5" x14ac:dyDescent="0.35">
      <c r="A24" s="10"/>
      <c r="B24" s="9">
        <v>22</v>
      </c>
      <c r="C24" s="1" t="s">
        <v>25</v>
      </c>
      <c r="D24" s="1">
        <v>2</v>
      </c>
      <c r="E24" s="2" t="s">
        <v>5</v>
      </c>
      <c r="F24" s="22"/>
      <c r="G24" s="22">
        <f t="shared" si="0"/>
        <v>0</v>
      </c>
    </row>
    <row r="25" spans="1:7" ht="15.5" x14ac:dyDescent="0.35">
      <c r="A25" s="10"/>
      <c r="B25" s="5">
        <v>23</v>
      </c>
      <c r="C25" s="6" t="s">
        <v>26</v>
      </c>
      <c r="D25" s="3">
        <v>3</v>
      </c>
      <c r="E25" s="2" t="s">
        <v>5</v>
      </c>
      <c r="F25" s="22"/>
      <c r="G25" s="22">
        <f t="shared" si="0"/>
        <v>0</v>
      </c>
    </row>
    <row r="26" spans="1:7" ht="15.5" x14ac:dyDescent="0.35">
      <c r="A26" s="10"/>
      <c r="B26" s="5">
        <v>24</v>
      </c>
      <c r="C26" s="4" t="s">
        <v>27</v>
      </c>
      <c r="D26" s="3">
        <v>2</v>
      </c>
      <c r="E26" s="2" t="s">
        <v>5</v>
      </c>
      <c r="F26" s="22"/>
      <c r="G26" s="22">
        <f t="shared" si="0"/>
        <v>0</v>
      </c>
    </row>
    <row r="27" spans="1:7" ht="16" thickBot="1" x14ac:dyDescent="0.4">
      <c r="A27" s="10"/>
      <c r="B27" s="14">
        <v>25</v>
      </c>
      <c r="C27" s="15" t="s">
        <v>28</v>
      </c>
      <c r="D27" s="16">
        <v>50</v>
      </c>
      <c r="E27" s="12" t="s">
        <v>5</v>
      </c>
      <c r="F27" s="23"/>
      <c r="G27" s="22">
        <f t="shared" si="0"/>
        <v>0</v>
      </c>
    </row>
    <row r="28" spans="1:7" ht="30" customHeight="1" thickBot="1" x14ac:dyDescent="0.4">
      <c r="A28" s="19" t="s">
        <v>37</v>
      </c>
      <c r="B28" s="20"/>
      <c r="C28" s="20"/>
      <c r="D28" s="20"/>
      <c r="E28" s="20"/>
      <c r="F28" s="20"/>
      <c r="G28" s="25">
        <f>SUM(G3:G27)</f>
        <v>0</v>
      </c>
    </row>
    <row r="29" spans="1:7" ht="15.5" x14ac:dyDescent="0.35">
      <c r="A29" s="10" t="s">
        <v>32</v>
      </c>
      <c r="B29" s="17">
        <v>1001</v>
      </c>
      <c r="C29" s="18" t="s">
        <v>4</v>
      </c>
      <c r="D29" s="18">
        <v>208</v>
      </c>
      <c r="E29" s="13" t="s">
        <v>5</v>
      </c>
      <c r="F29" s="24"/>
      <c r="G29" s="22">
        <f>D29*F29</f>
        <v>0</v>
      </c>
    </row>
    <row r="30" spans="1:7" ht="15.5" x14ac:dyDescent="0.35">
      <c r="A30" s="10" t="s">
        <v>35</v>
      </c>
      <c r="B30" s="9">
        <v>1002</v>
      </c>
      <c r="C30" s="1" t="s">
        <v>6</v>
      </c>
      <c r="D30" s="1">
        <v>26</v>
      </c>
      <c r="E30" s="2" t="s">
        <v>5</v>
      </c>
      <c r="F30" s="22"/>
      <c r="G30" s="22">
        <f t="shared" ref="G30:G53" si="1">D30*F30</f>
        <v>0</v>
      </c>
    </row>
    <row r="31" spans="1:7" ht="15.5" x14ac:dyDescent="0.35">
      <c r="A31" s="10"/>
      <c r="B31" s="9">
        <v>1003</v>
      </c>
      <c r="C31" s="1" t="s">
        <v>7</v>
      </c>
      <c r="D31" s="1">
        <v>25</v>
      </c>
      <c r="E31" s="2" t="s">
        <v>5</v>
      </c>
      <c r="F31" s="22"/>
      <c r="G31" s="22">
        <f t="shared" si="1"/>
        <v>0</v>
      </c>
    </row>
    <row r="32" spans="1:7" ht="15.5" x14ac:dyDescent="0.35">
      <c r="A32" s="10"/>
      <c r="B32" s="17">
        <v>1004</v>
      </c>
      <c r="C32" s="1" t="s">
        <v>8</v>
      </c>
      <c r="D32" s="1">
        <v>50</v>
      </c>
      <c r="E32" s="2" t="s">
        <v>5</v>
      </c>
      <c r="F32" s="22"/>
      <c r="G32" s="22">
        <f t="shared" si="1"/>
        <v>0</v>
      </c>
    </row>
    <row r="33" spans="1:7" ht="15.5" x14ac:dyDescent="0.35">
      <c r="A33" s="10"/>
      <c r="B33" s="9">
        <v>1005</v>
      </c>
      <c r="C33" s="1" t="s">
        <v>9</v>
      </c>
      <c r="D33" s="1">
        <v>50</v>
      </c>
      <c r="E33" s="2" t="s">
        <v>5</v>
      </c>
      <c r="F33" s="22"/>
      <c r="G33" s="22">
        <f t="shared" si="1"/>
        <v>0</v>
      </c>
    </row>
    <row r="34" spans="1:7" ht="15.5" x14ac:dyDescent="0.35">
      <c r="A34" s="10"/>
      <c r="B34" s="9">
        <v>1006</v>
      </c>
      <c r="C34" s="1" t="s">
        <v>10</v>
      </c>
      <c r="D34" s="1">
        <v>50</v>
      </c>
      <c r="E34" s="2" t="s">
        <v>5</v>
      </c>
      <c r="F34" s="22"/>
      <c r="G34" s="22">
        <f t="shared" si="1"/>
        <v>0</v>
      </c>
    </row>
    <row r="35" spans="1:7" ht="15.5" x14ac:dyDescent="0.35">
      <c r="A35" s="10"/>
      <c r="B35" s="17">
        <v>1007</v>
      </c>
      <c r="C35" s="1" t="s">
        <v>11</v>
      </c>
      <c r="D35" s="1">
        <v>60</v>
      </c>
      <c r="E35" s="2" t="s">
        <v>5</v>
      </c>
      <c r="F35" s="22"/>
      <c r="G35" s="22">
        <f t="shared" si="1"/>
        <v>0</v>
      </c>
    </row>
    <row r="36" spans="1:7" ht="15.5" x14ac:dyDescent="0.35">
      <c r="A36" s="10"/>
      <c r="B36" s="9">
        <v>1008</v>
      </c>
      <c r="C36" s="1" t="s">
        <v>12</v>
      </c>
      <c r="D36" s="1">
        <v>40</v>
      </c>
      <c r="E36" s="2" t="s">
        <v>5</v>
      </c>
      <c r="F36" s="22"/>
      <c r="G36" s="22">
        <f t="shared" si="1"/>
        <v>0</v>
      </c>
    </row>
    <row r="37" spans="1:7" ht="15.5" x14ac:dyDescent="0.35">
      <c r="A37" s="10"/>
      <c r="B37" s="9">
        <v>1009</v>
      </c>
      <c r="C37" s="1" t="s">
        <v>13</v>
      </c>
      <c r="D37" s="1">
        <v>140</v>
      </c>
      <c r="E37" s="2" t="s">
        <v>5</v>
      </c>
      <c r="F37" s="22"/>
      <c r="G37" s="22">
        <f t="shared" si="1"/>
        <v>0</v>
      </c>
    </row>
    <row r="38" spans="1:7" ht="15.5" x14ac:dyDescent="0.35">
      <c r="A38" s="10"/>
      <c r="B38" s="17">
        <v>1010</v>
      </c>
      <c r="C38" s="1" t="s">
        <v>14</v>
      </c>
      <c r="D38" s="1">
        <v>120</v>
      </c>
      <c r="E38" s="2" t="s">
        <v>5</v>
      </c>
      <c r="F38" s="22"/>
      <c r="G38" s="22">
        <f t="shared" si="1"/>
        <v>0</v>
      </c>
    </row>
    <row r="39" spans="1:7" ht="15.5" x14ac:dyDescent="0.35">
      <c r="A39" s="10"/>
      <c r="B39" s="9">
        <v>1011</v>
      </c>
      <c r="C39" s="1" t="s">
        <v>14</v>
      </c>
      <c r="D39" s="1">
        <v>90</v>
      </c>
      <c r="E39" s="2" t="s">
        <v>5</v>
      </c>
      <c r="F39" s="22"/>
      <c r="G39" s="22">
        <f t="shared" si="1"/>
        <v>0</v>
      </c>
    </row>
    <row r="40" spans="1:7" ht="15.5" x14ac:dyDescent="0.35">
      <c r="A40" s="10"/>
      <c r="B40" s="9">
        <v>1012</v>
      </c>
      <c r="C40" s="1" t="s">
        <v>15</v>
      </c>
      <c r="D40" s="3">
        <v>50</v>
      </c>
      <c r="E40" s="2" t="s">
        <v>5</v>
      </c>
      <c r="F40" s="22"/>
      <c r="G40" s="22">
        <f t="shared" si="1"/>
        <v>0</v>
      </c>
    </row>
    <row r="41" spans="1:7" ht="15.5" x14ac:dyDescent="0.35">
      <c r="A41" s="10"/>
      <c r="B41" s="17">
        <v>1013</v>
      </c>
      <c r="C41" s="1" t="s">
        <v>16</v>
      </c>
      <c r="D41" s="1">
        <v>80</v>
      </c>
      <c r="E41" s="2" t="s">
        <v>5</v>
      </c>
      <c r="F41" s="22"/>
      <c r="G41" s="22">
        <f t="shared" si="1"/>
        <v>0</v>
      </c>
    </row>
    <row r="42" spans="1:7" ht="15.5" x14ac:dyDescent="0.35">
      <c r="A42" s="10"/>
      <c r="B42" s="9">
        <v>1014</v>
      </c>
      <c r="C42" s="1" t="s">
        <v>17</v>
      </c>
      <c r="D42" s="1">
        <v>85</v>
      </c>
      <c r="E42" s="2" t="s">
        <v>5</v>
      </c>
      <c r="F42" s="22"/>
      <c r="G42" s="22">
        <f t="shared" si="1"/>
        <v>0</v>
      </c>
    </row>
    <row r="43" spans="1:7" ht="15.5" x14ac:dyDescent="0.35">
      <c r="A43" s="10"/>
      <c r="B43" s="9">
        <v>1015</v>
      </c>
      <c r="C43" s="1" t="s">
        <v>18</v>
      </c>
      <c r="D43" s="1">
        <v>50</v>
      </c>
      <c r="E43" s="2" t="s">
        <v>5</v>
      </c>
      <c r="F43" s="22"/>
      <c r="G43" s="22">
        <f t="shared" si="1"/>
        <v>0</v>
      </c>
    </row>
    <row r="44" spans="1:7" ht="15.5" x14ac:dyDescent="0.35">
      <c r="A44" s="10"/>
      <c r="B44" s="17">
        <v>1016</v>
      </c>
      <c r="C44" s="1" t="s">
        <v>19</v>
      </c>
      <c r="D44" s="1">
        <v>50</v>
      </c>
      <c r="E44" s="2" t="s">
        <v>5</v>
      </c>
      <c r="F44" s="22"/>
      <c r="G44" s="22">
        <f t="shared" si="1"/>
        <v>0</v>
      </c>
    </row>
    <row r="45" spans="1:7" ht="15.5" x14ac:dyDescent="0.35">
      <c r="A45" s="10"/>
      <c r="B45" s="9">
        <v>1017</v>
      </c>
      <c r="C45" s="1" t="s">
        <v>20</v>
      </c>
      <c r="D45" s="1">
        <v>1000</v>
      </c>
      <c r="E45" s="2" t="s">
        <v>5</v>
      </c>
      <c r="F45" s="22"/>
      <c r="G45" s="22">
        <f t="shared" si="1"/>
        <v>0</v>
      </c>
    </row>
    <row r="46" spans="1:7" ht="15.5" x14ac:dyDescent="0.35">
      <c r="A46" s="10"/>
      <c r="B46" s="9">
        <v>1018</v>
      </c>
      <c r="C46" s="1" t="s">
        <v>21</v>
      </c>
      <c r="D46" s="1">
        <v>60</v>
      </c>
      <c r="E46" s="2" t="s">
        <v>5</v>
      </c>
      <c r="F46" s="22"/>
      <c r="G46" s="22">
        <f t="shared" si="1"/>
        <v>0</v>
      </c>
    </row>
    <row r="47" spans="1:7" ht="15.5" x14ac:dyDescent="0.35">
      <c r="A47" s="10"/>
      <c r="B47" s="17">
        <v>1019</v>
      </c>
      <c r="C47" s="1" t="s">
        <v>22</v>
      </c>
      <c r="D47" s="1">
        <v>28</v>
      </c>
      <c r="E47" s="2" t="s">
        <v>5</v>
      </c>
      <c r="F47" s="22"/>
      <c r="G47" s="22">
        <f t="shared" si="1"/>
        <v>0</v>
      </c>
    </row>
    <row r="48" spans="1:7" ht="15.5" x14ac:dyDescent="0.35">
      <c r="A48" s="10"/>
      <c r="B48" s="9">
        <v>1020</v>
      </c>
      <c r="C48" s="1" t="s">
        <v>23</v>
      </c>
      <c r="D48" s="1">
        <v>520</v>
      </c>
      <c r="E48" s="2" t="s">
        <v>5</v>
      </c>
      <c r="F48" s="22"/>
      <c r="G48" s="22">
        <f t="shared" si="1"/>
        <v>0</v>
      </c>
    </row>
    <row r="49" spans="1:7" ht="15.5" x14ac:dyDescent="0.35">
      <c r="A49" s="10"/>
      <c r="B49" s="9">
        <v>1021</v>
      </c>
      <c r="C49" s="1" t="s">
        <v>24</v>
      </c>
      <c r="D49" s="1">
        <v>2</v>
      </c>
      <c r="E49" s="2" t="s">
        <v>5</v>
      </c>
      <c r="F49" s="22"/>
      <c r="G49" s="22">
        <f t="shared" si="1"/>
        <v>0</v>
      </c>
    </row>
    <row r="50" spans="1:7" ht="15.5" x14ac:dyDescent="0.35">
      <c r="A50" s="10"/>
      <c r="B50" s="17">
        <v>1022</v>
      </c>
      <c r="C50" s="1" t="s">
        <v>25</v>
      </c>
      <c r="D50" s="1">
        <v>2</v>
      </c>
      <c r="E50" s="2" t="s">
        <v>5</v>
      </c>
      <c r="F50" s="22"/>
      <c r="G50" s="22">
        <f t="shared" si="1"/>
        <v>0</v>
      </c>
    </row>
    <row r="51" spans="1:7" ht="15.5" x14ac:dyDescent="0.35">
      <c r="A51" s="10"/>
      <c r="B51" s="9">
        <v>1023</v>
      </c>
      <c r="C51" s="6" t="s">
        <v>26</v>
      </c>
      <c r="D51" s="3">
        <v>3</v>
      </c>
      <c r="E51" s="2" t="s">
        <v>5</v>
      </c>
      <c r="F51" s="22"/>
      <c r="G51" s="22">
        <f t="shared" si="1"/>
        <v>0</v>
      </c>
    </row>
    <row r="52" spans="1:7" ht="15.5" x14ac:dyDescent="0.35">
      <c r="A52" s="10"/>
      <c r="B52" s="9">
        <v>1024</v>
      </c>
      <c r="C52" s="4" t="s">
        <v>27</v>
      </c>
      <c r="D52" s="3">
        <v>2</v>
      </c>
      <c r="E52" s="2" t="s">
        <v>5</v>
      </c>
      <c r="F52" s="22"/>
      <c r="G52" s="22">
        <f t="shared" si="1"/>
        <v>0</v>
      </c>
    </row>
    <row r="53" spans="1:7" ht="16" thickBot="1" x14ac:dyDescent="0.4">
      <c r="A53" s="11"/>
      <c r="B53" s="17">
        <v>1025</v>
      </c>
      <c r="C53" s="4" t="s">
        <v>28</v>
      </c>
      <c r="D53" s="3">
        <v>50</v>
      </c>
      <c r="E53" s="2" t="s">
        <v>5</v>
      </c>
      <c r="F53" s="22"/>
      <c r="G53" s="22">
        <f t="shared" si="1"/>
        <v>0</v>
      </c>
    </row>
    <row r="54" spans="1:7" ht="36.5" customHeight="1" thickBot="1" x14ac:dyDescent="0.4">
      <c r="A54" s="19" t="s">
        <v>36</v>
      </c>
      <c r="B54" s="20"/>
      <c r="C54" s="20"/>
      <c r="D54" s="20"/>
      <c r="E54" s="20"/>
      <c r="F54" s="20"/>
      <c r="G54" s="25">
        <f>SUM(G29:G53)</f>
        <v>0</v>
      </c>
    </row>
    <row r="55" spans="1:7" ht="15.5" x14ac:dyDescent="0.35">
      <c r="A55" s="10" t="s">
        <v>38</v>
      </c>
      <c r="B55" s="17">
        <v>2001</v>
      </c>
      <c r="C55" s="18" t="s">
        <v>4</v>
      </c>
      <c r="D55" s="18">
        <v>208</v>
      </c>
      <c r="E55" s="13" t="s">
        <v>5</v>
      </c>
      <c r="F55" s="24"/>
      <c r="G55" s="22">
        <f>D55*F55</f>
        <v>0</v>
      </c>
    </row>
    <row r="56" spans="1:7" ht="15.5" x14ac:dyDescent="0.35">
      <c r="A56" s="10" t="s">
        <v>39</v>
      </c>
      <c r="B56" s="9">
        <v>2002</v>
      </c>
      <c r="C56" s="1" t="s">
        <v>6</v>
      </c>
      <c r="D56" s="1">
        <v>26</v>
      </c>
      <c r="E56" s="2" t="s">
        <v>5</v>
      </c>
      <c r="F56" s="22"/>
      <c r="G56" s="22">
        <f t="shared" ref="G56:G79" si="2">D56*F56</f>
        <v>0</v>
      </c>
    </row>
    <row r="57" spans="1:7" ht="15.5" x14ac:dyDescent="0.35">
      <c r="A57" s="10"/>
      <c r="B57" s="9">
        <v>2003</v>
      </c>
      <c r="C57" s="1" t="s">
        <v>7</v>
      </c>
      <c r="D57" s="1">
        <v>25</v>
      </c>
      <c r="E57" s="2" t="s">
        <v>5</v>
      </c>
      <c r="F57" s="22"/>
      <c r="G57" s="22">
        <f t="shared" si="2"/>
        <v>0</v>
      </c>
    </row>
    <row r="58" spans="1:7" ht="15.5" x14ac:dyDescent="0.35">
      <c r="A58" s="10"/>
      <c r="B58" s="17">
        <v>2004</v>
      </c>
      <c r="C58" s="1" t="s">
        <v>8</v>
      </c>
      <c r="D58" s="1">
        <v>50</v>
      </c>
      <c r="E58" s="2" t="s">
        <v>5</v>
      </c>
      <c r="F58" s="22"/>
      <c r="G58" s="22">
        <f t="shared" si="2"/>
        <v>0</v>
      </c>
    </row>
    <row r="59" spans="1:7" ht="15.5" x14ac:dyDescent="0.35">
      <c r="A59" s="10"/>
      <c r="B59" s="9">
        <v>2005</v>
      </c>
      <c r="C59" s="1" t="s">
        <v>9</v>
      </c>
      <c r="D59" s="1">
        <v>50</v>
      </c>
      <c r="E59" s="2" t="s">
        <v>5</v>
      </c>
      <c r="F59" s="22"/>
      <c r="G59" s="22">
        <f t="shared" si="2"/>
        <v>0</v>
      </c>
    </row>
    <row r="60" spans="1:7" ht="15.5" x14ac:dyDescent="0.35">
      <c r="A60" s="10"/>
      <c r="B60" s="9">
        <v>2006</v>
      </c>
      <c r="C60" s="1" t="s">
        <v>10</v>
      </c>
      <c r="D60" s="1">
        <v>50</v>
      </c>
      <c r="E60" s="2" t="s">
        <v>5</v>
      </c>
      <c r="F60" s="22"/>
      <c r="G60" s="22">
        <f t="shared" si="2"/>
        <v>0</v>
      </c>
    </row>
    <row r="61" spans="1:7" ht="15.5" x14ac:dyDescent="0.35">
      <c r="A61" s="10"/>
      <c r="B61" s="17">
        <v>2007</v>
      </c>
      <c r="C61" s="1" t="s">
        <v>11</v>
      </c>
      <c r="D61" s="1">
        <v>60</v>
      </c>
      <c r="E61" s="2" t="s">
        <v>5</v>
      </c>
      <c r="F61" s="22"/>
      <c r="G61" s="22">
        <f t="shared" si="2"/>
        <v>0</v>
      </c>
    </row>
    <row r="62" spans="1:7" ht="15.5" x14ac:dyDescent="0.35">
      <c r="A62" s="10"/>
      <c r="B62" s="9">
        <v>2008</v>
      </c>
      <c r="C62" s="1" t="s">
        <v>12</v>
      </c>
      <c r="D62" s="1">
        <v>40</v>
      </c>
      <c r="E62" s="2" t="s">
        <v>5</v>
      </c>
      <c r="F62" s="22"/>
      <c r="G62" s="22">
        <f t="shared" si="2"/>
        <v>0</v>
      </c>
    </row>
    <row r="63" spans="1:7" ht="15.5" x14ac:dyDescent="0.35">
      <c r="A63" s="10"/>
      <c r="B63" s="9">
        <v>2009</v>
      </c>
      <c r="C63" s="1" t="s">
        <v>13</v>
      </c>
      <c r="D63" s="1">
        <v>140</v>
      </c>
      <c r="E63" s="2" t="s">
        <v>5</v>
      </c>
      <c r="F63" s="22"/>
      <c r="G63" s="22">
        <f t="shared" si="2"/>
        <v>0</v>
      </c>
    </row>
    <row r="64" spans="1:7" ht="15.5" x14ac:dyDescent="0.35">
      <c r="A64" s="10"/>
      <c r="B64" s="17">
        <v>2010</v>
      </c>
      <c r="C64" s="1" t="s">
        <v>14</v>
      </c>
      <c r="D64" s="1">
        <v>120</v>
      </c>
      <c r="E64" s="2" t="s">
        <v>5</v>
      </c>
      <c r="F64" s="22"/>
      <c r="G64" s="22">
        <f t="shared" si="2"/>
        <v>0</v>
      </c>
    </row>
    <row r="65" spans="1:7" ht="15.5" x14ac:dyDescent="0.35">
      <c r="A65" s="10"/>
      <c r="B65" s="9">
        <v>2011</v>
      </c>
      <c r="C65" s="1" t="s">
        <v>14</v>
      </c>
      <c r="D65" s="1">
        <v>90</v>
      </c>
      <c r="E65" s="2" t="s">
        <v>5</v>
      </c>
      <c r="F65" s="22"/>
      <c r="G65" s="22">
        <f t="shared" si="2"/>
        <v>0</v>
      </c>
    </row>
    <row r="66" spans="1:7" ht="15.5" x14ac:dyDescent="0.35">
      <c r="A66" s="10"/>
      <c r="B66" s="9">
        <v>2012</v>
      </c>
      <c r="C66" s="1" t="s">
        <v>15</v>
      </c>
      <c r="D66" s="3">
        <v>50</v>
      </c>
      <c r="E66" s="2" t="s">
        <v>5</v>
      </c>
      <c r="F66" s="22"/>
      <c r="G66" s="22">
        <f t="shared" si="2"/>
        <v>0</v>
      </c>
    </row>
    <row r="67" spans="1:7" ht="15.5" x14ac:dyDescent="0.35">
      <c r="A67" s="10"/>
      <c r="B67" s="17">
        <v>2013</v>
      </c>
      <c r="C67" s="1" t="s">
        <v>16</v>
      </c>
      <c r="D67" s="1">
        <v>80</v>
      </c>
      <c r="E67" s="2" t="s">
        <v>5</v>
      </c>
      <c r="F67" s="22"/>
      <c r="G67" s="22">
        <f t="shared" si="2"/>
        <v>0</v>
      </c>
    </row>
    <row r="68" spans="1:7" ht="15.5" x14ac:dyDescent="0.35">
      <c r="A68" s="10"/>
      <c r="B68" s="9">
        <v>2014</v>
      </c>
      <c r="C68" s="1" t="s">
        <v>17</v>
      </c>
      <c r="D68" s="1">
        <v>85</v>
      </c>
      <c r="E68" s="2" t="s">
        <v>5</v>
      </c>
      <c r="F68" s="22"/>
      <c r="G68" s="22">
        <f t="shared" si="2"/>
        <v>0</v>
      </c>
    </row>
    <row r="69" spans="1:7" ht="15.5" x14ac:dyDescent="0.35">
      <c r="A69" s="10"/>
      <c r="B69" s="9">
        <v>2015</v>
      </c>
      <c r="C69" s="1" t="s">
        <v>18</v>
      </c>
      <c r="D69" s="1">
        <v>50</v>
      </c>
      <c r="E69" s="2" t="s">
        <v>5</v>
      </c>
      <c r="F69" s="22"/>
      <c r="G69" s="22">
        <f t="shared" si="2"/>
        <v>0</v>
      </c>
    </row>
    <row r="70" spans="1:7" ht="15.5" x14ac:dyDescent="0.35">
      <c r="A70" s="10"/>
      <c r="B70" s="17">
        <v>2016</v>
      </c>
      <c r="C70" s="1" t="s">
        <v>19</v>
      </c>
      <c r="D70" s="1">
        <v>50</v>
      </c>
      <c r="E70" s="2" t="s">
        <v>5</v>
      </c>
      <c r="F70" s="22"/>
      <c r="G70" s="22">
        <f t="shared" si="2"/>
        <v>0</v>
      </c>
    </row>
    <row r="71" spans="1:7" ht="15.5" x14ac:dyDescent="0.35">
      <c r="A71" s="10"/>
      <c r="B71" s="9">
        <v>2017</v>
      </c>
      <c r="C71" s="1" t="s">
        <v>20</v>
      </c>
      <c r="D71" s="1">
        <v>1000</v>
      </c>
      <c r="E71" s="2" t="s">
        <v>5</v>
      </c>
      <c r="F71" s="22"/>
      <c r="G71" s="22">
        <f t="shared" si="2"/>
        <v>0</v>
      </c>
    </row>
    <row r="72" spans="1:7" ht="15.5" x14ac:dyDescent="0.35">
      <c r="A72" s="10"/>
      <c r="B72" s="9">
        <v>2018</v>
      </c>
      <c r="C72" s="1" t="s">
        <v>21</v>
      </c>
      <c r="D72" s="1">
        <v>60</v>
      </c>
      <c r="E72" s="2" t="s">
        <v>5</v>
      </c>
      <c r="F72" s="22"/>
      <c r="G72" s="22">
        <f t="shared" si="2"/>
        <v>0</v>
      </c>
    </row>
    <row r="73" spans="1:7" ht="15.5" x14ac:dyDescent="0.35">
      <c r="A73" s="10"/>
      <c r="B73" s="17">
        <v>2019</v>
      </c>
      <c r="C73" s="1" t="s">
        <v>22</v>
      </c>
      <c r="D73" s="1">
        <v>28</v>
      </c>
      <c r="E73" s="2" t="s">
        <v>5</v>
      </c>
      <c r="F73" s="22"/>
      <c r="G73" s="22">
        <f t="shared" si="2"/>
        <v>0</v>
      </c>
    </row>
    <row r="74" spans="1:7" ht="15.5" x14ac:dyDescent="0.35">
      <c r="A74" s="10"/>
      <c r="B74" s="9">
        <v>2020</v>
      </c>
      <c r="C74" s="1" t="s">
        <v>23</v>
      </c>
      <c r="D74" s="1">
        <v>520</v>
      </c>
      <c r="E74" s="2" t="s">
        <v>5</v>
      </c>
      <c r="F74" s="22"/>
      <c r="G74" s="22">
        <f t="shared" si="2"/>
        <v>0</v>
      </c>
    </row>
    <row r="75" spans="1:7" ht="15.5" x14ac:dyDescent="0.35">
      <c r="A75" s="10"/>
      <c r="B75" s="9">
        <v>2021</v>
      </c>
      <c r="C75" s="1" t="s">
        <v>24</v>
      </c>
      <c r="D75" s="1">
        <v>2</v>
      </c>
      <c r="E75" s="2" t="s">
        <v>5</v>
      </c>
      <c r="F75" s="22"/>
      <c r="G75" s="22">
        <f t="shared" si="2"/>
        <v>0</v>
      </c>
    </row>
    <row r="76" spans="1:7" ht="15.5" x14ac:dyDescent="0.35">
      <c r="A76" s="10"/>
      <c r="B76" s="17">
        <v>2022</v>
      </c>
      <c r="C76" s="1" t="s">
        <v>25</v>
      </c>
      <c r="D76" s="1">
        <v>2</v>
      </c>
      <c r="E76" s="2" t="s">
        <v>5</v>
      </c>
      <c r="F76" s="22"/>
      <c r="G76" s="22">
        <f t="shared" si="2"/>
        <v>0</v>
      </c>
    </row>
    <row r="77" spans="1:7" ht="15.5" x14ac:dyDescent="0.35">
      <c r="A77" s="10"/>
      <c r="B77" s="9">
        <v>2023</v>
      </c>
      <c r="C77" s="6" t="s">
        <v>26</v>
      </c>
      <c r="D77" s="3">
        <v>3</v>
      </c>
      <c r="E77" s="2" t="s">
        <v>5</v>
      </c>
      <c r="F77" s="22"/>
      <c r="G77" s="22">
        <f t="shared" si="2"/>
        <v>0</v>
      </c>
    </row>
    <row r="78" spans="1:7" ht="15.5" x14ac:dyDescent="0.35">
      <c r="A78" s="10"/>
      <c r="B78" s="9">
        <v>2024</v>
      </c>
      <c r="C78" s="4" t="s">
        <v>27</v>
      </c>
      <c r="D78" s="3">
        <v>2</v>
      </c>
      <c r="E78" s="2" t="s">
        <v>5</v>
      </c>
      <c r="F78" s="22"/>
      <c r="G78" s="22">
        <f t="shared" si="2"/>
        <v>0</v>
      </c>
    </row>
    <row r="79" spans="1:7" ht="16" thickBot="1" x14ac:dyDescent="0.4">
      <c r="A79" s="11"/>
      <c r="B79" s="17">
        <v>2025</v>
      </c>
      <c r="C79" s="4" t="s">
        <v>28</v>
      </c>
      <c r="D79" s="3">
        <v>50</v>
      </c>
      <c r="E79" s="2" t="s">
        <v>5</v>
      </c>
      <c r="F79" s="22"/>
      <c r="G79" s="22">
        <f t="shared" si="2"/>
        <v>0</v>
      </c>
    </row>
    <row r="80" spans="1:7" ht="35.5" customHeight="1" thickBot="1" x14ac:dyDescent="0.4">
      <c r="A80" s="19" t="s">
        <v>40</v>
      </c>
      <c r="B80" s="20"/>
      <c r="C80" s="20"/>
      <c r="D80" s="20"/>
      <c r="E80" s="20"/>
      <c r="F80" s="20"/>
      <c r="G80" s="25">
        <f>SUM(G55:G79)</f>
        <v>0</v>
      </c>
    </row>
    <row r="81" spans="1:7" ht="15.5" x14ac:dyDescent="0.35">
      <c r="A81" s="10" t="s">
        <v>33</v>
      </c>
      <c r="B81" s="17">
        <v>3001</v>
      </c>
      <c r="C81" s="18" t="s">
        <v>4</v>
      </c>
      <c r="D81" s="18">
        <v>208</v>
      </c>
      <c r="E81" s="13" t="s">
        <v>5</v>
      </c>
      <c r="F81" s="24"/>
      <c r="G81" s="22">
        <f>D81*F81</f>
        <v>0</v>
      </c>
    </row>
    <row r="82" spans="1:7" ht="15.5" x14ac:dyDescent="0.35">
      <c r="A82" s="10" t="s">
        <v>41</v>
      </c>
      <c r="B82" s="9">
        <v>3002</v>
      </c>
      <c r="C82" s="1" t="s">
        <v>6</v>
      </c>
      <c r="D82" s="1">
        <v>26</v>
      </c>
      <c r="E82" s="2" t="s">
        <v>5</v>
      </c>
      <c r="F82" s="22"/>
      <c r="G82" s="22">
        <f t="shared" ref="G82:G105" si="3">D82*F82</f>
        <v>0</v>
      </c>
    </row>
    <row r="83" spans="1:7" ht="15.5" x14ac:dyDescent="0.35">
      <c r="A83" s="10"/>
      <c r="B83" s="9">
        <v>3003</v>
      </c>
      <c r="C83" s="1" t="s">
        <v>7</v>
      </c>
      <c r="D83" s="1">
        <v>25</v>
      </c>
      <c r="E83" s="2" t="s">
        <v>5</v>
      </c>
      <c r="F83" s="22"/>
      <c r="G83" s="22">
        <f t="shared" si="3"/>
        <v>0</v>
      </c>
    </row>
    <row r="84" spans="1:7" ht="15.5" x14ac:dyDescent="0.35">
      <c r="A84" s="10"/>
      <c r="B84" s="17">
        <v>3004</v>
      </c>
      <c r="C84" s="1" t="s">
        <v>8</v>
      </c>
      <c r="D84" s="1">
        <v>50</v>
      </c>
      <c r="E84" s="2" t="s">
        <v>5</v>
      </c>
      <c r="F84" s="22"/>
      <c r="G84" s="22">
        <f t="shared" si="3"/>
        <v>0</v>
      </c>
    </row>
    <row r="85" spans="1:7" ht="15.5" x14ac:dyDescent="0.35">
      <c r="A85" s="10"/>
      <c r="B85" s="9">
        <v>3005</v>
      </c>
      <c r="C85" s="1" t="s">
        <v>9</v>
      </c>
      <c r="D85" s="1">
        <v>50</v>
      </c>
      <c r="E85" s="2" t="s">
        <v>5</v>
      </c>
      <c r="F85" s="22"/>
      <c r="G85" s="22">
        <f t="shared" si="3"/>
        <v>0</v>
      </c>
    </row>
    <row r="86" spans="1:7" ht="15.5" x14ac:dyDescent="0.35">
      <c r="A86" s="10"/>
      <c r="B86" s="9">
        <v>3006</v>
      </c>
      <c r="C86" s="1" t="s">
        <v>10</v>
      </c>
      <c r="D86" s="1">
        <v>50</v>
      </c>
      <c r="E86" s="2" t="s">
        <v>5</v>
      </c>
      <c r="F86" s="22"/>
      <c r="G86" s="22">
        <f t="shared" si="3"/>
        <v>0</v>
      </c>
    </row>
    <row r="87" spans="1:7" ht="15.5" x14ac:dyDescent="0.35">
      <c r="A87" s="10"/>
      <c r="B87" s="17">
        <v>3007</v>
      </c>
      <c r="C87" s="1" t="s">
        <v>11</v>
      </c>
      <c r="D87" s="1">
        <v>60</v>
      </c>
      <c r="E87" s="2" t="s">
        <v>5</v>
      </c>
      <c r="F87" s="22"/>
      <c r="G87" s="22">
        <f t="shared" si="3"/>
        <v>0</v>
      </c>
    </row>
    <row r="88" spans="1:7" ht="15.5" x14ac:dyDescent="0.35">
      <c r="A88" s="10"/>
      <c r="B88" s="9">
        <v>3008</v>
      </c>
      <c r="C88" s="1" t="s">
        <v>12</v>
      </c>
      <c r="D88" s="1">
        <v>40</v>
      </c>
      <c r="E88" s="2" t="s">
        <v>5</v>
      </c>
      <c r="F88" s="22"/>
      <c r="G88" s="22">
        <f t="shared" si="3"/>
        <v>0</v>
      </c>
    </row>
    <row r="89" spans="1:7" ht="15.5" x14ac:dyDescent="0.35">
      <c r="A89" s="10"/>
      <c r="B89" s="9">
        <v>3009</v>
      </c>
      <c r="C89" s="1" t="s">
        <v>13</v>
      </c>
      <c r="D89" s="1">
        <v>140</v>
      </c>
      <c r="E89" s="2" t="s">
        <v>5</v>
      </c>
      <c r="F89" s="22"/>
      <c r="G89" s="22">
        <f t="shared" si="3"/>
        <v>0</v>
      </c>
    </row>
    <row r="90" spans="1:7" ht="15.5" x14ac:dyDescent="0.35">
      <c r="A90" s="10"/>
      <c r="B90" s="17">
        <v>3010</v>
      </c>
      <c r="C90" s="1" t="s">
        <v>14</v>
      </c>
      <c r="D90" s="1">
        <v>120</v>
      </c>
      <c r="E90" s="2" t="s">
        <v>5</v>
      </c>
      <c r="F90" s="22"/>
      <c r="G90" s="22">
        <f t="shared" si="3"/>
        <v>0</v>
      </c>
    </row>
    <row r="91" spans="1:7" ht="15.5" x14ac:dyDescent="0.35">
      <c r="A91" s="10"/>
      <c r="B91" s="9">
        <v>3011</v>
      </c>
      <c r="C91" s="1" t="s">
        <v>14</v>
      </c>
      <c r="D91" s="1">
        <v>90</v>
      </c>
      <c r="E91" s="2" t="s">
        <v>5</v>
      </c>
      <c r="F91" s="22"/>
      <c r="G91" s="22">
        <f t="shared" si="3"/>
        <v>0</v>
      </c>
    </row>
    <row r="92" spans="1:7" ht="15.5" x14ac:dyDescent="0.35">
      <c r="A92" s="10"/>
      <c r="B92" s="9">
        <v>3012</v>
      </c>
      <c r="C92" s="1" t="s">
        <v>15</v>
      </c>
      <c r="D92" s="3">
        <v>50</v>
      </c>
      <c r="E92" s="2" t="s">
        <v>5</v>
      </c>
      <c r="F92" s="22"/>
      <c r="G92" s="22">
        <f t="shared" si="3"/>
        <v>0</v>
      </c>
    </row>
    <row r="93" spans="1:7" ht="15.5" x14ac:dyDescent="0.35">
      <c r="A93" s="10"/>
      <c r="B93" s="17">
        <v>3013</v>
      </c>
      <c r="C93" s="1" t="s">
        <v>16</v>
      </c>
      <c r="D93" s="1">
        <v>80</v>
      </c>
      <c r="E93" s="2" t="s">
        <v>5</v>
      </c>
      <c r="F93" s="22"/>
      <c r="G93" s="22">
        <f t="shared" si="3"/>
        <v>0</v>
      </c>
    </row>
    <row r="94" spans="1:7" ht="15.5" x14ac:dyDescent="0.35">
      <c r="A94" s="10"/>
      <c r="B94" s="9">
        <v>3014</v>
      </c>
      <c r="C94" s="1" t="s">
        <v>17</v>
      </c>
      <c r="D94" s="1">
        <v>85</v>
      </c>
      <c r="E94" s="2" t="s">
        <v>5</v>
      </c>
      <c r="F94" s="22"/>
      <c r="G94" s="22">
        <f t="shared" si="3"/>
        <v>0</v>
      </c>
    </row>
    <row r="95" spans="1:7" ht="15.5" x14ac:dyDescent="0.35">
      <c r="A95" s="10"/>
      <c r="B95" s="9">
        <v>3015</v>
      </c>
      <c r="C95" s="1" t="s">
        <v>18</v>
      </c>
      <c r="D95" s="1">
        <v>50</v>
      </c>
      <c r="E95" s="2" t="s">
        <v>5</v>
      </c>
      <c r="F95" s="22"/>
      <c r="G95" s="22">
        <f t="shared" si="3"/>
        <v>0</v>
      </c>
    </row>
    <row r="96" spans="1:7" ht="15.5" x14ac:dyDescent="0.35">
      <c r="A96" s="10"/>
      <c r="B96" s="17">
        <v>3016</v>
      </c>
      <c r="C96" s="1" t="s">
        <v>19</v>
      </c>
      <c r="D96" s="1">
        <v>50</v>
      </c>
      <c r="E96" s="2" t="s">
        <v>5</v>
      </c>
      <c r="F96" s="22"/>
      <c r="G96" s="22">
        <f t="shared" si="3"/>
        <v>0</v>
      </c>
    </row>
    <row r="97" spans="1:7" ht="15.5" x14ac:dyDescent="0.35">
      <c r="A97" s="10"/>
      <c r="B97" s="9">
        <v>3017</v>
      </c>
      <c r="C97" s="1" t="s">
        <v>20</v>
      </c>
      <c r="D97" s="1">
        <v>1000</v>
      </c>
      <c r="E97" s="2" t="s">
        <v>5</v>
      </c>
      <c r="F97" s="22"/>
      <c r="G97" s="22">
        <f t="shared" si="3"/>
        <v>0</v>
      </c>
    </row>
    <row r="98" spans="1:7" ht="15.5" x14ac:dyDescent="0.35">
      <c r="A98" s="10"/>
      <c r="B98" s="9">
        <v>3018</v>
      </c>
      <c r="C98" s="1" t="s">
        <v>21</v>
      </c>
      <c r="D98" s="1">
        <v>60</v>
      </c>
      <c r="E98" s="2" t="s">
        <v>5</v>
      </c>
      <c r="F98" s="22"/>
      <c r="G98" s="22">
        <f t="shared" si="3"/>
        <v>0</v>
      </c>
    </row>
    <row r="99" spans="1:7" ht="15.5" x14ac:dyDescent="0.35">
      <c r="A99" s="10"/>
      <c r="B99" s="17">
        <v>3019</v>
      </c>
      <c r="C99" s="1" t="s">
        <v>22</v>
      </c>
      <c r="D99" s="1">
        <v>28</v>
      </c>
      <c r="E99" s="2" t="s">
        <v>5</v>
      </c>
      <c r="F99" s="22"/>
      <c r="G99" s="22">
        <f t="shared" si="3"/>
        <v>0</v>
      </c>
    </row>
    <row r="100" spans="1:7" ht="15.5" x14ac:dyDescent="0.35">
      <c r="A100" s="10"/>
      <c r="B100" s="9">
        <v>3020</v>
      </c>
      <c r="C100" s="1" t="s">
        <v>23</v>
      </c>
      <c r="D100" s="1">
        <v>520</v>
      </c>
      <c r="E100" s="2" t="s">
        <v>5</v>
      </c>
      <c r="F100" s="22"/>
      <c r="G100" s="22">
        <f t="shared" si="3"/>
        <v>0</v>
      </c>
    </row>
    <row r="101" spans="1:7" ht="15.5" x14ac:dyDescent="0.35">
      <c r="A101" s="10"/>
      <c r="B101" s="9">
        <v>3021</v>
      </c>
      <c r="C101" s="1" t="s">
        <v>24</v>
      </c>
      <c r="D101" s="1">
        <v>2</v>
      </c>
      <c r="E101" s="2" t="s">
        <v>5</v>
      </c>
      <c r="F101" s="22"/>
      <c r="G101" s="22">
        <f t="shared" si="3"/>
        <v>0</v>
      </c>
    </row>
    <row r="102" spans="1:7" ht="15.5" x14ac:dyDescent="0.35">
      <c r="A102" s="10"/>
      <c r="B102" s="17">
        <v>3022</v>
      </c>
      <c r="C102" s="1" t="s">
        <v>25</v>
      </c>
      <c r="D102" s="1">
        <v>2</v>
      </c>
      <c r="E102" s="2" t="s">
        <v>5</v>
      </c>
      <c r="F102" s="22"/>
      <c r="G102" s="22">
        <f t="shared" si="3"/>
        <v>0</v>
      </c>
    </row>
    <row r="103" spans="1:7" ht="15.5" x14ac:dyDescent="0.35">
      <c r="A103" s="10"/>
      <c r="B103" s="9">
        <v>3023</v>
      </c>
      <c r="C103" s="6" t="s">
        <v>26</v>
      </c>
      <c r="D103" s="3">
        <v>3</v>
      </c>
      <c r="E103" s="2" t="s">
        <v>5</v>
      </c>
      <c r="F103" s="22"/>
      <c r="G103" s="22">
        <f t="shared" si="3"/>
        <v>0</v>
      </c>
    </row>
    <row r="104" spans="1:7" ht="15.5" x14ac:dyDescent="0.35">
      <c r="A104" s="10"/>
      <c r="B104" s="9">
        <v>3024</v>
      </c>
      <c r="C104" s="4" t="s">
        <v>27</v>
      </c>
      <c r="D104" s="3">
        <v>2</v>
      </c>
      <c r="E104" s="2" t="s">
        <v>5</v>
      </c>
      <c r="F104" s="22"/>
      <c r="G104" s="22">
        <f t="shared" si="3"/>
        <v>0</v>
      </c>
    </row>
    <row r="105" spans="1:7" ht="16" thickBot="1" x14ac:dyDescent="0.4">
      <c r="A105" s="11"/>
      <c r="B105" s="17">
        <v>3025</v>
      </c>
      <c r="C105" s="4" t="s">
        <v>28</v>
      </c>
      <c r="D105" s="3">
        <v>50</v>
      </c>
      <c r="E105" s="2" t="s">
        <v>5</v>
      </c>
      <c r="F105" s="22"/>
      <c r="G105" s="22">
        <f t="shared" si="3"/>
        <v>0</v>
      </c>
    </row>
    <row r="106" spans="1:7" ht="41" customHeight="1" thickBot="1" x14ac:dyDescent="0.4">
      <c r="A106" s="19" t="s">
        <v>42</v>
      </c>
      <c r="B106" s="20"/>
      <c r="C106" s="20"/>
      <c r="D106" s="20"/>
      <c r="E106" s="20"/>
      <c r="F106" s="20"/>
      <c r="G106" s="25">
        <f>SUM(G81:G105)</f>
        <v>0</v>
      </c>
    </row>
    <row r="107" spans="1:7" ht="15.5" x14ac:dyDescent="0.35">
      <c r="A107" s="10" t="s">
        <v>34</v>
      </c>
      <c r="B107" s="17">
        <v>4001</v>
      </c>
      <c r="C107" s="18" t="s">
        <v>4</v>
      </c>
      <c r="D107" s="18">
        <v>208</v>
      </c>
      <c r="E107" s="13" t="s">
        <v>5</v>
      </c>
      <c r="F107" s="24"/>
      <c r="G107" s="22">
        <f>D107*F107</f>
        <v>0</v>
      </c>
    </row>
    <row r="108" spans="1:7" ht="15.5" x14ac:dyDescent="0.35">
      <c r="A108" s="10" t="s">
        <v>44</v>
      </c>
      <c r="B108" s="9">
        <v>4002</v>
      </c>
      <c r="C108" s="1" t="s">
        <v>6</v>
      </c>
      <c r="D108" s="1">
        <v>26</v>
      </c>
      <c r="E108" s="2" t="s">
        <v>5</v>
      </c>
      <c r="F108" s="22"/>
      <c r="G108" s="22">
        <f t="shared" ref="G108:G131" si="4">D108*F108</f>
        <v>0</v>
      </c>
    </row>
    <row r="109" spans="1:7" ht="15.5" x14ac:dyDescent="0.35">
      <c r="A109" s="10"/>
      <c r="B109" s="9">
        <v>4003</v>
      </c>
      <c r="C109" s="1" t="s">
        <v>7</v>
      </c>
      <c r="D109" s="1">
        <v>25</v>
      </c>
      <c r="E109" s="2" t="s">
        <v>5</v>
      </c>
      <c r="F109" s="22"/>
      <c r="G109" s="22">
        <f t="shared" si="4"/>
        <v>0</v>
      </c>
    </row>
    <row r="110" spans="1:7" ht="15.5" x14ac:dyDescent="0.35">
      <c r="A110" s="10"/>
      <c r="B110" s="17">
        <v>4004</v>
      </c>
      <c r="C110" s="1" t="s">
        <v>8</v>
      </c>
      <c r="D110" s="1">
        <v>50</v>
      </c>
      <c r="E110" s="2" t="s">
        <v>5</v>
      </c>
      <c r="F110" s="22"/>
      <c r="G110" s="22">
        <f t="shared" si="4"/>
        <v>0</v>
      </c>
    </row>
    <row r="111" spans="1:7" ht="15.5" x14ac:dyDescent="0.35">
      <c r="A111" s="10"/>
      <c r="B111" s="9">
        <v>4005</v>
      </c>
      <c r="C111" s="1" t="s">
        <v>9</v>
      </c>
      <c r="D111" s="1">
        <v>50</v>
      </c>
      <c r="E111" s="2" t="s">
        <v>5</v>
      </c>
      <c r="F111" s="22"/>
      <c r="G111" s="22">
        <f t="shared" si="4"/>
        <v>0</v>
      </c>
    </row>
    <row r="112" spans="1:7" ht="15.5" x14ac:dyDescent="0.35">
      <c r="A112" s="10"/>
      <c r="B112" s="9">
        <v>4006</v>
      </c>
      <c r="C112" s="1" t="s">
        <v>10</v>
      </c>
      <c r="D112" s="1">
        <v>50</v>
      </c>
      <c r="E112" s="2" t="s">
        <v>5</v>
      </c>
      <c r="F112" s="22"/>
      <c r="G112" s="22">
        <f t="shared" si="4"/>
        <v>0</v>
      </c>
    </row>
    <row r="113" spans="1:7" ht="15.5" x14ac:dyDescent="0.35">
      <c r="A113" s="10"/>
      <c r="B113" s="17">
        <v>4007</v>
      </c>
      <c r="C113" s="1" t="s">
        <v>11</v>
      </c>
      <c r="D113" s="1">
        <v>60</v>
      </c>
      <c r="E113" s="2" t="s">
        <v>5</v>
      </c>
      <c r="F113" s="22"/>
      <c r="G113" s="22">
        <f t="shared" si="4"/>
        <v>0</v>
      </c>
    </row>
    <row r="114" spans="1:7" ht="15.5" x14ac:dyDescent="0.35">
      <c r="A114" s="10"/>
      <c r="B114" s="9">
        <v>4008</v>
      </c>
      <c r="C114" s="1" t="s">
        <v>12</v>
      </c>
      <c r="D114" s="1">
        <v>40</v>
      </c>
      <c r="E114" s="2" t="s">
        <v>5</v>
      </c>
      <c r="F114" s="22"/>
      <c r="G114" s="22">
        <f t="shared" si="4"/>
        <v>0</v>
      </c>
    </row>
    <row r="115" spans="1:7" ht="15.5" x14ac:dyDescent="0.35">
      <c r="A115" s="10"/>
      <c r="B115" s="9">
        <v>4009</v>
      </c>
      <c r="C115" s="1" t="s">
        <v>13</v>
      </c>
      <c r="D115" s="1">
        <v>140</v>
      </c>
      <c r="E115" s="2" t="s">
        <v>5</v>
      </c>
      <c r="F115" s="22"/>
      <c r="G115" s="22">
        <f t="shared" si="4"/>
        <v>0</v>
      </c>
    </row>
    <row r="116" spans="1:7" ht="15.5" x14ac:dyDescent="0.35">
      <c r="A116" s="10"/>
      <c r="B116" s="17">
        <v>4010</v>
      </c>
      <c r="C116" s="1" t="s">
        <v>14</v>
      </c>
      <c r="D116" s="1">
        <v>120</v>
      </c>
      <c r="E116" s="2" t="s">
        <v>5</v>
      </c>
      <c r="F116" s="22"/>
      <c r="G116" s="22">
        <f t="shared" si="4"/>
        <v>0</v>
      </c>
    </row>
    <row r="117" spans="1:7" ht="15.5" x14ac:dyDescent="0.35">
      <c r="A117" s="10"/>
      <c r="B117" s="9">
        <v>4011</v>
      </c>
      <c r="C117" s="1" t="s">
        <v>14</v>
      </c>
      <c r="D117" s="1">
        <v>90</v>
      </c>
      <c r="E117" s="2" t="s">
        <v>5</v>
      </c>
      <c r="F117" s="22"/>
      <c r="G117" s="22">
        <f t="shared" si="4"/>
        <v>0</v>
      </c>
    </row>
    <row r="118" spans="1:7" ht="15.5" x14ac:dyDescent="0.35">
      <c r="A118" s="10"/>
      <c r="B118" s="9">
        <v>4012</v>
      </c>
      <c r="C118" s="1" t="s">
        <v>15</v>
      </c>
      <c r="D118" s="3">
        <v>50</v>
      </c>
      <c r="E118" s="2" t="s">
        <v>5</v>
      </c>
      <c r="F118" s="22"/>
      <c r="G118" s="22">
        <f t="shared" si="4"/>
        <v>0</v>
      </c>
    </row>
    <row r="119" spans="1:7" ht="15.5" x14ac:dyDescent="0.35">
      <c r="A119" s="10"/>
      <c r="B119" s="17">
        <v>4013</v>
      </c>
      <c r="C119" s="1" t="s">
        <v>16</v>
      </c>
      <c r="D119" s="1">
        <v>80</v>
      </c>
      <c r="E119" s="2" t="s">
        <v>5</v>
      </c>
      <c r="F119" s="22"/>
      <c r="G119" s="22">
        <f t="shared" si="4"/>
        <v>0</v>
      </c>
    </row>
    <row r="120" spans="1:7" ht="15.5" x14ac:dyDescent="0.35">
      <c r="A120" s="10"/>
      <c r="B120" s="9">
        <v>4014</v>
      </c>
      <c r="C120" s="1" t="s">
        <v>17</v>
      </c>
      <c r="D120" s="1">
        <v>85</v>
      </c>
      <c r="E120" s="2" t="s">
        <v>5</v>
      </c>
      <c r="F120" s="22"/>
      <c r="G120" s="22">
        <f t="shared" si="4"/>
        <v>0</v>
      </c>
    </row>
    <row r="121" spans="1:7" ht="15.5" x14ac:dyDescent="0.35">
      <c r="A121" s="10"/>
      <c r="B121" s="9">
        <v>4015</v>
      </c>
      <c r="C121" s="1" t="s">
        <v>18</v>
      </c>
      <c r="D121" s="1">
        <v>50</v>
      </c>
      <c r="E121" s="2" t="s">
        <v>5</v>
      </c>
      <c r="F121" s="22"/>
      <c r="G121" s="22">
        <f t="shared" si="4"/>
        <v>0</v>
      </c>
    </row>
    <row r="122" spans="1:7" ht="15.5" x14ac:dyDescent="0.35">
      <c r="A122" s="10"/>
      <c r="B122" s="17">
        <v>4016</v>
      </c>
      <c r="C122" s="1" t="s">
        <v>19</v>
      </c>
      <c r="D122" s="1">
        <v>50</v>
      </c>
      <c r="E122" s="2" t="s">
        <v>5</v>
      </c>
      <c r="F122" s="22"/>
      <c r="G122" s="22">
        <f t="shared" si="4"/>
        <v>0</v>
      </c>
    </row>
    <row r="123" spans="1:7" ht="15.5" x14ac:dyDescent="0.35">
      <c r="A123" s="10"/>
      <c r="B123" s="9">
        <v>4017</v>
      </c>
      <c r="C123" s="1" t="s">
        <v>20</v>
      </c>
      <c r="D123" s="1">
        <v>1000</v>
      </c>
      <c r="E123" s="2" t="s">
        <v>5</v>
      </c>
      <c r="F123" s="22"/>
      <c r="G123" s="22">
        <f t="shared" si="4"/>
        <v>0</v>
      </c>
    </row>
    <row r="124" spans="1:7" ht="15.5" x14ac:dyDescent="0.35">
      <c r="A124" s="10"/>
      <c r="B124" s="9">
        <v>4018</v>
      </c>
      <c r="C124" s="1" t="s">
        <v>21</v>
      </c>
      <c r="D124" s="1">
        <v>60</v>
      </c>
      <c r="E124" s="2" t="s">
        <v>5</v>
      </c>
      <c r="F124" s="22"/>
      <c r="G124" s="22">
        <f t="shared" si="4"/>
        <v>0</v>
      </c>
    </row>
    <row r="125" spans="1:7" ht="15.5" x14ac:dyDescent="0.35">
      <c r="A125" s="10"/>
      <c r="B125" s="17">
        <v>4019</v>
      </c>
      <c r="C125" s="1" t="s">
        <v>22</v>
      </c>
      <c r="D125" s="1">
        <v>28</v>
      </c>
      <c r="E125" s="2" t="s">
        <v>5</v>
      </c>
      <c r="F125" s="22"/>
      <c r="G125" s="22">
        <f t="shared" si="4"/>
        <v>0</v>
      </c>
    </row>
    <row r="126" spans="1:7" ht="15.5" x14ac:dyDescent="0.35">
      <c r="A126" s="10"/>
      <c r="B126" s="9">
        <v>4020</v>
      </c>
      <c r="C126" s="1" t="s">
        <v>23</v>
      </c>
      <c r="D126" s="1">
        <v>520</v>
      </c>
      <c r="E126" s="2" t="s">
        <v>5</v>
      </c>
      <c r="F126" s="22"/>
      <c r="G126" s="22">
        <f t="shared" si="4"/>
        <v>0</v>
      </c>
    </row>
    <row r="127" spans="1:7" ht="15.5" x14ac:dyDescent="0.35">
      <c r="A127" s="10"/>
      <c r="B127" s="9">
        <v>4021</v>
      </c>
      <c r="C127" s="1" t="s">
        <v>24</v>
      </c>
      <c r="D127" s="1">
        <v>2</v>
      </c>
      <c r="E127" s="2" t="s">
        <v>5</v>
      </c>
      <c r="F127" s="22"/>
      <c r="G127" s="22">
        <f t="shared" si="4"/>
        <v>0</v>
      </c>
    </row>
    <row r="128" spans="1:7" ht="15.5" x14ac:dyDescent="0.35">
      <c r="A128" s="10"/>
      <c r="B128" s="17">
        <v>4022</v>
      </c>
      <c r="C128" s="1" t="s">
        <v>25</v>
      </c>
      <c r="D128" s="1">
        <v>2</v>
      </c>
      <c r="E128" s="2" t="s">
        <v>5</v>
      </c>
      <c r="F128" s="22"/>
      <c r="G128" s="22">
        <f t="shared" si="4"/>
        <v>0</v>
      </c>
    </row>
    <row r="129" spans="1:7" ht="15.5" x14ac:dyDescent="0.35">
      <c r="A129" s="10"/>
      <c r="B129" s="9">
        <v>4023</v>
      </c>
      <c r="C129" s="6" t="s">
        <v>26</v>
      </c>
      <c r="D129" s="3">
        <v>3</v>
      </c>
      <c r="E129" s="2" t="s">
        <v>5</v>
      </c>
      <c r="F129" s="22"/>
      <c r="G129" s="22">
        <f t="shared" si="4"/>
        <v>0</v>
      </c>
    </row>
    <row r="130" spans="1:7" ht="15.5" x14ac:dyDescent="0.35">
      <c r="A130" s="10"/>
      <c r="B130" s="9">
        <v>4024</v>
      </c>
      <c r="C130" s="4" t="s">
        <v>27</v>
      </c>
      <c r="D130" s="3">
        <v>2</v>
      </c>
      <c r="E130" s="2" t="s">
        <v>5</v>
      </c>
      <c r="F130" s="22"/>
      <c r="G130" s="22">
        <f t="shared" si="4"/>
        <v>0</v>
      </c>
    </row>
    <row r="131" spans="1:7" ht="16" thickBot="1" x14ac:dyDescent="0.4">
      <c r="A131" s="11"/>
      <c r="B131" s="17">
        <v>4025</v>
      </c>
      <c r="C131" s="4" t="s">
        <v>28</v>
      </c>
      <c r="D131" s="3">
        <v>50</v>
      </c>
      <c r="E131" s="2" t="s">
        <v>5</v>
      </c>
      <c r="F131" s="22"/>
      <c r="G131" s="22">
        <f t="shared" si="4"/>
        <v>0</v>
      </c>
    </row>
    <row r="132" spans="1:7" ht="36.5" customHeight="1" thickBot="1" x14ac:dyDescent="0.4">
      <c r="A132" s="19" t="s">
        <v>45</v>
      </c>
      <c r="B132" s="20"/>
      <c r="C132" s="20"/>
      <c r="D132" s="20"/>
      <c r="E132" s="20"/>
      <c r="F132" s="20"/>
      <c r="G132" s="25">
        <f>SUM(G107:G131)</f>
        <v>0</v>
      </c>
    </row>
    <row r="133" spans="1:7" ht="15" thickBot="1" x14ac:dyDescent="0.4"/>
    <row r="134" spans="1:7" ht="37" customHeight="1" thickBot="1" x14ac:dyDescent="0.4">
      <c r="F134" s="21" t="s">
        <v>43</v>
      </c>
      <c r="G134" s="25">
        <f>SUM(G28+G54+G80+G106+G132)</f>
        <v>0</v>
      </c>
    </row>
  </sheetData>
  <mergeCells count="5">
    <mergeCell ref="A54:F54"/>
    <mergeCell ref="A80:F80"/>
    <mergeCell ref="A106:F106"/>
    <mergeCell ref="A132:F132"/>
    <mergeCell ref="A28:F2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Dept.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Barron</dc:creator>
  <cp:lastModifiedBy>Kramer, Danielle K.</cp:lastModifiedBy>
  <dcterms:created xsi:type="dcterms:W3CDTF">2026-05-05T17:53:06Z</dcterms:created>
  <dcterms:modified xsi:type="dcterms:W3CDTF">2026-05-07T19:08:01Z</dcterms:modified>
</cp:coreProperties>
</file>