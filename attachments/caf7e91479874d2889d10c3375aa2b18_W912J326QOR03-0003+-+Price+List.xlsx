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usaf-my.dps.mil/personal/edwin_widgeon_us_af_mil/Documents/Documents/2 Cons/FY26/Army Fuel/amendment 3/for rfq/"/>
    </mc:Choice>
  </mc:AlternateContent>
  <xr:revisionPtr revIDLastSave="6" documentId="8_{652ADCD5-28C6-414C-A351-1B18BC6BD068}" xr6:coauthVersionLast="47" xr6:coauthVersionMax="47" xr10:uidLastSave="{A27ABF1F-DB59-41DD-9AB2-E0C1AB6F25CA}"/>
  <bookViews>
    <workbookView xWindow="85155" yWindow="-13710" windowWidth="23280" windowHeight="15945" xr2:uid="{00000000-000D-0000-FFFF-FFFF00000000}"/>
  </bookViews>
  <sheets>
    <sheet name="Pricing"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 i="1" l="1"/>
  <c r="E9" i="1" s="1"/>
  <c r="F9" i="1" s="1"/>
  <c r="C12" i="1"/>
  <c r="E8" i="1" l="1"/>
  <c r="F8" i="1" s="1"/>
  <c r="E11" i="1"/>
  <c r="F11" i="1" s="1"/>
  <c r="E10" i="1"/>
  <c r="F10" i="1" s="1"/>
  <c r="F12" i="1" l="1"/>
</calcChain>
</file>

<file path=xl/sharedStrings.xml><?xml version="1.0" encoding="utf-8"?>
<sst xmlns="http://schemas.openxmlformats.org/spreadsheetml/2006/main" count="39" uniqueCount="36">
  <si>
    <t>CLIN</t>
  </si>
  <si>
    <t>0001</t>
  </si>
  <si>
    <t>0002</t>
  </si>
  <si>
    <t>0003</t>
  </si>
  <si>
    <t>0004</t>
  </si>
  <si>
    <t>Description</t>
  </si>
  <si>
    <t>Qty</t>
  </si>
  <si>
    <t>UoM</t>
  </si>
  <si>
    <t>Unit Price</t>
  </si>
  <si>
    <t>GAL</t>
  </si>
  <si>
    <t>Amount</t>
  </si>
  <si>
    <t>600 Wyoming Blvd NE, Albuquerque, NM 87123</t>
  </si>
  <si>
    <t>1 W Earl Cummings Loop Roswell NM 88203</t>
  </si>
  <si>
    <t>1115th Diesel Fuel</t>
  </si>
  <si>
    <t>FMS1/ 515th CSSB Diesel Fuel</t>
  </si>
  <si>
    <t>4001 Northwest Loop NE, Rio Rancho, NM 87144</t>
  </si>
  <si>
    <t>920th Diesel Fuel</t>
  </si>
  <si>
    <t>1 W Earl Cummings Loop Roswell, NM, 88203</t>
  </si>
  <si>
    <t>Delivery Location</t>
  </si>
  <si>
    <t>Total</t>
  </si>
  <si>
    <t>Company Name</t>
  </si>
  <si>
    <t>UEID</t>
  </si>
  <si>
    <t>CAGE Code</t>
  </si>
  <si>
    <t>Email Address</t>
  </si>
  <si>
    <t>Phone Number</t>
  </si>
  <si>
    <t>7,000-gallon above-ground fuel tank. Top-fill design. Standard hose compatible; no specialized equipment necessary for refilling operations.</t>
  </si>
  <si>
    <t>4,000-gallon above-ground fuel tank. Top-fill design. Standard hose compatible; no specialized equipment necessary for refilling operations.</t>
  </si>
  <si>
    <t>Fuel Tank Information</t>
  </si>
  <si>
    <t>2,500-gallon capacity. Staffed refueling point; personnel available to assist with all tanker loading and filling requirements.</t>
  </si>
  <si>
    <t>2,500-gallon capacity. Staffed refueling point; on-site personnel will provide assistance for all tanker replenishment requirements.</t>
  </si>
  <si>
    <t>Delivery Date</t>
  </si>
  <si>
    <t>FMS3 Diesel Fuel</t>
  </si>
  <si>
    <t>Base Price</t>
  </si>
  <si>
    <t>Fixed Markup</t>
  </si>
  <si>
    <t>Total Price</t>
  </si>
  <si>
    <r>
      <rPr>
        <b/>
        <sz val="12"/>
        <rFont val="Calibri"/>
        <family val="2"/>
        <scheme val="minor"/>
      </rPr>
      <t>Note:</t>
    </r>
    <r>
      <rPr>
        <b/>
        <sz val="12"/>
        <color rgb="FFFF0000"/>
        <rFont val="Calibri"/>
        <family val="2"/>
        <scheme val="minor"/>
      </rPr>
      <t xml:space="preserve">
</t>
    </r>
    <r>
      <rPr>
        <b/>
        <sz val="12"/>
        <rFont val="Calibri"/>
        <family val="2"/>
        <scheme val="minor"/>
      </rPr>
      <t xml:space="preserve">1. Pricing must be all inclusive (any taxes or fees must be inlucded in your pricing). No modification will be authorized for all work within scope as a firm fixed price delivery order will be awarded for this solicitation.
2. </t>
    </r>
    <r>
      <rPr>
        <b/>
        <sz val="12"/>
        <color rgb="FF0070C0"/>
        <rFont val="Calibri"/>
        <family val="2"/>
        <scheme val="minor"/>
      </rPr>
      <t>To be considered for award, please ensure the yellow cell is fully completed.</t>
    </r>
    <r>
      <rPr>
        <b/>
        <sz val="12"/>
        <rFont val="Calibri"/>
        <family val="2"/>
        <scheme val="minor"/>
      </rPr>
      <t xml:space="preserve">
</t>
    </r>
    <r>
      <rPr>
        <b/>
        <sz val="12"/>
        <color rgb="FFFF0000"/>
        <rFont val="Calibri"/>
        <family val="2"/>
        <scheme val="minor"/>
      </rPr>
      <t>3. For evaluation, please see FAR 52.212-2 of the combined synopsis and solicitation.</t>
    </r>
    <r>
      <rPr>
        <b/>
        <sz val="12"/>
        <rFont val="Calibri"/>
        <family val="2"/>
        <scheme val="minor"/>
      </rPr>
      <t xml:space="preserve">
4. Possible Mutliple Award per location. Unless the quotation is stated "all or none", the quote will be evaluated for possible separate award per location. see combined synopsis and solicitation para (1)(i)</t>
    </r>
    <r>
      <rPr>
        <b/>
        <sz val="12"/>
        <color rgb="FFFF0000"/>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</si>
</sst>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 #,##0_);_(* \(#,##0\);_(* &quot;-&quot;??_);_(@_)"/>
    <numFmt numFmtId="165" formatCode="&quot;$&quot;#,##0.00"/>
  </numFmts>
  <fonts count="7"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b/>
      <sz val="12"/>
      <color rgb="FFFF0000"/>
      <name val="Calibri"/>
      <family val="2"/>
      <scheme val="minor"/>
    </font>
    <font>
      <b/>
      <sz val="12"/>
      <name val="Calibri"/>
      <family val="2"/>
      <scheme val="minor"/>
    </font>
    <font>
      <b/>
      <sz val="12"/>
      <color rgb="FF0070C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25">
    <xf numFmtId="0" fontId="0" fillId="0" borderId="0" xfId="0"/>
    <xf numFmtId="165" fontId="4" fillId="2" borderId="0" xfId="0" applyNumberFormat="1" applyFont="1" applyFill="1" applyAlignment="1" applyProtection="1">
      <alignment horizontal="left" vertical="top" wrapText="1"/>
      <protection locked="0"/>
    </xf>
    <xf numFmtId="49" fontId="0" fillId="0" borderId="1" xfId="0" applyNumberFormat="1" applyBorder="1" applyAlignment="1">
      <alignment horizontal="left"/>
    </xf>
    <xf numFmtId="44" fontId="0" fillId="0" borderId="0" xfId="2" applyFont="1" applyProtection="1"/>
    <xf numFmtId="0" fontId="0" fillId="0" borderId="0" xfId="0" applyAlignment="1">
      <alignment wrapText="1"/>
    </xf>
    <xf numFmtId="49" fontId="0" fillId="0" borderId="1" xfId="0" applyNumberFormat="1" applyBorder="1" applyAlignment="1">
      <alignment horizontal="left" vertical="top"/>
    </xf>
    <xf numFmtId="0" fontId="0" fillId="0" borderId="1" xfId="0" applyBorder="1" applyAlignment="1">
      <alignment horizontal="left" vertical="top"/>
    </xf>
    <xf numFmtId="44" fontId="0" fillId="0" borderId="1" xfId="2" applyFont="1" applyBorder="1" applyAlignment="1" applyProtection="1">
      <alignment horizontal="left" vertical="top"/>
    </xf>
    <xf numFmtId="0" fontId="0" fillId="0" borderId="1" xfId="0" applyBorder="1" applyAlignment="1">
      <alignment horizontal="left" vertical="top" wrapText="1"/>
    </xf>
    <xf numFmtId="164" fontId="0" fillId="0" borderId="1" xfId="1" applyNumberFormat="1" applyFont="1" applyBorder="1" applyAlignment="1" applyProtection="1">
      <alignment horizontal="left" vertical="top"/>
    </xf>
    <xf numFmtId="165" fontId="0" fillId="0" borderId="1" xfId="2" applyNumberFormat="1" applyFont="1" applyFill="1" applyBorder="1" applyAlignment="1" applyProtection="1">
      <alignment horizontal="left" vertical="top"/>
    </xf>
    <xf numFmtId="14" fontId="0" fillId="0" borderId="1" xfId="2" applyNumberFormat="1" applyFont="1" applyBorder="1" applyAlignment="1" applyProtection="1">
      <alignment horizontal="left" vertical="top"/>
    </xf>
    <xf numFmtId="49" fontId="2" fillId="0" borderId="0" xfId="0" applyNumberFormat="1" applyFont="1" applyAlignment="1">
      <alignment horizontal="left" vertical="top"/>
    </xf>
    <xf numFmtId="0" fontId="2" fillId="0" borderId="0" xfId="0" applyFont="1" applyAlignment="1">
      <alignment horizontal="left" vertical="top"/>
    </xf>
    <xf numFmtId="164" fontId="2" fillId="0" borderId="0" xfId="0" applyNumberFormat="1" applyFont="1" applyAlignment="1">
      <alignment horizontal="left" vertical="top"/>
    </xf>
    <xf numFmtId="44" fontId="2" fillId="0" borderId="0" xfId="2" applyFont="1" applyAlignment="1" applyProtection="1">
      <alignment horizontal="left" vertical="top"/>
    </xf>
    <xf numFmtId="0" fontId="0" fillId="0" borderId="0" xfId="0" applyAlignment="1">
      <alignment horizontal="left" vertical="top" wrapText="1"/>
    </xf>
    <xf numFmtId="49" fontId="2" fillId="0" borderId="0" xfId="0" applyNumberFormat="1" applyFont="1"/>
    <xf numFmtId="165" fontId="5" fillId="0" borderId="0" xfId="2" applyNumberFormat="1" applyFont="1" applyAlignment="1" applyProtection="1">
      <alignment horizontal="left" vertical="top" wrapText="1"/>
    </xf>
    <xf numFmtId="49" fontId="4" fillId="0" borderId="0" xfId="0" applyNumberFormat="1" applyFont="1" applyAlignment="1">
      <alignment vertical="top" wrapText="1"/>
    </xf>
    <xf numFmtId="49" fontId="5" fillId="0" borderId="0" xfId="0" applyNumberFormat="1" applyFont="1" applyAlignment="1">
      <alignment vertical="top" wrapText="1"/>
    </xf>
    <xf numFmtId="165" fontId="5" fillId="0" borderId="0" xfId="0" applyNumberFormat="1" applyFont="1" applyAlignment="1">
      <alignment horizontal="left" vertical="top" wrapText="1"/>
    </xf>
    <xf numFmtId="49" fontId="0" fillId="0" borderId="0" xfId="0" applyNumberFormat="1"/>
    <xf numFmtId="49" fontId="4" fillId="0" borderId="0" xfId="0" applyNumberFormat="1" applyFont="1" applyAlignment="1">
      <alignment horizontal="left" vertical="top" wrapText="1"/>
    </xf>
    <xf numFmtId="0" fontId="0" fillId="2" borderId="1" xfId="0" applyFill="1" applyBorder="1" applyAlignment="1" applyProtection="1">
      <alignment horizontal="center"/>
      <protection locked="0"/>
    </xf>
  </cellXfs>
  <cellStyles count="3">
    <cellStyle name="Comma" xfId="1" builtinId="3"/>
    <cellStyle name="Currency"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34"/>
  <sheetViews>
    <sheetView showGridLines="0" tabSelected="1" view="pageLayout" topLeftCell="A48" zoomScale="80" zoomScaleNormal="100" zoomScalePageLayoutView="80" workbookViewId="0">
      <selection activeCell="B16" sqref="B16"/>
    </sheetView>
  </sheetViews>
  <sheetFormatPr defaultRowHeight="15" x14ac:dyDescent="0.25"/>
  <cols>
    <col min="1" max="1" width="15.140625" style="22" bestFit="1" customWidth="1"/>
    <col min="2" max="2" width="27.42578125" bestFit="1" customWidth="1"/>
    <col min="3" max="3" width="7.42578125" bestFit="1" customWidth="1"/>
    <col min="4" max="4" width="5.140625" bestFit="1" customWidth="1"/>
    <col min="5" max="5" width="11" style="3" bestFit="1" customWidth="1"/>
    <col min="6" max="6" width="12.28515625" style="3" bestFit="1" customWidth="1"/>
    <col min="7" max="7" width="14.5703125" style="3" bestFit="1" customWidth="1"/>
    <col min="8" max="8" width="40" style="4" customWidth="1"/>
    <col min="9" max="9" width="65.42578125" style="4" customWidth="1"/>
  </cols>
  <sheetData>
    <row r="1" spans="1:9" x14ac:dyDescent="0.25">
      <c r="A1" s="2" t="s">
        <v>20</v>
      </c>
      <c r="B1" s="24"/>
      <c r="C1" s="24"/>
      <c r="D1" s="24"/>
      <c r="E1" s="24"/>
    </row>
    <row r="2" spans="1:9" x14ac:dyDescent="0.25">
      <c r="A2" s="2" t="s">
        <v>21</v>
      </c>
      <c r="B2" s="24"/>
      <c r="C2" s="24"/>
      <c r="D2" s="24"/>
      <c r="E2" s="24"/>
    </row>
    <row r="3" spans="1:9" x14ac:dyDescent="0.25">
      <c r="A3" s="2" t="s">
        <v>22</v>
      </c>
      <c r="B3" s="24"/>
      <c r="C3" s="24"/>
      <c r="D3" s="24"/>
      <c r="E3" s="24"/>
    </row>
    <row r="4" spans="1:9" x14ac:dyDescent="0.25">
      <c r="A4" s="2" t="s">
        <v>23</v>
      </c>
      <c r="B4" s="24"/>
      <c r="C4" s="24"/>
      <c r="D4" s="24"/>
      <c r="E4" s="24"/>
    </row>
    <row r="5" spans="1:9" x14ac:dyDescent="0.25">
      <c r="A5" s="2" t="s">
        <v>24</v>
      </c>
      <c r="B5" s="24"/>
      <c r="C5" s="24"/>
      <c r="D5" s="24"/>
      <c r="E5" s="24"/>
    </row>
    <row r="7" spans="1:9" x14ac:dyDescent="0.25">
      <c r="A7" s="5" t="s">
        <v>0</v>
      </c>
      <c r="B7" s="6" t="s">
        <v>5</v>
      </c>
      <c r="C7" s="6" t="s">
        <v>6</v>
      </c>
      <c r="D7" s="6" t="s">
        <v>7</v>
      </c>
      <c r="E7" s="7" t="s">
        <v>8</v>
      </c>
      <c r="F7" s="7" t="s">
        <v>10</v>
      </c>
      <c r="G7" s="7" t="s">
        <v>30</v>
      </c>
      <c r="H7" s="8" t="s">
        <v>18</v>
      </c>
      <c r="I7" s="8" t="s">
        <v>27</v>
      </c>
    </row>
    <row r="8" spans="1:9" ht="30" x14ac:dyDescent="0.25">
      <c r="A8" s="5" t="s">
        <v>1</v>
      </c>
      <c r="B8" s="6" t="s">
        <v>13</v>
      </c>
      <c r="C8" s="9">
        <v>1800</v>
      </c>
      <c r="D8" s="6" t="s">
        <v>9</v>
      </c>
      <c r="E8" s="10">
        <f>$B$17</f>
        <v>5.0119999999999996</v>
      </c>
      <c r="F8" s="7">
        <f>C8*E8</f>
        <v>9021.5999999999985</v>
      </c>
      <c r="G8" s="11">
        <v>46174</v>
      </c>
      <c r="H8" s="8" t="s">
        <v>11</v>
      </c>
      <c r="I8" s="8" t="s">
        <v>28</v>
      </c>
    </row>
    <row r="9" spans="1:9" ht="45" x14ac:dyDescent="0.25">
      <c r="A9" s="5" t="s">
        <v>2</v>
      </c>
      <c r="B9" s="6" t="s">
        <v>14</v>
      </c>
      <c r="C9" s="9">
        <v>2000</v>
      </c>
      <c r="D9" s="6" t="s">
        <v>9</v>
      </c>
      <c r="E9" s="10">
        <f t="shared" ref="E9:E11" si="0">$B$17</f>
        <v>5.0119999999999996</v>
      </c>
      <c r="F9" s="7">
        <f t="shared" ref="F9:F11" si="1">C9*E9</f>
        <v>10024</v>
      </c>
      <c r="G9" s="11">
        <v>46174</v>
      </c>
      <c r="H9" s="8" t="s">
        <v>12</v>
      </c>
      <c r="I9" s="8" t="s">
        <v>26</v>
      </c>
    </row>
    <row r="10" spans="1:9" ht="45" x14ac:dyDescent="0.25">
      <c r="A10" s="5" t="s">
        <v>3</v>
      </c>
      <c r="B10" s="6" t="s">
        <v>31</v>
      </c>
      <c r="C10" s="9">
        <v>4000</v>
      </c>
      <c r="D10" s="6" t="s">
        <v>9</v>
      </c>
      <c r="E10" s="10">
        <f t="shared" si="0"/>
        <v>5.0119999999999996</v>
      </c>
      <c r="F10" s="7">
        <f t="shared" si="1"/>
        <v>20048</v>
      </c>
      <c r="G10" s="11">
        <v>46174</v>
      </c>
      <c r="H10" s="8" t="s">
        <v>15</v>
      </c>
      <c r="I10" s="8" t="s">
        <v>25</v>
      </c>
    </row>
    <row r="11" spans="1:9" ht="30" x14ac:dyDescent="0.25">
      <c r="A11" s="5" t="s">
        <v>4</v>
      </c>
      <c r="B11" s="6" t="s">
        <v>16</v>
      </c>
      <c r="C11" s="9">
        <v>1800</v>
      </c>
      <c r="D11" s="6" t="s">
        <v>9</v>
      </c>
      <c r="E11" s="10">
        <f t="shared" si="0"/>
        <v>5.0119999999999996</v>
      </c>
      <c r="F11" s="7">
        <f t="shared" si="1"/>
        <v>9021.5999999999985</v>
      </c>
      <c r="G11" s="11">
        <v>46174</v>
      </c>
      <c r="H11" s="8" t="s">
        <v>17</v>
      </c>
      <c r="I11" s="8" t="s">
        <v>29</v>
      </c>
    </row>
    <row r="12" spans="1:9" x14ac:dyDescent="0.25">
      <c r="A12" s="12" t="s">
        <v>19</v>
      </c>
      <c r="B12" s="13"/>
      <c r="C12" s="14">
        <f>SUM(C8:C11)</f>
        <v>9600</v>
      </c>
      <c r="D12" s="13"/>
      <c r="E12" s="15"/>
      <c r="F12" s="15">
        <f>SUM(F8:F11)</f>
        <v>48115.199999999997</v>
      </c>
      <c r="G12" s="15"/>
      <c r="H12" s="16"/>
      <c r="I12" s="16"/>
    </row>
    <row r="15" spans="1:9" ht="15" customHeight="1" x14ac:dyDescent="0.25">
      <c r="A15" s="17" t="s">
        <v>32</v>
      </c>
      <c r="B15" s="18">
        <v>5.0119999999999996</v>
      </c>
      <c r="C15" s="19"/>
      <c r="D15" s="19"/>
      <c r="E15" s="19"/>
      <c r="F15" s="19"/>
      <c r="G15" s="19"/>
      <c r="H15" s="19"/>
      <c r="I15" s="19"/>
    </row>
    <row r="16" spans="1:9" ht="15" customHeight="1" x14ac:dyDescent="0.25">
      <c r="A16" s="19" t="s">
        <v>33</v>
      </c>
      <c r="B16" s="1">
        <v>0</v>
      </c>
      <c r="C16" s="19"/>
      <c r="D16" s="19"/>
      <c r="E16" s="19"/>
      <c r="F16" s="19"/>
      <c r="G16" s="19"/>
      <c r="H16" s="19"/>
      <c r="I16" s="19"/>
    </row>
    <row r="17" spans="1:9" ht="15" customHeight="1" x14ac:dyDescent="0.25">
      <c r="A17" s="20" t="s">
        <v>34</v>
      </c>
      <c r="B17" s="21">
        <f>B15+B16</f>
        <v>5.0119999999999996</v>
      </c>
      <c r="C17" s="19"/>
      <c r="D17" s="19"/>
      <c r="E17" s="19"/>
      <c r="F17" s="19"/>
      <c r="G17" s="19"/>
      <c r="H17" s="19"/>
      <c r="I17" s="19"/>
    </row>
    <row r="18" spans="1:9" ht="15" customHeight="1" x14ac:dyDescent="0.25">
      <c r="A18" s="19"/>
      <c r="B18" s="19"/>
      <c r="C18" s="19"/>
      <c r="D18" s="19"/>
      <c r="E18" s="19"/>
      <c r="F18" s="19"/>
      <c r="G18" s="19"/>
      <c r="H18" s="19"/>
      <c r="I18" s="19"/>
    </row>
    <row r="19" spans="1:9" ht="15" customHeight="1" x14ac:dyDescent="0.25">
      <c r="A19" s="19"/>
      <c r="B19" s="19"/>
      <c r="C19" s="19"/>
      <c r="D19" s="19"/>
      <c r="E19" s="19"/>
      <c r="F19" s="19"/>
      <c r="G19" s="19"/>
      <c r="H19" s="19"/>
      <c r="I19" s="19"/>
    </row>
    <row r="20" spans="1:9" ht="15" customHeight="1" x14ac:dyDescent="0.25">
      <c r="A20" s="23" t="s">
        <v>35</v>
      </c>
      <c r="B20" s="23"/>
      <c r="C20" s="23"/>
      <c r="D20" s="23"/>
      <c r="E20" s="23"/>
      <c r="F20" s="23"/>
      <c r="G20" s="23"/>
      <c r="H20" s="23"/>
      <c r="I20" s="23"/>
    </row>
    <row r="21" spans="1:9" ht="15" customHeight="1" x14ac:dyDescent="0.25">
      <c r="A21" s="23"/>
      <c r="B21" s="23"/>
      <c r="C21" s="23"/>
      <c r="D21" s="23"/>
      <c r="E21" s="23"/>
      <c r="F21" s="23"/>
      <c r="G21" s="23"/>
      <c r="H21" s="23"/>
      <c r="I21" s="23"/>
    </row>
    <row r="22" spans="1:9" ht="15" customHeight="1" x14ac:dyDescent="0.25">
      <c r="A22" s="23"/>
      <c r="B22" s="23"/>
      <c r="C22" s="23"/>
      <c r="D22" s="23"/>
      <c r="E22" s="23"/>
      <c r="F22" s="23"/>
      <c r="G22" s="23"/>
      <c r="H22" s="23"/>
      <c r="I22" s="23"/>
    </row>
    <row r="23" spans="1:9" ht="15" customHeight="1" x14ac:dyDescent="0.25">
      <c r="A23" s="23"/>
      <c r="B23" s="23"/>
      <c r="C23" s="23"/>
      <c r="D23" s="23"/>
      <c r="E23" s="23"/>
      <c r="F23" s="23"/>
      <c r="G23" s="23"/>
      <c r="H23" s="23"/>
      <c r="I23" s="23"/>
    </row>
    <row r="24" spans="1:9" x14ac:dyDescent="0.25">
      <c r="A24" s="23"/>
      <c r="B24" s="23"/>
      <c r="C24" s="23"/>
      <c r="D24" s="23"/>
      <c r="E24" s="23"/>
      <c r="F24" s="23"/>
      <c r="G24" s="23"/>
      <c r="H24" s="23"/>
      <c r="I24" s="23"/>
    </row>
    <row r="25" spans="1:9" x14ac:dyDescent="0.25">
      <c r="A25" s="23"/>
      <c r="B25" s="23"/>
      <c r="C25" s="23"/>
      <c r="D25" s="23"/>
      <c r="E25" s="23"/>
      <c r="F25" s="23"/>
      <c r="G25" s="23"/>
      <c r="H25" s="23"/>
      <c r="I25" s="23"/>
    </row>
    <row r="26" spans="1:9" x14ac:dyDescent="0.25">
      <c r="A26" s="23"/>
      <c r="B26" s="23"/>
      <c r="C26" s="23"/>
      <c r="D26" s="23"/>
      <c r="E26" s="23"/>
      <c r="F26" s="23"/>
      <c r="G26" s="23"/>
      <c r="H26" s="23"/>
      <c r="I26" s="23"/>
    </row>
    <row r="27" spans="1:9" x14ac:dyDescent="0.25">
      <c r="A27" s="23"/>
      <c r="B27" s="23"/>
      <c r="C27" s="23"/>
      <c r="D27" s="23"/>
      <c r="E27" s="23"/>
      <c r="F27" s="23"/>
      <c r="G27" s="23"/>
      <c r="H27" s="23"/>
      <c r="I27" s="23"/>
    </row>
    <row r="28" spans="1:9" x14ac:dyDescent="0.25">
      <c r="A28" s="23"/>
      <c r="B28" s="23"/>
      <c r="C28" s="23"/>
      <c r="D28" s="23"/>
      <c r="E28" s="23"/>
      <c r="F28" s="23"/>
      <c r="G28" s="23"/>
      <c r="H28" s="23"/>
      <c r="I28" s="23"/>
    </row>
    <row r="29" spans="1:9" x14ac:dyDescent="0.25">
      <c r="A29" s="23"/>
      <c r="B29" s="23"/>
      <c r="C29" s="23"/>
      <c r="D29" s="23"/>
      <c r="E29" s="23"/>
      <c r="F29" s="23"/>
      <c r="G29" s="23"/>
      <c r="H29" s="23"/>
      <c r="I29" s="23"/>
    </row>
    <row r="30" spans="1:9" x14ac:dyDescent="0.25">
      <c r="A30" s="23"/>
      <c r="B30" s="23"/>
      <c r="C30" s="23"/>
      <c r="D30" s="23"/>
      <c r="E30" s="23"/>
      <c r="F30" s="23"/>
      <c r="G30" s="23"/>
      <c r="H30" s="23"/>
      <c r="I30" s="23"/>
    </row>
    <row r="31" spans="1:9" x14ac:dyDescent="0.25">
      <c r="A31" s="23"/>
      <c r="B31" s="23"/>
      <c r="C31" s="23"/>
      <c r="D31" s="23"/>
      <c r="E31" s="23"/>
      <c r="F31" s="23"/>
      <c r="G31" s="23"/>
      <c r="H31" s="23"/>
      <c r="I31" s="23"/>
    </row>
    <row r="32" spans="1:9" x14ac:dyDescent="0.25">
      <c r="A32" s="23"/>
      <c r="B32" s="23"/>
      <c r="C32" s="23"/>
      <c r="D32" s="23"/>
      <c r="E32" s="23"/>
      <c r="F32" s="23"/>
      <c r="G32" s="23"/>
      <c r="H32" s="23"/>
      <c r="I32" s="23"/>
    </row>
    <row r="33" spans="1:9" x14ac:dyDescent="0.25">
      <c r="A33" s="23"/>
      <c r="B33" s="23"/>
      <c r="C33" s="23"/>
      <c r="D33" s="23"/>
      <c r="E33" s="23"/>
      <c r="F33" s="23"/>
      <c r="G33" s="23"/>
      <c r="H33" s="23"/>
      <c r="I33" s="23"/>
    </row>
    <row r="34" spans="1:9" x14ac:dyDescent="0.25">
      <c r="A34" s="23"/>
      <c r="B34" s="23"/>
      <c r="C34" s="23"/>
      <c r="D34" s="23"/>
      <c r="E34" s="23"/>
      <c r="F34" s="23"/>
      <c r="G34" s="23"/>
      <c r="H34" s="23"/>
      <c r="I34" s="23"/>
    </row>
  </sheetData>
  <sheetProtection algorithmName="SHA-512" hashValue="Hd6ERihjlpSqSCkec7jeJLN5JkRwCY2+0/LSTXF0hRDQn40LlhpjXwqx9e3HMVfyIVB0GFVy3onJsUPd91cZlg==" saltValue="OA0n+bgkqhD5nd7VkxAqoA==" spinCount="100000" sheet="1" objects="1" scenarios="1" selectLockedCells="1"/>
  <mergeCells count="6">
    <mergeCell ref="A20:I34"/>
    <mergeCell ref="B1:E1"/>
    <mergeCell ref="B2:E2"/>
    <mergeCell ref="B3:E3"/>
    <mergeCell ref="B4:E4"/>
    <mergeCell ref="B5:E5"/>
  </mergeCells>
  <phoneticPr fontId="3" type="noConversion"/>
  <pageMargins left="0.25" right="0.25" top="0.75" bottom="0.75" header="0.3" footer="0.3"/>
  <pageSetup scale="67" fitToHeight="0" orientation="landscape" r:id="rId1"/>
  <headerFooter>
    <oddHeader>&amp;L&amp;"-,Bold"04/29/2026&amp;C&amp;"-,Bold"W912J326QOR03-&amp;KFF00000003&amp;"-,Regular"&amp;K01+000
&amp;"-,Bold"Multiple Bulk Fuel Delivery</oddHeader>
  </headerFooter>
</worksheet>
</file>

<file path=docMetadata/LabelInfo.xml><?xml version="1.0" encoding="utf-8"?>
<clbl:labelList xmlns:clbl="http://schemas.microsoft.com/office/2020/mipLabelMetadata">
  <clbl:label id="{1bd84cd2-a803-4625-aaf7-424aaac7782e}" enabled="1" method="Standard" siteId="{8331b18d-2d87-48ef-a35f-ac8818ebf9b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Pricing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RAMOS, ODINI N CIV USAF ANG 150 MSG/MSC</dc:creator>
  <cp:lastModifiedBy>WIDGEON, EDWIN D SMSgt USAF ANG 150 MSG/MSC</cp:lastModifiedBy>
  <dcterms:created xsi:type="dcterms:W3CDTF">2015-06-05T18:17:20Z</dcterms:created>
  <dcterms:modified xsi:type="dcterms:W3CDTF">2026-04-29T20:43:44Z</dcterms:modified>
</cp:coreProperties>
</file>