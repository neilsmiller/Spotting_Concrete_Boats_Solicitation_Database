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lyndsey_m_pena_civ_army_mil/Documents/Documents/PRE AWARD/FY2026/EH5L0157EH - TANK ASSEMBLY, FABRIC/ATTACHMENTS/"/>
    </mc:Choice>
  </mc:AlternateContent>
  <xr:revisionPtr revIDLastSave="2" documentId="8_{F9F4EAA4-49EE-4F3C-8DCA-A015A0752E44}" xr6:coauthVersionLast="47" xr6:coauthVersionMax="47" xr10:uidLastSave="{8AC1F894-7C65-48DC-BC43-AB90AFC09863}"/>
  <workbookProtection workbookAlgorithmName="SHA-512" workbookHashValue="kzyESc/LD3EsUCKdNypilf2GMwXTN3aYMt+r27kSAttggsB8R0obnCKLXG+7zNOY9nWMTaBK7yxjIi2rtjaExQ==" workbookSaltValue="fIP8J1jk6PICECmn8aSEgg==" workbookSpinCount="100000" lockStructure="1"/>
  <bookViews>
    <workbookView xWindow="28680" yWindow="-4335" windowWidth="29040" windowHeight="15690" activeTab="6" xr2:uid="{01187F70-7AE7-4B38-AAF7-6161D8BDFB75}"/>
  </bookViews>
  <sheets>
    <sheet name="Instructions" sheetId="25" r:id="rId1"/>
    <sheet name="Summary" sheetId="1" r:id="rId2"/>
    <sheet name="1st YR Prod.&amp;FAT CLINs" sheetId="40" r:id="rId3"/>
    <sheet name="2nd YR Prod. CLINs" sheetId="49" r:id="rId4"/>
    <sheet name="3rd YR Prod. CLINs" sheetId="50" r:id="rId5"/>
    <sheet name="4th YR Prod. CLINs" sheetId="51" r:id="rId6"/>
    <sheet name="5th YR Prod. CLINs" sheetId="5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52" l="1"/>
  <c r="I27" i="52" s="1"/>
  <c r="H27" i="51"/>
  <c r="I27" i="51" s="1"/>
  <c r="H27" i="50"/>
  <c r="I27" i="50" s="1"/>
  <c r="C29" i="1" s="1"/>
  <c r="H27" i="49"/>
  <c r="I27" i="49" s="1"/>
  <c r="C28" i="1" s="1"/>
  <c r="H30" i="40"/>
  <c r="I30" i="40" s="1"/>
  <c r="C27" i="1" s="1"/>
  <c r="H19" i="52"/>
  <c r="H19" i="51"/>
  <c r="H19" i="50"/>
  <c r="I19" i="50" s="1"/>
  <c r="C21" i="1" s="1"/>
  <c r="H19" i="49"/>
  <c r="H21" i="40"/>
  <c r="I21" i="40" s="1"/>
  <c r="H11" i="52"/>
  <c r="H11" i="51"/>
  <c r="I11" i="51" s="1"/>
  <c r="C14" i="1" s="1"/>
  <c r="H11" i="50"/>
  <c r="H11" i="49"/>
  <c r="I11" i="49" s="1"/>
  <c r="C12" i="1" s="1"/>
  <c r="H12" i="40"/>
  <c r="I12" i="40" s="1"/>
  <c r="H34" i="52"/>
  <c r="H34" i="51"/>
  <c r="H34" i="50"/>
  <c r="H34" i="49"/>
  <c r="I34" i="49" s="1"/>
  <c r="C36" i="1" s="1"/>
  <c r="I33" i="40"/>
  <c r="C34" i="1" s="1"/>
  <c r="H38" i="40"/>
  <c r="I38" i="40" s="1"/>
  <c r="C35" i="1" s="1"/>
  <c r="I24" i="40"/>
  <c r="C26" i="1" s="1"/>
  <c r="I15" i="40"/>
  <c r="C18" i="1" s="1"/>
  <c r="I8" i="40"/>
  <c r="C10" i="1" s="1"/>
  <c r="B5" i="49"/>
  <c r="B5" i="50"/>
  <c r="B5" i="51"/>
  <c r="B5" i="52"/>
  <c r="B5" i="40"/>
  <c r="I34" i="52" l="1"/>
  <c r="C39" i="1" s="1"/>
  <c r="C31" i="1"/>
  <c r="I19" i="52"/>
  <c r="C23" i="1" s="1"/>
  <c r="I11" i="52"/>
  <c r="C15" i="1" s="1"/>
  <c r="I34" i="51"/>
  <c r="C38" i="1" s="1"/>
  <c r="C30" i="1"/>
  <c r="I19" i="51"/>
  <c r="C22" i="1" s="1"/>
  <c r="I34" i="50"/>
  <c r="C37" i="1" s="1"/>
  <c r="I11" i="50"/>
  <c r="C13" i="1" s="1"/>
  <c r="I19" i="49"/>
  <c r="C20" i="1" s="1"/>
  <c r="C19" i="1"/>
  <c r="C11" i="1"/>
  <c r="C32" i="1" l="1"/>
  <c r="C40" i="1"/>
  <c r="C16" i="1"/>
  <c r="C24" i="1"/>
  <c r="C41" i="1" l="1"/>
</calcChain>
</file>

<file path=xl/sharedStrings.xml><?xml version="1.0" encoding="utf-8"?>
<sst xmlns="http://schemas.openxmlformats.org/spreadsheetml/2006/main" count="483" uniqueCount="124">
  <si>
    <t>CLIN</t>
  </si>
  <si>
    <t>Offeror:</t>
  </si>
  <si>
    <t>1) Cells that require inputs are highlighted in yellow</t>
  </si>
  <si>
    <t>2) All cells that are highlighted in yellow must be completed</t>
  </si>
  <si>
    <t>3) Do not adjust formulas or otherwise manipulate any of the other (non-yellow highlighted) cells.</t>
  </si>
  <si>
    <t>Quantity</t>
  </si>
  <si>
    <t>5) Do not make any changes or modifications to this attachment except for those cells highlighted in yellow</t>
  </si>
  <si>
    <t>Instructions</t>
  </si>
  <si>
    <t>Summary</t>
  </si>
  <si>
    <t>4) The required inputs are used to auto calculate the Total Proposed Price on the "Summary" Worksheet</t>
  </si>
  <si>
    <t>6) Do not add Worksheets to this Attachment</t>
  </si>
  <si>
    <t>7) If all cells highlighted in yellow are not completed, the proposal may be rejected IAW Section M - Rejection of Offers.</t>
  </si>
  <si>
    <t>Proposed 
Unit Price</t>
  </si>
  <si>
    <t>Proposed Price</t>
  </si>
  <si>
    <t>Item</t>
  </si>
  <si>
    <t>0011</t>
  </si>
  <si>
    <t>0021</t>
  </si>
  <si>
    <t>Description</t>
  </si>
  <si>
    <t>NSN</t>
  </si>
  <si>
    <t>Part #</t>
  </si>
  <si>
    <t xml:space="preserve">Total Proposed Price:  </t>
  </si>
  <si>
    <t>Quantity
Ranges</t>
  </si>
  <si>
    <t>Weightings</t>
  </si>
  <si>
    <t>Proposed
 Extended Price</t>
  </si>
  <si>
    <t xml:space="preserve">Weighted Average Unit Price  </t>
  </si>
  <si>
    <t>0031</t>
  </si>
  <si>
    <r>
      <t xml:space="preserve">Attachment </t>
    </r>
    <r>
      <rPr>
        <b/>
        <sz val="11"/>
        <color theme="1"/>
        <rFont val="Calibri"/>
        <family val="2"/>
        <scheme val="minor"/>
      </rPr>
      <t>0001</t>
    </r>
    <r>
      <rPr>
        <b/>
        <sz val="11"/>
        <rFont val="Calibri"/>
        <family val="2"/>
        <scheme val="minor"/>
      </rPr>
      <t xml:space="preserve"> - Pricing Workbook</t>
    </r>
  </si>
  <si>
    <t>5430-01-473-2320</t>
  </si>
  <si>
    <t>5430-01-546-3725</t>
  </si>
  <si>
    <t>5430-01-473-2318</t>
  </si>
  <si>
    <t>5430-01-473-2321</t>
  </si>
  <si>
    <t>1-9</t>
  </si>
  <si>
    <t>10-24</t>
  </si>
  <si>
    <t>25-99</t>
  </si>
  <si>
    <t>25-74</t>
  </si>
  <si>
    <t>75-150</t>
  </si>
  <si>
    <t>151-848</t>
  </si>
  <si>
    <t xml:space="preserve">First Ordering Year </t>
  </si>
  <si>
    <t>Second Ordering Year</t>
  </si>
  <si>
    <t>Third Ordering Year</t>
  </si>
  <si>
    <t>Fourth Ordering Year</t>
  </si>
  <si>
    <t>Fifth Ordering Year</t>
  </si>
  <si>
    <t>CLIN 0011</t>
  </si>
  <si>
    <t>CLIN 0021</t>
  </si>
  <si>
    <t>CLIN 0031</t>
  </si>
  <si>
    <t>CLIN 0041</t>
  </si>
  <si>
    <t>N/A</t>
  </si>
  <si>
    <t>CLIN 0012</t>
  </si>
  <si>
    <t>CLIN 0022</t>
  </si>
  <si>
    <t>CLIN 0032</t>
  </si>
  <si>
    <t>CLIN 0042</t>
  </si>
  <si>
    <t>CLIN 0013</t>
  </si>
  <si>
    <t>CLIN 0023</t>
  </si>
  <si>
    <t>CLIN 0033</t>
  </si>
  <si>
    <t>CLIN 0043</t>
  </si>
  <si>
    <t>CLIN 0014</t>
  </si>
  <si>
    <t>CLIN 0024</t>
  </si>
  <si>
    <t>CLIN 0034</t>
  </si>
  <si>
    <t>CLIN 0044</t>
  </si>
  <si>
    <t>CLIN 0015</t>
  </si>
  <si>
    <t>CLIN 0025</t>
  </si>
  <si>
    <t>CLIN 0035</t>
  </si>
  <si>
    <t>CLIN 0045</t>
  </si>
  <si>
    <t>0041</t>
  </si>
  <si>
    <t>0012</t>
  </si>
  <si>
    <t>0013</t>
  </si>
  <si>
    <t>0014</t>
  </si>
  <si>
    <t>0015</t>
  </si>
  <si>
    <t>0022</t>
  </si>
  <si>
    <t>0032</t>
  </si>
  <si>
    <t>0042</t>
  </si>
  <si>
    <t>0023</t>
  </si>
  <si>
    <t>0033</t>
  </si>
  <si>
    <t>0043</t>
  </si>
  <si>
    <t>0024</t>
  </si>
  <si>
    <t>0034</t>
  </si>
  <si>
    <t>0044</t>
  </si>
  <si>
    <t>0025</t>
  </si>
  <si>
    <t>0035</t>
  </si>
  <si>
    <t>0045</t>
  </si>
  <si>
    <t>Production and FAT for Tank, Fabric, Collapsible 3K Fuel Assembly</t>
  </si>
  <si>
    <t>Production and FAT for Tank, Fabric, Collapsible 20K Fuel Assembly</t>
  </si>
  <si>
    <t>Production and FAT for Tank, Fabric, Collapsible 50K Fuel Assembly</t>
  </si>
  <si>
    <t>Production and FAT for Tank, Fabric, Collapsible 210K Fuel Assembly</t>
  </si>
  <si>
    <t>Subtotal</t>
  </si>
  <si>
    <t>3KFUELASSY</t>
  </si>
  <si>
    <t>20KFUELASSY</t>
  </si>
  <si>
    <t>50KFUELASSY</t>
  </si>
  <si>
    <t>210K-IPDS</t>
  </si>
  <si>
    <t>151-521</t>
  </si>
  <si>
    <t>100-359</t>
  </si>
  <si>
    <t>Solicitation W912CH-25-R-0176</t>
  </si>
  <si>
    <t>0010</t>
  </si>
  <si>
    <t>CLIN 0010</t>
  </si>
  <si>
    <t>0020</t>
  </si>
  <si>
    <t>0030</t>
  </si>
  <si>
    <t>0040</t>
  </si>
  <si>
    <t>CLIN 0020</t>
  </si>
  <si>
    <t>CLIN 0030</t>
  </si>
  <si>
    <t>CLIN 0040</t>
  </si>
  <si>
    <t>FIRST ORDERING YEAR - 3K</t>
  </si>
  <si>
    <t>SECOND ORDERING YEAR - 3K</t>
  </si>
  <si>
    <t>THIRD ORDERING YEAR - 3K</t>
  </si>
  <si>
    <t>FOURTH ORDERING YEAR - 3K</t>
  </si>
  <si>
    <t>FIFTH ORDERING YEAR - 3K</t>
  </si>
  <si>
    <t>3KFUELASSY FIRST ARTICLE TEST REPORT (FATR)</t>
  </si>
  <si>
    <t>20KFUELASSY FIRST ARTICLE TEST REPORT (FATR)</t>
  </si>
  <si>
    <t>FIRST ORDERING YEAR - 20K</t>
  </si>
  <si>
    <t>SECOND ORDERING YEAR - 20K</t>
  </si>
  <si>
    <t>THIRD ORDERING YEAR - 20K</t>
  </si>
  <si>
    <t>FOURTH ORDERING YEAR - 20K</t>
  </si>
  <si>
    <t>FIFTH ORDERING YEAR - 20K</t>
  </si>
  <si>
    <t>50KFUELASSY FIRST ARTICLE TEST REPORT (FATR)</t>
  </si>
  <si>
    <t>FIRST ORDERING YEAR - 50K</t>
  </si>
  <si>
    <t>SECOND ORDERING YEAR - 50K</t>
  </si>
  <si>
    <t>THIRD ORDERING YEAR - 50K</t>
  </si>
  <si>
    <t>FOURTH ORDERING YEAR - 50K</t>
  </si>
  <si>
    <t>FIFTH ORDERING YEAR - 50K</t>
  </si>
  <si>
    <t>210K-IPDS FIRST ARTICLE TEST REPORT (FATR)</t>
  </si>
  <si>
    <t>FIRST ORDERING YEAR - 210K</t>
  </si>
  <si>
    <t>SECOND ORDERING YEAR - 210K</t>
  </si>
  <si>
    <t>THIRD ORDERING YEAR - 210K</t>
  </si>
  <si>
    <t>FOURTH ORDERING YEAR - 210K</t>
  </si>
  <si>
    <t>FIFTH ORDERING YEAR - 210K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</si>
</sst>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6">
    <xf numFmtId="0" fontId="0" fillId="0" borderId="0" xfId="0"/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3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horizontal="right"/>
    </xf>
    <xf numFmtId="7" fontId="0" fillId="2" borderId="2" xfId="0" applyNumberFormat="1" applyFill="1" applyBorder="1" applyProtection="1">
      <protection locked="0"/>
    </xf>
    <xf numFmtId="0" fontId="4" fillId="3" borderId="0" xfId="0" applyFont="1" applyFill="1" applyAlignment="1">
      <alignment horizontal="left"/>
    </xf>
    <xf numFmtId="37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left"/>
    </xf>
    <xf numFmtId="43" fontId="0" fillId="3" borderId="0" xfId="2" applyFont="1" applyFill="1" applyProtection="1"/>
    <xf numFmtId="0" fontId="6" fillId="3" borderId="6" xfId="0" applyFont="1" applyFill="1" applyBorder="1" applyAlignment="1">
      <alignment horizontal="left"/>
    </xf>
    <xf numFmtId="7" fontId="6" fillId="3" borderId="8" xfId="0" applyNumberFormat="1" applyFont="1" applyFill="1" applyBorder="1" applyAlignment="1">
      <alignment horizontal="right"/>
    </xf>
    <xf numFmtId="7" fontId="6" fillId="3" borderId="1" xfId="0" applyNumberFormat="1" applyFont="1" applyFill="1" applyBorder="1" applyAlignment="1">
      <alignment horizontal="right"/>
    </xf>
    <xf numFmtId="0" fontId="6" fillId="3" borderId="1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9" fontId="5" fillId="3" borderId="2" xfId="1" quotePrefix="1" applyFont="1" applyFill="1" applyBorder="1" applyAlignment="1" applyProtection="1">
      <alignment horizontal="center" vertical="center" wrapText="1"/>
    </xf>
    <xf numFmtId="49" fontId="6" fillId="3" borderId="3" xfId="0" quotePrefix="1" applyNumberFormat="1" applyFont="1" applyFill="1" applyBorder="1" applyAlignment="1">
      <alignment horizontal="center"/>
    </xf>
    <xf numFmtId="49" fontId="6" fillId="3" borderId="4" xfId="0" quotePrefix="1" applyNumberFormat="1" applyFont="1" applyFill="1" applyBorder="1" applyAlignment="1">
      <alignment horizontal="center"/>
    </xf>
    <xf numFmtId="0" fontId="2" fillId="3" borderId="0" xfId="0" applyFont="1" applyFill="1"/>
    <xf numFmtId="7" fontId="0" fillId="3" borderId="3" xfId="0" applyNumberFormat="1" applyFill="1" applyBorder="1"/>
    <xf numFmtId="7" fontId="0" fillId="3" borderId="12" xfId="0" applyNumberFormat="1" applyFill="1" applyBorder="1"/>
    <xf numFmtId="1" fontId="0" fillId="3" borderId="2" xfId="0" quotePrefix="1" applyNumberFormat="1" applyFill="1" applyBorder="1" applyAlignment="1">
      <alignment horizontal="center" vertical="center" wrapText="1"/>
    </xf>
    <xf numFmtId="1" fontId="0" fillId="3" borderId="2" xfId="0" quotePrefix="1" applyNumberFormat="1" applyFill="1" applyBorder="1" applyAlignment="1">
      <alignment horizontal="right" vertical="center"/>
    </xf>
    <xf numFmtId="7" fontId="0" fillId="3" borderId="2" xfId="0" applyNumberFormat="1" applyFill="1" applyBorder="1"/>
    <xf numFmtId="49" fontId="6" fillId="3" borderId="0" xfId="0" applyNumberFormat="1" applyFont="1" applyFill="1" applyAlignment="1">
      <alignment horizontal="center" vertical="center"/>
    </xf>
    <xf numFmtId="1" fontId="6" fillId="3" borderId="0" xfId="0" quotePrefix="1" applyNumberFormat="1" applyFont="1" applyFill="1" applyAlignment="1">
      <alignment horizontal="center" vertical="center"/>
    </xf>
    <xf numFmtId="1" fontId="6" fillId="3" borderId="0" xfId="0" quotePrefix="1" applyNumberFormat="1" applyFont="1" applyFill="1" applyAlignment="1">
      <alignment horizontal="center" vertical="center" wrapText="1"/>
    </xf>
    <xf numFmtId="1" fontId="0" fillId="3" borderId="0" xfId="0" quotePrefix="1" applyNumberFormat="1" applyFill="1" applyAlignment="1">
      <alignment horizontal="center" vertical="center" wrapText="1"/>
    </xf>
    <xf numFmtId="1" fontId="0" fillId="3" borderId="0" xfId="0" quotePrefix="1" applyNumberFormat="1" applyFill="1" applyAlignment="1">
      <alignment horizontal="right" vertical="center"/>
    </xf>
    <xf numFmtId="7" fontId="0" fillId="3" borderId="0" xfId="0" applyNumberFormat="1" applyFill="1"/>
    <xf numFmtId="0" fontId="3" fillId="0" borderId="0" xfId="0" applyFont="1"/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7" fontId="0" fillId="2" borderId="2" xfId="0" applyNumberFormat="1" applyFill="1" applyBorder="1" applyAlignment="1" applyProtection="1">
      <alignment horizontal="right" vertical="center"/>
      <protection locked="0"/>
    </xf>
    <xf numFmtId="7" fontId="0" fillId="3" borderId="2" xfId="0" applyNumberFormat="1" applyFill="1" applyBorder="1" applyAlignment="1">
      <alignment horizontal="right" vertical="center"/>
    </xf>
    <xf numFmtId="49" fontId="5" fillId="3" borderId="2" xfId="0" quotePrefix="1" applyNumberFormat="1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left"/>
    </xf>
    <xf numFmtId="7" fontId="3" fillId="6" borderId="8" xfId="0" applyNumberFormat="1" applyFont="1" applyFill="1" applyBorder="1" applyAlignment="1">
      <alignment horizontal="right"/>
    </xf>
    <xf numFmtId="0" fontId="2" fillId="5" borderId="11" xfId="0" quotePrefix="1" applyFont="1" applyFill="1" applyBorder="1" applyAlignment="1">
      <alignment horizontal="right"/>
    </xf>
    <xf numFmtId="7" fontId="3" fillId="5" borderId="9" xfId="0" applyNumberFormat="1" applyFont="1" applyFill="1" applyBorder="1" applyAlignment="1">
      <alignment horizontal="right"/>
    </xf>
    <xf numFmtId="0" fontId="2" fillId="5" borderId="7" xfId="0" applyFont="1" applyFill="1" applyBorder="1" applyAlignment="1">
      <alignment horizontal="left"/>
    </xf>
    <xf numFmtId="0" fontId="6" fillId="3" borderId="10" xfId="0" quotePrefix="1" applyFont="1" applyFill="1" applyBorder="1" applyAlignment="1">
      <alignment horizontal="left"/>
    </xf>
    <xf numFmtId="0" fontId="3" fillId="3" borderId="0" xfId="0" applyFont="1" applyFill="1" applyAlignment="1">
      <alignment horizontal="right"/>
    </xf>
    <xf numFmtId="1" fontId="0" fillId="3" borderId="0" xfId="0" applyNumberFormat="1" applyFill="1"/>
    <xf numFmtId="0" fontId="3" fillId="6" borderId="17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/>
    </xf>
    <xf numFmtId="0" fontId="0" fillId="2" borderId="7" xfId="0" applyFill="1" applyBorder="1" applyAlignment="1" applyProtection="1">
      <alignment horizontal="left"/>
      <protection locked="0"/>
    </xf>
    <xf numFmtId="0" fontId="0" fillId="2" borderId="9" xfId="0" applyFill="1" applyBorder="1" applyAlignment="1" applyProtection="1">
      <alignment horizontal="left"/>
      <protection locked="0"/>
    </xf>
    <xf numFmtId="0" fontId="3" fillId="5" borderId="2" xfId="0" applyFont="1" applyFill="1" applyBorder="1" applyAlignment="1">
      <alignment horizontal="center"/>
    </xf>
    <xf numFmtId="49" fontId="6" fillId="3" borderId="13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center" vertical="center"/>
    </xf>
    <xf numFmtId="1" fontId="6" fillId="3" borderId="3" xfId="0" quotePrefix="1" applyNumberFormat="1" applyFont="1" applyFill="1" applyBorder="1" applyAlignment="1">
      <alignment horizontal="center" vertical="center"/>
    </xf>
    <xf numFmtId="1" fontId="6" fillId="3" borderId="12" xfId="0" quotePrefix="1" applyNumberFormat="1" applyFont="1" applyFill="1" applyBorder="1" applyAlignment="1">
      <alignment horizontal="center" vertical="center"/>
    </xf>
    <xf numFmtId="1" fontId="6" fillId="3" borderId="3" xfId="0" quotePrefix="1" applyNumberFormat="1" applyFont="1" applyFill="1" applyBorder="1" applyAlignment="1">
      <alignment horizontal="center" vertical="center" wrapText="1"/>
    </xf>
    <xf numFmtId="1" fontId="6" fillId="3" borderId="12" xfId="0" quotePrefix="1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/>
    </xf>
  </cellXfs>
  <cellStyles count="4">
    <cellStyle name="Comma" xfId="2" builtinId="3"/>
    <cellStyle name="Currency 2 2" xfId="3" xr:uid="{757DD3FB-9570-48E8-9132-3873112D4848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1" sqref="A11"/>
    </sheetView>
  </sheetViews>
  <sheetFormatPr defaultColWidth="9.109375" defaultRowHeight="14.4" x14ac:dyDescent="0.3"/>
  <cols>
    <col min="1" max="1" width="87" style="3" customWidth="1"/>
    <col min="2" max="2" width="9.5546875" style="3" bestFit="1" customWidth="1"/>
    <col min="3" max="16384" width="9.109375" style="3"/>
  </cols>
  <sheetData>
    <row r="1" spans="1:2" x14ac:dyDescent="0.3">
      <c r="A1" s="1" t="s">
        <v>91</v>
      </c>
    </row>
    <row r="2" spans="1:2" x14ac:dyDescent="0.3">
      <c r="A2" s="10" t="s">
        <v>26</v>
      </c>
    </row>
    <row r="3" spans="1:2" x14ac:dyDescent="0.3">
      <c r="A3" s="1" t="s">
        <v>7</v>
      </c>
    </row>
    <row r="4" spans="1:2" x14ac:dyDescent="0.3">
      <c r="B4" s="11"/>
    </row>
    <row r="6" spans="1:2" x14ac:dyDescent="0.3">
      <c r="A6" s="3" t="s">
        <v>2</v>
      </c>
    </row>
    <row r="7" spans="1:2" x14ac:dyDescent="0.3">
      <c r="A7" s="3" t="s">
        <v>3</v>
      </c>
    </row>
    <row r="8" spans="1:2" x14ac:dyDescent="0.3">
      <c r="A8" s="3" t="s">
        <v>4</v>
      </c>
    </row>
    <row r="9" spans="1:2" x14ac:dyDescent="0.3">
      <c r="A9" s="3" t="s">
        <v>9</v>
      </c>
    </row>
    <row r="10" spans="1:2" x14ac:dyDescent="0.3">
      <c r="A10" s="3" t="s">
        <v>6</v>
      </c>
    </row>
    <row r="11" spans="1:2" x14ac:dyDescent="0.3">
      <c r="A11" s="3" t="s">
        <v>10</v>
      </c>
    </row>
    <row r="12" spans="1:2" x14ac:dyDescent="0.3">
      <c r="A12" s="3" t="s">
        <v>11</v>
      </c>
    </row>
  </sheetData>
  <sheetProtection algorithmName="SHA-512" hashValue="7cacIGgaJS3HlPTPTeKBSaJoFGczPmjla1/m2GQZ/k4t3Bd25in8GsyEiF8MHApH2WWNISYxjG8+Hd9r/h0Zfw==" saltValue="yz1jagjCRKEgwau1sK9xfQ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45"/>
  <sheetViews>
    <sheetView workbookViewId="0">
      <selection activeCell="C21" sqref="C21"/>
    </sheetView>
  </sheetViews>
  <sheetFormatPr defaultColWidth="9.109375" defaultRowHeight="14.4" x14ac:dyDescent="0.3"/>
  <cols>
    <col min="1" max="1" width="65.88671875" style="2" customWidth="1"/>
    <col min="2" max="2" width="15.6640625" style="2" customWidth="1"/>
    <col min="3" max="3" width="24.109375" style="3" customWidth="1"/>
    <col min="4" max="16384" width="9.109375" style="3"/>
  </cols>
  <sheetData>
    <row r="1" spans="1:3" x14ac:dyDescent="0.3">
      <c r="A1" s="1" t="s">
        <v>91</v>
      </c>
      <c r="B1" s="1"/>
    </row>
    <row r="2" spans="1:3" x14ac:dyDescent="0.3">
      <c r="A2" s="10" t="s">
        <v>26</v>
      </c>
      <c r="B2" s="1"/>
    </row>
    <row r="3" spans="1:3" x14ac:dyDescent="0.3">
      <c r="A3" s="10" t="s">
        <v>8</v>
      </c>
      <c r="B3" s="8"/>
    </row>
    <row r="4" spans="1:3" ht="15" thickBot="1" x14ac:dyDescent="0.35">
      <c r="A4" s="1"/>
      <c r="B4" s="1"/>
    </row>
    <row r="5" spans="1:3" ht="15" thickBot="1" x14ac:dyDescent="0.35">
      <c r="A5" s="6" t="s">
        <v>1</v>
      </c>
      <c r="B5" s="55"/>
      <c r="C5" s="56"/>
    </row>
    <row r="7" spans="1:3" ht="15" thickBot="1" x14ac:dyDescent="0.35"/>
    <row r="8" spans="1:3" x14ac:dyDescent="0.3">
      <c r="A8" s="43" t="s">
        <v>14</v>
      </c>
      <c r="B8" s="42" t="s">
        <v>0</v>
      </c>
      <c r="C8" s="44" t="s">
        <v>13</v>
      </c>
    </row>
    <row r="9" spans="1:3" x14ac:dyDescent="0.3">
      <c r="A9" s="57" t="s">
        <v>80</v>
      </c>
      <c r="B9" s="57"/>
      <c r="C9" s="57"/>
    </row>
    <row r="10" spans="1:3" x14ac:dyDescent="0.3">
      <c r="A10" s="45" t="s">
        <v>105</v>
      </c>
      <c r="B10" s="18" t="s">
        <v>92</v>
      </c>
      <c r="C10" s="14">
        <f>'1st YR Prod.&amp;FAT CLINs'!I8</f>
        <v>0</v>
      </c>
    </row>
    <row r="11" spans="1:3" x14ac:dyDescent="0.3">
      <c r="A11" s="15" t="s">
        <v>100</v>
      </c>
      <c r="B11" s="19" t="s">
        <v>15</v>
      </c>
      <c r="C11" s="13">
        <f>'1st YR Prod.&amp;FAT CLINs'!I12</f>
        <v>0</v>
      </c>
    </row>
    <row r="12" spans="1:3" x14ac:dyDescent="0.3">
      <c r="A12" s="50" t="s">
        <v>101</v>
      </c>
      <c r="B12" s="19" t="s">
        <v>64</v>
      </c>
      <c r="C12" s="13">
        <f>'2nd YR Prod. CLINs'!I11</f>
        <v>0</v>
      </c>
    </row>
    <row r="13" spans="1:3" x14ac:dyDescent="0.3">
      <c r="A13" s="50" t="s">
        <v>102</v>
      </c>
      <c r="B13" s="19" t="s">
        <v>65</v>
      </c>
      <c r="C13" s="13">
        <f>'3rd YR Prod. CLINs'!I11</f>
        <v>0</v>
      </c>
    </row>
    <row r="14" spans="1:3" x14ac:dyDescent="0.3">
      <c r="A14" s="50" t="s">
        <v>103</v>
      </c>
      <c r="B14" s="19" t="s">
        <v>66</v>
      </c>
      <c r="C14" s="13">
        <f>'4th YR Prod. CLINs'!I11</f>
        <v>0</v>
      </c>
    </row>
    <row r="15" spans="1:3" x14ac:dyDescent="0.3">
      <c r="A15" s="50" t="s">
        <v>104</v>
      </c>
      <c r="B15" s="19" t="s">
        <v>67</v>
      </c>
      <c r="C15" s="13">
        <f>'5th YR Prod. CLINs'!I11</f>
        <v>0</v>
      </c>
    </row>
    <row r="16" spans="1:3" x14ac:dyDescent="0.3">
      <c r="A16" s="53" t="s">
        <v>84</v>
      </c>
      <c r="B16" s="54"/>
      <c r="C16" s="46">
        <f>SUM(C10:C15)</f>
        <v>0</v>
      </c>
    </row>
    <row r="17" spans="1:3" x14ac:dyDescent="0.3">
      <c r="A17" s="57" t="s">
        <v>81</v>
      </c>
      <c r="B17" s="57"/>
      <c r="C17" s="57"/>
    </row>
    <row r="18" spans="1:3" x14ac:dyDescent="0.3">
      <c r="A18" s="15" t="s">
        <v>106</v>
      </c>
      <c r="B18" s="19" t="s">
        <v>94</v>
      </c>
      <c r="C18" s="13">
        <f>'1st YR Prod.&amp;FAT CLINs'!I15</f>
        <v>0</v>
      </c>
    </row>
    <row r="19" spans="1:3" x14ac:dyDescent="0.3">
      <c r="A19" s="12" t="s">
        <v>107</v>
      </c>
      <c r="B19" s="19" t="s">
        <v>16</v>
      </c>
      <c r="C19" s="13">
        <f>'1st YR Prod.&amp;FAT CLINs'!I21</f>
        <v>0</v>
      </c>
    </row>
    <row r="20" spans="1:3" x14ac:dyDescent="0.3">
      <c r="A20" s="12" t="s">
        <v>108</v>
      </c>
      <c r="B20" s="19" t="s">
        <v>68</v>
      </c>
      <c r="C20" s="13">
        <f>'2nd YR Prod. CLINs'!I19</f>
        <v>0</v>
      </c>
    </row>
    <row r="21" spans="1:3" x14ac:dyDescent="0.3">
      <c r="A21" s="12" t="s">
        <v>109</v>
      </c>
      <c r="B21" s="19" t="s">
        <v>71</v>
      </c>
      <c r="C21" s="13">
        <f>'3rd YR Prod. CLINs'!I19</f>
        <v>0</v>
      </c>
    </row>
    <row r="22" spans="1:3" x14ac:dyDescent="0.3">
      <c r="A22" s="12" t="s">
        <v>110</v>
      </c>
      <c r="B22" s="19" t="s">
        <v>74</v>
      </c>
      <c r="C22" s="13">
        <f>'4th YR Prod. CLINs'!I19</f>
        <v>0</v>
      </c>
    </row>
    <row r="23" spans="1:3" x14ac:dyDescent="0.3">
      <c r="A23" s="12" t="s">
        <v>111</v>
      </c>
      <c r="B23" s="19" t="s">
        <v>77</v>
      </c>
      <c r="C23" s="13">
        <f>'5th YR Prod. CLINs'!I19</f>
        <v>0</v>
      </c>
    </row>
    <row r="24" spans="1:3" x14ac:dyDescent="0.3">
      <c r="A24" s="53" t="s">
        <v>84</v>
      </c>
      <c r="B24" s="54"/>
      <c r="C24" s="46">
        <f>SUM(C18:C23)</f>
        <v>0</v>
      </c>
    </row>
    <row r="25" spans="1:3" x14ac:dyDescent="0.3">
      <c r="A25" s="57" t="s">
        <v>82</v>
      </c>
      <c r="B25" s="57"/>
      <c r="C25" s="57"/>
    </row>
    <row r="26" spans="1:3" x14ac:dyDescent="0.3">
      <c r="A26" s="12" t="s">
        <v>112</v>
      </c>
      <c r="B26" s="19" t="s">
        <v>95</v>
      </c>
      <c r="C26" s="13">
        <f>'1st YR Prod.&amp;FAT CLINs'!I24</f>
        <v>0</v>
      </c>
    </row>
    <row r="27" spans="1:3" x14ac:dyDescent="0.3">
      <c r="A27" s="12" t="s">
        <v>113</v>
      </c>
      <c r="B27" s="19" t="s">
        <v>25</v>
      </c>
      <c r="C27" s="13">
        <f>'1st YR Prod.&amp;FAT CLINs'!I30</f>
        <v>0</v>
      </c>
    </row>
    <row r="28" spans="1:3" x14ac:dyDescent="0.3">
      <c r="A28" s="12" t="s">
        <v>114</v>
      </c>
      <c r="B28" s="19" t="s">
        <v>69</v>
      </c>
      <c r="C28" s="13">
        <f>'2nd YR Prod. CLINs'!I27</f>
        <v>0</v>
      </c>
    </row>
    <row r="29" spans="1:3" x14ac:dyDescent="0.3">
      <c r="A29" s="12" t="s">
        <v>115</v>
      </c>
      <c r="B29" s="19" t="s">
        <v>72</v>
      </c>
      <c r="C29" s="13">
        <f>'3rd YR Prod. CLINs'!I27</f>
        <v>0</v>
      </c>
    </row>
    <row r="30" spans="1:3" x14ac:dyDescent="0.3">
      <c r="A30" s="12" t="s">
        <v>116</v>
      </c>
      <c r="B30" s="19" t="s">
        <v>75</v>
      </c>
      <c r="C30" s="13">
        <f>'4th YR Prod. CLINs'!I27</f>
        <v>0</v>
      </c>
    </row>
    <row r="31" spans="1:3" x14ac:dyDescent="0.3">
      <c r="A31" s="12" t="s">
        <v>117</v>
      </c>
      <c r="B31" s="19" t="s">
        <v>78</v>
      </c>
      <c r="C31" s="13">
        <f>'5th YR Prod. CLINs'!I27</f>
        <v>0</v>
      </c>
    </row>
    <row r="32" spans="1:3" x14ac:dyDescent="0.3">
      <c r="A32" s="53" t="s">
        <v>84</v>
      </c>
      <c r="B32" s="54"/>
      <c r="C32" s="46">
        <f>SUM(C26:C31)</f>
        <v>0</v>
      </c>
    </row>
    <row r="33" spans="1:3" x14ac:dyDescent="0.3">
      <c r="A33" s="57" t="s">
        <v>83</v>
      </c>
      <c r="B33" s="57"/>
      <c r="C33" s="57"/>
    </row>
    <row r="34" spans="1:3" x14ac:dyDescent="0.3">
      <c r="A34" s="12" t="s">
        <v>118</v>
      </c>
      <c r="B34" s="19" t="s">
        <v>96</v>
      </c>
      <c r="C34" s="13">
        <f>'1st YR Prod.&amp;FAT CLINs'!I33</f>
        <v>0</v>
      </c>
    </row>
    <row r="35" spans="1:3" x14ac:dyDescent="0.3">
      <c r="A35" s="12" t="s">
        <v>119</v>
      </c>
      <c r="B35" s="19" t="s">
        <v>63</v>
      </c>
      <c r="C35" s="13">
        <f>'1st YR Prod.&amp;FAT CLINs'!I38</f>
        <v>0</v>
      </c>
    </row>
    <row r="36" spans="1:3" x14ac:dyDescent="0.3">
      <c r="A36" s="12" t="s">
        <v>120</v>
      </c>
      <c r="B36" s="19" t="s">
        <v>70</v>
      </c>
      <c r="C36" s="13">
        <f>'2nd YR Prod. CLINs'!I34</f>
        <v>0</v>
      </c>
    </row>
    <row r="37" spans="1:3" x14ac:dyDescent="0.3">
      <c r="A37" s="12" t="s">
        <v>121</v>
      </c>
      <c r="B37" s="19" t="s">
        <v>73</v>
      </c>
      <c r="C37" s="13">
        <f>'3rd YR Prod. CLINs'!I34</f>
        <v>0</v>
      </c>
    </row>
    <row r="38" spans="1:3" x14ac:dyDescent="0.3">
      <c r="A38" s="12" t="s">
        <v>122</v>
      </c>
      <c r="B38" s="19" t="s">
        <v>76</v>
      </c>
      <c r="C38" s="13">
        <f>'4th YR Prod. CLINs'!I34</f>
        <v>0</v>
      </c>
    </row>
    <row r="39" spans="1:3" x14ac:dyDescent="0.3">
      <c r="A39" s="12" t="s">
        <v>123</v>
      </c>
      <c r="B39" s="19" t="s">
        <v>79</v>
      </c>
      <c r="C39" s="13">
        <f>'5th YR Prod. CLINs'!I34</f>
        <v>0</v>
      </c>
    </row>
    <row r="40" spans="1:3" ht="15" thickBot="1" x14ac:dyDescent="0.35">
      <c r="A40" s="53" t="s">
        <v>84</v>
      </c>
      <c r="B40" s="54"/>
      <c r="C40" s="46">
        <f>SUM(C34:C39)</f>
        <v>0</v>
      </c>
    </row>
    <row r="41" spans="1:3" ht="15" thickBot="1" x14ac:dyDescent="0.35">
      <c r="A41" s="49"/>
      <c r="B41" s="47" t="s">
        <v>20</v>
      </c>
      <c r="C41" s="48">
        <f>C16+C24+C32+C40</f>
        <v>0</v>
      </c>
    </row>
    <row r="45" spans="1:3" x14ac:dyDescent="0.3">
      <c r="A45" s="9"/>
    </row>
  </sheetData>
  <sheetProtection algorithmName="SHA-512" hashValue="5TwkKiKjRGk7EGeXpqChH+ynmu5A/usrxEo6CRInkjZlhhNm6h2Y6Al/HDaFTPol9+3FeQbCNEEm3v44Vam9QA==" saltValue="m1u5hnU8E1zEjxWkwbc+bw==" spinCount="100000" sheet="1" objects="1" scenarios="1"/>
  <mergeCells count="9">
    <mergeCell ref="A40:B40"/>
    <mergeCell ref="B5:C5"/>
    <mergeCell ref="A9:C9"/>
    <mergeCell ref="A17:C17"/>
    <mergeCell ref="A25:C25"/>
    <mergeCell ref="A33:C33"/>
    <mergeCell ref="A16:B16"/>
    <mergeCell ref="A24:B24"/>
    <mergeCell ref="A32:B32"/>
  </mergeCells>
  <phoneticPr fontId="8" type="noConversion"/>
  <pageMargins left="0.7" right="0.7" top="0.75" bottom="0.75" header="0.3" footer="0.3"/>
  <pageSetup paperSize="5" scale="41" fitToHeight="0" orientation="portrait" verticalDpi="597" r:id="rId1"/>
  <ignoredErrors>
    <ignoredError sqref="B10:B15 B18:B23 B26:B31 B34:B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1955-783C-4988-9D5A-7BDC2787FEF3}">
  <dimension ref="A1:P82"/>
  <sheetViews>
    <sheetView workbookViewId="0">
      <selection activeCell="B8" sqref="B8:D24"/>
    </sheetView>
  </sheetViews>
  <sheetFormatPr defaultColWidth="9.109375" defaultRowHeight="14.4" x14ac:dyDescent="0.3"/>
  <cols>
    <col min="1" max="1" width="16.44140625" style="3" customWidth="1"/>
    <col min="2" max="2" width="20.77734375" style="3" customWidth="1"/>
    <col min="3" max="3" width="15.77734375" style="3" customWidth="1"/>
    <col min="4" max="4" width="50.5546875" style="3" customWidth="1"/>
    <col min="5" max="5" width="14.109375" style="3" bestFit="1" customWidth="1"/>
    <col min="6" max="7" width="17.109375" style="3" customWidth="1"/>
    <col min="8" max="8" width="20.6640625" style="3" bestFit="1" customWidth="1"/>
    <col min="9" max="9" width="21.44140625" style="3" bestFit="1" customWidth="1"/>
    <col min="10" max="10" width="14.6640625" style="3" customWidth="1"/>
    <col min="11" max="11" width="15.6640625" style="3" customWidth="1"/>
    <col min="12" max="13" width="14.6640625" style="3" customWidth="1"/>
    <col min="14" max="14" width="15.6640625" style="3" customWidth="1"/>
    <col min="15" max="15" width="1" style="3" customWidth="1"/>
    <col min="16" max="17" width="14.6640625" style="3" customWidth="1"/>
    <col min="18" max="18" width="15.6640625" style="3" customWidth="1"/>
    <col min="19" max="16384" width="9.109375" style="3"/>
  </cols>
  <sheetData>
    <row r="1" spans="1:16" x14ac:dyDescent="0.3">
      <c r="A1" s="20" t="s">
        <v>91</v>
      </c>
      <c r="E1" s="5"/>
      <c r="I1" s="5"/>
      <c r="L1" s="5"/>
      <c r="P1" s="5"/>
    </row>
    <row r="2" spans="1:16" x14ac:dyDescent="0.3">
      <c r="A2" s="4" t="s">
        <v>26</v>
      </c>
      <c r="E2" s="5"/>
      <c r="I2" s="5"/>
      <c r="L2" s="5"/>
      <c r="P2" s="5"/>
    </row>
    <row r="3" spans="1:16" x14ac:dyDescent="0.3">
      <c r="A3" s="32" t="s">
        <v>37</v>
      </c>
      <c r="B3"/>
    </row>
    <row r="4" spans="1:16" x14ac:dyDescent="0.3">
      <c r="A4" s="4"/>
    </row>
    <row r="5" spans="1:16" x14ac:dyDescent="0.3">
      <c r="A5" s="51" t="s">
        <v>1</v>
      </c>
      <c r="B5" s="65" t="str">
        <f>IF(ISBLANK(Summary!B5),"See Summary Tab",Summary!B5)</f>
        <v>See Summary Tab</v>
      </c>
      <c r="C5" s="65"/>
      <c r="D5" s="65"/>
    </row>
    <row r="6" spans="1:16" x14ac:dyDescent="0.3">
      <c r="A6" s="4"/>
    </row>
    <row r="7" spans="1:16" ht="28.8" x14ac:dyDescent="0.3">
      <c r="A7" s="33" t="s">
        <v>0</v>
      </c>
      <c r="B7" s="33" t="s">
        <v>18</v>
      </c>
      <c r="C7" s="33" t="s">
        <v>19</v>
      </c>
      <c r="D7" s="33" t="s">
        <v>17</v>
      </c>
      <c r="E7" s="33" t="s">
        <v>5</v>
      </c>
      <c r="F7" s="34" t="s">
        <v>21</v>
      </c>
      <c r="G7" s="33" t="s">
        <v>22</v>
      </c>
      <c r="H7" s="34" t="s">
        <v>12</v>
      </c>
      <c r="I7" s="34" t="s">
        <v>23</v>
      </c>
    </row>
    <row r="8" spans="1:16" x14ac:dyDescent="0.3">
      <c r="A8" s="35" t="s">
        <v>93</v>
      </c>
      <c r="B8" s="36" t="s">
        <v>29</v>
      </c>
      <c r="C8" s="36" t="s">
        <v>46</v>
      </c>
      <c r="D8" s="36" t="s">
        <v>105</v>
      </c>
      <c r="E8" s="36">
        <v>1</v>
      </c>
      <c r="F8" s="36" t="s">
        <v>46</v>
      </c>
      <c r="G8" s="36" t="s">
        <v>46</v>
      </c>
      <c r="H8" s="7"/>
      <c r="I8" s="25">
        <f>ROUND(E8*H8,2)</f>
        <v>0</v>
      </c>
    </row>
    <row r="9" spans="1:16" x14ac:dyDescent="0.3">
      <c r="A9" s="58" t="s">
        <v>42</v>
      </c>
      <c r="B9" s="61" t="s">
        <v>29</v>
      </c>
      <c r="C9" s="61" t="s">
        <v>85</v>
      </c>
      <c r="D9" s="63" t="s">
        <v>100</v>
      </c>
      <c r="E9" s="63">
        <v>20</v>
      </c>
      <c r="F9" s="41" t="s">
        <v>31</v>
      </c>
      <c r="G9" s="17">
        <v>0.1</v>
      </c>
      <c r="H9" s="7"/>
      <c r="I9" s="21"/>
    </row>
    <row r="10" spans="1:16" x14ac:dyDescent="0.3">
      <c r="A10" s="59"/>
      <c r="B10" s="61"/>
      <c r="C10" s="61"/>
      <c r="D10" s="63"/>
      <c r="E10" s="63"/>
      <c r="F10" s="41" t="s">
        <v>32</v>
      </c>
      <c r="G10" s="17">
        <v>0.8</v>
      </c>
      <c r="H10" s="7"/>
      <c r="I10" s="21"/>
    </row>
    <row r="11" spans="1:16" x14ac:dyDescent="0.3">
      <c r="A11" s="59"/>
      <c r="B11" s="61"/>
      <c r="C11" s="61"/>
      <c r="D11" s="63"/>
      <c r="E11" s="63"/>
      <c r="F11" s="41" t="s">
        <v>34</v>
      </c>
      <c r="G11" s="17">
        <v>0.1</v>
      </c>
      <c r="H11" s="7"/>
      <c r="I11" s="21"/>
    </row>
    <row r="12" spans="1:16" x14ac:dyDescent="0.3">
      <c r="A12" s="60"/>
      <c r="B12" s="62"/>
      <c r="C12" s="62"/>
      <c r="D12" s="64"/>
      <c r="E12" s="64"/>
      <c r="F12" s="23"/>
      <c r="G12" s="24" t="s">
        <v>24</v>
      </c>
      <c r="H12" s="25">
        <f>ROUND((G9*H9)+(G10*H10)+(G11*H11),2)</f>
        <v>0</v>
      </c>
      <c r="I12" s="25">
        <f>ROUND(E9*H12,2)</f>
        <v>0</v>
      </c>
    </row>
    <row r="13" spans="1:16" x14ac:dyDescent="0.3">
      <c r="A13" s="26"/>
      <c r="B13" s="27"/>
      <c r="C13" s="27"/>
      <c r="D13" s="28"/>
      <c r="E13" s="28"/>
      <c r="F13" s="29"/>
      <c r="G13" s="30"/>
      <c r="H13" s="31"/>
      <c r="I13" s="31"/>
    </row>
    <row r="14" spans="1:16" ht="28.8" x14ac:dyDescent="0.3">
      <c r="A14" s="33" t="s">
        <v>0</v>
      </c>
      <c r="B14" s="33" t="s">
        <v>18</v>
      </c>
      <c r="C14" s="33" t="s">
        <v>19</v>
      </c>
      <c r="D14" s="33" t="s">
        <v>17</v>
      </c>
      <c r="E14" s="33" t="s">
        <v>5</v>
      </c>
      <c r="F14" s="34" t="s">
        <v>21</v>
      </c>
      <c r="G14" s="33" t="s">
        <v>22</v>
      </c>
      <c r="H14" s="34" t="s">
        <v>12</v>
      </c>
      <c r="I14" s="34" t="s">
        <v>23</v>
      </c>
    </row>
    <row r="15" spans="1:16" x14ac:dyDescent="0.3">
      <c r="A15" s="38" t="s">
        <v>97</v>
      </c>
      <c r="B15" s="37" t="s">
        <v>30</v>
      </c>
      <c r="C15" s="36" t="s">
        <v>46</v>
      </c>
      <c r="D15" s="37" t="s">
        <v>106</v>
      </c>
      <c r="E15" s="37">
        <v>1</v>
      </c>
      <c r="F15" s="37" t="s">
        <v>46</v>
      </c>
      <c r="G15" s="37" t="s">
        <v>46</v>
      </c>
      <c r="H15" s="39"/>
      <c r="I15" s="40">
        <f>ROUND(E15*H15,2)</f>
        <v>0</v>
      </c>
    </row>
    <row r="16" spans="1:16" x14ac:dyDescent="0.3">
      <c r="A16" s="58" t="s">
        <v>43</v>
      </c>
      <c r="B16" s="61" t="s">
        <v>30</v>
      </c>
      <c r="C16" s="61" t="s">
        <v>86</v>
      </c>
      <c r="D16" s="63" t="s">
        <v>107</v>
      </c>
      <c r="E16" s="63">
        <v>221</v>
      </c>
      <c r="F16" s="41" t="s">
        <v>31</v>
      </c>
      <c r="G16" s="17">
        <v>0.1</v>
      </c>
      <c r="H16" s="7"/>
      <c r="I16" s="21"/>
    </row>
    <row r="17" spans="1:9" x14ac:dyDescent="0.3">
      <c r="A17" s="59"/>
      <c r="B17" s="61"/>
      <c r="C17" s="61"/>
      <c r="D17" s="63"/>
      <c r="E17" s="63"/>
      <c r="F17" s="41" t="s">
        <v>32</v>
      </c>
      <c r="G17" s="17">
        <v>0.1</v>
      </c>
      <c r="H17" s="7"/>
      <c r="I17" s="21"/>
    </row>
    <row r="18" spans="1:9" x14ac:dyDescent="0.3">
      <c r="A18" s="59"/>
      <c r="B18" s="61"/>
      <c r="C18" s="61"/>
      <c r="D18" s="63"/>
      <c r="E18" s="63"/>
      <c r="F18" s="41" t="s">
        <v>34</v>
      </c>
      <c r="G18" s="17">
        <v>0.1</v>
      </c>
      <c r="H18" s="7"/>
      <c r="I18" s="21"/>
    </row>
    <row r="19" spans="1:9" x14ac:dyDescent="0.3">
      <c r="A19" s="59"/>
      <c r="B19" s="61"/>
      <c r="C19" s="61"/>
      <c r="D19" s="63"/>
      <c r="E19" s="63"/>
      <c r="F19" s="41" t="s">
        <v>35</v>
      </c>
      <c r="G19" s="17">
        <v>0.1</v>
      </c>
      <c r="H19" s="7"/>
      <c r="I19" s="21"/>
    </row>
    <row r="20" spans="1:9" x14ac:dyDescent="0.3">
      <c r="A20" s="59"/>
      <c r="B20" s="61"/>
      <c r="C20" s="61"/>
      <c r="D20" s="63"/>
      <c r="E20" s="63"/>
      <c r="F20" s="41" t="s">
        <v>89</v>
      </c>
      <c r="G20" s="17">
        <v>0.6</v>
      </c>
      <c r="H20" s="7"/>
      <c r="I20" s="22"/>
    </row>
    <row r="21" spans="1:9" x14ac:dyDescent="0.3">
      <c r="A21" s="60"/>
      <c r="B21" s="62"/>
      <c r="C21" s="62"/>
      <c r="D21" s="64"/>
      <c r="E21" s="64"/>
      <c r="F21" s="23"/>
      <c r="G21" s="24" t="s">
        <v>24</v>
      </c>
      <c r="H21" s="25">
        <f>ROUND((G16*H16)+(G17*H17)+(G18*H18)+(G20*H20)+(G19*H19),2)</f>
        <v>0</v>
      </c>
      <c r="I21" s="25">
        <f>ROUND(E16*H21,2)</f>
        <v>0</v>
      </c>
    </row>
    <row r="22" spans="1:9" x14ac:dyDescent="0.3">
      <c r="A22" s="26"/>
      <c r="B22" s="27"/>
      <c r="C22" s="27"/>
      <c r="D22" s="28"/>
      <c r="E22" s="28"/>
      <c r="F22" s="29"/>
      <c r="G22" s="30"/>
      <c r="H22" s="31"/>
      <c r="I22" s="31"/>
    </row>
    <row r="23" spans="1:9" ht="28.8" x14ac:dyDescent="0.3">
      <c r="A23" s="33" t="s">
        <v>0</v>
      </c>
      <c r="B23" s="33" t="s">
        <v>18</v>
      </c>
      <c r="C23" s="33" t="s">
        <v>19</v>
      </c>
      <c r="D23" s="33" t="s">
        <v>17</v>
      </c>
      <c r="E23" s="33" t="s">
        <v>5</v>
      </c>
      <c r="F23" s="34" t="s">
        <v>21</v>
      </c>
      <c r="G23" s="33" t="s">
        <v>22</v>
      </c>
      <c r="H23" s="34" t="s">
        <v>12</v>
      </c>
      <c r="I23" s="34" t="s">
        <v>23</v>
      </c>
    </row>
    <row r="24" spans="1:9" x14ac:dyDescent="0.3">
      <c r="A24" s="38" t="s">
        <v>98</v>
      </c>
      <c r="B24" s="37" t="s">
        <v>27</v>
      </c>
      <c r="C24" s="36" t="s">
        <v>46</v>
      </c>
      <c r="D24" s="36" t="s">
        <v>112</v>
      </c>
      <c r="E24" s="36">
        <v>1</v>
      </c>
      <c r="F24" s="36" t="s">
        <v>46</v>
      </c>
      <c r="G24" s="36" t="s">
        <v>46</v>
      </c>
      <c r="H24" s="7"/>
      <c r="I24" s="25">
        <f>ROUND(E24*H24,2)</f>
        <v>0</v>
      </c>
    </row>
    <row r="25" spans="1:9" x14ac:dyDescent="0.3">
      <c r="A25" s="58" t="s">
        <v>44</v>
      </c>
      <c r="B25" s="61" t="s">
        <v>27</v>
      </c>
      <c r="C25" s="61" t="s">
        <v>87</v>
      </c>
      <c r="D25" s="63" t="s">
        <v>113</v>
      </c>
      <c r="E25" s="63">
        <v>368</v>
      </c>
      <c r="F25" s="41" t="s">
        <v>31</v>
      </c>
      <c r="G25" s="17">
        <v>0.1</v>
      </c>
      <c r="H25" s="7"/>
      <c r="I25" s="21"/>
    </row>
    <row r="26" spans="1:9" x14ac:dyDescent="0.3">
      <c r="A26" s="59"/>
      <c r="B26" s="61"/>
      <c r="C26" s="61"/>
      <c r="D26" s="63"/>
      <c r="E26" s="63"/>
      <c r="F26" s="41" t="s">
        <v>32</v>
      </c>
      <c r="G26" s="17">
        <v>0.1</v>
      </c>
      <c r="H26" s="7"/>
      <c r="I26" s="21"/>
    </row>
    <row r="27" spans="1:9" x14ac:dyDescent="0.3">
      <c r="A27" s="59"/>
      <c r="B27" s="61"/>
      <c r="C27" s="61"/>
      <c r="D27" s="63"/>
      <c r="E27" s="63"/>
      <c r="F27" s="41" t="s">
        <v>34</v>
      </c>
      <c r="G27" s="17">
        <v>0.1</v>
      </c>
      <c r="H27" s="7"/>
      <c r="I27" s="21"/>
    </row>
    <row r="28" spans="1:9" x14ac:dyDescent="0.3">
      <c r="A28" s="59"/>
      <c r="B28" s="61"/>
      <c r="C28" s="61"/>
      <c r="D28" s="63"/>
      <c r="E28" s="63"/>
      <c r="F28" s="41" t="s">
        <v>35</v>
      </c>
      <c r="G28" s="17">
        <v>0.1</v>
      </c>
      <c r="H28" s="7"/>
      <c r="I28" s="21"/>
    </row>
    <row r="29" spans="1:9" x14ac:dyDescent="0.3">
      <c r="A29" s="59"/>
      <c r="B29" s="61"/>
      <c r="C29" s="61"/>
      <c r="D29" s="63"/>
      <c r="E29" s="63"/>
      <c r="F29" s="41" t="s">
        <v>36</v>
      </c>
      <c r="G29" s="17">
        <v>0.6</v>
      </c>
      <c r="H29" s="7"/>
      <c r="I29" s="22"/>
    </row>
    <row r="30" spans="1:9" x14ac:dyDescent="0.3">
      <c r="A30" s="60"/>
      <c r="B30" s="62"/>
      <c r="C30" s="62"/>
      <c r="D30" s="64"/>
      <c r="E30" s="64"/>
      <c r="F30" s="23"/>
      <c r="G30" s="24" t="s">
        <v>24</v>
      </c>
      <c r="H30" s="25">
        <f>ROUND((G25*H25)+(G26*H26)+(G27*H27)+(G28*H28)+(G29*H29),2)</f>
        <v>0</v>
      </c>
      <c r="I30" s="25">
        <f>ROUND(E25*H30,2)</f>
        <v>0</v>
      </c>
    </row>
    <row r="31" spans="1:9" x14ac:dyDescent="0.3">
      <c r="A31" s="26"/>
      <c r="B31" s="27"/>
      <c r="C31" s="27"/>
      <c r="D31" s="28"/>
      <c r="E31" s="28"/>
      <c r="F31" s="29"/>
      <c r="G31" s="30"/>
      <c r="H31" s="31"/>
      <c r="I31" s="31"/>
    </row>
    <row r="32" spans="1:9" ht="28.8" x14ac:dyDescent="0.3">
      <c r="A32" s="33" t="s">
        <v>0</v>
      </c>
      <c r="B32" s="33" t="s">
        <v>18</v>
      </c>
      <c r="C32" s="33" t="s">
        <v>19</v>
      </c>
      <c r="D32" s="33" t="s">
        <v>17</v>
      </c>
      <c r="E32" s="33" t="s">
        <v>5</v>
      </c>
      <c r="F32" s="34" t="s">
        <v>21</v>
      </c>
      <c r="G32" s="33" t="s">
        <v>22</v>
      </c>
      <c r="H32" s="34" t="s">
        <v>12</v>
      </c>
      <c r="I32" s="34" t="s">
        <v>23</v>
      </c>
    </row>
    <row r="33" spans="1:9" x14ac:dyDescent="0.3">
      <c r="A33" s="38" t="s">
        <v>99</v>
      </c>
      <c r="B33" s="37" t="s">
        <v>28</v>
      </c>
      <c r="C33" s="36" t="s">
        <v>46</v>
      </c>
      <c r="D33" s="36" t="s">
        <v>118</v>
      </c>
      <c r="E33" s="36">
        <v>1</v>
      </c>
      <c r="F33" s="36" t="s">
        <v>46</v>
      </c>
      <c r="G33" s="36" t="s">
        <v>46</v>
      </c>
      <c r="H33" s="7"/>
      <c r="I33" s="25">
        <f>ROUND(E33*H33,2)</f>
        <v>0</v>
      </c>
    </row>
    <row r="34" spans="1:9" x14ac:dyDescent="0.3">
      <c r="A34" s="58" t="s">
        <v>45</v>
      </c>
      <c r="B34" s="61" t="s">
        <v>28</v>
      </c>
      <c r="C34" s="61" t="s">
        <v>88</v>
      </c>
      <c r="D34" s="63" t="s">
        <v>119</v>
      </c>
      <c r="E34" s="63">
        <v>128</v>
      </c>
      <c r="F34" s="41" t="s">
        <v>31</v>
      </c>
      <c r="G34" s="17">
        <v>0.1</v>
      </c>
      <c r="H34" s="7"/>
      <c r="I34" s="21"/>
    </row>
    <row r="35" spans="1:9" x14ac:dyDescent="0.3">
      <c r="A35" s="59"/>
      <c r="B35" s="61"/>
      <c r="C35" s="61"/>
      <c r="D35" s="63"/>
      <c r="E35" s="63"/>
      <c r="F35" s="41" t="s">
        <v>32</v>
      </c>
      <c r="G35" s="17">
        <v>0.1</v>
      </c>
      <c r="H35" s="7"/>
      <c r="I35" s="21"/>
    </row>
    <row r="36" spans="1:9" x14ac:dyDescent="0.3">
      <c r="A36" s="59"/>
      <c r="B36" s="61"/>
      <c r="C36" s="61"/>
      <c r="D36" s="63"/>
      <c r="E36" s="63"/>
      <c r="F36" s="41" t="s">
        <v>33</v>
      </c>
      <c r="G36" s="17">
        <v>0.1</v>
      </c>
      <c r="H36" s="7"/>
      <c r="I36" s="21"/>
    </row>
    <row r="37" spans="1:9" x14ac:dyDescent="0.3">
      <c r="A37" s="59"/>
      <c r="B37" s="61"/>
      <c r="C37" s="61"/>
      <c r="D37" s="63"/>
      <c r="E37" s="63"/>
      <c r="F37" s="41" t="s">
        <v>90</v>
      </c>
      <c r="G37" s="17">
        <v>0.7</v>
      </c>
      <c r="H37" s="7"/>
      <c r="I37" s="21"/>
    </row>
    <row r="38" spans="1:9" x14ac:dyDescent="0.3">
      <c r="A38" s="60"/>
      <c r="B38" s="62"/>
      <c r="C38" s="62"/>
      <c r="D38" s="64"/>
      <c r="E38" s="64"/>
      <c r="F38" s="23"/>
      <c r="G38" s="24" t="s">
        <v>24</v>
      </c>
      <c r="H38" s="25">
        <f>ROUND((G34*H34)+(G35*H35)+(G36*H36)+(G37*H37),2)</f>
        <v>0</v>
      </c>
      <c r="I38" s="25">
        <f>ROUND(E34*H38,2)</f>
        <v>0</v>
      </c>
    </row>
    <row r="40" spans="1:9" s="16" customFormat="1" x14ac:dyDescent="0.3"/>
    <row r="44" spans="1:9" ht="15.6" customHeight="1" x14ac:dyDescent="0.3"/>
    <row r="46" spans="1:9" x14ac:dyDescent="0.3">
      <c r="A46" s="26"/>
      <c r="B46" s="27"/>
      <c r="C46" s="27"/>
      <c r="D46" s="28"/>
      <c r="E46" s="28"/>
      <c r="F46" s="29"/>
      <c r="G46" s="30"/>
      <c r="H46" s="31"/>
      <c r="I46" s="31"/>
    </row>
    <row r="53" spans="1:9" x14ac:dyDescent="0.3">
      <c r="A53" s="26"/>
      <c r="B53" s="27"/>
      <c r="C53" s="27"/>
      <c r="D53" s="28"/>
      <c r="E53" s="28"/>
      <c r="F53" s="29"/>
      <c r="G53" s="30"/>
      <c r="H53" s="31"/>
      <c r="I53" s="31"/>
    </row>
    <row r="57" spans="1:9" ht="15" customHeight="1" x14ac:dyDescent="0.3"/>
    <row r="58" spans="1:9" ht="15" customHeight="1" x14ac:dyDescent="0.3"/>
    <row r="64" spans="1:9" ht="15" customHeight="1" x14ac:dyDescent="0.3"/>
    <row r="68" ht="30" customHeight="1" x14ac:dyDescent="0.3"/>
    <row r="82" ht="30" customHeight="1" x14ac:dyDescent="0.3"/>
  </sheetData>
  <sheetProtection algorithmName="SHA-512" hashValue="dbQFuTx6VCvv5SbOefhGoeCbhwp4N/2kLeK/qYik+QvhyxBtW88o4+kblOXme8ktYqxOGiEgj8t4JREJBkFz4g==" saltValue="TvHdyCf2RveMZyCADNWRMQ==" spinCount="100000" sheet="1" objects="1" scenarios="1"/>
  <mergeCells count="21">
    <mergeCell ref="B5:D5"/>
    <mergeCell ref="A16:A21"/>
    <mergeCell ref="B16:B21"/>
    <mergeCell ref="C16:C21"/>
    <mergeCell ref="D16:D21"/>
    <mergeCell ref="E16:E21"/>
    <mergeCell ref="A9:A12"/>
    <mergeCell ref="B9:B12"/>
    <mergeCell ref="C9:C12"/>
    <mergeCell ref="D9:D12"/>
    <mergeCell ref="E9:E12"/>
    <mergeCell ref="A34:A38"/>
    <mergeCell ref="B34:B38"/>
    <mergeCell ref="C34:C38"/>
    <mergeCell ref="D34:D38"/>
    <mergeCell ref="E34:E38"/>
    <mergeCell ref="A25:A30"/>
    <mergeCell ref="B25:B30"/>
    <mergeCell ref="C25:C30"/>
    <mergeCell ref="D25:D30"/>
    <mergeCell ref="E25:E30"/>
  </mergeCells>
  <pageMargins left="0.7" right="0.7" top="0.75" bottom="0.75" header="0.3" footer="0.3"/>
  <pageSetup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8E59-BF7A-461B-B352-2C2B988B1644}">
  <dimension ref="A1:P78"/>
  <sheetViews>
    <sheetView workbookViewId="0"/>
  </sheetViews>
  <sheetFormatPr defaultColWidth="9.109375" defaultRowHeight="14.4" x14ac:dyDescent="0.3"/>
  <cols>
    <col min="1" max="1" width="16.44140625" style="3" customWidth="1"/>
    <col min="2" max="2" width="20.77734375" style="3" customWidth="1"/>
    <col min="3" max="3" width="15.77734375" style="3" customWidth="1"/>
    <col min="4" max="4" width="50.5546875" style="3" customWidth="1"/>
    <col min="5" max="5" width="14.109375" style="3" bestFit="1" customWidth="1"/>
    <col min="6" max="7" width="17.109375" style="3" customWidth="1"/>
    <col min="8" max="8" width="20.6640625" style="3" bestFit="1" customWidth="1"/>
    <col min="9" max="9" width="21.44140625" style="3" bestFit="1" customWidth="1"/>
    <col min="10" max="10" width="14.6640625" style="3" customWidth="1"/>
    <col min="11" max="11" width="15.6640625" style="3" customWidth="1"/>
    <col min="12" max="13" width="14.6640625" style="3" customWidth="1"/>
    <col min="14" max="14" width="15.6640625" style="3" customWidth="1"/>
    <col min="15" max="15" width="1" style="3" customWidth="1"/>
    <col min="16" max="17" width="14.6640625" style="3" customWidth="1"/>
    <col min="18" max="18" width="15.6640625" style="3" customWidth="1"/>
    <col min="19" max="16384" width="9.109375" style="3"/>
  </cols>
  <sheetData>
    <row r="1" spans="1:16" x14ac:dyDescent="0.3">
      <c r="A1" s="20" t="s">
        <v>91</v>
      </c>
      <c r="E1" s="5"/>
      <c r="I1" s="5"/>
      <c r="L1" s="5"/>
      <c r="P1" s="5"/>
    </row>
    <row r="2" spans="1:16" x14ac:dyDescent="0.3">
      <c r="A2" s="4" t="s">
        <v>26</v>
      </c>
      <c r="E2" s="5"/>
      <c r="I2" s="5"/>
      <c r="L2" s="5"/>
      <c r="P2" s="5"/>
    </row>
    <row r="3" spans="1:16" x14ac:dyDescent="0.3">
      <c r="A3" s="32" t="s">
        <v>38</v>
      </c>
      <c r="B3"/>
    </row>
    <row r="4" spans="1:16" x14ac:dyDescent="0.3">
      <c r="A4" s="4"/>
    </row>
    <row r="5" spans="1:16" x14ac:dyDescent="0.3">
      <c r="A5" s="51" t="s">
        <v>1</v>
      </c>
      <c r="B5" s="65" t="str">
        <f>IF(ISBLANK(Summary!B5),"See Summary Tab",Summary!B5)</f>
        <v>See Summary Tab</v>
      </c>
      <c r="C5" s="65"/>
      <c r="D5" s="65"/>
    </row>
    <row r="6" spans="1:16" x14ac:dyDescent="0.3">
      <c r="A6" s="4"/>
    </row>
    <row r="7" spans="1:16" ht="28.8" x14ac:dyDescent="0.3">
      <c r="A7" s="33" t="s">
        <v>0</v>
      </c>
      <c r="B7" s="33" t="s">
        <v>18</v>
      </c>
      <c r="C7" s="33" t="s">
        <v>19</v>
      </c>
      <c r="D7" s="33" t="s">
        <v>17</v>
      </c>
      <c r="E7" s="33" t="s">
        <v>5</v>
      </c>
      <c r="F7" s="34" t="s">
        <v>21</v>
      </c>
      <c r="G7" s="33" t="s">
        <v>22</v>
      </c>
      <c r="H7" s="34" t="s">
        <v>12</v>
      </c>
      <c r="I7" s="34" t="s">
        <v>23</v>
      </c>
    </row>
    <row r="8" spans="1:16" x14ac:dyDescent="0.3">
      <c r="A8" s="58" t="s">
        <v>47</v>
      </c>
      <c r="B8" s="61" t="s">
        <v>29</v>
      </c>
      <c r="C8" s="61" t="s">
        <v>85</v>
      </c>
      <c r="D8" s="63" t="s">
        <v>101</v>
      </c>
      <c r="E8" s="63">
        <v>7</v>
      </c>
      <c r="F8" s="41" t="s">
        <v>31</v>
      </c>
      <c r="G8" s="17">
        <v>0.7</v>
      </c>
      <c r="H8" s="7"/>
      <c r="I8" s="21"/>
    </row>
    <row r="9" spans="1:16" x14ac:dyDescent="0.3">
      <c r="A9" s="59"/>
      <c r="B9" s="61"/>
      <c r="C9" s="61"/>
      <c r="D9" s="63"/>
      <c r="E9" s="63"/>
      <c r="F9" s="41" t="s">
        <v>32</v>
      </c>
      <c r="G9" s="17">
        <v>0.2</v>
      </c>
      <c r="H9" s="7"/>
      <c r="I9" s="21"/>
    </row>
    <row r="10" spans="1:16" x14ac:dyDescent="0.3">
      <c r="A10" s="59"/>
      <c r="B10" s="61"/>
      <c r="C10" s="61"/>
      <c r="D10" s="63"/>
      <c r="E10" s="63"/>
      <c r="F10" s="41" t="s">
        <v>34</v>
      </c>
      <c r="G10" s="17">
        <v>0.1</v>
      </c>
      <c r="H10" s="7"/>
      <c r="I10" s="21"/>
    </row>
    <row r="11" spans="1:16" x14ac:dyDescent="0.3">
      <c r="A11" s="60"/>
      <c r="B11" s="62"/>
      <c r="C11" s="62"/>
      <c r="D11" s="64"/>
      <c r="E11" s="64"/>
      <c r="F11" s="23"/>
      <c r="G11" s="24" t="s">
        <v>24</v>
      </c>
      <c r="H11" s="25">
        <f>ROUND((G8*H8)+(G9*H9)+(G10*H10),2)</f>
        <v>0</v>
      </c>
      <c r="I11" s="25">
        <f>ROUND(E8*H11,2)</f>
        <v>0</v>
      </c>
    </row>
    <row r="12" spans="1:16" x14ac:dyDescent="0.3">
      <c r="A12" s="4"/>
    </row>
    <row r="13" spans="1:16" ht="28.8" x14ac:dyDescent="0.3">
      <c r="A13" s="33" t="s">
        <v>0</v>
      </c>
      <c r="B13" s="33" t="s">
        <v>18</v>
      </c>
      <c r="C13" s="33" t="s">
        <v>19</v>
      </c>
      <c r="D13" s="33" t="s">
        <v>17</v>
      </c>
      <c r="E13" s="33" t="s">
        <v>5</v>
      </c>
      <c r="F13" s="34" t="s">
        <v>21</v>
      </c>
      <c r="G13" s="33" t="s">
        <v>22</v>
      </c>
      <c r="H13" s="34" t="s">
        <v>12</v>
      </c>
      <c r="I13" s="34" t="s">
        <v>23</v>
      </c>
    </row>
    <row r="14" spans="1:16" ht="14.4" customHeight="1" x14ac:dyDescent="0.3">
      <c r="A14" s="58" t="s">
        <v>48</v>
      </c>
      <c r="B14" s="61" t="s">
        <v>30</v>
      </c>
      <c r="C14" s="61" t="s">
        <v>86</v>
      </c>
      <c r="D14" s="63" t="s">
        <v>108</v>
      </c>
      <c r="E14" s="63">
        <v>75</v>
      </c>
      <c r="F14" s="41" t="s">
        <v>31</v>
      </c>
      <c r="G14" s="17">
        <v>0.1</v>
      </c>
      <c r="H14" s="7"/>
      <c r="I14" s="21"/>
    </row>
    <row r="15" spans="1:16" x14ac:dyDescent="0.3">
      <c r="A15" s="59"/>
      <c r="B15" s="61"/>
      <c r="C15" s="61"/>
      <c r="D15" s="63"/>
      <c r="E15" s="63"/>
      <c r="F15" s="41" t="s">
        <v>32</v>
      </c>
      <c r="G15" s="17">
        <v>0.1</v>
      </c>
      <c r="H15" s="7"/>
      <c r="I15" s="21"/>
    </row>
    <row r="16" spans="1:16" x14ac:dyDescent="0.3">
      <c r="A16" s="59"/>
      <c r="B16" s="61"/>
      <c r="C16" s="61"/>
      <c r="D16" s="63"/>
      <c r="E16" s="63"/>
      <c r="F16" s="41" t="s">
        <v>34</v>
      </c>
      <c r="G16" s="17">
        <v>0.5</v>
      </c>
      <c r="H16" s="7"/>
      <c r="I16" s="21"/>
    </row>
    <row r="17" spans="1:9" x14ac:dyDescent="0.3">
      <c r="A17" s="59"/>
      <c r="B17" s="61"/>
      <c r="C17" s="61"/>
      <c r="D17" s="63"/>
      <c r="E17" s="63"/>
      <c r="F17" s="41" t="s">
        <v>35</v>
      </c>
      <c r="G17" s="17">
        <v>0.2</v>
      </c>
      <c r="H17" s="7"/>
      <c r="I17" s="21"/>
    </row>
    <row r="18" spans="1:9" x14ac:dyDescent="0.3">
      <c r="A18" s="59"/>
      <c r="B18" s="61"/>
      <c r="C18" s="61"/>
      <c r="D18" s="63"/>
      <c r="E18" s="63"/>
      <c r="F18" s="41" t="s">
        <v>89</v>
      </c>
      <c r="G18" s="17">
        <v>0.1</v>
      </c>
      <c r="H18" s="7"/>
      <c r="I18" s="22"/>
    </row>
    <row r="19" spans="1:9" x14ac:dyDescent="0.3">
      <c r="A19" s="60"/>
      <c r="B19" s="62"/>
      <c r="C19" s="62"/>
      <c r="D19" s="64"/>
      <c r="E19" s="64"/>
      <c r="F19" s="23"/>
      <c r="G19" s="24" t="s">
        <v>24</v>
      </c>
      <c r="H19" s="25">
        <f>ROUND((G14*H14)+(G15*H15)+(G16*H16)+(G18*H18)+(G17*H17),2)</f>
        <v>0</v>
      </c>
      <c r="I19" s="25">
        <f>ROUND(E14*H19,2)</f>
        <v>0</v>
      </c>
    </row>
    <row r="20" spans="1:9" x14ac:dyDescent="0.3">
      <c r="A20" s="4"/>
    </row>
    <row r="21" spans="1:9" ht="28.8" x14ac:dyDescent="0.3">
      <c r="A21" s="33" t="s">
        <v>0</v>
      </c>
      <c r="B21" s="33" t="s">
        <v>18</v>
      </c>
      <c r="C21" s="33" t="s">
        <v>19</v>
      </c>
      <c r="D21" s="33" t="s">
        <v>17</v>
      </c>
      <c r="E21" s="33" t="s">
        <v>5</v>
      </c>
      <c r="F21" s="34" t="s">
        <v>21</v>
      </c>
      <c r="G21" s="33" t="s">
        <v>22</v>
      </c>
      <c r="H21" s="34" t="s">
        <v>12</v>
      </c>
      <c r="I21" s="34" t="s">
        <v>23</v>
      </c>
    </row>
    <row r="22" spans="1:9" x14ac:dyDescent="0.3">
      <c r="A22" s="58" t="s">
        <v>49</v>
      </c>
      <c r="B22" s="61" t="s">
        <v>27</v>
      </c>
      <c r="C22" s="61" t="s">
        <v>87</v>
      </c>
      <c r="D22" s="63" t="s">
        <v>114</v>
      </c>
      <c r="E22" s="63">
        <v>120</v>
      </c>
      <c r="F22" s="41" t="s">
        <v>31</v>
      </c>
      <c r="G22" s="17">
        <v>0.1</v>
      </c>
      <c r="H22" s="7"/>
      <c r="I22" s="21"/>
    </row>
    <row r="23" spans="1:9" x14ac:dyDescent="0.3">
      <c r="A23" s="59"/>
      <c r="B23" s="61"/>
      <c r="C23" s="61"/>
      <c r="D23" s="63"/>
      <c r="E23" s="63"/>
      <c r="F23" s="41" t="s">
        <v>32</v>
      </c>
      <c r="G23" s="17">
        <v>0.1</v>
      </c>
      <c r="H23" s="7"/>
      <c r="I23" s="21"/>
    </row>
    <row r="24" spans="1:9" x14ac:dyDescent="0.3">
      <c r="A24" s="59"/>
      <c r="B24" s="61"/>
      <c r="C24" s="61"/>
      <c r="D24" s="63"/>
      <c r="E24" s="63"/>
      <c r="F24" s="41" t="s">
        <v>34</v>
      </c>
      <c r="G24" s="17">
        <v>0.1</v>
      </c>
      <c r="H24" s="7"/>
      <c r="I24" s="21"/>
    </row>
    <row r="25" spans="1:9" x14ac:dyDescent="0.3">
      <c r="A25" s="59"/>
      <c r="B25" s="61"/>
      <c r="C25" s="61"/>
      <c r="D25" s="63"/>
      <c r="E25" s="63"/>
      <c r="F25" s="41" t="s">
        <v>35</v>
      </c>
      <c r="G25" s="17">
        <v>0.6</v>
      </c>
      <c r="H25" s="7"/>
      <c r="I25" s="21"/>
    </row>
    <row r="26" spans="1:9" x14ac:dyDescent="0.3">
      <c r="A26" s="59"/>
      <c r="B26" s="61"/>
      <c r="C26" s="61"/>
      <c r="D26" s="63"/>
      <c r="E26" s="63"/>
      <c r="F26" s="41" t="s">
        <v>36</v>
      </c>
      <c r="G26" s="17">
        <v>0.1</v>
      </c>
      <c r="H26" s="7"/>
      <c r="I26" s="22"/>
    </row>
    <row r="27" spans="1:9" x14ac:dyDescent="0.3">
      <c r="A27" s="60"/>
      <c r="B27" s="62"/>
      <c r="C27" s="62"/>
      <c r="D27" s="64"/>
      <c r="E27" s="64"/>
      <c r="F27" s="23"/>
      <c r="G27" s="24" t="s">
        <v>24</v>
      </c>
      <c r="H27" s="25">
        <f>ROUND((G22*H22)+(G23*H23)+(G24*H24)+(G25*H25)+(G26*H26),2)</f>
        <v>0</v>
      </c>
      <c r="I27" s="25">
        <f>ROUND(E22*H27,2)</f>
        <v>0</v>
      </c>
    </row>
    <row r="28" spans="1:9" x14ac:dyDescent="0.3">
      <c r="A28" s="4"/>
    </row>
    <row r="29" spans="1:9" ht="28.8" x14ac:dyDescent="0.3">
      <c r="A29" s="33" t="s">
        <v>0</v>
      </c>
      <c r="B29" s="33" t="s">
        <v>18</v>
      </c>
      <c r="C29" s="33" t="s">
        <v>19</v>
      </c>
      <c r="D29" s="33" t="s">
        <v>17</v>
      </c>
      <c r="E29" s="33" t="s">
        <v>5</v>
      </c>
      <c r="F29" s="34" t="s">
        <v>21</v>
      </c>
      <c r="G29" s="33" t="s">
        <v>22</v>
      </c>
      <c r="H29" s="34" t="s">
        <v>12</v>
      </c>
      <c r="I29" s="34" t="s">
        <v>23</v>
      </c>
    </row>
    <row r="30" spans="1:9" x14ac:dyDescent="0.3">
      <c r="A30" s="58" t="s">
        <v>50</v>
      </c>
      <c r="B30" s="61" t="s">
        <v>28</v>
      </c>
      <c r="C30" s="61" t="s">
        <v>88</v>
      </c>
      <c r="D30" s="63" t="s">
        <v>120</v>
      </c>
      <c r="E30" s="63">
        <v>87</v>
      </c>
      <c r="F30" s="41" t="s">
        <v>31</v>
      </c>
      <c r="G30" s="17">
        <v>0.1</v>
      </c>
      <c r="H30" s="7"/>
      <c r="I30" s="21"/>
    </row>
    <row r="31" spans="1:9" x14ac:dyDescent="0.3">
      <c r="A31" s="59"/>
      <c r="B31" s="61"/>
      <c r="C31" s="61"/>
      <c r="D31" s="63"/>
      <c r="E31" s="63"/>
      <c r="F31" s="41" t="s">
        <v>32</v>
      </c>
      <c r="G31" s="17">
        <v>0.2</v>
      </c>
      <c r="H31" s="7"/>
      <c r="I31" s="21"/>
    </row>
    <row r="32" spans="1:9" x14ac:dyDescent="0.3">
      <c r="A32" s="59"/>
      <c r="B32" s="61"/>
      <c r="C32" s="61"/>
      <c r="D32" s="63"/>
      <c r="E32" s="63"/>
      <c r="F32" s="41" t="s">
        <v>33</v>
      </c>
      <c r="G32" s="17">
        <v>0.6</v>
      </c>
      <c r="H32" s="7"/>
      <c r="I32" s="21"/>
    </row>
    <row r="33" spans="1:9" x14ac:dyDescent="0.3">
      <c r="A33" s="59"/>
      <c r="B33" s="61"/>
      <c r="C33" s="61"/>
      <c r="D33" s="63"/>
      <c r="E33" s="63"/>
      <c r="F33" s="41" t="s">
        <v>90</v>
      </c>
      <c r="G33" s="17">
        <v>0.1</v>
      </c>
      <c r="H33" s="7"/>
      <c r="I33" s="21"/>
    </row>
    <row r="34" spans="1:9" x14ac:dyDescent="0.3">
      <c r="A34" s="60"/>
      <c r="B34" s="62"/>
      <c r="C34" s="62"/>
      <c r="D34" s="64"/>
      <c r="E34" s="64"/>
      <c r="F34" s="23"/>
      <c r="G34" s="24" t="s">
        <v>24</v>
      </c>
      <c r="H34" s="25">
        <f>ROUND((G30*H30)+(G31*H31)+(G32*H32)+(G33*H33),2)</f>
        <v>0</v>
      </c>
      <c r="I34" s="25">
        <f>ROUND(E30*H34,2)</f>
        <v>0</v>
      </c>
    </row>
    <row r="36" spans="1:9" s="16" customFormat="1" x14ac:dyDescent="0.3"/>
    <row r="40" spans="1:9" ht="15.6" customHeight="1" x14ac:dyDescent="0.3"/>
    <row r="42" spans="1:9" x14ac:dyDescent="0.3">
      <c r="A42" s="26"/>
      <c r="B42" s="27"/>
      <c r="C42" s="27"/>
      <c r="D42" s="28"/>
      <c r="E42" s="28"/>
      <c r="F42" s="29"/>
      <c r="G42" s="30"/>
      <c r="H42" s="31"/>
      <c r="I42" s="31"/>
    </row>
    <row r="49" spans="1:9" x14ac:dyDescent="0.3">
      <c r="A49" s="26"/>
      <c r="B49" s="27"/>
      <c r="C49" s="27"/>
      <c r="D49" s="28"/>
      <c r="E49" s="28"/>
      <c r="F49" s="29"/>
      <c r="G49" s="30"/>
      <c r="H49" s="31"/>
      <c r="I49" s="31"/>
    </row>
    <row r="53" spans="1:9" ht="15" customHeight="1" x14ac:dyDescent="0.3"/>
    <row r="54" spans="1:9" ht="15" customHeight="1" x14ac:dyDescent="0.3"/>
    <row r="60" spans="1:9" ht="15" customHeight="1" x14ac:dyDescent="0.3"/>
    <row r="64" spans="1:9" ht="30" customHeight="1" x14ac:dyDescent="0.3"/>
    <row r="78" ht="30" customHeight="1" x14ac:dyDescent="0.3"/>
  </sheetData>
  <sheetProtection algorithmName="SHA-512" hashValue="myrvWmTH9Bo7tL4sjuB7ldS2/y7LGqoUsrsrUQwzoqxTLPlBrwGXiK22JKw1mgkHG7Sh6XOVK6lAUzkz98W8Cg==" saltValue="rmVj7+z7QuWpGjdeL+g5nA==" spinCount="100000" sheet="1" objects="1" scenarios="1"/>
  <mergeCells count="21">
    <mergeCell ref="B5:D5"/>
    <mergeCell ref="A22:A27"/>
    <mergeCell ref="B22:B27"/>
    <mergeCell ref="C22:C27"/>
    <mergeCell ref="D22:D27"/>
    <mergeCell ref="A8:A11"/>
    <mergeCell ref="B8:B11"/>
    <mergeCell ref="C8:C11"/>
    <mergeCell ref="D8:D11"/>
    <mergeCell ref="E22:E27"/>
    <mergeCell ref="A30:A34"/>
    <mergeCell ref="B30:B34"/>
    <mergeCell ref="C30:C34"/>
    <mergeCell ref="D30:D34"/>
    <mergeCell ref="E30:E34"/>
    <mergeCell ref="E8:E11"/>
    <mergeCell ref="A14:A19"/>
    <mergeCell ref="B14:B19"/>
    <mergeCell ref="C14:C19"/>
    <mergeCell ref="D14:D19"/>
    <mergeCell ref="E14:E19"/>
  </mergeCells>
  <pageMargins left="0.7" right="0.7" top="0.75" bottom="0.75" header="0.3" footer="0.3"/>
  <pageSetup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100B-4779-4E86-9F0A-B7C6D5F866A9}">
  <dimension ref="A1:P78"/>
  <sheetViews>
    <sheetView workbookViewId="0">
      <selection activeCell="I16" sqref="I16"/>
    </sheetView>
  </sheetViews>
  <sheetFormatPr defaultColWidth="9.109375" defaultRowHeight="14.4" x14ac:dyDescent="0.3"/>
  <cols>
    <col min="1" max="1" width="16.44140625" style="3" customWidth="1"/>
    <col min="2" max="2" width="20.77734375" style="3" customWidth="1"/>
    <col min="3" max="3" width="15.77734375" style="3" customWidth="1"/>
    <col min="4" max="4" width="50.5546875" style="3" customWidth="1"/>
    <col min="5" max="5" width="14.109375" style="3" bestFit="1" customWidth="1"/>
    <col min="6" max="7" width="17.109375" style="3" customWidth="1"/>
    <col min="8" max="8" width="20.6640625" style="3" bestFit="1" customWidth="1"/>
    <col min="9" max="9" width="21.44140625" style="3" bestFit="1" customWidth="1"/>
    <col min="10" max="10" width="14.6640625" style="3" customWidth="1"/>
    <col min="11" max="11" width="15.6640625" style="3" customWidth="1"/>
    <col min="12" max="13" width="14.6640625" style="3" customWidth="1"/>
    <col min="14" max="14" width="15.6640625" style="3" customWidth="1"/>
    <col min="15" max="15" width="1" style="3" customWidth="1"/>
    <col min="16" max="17" width="14.6640625" style="3" customWidth="1"/>
    <col min="18" max="18" width="15.6640625" style="3" customWidth="1"/>
    <col min="19" max="16384" width="9.109375" style="3"/>
  </cols>
  <sheetData>
    <row r="1" spans="1:16" x14ac:dyDescent="0.3">
      <c r="A1" s="20" t="s">
        <v>91</v>
      </c>
      <c r="E1" s="5"/>
      <c r="I1" s="5"/>
      <c r="L1" s="5"/>
      <c r="P1" s="5"/>
    </row>
    <row r="2" spans="1:16" x14ac:dyDescent="0.3">
      <c r="A2" s="4" t="s">
        <v>26</v>
      </c>
      <c r="E2" s="5"/>
      <c r="I2" s="5"/>
      <c r="L2" s="5"/>
      <c r="P2" s="5"/>
    </row>
    <row r="3" spans="1:16" x14ac:dyDescent="0.3">
      <c r="A3" s="32" t="s">
        <v>39</v>
      </c>
      <c r="B3"/>
    </row>
    <row r="4" spans="1:16" x14ac:dyDescent="0.3">
      <c r="A4" s="4"/>
    </row>
    <row r="5" spans="1:16" x14ac:dyDescent="0.3">
      <c r="A5" s="51" t="s">
        <v>1</v>
      </c>
      <c r="B5" s="65" t="str">
        <f>IF(ISBLANK(Summary!B5),"See Summary Tab",Summary!B5)</f>
        <v>See Summary Tab</v>
      </c>
      <c r="C5" s="65"/>
      <c r="D5" s="65"/>
    </row>
    <row r="6" spans="1:16" x14ac:dyDescent="0.3">
      <c r="A6" s="4"/>
    </row>
    <row r="7" spans="1:16" ht="28.8" x14ac:dyDescent="0.3">
      <c r="A7" s="33" t="s">
        <v>0</v>
      </c>
      <c r="B7" s="33" t="s">
        <v>18</v>
      </c>
      <c r="C7" s="33" t="s">
        <v>19</v>
      </c>
      <c r="D7" s="33" t="s">
        <v>17</v>
      </c>
      <c r="E7" s="33" t="s">
        <v>5</v>
      </c>
      <c r="F7" s="34" t="s">
        <v>21</v>
      </c>
      <c r="G7" s="33" t="s">
        <v>22</v>
      </c>
      <c r="H7" s="34" t="s">
        <v>12</v>
      </c>
      <c r="I7" s="34" t="s">
        <v>23</v>
      </c>
    </row>
    <row r="8" spans="1:16" x14ac:dyDescent="0.3">
      <c r="A8" s="58" t="s">
        <v>51</v>
      </c>
      <c r="B8" s="61" t="s">
        <v>29</v>
      </c>
      <c r="C8" s="61" t="s">
        <v>85</v>
      </c>
      <c r="D8" s="63" t="s">
        <v>102</v>
      </c>
      <c r="E8" s="63">
        <v>6</v>
      </c>
      <c r="F8" s="41" t="s">
        <v>31</v>
      </c>
      <c r="G8" s="17">
        <v>0.7</v>
      </c>
      <c r="H8" s="7"/>
      <c r="I8" s="21"/>
    </row>
    <row r="9" spans="1:16" x14ac:dyDescent="0.3">
      <c r="A9" s="59"/>
      <c r="B9" s="61"/>
      <c r="C9" s="61"/>
      <c r="D9" s="63"/>
      <c r="E9" s="63"/>
      <c r="F9" s="41" t="s">
        <v>32</v>
      </c>
      <c r="G9" s="17">
        <v>0.2</v>
      </c>
      <c r="H9" s="7"/>
      <c r="I9" s="21"/>
    </row>
    <row r="10" spans="1:16" x14ac:dyDescent="0.3">
      <c r="A10" s="59"/>
      <c r="B10" s="61"/>
      <c r="C10" s="61"/>
      <c r="D10" s="63"/>
      <c r="E10" s="63"/>
      <c r="F10" s="41" t="s">
        <v>34</v>
      </c>
      <c r="G10" s="17">
        <v>0.1</v>
      </c>
      <c r="H10" s="7"/>
      <c r="I10" s="21"/>
    </row>
    <row r="11" spans="1:16" x14ac:dyDescent="0.3">
      <c r="A11" s="60"/>
      <c r="B11" s="62"/>
      <c r="C11" s="62"/>
      <c r="D11" s="64"/>
      <c r="E11" s="64"/>
      <c r="F11" s="23"/>
      <c r="G11" s="24" t="s">
        <v>24</v>
      </c>
      <c r="H11" s="25">
        <f>ROUND((G8*H8)+(G9*H9)+(G10*H10),2)</f>
        <v>0</v>
      </c>
      <c r="I11" s="25">
        <f>ROUND(E8*H11,2)</f>
        <v>0</v>
      </c>
    </row>
    <row r="12" spans="1:16" x14ac:dyDescent="0.3">
      <c r="A12" s="4"/>
    </row>
    <row r="13" spans="1:16" ht="28.8" x14ac:dyDescent="0.3">
      <c r="A13" s="33" t="s">
        <v>0</v>
      </c>
      <c r="B13" s="33" t="s">
        <v>18</v>
      </c>
      <c r="C13" s="33" t="s">
        <v>19</v>
      </c>
      <c r="D13" s="33" t="s">
        <v>17</v>
      </c>
      <c r="E13" s="33" t="s">
        <v>5</v>
      </c>
      <c r="F13" s="34" t="s">
        <v>21</v>
      </c>
      <c r="G13" s="33" t="s">
        <v>22</v>
      </c>
      <c r="H13" s="34" t="s">
        <v>12</v>
      </c>
      <c r="I13" s="34" t="s">
        <v>23</v>
      </c>
    </row>
    <row r="14" spans="1:16" ht="14.4" customHeight="1" x14ac:dyDescent="0.3">
      <c r="A14" s="58" t="s">
        <v>52</v>
      </c>
      <c r="B14" s="61" t="s">
        <v>30</v>
      </c>
      <c r="C14" s="61" t="s">
        <v>86</v>
      </c>
      <c r="D14" s="63" t="s">
        <v>109</v>
      </c>
      <c r="E14" s="63">
        <v>75</v>
      </c>
      <c r="F14" s="41" t="s">
        <v>31</v>
      </c>
      <c r="G14" s="17">
        <v>0.1</v>
      </c>
      <c r="H14" s="7"/>
      <c r="I14" s="21"/>
    </row>
    <row r="15" spans="1:16" x14ac:dyDescent="0.3">
      <c r="A15" s="59"/>
      <c r="B15" s="61"/>
      <c r="C15" s="61"/>
      <c r="D15" s="63"/>
      <c r="E15" s="63"/>
      <c r="F15" s="41" t="s">
        <v>32</v>
      </c>
      <c r="G15" s="17">
        <v>0.1</v>
      </c>
      <c r="H15" s="7"/>
      <c r="I15" s="21"/>
    </row>
    <row r="16" spans="1:16" x14ac:dyDescent="0.3">
      <c r="A16" s="59"/>
      <c r="B16" s="61"/>
      <c r="C16" s="61"/>
      <c r="D16" s="63"/>
      <c r="E16" s="63"/>
      <c r="F16" s="41" t="s">
        <v>34</v>
      </c>
      <c r="G16" s="17">
        <v>0.5</v>
      </c>
      <c r="H16" s="7"/>
      <c r="I16" s="21"/>
    </row>
    <row r="17" spans="1:9" x14ac:dyDescent="0.3">
      <c r="A17" s="59"/>
      <c r="B17" s="61"/>
      <c r="C17" s="61"/>
      <c r="D17" s="63"/>
      <c r="E17" s="63"/>
      <c r="F17" s="41" t="s">
        <v>35</v>
      </c>
      <c r="G17" s="17">
        <v>0.2</v>
      </c>
      <c r="H17" s="7"/>
      <c r="I17" s="21"/>
    </row>
    <row r="18" spans="1:9" x14ac:dyDescent="0.3">
      <c r="A18" s="59"/>
      <c r="B18" s="61"/>
      <c r="C18" s="61"/>
      <c r="D18" s="63"/>
      <c r="E18" s="63"/>
      <c r="F18" s="41" t="s">
        <v>89</v>
      </c>
      <c r="G18" s="17">
        <v>0.1</v>
      </c>
      <c r="H18" s="7"/>
      <c r="I18" s="22"/>
    </row>
    <row r="19" spans="1:9" x14ac:dyDescent="0.3">
      <c r="A19" s="60"/>
      <c r="B19" s="62"/>
      <c r="C19" s="62"/>
      <c r="D19" s="64"/>
      <c r="E19" s="64"/>
      <c r="F19" s="23"/>
      <c r="G19" s="24" t="s">
        <v>24</v>
      </c>
      <c r="H19" s="25">
        <f>ROUND((G14*H14)+(G15*H15)+(G16*H16)+(G18*H18)+(G17*H17),2)</f>
        <v>0</v>
      </c>
      <c r="I19" s="25">
        <f>ROUND(E14*H19,2)</f>
        <v>0</v>
      </c>
    </row>
    <row r="20" spans="1:9" x14ac:dyDescent="0.3">
      <c r="A20" s="4"/>
    </row>
    <row r="21" spans="1:9" ht="28.8" x14ac:dyDescent="0.3">
      <c r="A21" s="33" t="s">
        <v>0</v>
      </c>
      <c r="B21" s="33" t="s">
        <v>18</v>
      </c>
      <c r="C21" s="33" t="s">
        <v>19</v>
      </c>
      <c r="D21" s="33" t="s">
        <v>17</v>
      </c>
      <c r="E21" s="33" t="s">
        <v>5</v>
      </c>
      <c r="F21" s="34" t="s">
        <v>21</v>
      </c>
      <c r="G21" s="33" t="s">
        <v>22</v>
      </c>
      <c r="H21" s="34" t="s">
        <v>12</v>
      </c>
      <c r="I21" s="34" t="s">
        <v>23</v>
      </c>
    </row>
    <row r="22" spans="1:9" x14ac:dyDescent="0.3">
      <c r="A22" s="58" t="s">
        <v>53</v>
      </c>
      <c r="B22" s="61" t="s">
        <v>27</v>
      </c>
      <c r="C22" s="61" t="s">
        <v>87</v>
      </c>
      <c r="D22" s="63" t="s">
        <v>115</v>
      </c>
      <c r="E22" s="63">
        <v>120</v>
      </c>
      <c r="F22" s="41" t="s">
        <v>31</v>
      </c>
      <c r="G22" s="17">
        <v>0.1</v>
      </c>
      <c r="H22" s="7"/>
      <c r="I22" s="21"/>
    </row>
    <row r="23" spans="1:9" x14ac:dyDescent="0.3">
      <c r="A23" s="59"/>
      <c r="B23" s="61"/>
      <c r="C23" s="61"/>
      <c r="D23" s="63"/>
      <c r="E23" s="63"/>
      <c r="F23" s="41" t="s">
        <v>32</v>
      </c>
      <c r="G23" s="17">
        <v>0.1</v>
      </c>
      <c r="H23" s="7"/>
      <c r="I23" s="21"/>
    </row>
    <row r="24" spans="1:9" x14ac:dyDescent="0.3">
      <c r="A24" s="59"/>
      <c r="B24" s="61"/>
      <c r="C24" s="61"/>
      <c r="D24" s="63"/>
      <c r="E24" s="63"/>
      <c r="F24" s="41" t="s">
        <v>34</v>
      </c>
      <c r="G24" s="17">
        <v>0.1</v>
      </c>
      <c r="H24" s="7"/>
      <c r="I24" s="21"/>
    </row>
    <row r="25" spans="1:9" x14ac:dyDescent="0.3">
      <c r="A25" s="59"/>
      <c r="B25" s="61"/>
      <c r="C25" s="61"/>
      <c r="D25" s="63"/>
      <c r="E25" s="63"/>
      <c r="F25" s="41" t="s">
        <v>35</v>
      </c>
      <c r="G25" s="17">
        <v>0.6</v>
      </c>
      <c r="H25" s="7"/>
      <c r="I25" s="21"/>
    </row>
    <row r="26" spans="1:9" x14ac:dyDescent="0.3">
      <c r="A26" s="59"/>
      <c r="B26" s="61"/>
      <c r="C26" s="61"/>
      <c r="D26" s="63"/>
      <c r="E26" s="63"/>
      <c r="F26" s="41" t="s">
        <v>36</v>
      </c>
      <c r="G26" s="17">
        <v>0.1</v>
      </c>
      <c r="H26" s="7"/>
      <c r="I26" s="22"/>
    </row>
    <row r="27" spans="1:9" x14ac:dyDescent="0.3">
      <c r="A27" s="60"/>
      <c r="B27" s="62"/>
      <c r="C27" s="62"/>
      <c r="D27" s="64"/>
      <c r="E27" s="64"/>
      <c r="F27" s="23"/>
      <c r="G27" s="24" t="s">
        <v>24</v>
      </c>
      <c r="H27" s="25">
        <f>ROUND((G22*H22)+(G23*H23)+(G24*H24)+(G25*H25)+(G26*H26),2)</f>
        <v>0</v>
      </c>
      <c r="I27" s="25">
        <f>ROUND(E22*H27,2)</f>
        <v>0</v>
      </c>
    </row>
    <row r="28" spans="1:9" x14ac:dyDescent="0.3">
      <c r="A28" s="4"/>
    </row>
    <row r="29" spans="1:9" ht="28.8" x14ac:dyDescent="0.3">
      <c r="A29" s="33" t="s">
        <v>0</v>
      </c>
      <c r="B29" s="33" t="s">
        <v>18</v>
      </c>
      <c r="C29" s="33" t="s">
        <v>19</v>
      </c>
      <c r="D29" s="33" t="s">
        <v>17</v>
      </c>
      <c r="E29" s="33" t="s">
        <v>5</v>
      </c>
      <c r="F29" s="34" t="s">
        <v>21</v>
      </c>
      <c r="G29" s="33" t="s">
        <v>22</v>
      </c>
      <c r="H29" s="34" t="s">
        <v>12</v>
      </c>
      <c r="I29" s="34" t="s">
        <v>23</v>
      </c>
    </row>
    <row r="30" spans="1:9" x14ac:dyDescent="0.3">
      <c r="A30" s="58" t="s">
        <v>54</v>
      </c>
      <c r="B30" s="61" t="s">
        <v>28</v>
      </c>
      <c r="C30" s="61" t="s">
        <v>88</v>
      </c>
      <c r="D30" s="63" t="s">
        <v>121</v>
      </c>
      <c r="E30" s="63">
        <v>50</v>
      </c>
      <c r="F30" s="41" t="s">
        <v>31</v>
      </c>
      <c r="G30" s="17">
        <v>0.1</v>
      </c>
      <c r="H30" s="7"/>
      <c r="I30" s="21"/>
    </row>
    <row r="31" spans="1:9" x14ac:dyDescent="0.3">
      <c r="A31" s="59"/>
      <c r="B31" s="61"/>
      <c r="C31" s="61"/>
      <c r="D31" s="63"/>
      <c r="E31" s="63"/>
      <c r="F31" s="41" t="s">
        <v>32</v>
      </c>
      <c r="G31" s="17">
        <v>0.2</v>
      </c>
      <c r="H31" s="7"/>
      <c r="I31" s="21"/>
    </row>
    <row r="32" spans="1:9" x14ac:dyDescent="0.3">
      <c r="A32" s="59"/>
      <c r="B32" s="61"/>
      <c r="C32" s="61"/>
      <c r="D32" s="63"/>
      <c r="E32" s="63"/>
      <c r="F32" s="41" t="s">
        <v>33</v>
      </c>
      <c r="G32" s="17">
        <v>0.6</v>
      </c>
      <c r="H32" s="7"/>
      <c r="I32" s="21"/>
    </row>
    <row r="33" spans="1:9" x14ac:dyDescent="0.3">
      <c r="A33" s="59"/>
      <c r="B33" s="61"/>
      <c r="C33" s="61"/>
      <c r="D33" s="63"/>
      <c r="E33" s="63"/>
      <c r="F33" s="41" t="s">
        <v>90</v>
      </c>
      <c r="G33" s="17">
        <v>0.1</v>
      </c>
      <c r="H33" s="7"/>
      <c r="I33" s="21"/>
    </row>
    <row r="34" spans="1:9" x14ac:dyDescent="0.3">
      <c r="A34" s="60"/>
      <c r="B34" s="62"/>
      <c r="C34" s="62"/>
      <c r="D34" s="64"/>
      <c r="E34" s="64"/>
      <c r="F34" s="23"/>
      <c r="G34" s="24" t="s">
        <v>24</v>
      </c>
      <c r="H34" s="25">
        <f>ROUND((G30*H30)+(G31*H31)+(G32*H32)+(G33*H33),2)</f>
        <v>0</v>
      </c>
      <c r="I34" s="25">
        <f>ROUND(E30*H34,2)</f>
        <v>0</v>
      </c>
    </row>
    <row r="36" spans="1:9" s="16" customFormat="1" x14ac:dyDescent="0.3"/>
    <row r="40" spans="1:9" ht="15.6" customHeight="1" x14ac:dyDescent="0.3"/>
    <row r="42" spans="1:9" x14ac:dyDescent="0.3">
      <c r="A42" s="26"/>
      <c r="B42" s="27"/>
      <c r="C42" s="27"/>
      <c r="D42" s="28"/>
      <c r="E42" s="28"/>
      <c r="F42" s="29"/>
      <c r="G42" s="30"/>
      <c r="H42" s="31"/>
      <c r="I42" s="31"/>
    </row>
    <row r="49" spans="1:9" x14ac:dyDescent="0.3">
      <c r="A49" s="26"/>
      <c r="B49" s="27"/>
      <c r="C49" s="27"/>
      <c r="D49" s="28"/>
      <c r="E49" s="28"/>
      <c r="F49" s="29"/>
      <c r="G49" s="30"/>
      <c r="H49" s="31"/>
      <c r="I49" s="31"/>
    </row>
    <row r="53" spans="1:9" ht="15" customHeight="1" x14ac:dyDescent="0.3"/>
    <row r="54" spans="1:9" ht="15" customHeight="1" x14ac:dyDescent="0.3"/>
    <row r="60" spans="1:9" ht="15" customHeight="1" x14ac:dyDescent="0.3"/>
    <row r="64" spans="1:9" ht="30" customHeight="1" x14ac:dyDescent="0.3"/>
    <row r="78" ht="30" customHeight="1" x14ac:dyDescent="0.3"/>
  </sheetData>
  <sheetProtection algorithmName="SHA-512" hashValue="6Rk3teh0esE4d4ukiPDas3brhz+iioUweshO5GJpXora7VmCWqqbYoCHBTyUDT5zpAh+vy7XEBs/dHbFkD9I2A==" saltValue="mOqGft/1LQB2NrEJBYMoIQ==" spinCount="100000" sheet="1" objects="1" scenarios="1"/>
  <mergeCells count="21">
    <mergeCell ref="B5:D5"/>
    <mergeCell ref="A22:A27"/>
    <mergeCell ref="B22:B27"/>
    <mergeCell ref="C22:C27"/>
    <mergeCell ref="D22:D27"/>
    <mergeCell ref="A8:A11"/>
    <mergeCell ref="B8:B11"/>
    <mergeCell ref="C8:C11"/>
    <mergeCell ref="D8:D11"/>
    <mergeCell ref="E22:E27"/>
    <mergeCell ref="A30:A34"/>
    <mergeCell ref="B30:B34"/>
    <mergeCell ref="C30:C34"/>
    <mergeCell ref="D30:D34"/>
    <mergeCell ref="E30:E34"/>
    <mergeCell ref="E8:E11"/>
    <mergeCell ref="A14:A19"/>
    <mergeCell ref="B14:B19"/>
    <mergeCell ref="C14:C19"/>
    <mergeCell ref="D14:D19"/>
    <mergeCell ref="E14:E19"/>
  </mergeCells>
  <pageMargins left="0.7" right="0.7" top="0.75" bottom="0.75" header="0.3" footer="0.3"/>
  <pageSetup orientation="portrait" verticalDpi="597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5451-65E6-4A44-B3A7-E41B1AC323F9}">
  <dimension ref="A1:P78"/>
  <sheetViews>
    <sheetView topLeftCell="A7" workbookViewId="0">
      <selection activeCell="B22" sqref="B22:B27"/>
    </sheetView>
  </sheetViews>
  <sheetFormatPr defaultColWidth="9.109375" defaultRowHeight="14.4" x14ac:dyDescent="0.3"/>
  <cols>
    <col min="1" max="1" width="16.44140625" style="3" customWidth="1"/>
    <col min="2" max="2" width="20.77734375" style="3" customWidth="1"/>
    <col min="3" max="3" width="15.77734375" style="3" customWidth="1"/>
    <col min="4" max="4" width="50.5546875" style="3" customWidth="1"/>
    <col min="5" max="5" width="14.109375" style="3" bestFit="1" customWidth="1"/>
    <col min="6" max="7" width="17.109375" style="3" customWidth="1"/>
    <col min="8" max="8" width="20.6640625" style="3" bestFit="1" customWidth="1"/>
    <col min="9" max="9" width="21.44140625" style="3" bestFit="1" customWidth="1"/>
    <col min="10" max="10" width="14.6640625" style="3" customWidth="1"/>
    <col min="11" max="11" width="15.6640625" style="3" customWidth="1"/>
    <col min="12" max="13" width="14.6640625" style="3" customWidth="1"/>
    <col min="14" max="14" width="15.6640625" style="3" customWidth="1"/>
    <col min="15" max="15" width="1" style="3" customWidth="1"/>
    <col min="16" max="17" width="14.6640625" style="3" customWidth="1"/>
    <col min="18" max="18" width="15.6640625" style="3" customWidth="1"/>
    <col min="19" max="16384" width="9.109375" style="3"/>
  </cols>
  <sheetData>
    <row r="1" spans="1:16" x14ac:dyDescent="0.3">
      <c r="A1" s="20" t="s">
        <v>91</v>
      </c>
      <c r="E1" s="5"/>
      <c r="I1" s="5"/>
      <c r="L1" s="5"/>
      <c r="P1" s="5"/>
    </row>
    <row r="2" spans="1:16" x14ac:dyDescent="0.3">
      <c r="A2" s="4" t="s">
        <v>26</v>
      </c>
      <c r="E2" s="5"/>
      <c r="I2" s="5"/>
      <c r="L2" s="5"/>
      <c r="P2" s="5"/>
    </row>
    <row r="3" spans="1:16" x14ac:dyDescent="0.3">
      <c r="A3" s="32" t="s">
        <v>40</v>
      </c>
      <c r="B3"/>
    </row>
    <row r="4" spans="1:16" x14ac:dyDescent="0.3">
      <c r="A4" s="4"/>
    </row>
    <row r="5" spans="1:16" x14ac:dyDescent="0.3">
      <c r="A5" s="51" t="s">
        <v>1</v>
      </c>
      <c r="B5" s="65" t="str">
        <f>IF(ISBLANK(Summary!B5),"See Summary Tab",Summary!B5)</f>
        <v>See Summary Tab</v>
      </c>
      <c r="C5" s="65"/>
      <c r="D5" s="65"/>
    </row>
    <row r="6" spans="1:16" x14ac:dyDescent="0.3">
      <c r="A6" s="4"/>
    </row>
    <row r="7" spans="1:16" ht="28.8" x14ac:dyDescent="0.3">
      <c r="A7" s="33" t="s">
        <v>0</v>
      </c>
      <c r="B7" s="33" t="s">
        <v>18</v>
      </c>
      <c r="C7" s="33" t="s">
        <v>19</v>
      </c>
      <c r="D7" s="33" t="s">
        <v>17</v>
      </c>
      <c r="E7" s="33" t="s">
        <v>5</v>
      </c>
      <c r="F7" s="34" t="s">
        <v>21</v>
      </c>
      <c r="G7" s="33" t="s">
        <v>22</v>
      </c>
      <c r="H7" s="34" t="s">
        <v>12</v>
      </c>
      <c r="I7" s="34" t="s">
        <v>23</v>
      </c>
    </row>
    <row r="8" spans="1:16" x14ac:dyDescent="0.3">
      <c r="A8" s="58" t="s">
        <v>55</v>
      </c>
      <c r="B8" s="61" t="s">
        <v>29</v>
      </c>
      <c r="C8" s="61" t="s">
        <v>85</v>
      </c>
      <c r="D8" s="63" t="s">
        <v>103</v>
      </c>
      <c r="E8" s="63">
        <v>6</v>
      </c>
      <c r="F8" s="41" t="s">
        <v>31</v>
      </c>
      <c r="G8" s="17">
        <v>0.7</v>
      </c>
      <c r="H8" s="7"/>
      <c r="I8" s="21"/>
    </row>
    <row r="9" spans="1:16" x14ac:dyDescent="0.3">
      <c r="A9" s="59"/>
      <c r="B9" s="61"/>
      <c r="C9" s="61"/>
      <c r="D9" s="63"/>
      <c r="E9" s="63"/>
      <c r="F9" s="41" t="s">
        <v>32</v>
      </c>
      <c r="G9" s="17">
        <v>0.2</v>
      </c>
      <c r="H9" s="7"/>
      <c r="I9" s="21"/>
    </row>
    <row r="10" spans="1:16" x14ac:dyDescent="0.3">
      <c r="A10" s="59"/>
      <c r="B10" s="61"/>
      <c r="C10" s="61"/>
      <c r="D10" s="63"/>
      <c r="E10" s="63"/>
      <c r="F10" s="41" t="s">
        <v>34</v>
      </c>
      <c r="G10" s="17">
        <v>0.1</v>
      </c>
      <c r="H10" s="7"/>
      <c r="I10" s="21"/>
    </row>
    <row r="11" spans="1:16" x14ac:dyDescent="0.3">
      <c r="A11" s="60"/>
      <c r="B11" s="62"/>
      <c r="C11" s="62"/>
      <c r="D11" s="64"/>
      <c r="E11" s="64"/>
      <c r="F11" s="23"/>
      <c r="G11" s="24" t="s">
        <v>24</v>
      </c>
      <c r="H11" s="25">
        <f>ROUND((G8*H8)+(G9*H9)+(G10*H10),2)</f>
        <v>0</v>
      </c>
      <c r="I11" s="25">
        <f>ROUND(E8*H11,2)</f>
        <v>0</v>
      </c>
    </row>
    <row r="12" spans="1:16" x14ac:dyDescent="0.3">
      <c r="A12" s="4"/>
    </row>
    <row r="13" spans="1:16" ht="28.8" x14ac:dyDescent="0.3">
      <c r="A13" s="33" t="s">
        <v>0</v>
      </c>
      <c r="B13" s="33" t="s">
        <v>18</v>
      </c>
      <c r="C13" s="33" t="s">
        <v>19</v>
      </c>
      <c r="D13" s="33" t="s">
        <v>17</v>
      </c>
      <c r="E13" s="33" t="s">
        <v>5</v>
      </c>
      <c r="F13" s="34" t="s">
        <v>21</v>
      </c>
      <c r="G13" s="33" t="s">
        <v>22</v>
      </c>
      <c r="H13" s="34" t="s">
        <v>12</v>
      </c>
      <c r="I13" s="34" t="s">
        <v>23</v>
      </c>
    </row>
    <row r="14" spans="1:16" ht="14.4" customHeight="1" x14ac:dyDescent="0.3">
      <c r="A14" s="58" t="s">
        <v>56</v>
      </c>
      <c r="B14" s="61" t="s">
        <v>30</v>
      </c>
      <c r="C14" s="61" t="s">
        <v>86</v>
      </c>
      <c r="D14" s="63" t="s">
        <v>110</v>
      </c>
      <c r="E14" s="63">
        <v>75</v>
      </c>
      <c r="F14" s="41" t="s">
        <v>31</v>
      </c>
      <c r="G14" s="17">
        <v>0.1</v>
      </c>
      <c r="H14" s="7"/>
      <c r="I14" s="21"/>
    </row>
    <row r="15" spans="1:16" x14ac:dyDescent="0.3">
      <c r="A15" s="59"/>
      <c r="B15" s="61"/>
      <c r="C15" s="61"/>
      <c r="D15" s="63"/>
      <c r="E15" s="63"/>
      <c r="F15" s="41" t="s">
        <v>32</v>
      </c>
      <c r="G15" s="17">
        <v>0.1</v>
      </c>
      <c r="H15" s="7"/>
      <c r="I15" s="21"/>
    </row>
    <row r="16" spans="1:16" x14ac:dyDescent="0.3">
      <c r="A16" s="59"/>
      <c r="B16" s="61"/>
      <c r="C16" s="61"/>
      <c r="D16" s="63"/>
      <c r="E16" s="63"/>
      <c r="F16" s="41" t="s">
        <v>34</v>
      </c>
      <c r="G16" s="17">
        <v>0.5</v>
      </c>
      <c r="H16" s="7"/>
      <c r="I16" s="21"/>
    </row>
    <row r="17" spans="1:9" x14ac:dyDescent="0.3">
      <c r="A17" s="59"/>
      <c r="B17" s="61"/>
      <c r="C17" s="61"/>
      <c r="D17" s="63"/>
      <c r="E17" s="63"/>
      <c r="F17" s="41" t="s">
        <v>35</v>
      </c>
      <c r="G17" s="17">
        <v>0.2</v>
      </c>
      <c r="H17" s="7"/>
      <c r="I17" s="21"/>
    </row>
    <row r="18" spans="1:9" x14ac:dyDescent="0.3">
      <c r="A18" s="59"/>
      <c r="B18" s="61"/>
      <c r="C18" s="61"/>
      <c r="D18" s="63"/>
      <c r="E18" s="63"/>
      <c r="F18" s="41" t="s">
        <v>89</v>
      </c>
      <c r="G18" s="17">
        <v>0.1</v>
      </c>
      <c r="H18" s="7"/>
      <c r="I18" s="22"/>
    </row>
    <row r="19" spans="1:9" x14ac:dyDescent="0.3">
      <c r="A19" s="60"/>
      <c r="B19" s="62"/>
      <c r="C19" s="62"/>
      <c r="D19" s="64"/>
      <c r="E19" s="64"/>
      <c r="F19" s="23"/>
      <c r="G19" s="24" t="s">
        <v>24</v>
      </c>
      <c r="H19" s="25">
        <f>ROUND((G14*H14)+(G15*H15)+(G16*H16)+(G18*H18)+(G17*H17),2)</f>
        <v>0</v>
      </c>
      <c r="I19" s="25">
        <f>ROUND(E14*H19,2)</f>
        <v>0</v>
      </c>
    </row>
    <row r="20" spans="1:9" x14ac:dyDescent="0.3">
      <c r="A20" s="4"/>
    </row>
    <row r="21" spans="1:9" ht="28.8" x14ac:dyDescent="0.3">
      <c r="A21" s="33" t="s">
        <v>0</v>
      </c>
      <c r="B21" s="33" t="s">
        <v>18</v>
      </c>
      <c r="C21" s="33" t="s">
        <v>19</v>
      </c>
      <c r="D21" s="33" t="s">
        <v>17</v>
      </c>
      <c r="E21" s="33" t="s">
        <v>5</v>
      </c>
      <c r="F21" s="34" t="s">
        <v>21</v>
      </c>
      <c r="G21" s="33" t="s">
        <v>22</v>
      </c>
      <c r="H21" s="34" t="s">
        <v>12</v>
      </c>
      <c r="I21" s="34" t="s">
        <v>23</v>
      </c>
    </row>
    <row r="22" spans="1:9" x14ac:dyDescent="0.3">
      <c r="A22" s="58" t="s">
        <v>57</v>
      </c>
      <c r="B22" s="61" t="s">
        <v>27</v>
      </c>
      <c r="C22" s="61" t="s">
        <v>87</v>
      </c>
      <c r="D22" s="63" t="s">
        <v>116</v>
      </c>
      <c r="E22" s="63">
        <v>120</v>
      </c>
      <c r="F22" s="41" t="s">
        <v>31</v>
      </c>
      <c r="G22" s="17">
        <v>0.1</v>
      </c>
      <c r="H22" s="7"/>
      <c r="I22" s="21"/>
    </row>
    <row r="23" spans="1:9" x14ac:dyDescent="0.3">
      <c r="A23" s="59"/>
      <c r="B23" s="61"/>
      <c r="C23" s="61"/>
      <c r="D23" s="63"/>
      <c r="E23" s="63"/>
      <c r="F23" s="41" t="s">
        <v>32</v>
      </c>
      <c r="G23" s="17">
        <v>0.1</v>
      </c>
      <c r="H23" s="7"/>
      <c r="I23" s="21"/>
    </row>
    <row r="24" spans="1:9" x14ac:dyDescent="0.3">
      <c r="A24" s="59"/>
      <c r="B24" s="61"/>
      <c r="C24" s="61"/>
      <c r="D24" s="63"/>
      <c r="E24" s="63"/>
      <c r="F24" s="41" t="s">
        <v>34</v>
      </c>
      <c r="G24" s="17">
        <v>0.1</v>
      </c>
      <c r="H24" s="7"/>
      <c r="I24" s="21"/>
    </row>
    <row r="25" spans="1:9" x14ac:dyDescent="0.3">
      <c r="A25" s="59"/>
      <c r="B25" s="61"/>
      <c r="C25" s="61"/>
      <c r="D25" s="63"/>
      <c r="E25" s="63"/>
      <c r="F25" s="41" t="s">
        <v>35</v>
      </c>
      <c r="G25" s="17">
        <v>0.6</v>
      </c>
      <c r="H25" s="7"/>
      <c r="I25" s="21"/>
    </row>
    <row r="26" spans="1:9" x14ac:dyDescent="0.3">
      <c r="A26" s="59"/>
      <c r="B26" s="61"/>
      <c r="C26" s="61"/>
      <c r="D26" s="63"/>
      <c r="E26" s="63"/>
      <c r="F26" s="41" t="s">
        <v>36</v>
      </c>
      <c r="G26" s="17">
        <v>0.1</v>
      </c>
      <c r="H26" s="7"/>
      <c r="I26" s="22"/>
    </row>
    <row r="27" spans="1:9" x14ac:dyDescent="0.3">
      <c r="A27" s="60"/>
      <c r="B27" s="62"/>
      <c r="C27" s="62"/>
      <c r="D27" s="64"/>
      <c r="E27" s="64"/>
      <c r="F27" s="23"/>
      <c r="G27" s="24" t="s">
        <v>24</v>
      </c>
      <c r="H27" s="25">
        <f>ROUND((G22*H22)+(G23*H23)+(G24*H24)+(G25*H25)+(G26*H26),2)</f>
        <v>0</v>
      </c>
      <c r="I27" s="25">
        <f>ROUND(E22*H27,2)</f>
        <v>0</v>
      </c>
    </row>
    <row r="28" spans="1:9" x14ac:dyDescent="0.3">
      <c r="A28" s="4"/>
    </row>
    <row r="29" spans="1:9" ht="28.8" x14ac:dyDescent="0.3">
      <c r="A29" s="33" t="s">
        <v>0</v>
      </c>
      <c r="B29" s="33" t="s">
        <v>18</v>
      </c>
      <c r="C29" s="33" t="s">
        <v>19</v>
      </c>
      <c r="D29" s="33" t="s">
        <v>17</v>
      </c>
      <c r="E29" s="33" t="s">
        <v>5</v>
      </c>
      <c r="F29" s="34" t="s">
        <v>21</v>
      </c>
      <c r="G29" s="33" t="s">
        <v>22</v>
      </c>
      <c r="H29" s="34" t="s">
        <v>12</v>
      </c>
      <c r="I29" s="34" t="s">
        <v>23</v>
      </c>
    </row>
    <row r="30" spans="1:9" x14ac:dyDescent="0.3">
      <c r="A30" s="58" t="s">
        <v>58</v>
      </c>
      <c r="B30" s="61" t="s">
        <v>28</v>
      </c>
      <c r="C30" s="61" t="s">
        <v>88</v>
      </c>
      <c r="D30" s="63" t="s">
        <v>122</v>
      </c>
      <c r="E30" s="63">
        <v>50</v>
      </c>
      <c r="F30" s="41" t="s">
        <v>31</v>
      </c>
      <c r="G30" s="17">
        <v>0.1</v>
      </c>
      <c r="H30" s="7"/>
      <c r="I30" s="21"/>
    </row>
    <row r="31" spans="1:9" x14ac:dyDescent="0.3">
      <c r="A31" s="59"/>
      <c r="B31" s="61"/>
      <c r="C31" s="61"/>
      <c r="D31" s="63"/>
      <c r="E31" s="63"/>
      <c r="F31" s="41" t="s">
        <v>32</v>
      </c>
      <c r="G31" s="17">
        <v>0.2</v>
      </c>
      <c r="H31" s="7"/>
      <c r="I31" s="21"/>
    </row>
    <row r="32" spans="1:9" x14ac:dyDescent="0.3">
      <c r="A32" s="59"/>
      <c r="B32" s="61"/>
      <c r="C32" s="61"/>
      <c r="D32" s="63"/>
      <c r="E32" s="63"/>
      <c r="F32" s="41" t="s">
        <v>33</v>
      </c>
      <c r="G32" s="17">
        <v>0.6</v>
      </c>
      <c r="H32" s="7"/>
      <c r="I32" s="21"/>
    </row>
    <row r="33" spans="1:9" x14ac:dyDescent="0.3">
      <c r="A33" s="59"/>
      <c r="B33" s="61"/>
      <c r="C33" s="61"/>
      <c r="D33" s="63"/>
      <c r="E33" s="63"/>
      <c r="F33" s="41" t="s">
        <v>90</v>
      </c>
      <c r="G33" s="17">
        <v>0.1</v>
      </c>
      <c r="H33" s="7"/>
      <c r="I33" s="21"/>
    </row>
    <row r="34" spans="1:9" x14ac:dyDescent="0.3">
      <c r="A34" s="60"/>
      <c r="B34" s="62"/>
      <c r="C34" s="62"/>
      <c r="D34" s="64"/>
      <c r="E34" s="64"/>
      <c r="F34" s="23"/>
      <c r="G34" s="24" t="s">
        <v>24</v>
      </c>
      <c r="H34" s="25">
        <f>ROUND((G30*H30)+(G31*H31)+(G32*H32)+(G33*H33),2)</f>
        <v>0</v>
      </c>
      <c r="I34" s="25">
        <f>ROUND(E30*H34,2)</f>
        <v>0</v>
      </c>
    </row>
    <row r="36" spans="1:9" s="16" customFormat="1" x14ac:dyDescent="0.3"/>
    <row r="40" spans="1:9" ht="15.6" customHeight="1" x14ac:dyDescent="0.3"/>
    <row r="42" spans="1:9" x14ac:dyDescent="0.3">
      <c r="A42" s="26"/>
      <c r="B42" s="27"/>
      <c r="C42" s="27"/>
      <c r="D42" s="28"/>
      <c r="E42" s="28"/>
      <c r="F42" s="29"/>
      <c r="G42" s="30"/>
      <c r="H42" s="31"/>
      <c r="I42" s="31"/>
    </row>
    <row r="49" spans="1:9" x14ac:dyDescent="0.3">
      <c r="A49" s="26"/>
      <c r="B49" s="27"/>
      <c r="C49" s="27"/>
      <c r="D49" s="28"/>
      <c r="E49" s="28"/>
      <c r="F49" s="29"/>
      <c r="G49" s="30"/>
      <c r="H49" s="31"/>
      <c r="I49" s="31"/>
    </row>
    <row r="53" spans="1:9" ht="15" customHeight="1" x14ac:dyDescent="0.3"/>
    <row r="54" spans="1:9" ht="15" customHeight="1" x14ac:dyDescent="0.3"/>
    <row r="60" spans="1:9" ht="15" customHeight="1" x14ac:dyDescent="0.3"/>
    <row r="64" spans="1:9" ht="30" customHeight="1" x14ac:dyDescent="0.3"/>
    <row r="78" ht="30" customHeight="1" x14ac:dyDescent="0.3"/>
  </sheetData>
  <sheetProtection algorithmName="SHA-512" hashValue="vOUN9v5W6BHO1wJH9EDwKiCp7Ku5XGmbTdQPs+aEnqsn/wYPIAAKOGKiTtJLMegFF5wMD4TNYG3SQ+eXDf4PDw==" saltValue="EVHZlIxrSoseBVL3kf6n0w==" spinCount="100000" sheet="1" objects="1" scenarios="1"/>
  <mergeCells count="21">
    <mergeCell ref="B5:D5"/>
    <mergeCell ref="A22:A27"/>
    <mergeCell ref="B22:B27"/>
    <mergeCell ref="C22:C27"/>
    <mergeCell ref="D22:D27"/>
    <mergeCell ref="A8:A11"/>
    <mergeCell ref="B8:B11"/>
    <mergeCell ref="C8:C11"/>
    <mergeCell ref="D8:D11"/>
    <mergeCell ref="E22:E27"/>
    <mergeCell ref="A30:A34"/>
    <mergeCell ref="B30:B34"/>
    <mergeCell ref="C30:C34"/>
    <mergeCell ref="D30:D34"/>
    <mergeCell ref="E30:E34"/>
    <mergeCell ref="E8:E11"/>
    <mergeCell ref="A14:A19"/>
    <mergeCell ref="B14:B19"/>
    <mergeCell ref="C14:C19"/>
    <mergeCell ref="D14:D19"/>
    <mergeCell ref="E14:E19"/>
  </mergeCells>
  <pageMargins left="0.7" right="0.7" top="0.75" bottom="0.75" header="0.3" footer="0.3"/>
  <pageSetup orientation="portrait" verticalDpi="597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F57C-6061-4078-A634-37F49D0A7342}">
  <dimension ref="A1:P78"/>
  <sheetViews>
    <sheetView tabSelected="1" workbookViewId="0">
      <selection activeCell="J20" sqref="J20"/>
    </sheetView>
  </sheetViews>
  <sheetFormatPr defaultColWidth="9.109375" defaultRowHeight="14.4" x14ac:dyDescent="0.3"/>
  <cols>
    <col min="1" max="1" width="16.44140625" style="3" customWidth="1"/>
    <col min="2" max="2" width="20.77734375" style="3" customWidth="1"/>
    <col min="3" max="3" width="15.77734375" style="3" customWidth="1"/>
    <col min="4" max="4" width="50.5546875" style="3" customWidth="1"/>
    <col min="5" max="5" width="14.109375" style="3" bestFit="1" customWidth="1"/>
    <col min="6" max="7" width="17.109375" style="3" customWidth="1"/>
    <col min="8" max="8" width="20.6640625" style="3" bestFit="1" customWidth="1"/>
    <col min="9" max="9" width="21.44140625" style="3" bestFit="1" customWidth="1"/>
    <col min="10" max="10" width="14.6640625" style="3" customWidth="1"/>
    <col min="11" max="11" width="15.6640625" style="3" customWidth="1"/>
    <col min="12" max="13" width="14.6640625" style="3" customWidth="1"/>
    <col min="14" max="14" width="15.6640625" style="3" customWidth="1"/>
    <col min="15" max="15" width="1" style="3" customWidth="1"/>
    <col min="16" max="17" width="14.6640625" style="3" customWidth="1"/>
    <col min="18" max="18" width="15.6640625" style="3" customWidth="1"/>
    <col min="19" max="16384" width="9.109375" style="3"/>
  </cols>
  <sheetData>
    <row r="1" spans="1:16" x14ac:dyDescent="0.3">
      <c r="A1" s="20" t="s">
        <v>91</v>
      </c>
      <c r="E1" s="5"/>
      <c r="I1" s="5"/>
      <c r="L1" s="5"/>
      <c r="P1" s="5"/>
    </row>
    <row r="2" spans="1:16" x14ac:dyDescent="0.3">
      <c r="A2" s="4" t="s">
        <v>26</v>
      </c>
      <c r="E2" s="5"/>
      <c r="I2" s="5"/>
      <c r="L2" s="5"/>
      <c r="P2" s="5"/>
    </row>
    <row r="3" spans="1:16" x14ac:dyDescent="0.3">
      <c r="A3" s="32" t="s">
        <v>41</v>
      </c>
      <c r="B3"/>
    </row>
    <row r="4" spans="1:16" x14ac:dyDescent="0.3">
      <c r="A4" s="4"/>
    </row>
    <row r="5" spans="1:16" x14ac:dyDescent="0.3">
      <c r="A5" s="51" t="s">
        <v>1</v>
      </c>
      <c r="B5" s="65" t="str">
        <f>IF(ISBLANK(Summary!B5),"See Summary Tab",Summary!B5)</f>
        <v>See Summary Tab</v>
      </c>
      <c r="C5" s="65"/>
      <c r="D5" s="65"/>
    </row>
    <row r="6" spans="1:16" x14ac:dyDescent="0.3">
      <c r="A6" s="4"/>
    </row>
    <row r="7" spans="1:16" ht="28.8" x14ac:dyDescent="0.3">
      <c r="A7" s="33" t="s">
        <v>0</v>
      </c>
      <c r="B7" s="33" t="s">
        <v>18</v>
      </c>
      <c r="C7" s="33" t="s">
        <v>19</v>
      </c>
      <c r="D7" s="33" t="s">
        <v>17</v>
      </c>
      <c r="E7" s="33" t="s">
        <v>5</v>
      </c>
      <c r="F7" s="34" t="s">
        <v>21</v>
      </c>
      <c r="G7" s="33" t="s">
        <v>22</v>
      </c>
      <c r="H7" s="34" t="s">
        <v>12</v>
      </c>
      <c r="I7" s="34" t="s">
        <v>23</v>
      </c>
    </row>
    <row r="8" spans="1:16" x14ac:dyDescent="0.3">
      <c r="A8" s="58" t="s">
        <v>59</v>
      </c>
      <c r="B8" s="61" t="s">
        <v>29</v>
      </c>
      <c r="C8" s="61" t="s">
        <v>85</v>
      </c>
      <c r="D8" s="63" t="s">
        <v>104</v>
      </c>
      <c r="E8" s="63">
        <v>6</v>
      </c>
      <c r="F8" s="41" t="s">
        <v>31</v>
      </c>
      <c r="G8" s="17">
        <v>0.7</v>
      </c>
      <c r="H8" s="7"/>
      <c r="I8" s="21"/>
    </row>
    <row r="9" spans="1:16" x14ac:dyDescent="0.3">
      <c r="A9" s="59"/>
      <c r="B9" s="61"/>
      <c r="C9" s="61"/>
      <c r="D9" s="63"/>
      <c r="E9" s="63"/>
      <c r="F9" s="41" t="s">
        <v>32</v>
      </c>
      <c r="G9" s="17">
        <v>0.2</v>
      </c>
      <c r="H9" s="7"/>
      <c r="I9" s="21"/>
      <c r="K9" s="52"/>
    </row>
    <row r="10" spans="1:16" x14ac:dyDescent="0.3">
      <c r="A10" s="59"/>
      <c r="B10" s="61"/>
      <c r="C10" s="61"/>
      <c r="D10" s="63"/>
      <c r="E10" s="63"/>
      <c r="F10" s="41" t="s">
        <v>34</v>
      </c>
      <c r="G10" s="17">
        <v>0.1</v>
      </c>
      <c r="H10" s="7"/>
      <c r="I10" s="21"/>
    </row>
    <row r="11" spans="1:16" x14ac:dyDescent="0.3">
      <c r="A11" s="60"/>
      <c r="B11" s="62"/>
      <c r="C11" s="62"/>
      <c r="D11" s="64"/>
      <c r="E11" s="64"/>
      <c r="F11" s="23"/>
      <c r="G11" s="24" t="s">
        <v>24</v>
      </c>
      <c r="H11" s="25">
        <f>ROUND((G8*H8)+(G9*H9)+(G10*H10),2)</f>
        <v>0</v>
      </c>
      <c r="I11" s="25">
        <f>ROUND(E8*H11,2)</f>
        <v>0</v>
      </c>
    </row>
    <row r="12" spans="1:16" x14ac:dyDescent="0.3">
      <c r="A12" s="4"/>
    </row>
    <row r="13" spans="1:16" ht="28.8" x14ac:dyDescent="0.3">
      <c r="A13" s="33" t="s">
        <v>0</v>
      </c>
      <c r="B13" s="33" t="s">
        <v>18</v>
      </c>
      <c r="C13" s="33" t="s">
        <v>19</v>
      </c>
      <c r="D13" s="33" t="s">
        <v>17</v>
      </c>
      <c r="E13" s="33" t="s">
        <v>5</v>
      </c>
      <c r="F13" s="34" t="s">
        <v>21</v>
      </c>
      <c r="G13" s="33" t="s">
        <v>22</v>
      </c>
      <c r="H13" s="34" t="s">
        <v>12</v>
      </c>
      <c r="I13" s="34" t="s">
        <v>23</v>
      </c>
    </row>
    <row r="14" spans="1:16" x14ac:dyDescent="0.3">
      <c r="A14" s="58" t="s">
        <v>60</v>
      </c>
      <c r="B14" s="61" t="s">
        <v>30</v>
      </c>
      <c r="C14" s="61" t="s">
        <v>86</v>
      </c>
      <c r="D14" s="63" t="s">
        <v>111</v>
      </c>
      <c r="E14" s="63">
        <v>75</v>
      </c>
      <c r="F14" s="41" t="s">
        <v>31</v>
      </c>
      <c r="G14" s="17">
        <v>0.1</v>
      </c>
      <c r="H14" s="7"/>
      <c r="I14" s="21"/>
    </row>
    <row r="15" spans="1:16" x14ac:dyDescent="0.3">
      <c r="A15" s="59"/>
      <c r="B15" s="61"/>
      <c r="C15" s="61"/>
      <c r="D15" s="63"/>
      <c r="E15" s="63"/>
      <c r="F15" s="41" t="s">
        <v>32</v>
      </c>
      <c r="G15" s="17">
        <v>0.1</v>
      </c>
      <c r="H15" s="7"/>
      <c r="I15" s="21"/>
      <c r="K15" s="52"/>
    </row>
    <row r="16" spans="1:16" x14ac:dyDescent="0.3">
      <c r="A16" s="59"/>
      <c r="B16" s="61"/>
      <c r="C16" s="61"/>
      <c r="D16" s="63"/>
      <c r="E16" s="63"/>
      <c r="F16" s="41" t="s">
        <v>34</v>
      </c>
      <c r="G16" s="17">
        <v>0.5</v>
      </c>
      <c r="H16" s="7"/>
      <c r="I16" s="21"/>
    </row>
    <row r="17" spans="1:11" x14ac:dyDescent="0.3">
      <c r="A17" s="59"/>
      <c r="B17" s="61"/>
      <c r="C17" s="61"/>
      <c r="D17" s="63"/>
      <c r="E17" s="63"/>
      <c r="F17" s="41" t="s">
        <v>35</v>
      </c>
      <c r="G17" s="17">
        <v>0.2</v>
      </c>
      <c r="H17" s="7"/>
      <c r="I17" s="21"/>
    </row>
    <row r="18" spans="1:11" x14ac:dyDescent="0.3">
      <c r="A18" s="59"/>
      <c r="B18" s="61"/>
      <c r="C18" s="61"/>
      <c r="D18" s="63"/>
      <c r="E18" s="63"/>
      <c r="F18" s="41" t="s">
        <v>89</v>
      </c>
      <c r="G18" s="17">
        <v>0.1</v>
      </c>
      <c r="H18" s="7"/>
      <c r="I18" s="22"/>
    </row>
    <row r="19" spans="1:11" x14ac:dyDescent="0.3">
      <c r="A19" s="60"/>
      <c r="B19" s="62"/>
      <c r="C19" s="62"/>
      <c r="D19" s="64"/>
      <c r="E19" s="64"/>
      <c r="F19" s="23"/>
      <c r="G19" s="24" t="s">
        <v>24</v>
      </c>
      <c r="H19" s="25">
        <f>ROUND((G14*H14)+(G15*H15)+(G16*H16)+(G18*H18)+(G17*H17),2)</f>
        <v>0</v>
      </c>
      <c r="I19" s="25">
        <f>ROUND(E14*H19,2)</f>
        <v>0</v>
      </c>
    </row>
    <row r="20" spans="1:11" x14ac:dyDescent="0.3">
      <c r="A20" s="4"/>
    </row>
    <row r="21" spans="1:11" ht="28.8" x14ac:dyDescent="0.3">
      <c r="A21" s="33" t="s">
        <v>0</v>
      </c>
      <c r="B21" s="33" t="s">
        <v>18</v>
      </c>
      <c r="C21" s="33" t="s">
        <v>19</v>
      </c>
      <c r="D21" s="33" t="s">
        <v>17</v>
      </c>
      <c r="E21" s="33" t="s">
        <v>5</v>
      </c>
      <c r="F21" s="34" t="s">
        <v>21</v>
      </c>
      <c r="G21" s="33" t="s">
        <v>22</v>
      </c>
      <c r="H21" s="34" t="s">
        <v>12</v>
      </c>
      <c r="I21" s="34" t="s">
        <v>23</v>
      </c>
    </row>
    <row r="22" spans="1:11" x14ac:dyDescent="0.3">
      <c r="A22" s="58" t="s">
        <v>61</v>
      </c>
      <c r="B22" s="61" t="s">
        <v>27</v>
      </c>
      <c r="C22" s="61" t="s">
        <v>87</v>
      </c>
      <c r="D22" s="63" t="s">
        <v>117</v>
      </c>
      <c r="E22" s="63">
        <v>120</v>
      </c>
      <c r="F22" s="41" t="s">
        <v>31</v>
      </c>
      <c r="G22" s="17">
        <v>0.1</v>
      </c>
      <c r="H22" s="7"/>
      <c r="I22" s="21"/>
    </row>
    <row r="23" spans="1:11" x14ac:dyDescent="0.3">
      <c r="A23" s="59"/>
      <c r="B23" s="61"/>
      <c r="C23" s="61"/>
      <c r="D23" s="63"/>
      <c r="E23" s="63"/>
      <c r="F23" s="41" t="s">
        <v>32</v>
      </c>
      <c r="G23" s="17">
        <v>0.1</v>
      </c>
      <c r="H23" s="7"/>
      <c r="I23" s="21"/>
      <c r="K23" s="52"/>
    </row>
    <row r="24" spans="1:11" x14ac:dyDescent="0.3">
      <c r="A24" s="59"/>
      <c r="B24" s="61"/>
      <c r="C24" s="61"/>
      <c r="D24" s="63"/>
      <c r="E24" s="63"/>
      <c r="F24" s="41" t="s">
        <v>34</v>
      </c>
      <c r="G24" s="17">
        <v>0.1</v>
      </c>
      <c r="H24" s="7"/>
      <c r="I24" s="21"/>
    </row>
    <row r="25" spans="1:11" x14ac:dyDescent="0.3">
      <c r="A25" s="59"/>
      <c r="B25" s="61"/>
      <c r="C25" s="61"/>
      <c r="D25" s="63"/>
      <c r="E25" s="63"/>
      <c r="F25" s="41" t="s">
        <v>35</v>
      </c>
      <c r="G25" s="17">
        <v>0.6</v>
      </c>
      <c r="H25" s="7"/>
      <c r="I25" s="21"/>
    </row>
    <row r="26" spans="1:11" x14ac:dyDescent="0.3">
      <c r="A26" s="59"/>
      <c r="B26" s="61"/>
      <c r="C26" s="61"/>
      <c r="D26" s="63"/>
      <c r="E26" s="63"/>
      <c r="F26" s="41" t="s">
        <v>36</v>
      </c>
      <c r="G26" s="17">
        <v>0.1</v>
      </c>
      <c r="H26" s="7"/>
      <c r="I26" s="22"/>
    </row>
    <row r="27" spans="1:11" x14ac:dyDescent="0.3">
      <c r="A27" s="60"/>
      <c r="B27" s="62"/>
      <c r="C27" s="62"/>
      <c r="D27" s="64"/>
      <c r="E27" s="64"/>
      <c r="F27" s="23"/>
      <c r="G27" s="24" t="s">
        <v>24</v>
      </c>
      <c r="H27" s="25">
        <f>ROUND((G22*H22)+(G23*H23)+(G24*H24)+(G25*H25)+(G26*H26),2)</f>
        <v>0</v>
      </c>
      <c r="I27" s="25">
        <f>ROUND(E22*H27,2)</f>
        <v>0</v>
      </c>
    </row>
    <row r="28" spans="1:11" x14ac:dyDescent="0.3">
      <c r="A28" s="4"/>
    </row>
    <row r="29" spans="1:11" ht="28.8" x14ac:dyDescent="0.3">
      <c r="A29" s="33" t="s">
        <v>0</v>
      </c>
      <c r="B29" s="33" t="s">
        <v>18</v>
      </c>
      <c r="C29" s="33" t="s">
        <v>19</v>
      </c>
      <c r="D29" s="33" t="s">
        <v>17</v>
      </c>
      <c r="E29" s="33" t="s">
        <v>5</v>
      </c>
      <c r="F29" s="34" t="s">
        <v>21</v>
      </c>
      <c r="G29" s="33" t="s">
        <v>22</v>
      </c>
      <c r="H29" s="34" t="s">
        <v>12</v>
      </c>
      <c r="I29" s="34" t="s">
        <v>23</v>
      </c>
    </row>
    <row r="30" spans="1:11" x14ac:dyDescent="0.3">
      <c r="A30" s="58" t="s">
        <v>62</v>
      </c>
      <c r="B30" s="61" t="s">
        <v>28</v>
      </c>
      <c r="C30" s="61" t="s">
        <v>88</v>
      </c>
      <c r="D30" s="63" t="s">
        <v>123</v>
      </c>
      <c r="E30" s="63">
        <v>44</v>
      </c>
      <c r="F30" s="41" t="s">
        <v>31</v>
      </c>
      <c r="G30" s="17">
        <v>0.1</v>
      </c>
      <c r="H30" s="7"/>
      <c r="I30" s="21"/>
    </row>
    <row r="31" spans="1:11" x14ac:dyDescent="0.3">
      <c r="A31" s="59"/>
      <c r="B31" s="61"/>
      <c r="C31" s="61"/>
      <c r="D31" s="63"/>
      <c r="E31" s="63"/>
      <c r="F31" s="41" t="s">
        <v>32</v>
      </c>
      <c r="G31" s="17">
        <v>0.2</v>
      </c>
      <c r="H31" s="7"/>
      <c r="I31" s="21"/>
    </row>
    <row r="32" spans="1:11" x14ac:dyDescent="0.3">
      <c r="A32" s="59"/>
      <c r="B32" s="61"/>
      <c r="C32" s="61"/>
      <c r="D32" s="63"/>
      <c r="E32" s="63"/>
      <c r="F32" s="41" t="s">
        <v>33</v>
      </c>
      <c r="G32" s="17">
        <v>0.6</v>
      </c>
      <c r="H32" s="7"/>
      <c r="I32" s="21"/>
    </row>
    <row r="33" spans="1:12" x14ac:dyDescent="0.3">
      <c r="A33" s="59"/>
      <c r="B33" s="61"/>
      <c r="C33" s="61"/>
      <c r="D33" s="63"/>
      <c r="E33" s="63"/>
      <c r="F33" s="41" t="s">
        <v>90</v>
      </c>
      <c r="G33" s="17">
        <v>0.1</v>
      </c>
      <c r="H33" s="7"/>
      <c r="I33" s="21"/>
      <c r="L33" s="52"/>
    </row>
    <row r="34" spans="1:12" x14ac:dyDescent="0.3">
      <c r="A34" s="60"/>
      <c r="B34" s="62"/>
      <c r="C34" s="62"/>
      <c r="D34" s="64"/>
      <c r="E34" s="64"/>
      <c r="F34" s="23"/>
      <c r="G34" s="24" t="s">
        <v>24</v>
      </c>
      <c r="H34" s="25">
        <f>ROUND((G30*H30)+(G31*H31)+(G32*H32)+(G33*H33),2)</f>
        <v>0</v>
      </c>
      <c r="I34" s="25">
        <f>ROUND(E30*H34,2)</f>
        <v>0</v>
      </c>
    </row>
    <row r="36" spans="1:12" s="16" customFormat="1" x14ac:dyDescent="0.3"/>
    <row r="40" spans="1:12" ht="15.6" customHeight="1" x14ac:dyDescent="0.3"/>
    <row r="42" spans="1:12" x14ac:dyDescent="0.3">
      <c r="A42" s="26"/>
      <c r="B42" s="27"/>
      <c r="C42" s="27"/>
      <c r="D42" s="28"/>
      <c r="E42" s="28"/>
      <c r="F42" s="29"/>
      <c r="G42" s="30"/>
      <c r="H42" s="31"/>
      <c r="I42" s="31"/>
    </row>
    <row r="49" spans="1:9" x14ac:dyDescent="0.3">
      <c r="A49" s="26"/>
      <c r="B49" s="27"/>
      <c r="C49" s="27"/>
      <c r="D49" s="28"/>
      <c r="E49" s="28"/>
      <c r="F49" s="29"/>
      <c r="G49" s="30"/>
      <c r="H49" s="31"/>
      <c r="I49" s="31"/>
    </row>
    <row r="53" spans="1:9" ht="15" customHeight="1" x14ac:dyDescent="0.3"/>
    <row r="54" spans="1:9" ht="15" customHeight="1" x14ac:dyDescent="0.3"/>
    <row r="60" spans="1:9" ht="15" customHeight="1" x14ac:dyDescent="0.3"/>
    <row r="64" spans="1:9" ht="30" customHeight="1" x14ac:dyDescent="0.3"/>
    <row r="78" ht="30" customHeight="1" x14ac:dyDescent="0.3"/>
  </sheetData>
  <sheetProtection algorithmName="SHA-512" hashValue="DLs+zkaj0DBt843K6TwN6PmuG70eScFff4CN0Vfr4IPkgcyLeTWeCCAdX4dXryk9isIpRfX+Vqt0rCvcRDub+A==" saltValue="fuvE+9LVk1bwEb4RIBxSeg==" spinCount="100000" sheet="1" objects="1" scenarios="1"/>
  <mergeCells count="21">
    <mergeCell ref="B5:D5"/>
    <mergeCell ref="A22:A27"/>
    <mergeCell ref="B22:B27"/>
    <mergeCell ref="C22:C27"/>
    <mergeCell ref="D22:D27"/>
    <mergeCell ref="A8:A11"/>
    <mergeCell ref="B8:B11"/>
    <mergeCell ref="C8:C11"/>
    <mergeCell ref="D8:D11"/>
    <mergeCell ref="E22:E27"/>
    <mergeCell ref="A30:A34"/>
    <mergeCell ref="B30:B34"/>
    <mergeCell ref="C30:C34"/>
    <mergeCell ref="D30:D34"/>
    <mergeCell ref="E30:E34"/>
    <mergeCell ref="E8:E11"/>
    <mergeCell ref="A14:A19"/>
    <mergeCell ref="B14:B19"/>
    <mergeCell ref="C14:C19"/>
    <mergeCell ref="D14:D19"/>
    <mergeCell ref="E14:E19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77ED10E6BF5743A9D8B7589A9A331D" ma:contentTypeVersion="6" ma:contentTypeDescription="Create a new document." ma:contentTypeScope="" ma:versionID="cde6cac2d9e2abbd512451daf9c5a9bc">
  <xsd:schema xmlns:xsd="http://www.w3.org/2001/XMLSchema" xmlns:xs="http://www.w3.org/2001/XMLSchema" xmlns:p="http://schemas.microsoft.com/office/2006/metadata/properties" xmlns:ns1="http://schemas.microsoft.com/sharepoint/v3" xmlns:ns2="10980d0d-fb12-4ed1-aedd-06a6cfe9d192" xmlns:ns3="http://schemas.microsoft.com/sharepoint/v4" targetNamespace="http://schemas.microsoft.com/office/2006/metadata/properties" ma:root="true" ma:fieldsID="6630e25bc25b4b2a2385671a55e82b3f" ns1:_="" ns2:_="" ns3:_="">
    <xsd:import namespace="http://schemas.microsoft.com/sharepoint/v3"/>
    <xsd:import namespace="10980d0d-fb12-4ed1-aedd-06a6cfe9d192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RuleDescription" minOccurs="0"/>
                <xsd:element ref="ns3:IconOverlay" minOccurs="0"/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80d0d-fb12-4ed1-aedd-06a6cfe9d19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0980d0d-fb12-4ed1-aedd-06a6cfe9d192">FMZ643DKUJCH-1389238412-3137</_dlc_DocId>
    <_dlc_DocIdUrl xmlns="10980d0d-fb12-4ed1-aedd-06a6cfe9d192">
      <Url>https://kcp.army.mil/sites/paladin/_layouts/15/DocIdRedir.aspx?ID=FMZ643DKUJCH-1389238412-3137</Url>
      <Description>FMZ643DKUJCH-1389238412-3137</Description>
    </_dlc_DocIdUrl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  <RoutingRuleDescrip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5368109-3713-4E14-BAE9-0952944F9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0980d0d-fb12-4ed1-aedd-06a6cfe9d192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359EDE-0EDD-4769-816C-13B27EF8E9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D4C7C0-29BA-4CD5-956A-79592290D78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6CB034B-29E4-4147-BE38-250C033E572F}">
  <ds:schemaRefs>
    <ds:schemaRef ds:uri="http://schemas.microsoft.com/office/2006/metadata/properties"/>
    <ds:schemaRef ds:uri="http://schemas.microsoft.com/office/infopath/2007/PartnerControls"/>
    <ds:schemaRef ds:uri="10980d0d-fb12-4ed1-aedd-06a6cfe9d192"/>
    <ds:schemaRef ds:uri="http://schemas.microsoft.com/sharepoint/v3"/>
    <ds:schemaRef ds:uri="http://schemas.microsoft.com/sharepoint/v4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Summary</vt:lpstr>
      <vt:lpstr>1st YR Prod.&amp;FAT CLINs</vt:lpstr>
      <vt:lpstr>2nd YR Prod. CLINs</vt:lpstr>
      <vt:lpstr>3rd YR Prod. CLINs</vt:lpstr>
      <vt:lpstr>4th YR Prod. CLINs</vt:lpstr>
      <vt:lpstr>5th YR Prod. CLINs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sean.kennedy8</dc:creator>
  <cp:lastModifiedBy>Pena, Lyndsey M CIV USARMY ACC (USA)</cp:lastModifiedBy>
  <cp:lastPrinted>2016-10-19T13:35:45Z</cp:lastPrinted>
  <dcterms:created xsi:type="dcterms:W3CDTF">2016-09-20T17:45:19Z</dcterms:created>
  <dcterms:modified xsi:type="dcterms:W3CDTF">2026-05-05T11:10:10Z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0x0101004E77ED10E6BF5743A9D8B7589A9A331D</vt:lpwstr>
  </property>
  <property fmtid="{D5CDD505-2E9C-101B-9397-08002B2CF9AE}" pid="3" name="_dlc_DocIdItemGuid">
    <vt:lpwstr>aade961a-1bdc-408d-a005-1428c6294760</vt:lpwstr>
  </property>
</Properties>
</file>