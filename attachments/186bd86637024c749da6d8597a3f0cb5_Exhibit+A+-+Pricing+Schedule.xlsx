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usdos-my.sharepoint.com/personal/crisafullija_state_gov/Documents/Desktop/"/>
    </mc:Choice>
  </mc:AlternateContent>
  <xr:revisionPtr revIDLastSave="466" documentId="8_{5A4E294E-50D4-406D-B6A1-BB637F948FF4}" xr6:coauthVersionLast="47" xr6:coauthVersionMax="47" xr10:uidLastSave="{6EC270A7-2B28-4311-8163-0F9229EE8B65}"/>
  <bookViews>
    <workbookView xWindow="-108" yWindow="-108" windowWidth="23256" windowHeight="12456" xr2:uid="{5FFB841B-4F1D-417B-98C4-B1B4D17BD400}"/>
  </bookViews>
  <sheets>
    <sheet name="Base Year" sheetId="1" r:id="rId1"/>
    <sheet name="Option Year 1" sheetId="9" r:id="rId2"/>
    <sheet name="Option Year 2" sheetId="10" r:id="rId3"/>
    <sheet name="Option Year 3" sheetId="11" r:id="rId4"/>
    <sheet name="Option Year 4" sheetId="12" r:id="rId5"/>
    <sheet name="Grand Total"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8" l="1"/>
  <c r="B3" i="8"/>
  <c r="E27" i="12"/>
  <c r="E26" i="12"/>
  <c r="E25" i="12"/>
  <c r="E28" i="12" s="1"/>
  <c r="B19" i="12"/>
  <c r="C18" i="12"/>
  <c r="C17" i="12"/>
  <c r="C16" i="12"/>
  <c r="C15" i="12"/>
  <c r="C14" i="12"/>
  <c r="C13" i="12"/>
  <c r="C12" i="12"/>
  <c r="C11" i="12"/>
  <c r="C10" i="12"/>
  <c r="C9" i="12"/>
  <c r="C8" i="12"/>
  <c r="C7" i="12"/>
  <c r="C6" i="12"/>
  <c r="C20" i="12" s="1"/>
  <c r="E27" i="11"/>
  <c r="E26" i="11"/>
  <c r="E25" i="11"/>
  <c r="E28" i="11" s="1"/>
  <c r="B19" i="11"/>
  <c r="C18" i="11"/>
  <c r="C17" i="11"/>
  <c r="C16" i="11"/>
  <c r="C15" i="11"/>
  <c r="C14" i="11"/>
  <c r="C13" i="11"/>
  <c r="C12" i="11"/>
  <c r="C11" i="11"/>
  <c r="C10" i="11"/>
  <c r="C9" i="11"/>
  <c r="C8" i="11"/>
  <c r="C7" i="11"/>
  <c r="C6" i="11"/>
  <c r="C20" i="11" s="1"/>
  <c r="E27" i="10"/>
  <c r="E26" i="10"/>
  <c r="E25" i="10"/>
  <c r="B19" i="10"/>
  <c r="C18" i="10"/>
  <c r="C17" i="10"/>
  <c r="C16" i="10"/>
  <c r="C15" i="10"/>
  <c r="C14" i="10"/>
  <c r="C13" i="10"/>
  <c r="C12" i="10"/>
  <c r="C11" i="10"/>
  <c r="C10" i="10"/>
  <c r="C9" i="10"/>
  <c r="C8" i="10"/>
  <c r="C7" i="10"/>
  <c r="C6" i="10"/>
  <c r="C20" i="10" s="1"/>
  <c r="E27" i="9"/>
  <c r="E26" i="9"/>
  <c r="E25" i="9"/>
  <c r="E28" i="9" s="1"/>
  <c r="E32" i="9" s="1"/>
  <c r="B4" i="8" s="1"/>
  <c r="C20" i="9"/>
  <c r="B19" i="9"/>
  <c r="C18" i="9"/>
  <c r="C17" i="9"/>
  <c r="C16" i="9"/>
  <c r="C15" i="9"/>
  <c r="C14" i="9"/>
  <c r="C13" i="9"/>
  <c r="C12" i="9"/>
  <c r="C11" i="9"/>
  <c r="C10" i="9"/>
  <c r="C9" i="9"/>
  <c r="C8" i="9"/>
  <c r="C7" i="9"/>
  <c r="C6" i="9"/>
  <c r="C7" i="1"/>
  <c r="C8" i="1"/>
  <c r="C9" i="1"/>
  <c r="C10" i="1"/>
  <c r="C11" i="1"/>
  <c r="C12" i="1"/>
  <c r="C13" i="1"/>
  <c r="C14" i="1"/>
  <c r="C15" i="1"/>
  <c r="C16" i="1"/>
  <c r="C17" i="1"/>
  <c r="C18" i="1"/>
  <c r="E28" i="10" l="1"/>
  <c r="E32" i="12"/>
  <c r="B7" i="8" s="1"/>
  <c r="E32" i="11"/>
  <c r="E32" i="10"/>
  <c r="B5" i="8" s="1"/>
  <c r="B19" i="1"/>
  <c r="C6" i="1"/>
  <c r="C20" i="1" s="1"/>
  <c r="E26" i="1"/>
  <c r="E27" i="1"/>
  <c r="E25" i="1"/>
  <c r="E28" i="1" l="1"/>
  <c r="E32" i="1"/>
  <c r="B8" i="8" l="1"/>
</calcChain>
</file>

<file path=xl/sharedStrings.xml><?xml version="1.0" encoding="utf-8"?>
<sst xmlns="http://schemas.openxmlformats.org/spreadsheetml/2006/main" count="208" uniqueCount="54">
  <si>
    <t xml:space="preserve">BASE YEAR  </t>
  </si>
  <si>
    <t>Description of Services</t>
  </si>
  <si>
    <t>Unit of Measure</t>
  </si>
  <si>
    <t xml:space="preserve">Total Price per Year </t>
  </si>
  <si>
    <t>Unit Price</t>
  </si>
  <si>
    <t>BASE YEAR</t>
  </si>
  <si>
    <t>OPTION YEAR 1</t>
  </si>
  <si>
    <t>GRAND TOTAL</t>
  </si>
  <si>
    <t>OPTION YEAR 2</t>
  </si>
  <si>
    <t>OPTION YEAR 3</t>
  </si>
  <si>
    <t>OPTION YEAR 4</t>
  </si>
  <si>
    <t xml:space="preserve">GRAND TOTAL PRICES </t>
  </si>
  <si>
    <t xml:space="preserve">Embassy Compound Barriers and Bollards </t>
  </si>
  <si>
    <t>Embassy Compound  Gates</t>
  </si>
  <si>
    <t>Via Pinciana n. 21</t>
  </si>
  <si>
    <t xml:space="preserve">Via di Villa Grazioli n. 7 </t>
  </si>
  <si>
    <t>Via Val di Sole n. 15</t>
  </si>
  <si>
    <t>Viale Gioacchino Rossini n. 5</t>
  </si>
  <si>
    <t xml:space="preserve">Florence Consulate Barriers and Bollards </t>
  </si>
  <si>
    <t xml:space="preserve">Forence Consulate Gates </t>
  </si>
  <si>
    <t xml:space="preserve">Naples  Consulate Barriers and Bollards </t>
  </si>
  <si>
    <t xml:space="preserve">Naples Consulate Gates </t>
  </si>
  <si>
    <t>Via Giacomo Medici nb. 11</t>
  </si>
  <si>
    <t>Via Dandolo n. 104</t>
  </si>
  <si>
    <t>Via di Porta S. Sebastiano n. 13/a</t>
  </si>
  <si>
    <t>A. SCHEDULED MAINTENANCE SERVICES</t>
  </si>
  <si>
    <t>Price Per Quarter</t>
  </si>
  <si>
    <t>Location</t>
  </si>
  <si>
    <t>Total Price per Quarter</t>
  </si>
  <si>
    <t>The firm fixed prices for the Base Year of the contract for the scheduled maintenance services are:</t>
  </si>
  <si>
    <t>Hours</t>
  </si>
  <si>
    <t>Est’d Quantity  per Year</t>
  </si>
  <si>
    <t xml:space="preserve">B. Total Price per Year </t>
  </si>
  <si>
    <t>D. TOTAL PRICE FOR THE BASE YEAR (A+B+C)</t>
  </si>
  <si>
    <t>C. MATERIALS/EQUIPMENT NOT TO EXCEED 
( Estimated Total Price per Year)</t>
  </si>
  <si>
    <t>B. UNSCHEDULED AND EMERGENCY MAINTENANCE SERVICES</t>
  </si>
  <si>
    <t>*The fixed unit prices for the unscheduled/emergency maintenance services are:</t>
  </si>
  <si>
    <t xml:space="preserve">Regular Hours  for Skilled Laborers </t>
  </si>
  <si>
    <t xml:space="preserve">Overtime for Skilled Laborers </t>
  </si>
  <si>
    <t xml:space="preserve">Sunday and Holiday Hours for Skilled Laborers </t>
  </si>
  <si>
    <t>The firm fixed prices for the Option Year 1 of the contract for the scheduled maintenance services are:</t>
  </si>
  <si>
    <t>D. TOTAL PRICE FOR OPTION YEAR 1 (A+B+C)</t>
  </si>
  <si>
    <t xml:space="preserve">A. Total Price per Year </t>
  </si>
  <si>
    <t>Price per Year</t>
  </si>
  <si>
    <t>The firm fixed prices for the Option Year 2 of the contract for the scheduled maintenance services are:</t>
  </si>
  <si>
    <t>The firm fixed prices for the Option Year 3 of the contract for the scheduled maintenance services are:</t>
  </si>
  <si>
    <t>The firm fixed prices for the Option Year 4 of the contract for the scheduled maintenance services are:</t>
  </si>
  <si>
    <t>D. TOTAL PRICE FOR OPTION YEAR 2 (A+B+C)</t>
  </si>
  <si>
    <t>D. TOTAL PRICE FOR OPTION YEAR 3 (A+B+C)</t>
  </si>
  <si>
    <t>D. TOTAL PRICE FOR OPTION YEAR 4 (A+B+C)</t>
  </si>
  <si>
    <r>
      <rPr>
        <b/>
        <sz val="11"/>
        <rFont val="Aptos Narrow"/>
        <family val="2"/>
        <scheme val="minor"/>
      </rPr>
      <t>*Minimum and Maximim Amounts for Unscheduled and Emergency Maintenance Services:</t>
    </r>
    <r>
      <rPr>
        <sz val="11"/>
        <rFont val="Aptos Narrow"/>
        <family val="2"/>
        <scheme val="minor"/>
      </rPr>
      <t xml:space="preserve">
During this contract period, the Government shall place orders totaling a minimum of Euro 50.00  This reflects the contract minimum for unscheduled orders for this period of performance.  The amount of all orders shall not exceed Euro 40,000.00.  This reflects the contract maximum for unscheduled services for this period of performance.</t>
    </r>
  </si>
  <si>
    <t>EXHIBIT A -  PRICING SCHEDULE</t>
  </si>
  <si>
    <t>EXHIBIT A – PRICING SCHEDULE</t>
  </si>
  <si>
    <t>PLEASE FILL OUT ONLY THE PRICES HIGHLIGHTED IN GREEN.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</si>
</sst>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2]\ #,##0.00"/>
    <numFmt numFmtId="165" formatCode="_([$€-2]\ * #,##0.00_);_([$€-2]\ * \(#,##0.00\);_([$€-2]\ * &quot;-&quot;??_);_(@_)"/>
  </numFmts>
  <fonts count="11" x14ac:knownFonts="1">
    <font>
      <sz val="11"/>
      <color theme="1"/>
      <name val="Aptos Narrow"/>
      <family val="2"/>
      <scheme val="minor"/>
    </font>
    <font>
      <sz val="12"/>
      <color theme="1"/>
      <name val="Times New Roman"/>
      <family val="1"/>
    </font>
    <font>
      <b/>
      <sz val="12"/>
      <color rgb="FF000000"/>
      <name val="Aptos Narrow"/>
      <family val="2"/>
      <scheme val="minor"/>
    </font>
    <font>
      <sz val="12"/>
      <color theme="1"/>
      <name val="Aptos Narrow"/>
      <family val="2"/>
      <scheme val="minor"/>
    </font>
    <font>
      <b/>
      <sz val="12"/>
      <color theme="1"/>
      <name val="Aptos Narrow"/>
      <family val="2"/>
      <scheme val="minor"/>
    </font>
    <font>
      <b/>
      <sz val="11"/>
      <color rgb="FF000000"/>
      <name val="Aptos Narrow"/>
      <family val="2"/>
      <scheme val="minor"/>
    </font>
    <font>
      <sz val="11"/>
      <name val="Aptos Narrow"/>
      <family val="2"/>
      <scheme val="minor"/>
    </font>
    <font>
      <u/>
      <sz val="12"/>
      <color theme="1"/>
      <name val="Times New Roman"/>
      <family val="1"/>
    </font>
    <font>
      <b/>
      <sz val="11"/>
      <name val="Aptos Narrow"/>
      <family val="2"/>
      <scheme val="minor"/>
    </font>
    <font>
      <sz val="12"/>
      <name val="Aptos Narrow"/>
      <family val="2"/>
      <scheme val="minor"/>
    </font>
    <font>
      <b/>
      <sz val="11"/>
      <color theme="1"/>
      <name val="Aptos Narrow"/>
      <family val="2"/>
      <scheme val="minor"/>
    </font>
  </fonts>
  <fills count="8">
    <fill>
      <patternFill patternType="none"/>
    </fill>
    <fill>
      <patternFill patternType="gray125"/>
    </fill>
    <fill>
      <patternFill patternType="solid">
        <fgColor rgb="FFBDD6EE"/>
        <bgColor indexed="64"/>
      </patternFill>
    </fill>
    <fill>
      <patternFill patternType="solid">
        <fgColor theme="0" tint="-0.14999847407452621"/>
        <bgColor indexed="64"/>
      </patternFill>
    </fill>
    <fill>
      <patternFill patternType="solid">
        <fgColor theme="3" tint="0.89999084444715716"/>
        <bgColor indexed="64"/>
      </patternFill>
    </fill>
    <fill>
      <patternFill patternType="solid">
        <fgColor theme="0"/>
        <bgColor indexed="64"/>
      </patternFill>
    </fill>
    <fill>
      <patternFill patternType="solid">
        <fgColor theme="5" tint="0.79998168889431442"/>
        <bgColor indexed="64"/>
      </patternFill>
    </fill>
    <fill>
      <patternFill patternType="solid">
        <fgColor theme="9"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1">
    <xf numFmtId="0" fontId="0" fillId="0" borderId="0"/>
  </cellStyleXfs>
  <cellXfs count="55">
    <xf numFmtId="0" fontId="0" fillId="0" borderId="0" xfId="0"/>
    <xf numFmtId="0" fontId="3" fillId="0" borderId="1" xfId="0" applyFont="1" applyBorder="1" applyAlignment="1">
      <alignment vertical="center" wrapText="1"/>
    </xf>
    <xf numFmtId="0" fontId="2" fillId="4" borderId="1" xfId="0" applyFont="1" applyFill="1" applyBorder="1" applyAlignment="1">
      <alignment vertical="center" wrapText="1"/>
    </xf>
    <xf numFmtId="164" fontId="2" fillId="4" borderId="1" xfId="0" applyNumberFormat="1" applyFont="1" applyFill="1" applyBorder="1" applyAlignment="1">
      <alignment vertical="center" wrapText="1"/>
    </xf>
    <xf numFmtId="0" fontId="4" fillId="0" borderId="1" xfId="0" applyFont="1" applyBorder="1" applyAlignment="1">
      <alignment horizontal="center" vertical="center" wrapText="1"/>
    </xf>
    <xf numFmtId="0" fontId="2" fillId="3" borderId="1" xfId="0" applyFont="1" applyFill="1" applyBorder="1" applyAlignment="1">
      <alignment vertical="center" wrapText="1"/>
    </xf>
    <xf numFmtId="0" fontId="2" fillId="3" borderId="2"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5" fillId="3" borderId="1" xfId="0" applyFont="1" applyFill="1" applyBorder="1" applyAlignment="1">
      <alignment horizontal="center" vertical="center" wrapText="1"/>
    </xf>
    <xf numFmtId="0" fontId="4" fillId="6" borderId="1" xfId="0" applyFont="1" applyFill="1" applyBorder="1" applyAlignment="1">
      <alignment vertical="center" wrapText="1"/>
    </xf>
    <xf numFmtId="164" fontId="3" fillId="0" borderId="1" xfId="0" applyNumberFormat="1" applyFont="1" applyBorder="1" applyAlignment="1">
      <alignment vertical="center"/>
    </xf>
    <xf numFmtId="0" fontId="0" fillId="0" borderId="0" xfId="0" applyAlignment="1">
      <alignment vertical="center"/>
    </xf>
    <xf numFmtId="0" fontId="0" fillId="5" borderId="0" xfId="0" applyFill="1" applyAlignment="1">
      <alignment vertical="center"/>
    </xf>
    <xf numFmtId="0" fontId="7" fillId="0" borderId="0" xfId="0" applyFont="1" applyAlignment="1">
      <alignment vertical="center"/>
    </xf>
    <xf numFmtId="0" fontId="0" fillId="0" borderId="0" xfId="0" applyAlignment="1">
      <alignment horizontal="center" vertical="center"/>
    </xf>
    <xf numFmtId="165" fontId="4" fillId="0" borderId="2" xfId="0" applyNumberFormat="1" applyFont="1" applyBorder="1" applyAlignment="1">
      <alignment horizontal="right" vertical="center"/>
    </xf>
    <xf numFmtId="165" fontId="4" fillId="6" borderId="1" xfId="0" applyNumberFormat="1" applyFont="1" applyFill="1" applyBorder="1" applyAlignment="1">
      <alignment vertical="center"/>
    </xf>
    <xf numFmtId="0" fontId="2" fillId="2" borderId="2" xfId="0" applyFont="1" applyFill="1" applyBorder="1" applyAlignment="1">
      <alignment horizontal="left" vertical="center" wrapText="1"/>
    </xf>
    <xf numFmtId="0" fontId="0" fillId="2" borderId="0" xfId="0" applyFill="1" applyAlignment="1">
      <alignment vertical="center"/>
    </xf>
    <xf numFmtId="165" fontId="4" fillId="7" borderId="2" xfId="0" applyNumberFormat="1" applyFont="1" applyFill="1" applyBorder="1" applyAlignment="1" applyProtection="1">
      <alignment horizontal="right" vertical="center" wrapText="1"/>
      <protection locked="0"/>
    </xf>
    <xf numFmtId="165" fontId="4" fillId="7" borderId="1" xfId="0" applyNumberFormat="1" applyFont="1" applyFill="1" applyBorder="1" applyAlignment="1" applyProtection="1">
      <alignment vertical="center" wrapText="1"/>
      <protection locked="0"/>
    </xf>
    <xf numFmtId="165" fontId="4" fillId="0" borderId="2" xfId="0" applyNumberFormat="1" applyFont="1" applyBorder="1" applyAlignment="1">
      <alignment horizontal="right" vertical="center"/>
    </xf>
    <xf numFmtId="165" fontId="4" fillId="0" borderId="3" xfId="0" applyNumberFormat="1" applyFont="1" applyBorder="1" applyAlignment="1">
      <alignment horizontal="right" vertical="center"/>
    </xf>
    <xf numFmtId="165" fontId="4" fillId="0" borderId="4" xfId="0" applyNumberFormat="1" applyFont="1" applyBorder="1" applyAlignment="1">
      <alignment horizontal="right" vertical="center"/>
    </xf>
    <xf numFmtId="0" fontId="6" fillId="0" borderId="1" xfId="0" applyFont="1" applyBorder="1" applyAlignment="1">
      <alignment horizontal="left" vertical="center" wrapText="1"/>
    </xf>
    <xf numFmtId="0" fontId="0" fillId="0" borderId="1" xfId="0" applyBorder="1" applyAlignment="1">
      <alignment horizontal="left"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165" fontId="4" fillId="6" borderId="3" xfId="0" applyNumberFormat="1" applyFont="1" applyFill="1" applyBorder="1" applyAlignment="1">
      <alignment horizontal="right" vertical="center"/>
    </xf>
    <xf numFmtId="165" fontId="4" fillId="6" borderId="4" xfId="0" applyNumberFormat="1" applyFont="1" applyFill="1" applyBorder="1" applyAlignment="1">
      <alignment horizontal="right" vertical="center"/>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4" xfId="0" applyFont="1" applyBorder="1" applyAlignment="1">
      <alignment horizontal="left" vertical="center"/>
    </xf>
    <xf numFmtId="165" fontId="2" fillId="2" borderId="3" xfId="0" applyNumberFormat="1" applyFont="1" applyFill="1" applyBorder="1" applyAlignment="1">
      <alignment horizontal="center" vertical="center" wrapText="1"/>
    </xf>
    <xf numFmtId="165" fontId="2" fillId="2" borderId="4" xfId="0" applyNumberFormat="1"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9" fillId="0" borderId="2" xfId="0" applyFont="1" applyBorder="1" applyAlignment="1">
      <alignment horizontal="left" vertical="center"/>
    </xf>
    <xf numFmtId="0" fontId="9" fillId="0" borderId="3" xfId="0" applyFont="1" applyBorder="1" applyAlignment="1">
      <alignment horizontal="left" vertical="center"/>
    </xf>
    <xf numFmtId="0" fontId="9" fillId="0" borderId="4" xfId="0" applyFont="1" applyBorder="1" applyAlignment="1">
      <alignment horizontal="left" vertical="center"/>
    </xf>
    <xf numFmtId="0" fontId="3" fillId="0" borderId="2" xfId="0" applyFont="1" applyBorder="1" applyAlignment="1">
      <alignment horizontal="left" vertical="center"/>
    </xf>
    <xf numFmtId="0" fontId="3" fillId="0" borderId="3" xfId="0" applyFont="1" applyBorder="1" applyAlignment="1">
      <alignment horizontal="left" vertical="center"/>
    </xf>
    <xf numFmtId="0" fontId="3" fillId="0" borderId="4" xfId="0" applyFont="1" applyBorder="1" applyAlignment="1">
      <alignment horizontal="left" vertical="center"/>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4" fillId="3" borderId="1" xfId="0" applyFont="1" applyFill="1" applyBorder="1" applyAlignment="1">
      <alignment horizontal="center" vertical="center"/>
    </xf>
    <xf numFmtId="0" fontId="10" fillId="7" borderId="5" xfId="0" applyFont="1" applyFill="1" applyBorder="1" applyAlignment="1">
      <alignment horizontal="center" vertical="center" wrapText="1"/>
    </xf>
    <xf numFmtId="0" fontId="10" fillId="7" borderId="6" xfId="0" applyFont="1" applyFill="1" applyBorder="1" applyAlignment="1">
      <alignment horizontal="center" vertical="center" wrapText="1"/>
    </xf>
    <xf numFmtId="165" fontId="2" fillId="2" borderId="3" xfId="0" applyNumberFormat="1" applyFont="1" applyFill="1" applyBorder="1" applyAlignment="1">
      <alignment vertical="center" wrapText="1"/>
    </xf>
    <xf numFmtId="165" fontId="2" fillId="2" borderId="4" xfId="0" applyNumberFormat="1" applyFont="1" applyFill="1" applyBorder="1" applyAlignment="1">
      <alignment vertical="center" wrapText="1"/>
    </xf>
  </cellXfs>
  <cellStyles count="1">
    <cellStyle name="Normal" xfId="0" builtinId="0"/>
  </cellStyles>
  <dxfs count="0"/>
  <tableStyles count="0" defaultTableStyle="TableStyleMedium2" defaultPivotStyle="PivotStyleLight16"/>
  <colors>
    <mruColors>
      <color rgb="FFBDD6EE"/>
      <color rgb="FFA1C7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F8357-87C0-4B50-97E6-6B940B308EFE}">
  <dimension ref="A1:H35"/>
  <sheetViews>
    <sheetView tabSelected="1" zoomScale="90" zoomScaleNormal="90" workbookViewId="0">
      <selection sqref="A1:E1"/>
    </sheetView>
  </sheetViews>
  <sheetFormatPr defaultRowHeight="21" customHeight="1" x14ac:dyDescent="0.3"/>
  <cols>
    <col min="1" max="1" width="61.77734375" style="11" customWidth="1"/>
    <col min="2" max="2" width="26.21875" style="11" customWidth="1"/>
    <col min="3" max="3" width="11.77734375" style="14" customWidth="1"/>
    <col min="4" max="4" width="11.44140625" style="11" customWidth="1"/>
    <col min="5" max="5" width="21.5546875" style="11" customWidth="1"/>
    <col min="6" max="6" width="8.88671875" style="11"/>
    <col min="7" max="7" width="32.21875" style="11" customWidth="1"/>
    <col min="8" max="16384" width="8.88671875" style="11"/>
  </cols>
  <sheetData>
    <row r="1" spans="1:7" ht="25.95" customHeight="1" thickBot="1" x14ac:dyDescent="0.35">
      <c r="A1" s="36" t="s">
        <v>51</v>
      </c>
      <c r="B1" s="37"/>
      <c r="C1" s="37"/>
      <c r="D1" s="37"/>
      <c r="E1" s="38"/>
    </row>
    <row r="2" spans="1:7" ht="26.55" customHeight="1" x14ac:dyDescent="0.3">
      <c r="A2" s="39" t="s">
        <v>0</v>
      </c>
      <c r="B2" s="40"/>
      <c r="C2" s="40"/>
      <c r="D2" s="40"/>
      <c r="E2" s="41"/>
      <c r="G2" s="51" t="s">
        <v>53</v>
      </c>
    </row>
    <row r="3" spans="1:7" ht="21" customHeight="1" thickBot="1" x14ac:dyDescent="0.35">
      <c r="A3" s="31" t="s">
        <v>25</v>
      </c>
      <c r="B3" s="32"/>
      <c r="C3" s="32"/>
      <c r="D3" s="32"/>
      <c r="E3" s="33"/>
      <c r="G3" s="52"/>
    </row>
    <row r="4" spans="1:7" ht="21" customHeight="1" x14ac:dyDescent="0.3">
      <c r="A4" s="42" t="s">
        <v>29</v>
      </c>
      <c r="B4" s="43"/>
      <c r="C4" s="43"/>
      <c r="D4" s="43"/>
      <c r="E4" s="44"/>
    </row>
    <row r="5" spans="1:7" ht="21" customHeight="1" x14ac:dyDescent="0.3">
      <c r="A5" s="5" t="s">
        <v>27</v>
      </c>
      <c r="B5" s="6" t="s">
        <v>26</v>
      </c>
      <c r="C5" s="26" t="s">
        <v>43</v>
      </c>
      <c r="D5" s="27"/>
      <c r="E5" s="28"/>
    </row>
    <row r="6" spans="1:7" ht="25.95" customHeight="1" x14ac:dyDescent="0.3">
      <c r="A6" s="1" t="s">
        <v>12</v>
      </c>
      <c r="B6" s="19">
        <v>0</v>
      </c>
      <c r="C6" s="21">
        <f>B6*4</f>
        <v>0</v>
      </c>
      <c r="D6" s="22"/>
      <c r="E6" s="23"/>
    </row>
    <row r="7" spans="1:7" ht="25.5" customHeight="1" x14ac:dyDescent="0.3">
      <c r="A7" s="1" t="s">
        <v>13</v>
      </c>
      <c r="B7" s="19">
        <v>0</v>
      </c>
      <c r="C7" s="21">
        <f t="shared" ref="C7:C18" si="0">B7*4</f>
        <v>0</v>
      </c>
      <c r="D7" s="22"/>
      <c r="E7" s="23"/>
    </row>
    <row r="8" spans="1:7" ht="27" customHeight="1" x14ac:dyDescent="0.3">
      <c r="A8" s="1" t="s">
        <v>14</v>
      </c>
      <c r="B8" s="19">
        <v>0</v>
      </c>
      <c r="C8" s="21">
        <f t="shared" si="0"/>
        <v>0</v>
      </c>
      <c r="D8" s="22"/>
      <c r="E8" s="23"/>
    </row>
    <row r="9" spans="1:7" ht="28.5" customHeight="1" x14ac:dyDescent="0.3">
      <c r="A9" s="1" t="s">
        <v>15</v>
      </c>
      <c r="B9" s="19">
        <v>0</v>
      </c>
      <c r="C9" s="21">
        <f t="shared" si="0"/>
        <v>0</v>
      </c>
      <c r="D9" s="22"/>
      <c r="E9" s="23"/>
    </row>
    <row r="10" spans="1:7" ht="27" customHeight="1" x14ac:dyDescent="0.3">
      <c r="A10" s="1" t="s">
        <v>16</v>
      </c>
      <c r="B10" s="19">
        <v>0</v>
      </c>
      <c r="C10" s="21">
        <f t="shared" si="0"/>
        <v>0</v>
      </c>
      <c r="D10" s="22"/>
      <c r="E10" s="23"/>
    </row>
    <row r="11" spans="1:7" ht="26.55" customHeight="1" x14ac:dyDescent="0.3">
      <c r="A11" s="1" t="s">
        <v>17</v>
      </c>
      <c r="B11" s="19">
        <v>0</v>
      </c>
      <c r="C11" s="21">
        <f t="shared" si="0"/>
        <v>0</v>
      </c>
      <c r="D11" s="22"/>
      <c r="E11" s="23"/>
    </row>
    <row r="12" spans="1:7" ht="28.05" customHeight="1" x14ac:dyDescent="0.3">
      <c r="A12" s="1" t="s">
        <v>22</v>
      </c>
      <c r="B12" s="19">
        <v>0</v>
      </c>
      <c r="C12" s="21">
        <f t="shared" si="0"/>
        <v>0</v>
      </c>
      <c r="D12" s="22"/>
      <c r="E12" s="23"/>
    </row>
    <row r="13" spans="1:7" ht="25.5" customHeight="1" x14ac:dyDescent="0.3">
      <c r="A13" s="1" t="s">
        <v>23</v>
      </c>
      <c r="B13" s="19">
        <v>0</v>
      </c>
      <c r="C13" s="21">
        <f t="shared" si="0"/>
        <v>0</v>
      </c>
      <c r="D13" s="22"/>
      <c r="E13" s="23"/>
    </row>
    <row r="14" spans="1:7" ht="27.45" customHeight="1" x14ac:dyDescent="0.3">
      <c r="A14" s="1" t="s">
        <v>24</v>
      </c>
      <c r="B14" s="19">
        <v>0</v>
      </c>
      <c r="C14" s="21">
        <f t="shared" si="0"/>
        <v>0</v>
      </c>
      <c r="D14" s="22"/>
      <c r="E14" s="23"/>
    </row>
    <row r="15" spans="1:7" ht="25.5" customHeight="1" x14ac:dyDescent="0.3">
      <c r="A15" s="1" t="s">
        <v>18</v>
      </c>
      <c r="B15" s="19">
        <v>0</v>
      </c>
      <c r="C15" s="21">
        <f t="shared" si="0"/>
        <v>0</v>
      </c>
      <c r="D15" s="22"/>
      <c r="E15" s="23"/>
    </row>
    <row r="16" spans="1:7" ht="28.5" customHeight="1" x14ac:dyDescent="0.3">
      <c r="A16" s="1" t="s">
        <v>19</v>
      </c>
      <c r="B16" s="19">
        <v>0</v>
      </c>
      <c r="C16" s="21">
        <f t="shared" si="0"/>
        <v>0</v>
      </c>
      <c r="D16" s="22"/>
      <c r="E16" s="23"/>
    </row>
    <row r="17" spans="1:8" ht="27.45" customHeight="1" x14ac:dyDescent="0.3">
      <c r="A17" s="1" t="s">
        <v>20</v>
      </c>
      <c r="B17" s="19">
        <v>0</v>
      </c>
      <c r="C17" s="21">
        <f t="shared" si="0"/>
        <v>0</v>
      </c>
      <c r="D17" s="22"/>
      <c r="E17" s="23"/>
    </row>
    <row r="18" spans="1:8" ht="25.5" customHeight="1" x14ac:dyDescent="0.3">
      <c r="A18" s="1" t="s">
        <v>21</v>
      </c>
      <c r="B18" s="19">
        <v>0</v>
      </c>
      <c r="C18" s="21">
        <f t="shared" si="0"/>
        <v>0</v>
      </c>
      <c r="D18" s="22"/>
      <c r="E18" s="23"/>
    </row>
    <row r="19" spans="1:8" ht="30.45" customHeight="1" x14ac:dyDescent="0.3">
      <c r="A19" s="9" t="s">
        <v>28</v>
      </c>
      <c r="B19" s="16">
        <f>SUM(B6:B18)</f>
        <v>0</v>
      </c>
      <c r="C19" s="29"/>
      <c r="D19" s="29"/>
      <c r="E19" s="30"/>
      <c r="H19" s="12"/>
    </row>
    <row r="20" spans="1:8" ht="32.549999999999997" customHeight="1" x14ac:dyDescent="0.3">
      <c r="A20" s="17" t="s">
        <v>42</v>
      </c>
      <c r="B20" s="18"/>
      <c r="C20" s="34">
        <f>SUM(C6:C18)</f>
        <v>0</v>
      </c>
      <c r="D20" s="34"/>
      <c r="E20" s="35"/>
    </row>
    <row r="21" spans="1:8" ht="21" customHeight="1" x14ac:dyDescent="0.3">
      <c r="A21" s="48"/>
      <c r="B21" s="48"/>
      <c r="C21" s="48"/>
      <c r="D21" s="48"/>
      <c r="E21" s="49"/>
    </row>
    <row r="22" spans="1:8" ht="28.95" customHeight="1" x14ac:dyDescent="0.3">
      <c r="A22" s="31" t="s">
        <v>35</v>
      </c>
      <c r="B22" s="32"/>
      <c r="C22" s="32"/>
      <c r="D22" s="32"/>
      <c r="E22" s="33"/>
    </row>
    <row r="23" spans="1:8" ht="25.05" customHeight="1" x14ac:dyDescent="0.3">
      <c r="A23" s="45" t="s">
        <v>36</v>
      </c>
      <c r="B23" s="46"/>
      <c r="C23" s="46"/>
      <c r="D23" s="46"/>
      <c r="E23" s="47"/>
    </row>
    <row r="24" spans="1:8" ht="43.2" x14ac:dyDescent="0.3">
      <c r="A24" s="7" t="s">
        <v>1</v>
      </c>
      <c r="B24" s="8" t="s">
        <v>4</v>
      </c>
      <c r="C24" s="8" t="s">
        <v>2</v>
      </c>
      <c r="D24" s="8" t="s">
        <v>31</v>
      </c>
      <c r="E24" s="8" t="s">
        <v>3</v>
      </c>
    </row>
    <row r="25" spans="1:8" ht="27" customHeight="1" x14ac:dyDescent="0.3">
      <c r="A25" s="1" t="s">
        <v>37</v>
      </c>
      <c r="B25" s="20">
        <v>0</v>
      </c>
      <c r="C25" s="4" t="s">
        <v>30</v>
      </c>
      <c r="D25" s="4">
        <v>400</v>
      </c>
      <c r="E25" s="15">
        <f>B25*D25</f>
        <v>0</v>
      </c>
    </row>
    <row r="26" spans="1:8" ht="27" customHeight="1" x14ac:dyDescent="0.3">
      <c r="A26" s="1" t="s">
        <v>38</v>
      </c>
      <c r="B26" s="20">
        <v>0</v>
      </c>
      <c r="C26" s="4" t="s">
        <v>30</v>
      </c>
      <c r="D26" s="4">
        <v>120</v>
      </c>
      <c r="E26" s="15">
        <f t="shared" ref="E26:E27" si="1">B26*D26</f>
        <v>0</v>
      </c>
    </row>
    <row r="27" spans="1:8" ht="27" customHeight="1" x14ac:dyDescent="0.3">
      <c r="A27" s="1" t="s">
        <v>39</v>
      </c>
      <c r="B27" s="20">
        <v>0</v>
      </c>
      <c r="C27" s="4" t="s">
        <v>30</v>
      </c>
      <c r="D27" s="4">
        <v>80</v>
      </c>
      <c r="E27" s="15">
        <f t="shared" si="1"/>
        <v>0</v>
      </c>
    </row>
    <row r="28" spans="1:8" ht="25.95" customHeight="1" x14ac:dyDescent="0.3">
      <c r="A28" s="17" t="s">
        <v>32</v>
      </c>
      <c r="B28" s="53"/>
      <c r="C28" s="53"/>
      <c r="D28" s="53"/>
      <c r="E28" s="54">
        <f>SUM(E25:E27)</f>
        <v>0</v>
      </c>
    </row>
    <row r="29" spans="1:8" ht="19.5" customHeight="1" x14ac:dyDescent="0.3">
      <c r="A29" s="26"/>
      <c r="B29" s="27"/>
      <c r="C29" s="27"/>
      <c r="D29" s="27"/>
      <c r="E29" s="28"/>
    </row>
    <row r="30" spans="1:8" ht="39" customHeight="1" x14ac:dyDescent="0.3">
      <c r="A30" s="17" t="s">
        <v>34</v>
      </c>
      <c r="B30" s="53"/>
      <c r="C30" s="53"/>
      <c r="D30" s="53"/>
      <c r="E30" s="54">
        <v>15000</v>
      </c>
    </row>
    <row r="31" spans="1:8" ht="19.5" customHeight="1" x14ac:dyDescent="0.3">
      <c r="A31" s="26"/>
      <c r="B31" s="27"/>
      <c r="C31" s="27"/>
      <c r="D31" s="27"/>
      <c r="E31" s="28"/>
    </row>
    <row r="32" spans="1:8" ht="30.45" customHeight="1" x14ac:dyDescent="0.3">
      <c r="A32" s="17" t="s">
        <v>33</v>
      </c>
      <c r="B32" s="53"/>
      <c r="C32" s="53"/>
      <c r="D32" s="53"/>
      <c r="E32" s="54">
        <f>C20+E28+E30</f>
        <v>15000</v>
      </c>
    </row>
    <row r="33" spans="1:5" ht="64.95" customHeight="1" x14ac:dyDescent="0.3">
      <c r="A33" s="24" t="s">
        <v>50</v>
      </c>
      <c r="B33" s="25"/>
      <c r="C33" s="25"/>
      <c r="D33" s="25"/>
      <c r="E33" s="25"/>
    </row>
    <row r="35" spans="1:5" ht="21" customHeight="1" x14ac:dyDescent="0.3">
      <c r="A35" s="13"/>
    </row>
  </sheetData>
  <sheetProtection algorithmName="SHA-512" hashValue="vemtCIqBD1vszCcftziQWTBdU2vmh5hEje0stV7dP914ZzRD1N3cCnRhcxCPXUtantXpzr5Sem7aaaHEp2b4hg==" saltValue="2ADWJsEwvEqKr+UAIhgTLg==" spinCount="100000" sheet="1" objects="1" scenarios="1"/>
  <mergeCells count="27">
    <mergeCell ref="G2:G3"/>
    <mergeCell ref="A1:E1"/>
    <mergeCell ref="A2:E2"/>
    <mergeCell ref="A3:E3"/>
    <mergeCell ref="A4:E4"/>
    <mergeCell ref="A23:E23"/>
    <mergeCell ref="C5:E5"/>
    <mergeCell ref="C12:E12"/>
    <mergeCell ref="C13:E13"/>
    <mergeCell ref="C14:E14"/>
    <mergeCell ref="A21:E21"/>
    <mergeCell ref="C6:E6"/>
    <mergeCell ref="C7:E7"/>
    <mergeCell ref="C8:E8"/>
    <mergeCell ref="C9:E9"/>
    <mergeCell ref="C10:E10"/>
    <mergeCell ref="C11:E11"/>
    <mergeCell ref="A33:E33"/>
    <mergeCell ref="A31:E31"/>
    <mergeCell ref="C19:E19"/>
    <mergeCell ref="C15:E15"/>
    <mergeCell ref="C16:E16"/>
    <mergeCell ref="C17:E17"/>
    <mergeCell ref="C18:E18"/>
    <mergeCell ref="A22:E22"/>
    <mergeCell ref="A29:E29"/>
    <mergeCell ref="C20:E2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1380F-8AF2-44B9-B4F3-FC54A468FE3E}">
  <dimension ref="A1:H35"/>
  <sheetViews>
    <sheetView zoomScale="90" zoomScaleNormal="90" workbookViewId="0">
      <selection sqref="A1:E1"/>
    </sheetView>
  </sheetViews>
  <sheetFormatPr defaultRowHeight="21" customHeight="1" x14ac:dyDescent="0.3"/>
  <cols>
    <col min="1" max="1" width="61.77734375" style="11" customWidth="1"/>
    <col min="2" max="2" width="26.21875" style="11" customWidth="1"/>
    <col min="3" max="3" width="11.77734375" style="14" customWidth="1"/>
    <col min="4" max="4" width="11.44140625" style="11" customWidth="1"/>
    <col min="5" max="5" width="21.5546875" style="11" customWidth="1"/>
    <col min="6" max="6" width="8.88671875" style="11"/>
    <col min="7" max="7" width="32.21875" style="11" customWidth="1"/>
    <col min="8" max="16384" width="8.88671875" style="11"/>
  </cols>
  <sheetData>
    <row r="1" spans="1:7" ht="25.95" customHeight="1" thickBot="1" x14ac:dyDescent="0.35">
      <c r="A1" s="36" t="s">
        <v>51</v>
      </c>
      <c r="B1" s="37"/>
      <c r="C1" s="37"/>
      <c r="D1" s="37"/>
      <c r="E1" s="38"/>
    </row>
    <row r="2" spans="1:7" ht="26.55" customHeight="1" x14ac:dyDescent="0.3">
      <c r="A2" s="39" t="s">
        <v>6</v>
      </c>
      <c r="B2" s="40"/>
      <c r="C2" s="40"/>
      <c r="D2" s="40"/>
      <c r="E2" s="41"/>
      <c r="G2" s="51" t="s">
        <v>53</v>
      </c>
    </row>
    <row r="3" spans="1:7" ht="21" customHeight="1" thickBot="1" x14ac:dyDescent="0.35">
      <c r="A3" s="31" t="s">
        <v>25</v>
      </c>
      <c r="B3" s="32"/>
      <c r="C3" s="32"/>
      <c r="D3" s="32"/>
      <c r="E3" s="33"/>
      <c r="G3" s="52"/>
    </row>
    <row r="4" spans="1:7" ht="21" customHeight="1" x14ac:dyDescent="0.3">
      <c r="A4" s="42" t="s">
        <v>40</v>
      </c>
      <c r="B4" s="43"/>
      <c r="C4" s="43"/>
      <c r="D4" s="43"/>
      <c r="E4" s="44"/>
    </row>
    <row r="5" spans="1:7" ht="21" customHeight="1" x14ac:dyDescent="0.3">
      <c r="A5" s="5" t="s">
        <v>27</v>
      </c>
      <c r="B5" s="6" t="s">
        <v>26</v>
      </c>
      <c r="C5" s="26" t="s">
        <v>43</v>
      </c>
      <c r="D5" s="27"/>
      <c r="E5" s="28"/>
    </row>
    <row r="6" spans="1:7" ht="25.95" customHeight="1" x14ac:dyDescent="0.3">
      <c r="A6" s="1" t="s">
        <v>12</v>
      </c>
      <c r="B6" s="19">
        <v>0</v>
      </c>
      <c r="C6" s="21">
        <f>B6*4</f>
        <v>0</v>
      </c>
      <c r="D6" s="22"/>
      <c r="E6" s="23"/>
    </row>
    <row r="7" spans="1:7" ht="25.5" customHeight="1" x14ac:dyDescent="0.3">
      <c r="A7" s="1" t="s">
        <v>13</v>
      </c>
      <c r="B7" s="19">
        <v>0</v>
      </c>
      <c r="C7" s="21">
        <f t="shared" ref="C7:C18" si="0">B7*4</f>
        <v>0</v>
      </c>
      <c r="D7" s="22"/>
      <c r="E7" s="23"/>
    </row>
    <row r="8" spans="1:7" ht="27" customHeight="1" x14ac:dyDescent="0.3">
      <c r="A8" s="1" t="s">
        <v>14</v>
      </c>
      <c r="B8" s="19">
        <v>0</v>
      </c>
      <c r="C8" s="21">
        <f t="shared" si="0"/>
        <v>0</v>
      </c>
      <c r="D8" s="22"/>
      <c r="E8" s="23"/>
    </row>
    <row r="9" spans="1:7" ht="28.5" customHeight="1" x14ac:dyDescent="0.3">
      <c r="A9" s="1" t="s">
        <v>15</v>
      </c>
      <c r="B9" s="19">
        <v>0</v>
      </c>
      <c r="C9" s="21">
        <f t="shared" si="0"/>
        <v>0</v>
      </c>
      <c r="D9" s="22"/>
      <c r="E9" s="23"/>
    </row>
    <row r="10" spans="1:7" ht="27" customHeight="1" x14ac:dyDescent="0.3">
      <c r="A10" s="1" t="s">
        <v>16</v>
      </c>
      <c r="B10" s="19">
        <v>0</v>
      </c>
      <c r="C10" s="21">
        <f t="shared" si="0"/>
        <v>0</v>
      </c>
      <c r="D10" s="22"/>
      <c r="E10" s="23"/>
    </row>
    <row r="11" spans="1:7" ht="26.55" customHeight="1" x14ac:dyDescent="0.3">
      <c r="A11" s="1" t="s">
        <v>17</v>
      </c>
      <c r="B11" s="19">
        <v>0</v>
      </c>
      <c r="C11" s="21">
        <f t="shared" si="0"/>
        <v>0</v>
      </c>
      <c r="D11" s="22"/>
      <c r="E11" s="23"/>
    </row>
    <row r="12" spans="1:7" ht="28.05" customHeight="1" x14ac:dyDescent="0.3">
      <c r="A12" s="1" t="s">
        <v>22</v>
      </c>
      <c r="B12" s="19">
        <v>0</v>
      </c>
      <c r="C12" s="21">
        <f t="shared" si="0"/>
        <v>0</v>
      </c>
      <c r="D12" s="22"/>
      <c r="E12" s="23"/>
    </row>
    <row r="13" spans="1:7" ht="25.5" customHeight="1" x14ac:dyDescent="0.3">
      <c r="A13" s="1" t="s">
        <v>23</v>
      </c>
      <c r="B13" s="19">
        <v>0</v>
      </c>
      <c r="C13" s="21">
        <f t="shared" si="0"/>
        <v>0</v>
      </c>
      <c r="D13" s="22"/>
      <c r="E13" s="23"/>
    </row>
    <row r="14" spans="1:7" ht="27.45" customHeight="1" x14ac:dyDescent="0.3">
      <c r="A14" s="1" t="s">
        <v>24</v>
      </c>
      <c r="B14" s="19">
        <v>0</v>
      </c>
      <c r="C14" s="21">
        <f t="shared" si="0"/>
        <v>0</v>
      </c>
      <c r="D14" s="22"/>
      <c r="E14" s="23"/>
    </row>
    <row r="15" spans="1:7" ht="25.5" customHeight="1" x14ac:dyDescent="0.3">
      <c r="A15" s="1" t="s">
        <v>18</v>
      </c>
      <c r="B15" s="19">
        <v>0</v>
      </c>
      <c r="C15" s="21">
        <f t="shared" si="0"/>
        <v>0</v>
      </c>
      <c r="D15" s="22"/>
      <c r="E15" s="23"/>
    </row>
    <row r="16" spans="1:7" ht="28.5" customHeight="1" x14ac:dyDescent="0.3">
      <c r="A16" s="1" t="s">
        <v>19</v>
      </c>
      <c r="B16" s="19">
        <v>0</v>
      </c>
      <c r="C16" s="21">
        <f t="shared" si="0"/>
        <v>0</v>
      </c>
      <c r="D16" s="22"/>
      <c r="E16" s="23"/>
    </row>
    <row r="17" spans="1:8" ht="27.45" customHeight="1" x14ac:dyDescent="0.3">
      <c r="A17" s="1" t="s">
        <v>20</v>
      </c>
      <c r="B17" s="19">
        <v>0</v>
      </c>
      <c r="C17" s="21">
        <f t="shared" si="0"/>
        <v>0</v>
      </c>
      <c r="D17" s="22"/>
      <c r="E17" s="23"/>
    </row>
    <row r="18" spans="1:8" ht="25.5" customHeight="1" x14ac:dyDescent="0.3">
      <c r="A18" s="1" t="s">
        <v>21</v>
      </c>
      <c r="B18" s="19">
        <v>0</v>
      </c>
      <c r="C18" s="21">
        <f t="shared" si="0"/>
        <v>0</v>
      </c>
      <c r="D18" s="22"/>
      <c r="E18" s="23"/>
    </row>
    <row r="19" spans="1:8" ht="30.45" customHeight="1" x14ac:dyDescent="0.3">
      <c r="A19" s="9" t="s">
        <v>28</v>
      </c>
      <c r="B19" s="16">
        <f>SUM(B6:B18)</f>
        <v>0</v>
      </c>
      <c r="C19" s="29"/>
      <c r="D19" s="29"/>
      <c r="E19" s="30"/>
      <c r="H19" s="12"/>
    </row>
    <row r="20" spans="1:8" ht="32.549999999999997" customHeight="1" x14ac:dyDescent="0.3">
      <c r="A20" s="17" t="s">
        <v>42</v>
      </c>
      <c r="B20" s="18"/>
      <c r="C20" s="34">
        <f>SUM(C6:C18)</f>
        <v>0</v>
      </c>
      <c r="D20" s="34"/>
      <c r="E20" s="35"/>
    </row>
    <row r="21" spans="1:8" ht="21" customHeight="1" x14ac:dyDescent="0.3">
      <c r="A21" s="48"/>
      <c r="B21" s="48"/>
      <c r="C21" s="48"/>
      <c r="D21" s="48"/>
      <c r="E21" s="49"/>
    </row>
    <row r="22" spans="1:8" ht="28.95" customHeight="1" x14ac:dyDescent="0.3">
      <c r="A22" s="31" t="s">
        <v>35</v>
      </c>
      <c r="B22" s="32"/>
      <c r="C22" s="32"/>
      <c r="D22" s="32"/>
      <c r="E22" s="33"/>
    </row>
    <row r="23" spans="1:8" ht="25.05" customHeight="1" x14ac:dyDescent="0.3">
      <c r="A23" s="45" t="s">
        <v>36</v>
      </c>
      <c r="B23" s="46"/>
      <c r="C23" s="46"/>
      <c r="D23" s="46"/>
      <c r="E23" s="47"/>
    </row>
    <row r="24" spans="1:8" ht="43.2" x14ac:dyDescent="0.3">
      <c r="A24" s="7" t="s">
        <v>1</v>
      </c>
      <c r="B24" s="8" t="s">
        <v>4</v>
      </c>
      <c r="C24" s="8" t="s">
        <v>2</v>
      </c>
      <c r="D24" s="8" t="s">
        <v>31</v>
      </c>
      <c r="E24" s="8" t="s">
        <v>3</v>
      </c>
    </row>
    <row r="25" spans="1:8" ht="27" customHeight="1" x14ac:dyDescent="0.3">
      <c r="A25" s="1" t="s">
        <v>37</v>
      </c>
      <c r="B25" s="20">
        <v>0</v>
      </c>
      <c r="C25" s="4" t="s">
        <v>30</v>
      </c>
      <c r="D25" s="4">
        <v>400</v>
      </c>
      <c r="E25" s="15">
        <f>B25*D25</f>
        <v>0</v>
      </c>
    </row>
    <row r="26" spans="1:8" ht="27" customHeight="1" x14ac:dyDescent="0.3">
      <c r="A26" s="1" t="s">
        <v>38</v>
      </c>
      <c r="B26" s="20">
        <v>0</v>
      </c>
      <c r="C26" s="4" t="s">
        <v>30</v>
      </c>
      <c r="D26" s="4">
        <v>120</v>
      </c>
      <c r="E26" s="15">
        <f t="shared" ref="E26:E27" si="1">B26*D26</f>
        <v>0</v>
      </c>
    </row>
    <row r="27" spans="1:8" ht="27" customHeight="1" x14ac:dyDescent="0.3">
      <c r="A27" s="1" t="s">
        <v>39</v>
      </c>
      <c r="B27" s="20">
        <v>0</v>
      </c>
      <c r="C27" s="4" t="s">
        <v>30</v>
      </c>
      <c r="D27" s="4">
        <v>80</v>
      </c>
      <c r="E27" s="15">
        <f t="shared" si="1"/>
        <v>0</v>
      </c>
    </row>
    <row r="28" spans="1:8" ht="25.95" customHeight="1" x14ac:dyDescent="0.3">
      <c r="A28" s="17" t="s">
        <v>32</v>
      </c>
      <c r="B28" s="53"/>
      <c r="C28" s="53"/>
      <c r="D28" s="53"/>
      <c r="E28" s="54">
        <f>SUM(E25:E27)</f>
        <v>0</v>
      </c>
    </row>
    <row r="29" spans="1:8" ht="19.5" customHeight="1" x14ac:dyDescent="0.3">
      <c r="A29" s="26"/>
      <c r="B29" s="27"/>
      <c r="C29" s="27"/>
      <c r="D29" s="27"/>
      <c r="E29" s="28"/>
    </row>
    <row r="30" spans="1:8" ht="39" customHeight="1" x14ac:dyDescent="0.3">
      <c r="A30" s="17" t="s">
        <v>34</v>
      </c>
      <c r="B30" s="53"/>
      <c r="C30" s="53"/>
      <c r="D30" s="53"/>
      <c r="E30" s="54">
        <v>15000</v>
      </c>
    </row>
    <row r="31" spans="1:8" ht="19.5" customHeight="1" x14ac:dyDescent="0.3">
      <c r="A31" s="26"/>
      <c r="B31" s="27"/>
      <c r="C31" s="27"/>
      <c r="D31" s="27"/>
      <c r="E31" s="28"/>
    </row>
    <row r="32" spans="1:8" ht="30.45" customHeight="1" x14ac:dyDescent="0.3">
      <c r="A32" s="17" t="s">
        <v>41</v>
      </c>
      <c r="B32" s="53"/>
      <c r="C32" s="53"/>
      <c r="D32" s="53"/>
      <c r="E32" s="54">
        <f>C20+E28+E30</f>
        <v>15000</v>
      </c>
    </row>
    <row r="33" spans="1:5" ht="64.95" customHeight="1" x14ac:dyDescent="0.3">
      <c r="A33" s="24" t="s">
        <v>50</v>
      </c>
      <c r="B33" s="25"/>
      <c r="C33" s="25"/>
      <c r="D33" s="25"/>
      <c r="E33" s="25"/>
    </row>
    <row r="35" spans="1:5" ht="21" customHeight="1" x14ac:dyDescent="0.3">
      <c r="A35" s="13"/>
    </row>
  </sheetData>
  <sheetProtection algorithmName="SHA-512" hashValue="KWXakfWZeJqrKiZuOkk4PzJ8aCDX+izHA6TC4a9w/4AeYsfwDZ2Z9GZD1qFafUECgl4shOjCcAMvh/nj1pybPA==" saltValue="CyGQgMb6yx9jgyoixetweA==" spinCount="100000" sheet="1" objects="1" scenarios="1"/>
  <mergeCells count="27">
    <mergeCell ref="A29:E29"/>
    <mergeCell ref="A31:E31"/>
    <mergeCell ref="A33:E33"/>
    <mergeCell ref="C18:E18"/>
    <mergeCell ref="C19:E19"/>
    <mergeCell ref="C20:E20"/>
    <mergeCell ref="A21:E21"/>
    <mergeCell ref="A22:E22"/>
    <mergeCell ref="A23:E23"/>
    <mergeCell ref="C12:E12"/>
    <mergeCell ref="C13:E13"/>
    <mergeCell ref="C14:E14"/>
    <mergeCell ref="C15:E15"/>
    <mergeCell ref="C16:E16"/>
    <mergeCell ref="C17:E17"/>
    <mergeCell ref="C6:E6"/>
    <mergeCell ref="C7:E7"/>
    <mergeCell ref="C8:E8"/>
    <mergeCell ref="C9:E9"/>
    <mergeCell ref="C10:E10"/>
    <mergeCell ref="C11:E11"/>
    <mergeCell ref="A1:E1"/>
    <mergeCell ref="A2:E2"/>
    <mergeCell ref="G2:G3"/>
    <mergeCell ref="A3:E3"/>
    <mergeCell ref="A4:E4"/>
    <mergeCell ref="C5:E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D54BA-1213-4590-9465-7472295E8B59}">
  <dimension ref="A1:H35"/>
  <sheetViews>
    <sheetView zoomScale="90" zoomScaleNormal="90" workbookViewId="0">
      <selection sqref="A1:E1"/>
    </sheetView>
  </sheetViews>
  <sheetFormatPr defaultRowHeight="21" customHeight="1" x14ac:dyDescent="0.3"/>
  <cols>
    <col min="1" max="1" width="61.77734375" style="11" customWidth="1"/>
    <col min="2" max="2" width="26.21875" style="11" customWidth="1"/>
    <col min="3" max="3" width="11.77734375" style="14" customWidth="1"/>
    <col min="4" max="4" width="11.44140625" style="11" customWidth="1"/>
    <col min="5" max="5" width="21.5546875" style="11" customWidth="1"/>
    <col min="6" max="6" width="8.88671875" style="11"/>
    <col min="7" max="7" width="32.21875" style="11" customWidth="1"/>
    <col min="8" max="16384" width="8.88671875" style="11"/>
  </cols>
  <sheetData>
    <row r="1" spans="1:7" ht="25.95" customHeight="1" thickBot="1" x14ac:dyDescent="0.35">
      <c r="A1" s="36" t="s">
        <v>51</v>
      </c>
      <c r="B1" s="37"/>
      <c r="C1" s="37"/>
      <c r="D1" s="37"/>
      <c r="E1" s="38"/>
    </row>
    <row r="2" spans="1:7" ht="26.55" customHeight="1" x14ac:dyDescent="0.3">
      <c r="A2" s="39" t="s">
        <v>8</v>
      </c>
      <c r="B2" s="40"/>
      <c r="C2" s="40"/>
      <c r="D2" s="40"/>
      <c r="E2" s="41"/>
      <c r="G2" s="51" t="s">
        <v>53</v>
      </c>
    </row>
    <row r="3" spans="1:7" ht="21" customHeight="1" thickBot="1" x14ac:dyDescent="0.35">
      <c r="A3" s="31" t="s">
        <v>25</v>
      </c>
      <c r="B3" s="32"/>
      <c r="C3" s="32"/>
      <c r="D3" s="32"/>
      <c r="E3" s="33"/>
      <c r="G3" s="52"/>
    </row>
    <row r="4" spans="1:7" ht="21" customHeight="1" x14ac:dyDescent="0.3">
      <c r="A4" s="42" t="s">
        <v>44</v>
      </c>
      <c r="B4" s="43"/>
      <c r="C4" s="43"/>
      <c r="D4" s="43"/>
      <c r="E4" s="44"/>
    </row>
    <row r="5" spans="1:7" ht="21" customHeight="1" x14ac:dyDescent="0.3">
      <c r="A5" s="5" t="s">
        <v>27</v>
      </c>
      <c r="B5" s="6" t="s">
        <v>26</v>
      </c>
      <c r="C5" s="26" t="s">
        <v>43</v>
      </c>
      <c r="D5" s="27"/>
      <c r="E5" s="28"/>
    </row>
    <row r="6" spans="1:7" ht="25.95" customHeight="1" x14ac:dyDescent="0.3">
      <c r="A6" s="1" t="s">
        <v>12</v>
      </c>
      <c r="B6" s="19">
        <v>0</v>
      </c>
      <c r="C6" s="21">
        <f>B6*4</f>
        <v>0</v>
      </c>
      <c r="D6" s="22"/>
      <c r="E6" s="23"/>
    </row>
    <row r="7" spans="1:7" ht="25.5" customHeight="1" x14ac:dyDescent="0.3">
      <c r="A7" s="1" t="s">
        <v>13</v>
      </c>
      <c r="B7" s="19">
        <v>0</v>
      </c>
      <c r="C7" s="21">
        <f t="shared" ref="C7:C18" si="0">B7*4</f>
        <v>0</v>
      </c>
      <c r="D7" s="22"/>
      <c r="E7" s="23"/>
    </row>
    <row r="8" spans="1:7" ht="27" customHeight="1" x14ac:dyDescent="0.3">
      <c r="A8" s="1" t="s">
        <v>14</v>
      </c>
      <c r="B8" s="19">
        <v>0</v>
      </c>
      <c r="C8" s="21">
        <f t="shared" si="0"/>
        <v>0</v>
      </c>
      <c r="D8" s="22"/>
      <c r="E8" s="23"/>
    </row>
    <row r="9" spans="1:7" ht="28.5" customHeight="1" x14ac:dyDescent="0.3">
      <c r="A9" s="1" t="s">
        <v>15</v>
      </c>
      <c r="B9" s="19">
        <v>0</v>
      </c>
      <c r="C9" s="21">
        <f t="shared" si="0"/>
        <v>0</v>
      </c>
      <c r="D9" s="22"/>
      <c r="E9" s="23"/>
    </row>
    <row r="10" spans="1:7" ht="27" customHeight="1" x14ac:dyDescent="0.3">
      <c r="A10" s="1" t="s">
        <v>16</v>
      </c>
      <c r="B10" s="19">
        <v>0</v>
      </c>
      <c r="C10" s="21">
        <f t="shared" si="0"/>
        <v>0</v>
      </c>
      <c r="D10" s="22"/>
      <c r="E10" s="23"/>
    </row>
    <row r="11" spans="1:7" ht="26.55" customHeight="1" x14ac:dyDescent="0.3">
      <c r="A11" s="1" t="s">
        <v>17</v>
      </c>
      <c r="B11" s="19">
        <v>0</v>
      </c>
      <c r="C11" s="21">
        <f t="shared" si="0"/>
        <v>0</v>
      </c>
      <c r="D11" s="22"/>
      <c r="E11" s="23"/>
    </row>
    <row r="12" spans="1:7" ht="28.05" customHeight="1" x14ac:dyDescent="0.3">
      <c r="A12" s="1" t="s">
        <v>22</v>
      </c>
      <c r="B12" s="19">
        <v>0</v>
      </c>
      <c r="C12" s="21">
        <f t="shared" si="0"/>
        <v>0</v>
      </c>
      <c r="D12" s="22"/>
      <c r="E12" s="23"/>
    </row>
    <row r="13" spans="1:7" ht="25.5" customHeight="1" x14ac:dyDescent="0.3">
      <c r="A13" s="1" t="s">
        <v>23</v>
      </c>
      <c r="B13" s="19">
        <v>0</v>
      </c>
      <c r="C13" s="21">
        <f t="shared" si="0"/>
        <v>0</v>
      </c>
      <c r="D13" s="22"/>
      <c r="E13" s="23"/>
    </row>
    <row r="14" spans="1:7" ht="27.45" customHeight="1" x14ac:dyDescent="0.3">
      <c r="A14" s="1" t="s">
        <v>24</v>
      </c>
      <c r="B14" s="19">
        <v>0</v>
      </c>
      <c r="C14" s="21">
        <f t="shared" si="0"/>
        <v>0</v>
      </c>
      <c r="D14" s="22"/>
      <c r="E14" s="23"/>
    </row>
    <row r="15" spans="1:7" ht="25.5" customHeight="1" x14ac:dyDescent="0.3">
      <c r="A15" s="1" t="s">
        <v>18</v>
      </c>
      <c r="B15" s="19">
        <v>0</v>
      </c>
      <c r="C15" s="21">
        <f t="shared" si="0"/>
        <v>0</v>
      </c>
      <c r="D15" s="22"/>
      <c r="E15" s="23"/>
    </row>
    <row r="16" spans="1:7" ht="28.5" customHeight="1" x14ac:dyDescent="0.3">
      <c r="A16" s="1" t="s">
        <v>19</v>
      </c>
      <c r="B16" s="19">
        <v>0</v>
      </c>
      <c r="C16" s="21">
        <f t="shared" si="0"/>
        <v>0</v>
      </c>
      <c r="D16" s="22"/>
      <c r="E16" s="23"/>
    </row>
    <row r="17" spans="1:8" ht="27.45" customHeight="1" x14ac:dyDescent="0.3">
      <c r="A17" s="1" t="s">
        <v>20</v>
      </c>
      <c r="B17" s="19">
        <v>0</v>
      </c>
      <c r="C17" s="21">
        <f t="shared" si="0"/>
        <v>0</v>
      </c>
      <c r="D17" s="22"/>
      <c r="E17" s="23"/>
    </row>
    <row r="18" spans="1:8" ht="25.5" customHeight="1" x14ac:dyDescent="0.3">
      <c r="A18" s="1" t="s">
        <v>21</v>
      </c>
      <c r="B18" s="19">
        <v>0</v>
      </c>
      <c r="C18" s="21">
        <f t="shared" si="0"/>
        <v>0</v>
      </c>
      <c r="D18" s="22"/>
      <c r="E18" s="23"/>
    </row>
    <row r="19" spans="1:8" ht="30.45" customHeight="1" x14ac:dyDescent="0.3">
      <c r="A19" s="9" t="s">
        <v>28</v>
      </c>
      <c r="B19" s="16">
        <f>SUM(B6:B18)</f>
        <v>0</v>
      </c>
      <c r="C19" s="29"/>
      <c r="D19" s="29"/>
      <c r="E19" s="30"/>
      <c r="H19" s="12"/>
    </row>
    <row r="20" spans="1:8" ht="32.549999999999997" customHeight="1" x14ac:dyDescent="0.3">
      <c r="A20" s="17" t="s">
        <v>42</v>
      </c>
      <c r="B20" s="18"/>
      <c r="C20" s="34">
        <f>SUM(C6:C18)</f>
        <v>0</v>
      </c>
      <c r="D20" s="34"/>
      <c r="E20" s="35"/>
    </row>
    <row r="21" spans="1:8" ht="21" customHeight="1" x14ac:dyDescent="0.3">
      <c r="A21" s="48"/>
      <c r="B21" s="48"/>
      <c r="C21" s="48"/>
      <c r="D21" s="48"/>
      <c r="E21" s="49"/>
    </row>
    <row r="22" spans="1:8" ht="28.95" customHeight="1" x14ac:dyDescent="0.3">
      <c r="A22" s="31" t="s">
        <v>35</v>
      </c>
      <c r="B22" s="32"/>
      <c r="C22" s="32"/>
      <c r="D22" s="32"/>
      <c r="E22" s="33"/>
    </row>
    <row r="23" spans="1:8" ht="25.05" customHeight="1" x14ac:dyDescent="0.3">
      <c r="A23" s="45" t="s">
        <v>36</v>
      </c>
      <c r="B23" s="46"/>
      <c r="C23" s="46"/>
      <c r="D23" s="46"/>
      <c r="E23" s="47"/>
    </row>
    <row r="24" spans="1:8" ht="43.2" x14ac:dyDescent="0.3">
      <c r="A24" s="7" t="s">
        <v>1</v>
      </c>
      <c r="B24" s="8" t="s">
        <v>4</v>
      </c>
      <c r="C24" s="8" t="s">
        <v>2</v>
      </c>
      <c r="D24" s="8" t="s">
        <v>31</v>
      </c>
      <c r="E24" s="8" t="s">
        <v>3</v>
      </c>
    </row>
    <row r="25" spans="1:8" ht="27" customHeight="1" x14ac:dyDescent="0.3">
      <c r="A25" s="1" t="s">
        <v>37</v>
      </c>
      <c r="B25" s="20">
        <v>0</v>
      </c>
      <c r="C25" s="4" t="s">
        <v>30</v>
      </c>
      <c r="D25" s="4">
        <v>400</v>
      </c>
      <c r="E25" s="15">
        <f>B25*D25</f>
        <v>0</v>
      </c>
    </row>
    <row r="26" spans="1:8" ht="27" customHeight="1" x14ac:dyDescent="0.3">
      <c r="A26" s="1" t="s">
        <v>38</v>
      </c>
      <c r="B26" s="20">
        <v>0</v>
      </c>
      <c r="C26" s="4" t="s">
        <v>30</v>
      </c>
      <c r="D26" s="4">
        <v>120</v>
      </c>
      <c r="E26" s="15">
        <f t="shared" ref="E26:E27" si="1">B26*D26</f>
        <v>0</v>
      </c>
    </row>
    <row r="27" spans="1:8" ht="27" customHeight="1" x14ac:dyDescent="0.3">
      <c r="A27" s="1" t="s">
        <v>39</v>
      </c>
      <c r="B27" s="20">
        <v>0</v>
      </c>
      <c r="C27" s="4" t="s">
        <v>30</v>
      </c>
      <c r="D27" s="4">
        <v>80</v>
      </c>
      <c r="E27" s="15">
        <f t="shared" si="1"/>
        <v>0</v>
      </c>
    </row>
    <row r="28" spans="1:8" ht="25.95" customHeight="1" x14ac:dyDescent="0.3">
      <c r="A28" s="17" t="s">
        <v>32</v>
      </c>
      <c r="B28" s="53"/>
      <c r="C28" s="53"/>
      <c r="D28" s="53"/>
      <c r="E28" s="54">
        <f>SUM(E25:E27)</f>
        <v>0</v>
      </c>
    </row>
    <row r="29" spans="1:8" ht="19.5" customHeight="1" x14ac:dyDescent="0.3">
      <c r="A29" s="26"/>
      <c r="B29" s="27"/>
      <c r="C29" s="27"/>
      <c r="D29" s="27"/>
      <c r="E29" s="28"/>
    </row>
    <row r="30" spans="1:8" ht="39" customHeight="1" x14ac:dyDescent="0.3">
      <c r="A30" s="17" t="s">
        <v>34</v>
      </c>
      <c r="B30" s="53"/>
      <c r="C30" s="53"/>
      <c r="D30" s="53"/>
      <c r="E30" s="54">
        <v>15000</v>
      </c>
    </row>
    <row r="31" spans="1:8" ht="19.5" customHeight="1" x14ac:dyDescent="0.3">
      <c r="A31" s="26"/>
      <c r="B31" s="27"/>
      <c r="C31" s="27"/>
      <c r="D31" s="27"/>
      <c r="E31" s="28"/>
    </row>
    <row r="32" spans="1:8" ht="30.45" customHeight="1" x14ac:dyDescent="0.3">
      <c r="A32" s="17" t="s">
        <v>47</v>
      </c>
      <c r="B32" s="53"/>
      <c r="C32" s="53"/>
      <c r="D32" s="53"/>
      <c r="E32" s="54">
        <f>C20+E28+E30</f>
        <v>15000</v>
      </c>
    </row>
    <row r="33" spans="1:5" ht="64.95" customHeight="1" x14ac:dyDescent="0.3">
      <c r="A33" s="24" t="s">
        <v>50</v>
      </c>
      <c r="B33" s="25"/>
      <c r="C33" s="25"/>
      <c r="D33" s="25"/>
      <c r="E33" s="25"/>
    </row>
    <row r="35" spans="1:5" ht="21" customHeight="1" x14ac:dyDescent="0.3">
      <c r="A35" s="13"/>
    </row>
  </sheetData>
  <sheetProtection algorithmName="SHA-512" hashValue="npmgADeIFWw/TJzI2H2hQX0Sng2Dsoq38PBZzpLFIBN3SBAmlfZwAVvPamcxoAd5o+4U+O0djEibKWSizeV1mw==" saltValue="Q1mljzY5J0zz46dNWXVzoQ==" spinCount="100000" sheet="1" objects="1" scenarios="1"/>
  <mergeCells count="27">
    <mergeCell ref="A29:E29"/>
    <mergeCell ref="A31:E31"/>
    <mergeCell ref="A33:E33"/>
    <mergeCell ref="C18:E18"/>
    <mergeCell ref="C19:E19"/>
    <mergeCell ref="C20:E20"/>
    <mergeCell ref="A21:E21"/>
    <mergeCell ref="A22:E22"/>
    <mergeCell ref="A23:E23"/>
    <mergeCell ref="C12:E12"/>
    <mergeCell ref="C13:E13"/>
    <mergeCell ref="C14:E14"/>
    <mergeCell ref="C15:E15"/>
    <mergeCell ref="C16:E16"/>
    <mergeCell ref="C17:E17"/>
    <mergeCell ref="C6:E6"/>
    <mergeCell ref="C7:E7"/>
    <mergeCell ref="C8:E8"/>
    <mergeCell ref="C9:E9"/>
    <mergeCell ref="C10:E10"/>
    <mergeCell ref="C11:E11"/>
    <mergeCell ref="A1:E1"/>
    <mergeCell ref="A2:E2"/>
    <mergeCell ref="G2:G3"/>
    <mergeCell ref="A3:E3"/>
    <mergeCell ref="A4:E4"/>
    <mergeCell ref="C5:E5"/>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8164C-E794-4E62-B4AF-E980AE5A24D6}">
  <dimension ref="A1:H35"/>
  <sheetViews>
    <sheetView topLeftCell="A23" zoomScale="90" zoomScaleNormal="90" workbookViewId="0">
      <selection activeCell="A12" sqref="A12"/>
    </sheetView>
  </sheetViews>
  <sheetFormatPr defaultRowHeight="21" customHeight="1" x14ac:dyDescent="0.3"/>
  <cols>
    <col min="1" max="1" width="61.77734375" style="11" customWidth="1"/>
    <col min="2" max="2" width="26.21875" style="11" customWidth="1"/>
    <col min="3" max="3" width="11.77734375" style="14" customWidth="1"/>
    <col min="4" max="4" width="11.44140625" style="11" customWidth="1"/>
    <col min="5" max="5" width="21.5546875" style="11" customWidth="1"/>
    <col min="6" max="6" width="8.88671875" style="11"/>
    <col min="7" max="7" width="32.21875" style="11" customWidth="1"/>
    <col min="8" max="16384" width="8.88671875" style="11"/>
  </cols>
  <sheetData>
    <row r="1" spans="1:7" ht="25.95" customHeight="1" thickBot="1" x14ac:dyDescent="0.35">
      <c r="A1" s="36" t="s">
        <v>51</v>
      </c>
      <c r="B1" s="37"/>
      <c r="C1" s="37"/>
      <c r="D1" s="37"/>
      <c r="E1" s="38"/>
    </row>
    <row r="2" spans="1:7" ht="26.55" customHeight="1" x14ac:dyDescent="0.3">
      <c r="A2" s="39" t="s">
        <v>9</v>
      </c>
      <c r="B2" s="40"/>
      <c r="C2" s="40"/>
      <c r="D2" s="40"/>
      <c r="E2" s="41"/>
      <c r="G2" s="51" t="s">
        <v>53</v>
      </c>
    </row>
    <row r="3" spans="1:7" ht="21" customHeight="1" thickBot="1" x14ac:dyDescent="0.35">
      <c r="A3" s="31" t="s">
        <v>25</v>
      </c>
      <c r="B3" s="32"/>
      <c r="C3" s="32"/>
      <c r="D3" s="32"/>
      <c r="E3" s="33"/>
      <c r="G3" s="52"/>
    </row>
    <row r="4" spans="1:7" ht="21" customHeight="1" x14ac:dyDescent="0.3">
      <c r="A4" s="42" t="s">
        <v>45</v>
      </c>
      <c r="B4" s="43"/>
      <c r="C4" s="43"/>
      <c r="D4" s="43"/>
      <c r="E4" s="44"/>
    </row>
    <row r="5" spans="1:7" ht="21" customHeight="1" x14ac:dyDescent="0.3">
      <c r="A5" s="5" t="s">
        <v>27</v>
      </c>
      <c r="B5" s="6" t="s">
        <v>26</v>
      </c>
      <c r="C5" s="26" t="s">
        <v>43</v>
      </c>
      <c r="D5" s="27"/>
      <c r="E5" s="28"/>
    </row>
    <row r="6" spans="1:7" ht="25.95" customHeight="1" x14ac:dyDescent="0.3">
      <c r="A6" s="1" t="s">
        <v>12</v>
      </c>
      <c r="B6" s="19">
        <v>0</v>
      </c>
      <c r="C6" s="21">
        <f>B6*4</f>
        <v>0</v>
      </c>
      <c r="D6" s="22"/>
      <c r="E6" s="23"/>
    </row>
    <row r="7" spans="1:7" ht="25.5" customHeight="1" x14ac:dyDescent="0.3">
      <c r="A7" s="1" t="s">
        <v>13</v>
      </c>
      <c r="B7" s="19">
        <v>0</v>
      </c>
      <c r="C7" s="21">
        <f t="shared" ref="C7:C18" si="0">B7*4</f>
        <v>0</v>
      </c>
      <c r="D7" s="22"/>
      <c r="E7" s="23"/>
    </row>
    <row r="8" spans="1:7" ht="27" customHeight="1" x14ac:dyDescent="0.3">
      <c r="A8" s="1" t="s">
        <v>14</v>
      </c>
      <c r="B8" s="19">
        <v>0</v>
      </c>
      <c r="C8" s="21">
        <f t="shared" si="0"/>
        <v>0</v>
      </c>
      <c r="D8" s="22"/>
      <c r="E8" s="23"/>
    </row>
    <row r="9" spans="1:7" ht="28.5" customHeight="1" x14ac:dyDescent="0.3">
      <c r="A9" s="1" t="s">
        <v>15</v>
      </c>
      <c r="B9" s="19">
        <v>0</v>
      </c>
      <c r="C9" s="21">
        <f t="shared" si="0"/>
        <v>0</v>
      </c>
      <c r="D9" s="22"/>
      <c r="E9" s="23"/>
    </row>
    <row r="10" spans="1:7" ht="27" customHeight="1" x14ac:dyDescent="0.3">
      <c r="A10" s="1" t="s">
        <v>16</v>
      </c>
      <c r="B10" s="19">
        <v>0</v>
      </c>
      <c r="C10" s="21">
        <f t="shared" si="0"/>
        <v>0</v>
      </c>
      <c r="D10" s="22"/>
      <c r="E10" s="23"/>
    </row>
    <row r="11" spans="1:7" ht="26.55" customHeight="1" x14ac:dyDescent="0.3">
      <c r="A11" s="1" t="s">
        <v>17</v>
      </c>
      <c r="B11" s="19">
        <v>0</v>
      </c>
      <c r="C11" s="21">
        <f t="shared" si="0"/>
        <v>0</v>
      </c>
      <c r="D11" s="22"/>
      <c r="E11" s="23"/>
    </row>
    <row r="12" spans="1:7" ht="28.05" customHeight="1" x14ac:dyDescent="0.3">
      <c r="A12" s="1" t="s">
        <v>22</v>
      </c>
      <c r="B12" s="19">
        <v>0</v>
      </c>
      <c r="C12" s="21">
        <f t="shared" si="0"/>
        <v>0</v>
      </c>
      <c r="D12" s="22"/>
      <c r="E12" s="23"/>
    </row>
    <row r="13" spans="1:7" ht="25.5" customHeight="1" x14ac:dyDescent="0.3">
      <c r="A13" s="1" t="s">
        <v>23</v>
      </c>
      <c r="B13" s="19">
        <v>0</v>
      </c>
      <c r="C13" s="21">
        <f t="shared" si="0"/>
        <v>0</v>
      </c>
      <c r="D13" s="22"/>
      <c r="E13" s="23"/>
    </row>
    <row r="14" spans="1:7" ht="27.45" customHeight="1" x14ac:dyDescent="0.3">
      <c r="A14" s="1" t="s">
        <v>24</v>
      </c>
      <c r="B14" s="19">
        <v>0</v>
      </c>
      <c r="C14" s="21">
        <f t="shared" si="0"/>
        <v>0</v>
      </c>
      <c r="D14" s="22"/>
      <c r="E14" s="23"/>
    </row>
    <row r="15" spans="1:7" ht="25.5" customHeight="1" x14ac:dyDescent="0.3">
      <c r="A15" s="1" t="s">
        <v>18</v>
      </c>
      <c r="B15" s="19">
        <v>0</v>
      </c>
      <c r="C15" s="21">
        <f t="shared" si="0"/>
        <v>0</v>
      </c>
      <c r="D15" s="22"/>
      <c r="E15" s="23"/>
    </row>
    <row r="16" spans="1:7" ht="28.5" customHeight="1" x14ac:dyDescent="0.3">
      <c r="A16" s="1" t="s">
        <v>19</v>
      </c>
      <c r="B16" s="19">
        <v>0</v>
      </c>
      <c r="C16" s="21">
        <f t="shared" si="0"/>
        <v>0</v>
      </c>
      <c r="D16" s="22"/>
      <c r="E16" s="23"/>
    </row>
    <row r="17" spans="1:8" ht="27.45" customHeight="1" x14ac:dyDescent="0.3">
      <c r="A17" s="1" t="s">
        <v>20</v>
      </c>
      <c r="B17" s="19">
        <v>0</v>
      </c>
      <c r="C17" s="21">
        <f t="shared" si="0"/>
        <v>0</v>
      </c>
      <c r="D17" s="22"/>
      <c r="E17" s="23"/>
    </row>
    <row r="18" spans="1:8" ht="25.5" customHeight="1" x14ac:dyDescent="0.3">
      <c r="A18" s="1" t="s">
        <v>21</v>
      </c>
      <c r="B18" s="19">
        <v>0</v>
      </c>
      <c r="C18" s="21">
        <f t="shared" si="0"/>
        <v>0</v>
      </c>
      <c r="D18" s="22"/>
      <c r="E18" s="23"/>
    </row>
    <row r="19" spans="1:8" ht="30.45" customHeight="1" x14ac:dyDescent="0.3">
      <c r="A19" s="9" t="s">
        <v>28</v>
      </c>
      <c r="B19" s="16">
        <f>SUM(B6:B18)</f>
        <v>0</v>
      </c>
      <c r="C19" s="29"/>
      <c r="D19" s="29"/>
      <c r="E19" s="30"/>
      <c r="H19" s="12"/>
    </row>
    <row r="20" spans="1:8" ht="32.549999999999997" customHeight="1" x14ac:dyDescent="0.3">
      <c r="A20" s="17" t="s">
        <v>42</v>
      </c>
      <c r="B20" s="18"/>
      <c r="C20" s="34">
        <f>SUM(C6:C18)</f>
        <v>0</v>
      </c>
      <c r="D20" s="34"/>
      <c r="E20" s="35"/>
    </row>
    <row r="21" spans="1:8" ht="21" customHeight="1" x14ac:dyDescent="0.3">
      <c r="A21" s="48"/>
      <c r="B21" s="48"/>
      <c r="C21" s="48"/>
      <c r="D21" s="48"/>
      <c r="E21" s="49"/>
    </row>
    <row r="22" spans="1:8" ht="28.95" customHeight="1" x14ac:dyDescent="0.3">
      <c r="A22" s="31" t="s">
        <v>35</v>
      </c>
      <c r="B22" s="32"/>
      <c r="C22" s="32"/>
      <c r="D22" s="32"/>
      <c r="E22" s="33"/>
    </row>
    <row r="23" spans="1:8" ht="25.05" customHeight="1" x14ac:dyDescent="0.3">
      <c r="A23" s="45" t="s">
        <v>36</v>
      </c>
      <c r="B23" s="46"/>
      <c r="C23" s="46"/>
      <c r="D23" s="46"/>
      <c r="E23" s="47"/>
    </row>
    <row r="24" spans="1:8" ht="43.2" x14ac:dyDescent="0.3">
      <c r="A24" s="7" t="s">
        <v>1</v>
      </c>
      <c r="B24" s="8" t="s">
        <v>4</v>
      </c>
      <c r="C24" s="8" t="s">
        <v>2</v>
      </c>
      <c r="D24" s="8" t="s">
        <v>31</v>
      </c>
      <c r="E24" s="8" t="s">
        <v>3</v>
      </c>
    </row>
    <row r="25" spans="1:8" ht="27" customHeight="1" x14ac:dyDescent="0.3">
      <c r="A25" s="1" t="s">
        <v>37</v>
      </c>
      <c r="B25" s="20">
        <v>0</v>
      </c>
      <c r="C25" s="4" t="s">
        <v>30</v>
      </c>
      <c r="D25" s="4">
        <v>400</v>
      </c>
      <c r="E25" s="15">
        <f>B25*D25</f>
        <v>0</v>
      </c>
    </row>
    <row r="26" spans="1:8" ht="27" customHeight="1" x14ac:dyDescent="0.3">
      <c r="A26" s="1" t="s">
        <v>38</v>
      </c>
      <c r="B26" s="20">
        <v>0</v>
      </c>
      <c r="C26" s="4" t="s">
        <v>30</v>
      </c>
      <c r="D26" s="4">
        <v>120</v>
      </c>
      <c r="E26" s="15">
        <f t="shared" ref="E26:E27" si="1">B26*D26</f>
        <v>0</v>
      </c>
    </row>
    <row r="27" spans="1:8" ht="27" customHeight="1" x14ac:dyDescent="0.3">
      <c r="A27" s="1" t="s">
        <v>39</v>
      </c>
      <c r="B27" s="20">
        <v>0</v>
      </c>
      <c r="C27" s="4" t="s">
        <v>30</v>
      </c>
      <c r="D27" s="4">
        <v>80</v>
      </c>
      <c r="E27" s="15">
        <f t="shared" si="1"/>
        <v>0</v>
      </c>
    </row>
    <row r="28" spans="1:8" ht="25.95" customHeight="1" x14ac:dyDescent="0.3">
      <c r="A28" s="17" t="s">
        <v>32</v>
      </c>
      <c r="B28" s="53"/>
      <c r="C28" s="53"/>
      <c r="D28" s="53"/>
      <c r="E28" s="54">
        <f>SUM(E25:E27)</f>
        <v>0</v>
      </c>
    </row>
    <row r="29" spans="1:8" ht="19.5" customHeight="1" x14ac:dyDescent="0.3">
      <c r="A29" s="26"/>
      <c r="B29" s="27"/>
      <c r="C29" s="27"/>
      <c r="D29" s="27"/>
      <c r="E29" s="28"/>
    </row>
    <row r="30" spans="1:8" ht="39" customHeight="1" x14ac:dyDescent="0.3">
      <c r="A30" s="17" t="s">
        <v>34</v>
      </c>
      <c r="B30" s="53"/>
      <c r="C30" s="53"/>
      <c r="D30" s="53"/>
      <c r="E30" s="54">
        <v>15000</v>
      </c>
    </row>
    <row r="31" spans="1:8" ht="19.5" customHeight="1" x14ac:dyDescent="0.3">
      <c r="A31" s="26"/>
      <c r="B31" s="27"/>
      <c r="C31" s="27"/>
      <c r="D31" s="27"/>
      <c r="E31" s="28"/>
    </row>
    <row r="32" spans="1:8" ht="30.45" customHeight="1" x14ac:dyDescent="0.3">
      <c r="A32" s="17" t="s">
        <v>48</v>
      </c>
      <c r="B32" s="53"/>
      <c r="C32" s="53"/>
      <c r="D32" s="53"/>
      <c r="E32" s="54">
        <f>C20+E28+E30</f>
        <v>15000</v>
      </c>
    </row>
    <row r="33" spans="1:5" ht="64.95" customHeight="1" x14ac:dyDescent="0.3">
      <c r="A33" s="24" t="s">
        <v>50</v>
      </c>
      <c r="B33" s="25"/>
      <c r="C33" s="25"/>
      <c r="D33" s="25"/>
      <c r="E33" s="25"/>
    </row>
    <row r="35" spans="1:5" ht="21" customHeight="1" x14ac:dyDescent="0.3">
      <c r="A35" s="13"/>
    </row>
  </sheetData>
  <sheetProtection algorithmName="SHA-512" hashValue="/MJaeGcqxhbACXd9yXZfJamNFXqulBJpU4InPJrg6fBya1itX2ayfMOuT1qB34QKAQv/UdpCDTmSPiG/tFe50w==" saltValue="alaaW1jsjcDSC2Tqt+ANFA==" spinCount="100000" sheet="1" objects="1" scenarios="1"/>
  <mergeCells count="27">
    <mergeCell ref="A29:E29"/>
    <mergeCell ref="A31:E31"/>
    <mergeCell ref="A33:E33"/>
    <mergeCell ref="C18:E18"/>
    <mergeCell ref="C19:E19"/>
    <mergeCell ref="C20:E20"/>
    <mergeCell ref="A21:E21"/>
    <mergeCell ref="A22:E22"/>
    <mergeCell ref="A23:E23"/>
    <mergeCell ref="C12:E12"/>
    <mergeCell ref="C13:E13"/>
    <mergeCell ref="C14:E14"/>
    <mergeCell ref="C15:E15"/>
    <mergeCell ref="C16:E16"/>
    <mergeCell ref="C17:E17"/>
    <mergeCell ref="C6:E6"/>
    <mergeCell ref="C7:E7"/>
    <mergeCell ref="C8:E8"/>
    <mergeCell ref="C9:E9"/>
    <mergeCell ref="C10:E10"/>
    <mergeCell ref="C11:E11"/>
    <mergeCell ref="A1:E1"/>
    <mergeCell ref="A2:E2"/>
    <mergeCell ref="G2:G3"/>
    <mergeCell ref="A3:E3"/>
    <mergeCell ref="A4:E4"/>
    <mergeCell ref="C5:E5"/>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9E51F-DEB8-4ADC-B930-7477D7E34717}">
  <dimension ref="A1:H35"/>
  <sheetViews>
    <sheetView zoomScale="90" zoomScaleNormal="90" workbookViewId="0">
      <selection sqref="A1:E1"/>
    </sheetView>
  </sheetViews>
  <sheetFormatPr defaultRowHeight="21" customHeight="1" x14ac:dyDescent="0.3"/>
  <cols>
    <col min="1" max="1" width="61.77734375" style="11" customWidth="1"/>
    <col min="2" max="2" width="26.21875" style="11" customWidth="1"/>
    <col min="3" max="3" width="11.77734375" style="14" customWidth="1"/>
    <col min="4" max="4" width="11.44140625" style="11" customWidth="1"/>
    <col min="5" max="5" width="21.5546875" style="11" customWidth="1"/>
    <col min="6" max="6" width="8.88671875" style="11"/>
    <col min="7" max="7" width="32.21875" style="11" customWidth="1"/>
    <col min="8" max="16384" width="8.88671875" style="11"/>
  </cols>
  <sheetData>
    <row r="1" spans="1:7" ht="25.95" customHeight="1" thickBot="1" x14ac:dyDescent="0.35">
      <c r="A1" s="36" t="s">
        <v>51</v>
      </c>
      <c r="B1" s="37"/>
      <c r="C1" s="37"/>
      <c r="D1" s="37"/>
      <c r="E1" s="38"/>
    </row>
    <row r="2" spans="1:7" ht="26.55" customHeight="1" x14ac:dyDescent="0.3">
      <c r="A2" s="39" t="s">
        <v>10</v>
      </c>
      <c r="B2" s="40"/>
      <c r="C2" s="40"/>
      <c r="D2" s="40"/>
      <c r="E2" s="41"/>
      <c r="G2" s="51" t="s">
        <v>53</v>
      </c>
    </row>
    <row r="3" spans="1:7" ht="21" customHeight="1" thickBot="1" x14ac:dyDescent="0.35">
      <c r="A3" s="31" t="s">
        <v>25</v>
      </c>
      <c r="B3" s="32"/>
      <c r="C3" s="32"/>
      <c r="D3" s="32"/>
      <c r="E3" s="33"/>
      <c r="G3" s="52"/>
    </row>
    <row r="4" spans="1:7" ht="21" customHeight="1" x14ac:dyDescent="0.3">
      <c r="A4" s="42" t="s">
        <v>46</v>
      </c>
      <c r="B4" s="43"/>
      <c r="C4" s="43"/>
      <c r="D4" s="43"/>
      <c r="E4" s="44"/>
    </row>
    <row r="5" spans="1:7" ht="21" customHeight="1" x14ac:dyDescent="0.3">
      <c r="A5" s="5" t="s">
        <v>27</v>
      </c>
      <c r="B5" s="6" t="s">
        <v>26</v>
      </c>
      <c r="C5" s="26" t="s">
        <v>43</v>
      </c>
      <c r="D5" s="27"/>
      <c r="E5" s="28"/>
    </row>
    <row r="6" spans="1:7" ht="25.95" customHeight="1" x14ac:dyDescent="0.3">
      <c r="A6" s="1" t="s">
        <v>12</v>
      </c>
      <c r="B6" s="19">
        <v>0</v>
      </c>
      <c r="C6" s="21">
        <f>B6*4</f>
        <v>0</v>
      </c>
      <c r="D6" s="22"/>
      <c r="E6" s="23"/>
    </row>
    <row r="7" spans="1:7" ht="25.5" customHeight="1" x14ac:dyDescent="0.3">
      <c r="A7" s="1" t="s">
        <v>13</v>
      </c>
      <c r="B7" s="19">
        <v>0</v>
      </c>
      <c r="C7" s="21">
        <f t="shared" ref="C7:C18" si="0">B7*4</f>
        <v>0</v>
      </c>
      <c r="D7" s="22"/>
      <c r="E7" s="23"/>
    </row>
    <row r="8" spans="1:7" ht="27" customHeight="1" x14ac:dyDescent="0.3">
      <c r="A8" s="1" t="s">
        <v>14</v>
      </c>
      <c r="B8" s="19">
        <v>0</v>
      </c>
      <c r="C8" s="21">
        <f t="shared" si="0"/>
        <v>0</v>
      </c>
      <c r="D8" s="22"/>
      <c r="E8" s="23"/>
    </row>
    <row r="9" spans="1:7" ht="28.5" customHeight="1" x14ac:dyDescent="0.3">
      <c r="A9" s="1" t="s">
        <v>15</v>
      </c>
      <c r="B9" s="19">
        <v>0</v>
      </c>
      <c r="C9" s="21">
        <f t="shared" si="0"/>
        <v>0</v>
      </c>
      <c r="D9" s="22"/>
      <c r="E9" s="23"/>
    </row>
    <row r="10" spans="1:7" ht="27" customHeight="1" x14ac:dyDescent="0.3">
      <c r="A10" s="1" t="s">
        <v>16</v>
      </c>
      <c r="B10" s="19">
        <v>0</v>
      </c>
      <c r="C10" s="21">
        <f t="shared" si="0"/>
        <v>0</v>
      </c>
      <c r="D10" s="22"/>
      <c r="E10" s="23"/>
    </row>
    <row r="11" spans="1:7" ht="26.55" customHeight="1" x14ac:dyDescent="0.3">
      <c r="A11" s="1" t="s">
        <v>17</v>
      </c>
      <c r="B11" s="19">
        <v>0</v>
      </c>
      <c r="C11" s="21">
        <f t="shared" si="0"/>
        <v>0</v>
      </c>
      <c r="D11" s="22"/>
      <c r="E11" s="23"/>
    </row>
    <row r="12" spans="1:7" ht="28.05" customHeight="1" x14ac:dyDescent="0.3">
      <c r="A12" s="1" t="s">
        <v>22</v>
      </c>
      <c r="B12" s="19">
        <v>0</v>
      </c>
      <c r="C12" s="21">
        <f t="shared" si="0"/>
        <v>0</v>
      </c>
      <c r="D12" s="22"/>
      <c r="E12" s="23"/>
    </row>
    <row r="13" spans="1:7" ht="25.5" customHeight="1" x14ac:dyDescent="0.3">
      <c r="A13" s="1" t="s">
        <v>23</v>
      </c>
      <c r="B13" s="19">
        <v>0</v>
      </c>
      <c r="C13" s="21">
        <f t="shared" si="0"/>
        <v>0</v>
      </c>
      <c r="D13" s="22"/>
      <c r="E13" s="23"/>
    </row>
    <row r="14" spans="1:7" ht="27.45" customHeight="1" x14ac:dyDescent="0.3">
      <c r="A14" s="1" t="s">
        <v>24</v>
      </c>
      <c r="B14" s="19">
        <v>0</v>
      </c>
      <c r="C14" s="21">
        <f t="shared" si="0"/>
        <v>0</v>
      </c>
      <c r="D14" s="22"/>
      <c r="E14" s="23"/>
    </row>
    <row r="15" spans="1:7" ht="25.5" customHeight="1" x14ac:dyDescent="0.3">
      <c r="A15" s="1" t="s">
        <v>18</v>
      </c>
      <c r="B15" s="19">
        <v>0</v>
      </c>
      <c r="C15" s="21">
        <f t="shared" si="0"/>
        <v>0</v>
      </c>
      <c r="D15" s="22"/>
      <c r="E15" s="23"/>
    </row>
    <row r="16" spans="1:7" ht="28.5" customHeight="1" x14ac:dyDescent="0.3">
      <c r="A16" s="1" t="s">
        <v>19</v>
      </c>
      <c r="B16" s="19">
        <v>0</v>
      </c>
      <c r="C16" s="21">
        <f t="shared" si="0"/>
        <v>0</v>
      </c>
      <c r="D16" s="22"/>
      <c r="E16" s="23"/>
    </row>
    <row r="17" spans="1:8" ht="27.45" customHeight="1" x14ac:dyDescent="0.3">
      <c r="A17" s="1" t="s">
        <v>20</v>
      </c>
      <c r="B17" s="19">
        <v>0</v>
      </c>
      <c r="C17" s="21">
        <f t="shared" si="0"/>
        <v>0</v>
      </c>
      <c r="D17" s="22"/>
      <c r="E17" s="23"/>
    </row>
    <row r="18" spans="1:8" ht="25.5" customHeight="1" x14ac:dyDescent="0.3">
      <c r="A18" s="1" t="s">
        <v>21</v>
      </c>
      <c r="B18" s="19">
        <v>0</v>
      </c>
      <c r="C18" s="21">
        <f t="shared" si="0"/>
        <v>0</v>
      </c>
      <c r="D18" s="22"/>
      <c r="E18" s="23"/>
    </row>
    <row r="19" spans="1:8" ht="30.45" customHeight="1" x14ac:dyDescent="0.3">
      <c r="A19" s="9" t="s">
        <v>28</v>
      </c>
      <c r="B19" s="16">
        <f>SUM(B6:B18)</f>
        <v>0</v>
      </c>
      <c r="C19" s="29"/>
      <c r="D19" s="29"/>
      <c r="E19" s="30"/>
      <c r="H19" s="12"/>
    </row>
    <row r="20" spans="1:8" ht="32.549999999999997" customHeight="1" x14ac:dyDescent="0.3">
      <c r="A20" s="17" t="s">
        <v>42</v>
      </c>
      <c r="B20" s="18"/>
      <c r="C20" s="34">
        <f>SUM(C6:C18)</f>
        <v>0</v>
      </c>
      <c r="D20" s="34"/>
      <c r="E20" s="35"/>
    </row>
    <row r="21" spans="1:8" ht="21" customHeight="1" x14ac:dyDescent="0.3">
      <c r="A21" s="48"/>
      <c r="B21" s="48"/>
      <c r="C21" s="48"/>
      <c r="D21" s="48"/>
      <c r="E21" s="49"/>
    </row>
    <row r="22" spans="1:8" ht="28.95" customHeight="1" x14ac:dyDescent="0.3">
      <c r="A22" s="31" t="s">
        <v>35</v>
      </c>
      <c r="B22" s="32"/>
      <c r="C22" s="32"/>
      <c r="D22" s="32"/>
      <c r="E22" s="33"/>
    </row>
    <row r="23" spans="1:8" ht="25.05" customHeight="1" x14ac:dyDescent="0.3">
      <c r="A23" s="45" t="s">
        <v>36</v>
      </c>
      <c r="B23" s="46"/>
      <c r="C23" s="46"/>
      <c r="D23" s="46"/>
      <c r="E23" s="47"/>
    </row>
    <row r="24" spans="1:8" ht="43.2" x14ac:dyDescent="0.3">
      <c r="A24" s="7" t="s">
        <v>1</v>
      </c>
      <c r="B24" s="8" t="s">
        <v>4</v>
      </c>
      <c r="C24" s="8" t="s">
        <v>2</v>
      </c>
      <c r="D24" s="8" t="s">
        <v>31</v>
      </c>
      <c r="E24" s="8" t="s">
        <v>3</v>
      </c>
    </row>
    <row r="25" spans="1:8" ht="27" customHeight="1" x14ac:dyDescent="0.3">
      <c r="A25" s="1" t="s">
        <v>37</v>
      </c>
      <c r="B25" s="20">
        <v>0</v>
      </c>
      <c r="C25" s="4" t="s">
        <v>30</v>
      </c>
      <c r="D25" s="4">
        <v>400</v>
      </c>
      <c r="E25" s="15">
        <f>B25*D25</f>
        <v>0</v>
      </c>
    </row>
    <row r="26" spans="1:8" ht="27" customHeight="1" x14ac:dyDescent="0.3">
      <c r="A26" s="1" t="s">
        <v>38</v>
      </c>
      <c r="B26" s="20">
        <v>0</v>
      </c>
      <c r="C26" s="4" t="s">
        <v>30</v>
      </c>
      <c r="D26" s="4">
        <v>120</v>
      </c>
      <c r="E26" s="15">
        <f t="shared" ref="E26:E27" si="1">B26*D26</f>
        <v>0</v>
      </c>
    </row>
    <row r="27" spans="1:8" ht="27" customHeight="1" x14ac:dyDescent="0.3">
      <c r="A27" s="1" t="s">
        <v>39</v>
      </c>
      <c r="B27" s="20">
        <v>0</v>
      </c>
      <c r="C27" s="4" t="s">
        <v>30</v>
      </c>
      <c r="D27" s="4">
        <v>80</v>
      </c>
      <c r="E27" s="15">
        <f t="shared" si="1"/>
        <v>0</v>
      </c>
    </row>
    <row r="28" spans="1:8" ht="25.95" customHeight="1" x14ac:dyDescent="0.3">
      <c r="A28" s="17" t="s">
        <v>32</v>
      </c>
      <c r="B28" s="53"/>
      <c r="C28" s="53"/>
      <c r="D28" s="53"/>
      <c r="E28" s="54">
        <f>SUM(E25:E27)</f>
        <v>0</v>
      </c>
    </row>
    <row r="29" spans="1:8" ht="19.5" customHeight="1" x14ac:dyDescent="0.3">
      <c r="A29" s="26"/>
      <c r="B29" s="27"/>
      <c r="C29" s="27"/>
      <c r="D29" s="27"/>
      <c r="E29" s="28"/>
    </row>
    <row r="30" spans="1:8" ht="39" customHeight="1" x14ac:dyDescent="0.3">
      <c r="A30" s="17" t="s">
        <v>34</v>
      </c>
      <c r="B30" s="53"/>
      <c r="C30" s="53"/>
      <c r="D30" s="53"/>
      <c r="E30" s="54">
        <v>15000</v>
      </c>
    </row>
    <row r="31" spans="1:8" ht="19.5" customHeight="1" x14ac:dyDescent="0.3">
      <c r="A31" s="26"/>
      <c r="B31" s="27"/>
      <c r="C31" s="27"/>
      <c r="D31" s="27"/>
      <c r="E31" s="28"/>
    </row>
    <row r="32" spans="1:8" ht="30.45" customHeight="1" x14ac:dyDescent="0.3">
      <c r="A32" s="17" t="s">
        <v>49</v>
      </c>
      <c r="B32" s="53"/>
      <c r="C32" s="53"/>
      <c r="D32" s="53"/>
      <c r="E32" s="54">
        <f>C20+E28+E30</f>
        <v>15000</v>
      </c>
    </row>
    <row r="33" spans="1:5" ht="64.95" customHeight="1" x14ac:dyDescent="0.3">
      <c r="A33" s="24" t="s">
        <v>50</v>
      </c>
      <c r="B33" s="25"/>
      <c r="C33" s="25"/>
      <c r="D33" s="25"/>
      <c r="E33" s="25"/>
    </row>
    <row r="35" spans="1:5" ht="21" customHeight="1" x14ac:dyDescent="0.3">
      <c r="A35" s="13"/>
    </row>
  </sheetData>
  <sheetProtection algorithmName="SHA-512" hashValue="JucSa4pgoA1FXQ+Ems5LrPtCZimJJUYx0WGbSI4c7MR+VXp+eC99xc2cbSsaWfkZtpDabl0ST0JGUhQ+GFmPCw==" saltValue="XhyDAlZg6cjQDvfp0LkjXw==" spinCount="100000" sheet="1" objects="1" scenarios="1"/>
  <mergeCells count="27">
    <mergeCell ref="A29:E29"/>
    <mergeCell ref="A31:E31"/>
    <mergeCell ref="A33:E33"/>
    <mergeCell ref="C18:E18"/>
    <mergeCell ref="C19:E19"/>
    <mergeCell ref="C20:E20"/>
    <mergeCell ref="A21:E21"/>
    <mergeCell ref="A22:E22"/>
    <mergeCell ref="A23:E23"/>
    <mergeCell ref="C12:E12"/>
    <mergeCell ref="C13:E13"/>
    <mergeCell ref="C14:E14"/>
    <mergeCell ref="C15:E15"/>
    <mergeCell ref="C16:E16"/>
    <mergeCell ref="C17:E17"/>
    <mergeCell ref="C6:E6"/>
    <mergeCell ref="C7:E7"/>
    <mergeCell ref="C8:E8"/>
    <mergeCell ref="C9:E9"/>
    <mergeCell ref="C10:E10"/>
    <mergeCell ref="C11:E11"/>
    <mergeCell ref="A1:E1"/>
    <mergeCell ref="A2:E2"/>
    <mergeCell ref="G2:G3"/>
    <mergeCell ref="A3:E3"/>
    <mergeCell ref="A4:E4"/>
    <mergeCell ref="C5:E5"/>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5C5F9-44A8-4A39-A876-1E3A0C6297DF}">
  <dimension ref="A1:B8"/>
  <sheetViews>
    <sheetView workbookViewId="0">
      <selection activeCell="B6" sqref="B6"/>
    </sheetView>
  </sheetViews>
  <sheetFormatPr defaultRowHeight="14.4" x14ac:dyDescent="0.3"/>
  <cols>
    <col min="1" max="1" width="20" customWidth="1"/>
    <col min="2" max="2" width="48.21875" customWidth="1"/>
  </cols>
  <sheetData>
    <row r="1" spans="1:2" ht="33" customHeight="1" x14ac:dyDescent="0.3">
      <c r="A1" s="36" t="s">
        <v>52</v>
      </c>
      <c r="B1" s="38"/>
    </row>
    <row r="2" spans="1:2" ht="22.5" customHeight="1" x14ac:dyDescent="0.3">
      <c r="A2" s="50" t="s">
        <v>11</v>
      </c>
      <c r="B2" s="50"/>
    </row>
    <row r="3" spans="1:2" ht="30.75" customHeight="1" x14ac:dyDescent="0.3">
      <c r="A3" s="1" t="s">
        <v>5</v>
      </c>
      <c r="B3" s="10">
        <f>'Base Year'!E32</f>
        <v>15000</v>
      </c>
    </row>
    <row r="4" spans="1:2" ht="25.5" customHeight="1" x14ac:dyDescent="0.3">
      <c r="A4" s="1" t="s">
        <v>6</v>
      </c>
      <c r="B4" s="10">
        <f>'Option Year 1'!E32</f>
        <v>15000</v>
      </c>
    </row>
    <row r="5" spans="1:2" ht="30" customHeight="1" x14ac:dyDescent="0.3">
      <c r="A5" s="1" t="s">
        <v>8</v>
      </c>
      <c r="B5" s="10">
        <f>'Option Year 2'!E32</f>
        <v>15000</v>
      </c>
    </row>
    <row r="6" spans="1:2" ht="25.05" customHeight="1" x14ac:dyDescent="0.3">
      <c r="A6" s="1" t="s">
        <v>9</v>
      </c>
      <c r="B6" s="10">
        <f>'Option Year 3'!E32</f>
        <v>15000</v>
      </c>
    </row>
    <row r="7" spans="1:2" ht="28.05" customHeight="1" x14ac:dyDescent="0.3">
      <c r="A7" s="1" t="s">
        <v>10</v>
      </c>
      <c r="B7" s="10">
        <f>'Option Year 4'!E32</f>
        <v>15000</v>
      </c>
    </row>
    <row r="8" spans="1:2" ht="31.5" customHeight="1" x14ac:dyDescent="0.3">
      <c r="A8" s="2" t="s">
        <v>7</v>
      </c>
      <c r="B8" s="3">
        <f>SUM(B3:B7)</f>
        <v>75000</v>
      </c>
    </row>
  </sheetData>
  <sheetProtection algorithmName="SHA-512" hashValue="dIU4sxqAorYgKNy0KSPX9nns0VDK7PeK/MRrSbA7F4X2qrDgxxXBNLDaHPCggecJzkaCk1X/fjwhwz2LNJYyIg==" saltValue="YbLEh6AFMyLx7eXOML3oZQ==" spinCount="100000" sheet="1" objects="1" scenarios="1"/>
  <mergeCells count="2">
    <mergeCell ref="A1:B1"/>
    <mergeCell ref="A2:B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A30242E01FF874FAA28E6A661C43BB3" ma:contentTypeVersion="17" ma:contentTypeDescription="Create a new document." ma:contentTypeScope="" ma:versionID="0387199fb1c0e58f4bc589b83bd1f6a4">
  <xsd:schema xmlns:xsd="http://www.w3.org/2001/XMLSchema" xmlns:xs="http://www.w3.org/2001/XMLSchema" xmlns:p="http://schemas.microsoft.com/office/2006/metadata/properties" xmlns:ns2="defa4f62-022c-473b-bdde-1d7a15a4f94a" xmlns:ns3="be982523-eafe-4250-8907-d6f0e1dcd73b" targetNamespace="http://schemas.microsoft.com/office/2006/metadata/properties" ma:root="true" ma:fieldsID="ed3cac963a1eb6cc579bbdfa6839644e" ns2:_="" ns3:_="">
    <xsd:import namespace="defa4f62-022c-473b-bdde-1d7a15a4f94a"/>
    <xsd:import namespace="be982523-eafe-4250-8907-d6f0e1dcd73b"/>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efa4f62-022c-473b-bdde-1d7a15a4f9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Length (seconds)" ma:internalName="MediaLengthInSeconds" ma:readOnly="true">
      <xsd:simpleType>
        <xsd:restriction base="dms:Unknown"/>
      </xsd:simpleType>
    </xsd:element>
    <xsd:element name="MediaServiceDateTaken" ma:index="11" nillable="true" ma:displayName="MediaServiceDateTaken" ma:hidden="true" ma:internalName="MediaServiceDateTaken" ma:readOnly="true">
      <xsd:simpleType>
        <xsd:restriction base="dms:Text"/>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Location" ma:index="16" nillable="true" ma:displayName="Location" ma:internalName="MediaServiceLocatio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10c4236b-c3ef-4727-9e6d-e99ea6baddd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e982523-eafe-4250-8907-d6f0e1dcd73b"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f077791c-16d5-4cf4-930d-d47b0d360154}" ma:internalName="TaxCatchAll" ma:showField="CatchAllData" ma:web="be982523-eafe-4250-8907-d6f0e1dcd7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be982523-eafe-4250-8907-d6f0e1dcd73b" xsi:nil="true"/>
    <lcf76f155ced4ddcb4097134ff3c332f xmlns="defa4f62-022c-473b-bdde-1d7a15a4f94a">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755305-C552-43C2-AC0B-88DFDAD442C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efa4f62-022c-473b-bdde-1d7a15a4f94a"/>
    <ds:schemaRef ds:uri="be982523-eafe-4250-8907-d6f0e1dcd7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AA1169-12E8-4556-9B48-03D5678F639B}">
  <ds:schemaRefs>
    <ds:schemaRef ds:uri="9e853af0-99e9-4f98-8893-0f59a3d40191"/>
    <ds:schemaRef ds:uri="be982523-eafe-4250-8907-d6f0e1dcd73b"/>
    <ds:schemaRef ds:uri="http://schemas.microsoft.com/office/2006/documentManagement/types"/>
    <ds:schemaRef ds:uri="http://schemas.microsoft.com/office/infopath/2007/PartnerControls"/>
    <ds:schemaRef ds:uri="http://purl.org/dc/dcmitype/"/>
    <ds:schemaRef ds:uri="http://schemas.microsoft.com/office/2006/metadata/properties"/>
    <ds:schemaRef ds:uri="http://purl.org/dc/elements/1.1/"/>
    <ds:schemaRef ds:uri="http://schemas.openxmlformats.org/package/2006/metadata/core-properties"/>
    <ds:schemaRef ds:uri="http://www.w3.org/XML/1998/namespace"/>
    <ds:schemaRef ds:uri="http://purl.org/dc/terms/"/>
    <ds:schemaRef ds:uri="defa4f62-022c-473b-bdde-1d7a15a4f94a"/>
  </ds:schemaRefs>
</ds:datastoreItem>
</file>

<file path=customXml/itemProps3.xml><?xml version="1.0" encoding="utf-8"?>
<ds:datastoreItem xmlns:ds="http://schemas.openxmlformats.org/officeDocument/2006/customXml" ds:itemID="{B240E494-7339-425A-8B67-B5EE150F3C3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Base Year</vt:lpstr>
      <vt:lpstr>Option Year 1</vt:lpstr>
      <vt:lpstr>Option Year 2</vt:lpstr>
      <vt:lpstr>Option Year 3</vt:lpstr>
      <vt:lpstr>Option Year 4</vt:lpstr>
      <vt:lpstr>Grand Total</vt:lpstr>
    </vt:vector>
  </TitlesOfParts>
  <Company>Department of State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Carfora, Tiziana (Rome)</dc:creator>
  <cp:lastModifiedBy>Crisafulli, John A (Rome)</cp:lastModifiedBy>
  <dcterms:created xsi:type="dcterms:W3CDTF">2025-06-23T11:46:45Z</dcterms:created>
  <dcterms:modified xsi:type="dcterms:W3CDTF">2026-03-06T13:54:36Z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665d9ee-429a-4d5f-97cc-cfb56e044a6e_Enabled">
    <vt:lpwstr>true</vt:lpwstr>
  </property>
  <property fmtid="{D5CDD505-2E9C-101B-9397-08002B2CF9AE}" pid="3" name="MSIP_Label_1665d9ee-429a-4d5f-97cc-cfb56e044a6e_SetDate">
    <vt:lpwstr>2025-06-23T12:33:47Z</vt:lpwstr>
  </property>
  <property fmtid="{D5CDD505-2E9C-101B-9397-08002B2CF9AE}" pid="4" name="MSIP_Label_1665d9ee-429a-4d5f-97cc-cfb56e044a6e_Method">
    <vt:lpwstr>Privileged</vt:lpwstr>
  </property>
  <property fmtid="{D5CDD505-2E9C-101B-9397-08002B2CF9AE}" pid="5" name="MSIP_Label_1665d9ee-429a-4d5f-97cc-cfb56e044a6e_Name">
    <vt:lpwstr>1665d9ee-429a-4d5f-97cc-cfb56e044a6e</vt:lpwstr>
  </property>
  <property fmtid="{D5CDD505-2E9C-101B-9397-08002B2CF9AE}" pid="6" name="MSIP_Label_1665d9ee-429a-4d5f-97cc-cfb56e044a6e_SiteId">
    <vt:lpwstr>66cf5074-5afe-48d1-a691-a12b2121f44b</vt:lpwstr>
  </property>
  <property fmtid="{D5CDD505-2E9C-101B-9397-08002B2CF9AE}" pid="7" name="MSIP_Label_1665d9ee-429a-4d5f-97cc-cfb56e044a6e_ActionId">
    <vt:lpwstr>6ded391d-0065-47bf-855f-a68dfaee20d3</vt:lpwstr>
  </property>
  <property fmtid="{D5CDD505-2E9C-101B-9397-08002B2CF9AE}" pid="8" name="MSIP_Label_1665d9ee-429a-4d5f-97cc-cfb56e044a6e_ContentBits">
    <vt:lpwstr>0</vt:lpwstr>
  </property>
  <property fmtid="{D5CDD505-2E9C-101B-9397-08002B2CF9AE}" pid="9" name="MSIP_Label_1665d9ee-429a-4d5f-97cc-cfb56e044a6e_Tag">
    <vt:lpwstr>10, 0, 1, 1</vt:lpwstr>
  </property>
  <property fmtid="{D5CDD505-2E9C-101B-9397-08002B2CF9AE}" pid="10" name="ContentTypeId">
    <vt:lpwstr>0x0101001A30242E01FF874FAA28E6A661C43BB3</vt:lpwstr>
  </property>
  <property fmtid="{D5CDD505-2E9C-101B-9397-08002B2CF9AE}" pid="11" name="MediaServiceImageTags">
    <vt:lpwstr/>
  </property>
</Properties>
</file>