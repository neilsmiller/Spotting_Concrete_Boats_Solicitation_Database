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BC5B26E-9E71-464A-BC6B-10EF2D3EB121}" xr6:coauthVersionLast="47" xr6:coauthVersionMax="47" xr10:uidLastSave="{00000000-0000-0000-0000-000000000000}"/>
  <bookViews>
    <workbookView xWindow="6600" yWindow="4365" windowWidth="27675" windowHeight="1213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3" i="1"/>
  <c r="H4" i="1"/>
  <c r="H5" i="1"/>
  <c r="H6" i="1"/>
  <c r="H7" i="1"/>
  <c r="H2" i="1"/>
  <c r="H9" i="1" l="1"/>
</calcChain>
</file>

<file path=xl/sharedStrings.xml><?xml version="1.0" encoding="utf-8"?>
<sst xmlns="http://schemas.openxmlformats.org/spreadsheetml/2006/main" count="67" uniqueCount="34">
  <si>
    <t>Publisher</t>
  </si>
  <si>
    <t>Product</t>
  </si>
  <si>
    <t>Part Number/SKU</t>
  </si>
  <si>
    <t>License Type</t>
  </si>
  <si>
    <t>License Term</t>
  </si>
  <si>
    <t>Units Requested</t>
  </si>
  <si>
    <t>Unit Price</t>
  </si>
  <si>
    <t>Total Cost</t>
  </si>
  <si>
    <t>Effective Date</t>
  </si>
  <si>
    <t>Expiry Date</t>
  </si>
  <si>
    <t>CLIN#</t>
  </si>
  <si>
    <t>General Dynamics</t>
  </si>
  <si>
    <t>Edit Engine Desktop</t>
  </si>
  <si>
    <t>5336</t>
  </si>
  <si>
    <t>Concurrent User</t>
  </si>
  <si>
    <t>Perpetual</t>
  </si>
  <si>
    <t>06/01/2026</t>
  </si>
  <si>
    <t>05/31/2027</t>
  </si>
  <si>
    <t>0006</t>
  </si>
  <si>
    <t>Mission Analyst API</t>
  </si>
  <si>
    <t>5088</t>
  </si>
  <si>
    <t>Surge Capability</t>
  </si>
  <si>
    <t xml:space="preserve"> 9005</t>
  </si>
  <si>
    <t>Custom Metric</t>
  </si>
  <si>
    <t>Subscription</t>
  </si>
  <si>
    <t>0001</t>
  </si>
  <si>
    <t>Mission Monitor</t>
  </si>
  <si>
    <t>5042S</t>
  </si>
  <si>
    <t>XCDS - 1 Year Support</t>
  </si>
  <si>
    <t>5885</t>
  </si>
  <si>
    <t>Mission Capture Server (16 Stream Base)</t>
  </si>
  <si>
    <t>5733</t>
  </si>
  <si>
    <t>Stream Player API</t>
  </si>
  <si>
    <t>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</si>
</sst>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14" sqref="D14"/>
    </sheetView>
  </sheetViews>
  <sheetFormatPr defaultRowHeight="15" x14ac:dyDescent="0.25"/>
  <cols>
    <col min="1" max="1" width="18.7109375" customWidth="1"/>
    <col min="2" max="2" width="22" customWidth="1"/>
    <col min="3" max="3" width="13.42578125" customWidth="1"/>
    <col min="4" max="4" width="16.42578125" customWidth="1"/>
    <col min="5" max="5" width="14" customWidth="1"/>
    <col min="6" max="6" width="10.85546875" style="1" customWidth="1"/>
    <col min="7" max="7" width="11.5703125" style="2" customWidth="1"/>
    <col min="8" max="8" width="11.140625" style="2" customWidth="1"/>
    <col min="9" max="9" width="14.140625" customWidth="1"/>
    <col min="10" max="10" width="11.85546875" customWidth="1"/>
    <col min="11" max="11" width="22" customWidth="1"/>
  </cols>
  <sheetData>
    <row r="1" spans="1:11" s="3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51</v>
      </c>
      <c r="G2" s="2">
        <v>0</v>
      </c>
      <c r="H2" s="2">
        <f>F2*G2</f>
        <v>0</v>
      </c>
      <c r="I2" t="s">
        <v>16</v>
      </c>
      <c r="J2" t="s">
        <v>17</v>
      </c>
      <c r="K2" t="s">
        <v>18</v>
      </c>
    </row>
    <row r="3" spans="1:11" x14ac:dyDescent="0.25">
      <c r="A3" t="s">
        <v>11</v>
      </c>
      <c r="B3" t="s">
        <v>19</v>
      </c>
      <c r="C3" t="s">
        <v>20</v>
      </c>
      <c r="D3" t="s">
        <v>14</v>
      </c>
      <c r="E3" t="s">
        <v>15</v>
      </c>
      <c r="F3" s="1">
        <v>78</v>
      </c>
      <c r="G3" s="2">
        <v>0</v>
      </c>
      <c r="H3" s="2">
        <f t="shared" ref="H3:H7" si="0">F3*G3</f>
        <v>0</v>
      </c>
      <c r="I3" t="s">
        <v>16</v>
      </c>
      <c r="J3" t="s">
        <v>17</v>
      </c>
      <c r="K3" t="s">
        <v>18</v>
      </c>
    </row>
    <row r="4" spans="1:11" x14ac:dyDescent="0.25">
      <c r="A4" t="s">
        <v>11</v>
      </c>
      <c r="B4" t="s">
        <v>21</v>
      </c>
      <c r="C4" t="s">
        <v>22</v>
      </c>
      <c r="D4" t="s">
        <v>23</v>
      </c>
      <c r="E4" t="s">
        <v>24</v>
      </c>
      <c r="F4" s="1">
        <v>1</v>
      </c>
      <c r="G4" s="2">
        <v>0</v>
      </c>
      <c r="H4" s="2">
        <f t="shared" si="0"/>
        <v>0</v>
      </c>
      <c r="I4" t="s">
        <v>16</v>
      </c>
      <c r="J4" t="s">
        <v>17</v>
      </c>
      <c r="K4" t="s">
        <v>25</v>
      </c>
    </row>
    <row r="5" spans="1:11" x14ac:dyDescent="0.25">
      <c r="A5" t="s">
        <v>11</v>
      </c>
      <c r="B5" t="s">
        <v>26</v>
      </c>
      <c r="C5" t="s">
        <v>27</v>
      </c>
      <c r="D5" t="s">
        <v>14</v>
      </c>
      <c r="E5" t="s">
        <v>24</v>
      </c>
      <c r="F5" s="1">
        <v>146</v>
      </c>
      <c r="G5" s="2">
        <v>0</v>
      </c>
      <c r="H5" s="2">
        <f t="shared" si="0"/>
        <v>0</v>
      </c>
      <c r="I5" t="s">
        <v>16</v>
      </c>
      <c r="J5" t="s">
        <v>17</v>
      </c>
      <c r="K5" t="s">
        <v>25</v>
      </c>
    </row>
    <row r="6" spans="1:11" x14ac:dyDescent="0.25">
      <c r="A6" t="s">
        <v>11</v>
      </c>
      <c r="B6" t="s">
        <v>28</v>
      </c>
      <c r="C6" t="s">
        <v>29</v>
      </c>
      <c r="D6" t="s">
        <v>14</v>
      </c>
      <c r="E6" t="s">
        <v>15</v>
      </c>
      <c r="F6" s="1">
        <v>1</v>
      </c>
      <c r="G6" s="2">
        <v>0</v>
      </c>
      <c r="H6" s="2">
        <f t="shared" si="0"/>
        <v>0</v>
      </c>
      <c r="I6" t="s">
        <v>16</v>
      </c>
      <c r="J6" t="s">
        <v>17</v>
      </c>
      <c r="K6" t="s">
        <v>18</v>
      </c>
    </row>
    <row r="7" spans="1:11" x14ac:dyDescent="0.25">
      <c r="A7" t="s">
        <v>11</v>
      </c>
      <c r="B7" t="s">
        <v>30</v>
      </c>
      <c r="C7" t="s">
        <v>31</v>
      </c>
      <c r="D7" t="s">
        <v>14</v>
      </c>
      <c r="E7" t="s">
        <v>15</v>
      </c>
      <c r="F7" s="1">
        <v>142</v>
      </c>
      <c r="G7" s="2">
        <v>0</v>
      </c>
      <c r="H7" s="2">
        <f t="shared" si="0"/>
        <v>0</v>
      </c>
      <c r="I7" t="s">
        <v>16</v>
      </c>
      <c r="J7" t="s">
        <v>17</v>
      </c>
      <c r="K7" t="s">
        <v>18</v>
      </c>
    </row>
    <row r="8" spans="1:11" x14ac:dyDescent="0.25">
      <c r="A8" t="s">
        <v>11</v>
      </c>
      <c r="B8" t="s">
        <v>32</v>
      </c>
      <c r="C8" t="s">
        <v>33</v>
      </c>
      <c r="D8" t="s">
        <v>14</v>
      </c>
      <c r="E8" t="s">
        <v>15</v>
      </c>
      <c r="F8" s="1">
        <v>10</v>
      </c>
      <c r="G8" s="2">
        <v>0</v>
      </c>
      <c r="H8" s="2">
        <f>F8*G8</f>
        <v>0</v>
      </c>
      <c r="I8" t="s">
        <v>16</v>
      </c>
      <c r="J8" t="s">
        <v>17</v>
      </c>
      <c r="K8" t="s">
        <v>18</v>
      </c>
    </row>
    <row r="9" spans="1:11" x14ac:dyDescent="0.25">
      <c r="H9" s="2">
        <f>SUM(H2:H8)</f>
        <v>0</v>
      </c>
    </row>
  </sheetData>
  <autoFilter ref="A1:K1" xr:uid="{00000000-0009-0000-0000-000000000000}"/>
  <pageMargins left="0.7" right="0.7" top="0.75" bottom="0.5" header="0.3" footer="0.3"/>
  <pageSetup orientation="portrait" horizontalDpi="4294967295" verticalDpi="4294967295" r:id="rId1"/>
  <headerFooter>
    <oddHeader>&amp;C&amp;"Courier"&amp;12UNCLASSIFIED//FOUO</oddHeader>
    <oddFooter>&amp;C&amp;"Courier"&amp;12UNCLASSIFIED//FOUO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6-04-08" portionMarking="false" caveat="false" tool="Desktop" toolVersion="202520">
  <class:ClassificationMarking type="USClassificationMarking" value="UNCLASSIFIED"/>
  <class:ClassifiedBy>1016432-0</class:ClassifiedBy>
  <class:ClassificationHeader>
    <class:ClassificationBanner>UNCLASSIFIED//FOUO</class:ClassificationBanner>
    <class:DescriptiveMarkings/>
  </class:ClassificationHeader>
  <class:ClassificationFooter>
    <class:DescriptiveMarkings/>
    <class:ClassificationBanner>UNCLASSIFIED//FOUO</class:ClassificationBanner>
  </class:ClassificationFooter>
  <class:ControlMarkings type="DisseminationControls">
    <class:ControlMarking value="FOUO" groupSource="DOD"/>
  </class:ControlMarkings>
</class:Classification>
</file>

<file path=customXml/itemProps1.xml><?xml version="1.0" encoding="utf-8"?>
<ds:datastoreItem xmlns:ds="http://schemas.openxmlformats.org/officeDocument/2006/customXml" ds:itemID="{3839A7DA-AD64-4664-BEDD-DE65E804AE1F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2026-04-08T13:17:15Z</dcterms:created>
  <dcterms:modified xsi:type="dcterms:W3CDTF">2026-05-07T15:35:08Z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UNCLASSIFIED//FOUO</vt:lpwstr>
  </property>
  <property fmtid="{D5CDD505-2E9C-101B-9397-08002B2CF9AE}" pid="7" name="AACG_Footer">
    <vt:lpwstr>_x000d_UNCLASSIFIED//FOUO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202520</vt:lpwstr>
  </property>
  <property fmtid="{D5CDD505-2E9C-101B-9397-08002B2CF9AE}" pid="20" name="AACG_CustomClassXMLPart">
    <vt:lpwstr>{3839A7DA-AD64-4664-BEDD-DE65E804AE1F}</vt:lpwstr>
  </property>
  <property fmtid="{D5CDD505-2E9C-101B-9397-08002B2CF9AE}" pid="21" name="PortionLastUsed">
    <vt:lpwstr>(U//FOUO)</vt:lpwstr>
  </property>
</Properties>
</file>