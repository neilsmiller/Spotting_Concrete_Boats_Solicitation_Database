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DEVCOMIndo-Pacific/Shared Documents/General/08_References/Templates/Contract Requirements Package (RP)/BAA/"/>
    </mc:Choice>
  </mc:AlternateContent>
  <xr:revisionPtr revIDLastSave="83" documentId="8_{F78132EF-EE7B-4884-A113-82FB614DB63B}" xr6:coauthVersionLast="47" xr6:coauthVersionMax="47" xr10:uidLastSave="{BFD5B9AF-DCB1-4EDE-8AE3-12D639F85426}"/>
  <bookViews>
    <workbookView xWindow="-120" yWindow="180" windowWidth="29040" windowHeight="15540" xr2:uid="{00000000-000D-0000-FFFF-FFFF00000000}"/>
  </bookViews>
  <sheets>
    <sheet name="Cost Proposal" sheetId="3" r:id="rId1"/>
  </sheets>
  <definedNames>
    <definedName name="_xlnm.Print_Area" localSheetId="0">'Cost Proposal'!$A$1:$H$65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3" l="1"/>
  <c r="G57" i="3"/>
  <c r="H57" i="3" s="1"/>
  <c r="G56" i="3"/>
  <c r="G28" i="3"/>
  <c r="H28" i="3" s="1"/>
  <c r="E18" i="3"/>
  <c r="G9" i="3"/>
  <c r="G7" i="3"/>
  <c r="G8" i="3"/>
  <c r="G6" i="3"/>
  <c r="N9" i="3" l="1"/>
  <c r="L9" i="3" s="1"/>
  <c r="N8" i="3"/>
  <c r="N7" i="3"/>
  <c r="N6" i="3"/>
  <c r="P6" i="3" s="1"/>
  <c r="AQ10" i="3"/>
  <c r="AQ9" i="3"/>
  <c r="AQ8" i="3"/>
  <c r="AQ7" i="3"/>
  <c r="AQ6" i="3"/>
  <c r="AQ5" i="3"/>
  <c r="AO5" i="3"/>
  <c r="AM5" i="3"/>
  <c r="AH10" i="3"/>
  <c r="AH9" i="3"/>
  <c r="AH8" i="3"/>
  <c r="AH7" i="3"/>
  <c r="AH6" i="3"/>
  <c r="AH5" i="3"/>
  <c r="AF5" i="3"/>
  <c r="AD5" i="3"/>
  <c r="Y10" i="3"/>
  <c r="Y9" i="3"/>
  <c r="Y8" i="3"/>
  <c r="Y7" i="3"/>
  <c r="Y6" i="3"/>
  <c r="Y5" i="3"/>
  <c r="W5" i="3"/>
  <c r="U5" i="3"/>
  <c r="P10" i="3"/>
  <c r="P8" i="3"/>
  <c r="P7" i="3"/>
  <c r="P5" i="3"/>
  <c r="N5" i="3"/>
  <c r="L5" i="3"/>
  <c r="G5" i="3"/>
  <c r="E5" i="3"/>
  <c r="C5" i="3"/>
  <c r="P9" i="3" l="1"/>
  <c r="Q9" i="3" s="1"/>
  <c r="L2" i="3"/>
  <c r="U2" i="3" s="1"/>
  <c r="AD2" i="3" s="1"/>
  <c r="AM2" i="3" s="1"/>
  <c r="K2" i="3"/>
  <c r="T2" i="3" s="1"/>
  <c r="AC2" i="3" s="1"/>
  <c r="AL2" i="3" s="1"/>
  <c r="AN60" i="3"/>
  <c r="AE60" i="3"/>
  <c r="AR57" i="3"/>
  <c r="AQ57" i="3"/>
  <c r="AI57" i="3"/>
  <c r="AH57" i="3"/>
  <c r="AR56" i="3"/>
  <c r="AQ56" i="3"/>
  <c r="AI56" i="3"/>
  <c r="AH56" i="3"/>
  <c r="AQ55" i="3"/>
  <c r="AO55" i="3"/>
  <c r="AN55" i="3"/>
  <c r="AH55" i="3"/>
  <c r="AF55" i="3"/>
  <c r="AE55" i="3"/>
  <c r="AR52" i="3"/>
  <c r="AQ52" i="3"/>
  <c r="AI52" i="3"/>
  <c r="AH52" i="3"/>
  <c r="AR51" i="3"/>
  <c r="AQ51" i="3"/>
  <c r="AI51" i="3"/>
  <c r="AH51" i="3"/>
  <c r="AQ50" i="3"/>
  <c r="AR50" i="3" s="1"/>
  <c r="AH50" i="3"/>
  <c r="AI50" i="3" s="1"/>
  <c r="AR49" i="3"/>
  <c r="AQ49" i="3"/>
  <c r="AI49" i="3"/>
  <c r="AH49" i="3"/>
  <c r="AQ48" i="3"/>
  <c r="AR48" i="3" s="1"/>
  <c r="AH48" i="3"/>
  <c r="AI48" i="3" s="1"/>
  <c r="AQ47" i="3"/>
  <c r="AH47" i="3"/>
  <c r="AI47" i="3" s="1"/>
  <c r="AQ46" i="3"/>
  <c r="AR46" i="3" s="1"/>
  <c r="AH46" i="3"/>
  <c r="AI46" i="3" s="1"/>
  <c r="AQ45" i="3"/>
  <c r="AH45" i="3"/>
  <c r="AQ44" i="3"/>
  <c r="AO44" i="3"/>
  <c r="AN44" i="3"/>
  <c r="AH44" i="3"/>
  <c r="AF44" i="3"/>
  <c r="AE44" i="3"/>
  <c r="AR41" i="3"/>
  <c r="AQ41" i="3"/>
  <c r="AI41" i="3"/>
  <c r="AH41" i="3"/>
  <c r="AR40" i="3"/>
  <c r="AQ40" i="3"/>
  <c r="AI40" i="3"/>
  <c r="AH40" i="3"/>
  <c r="AQ39" i="3"/>
  <c r="AO39" i="3"/>
  <c r="AN39" i="3"/>
  <c r="AH39" i="3"/>
  <c r="AF39" i="3"/>
  <c r="AE39" i="3"/>
  <c r="AQ36" i="3"/>
  <c r="AR36" i="3" s="1"/>
  <c r="AH36" i="3"/>
  <c r="AI36" i="3" s="1"/>
  <c r="AQ35" i="3"/>
  <c r="AR35" i="3" s="1"/>
  <c r="AH35" i="3"/>
  <c r="AI35" i="3" s="1"/>
  <c r="AQ34" i="3"/>
  <c r="AR34" i="3" s="1"/>
  <c r="AH34" i="3"/>
  <c r="AI34" i="3" s="1"/>
  <c r="AQ33" i="3"/>
  <c r="AO33" i="3"/>
  <c r="AN33" i="3"/>
  <c r="AH33" i="3"/>
  <c r="AF33" i="3"/>
  <c r="AE33" i="3"/>
  <c r="AQ29" i="3"/>
  <c r="AR29" i="3" s="1"/>
  <c r="AH29" i="3"/>
  <c r="AI29" i="3" s="1"/>
  <c r="AQ27" i="3"/>
  <c r="AR27" i="3" s="1"/>
  <c r="AH27" i="3"/>
  <c r="AI27" i="3" s="1"/>
  <c r="AQ26" i="3"/>
  <c r="AR26" i="3" s="1"/>
  <c r="AH26" i="3"/>
  <c r="AI26" i="3" s="1"/>
  <c r="AQ25" i="3"/>
  <c r="AR25" i="3" s="1"/>
  <c r="AH25" i="3"/>
  <c r="AI25" i="3" s="1"/>
  <c r="AQ24" i="3"/>
  <c r="AR24" i="3" s="1"/>
  <c r="AH24" i="3"/>
  <c r="AI24" i="3" s="1"/>
  <c r="AQ23" i="3"/>
  <c r="AO23" i="3"/>
  <c r="AN23" i="3"/>
  <c r="AH23" i="3"/>
  <c r="AF23" i="3"/>
  <c r="AE23" i="3"/>
  <c r="AQ20" i="3"/>
  <c r="AR20" i="3" s="1"/>
  <c r="AH20" i="3"/>
  <c r="AI20" i="3" s="1"/>
  <c r="AR19" i="3"/>
  <c r="AQ19" i="3"/>
  <c r="AH19" i="3"/>
  <c r="AI19" i="3" s="1"/>
  <c r="AQ18" i="3"/>
  <c r="AR18" i="3" s="1"/>
  <c r="AH18" i="3"/>
  <c r="AI18" i="3" s="1"/>
  <c r="AQ17" i="3"/>
  <c r="AO17" i="3"/>
  <c r="AN17" i="3"/>
  <c r="AH17" i="3"/>
  <c r="AF17" i="3"/>
  <c r="AE17" i="3"/>
  <c r="AQ13" i="3"/>
  <c r="AO13" i="3"/>
  <c r="AN13" i="3"/>
  <c r="AH13" i="3"/>
  <c r="AF13" i="3"/>
  <c r="AE13" i="3"/>
  <c r="AR10" i="3"/>
  <c r="AI10" i="3"/>
  <c r="AR9" i="3"/>
  <c r="AI9" i="3"/>
  <c r="AR8" i="3"/>
  <c r="AI8" i="3"/>
  <c r="AR7" i="3"/>
  <c r="AI7" i="3"/>
  <c r="AI6" i="3"/>
  <c r="V60" i="3"/>
  <c r="Z57" i="3"/>
  <c r="Y57" i="3"/>
  <c r="Z56" i="3"/>
  <c r="Y56" i="3"/>
  <c r="Y55" i="3"/>
  <c r="W55" i="3"/>
  <c r="V55" i="3"/>
  <c r="Z52" i="3"/>
  <c r="Y52" i="3"/>
  <c r="Z51" i="3"/>
  <c r="Y51" i="3"/>
  <c r="Y50" i="3"/>
  <c r="Z50" i="3" s="1"/>
  <c r="Z49" i="3"/>
  <c r="Y49" i="3"/>
  <c r="Y48" i="3"/>
  <c r="Z48" i="3" s="1"/>
  <c r="Y47" i="3"/>
  <c r="Z47" i="3" s="1"/>
  <c r="Y46" i="3"/>
  <c r="Z46" i="3" s="1"/>
  <c r="Y45" i="3"/>
  <c r="Z45" i="3" s="1"/>
  <c r="Y44" i="3"/>
  <c r="W44" i="3"/>
  <c r="V44" i="3"/>
  <c r="Z41" i="3"/>
  <c r="Y41" i="3"/>
  <c r="Z40" i="3"/>
  <c r="Y40" i="3"/>
  <c r="Y39" i="3"/>
  <c r="W39" i="3"/>
  <c r="V39" i="3"/>
  <c r="Y36" i="3"/>
  <c r="Z36" i="3" s="1"/>
  <c r="Y35" i="3"/>
  <c r="Z35" i="3" s="1"/>
  <c r="Y34" i="3"/>
  <c r="Z34" i="3" s="1"/>
  <c r="Y33" i="3"/>
  <c r="W33" i="3"/>
  <c r="V33" i="3"/>
  <c r="Y29" i="3"/>
  <c r="Z29" i="3" s="1"/>
  <c r="Y27" i="3"/>
  <c r="Z27" i="3" s="1"/>
  <c r="Y26" i="3"/>
  <c r="Z26" i="3" s="1"/>
  <c r="Y25" i="3"/>
  <c r="Z25" i="3" s="1"/>
  <c r="Y24" i="3"/>
  <c r="Z24" i="3" s="1"/>
  <c r="Y23" i="3"/>
  <c r="W23" i="3"/>
  <c r="V23" i="3"/>
  <c r="Y20" i="3"/>
  <c r="Z20" i="3" s="1"/>
  <c r="Y19" i="3"/>
  <c r="Z19" i="3" s="1"/>
  <c r="Y18" i="3"/>
  <c r="Z18" i="3" s="1"/>
  <c r="Y17" i="3"/>
  <c r="W17" i="3"/>
  <c r="V17" i="3"/>
  <c r="Y13" i="3"/>
  <c r="W13" i="3"/>
  <c r="V13" i="3"/>
  <c r="Z10" i="3"/>
  <c r="Z9" i="3"/>
  <c r="Z8" i="3"/>
  <c r="Z7" i="3"/>
  <c r="Y14" i="3"/>
  <c r="Z14" i="3" s="1"/>
  <c r="Z15" i="3" s="1"/>
  <c r="M60" i="3"/>
  <c r="Q57" i="3"/>
  <c r="P57" i="3"/>
  <c r="Q56" i="3"/>
  <c r="P56" i="3"/>
  <c r="P55" i="3"/>
  <c r="N55" i="3"/>
  <c r="M55" i="3"/>
  <c r="Q52" i="3"/>
  <c r="P52" i="3"/>
  <c r="Q51" i="3"/>
  <c r="P51" i="3"/>
  <c r="P50" i="3"/>
  <c r="Q50" i="3" s="1"/>
  <c r="Q49" i="3"/>
  <c r="P49" i="3"/>
  <c r="P48" i="3"/>
  <c r="Q48" i="3" s="1"/>
  <c r="N47" i="3"/>
  <c r="P47" i="3" s="1"/>
  <c r="Q47" i="3" s="1"/>
  <c r="N46" i="3"/>
  <c r="P46" i="3" s="1"/>
  <c r="Q46" i="3" s="1"/>
  <c r="N45" i="3"/>
  <c r="P45" i="3" s="1"/>
  <c r="Q45" i="3" s="1"/>
  <c r="P44" i="3"/>
  <c r="N44" i="3"/>
  <c r="M44" i="3"/>
  <c r="Q41" i="3"/>
  <c r="P41" i="3"/>
  <c r="Q40" i="3"/>
  <c r="Q42" i="3" s="1"/>
  <c r="P40" i="3"/>
  <c r="P39" i="3"/>
  <c r="N39" i="3"/>
  <c r="M39" i="3"/>
  <c r="P36" i="3"/>
  <c r="Q36" i="3" s="1"/>
  <c r="P35" i="3"/>
  <c r="Q35" i="3" s="1"/>
  <c r="P34" i="3"/>
  <c r="Q34" i="3" s="1"/>
  <c r="P33" i="3"/>
  <c r="N33" i="3"/>
  <c r="M33" i="3"/>
  <c r="P29" i="3"/>
  <c r="Q29" i="3" s="1"/>
  <c r="P27" i="3"/>
  <c r="Q27" i="3" s="1"/>
  <c r="P26" i="3"/>
  <c r="Q26" i="3" s="1"/>
  <c r="P25" i="3"/>
  <c r="Q25" i="3" s="1"/>
  <c r="P24" i="3"/>
  <c r="Q24" i="3" s="1"/>
  <c r="P23" i="3"/>
  <c r="N23" i="3"/>
  <c r="M23" i="3"/>
  <c r="P20" i="3"/>
  <c r="Q20" i="3" s="1"/>
  <c r="P19" i="3"/>
  <c r="Q19" i="3" s="1"/>
  <c r="P18" i="3"/>
  <c r="Q18" i="3" s="1"/>
  <c r="P17" i="3"/>
  <c r="N17" i="3"/>
  <c r="M17" i="3"/>
  <c r="O14" i="3"/>
  <c r="P13" i="3"/>
  <c r="N13" i="3"/>
  <c r="M13" i="3"/>
  <c r="Q10" i="3"/>
  <c r="Q8" i="3"/>
  <c r="Q7" i="3"/>
  <c r="Q6" i="3"/>
  <c r="H58" i="3"/>
  <c r="G55" i="3"/>
  <c r="E55" i="3"/>
  <c r="D55" i="3"/>
  <c r="H40" i="3"/>
  <c r="G40" i="3"/>
  <c r="G36" i="3"/>
  <c r="H36" i="3" s="1"/>
  <c r="G35" i="3"/>
  <c r="H35" i="3" s="1"/>
  <c r="G34" i="3"/>
  <c r="H34" i="3" s="1"/>
  <c r="G33" i="3"/>
  <c r="E33" i="3"/>
  <c r="D33" i="3"/>
  <c r="D39" i="3"/>
  <c r="E39" i="3"/>
  <c r="G39" i="3"/>
  <c r="G27" i="3"/>
  <c r="H27" i="3" s="1"/>
  <c r="G29" i="3"/>
  <c r="G26" i="3"/>
  <c r="H26" i="3" s="1"/>
  <c r="G10" i="3"/>
  <c r="H10" i="3" s="1"/>
  <c r="H9" i="3"/>
  <c r="G20" i="3"/>
  <c r="H20" i="3" s="1"/>
  <c r="G19" i="3"/>
  <c r="H19" i="3" s="1"/>
  <c r="G18" i="3"/>
  <c r="H18" i="3" s="1"/>
  <c r="G17" i="3"/>
  <c r="E17" i="3"/>
  <c r="D17" i="3"/>
  <c r="H52" i="3"/>
  <c r="G52" i="3"/>
  <c r="H51" i="3"/>
  <c r="G51" i="3"/>
  <c r="G50" i="3"/>
  <c r="H50" i="3" s="1"/>
  <c r="H49" i="3"/>
  <c r="G49" i="3"/>
  <c r="G48" i="3"/>
  <c r="G47" i="3"/>
  <c r="G46" i="3"/>
  <c r="G45" i="3"/>
  <c r="Z58" i="3" l="1"/>
  <c r="AR42" i="3"/>
  <c r="Z42" i="3"/>
  <c r="AR47" i="3"/>
  <c r="AR58" i="3"/>
  <c r="N14" i="3"/>
  <c r="P14" i="3" s="1"/>
  <c r="Q14" i="3" s="1"/>
  <c r="Q15" i="3" s="1"/>
  <c r="AI30" i="3"/>
  <c r="Q37" i="3"/>
  <c r="Q58" i="3"/>
  <c r="Z21" i="3"/>
  <c r="AI45" i="3"/>
  <c r="Q11" i="3"/>
  <c r="AO14" i="3"/>
  <c r="AQ14" i="3" s="1"/>
  <c r="AR14" i="3" s="1"/>
  <c r="AR15" i="3" s="1"/>
  <c r="AR45" i="3"/>
  <c r="AR53" i="3" s="1"/>
  <c r="AI58" i="3"/>
  <c r="AI42" i="3"/>
  <c r="AR6" i="3"/>
  <c r="AR11" i="3" s="1"/>
  <c r="Z53" i="3"/>
  <c r="AI53" i="3"/>
  <c r="AI11" i="3"/>
  <c r="AR30" i="3"/>
  <c r="AI21" i="3"/>
  <c r="AI37" i="3"/>
  <c r="AR21" i="3"/>
  <c r="AR37" i="3"/>
  <c r="AF14" i="3"/>
  <c r="AH14" i="3" s="1"/>
  <c r="AI14" i="3" s="1"/>
  <c r="AI15" i="3" s="1"/>
  <c r="Z30" i="3"/>
  <c r="Z37" i="3"/>
  <c r="Z6" i="3"/>
  <c r="Z11" i="3" s="1"/>
  <c r="Y61" i="3" s="1"/>
  <c r="Z62" i="3" s="1"/>
  <c r="Z64" i="3" s="1"/>
  <c r="Q53" i="3"/>
  <c r="Q30" i="3"/>
  <c r="Q21" i="3"/>
  <c r="H37" i="3"/>
  <c r="H21" i="3"/>
  <c r="D60" i="3"/>
  <c r="G44" i="3"/>
  <c r="E44" i="3"/>
  <c r="D44" i="3"/>
  <c r="H41" i="3"/>
  <c r="H42" i="3" s="1"/>
  <c r="G41" i="3"/>
  <c r="H29" i="3"/>
  <c r="G25" i="3"/>
  <c r="H25" i="3" s="1"/>
  <c r="G24" i="3"/>
  <c r="H24" i="3" s="1"/>
  <c r="G23" i="3"/>
  <c r="E23" i="3"/>
  <c r="D23" i="3"/>
  <c r="G13" i="3"/>
  <c r="E13" i="3"/>
  <c r="D13" i="3"/>
  <c r="H8" i="3"/>
  <c r="H7" i="3"/>
  <c r="H6" i="3" l="1"/>
  <c r="H11" i="3" s="1"/>
  <c r="E14" i="3"/>
  <c r="G14" i="3" s="1"/>
  <c r="H14" i="3" s="1"/>
  <c r="H15" i="3" s="1"/>
  <c r="H30" i="3"/>
  <c r="AN61" i="3"/>
  <c r="AQ61" i="3" s="1"/>
  <c r="AR62" i="3" s="1"/>
  <c r="AR64" i="3" s="1"/>
  <c r="AE61" i="3"/>
  <c r="AH61" i="3" s="1"/>
  <c r="AI62" i="3" s="1"/>
  <c r="AI64" i="3" s="1"/>
  <c r="M61" i="3"/>
  <c r="P61" i="3" s="1"/>
  <c r="Q62" i="3" s="1"/>
  <c r="Q64" i="3" s="1"/>
  <c r="H45" i="3"/>
  <c r="H48" i="3"/>
  <c r="H47" i="3"/>
  <c r="H46" i="3"/>
  <c r="H53" i="3" l="1"/>
  <c r="D61" i="3" l="1"/>
  <c r="G61" i="3" s="1"/>
  <c r="H62" i="3" s="1"/>
  <c r="H64" i="3" s="1"/>
</calcChain>
</file>

<file path=xl/sharedStrings.xml><?xml version="1.0" encoding="utf-8"?>
<sst xmlns="http://schemas.openxmlformats.org/spreadsheetml/2006/main" count="284" uniqueCount="64">
  <si>
    <t>0. Currency Conversion Rates</t>
  </si>
  <si>
    <t>1. Labor</t>
  </si>
  <si>
    <t>Hours</t>
  </si>
  <si>
    <t>Total (USD)</t>
  </si>
  <si>
    <t>6. Indirect Cost</t>
  </si>
  <si>
    <t>Rate</t>
  </si>
  <si>
    <t>Operating expenses</t>
  </si>
  <si>
    <t>Base Year Total:</t>
  </si>
  <si>
    <t>Genetic Sequencing (Illumina) Analysis</t>
  </si>
  <si>
    <t>Reagents and Plasticware for Sequencing Preparation</t>
  </si>
  <si>
    <t>Open Access Journal</t>
  </si>
  <si>
    <t>Final Field Sampling Trip Per Diem (teardown, 3 days, 2 people)</t>
  </si>
  <si>
    <t>University Motorpool Vehicle Rental Recovery Charge</t>
  </si>
  <si>
    <t>Interim Field Sampling Trips Per Diem (1 day each, 2 people)</t>
  </si>
  <si>
    <t>University Motorpool Vehicle Rental ($0.65/km, 1000 km/trip)</t>
  </si>
  <si>
    <t>Conference Registration (San Diego, CA, Jan 2024)</t>
  </si>
  <si>
    <t>Conference Airfare (San Diego, CA, Jan 2024)</t>
  </si>
  <si>
    <t>Conference Accommodation (San Diego, CA, Jan 2024)</t>
  </si>
  <si>
    <t>Conference Meals &amp; Incidentals (San Diego, CA, Jan 2024)</t>
  </si>
  <si>
    <t>On-Costs</t>
  </si>
  <si>
    <t>2. Labor Overhead (Burden)</t>
  </si>
  <si>
    <t>Atch. 2a</t>
  </si>
  <si>
    <t>Atch. 2b</t>
  </si>
  <si>
    <r>
      <t>USD/</t>
    </r>
    <r>
      <rPr>
        <sz val="11"/>
        <color rgb="FFFF0000"/>
        <rFont val="Calibri"/>
        <family val="2"/>
        <scheme val="minor"/>
      </rPr>
      <t>AUD</t>
    </r>
  </si>
  <si>
    <t>Atch. 2c (As necessary or if available)</t>
  </si>
  <si>
    <t>Atch. 2d (As necessary or if available)</t>
  </si>
  <si>
    <t>Atch. 2e (As necessary or if available)</t>
  </si>
  <si>
    <t>3. Equipment</t>
  </si>
  <si>
    <t>Newport M1-RQ Pressure Measurement System</t>
  </si>
  <si>
    <t>Quantity</t>
  </si>
  <si>
    <t>Square Mirror Mount</t>
  </si>
  <si>
    <t>4. Materials &amp; Supplies</t>
  </si>
  <si>
    <t>5.Computing Devices and IT Systems</t>
  </si>
  <si>
    <t>Dell Workstation</t>
  </si>
  <si>
    <t>6. Publication Costs</t>
  </si>
  <si>
    <t>7. Travel</t>
  </si>
  <si>
    <t>8. Other Direct Costs</t>
  </si>
  <si>
    <t>Atch. 2f (As necessary or if available)</t>
  </si>
  <si>
    <t>Atch. 2g</t>
  </si>
  <si>
    <t>Atch. 2h (As necessary or if available)</t>
  </si>
  <si>
    <t>Atch. 2i</t>
  </si>
  <si>
    <t>Description</t>
  </si>
  <si>
    <t>Base Period</t>
  </si>
  <si>
    <t>Option Period 1</t>
  </si>
  <si>
    <t>Option Period 2</t>
  </si>
  <si>
    <t>Option Period 3</t>
  </si>
  <si>
    <t>Option Period 4</t>
  </si>
  <si>
    <t>FTE</t>
  </si>
  <si>
    <t>Principal Investigator (Academic C2)</t>
  </si>
  <si>
    <t>Principal Investigator (Academic E1, 0.1 FTE in-kind)</t>
  </si>
  <si>
    <t>Postdoctoral Fellow (Academic Lvl A4)</t>
  </si>
  <si>
    <t>Technical Officer (Professional Staff Lvl 7-2)</t>
  </si>
  <si>
    <t>Principal Investigator (Academic Lvl C-2)</t>
  </si>
  <si>
    <t>Other Investigator (Academic Lvl C-2)</t>
  </si>
  <si>
    <t>Research Assistant (Professional Staff HEW 5-1)</t>
  </si>
  <si>
    <t xml:space="preserve">PhD-1 Student Stipend </t>
  </si>
  <si>
    <t xml:space="preserve">PhD-2 Student Stipend </t>
  </si>
  <si>
    <t xml:space="preserve">Chi.Bio minibioreactor system </t>
  </si>
  <si>
    <t>Chemicals, solvents, calibration gases, catalyst precursors</t>
  </si>
  <si>
    <t>General laboratory consumables - Chemistry</t>
  </si>
  <si>
    <t>Option 1 Total:</t>
  </si>
  <si>
    <t>Option 2 Total:</t>
  </si>
  <si>
    <t>Option 3 Total:</t>
  </si>
  <si>
    <t>Option 4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</si>
</sst>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</cellStyleXfs>
  <cellXfs count="114">
    <xf numFmtId="0" fontId="0" fillId="0" borderId="0" xfId="0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3" fontId="0" fillId="0" borderId="13" xfId="1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43" fontId="0" fillId="0" borderId="13" xfId="1" applyFont="1" applyBorder="1" applyAlignment="1">
      <alignment vertical="center"/>
    </xf>
    <xf numFmtId="44" fontId="0" fillId="0" borderId="14" xfId="2" applyFont="1" applyBorder="1" applyAlignment="1">
      <alignment vertical="center"/>
    </xf>
    <xf numFmtId="44" fontId="2" fillId="0" borderId="15" xfId="0" applyNumberFormat="1" applyFont="1" applyBorder="1" applyAlignment="1">
      <alignment vertical="center"/>
    </xf>
    <xf numFmtId="44" fontId="0" fillId="0" borderId="0" xfId="0" applyNumberFormat="1" applyAlignment="1">
      <alignment vertical="center"/>
    </xf>
    <xf numFmtId="0" fontId="2" fillId="0" borderId="8" xfId="0" applyFont="1" applyBorder="1" applyAlignment="1">
      <alignment vertical="center"/>
    </xf>
    <xf numFmtId="44" fontId="1" fillId="0" borderId="13" xfId="2" applyFont="1" applyBorder="1" applyAlignment="1">
      <alignment horizontal="center" vertical="center"/>
    </xf>
    <xf numFmtId="44" fontId="2" fillId="0" borderId="9" xfId="0" applyNumberFormat="1" applyFont="1" applyBorder="1" applyAlignment="1">
      <alignment vertical="center"/>
    </xf>
    <xf numFmtId="0" fontId="4" fillId="0" borderId="8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44" fontId="0" fillId="0" borderId="0" xfId="2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4" fontId="1" fillId="0" borderId="14" xfId="2" applyFont="1" applyBorder="1" applyAlignment="1">
      <alignment horizontal="center" vertical="center" wrapText="1"/>
    </xf>
    <xf numFmtId="44" fontId="0" fillId="0" borderId="14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43" fontId="0" fillId="0" borderId="0" xfId="1" applyFont="1" applyBorder="1" applyAlignment="1">
      <alignment horizontal="right" vertical="center"/>
    </xf>
    <xf numFmtId="9" fontId="0" fillId="0" borderId="0" xfId="3" applyFont="1" applyBorder="1" applyAlignment="1">
      <alignment horizontal="center" vertical="center"/>
    </xf>
    <xf numFmtId="43" fontId="0" fillId="0" borderId="0" xfId="1" applyFont="1" applyBorder="1" applyAlignment="1">
      <alignment vertical="center"/>
    </xf>
    <xf numFmtId="44" fontId="0" fillId="0" borderId="9" xfId="2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3" fillId="0" borderId="17" xfId="0" applyFont="1" applyBorder="1" applyAlignment="1">
      <alignment horizontal="right" vertical="center"/>
    </xf>
    <xf numFmtId="44" fontId="5" fillId="0" borderId="15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44" fontId="0" fillId="0" borderId="14" xfId="2" applyFont="1" applyBorder="1" applyAlignment="1">
      <alignment horizontal="center" vertical="center" wrapText="1"/>
    </xf>
    <xf numFmtId="44" fontId="6" fillId="0" borderId="15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4" fontId="2" fillId="0" borderId="14" xfId="0" applyNumberFormat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44" fontId="0" fillId="0" borderId="0" xfId="2" applyFont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44" fontId="0" fillId="0" borderId="13" xfId="2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4" fontId="0" fillId="0" borderId="13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0" fontId="7" fillId="0" borderId="13" xfId="3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44" fontId="7" fillId="0" borderId="13" xfId="2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4" fontId="0" fillId="0" borderId="13" xfId="1" applyNumberFormat="1" applyFont="1" applyBorder="1" applyAlignment="1">
      <alignment horizontal="right" vertical="center"/>
    </xf>
    <xf numFmtId="4" fontId="0" fillId="0" borderId="13" xfId="0" applyNumberFormat="1" applyBorder="1" applyAlignment="1">
      <alignment horizontal="right" vertical="center"/>
    </xf>
    <xf numFmtId="4" fontId="0" fillId="0" borderId="13" xfId="2" applyNumberFormat="1" applyFont="1" applyBorder="1" applyAlignment="1">
      <alignment horizontal="right" vertical="center"/>
    </xf>
    <xf numFmtId="4" fontId="0" fillId="0" borderId="13" xfId="0" applyNumberFormat="1" applyFont="1" applyBorder="1" applyAlignment="1">
      <alignment horizontal="right" vertical="center" wrapText="1"/>
    </xf>
    <xf numFmtId="44" fontId="6" fillId="0" borderId="9" xfId="0" applyNumberFormat="1" applyFont="1" applyBorder="1" applyAlignment="1">
      <alignment vertical="center"/>
    </xf>
    <xf numFmtId="4" fontId="7" fillId="0" borderId="13" xfId="1" applyNumberFormat="1" applyFont="1" applyFill="1" applyBorder="1" applyAlignment="1">
      <alignment horizontal="right" vertical="center"/>
    </xf>
    <xf numFmtId="4" fontId="7" fillId="0" borderId="13" xfId="2" applyNumberFormat="1" applyFont="1" applyBorder="1" applyAlignment="1">
      <alignment horizontal="right" vertical="center"/>
    </xf>
    <xf numFmtId="4" fontId="7" fillId="0" borderId="13" xfId="0" applyNumberFormat="1" applyFont="1" applyBorder="1" applyAlignment="1">
      <alignment horizontal="right" vertical="center" wrapText="1"/>
    </xf>
    <xf numFmtId="0" fontId="11" fillId="0" borderId="13" xfId="0" applyFont="1" applyBorder="1" applyAlignment="1">
      <alignment vertical="center" wrapText="1"/>
    </xf>
    <xf numFmtId="44" fontId="7" fillId="0" borderId="13" xfId="2" applyFont="1" applyBorder="1" applyAlignment="1">
      <alignment vertical="center" wrapText="1"/>
    </xf>
    <xf numFmtId="9" fontId="7" fillId="0" borderId="13" xfId="3" applyFont="1" applyFill="1" applyBorder="1" applyAlignment="1">
      <alignment horizontal="center" vertical="center"/>
    </xf>
    <xf numFmtId="43" fontId="8" fillId="0" borderId="13" xfId="1" applyFont="1" applyBorder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4" fontId="8" fillId="0" borderId="13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vertical="center"/>
    </xf>
    <xf numFmtId="44" fontId="7" fillId="0" borderId="13" xfId="2" applyFont="1" applyBorder="1" applyAlignment="1">
      <alignment horizontal="center" vertical="center"/>
    </xf>
    <xf numFmtId="4" fontId="8" fillId="0" borderId="13" xfId="1" applyNumberFormat="1" applyFont="1" applyFill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2" fontId="0" fillId="0" borderId="0" xfId="0" applyNumberFormat="1"/>
    <xf numFmtId="4" fontId="8" fillId="0" borderId="13" xfId="2" applyNumberFormat="1" applyFont="1" applyBorder="1" applyAlignment="1">
      <alignment horizontal="right" vertical="center"/>
    </xf>
    <xf numFmtId="43" fontId="8" fillId="0" borderId="13" xfId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19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9" fillId="0" borderId="10" xfId="0" applyFont="1" applyFill="1" applyBorder="1" applyAlignment="1">
      <alignment horizontal="right" vertical="center"/>
    </xf>
    <xf numFmtId="0" fontId="9" fillId="0" borderId="11" xfId="0" applyFont="1" applyFill="1" applyBorder="1" applyAlignment="1">
      <alignment horizontal="right" vertical="center"/>
    </xf>
    <xf numFmtId="0" fontId="9" fillId="0" borderId="12" xfId="0" applyFont="1" applyFill="1" applyBorder="1" applyAlignment="1">
      <alignment horizontal="right" vertical="center"/>
    </xf>
    <xf numFmtId="0" fontId="9" fillId="0" borderId="10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/>
    </xf>
    <xf numFmtId="44" fontId="0" fillId="0" borderId="13" xfId="2" applyFont="1" applyBorder="1" applyAlignment="1">
      <alignment horizontal="center" vertical="center"/>
    </xf>
    <xf numFmtId="44" fontId="0" fillId="0" borderId="14" xfId="2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right" vertical="center" wrapText="1"/>
    </xf>
    <xf numFmtId="0" fontId="13" fillId="0" borderId="10" xfId="4" applyFont="1" applyFill="1" applyBorder="1" applyAlignment="1">
      <alignment horizontal="right" vertical="center" wrapText="1"/>
    </xf>
    <xf numFmtId="0" fontId="13" fillId="0" borderId="10" xfId="4" applyFont="1" applyFill="1" applyBorder="1" applyAlignment="1">
      <alignment horizontal="right" vertical="center"/>
    </xf>
    <xf numFmtId="0" fontId="13" fillId="3" borderId="10" xfId="4" applyFont="1" applyFill="1" applyBorder="1" applyAlignment="1">
      <alignment horizontal="right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right" vertical="center" wrapText="1"/>
    </xf>
  </cellXfs>
  <cellStyles count="5">
    <cellStyle name="Comma" xfId="1" builtinId="3"/>
    <cellStyle name="Currency" xfId="2" builtinId="4"/>
    <cellStyle name="Neutral" xfId="4" builtinId="2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7"/>
  <sheetViews>
    <sheetView tabSelected="1" zoomScale="85" zoomScaleNormal="85" workbookViewId="0">
      <selection activeCell="E33" sqref="E33"/>
    </sheetView>
  </sheetViews>
  <sheetFormatPr defaultColWidth="9.140625" defaultRowHeight="15" x14ac:dyDescent="0.25"/>
  <cols>
    <col min="1" max="1" width="35.7109375" style="1" customWidth="1"/>
    <col min="2" max="2" width="10.7109375" style="1" customWidth="1"/>
    <col min="3" max="3" width="10.7109375" style="1" bestFit="1" customWidth="1"/>
    <col min="4" max="4" width="17.140625" style="41" customWidth="1"/>
    <col min="5" max="5" width="17" style="41" customWidth="1"/>
    <col min="6" max="6" width="14.28515625" style="1" bestFit="1" customWidth="1"/>
    <col min="7" max="7" width="16.140625" style="1" bestFit="1" customWidth="1"/>
    <col min="8" max="8" width="15.28515625" style="1" bestFit="1" customWidth="1"/>
    <col min="9" max="9" width="3.7109375" style="1" customWidth="1"/>
    <col min="10" max="10" width="35.7109375" style="1" customWidth="1"/>
    <col min="11" max="11" width="10.7109375" style="1" customWidth="1"/>
    <col min="12" max="12" width="10.7109375" style="1" bestFit="1" customWidth="1"/>
    <col min="13" max="13" width="17.140625" style="41" customWidth="1"/>
    <col min="14" max="14" width="17" style="41" customWidth="1"/>
    <col min="15" max="15" width="14.28515625" style="1" bestFit="1" customWidth="1"/>
    <col min="16" max="16" width="16.140625" style="1" bestFit="1" customWidth="1"/>
    <col min="17" max="17" width="15.28515625" style="1" bestFit="1" customWidth="1"/>
    <col min="18" max="18" width="3.7109375" style="1" customWidth="1"/>
    <col min="19" max="19" width="35.7109375" style="1" customWidth="1"/>
    <col min="20" max="20" width="10.7109375" style="1" customWidth="1"/>
    <col min="21" max="21" width="10.7109375" style="1" bestFit="1" customWidth="1"/>
    <col min="22" max="22" width="17.140625" style="41" customWidth="1"/>
    <col min="23" max="23" width="17" style="41" customWidth="1"/>
    <col min="24" max="24" width="14.28515625" style="1" bestFit="1" customWidth="1"/>
    <col min="25" max="25" width="16.140625" style="1" bestFit="1" customWidth="1"/>
    <col min="26" max="26" width="15.28515625" style="1" bestFit="1" customWidth="1"/>
    <col min="27" max="27" width="3.7109375" style="1" customWidth="1"/>
    <col min="28" max="28" width="35.7109375" style="1" customWidth="1"/>
    <col min="29" max="29" width="10.7109375" style="1" customWidth="1"/>
    <col min="30" max="30" width="10.7109375" style="1" bestFit="1" customWidth="1"/>
    <col min="31" max="31" width="17.140625" style="41" customWidth="1"/>
    <col min="32" max="32" width="17" style="41" customWidth="1"/>
    <col min="33" max="33" width="14.28515625" style="1" bestFit="1" customWidth="1"/>
    <col min="34" max="34" width="16.140625" style="1" bestFit="1" customWidth="1"/>
    <col min="35" max="35" width="15.28515625" style="1" bestFit="1" customWidth="1"/>
    <col min="36" max="36" width="3.7109375" style="1" customWidth="1"/>
    <col min="37" max="37" width="35.7109375" style="1" customWidth="1"/>
    <col min="38" max="38" width="10.7109375" style="1" customWidth="1"/>
    <col min="39" max="39" width="10.7109375" style="1" bestFit="1" customWidth="1"/>
    <col min="40" max="40" width="17.140625" style="41" customWidth="1"/>
    <col min="41" max="41" width="17" style="41" customWidth="1"/>
    <col min="42" max="42" width="14.28515625" style="1" bestFit="1" customWidth="1"/>
    <col min="43" max="43" width="16.140625" style="1" bestFit="1" customWidth="1"/>
    <col min="44" max="44" width="15.28515625" style="1" bestFit="1" customWidth="1"/>
    <col min="45" max="16384" width="9.140625" style="1"/>
  </cols>
  <sheetData>
    <row r="1" spans="1:44" ht="15.75" thickBot="1" x14ac:dyDescent="0.3">
      <c r="A1" s="87" t="s">
        <v>42</v>
      </c>
      <c r="B1" s="88"/>
      <c r="C1" s="88"/>
      <c r="D1" s="88"/>
      <c r="E1" s="88"/>
      <c r="F1" s="88"/>
      <c r="G1" s="88"/>
      <c r="H1" s="89"/>
      <c r="J1" s="87" t="s">
        <v>43</v>
      </c>
      <c r="K1" s="88"/>
      <c r="L1" s="88"/>
      <c r="M1" s="88"/>
      <c r="N1" s="88"/>
      <c r="O1" s="88"/>
      <c r="P1" s="88"/>
      <c r="Q1" s="89"/>
      <c r="S1" s="87" t="s">
        <v>44</v>
      </c>
      <c r="T1" s="88"/>
      <c r="U1" s="88"/>
      <c r="V1" s="88"/>
      <c r="W1" s="88"/>
      <c r="X1" s="88"/>
      <c r="Y1" s="88"/>
      <c r="Z1" s="89"/>
      <c r="AB1" s="87" t="s">
        <v>45</v>
      </c>
      <c r="AC1" s="88"/>
      <c r="AD1" s="88"/>
      <c r="AE1" s="88"/>
      <c r="AF1" s="88"/>
      <c r="AG1" s="88"/>
      <c r="AH1" s="88"/>
      <c r="AI1" s="89"/>
      <c r="AK1" s="87" t="s">
        <v>46</v>
      </c>
      <c r="AL1" s="88"/>
      <c r="AM1" s="88"/>
      <c r="AN1" s="88"/>
      <c r="AO1" s="88"/>
      <c r="AP1" s="88"/>
      <c r="AQ1" s="88"/>
      <c r="AR1" s="89"/>
    </row>
    <row r="2" spans="1:44" x14ac:dyDescent="0.25">
      <c r="A2" s="2" t="s">
        <v>0</v>
      </c>
      <c r="B2" s="57">
        <v>0.71810099999999999</v>
      </c>
      <c r="C2" s="3" t="s">
        <v>23</v>
      </c>
      <c r="D2" s="55" t="s">
        <v>21</v>
      </c>
      <c r="E2" s="4"/>
      <c r="F2" s="4"/>
      <c r="G2" s="5"/>
      <c r="H2" s="6"/>
      <c r="J2" s="2" t="s">
        <v>0</v>
      </c>
      <c r="K2" s="75">
        <f>B2</f>
        <v>0.71810099999999999</v>
      </c>
      <c r="L2" s="3" t="str">
        <f>C2</f>
        <v>USD/AUD</v>
      </c>
      <c r="M2" s="55" t="s">
        <v>21</v>
      </c>
      <c r="N2" s="4"/>
      <c r="O2" s="4"/>
      <c r="P2" s="5"/>
      <c r="Q2" s="6"/>
      <c r="S2" s="2" t="s">
        <v>0</v>
      </c>
      <c r="T2" s="75">
        <f>K2</f>
        <v>0.71810099999999999</v>
      </c>
      <c r="U2" s="3" t="str">
        <f>L2</f>
        <v>USD/AUD</v>
      </c>
      <c r="V2" s="55" t="s">
        <v>21</v>
      </c>
      <c r="W2" s="4"/>
      <c r="X2" s="4"/>
      <c r="Y2" s="5"/>
      <c r="Z2" s="6"/>
      <c r="AB2" s="2" t="s">
        <v>0</v>
      </c>
      <c r="AC2" s="75">
        <f>T2</f>
        <v>0.71810099999999999</v>
      </c>
      <c r="AD2" s="3" t="str">
        <f>U2</f>
        <v>USD/AUD</v>
      </c>
      <c r="AE2" s="55" t="s">
        <v>21</v>
      </c>
      <c r="AF2" s="4"/>
      <c r="AG2" s="4"/>
      <c r="AH2" s="5"/>
      <c r="AI2" s="6"/>
      <c r="AK2" s="2" t="s">
        <v>0</v>
      </c>
      <c r="AL2" s="75">
        <f>AC2</f>
        <v>0.71810099999999999</v>
      </c>
      <c r="AM2" s="3" t="str">
        <f>AD2</f>
        <v>USD/AUD</v>
      </c>
      <c r="AN2" s="55" t="s">
        <v>21</v>
      </c>
      <c r="AO2" s="4"/>
      <c r="AP2" s="4"/>
      <c r="AQ2" s="5"/>
      <c r="AR2" s="6"/>
    </row>
    <row r="3" spans="1:44" x14ac:dyDescent="0.25">
      <c r="A3" s="7"/>
      <c r="B3" s="8"/>
      <c r="C3" s="8"/>
      <c r="D3" s="9"/>
      <c r="E3" s="9"/>
      <c r="F3" s="8"/>
      <c r="G3" s="8"/>
      <c r="H3" s="10"/>
      <c r="J3" s="7"/>
      <c r="K3" s="8"/>
      <c r="L3" s="8"/>
      <c r="M3" s="9"/>
      <c r="N3" s="9"/>
      <c r="O3" s="8"/>
      <c r="P3" s="8"/>
      <c r="Q3" s="10"/>
      <c r="S3" s="7"/>
      <c r="T3" s="8"/>
      <c r="U3" s="8"/>
      <c r="V3" s="9"/>
      <c r="W3" s="9"/>
      <c r="X3" s="8"/>
      <c r="Y3" s="8"/>
      <c r="Z3" s="10"/>
      <c r="AB3" s="7"/>
      <c r="AC3" s="8"/>
      <c r="AD3" s="8"/>
      <c r="AE3" s="9"/>
      <c r="AF3" s="9"/>
      <c r="AG3" s="8"/>
      <c r="AH3" s="8"/>
      <c r="AI3" s="10"/>
      <c r="AK3" s="7"/>
      <c r="AL3" s="8"/>
      <c r="AM3" s="8"/>
      <c r="AN3" s="9"/>
      <c r="AO3" s="9"/>
      <c r="AP3" s="8"/>
      <c r="AQ3" s="8"/>
      <c r="AR3" s="10"/>
    </row>
    <row r="4" spans="1:44" x14ac:dyDescent="0.25">
      <c r="A4" s="11" t="s">
        <v>1</v>
      </c>
      <c r="B4" s="62" t="s">
        <v>22</v>
      </c>
      <c r="C4" s="8"/>
      <c r="D4" s="90"/>
      <c r="E4" s="90"/>
      <c r="F4" s="8"/>
      <c r="G4" s="8"/>
      <c r="H4" s="10"/>
      <c r="J4" s="11" t="s">
        <v>1</v>
      </c>
      <c r="K4" s="62" t="s">
        <v>22</v>
      </c>
      <c r="L4" s="8"/>
      <c r="M4" s="90"/>
      <c r="N4" s="90"/>
      <c r="O4" s="8"/>
      <c r="P4" s="8"/>
      <c r="Q4" s="10"/>
      <c r="S4" s="11" t="s">
        <v>1</v>
      </c>
      <c r="T4" s="62" t="s">
        <v>22</v>
      </c>
      <c r="U4" s="8"/>
      <c r="V4" s="90"/>
      <c r="W4" s="90"/>
      <c r="X4" s="8"/>
      <c r="Y4" s="8"/>
      <c r="Z4" s="10"/>
      <c r="AB4" s="11" t="s">
        <v>1</v>
      </c>
      <c r="AC4" s="62" t="s">
        <v>22</v>
      </c>
      <c r="AD4" s="8"/>
      <c r="AE4" s="90"/>
      <c r="AF4" s="90"/>
      <c r="AG4" s="8"/>
      <c r="AH4" s="8"/>
      <c r="AI4" s="10"/>
      <c r="AK4" s="11" t="s">
        <v>1</v>
      </c>
      <c r="AL4" s="62" t="s">
        <v>22</v>
      </c>
      <c r="AM4" s="8"/>
      <c r="AN4" s="90"/>
      <c r="AO4" s="90"/>
      <c r="AP4" s="8"/>
      <c r="AQ4" s="8"/>
      <c r="AR4" s="10"/>
    </row>
    <row r="5" spans="1:44" s="14" customFormat="1" ht="30" customHeight="1" x14ac:dyDescent="0.25">
      <c r="A5" s="84" t="s">
        <v>41</v>
      </c>
      <c r="B5" s="86"/>
      <c r="C5" s="12" t="str">
        <f>"Hourly Rate ("&amp;RIGHT($C$2,3)&amp;")"</f>
        <v>Hourly Rate (AUD)</v>
      </c>
      <c r="D5" s="12" t="s">
        <v>2</v>
      </c>
      <c r="E5" s="12" t="str">
        <f>"Annual Rate ("&amp;RIGHT($C$2,3)&amp;")"</f>
        <v>Annual Rate (AUD)</v>
      </c>
      <c r="F5" s="12" t="s">
        <v>47</v>
      </c>
      <c r="G5" s="12" t="str">
        <f>"Total ("&amp;RIGHT($C$2,3)&amp;")"</f>
        <v>Total (AUD)</v>
      </c>
      <c r="H5" s="13" t="s">
        <v>3</v>
      </c>
      <c r="J5" s="84" t="s">
        <v>41</v>
      </c>
      <c r="K5" s="86"/>
      <c r="L5" s="12" t="str">
        <f>"Hourly Rate ("&amp;RIGHT($C$2,3)&amp;")"</f>
        <v>Hourly Rate (AUD)</v>
      </c>
      <c r="M5" s="12" t="s">
        <v>2</v>
      </c>
      <c r="N5" s="12" t="str">
        <f>"Annual Rate ("&amp;RIGHT($C$2,3)&amp;")"</f>
        <v>Annual Rate (AUD)</v>
      </c>
      <c r="O5" s="12" t="s">
        <v>47</v>
      </c>
      <c r="P5" s="12" t="str">
        <f>"Total ("&amp;RIGHT($C$2,3)&amp;")"</f>
        <v>Total (AUD)</v>
      </c>
      <c r="Q5" s="13" t="s">
        <v>3</v>
      </c>
      <c r="S5" s="84" t="s">
        <v>41</v>
      </c>
      <c r="T5" s="86"/>
      <c r="U5" s="12" t="str">
        <f>"Hourly Rate ("&amp;RIGHT($C$2,3)&amp;")"</f>
        <v>Hourly Rate (AUD)</v>
      </c>
      <c r="V5" s="12" t="s">
        <v>2</v>
      </c>
      <c r="W5" s="12" t="str">
        <f>"Annual Rate ("&amp;RIGHT($C$2,3)&amp;")"</f>
        <v>Annual Rate (AUD)</v>
      </c>
      <c r="X5" s="12" t="s">
        <v>47</v>
      </c>
      <c r="Y5" s="12" t="str">
        <f>"Total ("&amp;RIGHT($C$2,3)&amp;")"</f>
        <v>Total (AUD)</v>
      </c>
      <c r="Z5" s="13" t="s">
        <v>3</v>
      </c>
      <c r="AB5" s="84" t="s">
        <v>41</v>
      </c>
      <c r="AC5" s="86"/>
      <c r="AD5" s="12" t="str">
        <f>"Hourly Rate ("&amp;RIGHT($C$2,3)&amp;")"</f>
        <v>Hourly Rate (AUD)</v>
      </c>
      <c r="AE5" s="12" t="s">
        <v>2</v>
      </c>
      <c r="AF5" s="12" t="str">
        <f>"Annual Rate ("&amp;RIGHT($C$2,3)&amp;")"</f>
        <v>Annual Rate (AUD)</v>
      </c>
      <c r="AG5" s="12" t="s">
        <v>47</v>
      </c>
      <c r="AH5" s="12" t="str">
        <f>"Total ("&amp;RIGHT($C$2,3)&amp;")"</f>
        <v>Total (AUD)</v>
      </c>
      <c r="AI5" s="13" t="s">
        <v>3</v>
      </c>
      <c r="AK5" s="84" t="s">
        <v>41</v>
      </c>
      <c r="AL5" s="86"/>
      <c r="AM5" s="12" t="str">
        <f>"Hourly Rate ("&amp;RIGHT($C$2,3)&amp;")"</f>
        <v>Hourly Rate (AUD)</v>
      </c>
      <c r="AN5" s="12" t="s">
        <v>2</v>
      </c>
      <c r="AO5" s="12" t="str">
        <f>"Annual Rate ("&amp;RIGHT($C$2,3)&amp;")"</f>
        <v>Annual Rate (AUD)</v>
      </c>
      <c r="AP5" s="12" t="s">
        <v>47</v>
      </c>
      <c r="AQ5" s="12" t="str">
        <f>"Total ("&amp;RIGHT($C$2,3)&amp;")"</f>
        <v>Total (AUD)</v>
      </c>
      <c r="AR5" s="13" t="s">
        <v>3</v>
      </c>
    </row>
    <row r="6" spans="1:44" x14ac:dyDescent="0.25">
      <c r="A6" s="91" t="s">
        <v>52</v>
      </c>
      <c r="B6" s="92"/>
      <c r="C6" s="79">
        <v>96.27</v>
      </c>
      <c r="D6" s="80">
        <v>220</v>
      </c>
      <c r="E6" s="63"/>
      <c r="F6" s="60"/>
      <c r="G6" s="63">
        <f>C6*D6</f>
        <v>21179.4</v>
      </c>
      <c r="H6" s="18">
        <f>G6*$B$2</f>
        <v>15208.95</v>
      </c>
      <c r="J6" s="91" t="s">
        <v>48</v>
      </c>
      <c r="K6" s="92"/>
      <c r="L6" s="68"/>
      <c r="M6" s="78"/>
      <c r="N6" s="68">
        <f>136243*1.02</f>
        <v>138967.85999999999</v>
      </c>
      <c r="O6" s="60">
        <v>0.15</v>
      </c>
      <c r="P6" s="63">
        <f>O6*N6</f>
        <v>20845.18</v>
      </c>
      <c r="Q6" s="18">
        <f>P6*$B$2</f>
        <v>14968.94</v>
      </c>
      <c r="S6" s="93"/>
      <c r="T6" s="94"/>
      <c r="U6" s="77"/>
      <c r="V6" s="54"/>
      <c r="W6" s="68"/>
      <c r="X6" s="56"/>
      <c r="Y6" s="63">
        <f>X6*W6</f>
        <v>0</v>
      </c>
      <c r="Z6" s="18">
        <f>Y6*$B$2</f>
        <v>0</v>
      </c>
      <c r="AB6" s="93"/>
      <c r="AC6" s="94"/>
      <c r="AD6" s="77"/>
      <c r="AE6" s="54"/>
      <c r="AF6" s="68"/>
      <c r="AG6" s="56"/>
      <c r="AH6" s="63">
        <f>AG6*AF6</f>
        <v>0</v>
      </c>
      <c r="AI6" s="18">
        <f>AH6*$B$2</f>
        <v>0</v>
      </c>
      <c r="AK6" s="93"/>
      <c r="AL6" s="94"/>
      <c r="AM6" s="77"/>
      <c r="AN6" s="54"/>
      <c r="AO6" s="68"/>
      <c r="AP6" s="56">
        <v>100</v>
      </c>
      <c r="AQ6" s="63">
        <f>AP6*AO6</f>
        <v>0</v>
      </c>
      <c r="AR6" s="18">
        <f>AQ6*$B$2</f>
        <v>0</v>
      </c>
    </row>
    <row r="7" spans="1:44" x14ac:dyDescent="0.25">
      <c r="A7" s="91" t="s">
        <v>53</v>
      </c>
      <c r="B7" s="92"/>
      <c r="C7" s="79">
        <v>96.27</v>
      </c>
      <c r="D7" s="80">
        <v>150</v>
      </c>
      <c r="E7" s="63"/>
      <c r="F7" s="60"/>
      <c r="G7" s="63">
        <f t="shared" ref="G7:G8" si="0">C7*D7</f>
        <v>14440.5</v>
      </c>
      <c r="H7" s="18">
        <f>G7*$B$2</f>
        <v>10369.74</v>
      </c>
      <c r="J7" s="91" t="s">
        <v>49</v>
      </c>
      <c r="K7" s="92"/>
      <c r="L7" s="68"/>
      <c r="M7" s="78"/>
      <c r="N7" s="68">
        <f>E7*1.02</f>
        <v>0</v>
      </c>
      <c r="O7" s="60">
        <v>0</v>
      </c>
      <c r="P7" s="63">
        <f t="shared" ref="P7:P10" si="1">O7*N7</f>
        <v>0</v>
      </c>
      <c r="Q7" s="18">
        <f>P7*$B$2</f>
        <v>0</v>
      </c>
      <c r="S7" s="93"/>
      <c r="T7" s="94"/>
      <c r="U7" s="77"/>
      <c r="V7" s="54"/>
      <c r="W7" s="68"/>
      <c r="X7" s="56"/>
      <c r="Y7" s="63">
        <f t="shared" ref="Y7:Y10" si="2">X7*W7</f>
        <v>0</v>
      </c>
      <c r="Z7" s="18">
        <f>Y7*$B$2</f>
        <v>0</v>
      </c>
      <c r="AB7" s="93"/>
      <c r="AC7" s="94"/>
      <c r="AD7" s="77"/>
      <c r="AE7" s="54"/>
      <c r="AF7" s="68"/>
      <c r="AG7" s="56"/>
      <c r="AH7" s="63">
        <f t="shared" ref="AH7:AH10" si="3">AG7*AF7</f>
        <v>0</v>
      </c>
      <c r="AI7" s="18">
        <f>AH7*$B$2</f>
        <v>0</v>
      </c>
      <c r="AK7" s="93"/>
      <c r="AL7" s="94"/>
      <c r="AM7" s="77"/>
      <c r="AN7" s="54"/>
      <c r="AO7" s="68"/>
      <c r="AP7" s="56">
        <v>2000</v>
      </c>
      <c r="AQ7" s="63">
        <f t="shared" ref="AQ7:AQ10" si="4">AP7*AO7</f>
        <v>0</v>
      </c>
      <c r="AR7" s="18">
        <f>AQ7*$B$2</f>
        <v>0</v>
      </c>
    </row>
    <row r="8" spans="1:44" x14ac:dyDescent="0.25">
      <c r="A8" s="91" t="s">
        <v>54</v>
      </c>
      <c r="B8" s="92"/>
      <c r="C8" s="81">
        <v>61.79</v>
      </c>
      <c r="D8" s="80">
        <v>233</v>
      </c>
      <c r="E8" s="63"/>
      <c r="F8" s="60"/>
      <c r="G8" s="63">
        <f t="shared" si="0"/>
        <v>14397.07</v>
      </c>
      <c r="H8" s="18">
        <f>G8*$B$2</f>
        <v>10338.549999999999</v>
      </c>
      <c r="J8" s="91" t="s">
        <v>50</v>
      </c>
      <c r="K8" s="92"/>
      <c r="L8" s="68"/>
      <c r="M8" s="78"/>
      <c r="N8" s="68">
        <f>1.02*E8</f>
        <v>0</v>
      </c>
      <c r="O8" s="60">
        <v>1</v>
      </c>
      <c r="P8" s="63">
        <f t="shared" si="1"/>
        <v>0</v>
      </c>
      <c r="Q8" s="18">
        <f>P8*$B$2</f>
        <v>0</v>
      </c>
      <c r="S8" s="93"/>
      <c r="T8" s="94"/>
      <c r="U8" s="77"/>
      <c r="V8" s="54"/>
      <c r="W8" s="68"/>
      <c r="X8" s="56"/>
      <c r="Y8" s="63">
        <f t="shared" si="2"/>
        <v>0</v>
      </c>
      <c r="Z8" s="18">
        <f>Y8*$B$2</f>
        <v>0</v>
      </c>
      <c r="AB8" s="93"/>
      <c r="AC8" s="94"/>
      <c r="AD8" s="77"/>
      <c r="AE8" s="54"/>
      <c r="AF8" s="68"/>
      <c r="AG8" s="56"/>
      <c r="AH8" s="63">
        <f t="shared" si="3"/>
        <v>0</v>
      </c>
      <c r="AI8" s="18">
        <f>AH8*$B$2</f>
        <v>0</v>
      </c>
      <c r="AK8" s="93"/>
      <c r="AL8" s="94"/>
      <c r="AM8" s="77"/>
      <c r="AN8" s="54"/>
      <c r="AO8" s="68"/>
      <c r="AP8" s="56">
        <v>1200</v>
      </c>
      <c r="AQ8" s="63">
        <f t="shared" si="4"/>
        <v>0</v>
      </c>
      <c r="AR8" s="18">
        <f>AQ8*$B$2</f>
        <v>0</v>
      </c>
    </row>
    <row r="9" spans="1:44" x14ac:dyDescent="0.25">
      <c r="A9" s="91" t="s">
        <v>55</v>
      </c>
      <c r="B9" s="92"/>
      <c r="C9" s="68"/>
      <c r="D9" s="60"/>
      <c r="E9" s="68">
        <v>32787.550000000003</v>
      </c>
      <c r="F9" s="60">
        <v>1</v>
      </c>
      <c r="G9" s="63">
        <f>E9*F9</f>
        <v>32787.550000000003</v>
      </c>
      <c r="H9" s="18">
        <f t="shared" ref="H9:H10" si="5">G9*$B$2</f>
        <v>23544.77</v>
      </c>
      <c r="J9" s="91" t="s">
        <v>51</v>
      </c>
      <c r="K9" s="92"/>
      <c r="L9" s="68">
        <f>N9/1820</f>
        <v>18.38</v>
      </c>
      <c r="M9" s="60">
        <v>50</v>
      </c>
      <c r="N9" s="68">
        <f>1.02*E9</f>
        <v>33443.300000000003</v>
      </c>
      <c r="O9" s="60"/>
      <c r="P9" s="63">
        <f t="shared" si="1"/>
        <v>0</v>
      </c>
      <c r="Q9" s="18">
        <f t="shared" ref="Q9:Q10" si="6">P9*$B$2</f>
        <v>0</v>
      </c>
      <c r="S9" s="93"/>
      <c r="T9" s="94"/>
      <c r="U9" s="77"/>
      <c r="V9" s="54"/>
      <c r="W9" s="68"/>
      <c r="X9" s="56"/>
      <c r="Y9" s="63">
        <f t="shared" si="2"/>
        <v>0</v>
      </c>
      <c r="Z9" s="18">
        <f t="shared" ref="Z9:Z10" si="7">Y9*$B$2</f>
        <v>0</v>
      </c>
      <c r="AB9" s="93"/>
      <c r="AC9" s="94"/>
      <c r="AD9" s="77"/>
      <c r="AE9" s="54"/>
      <c r="AF9" s="68"/>
      <c r="AG9" s="56"/>
      <c r="AH9" s="63">
        <f t="shared" si="3"/>
        <v>0</v>
      </c>
      <c r="AI9" s="18">
        <f t="shared" ref="AI9:AI10" si="8">AH9*$B$2</f>
        <v>0</v>
      </c>
      <c r="AK9" s="93"/>
      <c r="AL9" s="94"/>
      <c r="AM9" s="77"/>
      <c r="AN9" s="54"/>
      <c r="AO9" s="68"/>
      <c r="AP9" s="56"/>
      <c r="AQ9" s="63">
        <f t="shared" si="4"/>
        <v>0</v>
      </c>
      <c r="AR9" s="18">
        <f t="shared" ref="AR9:AR10" si="9">AQ9*$B$2</f>
        <v>0</v>
      </c>
    </row>
    <row r="10" spans="1:44" ht="15.75" thickBot="1" x14ac:dyDescent="0.3">
      <c r="A10" s="93" t="s">
        <v>56</v>
      </c>
      <c r="B10" s="94"/>
      <c r="C10" s="77"/>
      <c r="D10" s="52"/>
      <c r="E10" s="68">
        <v>32787.550000000003</v>
      </c>
      <c r="F10" s="56">
        <v>1</v>
      </c>
      <c r="G10" s="63">
        <f t="shared" ref="G10" si="10">F10*E10</f>
        <v>32787.550000000003</v>
      </c>
      <c r="H10" s="18">
        <f t="shared" si="5"/>
        <v>23544.77</v>
      </c>
      <c r="J10" s="93"/>
      <c r="K10" s="94"/>
      <c r="L10" s="77"/>
      <c r="M10" s="54"/>
      <c r="N10" s="68"/>
      <c r="O10" s="56"/>
      <c r="P10" s="63">
        <f t="shared" si="1"/>
        <v>0</v>
      </c>
      <c r="Q10" s="18">
        <f t="shared" si="6"/>
        <v>0</v>
      </c>
      <c r="S10" s="93"/>
      <c r="T10" s="94"/>
      <c r="U10" s="77"/>
      <c r="V10" s="54"/>
      <c r="W10" s="68"/>
      <c r="X10" s="56"/>
      <c r="Y10" s="63">
        <f t="shared" si="2"/>
        <v>0</v>
      </c>
      <c r="Z10" s="18">
        <f t="shared" si="7"/>
        <v>0</v>
      </c>
      <c r="AB10" s="93"/>
      <c r="AC10" s="94"/>
      <c r="AD10" s="77"/>
      <c r="AE10" s="54"/>
      <c r="AF10" s="68"/>
      <c r="AG10" s="56"/>
      <c r="AH10" s="63">
        <f t="shared" si="3"/>
        <v>0</v>
      </c>
      <c r="AI10" s="18">
        <f t="shared" si="8"/>
        <v>0</v>
      </c>
      <c r="AK10" s="93"/>
      <c r="AL10" s="94"/>
      <c r="AM10" s="77"/>
      <c r="AN10" s="54"/>
      <c r="AO10" s="68"/>
      <c r="AP10" s="56"/>
      <c r="AQ10" s="63">
        <f t="shared" si="4"/>
        <v>0</v>
      </c>
      <c r="AR10" s="18">
        <f t="shared" si="9"/>
        <v>0</v>
      </c>
    </row>
    <row r="11" spans="1:44" ht="15.75" thickBot="1" x14ac:dyDescent="0.3">
      <c r="A11" s="7"/>
      <c r="B11" s="8"/>
      <c r="C11" s="8"/>
      <c r="D11" s="9"/>
      <c r="E11" s="9"/>
      <c r="F11" s="50"/>
      <c r="G11" s="8"/>
      <c r="H11" s="19">
        <f>SUM(H6:H10)</f>
        <v>83006.78</v>
      </c>
      <c r="I11" s="20"/>
      <c r="J11" s="7"/>
      <c r="K11" s="8"/>
      <c r="L11" s="8"/>
      <c r="M11" s="9"/>
      <c r="N11" s="9"/>
      <c r="O11" s="50"/>
      <c r="P11" s="8"/>
      <c r="Q11" s="19">
        <f>SUM(Q6:Q10)</f>
        <v>14968.94</v>
      </c>
      <c r="R11" s="20"/>
      <c r="S11" s="7"/>
      <c r="T11" s="8"/>
      <c r="U11" s="8"/>
      <c r="V11" s="9"/>
      <c r="W11" s="9"/>
      <c r="X11" s="50"/>
      <c r="Y11" s="8"/>
      <c r="Z11" s="19">
        <f>SUM(Z6:Z10)</f>
        <v>0</v>
      </c>
      <c r="AA11" s="20"/>
      <c r="AB11" s="7"/>
      <c r="AC11" s="8"/>
      <c r="AD11" s="8"/>
      <c r="AE11" s="9"/>
      <c r="AF11" s="9"/>
      <c r="AG11" s="50"/>
      <c r="AH11" s="8"/>
      <c r="AI11" s="19">
        <f>SUM(AI6:AI10)</f>
        <v>0</v>
      </c>
      <c r="AJ11" s="20"/>
      <c r="AK11" s="7"/>
      <c r="AL11" s="8"/>
      <c r="AM11" s="8"/>
      <c r="AN11" s="9"/>
      <c r="AO11" s="9"/>
      <c r="AP11" s="50"/>
      <c r="AQ11" s="8"/>
      <c r="AR11" s="19">
        <f>SUM(AR6:AR10)</f>
        <v>0</v>
      </c>
    </row>
    <row r="12" spans="1:44" x14ac:dyDescent="0.25">
      <c r="A12" s="21" t="s">
        <v>20</v>
      </c>
      <c r="B12" s="62" t="s">
        <v>22</v>
      </c>
      <c r="C12" s="8"/>
      <c r="D12" s="9"/>
      <c r="E12" s="9"/>
      <c r="F12" s="50"/>
      <c r="G12" s="8"/>
      <c r="H12" s="23"/>
      <c r="I12" s="20"/>
      <c r="J12" s="21" t="s">
        <v>20</v>
      </c>
      <c r="K12" s="62" t="s">
        <v>22</v>
      </c>
      <c r="L12" s="8"/>
      <c r="M12" s="9"/>
      <c r="N12" s="9"/>
      <c r="O12" s="50"/>
      <c r="P12" s="8"/>
      <c r="Q12" s="23"/>
      <c r="R12" s="20"/>
      <c r="S12" s="21" t="s">
        <v>20</v>
      </c>
      <c r="T12" s="62" t="s">
        <v>22</v>
      </c>
      <c r="U12" s="8"/>
      <c r="V12" s="9"/>
      <c r="W12" s="9"/>
      <c r="X12" s="50"/>
      <c r="Y12" s="8"/>
      <c r="Z12" s="23"/>
      <c r="AA12" s="20"/>
      <c r="AB12" s="21" t="s">
        <v>20</v>
      </c>
      <c r="AC12" s="62" t="s">
        <v>22</v>
      </c>
      <c r="AD12" s="8"/>
      <c r="AE12" s="9"/>
      <c r="AF12" s="9"/>
      <c r="AG12" s="50"/>
      <c r="AH12" s="8"/>
      <c r="AI12" s="23"/>
      <c r="AJ12" s="20"/>
      <c r="AK12" s="21" t="s">
        <v>20</v>
      </c>
      <c r="AL12" s="62" t="s">
        <v>22</v>
      </c>
      <c r="AM12" s="8"/>
      <c r="AN12" s="9"/>
      <c r="AO12" s="9"/>
      <c r="AP12" s="50"/>
      <c r="AQ12" s="8"/>
      <c r="AR12" s="23"/>
    </row>
    <row r="13" spans="1:44" ht="15" customHeight="1" x14ac:dyDescent="0.25">
      <c r="A13" s="84" t="s">
        <v>41</v>
      </c>
      <c r="B13" s="85"/>
      <c r="C13" s="86"/>
      <c r="D13" s="12" t="str">
        <f>"Cost ("&amp;LEFT($C$2,3)&amp;")"</f>
        <v>Cost (USD)</v>
      </c>
      <c r="E13" s="12" t="str">
        <f>"Cost ("&amp;RIGHT($C$2,3)&amp;")"</f>
        <v>Cost (AUD)</v>
      </c>
      <c r="F13" s="51" t="s">
        <v>5</v>
      </c>
      <c r="G13" s="12" t="str">
        <f>"Total ("&amp;RIGHT($C$2,3)&amp;")"</f>
        <v>Total (AUD)</v>
      </c>
      <c r="H13" s="13" t="s">
        <v>3</v>
      </c>
      <c r="I13" s="20"/>
      <c r="J13" s="84" t="s">
        <v>41</v>
      </c>
      <c r="K13" s="85"/>
      <c r="L13" s="86"/>
      <c r="M13" s="12" t="str">
        <f>"Cost ("&amp;LEFT($C$2,3)&amp;")"</f>
        <v>Cost (USD)</v>
      </c>
      <c r="N13" s="12" t="str">
        <f>"Cost ("&amp;RIGHT($C$2,3)&amp;")"</f>
        <v>Cost (AUD)</v>
      </c>
      <c r="O13" s="51" t="s">
        <v>5</v>
      </c>
      <c r="P13" s="12" t="str">
        <f>"Total ("&amp;RIGHT($C$2,3)&amp;")"</f>
        <v>Total (AUD)</v>
      </c>
      <c r="Q13" s="13" t="s">
        <v>3</v>
      </c>
      <c r="R13" s="20"/>
      <c r="S13" s="84" t="s">
        <v>41</v>
      </c>
      <c r="T13" s="85"/>
      <c r="U13" s="86"/>
      <c r="V13" s="12" t="str">
        <f>"Cost ("&amp;LEFT($C$2,3)&amp;")"</f>
        <v>Cost (USD)</v>
      </c>
      <c r="W13" s="12" t="str">
        <f>"Cost ("&amp;RIGHT($C$2,3)&amp;")"</f>
        <v>Cost (AUD)</v>
      </c>
      <c r="X13" s="51" t="s">
        <v>5</v>
      </c>
      <c r="Y13" s="12" t="str">
        <f>"Total ("&amp;RIGHT($C$2,3)&amp;")"</f>
        <v>Total (AUD)</v>
      </c>
      <c r="Z13" s="13" t="s">
        <v>3</v>
      </c>
      <c r="AA13" s="20"/>
      <c r="AB13" s="84" t="s">
        <v>41</v>
      </c>
      <c r="AC13" s="85"/>
      <c r="AD13" s="86"/>
      <c r="AE13" s="12" t="str">
        <f>"Cost ("&amp;LEFT($C$2,3)&amp;")"</f>
        <v>Cost (USD)</v>
      </c>
      <c r="AF13" s="12" t="str">
        <f>"Cost ("&amp;RIGHT($C$2,3)&amp;")"</f>
        <v>Cost (AUD)</v>
      </c>
      <c r="AG13" s="51" t="s">
        <v>5</v>
      </c>
      <c r="AH13" s="12" t="str">
        <f>"Total ("&amp;RIGHT($C$2,3)&amp;")"</f>
        <v>Total (AUD)</v>
      </c>
      <c r="AI13" s="13" t="s">
        <v>3</v>
      </c>
      <c r="AJ13" s="20"/>
      <c r="AK13" s="84" t="s">
        <v>41</v>
      </c>
      <c r="AL13" s="85"/>
      <c r="AM13" s="86"/>
      <c r="AN13" s="12" t="str">
        <f>"Cost ("&amp;LEFT($C$2,3)&amp;")"</f>
        <v>Cost (USD)</v>
      </c>
      <c r="AO13" s="12" t="str">
        <f>"Cost ("&amp;RIGHT($C$2,3)&amp;")"</f>
        <v>Cost (AUD)</v>
      </c>
      <c r="AP13" s="51" t="s">
        <v>5</v>
      </c>
      <c r="AQ13" s="12" t="str">
        <f>"Total ("&amp;RIGHT($C$2,3)&amp;")"</f>
        <v>Total (AUD)</v>
      </c>
      <c r="AR13" s="13" t="s">
        <v>3</v>
      </c>
    </row>
    <row r="14" spans="1:44" ht="15.75" thickBot="1" x14ac:dyDescent="0.3">
      <c r="A14" s="93" t="s">
        <v>19</v>
      </c>
      <c r="B14" s="94"/>
      <c r="C14" s="95"/>
      <c r="D14" s="16"/>
      <c r="E14" s="76">
        <f>SUM(G6:G10)</f>
        <v>115592.07</v>
      </c>
      <c r="F14" s="58">
        <v>0</v>
      </c>
      <c r="G14" s="64">
        <f>F14*E14</f>
        <v>0</v>
      </c>
      <c r="H14" s="46">
        <f>G14*$B$2</f>
        <v>0</v>
      </c>
      <c r="I14" s="20"/>
      <c r="J14" s="93" t="s">
        <v>19</v>
      </c>
      <c r="K14" s="94"/>
      <c r="L14" s="95"/>
      <c r="M14" s="16"/>
      <c r="N14" s="76">
        <f>SUM(P6:P10)</f>
        <v>20845.18</v>
      </c>
      <c r="O14" s="58">
        <f>(0.75+1.42+3+2+17+7.02)/100</f>
        <v>0.31190000000000001</v>
      </c>
      <c r="P14" s="64">
        <f>O14*N14</f>
        <v>6501.61</v>
      </c>
      <c r="Q14" s="46">
        <f>P14*$B$2</f>
        <v>4668.8100000000004</v>
      </c>
      <c r="R14" s="20"/>
      <c r="S14" s="93"/>
      <c r="T14" s="94"/>
      <c r="U14" s="95"/>
      <c r="V14" s="16"/>
      <c r="W14" s="76"/>
      <c r="X14" s="58"/>
      <c r="Y14" s="64">
        <f>X14*W14</f>
        <v>0</v>
      </c>
      <c r="Z14" s="46">
        <f>Y14*$B$2</f>
        <v>0</v>
      </c>
      <c r="AA14" s="20"/>
      <c r="AB14" s="93"/>
      <c r="AC14" s="94"/>
      <c r="AD14" s="95"/>
      <c r="AE14" s="16"/>
      <c r="AF14" s="76">
        <f>SUM(AH6:AH8)</f>
        <v>0</v>
      </c>
      <c r="AG14" s="58"/>
      <c r="AH14" s="64">
        <f>AG14*AF14</f>
        <v>0</v>
      </c>
      <c r="AI14" s="46">
        <f>AH14*$B$2</f>
        <v>0</v>
      </c>
      <c r="AJ14" s="20"/>
      <c r="AK14" s="93"/>
      <c r="AL14" s="94"/>
      <c r="AM14" s="95"/>
      <c r="AN14" s="16"/>
      <c r="AO14" s="76">
        <f>SUM(AQ6:AQ8)</f>
        <v>0</v>
      </c>
      <c r="AP14" s="58"/>
      <c r="AQ14" s="64">
        <f>AP14*AO14</f>
        <v>0</v>
      </c>
      <c r="AR14" s="46">
        <f>AQ14*$B$2</f>
        <v>0</v>
      </c>
    </row>
    <row r="15" spans="1:44" ht="15.75" thickBot="1" x14ac:dyDescent="0.3">
      <c r="A15" s="44"/>
      <c r="B15" s="45"/>
      <c r="C15" s="45"/>
      <c r="D15" s="9"/>
      <c r="E15" s="9"/>
      <c r="F15" s="50"/>
      <c r="G15" s="8"/>
      <c r="H15" s="19">
        <f>SUM(H14)</f>
        <v>0</v>
      </c>
      <c r="I15" s="20"/>
      <c r="J15" s="44"/>
      <c r="K15" s="45"/>
      <c r="L15" s="45"/>
      <c r="M15" s="9"/>
      <c r="N15" s="9"/>
      <c r="O15" s="50"/>
      <c r="P15" s="8"/>
      <c r="Q15" s="19">
        <f>SUM(Q14)</f>
        <v>4668.8100000000004</v>
      </c>
      <c r="R15" s="20"/>
      <c r="S15" s="44"/>
      <c r="T15" s="45"/>
      <c r="U15" s="45"/>
      <c r="V15" s="9"/>
      <c r="W15" s="9"/>
      <c r="X15" s="50"/>
      <c r="Y15" s="8"/>
      <c r="Z15" s="19">
        <f>SUM(Z14)</f>
        <v>0</v>
      </c>
      <c r="AA15" s="20"/>
      <c r="AB15" s="44"/>
      <c r="AC15" s="45"/>
      <c r="AD15" s="45"/>
      <c r="AE15" s="9"/>
      <c r="AF15" s="9"/>
      <c r="AG15" s="50"/>
      <c r="AH15" s="8"/>
      <c r="AI15" s="19">
        <f>SUM(AI14)</f>
        <v>0</v>
      </c>
      <c r="AJ15" s="20"/>
      <c r="AK15" s="44"/>
      <c r="AL15" s="45"/>
      <c r="AM15" s="45"/>
      <c r="AN15" s="9"/>
      <c r="AO15" s="9"/>
      <c r="AP15" s="50"/>
      <c r="AQ15" s="8"/>
      <c r="AR15" s="19">
        <f>SUM(AR14)</f>
        <v>0</v>
      </c>
    </row>
    <row r="16" spans="1:44" x14ac:dyDescent="0.25">
      <c r="A16" s="21" t="s">
        <v>27</v>
      </c>
      <c r="B16" s="59" t="s">
        <v>24</v>
      </c>
      <c r="C16" s="8"/>
      <c r="D16" s="9"/>
      <c r="E16" s="9"/>
      <c r="F16" s="50"/>
      <c r="G16" s="8"/>
      <c r="H16" s="10"/>
      <c r="I16" s="20"/>
      <c r="J16" s="21" t="s">
        <v>27</v>
      </c>
      <c r="K16" s="59" t="s">
        <v>24</v>
      </c>
      <c r="L16" s="8"/>
      <c r="M16" s="9"/>
      <c r="N16" s="9"/>
      <c r="O16" s="50"/>
      <c r="P16" s="8"/>
      <c r="Q16" s="10"/>
      <c r="R16" s="20"/>
      <c r="S16" s="21" t="s">
        <v>27</v>
      </c>
      <c r="T16" s="59" t="s">
        <v>24</v>
      </c>
      <c r="U16" s="8"/>
      <c r="V16" s="9"/>
      <c r="W16" s="9"/>
      <c r="X16" s="50"/>
      <c r="Y16" s="8"/>
      <c r="Z16" s="10"/>
      <c r="AA16" s="20"/>
      <c r="AB16" s="21" t="s">
        <v>27</v>
      </c>
      <c r="AC16" s="59" t="s">
        <v>24</v>
      </c>
      <c r="AD16" s="8"/>
      <c r="AE16" s="9"/>
      <c r="AF16" s="9"/>
      <c r="AG16" s="50"/>
      <c r="AH16" s="8"/>
      <c r="AI16" s="10"/>
      <c r="AJ16" s="20"/>
      <c r="AK16" s="21" t="s">
        <v>27</v>
      </c>
      <c r="AL16" s="59" t="s">
        <v>24</v>
      </c>
      <c r="AM16" s="8"/>
      <c r="AN16" s="9"/>
      <c r="AO16" s="9"/>
      <c r="AP16" s="50"/>
      <c r="AQ16" s="8"/>
      <c r="AR16" s="10"/>
    </row>
    <row r="17" spans="1:44" ht="15" customHeight="1" x14ac:dyDescent="0.25">
      <c r="A17" s="84" t="s">
        <v>41</v>
      </c>
      <c r="B17" s="85"/>
      <c r="C17" s="86"/>
      <c r="D17" s="12" t="str">
        <f>"Cost ("&amp;LEFT($C$2,3)&amp;")"</f>
        <v>Cost (USD)</v>
      </c>
      <c r="E17" s="12" t="str">
        <f>"Cost ("&amp;RIGHT($C$2,3)&amp;")"</f>
        <v>Cost (AUD)</v>
      </c>
      <c r="F17" s="51" t="s">
        <v>29</v>
      </c>
      <c r="G17" s="12" t="str">
        <f>"Total ("&amp;RIGHT($C$2,3)&amp;")"</f>
        <v>Total (AUD)</v>
      </c>
      <c r="H17" s="13" t="s">
        <v>3</v>
      </c>
      <c r="I17" s="20"/>
      <c r="J17" s="84" t="s">
        <v>41</v>
      </c>
      <c r="K17" s="85"/>
      <c r="L17" s="86"/>
      <c r="M17" s="12" t="str">
        <f>"Cost ("&amp;LEFT($C$2,3)&amp;")"</f>
        <v>Cost (USD)</v>
      </c>
      <c r="N17" s="12" t="str">
        <f>"Cost ("&amp;RIGHT($C$2,3)&amp;")"</f>
        <v>Cost (AUD)</v>
      </c>
      <c r="O17" s="51" t="s">
        <v>29</v>
      </c>
      <c r="P17" s="12" t="str">
        <f>"Total ("&amp;RIGHT($C$2,3)&amp;")"</f>
        <v>Total (AUD)</v>
      </c>
      <c r="Q17" s="13" t="s">
        <v>3</v>
      </c>
      <c r="R17" s="20"/>
      <c r="S17" s="84" t="s">
        <v>41</v>
      </c>
      <c r="T17" s="85"/>
      <c r="U17" s="86"/>
      <c r="V17" s="12" t="str">
        <f>"Cost ("&amp;LEFT($C$2,3)&amp;")"</f>
        <v>Cost (USD)</v>
      </c>
      <c r="W17" s="12" t="str">
        <f>"Cost ("&amp;RIGHT($C$2,3)&amp;")"</f>
        <v>Cost (AUD)</v>
      </c>
      <c r="X17" s="51" t="s">
        <v>29</v>
      </c>
      <c r="Y17" s="12" t="str">
        <f>"Total ("&amp;RIGHT($C$2,3)&amp;")"</f>
        <v>Total (AUD)</v>
      </c>
      <c r="Z17" s="13" t="s">
        <v>3</v>
      </c>
      <c r="AA17" s="20"/>
      <c r="AB17" s="84" t="s">
        <v>41</v>
      </c>
      <c r="AC17" s="85"/>
      <c r="AD17" s="86"/>
      <c r="AE17" s="12" t="str">
        <f>"Cost ("&amp;LEFT($C$2,3)&amp;")"</f>
        <v>Cost (USD)</v>
      </c>
      <c r="AF17" s="12" t="str">
        <f>"Cost ("&amp;RIGHT($C$2,3)&amp;")"</f>
        <v>Cost (AUD)</v>
      </c>
      <c r="AG17" s="51" t="s">
        <v>29</v>
      </c>
      <c r="AH17" s="12" t="str">
        <f>"Total ("&amp;RIGHT($C$2,3)&amp;")"</f>
        <v>Total (AUD)</v>
      </c>
      <c r="AI17" s="13" t="s">
        <v>3</v>
      </c>
      <c r="AJ17" s="20"/>
      <c r="AK17" s="84" t="s">
        <v>41</v>
      </c>
      <c r="AL17" s="85"/>
      <c r="AM17" s="86"/>
      <c r="AN17" s="12" t="str">
        <f>"Cost ("&amp;LEFT($C$2,3)&amp;")"</f>
        <v>Cost (USD)</v>
      </c>
      <c r="AO17" s="12" t="str">
        <f>"Cost ("&amp;RIGHT($C$2,3)&amp;")"</f>
        <v>Cost (AUD)</v>
      </c>
      <c r="AP17" s="51" t="s">
        <v>29</v>
      </c>
      <c r="AQ17" s="12" t="str">
        <f>"Total ("&amp;RIGHT($C$2,3)&amp;")"</f>
        <v>Total (AUD)</v>
      </c>
      <c r="AR17" s="13" t="s">
        <v>3</v>
      </c>
    </row>
    <row r="18" spans="1:44" x14ac:dyDescent="0.25">
      <c r="A18" s="96" t="s">
        <v>57</v>
      </c>
      <c r="B18" s="97"/>
      <c r="C18" s="98"/>
      <c r="D18" s="22"/>
      <c r="E18" s="69">
        <f>5668/5</f>
        <v>1133.5999999999999</v>
      </c>
      <c r="F18" s="56">
        <v>5</v>
      </c>
      <c r="G18" s="65">
        <f>F18*E18</f>
        <v>5668</v>
      </c>
      <c r="H18" s="18">
        <f>G18*$B$2</f>
        <v>4070.2</v>
      </c>
      <c r="I18" s="20"/>
      <c r="J18" s="96" t="s">
        <v>28</v>
      </c>
      <c r="K18" s="97"/>
      <c r="L18" s="98"/>
      <c r="M18" s="22"/>
      <c r="N18" s="69">
        <v>6000</v>
      </c>
      <c r="O18" s="56">
        <v>2</v>
      </c>
      <c r="P18" s="65">
        <f>O18*N18</f>
        <v>12000</v>
      </c>
      <c r="Q18" s="18">
        <f>P18*$B$2</f>
        <v>8617.2099999999991</v>
      </c>
      <c r="R18" s="20"/>
      <c r="S18" s="96"/>
      <c r="T18" s="97"/>
      <c r="U18" s="98"/>
      <c r="V18" s="22"/>
      <c r="W18" s="69"/>
      <c r="X18" s="56"/>
      <c r="Y18" s="65">
        <f>X18*W18</f>
        <v>0</v>
      </c>
      <c r="Z18" s="18">
        <f>Y18*$B$2</f>
        <v>0</v>
      </c>
      <c r="AA18" s="20"/>
      <c r="AB18" s="96"/>
      <c r="AC18" s="97"/>
      <c r="AD18" s="98"/>
      <c r="AE18" s="22"/>
      <c r="AF18" s="69"/>
      <c r="AG18" s="56"/>
      <c r="AH18" s="65">
        <f>AG18*AF18</f>
        <v>0</v>
      </c>
      <c r="AI18" s="18">
        <f>AH18*$B$2</f>
        <v>0</v>
      </c>
      <c r="AJ18" s="20"/>
      <c r="AK18" s="96"/>
      <c r="AL18" s="97"/>
      <c r="AM18" s="98"/>
      <c r="AN18" s="22"/>
      <c r="AO18" s="69"/>
      <c r="AP18" s="56"/>
      <c r="AQ18" s="65">
        <f>AP18*AO18</f>
        <v>0</v>
      </c>
      <c r="AR18" s="18">
        <f>AQ18*$B$2</f>
        <v>0</v>
      </c>
    </row>
    <row r="19" spans="1:44" x14ac:dyDescent="0.25">
      <c r="A19" s="96"/>
      <c r="B19" s="97"/>
      <c r="C19" s="98"/>
      <c r="D19" s="22"/>
      <c r="E19" s="69"/>
      <c r="F19" s="56"/>
      <c r="G19" s="65">
        <f>F19*E19</f>
        <v>0</v>
      </c>
      <c r="H19" s="18">
        <f>G19*$B$2</f>
        <v>0</v>
      </c>
      <c r="I19" s="20"/>
      <c r="J19" s="96"/>
      <c r="K19" s="97"/>
      <c r="L19" s="98"/>
      <c r="M19" s="22"/>
      <c r="N19" s="69"/>
      <c r="O19" s="56"/>
      <c r="P19" s="65">
        <f>O19*N19</f>
        <v>0</v>
      </c>
      <c r="Q19" s="18">
        <f>P19*$B$2</f>
        <v>0</v>
      </c>
      <c r="R19" s="20"/>
      <c r="S19" s="96"/>
      <c r="T19" s="97"/>
      <c r="U19" s="98"/>
      <c r="V19" s="22"/>
      <c r="W19" s="69"/>
      <c r="X19" s="56"/>
      <c r="Y19" s="65">
        <f>X19*W19</f>
        <v>0</v>
      </c>
      <c r="Z19" s="18">
        <f>Y19*$B$2</f>
        <v>0</v>
      </c>
      <c r="AA19" s="20"/>
      <c r="AB19" s="96"/>
      <c r="AC19" s="97"/>
      <c r="AD19" s="98"/>
      <c r="AE19" s="22"/>
      <c r="AF19" s="69"/>
      <c r="AG19" s="56"/>
      <c r="AH19" s="65">
        <f>AG19*AF19</f>
        <v>0</v>
      </c>
      <c r="AI19" s="18">
        <f>AH19*$B$2</f>
        <v>0</v>
      </c>
      <c r="AJ19" s="20"/>
      <c r="AK19" s="96"/>
      <c r="AL19" s="97"/>
      <c r="AM19" s="98"/>
      <c r="AN19" s="22"/>
      <c r="AO19" s="69"/>
      <c r="AP19" s="56"/>
      <c r="AQ19" s="65">
        <f>AP19*AO19</f>
        <v>0</v>
      </c>
      <c r="AR19" s="18">
        <f>AQ19*$B$2</f>
        <v>0</v>
      </c>
    </row>
    <row r="20" spans="1:44" ht="15.75" thickBot="1" x14ac:dyDescent="0.3">
      <c r="A20" s="96"/>
      <c r="B20" s="97"/>
      <c r="C20" s="98"/>
      <c r="D20" s="22"/>
      <c r="E20" s="69"/>
      <c r="F20" s="60"/>
      <c r="G20" s="65">
        <f>F20*E20</f>
        <v>0</v>
      </c>
      <c r="H20" s="18">
        <f>G20*$B$2</f>
        <v>0</v>
      </c>
      <c r="I20" s="20"/>
      <c r="J20" s="96"/>
      <c r="K20" s="97"/>
      <c r="L20" s="98"/>
      <c r="M20" s="22"/>
      <c r="N20" s="69"/>
      <c r="O20" s="60"/>
      <c r="P20" s="65">
        <f>O20*N20</f>
        <v>0</v>
      </c>
      <c r="Q20" s="18">
        <f>P20*$B$2</f>
        <v>0</v>
      </c>
      <c r="R20" s="20"/>
      <c r="S20" s="96"/>
      <c r="T20" s="97"/>
      <c r="U20" s="98"/>
      <c r="V20" s="22"/>
      <c r="W20" s="69"/>
      <c r="X20" s="60"/>
      <c r="Y20" s="65">
        <f>X20*W20</f>
        <v>0</v>
      </c>
      <c r="Z20" s="18">
        <f>Y20*$B$2</f>
        <v>0</v>
      </c>
      <c r="AA20" s="20"/>
      <c r="AB20" s="96"/>
      <c r="AC20" s="97"/>
      <c r="AD20" s="98"/>
      <c r="AE20" s="22"/>
      <c r="AF20" s="69"/>
      <c r="AG20" s="60"/>
      <c r="AH20" s="65">
        <f>AG20*AF20</f>
        <v>0</v>
      </c>
      <c r="AI20" s="18">
        <f>AH20*$B$2</f>
        <v>0</v>
      </c>
      <c r="AJ20" s="20"/>
      <c r="AK20" s="96"/>
      <c r="AL20" s="97"/>
      <c r="AM20" s="98"/>
      <c r="AN20" s="22"/>
      <c r="AO20" s="69"/>
      <c r="AP20" s="60"/>
      <c r="AQ20" s="65">
        <f>AP20*AO20</f>
        <v>0</v>
      </c>
      <c r="AR20" s="18">
        <f>AQ20*$B$2</f>
        <v>0</v>
      </c>
    </row>
    <row r="21" spans="1:44" ht="15.75" thickBot="1" x14ac:dyDescent="0.3">
      <c r="A21" s="7"/>
      <c r="B21" s="8"/>
      <c r="C21" s="8"/>
      <c r="D21" s="9"/>
      <c r="E21" s="9"/>
      <c r="F21" s="8"/>
      <c r="G21" s="8"/>
      <c r="H21" s="43">
        <f>SUM(H18:H20)</f>
        <v>4070.2</v>
      </c>
      <c r="I21" s="20"/>
      <c r="J21" s="7"/>
      <c r="K21" s="8"/>
      <c r="L21" s="8"/>
      <c r="M21" s="9"/>
      <c r="N21" s="9"/>
      <c r="O21" s="8"/>
      <c r="P21" s="8"/>
      <c r="Q21" s="43">
        <f>SUM(Q18:Q20)</f>
        <v>8617.2099999999991</v>
      </c>
      <c r="R21" s="20"/>
      <c r="S21" s="7"/>
      <c r="T21" s="8"/>
      <c r="U21" s="8"/>
      <c r="V21" s="9"/>
      <c r="W21" s="9"/>
      <c r="X21" s="8"/>
      <c r="Y21" s="8"/>
      <c r="Z21" s="43">
        <f>SUM(Z18:Z20)</f>
        <v>0</v>
      </c>
      <c r="AA21" s="20"/>
      <c r="AB21" s="7"/>
      <c r="AC21" s="8"/>
      <c r="AD21" s="8"/>
      <c r="AE21" s="9"/>
      <c r="AF21" s="9"/>
      <c r="AG21" s="8"/>
      <c r="AH21" s="8"/>
      <c r="AI21" s="43">
        <f>SUM(AI18:AI20)</f>
        <v>0</v>
      </c>
      <c r="AJ21" s="20"/>
      <c r="AK21" s="7"/>
      <c r="AL21" s="8"/>
      <c r="AM21" s="8"/>
      <c r="AN21" s="9"/>
      <c r="AO21" s="9"/>
      <c r="AP21" s="8"/>
      <c r="AQ21" s="8"/>
      <c r="AR21" s="43">
        <f>SUM(AR18:AR20)</f>
        <v>0</v>
      </c>
    </row>
    <row r="22" spans="1:44" x14ac:dyDescent="0.25">
      <c r="A22" s="21" t="s">
        <v>31</v>
      </c>
      <c r="B22" s="59" t="s">
        <v>25</v>
      </c>
      <c r="C22" s="8"/>
      <c r="D22" s="9"/>
      <c r="E22" s="9"/>
      <c r="F22" s="50"/>
      <c r="G22" s="8"/>
      <c r="H22" s="10"/>
      <c r="J22" s="21" t="s">
        <v>31</v>
      </c>
      <c r="K22" s="59" t="s">
        <v>25</v>
      </c>
      <c r="L22" s="8"/>
      <c r="M22" s="9"/>
      <c r="N22" s="9"/>
      <c r="O22" s="50"/>
      <c r="P22" s="8"/>
      <c r="Q22" s="10"/>
      <c r="S22" s="21" t="s">
        <v>31</v>
      </c>
      <c r="T22" s="59" t="s">
        <v>25</v>
      </c>
      <c r="U22" s="8"/>
      <c r="V22" s="9"/>
      <c r="W22" s="9"/>
      <c r="X22" s="50"/>
      <c r="Y22" s="8"/>
      <c r="Z22" s="10"/>
      <c r="AB22" s="21" t="s">
        <v>31</v>
      </c>
      <c r="AC22" s="59" t="s">
        <v>25</v>
      </c>
      <c r="AD22" s="8"/>
      <c r="AE22" s="9"/>
      <c r="AF22" s="9"/>
      <c r="AG22" s="50"/>
      <c r="AH22" s="8"/>
      <c r="AI22" s="10"/>
      <c r="AK22" s="21" t="s">
        <v>31</v>
      </c>
      <c r="AL22" s="59" t="s">
        <v>25</v>
      </c>
      <c r="AM22" s="8"/>
      <c r="AN22" s="9"/>
      <c r="AO22" s="9"/>
      <c r="AP22" s="50"/>
      <c r="AQ22" s="8"/>
      <c r="AR22" s="10"/>
    </row>
    <row r="23" spans="1:44" ht="15" customHeight="1" x14ac:dyDescent="0.25">
      <c r="A23" s="84" t="s">
        <v>41</v>
      </c>
      <c r="B23" s="85"/>
      <c r="C23" s="86"/>
      <c r="D23" s="12" t="str">
        <f>"Cost ("&amp;LEFT($C$2,3)&amp;")"</f>
        <v>Cost (USD)</v>
      </c>
      <c r="E23" s="12" t="str">
        <f>"Cost ("&amp;RIGHT($C$2,3)&amp;")"</f>
        <v>Cost (AUD)</v>
      </c>
      <c r="F23" s="51" t="s">
        <v>29</v>
      </c>
      <c r="G23" s="12" t="str">
        <f>"Total ("&amp;RIGHT($C$2,3)&amp;")"</f>
        <v>Total (AUD)</v>
      </c>
      <c r="H23" s="13" t="s">
        <v>3</v>
      </c>
      <c r="J23" s="84" t="s">
        <v>41</v>
      </c>
      <c r="K23" s="85"/>
      <c r="L23" s="86"/>
      <c r="M23" s="12" t="str">
        <f>"Cost ("&amp;LEFT($C$2,3)&amp;")"</f>
        <v>Cost (USD)</v>
      </c>
      <c r="N23" s="12" t="str">
        <f>"Cost ("&amp;RIGHT($C$2,3)&amp;")"</f>
        <v>Cost (AUD)</v>
      </c>
      <c r="O23" s="51" t="s">
        <v>29</v>
      </c>
      <c r="P23" s="12" t="str">
        <f>"Total ("&amp;RIGHT($C$2,3)&amp;")"</f>
        <v>Total (AUD)</v>
      </c>
      <c r="Q23" s="13" t="s">
        <v>3</v>
      </c>
      <c r="S23" s="84" t="s">
        <v>41</v>
      </c>
      <c r="T23" s="85"/>
      <c r="U23" s="86"/>
      <c r="V23" s="12" t="str">
        <f>"Cost ("&amp;LEFT($C$2,3)&amp;")"</f>
        <v>Cost (USD)</v>
      </c>
      <c r="W23" s="12" t="str">
        <f>"Cost ("&amp;RIGHT($C$2,3)&amp;")"</f>
        <v>Cost (AUD)</v>
      </c>
      <c r="X23" s="51" t="s">
        <v>29</v>
      </c>
      <c r="Y23" s="12" t="str">
        <f>"Total ("&amp;RIGHT($C$2,3)&amp;")"</f>
        <v>Total (AUD)</v>
      </c>
      <c r="Z23" s="13" t="s">
        <v>3</v>
      </c>
      <c r="AB23" s="84" t="s">
        <v>41</v>
      </c>
      <c r="AC23" s="85"/>
      <c r="AD23" s="86"/>
      <c r="AE23" s="12" t="str">
        <f>"Cost ("&amp;LEFT($C$2,3)&amp;")"</f>
        <v>Cost (USD)</v>
      </c>
      <c r="AF23" s="12" t="str">
        <f>"Cost ("&amp;RIGHT($C$2,3)&amp;")"</f>
        <v>Cost (AUD)</v>
      </c>
      <c r="AG23" s="51" t="s">
        <v>29</v>
      </c>
      <c r="AH23" s="12" t="str">
        <f>"Total ("&amp;RIGHT($C$2,3)&amp;")"</f>
        <v>Total (AUD)</v>
      </c>
      <c r="AI23" s="13" t="s">
        <v>3</v>
      </c>
      <c r="AK23" s="84" t="s">
        <v>41</v>
      </c>
      <c r="AL23" s="85"/>
      <c r="AM23" s="86"/>
      <c r="AN23" s="12" t="str">
        <f>"Cost ("&amp;LEFT($C$2,3)&amp;")"</f>
        <v>Cost (USD)</v>
      </c>
      <c r="AO23" s="12" t="str">
        <f>"Cost ("&amp;RIGHT($C$2,3)&amp;")"</f>
        <v>Cost (AUD)</v>
      </c>
      <c r="AP23" s="51" t="s">
        <v>29</v>
      </c>
      <c r="AQ23" s="12" t="str">
        <f>"Total ("&amp;RIGHT($C$2,3)&amp;")"</f>
        <v>Total (AUD)</v>
      </c>
      <c r="AR23" s="13" t="s">
        <v>3</v>
      </c>
    </row>
    <row r="24" spans="1:44" ht="15" customHeight="1" x14ac:dyDescent="0.25">
      <c r="A24" s="113" t="s">
        <v>58</v>
      </c>
      <c r="B24" s="113"/>
      <c r="C24" s="113"/>
      <c r="D24" s="22"/>
      <c r="E24" s="69">
        <v>2000</v>
      </c>
      <c r="F24" s="60">
        <v>1</v>
      </c>
      <c r="G24" s="65">
        <f>F24*E24</f>
        <v>2000</v>
      </c>
      <c r="H24" s="18">
        <f t="shared" ref="H24:H29" si="11">G24*$B$2</f>
        <v>1436.2</v>
      </c>
      <c r="J24" s="96" t="s">
        <v>8</v>
      </c>
      <c r="K24" s="97"/>
      <c r="L24" s="98"/>
      <c r="M24" s="22"/>
      <c r="N24" s="69">
        <v>3100</v>
      </c>
      <c r="O24" s="56">
        <v>11</v>
      </c>
      <c r="P24" s="65">
        <f>O24*N24</f>
        <v>34100</v>
      </c>
      <c r="Q24" s="18">
        <f>P24*$B$2</f>
        <v>24487.24</v>
      </c>
      <c r="S24" s="96"/>
      <c r="T24" s="97"/>
      <c r="U24" s="98"/>
      <c r="V24" s="22"/>
      <c r="W24" s="69"/>
      <c r="X24" s="56"/>
      <c r="Y24" s="65">
        <f>X24*W24</f>
        <v>0</v>
      </c>
      <c r="Z24" s="18">
        <f>Y24*$B$2</f>
        <v>0</v>
      </c>
      <c r="AB24" s="96"/>
      <c r="AC24" s="97"/>
      <c r="AD24" s="98"/>
      <c r="AE24" s="22"/>
      <c r="AF24" s="69"/>
      <c r="AG24" s="56"/>
      <c r="AH24" s="65">
        <f>AG24*AF24</f>
        <v>0</v>
      </c>
      <c r="AI24" s="18">
        <f>AH24*$B$2</f>
        <v>0</v>
      </c>
      <c r="AK24" s="96"/>
      <c r="AL24" s="97"/>
      <c r="AM24" s="98"/>
      <c r="AN24" s="22"/>
      <c r="AO24" s="69"/>
      <c r="AP24" s="56"/>
      <c r="AQ24" s="65">
        <f>AP24*AO24</f>
        <v>0</v>
      </c>
      <c r="AR24" s="18">
        <f>AQ24*$B$2</f>
        <v>0</v>
      </c>
    </row>
    <row r="25" spans="1:44" x14ac:dyDescent="0.25">
      <c r="A25" s="93" t="s">
        <v>59</v>
      </c>
      <c r="B25" s="93"/>
      <c r="C25" s="93"/>
      <c r="D25" s="22"/>
      <c r="E25" s="69">
        <v>1000</v>
      </c>
      <c r="F25" s="60">
        <v>1</v>
      </c>
      <c r="G25" s="65">
        <f>F25*E25</f>
        <v>1000</v>
      </c>
      <c r="H25" s="18">
        <f t="shared" si="11"/>
        <v>718.1</v>
      </c>
      <c r="J25" s="96" t="s">
        <v>9</v>
      </c>
      <c r="K25" s="97"/>
      <c r="L25" s="98"/>
      <c r="M25" s="22"/>
      <c r="N25" s="69">
        <v>2000</v>
      </c>
      <c r="O25" s="56">
        <v>11</v>
      </c>
      <c r="P25" s="65">
        <f>O25*N25</f>
        <v>22000</v>
      </c>
      <c r="Q25" s="18">
        <f>P25*$B$2</f>
        <v>15798.22</v>
      </c>
      <c r="S25" s="96"/>
      <c r="T25" s="97"/>
      <c r="U25" s="98"/>
      <c r="V25" s="22"/>
      <c r="W25" s="69"/>
      <c r="X25" s="56"/>
      <c r="Y25" s="65">
        <f>X25*W25</f>
        <v>0</v>
      </c>
      <c r="Z25" s="18">
        <f>Y25*$B$2</f>
        <v>0</v>
      </c>
      <c r="AB25" s="96"/>
      <c r="AC25" s="97"/>
      <c r="AD25" s="98"/>
      <c r="AE25" s="22"/>
      <c r="AF25" s="69"/>
      <c r="AG25" s="56"/>
      <c r="AH25" s="65">
        <f>AG25*AF25</f>
        <v>0</v>
      </c>
      <c r="AI25" s="18">
        <f>AH25*$B$2</f>
        <v>0</v>
      </c>
      <c r="AK25" s="96"/>
      <c r="AL25" s="97"/>
      <c r="AM25" s="98"/>
      <c r="AN25" s="22"/>
      <c r="AO25" s="69"/>
      <c r="AP25" s="56"/>
      <c r="AQ25" s="65">
        <f>AP25*AO25</f>
        <v>0</v>
      </c>
      <c r="AR25" s="18">
        <f>AQ25*$B$2</f>
        <v>0</v>
      </c>
    </row>
    <row r="26" spans="1:44" ht="15" customHeight="1" x14ac:dyDescent="0.25">
      <c r="A26" s="107"/>
      <c r="B26" s="107"/>
      <c r="C26" s="107"/>
      <c r="D26" s="22"/>
      <c r="E26" s="82"/>
      <c r="F26" s="80"/>
      <c r="G26" s="65">
        <f>F26*E26</f>
        <v>0</v>
      </c>
      <c r="H26" s="18">
        <f t="shared" si="11"/>
        <v>0</v>
      </c>
      <c r="J26" s="96" t="s">
        <v>30</v>
      </c>
      <c r="K26" s="97"/>
      <c r="L26" s="98"/>
      <c r="M26" s="22"/>
      <c r="N26" s="69">
        <v>500</v>
      </c>
      <c r="O26" s="56">
        <v>2</v>
      </c>
      <c r="P26" s="65">
        <f>O26*N26</f>
        <v>1000</v>
      </c>
      <c r="Q26" s="18">
        <f>P26*$B$2</f>
        <v>718.1</v>
      </c>
      <c r="S26" s="96"/>
      <c r="T26" s="97"/>
      <c r="U26" s="98"/>
      <c r="V26" s="22"/>
      <c r="W26" s="69"/>
      <c r="X26" s="56"/>
      <c r="Y26" s="65">
        <f>X26*W26</f>
        <v>0</v>
      </c>
      <c r="Z26" s="18">
        <f>Y26*$B$2</f>
        <v>0</v>
      </c>
      <c r="AB26" s="96"/>
      <c r="AC26" s="97"/>
      <c r="AD26" s="98"/>
      <c r="AE26" s="22"/>
      <c r="AF26" s="69"/>
      <c r="AG26" s="56"/>
      <c r="AH26" s="65">
        <f>AG26*AF26</f>
        <v>0</v>
      </c>
      <c r="AI26" s="18">
        <f>AH26*$B$2</f>
        <v>0</v>
      </c>
      <c r="AK26" s="96"/>
      <c r="AL26" s="97"/>
      <c r="AM26" s="98"/>
      <c r="AN26" s="22"/>
      <c r="AO26" s="69"/>
      <c r="AP26" s="56"/>
      <c r="AQ26" s="65">
        <f>AP26*AO26</f>
        <v>0</v>
      </c>
      <c r="AR26" s="18">
        <f>AQ26*$B$2</f>
        <v>0</v>
      </c>
    </row>
    <row r="27" spans="1:44" ht="15" customHeight="1" x14ac:dyDescent="0.25">
      <c r="A27" s="107"/>
      <c r="B27" s="107"/>
      <c r="C27" s="107"/>
      <c r="D27" s="22"/>
      <c r="E27" s="82"/>
      <c r="F27" s="80"/>
      <c r="G27" s="65">
        <f t="shared" ref="G27:G29" si="12">F27*E27</f>
        <v>0</v>
      </c>
      <c r="H27" s="18">
        <f t="shared" si="11"/>
        <v>0</v>
      </c>
      <c r="J27" s="99"/>
      <c r="K27" s="100"/>
      <c r="L27" s="101"/>
      <c r="M27" s="22"/>
      <c r="N27" s="69"/>
      <c r="O27" s="56"/>
      <c r="P27" s="65">
        <f t="shared" ref="P27:P29" si="13">O27*N27</f>
        <v>0</v>
      </c>
      <c r="Q27" s="18">
        <f>P27*$B$2</f>
        <v>0</v>
      </c>
      <c r="S27" s="99"/>
      <c r="T27" s="100"/>
      <c r="U27" s="101"/>
      <c r="V27" s="22"/>
      <c r="W27" s="69"/>
      <c r="X27" s="56"/>
      <c r="Y27" s="65">
        <f t="shared" ref="Y27:Y29" si="14">X27*W27</f>
        <v>0</v>
      </c>
      <c r="Z27" s="18">
        <f>Y27*$B$2</f>
        <v>0</v>
      </c>
      <c r="AB27" s="99"/>
      <c r="AC27" s="100"/>
      <c r="AD27" s="101"/>
      <c r="AE27" s="22"/>
      <c r="AF27" s="69"/>
      <c r="AG27" s="56"/>
      <c r="AH27" s="65">
        <f t="shared" ref="AH27:AH29" si="15">AG27*AF27</f>
        <v>0</v>
      </c>
      <c r="AI27" s="18">
        <f>AH27*$B$2</f>
        <v>0</v>
      </c>
      <c r="AK27" s="99"/>
      <c r="AL27" s="100"/>
      <c r="AM27" s="101"/>
      <c r="AN27" s="22"/>
      <c r="AO27" s="69"/>
      <c r="AP27" s="56"/>
      <c r="AQ27" s="65">
        <f t="shared" ref="AQ27:AQ29" si="16">AP27*AO27</f>
        <v>0</v>
      </c>
      <c r="AR27" s="18">
        <f>AQ27*$B$2</f>
        <v>0</v>
      </c>
    </row>
    <row r="28" spans="1:44" x14ac:dyDescent="0.25">
      <c r="A28" s="108"/>
      <c r="B28" s="108"/>
      <c r="C28" s="108"/>
      <c r="D28" s="22"/>
      <c r="E28" s="82"/>
      <c r="F28" s="80"/>
      <c r="G28" s="65">
        <f t="shared" si="12"/>
        <v>0</v>
      </c>
      <c r="H28" s="18">
        <f t="shared" si="11"/>
        <v>0</v>
      </c>
      <c r="J28" s="110"/>
      <c r="K28" s="111"/>
      <c r="L28" s="112"/>
      <c r="M28" s="22"/>
      <c r="N28" s="69"/>
      <c r="O28" s="56"/>
      <c r="P28" s="65"/>
      <c r="Q28" s="18"/>
      <c r="S28" s="110"/>
      <c r="T28" s="111"/>
      <c r="U28" s="112"/>
      <c r="V28" s="22"/>
      <c r="W28" s="69"/>
      <c r="X28" s="56"/>
      <c r="Y28" s="65"/>
      <c r="Z28" s="18"/>
      <c r="AB28" s="110"/>
      <c r="AC28" s="111"/>
      <c r="AD28" s="112"/>
      <c r="AE28" s="22"/>
      <c r="AF28" s="69"/>
      <c r="AG28" s="56"/>
      <c r="AH28" s="65"/>
      <c r="AI28" s="18"/>
      <c r="AK28" s="110"/>
      <c r="AL28" s="111"/>
      <c r="AM28" s="112"/>
      <c r="AN28" s="22"/>
      <c r="AO28" s="69"/>
      <c r="AP28" s="56"/>
      <c r="AQ28" s="65"/>
      <c r="AR28" s="18"/>
    </row>
    <row r="29" spans="1:44" ht="15.75" customHeight="1" thickBot="1" x14ac:dyDescent="0.3">
      <c r="A29" s="109"/>
      <c r="B29" s="109"/>
      <c r="C29" s="109"/>
      <c r="D29" s="22"/>
      <c r="E29" s="83"/>
      <c r="F29" s="80"/>
      <c r="G29" s="65">
        <f t="shared" si="12"/>
        <v>0</v>
      </c>
      <c r="H29" s="18">
        <f t="shared" si="11"/>
        <v>0</v>
      </c>
      <c r="J29" s="96"/>
      <c r="K29" s="97"/>
      <c r="L29" s="98"/>
      <c r="M29" s="22"/>
      <c r="N29" s="69"/>
      <c r="O29" s="60"/>
      <c r="P29" s="65">
        <f t="shared" si="13"/>
        <v>0</v>
      </c>
      <c r="Q29" s="18">
        <f>P29*$B$2</f>
        <v>0</v>
      </c>
      <c r="S29" s="96"/>
      <c r="T29" s="97"/>
      <c r="U29" s="98"/>
      <c r="V29" s="22"/>
      <c r="W29" s="69"/>
      <c r="X29" s="60"/>
      <c r="Y29" s="65">
        <f t="shared" si="14"/>
        <v>0</v>
      </c>
      <c r="Z29" s="18">
        <f>Y29*$B$2</f>
        <v>0</v>
      </c>
      <c r="AB29" s="96"/>
      <c r="AC29" s="97"/>
      <c r="AD29" s="98"/>
      <c r="AE29" s="22"/>
      <c r="AF29" s="69"/>
      <c r="AG29" s="60"/>
      <c r="AH29" s="65">
        <f t="shared" si="15"/>
        <v>0</v>
      </c>
      <c r="AI29" s="18">
        <f>AH29*$B$2</f>
        <v>0</v>
      </c>
      <c r="AK29" s="96"/>
      <c r="AL29" s="97"/>
      <c r="AM29" s="98"/>
      <c r="AN29" s="22"/>
      <c r="AO29" s="69"/>
      <c r="AP29" s="60"/>
      <c r="AQ29" s="65">
        <f t="shared" si="16"/>
        <v>0</v>
      </c>
      <c r="AR29" s="18">
        <f>AQ29*$B$2</f>
        <v>0</v>
      </c>
    </row>
    <row r="30" spans="1:44" ht="15.75" customHeight="1" thickBot="1" x14ac:dyDescent="0.3">
      <c r="A30" s="7"/>
      <c r="B30" s="8"/>
      <c r="C30" s="8"/>
      <c r="D30" s="9"/>
      <c r="E30" s="9"/>
      <c r="F30" s="8"/>
      <c r="G30" s="8"/>
      <c r="H30" s="43">
        <f>SUM(H24:H29)</f>
        <v>2154.3000000000002</v>
      </c>
      <c r="I30" s="20"/>
      <c r="J30" s="7"/>
      <c r="K30" s="8"/>
      <c r="L30" s="8"/>
      <c r="M30" s="9"/>
      <c r="N30" s="9"/>
      <c r="O30" s="8"/>
      <c r="P30" s="8"/>
      <c r="Q30" s="43">
        <f>SUM(Q24:Q29)</f>
        <v>41003.56</v>
      </c>
      <c r="R30" s="20"/>
      <c r="S30" s="7"/>
      <c r="T30" s="8"/>
      <c r="U30" s="8"/>
      <c r="V30" s="9"/>
      <c r="W30" s="9"/>
      <c r="X30" s="8"/>
      <c r="Y30" s="8"/>
      <c r="Z30" s="43">
        <f>SUM(Z24:Z29)</f>
        <v>0</v>
      </c>
      <c r="AA30" s="20"/>
      <c r="AB30" s="7"/>
      <c r="AC30" s="8"/>
      <c r="AD30" s="8"/>
      <c r="AE30" s="9"/>
      <c r="AF30" s="9"/>
      <c r="AG30" s="8"/>
      <c r="AH30" s="8"/>
      <c r="AI30" s="43">
        <f>SUM(AI24:AI29)</f>
        <v>0</v>
      </c>
      <c r="AJ30" s="20"/>
      <c r="AK30" s="7"/>
      <c r="AL30" s="8"/>
      <c r="AM30" s="8"/>
      <c r="AN30" s="9"/>
      <c r="AO30" s="9"/>
      <c r="AP30" s="8"/>
      <c r="AQ30" s="8"/>
      <c r="AR30" s="43">
        <f>SUM(AR24:AR29)</f>
        <v>0</v>
      </c>
    </row>
    <row r="31" spans="1:44" x14ac:dyDescent="0.25">
      <c r="A31" s="7"/>
      <c r="B31" s="8"/>
      <c r="C31" s="8"/>
      <c r="D31" s="9"/>
      <c r="E31" s="9"/>
      <c r="F31" s="8"/>
      <c r="G31" s="8"/>
      <c r="H31" s="67"/>
      <c r="I31" s="20"/>
      <c r="J31" s="7"/>
      <c r="K31" s="8"/>
      <c r="L31" s="8"/>
      <c r="M31" s="9"/>
      <c r="N31" s="9"/>
      <c r="O31" s="8"/>
      <c r="P31" s="8"/>
      <c r="Q31" s="67"/>
      <c r="R31" s="20"/>
      <c r="S31" s="7"/>
      <c r="T31" s="8"/>
      <c r="U31" s="8"/>
      <c r="V31" s="9"/>
      <c r="W31" s="9"/>
      <c r="X31" s="8"/>
      <c r="Y31" s="8"/>
      <c r="Z31" s="67"/>
      <c r="AA31" s="20"/>
      <c r="AB31" s="7"/>
      <c r="AC31" s="8"/>
      <c r="AD31" s="8"/>
      <c r="AE31" s="9"/>
      <c r="AF31" s="9"/>
      <c r="AG31" s="8"/>
      <c r="AH31" s="8"/>
      <c r="AI31" s="67"/>
      <c r="AJ31" s="20"/>
      <c r="AK31" s="7"/>
      <c r="AL31" s="8"/>
      <c r="AM31" s="8"/>
      <c r="AN31" s="9"/>
      <c r="AO31" s="9"/>
      <c r="AP31" s="8"/>
      <c r="AQ31" s="8"/>
      <c r="AR31" s="67"/>
    </row>
    <row r="32" spans="1:44" x14ac:dyDescent="0.25">
      <c r="A32" s="21" t="s">
        <v>32</v>
      </c>
      <c r="B32" s="59" t="s">
        <v>26</v>
      </c>
      <c r="C32" s="8"/>
      <c r="D32" s="9"/>
      <c r="E32" s="9"/>
      <c r="F32" s="50"/>
      <c r="G32" s="8"/>
      <c r="H32" s="10"/>
      <c r="I32" s="20"/>
      <c r="J32" s="21" t="s">
        <v>32</v>
      </c>
      <c r="K32" s="59" t="s">
        <v>26</v>
      </c>
      <c r="L32" s="8"/>
      <c r="M32" s="9"/>
      <c r="N32" s="9"/>
      <c r="O32" s="50"/>
      <c r="P32" s="8"/>
      <c r="Q32" s="10"/>
      <c r="R32" s="20"/>
      <c r="S32" s="21" t="s">
        <v>32</v>
      </c>
      <c r="T32" s="59" t="s">
        <v>26</v>
      </c>
      <c r="U32" s="8"/>
      <c r="V32" s="9"/>
      <c r="W32" s="9"/>
      <c r="X32" s="50"/>
      <c r="Y32" s="8"/>
      <c r="Z32" s="10"/>
      <c r="AA32" s="20"/>
      <c r="AB32" s="21" t="s">
        <v>32</v>
      </c>
      <c r="AC32" s="59" t="s">
        <v>26</v>
      </c>
      <c r="AD32" s="8"/>
      <c r="AE32" s="9"/>
      <c r="AF32" s="9"/>
      <c r="AG32" s="50"/>
      <c r="AH32" s="8"/>
      <c r="AI32" s="10"/>
      <c r="AJ32" s="20"/>
      <c r="AK32" s="21" t="s">
        <v>32</v>
      </c>
      <c r="AL32" s="59" t="s">
        <v>26</v>
      </c>
      <c r="AM32" s="8"/>
      <c r="AN32" s="9"/>
      <c r="AO32" s="9"/>
      <c r="AP32" s="50"/>
      <c r="AQ32" s="8"/>
      <c r="AR32" s="10"/>
    </row>
    <row r="33" spans="1:44" ht="15" customHeight="1" x14ac:dyDescent="0.25">
      <c r="A33" s="84" t="s">
        <v>41</v>
      </c>
      <c r="B33" s="85"/>
      <c r="C33" s="86"/>
      <c r="D33" s="12" t="str">
        <f>"Cost ("&amp;LEFT($C$2,3)&amp;")"</f>
        <v>Cost (USD)</v>
      </c>
      <c r="E33" s="12" t="str">
        <f>"Cost ("&amp;RIGHT($C$2,3)&amp;")"</f>
        <v>Cost (AUD)</v>
      </c>
      <c r="F33" s="51" t="s">
        <v>29</v>
      </c>
      <c r="G33" s="12" t="str">
        <f>"Total ("&amp;RIGHT($C$2,3)&amp;")"</f>
        <v>Total (AUD)</v>
      </c>
      <c r="H33" s="13" t="s">
        <v>3</v>
      </c>
      <c r="I33" s="20"/>
      <c r="J33" s="84" t="s">
        <v>41</v>
      </c>
      <c r="K33" s="85"/>
      <c r="L33" s="86"/>
      <c r="M33" s="12" t="str">
        <f>"Cost ("&amp;LEFT($C$2,3)&amp;")"</f>
        <v>Cost (USD)</v>
      </c>
      <c r="N33" s="12" t="str">
        <f>"Cost ("&amp;RIGHT($C$2,3)&amp;")"</f>
        <v>Cost (AUD)</v>
      </c>
      <c r="O33" s="51" t="s">
        <v>29</v>
      </c>
      <c r="P33" s="12" t="str">
        <f>"Total ("&amp;RIGHT($C$2,3)&amp;")"</f>
        <v>Total (AUD)</v>
      </c>
      <c r="Q33" s="13" t="s">
        <v>3</v>
      </c>
      <c r="R33" s="20"/>
      <c r="S33" s="84" t="s">
        <v>41</v>
      </c>
      <c r="T33" s="85"/>
      <c r="U33" s="86"/>
      <c r="V33" s="12" t="str">
        <f>"Cost ("&amp;LEFT($C$2,3)&amp;")"</f>
        <v>Cost (USD)</v>
      </c>
      <c r="W33" s="12" t="str">
        <f>"Cost ("&amp;RIGHT($C$2,3)&amp;")"</f>
        <v>Cost (AUD)</v>
      </c>
      <c r="X33" s="51" t="s">
        <v>29</v>
      </c>
      <c r="Y33" s="12" t="str">
        <f>"Total ("&amp;RIGHT($C$2,3)&amp;")"</f>
        <v>Total (AUD)</v>
      </c>
      <c r="Z33" s="13" t="s">
        <v>3</v>
      </c>
      <c r="AA33" s="20"/>
      <c r="AB33" s="84" t="s">
        <v>41</v>
      </c>
      <c r="AC33" s="85"/>
      <c r="AD33" s="86"/>
      <c r="AE33" s="12" t="str">
        <f>"Cost ("&amp;LEFT($C$2,3)&amp;")"</f>
        <v>Cost (USD)</v>
      </c>
      <c r="AF33" s="12" t="str">
        <f>"Cost ("&amp;RIGHT($C$2,3)&amp;")"</f>
        <v>Cost (AUD)</v>
      </c>
      <c r="AG33" s="51" t="s">
        <v>29</v>
      </c>
      <c r="AH33" s="12" t="str">
        <f>"Total ("&amp;RIGHT($C$2,3)&amp;")"</f>
        <v>Total (AUD)</v>
      </c>
      <c r="AI33" s="13" t="s">
        <v>3</v>
      </c>
      <c r="AJ33" s="20"/>
      <c r="AK33" s="84" t="s">
        <v>41</v>
      </c>
      <c r="AL33" s="85"/>
      <c r="AM33" s="86"/>
      <c r="AN33" s="12" t="str">
        <f>"Cost ("&amp;LEFT($C$2,3)&amp;")"</f>
        <v>Cost (USD)</v>
      </c>
      <c r="AO33" s="12" t="str">
        <f>"Cost ("&amp;RIGHT($C$2,3)&amp;")"</f>
        <v>Cost (AUD)</v>
      </c>
      <c r="AP33" s="51" t="s">
        <v>29</v>
      </c>
      <c r="AQ33" s="12" t="str">
        <f>"Total ("&amp;RIGHT($C$2,3)&amp;")"</f>
        <v>Total (AUD)</v>
      </c>
      <c r="AR33" s="13" t="s">
        <v>3</v>
      </c>
    </row>
    <row r="34" spans="1:44" x14ac:dyDescent="0.25">
      <c r="A34" s="96" t="s">
        <v>33</v>
      </c>
      <c r="B34" s="97"/>
      <c r="C34" s="98"/>
      <c r="D34" s="22"/>
      <c r="E34" s="69">
        <v>5000</v>
      </c>
      <c r="F34" s="56">
        <v>1</v>
      </c>
      <c r="G34" s="65">
        <f>F34*E34</f>
        <v>5000</v>
      </c>
      <c r="H34" s="18">
        <f>G34*$B$2</f>
        <v>3590.51</v>
      </c>
      <c r="I34" s="20"/>
      <c r="J34" s="96" t="s">
        <v>33</v>
      </c>
      <c r="K34" s="97"/>
      <c r="L34" s="98"/>
      <c r="M34" s="22"/>
      <c r="N34" s="69">
        <v>5000</v>
      </c>
      <c r="O34" s="56">
        <v>1</v>
      </c>
      <c r="P34" s="65">
        <f>O34*N34</f>
        <v>5000</v>
      </c>
      <c r="Q34" s="18">
        <f>P34*$B$2</f>
        <v>3590.51</v>
      </c>
      <c r="R34" s="20"/>
      <c r="S34" s="96"/>
      <c r="T34" s="97"/>
      <c r="U34" s="98"/>
      <c r="V34" s="22"/>
      <c r="W34" s="69"/>
      <c r="X34" s="56"/>
      <c r="Y34" s="65">
        <f>X34*W34</f>
        <v>0</v>
      </c>
      <c r="Z34" s="18">
        <f>Y34*$B$2</f>
        <v>0</v>
      </c>
      <c r="AA34" s="20"/>
      <c r="AB34" s="96"/>
      <c r="AC34" s="97"/>
      <c r="AD34" s="98"/>
      <c r="AE34" s="22"/>
      <c r="AF34" s="69"/>
      <c r="AG34" s="56"/>
      <c r="AH34" s="65">
        <f>AG34*AF34</f>
        <v>0</v>
      </c>
      <c r="AI34" s="18">
        <f>AH34*$B$2</f>
        <v>0</v>
      </c>
      <c r="AJ34" s="20"/>
      <c r="AK34" s="96"/>
      <c r="AL34" s="97"/>
      <c r="AM34" s="98"/>
      <c r="AN34" s="22"/>
      <c r="AO34" s="69"/>
      <c r="AP34" s="56"/>
      <c r="AQ34" s="65">
        <f>AP34*AO34</f>
        <v>0</v>
      </c>
      <c r="AR34" s="18">
        <f>AQ34*$B$2</f>
        <v>0</v>
      </c>
    </row>
    <row r="35" spans="1:44" x14ac:dyDescent="0.25">
      <c r="A35" s="96"/>
      <c r="B35" s="97"/>
      <c r="C35" s="98"/>
      <c r="D35" s="22"/>
      <c r="E35" s="69"/>
      <c r="F35" s="56"/>
      <c r="G35" s="65">
        <f>F35*E35</f>
        <v>0</v>
      </c>
      <c r="H35" s="18">
        <f>G35*$B$2</f>
        <v>0</v>
      </c>
      <c r="I35" s="20"/>
      <c r="J35" s="96"/>
      <c r="K35" s="97"/>
      <c r="L35" s="98"/>
      <c r="M35" s="22"/>
      <c r="N35" s="69"/>
      <c r="O35" s="56"/>
      <c r="P35" s="65">
        <f>O35*N35</f>
        <v>0</v>
      </c>
      <c r="Q35" s="18">
        <f>P35*$B$2</f>
        <v>0</v>
      </c>
      <c r="R35" s="20"/>
      <c r="S35" s="96"/>
      <c r="T35" s="97"/>
      <c r="U35" s="98"/>
      <c r="V35" s="22"/>
      <c r="W35" s="69"/>
      <c r="X35" s="56"/>
      <c r="Y35" s="65">
        <f>X35*W35</f>
        <v>0</v>
      </c>
      <c r="Z35" s="18">
        <f>Y35*$B$2</f>
        <v>0</v>
      </c>
      <c r="AA35" s="20"/>
      <c r="AB35" s="96"/>
      <c r="AC35" s="97"/>
      <c r="AD35" s="98"/>
      <c r="AE35" s="22"/>
      <c r="AF35" s="69"/>
      <c r="AG35" s="56"/>
      <c r="AH35" s="65">
        <f>AG35*AF35</f>
        <v>0</v>
      </c>
      <c r="AI35" s="18">
        <f>AH35*$B$2</f>
        <v>0</v>
      </c>
      <c r="AJ35" s="20"/>
      <c r="AK35" s="96"/>
      <c r="AL35" s="97"/>
      <c r="AM35" s="98"/>
      <c r="AN35" s="22"/>
      <c r="AO35" s="69"/>
      <c r="AP35" s="56"/>
      <c r="AQ35" s="65">
        <f>AP35*AO35</f>
        <v>0</v>
      </c>
      <c r="AR35" s="18">
        <f>AQ35*$B$2</f>
        <v>0</v>
      </c>
    </row>
    <row r="36" spans="1:44" ht="15.75" thickBot="1" x14ac:dyDescent="0.3">
      <c r="A36" s="96"/>
      <c r="B36" s="97"/>
      <c r="C36" s="98"/>
      <c r="D36" s="22"/>
      <c r="E36" s="69"/>
      <c r="F36" s="56"/>
      <c r="G36" s="65">
        <f>F36*E36</f>
        <v>0</v>
      </c>
      <c r="H36" s="18">
        <f>G36*$B$2</f>
        <v>0</v>
      </c>
      <c r="I36" s="20"/>
      <c r="J36" s="96"/>
      <c r="K36" s="97"/>
      <c r="L36" s="98"/>
      <c r="M36" s="22"/>
      <c r="N36" s="69"/>
      <c r="O36" s="56"/>
      <c r="P36" s="65">
        <f>O36*N36</f>
        <v>0</v>
      </c>
      <c r="Q36" s="18">
        <f>P36*$B$2</f>
        <v>0</v>
      </c>
      <c r="R36" s="20"/>
      <c r="S36" s="96"/>
      <c r="T36" s="97"/>
      <c r="U36" s="98"/>
      <c r="V36" s="22"/>
      <c r="W36" s="69"/>
      <c r="X36" s="56"/>
      <c r="Y36" s="65">
        <f>X36*W36</f>
        <v>0</v>
      </c>
      <c r="Z36" s="18">
        <f>Y36*$B$2</f>
        <v>0</v>
      </c>
      <c r="AA36" s="20"/>
      <c r="AB36" s="96"/>
      <c r="AC36" s="97"/>
      <c r="AD36" s="98"/>
      <c r="AE36" s="22"/>
      <c r="AF36" s="69"/>
      <c r="AG36" s="56"/>
      <c r="AH36" s="65">
        <f>AG36*AF36</f>
        <v>0</v>
      </c>
      <c r="AI36" s="18">
        <f>AH36*$B$2</f>
        <v>0</v>
      </c>
      <c r="AJ36" s="20"/>
      <c r="AK36" s="96"/>
      <c r="AL36" s="97"/>
      <c r="AM36" s="98"/>
      <c r="AN36" s="22"/>
      <c r="AO36" s="69"/>
      <c r="AP36" s="56"/>
      <c r="AQ36" s="65">
        <f>AP36*AO36</f>
        <v>0</v>
      </c>
      <c r="AR36" s="18">
        <f>AQ36*$B$2</f>
        <v>0</v>
      </c>
    </row>
    <row r="37" spans="1:44" ht="15.75" thickBot="1" x14ac:dyDescent="0.3">
      <c r="A37" s="7"/>
      <c r="B37" s="8"/>
      <c r="C37" s="8"/>
      <c r="D37" s="9"/>
      <c r="E37" s="9"/>
      <c r="F37" s="8"/>
      <c r="G37" s="8"/>
      <c r="H37" s="43">
        <f>SUM(H34:H36)</f>
        <v>3590.51</v>
      </c>
      <c r="I37" s="20"/>
      <c r="J37" s="7"/>
      <c r="K37" s="8"/>
      <c r="L37" s="8"/>
      <c r="M37" s="9"/>
      <c r="N37" s="9"/>
      <c r="O37" s="8"/>
      <c r="P37" s="8"/>
      <c r="Q37" s="43">
        <f>SUM(Q34:Q36)</f>
        <v>3590.51</v>
      </c>
      <c r="R37" s="20"/>
      <c r="S37" s="7"/>
      <c r="T37" s="8"/>
      <c r="U37" s="8"/>
      <c r="V37" s="9"/>
      <c r="W37" s="9"/>
      <c r="X37" s="8"/>
      <c r="Y37" s="8"/>
      <c r="Z37" s="43">
        <f>SUM(Z34:Z36)</f>
        <v>0</v>
      </c>
      <c r="AA37" s="20"/>
      <c r="AB37" s="7"/>
      <c r="AC37" s="8"/>
      <c r="AD37" s="8"/>
      <c r="AE37" s="9"/>
      <c r="AF37" s="9"/>
      <c r="AG37" s="8"/>
      <c r="AH37" s="8"/>
      <c r="AI37" s="43">
        <f>SUM(AI34:AI36)</f>
        <v>0</v>
      </c>
      <c r="AJ37" s="20"/>
      <c r="AK37" s="7"/>
      <c r="AL37" s="8"/>
      <c r="AM37" s="8"/>
      <c r="AN37" s="9"/>
      <c r="AO37" s="9"/>
      <c r="AP37" s="8"/>
      <c r="AQ37" s="8"/>
      <c r="AR37" s="43">
        <f>SUM(AR34:AR36)</f>
        <v>0</v>
      </c>
    </row>
    <row r="38" spans="1:44" x14ac:dyDescent="0.25">
      <c r="A38" s="21" t="s">
        <v>34</v>
      </c>
      <c r="B38" s="59" t="s">
        <v>37</v>
      </c>
      <c r="C38" s="8"/>
      <c r="D38" s="9"/>
      <c r="E38" s="9"/>
      <c r="F38" s="8"/>
      <c r="G38" s="8"/>
      <c r="H38" s="23"/>
      <c r="I38" s="20"/>
      <c r="J38" s="21" t="s">
        <v>34</v>
      </c>
      <c r="K38" s="59" t="s">
        <v>37</v>
      </c>
      <c r="L38" s="8"/>
      <c r="M38" s="9"/>
      <c r="N38" s="9"/>
      <c r="O38" s="8"/>
      <c r="P38" s="8"/>
      <c r="Q38" s="23"/>
      <c r="R38" s="20"/>
      <c r="S38" s="21" t="s">
        <v>34</v>
      </c>
      <c r="T38" s="59" t="s">
        <v>37</v>
      </c>
      <c r="U38" s="8"/>
      <c r="V38" s="9"/>
      <c r="W38" s="9"/>
      <c r="X38" s="8"/>
      <c r="Y38" s="8"/>
      <c r="Z38" s="23"/>
      <c r="AA38" s="20"/>
      <c r="AB38" s="21" t="s">
        <v>34</v>
      </c>
      <c r="AC38" s="59" t="s">
        <v>37</v>
      </c>
      <c r="AD38" s="8"/>
      <c r="AE38" s="9"/>
      <c r="AF38" s="9"/>
      <c r="AG38" s="8"/>
      <c r="AH38" s="8"/>
      <c r="AI38" s="23"/>
      <c r="AJ38" s="20"/>
      <c r="AK38" s="21" t="s">
        <v>34</v>
      </c>
      <c r="AL38" s="59" t="s">
        <v>37</v>
      </c>
      <c r="AM38" s="8"/>
      <c r="AN38" s="9"/>
      <c r="AO38" s="9"/>
      <c r="AP38" s="8"/>
      <c r="AQ38" s="8"/>
      <c r="AR38" s="23"/>
    </row>
    <row r="39" spans="1:44" ht="15" customHeight="1" x14ac:dyDescent="0.25">
      <c r="A39" s="84" t="s">
        <v>41</v>
      </c>
      <c r="B39" s="85"/>
      <c r="C39" s="86"/>
      <c r="D39" s="12" t="str">
        <f>"Cost ("&amp;LEFT($C$2,3)&amp;")"</f>
        <v>Cost (USD)</v>
      </c>
      <c r="E39" s="12" t="str">
        <f>"Cost ("&amp;RIGHT($C$2,3)&amp;")"</f>
        <v>Cost (AUD)</v>
      </c>
      <c r="F39" s="51" t="s">
        <v>29</v>
      </c>
      <c r="G39" s="12" t="str">
        <f>"Total ("&amp;RIGHT($C$2,3)&amp;")"</f>
        <v>Total (AUD)</v>
      </c>
      <c r="H39" s="13" t="s">
        <v>3</v>
      </c>
      <c r="I39" s="20"/>
      <c r="J39" s="84" t="s">
        <v>41</v>
      </c>
      <c r="K39" s="85"/>
      <c r="L39" s="86"/>
      <c r="M39" s="12" t="str">
        <f>"Cost ("&amp;LEFT($C$2,3)&amp;")"</f>
        <v>Cost (USD)</v>
      </c>
      <c r="N39" s="12" t="str">
        <f>"Cost ("&amp;RIGHT($C$2,3)&amp;")"</f>
        <v>Cost (AUD)</v>
      </c>
      <c r="O39" s="51" t="s">
        <v>29</v>
      </c>
      <c r="P39" s="12" t="str">
        <f>"Total ("&amp;RIGHT($C$2,3)&amp;")"</f>
        <v>Total (AUD)</v>
      </c>
      <c r="Q39" s="13" t="s">
        <v>3</v>
      </c>
      <c r="R39" s="20"/>
      <c r="S39" s="84" t="s">
        <v>41</v>
      </c>
      <c r="T39" s="85"/>
      <c r="U39" s="86"/>
      <c r="V39" s="12" t="str">
        <f>"Cost ("&amp;LEFT($C$2,3)&amp;")"</f>
        <v>Cost (USD)</v>
      </c>
      <c r="W39" s="12" t="str">
        <f>"Cost ("&amp;RIGHT($C$2,3)&amp;")"</f>
        <v>Cost (AUD)</v>
      </c>
      <c r="X39" s="51" t="s">
        <v>29</v>
      </c>
      <c r="Y39" s="12" t="str">
        <f>"Total ("&amp;RIGHT($C$2,3)&amp;")"</f>
        <v>Total (AUD)</v>
      </c>
      <c r="Z39" s="13" t="s">
        <v>3</v>
      </c>
      <c r="AA39" s="20"/>
      <c r="AB39" s="84" t="s">
        <v>41</v>
      </c>
      <c r="AC39" s="85"/>
      <c r="AD39" s="86"/>
      <c r="AE39" s="12" t="str">
        <f>"Cost ("&amp;LEFT($C$2,3)&amp;")"</f>
        <v>Cost (USD)</v>
      </c>
      <c r="AF39" s="12" t="str">
        <f>"Cost ("&amp;RIGHT($C$2,3)&amp;")"</f>
        <v>Cost (AUD)</v>
      </c>
      <c r="AG39" s="51" t="s">
        <v>29</v>
      </c>
      <c r="AH39" s="12" t="str">
        <f>"Total ("&amp;RIGHT($C$2,3)&amp;")"</f>
        <v>Total (AUD)</v>
      </c>
      <c r="AI39" s="13" t="s">
        <v>3</v>
      </c>
      <c r="AJ39" s="20"/>
      <c r="AK39" s="84" t="s">
        <v>41</v>
      </c>
      <c r="AL39" s="85"/>
      <c r="AM39" s="86"/>
      <c r="AN39" s="12" t="str">
        <f>"Cost ("&amp;LEFT($C$2,3)&amp;")"</f>
        <v>Cost (USD)</v>
      </c>
      <c r="AO39" s="12" t="str">
        <f>"Cost ("&amp;RIGHT($C$2,3)&amp;")"</f>
        <v>Cost (AUD)</v>
      </c>
      <c r="AP39" s="51" t="s">
        <v>29</v>
      </c>
      <c r="AQ39" s="12" t="str">
        <f>"Total ("&amp;RIGHT($C$2,3)&amp;")"</f>
        <v>Total (AUD)</v>
      </c>
      <c r="AR39" s="13" t="s">
        <v>3</v>
      </c>
    </row>
    <row r="40" spans="1:44" x14ac:dyDescent="0.25">
      <c r="A40" s="96"/>
      <c r="B40" s="97"/>
      <c r="C40" s="98"/>
      <c r="D40" s="61"/>
      <c r="E40" s="12"/>
      <c r="F40" s="60"/>
      <c r="G40" s="65">
        <f>E40*F40</f>
        <v>0</v>
      </c>
      <c r="H40" s="18">
        <f>D40*F40</f>
        <v>0</v>
      </c>
      <c r="I40" s="20"/>
      <c r="J40" s="96" t="s">
        <v>10</v>
      </c>
      <c r="K40" s="97"/>
      <c r="L40" s="98"/>
      <c r="M40" s="61">
        <v>2500</v>
      </c>
      <c r="N40" s="12"/>
      <c r="O40" s="60">
        <v>2</v>
      </c>
      <c r="P40" s="65">
        <f>N40*O40</f>
        <v>0</v>
      </c>
      <c r="Q40" s="18">
        <f>M40*O40</f>
        <v>5000</v>
      </c>
      <c r="R40" s="20"/>
      <c r="S40" s="96"/>
      <c r="T40" s="97"/>
      <c r="U40" s="98"/>
      <c r="V40" s="61"/>
      <c r="W40" s="12"/>
      <c r="X40" s="60"/>
      <c r="Y40" s="65">
        <f>W40*X40</f>
        <v>0</v>
      </c>
      <c r="Z40" s="18">
        <f>V40*X40</f>
        <v>0</v>
      </c>
      <c r="AA40" s="20"/>
      <c r="AB40" s="96"/>
      <c r="AC40" s="97"/>
      <c r="AD40" s="98"/>
      <c r="AE40" s="61"/>
      <c r="AF40" s="12"/>
      <c r="AG40" s="60"/>
      <c r="AH40" s="65">
        <f>AF40*AG40</f>
        <v>0</v>
      </c>
      <c r="AI40" s="18">
        <f>AE40*AG40</f>
        <v>0</v>
      </c>
      <c r="AJ40" s="20"/>
      <c r="AK40" s="96"/>
      <c r="AL40" s="97"/>
      <c r="AM40" s="98"/>
      <c r="AN40" s="61"/>
      <c r="AO40" s="12"/>
      <c r="AP40" s="60"/>
      <c r="AQ40" s="65">
        <f>AO40*AP40</f>
        <v>0</v>
      </c>
      <c r="AR40" s="18">
        <f>AN40*AP40</f>
        <v>0</v>
      </c>
    </row>
    <row r="41" spans="1:44" ht="15.75" thickBot="1" x14ac:dyDescent="0.3">
      <c r="A41" s="96"/>
      <c r="B41" s="97"/>
      <c r="C41" s="98"/>
      <c r="D41" s="61"/>
      <c r="E41" s="69"/>
      <c r="F41" s="60"/>
      <c r="G41" s="65">
        <f>E41*F41</f>
        <v>0</v>
      </c>
      <c r="H41" s="18">
        <f>D41*F41</f>
        <v>0</v>
      </c>
      <c r="I41" s="20"/>
      <c r="J41" s="96"/>
      <c r="K41" s="97"/>
      <c r="L41" s="98"/>
      <c r="M41" s="61"/>
      <c r="N41" s="69"/>
      <c r="O41" s="60"/>
      <c r="P41" s="65">
        <f>N41*O41</f>
        <v>0</v>
      </c>
      <c r="Q41" s="18">
        <f>M41*O41</f>
        <v>0</v>
      </c>
      <c r="R41" s="20"/>
      <c r="S41" s="96"/>
      <c r="T41" s="97"/>
      <c r="U41" s="98"/>
      <c r="V41" s="61"/>
      <c r="W41" s="69"/>
      <c r="X41" s="60"/>
      <c r="Y41" s="65">
        <f>W41*X41</f>
        <v>0</v>
      </c>
      <c r="Z41" s="18">
        <f>V41*X41</f>
        <v>0</v>
      </c>
      <c r="AA41" s="20"/>
      <c r="AB41" s="96"/>
      <c r="AC41" s="97"/>
      <c r="AD41" s="98"/>
      <c r="AE41" s="61"/>
      <c r="AF41" s="69"/>
      <c r="AG41" s="60"/>
      <c r="AH41" s="65">
        <f>AF41*AG41</f>
        <v>0</v>
      </c>
      <c r="AI41" s="18">
        <f>AE41*AG41</f>
        <v>0</v>
      </c>
      <c r="AJ41" s="20"/>
      <c r="AK41" s="96"/>
      <c r="AL41" s="97"/>
      <c r="AM41" s="98"/>
      <c r="AN41" s="61"/>
      <c r="AO41" s="69"/>
      <c r="AP41" s="60"/>
      <c r="AQ41" s="65">
        <f>AO41*AP41</f>
        <v>0</v>
      </c>
      <c r="AR41" s="18">
        <f>AN41*AP41</f>
        <v>0</v>
      </c>
    </row>
    <row r="42" spans="1:44" ht="15.75" thickBot="1" x14ac:dyDescent="0.3">
      <c r="A42" s="24"/>
      <c r="B42" s="25"/>
      <c r="C42" s="25"/>
      <c r="D42" s="26"/>
      <c r="E42" s="9"/>
      <c r="F42" s="27"/>
      <c r="G42" s="8"/>
      <c r="H42" s="19">
        <f>SUM(H40:H41)</f>
        <v>0</v>
      </c>
      <c r="I42" s="20"/>
      <c r="J42" s="24"/>
      <c r="K42" s="25"/>
      <c r="L42" s="25"/>
      <c r="M42" s="26"/>
      <c r="N42" s="9"/>
      <c r="O42" s="27"/>
      <c r="P42" s="8"/>
      <c r="Q42" s="19">
        <f>SUM(Q40:Q41)</f>
        <v>5000</v>
      </c>
      <c r="R42" s="20"/>
      <c r="S42" s="24"/>
      <c r="T42" s="25"/>
      <c r="U42" s="25"/>
      <c r="V42" s="26"/>
      <c r="W42" s="9"/>
      <c r="X42" s="27"/>
      <c r="Y42" s="8"/>
      <c r="Z42" s="19">
        <f>SUM(Z40:Z41)</f>
        <v>0</v>
      </c>
      <c r="AA42" s="20"/>
      <c r="AB42" s="24"/>
      <c r="AC42" s="25"/>
      <c r="AD42" s="25"/>
      <c r="AE42" s="26"/>
      <c r="AF42" s="9"/>
      <c r="AG42" s="27"/>
      <c r="AH42" s="8"/>
      <c r="AI42" s="19">
        <f>SUM(AI40:AI41)</f>
        <v>0</v>
      </c>
      <c r="AJ42" s="20"/>
      <c r="AK42" s="24"/>
      <c r="AL42" s="25"/>
      <c r="AM42" s="25"/>
      <c r="AN42" s="26"/>
      <c r="AO42" s="9"/>
      <c r="AP42" s="27"/>
      <c r="AQ42" s="8"/>
      <c r="AR42" s="19">
        <f>SUM(AR40:AR41)</f>
        <v>0</v>
      </c>
    </row>
    <row r="43" spans="1:44" x14ac:dyDescent="0.25">
      <c r="A43" s="21" t="s">
        <v>35</v>
      </c>
      <c r="B43" s="59" t="s">
        <v>38</v>
      </c>
      <c r="C43" s="8"/>
      <c r="D43" s="9"/>
      <c r="E43" s="9"/>
      <c r="F43" s="8"/>
      <c r="G43" s="8"/>
      <c r="H43" s="23"/>
      <c r="I43" s="20"/>
      <c r="J43" s="21" t="s">
        <v>35</v>
      </c>
      <c r="K43" s="59" t="s">
        <v>38</v>
      </c>
      <c r="L43" s="8"/>
      <c r="M43" s="9"/>
      <c r="N43" s="9"/>
      <c r="O43" s="8"/>
      <c r="P43" s="8"/>
      <c r="Q43" s="23"/>
      <c r="R43" s="20"/>
      <c r="S43" s="21" t="s">
        <v>35</v>
      </c>
      <c r="T43" s="59" t="s">
        <v>38</v>
      </c>
      <c r="U43" s="8"/>
      <c r="V43" s="9"/>
      <c r="W43" s="9"/>
      <c r="X43" s="8"/>
      <c r="Y43" s="8"/>
      <c r="Z43" s="23"/>
      <c r="AA43" s="20"/>
      <c r="AB43" s="21" t="s">
        <v>35</v>
      </c>
      <c r="AC43" s="59" t="s">
        <v>38</v>
      </c>
      <c r="AD43" s="8"/>
      <c r="AE43" s="9"/>
      <c r="AF43" s="9"/>
      <c r="AG43" s="8"/>
      <c r="AH43" s="8"/>
      <c r="AI43" s="23"/>
      <c r="AJ43" s="20"/>
      <c r="AK43" s="21" t="s">
        <v>35</v>
      </c>
      <c r="AL43" s="59" t="s">
        <v>38</v>
      </c>
      <c r="AM43" s="8"/>
      <c r="AN43" s="9"/>
      <c r="AO43" s="9"/>
      <c r="AP43" s="8"/>
      <c r="AQ43" s="8"/>
      <c r="AR43" s="23"/>
    </row>
    <row r="44" spans="1:44" ht="15" customHeight="1" x14ac:dyDescent="0.25">
      <c r="A44" s="84" t="s">
        <v>41</v>
      </c>
      <c r="B44" s="85"/>
      <c r="C44" s="86"/>
      <c r="D44" s="12" t="str">
        <f>"Cost ("&amp;LEFT($C$2,3)&amp;")"</f>
        <v>Cost (USD)</v>
      </c>
      <c r="E44" s="12" t="str">
        <f>"Cost ("&amp;RIGHT($C$2,3)&amp;")"</f>
        <v>Cost (AUD)</v>
      </c>
      <c r="F44" s="51" t="s">
        <v>29</v>
      </c>
      <c r="G44" s="12" t="str">
        <f>"Total ("&amp;RIGHT($C$2,3)&amp;")"</f>
        <v>Total (AUD)</v>
      </c>
      <c r="H44" s="13" t="s">
        <v>3</v>
      </c>
      <c r="I44" s="20"/>
      <c r="J44" s="84" t="s">
        <v>41</v>
      </c>
      <c r="K44" s="85"/>
      <c r="L44" s="86"/>
      <c r="M44" s="12" t="str">
        <f>"Cost ("&amp;LEFT($C$2,3)&amp;")"</f>
        <v>Cost (USD)</v>
      </c>
      <c r="N44" s="12" t="str">
        <f>"Cost ("&amp;RIGHT($C$2,3)&amp;")"</f>
        <v>Cost (AUD)</v>
      </c>
      <c r="O44" s="51" t="s">
        <v>29</v>
      </c>
      <c r="P44" s="12" t="str">
        <f>"Total ("&amp;RIGHT($C$2,3)&amp;")"</f>
        <v>Total (AUD)</v>
      </c>
      <c r="Q44" s="13" t="s">
        <v>3</v>
      </c>
      <c r="R44" s="20"/>
      <c r="S44" s="84" t="s">
        <v>41</v>
      </c>
      <c r="T44" s="85"/>
      <c r="U44" s="86"/>
      <c r="V44" s="12" t="str">
        <f>"Cost ("&amp;LEFT($C$2,3)&amp;")"</f>
        <v>Cost (USD)</v>
      </c>
      <c r="W44" s="12" t="str">
        <f>"Cost ("&amp;RIGHT($C$2,3)&amp;")"</f>
        <v>Cost (AUD)</v>
      </c>
      <c r="X44" s="51" t="s">
        <v>29</v>
      </c>
      <c r="Y44" s="12" t="str">
        <f>"Total ("&amp;RIGHT($C$2,3)&amp;")"</f>
        <v>Total (AUD)</v>
      </c>
      <c r="Z44" s="13" t="s">
        <v>3</v>
      </c>
      <c r="AA44" s="20"/>
      <c r="AB44" s="84" t="s">
        <v>41</v>
      </c>
      <c r="AC44" s="85"/>
      <c r="AD44" s="86"/>
      <c r="AE44" s="12" t="str">
        <f>"Cost ("&amp;LEFT($C$2,3)&amp;")"</f>
        <v>Cost (USD)</v>
      </c>
      <c r="AF44" s="12" t="str">
        <f>"Cost ("&amp;RIGHT($C$2,3)&amp;")"</f>
        <v>Cost (AUD)</v>
      </c>
      <c r="AG44" s="51" t="s">
        <v>29</v>
      </c>
      <c r="AH44" s="12" t="str">
        <f>"Total ("&amp;RIGHT($C$2,3)&amp;")"</f>
        <v>Total (AUD)</v>
      </c>
      <c r="AI44" s="13" t="s">
        <v>3</v>
      </c>
      <c r="AJ44" s="20"/>
      <c r="AK44" s="84" t="s">
        <v>41</v>
      </c>
      <c r="AL44" s="85"/>
      <c r="AM44" s="86"/>
      <c r="AN44" s="12" t="str">
        <f>"Cost ("&amp;LEFT($C$2,3)&amp;")"</f>
        <v>Cost (USD)</v>
      </c>
      <c r="AO44" s="12" t="str">
        <f>"Cost ("&amp;RIGHT($C$2,3)&amp;")"</f>
        <v>Cost (AUD)</v>
      </c>
      <c r="AP44" s="51" t="s">
        <v>29</v>
      </c>
      <c r="AQ44" s="12" t="str">
        <f>"Total ("&amp;RIGHT($C$2,3)&amp;")"</f>
        <v>Total (AUD)</v>
      </c>
      <c r="AR44" s="13" t="s">
        <v>3</v>
      </c>
    </row>
    <row r="45" spans="1:44" x14ac:dyDescent="0.25">
      <c r="A45" s="96"/>
      <c r="B45" s="97"/>
      <c r="C45" s="98"/>
      <c r="D45" s="71"/>
      <c r="E45" s="70"/>
      <c r="F45" s="60"/>
      <c r="G45" s="66">
        <f>E45*F45</f>
        <v>0</v>
      </c>
      <c r="H45" s="42">
        <f>G45*$K$2</f>
        <v>0</v>
      </c>
      <c r="I45" s="20"/>
      <c r="J45" s="96" t="s">
        <v>13</v>
      </c>
      <c r="K45" s="97"/>
      <c r="L45" s="98"/>
      <c r="M45" s="71"/>
      <c r="N45" s="70">
        <f>262.1*2</f>
        <v>524.20000000000005</v>
      </c>
      <c r="O45" s="60">
        <v>1</v>
      </c>
      <c r="P45" s="66">
        <f>N45*O45</f>
        <v>524.20000000000005</v>
      </c>
      <c r="Q45" s="42">
        <f>P45*$K$2</f>
        <v>376.43</v>
      </c>
      <c r="R45" s="20"/>
      <c r="S45" s="96"/>
      <c r="T45" s="97"/>
      <c r="U45" s="98"/>
      <c r="V45" s="71"/>
      <c r="W45" s="70"/>
      <c r="X45" s="60"/>
      <c r="Y45" s="66">
        <f>W45*X45</f>
        <v>0</v>
      </c>
      <c r="Z45" s="42">
        <f>Y45*$K$2</f>
        <v>0</v>
      </c>
      <c r="AA45" s="20"/>
      <c r="AB45" s="96"/>
      <c r="AC45" s="97"/>
      <c r="AD45" s="98"/>
      <c r="AE45" s="71"/>
      <c r="AF45" s="70"/>
      <c r="AG45" s="60"/>
      <c r="AH45" s="66">
        <f>AF45*AG45</f>
        <v>0</v>
      </c>
      <c r="AI45" s="42">
        <f>AH45*$K$2</f>
        <v>0</v>
      </c>
      <c r="AJ45" s="20"/>
      <c r="AK45" s="96"/>
      <c r="AL45" s="97"/>
      <c r="AM45" s="98"/>
      <c r="AN45" s="71"/>
      <c r="AO45" s="70"/>
      <c r="AP45" s="60"/>
      <c r="AQ45" s="66">
        <f>AO45*AP45</f>
        <v>0</v>
      </c>
      <c r="AR45" s="42">
        <f>AQ45*$K$2</f>
        <v>0</v>
      </c>
    </row>
    <row r="46" spans="1:44" x14ac:dyDescent="0.25">
      <c r="A46" s="96"/>
      <c r="B46" s="97"/>
      <c r="C46" s="98"/>
      <c r="D46" s="71"/>
      <c r="E46" s="70"/>
      <c r="F46" s="60"/>
      <c r="G46" s="66">
        <f t="shared" ref="G46:G52" si="17">E46*F46</f>
        <v>0</v>
      </c>
      <c r="H46" s="42">
        <f t="shared" ref="H46:H48" si="18">G46*$K$2</f>
        <v>0</v>
      </c>
      <c r="I46" s="20"/>
      <c r="J46" s="96" t="s">
        <v>11</v>
      </c>
      <c r="K46" s="97"/>
      <c r="L46" s="98"/>
      <c r="M46" s="71"/>
      <c r="N46" s="70">
        <f>262.1*2*3</f>
        <v>1572.6</v>
      </c>
      <c r="O46" s="60">
        <v>1</v>
      </c>
      <c r="P46" s="66">
        <f t="shared" ref="P46:P52" si="19">N46*O46</f>
        <v>1572.6</v>
      </c>
      <c r="Q46" s="42">
        <f t="shared" ref="Q46:Q48" si="20">P46*$K$2</f>
        <v>1129.29</v>
      </c>
      <c r="R46" s="20"/>
      <c r="S46" s="96"/>
      <c r="T46" s="97"/>
      <c r="U46" s="98"/>
      <c r="V46" s="71"/>
      <c r="W46" s="70"/>
      <c r="X46" s="60"/>
      <c r="Y46" s="66">
        <f t="shared" ref="Y46:Y52" si="21">W46*X46</f>
        <v>0</v>
      </c>
      <c r="Z46" s="42">
        <f t="shared" ref="Z46:Z48" si="22">Y46*$K$2</f>
        <v>0</v>
      </c>
      <c r="AA46" s="20"/>
      <c r="AB46" s="96"/>
      <c r="AC46" s="97"/>
      <c r="AD46" s="98"/>
      <c r="AE46" s="71"/>
      <c r="AF46" s="70"/>
      <c r="AG46" s="60"/>
      <c r="AH46" s="66">
        <f t="shared" ref="AH46:AH52" si="23">AF46*AG46</f>
        <v>0</v>
      </c>
      <c r="AI46" s="42">
        <f t="shared" ref="AI46:AI48" si="24">AH46*$K$2</f>
        <v>0</v>
      </c>
      <c r="AJ46" s="20"/>
      <c r="AK46" s="96"/>
      <c r="AL46" s="97"/>
      <c r="AM46" s="98"/>
      <c r="AN46" s="71"/>
      <c r="AO46" s="70"/>
      <c r="AP46" s="60"/>
      <c r="AQ46" s="66">
        <f t="shared" ref="AQ46:AQ52" si="25">AO46*AP46</f>
        <v>0</v>
      </c>
      <c r="AR46" s="42">
        <f t="shared" ref="AR46:AR48" si="26">AQ46*$K$2</f>
        <v>0</v>
      </c>
    </row>
    <row r="47" spans="1:44" x14ac:dyDescent="0.25">
      <c r="A47" s="96"/>
      <c r="B47" s="97"/>
      <c r="C47" s="98"/>
      <c r="D47" s="71"/>
      <c r="E47" s="70"/>
      <c r="F47" s="60"/>
      <c r="G47" s="66">
        <f t="shared" si="17"/>
        <v>0</v>
      </c>
      <c r="H47" s="42">
        <f t="shared" si="18"/>
        <v>0</v>
      </c>
      <c r="I47" s="20"/>
      <c r="J47" s="96" t="s">
        <v>14</v>
      </c>
      <c r="K47" s="97"/>
      <c r="L47" s="98"/>
      <c r="M47" s="71"/>
      <c r="N47" s="70">
        <f>0.65*1000</f>
        <v>650</v>
      </c>
      <c r="O47" s="60">
        <v>2</v>
      </c>
      <c r="P47" s="66">
        <f t="shared" si="19"/>
        <v>1300</v>
      </c>
      <c r="Q47" s="42">
        <f t="shared" si="20"/>
        <v>933.53</v>
      </c>
      <c r="R47" s="20"/>
      <c r="S47" s="96"/>
      <c r="T47" s="97"/>
      <c r="U47" s="98"/>
      <c r="V47" s="71"/>
      <c r="W47" s="70"/>
      <c r="X47" s="60"/>
      <c r="Y47" s="66">
        <f t="shared" si="21"/>
        <v>0</v>
      </c>
      <c r="Z47" s="42">
        <f t="shared" si="22"/>
        <v>0</v>
      </c>
      <c r="AA47" s="20"/>
      <c r="AB47" s="96"/>
      <c r="AC47" s="97"/>
      <c r="AD47" s="98"/>
      <c r="AE47" s="71"/>
      <c r="AF47" s="70"/>
      <c r="AG47" s="60"/>
      <c r="AH47" s="66">
        <f t="shared" si="23"/>
        <v>0</v>
      </c>
      <c r="AI47" s="42">
        <f t="shared" si="24"/>
        <v>0</v>
      </c>
      <c r="AJ47" s="20"/>
      <c r="AK47" s="96"/>
      <c r="AL47" s="97"/>
      <c r="AM47" s="98"/>
      <c r="AN47" s="71"/>
      <c r="AO47" s="70"/>
      <c r="AP47" s="60"/>
      <c r="AQ47" s="66">
        <f t="shared" si="25"/>
        <v>0</v>
      </c>
      <c r="AR47" s="42">
        <f t="shared" si="26"/>
        <v>0</v>
      </c>
    </row>
    <row r="48" spans="1:44" x14ac:dyDescent="0.25">
      <c r="A48" s="96"/>
      <c r="B48" s="97"/>
      <c r="C48" s="98"/>
      <c r="D48" s="71"/>
      <c r="E48" s="70"/>
      <c r="F48" s="60"/>
      <c r="G48" s="66">
        <f t="shared" si="17"/>
        <v>0</v>
      </c>
      <c r="H48" s="42">
        <f t="shared" si="18"/>
        <v>0</v>
      </c>
      <c r="I48" s="20"/>
      <c r="J48" s="96" t="s">
        <v>12</v>
      </c>
      <c r="K48" s="97"/>
      <c r="L48" s="98"/>
      <c r="M48" s="71"/>
      <c r="N48" s="70">
        <v>15</v>
      </c>
      <c r="O48" s="60">
        <v>2</v>
      </c>
      <c r="P48" s="66">
        <f t="shared" si="19"/>
        <v>30</v>
      </c>
      <c r="Q48" s="42">
        <f t="shared" si="20"/>
        <v>21.54</v>
      </c>
      <c r="R48" s="20"/>
      <c r="S48" s="96"/>
      <c r="T48" s="97"/>
      <c r="U48" s="98"/>
      <c r="V48" s="71"/>
      <c r="W48" s="70"/>
      <c r="X48" s="60"/>
      <c r="Y48" s="66">
        <f t="shared" si="21"/>
        <v>0</v>
      </c>
      <c r="Z48" s="42">
        <f t="shared" si="22"/>
        <v>0</v>
      </c>
      <c r="AA48" s="20"/>
      <c r="AB48" s="96"/>
      <c r="AC48" s="97"/>
      <c r="AD48" s="98"/>
      <c r="AE48" s="71"/>
      <c r="AF48" s="70"/>
      <c r="AG48" s="60"/>
      <c r="AH48" s="66">
        <f t="shared" si="23"/>
        <v>0</v>
      </c>
      <c r="AI48" s="42">
        <f t="shared" si="24"/>
        <v>0</v>
      </c>
      <c r="AJ48" s="20"/>
      <c r="AK48" s="96"/>
      <c r="AL48" s="97"/>
      <c r="AM48" s="98"/>
      <c r="AN48" s="71"/>
      <c r="AO48" s="70"/>
      <c r="AP48" s="60"/>
      <c r="AQ48" s="66">
        <f t="shared" si="25"/>
        <v>0</v>
      </c>
      <c r="AR48" s="42">
        <f t="shared" si="26"/>
        <v>0</v>
      </c>
    </row>
    <row r="49" spans="1:44" x14ac:dyDescent="0.25">
      <c r="A49" s="96"/>
      <c r="B49" s="97"/>
      <c r="C49" s="98"/>
      <c r="D49" s="72"/>
      <c r="E49" s="70"/>
      <c r="F49" s="60"/>
      <c r="G49" s="66">
        <f t="shared" si="17"/>
        <v>0</v>
      </c>
      <c r="H49" s="29">
        <f>D49*F49</f>
        <v>0</v>
      </c>
      <c r="I49" s="20"/>
      <c r="J49" s="96" t="s">
        <v>15</v>
      </c>
      <c r="K49" s="97"/>
      <c r="L49" s="98"/>
      <c r="M49" s="72">
        <v>895</v>
      </c>
      <c r="N49" s="70"/>
      <c r="O49" s="60">
        <v>1</v>
      </c>
      <c r="P49" s="66">
        <f t="shared" si="19"/>
        <v>0</v>
      </c>
      <c r="Q49" s="29">
        <f>M49*O49</f>
        <v>895</v>
      </c>
      <c r="R49" s="20"/>
      <c r="S49" s="96"/>
      <c r="T49" s="97"/>
      <c r="U49" s="98"/>
      <c r="V49" s="72"/>
      <c r="W49" s="70"/>
      <c r="X49" s="60"/>
      <c r="Y49" s="66">
        <f t="shared" si="21"/>
        <v>0</v>
      </c>
      <c r="Z49" s="29">
        <f>V49*X49</f>
        <v>0</v>
      </c>
      <c r="AA49" s="20"/>
      <c r="AB49" s="96"/>
      <c r="AC49" s="97"/>
      <c r="AD49" s="98"/>
      <c r="AE49" s="72"/>
      <c r="AF49" s="70"/>
      <c r="AG49" s="60"/>
      <c r="AH49" s="66">
        <f t="shared" si="23"/>
        <v>0</v>
      </c>
      <c r="AI49" s="29">
        <f>AE49*AG49</f>
        <v>0</v>
      </c>
      <c r="AJ49" s="20"/>
      <c r="AK49" s="96"/>
      <c r="AL49" s="97"/>
      <c r="AM49" s="98"/>
      <c r="AN49" s="72"/>
      <c r="AO49" s="70"/>
      <c r="AP49" s="60"/>
      <c r="AQ49" s="66">
        <f t="shared" si="25"/>
        <v>0</v>
      </c>
      <c r="AR49" s="29">
        <f>AN49*AP49</f>
        <v>0</v>
      </c>
    </row>
    <row r="50" spans="1:44" x14ac:dyDescent="0.25">
      <c r="A50" s="96"/>
      <c r="B50" s="97"/>
      <c r="C50" s="98"/>
      <c r="D50" s="72"/>
      <c r="E50" s="70"/>
      <c r="F50" s="60"/>
      <c r="G50" s="66">
        <f t="shared" si="17"/>
        <v>0</v>
      </c>
      <c r="H50" s="28">
        <f>G50*$B$2</f>
        <v>0</v>
      </c>
      <c r="I50" s="20"/>
      <c r="J50" s="96" t="s">
        <v>16</v>
      </c>
      <c r="K50" s="97"/>
      <c r="L50" s="98"/>
      <c r="M50" s="72"/>
      <c r="N50" s="70">
        <v>2678</v>
      </c>
      <c r="O50" s="60">
        <v>1</v>
      </c>
      <c r="P50" s="66">
        <f t="shared" si="19"/>
        <v>2678</v>
      </c>
      <c r="Q50" s="28">
        <f>P50*$B$2</f>
        <v>1923.07</v>
      </c>
      <c r="R50" s="20"/>
      <c r="S50" s="96"/>
      <c r="T50" s="97"/>
      <c r="U50" s="98"/>
      <c r="V50" s="72"/>
      <c r="W50" s="70"/>
      <c r="X50" s="60"/>
      <c r="Y50" s="66">
        <f t="shared" si="21"/>
        <v>0</v>
      </c>
      <c r="Z50" s="28">
        <f>Y50*$B$2</f>
        <v>0</v>
      </c>
      <c r="AA50" s="20"/>
      <c r="AB50" s="96"/>
      <c r="AC50" s="97"/>
      <c r="AD50" s="98"/>
      <c r="AE50" s="72"/>
      <c r="AF50" s="70"/>
      <c r="AG50" s="60"/>
      <c r="AH50" s="66">
        <f t="shared" si="23"/>
        <v>0</v>
      </c>
      <c r="AI50" s="28">
        <f>AH50*$B$2</f>
        <v>0</v>
      </c>
      <c r="AJ50" s="20"/>
      <c r="AK50" s="96"/>
      <c r="AL50" s="97"/>
      <c r="AM50" s="98"/>
      <c r="AN50" s="72"/>
      <c r="AO50" s="70"/>
      <c r="AP50" s="60"/>
      <c r="AQ50" s="66">
        <f t="shared" si="25"/>
        <v>0</v>
      </c>
      <c r="AR50" s="28">
        <f>AQ50*$B$2</f>
        <v>0</v>
      </c>
    </row>
    <row r="51" spans="1:44" x14ac:dyDescent="0.25">
      <c r="A51" s="96"/>
      <c r="B51" s="97"/>
      <c r="C51" s="98"/>
      <c r="D51" s="72"/>
      <c r="E51" s="70"/>
      <c r="F51" s="60"/>
      <c r="G51" s="66">
        <f t="shared" si="17"/>
        <v>0</v>
      </c>
      <c r="H51" s="29">
        <f>D51*F51</f>
        <v>0</v>
      </c>
      <c r="I51" s="20"/>
      <c r="J51" s="96" t="s">
        <v>17</v>
      </c>
      <c r="K51" s="97"/>
      <c r="L51" s="98"/>
      <c r="M51" s="72">
        <v>161</v>
      </c>
      <c r="N51" s="70"/>
      <c r="O51" s="60">
        <v>7</v>
      </c>
      <c r="P51" s="66">
        <f t="shared" si="19"/>
        <v>0</v>
      </c>
      <c r="Q51" s="29">
        <f>M51*O51</f>
        <v>1127</v>
      </c>
      <c r="R51" s="20"/>
      <c r="S51" s="96"/>
      <c r="T51" s="97"/>
      <c r="U51" s="98"/>
      <c r="V51" s="72"/>
      <c r="W51" s="70"/>
      <c r="X51" s="60"/>
      <c r="Y51" s="66">
        <f t="shared" si="21"/>
        <v>0</v>
      </c>
      <c r="Z51" s="29">
        <f>V51*X51</f>
        <v>0</v>
      </c>
      <c r="AA51" s="20"/>
      <c r="AB51" s="96"/>
      <c r="AC51" s="97"/>
      <c r="AD51" s="98"/>
      <c r="AE51" s="72"/>
      <c r="AF51" s="70"/>
      <c r="AG51" s="60"/>
      <c r="AH51" s="66">
        <f t="shared" si="23"/>
        <v>0</v>
      </c>
      <c r="AI51" s="29">
        <f>AE51*AG51</f>
        <v>0</v>
      </c>
      <c r="AJ51" s="20"/>
      <c r="AK51" s="96"/>
      <c r="AL51" s="97"/>
      <c r="AM51" s="98"/>
      <c r="AN51" s="72"/>
      <c r="AO51" s="70"/>
      <c r="AP51" s="60"/>
      <c r="AQ51" s="66">
        <f t="shared" si="25"/>
        <v>0</v>
      </c>
      <c r="AR51" s="29">
        <f>AN51*AP51</f>
        <v>0</v>
      </c>
    </row>
    <row r="52" spans="1:44" ht="15.75" thickBot="1" x14ac:dyDescent="0.3">
      <c r="A52" s="96"/>
      <c r="B52" s="97"/>
      <c r="C52" s="98"/>
      <c r="D52" s="72"/>
      <c r="E52" s="70"/>
      <c r="F52" s="60"/>
      <c r="G52" s="66">
        <f t="shared" si="17"/>
        <v>0</v>
      </c>
      <c r="H52" s="29">
        <f>D52*F52</f>
        <v>0</v>
      </c>
      <c r="I52" s="20"/>
      <c r="J52" s="96" t="s">
        <v>18</v>
      </c>
      <c r="K52" s="97"/>
      <c r="L52" s="98"/>
      <c r="M52" s="72">
        <v>74</v>
      </c>
      <c r="N52" s="70"/>
      <c r="O52" s="60">
        <v>6.5</v>
      </c>
      <c r="P52" s="66">
        <f t="shared" si="19"/>
        <v>0</v>
      </c>
      <c r="Q52" s="29">
        <f>M52*O52</f>
        <v>481</v>
      </c>
      <c r="R52" s="20"/>
      <c r="S52" s="96"/>
      <c r="T52" s="97"/>
      <c r="U52" s="98"/>
      <c r="V52" s="72"/>
      <c r="W52" s="70"/>
      <c r="X52" s="60"/>
      <c r="Y52" s="66">
        <f t="shared" si="21"/>
        <v>0</v>
      </c>
      <c r="Z52" s="29">
        <f>V52*X52</f>
        <v>0</v>
      </c>
      <c r="AA52" s="20"/>
      <c r="AB52" s="96"/>
      <c r="AC52" s="97"/>
      <c r="AD52" s="98"/>
      <c r="AE52" s="72"/>
      <c r="AF52" s="70"/>
      <c r="AG52" s="60"/>
      <c r="AH52" s="66">
        <f t="shared" si="23"/>
        <v>0</v>
      </c>
      <c r="AI52" s="29">
        <f>AE52*AG52</f>
        <v>0</v>
      </c>
      <c r="AJ52" s="20"/>
      <c r="AK52" s="96"/>
      <c r="AL52" s="97"/>
      <c r="AM52" s="98"/>
      <c r="AN52" s="72"/>
      <c r="AO52" s="70"/>
      <c r="AP52" s="60"/>
      <c r="AQ52" s="66">
        <f t="shared" si="25"/>
        <v>0</v>
      </c>
      <c r="AR52" s="29">
        <f>AN52*AP52</f>
        <v>0</v>
      </c>
    </row>
    <row r="53" spans="1:44" ht="15.75" thickBot="1" x14ac:dyDescent="0.3">
      <c r="A53" s="21"/>
      <c r="B53" s="8"/>
      <c r="C53" s="8"/>
      <c r="D53" s="9"/>
      <c r="E53" s="9"/>
      <c r="F53" s="8"/>
      <c r="G53" s="8"/>
      <c r="H53" s="19">
        <f>SUM(H45:H52)</f>
        <v>0</v>
      </c>
      <c r="I53" s="20"/>
      <c r="J53" s="21"/>
      <c r="K53" s="8"/>
      <c r="L53" s="8"/>
      <c r="M53" s="9"/>
      <c r="N53" s="9"/>
      <c r="O53" s="8"/>
      <c r="P53" s="8"/>
      <c r="Q53" s="19">
        <f>SUM(Q45:Q52)</f>
        <v>6886.86</v>
      </c>
      <c r="R53" s="20"/>
      <c r="S53" s="21"/>
      <c r="T53" s="8"/>
      <c r="U53" s="8"/>
      <c r="V53" s="9"/>
      <c r="W53" s="9"/>
      <c r="X53" s="8"/>
      <c r="Y53" s="8"/>
      <c r="Z53" s="19">
        <f>SUM(Z45:Z52)</f>
        <v>0</v>
      </c>
      <c r="AA53" s="20"/>
      <c r="AB53" s="21"/>
      <c r="AC53" s="8"/>
      <c r="AD53" s="8"/>
      <c r="AE53" s="9"/>
      <c r="AF53" s="9"/>
      <c r="AG53" s="8"/>
      <c r="AH53" s="8"/>
      <c r="AI53" s="19">
        <f>SUM(AI45:AI52)</f>
        <v>0</v>
      </c>
      <c r="AJ53" s="20"/>
      <c r="AK53" s="21"/>
      <c r="AL53" s="8"/>
      <c r="AM53" s="8"/>
      <c r="AN53" s="9"/>
      <c r="AO53" s="9"/>
      <c r="AP53" s="8"/>
      <c r="AQ53" s="8"/>
      <c r="AR53" s="19">
        <f>SUM(AR45:AR52)</f>
        <v>0</v>
      </c>
    </row>
    <row r="54" spans="1:44" x14ac:dyDescent="0.25">
      <c r="A54" s="21" t="s">
        <v>36</v>
      </c>
      <c r="B54" s="59" t="s">
        <v>39</v>
      </c>
      <c r="C54" s="8"/>
      <c r="D54" s="9"/>
      <c r="E54" s="9"/>
      <c r="F54" s="8"/>
      <c r="G54" s="8"/>
      <c r="H54" s="23"/>
      <c r="I54" s="20"/>
      <c r="J54" s="21" t="s">
        <v>36</v>
      </c>
      <c r="K54" s="59" t="s">
        <v>39</v>
      </c>
      <c r="L54" s="8"/>
      <c r="M54" s="9"/>
      <c r="N54" s="9"/>
      <c r="O54" s="8"/>
      <c r="P54" s="8"/>
      <c r="Q54" s="23"/>
      <c r="R54" s="20"/>
      <c r="S54" s="21" t="s">
        <v>36</v>
      </c>
      <c r="T54" s="59" t="s">
        <v>39</v>
      </c>
      <c r="U54" s="8"/>
      <c r="V54" s="9"/>
      <c r="W54" s="9"/>
      <c r="X54" s="8"/>
      <c r="Y54" s="8"/>
      <c r="Z54" s="23"/>
      <c r="AA54" s="20"/>
      <c r="AB54" s="21" t="s">
        <v>36</v>
      </c>
      <c r="AC54" s="59" t="s">
        <v>39</v>
      </c>
      <c r="AD54" s="8"/>
      <c r="AE54" s="9"/>
      <c r="AF54" s="9"/>
      <c r="AG54" s="8"/>
      <c r="AH54" s="8"/>
      <c r="AI54" s="23"/>
      <c r="AJ54" s="20"/>
      <c r="AK54" s="21" t="s">
        <v>36</v>
      </c>
      <c r="AL54" s="59" t="s">
        <v>39</v>
      </c>
      <c r="AM54" s="8"/>
      <c r="AN54" s="9"/>
      <c r="AO54" s="9"/>
      <c r="AP54" s="8"/>
      <c r="AQ54" s="8"/>
      <c r="AR54" s="23"/>
    </row>
    <row r="55" spans="1:44" ht="15" customHeight="1" x14ac:dyDescent="0.25">
      <c r="A55" s="84" t="s">
        <v>41</v>
      </c>
      <c r="B55" s="85"/>
      <c r="C55" s="86"/>
      <c r="D55" s="12" t="str">
        <f>"Cost ("&amp;LEFT($C$2,3)&amp;")"</f>
        <v>Cost (USD)</v>
      </c>
      <c r="E55" s="12" t="str">
        <f>"Cost ("&amp;RIGHT($C$2,3)&amp;")"</f>
        <v>Cost (AUD)</v>
      </c>
      <c r="F55" s="51" t="s">
        <v>29</v>
      </c>
      <c r="G55" s="12" t="str">
        <f>"Total ("&amp;RIGHT($C$2,3)&amp;")"</f>
        <v>Total (AUD)</v>
      </c>
      <c r="H55" s="13" t="s">
        <v>3</v>
      </c>
      <c r="I55" s="20"/>
      <c r="J55" s="84" t="s">
        <v>41</v>
      </c>
      <c r="K55" s="85"/>
      <c r="L55" s="86"/>
      <c r="M55" s="12" t="str">
        <f>"Cost ("&amp;LEFT($C$2,3)&amp;")"</f>
        <v>Cost (USD)</v>
      </c>
      <c r="N55" s="12" t="str">
        <f>"Cost ("&amp;RIGHT($C$2,3)&amp;")"</f>
        <v>Cost (AUD)</v>
      </c>
      <c r="O55" s="51" t="s">
        <v>29</v>
      </c>
      <c r="P55" s="12" t="str">
        <f>"Total ("&amp;RIGHT($C$2,3)&amp;")"</f>
        <v>Total (AUD)</v>
      </c>
      <c r="Q55" s="13" t="s">
        <v>3</v>
      </c>
      <c r="R55" s="20"/>
      <c r="S55" s="84" t="s">
        <v>41</v>
      </c>
      <c r="T55" s="85"/>
      <c r="U55" s="86"/>
      <c r="V55" s="12" t="str">
        <f>"Cost ("&amp;LEFT($C$2,3)&amp;")"</f>
        <v>Cost (USD)</v>
      </c>
      <c r="W55" s="12" t="str">
        <f>"Cost ("&amp;RIGHT($C$2,3)&amp;")"</f>
        <v>Cost (AUD)</v>
      </c>
      <c r="X55" s="51" t="s">
        <v>29</v>
      </c>
      <c r="Y55" s="12" t="str">
        <f>"Total ("&amp;RIGHT($C$2,3)&amp;")"</f>
        <v>Total (AUD)</v>
      </c>
      <c r="Z55" s="13" t="s">
        <v>3</v>
      </c>
      <c r="AA55" s="20"/>
      <c r="AB55" s="84" t="s">
        <v>41</v>
      </c>
      <c r="AC55" s="85"/>
      <c r="AD55" s="86"/>
      <c r="AE55" s="12" t="str">
        <f>"Cost ("&amp;LEFT($C$2,3)&amp;")"</f>
        <v>Cost (USD)</v>
      </c>
      <c r="AF55" s="12" t="str">
        <f>"Cost ("&amp;RIGHT($C$2,3)&amp;")"</f>
        <v>Cost (AUD)</v>
      </c>
      <c r="AG55" s="51" t="s">
        <v>29</v>
      </c>
      <c r="AH55" s="12" t="str">
        <f>"Total ("&amp;RIGHT($C$2,3)&amp;")"</f>
        <v>Total (AUD)</v>
      </c>
      <c r="AI55" s="13" t="s">
        <v>3</v>
      </c>
      <c r="AJ55" s="20"/>
      <c r="AK55" s="84" t="s">
        <v>41</v>
      </c>
      <c r="AL55" s="85"/>
      <c r="AM55" s="86"/>
      <c r="AN55" s="12" t="str">
        <f>"Cost ("&amp;LEFT($C$2,3)&amp;")"</f>
        <v>Cost (USD)</v>
      </c>
      <c r="AO55" s="12" t="str">
        <f>"Cost ("&amp;RIGHT($C$2,3)&amp;")"</f>
        <v>Cost (AUD)</v>
      </c>
      <c r="AP55" s="51" t="s">
        <v>29</v>
      </c>
      <c r="AQ55" s="12" t="str">
        <f>"Total ("&amp;RIGHT($C$2,3)&amp;")"</f>
        <v>Total (AUD)</v>
      </c>
      <c r="AR55" s="13" t="s">
        <v>3</v>
      </c>
    </row>
    <row r="56" spans="1:44" x14ac:dyDescent="0.25">
      <c r="A56" s="96" t="s">
        <v>10</v>
      </c>
      <c r="B56" s="97"/>
      <c r="C56" s="98"/>
      <c r="D56" s="61">
        <v>2500</v>
      </c>
      <c r="E56" s="82"/>
      <c r="F56" s="80">
        <v>0</v>
      </c>
      <c r="G56" s="65">
        <f>E56*F56</f>
        <v>0</v>
      </c>
      <c r="H56" s="18">
        <f>D56*F56</f>
        <v>0</v>
      </c>
      <c r="I56" s="20"/>
      <c r="J56" s="96" t="s">
        <v>10</v>
      </c>
      <c r="K56" s="97"/>
      <c r="L56" s="98"/>
      <c r="M56" s="61">
        <v>2500</v>
      </c>
      <c r="N56" s="12"/>
      <c r="O56" s="60">
        <v>2</v>
      </c>
      <c r="P56" s="65">
        <f>N56*O56</f>
        <v>0</v>
      </c>
      <c r="Q56" s="18">
        <f>M56*O56</f>
        <v>5000</v>
      </c>
      <c r="R56" s="20"/>
      <c r="S56" s="96"/>
      <c r="T56" s="97"/>
      <c r="U56" s="98"/>
      <c r="V56" s="61"/>
      <c r="W56" s="12"/>
      <c r="X56" s="60"/>
      <c r="Y56" s="65">
        <f>W56*X56</f>
        <v>0</v>
      </c>
      <c r="Z56" s="18">
        <f>V56*X56</f>
        <v>0</v>
      </c>
      <c r="AA56" s="20"/>
      <c r="AB56" s="96"/>
      <c r="AC56" s="97"/>
      <c r="AD56" s="98"/>
      <c r="AE56" s="61"/>
      <c r="AF56" s="12"/>
      <c r="AG56" s="60"/>
      <c r="AH56" s="65">
        <f>AF56*AG56</f>
        <v>0</v>
      </c>
      <c r="AI56" s="18">
        <f>AE56*AG56</f>
        <v>0</v>
      </c>
      <c r="AJ56" s="20"/>
      <c r="AK56" s="96"/>
      <c r="AL56" s="97"/>
      <c r="AM56" s="98"/>
      <c r="AN56" s="61"/>
      <c r="AO56" s="12"/>
      <c r="AP56" s="60"/>
      <c r="AQ56" s="65">
        <f>AO56*AP56</f>
        <v>0</v>
      </c>
      <c r="AR56" s="18">
        <f>AN56*AP56</f>
        <v>0</v>
      </c>
    </row>
    <row r="57" spans="1:44" ht="15.75" thickBot="1" x14ac:dyDescent="0.3">
      <c r="A57" s="106"/>
      <c r="B57" s="106"/>
      <c r="C57" s="106"/>
      <c r="D57" s="61"/>
      <c r="E57" s="82"/>
      <c r="F57" s="80"/>
      <c r="G57" s="65">
        <f>E57*F57</f>
        <v>0</v>
      </c>
      <c r="H57" s="18">
        <f>G57*$B$2</f>
        <v>0</v>
      </c>
      <c r="I57" s="20"/>
      <c r="J57" s="96"/>
      <c r="K57" s="97"/>
      <c r="L57" s="98"/>
      <c r="M57" s="61"/>
      <c r="N57" s="69"/>
      <c r="O57" s="60"/>
      <c r="P57" s="65">
        <f>N57*O57</f>
        <v>0</v>
      </c>
      <c r="Q57" s="18">
        <f>M57*O57</f>
        <v>0</v>
      </c>
      <c r="R57" s="20"/>
      <c r="S57" s="96"/>
      <c r="T57" s="97"/>
      <c r="U57" s="98"/>
      <c r="V57" s="61"/>
      <c r="W57" s="69"/>
      <c r="X57" s="60"/>
      <c r="Y57" s="65">
        <f>W57*X57</f>
        <v>0</v>
      </c>
      <c r="Z57" s="18">
        <f>V57*X57</f>
        <v>0</v>
      </c>
      <c r="AA57" s="20"/>
      <c r="AB57" s="96"/>
      <c r="AC57" s="97"/>
      <c r="AD57" s="98"/>
      <c r="AE57" s="61"/>
      <c r="AF57" s="69"/>
      <c r="AG57" s="60"/>
      <c r="AH57" s="65">
        <f>AF57*AG57</f>
        <v>0</v>
      </c>
      <c r="AI57" s="18">
        <f>AE57*AG57</f>
        <v>0</v>
      </c>
      <c r="AJ57" s="20"/>
      <c r="AK57" s="96"/>
      <c r="AL57" s="97"/>
      <c r="AM57" s="98"/>
      <c r="AN57" s="61"/>
      <c r="AO57" s="69"/>
      <c r="AP57" s="60"/>
      <c r="AQ57" s="65">
        <f>AO57*AP57</f>
        <v>0</v>
      </c>
      <c r="AR57" s="18">
        <f>AN57*AP57</f>
        <v>0</v>
      </c>
    </row>
    <row r="58" spans="1:44" ht="15.75" thickBot="1" x14ac:dyDescent="0.3">
      <c r="A58" s="24"/>
      <c r="B58" s="25"/>
      <c r="C58" s="25"/>
      <c r="D58" s="26"/>
      <c r="E58" s="9"/>
      <c r="F58" s="27"/>
      <c r="G58" s="8"/>
      <c r="H58" s="19">
        <f>SUM(H56:H57)</f>
        <v>0</v>
      </c>
      <c r="I58" s="20"/>
      <c r="J58" s="24"/>
      <c r="K58" s="25"/>
      <c r="L58" s="25"/>
      <c r="M58" s="26"/>
      <c r="N58" s="9"/>
      <c r="O58" s="27"/>
      <c r="P58" s="8"/>
      <c r="Q58" s="19">
        <f>SUM(Q56:Q57)</f>
        <v>5000</v>
      </c>
      <c r="R58" s="20"/>
      <c r="S58" s="24"/>
      <c r="T58" s="25"/>
      <c r="U58" s="25"/>
      <c r="V58" s="26"/>
      <c r="W58" s="9"/>
      <c r="X58" s="27"/>
      <c r="Y58" s="8"/>
      <c r="Z58" s="19">
        <f>SUM(Z56:Z57)</f>
        <v>0</v>
      </c>
      <c r="AA58" s="20"/>
      <c r="AB58" s="24"/>
      <c r="AC58" s="25"/>
      <c r="AD58" s="25"/>
      <c r="AE58" s="26"/>
      <c r="AF58" s="9"/>
      <c r="AG58" s="27"/>
      <c r="AH58" s="8"/>
      <c r="AI58" s="19">
        <f>SUM(AI56:AI57)</f>
        <v>0</v>
      </c>
      <c r="AJ58" s="20"/>
      <c r="AK58" s="24"/>
      <c r="AL58" s="25"/>
      <c r="AM58" s="25"/>
      <c r="AN58" s="26"/>
      <c r="AO58" s="9"/>
      <c r="AP58" s="27"/>
      <c r="AQ58" s="8"/>
      <c r="AR58" s="19">
        <f>SUM(AR56:AR57)</f>
        <v>0</v>
      </c>
    </row>
    <row r="59" spans="1:44" x14ac:dyDescent="0.25">
      <c r="A59" s="21" t="s">
        <v>4</v>
      </c>
      <c r="B59" s="62" t="s">
        <v>40</v>
      </c>
      <c r="C59" s="8"/>
      <c r="D59" s="9"/>
      <c r="E59" s="9"/>
      <c r="F59" s="8"/>
      <c r="G59" s="8"/>
      <c r="H59" s="10"/>
      <c r="J59" s="21" t="s">
        <v>4</v>
      </c>
      <c r="K59" s="62" t="s">
        <v>40</v>
      </c>
      <c r="L59" s="8"/>
      <c r="M59" s="9"/>
      <c r="N59" s="9"/>
      <c r="O59" s="8"/>
      <c r="P59" s="8"/>
      <c r="Q59" s="10"/>
      <c r="S59" s="21" t="s">
        <v>4</v>
      </c>
      <c r="T59" s="62" t="s">
        <v>40</v>
      </c>
      <c r="U59" s="8"/>
      <c r="V59" s="9"/>
      <c r="W59" s="9"/>
      <c r="X59" s="8"/>
      <c r="Y59" s="8"/>
      <c r="Z59" s="10"/>
      <c r="AB59" s="21" t="s">
        <v>4</v>
      </c>
      <c r="AC59" s="62" t="s">
        <v>40</v>
      </c>
      <c r="AD59" s="8"/>
      <c r="AE59" s="9"/>
      <c r="AF59" s="9"/>
      <c r="AG59" s="8"/>
      <c r="AH59" s="8"/>
      <c r="AI59" s="10"/>
      <c r="AK59" s="21" t="s">
        <v>4</v>
      </c>
      <c r="AL59" s="62" t="s">
        <v>40</v>
      </c>
      <c r="AM59" s="8"/>
      <c r="AN59" s="9"/>
      <c r="AO59" s="9"/>
      <c r="AP59" s="8"/>
      <c r="AQ59" s="8"/>
      <c r="AR59" s="10"/>
    </row>
    <row r="60" spans="1:44" ht="15" customHeight="1" x14ac:dyDescent="0.25">
      <c r="A60" s="84" t="s">
        <v>41</v>
      </c>
      <c r="B60" s="85"/>
      <c r="C60" s="86"/>
      <c r="D60" s="12" t="str">
        <f>"Direct Cost ("&amp;LEFT($C$2,3)&amp;")"</f>
        <v>Direct Cost (USD)</v>
      </c>
      <c r="E60" s="47" t="s">
        <v>5</v>
      </c>
      <c r="F60" s="47"/>
      <c r="G60" s="104" t="s">
        <v>3</v>
      </c>
      <c r="H60" s="105"/>
      <c r="J60" s="84" t="s">
        <v>41</v>
      </c>
      <c r="K60" s="85"/>
      <c r="L60" s="86"/>
      <c r="M60" s="12" t="str">
        <f>"Direct Cost ("&amp;LEFT($C$2,3)&amp;")"</f>
        <v>Direct Cost (USD)</v>
      </c>
      <c r="N60" s="53" t="s">
        <v>5</v>
      </c>
      <c r="O60" s="53"/>
      <c r="P60" s="104" t="s">
        <v>3</v>
      </c>
      <c r="Q60" s="105"/>
      <c r="S60" s="84" t="s">
        <v>41</v>
      </c>
      <c r="T60" s="85"/>
      <c r="U60" s="86"/>
      <c r="V60" s="12" t="str">
        <f>"Direct Cost ("&amp;LEFT($C$2,3)&amp;")"</f>
        <v>Direct Cost (USD)</v>
      </c>
      <c r="W60" s="53" t="s">
        <v>5</v>
      </c>
      <c r="X60" s="53"/>
      <c r="Y60" s="104" t="s">
        <v>3</v>
      </c>
      <c r="Z60" s="105"/>
      <c r="AB60" s="84" t="s">
        <v>41</v>
      </c>
      <c r="AC60" s="85"/>
      <c r="AD60" s="86"/>
      <c r="AE60" s="12" t="str">
        <f>"Direct Cost ("&amp;LEFT($C$2,3)&amp;")"</f>
        <v>Direct Cost (USD)</v>
      </c>
      <c r="AF60" s="53" t="s">
        <v>5</v>
      </c>
      <c r="AG60" s="53"/>
      <c r="AH60" s="104" t="s">
        <v>3</v>
      </c>
      <c r="AI60" s="105"/>
      <c r="AK60" s="84" t="s">
        <v>41</v>
      </c>
      <c r="AL60" s="85"/>
      <c r="AM60" s="86"/>
      <c r="AN60" s="12" t="str">
        <f>"Direct Cost ("&amp;LEFT($C$2,3)&amp;")"</f>
        <v>Direct Cost (USD)</v>
      </c>
      <c r="AO60" s="53" t="s">
        <v>5</v>
      </c>
      <c r="AP60" s="53"/>
      <c r="AQ60" s="104" t="s">
        <v>3</v>
      </c>
      <c r="AR60" s="105"/>
    </row>
    <row r="61" spans="1:44" ht="15.75" thickBot="1" x14ac:dyDescent="0.3">
      <c r="A61" s="93" t="s">
        <v>6</v>
      </c>
      <c r="B61" s="94"/>
      <c r="C61" s="95"/>
      <c r="D61" s="74">
        <f>SUM(H58,H53,H42,H37,H30,H21,H15,H11)</f>
        <v>92821.79</v>
      </c>
      <c r="E61" s="73">
        <v>0.2</v>
      </c>
      <c r="F61" s="17"/>
      <c r="G61" s="102">
        <f>D61*E61</f>
        <v>18564.36</v>
      </c>
      <c r="H61" s="103"/>
      <c r="J61" s="93" t="s">
        <v>6</v>
      </c>
      <c r="K61" s="94"/>
      <c r="L61" s="95"/>
      <c r="M61" s="15">
        <f>SUM(Q58,Q53,Q42,Q37,Q30,Q15,Q11)</f>
        <v>81118.679999999993</v>
      </c>
      <c r="N61" s="73">
        <v>0.1</v>
      </c>
      <c r="O61" s="17"/>
      <c r="P61" s="102">
        <f>M61*N61</f>
        <v>8111.87</v>
      </c>
      <c r="Q61" s="103"/>
      <c r="S61" s="93"/>
      <c r="T61" s="94"/>
      <c r="U61" s="95"/>
      <c r="V61" s="15"/>
      <c r="W61" s="73"/>
      <c r="X61" s="17"/>
      <c r="Y61" s="102">
        <f>V61*W61</f>
        <v>0</v>
      </c>
      <c r="Z61" s="103"/>
      <c r="AB61" s="93"/>
      <c r="AC61" s="94"/>
      <c r="AD61" s="95"/>
      <c r="AE61" s="15">
        <f>SUM(AI58,AI53,AI42,AI37,AI30,AI15,AI11)</f>
        <v>0</v>
      </c>
      <c r="AF61" s="73"/>
      <c r="AG61" s="17"/>
      <c r="AH61" s="102">
        <f>AE61*AF61</f>
        <v>0</v>
      </c>
      <c r="AI61" s="103"/>
      <c r="AK61" s="93"/>
      <c r="AL61" s="94"/>
      <c r="AM61" s="95"/>
      <c r="AN61" s="15">
        <f>SUM(AR58,AR53,AR42,AR37,AR30,AR15,AR11)</f>
        <v>0</v>
      </c>
      <c r="AO61" s="73"/>
      <c r="AP61" s="17"/>
      <c r="AQ61" s="102">
        <f>AN61*AO61</f>
        <v>0</v>
      </c>
      <c r="AR61" s="103"/>
    </row>
    <row r="62" spans="1:44" ht="15.75" thickBot="1" x14ac:dyDescent="0.3">
      <c r="A62" s="30"/>
      <c r="B62" s="31"/>
      <c r="C62" s="31"/>
      <c r="D62" s="32"/>
      <c r="E62" s="33"/>
      <c r="F62" s="34"/>
      <c r="G62" s="26"/>
      <c r="H62" s="19">
        <f>SUM(G61:H61)</f>
        <v>18564.36</v>
      </c>
      <c r="J62" s="30"/>
      <c r="K62" s="31"/>
      <c r="L62" s="31"/>
      <c r="M62" s="32"/>
      <c r="N62" s="33"/>
      <c r="O62" s="34"/>
      <c r="P62" s="26"/>
      <c r="Q62" s="19">
        <f>SUM(P61:Q61)</f>
        <v>8111.87</v>
      </c>
      <c r="S62" s="30"/>
      <c r="T62" s="31"/>
      <c r="U62" s="31"/>
      <c r="V62" s="32"/>
      <c r="W62" s="33"/>
      <c r="X62" s="34"/>
      <c r="Y62" s="26"/>
      <c r="Z62" s="19">
        <f>SUM(Y61:Z61)</f>
        <v>0</v>
      </c>
      <c r="AB62" s="30"/>
      <c r="AC62" s="31"/>
      <c r="AD62" s="31"/>
      <c r="AE62" s="32"/>
      <c r="AF62" s="33"/>
      <c r="AG62" s="34"/>
      <c r="AH62" s="26"/>
      <c r="AI62" s="19">
        <f>SUM(AH61:AI61)</f>
        <v>0</v>
      </c>
      <c r="AK62" s="30"/>
      <c r="AL62" s="31"/>
      <c r="AM62" s="31"/>
      <c r="AN62" s="32"/>
      <c r="AO62" s="33"/>
      <c r="AP62" s="34"/>
      <c r="AQ62" s="26"/>
      <c r="AR62" s="19">
        <f>SUM(AQ61:AR61)</f>
        <v>0</v>
      </c>
    </row>
    <row r="63" spans="1:44" ht="15.75" thickBot="1" x14ac:dyDescent="0.3">
      <c r="A63" s="30"/>
      <c r="B63" s="31"/>
      <c r="C63" s="31"/>
      <c r="D63" s="32"/>
      <c r="E63" s="33"/>
      <c r="F63" s="34"/>
      <c r="G63" s="26"/>
      <c r="H63" s="35"/>
      <c r="J63" s="30"/>
      <c r="K63" s="31"/>
      <c r="L63" s="31"/>
      <c r="M63" s="32"/>
      <c r="N63" s="33"/>
      <c r="O63" s="34"/>
      <c r="P63" s="26"/>
      <c r="Q63" s="35"/>
      <c r="S63" s="30"/>
      <c r="T63" s="31"/>
      <c r="U63" s="31"/>
      <c r="V63" s="32"/>
      <c r="W63" s="33"/>
      <c r="X63" s="34"/>
      <c r="Y63" s="26"/>
      <c r="Z63" s="35"/>
      <c r="AB63" s="30"/>
      <c r="AC63" s="31"/>
      <c r="AD63" s="31"/>
      <c r="AE63" s="32"/>
      <c r="AF63" s="33"/>
      <c r="AG63" s="34"/>
      <c r="AH63" s="26"/>
      <c r="AI63" s="35"/>
      <c r="AK63" s="30"/>
      <c r="AL63" s="31"/>
      <c r="AM63" s="31"/>
      <c r="AN63" s="32"/>
      <c r="AO63" s="33"/>
      <c r="AP63" s="34"/>
      <c r="AQ63" s="26"/>
      <c r="AR63" s="35"/>
    </row>
    <row r="64" spans="1:44" ht="18" thickBot="1" x14ac:dyDescent="0.3">
      <c r="A64" s="36"/>
      <c r="B64" s="37"/>
      <c r="C64" s="37"/>
      <c r="D64" s="38"/>
      <c r="E64" s="38"/>
      <c r="F64" s="37"/>
      <c r="G64" s="39" t="s">
        <v>7</v>
      </c>
      <c r="H64" s="40">
        <f>SUM(H62,H58,H53,H42,H37,H30,H21,H15,H11)</f>
        <v>111386.15</v>
      </c>
      <c r="J64" s="36"/>
      <c r="K64" s="37"/>
      <c r="L64" s="37"/>
      <c r="M64" s="38"/>
      <c r="N64" s="38"/>
      <c r="O64" s="37"/>
      <c r="P64" s="39" t="s">
        <v>60</v>
      </c>
      <c r="Q64" s="40">
        <f>SUM(Q62,Q58,Q53,Q42,Q37,Q30,Q21,Q15,Q11)</f>
        <v>97847.76</v>
      </c>
      <c r="S64" s="36"/>
      <c r="T64" s="37"/>
      <c r="U64" s="37"/>
      <c r="V64" s="38"/>
      <c r="W64" s="38"/>
      <c r="X64" s="37"/>
      <c r="Y64" s="39" t="s">
        <v>61</v>
      </c>
      <c r="Z64" s="40">
        <f>SUM(Z62,Z58,Z53,Z42,Z37,Z30,Z21,Z15,Z11)</f>
        <v>0</v>
      </c>
      <c r="AB64" s="36"/>
      <c r="AC64" s="37"/>
      <c r="AD64" s="37"/>
      <c r="AE64" s="38"/>
      <c r="AF64" s="38"/>
      <c r="AG64" s="37"/>
      <c r="AH64" s="39" t="s">
        <v>62</v>
      </c>
      <c r="AI64" s="40">
        <f>SUM(AI62,AI58,AI53,AI42,AI37,AI30,AI21,AI15,AI11)</f>
        <v>0</v>
      </c>
      <c r="AK64" s="36"/>
      <c r="AL64" s="37"/>
      <c r="AM64" s="37"/>
      <c r="AN64" s="38"/>
      <c r="AO64" s="38"/>
      <c r="AP64" s="37"/>
      <c r="AQ64" s="39" t="s">
        <v>63</v>
      </c>
      <c r="AR64" s="40">
        <f>SUM(AR62,AR58,AR53,AR42,AR37,AR30,AR21,AR15,AR11)</f>
        <v>0</v>
      </c>
    </row>
    <row r="66" spans="7:44" x14ac:dyDescent="0.25">
      <c r="G66" s="48"/>
      <c r="H66" s="49"/>
      <c r="J66" s="20"/>
      <c r="P66" s="48"/>
      <c r="Q66" s="49"/>
      <c r="S66" s="20"/>
      <c r="Y66" s="48"/>
      <c r="Z66" s="49"/>
      <c r="AB66" s="20"/>
      <c r="AH66" s="48"/>
      <c r="AI66" s="49"/>
      <c r="AK66" s="20"/>
      <c r="AQ66" s="48"/>
      <c r="AR66" s="49"/>
    </row>
    <row r="67" spans="7:44" x14ac:dyDescent="0.25">
      <c r="J67" s="20"/>
      <c r="S67" s="20"/>
      <c r="AB67" s="20"/>
      <c r="AK67" s="20"/>
    </row>
  </sheetData>
  <mergeCells count="220">
    <mergeCell ref="AB28:AD28"/>
    <mergeCell ref="AK28:AM28"/>
    <mergeCell ref="AB27:AD27"/>
    <mergeCell ref="AK27:AM27"/>
    <mergeCell ref="AB60:AD60"/>
    <mergeCell ref="AH60:AI60"/>
    <mergeCell ref="AK60:AM60"/>
    <mergeCell ref="AQ60:AR60"/>
    <mergeCell ref="AB61:AD61"/>
    <mergeCell ref="AH61:AI61"/>
    <mergeCell ref="AK61:AM61"/>
    <mergeCell ref="AQ61:AR61"/>
    <mergeCell ref="AB56:AD56"/>
    <mergeCell ref="AK56:AM56"/>
    <mergeCell ref="AB57:AD57"/>
    <mergeCell ref="AK57:AM57"/>
    <mergeCell ref="AB51:AD51"/>
    <mergeCell ref="AK51:AM51"/>
    <mergeCell ref="AB52:AD52"/>
    <mergeCell ref="AK52:AM52"/>
    <mergeCell ref="AB55:AD55"/>
    <mergeCell ref="AK55:AM55"/>
    <mergeCell ref="AB48:AD48"/>
    <mergeCell ref="AK48:AM48"/>
    <mergeCell ref="AB49:AD49"/>
    <mergeCell ref="AK49:AM49"/>
    <mergeCell ref="AB50:AD50"/>
    <mergeCell ref="AK50:AM50"/>
    <mergeCell ref="AB45:AD45"/>
    <mergeCell ref="AK45:AM45"/>
    <mergeCell ref="AB46:AD46"/>
    <mergeCell ref="AK46:AM46"/>
    <mergeCell ref="AB47:AD47"/>
    <mergeCell ref="AK47:AM47"/>
    <mergeCell ref="AB40:AD40"/>
    <mergeCell ref="AK40:AM40"/>
    <mergeCell ref="AB41:AD41"/>
    <mergeCell ref="AK41:AM41"/>
    <mergeCell ref="AB44:AD44"/>
    <mergeCell ref="AK44:AM44"/>
    <mergeCell ref="AB35:AD35"/>
    <mergeCell ref="AK35:AM35"/>
    <mergeCell ref="AB36:AD36"/>
    <mergeCell ref="AK36:AM36"/>
    <mergeCell ref="AB39:AD39"/>
    <mergeCell ref="AK39:AM39"/>
    <mergeCell ref="AB29:AD29"/>
    <mergeCell ref="AK29:AM29"/>
    <mergeCell ref="AB33:AD33"/>
    <mergeCell ref="AK33:AM33"/>
    <mergeCell ref="AB34:AD34"/>
    <mergeCell ref="AK34:AM34"/>
    <mergeCell ref="AB24:AD24"/>
    <mergeCell ref="AK24:AM24"/>
    <mergeCell ref="AB25:AD25"/>
    <mergeCell ref="AK25:AM25"/>
    <mergeCell ref="AB26:AD26"/>
    <mergeCell ref="AK26:AM26"/>
    <mergeCell ref="AB19:AD19"/>
    <mergeCell ref="AK19:AM19"/>
    <mergeCell ref="AB20:AD20"/>
    <mergeCell ref="AK20:AM20"/>
    <mergeCell ref="AB23:AD23"/>
    <mergeCell ref="AK23:AM23"/>
    <mergeCell ref="AB1:AI1"/>
    <mergeCell ref="AK1:AR1"/>
    <mergeCell ref="AE4:AF4"/>
    <mergeCell ref="AN4:AO4"/>
    <mergeCell ref="AB14:AD14"/>
    <mergeCell ref="AK14:AM14"/>
    <mergeCell ref="AB17:AD17"/>
    <mergeCell ref="AK17:AM17"/>
    <mergeCell ref="AB18:AD18"/>
    <mergeCell ref="AK18:AM18"/>
    <mergeCell ref="AB13:AD13"/>
    <mergeCell ref="AK13:AM13"/>
    <mergeCell ref="AB5:AC5"/>
    <mergeCell ref="AB6:AC6"/>
    <mergeCell ref="AB7:AC7"/>
    <mergeCell ref="AB8:AC8"/>
    <mergeCell ref="AB9:AC9"/>
    <mergeCell ref="AB10:AC10"/>
    <mergeCell ref="AK5:AL5"/>
    <mergeCell ref="AK6:AL6"/>
    <mergeCell ref="AK7:AL7"/>
    <mergeCell ref="AK8:AL8"/>
    <mergeCell ref="AK9:AL9"/>
    <mergeCell ref="AK10:AL10"/>
    <mergeCell ref="S57:U57"/>
    <mergeCell ref="S60:U60"/>
    <mergeCell ref="Y60:Z60"/>
    <mergeCell ref="S61:U61"/>
    <mergeCell ref="Y61:Z61"/>
    <mergeCell ref="S50:U50"/>
    <mergeCell ref="S51:U51"/>
    <mergeCell ref="S52:U52"/>
    <mergeCell ref="S55:U55"/>
    <mergeCell ref="S56:U56"/>
    <mergeCell ref="S45:U45"/>
    <mergeCell ref="S46:U46"/>
    <mergeCell ref="S47:U47"/>
    <mergeCell ref="S48:U48"/>
    <mergeCell ref="S49:U49"/>
    <mergeCell ref="S36:U36"/>
    <mergeCell ref="S39:U39"/>
    <mergeCell ref="S40:U40"/>
    <mergeCell ref="S41:U41"/>
    <mergeCell ref="S44:U44"/>
    <mergeCell ref="S26:U26"/>
    <mergeCell ref="S29:U29"/>
    <mergeCell ref="S33:U33"/>
    <mergeCell ref="S34:U34"/>
    <mergeCell ref="S35:U35"/>
    <mergeCell ref="S27:U27"/>
    <mergeCell ref="S19:U19"/>
    <mergeCell ref="S20:U20"/>
    <mergeCell ref="S23:U23"/>
    <mergeCell ref="S24:U24"/>
    <mergeCell ref="S25:U25"/>
    <mergeCell ref="S28:U28"/>
    <mergeCell ref="S1:Z1"/>
    <mergeCell ref="V4:W4"/>
    <mergeCell ref="S13:U13"/>
    <mergeCell ref="S14:U14"/>
    <mergeCell ref="S17:U17"/>
    <mergeCell ref="S18:U18"/>
    <mergeCell ref="J8:K8"/>
    <mergeCell ref="J9:K9"/>
    <mergeCell ref="J10:K10"/>
    <mergeCell ref="S5:T5"/>
    <mergeCell ref="S6:T6"/>
    <mergeCell ref="S7:T7"/>
    <mergeCell ref="S8:T8"/>
    <mergeCell ref="S9:T9"/>
    <mergeCell ref="S10:T10"/>
    <mergeCell ref="A40:C40"/>
    <mergeCell ref="A55:C55"/>
    <mergeCell ref="A56:C56"/>
    <mergeCell ref="A57:C57"/>
    <mergeCell ref="M4:N4"/>
    <mergeCell ref="J17:L17"/>
    <mergeCell ref="J18:L18"/>
    <mergeCell ref="J19:L19"/>
    <mergeCell ref="J20:L20"/>
    <mergeCell ref="J26:L26"/>
    <mergeCell ref="J33:L33"/>
    <mergeCell ref="J34:L34"/>
    <mergeCell ref="J35:L35"/>
    <mergeCell ref="J36:L36"/>
    <mergeCell ref="A49:C49"/>
    <mergeCell ref="J49:L49"/>
    <mergeCell ref="A50:C50"/>
    <mergeCell ref="J50:L50"/>
    <mergeCell ref="A51:C51"/>
    <mergeCell ref="J51:L51"/>
    <mergeCell ref="A46:C46"/>
    <mergeCell ref="J46:L46"/>
    <mergeCell ref="J40:L40"/>
    <mergeCell ref="J55:L55"/>
    <mergeCell ref="A61:C61"/>
    <mergeCell ref="G61:H61"/>
    <mergeCell ref="J61:L61"/>
    <mergeCell ref="P61:Q61"/>
    <mergeCell ref="A52:C52"/>
    <mergeCell ref="J52:L52"/>
    <mergeCell ref="A60:C60"/>
    <mergeCell ref="G60:H60"/>
    <mergeCell ref="J60:L60"/>
    <mergeCell ref="P60:Q60"/>
    <mergeCell ref="J56:L56"/>
    <mergeCell ref="J57:L57"/>
    <mergeCell ref="A47:C47"/>
    <mergeCell ref="J47:L47"/>
    <mergeCell ref="A48:C48"/>
    <mergeCell ref="J48:L48"/>
    <mergeCell ref="A41:C41"/>
    <mergeCell ref="J41:L41"/>
    <mergeCell ref="A44:C44"/>
    <mergeCell ref="J44:L44"/>
    <mergeCell ref="A45:C45"/>
    <mergeCell ref="J45:L45"/>
    <mergeCell ref="A25:C25"/>
    <mergeCell ref="J25:L25"/>
    <mergeCell ref="A29:C29"/>
    <mergeCell ref="J29:L29"/>
    <mergeCell ref="A39:C39"/>
    <mergeCell ref="J39:L39"/>
    <mergeCell ref="A26:C26"/>
    <mergeCell ref="A33:C33"/>
    <mergeCell ref="A34:C34"/>
    <mergeCell ref="A35:C35"/>
    <mergeCell ref="A36:C36"/>
    <mergeCell ref="A27:C27"/>
    <mergeCell ref="J27:L27"/>
    <mergeCell ref="A28:C28"/>
    <mergeCell ref="J28:L28"/>
    <mergeCell ref="A14:C14"/>
    <mergeCell ref="J14:L14"/>
    <mergeCell ref="A23:C23"/>
    <mergeCell ref="J23:L23"/>
    <mergeCell ref="A24:C24"/>
    <mergeCell ref="J24:L24"/>
    <mergeCell ref="A17:C17"/>
    <mergeCell ref="A18:C18"/>
    <mergeCell ref="A19:C19"/>
    <mergeCell ref="A20:C20"/>
    <mergeCell ref="A13:C13"/>
    <mergeCell ref="J13:L13"/>
    <mergeCell ref="A1:H1"/>
    <mergeCell ref="J1:Q1"/>
    <mergeCell ref="D4:E4"/>
    <mergeCell ref="A5:B5"/>
    <mergeCell ref="A8:B8"/>
    <mergeCell ref="A7:B7"/>
    <mergeCell ref="A6:B6"/>
    <mergeCell ref="A10:B10"/>
    <mergeCell ref="A9:B9"/>
    <mergeCell ref="J5:K5"/>
    <mergeCell ref="J6:K6"/>
    <mergeCell ref="J7:K7"/>
  </mergeCells>
  <pageMargins left="0.7" right="0.7" top="0.75" bottom="0.75" header="0.3" footer="0.3"/>
  <pageSetup scale="72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23" ma:contentTypeDescription="Create a new document." ma:contentTypeScope="" ma:versionID="5462c705324fdaa7e9a34f8447ed0521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f10dddb6fc547989e30902934a79b349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Project_x0020_Number" minOccurs="0"/>
                <xsd:element ref="ns2:ProjectName" minOccurs="0"/>
                <xsd:element ref="ns2:ContractNumber" minOccurs="0"/>
                <xsd:element ref="ns2:Base_x002f_Option" minOccurs="0"/>
                <xsd:element ref="ns2:FY" minOccurs="0"/>
                <xsd:element ref="ns2:Status" minOccurs="0"/>
                <xsd:element ref="ns2:DocumentType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Project_x0020_Number" ma:index="19" nillable="true" ma:displayName="Project Number" ma:internalName="Project_x0020_Number">
      <xsd:simpleType>
        <xsd:restriction base="dms:Text">
          <xsd:maxLength value="255"/>
        </xsd:restriction>
      </xsd:simpleType>
    </xsd:element>
    <xsd:element name="ProjectName" ma:index="20" nillable="true" ma:displayName="Project Name" ma:format="Dropdown" ma:internalName="ProjectName">
      <xsd:simpleType>
        <xsd:restriction base="dms:Text">
          <xsd:maxLength value="255"/>
        </xsd:restriction>
      </xsd:simpleType>
    </xsd:element>
    <xsd:element name="ContractNumber" ma:index="21" nillable="true" ma:displayName="Contract Number" ma:format="Dropdown" ma:internalName="ContractNumber">
      <xsd:simpleType>
        <xsd:restriction base="dms:Text">
          <xsd:maxLength value="255"/>
        </xsd:restriction>
      </xsd:simpleType>
    </xsd:element>
    <xsd:element name="Base_x002f_Option" ma:index="22" nillable="true" ma:displayName="Base/Option" ma:format="Dropdown" ma:internalName="Base_x002f_Option">
      <xsd:simpleType>
        <xsd:restriction base="dms:Text">
          <xsd:maxLength value="255"/>
        </xsd:restriction>
      </xsd:simpleType>
    </xsd:element>
    <xsd:element name="FY" ma:index="23" nillable="true" ma:displayName="FY" ma:format="Dropdown" ma:internalName="FY">
      <xsd:simpleType>
        <xsd:restriction base="dms:Text">
          <xsd:maxLength value="255"/>
        </xsd:restriction>
      </xsd:simpleType>
    </xsd:element>
    <xsd:element name="Status" ma:index="24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DocumentType" ma:index="25" nillable="true" ma:displayName="Document Type" ma:format="Dropdown" ma:internalName="DocumentType">
      <xsd:simpleType>
        <xsd:restriction base="dms:Text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371d0bb2-52db-464f-9eb9-19250e16274f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4233fc49-3339-4531-8895-cee7bd229291" xsi:nil="true"/>
    <FY xmlns="4233fc49-3339-4531-8895-cee7bd229291" xsi:nil="true"/>
    <DocumentType xmlns="4233fc49-3339-4531-8895-cee7bd229291" xsi:nil="true"/>
    <Base_x002f_Option xmlns="4233fc49-3339-4531-8895-cee7bd229291" xsi:nil="true"/>
    <_ip_UnifiedCompliancePolicyUIAction xmlns="http://schemas.microsoft.com/sharepoint/v3" xsi:nil="true"/>
    <ContractNumber xmlns="4233fc49-3339-4531-8895-cee7bd229291" xsi:nil="true"/>
    <_ip_UnifiedCompliancePolicyProperties xmlns="http://schemas.microsoft.com/sharepoint/v3" xsi:nil="true"/>
    <ProjectName xmlns="4233fc49-3339-4531-8895-cee7bd229291" xsi:nil="true"/>
    <SharedWithUsers xmlns="c93905bf-b08c-430b-8630-76f4d352397a">
      <UserInfo>
        <DisplayName/>
        <AccountId xsi:nil="true"/>
        <AccountType/>
      </UserInfo>
    </SharedWithUsers>
    <lcf76f155ced4ddcb4097134ff3c332f xmlns="4233fc49-3339-4531-8895-cee7bd229291">
      <Terms xmlns="http://schemas.microsoft.com/office/infopath/2007/PartnerControls"/>
    </lcf76f155ced4ddcb4097134ff3c332f>
    <Status xmlns="4233fc49-3339-4531-8895-cee7bd229291" xsi:nil="true"/>
    <TaxCatchAll xmlns="c93905bf-b08c-430b-8630-76f4d352397a" xsi:nil="true"/>
    <Project_x0020_Number xmlns="4233fc49-3339-4531-8895-cee7bd229291" xsi:nil="true"/>
  </documentManagement>
</p:properties>
</file>

<file path=customXml/itemProps1.xml><?xml version="1.0" encoding="utf-8"?>
<ds:datastoreItem xmlns:ds="http://schemas.openxmlformats.org/officeDocument/2006/customXml" ds:itemID="{3B691A2A-E189-40E9-92C5-B0E92CFB0B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2B693A-213D-4502-9945-27302BAE3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33fc49-3339-4531-8895-cee7bd229291"/>
    <ds:schemaRef ds:uri="c93905bf-b08c-430b-8630-76f4d3523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2F8B28-37FA-4E96-9DBB-728096D9DD82}">
  <ds:schemaRefs>
    <ds:schemaRef ds:uri="http://schemas.microsoft.com/office/2006/metadata/properties"/>
    <ds:schemaRef ds:uri="http://schemas.microsoft.com/office/infopath/2007/PartnerControls"/>
    <ds:schemaRef ds:uri="4233fc49-3339-4531-8895-cee7bd229291"/>
    <ds:schemaRef ds:uri="http://schemas.microsoft.com/sharepoint/v3"/>
    <ds:schemaRef ds:uri="c93905bf-b08c-430b-8630-76f4d35239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Cost Proposal</vt:lpstr>
      <vt:lpstr>'Cost Proposal'!Print_Area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Leong, Timothy G Dr CIV USA AMC</dc:creator>
  <cp:lastModifiedBy>Leong, Timothy G CIV USARMY DEVCOM PAC (USA)</cp:lastModifiedBy>
  <dcterms:created xsi:type="dcterms:W3CDTF">2022-08-24T05:30:38Z</dcterms:created>
  <dcterms:modified xsi:type="dcterms:W3CDTF">2023-05-26T01:43:58Z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