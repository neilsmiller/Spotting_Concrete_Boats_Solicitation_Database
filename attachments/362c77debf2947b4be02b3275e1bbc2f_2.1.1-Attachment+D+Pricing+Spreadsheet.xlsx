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cegov.sharepoint.com/sites/OAQ-AOM/MS Documents/MISSION SUPPORT [MS]/MS CUSTOMERS AND CONTRACTS/OAFM/70CMSW26Q00000009 - Office Space Requirement/"/>
    </mc:Choice>
  </mc:AlternateContent>
  <xr:revisionPtr revIDLastSave="1007" documentId="8_{41283BB5-290F-472B-92AF-1DECFDAB95B8}" xr6:coauthVersionLast="47" xr6:coauthVersionMax="47" xr10:uidLastSave="{A4F987C7-1949-4A3A-8276-039DEA4000C0}"/>
  <bookViews>
    <workbookView xWindow="28680" yWindow="-120" windowWidth="29040" windowHeight="15720" activeTab="1" xr2:uid="{3CC4550D-6D5E-4DFA-B4B2-7886D6FDAAAC}"/>
  </bookViews>
  <sheets>
    <sheet name="Instructions" sheetId="2" r:id="rId1"/>
    <sheet name="Pricing Spreadsheet" sheetId="1" r:id="rId2"/>
    <sheet name="State Totals" sheetId="3" state="hidden"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2" i="1" l="1"/>
  <c r="F9" i="1"/>
  <c r="G9" i="1" s="1"/>
  <c r="F10" i="1"/>
  <c r="G10" i="1" s="1"/>
  <c r="F11" i="1"/>
  <c r="G11" i="1" s="1"/>
  <c r="F12" i="1"/>
  <c r="F13" i="1"/>
  <c r="G13" i="1" s="1"/>
  <c r="F14" i="1"/>
  <c r="G14" i="1" s="1"/>
  <c r="F15" i="1"/>
  <c r="G15" i="1" s="1"/>
  <c r="F17" i="1"/>
  <c r="G17" i="1" s="1"/>
  <c r="F18" i="1"/>
  <c r="F19" i="1"/>
  <c r="G19" i="1" s="1"/>
  <c r="F20" i="1"/>
  <c r="G20" i="1" s="1"/>
  <c r="F21" i="1"/>
  <c r="G21" i="1" s="1"/>
  <c r="F22" i="1"/>
  <c r="G22" i="1" s="1"/>
  <c r="F23" i="1"/>
  <c r="G23" i="1" s="1"/>
  <c r="F24" i="1"/>
  <c r="G24" i="1" s="1"/>
  <c r="F26" i="1"/>
  <c r="D7" i="3" s="1"/>
  <c r="E7" i="3" s="1"/>
  <c r="F28" i="1"/>
  <c r="D8" i="3" s="1"/>
  <c r="E8" i="3" s="1"/>
  <c r="F30" i="1"/>
  <c r="D9" i="3" s="1"/>
  <c r="E9" i="3" s="1"/>
  <c r="F32" i="1"/>
  <c r="F33" i="1"/>
  <c r="G33" i="1" s="1"/>
  <c r="F34" i="1"/>
  <c r="G34" i="1" s="1"/>
  <c r="F35" i="1"/>
  <c r="G35" i="1" s="1"/>
  <c r="F36" i="1"/>
  <c r="G36" i="1" s="1"/>
  <c r="F37" i="1"/>
  <c r="G37" i="1" s="1"/>
  <c r="F38" i="1"/>
  <c r="F39" i="1"/>
  <c r="G39" i="1" s="1"/>
  <c r="F40" i="1"/>
  <c r="G40" i="1" s="1"/>
  <c r="F41" i="1"/>
  <c r="G41" i="1" s="1"/>
  <c r="F43" i="1"/>
  <c r="F44" i="1"/>
  <c r="G44" i="1" s="1"/>
  <c r="F45" i="1"/>
  <c r="G45" i="1" s="1"/>
  <c r="F47" i="1"/>
  <c r="D12" i="3" s="1"/>
  <c r="E12" i="3" s="1"/>
  <c r="F49" i="1"/>
  <c r="G49" i="1" s="1"/>
  <c r="F50" i="1"/>
  <c r="G50" i="1" s="1"/>
  <c r="F52" i="1"/>
  <c r="D14" i="3" s="1"/>
  <c r="E14" i="3" s="1"/>
  <c r="F54" i="1"/>
  <c r="F55" i="1"/>
  <c r="G55" i="1" s="1"/>
  <c r="F57" i="1"/>
  <c r="G57" i="1" s="1"/>
  <c r="F59" i="1"/>
  <c r="G59" i="1" s="1"/>
  <c r="F61" i="1"/>
  <c r="D18" i="3" s="1"/>
  <c r="E18" i="3" s="1"/>
  <c r="F62" i="1"/>
  <c r="G62" i="1" s="1"/>
  <c r="F64" i="1"/>
  <c r="G64" i="1" s="1"/>
  <c r="F65" i="1"/>
  <c r="G65" i="1" s="1"/>
  <c r="F67" i="1"/>
  <c r="G67" i="1" s="1"/>
  <c r="F68" i="1"/>
  <c r="G68" i="1" s="1"/>
  <c r="F69" i="1"/>
  <c r="G69" i="1" s="1"/>
  <c r="F71" i="1"/>
  <c r="D21" i="3" s="1"/>
  <c r="E21" i="3" s="1"/>
  <c r="F73" i="1"/>
  <c r="D22" i="3" s="1"/>
  <c r="E22" i="3" s="1"/>
  <c r="F75" i="1"/>
  <c r="F76" i="1"/>
  <c r="G76" i="1" s="1"/>
  <c r="F78" i="1"/>
  <c r="G78" i="1" s="1"/>
  <c r="F79" i="1"/>
  <c r="G79" i="1" s="1"/>
  <c r="F81" i="1"/>
  <c r="G81" i="1" s="1"/>
  <c r="F83" i="1"/>
  <c r="F84" i="1"/>
  <c r="G84" i="1" s="1"/>
  <c r="F85" i="1"/>
  <c r="G85" i="1" s="1"/>
  <c r="F87" i="1"/>
  <c r="G87" i="1" s="1"/>
  <c r="F89" i="1"/>
  <c r="D28" i="3" s="1"/>
  <c r="E28" i="3" s="1"/>
  <c r="F91" i="1"/>
  <c r="G91" i="1" s="1"/>
  <c r="F92" i="1"/>
  <c r="G92" i="1" s="1"/>
  <c r="F94" i="1"/>
  <c r="D30" i="3" s="1"/>
  <c r="E30" i="3" s="1"/>
  <c r="F96" i="1"/>
  <c r="G96" i="1" s="1"/>
  <c r="F97" i="1"/>
  <c r="G97" i="1" s="1"/>
  <c r="F99" i="1"/>
  <c r="D32" i="3" s="1"/>
  <c r="E32" i="3" s="1"/>
  <c r="F100" i="1"/>
  <c r="F102" i="1"/>
  <c r="G102" i="1" s="1"/>
  <c r="F103" i="1"/>
  <c r="G103" i="1" s="1"/>
  <c r="F105" i="1"/>
  <c r="G105" i="1" s="1"/>
  <c r="F107" i="1"/>
  <c r="G107" i="1" s="1"/>
  <c r="F109" i="1"/>
  <c r="G109" i="1" s="1"/>
  <c r="F110" i="1"/>
  <c r="G110" i="1" s="1"/>
  <c r="F112" i="1"/>
  <c r="D37" i="3" s="1"/>
  <c r="E37" i="3" s="1"/>
  <c r="F113" i="1"/>
  <c r="F115" i="1"/>
  <c r="G115" i="1" s="1"/>
  <c r="F116" i="1"/>
  <c r="G116" i="1" s="1"/>
  <c r="F118" i="1"/>
  <c r="G118" i="1" s="1"/>
  <c r="F119" i="1"/>
  <c r="G119" i="1" s="1"/>
  <c r="F120" i="1"/>
  <c r="G120" i="1" s="1"/>
  <c r="F121" i="1"/>
  <c r="G121" i="1" s="1"/>
  <c r="F122" i="1"/>
  <c r="G122" i="1" s="1"/>
  <c r="F124" i="1"/>
  <c r="D40" i="3" s="1"/>
  <c r="E40" i="3" s="1"/>
  <c r="F126" i="1"/>
  <c r="G126" i="1" s="1"/>
  <c r="F127" i="1"/>
  <c r="F129" i="1"/>
  <c r="G129" i="1" s="1"/>
  <c r="F130" i="1"/>
  <c r="F132" i="1"/>
  <c r="G132" i="1" s="1"/>
  <c r="F134" i="1"/>
  <c r="G134" i="1" s="1"/>
  <c r="F136" i="1"/>
  <c r="D45" i="3" s="1"/>
  <c r="E45" i="3" s="1"/>
  <c r="F137" i="1"/>
  <c r="G137" i="1" s="1"/>
  <c r="F139" i="1"/>
  <c r="D46" i="3" s="1"/>
  <c r="E46" i="3" s="1"/>
  <c r="F8" i="1"/>
  <c r="G8" i="1" s="1"/>
  <c r="F6" i="1"/>
  <c r="G6" i="1" s="1"/>
  <c r="F5" i="1"/>
  <c r="G5" i="1" s="1"/>
  <c r="F141" i="1"/>
  <c r="K15" i="2"/>
  <c r="L15" i="2" s="1"/>
  <c r="K16" i="2"/>
  <c r="L16" i="2" s="1"/>
  <c r="K17" i="2"/>
  <c r="L17" i="2" s="1"/>
  <c r="K14" i="2"/>
  <c r="L14" i="2" s="1"/>
  <c r="K12" i="2"/>
  <c r="L12" i="2" s="1"/>
  <c r="K11" i="2"/>
  <c r="L11" i="2" s="1"/>
  <c r="G12" i="1"/>
  <c r="G100" i="1"/>
  <c r="G113" i="1"/>
  <c r="D140" i="1"/>
  <c r="F140" i="1" s="1"/>
  <c r="G18" i="1"/>
  <c r="G28" i="1"/>
  <c r="G38" i="1"/>
  <c r="G54" i="1"/>
  <c r="G75" i="1"/>
  <c r="G124" i="1"/>
  <c r="G127" i="1"/>
  <c r="G130" i="1"/>
  <c r="G144" i="1" l="1"/>
  <c r="G145" i="1" s="1"/>
  <c r="G146" i="1" s="1"/>
  <c r="G71" i="1"/>
  <c r="G47" i="1"/>
  <c r="G26" i="1"/>
  <c r="D11" i="3"/>
  <c r="E11" i="3" s="1"/>
  <c r="G99" i="1"/>
  <c r="G61" i="1"/>
  <c r="D15" i="3"/>
  <c r="E15" i="3" s="1"/>
  <c r="D10" i="3"/>
  <c r="E10" i="3" s="1"/>
  <c r="G43" i="1"/>
  <c r="D23" i="3"/>
  <c r="E23" i="3" s="1"/>
  <c r="D31" i="3"/>
  <c r="E31" i="3" s="1"/>
  <c r="D13" i="3"/>
  <c r="E13" i="3" s="1"/>
  <c r="G139" i="1"/>
  <c r="D41" i="3"/>
  <c r="E41" i="3" s="1"/>
  <c r="G52" i="1"/>
  <c r="D4" i="3"/>
  <c r="E4" i="3" s="1"/>
  <c r="D26" i="3"/>
  <c r="E26" i="3" s="1"/>
  <c r="D33" i="3"/>
  <c r="E33" i="3" s="1"/>
  <c r="G112" i="1"/>
  <c r="G32" i="1"/>
  <c r="G89" i="1"/>
  <c r="G73" i="1"/>
  <c r="G30" i="1"/>
  <c r="D39" i="3"/>
  <c r="E39" i="3" s="1"/>
  <c r="D20" i="3"/>
  <c r="E20" i="3" s="1"/>
  <c r="D24" i="3"/>
  <c r="E24" i="3" s="1"/>
  <c r="G83" i="1"/>
  <c r="D17" i="3"/>
  <c r="E17" i="3" s="1"/>
  <c r="D25" i="3"/>
  <c r="E25" i="3" s="1"/>
  <c r="D34" i="3"/>
  <c r="E34" i="3" s="1"/>
  <c r="D42" i="3"/>
  <c r="E42" i="3" s="1"/>
  <c r="D19" i="3"/>
  <c r="E19" i="3" s="1"/>
  <c r="D27" i="3"/>
  <c r="E27" i="3" s="1"/>
  <c r="D35" i="3"/>
  <c r="E35" i="3" s="1"/>
  <c r="D43" i="3"/>
  <c r="E43" i="3" s="1"/>
  <c r="D16" i="3"/>
  <c r="E16" i="3" s="1"/>
  <c r="D36" i="3"/>
  <c r="E36" i="3" s="1"/>
  <c r="D44" i="3"/>
  <c r="E44" i="3" s="1"/>
  <c r="G94" i="1"/>
  <c r="D5" i="3"/>
  <c r="E5" i="3" s="1"/>
  <c r="D29" i="3"/>
  <c r="E29" i="3" s="1"/>
  <c r="D6" i="3"/>
  <c r="E6" i="3" s="1"/>
  <c r="D38" i="3"/>
  <c r="E38" i="3" s="1"/>
  <c r="F142" i="1"/>
  <c r="G147" i="1" l="1"/>
</calcChain>
</file>

<file path=xl/sharedStrings.xml><?xml version="1.0" encoding="utf-8"?>
<sst xmlns="http://schemas.openxmlformats.org/spreadsheetml/2006/main" count="316" uniqueCount="258">
  <si>
    <t>State</t>
  </si>
  <si>
    <t>City</t>
  </si>
  <si>
    <t>AL</t>
  </si>
  <si>
    <t>(Alabama)</t>
  </si>
  <si>
    <t>Huntsville</t>
  </si>
  <si>
    <t>Montgomery</t>
  </si>
  <si>
    <t>(Arizona)</t>
  </si>
  <si>
    <t>Casa Grande</t>
  </si>
  <si>
    <t>Chandler</t>
  </si>
  <si>
    <t>Concho</t>
  </si>
  <si>
    <t>Eloy</t>
  </si>
  <si>
    <t>Mesa</t>
  </si>
  <si>
    <t>Phoenix</t>
  </si>
  <si>
    <t>Scottsdale</t>
  </si>
  <si>
    <t>Tucson</t>
  </si>
  <si>
    <t>(California)</t>
  </si>
  <si>
    <t>Long Beach</t>
  </si>
  <si>
    <t>Morgan Hill</t>
  </si>
  <si>
    <t>Rocklin</t>
  </si>
  <si>
    <t>Sacramento</t>
  </si>
  <si>
    <t>San Bernadino</t>
  </si>
  <si>
    <t>San Diego</t>
  </si>
  <si>
    <t>San Francisco</t>
  </si>
  <si>
    <t>Santa Ana</t>
  </si>
  <si>
    <t>(Colorado)</t>
  </si>
  <si>
    <t>Colorado Springs</t>
  </si>
  <si>
    <t>(Connecticut)</t>
  </si>
  <si>
    <t>Hartford</t>
  </si>
  <si>
    <t>(Delaware)</t>
  </si>
  <si>
    <t>Wilmington</t>
  </si>
  <si>
    <t>(Florida)</t>
  </si>
  <si>
    <t>Bradenton</t>
  </si>
  <si>
    <t>Ft. Myers</t>
  </si>
  <si>
    <t>Gainesville</t>
  </si>
  <si>
    <t>Jacksonville</t>
  </si>
  <si>
    <t>Miami</t>
  </si>
  <si>
    <t>Niceville</t>
  </si>
  <si>
    <t>Orlando</t>
  </si>
  <si>
    <t>Sarasota</t>
  </si>
  <si>
    <t>Tampa</t>
  </si>
  <si>
    <t>West Palm Beach</t>
  </si>
  <si>
    <t>(Georgia)</t>
  </si>
  <si>
    <t>Atlanta</t>
  </si>
  <si>
    <t>Leesburg</t>
  </si>
  <si>
    <t>(Hawaii)</t>
  </si>
  <si>
    <t>Honolulu</t>
  </si>
  <si>
    <t>(Illinois)</t>
  </si>
  <si>
    <t>Chicago</t>
  </si>
  <si>
    <t>Rock Island</t>
  </si>
  <si>
    <t>(Indiana)</t>
  </si>
  <si>
    <t>Indianapolis</t>
  </si>
  <si>
    <t>(Kansas)</t>
  </si>
  <si>
    <t>Kansas City</t>
  </si>
  <si>
    <t>Manhattan</t>
  </si>
  <si>
    <t>(Kentucky)</t>
  </si>
  <si>
    <t>Louisville</t>
  </si>
  <si>
    <t>(Louisiana)</t>
  </si>
  <si>
    <t>Baton Rouge</t>
  </si>
  <si>
    <t>(Massachusetts)</t>
  </si>
  <si>
    <t>Boston</t>
  </si>
  <si>
    <t>Burlington</t>
  </si>
  <si>
    <t>(Maryland)</t>
  </si>
  <si>
    <t>Baltimore</t>
  </si>
  <si>
    <t>Frederick</t>
  </si>
  <si>
    <t>(Maine)</t>
  </si>
  <si>
    <t>Caribou</t>
  </si>
  <si>
    <t>Portland</t>
  </si>
  <si>
    <t>Scarborough</t>
  </si>
  <si>
    <t>(Michigan)</t>
  </si>
  <si>
    <t>Grand Rapids</t>
  </si>
  <si>
    <t>(Minnesota)</t>
  </si>
  <si>
    <t>Fort Snelling</t>
  </si>
  <si>
    <t>(Missouri)</t>
  </si>
  <si>
    <t>St. Louis</t>
  </si>
  <si>
    <t>(Mississippi)</t>
  </si>
  <si>
    <t>Gulfport</t>
  </si>
  <si>
    <t>Vicksburg</t>
  </si>
  <si>
    <t>(Montana)</t>
  </si>
  <si>
    <t>Savage</t>
  </si>
  <si>
    <t>(North Carolina)</t>
  </si>
  <si>
    <t>Cary</t>
  </si>
  <si>
    <t>Charlotte</t>
  </si>
  <si>
    <t>Raleigh</t>
  </si>
  <si>
    <t>(New Hampshire)</t>
  </si>
  <si>
    <t>Manchester</t>
  </si>
  <si>
    <t>(Nebraska)</t>
  </si>
  <si>
    <t>Omaha</t>
  </si>
  <si>
    <t>(New Jersey)</t>
  </si>
  <si>
    <t>Mt. Laurel</t>
  </si>
  <si>
    <t>Newark</t>
  </si>
  <si>
    <t>(New York)</t>
  </si>
  <si>
    <t>New York</t>
  </si>
  <si>
    <t>(Ohio)</t>
  </si>
  <si>
    <t>Brooklyn Heights</t>
  </si>
  <si>
    <t>Westerville</t>
  </si>
  <si>
    <t>(Oregon)</t>
  </si>
  <si>
    <t>Roseburg</t>
  </si>
  <si>
    <t>(Pennsylvania)</t>
  </si>
  <si>
    <t>Allentown</t>
  </si>
  <si>
    <t>Altoona</t>
  </si>
  <si>
    <t>(Puerto Rico)</t>
  </si>
  <si>
    <t>San Juan</t>
  </si>
  <si>
    <t>(Rhode Island)</t>
  </si>
  <si>
    <t>Crawford</t>
  </si>
  <si>
    <t>(South Carolina)</t>
  </si>
  <si>
    <t>Columbia</t>
  </si>
  <si>
    <t>Summerville</t>
  </si>
  <si>
    <t>(South Dakota)</t>
  </si>
  <si>
    <t>Hot Springs</t>
  </si>
  <si>
    <t>Mitchell</t>
  </si>
  <si>
    <t>(Tennessee)</t>
  </si>
  <si>
    <t>Knoxville</t>
  </si>
  <si>
    <t>Nashville</t>
  </si>
  <si>
    <t>(Texas)</t>
  </si>
  <si>
    <t>Austin</t>
  </si>
  <si>
    <t>Bryan</t>
  </si>
  <si>
    <t>El Paso</t>
  </si>
  <si>
    <t>Houston</t>
  </si>
  <si>
    <t>San Antonio</t>
  </si>
  <si>
    <t>(Utah)</t>
  </si>
  <si>
    <t>West Valley City</t>
  </si>
  <si>
    <t>(Virginia)</t>
  </si>
  <si>
    <t>Norfolk</t>
  </si>
  <si>
    <t>North Chesterfield</t>
  </si>
  <si>
    <t>(Vermont)</t>
  </si>
  <si>
    <t>Derby</t>
  </si>
  <si>
    <t>Williston</t>
  </si>
  <si>
    <t>(Washington)</t>
  </si>
  <si>
    <t>Seattle</t>
  </si>
  <si>
    <t>(Wisconsin)</t>
  </si>
  <si>
    <t>Maynes</t>
  </si>
  <si>
    <t>(West Virginia)</t>
  </si>
  <si>
    <t>Martinsburg</t>
  </si>
  <si>
    <t>Milton</t>
  </si>
  <si>
    <t>(Wyoming)</t>
  </si>
  <si>
    <t>Casper</t>
  </si>
  <si>
    <t>AZ</t>
  </si>
  <si>
    <t>CO</t>
  </si>
  <si>
    <t>WI</t>
  </si>
  <si>
    <t>MI</t>
  </si>
  <si>
    <t>NE</t>
  </si>
  <si>
    <t>CA</t>
  </si>
  <si>
    <t>DE</t>
  </si>
  <si>
    <t>FL</t>
  </si>
  <si>
    <t>CT</t>
  </si>
  <si>
    <t>GA</t>
  </si>
  <si>
    <t>HI</t>
  </si>
  <si>
    <t>IN</t>
  </si>
  <si>
    <t>IL</t>
  </si>
  <si>
    <t>KS</t>
  </si>
  <si>
    <t>MA</t>
  </si>
  <si>
    <t>KY</t>
  </si>
  <si>
    <t>LA</t>
  </si>
  <si>
    <t>MD</t>
  </si>
  <si>
    <t>ME</t>
  </si>
  <si>
    <t>MN</t>
  </si>
  <si>
    <t>MS</t>
  </si>
  <si>
    <t>MO</t>
  </si>
  <si>
    <t>MT</t>
  </si>
  <si>
    <t>NC</t>
  </si>
  <si>
    <t>NH</t>
  </si>
  <si>
    <t>NJ</t>
  </si>
  <si>
    <t>NY</t>
  </si>
  <si>
    <t>OH</t>
  </si>
  <si>
    <t>OR</t>
  </si>
  <si>
    <t>PA</t>
  </si>
  <si>
    <t>PR</t>
  </si>
  <si>
    <t>RI</t>
  </si>
  <si>
    <t>SC</t>
  </si>
  <si>
    <t>SD</t>
  </si>
  <si>
    <t>TN</t>
  </si>
  <si>
    <t>TX</t>
  </si>
  <si>
    <t>UT</t>
  </si>
  <si>
    <t>VA</t>
  </si>
  <si>
    <t>VT</t>
  </si>
  <si>
    <t>WA</t>
  </si>
  <si>
    <t>WV</t>
  </si>
  <si>
    <t>WY</t>
  </si>
  <si>
    <t>CLIN</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</si>
  <si>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</si>
  <si>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</si>
  <si>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</si>
  <si>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</si>
  <si>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</si>
  <si>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</si>
  <si>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</si>
  <si>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</si>
  <si>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</si>
  <si>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</si>
  <si>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</si>
  <si>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</si>
  <si>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</si>
  <si>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</si>
  <si>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</si>
  <si>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</si>
  <si>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</si>
  <si>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</si>
  <si>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</si>
  <si>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</si>
  <si>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</si>
  <si>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</si>
  <si>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</si>
  <si>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</si>
  <si>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</si>
  <si>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</si>
  <si>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</si>
  <si>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</si>
  <si>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</si>
  <si>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</si>
  <si>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</si>
  <si>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</si>
  <si>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</si>
  <si>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</si>
  <si>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</si>
  <si>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</si>
  <si>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</si>
  <si>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</si>
  <si>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</si>
  <si>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</si>
  <si>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</si>
  <si>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</si>
  <si>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</si>
  <si>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</si>
  <si>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0026AA</t>
  </si>
  <si>
    <t>0026AB</t>
  </si>
  <si>
    <t>Unit</t>
  </si>
  <si>
    <t>East Point</t>
  </si>
  <si>
    <t>Attachment D - Pricing Spreadsheet - RFQ 70CMSW26Q00000009</t>
  </si>
  <si>
    <t>If pricing is different for a group of FTEs within a single location (i.e., different building at different rates), create a new row underneath that location as a new subCLIN to list the different rate.  See Example 1 for reference →</t>
  </si>
  <si>
    <t>Example 1</t>
  </si>
  <si>
    <t>Old*</t>
  </si>
  <si>
    <t>New*</t>
  </si>
  <si>
    <t>Mt. Laurel (Building 1)</t>
  </si>
  <si>
    <t>0026AC</t>
  </si>
  <si>
    <t>0026AD</t>
  </si>
  <si>
    <t>Mt. Laurel (Building 2)</t>
  </si>
  <si>
    <t>Mt. Laurel (Building 3)</t>
  </si>
  <si>
    <t>If there is a one time activation fee, list that in Column 'E' for CLIN 0044.  If there is no activation fee, put '0' in Column 'E' for CLIN 0044.</t>
  </si>
  <si>
    <t>Fill in the monthly price for one FTE for each location in Column 'E'</t>
  </si>
  <si>
    <t>Extended Price/Month</t>
  </si>
  <si>
    <t>Yearly Price</t>
  </si>
  <si>
    <t>Monthly Total →</t>
  </si>
  <si>
    <t>Activation Fee (if applicable)</t>
  </si>
  <si>
    <t>If there are any additional fees, list them as subsequent CLINs (0045, 0046, etc.) and label what the fees are for.  If there are no additional fees, list the price of CLIN 0045 as '0'</t>
  </si>
  <si>
    <t>Additional Fee (if applicable)</t>
  </si>
  <si>
    <t>Instructions</t>
  </si>
  <si>
    <t>If your firm is unable to provide office space for a listed location, leave the price cell blank.  If your firm is offering a location near an otherwise unavailable location, include a note about where the alternative location is in the area provided beneath the pricing table.</t>
  </si>
  <si>
    <t>Contractor Notes:</t>
  </si>
  <si>
    <t>Monthly Total</t>
  </si>
  <si>
    <t>Yearly Total</t>
  </si>
  <si>
    <t>FTE Price/Month</t>
  </si>
  <si>
    <t>Option Period 1</t>
  </si>
  <si>
    <t>Option Period 2</t>
  </si>
  <si>
    <t xml:space="preserve"> Base Total</t>
  </si>
  <si>
    <t>52.217-8</t>
  </si>
  <si>
    <t>Grand total</t>
  </si>
  <si>
    <t>Fill in Proposed Escalation (if applicable)</t>
  </si>
  <si>
    <t>Please ONLY fill in yellow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</si>
</sst>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font>
    <font>
      <sz val="8"/>
      <name val="Calibri"/>
      <family val="2"/>
    </font>
    <font>
      <sz val="18"/>
      <color theme="1"/>
      <name val="Calibri"/>
      <family val="2"/>
    </font>
    <font>
      <sz val="11"/>
      <color theme="1"/>
      <name val="Calibri"/>
      <family val="2"/>
    </font>
  </fonts>
  <fills count="9">
    <fill>
      <patternFill patternType="none"/>
    </fill>
    <fill>
      <patternFill patternType="gray125"/>
    </fill>
    <fill>
      <patternFill patternType="solid">
        <fgColor theme="0" tint="-0.34998626667073579"/>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s>
  <borders count="55">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dotted">
        <color indexed="64"/>
      </bottom>
      <diagonal/>
    </border>
    <border>
      <left/>
      <right style="thin">
        <color indexed="64"/>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3" fillId="0" borderId="0" applyFont="0" applyFill="0" applyBorder="0" applyAlignment="0" applyProtection="0"/>
  </cellStyleXfs>
  <cellXfs count="94">
    <xf numFmtId="0" fontId="0" fillId="0" borderId="0" xfId="0"/>
    <xf numFmtId="0" fontId="0" fillId="0" borderId="0" xfId="0" applyAlignment="1">
      <alignment horizontal="center" vertical="center"/>
    </xf>
    <xf numFmtId="49" fontId="0" fillId="0" borderId="0" xfId="0" applyNumberFormat="1"/>
    <xf numFmtId="44" fontId="0" fillId="0" borderId="0" xfId="0" applyNumberFormat="1"/>
    <xf numFmtId="44" fontId="0" fillId="2" borderId="3" xfId="0" applyNumberFormat="1" applyFill="1" applyBorder="1"/>
    <xf numFmtId="44" fontId="0" fillId="0" borderId="3" xfId="0" applyNumberFormat="1" applyBorder="1"/>
    <xf numFmtId="44" fontId="0" fillId="0" borderId="11" xfId="0" applyNumberFormat="1" applyBorder="1"/>
    <xf numFmtId="44" fontId="0" fillId="0" borderId="14" xfId="0" applyNumberFormat="1" applyBorder="1"/>
    <xf numFmtId="44" fontId="0" fillId="0" borderId="6" xfId="0" applyNumberFormat="1" applyBorder="1"/>
    <xf numFmtId="44" fontId="0" fillId="0" borderId="5" xfId="0" applyNumberFormat="1" applyBorder="1"/>
    <xf numFmtId="0" fontId="0" fillId="0" borderId="11" xfId="0" applyBorder="1" applyAlignment="1">
      <alignment horizontal="center" vertical="center"/>
    </xf>
    <xf numFmtId="0" fontId="0" fillId="0" borderId="6" xfId="0" applyBorder="1" applyAlignment="1">
      <alignment horizontal="center" vertical="center"/>
    </xf>
    <xf numFmtId="0" fontId="0" fillId="0" borderId="0" xfId="0" applyAlignment="1">
      <alignment wrapText="1"/>
    </xf>
    <xf numFmtId="44" fontId="0" fillId="4" borderId="9" xfId="0" applyNumberFormat="1" applyFill="1" applyBorder="1" applyAlignment="1">
      <alignment horizontal="center" vertical="center" wrapText="1"/>
    </xf>
    <xf numFmtId="0" fontId="0" fillId="4" borderId="16" xfId="0" applyFill="1" applyBorder="1" applyAlignment="1">
      <alignment horizontal="center" vertical="center" wrapText="1"/>
    </xf>
    <xf numFmtId="0" fontId="0" fillId="4" borderId="20" xfId="0" applyFill="1" applyBorder="1" applyAlignment="1">
      <alignment horizontal="center" vertical="center" wrapText="1"/>
    </xf>
    <xf numFmtId="49" fontId="0" fillId="4" borderId="20" xfId="0" applyNumberFormat="1" applyFill="1" applyBorder="1" applyAlignment="1">
      <alignment horizontal="center" vertical="center" wrapText="1"/>
    </xf>
    <xf numFmtId="44" fontId="0" fillId="4" borderId="20" xfId="0" applyNumberFormat="1" applyFill="1" applyBorder="1" applyAlignment="1">
      <alignment horizontal="center" vertical="center" wrapText="1"/>
    </xf>
    <xf numFmtId="49" fontId="0" fillId="0" borderId="10" xfId="0" applyNumberFormat="1" applyBorder="1"/>
    <xf numFmtId="49" fontId="0" fillId="0" borderId="12" xfId="0" applyNumberFormat="1" applyBorder="1"/>
    <xf numFmtId="49" fontId="0" fillId="0" borderId="21" xfId="0" applyNumberFormat="1" applyBorder="1"/>
    <xf numFmtId="0" fontId="0" fillId="5" borderId="22" xfId="0" applyFill="1" applyBorder="1"/>
    <xf numFmtId="0" fontId="0" fillId="5" borderId="23" xfId="0" applyFill="1" applyBorder="1"/>
    <xf numFmtId="0" fontId="0" fillId="5" borderId="24" xfId="0" applyFill="1" applyBorder="1"/>
    <xf numFmtId="0" fontId="0" fillId="5" borderId="25" xfId="0" applyFill="1" applyBorder="1"/>
    <xf numFmtId="49" fontId="0" fillId="0" borderId="26" xfId="0" applyNumberFormat="1" applyBorder="1"/>
    <xf numFmtId="0" fontId="0" fillId="2" borderId="27" xfId="0" applyFill="1" applyBorder="1" applyAlignment="1">
      <alignment horizontal="center" vertical="center"/>
    </xf>
    <xf numFmtId="44" fontId="0" fillId="2" borderId="27" xfId="0" applyNumberFormat="1" applyFill="1" applyBorder="1"/>
    <xf numFmtId="44" fontId="0" fillId="2" borderId="28" xfId="0" applyNumberFormat="1" applyFill="1" applyBorder="1"/>
    <xf numFmtId="0" fontId="0" fillId="5" borderId="29" xfId="0" applyFill="1" applyBorder="1"/>
    <xf numFmtId="49" fontId="0" fillId="0" borderId="30" xfId="0" applyNumberFormat="1" applyBorder="1"/>
    <xf numFmtId="0" fontId="0" fillId="2" borderId="31" xfId="0" applyFill="1" applyBorder="1" applyAlignment="1">
      <alignment horizontal="center" vertical="center"/>
    </xf>
    <xf numFmtId="44" fontId="0" fillId="2" borderId="31" xfId="0" applyNumberFormat="1" applyFill="1" applyBorder="1"/>
    <xf numFmtId="44" fontId="0" fillId="2" borderId="32" xfId="0" applyNumberFormat="1" applyFill="1" applyBorder="1"/>
    <xf numFmtId="0" fontId="0" fillId="2" borderId="33" xfId="0" applyFill="1" applyBorder="1" applyAlignment="1">
      <alignment horizontal="center" vertical="center"/>
    </xf>
    <xf numFmtId="0" fontId="0" fillId="5" borderId="34" xfId="0" applyFill="1" applyBorder="1"/>
    <xf numFmtId="49" fontId="0" fillId="0" borderId="35" xfId="0" applyNumberFormat="1" applyBorder="1"/>
    <xf numFmtId="0" fontId="0" fillId="0" borderId="36" xfId="0" applyBorder="1" applyAlignment="1">
      <alignment horizontal="center" vertical="center"/>
    </xf>
    <xf numFmtId="44" fontId="0" fillId="0" borderId="36" xfId="0" applyNumberFormat="1" applyBorder="1"/>
    <xf numFmtId="44" fontId="0" fillId="2" borderId="37" xfId="0" applyNumberFormat="1" applyFill="1" applyBorder="1"/>
    <xf numFmtId="49" fontId="0" fillId="0" borderId="38" xfId="0" applyNumberFormat="1" applyBorder="1"/>
    <xf numFmtId="0" fontId="0" fillId="5" borderId="38" xfId="0" applyFill="1" applyBorder="1"/>
    <xf numFmtId="0" fontId="0" fillId="2" borderId="39" xfId="0" applyFill="1" applyBorder="1" applyAlignment="1">
      <alignment horizontal="center" vertical="center"/>
    </xf>
    <xf numFmtId="44" fontId="0" fillId="7" borderId="9" xfId="0" applyNumberFormat="1" applyFill="1" applyBorder="1"/>
    <xf numFmtId="0" fontId="0" fillId="0" borderId="42" xfId="0" applyBorder="1" applyAlignment="1">
      <alignment horizontal="center" vertical="center"/>
    </xf>
    <xf numFmtId="0" fontId="0" fillId="0" borderId="43" xfId="0" applyBorder="1" applyAlignment="1">
      <alignment wrapText="1"/>
    </xf>
    <xf numFmtId="0" fontId="0" fillId="0" borderId="44" xfId="0" applyBorder="1" applyAlignment="1">
      <alignment horizontal="center" vertical="center"/>
    </xf>
    <xf numFmtId="0" fontId="0" fillId="0" borderId="45" xfId="0" applyBorder="1" applyAlignment="1">
      <alignment wrapText="1"/>
    </xf>
    <xf numFmtId="0" fontId="0" fillId="0" borderId="39" xfId="0" applyBorder="1" applyAlignment="1">
      <alignment horizontal="center" vertical="center"/>
    </xf>
    <xf numFmtId="0" fontId="0" fillId="0" borderId="46" xfId="0" applyBorder="1" applyAlignment="1">
      <alignment wrapText="1"/>
    </xf>
    <xf numFmtId="0" fontId="0" fillId="5" borderId="47" xfId="0" applyFill="1" applyBorder="1"/>
    <xf numFmtId="49" fontId="0" fillId="0" borderId="36" xfId="0" applyNumberFormat="1" applyBorder="1"/>
    <xf numFmtId="44" fontId="0" fillId="0" borderId="35" xfId="0" applyNumberFormat="1" applyBorder="1"/>
    <xf numFmtId="0" fontId="2" fillId="0" borderId="6" xfId="0" applyFont="1" applyBorder="1" applyAlignment="1">
      <alignment horizontal="left" vertical="center"/>
    </xf>
    <xf numFmtId="44" fontId="0" fillId="0" borderId="23" xfId="0" applyNumberFormat="1" applyBorder="1"/>
    <xf numFmtId="44" fontId="0" fillId="0" borderId="34" xfId="0" applyNumberFormat="1" applyBorder="1"/>
    <xf numFmtId="0" fontId="0" fillId="0" borderId="12" xfId="0" applyBorder="1" applyAlignment="1">
      <alignment horizontal="center" vertical="center"/>
    </xf>
    <xf numFmtId="0" fontId="0" fillId="0" borderId="35" xfId="0" applyBorder="1" applyAlignment="1">
      <alignment horizontal="center" vertical="center"/>
    </xf>
    <xf numFmtId="44" fontId="0" fillId="0" borderId="48" xfId="0" applyNumberFormat="1" applyBorder="1"/>
    <xf numFmtId="0" fontId="0" fillId="0" borderId="21" xfId="0" applyBorder="1" applyAlignment="1">
      <alignment horizontal="center" vertical="center"/>
    </xf>
    <xf numFmtId="44" fontId="0" fillId="0" borderId="24" xfId="0" applyNumberFormat="1" applyBorder="1" applyAlignment="1">
      <alignment horizontal="center" vertical="center"/>
    </xf>
    <xf numFmtId="44" fontId="0" fillId="0" borderId="49" xfId="0" applyNumberFormat="1" applyBorder="1" applyAlignment="1">
      <alignment horizontal="center" vertical="center"/>
    </xf>
    <xf numFmtId="0" fontId="0" fillId="0" borderId="50" xfId="0" applyBorder="1" applyAlignment="1">
      <alignment horizontal="center" vertical="center"/>
    </xf>
    <xf numFmtId="44" fontId="0" fillId="0" borderId="51" xfId="0" applyNumberFormat="1" applyBorder="1"/>
    <xf numFmtId="44" fontId="0" fillId="0" borderId="52" xfId="0" applyNumberFormat="1" applyBorder="1"/>
    <xf numFmtId="44" fontId="0" fillId="0" borderId="0" xfId="0" applyNumberFormat="1" applyAlignment="1">
      <alignment horizontal="right" vertical="center"/>
    </xf>
    <xf numFmtId="0" fontId="0" fillId="0" borderId="0" xfId="0" applyAlignment="1">
      <alignment horizontal="left" vertical="center"/>
    </xf>
    <xf numFmtId="44" fontId="0" fillId="6" borderId="0" xfId="0" applyNumberFormat="1" applyFill="1"/>
    <xf numFmtId="44" fontId="0" fillId="6" borderId="11" xfId="0" applyNumberFormat="1" applyFill="1" applyBorder="1"/>
    <xf numFmtId="0" fontId="2" fillId="6" borderId="6" xfId="0" applyFont="1" applyFill="1" applyBorder="1" applyAlignment="1">
      <alignment horizontal="left" vertical="center"/>
    </xf>
    <xf numFmtId="44" fontId="0" fillId="6" borderId="36" xfId="0" applyNumberFormat="1" applyFill="1" applyBorder="1"/>
    <xf numFmtId="44" fontId="0" fillId="8" borderId="20" xfId="0" applyNumberFormat="1" applyFill="1" applyBorder="1"/>
    <xf numFmtId="9" fontId="0" fillId="6" borderId="54" xfId="1" applyFont="1" applyFill="1" applyBorder="1"/>
    <xf numFmtId="44" fontId="0" fillId="7" borderId="34" xfId="0" applyNumberFormat="1" applyFill="1" applyBorder="1"/>
    <xf numFmtId="0" fontId="0" fillId="0" borderId="1" xfId="0" applyBorder="1" applyAlignment="1">
      <alignment horizontal="center" wrapText="1"/>
    </xf>
    <xf numFmtId="0" fontId="0" fillId="0" borderId="41" xfId="0" applyBorder="1" applyAlignment="1">
      <alignment horizontal="center" wrapText="1"/>
    </xf>
    <xf numFmtId="0" fontId="0" fillId="3" borderId="15"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3" borderId="1" xfId="0" applyFill="1" applyBorder="1" applyAlignment="1">
      <alignment horizontal="center" vertical="center"/>
    </xf>
    <xf numFmtId="0" fontId="0" fillId="3" borderId="13" xfId="0" applyFill="1" applyBorder="1" applyAlignment="1">
      <alignment horizontal="center" vertical="center"/>
    </xf>
    <xf numFmtId="0" fontId="0" fillId="0" borderId="17" xfId="0" applyBorder="1" applyAlignment="1">
      <alignment horizontal="center" vertical="center"/>
    </xf>
    <xf numFmtId="44" fontId="0" fillId="0" borderId="7" xfId="0" applyNumberFormat="1" applyBorder="1" applyAlignment="1">
      <alignment horizontal="right" vertical="center"/>
    </xf>
    <xf numFmtId="44" fontId="0" fillId="0" borderId="8" xfId="0" applyNumberFormat="1" applyBorder="1" applyAlignment="1">
      <alignment horizontal="right" vertical="center"/>
    </xf>
    <xf numFmtId="44" fontId="0" fillId="0" borderId="40" xfId="0" applyNumberFormat="1" applyBorder="1" applyAlignment="1">
      <alignment horizontal="right" vertical="center"/>
    </xf>
    <xf numFmtId="0" fontId="2" fillId="0" borderId="6" xfId="0" applyFont="1" applyBorder="1" applyAlignment="1">
      <alignment horizontal="left" vertical="center"/>
    </xf>
    <xf numFmtId="44" fontId="0" fillId="6" borderId="53" xfId="0" applyNumberFormat="1" applyFill="1" applyBorder="1" applyAlignment="1">
      <alignment horizontal="center" vertical="center"/>
    </xf>
    <xf numFmtId="44" fontId="0" fillId="6" borderId="41" xfId="0" applyNumberFormat="1" applyFill="1" applyBorder="1" applyAlignment="1">
      <alignment horizontal="center" vertical="center"/>
    </xf>
    <xf numFmtId="0" fontId="0" fillId="0" borderId="34" xfId="0" applyBorder="1" applyAlignment="1">
      <alignment horizontal="center"/>
    </xf>
  </cellXfs>
  <cellStyles count="2">
    <cellStyle name="Normal" xfId="0" builtinId="0"/>
    <cellStyle name="Percent" xfId="1" builtinId="5"/>
  </cellStyles>
  <dxfs count="5">
    <dxf>
      <numFmt numFmtId="34" formatCode="_(&quot;$&quot;* #,##0.00_);_(&quot;$&quot;* \(#,##0.00\);_(&quot;$&quot;* &quot;-&quot;??_);_(@_)"/>
      <border diagonalUp="0" diagonalDown="0">
        <left style="thin">
          <color indexed="64"/>
        </left>
        <right/>
        <top/>
        <bottom style="thin">
          <color indexed="64"/>
        </bottom>
        <vertical/>
        <horizontal/>
      </border>
    </dxf>
    <dxf>
      <numFmt numFmtId="34" formatCode="_(&quot;$&quot;* #,##0.00_);_(&quot;$&quot;* \(#,##0.00\);_(&quot;$&quot;* &quot;-&quot;??_);_(@_)"/>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83A3F-476C-467C-8A8B-9C8FAD7BCB5F}" name="Table1" displayName="Table1" ref="C3:E46" totalsRowShown="0" headerRowBorderDxfId="4" tableBorderDxfId="3">
  <autoFilter ref="C3:E46" xr:uid="{40B83A3F-476C-467C-8A8B-9C8FAD7BCB5F}"/>
  <sortState xmlns:xlrd2="http://schemas.microsoft.com/office/spreadsheetml/2017/richdata2" ref="C4:E46">
    <sortCondition ref="C3:C46"/>
  </sortState>
  <tableColumns count="3">
    <tableColumn id="1" xr3:uid="{2E140FB9-69FD-41E9-9946-4EF5AB250639}" name="State" dataDxfId="2"/>
    <tableColumn id="2" xr3:uid="{7F0C68EC-2092-4CD5-AB98-1373C6FC22CD}" name="Monthly Total" dataDxfId="1"/>
    <tableColumn id="3" xr3:uid="{3CC29C58-93BE-4E11-A995-4E32A6D7E5ED}" name="Yearly Total" dataDxfId="0">
      <calculatedColumnFormula>D4*12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20F8-9428-40C2-BC9C-48B97214678B}">
  <dimension ref="A1:L17"/>
  <sheetViews>
    <sheetView workbookViewId="0">
      <selection activeCell="D3" sqref="D3"/>
    </sheetView>
  </sheetViews>
  <sheetFormatPr defaultRowHeight="14.4" x14ac:dyDescent="0.3"/>
  <cols>
    <col min="1" max="1" width="8.77734375" style="1"/>
    <col min="2" max="2" width="52.33203125" style="12" customWidth="1"/>
    <col min="7" max="7" width="21.88671875" customWidth="1"/>
  </cols>
  <sheetData>
    <row r="1" spans="1:12" ht="15" thickBot="1" x14ac:dyDescent="0.35"/>
    <row r="2" spans="1:12" ht="15" thickBot="1" x14ac:dyDescent="0.35">
      <c r="A2" s="74" t="s">
        <v>245</v>
      </c>
      <c r="B2" s="75"/>
    </row>
    <row r="3" spans="1:12" ht="28.8" x14ac:dyDescent="0.3">
      <c r="A3" s="44">
        <v>1</v>
      </c>
      <c r="B3" s="45" t="s">
        <v>238</v>
      </c>
    </row>
    <row r="4" spans="1:12" ht="57.6" x14ac:dyDescent="0.3">
      <c r="A4" s="46">
        <v>2</v>
      </c>
      <c r="B4" s="47" t="s">
        <v>228</v>
      </c>
    </row>
    <row r="5" spans="1:12" ht="72" x14ac:dyDescent="0.3">
      <c r="A5" s="46">
        <v>3</v>
      </c>
      <c r="B5" s="47" t="s">
        <v>246</v>
      </c>
    </row>
    <row r="6" spans="1:12" ht="43.2" x14ac:dyDescent="0.3">
      <c r="A6" s="46">
        <v>4</v>
      </c>
      <c r="B6" s="47" t="s">
        <v>237</v>
      </c>
    </row>
    <row r="7" spans="1:12" ht="43.8" thickBot="1" x14ac:dyDescent="0.35">
      <c r="A7" s="48">
        <v>5</v>
      </c>
      <c r="B7" s="49" t="s">
        <v>243</v>
      </c>
    </row>
    <row r="8" spans="1:12" ht="15" thickBot="1" x14ac:dyDescent="0.35"/>
    <row r="9" spans="1:12" ht="15" thickBot="1" x14ac:dyDescent="0.35">
      <c r="E9" s="81" t="s">
        <v>229</v>
      </c>
      <c r="F9" s="82"/>
      <c r="G9" s="82"/>
      <c r="H9" s="82"/>
      <c r="I9" s="82"/>
      <c r="J9" s="82"/>
      <c r="K9" s="82"/>
      <c r="L9" s="83"/>
    </row>
    <row r="10" spans="1:12" x14ac:dyDescent="0.3">
      <c r="E10" s="86" t="s">
        <v>230</v>
      </c>
      <c r="F10" s="84" t="s">
        <v>161</v>
      </c>
      <c r="G10" s="24" t="s">
        <v>87</v>
      </c>
      <c r="H10" s="25" t="s">
        <v>204</v>
      </c>
      <c r="I10" s="26"/>
      <c r="J10" s="27"/>
      <c r="K10" s="27"/>
      <c r="L10" s="28"/>
    </row>
    <row r="11" spans="1:12" x14ac:dyDescent="0.3">
      <c r="E11" s="79"/>
      <c r="F11" s="77"/>
      <c r="G11" s="21" t="s">
        <v>88</v>
      </c>
      <c r="H11" s="18" t="s">
        <v>223</v>
      </c>
      <c r="I11" s="1">
        <v>8</v>
      </c>
      <c r="J11" s="3">
        <v>3</v>
      </c>
      <c r="K11" s="3">
        <f>I11*J11</f>
        <v>24</v>
      </c>
      <c r="L11" s="5">
        <f t="shared" ref="L11:L17" si="0">K11*12</f>
        <v>288</v>
      </c>
    </row>
    <row r="12" spans="1:12" x14ac:dyDescent="0.3">
      <c r="E12" s="79"/>
      <c r="F12" s="85"/>
      <c r="G12" s="22" t="s">
        <v>89</v>
      </c>
      <c r="H12" s="19" t="s">
        <v>224</v>
      </c>
      <c r="I12" s="10">
        <v>1</v>
      </c>
      <c r="J12" s="6">
        <v>2</v>
      </c>
      <c r="K12" s="3">
        <f>I12*J12</f>
        <v>2</v>
      </c>
      <c r="L12" s="5">
        <f t="shared" si="0"/>
        <v>24</v>
      </c>
    </row>
    <row r="13" spans="1:12" x14ac:dyDescent="0.3">
      <c r="E13" s="79" t="s">
        <v>231</v>
      </c>
      <c r="F13" s="76" t="s">
        <v>161</v>
      </c>
      <c r="G13" s="29" t="s">
        <v>87</v>
      </c>
      <c r="H13" s="30" t="s">
        <v>204</v>
      </c>
      <c r="I13" s="31"/>
      <c r="J13" s="32"/>
      <c r="K13" s="32"/>
      <c r="L13" s="33"/>
    </row>
    <row r="14" spans="1:12" x14ac:dyDescent="0.3">
      <c r="E14" s="79"/>
      <c r="F14" s="77"/>
      <c r="G14" s="21" t="s">
        <v>232</v>
      </c>
      <c r="H14" s="18" t="s">
        <v>223</v>
      </c>
      <c r="I14" s="1">
        <v>4</v>
      </c>
      <c r="J14" s="3">
        <v>3</v>
      </c>
      <c r="K14" s="3">
        <f>I14*J14</f>
        <v>12</v>
      </c>
      <c r="L14" s="5">
        <f>K14*12</f>
        <v>144</v>
      </c>
    </row>
    <row r="15" spans="1:12" x14ac:dyDescent="0.3">
      <c r="E15" s="79"/>
      <c r="F15" s="77"/>
      <c r="G15" s="21" t="s">
        <v>235</v>
      </c>
      <c r="H15" s="18" t="s">
        <v>224</v>
      </c>
      <c r="I15" s="1">
        <v>3</v>
      </c>
      <c r="J15" s="3">
        <v>4</v>
      </c>
      <c r="K15" s="3">
        <f t="shared" ref="K15:K17" si="1">I15*J15</f>
        <v>12</v>
      </c>
      <c r="L15" s="5">
        <f t="shared" si="0"/>
        <v>144</v>
      </c>
    </row>
    <row r="16" spans="1:12" x14ac:dyDescent="0.3">
      <c r="E16" s="79"/>
      <c r="F16" s="77"/>
      <c r="G16" s="21" t="s">
        <v>236</v>
      </c>
      <c r="H16" s="18" t="s">
        <v>233</v>
      </c>
      <c r="I16" s="1">
        <v>1</v>
      </c>
      <c r="J16" s="3">
        <v>5</v>
      </c>
      <c r="K16" s="3">
        <f t="shared" si="1"/>
        <v>5</v>
      </c>
      <c r="L16" s="5">
        <f t="shared" si="0"/>
        <v>60</v>
      </c>
    </row>
    <row r="17" spans="5:12" ht="15" thickBot="1" x14ac:dyDescent="0.35">
      <c r="E17" s="80"/>
      <c r="F17" s="78"/>
      <c r="G17" s="23" t="s">
        <v>89</v>
      </c>
      <c r="H17" s="20" t="s">
        <v>234</v>
      </c>
      <c r="I17" s="11">
        <v>1</v>
      </c>
      <c r="J17" s="8">
        <v>2</v>
      </c>
      <c r="K17" s="8">
        <f t="shared" si="1"/>
        <v>2</v>
      </c>
      <c r="L17" s="9">
        <f t="shared" si="0"/>
        <v>24</v>
      </c>
    </row>
  </sheetData>
  <mergeCells count="6">
    <mergeCell ref="A2:B2"/>
    <mergeCell ref="F13:F17"/>
    <mergeCell ref="E13:E17"/>
    <mergeCell ref="E9:L9"/>
    <mergeCell ref="F10:F12"/>
    <mergeCell ref="E10:E12"/>
  </mergeCells>
  <pageMargins left="0.7" right="0.7" top="0.75" bottom="0.75" header="0.3" footer="0.3"/>
  <ignoredErrors>
    <ignoredError sqref="H10 H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B20F-85F2-401E-8AFC-3A69BB9F22B0}">
  <dimension ref="A1:H161"/>
  <sheetViews>
    <sheetView tabSelected="1" topLeftCell="A132" zoomScale="160" zoomScaleNormal="160" workbookViewId="0">
      <selection activeCell="A142" sqref="A142:E142"/>
    </sheetView>
  </sheetViews>
  <sheetFormatPr defaultRowHeight="14.4" x14ac:dyDescent="0.3"/>
  <cols>
    <col min="1" max="1" width="8.77734375" style="1"/>
    <col min="2" max="2" width="25.109375" customWidth="1"/>
    <col min="3" max="3" width="8.77734375" style="2"/>
    <col min="4" max="4" width="8.77734375" style="1"/>
    <col min="5" max="5" width="11.21875" style="3" customWidth="1"/>
    <col min="6" max="7" width="16.6640625" style="3" customWidth="1"/>
    <col min="8" max="8" width="13.77734375" bestFit="1" customWidth="1"/>
  </cols>
  <sheetData>
    <row r="1" spans="1:7" ht="30" customHeight="1" thickBot="1" x14ac:dyDescent="0.35">
      <c r="A1" s="90" t="s">
        <v>227</v>
      </c>
      <c r="B1" s="90"/>
      <c r="C1" s="90"/>
      <c r="D1" s="90"/>
      <c r="E1" s="90"/>
      <c r="F1" s="90"/>
      <c r="G1" s="90"/>
    </row>
    <row r="2" spans="1:7" ht="30" customHeight="1" thickBot="1" x14ac:dyDescent="0.35">
      <c r="A2" s="53"/>
      <c r="B2" s="69" t="s">
        <v>257</v>
      </c>
      <c r="C2" s="69"/>
      <c r="D2" s="69"/>
      <c r="E2" s="53"/>
      <c r="F2" s="53"/>
      <c r="G2" s="53"/>
    </row>
    <row r="3" spans="1:7" s="12" customFormat="1" ht="29.4" thickBot="1" x14ac:dyDescent="0.35">
      <c r="A3" s="14" t="s">
        <v>0</v>
      </c>
      <c r="B3" s="15" t="s">
        <v>1</v>
      </c>
      <c r="C3" s="16" t="s">
        <v>178</v>
      </c>
      <c r="D3" s="15" t="s">
        <v>225</v>
      </c>
      <c r="E3" s="17" t="s">
        <v>250</v>
      </c>
      <c r="F3" s="17" t="s">
        <v>239</v>
      </c>
      <c r="G3" s="13" t="s">
        <v>240</v>
      </c>
    </row>
    <row r="4" spans="1:7" x14ac:dyDescent="0.3">
      <c r="A4" s="77" t="s">
        <v>2</v>
      </c>
      <c r="B4" s="24" t="s">
        <v>3</v>
      </c>
      <c r="C4" s="25" t="s">
        <v>179</v>
      </c>
      <c r="D4" s="26"/>
      <c r="E4" s="27"/>
      <c r="F4" s="27"/>
      <c r="G4" s="28"/>
    </row>
    <row r="5" spans="1:7" x14ac:dyDescent="0.3">
      <c r="A5" s="77"/>
      <c r="B5" s="21" t="s">
        <v>4</v>
      </c>
      <c r="C5" s="18"/>
      <c r="D5" s="1">
        <v>3</v>
      </c>
      <c r="E5" s="67"/>
      <c r="F5" s="3">
        <f>D5*E5</f>
        <v>0</v>
      </c>
      <c r="G5" s="5">
        <f>F5*12</f>
        <v>0</v>
      </c>
    </row>
    <row r="6" spans="1:7" x14ac:dyDescent="0.3">
      <c r="A6" s="85"/>
      <c r="B6" s="22" t="s">
        <v>5</v>
      </c>
      <c r="C6" s="19"/>
      <c r="D6" s="10">
        <v>2</v>
      </c>
      <c r="E6" s="68"/>
      <c r="F6" s="3">
        <f>D6*E6</f>
        <v>0</v>
      </c>
      <c r="G6" s="7">
        <f t="shared" ref="G6:G69" si="0">F6*12</f>
        <v>0</v>
      </c>
    </row>
    <row r="7" spans="1:7" x14ac:dyDescent="0.3">
      <c r="A7" s="76" t="s">
        <v>136</v>
      </c>
      <c r="B7" s="29" t="s">
        <v>6</v>
      </c>
      <c r="C7" s="30" t="s">
        <v>180</v>
      </c>
      <c r="D7" s="31"/>
      <c r="E7" s="32"/>
      <c r="F7" s="32"/>
      <c r="G7" s="33"/>
    </row>
    <row r="8" spans="1:7" x14ac:dyDescent="0.3">
      <c r="A8" s="77"/>
      <c r="B8" s="21" t="s">
        <v>7</v>
      </c>
      <c r="C8" s="18"/>
      <c r="D8" s="1">
        <v>1</v>
      </c>
      <c r="E8" s="67"/>
      <c r="F8" s="3">
        <f>D8*E8</f>
        <v>0</v>
      </c>
      <c r="G8" s="5">
        <f t="shared" si="0"/>
        <v>0</v>
      </c>
    </row>
    <row r="9" spans="1:7" x14ac:dyDescent="0.3">
      <c r="A9" s="77"/>
      <c r="B9" s="21" t="s">
        <v>8</v>
      </c>
      <c r="C9" s="18"/>
      <c r="D9" s="1">
        <v>1</v>
      </c>
      <c r="E9" s="67"/>
      <c r="F9" s="3">
        <f t="shared" ref="F9:F71" si="1">D9*E9</f>
        <v>0</v>
      </c>
      <c r="G9" s="5">
        <f t="shared" si="0"/>
        <v>0</v>
      </c>
    </row>
    <row r="10" spans="1:7" x14ac:dyDescent="0.3">
      <c r="A10" s="77"/>
      <c r="B10" s="21" t="s">
        <v>9</v>
      </c>
      <c r="C10" s="18"/>
      <c r="D10" s="1">
        <v>1</v>
      </c>
      <c r="E10" s="67"/>
      <c r="F10" s="3">
        <f t="shared" si="1"/>
        <v>0</v>
      </c>
      <c r="G10" s="5">
        <f t="shared" si="0"/>
        <v>0</v>
      </c>
    </row>
    <row r="11" spans="1:7" x14ac:dyDescent="0.3">
      <c r="A11" s="77"/>
      <c r="B11" s="21" t="s">
        <v>10</v>
      </c>
      <c r="C11" s="18"/>
      <c r="D11" s="1">
        <v>1</v>
      </c>
      <c r="E11" s="67"/>
      <c r="F11" s="3">
        <f t="shared" si="1"/>
        <v>0</v>
      </c>
      <c r="G11" s="5">
        <f t="shared" si="0"/>
        <v>0</v>
      </c>
    </row>
    <row r="12" spans="1:7" x14ac:dyDescent="0.3">
      <c r="A12" s="77"/>
      <c r="B12" s="21" t="s">
        <v>11</v>
      </c>
      <c r="C12" s="18"/>
      <c r="D12" s="1">
        <v>1</v>
      </c>
      <c r="E12" s="67"/>
      <c r="F12" s="3">
        <f t="shared" si="1"/>
        <v>0</v>
      </c>
      <c r="G12" s="5">
        <f t="shared" si="0"/>
        <v>0</v>
      </c>
    </row>
    <row r="13" spans="1:7" x14ac:dyDescent="0.3">
      <c r="A13" s="77"/>
      <c r="B13" s="21" t="s">
        <v>12</v>
      </c>
      <c r="C13" s="18"/>
      <c r="D13" s="1">
        <v>2</v>
      </c>
      <c r="E13" s="67"/>
      <c r="F13" s="3">
        <f t="shared" si="1"/>
        <v>0</v>
      </c>
      <c r="G13" s="5">
        <f t="shared" si="0"/>
        <v>0</v>
      </c>
    </row>
    <row r="14" spans="1:7" x14ac:dyDescent="0.3">
      <c r="A14" s="77"/>
      <c r="B14" s="21" t="s">
        <v>13</v>
      </c>
      <c r="C14" s="18"/>
      <c r="D14" s="1">
        <v>2</v>
      </c>
      <c r="E14" s="67"/>
      <c r="F14" s="3">
        <f t="shared" si="1"/>
        <v>0</v>
      </c>
      <c r="G14" s="5">
        <f t="shared" si="0"/>
        <v>0</v>
      </c>
    </row>
    <row r="15" spans="1:7" x14ac:dyDescent="0.3">
      <c r="A15" s="85"/>
      <c r="B15" s="22" t="s">
        <v>14</v>
      </c>
      <c r="C15" s="19"/>
      <c r="D15" s="10">
        <v>2</v>
      </c>
      <c r="E15" s="68"/>
      <c r="F15" s="3">
        <f t="shared" si="1"/>
        <v>0</v>
      </c>
      <c r="G15" s="5">
        <f t="shared" si="0"/>
        <v>0</v>
      </c>
    </row>
    <row r="16" spans="1:7" x14ac:dyDescent="0.3">
      <c r="A16" s="76" t="s">
        <v>141</v>
      </c>
      <c r="B16" s="29" t="s">
        <v>15</v>
      </c>
      <c r="C16" s="30" t="s">
        <v>181</v>
      </c>
      <c r="D16" s="31"/>
      <c r="E16" s="32"/>
      <c r="F16" s="32"/>
      <c r="G16" s="33"/>
    </row>
    <row r="17" spans="1:7" x14ac:dyDescent="0.3">
      <c r="A17" s="77"/>
      <c r="B17" s="21" t="s">
        <v>16</v>
      </c>
      <c r="C17" s="18"/>
      <c r="D17" s="1">
        <v>7</v>
      </c>
      <c r="E17" s="67"/>
      <c r="F17" s="3">
        <f t="shared" si="1"/>
        <v>0</v>
      </c>
      <c r="G17" s="5">
        <f t="shared" si="0"/>
        <v>0</v>
      </c>
    </row>
    <row r="18" spans="1:7" x14ac:dyDescent="0.3">
      <c r="A18" s="77"/>
      <c r="B18" s="21" t="s">
        <v>17</v>
      </c>
      <c r="C18" s="18"/>
      <c r="D18" s="1">
        <v>3</v>
      </c>
      <c r="E18" s="67"/>
      <c r="F18" s="3">
        <f t="shared" si="1"/>
        <v>0</v>
      </c>
      <c r="G18" s="5">
        <f t="shared" si="0"/>
        <v>0</v>
      </c>
    </row>
    <row r="19" spans="1:7" x14ac:dyDescent="0.3">
      <c r="A19" s="77"/>
      <c r="B19" s="21" t="s">
        <v>18</v>
      </c>
      <c r="C19" s="18"/>
      <c r="D19" s="1">
        <v>1</v>
      </c>
      <c r="E19" s="67"/>
      <c r="F19" s="3">
        <f t="shared" si="1"/>
        <v>0</v>
      </c>
      <c r="G19" s="5">
        <f t="shared" si="0"/>
        <v>0</v>
      </c>
    </row>
    <row r="20" spans="1:7" x14ac:dyDescent="0.3">
      <c r="A20" s="77"/>
      <c r="B20" s="21" t="s">
        <v>19</v>
      </c>
      <c r="C20" s="18"/>
      <c r="D20" s="1">
        <v>4</v>
      </c>
      <c r="E20" s="67"/>
      <c r="F20" s="3">
        <f t="shared" si="1"/>
        <v>0</v>
      </c>
      <c r="G20" s="5">
        <f t="shared" si="0"/>
        <v>0</v>
      </c>
    </row>
    <row r="21" spans="1:7" x14ac:dyDescent="0.3">
      <c r="A21" s="77"/>
      <c r="B21" s="21" t="s">
        <v>20</v>
      </c>
      <c r="C21" s="18"/>
      <c r="D21" s="1">
        <v>4</v>
      </c>
      <c r="E21" s="67"/>
      <c r="F21" s="3">
        <f t="shared" si="1"/>
        <v>0</v>
      </c>
      <c r="G21" s="5">
        <f t="shared" si="0"/>
        <v>0</v>
      </c>
    </row>
    <row r="22" spans="1:7" x14ac:dyDescent="0.3">
      <c r="A22" s="77"/>
      <c r="B22" s="21" t="s">
        <v>21</v>
      </c>
      <c r="C22" s="18"/>
      <c r="D22" s="1">
        <v>9</v>
      </c>
      <c r="E22" s="67"/>
      <c r="F22" s="3">
        <f t="shared" si="1"/>
        <v>0</v>
      </c>
      <c r="G22" s="5">
        <f t="shared" si="0"/>
        <v>0</v>
      </c>
    </row>
    <row r="23" spans="1:7" x14ac:dyDescent="0.3">
      <c r="A23" s="77"/>
      <c r="B23" s="21" t="s">
        <v>22</v>
      </c>
      <c r="C23" s="18"/>
      <c r="D23" s="1">
        <v>2</v>
      </c>
      <c r="E23" s="67"/>
      <c r="F23" s="3">
        <f t="shared" si="1"/>
        <v>0</v>
      </c>
      <c r="G23" s="5">
        <f t="shared" si="0"/>
        <v>0</v>
      </c>
    </row>
    <row r="24" spans="1:7" x14ac:dyDescent="0.3">
      <c r="A24" s="85"/>
      <c r="B24" s="22" t="s">
        <v>23</v>
      </c>
      <c r="C24" s="19"/>
      <c r="D24" s="10">
        <v>5</v>
      </c>
      <c r="E24" s="68"/>
      <c r="F24" s="3">
        <f t="shared" si="1"/>
        <v>0</v>
      </c>
      <c r="G24" s="5">
        <f t="shared" si="0"/>
        <v>0</v>
      </c>
    </row>
    <row r="25" spans="1:7" x14ac:dyDescent="0.3">
      <c r="A25" s="76" t="s">
        <v>137</v>
      </c>
      <c r="B25" s="29" t="s">
        <v>24</v>
      </c>
      <c r="C25" s="30" t="s">
        <v>182</v>
      </c>
      <c r="D25" s="31"/>
      <c r="E25" s="32"/>
      <c r="F25" s="32"/>
      <c r="G25" s="33"/>
    </row>
    <row r="26" spans="1:7" x14ac:dyDescent="0.3">
      <c r="A26" s="85"/>
      <c r="B26" s="22" t="s">
        <v>25</v>
      </c>
      <c r="C26" s="19"/>
      <c r="D26" s="10">
        <v>12</v>
      </c>
      <c r="E26" s="68"/>
      <c r="F26" s="3">
        <f t="shared" si="1"/>
        <v>0</v>
      </c>
      <c r="G26" s="5">
        <f t="shared" si="0"/>
        <v>0</v>
      </c>
    </row>
    <row r="27" spans="1:7" x14ac:dyDescent="0.3">
      <c r="A27" s="76" t="s">
        <v>144</v>
      </c>
      <c r="B27" s="29" t="s">
        <v>26</v>
      </c>
      <c r="C27" s="30" t="s">
        <v>183</v>
      </c>
      <c r="D27" s="31"/>
      <c r="E27" s="32"/>
      <c r="F27" s="32"/>
      <c r="G27" s="33"/>
    </row>
    <row r="28" spans="1:7" x14ac:dyDescent="0.3">
      <c r="A28" s="85"/>
      <c r="B28" s="22" t="s">
        <v>27</v>
      </c>
      <c r="C28" s="19"/>
      <c r="D28" s="10">
        <v>5</v>
      </c>
      <c r="E28" s="68"/>
      <c r="F28" s="3">
        <f t="shared" si="1"/>
        <v>0</v>
      </c>
      <c r="G28" s="5">
        <f t="shared" si="0"/>
        <v>0</v>
      </c>
    </row>
    <row r="29" spans="1:7" x14ac:dyDescent="0.3">
      <c r="A29" s="76" t="s">
        <v>142</v>
      </c>
      <c r="B29" s="29" t="s">
        <v>28</v>
      </c>
      <c r="C29" s="30" t="s">
        <v>184</v>
      </c>
      <c r="D29" s="31"/>
      <c r="E29" s="32"/>
      <c r="F29" s="32"/>
      <c r="G29" s="33"/>
    </row>
    <row r="30" spans="1:7" x14ac:dyDescent="0.3">
      <c r="A30" s="85"/>
      <c r="B30" s="22" t="s">
        <v>29</v>
      </c>
      <c r="C30" s="19"/>
      <c r="D30" s="10">
        <v>1</v>
      </c>
      <c r="E30" s="68"/>
      <c r="F30" s="3">
        <f t="shared" si="1"/>
        <v>0</v>
      </c>
      <c r="G30" s="5">
        <f t="shared" si="0"/>
        <v>0</v>
      </c>
    </row>
    <row r="31" spans="1:7" x14ac:dyDescent="0.3">
      <c r="A31" s="76" t="s">
        <v>143</v>
      </c>
      <c r="B31" s="29" t="s">
        <v>30</v>
      </c>
      <c r="C31" s="30" t="s">
        <v>185</v>
      </c>
      <c r="D31" s="31"/>
      <c r="E31" s="32"/>
      <c r="F31" s="32"/>
      <c r="G31" s="33"/>
    </row>
    <row r="32" spans="1:7" x14ac:dyDescent="0.3">
      <c r="A32" s="77"/>
      <c r="B32" s="21" t="s">
        <v>31</v>
      </c>
      <c r="C32" s="18"/>
      <c r="D32" s="1">
        <v>1</v>
      </c>
      <c r="E32" s="67"/>
      <c r="F32" s="3">
        <f t="shared" si="1"/>
        <v>0</v>
      </c>
      <c r="G32" s="5">
        <f t="shared" si="0"/>
        <v>0</v>
      </c>
    </row>
    <row r="33" spans="1:7" x14ac:dyDescent="0.3">
      <c r="A33" s="77"/>
      <c r="B33" s="21" t="s">
        <v>32</v>
      </c>
      <c r="C33" s="18"/>
      <c r="D33" s="1">
        <v>2</v>
      </c>
      <c r="E33" s="67"/>
      <c r="F33" s="3">
        <f t="shared" si="1"/>
        <v>0</v>
      </c>
      <c r="G33" s="5">
        <f t="shared" si="0"/>
        <v>0</v>
      </c>
    </row>
    <row r="34" spans="1:7" x14ac:dyDescent="0.3">
      <c r="A34" s="77"/>
      <c r="B34" s="21" t="s">
        <v>33</v>
      </c>
      <c r="C34" s="18"/>
      <c r="D34" s="1">
        <v>3</v>
      </c>
      <c r="E34" s="67"/>
      <c r="F34" s="3">
        <f t="shared" si="1"/>
        <v>0</v>
      </c>
      <c r="G34" s="5">
        <f t="shared" si="0"/>
        <v>0</v>
      </c>
    </row>
    <row r="35" spans="1:7" x14ac:dyDescent="0.3">
      <c r="A35" s="77"/>
      <c r="B35" s="21" t="s">
        <v>34</v>
      </c>
      <c r="C35" s="18"/>
      <c r="D35" s="1">
        <v>4</v>
      </c>
      <c r="E35" s="67"/>
      <c r="F35" s="3">
        <f t="shared" si="1"/>
        <v>0</v>
      </c>
      <c r="G35" s="5">
        <f t="shared" si="0"/>
        <v>0</v>
      </c>
    </row>
    <row r="36" spans="1:7" x14ac:dyDescent="0.3">
      <c r="A36" s="77"/>
      <c r="B36" s="21" t="s">
        <v>35</v>
      </c>
      <c r="C36" s="18"/>
      <c r="D36" s="1">
        <v>9</v>
      </c>
      <c r="E36" s="67"/>
      <c r="F36" s="3">
        <f t="shared" si="1"/>
        <v>0</v>
      </c>
      <c r="G36" s="5">
        <f t="shared" si="0"/>
        <v>0</v>
      </c>
    </row>
    <row r="37" spans="1:7" x14ac:dyDescent="0.3">
      <c r="A37" s="77"/>
      <c r="B37" s="21" t="s">
        <v>36</v>
      </c>
      <c r="C37" s="18"/>
      <c r="D37" s="1">
        <v>1</v>
      </c>
      <c r="E37" s="67"/>
      <c r="F37" s="3">
        <f t="shared" si="1"/>
        <v>0</v>
      </c>
      <c r="G37" s="5">
        <f t="shared" si="0"/>
        <v>0</v>
      </c>
    </row>
    <row r="38" spans="1:7" x14ac:dyDescent="0.3">
      <c r="A38" s="77"/>
      <c r="B38" s="21" t="s">
        <v>37</v>
      </c>
      <c r="C38" s="18"/>
      <c r="D38" s="1">
        <v>4</v>
      </c>
      <c r="E38" s="67"/>
      <c r="F38" s="3">
        <f t="shared" si="1"/>
        <v>0</v>
      </c>
      <c r="G38" s="5">
        <f t="shared" si="0"/>
        <v>0</v>
      </c>
    </row>
    <row r="39" spans="1:7" x14ac:dyDescent="0.3">
      <c r="A39" s="77"/>
      <c r="B39" s="21" t="s">
        <v>38</v>
      </c>
      <c r="C39" s="18"/>
      <c r="D39" s="1">
        <v>1</v>
      </c>
      <c r="E39" s="67"/>
      <c r="F39" s="3">
        <f t="shared" si="1"/>
        <v>0</v>
      </c>
      <c r="G39" s="5">
        <f t="shared" si="0"/>
        <v>0</v>
      </c>
    </row>
    <row r="40" spans="1:7" x14ac:dyDescent="0.3">
      <c r="A40" s="77"/>
      <c r="B40" s="21" t="s">
        <v>39</v>
      </c>
      <c r="C40" s="18"/>
      <c r="D40" s="1">
        <v>5</v>
      </c>
      <c r="E40" s="67"/>
      <c r="F40" s="3">
        <f t="shared" si="1"/>
        <v>0</v>
      </c>
      <c r="G40" s="5">
        <f t="shared" si="0"/>
        <v>0</v>
      </c>
    </row>
    <row r="41" spans="1:7" x14ac:dyDescent="0.3">
      <c r="A41" s="85"/>
      <c r="B41" s="22" t="s">
        <v>40</v>
      </c>
      <c r="C41" s="19"/>
      <c r="D41" s="10">
        <v>1</v>
      </c>
      <c r="E41" s="68"/>
      <c r="F41" s="3">
        <f t="shared" si="1"/>
        <v>0</v>
      </c>
      <c r="G41" s="5">
        <f t="shared" si="0"/>
        <v>0</v>
      </c>
    </row>
    <row r="42" spans="1:7" x14ac:dyDescent="0.3">
      <c r="A42" s="76" t="s">
        <v>145</v>
      </c>
      <c r="B42" s="29" t="s">
        <v>41</v>
      </c>
      <c r="C42" s="30" t="s">
        <v>186</v>
      </c>
      <c r="D42" s="31"/>
      <c r="E42" s="32"/>
      <c r="F42" s="32"/>
      <c r="G42" s="33"/>
    </row>
    <row r="43" spans="1:7" x14ac:dyDescent="0.3">
      <c r="A43" s="77"/>
      <c r="B43" s="21" t="s">
        <v>42</v>
      </c>
      <c r="C43" s="18"/>
      <c r="D43" s="1">
        <v>10</v>
      </c>
      <c r="E43" s="67"/>
      <c r="F43" s="3">
        <f t="shared" si="1"/>
        <v>0</v>
      </c>
      <c r="G43" s="5">
        <f t="shared" si="0"/>
        <v>0</v>
      </c>
    </row>
    <row r="44" spans="1:7" x14ac:dyDescent="0.3">
      <c r="A44" s="77"/>
      <c r="B44" s="21" t="s">
        <v>226</v>
      </c>
      <c r="C44" s="18"/>
      <c r="D44" s="1">
        <v>6</v>
      </c>
      <c r="E44" s="67"/>
      <c r="F44" s="3">
        <f t="shared" si="1"/>
        <v>0</v>
      </c>
      <c r="G44" s="5">
        <f t="shared" si="0"/>
        <v>0</v>
      </c>
    </row>
    <row r="45" spans="1:7" x14ac:dyDescent="0.3">
      <c r="A45" s="85"/>
      <c r="B45" s="22" t="s">
        <v>43</v>
      </c>
      <c r="C45" s="19"/>
      <c r="D45" s="10">
        <v>1</v>
      </c>
      <c r="E45" s="68"/>
      <c r="F45" s="3">
        <f t="shared" si="1"/>
        <v>0</v>
      </c>
      <c r="G45" s="5">
        <f t="shared" si="0"/>
        <v>0</v>
      </c>
    </row>
    <row r="46" spans="1:7" x14ac:dyDescent="0.3">
      <c r="A46" s="76" t="s">
        <v>146</v>
      </c>
      <c r="B46" s="29" t="s">
        <v>44</v>
      </c>
      <c r="C46" s="30" t="s">
        <v>187</v>
      </c>
      <c r="D46" s="31"/>
      <c r="E46" s="32"/>
      <c r="F46" s="32"/>
      <c r="G46" s="33"/>
    </row>
    <row r="47" spans="1:7" x14ac:dyDescent="0.3">
      <c r="A47" s="85"/>
      <c r="B47" s="22" t="s">
        <v>45</v>
      </c>
      <c r="C47" s="19"/>
      <c r="D47" s="10">
        <v>1</v>
      </c>
      <c r="E47" s="68"/>
      <c r="F47" s="3">
        <f t="shared" si="1"/>
        <v>0</v>
      </c>
      <c r="G47" s="5">
        <f t="shared" si="0"/>
        <v>0</v>
      </c>
    </row>
    <row r="48" spans="1:7" x14ac:dyDescent="0.3">
      <c r="A48" s="76" t="s">
        <v>148</v>
      </c>
      <c r="B48" s="29" t="s">
        <v>46</v>
      </c>
      <c r="C48" s="30" t="s">
        <v>188</v>
      </c>
      <c r="D48" s="31"/>
      <c r="E48" s="32"/>
      <c r="F48" s="32"/>
      <c r="G48" s="33"/>
    </row>
    <row r="49" spans="1:7" x14ac:dyDescent="0.3">
      <c r="A49" s="77"/>
      <c r="B49" s="21" t="s">
        <v>47</v>
      </c>
      <c r="C49" s="18"/>
      <c r="D49" s="1">
        <v>2</v>
      </c>
      <c r="E49" s="67"/>
      <c r="F49" s="3">
        <f t="shared" si="1"/>
        <v>0</v>
      </c>
      <c r="G49" s="5">
        <f t="shared" si="0"/>
        <v>0</v>
      </c>
    </row>
    <row r="50" spans="1:7" x14ac:dyDescent="0.3">
      <c r="A50" s="85"/>
      <c r="B50" s="22" t="s">
        <v>48</v>
      </c>
      <c r="C50" s="19"/>
      <c r="D50" s="10">
        <v>1</v>
      </c>
      <c r="E50" s="68"/>
      <c r="F50" s="3">
        <f t="shared" si="1"/>
        <v>0</v>
      </c>
      <c r="G50" s="5">
        <f t="shared" si="0"/>
        <v>0</v>
      </c>
    </row>
    <row r="51" spans="1:7" x14ac:dyDescent="0.3">
      <c r="A51" s="76" t="s">
        <v>147</v>
      </c>
      <c r="B51" s="29" t="s">
        <v>49</v>
      </c>
      <c r="C51" s="30" t="s">
        <v>189</v>
      </c>
      <c r="D51" s="31"/>
      <c r="E51" s="32"/>
      <c r="F51" s="32"/>
      <c r="G51" s="33"/>
    </row>
    <row r="52" spans="1:7" x14ac:dyDescent="0.3">
      <c r="A52" s="85"/>
      <c r="B52" s="22" t="s">
        <v>50</v>
      </c>
      <c r="C52" s="19"/>
      <c r="D52" s="10">
        <v>3</v>
      </c>
      <c r="E52" s="68"/>
      <c r="F52" s="3">
        <f t="shared" si="1"/>
        <v>0</v>
      </c>
      <c r="G52" s="5">
        <f t="shared" si="0"/>
        <v>0</v>
      </c>
    </row>
    <row r="53" spans="1:7" x14ac:dyDescent="0.3">
      <c r="A53" s="76" t="s">
        <v>149</v>
      </c>
      <c r="B53" s="29" t="s">
        <v>51</v>
      </c>
      <c r="C53" s="30" t="s">
        <v>190</v>
      </c>
      <c r="D53" s="31"/>
      <c r="E53" s="32"/>
      <c r="F53" s="32"/>
      <c r="G53" s="33"/>
    </row>
    <row r="54" spans="1:7" x14ac:dyDescent="0.3">
      <c r="A54" s="77"/>
      <c r="B54" s="21" t="s">
        <v>52</v>
      </c>
      <c r="C54" s="18"/>
      <c r="D54" s="1">
        <v>1</v>
      </c>
      <c r="E54" s="67"/>
      <c r="F54" s="3">
        <f t="shared" si="1"/>
        <v>0</v>
      </c>
      <c r="G54" s="5">
        <f t="shared" si="0"/>
        <v>0</v>
      </c>
    </row>
    <row r="55" spans="1:7" x14ac:dyDescent="0.3">
      <c r="A55" s="85"/>
      <c r="B55" s="22" t="s">
        <v>53</v>
      </c>
      <c r="C55" s="19"/>
      <c r="D55" s="10">
        <v>1</v>
      </c>
      <c r="E55" s="68"/>
      <c r="F55" s="3">
        <f t="shared" si="1"/>
        <v>0</v>
      </c>
      <c r="G55" s="5">
        <f t="shared" si="0"/>
        <v>0</v>
      </c>
    </row>
    <row r="56" spans="1:7" x14ac:dyDescent="0.3">
      <c r="A56" s="76" t="s">
        <v>151</v>
      </c>
      <c r="B56" s="29" t="s">
        <v>54</v>
      </c>
      <c r="C56" s="30" t="s">
        <v>191</v>
      </c>
      <c r="D56" s="31"/>
      <c r="E56" s="32"/>
      <c r="F56" s="32"/>
      <c r="G56" s="33"/>
    </row>
    <row r="57" spans="1:7" x14ac:dyDescent="0.3">
      <c r="A57" s="85"/>
      <c r="B57" s="22" t="s">
        <v>55</v>
      </c>
      <c r="C57" s="19"/>
      <c r="D57" s="10">
        <v>3</v>
      </c>
      <c r="E57" s="68"/>
      <c r="F57" s="3">
        <f t="shared" si="1"/>
        <v>0</v>
      </c>
      <c r="G57" s="5">
        <f t="shared" si="0"/>
        <v>0</v>
      </c>
    </row>
    <row r="58" spans="1:7" x14ac:dyDescent="0.3">
      <c r="A58" s="76" t="s">
        <v>152</v>
      </c>
      <c r="B58" s="29" t="s">
        <v>56</v>
      </c>
      <c r="C58" s="30" t="s">
        <v>192</v>
      </c>
      <c r="D58" s="31"/>
      <c r="E58" s="32"/>
      <c r="F58" s="32"/>
      <c r="G58" s="33"/>
    </row>
    <row r="59" spans="1:7" x14ac:dyDescent="0.3">
      <c r="A59" s="85"/>
      <c r="B59" s="22" t="s">
        <v>57</v>
      </c>
      <c r="C59" s="19"/>
      <c r="D59" s="10">
        <v>4</v>
      </c>
      <c r="E59" s="68"/>
      <c r="F59" s="3">
        <f t="shared" si="1"/>
        <v>0</v>
      </c>
      <c r="G59" s="5">
        <f t="shared" si="0"/>
        <v>0</v>
      </c>
    </row>
    <row r="60" spans="1:7" x14ac:dyDescent="0.3">
      <c r="A60" s="76" t="s">
        <v>150</v>
      </c>
      <c r="B60" s="29" t="s">
        <v>58</v>
      </c>
      <c r="C60" s="30" t="s">
        <v>193</v>
      </c>
      <c r="D60" s="31"/>
      <c r="E60" s="32"/>
      <c r="F60" s="32"/>
      <c r="G60" s="33"/>
    </row>
    <row r="61" spans="1:7" x14ac:dyDescent="0.3">
      <c r="A61" s="77"/>
      <c r="B61" s="21" t="s">
        <v>59</v>
      </c>
      <c r="C61" s="18"/>
      <c r="D61" s="1">
        <v>2</v>
      </c>
      <c r="E61" s="67"/>
      <c r="F61" s="3">
        <f t="shared" si="1"/>
        <v>0</v>
      </c>
      <c r="G61" s="5">
        <f t="shared" si="0"/>
        <v>0</v>
      </c>
    </row>
    <row r="62" spans="1:7" x14ac:dyDescent="0.3">
      <c r="A62" s="85"/>
      <c r="B62" s="22" t="s">
        <v>60</v>
      </c>
      <c r="C62" s="19"/>
      <c r="D62" s="10">
        <v>2</v>
      </c>
      <c r="E62" s="68"/>
      <c r="F62" s="3">
        <f t="shared" si="1"/>
        <v>0</v>
      </c>
      <c r="G62" s="5">
        <f t="shared" si="0"/>
        <v>0</v>
      </c>
    </row>
    <row r="63" spans="1:7" x14ac:dyDescent="0.3">
      <c r="A63" s="76" t="s">
        <v>153</v>
      </c>
      <c r="B63" s="29" t="s">
        <v>61</v>
      </c>
      <c r="C63" s="30" t="s">
        <v>194</v>
      </c>
      <c r="D63" s="31"/>
      <c r="E63" s="32"/>
      <c r="F63" s="32"/>
      <c r="G63" s="33"/>
    </row>
    <row r="64" spans="1:7" x14ac:dyDescent="0.3">
      <c r="A64" s="77"/>
      <c r="B64" s="21" t="s">
        <v>62</v>
      </c>
      <c r="C64" s="18"/>
      <c r="D64" s="1">
        <v>11</v>
      </c>
      <c r="E64" s="67"/>
      <c r="F64" s="3">
        <f t="shared" si="1"/>
        <v>0</v>
      </c>
      <c r="G64" s="5">
        <f t="shared" si="0"/>
        <v>0</v>
      </c>
    </row>
    <row r="65" spans="1:7" x14ac:dyDescent="0.3">
      <c r="A65" s="85"/>
      <c r="B65" s="22" t="s">
        <v>63</v>
      </c>
      <c r="C65" s="19"/>
      <c r="D65" s="10">
        <v>3</v>
      </c>
      <c r="E65" s="68"/>
      <c r="F65" s="3">
        <f t="shared" si="1"/>
        <v>0</v>
      </c>
      <c r="G65" s="5">
        <f t="shared" si="0"/>
        <v>0</v>
      </c>
    </row>
    <row r="66" spans="1:7" x14ac:dyDescent="0.3">
      <c r="A66" s="76" t="s">
        <v>154</v>
      </c>
      <c r="B66" s="29" t="s">
        <v>64</v>
      </c>
      <c r="C66" s="30" t="s">
        <v>195</v>
      </c>
      <c r="D66" s="31"/>
      <c r="E66" s="32"/>
      <c r="F66" s="32"/>
      <c r="G66" s="33"/>
    </row>
    <row r="67" spans="1:7" x14ac:dyDescent="0.3">
      <c r="A67" s="77"/>
      <c r="B67" s="21" t="s">
        <v>65</v>
      </c>
      <c r="C67" s="18"/>
      <c r="D67" s="1">
        <v>1</v>
      </c>
      <c r="E67" s="67"/>
      <c r="F67" s="3">
        <f t="shared" si="1"/>
        <v>0</v>
      </c>
      <c r="G67" s="5">
        <f t="shared" si="0"/>
        <v>0</v>
      </c>
    </row>
    <row r="68" spans="1:7" x14ac:dyDescent="0.3">
      <c r="A68" s="77"/>
      <c r="B68" s="21" t="s">
        <v>66</v>
      </c>
      <c r="C68" s="18"/>
      <c r="D68" s="1">
        <v>2</v>
      </c>
      <c r="E68" s="67"/>
      <c r="F68" s="3">
        <f t="shared" si="1"/>
        <v>0</v>
      </c>
      <c r="G68" s="5">
        <f t="shared" si="0"/>
        <v>0</v>
      </c>
    </row>
    <row r="69" spans="1:7" x14ac:dyDescent="0.3">
      <c r="A69" s="85"/>
      <c r="B69" s="22" t="s">
        <v>67</v>
      </c>
      <c r="C69" s="19"/>
      <c r="D69" s="10">
        <v>1</v>
      </c>
      <c r="E69" s="68"/>
      <c r="F69" s="3">
        <f t="shared" si="1"/>
        <v>0</v>
      </c>
      <c r="G69" s="5">
        <f t="shared" si="0"/>
        <v>0</v>
      </c>
    </row>
    <row r="70" spans="1:7" x14ac:dyDescent="0.3">
      <c r="A70" s="76" t="s">
        <v>139</v>
      </c>
      <c r="B70" s="29" t="s">
        <v>68</v>
      </c>
      <c r="C70" s="30" t="s">
        <v>196</v>
      </c>
      <c r="D70" s="31"/>
      <c r="E70" s="32"/>
      <c r="F70" s="32"/>
      <c r="G70" s="33"/>
    </row>
    <row r="71" spans="1:7" x14ac:dyDescent="0.3">
      <c r="A71" s="85"/>
      <c r="B71" s="22" t="s">
        <v>69</v>
      </c>
      <c r="C71" s="19"/>
      <c r="D71" s="10">
        <v>3</v>
      </c>
      <c r="E71" s="68"/>
      <c r="F71" s="3">
        <f t="shared" si="1"/>
        <v>0</v>
      </c>
      <c r="G71" s="5">
        <f t="shared" ref="G71:G132" si="2">F71*12</f>
        <v>0</v>
      </c>
    </row>
    <row r="72" spans="1:7" x14ac:dyDescent="0.3">
      <c r="A72" s="76" t="s">
        <v>155</v>
      </c>
      <c r="B72" s="29" t="s">
        <v>70</v>
      </c>
      <c r="C72" s="30" t="s">
        <v>197</v>
      </c>
      <c r="D72" s="31"/>
      <c r="E72" s="32"/>
      <c r="F72" s="32"/>
      <c r="G72" s="33"/>
    </row>
    <row r="73" spans="1:7" x14ac:dyDescent="0.3">
      <c r="A73" s="85"/>
      <c r="B73" s="22" t="s">
        <v>71</v>
      </c>
      <c r="C73" s="19"/>
      <c r="D73" s="10">
        <v>1</v>
      </c>
      <c r="E73" s="68"/>
      <c r="F73" s="3">
        <f t="shared" ref="F73:F136" si="3">D73*E73</f>
        <v>0</v>
      </c>
      <c r="G73" s="5">
        <f t="shared" si="2"/>
        <v>0</v>
      </c>
    </row>
    <row r="74" spans="1:7" x14ac:dyDescent="0.3">
      <c r="A74" s="76" t="s">
        <v>157</v>
      </c>
      <c r="B74" s="29" t="s">
        <v>72</v>
      </c>
      <c r="C74" s="30" t="s">
        <v>198</v>
      </c>
      <c r="D74" s="31"/>
      <c r="E74" s="32"/>
      <c r="F74" s="32"/>
      <c r="G74" s="33"/>
    </row>
    <row r="75" spans="1:7" x14ac:dyDescent="0.3">
      <c r="A75" s="77"/>
      <c r="B75" s="21" t="s">
        <v>52</v>
      </c>
      <c r="C75" s="18"/>
      <c r="D75" s="1">
        <v>2</v>
      </c>
      <c r="E75" s="67"/>
      <c r="F75" s="3">
        <f t="shared" si="3"/>
        <v>0</v>
      </c>
      <c r="G75" s="5">
        <f t="shared" si="2"/>
        <v>0</v>
      </c>
    </row>
    <row r="76" spans="1:7" x14ac:dyDescent="0.3">
      <c r="A76" s="85"/>
      <c r="B76" s="22" t="s">
        <v>73</v>
      </c>
      <c r="C76" s="19"/>
      <c r="D76" s="10">
        <v>4</v>
      </c>
      <c r="E76" s="68"/>
      <c r="F76" s="3">
        <f t="shared" si="3"/>
        <v>0</v>
      </c>
      <c r="G76" s="5">
        <f t="shared" si="2"/>
        <v>0</v>
      </c>
    </row>
    <row r="77" spans="1:7" x14ac:dyDescent="0.3">
      <c r="A77" s="76" t="s">
        <v>156</v>
      </c>
      <c r="B77" s="29" t="s">
        <v>74</v>
      </c>
      <c r="C77" s="30" t="s">
        <v>199</v>
      </c>
      <c r="D77" s="31"/>
      <c r="E77" s="32"/>
      <c r="F77" s="32"/>
      <c r="G77" s="33"/>
    </row>
    <row r="78" spans="1:7" x14ac:dyDescent="0.3">
      <c r="A78" s="77"/>
      <c r="B78" s="21" t="s">
        <v>75</v>
      </c>
      <c r="C78" s="18"/>
      <c r="D78" s="1">
        <v>2</v>
      </c>
      <c r="E78" s="67"/>
      <c r="F78" s="3">
        <f t="shared" si="3"/>
        <v>0</v>
      </c>
      <c r="G78" s="5">
        <f t="shared" si="2"/>
        <v>0</v>
      </c>
    </row>
    <row r="79" spans="1:7" x14ac:dyDescent="0.3">
      <c r="A79" s="85"/>
      <c r="B79" s="22" t="s">
        <v>76</v>
      </c>
      <c r="C79" s="19"/>
      <c r="D79" s="10">
        <v>1</v>
      </c>
      <c r="E79" s="68"/>
      <c r="F79" s="3">
        <f t="shared" si="3"/>
        <v>0</v>
      </c>
      <c r="G79" s="5">
        <f t="shared" si="2"/>
        <v>0</v>
      </c>
    </row>
    <row r="80" spans="1:7" x14ac:dyDescent="0.3">
      <c r="A80" s="76" t="s">
        <v>158</v>
      </c>
      <c r="B80" s="29" t="s">
        <v>77</v>
      </c>
      <c r="C80" s="30" t="s">
        <v>200</v>
      </c>
      <c r="D80" s="31"/>
      <c r="E80" s="32"/>
      <c r="F80" s="32"/>
      <c r="G80" s="33"/>
    </row>
    <row r="81" spans="1:7" x14ac:dyDescent="0.3">
      <c r="A81" s="85"/>
      <c r="B81" s="22" t="s">
        <v>78</v>
      </c>
      <c r="C81" s="19"/>
      <c r="D81" s="10">
        <v>1</v>
      </c>
      <c r="E81" s="68"/>
      <c r="F81" s="3">
        <f t="shared" si="3"/>
        <v>0</v>
      </c>
      <c r="G81" s="5">
        <f t="shared" si="2"/>
        <v>0</v>
      </c>
    </row>
    <row r="82" spans="1:7" x14ac:dyDescent="0.3">
      <c r="A82" s="76" t="s">
        <v>159</v>
      </c>
      <c r="B82" s="29" t="s">
        <v>79</v>
      </c>
      <c r="C82" s="30" t="s">
        <v>201</v>
      </c>
      <c r="D82" s="31"/>
      <c r="E82" s="32"/>
      <c r="F82" s="32"/>
      <c r="G82" s="33"/>
    </row>
    <row r="83" spans="1:7" x14ac:dyDescent="0.3">
      <c r="A83" s="77"/>
      <c r="B83" s="21" t="s">
        <v>80</v>
      </c>
      <c r="C83" s="18"/>
      <c r="D83" s="1">
        <v>9</v>
      </c>
      <c r="E83" s="67"/>
      <c r="F83" s="3">
        <f t="shared" si="3"/>
        <v>0</v>
      </c>
      <c r="G83" s="5">
        <f t="shared" si="2"/>
        <v>0</v>
      </c>
    </row>
    <row r="84" spans="1:7" x14ac:dyDescent="0.3">
      <c r="A84" s="77"/>
      <c r="B84" s="21" t="s">
        <v>81</v>
      </c>
      <c r="C84" s="18"/>
      <c r="D84" s="1">
        <v>7</v>
      </c>
      <c r="E84" s="67"/>
      <c r="F84" s="3">
        <f t="shared" si="3"/>
        <v>0</v>
      </c>
      <c r="G84" s="5">
        <f t="shared" si="2"/>
        <v>0</v>
      </c>
    </row>
    <row r="85" spans="1:7" x14ac:dyDescent="0.3">
      <c r="A85" s="85"/>
      <c r="B85" s="22" t="s">
        <v>82</v>
      </c>
      <c r="C85" s="19"/>
      <c r="D85" s="10">
        <v>2</v>
      </c>
      <c r="E85" s="68"/>
      <c r="F85" s="3">
        <f t="shared" si="3"/>
        <v>0</v>
      </c>
      <c r="G85" s="5">
        <f t="shared" si="2"/>
        <v>0</v>
      </c>
    </row>
    <row r="86" spans="1:7" x14ac:dyDescent="0.3">
      <c r="A86" s="76" t="s">
        <v>140</v>
      </c>
      <c r="B86" s="29" t="s">
        <v>85</v>
      </c>
      <c r="C86" s="30" t="s">
        <v>202</v>
      </c>
      <c r="D86" s="31"/>
      <c r="E86" s="32"/>
      <c r="F86" s="32"/>
      <c r="G86" s="33"/>
    </row>
    <row r="87" spans="1:7" x14ac:dyDescent="0.3">
      <c r="A87" s="85"/>
      <c r="B87" s="22" t="s">
        <v>86</v>
      </c>
      <c r="C87" s="19"/>
      <c r="D87" s="10">
        <v>1</v>
      </c>
      <c r="E87" s="68"/>
      <c r="F87" s="3">
        <f t="shared" si="3"/>
        <v>0</v>
      </c>
      <c r="G87" s="5">
        <f t="shared" si="2"/>
        <v>0</v>
      </c>
    </row>
    <row r="88" spans="1:7" x14ac:dyDescent="0.3">
      <c r="A88" s="76" t="s">
        <v>160</v>
      </c>
      <c r="B88" s="29" t="s">
        <v>83</v>
      </c>
      <c r="C88" s="30" t="s">
        <v>203</v>
      </c>
      <c r="D88" s="31"/>
      <c r="E88" s="32"/>
      <c r="F88" s="32"/>
      <c r="G88" s="33"/>
    </row>
    <row r="89" spans="1:7" x14ac:dyDescent="0.3">
      <c r="A89" s="85"/>
      <c r="B89" s="22" t="s">
        <v>84</v>
      </c>
      <c r="C89" s="19"/>
      <c r="D89" s="10">
        <v>1</v>
      </c>
      <c r="E89" s="68"/>
      <c r="F89" s="3">
        <f t="shared" si="3"/>
        <v>0</v>
      </c>
      <c r="G89" s="5">
        <f t="shared" si="2"/>
        <v>0</v>
      </c>
    </row>
    <row r="90" spans="1:7" x14ac:dyDescent="0.3">
      <c r="A90" s="76" t="s">
        <v>161</v>
      </c>
      <c r="B90" s="29" t="s">
        <v>87</v>
      </c>
      <c r="C90" s="30" t="s">
        <v>204</v>
      </c>
      <c r="D90" s="31"/>
      <c r="E90" s="32"/>
      <c r="F90" s="32"/>
      <c r="G90" s="33"/>
    </row>
    <row r="91" spans="1:7" x14ac:dyDescent="0.3">
      <c r="A91" s="77"/>
      <c r="B91" s="21" t="s">
        <v>88</v>
      </c>
      <c r="C91" s="18"/>
      <c r="D91" s="1">
        <v>8</v>
      </c>
      <c r="E91" s="67"/>
      <c r="F91" s="3">
        <f t="shared" si="3"/>
        <v>0</v>
      </c>
      <c r="G91" s="5">
        <f t="shared" si="2"/>
        <v>0</v>
      </c>
    </row>
    <row r="92" spans="1:7" x14ac:dyDescent="0.3">
      <c r="A92" s="85"/>
      <c r="B92" s="22" t="s">
        <v>89</v>
      </c>
      <c r="C92" s="19"/>
      <c r="D92" s="10">
        <v>1</v>
      </c>
      <c r="E92" s="68"/>
      <c r="F92" s="3">
        <f t="shared" si="3"/>
        <v>0</v>
      </c>
      <c r="G92" s="5">
        <f t="shared" si="2"/>
        <v>0</v>
      </c>
    </row>
    <row r="93" spans="1:7" x14ac:dyDescent="0.3">
      <c r="A93" s="76" t="s">
        <v>162</v>
      </c>
      <c r="B93" s="29" t="s">
        <v>90</v>
      </c>
      <c r="C93" s="30" t="s">
        <v>205</v>
      </c>
      <c r="D93" s="31"/>
      <c r="E93" s="32"/>
      <c r="F93" s="32"/>
      <c r="G93" s="33"/>
    </row>
    <row r="94" spans="1:7" x14ac:dyDescent="0.3">
      <c r="A94" s="85"/>
      <c r="B94" s="22" t="s">
        <v>91</v>
      </c>
      <c r="C94" s="19"/>
      <c r="D94" s="10">
        <v>9</v>
      </c>
      <c r="E94" s="68"/>
      <c r="F94" s="3">
        <f t="shared" si="3"/>
        <v>0</v>
      </c>
      <c r="G94" s="5">
        <f t="shared" si="2"/>
        <v>0</v>
      </c>
    </row>
    <row r="95" spans="1:7" x14ac:dyDescent="0.3">
      <c r="A95" s="76" t="s">
        <v>163</v>
      </c>
      <c r="B95" s="29" t="s">
        <v>92</v>
      </c>
      <c r="C95" s="30" t="s">
        <v>206</v>
      </c>
      <c r="D95" s="31"/>
      <c r="E95" s="32"/>
      <c r="F95" s="32"/>
      <c r="G95" s="33"/>
    </row>
    <row r="96" spans="1:7" x14ac:dyDescent="0.3">
      <c r="A96" s="77"/>
      <c r="B96" s="21" t="s">
        <v>93</v>
      </c>
      <c r="C96" s="18"/>
      <c r="D96" s="1">
        <v>5</v>
      </c>
      <c r="E96" s="67"/>
      <c r="F96" s="3">
        <f t="shared" si="3"/>
        <v>0</v>
      </c>
      <c r="G96" s="5">
        <f t="shared" si="2"/>
        <v>0</v>
      </c>
    </row>
    <row r="97" spans="1:7" x14ac:dyDescent="0.3">
      <c r="A97" s="85"/>
      <c r="B97" s="22" t="s">
        <v>94</v>
      </c>
      <c r="C97" s="19"/>
      <c r="D97" s="10">
        <v>5</v>
      </c>
      <c r="E97" s="68"/>
      <c r="F97" s="3">
        <f t="shared" si="3"/>
        <v>0</v>
      </c>
      <c r="G97" s="5">
        <f t="shared" si="2"/>
        <v>0</v>
      </c>
    </row>
    <row r="98" spans="1:7" x14ac:dyDescent="0.3">
      <c r="A98" s="76" t="s">
        <v>164</v>
      </c>
      <c r="B98" s="29" t="s">
        <v>95</v>
      </c>
      <c r="C98" s="30" t="s">
        <v>207</v>
      </c>
      <c r="D98" s="31"/>
      <c r="E98" s="32"/>
      <c r="F98" s="32"/>
      <c r="G98" s="33"/>
    </row>
    <row r="99" spans="1:7" x14ac:dyDescent="0.3">
      <c r="A99" s="77"/>
      <c r="B99" s="21" t="s">
        <v>66</v>
      </c>
      <c r="C99" s="18"/>
      <c r="D99" s="1">
        <v>2</v>
      </c>
      <c r="E99" s="67"/>
      <c r="F99" s="3">
        <f t="shared" si="3"/>
        <v>0</v>
      </c>
      <c r="G99" s="5">
        <f t="shared" si="2"/>
        <v>0</v>
      </c>
    </row>
    <row r="100" spans="1:7" x14ac:dyDescent="0.3">
      <c r="A100" s="85"/>
      <c r="B100" s="22" t="s">
        <v>96</v>
      </c>
      <c r="C100" s="19"/>
      <c r="D100" s="10">
        <v>1</v>
      </c>
      <c r="E100" s="68"/>
      <c r="F100" s="3">
        <f t="shared" si="3"/>
        <v>0</v>
      </c>
      <c r="G100" s="5">
        <f t="shared" si="2"/>
        <v>0</v>
      </c>
    </row>
    <row r="101" spans="1:7" x14ac:dyDescent="0.3">
      <c r="A101" s="76" t="s">
        <v>165</v>
      </c>
      <c r="B101" s="29" t="s">
        <v>97</v>
      </c>
      <c r="C101" s="30" t="s">
        <v>208</v>
      </c>
      <c r="D101" s="31"/>
      <c r="E101" s="32"/>
      <c r="F101" s="32"/>
      <c r="G101" s="33"/>
    </row>
    <row r="102" spans="1:7" x14ac:dyDescent="0.3">
      <c r="A102" s="77"/>
      <c r="B102" s="21" t="s">
        <v>98</v>
      </c>
      <c r="C102" s="18"/>
      <c r="D102" s="1">
        <v>7</v>
      </c>
      <c r="E102" s="67"/>
      <c r="F102" s="3">
        <f t="shared" si="3"/>
        <v>0</v>
      </c>
      <c r="G102" s="5">
        <f t="shared" si="2"/>
        <v>0</v>
      </c>
    </row>
    <row r="103" spans="1:7" x14ac:dyDescent="0.3">
      <c r="A103" s="85"/>
      <c r="B103" s="22" t="s">
        <v>99</v>
      </c>
      <c r="C103" s="19"/>
      <c r="D103" s="10">
        <v>3</v>
      </c>
      <c r="E103" s="68"/>
      <c r="F103" s="3">
        <f t="shared" si="3"/>
        <v>0</v>
      </c>
      <c r="G103" s="5">
        <f t="shared" si="2"/>
        <v>0</v>
      </c>
    </row>
    <row r="104" spans="1:7" x14ac:dyDescent="0.3">
      <c r="A104" s="76" t="s">
        <v>166</v>
      </c>
      <c r="B104" s="29" t="s">
        <v>100</v>
      </c>
      <c r="C104" s="30" t="s">
        <v>209</v>
      </c>
      <c r="D104" s="31"/>
      <c r="E104" s="32"/>
      <c r="F104" s="32"/>
      <c r="G104" s="33"/>
    </row>
    <row r="105" spans="1:7" x14ac:dyDescent="0.3">
      <c r="A105" s="85"/>
      <c r="B105" s="22" t="s">
        <v>101</v>
      </c>
      <c r="C105" s="19"/>
      <c r="D105" s="10">
        <v>1</v>
      </c>
      <c r="E105" s="68"/>
      <c r="F105" s="3">
        <f t="shared" si="3"/>
        <v>0</v>
      </c>
      <c r="G105" s="5">
        <f t="shared" si="2"/>
        <v>0</v>
      </c>
    </row>
    <row r="106" spans="1:7" x14ac:dyDescent="0.3">
      <c r="A106" s="76" t="s">
        <v>167</v>
      </c>
      <c r="B106" s="29" t="s">
        <v>102</v>
      </c>
      <c r="C106" s="30" t="s">
        <v>210</v>
      </c>
      <c r="D106" s="31"/>
      <c r="E106" s="32"/>
      <c r="F106" s="32"/>
      <c r="G106" s="33"/>
    </row>
    <row r="107" spans="1:7" x14ac:dyDescent="0.3">
      <c r="A107" s="85"/>
      <c r="B107" s="22" t="s">
        <v>103</v>
      </c>
      <c r="C107" s="19"/>
      <c r="D107" s="10">
        <v>1</v>
      </c>
      <c r="E107" s="68"/>
      <c r="F107" s="3">
        <f t="shared" si="3"/>
        <v>0</v>
      </c>
      <c r="G107" s="5">
        <f t="shared" si="2"/>
        <v>0</v>
      </c>
    </row>
    <row r="108" spans="1:7" x14ac:dyDescent="0.3">
      <c r="A108" s="76" t="s">
        <v>168</v>
      </c>
      <c r="B108" s="29" t="s">
        <v>104</v>
      </c>
      <c r="C108" s="30" t="s">
        <v>211</v>
      </c>
      <c r="D108" s="31"/>
      <c r="E108" s="32"/>
      <c r="F108" s="32"/>
      <c r="G108" s="33"/>
    </row>
    <row r="109" spans="1:7" x14ac:dyDescent="0.3">
      <c r="A109" s="77"/>
      <c r="B109" s="21" t="s">
        <v>105</v>
      </c>
      <c r="C109" s="18"/>
      <c r="D109" s="1">
        <v>6</v>
      </c>
      <c r="E109" s="67"/>
      <c r="F109" s="3">
        <f t="shared" si="3"/>
        <v>0</v>
      </c>
      <c r="G109" s="5">
        <f t="shared" si="2"/>
        <v>0</v>
      </c>
    </row>
    <row r="110" spans="1:7" x14ac:dyDescent="0.3">
      <c r="A110" s="85"/>
      <c r="B110" s="22" t="s">
        <v>106</v>
      </c>
      <c r="C110" s="19"/>
      <c r="D110" s="10">
        <v>3</v>
      </c>
      <c r="E110" s="68"/>
      <c r="F110" s="3">
        <f t="shared" si="3"/>
        <v>0</v>
      </c>
      <c r="G110" s="5">
        <f t="shared" si="2"/>
        <v>0</v>
      </c>
    </row>
    <row r="111" spans="1:7" x14ac:dyDescent="0.3">
      <c r="A111" s="76" t="s">
        <v>169</v>
      </c>
      <c r="B111" s="29" t="s">
        <v>107</v>
      </c>
      <c r="C111" s="30" t="s">
        <v>212</v>
      </c>
      <c r="D111" s="31"/>
      <c r="E111" s="32"/>
      <c r="F111" s="32"/>
      <c r="G111" s="33"/>
    </row>
    <row r="112" spans="1:7" x14ac:dyDescent="0.3">
      <c r="A112" s="77"/>
      <c r="B112" s="21" t="s">
        <v>108</v>
      </c>
      <c r="C112" s="18"/>
      <c r="D112" s="1">
        <v>1</v>
      </c>
      <c r="E112" s="67"/>
      <c r="F112" s="3">
        <f t="shared" si="3"/>
        <v>0</v>
      </c>
      <c r="G112" s="5">
        <f t="shared" si="2"/>
        <v>0</v>
      </c>
    </row>
    <row r="113" spans="1:7" x14ac:dyDescent="0.3">
      <c r="A113" s="85"/>
      <c r="B113" s="22" t="s">
        <v>109</v>
      </c>
      <c r="C113" s="19"/>
      <c r="D113" s="10">
        <v>1</v>
      </c>
      <c r="E113" s="68"/>
      <c r="F113" s="3">
        <f t="shared" si="3"/>
        <v>0</v>
      </c>
      <c r="G113" s="5">
        <f t="shared" si="2"/>
        <v>0</v>
      </c>
    </row>
    <row r="114" spans="1:7" x14ac:dyDescent="0.3">
      <c r="A114" s="76" t="s">
        <v>170</v>
      </c>
      <c r="B114" s="29" t="s">
        <v>110</v>
      </c>
      <c r="C114" s="30" t="s">
        <v>213</v>
      </c>
      <c r="D114" s="31"/>
      <c r="E114" s="32"/>
      <c r="F114" s="32"/>
      <c r="G114" s="33"/>
    </row>
    <row r="115" spans="1:7" x14ac:dyDescent="0.3">
      <c r="A115" s="77"/>
      <c r="B115" s="21" t="s">
        <v>111</v>
      </c>
      <c r="C115" s="18"/>
      <c r="D115" s="1">
        <v>4</v>
      </c>
      <c r="E115" s="67"/>
      <c r="F115" s="3">
        <f t="shared" si="3"/>
        <v>0</v>
      </c>
      <c r="G115" s="5">
        <f t="shared" si="2"/>
        <v>0</v>
      </c>
    </row>
    <row r="116" spans="1:7" x14ac:dyDescent="0.3">
      <c r="A116" s="85"/>
      <c r="B116" s="22" t="s">
        <v>112</v>
      </c>
      <c r="C116" s="19"/>
      <c r="D116" s="10">
        <v>3</v>
      </c>
      <c r="E116" s="68"/>
      <c r="F116" s="3">
        <f t="shared" si="3"/>
        <v>0</v>
      </c>
      <c r="G116" s="5">
        <f t="shared" si="2"/>
        <v>0</v>
      </c>
    </row>
    <row r="117" spans="1:7" x14ac:dyDescent="0.3">
      <c r="A117" s="76" t="s">
        <v>171</v>
      </c>
      <c r="B117" s="29" t="s">
        <v>113</v>
      </c>
      <c r="C117" s="30" t="s">
        <v>214</v>
      </c>
      <c r="D117" s="31"/>
      <c r="E117" s="32"/>
      <c r="F117" s="32"/>
      <c r="G117" s="33"/>
    </row>
    <row r="118" spans="1:7" x14ac:dyDescent="0.3">
      <c r="A118" s="77"/>
      <c r="B118" s="21" t="s">
        <v>114</v>
      </c>
      <c r="C118" s="18"/>
      <c r="D118" s="1">
        <v>6</v>
      </c>
      <c r="E118" s="67"/>
      <c r="F118" s="3">
        <f t="shared" si="3"/>
        <v>0</v>
      </c>
      <c r="G118" s="5">
        <f t="shared" si="2"/>
        <v>0</v>
      </c>
    </row>
    <row r="119" spans="1:7" x14ac:dyDescent="0.3">
      <c r="A119" s="77"/>
      <c r="B119" s="21" t="s">
        <v>115</v>
      </c>
      <c r="C119" s="18"/>
      <c r="D119" s="1">
        <v>9</v>
      </c>
      <c r="E119" s="67"/>
      <c r="F119" s="3">
        <f t="shared" si="3"/>
        <v>0</v>
      </c>
      <c r="G119" s="5">
        <f t="shared" si="2"/>
        <v>0</v>
      </c>
    </row>
    <row r="120" spans="1:7" x14ac:dyDescent="0.3">
      <c r="A120" s="77"/>
      <c r="B120" s="21" t="s">
        <v>116</v>
      </c>
      <c r="C120" s="18"/>
      <c r="D120" s="1">
        <v>2</v>
      </c>
      <c r="E120" s="67"/>
      <c r="F120" s="3">
        <f t="shared" si="3"/>
        <v>0</v>
      </c>
      <c r="G120" s="5">
        <f t="shared" si="2"/>
        <v>0</v>
      </c>
    </row>
    <row r="121" spans="1:7" x14ac:dyDescent="0.3">
      <c r="A121" s="77"/>
      <c r="B121" s="21" t="s">
        <v>117</v>
      </c>
      <c r="C121" s="18"/>
      <c r="D121" s="1">
        <v>22</v>
      </c>
      <c r="E121" s="67"/>
      <c r="F121" s="3">
        <f t="shared" si="3"/>
        <v>0</v>
      </c>
      <c r="G121" s="5">
        <f t="shared" si="2"/>
        <v>0</v>
      </c>
    </row>
    <row r="122" spans="1:7" x14ac:dyDescent="0.3">
      <c r="A122" s="85"/>
      <c r="B122" s="22" t="s">
        <v>118</v>
      </c>
      <c r="C122" s="19"/>
      <c r="D122" s="10">
        <v>10</v>
      </c>
      <c r="E122" s="68"/>
      <c r="F122" s="3">
        <f t="shared" si="3"/>
        <v>0</v>
      </c>
      <c r="G122" s="5">
        <f t="shared" si="2"/>
        <v>0</v>
      </c>
    </row>
    <row r="123" spans="1:7" x14ac:dyDescent="0.3">
      <c r="A123" s="76" t="s">
        <v>172</v>
      </c>
      <c r="B123" s="29" t="s">
        <v>119</v>
      </c>
      <c r="C123" s="30" t="s">
        <v>215</v>
      </c>
      <c r="D123" s="31"/>
      <c r="E123" s="32"/>
      <c r="F123" s="32"/>
      <c r="G123" s="33"/>
    </row>
    <row r="124" spans="1:7" x14ac:dyDescent="0.3">
      <c r="A124" s="85"/>
      <c r="B124" s="22" t="s">
        <v>120</v>
      </c>
      <c r="C124" s="19"/>
      <c r="D124" s="10">
        <v>3</v>
      </c>
      <c r="E124" s="68"/>
      <c r="F124" s="3">
        <f t="shared" si="3"/>
        <v>0</v>
      </c>
      <c r="G124" s="5">
        <f t="shared" si="2"/>
        <v>0</v>
      </c>
    </row>
    <row r="125" spans="1:7" x14ac:dyDescent="0.3">
      <c r="A125" s="76" t="s">
        <v>173</v>
      </c>
      <c r="B125" s="29" t="s">
        <v>121</v>
      </c>
      <c r="C125" s="30" t="s">
        <v>216</v>
      </c>
      <c r="D125" s="31"/>
      <c r="E125" s="32"/>
      <c r="F125" s="32"/>
      <c r="G125" s="33"/>
    </row>
    <row r="126" spans="1:7" x14ac:dyDescent="0.3">
      <c r="A126" s="77"/>
      <c r="B126" s="21" t="s">
        <v>122</v>
      </c>
      <c r="C126" s="18"/>
      <c r="D126" s="1">
        <v>2</v>
      </c>
      <c r="E126" s="67"/>
      <c r="F126" s="3">
        <f t="shared" si="3"/>
        <v>0</v>
      </c>
      <c r="G126" s="5">
        <f t="shared" si="2"/>
        <v>0</v>
      </c>
    </row>
    <row r="127" spans="1:7" x14ac:dyDescent="0.3">
      <c r="A127" s="85"/>
      <c r="B127" s="22" t="s">
        <v>123</v>
      </c>
      <c r="C127" s="19"/>
      <c r="D127" s="10">
        <v>9</v>
      </c>
      <c r="E127" s="68"/>
      <c r="F127" s="3">
        <f t="shared" si="3"/>
        <v>0</v>
      </c>
      <c r="G127" s="5">
        <f t="shared" si="2"/>
        <v>0</v>
      </c>
    </row>
    <row r="128" spans="1:7" x14ac:dyDescent="0.3">
      <c r="A128" s="76" t="s">
        <v>174</v>
      </c>
      <c r="B128" s="29" t="s">
        <v>124</v>
      </c>
      <c r="C128" s="30" t="s">
        <v>217</v>
      </c>
      <c r="D128" s="31"/>
      <c r="E128" s="32"/>
      <c r="F128" s="32"/>
      <c r="G128" s="33"/>
    </row>
    <row r="129" spans="1:8" x14ac:dyDescent="0.3">
      <c r="A129" s="77"/>
      <c r="B129" s="21" t="s">
        <v>125</v>
      </c>
      <c r="C129" s="18"/>
      <c r="D129" s="1">
        <v>1</v>
      </c>
      <c r="E129" s="67"/>
      <c r="F129" s="3">
        <f t="shared" si="3"/>
        <v>0</v>
      </c>
      <c r="G129" s="5">
        <f t="shared" si="2"/>
        <v>0</v>
      </c>
    </row>
    <row r="130" spans="1:8" x14ac:dyDescent="0.3">
      <c r="A130" s="85"/>
      <c r="B130" s="22" t="s">
        <v>126</v>
      </c>
      <c r="C130" s="19"/>
      <c r="D130" s="10">
        <v>5</v>
      </c>
      <c r="E130" s="68"/>
      <c r="F130" s="3">
        <f t="shared" si="3"/>
        <v>0</v>
      </c>
      <c r="G130" s="5">
        <f t="shared" si="2"/>
        <v>0</v>
      </c>
    </row>
    <row r="131" spans="1:8" x14ac:dyDescent="0.3">
      <c r="A131" s="76" t="s">
        <v>175</v>
      </c>
      <c r="B131" s="29" t="s">
        <v>127</v>
      </c>
      <c r="C131" s="30" t="s">
        <v>218</v>
      </c>
      <c r="D131" s="31"/>
      <c r="E131" s="32"/>
      <c r="F131" s="32"/>
      <c r="G131" s="33"/>
    </row>
    <row r="132" spans="1:8" x14ac:dyDescent="0.3">
      <c r="A132" s="85"/>
      <c r="B132" s="22" t="s">
        <v>128</v>
      </c>
      <c r="C132" s="19"/>
      <c r="D132" s="10">
        <v>7</v>
      </c>
      <c r="E132" s="68"/>
      <c r="F132" s="3">
        <f t="shared" si="3"/>
        <v>0</v>
      </c>
      <c r="G132" s="5">
        <f t="shared" si="2"/>
        <v>0</v>
      </c>
    </row>
    <row r="133" spans="1:8" x14ac:dyDescent="0.3">
      <c r="A133" s="76" t="s">
        <v>138</v>
      </c>
      <c r="B133" s="29" t="s">
        <v>129</v>
      </c>
      <c r="C133" s="30" t="s">
        <v>219</v>
      </c>
      <c r="D133" s="31"/>
      <c r="E133" s="32"/>
      <c r="F133" s="32"/>
      <c r="G133" s="33"/>
    </row>
    <row r="134" spans="1:8" x14ac:dyDescent="0.3">
      <c r="A134" s="85"/>
      <c r="B134" s="22" t="s">
        <v>130</v>
      </c>
      <c r="C134" s="19"/>
      <c r="D134" s="10">
        <v>1</v>
      </c>
      <c r="E134" s="68"/>
      <c r="F134" s="3">
        <f t="shared" si="3"/>
        <v>0</v>
      </c>
      <c r="G134" s="5">
        <f t="shared" ref="G134:G139" si="4">F134*12</f>
        <v>0</v>
      </c>
    </row>
    <row r="135" spans="1:8" x14ac:dyDescent="0.3">
      <c r="A135" s="76" t="s">
        <v>176</v>
      </c>
      <c r="B135" s="29" t="s">
        <v>131</v>
      </c>
      <c r="C135" s="30" t="s">
        <v>220</v>
      </c>
      <c r="D135" s="31"/>
      <c r="E135" s="32"/>
      <c r="F135" s="32"/>
      <c r="G135" s="33"/>
    </row>
    <row r="136" spans="1:8" x14ac:dyDescent="0.3">
      <c r="A136" s="77"/>
      <c r="B136" s="21" t="s">
        <v>132</v>
      </c>
      <c r="C136" s="18"/>
      <c r="D136" s="1">
        <v>1</v>
      </c>
      <c r="E136" s="67"/>
      <c r="F136" s="3">
        <f t="shared" si="3"/>
        <v>0</v>
      </c>
      <c r="G136" s="5"/>
    </row>
    <row r="137" spans="1:8" x14ac:dyDescent="0.3">
      <c r="A137" s="85"/>
      <c r="B137" s="22" t="s">
        <v>133</v>
      </c>
      <c r="C137" s="19"/>
      <c r="D137" s="10">
        <v>1</v>
      </c>
      <c r="E137" s="68"/>
      <c r="F137" s="3">
        <f t="shared" ref="F137:F139" si="5">D137*E137</f>
        <v>0</v>
      </c>
      <c r="G137" s="5">
        <f t="shared" si="4"/>
        <v>0</v>
      </c>
    </row>
    <row r="138" spans="1:8" x14ac:dyDescent="0.3">
      <c r="A138" s="76" t="s">
        <v>177</v>
      </c>
      <c r="B138" s="29" t="s">
        <v>134</v>
      </c>
      <c r="C138" s="30" t="s">
        <v>221</v>
      </c>
      <c r="D138" s="31"/>
      <c r="E138" s="32"/>
      <c r="F138" s="32"/>
      <c r="G138" s="33"/>
    </row>
    <row r="139" spans="1:8" x14ac:dyDescent="0.3">
      <c r="A139" s="85"/>
      <c r="B139" s="22" t="s">
        <v>135</v>
      </c>
      <c r="C139" s="19"/>
      <c r="D139" s="10">
        <v>1</v>
      </c>
      <c r="E139" s="68"/>
      <c r="F139" s="3">
        <f t="shared" si="5"/>
        <v>0</v>
      </c>
      <c r="G139" s="7">
        <f t="shared" si="4"/>
        <v>0</v>
      </c>
    </row>
    <row r="140" spans="1:8" x14ac:dyDescent="0.3">
      <c r="A140" s="34"/>
      <c r="B140" s="35" t="s">
        <v>242</v>
      </c>
      <c r="C140" s="36" t="s">
        <v>222</v>
      </c>
      <c r="D140" s="37">
        <f>SUM(D5:D139)</f>
        <v>330</v>
      </c>
      <c r="E140" s="70"/>
      <c r="F140" s="38">
        <f>D140*E140</f>
        <v>0</v>
      </c>
      <c r="G140" s="39"/>
    </row>
    <row r="141" spans="1:8" ht="15" thickBot="1" x14ac:dyDescent="0.35">
      <c r="A141" s="42"/>
      <c r="B141" s="41" t="s">
        <v>244</v>
      </c>
      <c r="C141" s="40" t="s">
        <v>222</v>
      </c>
      <c r="D141" s="1">
        <v>1</v>
      </c>
      <c r="E141" s="67"/>
      <c r="F141" s="3">
        <f>D141*E141</f>
        <v>0</v>
      </c>
      <c r="G141" s="4"/>
    </row>
    <row r="142" spans="1:8" ht="15" thickBot="1" x14ac:dyDescent="0.35">
      <c r="A142" s="87" t="s">
        <v>241</v>
      </c>
      <c r="B142" s="88"/>
      <c r="C142" s="88"/>
      <c r="D142" s="88"/>
      <c r="E142" s="89"/>
      <c r="F142" s="71">
        <f>SUM(F5:F139)</f>
        <v>0</v>
      </c>
      <c r="G142" s="43">
        <f>SUM(G5:G139,F140:F141)</f>
        <v>0</v>
      </c>
      <c r="H142" s="66" t="s">
        <v>253</v>
      </c>
    </row>
    <row r="143" spans="1:8" ht="15" thickBot="1" x14ac:dyDescent="0.35">
      <c r="A143" s="65"/>
      <c r="B143" s="91" t="s">
        <v>256</v>
      </c>
      <c r="C143" s="91"/>
      <c r="D143" s="91"/>
      <c r="E143" s="92"/>
      <c r="F143" s="72">
        <v>0</v>
      </c>
      <c r="H143" s="66"/>
    </row>
    <row r="144" spans="1:8" x14ac:dyDescent="0.3">
      <c r="G144" s="73">
        <f>G142*(1+F143)</f>
        <v>0</v>
      </c>
      <c r="H144" t="s">
        <v>251</v>
      </c>
    </row>
    <row r="145" spans="2:8" x14ac:dyDescent="0.3">
      <c r="G145" s="73">
        <f>G144*(1+F143)</f>
        <v>0</v>
      </c>
      <c r="H145" t="s">
        <v>252</v>
      </c>
    </row>
    <row r="146" spans="2:8" x14ac:dyDescent="0.3">
      <c r="G146" s="73">
        <f>(G145/2)</f>
        <v>0</v>
      </c>
      <c r="H146" t="s">
        <v>254</v>
      </c>
    </row>
    <row r="147" spans="2:8" x14ac:dyDescent="0.3">
      <c r="G147" s="73">
        <f>G142+G144+G145+G146</f>
        <v>0</v>
      </c>
      <c r="H147" t="s">
        <v>255</v>
      </c>
    </row>
    <row r="149" spans="2:8" x14ac:dyDescent="0.3">
      <c r="B149" s="50" t="s">
        <v>247</v>
      </c>
      <c r="C149" s="51"/>
      <c r="D149" s="37"/>
      <c r="E149" s="38"/>
      <c r="F149" s="38"/>
      <c r="G149" s="52"/>
    </row>
    <row r="150" spans="2:8" x14ac:dyDescent="0.3">
      <c r="B150" s="93"/>
      <c r="C150" s="93"/>
      <c r="D150" s="93"/>
      <c r="E150" s="93"/>
      <c r="F150" s="93"/>
      <c r="G150" s="93"/>
    </row>
    <row r="151" spans="2:8" x14ac:dyDescent="0.3">
      <c r="B151" s="93"/>
      <c r="C151" s="93"/>
      <c r="D151" s="93"/>
      <c r="E151" s="93"/>
      <c r="F151" s="93"/>
      <c r="G151" s="93"/>
    </row>
    <row r="152" spans="2:8" x14ac:dyDescent="0.3">
      <c r="B152" s="93"/>
      <c r="C152" s="93"/>
      <c r="D152" s="93"/>
      <c r="E152" s="93"/>
      <c r="F152" s="93"/>
      <c r="G152" s="93"/>
    </row>
    <row r="153" spans="2:8" x14ac:dyDescent="0.3">
      <c r="B153" s="93"/>
      <c r="C153" s="93"/>
      <c r="D153" s="93"/>
      <c r="E153" s="93"/>
      <c r="F153" s="93"/>
      <c r="G153" s="93"/>
    </row>
    <row r="154" spans="2:8" x14ac:dyDescent="0.3">
      <c r="B154" s="93"/>
      <c r="C154" s="93"/>
      <c r="D154" s="93"/>
      <c r="E154" s="93"/>
      <c r="F154" s="93"/>
      <c r="G154" s="93"/>
    </row>
    <row r="155" spans="2:8" x14ac:dyDescent="0.3">
      <c r="B155" s="93"/>
      <c r="C155" s="93"/>
      <c r="D155" s="93"/>
      <c r="E155" s="93"/>
      <c r="F155" s="93"/>
      <c r="G155" s="93"/>
    </row>
    <row r="156" spans="2:8" x14ac:dyDescent="0.3">
      <c r="B156" s="93"/>
      <c r="C156" s="93"/>
      <c r="D156" s="93"/>
      <c r="E156" s="93"/>
      <c r="F156" s="93"/>
      <c r="G156" s="93"/>
    </row>
    <row r="157" spans="2:8" x14ac:dyDescent="0.3">
      <c r="B157" s="93"/>
      <c r="C157" s="93"/>
      <c r="D157" s="93"/>
      <c r="E157" s="93"/>
      <c r="F157" s="93"/>
      <c r="G157" s="93"/>
    </row>
    <row r="158" spans="2:8" x14ac:dyDescent="0.3">
      <c r="B158" s="93"/>
      <c r="C158" s="93"/>
      <c r="D158" s="93"/>
      <c r="E158" s="93"/>
      <c r="F158" s="93"/>
      <c r="G158" s="93"/>
    </row>
    <row r="159" spans="2:8" x14ac:dyDescent="0.3">
      <c r="B159" s="93"/>
      <c r="C159" s="93"/>
      <c r="D159" s="93"/>
      <c r="E159" s="93"/>
      <c r="F159" s="93"/>
      <c r="G159" s="93"/>
    </row>
    <row r="160" spans="2:8" x14ac:dyDescent="0.3">
      <c r="B160" s="93"/>
      <c r="C160" s="93"/>
      <c r="D160" s="93"/>
      <c r="E160" s="93"/>
      <c r="F160" s="93"/>
      <c r="G160" s="93"/>
    </row>
    <row r="161" spans="2:7" x14ac:dyDescent="0.3">
      <c r="B161" s="93"/>
      <c r="C161" s="93"/>
      <c r="D161" s="93"/>
      <c r="E161" s="93"/>
      <c r="F161" s="93"/>
      <c r="G161" s="93"/>
    </row>
  </sheetData>
  <mergeCells count="58">
    <mergeCell ref="B143:E143"/>
    <mergeCell ref="B160:G160"/>
    <mergeCell ref="B161:G161"/>
    <mergeCell ref="B155:G155"/>
    <mergeCell ref="B156:G156"/>
    <mergeCell ref="B157:G157"/>
    <mergeCell ref="B158:G158"/>
    <mergeCell ref="B159:G159"/>
    <mergeCell ref="B150:G150"/>
    <mergeCell ref="B151:G151"/>
    <mergeCell ref="B152:G152"/>
    <mergeCell ref="B153:G153"/>
    <mergeCell ref="B154:G154"/>
    <mergeCell ref="A4:A6"/>
    <mergeCell ref="A138:A139"/>
    <mergeCell ref="A135:A137"/>
    <mergeCell ref="A133:A134"/>
    <mergeCell ref="A131:A132"/>
    <mergeCell ref="A128:A130"/>
    <mergeCell ref="A125:A127"/>
    <mergeCell ref="A123:A124"/>
    <mergeCell ref="A117:A122"/>
    <mergeCell ref="A114:A116"/>
    <mergeCell ref="A82:A85"/>
    <mergeCell ref="A111:A113"/>
    <mergeCell ref="A108:A110"/>
    <mergeCell ref="A106:A107"/>
    <mergeCell ref="A104:A105"/>
    <mergeCell ref="A101:A103"/>
    <mergeCell ref="A98:A100"/>
    <mergeCell ref="A95:A97"/>
    <mergeCell ref="A93:A94"/>
    <mergeCell ref="A90:A92"/>
    <mergeCell ref="A88:A89"/>
    <mergeCell ref="A86:A87"/>
    <mergeCell ref="A51:A52"/>
    <mergeCell ref="A80:A81"/>
    <mergeCell ref="A77:A79"/>
    <mergeCell ref="A74:A76"/>
    <mergeCell ref="A72:A73"/>
    <mergeCell ref="A70:A71"/>
    <mergeCell ref="A66:A69"/>
    <mergeCell ref="A25:A26"/>
    <mergeCell ref="A16:A24"/>
    <mergeCell ref="A7:A15"/>
    <mergeCell ref="A142:E142"/>
    <mergeCell ref="A1:G1"/>
    <mergeCell ref="A48:A50"/>
    <mergeCell ref="A46:A47"/>
    <mergeCell ref="A42:A45"/>
    <mergeCell ref="A31:A41"/>
    <mergeCell ref="A29:A30"/>
    <mergeCell ref="A27:A28"/>
    <mergeCell ref="A63:A65"/>
    <mergeCell ref="A60:A62"/>
    <mergeCell ref="A58:A59"/>
    <mergeCell ref="A56:A57"/>
    <mergeCell ref="A53:A55"/>
  </mergeCells>
  <phoneticPr fontId="1" type="noConversion"/>
  <pageMargins left="0.7" right="0.7" top="0.75" bottom="0.75" header="0.3" footer="0.3"/>
  <ignoredErrors>
    <ignoredError sqref="C4 C7 C25 C16 C27 C29 C31 C42 C46 C48 C51 C53 C56 C58 C60 C63 C66 C70 C72 C74 C77 C80 C82 C86 C88 C90 C93 C95 C98 C101 C104 C106 C108 C111 C114 C117 C125 C128 C131 C133 C135 C138 C140 C12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65E10-6652-4620-9AC9-41C9FA039C6E}">
  <dimension ref="C3:E46"/>
  <sheetViews>
    <sheetView workbookViewId="0">
      <selection activeCell="I10" sqref="I10"/>
    </sheetView>
  </sheetViews>
  <sheetFormatPr defaultRowHeight="14.4" x14ac:dyDescent="0.3"/>
  <cols>
    <col min="3" max="3" width="8.77734375" style="1"/>
    <col min="4" max="5" width="16.6640625" style="3" customWidth="1"/>
  </cols>
  <sheetData>
    <row r="3" spans="3:5" s="1" customFormat="1" ht="15" thickBot="1" x14ac:dyDescent="0.35">
      <c r="C3" s="59" t="s">
        <v>0</v>
      </c>
      <c r="D3" s="60" t="s">
        <v>248</v>
      </c>
      <c r="E3" s="61" t="s">
        <v>249</v>
      </c>
    </row>
    <row r="4" spans="3:5" x14ac:dyDescent="0.3">
      <c r="C4" s="56" t="s">
        <v>2</v>
      </c>
      <c r="D4" s="54">
        <f>SUM('Pricing Spreadsheet'!F5:F6)</f>
        <v>0</v>
      </c>
      <c r="E4" s="58">
        <f t="shared" ref="E4:E46" si="0">D4*12</f>
        <v>0</v>
      </c>
    </row>
    <row r="5" spans="3:5" x14ac:dyDescent="0.3">
      <c r="C5" s="57" t="s">
        <v>136</v>
      </c>
      <c r="D5" s="55">
        <f>SUM('Pricing Spreadsheet'!F8:F15)</f>
        <v>0</v>
      </c>
      <c r="E5" s="58">
        <f t="shared" si="0"/>
        <v>0</v>
      </c>
    </row>
    <row r="6" spans="3:5" x14ac:dyDescent="0.3">
      <c r="C6" s="57" t="s">
        <v>141</v>
      </c>
      <c r="D6" s="55">
        <f>SUM('Pricing Spreadsheet'!F17:F24)</f>
        <v>0</v>
      </c>
      <c r="E6" s="58">
        <f t="shared" si="0"/>
        <v>0</v>
      </c>
    </row>
    <row r="7" spans="3:5" x14ac:dyDescent="0.3">
      <c r="C7" s="57" t="s">
        <v>137</v>
      </c>
      <c r="D7" s="55">
        <f>SUM('Pricing Spreadsheet'!F26)</f>
        <v>0</v>
      </c>
      <c r="E7" s="58">
        <f t="shared" si="0"/>
        <v>0</v>
      </c>
    </row>
    <row r="8" spans="3:5" x14ac:dyDescent="0.3">
      <c r="C8" s="57" t="s">
        <v>144</v>
      </c>
      <c r="D8" s="55">
        <f>SUM('Pricing Spreadsheet'!F28)</f>
        <v>0</v>
      </c>
      <c r="E8" s="58">
        <f t="shared" si="0"/>
        <v>0</v>
      </c>
    </row>
    <row r="9" spans="3:5" x14ac:dyDescent="0.3">
      <c r="C9" s="57" t="s">
        <v>142</v>
      </c>
      <c r="D9" s="55">
        <f>SUM('Pricing Spreadsheet'!F30)</f>
        <v>0</v>
      </c>
      <c r="E9" s="58">
        <f t="shared" si="0"/>
        <v>0</v>
      </c>
    </row>
    <row r="10" spans="3:5" x14ac:dyDescent="0.3">
      <c r="C10" s="57" t="s">
        <v>143</v>
      </c>
      <c r="D10" s="55">
        <f>SUM('Pricing Spreadsheet'!F32:F41)</f>
        <v>0</v>
      </c>
      <c r="E10" s="58">
        <f t="shared" si="0"/>
        <v>0</v>
      </c>
    </row>
    <row r="11" spans="3:5" x14ac:dyDescent="0.3">
      <c r="C11" s="57" t="s">
        <v>145</v>
      </c>
      <c r="D11" s="55">
        <f>SUM('Pricing Spreadsheet'!F43:F45)</f>
        <v>0</v>
      </c>
      <c r="E11" s="58">
        <f t="shared" si="0"/>
        <v>0</v>
      </c>
    </row>
    <row r="12" spans="3:5" x14ac:dyDescent="0.3">
      <c r="C12" s="57" t="s">
        <v>146</v>
      </c>
      <c r="D12" s="55">
        <f>SUM('Pricing Spreadsheet'!F47)</f>
        <v>0</v>
      </c>
      <c r="E12" s="58">
        <f t="shared" si="0"/>
        <v>0</v>
      </c>
    </row>
    <row r="13" spans="3:5" x14ac:dyDescent="0.3">
      <c r="C13" s="57" t="s">
        <v>148</v>
      </c>
      <c r="D13" s="55">
        <f>SUM('Pricing Spreadsheet'!F49:F50)</f>
        <v>0</v>
      </c>
      <c r="E13" s="58">
        <f t="shared" si="0"/>
        <v>0</v>
      </c>
    </row>
    <row r="14" spans="3:5" x14ac:dyDescent="0.3">
      <c r="C14" s="57" t="s">
        <v>147</v>
      </c>
      <c r="D14" s="55">
        <f>SUM('Pricing Spreadsheet'!F52)</f>
        <v>0</v>
      </c>
      <c r="E14" s="58">
        <f t="shared" si="0"/>
        <v>0</v>
      </c>
    </row>
    <row r="15" spans="3:5" x14ac:dyDescent="0.3">
      <c r="C15" s="57" t="s">
        <v>149</v>
      </c>
      <c r="D15" s="55">
        <f>SUM('Pricing Spreadsheet'!F54:F55)</f>
        <v>0</v>
      </c>
      <c r="E15" s="58">
        <f t="shared" si="0"/>
        <v>0</v>
      </c>
    </row>
    <row r="16" spans="3:5" x14ac:dyDescent="0.3">
      <c r="C16" s="57" t="s">
        <v>151</v>
      </c>
      <c r="D16" s="55">
        <f>SUM('Pricing Spreadsheet'!F57)</f>
        <v>0</v>
      </c>
      <c r="E16" s="58">
        <f t="shared" si="0"/>
        <v>0</v>
      </c>
    </row>
    <row r="17" spans="3:5" x14ac:dyDescent="0.3">
      <c r="C17" s="57" t="s">
        <v>152</v>
      </c>
      <c r="D17" s="55">
        <f>SUM('Pricing Spreadsheet'!F59)</f>
        <v>0</v>
      </c>
      <c r="E17" s="58">
        <f t="shared" si="0"/>
        <v>0</v>
      </c>
    </row>
    <row r="18" spans="3:5" x14ac:dyDescent="0.3">
      <c r="C18" s="57" t="s">
        <v>150</v>
      </c>
      <c r="D18" s="55">
        <f>SUM('Pricing Spreadsheet'!F61:F62)</f>
        <v>0</v>
      </c>
      <c r="E18" s="58">
        <f t="shared" si="0"/>
        <v>0</v>
      </c>
    </row>
    <row r="19" spans="3:5" x14ac:dyDescent="0.3">
      <c r="C19" s="57" t="s">
        <v>153</v>
      </c>
      <c r="D19" s="55">
        <f>SUM('Pricing Spreadsheet'!F64:F65)</f>
        <v>0</v>
      </c>
      <c r="E19" s="58">
        <f t="shared" si="0"/>
        <v>0</v>
      </c>
    </row>
    <row r="20" spans="3:5" x14ac:dyDescent="0.3">
      <c r="C20" s="57" t="s">
        <v>154</v>
      </c>
      <c r="D20" s="55">
        <f>SUM('Pricing Spreadsheet'!F67:F69)</f>
        <v>0</v>
      </c>
      <c r="E20" s="58">
        <f t="shared" si="0"/>
        <v>0</v>
      </c>
    </row>
    <row r="21" spans="3:5" x14ac:dyDescent="0.3">
      <c r="C21" s="57" t="s">
        <v>139</v>
      </c>
      <c r="D21" s="55">
        <f>SUM('Pricing Spreadsheet'!F71)</f>
        <v>0</v>
      </c>
      <c r="E21" s="58">
        <f t="shared" si="0"/>
        <v>0</v>
      </c>
    </row>
    <row r="22" spans="3:5" x14ac:dyDescent="0.3">
      <c r="C22" s="57" t="s">
        <v>155</v>
      </c>
      <c r="D22" s="55">
        <f>SUM('Pricing Spreadsheet'!F73)</f>
        <v>0</v>
      </c>
      <c r="E22" s="58">
        <f t="shared" si="0"/>
        <v>0</v>
      </c>
    </row>
    <row r="23" spans="3:5" x14ac:dyDescent="0.3">
      <c r="C23" s="57" t="s">
        <v>157</v>
      </c>
      <c r="D23" s="55">
        <f>SUM('Pricing Spreadsheet'!F75:F76)</f>
        <v>0</v>
      </c>
      <c r="E23" s="58">
        <f t="shared" si="0"/>
        <v>0</v>
      </c>
    </row>
    <row r="24" spans="3:5" x14ac:dyDescent="0.3">
      <c r="C24" s="57" t="s">
        <v>156</v>
      </c>
      <c r="D24" s="55">
        <f>SUM('Pricing Spreadsheet'!F78:F79)</f>
        <v>0</v>
      </c>
      <c r="E24" s="58">
        <f t="shared" si="0"/>
        <v>0</v>
      </c>
    </row>
    <row r="25" spans="3:5" x14ac:dyDescent="0.3">
      <c r="C25" s="57" t="s">
        <v>158</v>
      </c>
      <c r="D25" s="55">
        <f>SUM('Pricing Spreadsheet'!F81)</f>
        <v>0</v>
      </c>
      <c r="E25" s="58">
        <f t="shared" si="0"/>
        <v>0</v>
      </c>
    </row>
    <row r="26" spans="3:5" x14ac:dyDescent="0.3">
      <c r="C26" s="57" t="s">
        <v>159</v>
      </c>
      <c r="D26" s="55">
        <f>SUM('Pricing Spreadsheet'!F83:F85)</f>
        <v>0</v>
      </c>
      <c r="E26" s="58">
        <f t="shared" si="0"/>
        <v>0</v>
      </c>
    </row>
    <row r="27" spans="3:5" x14ac:dyDescent="0.3">
      <c r="C27" s="57" t="s">
        <v>140</v>
      </c>
      <c r="D27" s="55">
        <f>SUM('Pricing Spreadsheet'!F87)</f>
        <v>0</v>
      </c>
      <c r="E27" s="58">
        <f t="shared" si="0"/>
        <v>0</v>
      </c>
    </row>
    <row r="28" spans="3:5" x14ac:dyDescent="0.3">
      <c r="C28" s="57" t="s">
        <v>160</v>
      </c>
      <c r="D28" s="55">
        <f>SUM('Pricing Spreadsheet'!F89)</f>
        <v>0</v>
      </c>
      <c r="E28" s="58">
        <f t="shared" si="0"/>
        <v>0</v>
      </c>
    </row>
    <row r="29" spans="3:5" x14ac:dyDescent="0.3">
      <c r="C29" s="57" t="s">
        <v>161</v>
      </c>
      <c r="D29" s="55">
        <f>SUM('Pricing Spreadsheet'!F91:F92)</f>
        <v>0</v>
      </c>
      <c r="E29" s="58">
        <f t="shared" si="0"/>
        <v>0</v>
      </c>
    </row>
    <row r="30" spans="3:5" x14ac:dyDescent="0.3">
      <c r="C30" s="57" t="s">
        <v>162</v>
      </c>
      <c r="D30" s="55">
        <f>SUM('Pricing Spreadsheet'!F94)</f>
        <v>0</v>
      </c>
      <c r="E30" s="58">
        <f t="shared" si="0"/>
        <v>0</v>
      </c>
    </row>
    <row r="31" spans="3:5" x14ac:dyDescent="0.3">
      <c r="C31" s="57" t="s">
        <v>163</v>
      </c>
      <c r="D31" s="55">
        <f>SUM('Pricing Spreadsheet'!F96:F97)</f>
        <v>0</v>
      </c>
      <c r="E31" s="58">
        <f t="shared" si="0"/>
        <v>0</v>
      </c>
    </row>
    <row r="32" spans="3:5" x14ac:dyDescent="0.3">
      <c r="C32" s="57" t="s">
        <v>164</v>
      </c>
      <c r="D32" s="55">
        <f>SUM('Pricing Spreadsheet'!F99:F100)</f>
        <v>0</v>
      </c>
      <c r="E32" s="58">
        <f t="shared" si="0"/>
        <v>0</v>
      </c>
    </row>
    <row r="33" spans="3:5" x14ac:dyDescent="0.3">
      <c r="C33" s="57" t="s">
        <v>165</v>
      </c>
      <c r="D33" s="55">
        <f>SUM('Pricing Spreadsheet'!F102:F103)</f>
        <v>0</v>
      </c>
      <c r="E33" s="58">
        <f t="shared" si="0"/>
        <v>0</v>
      </c>
    </row>
    <row r="34" spans="3:5" x14ac:dyDescent="0.3">
      <c r="C34" s="57" t="s">
        <v>166</v>
      </c>
      <c r="D34" s="55">
        <f>SUM('Pricing Spreadsheet'!F105)</f>
        <v>0</v>
      </c>
      <c r="E34" s="58">
        <f t="shared" si="0"/>
        <v>0</v>
      </c>
    </row>
    <row r="35" spans="3:5" x14ac:dyDescent="0.3">
      <c r="C35" s="57" t="s">
        <v>167</v>
      </c>
      <c r="D35" s="55">
        <f>SUM('Pricing Spreadsheet'!F107)</f>
        <v>0</v>
      </c>
      <c r="E35" s="58">
        <f t="shared" si="0"/>
        <v>0</v>
      </c>
    </row>
    <row r="36" spans="3:5" x14ac:dyDescent="0.3">
      <c r="C36" s="57" t="s">
        <v>168</v>
      </c>
      <c r="D36" s="55">
        <f>SUM('Pricing Spreadsheet'!F109:F110)</f>
        <v>0</v>
      </c>
      <c r="E36" s="58">
        <f t="shared" si="0"/>
        <v>0</v>
      </c>
    </row>
    <row r="37" spans="3:5" x14ac:dyDescent="0.3">
      <c r="C37" s="57" t="s">
        <v>169</v>
      </c>
      <c r="D37" s="55">
        <f>SUM('Pricing Spreadsheet'!F112:F113)</f>
        <v>0</v>
      </c>
      <c r="E37" s="58">
        <f t="shared" si="0"/>
        <v>0</v>
      </c>
    </row>
    <row r="38" spans="3:5" x14ac:dyDescent="0.3">
      <c r="C38" s="57" t="s">
        <v>170</v>
      </c>
      <c r="D38" s="55">
        <f>SUM('Pricing Spreadsheet'!F115:F116)</f>
        <v>0</v>
      </c>
      <c r="E38" s="58">
        <f t="shared" si="0"/>
        <v>0</v>
      </c>
    </row>
    <row r="39" spans="3:5" x14ac:dyDescent="0.3">
      <c r="C39" s="57" t="s">
        <v>171</v>
      </c>
      <c r="D39" s="55">
        <f>SUM('Pricing Spreadsheet'!F118:F122)</f>
        <v>0</v>
      </c>
      <c r="E39" s="58">
        <f t="shared" si="0"/>
        <v>0</v>
      </c>
    </row>
    <row r="40" spans="3:5" x14ac:dyDescent="0.3">
      <c r="C40" s="57" t="s">
        <v>172</v>
      </c>
      <c r="D40" s="55">
        <f>SUM('Pricing Spreadsheet'!F124)</f>
        <v>0</v>
      </c>
      <c r="E40" s="58">
        <f t="shared" si="0"/>
        <v>0</v>
      </c>
    </row>
    <row r="41" spans="3:5" x14ac:dyDescent="0.3">
      <c r="C41" s="57" t="s">
        <v>173</v>
      </c>
      <c r="D41" s="55">
        <f>SUM('Pricing Spreadsheet'!F126:F127)</f>
        <v>0</v>
      </c>
      <c r="E41" s="58">
        <f t="shared" si="0"/>
        <v>0</v>
      </c>
    </row>
    <row r="42" spans="3:5" x14ac:dyDescent="0.3">
      <c r="C42" s="57" t="s">
        <v>174</v>
      </c>
      <c r="D42" s="55">
        <f>SUM('Pricing Spreadsheet'!F129:F130)</f>
        <v>0</v>
      </c>
      <c r="E42" s="58">
        <f t="shared" si="0"/>
        <v>0</v>
      </c>
    </row>
    <row r="43" spans="3:5" x14ac:dyDescent="0.3">
      <c r="C43" s="57" t="s">
        <v>175</v>
      </c>
      <c r="D43" s="55">
        <f>SUM('Pricing Spreadsheet'!F132)</f>
        <v>0</v>
      </c>
      <c r="E43" s="58">
        <f t="shared" si="0"/>
        <v>0</v>
      </c>
    </row>
    <row r="44" spans="3:5" x14ac:dyDescent="0.3">
      <c r="C44" s="57" t="s">
        <v>138</v>
      </c>
      <c r="D44" s="55">
        <f>SUM('Pricing Spreadsheet'!F134)</f>
        <v>0</v>
      </c>
      <c r="E44" s="58">
        <f t="shared" si="0"/>
        <v>0</v>
      </c>
    </row>
    <row r="45" spans="3:5" x14ac:dyDescent="0.3">
      <c r="C45" s="57" t="s">
        <v>176</v>
      </c>
      <c r="D45" s="55">
        <f>SUM('Pricing Spreadsheet'!F136:F137)</f>
        <v>0</v>
      </c>
      <c r="E45" s="58">
        <f t="shared" si="0"/>
        <v>0</v>
      </c>
    </row>
    <row r="46" spans="3:5" x14ac:dyDescent="0.3">
      <c r="C46" s="62" t="s">
        <v>177</v>
      </c>
      <c r="D46" s="63">
        <f>SUM('Pricing Spreadsheet'!F139)</f>
        <v>0</v>
      </c>
      <c r="E46" s="64">
        <f t="shared" si="0"/>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526ce853-7349-4a33-988e-bfef8f1d57f1" ContentTypeId="0x0101" PreviousValue="false" LastSyncTimeStamp="2024-08-07T22:51:58.73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bb406f2-e467-4b16-ad48-33da718ce7c4">
      <Terms xmlns="http://schemas.microsoft.com/office/infopath/2007/PartnerControls"/>
    </lcf76f155ced4ddcb4097134ff3c332f>
    <_ip_UnifiedCompliancePolicyProperties xmlns="http://schemas.microsoft.com/sharepoint/v3" xsi:nil="true"/>
    <TaxCatchAll xmlns="4fbd5f38-1bef-4a92-b2ed-058d4c18ab00" xsi:nil="true"/>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251F9DF63CA903469B37A76F1BDC2657" ma:contentTypeVersion="15" ma:contentTypeDescription="Create a new document." ma:contentTypeScope="" ma:versionID="a4b4e3c2fbc304d4af0030c8a81e3eee">
  <xsd:schema xmlns:xsd="http://www.w3.org/2001/XMLSchema" xmlns:xs="http://www.w3.org/2001/XMLSchema" xmlns:p="http://schemas.microsoft.com/office/2006/metadata/properties" xmlns:ns1="http://schemas.microsoft.com/sharepoint/v3" xmlns:ns2="9225b539-7b15-42b2-871d-c20cb6e17ae7" xmlns:ns3="fbb406f2-e467-4b16-ad48-33da718ce7c4" xmlns:ns4="4fbd5f38-1bef-4a92-b2ed-058d4c18ab00" targetNamespace="http://schemas.microsoft.com/office/2006/metadata/properties" ma:root="true" ma:fieldsID="ffd3abf7b58947601b458e527d649852" ns1:_="" ns2:_="" ns3:_="" ns4:_="">
    <xsd:import namespace="http://schemas.microsoft.com/sharepoint/v3"/>
    <xsd:import namespace="9225b539-7b15-42b2-871d-c20cb6e17ae7"/>
    <xsd:import namespace="fbb406f2-e467-4b16-ad48-33da718ce7c4"/>
    <xsd:import namespace="4fbd5f38-1bef-4a92-b2ed-058d4c18ab00"/>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bb406f2-e467-4b16-ad48-33da718ce7c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bd5f38-1bef-4a92-b2ed-058d4c18ab0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9bc455-79dc-4b77-ac91-aa24401d239f}" ma:internalName="TaxCatchAll" ma:showField="CatchAllData" ma:web="4fbd5f38-1bef-4a92-b2ed-058d4c18ab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831FE6-5786-486D-B897-7EC50D5DE66E}">
  <ds:schemaRefs>
    <ds:schemaRef ds:uri="http://schemas.microsoft.com/sharepoint/events"/>
  </ds:schemaRefs>
</ds:datastoreItem>
</file>

<file path=customXml/itemProps2.xml><?xml version="1.0" encoding="utf-8"?>
<ds:datastoreItem xmlns:ds="http://schemas.openxmlformats.org/officeDocument/2006/customXml" ds:itemID="{F97DB58F-9B99-4C89-9A7B-357B7BCD713E}">
  <ds:schemaRefs>
    <ds:schemaRef ds:uri="Microsoft.SharePoint.Taxonomy.ContentTypeSync"/>
  </ds:schemaRefs>
</ds:datastoreItem>
</file>

<file path=customXml/itemProps3.xml><?xml version="1.0" encoding="utf-8"?>
<ds:datastoreItem xmlns:ds="http://schemas.openxmlformats.org/officeDocument/2006/customXml" ds:itemID="{1A99E3A2-D57E-4DBB-AB0B-91B02B9CA164}">
  <ds:schemaRefs>
    <ds:schemaRef ds:uri="http://schemas.microsoft.com/sharepoint/v3/contenttype/forms"/>
  </ds:schemaRefs>
</ds:datastoreItem>
</file>

<file path=customXml/itemProps4.xml><?xml version="1.0" encoding="utf-8"?>
<ds:datastoreItem xmlns:ds="http://schemas.openxmlformats.org/officeDocument/2006/customXml" ds:itemID="{07CCC02B-09EC-434E-91B5-E2D7D419DEDF}">
  <ds:schemaRefs>
    <ds:schemaRef ds:uri="http://schemas.microsoft.com/office/2006/metadata/properties"/>
    <ds:schemaRef ds:uri="http://schemas.microsoft.com/office/infopath/2007/PartnerControls"/>
    <ds:schemaRef ds:uri="http://schemas.microsoft.com/sharepoint/v3"/>
    <ds:schemaRef ds:uri="fbb406f2-e467-4b16-ad48-33da718ce7c4"/>
    <ds:schemaRef ds:uri="4fbd5f38-1bef-4a92-b2ed-058d4c18ab00"/>
  </ds:schemaRefs>
</ds:datastoreItem>
</file>

<file path=customXml/itemProps5.xml><?xml version="1.0" encoding="utf-8"?>
<ds:datastoreItem xmlns:ds="http://schemas.openxmlformats.org/officeDocument/2006/customXml" ds:itemID="{AD188EC0-5C9A-43CA-B36A-4AA151ECE6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fbb406f2-e467-4b16-ad48-33da718ce7c4"/>
    <ds:schemaRef ds:uri="4fbd5f38-1bef-4a92-b2ed-058d4c18ab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Pricing Spreadsheet</vt:lpstr>
      <vt:lpstr>State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Bittinger, Garrett</dc:creator>
  <cp:lastModifiedBy>Dallaire, Amy</cp:lastModifiedBy>
  <dcterms:created xsi:type="dcterms:W3CDTF">2026-04-01T10:26:24Z</dcterms:created>
  <dcterms:modified xsi:type="dcterms:W3CDTF">2026-04-28T17:46:38Z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0x010100251F9DF63CA903469B37A76F1BDC2657</vt:lpwstr>
  </property>
  <property fmtid="{D5CDD505-2E9C-101B-9397-08002B2CF9AE}" pid="3" name="MediaServiceImageTags">
    <vt:lpwstr/>
  </property>
</Properties>
</file>