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fdicgov-my.sharepoint.com/personal/ditoles_fdic_gov/Documents/002 ASB/001 Pending Requirements/2025 - 2026 Actions/22549 - Digicert/02 Solicitation/"/>
    </mc:Choice>
  </mc:AlternateContent>
  <xr:revisionPtr revIDLastSave="3" documentId="8_{28BACF8D-BDAB-4234-9069-E06F76E0474B}" xr6:coauthVersionLast="47" xr6:coauthVersionMax="47" xr10:uidLastSave="{DF94DC20-C43F-44C7-8228-1226329FC01A}"/>
  <bookViews>
    <workbookView xWindow="-28920" yWindow="-120" windowWidth="29040" windowHeight="15720" activeTab="1" xr2:uid="{00000000-000D-0000-FFFF-FFFF00000000}"/>
  </bookViews>
  <sheets>
    <sheet name="Cover Page - Info." sheetId="4" r:id="rId1"/>
    <sheet name="Price Schedule" sheetId="1" r:id="rId2"/>
  </sheets>
  <externalReferences>
    <externalReference r:id="rId3"/>
    <externalReference r:id="rId4"/>
  </externalReferences>
  <definedNames>
    <definedName name="CategoryName">'[1]Reference Lists'!$A$2:$A$9</definedName>
    <definedName name="_xlnm.Print_Titles" localSheetId="1">'Price Schedule'!$3:$3</definedName>
    <definedName name="TypeName">'[2]Reference Lists'!$C$2:$C$5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K6" i="1"/>
  <c r="K7" i="1"/>
  <c r="K8" i="1"/>
  <c r="K9" i="1"/>
  <c r="K10" i="1"/>
  <c r="K11" i="1"/>
  <c r="K12" i="1"/>
  <c r="K13" i="1"/>
  <c r="K5" i="1"/>
  <c r="K4" i="1"/>
  <c r="I4" i="1"/>
  <c r="I5" i="1"/>
  <c r="K14" i="1" l="1"/>
</calcChain>
</file>

<file path=xl/sharedStrings.xml><?xml version="1.0" encoding="utf-8"?>
<sst xmlns="http://schemas.openxmlformats.org/spreadsheetml/2006/main" count="72" uniqueCount="44">
  <si>
    <t xml:space="preserve">Time of Delivery: </t>
  </si>
  <si>
    <t xml:space="preserve">Technical Point of Contract: </t>
  </si>
  <si>
    <t xml:space="preserve">Company:  </t>
  </si>
  <si>
    <t xml:space="preserve">Phone: </t>
  </si>
  <si>
    <t xml:space="preserve">Email Address: </t>
  </si>
  <si>
    <t>Line Item #</t>
  </si>
  <si>
    <t>Purchase Category</t>
  </si>
  <si>
    <t>Purchase Type</t>
  </si>
  <si>
    <t>Description</t>
  </si>
  <si>
    <t>Part #</t>
  </si>
  <si>
    <t>Period of Performance</t>
  </si>
  <si>
    <t>Qty</t>
  </si>
  <si>
    <t>List Price</t>
  </si>
  <si>
    <t xml:space="preserve">Discount </t>
  </si>
  <si>
    <t>Net Price</t>
  </si>
  <si>
    <t>Extended Net Price</t>
  </si>
  <si>
    <t>MAINTENANCE</t>
  </si>
  <si>
    <t>Total Price</t>
  </si>
  <si>
    <t>Description of Requirement</t>
  </si>
  <si>
    <t>Digicert PKI Subscription Maintenance</t>
  </si>
  <si>
    <t>SUBSCRIPTION</t>
  </si>
  <si>
    <t>GOODS</t>
  </si>
  <si>
    <t>SERVICES</t>
  </si>
  <si>
    <t>SUPPORT</t>
  </si>
  <si>
    <t xml:space="preserve">DIGICERT TRUST LIFECYCLE MGR SUB 1Y  </t>
  </si>
  <si>
    <t xml:space="preserve">DIGICERT TRUST LIFECYCLE MGR                </t>
  </si>
  <si>
    <t>DigiCert Trust Lifecycle Manager -</t>
  </si>
  <si>
    <t>Organizational Certificate  Qty 15</t>
  </si>
  <si>
    <t>DigiCert Additional CA Private</t>
  </si>
  <si>
    <t>Online Recurring,DigiCert</t>
  </si>
  <si>
    <t>(USA) Qty 7</t>
  </si>
  <si>
    <t>Digicert Premium Support Seat-based Qty 1</t>
  </si>
  <si>
    <t>DigiCert Trust Lifecycle Manager - Certificate Management Seat DigiCert (USA)</t>
  </si>
  <si>
    <t>USERSEAT</t>
  </si>
  <si>
    <t>SERVERSEAT</t>
  </si>
  <si>
    <t>DEVICESEAT</t>
  </si>
  <si>
    <t>ADDITIONAL</t>
  </si>
  <si>
    <t>PREMSUPP</t>
  </si>
  <si>
    <t>SEAT</t>
  </si>
  <si>
    <t>NPN</t>
  </si>
  <si>
    <t>7/1/2026 - 6/30/2027</t>
  </si>
  <si>
    <t>Requirement Description: Digicert PKI Subscription Maintenance</t>
  </si>
  <si>
    <t xml:space="preserve">Price Schedule </t>
  </si>
  <si>
    <t xml:space="preserve">Total Price Base Period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</si>
</sst>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name val="Times New Roman"/>
      <family val="1"/>
    </font>
    <font>
      <b/>
      <sz val="11"/>
      <color theme="1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sz val="10"/>
      <name val="Source Sans Pro"/>
      <family val="2"/>
    </font>
    <font>
      <sz val="10"/>
      <color rgb="FFFF0000"/>
      <name val="Source Sans Pro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DEBF7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4" fontId="2" fillId="0" borderId="0" applyFont="0" applyFill="0" applyBorder="0" applyAlignment="0" applyProtection="0"/>
    <xf numFmtId="0" fontId="9" fillId="0" borderId="0"/>
    <xf numFmtId="0" fontId="10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36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3" fillId="0" borderId="0" xfId="0" applyFont="1" applyAlignment="1">
      <alignment horizontal="left" vertical="center"/>
    </xf>
    <xf numFmtId="44" fontId="7" fillId="0" borderId="1" xfId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3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44" fontId="7" fillId="0" borderId="9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4" fontId="1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4" fontId="7" fillId="0" borderId="0" xfId="0" applyNumberFormat="1" applyFont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4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3" fontId="14" fillId="3" borderId="1" xfId="0" applyNumberFormat="1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14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2" fillId="0" borderId="7" xfId="5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6">
    <cellStyle name="Currency" xfId="1" builtinId="4"/>
    <cellStyle name="Hyperlink" xfId="5" builtinId="8"/>
    <cellStyle name="Hyperlink 2" xfId="4" xr:uid="{00000000-0005-0000-0000-000002000000}"/>
    <cellStyle name="Normal" xfId="0" builtinId="0"/>
    <cellStyle name="Normal 2" xfId="2" xr:uid="{00000000-0005-0000-0000-000004000000}"/>
    <cellStyle name="Normal 2 2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itoles\OneDrive%20-%20Federal%20Deposit%20Insurance%20Corporation\002%20ASB\001%20Pending%20Requirements\2023%20Actions\20120%20-%20Splunk%20Cloud\01%20Pre-Solicitation\FY25%20f1380-Splunk-Cloud%20UID%20202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itoles\AppData\Local\Microsoft\Windows\INetCache\Content.Outlook\DIYJNOA1\1380-10_Cisco%20Meraki_%20202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1380 Request Form"/>
      <sheetName val="Reference Lists"/>
    </sheetNames>
    <sheetDataSet>
      <sheetData sheetId="0"/>
      <sheetData sheetId="1"/>
      <sheetData sheetId="2">
        <row r="2">
          <cell r="A2" t="str">
            <v>HARDWARE</v>
          </cell>
        </row>
        <row r="3">
          <cell r="A3" t="str">
            <v>SOFTWARE</v>
          </cell>
        </row>
        <row r="4">
          <cell r="A4" t="str">
            <v>SUBSCRIPTION</v>
          </cell>
        </row>
        <row r="5">
          <cell r="A5" t="str">
            <v>TELECOM</v>
          </cell>
        </row>
        <row r="6">
          <cell r="A6" t="str">
            <v>LEASE</v>
          </cell>
        </row>
        <row r="7">
          <cell r="A7" t="str">
            <v>IT SUPPLIES (DDC)</v>
          </cell>
        </row>
        <row r="8">
          <cell r="A8" t="str">
            <v>EVALUATION</v>
          </cell>
        </row>
        <row r="9">
          <cell r="A9" t="str">
            <v>SERVICES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1380 Request Form"/>
      <sheetName val="Reference List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workbookViewId="0">
      <selection activeCell="B4" sqref="B4:E4"/>
    </sheetView>
  </sheetViews>
  <sheetFormatPr defaultColWidth="8.85546875" defaultRowHeight="15" x14ac:dyDescent="0.25"/>
  <cols>
    <col min="1" max="1" width="41.140625" customWidth="1"/>
    <col min="2" max="2" width="24" customWidth="1"/>
    <col min="3" max="3" width="18" customWidth="1"/>
    <col min="4" max="4" width="11.140625" customWidth="1"/>
    <col min="5" max="5" width="41.140625" customWidth="1"/>
    <col min="6" max="6" width="15.42578125" customWidth="1"/>
    <col min="7" max="7" width="16.85546875" customWidth="1"/>
    <col min="8" max="8" width="20.140625" customWidth="1"/>
  </cols>
  <sheetData>
    <row r="1" spans="1:8" ht="15.75" thickBot="1" x14ac:dyDescent="0.3"/>
    <row r="2" spans="1:8" ht="48" customHeight="1" thickBot="1" x14ac:dyDescent="0.3">
      <c r="A2" s="7" t="s">
        <v>43</v>
      </c>
      <c r="B2" s="10"/>
    </row>
    <row r="3" spans="1:8" ht="15.75" x14ac:dyDescent="0.25">
      <c r="A3" s="13"/>
      <c r="B3" s="14"/>
    </row>
    <row r="4" spans="1:8" ht="15.75" x14ac:dyDescent="0.25">
      <c r="A4" s="13" t="s">
        <v>18</v>
      </c>
      <c r="B4" s="22" t="s">
        <v>19</v>
      </c>
      <c r="C4" s="22"/>
      <c r="D4" s="22"/>
      <c r="E4" s="22"/>
    </row>
    <row r="5" spans="1:8" x14ac:dyDescent="0.25">
      <c r="A5" s="8"/>
    </row>
    <row r="7" spans="1:8" ht="24.6" customHeight="1" thickBot="1" x14ac:dyDescent="0.3">
      <c r="A7" s="4" t="s">
        <v>0</v>
      </c>
      <c r="B7" s="24"/>
      <c r="C7" s="25"/>
      <c r="D7" s="25"/>
      <c r="E7" s="16"/>
      <c r="F7" s="3"/>
      <c r="G7" s="3"/>
      <c r="H7" s="3"/>
    </row>
    <row r="8" spans="1:8" ht="29.1" customHeight="1" thickTop="1" thickBot="1" x14ac:dyDescent="0.3">
      <c r="A8" s="4" t="s">
        <v>1</v>
      </c>
      <c r="B8" s="26"/>
      <c r="C8" s="26"/>
      <c r="D8" s="26"/>
      <c r="E8" s="15"/>
      <c r="F8" s="3"/>
      <c r="G8" s="3"/>
      <c r="H8" s="3"/>
    </row>
    <row r="9" spans="1:8" ht="29.1" customHeight="1" thickTop="1" thickBot="1" x14ac:dyDescent="0.3">
      <c r="A9" s="4" t="s">
        <v>2</v>
      </c>
      <c r="B9" s="27"/>
      <c r="C9" s="27"/>
      <c r="D9" s="27"/>
      <c r="E9" s="17"/>
      <c r="F9" s="3"/>
      <c r="G9" s="3"/>
      <c r="H9" s="3"/>
    </row>
    <row r="10" spans="1:8" ht="29.85" customHeight="1" thickTop="1" thickBot="1" x14ac:dyDescent="0.3">
      <c r="A10" s="4" t="s">
        <v>3</v>
      </c>
      <c r="B10" s="27"/>
      <c r="C10" s="27"/>
      <c r="D10" s="27"/>
      <c r="E10" s="17"/>
      <c r="F10" s="3"/>
      <c r="G10" s="3"/>
      <c r="H10" s="3"/>
    </row>
    <row r="11" spans="1:8" ht="26.85" customHeight="1" thickTop="1" thickBot="1" x14ac:dyDescent="0.3">
      <c r="A11" s="4" t="s">
        <v>4</v>
      </c>
      <c r="B11" s="28"/>
      <c r="C11" s="29"/>
      <c r="D11" s="29"/>
      <c r="E11" s="17"/>
      <c r="F11" s="3"/>
      <c r="G11" s="3"/>
      <c r="H11" s="3"/>
    </row>
    <row r="12" spans="1:8" ht="15.75" thickTop="1" x14ac:dyDescent="0.25">
      <c r="A12" s="3"/>
      <c r="B12" s="3"/>
      <c r="C12" s="3"/>
      <c r="D12" s="3"/>
      <c r="E12" s="3"/>
      <c r="F12" s="3"/>
      <c r="G12" s="3"/>
      <c r="H12" s="3"/>
    </row>
    <row r="13" spans="1:8" x14ac:dyDescent="0.25">
      <c r="A13" s="3"/>
      <c r="B13" s="3"/>
      <c r="C13" s="3"/>
      <c r="D13" s="3"/>
      <c r="E13" s="3"/>
      <c r="F13" s="3"/>
      <c r="G13" s="3"/>
      <c r="H13" s="3"/>
    </row>
    <row r="14" spans="1:8" ht="18.75" x14ac:dyDescent="0.25">
      <c r="A14" s="23"/>
      <c r="B14" s="23"/>
      <c r="C14" s="23"/>
      <c r="D14" s="9"/>
      <c r="E14" s="9"/>
      <c r="F14" s="9"/>
      <c r="G14" s="9"/>
      <c r="H14" s="9"/>
    </row>
  </sheetData>
  <mergeCells count="7">
    <mergeCell ref="B4:E4"/>
    <mergeCell ref="A14:C14"/>
    <mergeCell ref="B7:D7"/>
    <mergeCell ref="B8:D8"/>
    <mergeCell ref="B9:D9"/>
    <mergeCell ref="B10:D10"/>
    <mergeCell ref="B11:D11"/>
  </mergeCells>
  <pageMargins left="0.7" right="0.7" top="0.75" bottom="0.75" header="0.3" footer="0.3"/>
  <pageSetup orientation="portrait" r:id="rId1"/>
  <headerFooter>
    <oddHeader>&amp;C&amp;"Source Sans Pro SemiBold"&amp;12&amp;K000000NONPUBLIC//FDIC BUSINESS&amp;1#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tabSelected="1" workbookViewId="0">
      <selection activeCell="E15" sqref="E15"/>
    </sheetView>
  </sheetViews>
  <sheetFormatPr defaultColWidth="8.85546875" defaultRowHeight="15" x14ac:dyDescent="0.25"/>
  <cols>
    <col min="1" max="1" width="11.85546875" bestFit="1" customWidth="1"/>
    <col min="2" max="2" width="19.140625" bestFit="1" customWidth="1"/>
    <col min="3" max="3" width="18.140625" customWidth="1"/>
    <col min="4" max="4" width="38.5703125" customWidth="1"/>
    <col min="5" max="5" width="22.140625" customWidth="1"/>
    <col min="6" max="6" width="19.5703125" customWidth="1"/>
    <col min="7" max="7" width="11.140625" customWidth="1"/>
    <col min="8" max="8" width="16.85546875" customWidth="1"/>
    <col min="9" max="9" width="15.42578125" customWidth="1"/>
    <col min="10" max="10" width="16.85546875" customWidth="1"/>
    <col min="11" max="11" width="20.140625" customWidth="1"/>
  </cols>
  <sheetData>
    <row r="1" spans="1:11" ht="14.85" customHeight="1" x14ac:dyDescent="0.25">
      <c r="A1" s="30" t="s">
        <v>42</v>
      </c>
      <c r="B1" s="31"/>
      <c r="C1" s="31"/>
      <c r="D1" s="31"/>
      <c r="E1" s="31"/>
      <c r="F1" s="31"/>
      <c r="G1" s="31"/>
      <c r="H1" s="31"/>
      <c r="I1" s="31"/>
      <c r="J1" s="31"/>
      <c r="K1" s="32"/>
    </row>
    <row r="2" spans="1:11" ht="23.1" customHeight="1" x14ac:dyDescent="0.25">
      <c r="A2" s="33" t="s">
        <v>41</v>
      </c>
      <c r="B2" s="34"/>
      <c r="C2" s="34"/>
      <c r="D2" s="34"/>
      <c r="E2" s="34"/>
      <c r="F2" s="34"/>
      <c r="G2" s="34"/>
      <c r="H2" s="34"/>
      <c r="I2" s="34"/>
      <c r="J2" s="34"/>
      <c r="K2" s="35"/>
    </row>
    <row r="3" spans="1:11" ht="31.5" x14ac:dyDescent="0.25">
      <c r="A3" s="2" t="s">
        <v>5</v>
      </c>
      <c r="B3" s="2" t="s">
        <v>6</v>
      </c>
      <c r="C3" s="2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</row>
    <row r="4" spans="1:11" s="6" customFormat="1" ht="15.75" x14ac:dyDescent="0.25">
      <c r="A4" s="18">
        <v>1</v>
      </c>
      <c r="B4" s="18" t="s">
        <v>20</v>
      </c>
      <c r="C4" s="18" t="s">
        <v>16</v>
      </c>
      <c r="D4" s="18" t="s">
        <v>24</v>
      </c>
      <c r="E4" s="18" t="s">
        <v>33</v>
      </c>
      <c r="F4" s="19" t="s">
        <v>40</v>
      </c>
      <c r="G4" s="20">
        <v>8000</v>
      </c>
      <c r="H4" s="5">
        <v>0</v>
      </c>
      <c r="I4" s="5">
        <f>H4-J4</f>
        <v>0</v>
      </c>
      <c r="J4" s="5">
        <v>0</v>
      </c>
      <c r="K4" s="5">
        <f>G4*J4</f>
        <v>0</v>
      </c>
    </row>
    <row r="5" spans="1:11" s="6" customFormat="1" ht="15.75" x14ac:dyDescent="0.25">
      <c r="A5" s="18">
        <v>2</v>
      </c>
      <c r="B5" s="18" t="s">
        <v>20</v>
      </c>
      <c r="C5" s="18" t="s">
        <v>16</v>
      </c>
      <c r="D5" s="18" t="s">
        <v>24</v>
      </c>
      <c r="E5" s="18" t="s">
        <v>34</v>
      </c>
      <c r="F5" s="19" t="s">
        <v>40</v>
      </c>
      <c r="G5" s="18">
        <v>1000</v>
      </c>
      <c r="H5" s="5">
        <v>0</v>
      </c>
      <c r="I5" s="5">
        <f>H5-J5</f>
        <v>0</v>
      </c>
      <c r="J5" s="5">
        <v>0</v>
      </c>
      <c r="K5" s="5">
        <f>G5*J5</f>
        <v>0</v>
      </c>
    </row>
    <row r="6" spans="1:11" ht="37.5" customHeight="1" x14ac:dyDescent="0.25">
      <c r="A6" s="18">
        <v>3</v>
      </c>
      <c r="B6" s="18" t="s">
        <v>20</v>
      </c>
      <c r="C6" s="18" t="s">
        <v>16</v>
      </c>
      <c r="D6" s="18" t="s">
        <v>25</v>
      </c>
      <c r="E6" s="18" t="s">
        <v>35</v>
      </c>
      <c r="F6" s="19" t="s">
        <v>40</v>
      </c>
      <c r="G6" s="20">
        <v>15000</v>
      </c>
      <c r="H6" s="5">
        <v>0</v>
      </c>
      <c r="I6" s="5">
        <f t="shared" ref="I6:I13" si="0">H6-J6</f>
        <v>0</v>
      </c>
      <c r="J6" s="5">
        <v>0</v>
      </c>
      <c r="K6" s="5">
        <f t="shared" ref="K6:K13" si="1">G6*J6</f>
        <v>0</v>
      </c>
    </row>
    <row r="7" spans="1:11" ht="15.75" x14ac:dyDescent="0.25">
      <c r="A7" s="18">
        <v>4</v>
      </c>
      <c r="B7" s="18" t="s">
        <v>20</v>
      </c>
      <c r="C7" s="18" t="s">
        <v>16</v>
      </c>
      <c r="D7" s="18" t="s">
        <v>26</v>
      </c>
      <c r="E7" s="18" t="s">
        <v>35</v>
      </c>
      <c r="F7" s="19" t="s">
        <v>40</v>
      </c>
      <c r="G7" s="18">
        <v>15</v>
      </c>
      <c r="H7" s="5">
        <v>0</v>
      </c>
      <c r="I7" s="5">
        <f t="shared" si="0"/>
        <v>0</v>
      </c>
      <c r="J7" s="5">
        <v>0</v>
      </c>
      <c r="K7" s="5">
        <f t="shared" si="1"/>
        <v>0</v>
      </c>
    </row>
    <row r="8" spans="1:11" ht="15.75" x14ac:dyDescent="0.25">
      <c r="A8" s="18">
        <v>5</v>
      </c>
      <c r="B8" s="18" t="s">
        <v>20</v>
      </c>
      <c r="C8" s="18" t="s">
        <v>16</v>
      </c>
      <c r="D8" s="18" t="s">
        <v>27</v>
      </c>
      <c r="E8" s="18" t="s">
        <v>36</v>
      </c>
      <c r="F8" s="19" t="s">
        <v>40</v>
      </c>
      <c r="G8" s="18">
        <v>7</v>
      </c>
      <c r="H8" s="5">
        <v>0</v>
      </c>
      <c r="I8" s="5">
        <f t="shared" si="0"/>
        <v>0</v>
      </c>
      <c r="J8" s="5">
        <v>0</v>
      </c>
      <c r="K8" s="5">
        <f t="shared" si="1"/>
        <v>0</v>
      </c>
    </row>
    <row r="9" spans="1:11" ht="15.75" x14ac:dyDescent="0.25">
      <c r="A9" s="18">
        <v>6</v>
      </c>
      <c r="B9" s="18" t="s">
        <v>20</v>
      </c>
      <c r="C9" s="18" t="s">
        <v>16</v>
      </c>
      <c r="D9" s="18" t="s">
        <v>28</v>
      </c>
      <c r="E9" s="18" t="s">
        <v>37</v>
      </c>
      <c r="F9" s="19" t="s">
        <v>40</v>
      </c>
      <c r="G9" s="18">
        <v>1</v>
      </c>
      <c r="H9" s="5">
        <v>0</v>
      </c>
      <c r="I9" s="5">
        <f t="shared" si="0"/>
        <v>0</v>
      </c>
      <c r="J9" s="5">
        <v>0</v>
      </c>
      <c r="K9" s="5">
        <f t="shared" si="1"/>
        <v>0</v>
      </c>
    </row>
    <row r="10" spans="1:11" ht="15.75" x14ac:dyDescent="0.25">
      <c r="A10" s="18">
        <v>7</v>
      </c>
      <c r="B10" s="18" t="s">
        <v>20</v>
      </c>
      <c r="C10" s="18" t="s">
        <v>21</v>
      </c>
      <c r="D10" s="18" t="s">
        <v>29</v>
      </c>
      <c r="E10" s="18" t="s">
        <v>38</v>
      </c>
      <c r="F10" s="19" t="s">
        <v>40</v>
      </c>
      <c r="G10" s="18">
        <v>300</v>
      </c>
      <c r="H10" s="5">
        <v>0</v>
      </c>
      <c r="I10" s="5">
        <f t="shared" si="0"/>
        <v>0</v>
      </c>
      <c r="J10" s="5">
        <v>0</v>
      </c>
      <c r="K10" s="5">
        <f t="shared" si="1"/>
        <v>0</v>
      </c>
    </row>
    <row r="11" spans="1:11" ht="15.75" x14ac:dyDescent="0.25">
      <c r="A11" s="18">
        <v>8</v>
      </c>
      <c r="B11" s="18" t="s">
        <v>20</v>
      </c>
      <c r="C11" s="18" t="s">
        <v>16</v>
      </c>
      <c r="D11" s="18" t="s">
        <v>30</v>
      </c>
      <c r="E11" s="18" t="s">
        <v>37</v>
      </c>
      <c r="F11" s="19" t="s">
        <v>40</v>
      </c>
      <c r="G11" s="18">
        <v>1</v>
      </c>
      <c r="H11" s="5">
        <v>0</v>
      </c>
      <c r="I11" s="5">
        <f t="shared" si="0"/>
        <v>0</v>
      </c>
      <c r="J11" s="5">
        <v>0</v>
      </c>
      <c r="K11" s="5">
        <f t="shared" si="1"/>
        <v>0</v>
      </c>
    </row>
    <row r="12" spans="1:11" ht="15.75" x14ac:dyDescent="0.25">
      <c r="A12" s="18">
        <v>9</v>
      </c>
      <c r="B12" s="18" t="s">
        <v>22</v>
      </c>
      <c r="C12" s="18" t="s">
        <v>23</v>
      </c>
      <c r="D12" s="18" t="s">
        <v>31</v>
      </c>
      <c r="E12" s="18" t="s">
        <v>39</v>
      </c>
      <c r="F12" s="19" t="s">
        <v>40</v>
      </c>
      <c r="G12" s="18">
        <v>1</v>
      </c>
      <c r="H12" s="5">
        <v>0</v>
      </c>
      <c r="I12" s="5">
        <f t="shared" si="0"/>
        <v>0</v>
      </c>
      <c r="J12" s="5">
        <v>0</v>
      </c>
      <c r="K12" s="5">
        <f t="shared" si="1"/>
        <v>0</v>
      </c>
    </row>
    <row r="13" spans="1:11" ht="27" x14ac:dyDescent="0.25">
      <c r="A13" s="18">
        <v>10</v>
      </c>
      <c r="B13" s="18" t="s">
        <v>20</v>
      </c>
      <c r="C13" s="21" t="s">
        <v>21</v>
      </c>
      <c r="D13" s="18" t="s">
        <v>32</v>
      </c>
      <c r="E13" s="18" t="s">
        <v>34</v>
      </c>
      <c r="F13" s="19" t="s">
        <v>40</v>
      </c>
      <c r="G13" s="21">
        <v>1250</v>
      </c>
      <c r="H13" s="5">
        <v>0</v>
      </c>
      <c r="I13" s="5">
        <f t="shared" si="0"/>
        <v>0</v>
      </c>
      <c r="J13" s="5">
        <v>0</v>
      </c>
      <c r="K13" s="5">
        <f t="shared" si="1"/>
        <v>0</v>
      </c>
    </row>
    <row r="14" spans="1:11" ht="30.75" customHeight="1" x14ac:dyDescent="0.25">
      <c r="J14" s="11" t="s">
        <v>17</v>
      </c>
      <c r="K14" s="12">
        <f>SUM(K4:K13)</f>
        <v>0</v>
      </c>
    </row>
  </sheetData>
  <protectedRanges>
    <protectedRange sqref="B4:C5" name="Range1_1"/>
    <protectedRange sqref="D4:D5" name="Range1_1_1_2"/>
    <protectedRange sqref="E4:E5" name="Range1_1_3"/>
    <protectedRange sqref="F4:F5" name="Range1_1_1"/>
  </protectedRanges>
  <mergeCells count="2">
    <mergeCell ref="A1:K1"/>
    <mergeCell ref="A2:K2"/>
  </mergeCells>
  <pageMargins left="0.7" right="0.7" top="0.75" bottom="0.75" header="0.3" footer="0.3"/>
  <pageSetup orientation="portrait" r:id="rId1"/>
  <headerFooter>
    <oddHeader>&amp;C&amp;"Source Sans Pro SemiBold"&amp;12&amp;K000000NONPUBLIC//FDIC BUSINESS&amp;1#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B847BA61C91944944E1EC481E57028" ma:contentTypeVersion="3" ma:contentTypeDescription="Create a new document." ma:contentTypeScope="" ma:versionID="a5caadf95f769b9ab1403bf7f9d30f46">
  <xsd:schema xmlns:xsd="http://www.w3.org/2001/XMLSchema" xmlns:xs="http://www.w3.org/2001/XMLSchema" xmlns:p="http://schemas.microsoft.com/office/2006/metadata/properties" xmlns:ns2="b2d16f7c-b39b-4a89-b32d-fdf9620e9bb5" xmlns:ns3="67f3bc33-3f31-4174-b96d-63a3dd66dd01" targetNamespace="http://schemas.microsoft.com/office/2006/metadata/properties" ma:root="true" ma:fieldsID="2654990017f3e2ec8b5094bff13554f5" ns2:_="" ns3:_="">
    <xsd:import namespace="b2d16f7c-b39b-4a89-b32d-fdf9620e9bb5"/>
    <xsd:import namespace="67f3bc33-3f31-4174-b96d-63a3dd66dd0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d16f7c-b39b-4a89-b32d-fdf9620e9bb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format="Hyperlink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f3bc33-3f31-4174-b96d-63a3dd66d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1C06EB-474C-45A3-98CE-60BDCE94F8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d16f7c-b39b-4a89-b32d-fdf9620e9bb5"/>
    <ds:schemaRef ds:uri="67f3bc33-3f31-4174-b96d-63a3dd66dd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CF63CE-EF77-434A-9FDB-E16F9D4A59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AB5567-CA35-4684-A7B6-62F09361F4C1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7E32AB53-732F-4858-9E10-F8C1AD40CC6D}">
  <ds:schemaRefs>
    <ds:schemaRef ds:uri="http://schemas.microsoft.com/office/2006/documentManagement/types"/>
    <ds:schemaRef ds:uri="b2d16f7c-b39b-4a89-b32d-fdf9620e9bb5"/>
    <ds:schemaRef ds:uri="http://schemas.openxmlformats.org/package/2006/metadata/core-properties"/>
    <ds:schemaRef ds:uri="http://purl.org/dc/terms/"/>
    <ds:schemaRef ds:uri="67f3bc33-3f31-4174-b96d-63a3dd66dd01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aebbef76-9622-4179-ad18-7a6b88e0dc7a}" enabled="1" method="Privileged" siteId="{26c83bc9-31c1-4d77-a523-0816095aba3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Cover Page - Info.</vt:lpstr>
      <vt:lpstr>Price Schedule</vt:lpstr>
      <vt:lpstr>'Price Schedule'!Print_Titles</vt:lpstr>
    </vt:vector>
  </TitlesOfParts>
  <Manager/>
  <Company>FDIC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Toles, Diamond J.</dc:creator>
  <cp:keywords/>
  <dc:description/>
  <cp:lastModifiedBy>Toles, Diamond J.</cp:lastModifiedBy>
  <cp:revision/>
  <dcterms:created xsi:type="dcterms:W3CDTF">2021-04-15T16:30:18Z</dcterms:created>
  <dcterms:modified xsi:type="dcterms:W3CDTF">2026-04-27T18:23:19Z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0x01010071B847BA61C91944944E1EC481E57028</vt:lpwstr>
  </property>
  <property fmtid="{D5CDD505-2E9C-101B-9397-08002B2CF9AE}" pid="3" name="MediaServiceImageTags">
    <vt:lpwstr/>
  </property>
  <property fmtid="{D5CDD505-2E9C-101B-9397-08002B2CF9AE}" pid="4" name="MSIP_Label_aebbef76-9622-4179-ad18-7a6b88e0dc7a_Enabled">
    <vt:lpwstr>true</vt:lpwstr>
  </property>
  <property fmtid="{D5CDD505-2E9C-101B-9397-08002B2CF9AE}" pid="5" name="MSIP_Label_aebbef76-9622-4179-ad18-7a6b88e0dc7a_SetDate">
    <vt:lpwstr>2025-01-03T19:33:48Z</vt:lpwstr>
  </property>
  <property fmtid="{D5CDD505-2E9C-101B-9397-08002B2CF9AE}" pid="6" name="MSIP_Label_aebbef76-9622-4179-ad18-7a6b88e0dc7a_Method">
    <vt:lpwstr>Privileged</vt:lpwstr>
  </property>
  <property fmtid="{D5CDD505-2E9C-101B-9397-08002B2CF9AE}" pid="7" name="MSIP_Label_aebbef76-9622-4179-ad18-7a6b88e0dc7a_Name">
    <vt:lpwstr>aebbef76-9622-4179-ad18-7a6b88e0dc7a</vt:lpwstr>
  </property>
  <property fmtid="{D5CDD505-2E9C-101B-9397-08002B2CF9AE}" pid="8" name="MSIP_Label_aebbef76-9622-4179-ad18-7a6b88e0dc7a_SiteId">
    <vt:lpwstr>26c83bc9-31c1-4d77-a523-0816095aba31</vt:lpwstr>
  </property>
  <property fmtid="{D5CDD505-2E9C-101B-9397-08002B2CF9AE}" pid="9" name="MSIP_Label_aebbef76-9622-4179-ad18-7a6b88e0dc7a_ActionId">
    <vt:lpwstr>757fcf5a-392e-4075-9740-79bb211ad104</vt:lpwstr>
  </property>
  <property fmtid="{D5CDD505-2E9C-101B-9397-08002B2CF9AE}" pid="10" name="MSIP_Label_aebbef76-9622-4179-ad18-7a6b88e0dc7a_ContentBits">
    <vt:lpwstr>1</vt:lpwstr>
  </property>
  <property fmtid="{D5CDD505-2E9C-101B-9397-08002B2CF9AE}" pid="11" name="Privacy">
    <vt:lpwstr>PII</vt:lpwstr>
  </property>
  <property fmtid="{D5CDD505-2E9C-101B-9397-08002B2CF9AE}" pid="12" name="Sensitivity">
    <vt:lpwstr>Sensitive Data</vt:lpwstr>
  </property>
</Properties>
</file>