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ichelle_i_aguilar2_civ_army_mil/Documents/Desktop/New Latrines/3. JBER/"/>
    </mc:Choice>
  </mc:AlternateContent>
  <xr:revisionPtr revIDLastSave="19" documentId="8_{F65CD053-5CA9-4736-BAA9-D92BB89BB039}" xr6:coauthVersionLast="47" xr6:coauthVersionMax="47" xr10:uidLastSave="{0E9F7346-A0B1-4D1E-9631-0693A31345B1}"/>
  <bookViews>
    <workbookView xWindow="25080" yWindow="120" windowWidth="25440" windowHeight="15045" tabRatio="945" xr2:uid="{00000000-000D-0000-FFFF-FFFF00000000}"/>
  </bookViews>
  <sheets>
    <sheet name="Price Summary" sheetId="84" r:id="rId1"/>
    <sheet name="Price List" sheetId="8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83" l="1"/>
  <c r="I11" i="83" l="1"/>
  <c r="I12" i="83"/>
  <c r="I13" i="83"/>
  <c r="I14" i="83"/>
  <c r="I15" i="83"/>
  <c r="I16" i="83"/>
  <c r="I17" i="83"/>
  <c r="I18" i="83"/>
  <c r="I19" i="83"/>
  <c r="I20" i="83"/>
  <c r="I21" i="83"/>
  <c r="I22" i="83"/>
  <c r="I23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24" i="83" l="1"/>
  <c r="I40" i="83"/>
  <c r="E22" i="84" s="1"/>
  <c r="I56" i="83"/>
  <c r="E23" i="84" s="1"/>
  <c r="I72" i="83"/>
  <c r="E24" i="84" s="1"/>
  <c r="E21" i="84" l="1"/>
  <c r="E25" i="84" s="1"/>
  <c r="I74" i="83"/>
</calcChain>
</file>

<file path=xl/sharedStrings.xml><?xml version="1.0" encoding="utf-8"?>
<sst xmlns="http://schemas.openxmlformats.org/spreadsheetml/2006/main" count="229" uniqueCount="131">
  <si>
    <t>0001</t>
  </si>
  <si>
    <t>0002</t>
  </si>
  <si>
    <t>0003</t>
  </si>
  <si>
    <t>0004</t>
  </si>
  <si>
    <t>Item #</t>
  </si>
  <si>
    <t>Description</t>
  </si>
  <si>
    <t>Quantity</t>
  </si>
  <si>
    <t>U/I</t>
  </si>
  <si>
    <t>Unit Price</t>
  </si>
  <si>
    <t>Total Price</t>
  </si>
  <si>
    <t>1001</t>
  </si>
  <si>
    <t>1002</t>
  </si>
  <si>
    <t>1003</t>
  </si>
  <si>
    <t>1004</t>
  </si>
  <si>
    <t>BASE YEAR</t>
  </si>
  <si>
    <t>OPTION YEAR 1</t>
  </si>
  <si>
    <t>OPTION YEAR 2</t>
  </si>
  <si>
    <t>2001</t>
  </si>
  <si>
    <t>2002</t>
  </si>
  <si>
    <t>2003</t>
  </si>
  <si>
    <t>2004</t>
  </si>
  <si>
    <t>3001</t>
  </si>
  <si>
    <t>3002</t>
  </si>
  <si>
    <t>3003</t>
  </si>
  <si>
    <t>3004</t>
  </si>
  <si>
    <t xml:space="preserve">Daily Handicap Portable Latrine Rental (Non-Heated) </t>
  </si>
  <si>
    <t xml:space="preserve">Daily Handicap Portable Latrine Rental (Heated) </t>
  </si>
  <si>
    <t xml:space="preserve">Weekly Handicap Portable Latrine Rental (Non-Heated) </t>
  </si>
  <si>
    <t xml:space="preserve">Weekly Handicap Portable Latrine Rental (Heated) </t>
  </si>
  <si>
    <t xml:space="preserve">Monthly Handicap Portable Latrine Rental (Non-Heated) </t>
  </si>
  <si>
    <t xml:space="preserve">Monthly Handicap Portable Latrine Rental (Heated) </t>
  </si>
  <si>
    <t xml:space="preserve">Daily Standard Portable Latrine Rental (Non-Heated) </t>
  </si>
  <si>
    <t xml:space="preserve">Daily Standard Portable Latrine Rental (Heated) </t>
  </si>
  <si>
    <t xml:space="preserve">Weekly Standard Portable Latrine Rental (Non-Heated) </t>
  </si>
  <si>
    <t xml:space="preserve">Weekly Standard Portable Latrine Rental (Heated) </t>
  </si>
  <si>
    <t xml:space="preserve">Monthly Standard Portable Latrine Rental (Non-Heated) </t>
  </si>
  <si>
    <t xml:space="preserve">Monthly Standard Portable Latrine Rental (Heated) </t>
  </si>
  <si>
    <t>0005</t>
  </si>
  <si>
    <t xml:space="preserve">TOTAL      </t>
  </si>
  <si>
    <t>1005</t>
  </si>
  <si>
    <t>2005</t>
  </si>
  <si>
    <t>3005</t>
  </si>
  <si>
    <t xml:space="preserve">Pumping &amp; Cleaning of Portable Latrines </t>
  </si>
  <si>
    <t xml:space="preserve">Relocation of Portable Latrines 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</si>
  <si>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</si>
  <si>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</si>
  <si>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</si>
  <si>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</si>
  <si>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</si>
  <si>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</si>
  <si>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</si>
  <si>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</si>
  <si>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</si>
  <si>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</si>
  <si>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</si>
  <si>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</si>
  <si>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</si>
  <si>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</si>
  <si>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</si>
  <si>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</si>
  <si>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</si>
  <si>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</si>
  <si>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</si>
  <si>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</si>
  <si>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</si>
  <si>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</si>
  <si>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</si>
  <si>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</si>
  <si>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</si>
  <si>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</si>
  <si>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</si>
  <si>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</si>
  <si>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</si>
  <si>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</si>
  <si>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</si>
  <si>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</si>
  <si>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</si>
  <si>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</si>
  <si>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</si>
  <si>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</si>
  <si>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Individual Price List</t>
  </si>
  <si>
    <t>Company Name:</t>
  </si>
  <si>
    <t>Point of Contact:</t>
  </si>
  <si>
    <t>CAGE Code:</t>
  </si>
  <si>
    <t>SAM UEID:</t>
  </si>
  <si>
    <t>Tax ID Number:</t>
  </si>
  <si>
    <t>Phone Number:</t>
  </si>
  <si>
    <t>Email Address:</t>
  </si>
  <si>
    <t>Physical Address:</t>
  </si>
  <si>
    <t>Base Year Total:</t>
  </si>
  <si>
    <t>Option Year 1 Total:</t>
  </si>
  <si>
    <t>Option Year 2 Total:</t>
  </si>
  <si>
    <t>TOTAL:</t>
  </si>
  <si>
    <t>PRICE SUMMARY</t>
  </si>
  <si>
    <t>Company Information and Price Summary</t>
  </si>
  <si>
    <t>COMPANY INFORMATION</t>
  </si>
  <si>
    <t>DAY</t>
  </si>
  <si>
    <t>WEEK</t>
  </si>
  <si>
    <t>MONTH</t>
  </si>
  <si>
    <t>PUMP</t>
  </si>
  <si>
    <t>RELOCATION</t>
  </si>
  <si>
    <t>Provide the unit price for renting 1 Standard Portable Latrine (Non-Heated) for 1 day.</t>
  </si>
  <si>
    <t>Provide the unit price for renting 1 Standard Portable Latrine (Heated) for 1 day.</t>
  </si>
  <si>
    <t>Provide the unit price for renting 1 Handicap Portable Latrine (Non-Heated) for 1 day.</t>
  </si>
  <si>
    <t>Provide the unit price for renting 1 Standard Portable Latrine (Non-Heated) for 1 week.</t>
  </si>
  <si>
    <t>Provide the unit price for renting 1 Standard Portable Latrine (Heated) for 1 week.</t>
  </si>
  <si>
    <t>Provide the unit price for renting 1 Handicap Portable Latrine (Non-Heated) for 1 week.</t>
  </si>
  <si>
    <t>Provide the unit price for renting 1 Standard Portable Latrine (Non-Heated) for 1 month.</t>
  </si>
  <si>
    <t>Provide the unit price for renting 1 Standard Portable Latrine (Heated) for 1 month.</t>
  </si>
  <si>
    <t>Provide the unit price for renting 1 Handicap Portable Latrine (Non-Heated) for 1 month.</t>
  </si>
  <si>
    <t>Provide the unit price for pumping and cleaning 1 Portable Latrine.</t>
  </si>
  <si>
    <t>Estimated Workload</t>
  </si>
  <si>
    <t>Instructions:</t>
  </si>
  <si>
    <t>Provide the unit price for the relocation of 1 Portable Latrine.</t>
  </si>
  <si>
    <t>Provide the unit price for renting 1 Handicap Portable Latrine (Heated) for 1 day.</t>
  </si>
  <si>
    <t>Provide the unit price for renting 1 Handicap Portable Latrine (Heated) for 1 week.</t>
  </si>
  <si>
    <t>Provide the unit price for renting 1 Handicap Portable Latrine (Heated) for 1 month.</t>
  </si>
  <si>
    <t>NOTE: The quantities in this price sheet are estimates only. The unit prices will not be changed based on quantities ordered.</t>
  </si>
  <si>
    <t xml:space="preserve">REMARKS: </t>
  </si>
  <si>
    <t>Column H shows and estimate of the equipment to be rent or the services to be provided. Estimated quantities are not guaranteed. Offerors must provide their unit price on Column G based on the information in Columns D, E and F.</t>
  </si>
  <si>
    <t>Notes:</t>
  </si>
  <si>
    <t>ONLY FILL OUT THE YELLOW HIGHLIGHTED CELLS THROUGHOUT THIS PRICE LIST</t>
  </si>
  <si>
    <t>ONLY FILL OUT THE YELLOW HIGHLIGHTED CELLS THROUGHOUT THIS SHEET</t>
  </si>
  <si>
    <t>Rental of Latrines  and Other Related Services</t>
  </si>
  <si>
    <t>CLIN 2001</t>
  </si>
  <si>
    <t>CLIN 1001</t>
  </si>
  <si>
    <t>CLIN 0001</t>
  </si>
  <si>
    <t>CLIN 3001</t>
  </si>
  <si>
    <t>OPTION YEAR 3</t>
  </si>
  <si>
    <t>Option Year 3:</t>
  </si>
  <si>
    <t>Joint Base Elmendorf-Richardson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</si>
</sst>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color theme="4"/>
      <name val="Arial"/>
      <family val="2"/>
    </font>
    <font>
      <sz val="10"/>
      <color theme="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B2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CFF3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4" fontId="3" fillId="0" borderId="11" xfId="0" applyNumberFormat="1" applyFont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4" fontId="3" fillId="0" borderId="1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3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4" fontId="3" fillId="2" borderId="21" xfId="1" applyFont="1" applyFill="1" applyBorder="1" applyAlignment="1">
      <alignment horizontal="center" vertical="center"/>
    </xf>
    <xf numFmtId="44" fontId="3" fillId="0" borderId="22" xfId="1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wrapText="1"/>
    </xf>
    <xf numFmtId="0" fontId="4" fillId="0" borderId="0" xfId="0" applyFont="1"/>
    <xf numFmtId="0" fontId="4" fillId="6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44" fontId="3" fillId="7" borderId="16" xfId="0" applyNumberFormat="1" applyFont="1" applyFill="1" applyBorder="1" applyAlignment="1">
      <alignment horizontal="center" vertical="center"/>
    </xf>
    <xf numFmtId="44" fontId="4" fillId="5" borderId="23" xfId="0" applyNumberFormat="1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6" fillId="3" borderId="13" xfId="0" applyFont="1" applyFill="1" applyBorder="1" applyAlignment="1">
      <alignment horizontal="center" vertical="center" textRotation="90"/>
    </xf>
    <xf numFmtId="0" fontId="8" fillId="0" borderId="0" xfId="0" applyFont="1"/>
    <xf numFmtId="0" fontId="12" fillId="0" borderId="0" xfId="0" applyFont="1" applyAlignment="1">
      <alignment horizontal="center" vertical="center"/>
    </xf>
    <xf numFmtId="44" fontId="12" fillId="0" borderId="0" xfId="1" applyFont="1" applyBorder="1" applyAlignment="1">
      <alignment horizontal="lef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44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4" fontId="4" fillId="5" borderId="20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4" fontId="12" fillId="0" borderId="0" xfId="1" applyFont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 textRotation="90"/>
    </xf>
    <xf numFmtId="0" fontId="6" fillId="3" borderId="13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 textRotation="90"/>
    </xf>
    <xf numFmtId="0" fontId="3" fillId="0" borderId="20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4" borderId="0" xfId="0" applyFont="1" applyFill="1" applyBorder="1" applyAlignment="1">
      <alignment horizontal="left" vertical="center"/>
    </xf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colors>
    <mruColors>
      <color rgb="FFFFCB25"/>
      <color rgb="FFCCFF33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0"/>
  <sheetViews>
    <sheetView tabSelected="1" zoomScale="80" zoomScaleNormal="80" workbookViewId="0">
      <selection activeCell="B3" sqref="B3:H3"/>
    </sheetView>
  </sheetViews>
  <sheetFormatPr defaultColWidth="8.85546875" defaultRowHeight="12.75" x14ac:dyDescent="0.2"/>
  <cols>
    <col min="1" max="1" width="3.7109375" style="3" customWidth="1"/>
    <col min="2" max="2" width="12.7109375" style="21" customWidth="1"/>
    <col min="3" max="3" width="12.7109375" style="11" customWidth="1"/>
    <col min="4" max="4" width="12.7109375" style="4" customWidth="1"/>
    <col min="5" max="5" width="12.7109375" style="11" customWidth="1"/>
    <col min="6" max="8" width="12.7109375" style="3" customWidth="1"/>
    <col min="9" max="16384" width="8.85546875" style="3"/>
  </cols>
  <sheetData>
    <row r="1" spans="2:8" x14ac:dyDescent="0.2">
      <c r="C1" s="35"/>
      <c r="D1" s="35"/>
      <c r="E1" s="35"/>
      <c r="F1" s="35"/>
      <c r="G1" s="35"/>
      <c r="H1" s="35"/>
    </row>
    <row r="2" spans="2:8" s="1" customFormat="1" ht="24" customHeight="1" x14ac:dyDescent="0.25">
      <c r="B2" s="36" t="s">
        <v>123</v>
      </c>
      <c r="C2" s="36"/>
      <c r="D2" s="36"/>
      <c r="E2" s="36"/>
      <c r="F2" s="36"/>
      <c r="G2" s="36"/>
      <c r="H2" s="36"/>
    </row>
    <row r="3" spans="2:8" s="1" customFormat="1" ht="24" customHeight="1" x14ac:dyDescent="0.25">
      <c r="B3" s="36" t="s">
        <v>130</v>
      </c>
      <c r="C3" s="36"/>
      <c r="D3" s="36"/>
      <c r="E3" s="36"/>
      <c r="F3" s="36"/>
      <c r="G3" s="36"/>
      <c r="H3" s="36"/>
    </row>
    <row r="4" spans="2:8" s="1" customFormat="1" ht="24" customHeight="1" x14ac:dyDescent="0.25">
      <c r="B4" s="37" t="s">
        <v>94</v>
      </c>
      <c r="C4" s="37"/>
      <c r="D4" s="37"/>
      <c r="E4" s="37"/>
      <c r="F4" s="37"/>
      <c r="G4" s="37"/>
      <c r="H4" s="37"/>
    </row>
    <row r="5" spans="2:8" s="1" customFormat="1" ht="12" customHeight="1" x14ac:dyDescent="0.25">
      <c r="B5" s="37"/>
      <c r="C5" s="37"/>
      <c r="D5" s="37"/>
      <c r="E5" s="37"/>
      <c r="F5" s="37"/>
      <c r="G5" s="37"/>
      <c r="H5" s="37"/>
    </row>
    <row r="6" spans="2:8" s="1" customFormat="1" ht="18" customHeight="1" x14ac:dyDescent="0.25">
      <c r="B6" s="38" t="s">
        <v>122</v>
      </c>
      <c r="C6" s="38"/>
      <c r="D6" s="38"/>
      <c r="E6" s="38"/>
      <c r="F6" s="38"/>
      <c r="G6" s="38"/>
      <c r="H6" s="38"/>
    </row>
    <row r="7" spans="2:8" s="1" customFormat="1" ht="12" customHeight="1" x14ac:dyDescent="0.25">
      <c r="B7" s="59"/>
      <c r="C7" s="59"/>
      <c r="D7" s="59"/>
      <c r="E7" s="59"/>
      <c r="F7" s="59"/>
      <c r="G7" s="59"/>
      <c r="H7" s="59"/>
    </row>
    <row r="8" spans="2:8" s="1" customFormat="1" ht="18" customHeight="1" x14ac:dyDescent="0.25">
      <c r="B8" s="60" t="s">
        <v>95</v>
      </c>
      <c r="C8" s="60"/>
      <c r="D8" s="60"/>
      <c r="E8" s="60"/>
      <c r="F8" s="60"/>
      <c r="G8" s="60"/>
      <c r="H8" s="60"/>
    </row>
    <row r="9" spans="2:8" s="1" customFormat="1" ht="12" customHeight="1" thickBot="1" x14ac:dyDescent="0.3">
      <c r="B9" s="61"/>
      <c r="C9" s="61"/>
      <c r="D9" s="61"/>
      <c r="E9" s="61"/>
      <c r="F9" s="61"/>
      <c r="G9" s="61"/>
      <c r="H9" s="61"/>
    </row>
    <row r="10" spans="2:8" s="1" customFormat="1" ht="18" customHeight="1" x14ac:dyDescent="0.25">
      <c r="B10" s="41" t="s">
        <v>81</v>
      </c>
      <c r="C10" s="42"/>
      <c r="D10" s="43"/>
      <c r="E10" s="64"/>
      <c r="F10" s="64"/>
      <c r="G10" s="64"/>
      <c r="H10" s="65"/>
    </row>
    <row r="11" spans="2:8" s="1" customFormat="1" ht="18" customHeight="1" x14ac:dyDescent="0.25">
      <c r="B11" s="44" t="s">
        <v>82</v>
      </c>
      <c r="C11" s="82"/>
      <c r="D11" s="46"/>
      <c r="E11" s="39"/>
      <c r="F11" s="39"/>
      <c r="G11" s="39"/>
      <c r="H11" s="40"/>
    </row>
    <row r="12" spans="2:8" s="1" customFormat="1" ht="18" customHeight="1" x14ac:dyDescent="0.25">
      <c r="B12" s="44" t="s">
        <v>85</v>
      </c>
      <c r="C12" s="82"/>
      <c r="D12" s="46"/>
      <c r="E12" s="39"/>
      <c r="F12" s="39"/>
      <c r="G12" s="39"/>
      <c r="H12" s="40"/>
    </row>
    <row r="13" spans="2:8" s="1" customFormat="1" ht="18" customHeight="1" x14ac:dyDescent="0.25">
      <c r="B13" s="44" t="s">
        <v>83</v>
      </c>
      <c r="C13" s="82"/>
      <c r="D13" s="46"/>
      <c r="E13" s="39"/>
      <c r="F13" s="39"/>
      <c r="G13" s="39"/>
      <c r="H13" s="40"/>
    </row>
    <row r="14" spans="2:8" s="1" customFormat="1" ht="18" customHeight="1" x14ac:dyDescent="0.25">
      <c r="B14" s="44" t="s">
        <v>84</v>
      </c>
      <c r="C14" s="82"/>
      <c r="D14" s="46"/>
      <c r="E14" s="39"/>
      <c r="F14" s="39"/>
      <c r="G14" s="39"/>
      <c r="H14" s="40"/>
    </row>
    <row r="15" spans="2:8" s="1" customFormat="1" ht="18" customHeight="1" x14ac:dyDescent="0.25">
      <c r="B15" s="44" t="s">
        <v>88</v>
      </c>
      <c r="C15" s="82"/>
      <c r="D15" s="46"/>
      <c r="E15" s="39"/>
      <c r="F15" s="39"/>
      <c r="G15" s="39"/>
      <c r="H15" s="40"/>
    </row>
    <row r="16" spans="2:8" s="1" customFormat="1" ht="18" customHeight="1" x14ac:dyDescent="0.25">
      <c r="B16" s="44" t="s">
        <v>86</v>
      </c>
      <c r="C16" s="82"/>
      <c r="D16" s="46"/>
      <c r="E16" s="39"/>
      <c r="F16" s="39"/>
      <c r="G16" s="39"/>
      <c r="H16" s="40"/>
    </row>
    <row r="17" spans="2:8" s="1" customFormat="1" ht="18" customHeight="1" thickBot="1" x14ac:dyDescent="0.3">
      <c r="B17" s="47" t="s">
        <v>87</v>
      </c>
      <c r="C17" s="48"/>
      <c r="D17" s="49"/>
      <c r="E17" s="62"/>
      <c r="F17" s="62"/>
      <c r="G17" s="62"/>
      <c r="H17" s="63"/>
    </row>
    <row r="18" spans="2:8" s="1" customFormat="1" ht="12" customHeight="1" x14ac:dyDescent="0.25">
      <c r="B18" s="59"/>
      <c r="C18" s="59"/>
      <c r="D18" s="59"/>
      <c r="E18" s="59"/>
      <c r="F18" s="59"/>
      <c r="G18" s="59"/>
      <c r="H18" s="59"/>
    </row>
    <row r="19" spans="2:8" s="1" customFormat="1" ht="18" customHeight="1" x14ac:dyDescent="0.25">
      <c r="B19" s="60" t="s">
        <v>93</v>
      </c>
      <c r="C19" s="60"/>
      <c r="D19" s="60"/>
      <c r="E19" s="60"/>
      <c r="F19" s="60"/>
      <c r="G19" s="60"/>
      <c r="H19" s="60"/>
    </row>
    <row r="20" spans="2:8" s="1" customFormat="1" ht="12" customHeight="1" thickBot="1" x14ac:dyDescent="0.3">
      <c r="B20" s="60"/>
      <c r="C20" s="60"/>
      <c r="D20" s="60"/>
      <c r="E20" s="60"/>
      <c r="F20" s="60"/>
      <c r="G20" s="60"/>
      <c r="H20" s="60"/>
    </row>
    <row r="21" spans="2:8" s="1" customFormat="1" ht="18" customHeight="1" x14ac:dyDescent="0.25">
      <c r="B21" s="41" t="s">
        <v>89</v>
      </c>
      <c r="C21" s="42"/>
      <c r="D21" s="43"/>
      <c r="E21" s="50">
        <f>'Price List'!I24</f>
        <v>0</v>
      </c>
      <c r="F21" s="51"/>
      <c r="G21" s="51"/>
      <c r="H21" s="52"/>
    </row>
    <row r="22" spans="2:8" s="1" customFormat="1" ht="18" customHeight="1" x14ac:dyDescent="0.25">
      <c r="B22" s="44" t="s">
        <v>90</v>
      </c>
      <c r="C22" s="45"/>
      <c r="D22" s="46"/>
      <c r="E22" s="53">
        <f>'Price List'!I40</f>
        <v>0</v>
      </c>
      <c r="F22" s="54"/>
      <c r="G22" s="54"/>
      <c r="H22" s="55"/>
    </row>
    <row r="23" spans="2:8" s="1" customFormat="1" ht="18" customHeight="1" x14ac:dyDescent="0.25">
      <c r="B23" s="44" t="s">
        <v>91</v>
      </c>
      <c r="C23" s="45"/>
      <c r="D23" s="46"/>
      <c r="E23" s="53">
        <f>'Price List'!I56</f>
        <v>0</v>
      </c>
      <c r="F23" s="54"/>
      <c r="G23" s="54"/>
      <c r="H23" s="55"/>
    </row>
    <row r="24" spans="2:8" s="1" customFormat="1" ht="18" customHeight="1" x14ac:dyDescent="0.25">
      <c r="B24" s="44" t="s">
        <v>129</v>
      </c>
      <c r="C24" s="45"/>
      <c r="D24" s="46"/>
      <c r="E24" s="53">
        <f>'Price List'!I72</f>
        <v>0</v>
      </c>
      <c r="F24" s="54"/>
      <c r="G24" s="54"/>
      <c r="H24" s="55"/>
    </row>
    <row r="25" spans="2:8" s="1" customFormat="1" ht="18" customHeight="1" thickBot="1" x14ac:dyDescent="0.3">
      <c r="B25" s="47" t="s">
        <v>92</v>
      </c>
      <c r="C25" s="48"/>
      <c r="D25" s="49"/>
      <c r="E25" s="56">
        <f>E21+E22+E23+E24</f>
        <v>0</v>
      </c>
      <c r="F25" s="57"/>
      <c r="G25" s="57"/>
      <c r="H25" s="58"/>
    </row>
    <row r="26" spans="2:8" ht="12" customHeight="1" x14ac:dyDescent="0.2">
      <c r="B26" s="34"/>
      <c r="C26" s="34"/>
      <c r="D26" s="34"/>
      <c r="E26" s="34"/>
      <c r="F26" s="34"/>
      <c r="G26" s="34"/>
      <c r="H26" s="34"/>
    </row>
    <row r="27" spans="2:8" ht="30" customHeight="1" x14ac:dyDescent="0.2">
      <c r="B27" s="33" t="s">
        <v>117</v>
      </c>
      <c r="C27" s="33"/>
      <c r="D27" s="33"/>
      <c r="E27" s="33"/>
      <c r="F27" s="33"/>
      <c r="G27" s="33"/>
      <c r="H27" s="33"/>
    </row>
    <row r="28" spans="2:8" ht="18" customHeight="1" x14ac:dyDescent="0.2"/>
    <row r="29" spans="2:8" ht="18" customHeight="1" x14ac:dyDescent="0.2"/>
    <row r="30" spans="2:8" ht="18" customHeight="1" x14ac:dyDescent="0.2"/>
  </sheetData>
  <mergeCells count="40">
    <mergeCell ref="B3:H3"/>
    <mergeCell ref="B7:H7"/>
    <mergeCell ref="B18:H18"/>
    <mergeCell ref="B20:H20"/>
    <mergeCell ref="B9:H9"/>
    <mergeCell ref="B8:H8"/>
    <mergeCell ref="B19:H19"/>
    <mergeCell ref="E10:H10"/>
    <mergeCell ref="E11:H11"/>
    <mergeCell ref="E12:H12"/>
    <mergeCell ref="E13:H13"/>
    <mergeCell ref="E14:H14"/>
    <mergeCell ref="E15:H15"/>
    <mergeCell ref="E16:H16"/>
    <mergeCell ref="B17:D17"/>
    <mergeCell ref="B25:D25"/>
    <mergeCell ref="E21:H21"/>
    <mergeCell ref="E22:H22"/>
    <mergeCell ref="E23:H23"/>
    <mergeCell ref="E24:H24"/>
    <mergeCell ref="E25:H25"/>
    <mergeCell ref="B21:D21"/>
    <mergeCell ref="B22:D22"/>
    <mergeCell ref="B23:D23"/>
    <mergeCell ref="B24:D24"/>
    <mergeCell ref="B27:H27"/>
    <mergeCell ref="B26:H26"/>
    <mergeCell ref="C1:H1"/>
    <mergeCell ref="B2:H2"/>
    <mergeCell ref="B4:H4"/>
    <mergeCell ref="B6:H6"/>
    <mergeCell ref="B5:H5"/>
    <mergeCell ref="E17:H17"/>
    <mergeCell ref="B10:D10"/>
    <mergeCell ref="B11:D11"/>
    <mergeCell ref="B12:D12"/>
    <mergeCell ref="B13:D13"/>
    <mergeCell ref="B14:D14"/>
    <mergeCell ref="B15:D15"/>
    <mergeCell ref="B16:D16"/>
  </mergeCells>
  <pageMargins left="0.7" right="0.7" top="0.75" bottom="0.75" header="0.3" footer="0.3"/>
  <pageSetup scale="98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76"/>
  <sheetViews>
    <sheetView zoomScale="80" zoomScaleNormal="80" workbookViewId="0">
      <selection activeCell="G79" sqref="G79"/>
    </sheetView>
  </sheetViews>
  <sheetFormatPr defaultColWidth="8.85546875" defaultRowHeight="12.75" x14ac:dyDescent="0.2"/>
  <cols>
    <col min="1" max="1" width="3.7109375" style="3" customWidth="1"/>
    <col min="2" max="2" width="3.7109375" style="21" customWidth="1"/>
    <col min="3" max="3" width="10.7109375" style="11" customWidth="1"/>
    <col min="4" max="4" width="57.42578125" style="4" customWidth="1"/>
    <col min="5" max="5" width="10.7109375" style="11" customWidth="1"/>
    <col min="6" max="6" width="13.7109375" style="11" customWidth="1"/>
    <col min="7" max="7" width="14.7109375" style="3" customWidth="1"/>
    <col min="8" max="8" width="13.7109375" style="3" customWidth="1"/>
    <col min="9" max="9" width="19" style="3" customWidth="1"/>
    <col min="10" max="10" width="8.85546875" style="3"/>
    <col min="11" max="11" width="8.85546875" style="26"/>
    <col min="12" max="16384" width="8.85546875" style="3"/>
  </cols>
  <sheetData>
    <row r="1" spans="2:27" x14ac:dyDescent="0.2">
      <c r="C1" s="35"/>
      <c r="D1" s="35"/>
      <c r="E1" s="35"/>
      <c r="F1" s="35"/>
      <c r="G1" s="35"/>
      <c r="H1" s="35"/>
      <c r="I1" s="35"/>
    </row>
    <row r="2" spans="2:27" s="1" customFormat="1" ht="24" customHeight="1" x14ac:dyDescent="0.25">
      <c r="B2" s="36" t="s">
        <v>123</v>
      </c>
      <c r="C2" s="36"/>
      <c r="D2" s="36"/>
      <c r="E2" s="36"/>
      <c r="F2" s="36"/>
      <c r="G2" s="36"/>
      <c r="H2" s="36"/>
      <c r="I2" s="36"/>
      <c r="K2" s="27"/>
    </row>
    <row r="3" spans="2:27" s="1" customFormat="1" ht="24" customHeight="1" x14ac:dyDescent="0.25">
      <c r="B3" s="36" t="s">
        <v>130</v>
      </c>
      <c r="C3" s="36"/>
      <c r="D3" s="36"/>
      <c r="E3" s="36"/>
      <c r="F3" s="36"/>
      <c r="G3" s="36"/>
      <c r="H3" s="36"/>
      <c r="I3" s="36"/>
      <c r="K3" s="27"/>
    </row>
    <row r="4" spans="2:27" s="1" customFormat="1" ht="24" customHeight="1" x14ac:dyDescent="0.25">
      <c r="B4" s="37" t="s">
        <v>80</v>
      </c>
      <c r="C4" s="37"/>
      <c r="D4" s="37"/>
      <c r="E4" s="37"/>
      <c r="F4" s="37"/>
      <c r="G4" s="37"/>
      <c r="H4" s="37"/>
      <c r="I4" s="37"/>
      <c r="K4" s="27"/>
    </row>
    <row r="5" spans="2:27" s="1" customFormat="1" ht="12" customHeight="1" x14ac:dyDescent="0.25">
      <c r="B5" s="37"/>
      <c r="C5" s="37"/>
      <c r="D5" s="37"/>
      <c r="E5" s="37"/>
      <c r="F5" s="37"/>
      <c r="G5" s="37"/>
      <c r="H5" s="37"/>
      <c r="I5" s="37"/>
      <c r="K5" s="27"/>
    </row>
    <row r="6" spans="2:27" s="1" customFormat="1" ht="24" customHeight="1" x14ac:dyDescent="0.25">
      <c r="B6" s="74" t="s">
        <v>121</v>
      </c>
      <c r="C6" s="74"/>
      <c r="D6" s="74"/>
      <c r="E6" s="74"/>
      <c r="F6" s="74"/>
      <c r="G6" s="74"/>
      <c r="H6" s="74"/>
      <c r="I6" s="74"/>
      <c r="K6" s="27"/>
    </row>
    <row r="7" spans="2:27" s="1" customFormat="1" ht="12" customHeight="1" thickBot="1" x14ac:dyDescent="0.3">
      <c r="B7" s="23"/>
      <c r="C7" s="23"/>
      <c r="D7" s="23"/>
      <c r="E7" s="23"/>
      <c r="F7" s="23"/>
      <c r="G7" s="23"/>
      <c r="H7" s="23"/>
      <c r="I7" s="23"/>
      <c r="K7" s="27"/>
    </row>
    <row r="8" spans="2:27" s="2" customFormat="1" ht="30" customHeight="1" thickBot="1" x14ac:dyDescent="0.3">
      <c r="B8" s="22"/>
      <c r="C8" s="18" t="s">
        <v>4</v>
      </c>
      <c r="D8" s="18" t="s">
        <v>5</v>
      </c>
      <c r="E8" s="18" t="s">
        <v>6</v>
      </c>
      <c r="F8" s="18" t="s">
        <v>7</v>
      </c>
      <c r="G8" s="20" t="s">
        <v>8</v>
      </c>
      <c r="H8" s="20" t="s">
        <v>111</v>
      </c>
      <c r="I8" s="19" t="s">
        <v>9</v>
      </c>
      <c r="K8" s="38" t="s">
        <v>112</v>
      </c>
      <c r="L8" s="38"/>
      <c r="M8" s="38"/>
      <c r="N8" s="38"/>
      <c r="O8" s="38"/>
      <c r="P8" s="38"/>
      <c r="Q8" s="38"/>
      <c r="R8" s="38"/>
      <c r="S8" s="38"/>
      <c r="T8" s="30"/>
      <c r="U8" s="38" t="s">
        <v>120</v>
      </c>
      <c r="V8" s="38"/>
      <c r="W8" s="38"/>
      <c r="X8" s="38"/>
      <c r="Y8" s="38"/>
      <c r="Z8" s="38"/>
      <c r="AA8" s="38"/>
    </row>
    <row r="9" spans="2:27" s="2" customFormat="1" ht="18" customHeight="1" thickBot="1" x14ac:dyDescent="0.3">
      <c r="B9" s="70" t="s">
        <v>14</v>
      </c>
      <c r="C9" s="75" t="s">
        <v>126</v>
      </c>
      <c r="D9" s="76"/>
      <c r="E9" s="76"/>
      <c r="F9" s="76"/>
      <c r="G9" s="76"/>
      <c r="H9" s="76"/>
      <c r="I9" s="77"/>
      <c r="K9" s="69"/>
      <c r="L9" s="69"/>
      <c r="M9" s="69"/>
      <c r="N9" s="69"/>
      <c r="O9" s="69"/>
      <c r="P9" s="69"/>
      <c r="Q9" s="69"/>
      <c r="R9" s="69"/>
      <c r="S9" s="69"/>
      <c r="T9" s="30"/>
      <c r="U9" s="81" t="s">
        <v>119</v>
      </c>
      <c r="V9" s="81"/>
      <c r="W9" s="81"/>
      <c r="X9" s="81"/>
      <c r="Y9" s="81"/>
      <c r="Z9" s="81"/>
      <c r="AA9" s="81"/>
    </row>
    <row r="10" spans="2:27" s="2" customFormat="1" ht="18" customHeight="1" thickBot="1" x14ac:dyDescent="0.3">
      <c r="B10" s="71"/>
      <c r="C10" s="12" t="s">
        <v>0</v>
      </c>
      <c r="D10" s="13" t="s">
        <v>31</v>
      </c>
      <c r="E10" s="14">
        <v>1</v>
      </c>
      <c r="F10" s="15" t="s">
        <v>96</v>
      </c>
      <c r="G10" s="16">
        <v>0</v>
      </c>
      <c r="H10" s="14">
        <v>200</v>
      </c>
      <c r="I10" s="17">
        <f t="shared" ref="I10:I23" si="0">G10*E10*H10</f>
        <v>0</v>
      </c>
      <c r="K10" s="69" t="s">
        <v>101</v>
      </c>
      <c r="L10" s="69"/>
      <c r="M10" s="69"/>
      <c r="N10" s="69"/>
      <c r="O10" s="69"/>
      <c r="P10" s="69"/>
      <c r="Q10" s="69"/>
      <c r="R10" s="69"/>
      <c r="S10" s="69"/>
      <c r="T10" s="30"/>
      <c r="U10" s="81"/>
      <c r="V10" s="81"/>
      <c r="W10" s="81"/>
      <c r="X10" s="81"/>
      <c r="Y10" s="81"/>
      <c r="Z10" s="81"/>
      <c r="AA10" s="81"/>
    </row>
    <row r="11" spans="2:27" s="2" customFormat="1" ht="18" customHeight="1" thickBot="1" x14ac:dyDescent="0.3">
      <c r="B11" s="71"/>
      <c r="C11" s="12" t="s">
        <v>1</v>
      </c>
      <c r="D11" s="6" t="s">
        <v>32</v>
      </c>
      <c r="E11" s="9">
        <v>1</v>
      </c>
      <c r="F11" s="5" t="s">
        <v>96</v>
      </c>
      <c r="G11" s="8">
        <v>0</v>
      </c>
      <c r="H11" s="9">
        <v>20</v>
      </c>
      <c r="I11" s="10">
        <f t="shared" si="0"/>
        <v>0</v>
      </c>
      <c r="K11" s="69" t="s">
        <v>102</v>
      </c>
      <c r="L11" s="69"/>
      <c r="M11" s="69"/>
      <c r="N11" s="69"/>
      <c r="O11" s="69"/>
      <c r="P11" s="69"/>
      <c r="Q11" s="69"/>
      <c r="R11" s="69"/>
      <c r="S11" s="69"/>
      <c r="T11" s="30"/>
      <c r="U11" s="81"/>
      <c r="V11" s="81"/>
      <c r="W11" s="81"/>
      <c r="X11" s="81"/>
      <c r="Y11" s="81"/>
      <c r="Z11" s="81"/>
      <c r="AA11" s="81"/>
    </row>
    <row r="12" spans="2:27" s="2" customFormat="1" ht="18" customHeight="1" thickBot="1" x14ac:dyDescent="0.3">
      <c r="B12" s="71"/>
      <c r="C12" s="12" t="s">
        <v>2</v>
      </c>
      <c r="D12" s="6" t="s">
        <v>25</v>
      </c>
      <c r="E12" s="9">
        <v>1</v>
      </c>
      <c r="F12" s="5" t="s">
        <v>96</v>
      </c>
      <c r="G12" s="8">
        <v>0</v>
      </c>
      <c r="H12" s="9">
        <v>10</v>
      </c>
      <c r="I12" s="7">
        <f t="shared" si="0"/>
        <v>0</v>
      </c>
      <c r="K12" s="69" t="s">
        <v>103</v>
      </c>
      <c r="L12" s="69"/>
      <c r="M12" s="69"/>
      <c r="N12" s="69"/>
      <c r="O12" s="69"/>
      <c r="P12" s="69"/>
      <c r="Q12" s="69"/>
      <c r="R12" s="69"/>
      <c r="S12" s="69"/>
      <c r="T12" s="30"/>
      <c r="U12" s="81"/>
      <c r="V12" s="81"/>
      <c r="W12" s="81"/>
      <c r="X12" s="81"/>
      <c r="Y12" s="81"/>
      <c r="Z12" s="81"/>
      <c r="AA12" s="81"/>
    </row>
    <row r="13" spans="2:27" s="2" customFormat="1" ht="18" customHeight="1" thickBot="1" x14ac:dyDescent="0.3">
      <c r="B13" s="71"/>
      <c r="C13" s="12" t="s">
        <v>3</v>
      </c>
      <c r="D13" s="6" t="s">
        <v>26</v>
      </c>
      <c r="E13" s="9">
        <v>1</v>
      </c>
      <c r="F13" s="5" t="s">
        <v>96</v>
      </c>
      <c r="G13" s="8">
        <v>0</v>
      </c>
      <c r="H13" s="9">
        <v>10</v>
      </c>
      <c r="I13" s="7">
        <f t="shared" si="0"/>
        <v>0</v>
      </c>
      <c r="K13" s="69" t="s">
        <v>114</v>
      </c>
      <c r="L13" s="69"/>
      <c r="M13" s="69"/>
      <c r="N13" s="69"/>
      <c r="O13" s="69"/>
      <c r="P13" s="69"/>
      <c r="Q13" s="69"/>
      <c r="R13" s="69"/>
      <c r="S13" s="69"/>
      <c r="T13" s="30"/>
      <c r="U13" s="32"/>
      <c r="V13" s="32"/>
      <c r="W13" s="32"/>
      <c r="X13" s="32"/>
      <c r="Y13" s="32"/>
      <c r="Z13" s="32"/>
      <c r="AA13" s="32"/>
    </row>
    <row r="14" spans="2:27" s="2" customFormat="1" ht="18" customHeight="1" thickBot="1" x14ac:dyDescent="0.3">
      <c r="B14" s="71"/>
      <c r="C14" s="12" t="s">
        <v>37</v>
      </c>
      <c r="D14" s="6" t="s">
        <v>33</v>
      </c>
      <c r="E14" s="9">
        <v>1</v>
      </c>
      <c r="F14" s="5" t="s">
        <v>97</v>
      </c>
      <c r="G14" s="8">
        <v>0</v>
      </c>
      <c r="H14" s="9">
        <v>200</v>
      </c>
      <c r="I14" s="10">
        <f t="shared" si="0"/>
        <v>0</v>
      </c>
      <c r="K14" s="69" t="s">
        <v>104</v>
      </c>
      <c r="L14" s="69"/>
      <c r="M14" s="69"/>
      <c r="N14" s="69"/>
      <c r="O14" s="69"/>
      <c r="P14" s="69"/>
      <c r="Q14" s="69"/>
      <c r="R14" s="69"/>
      <c r="S14" s="69"/>
      <c r="T14" s="30"/>
      <c r="U14" s="32"/>
      <c r="V14" s="32"/>
      <c r="W14" s="32"/>
      <c r="X14" s="32"/>
      <c r="Y14" s="32"/>
      <c r="Z14" s="32"/>
      <c r="AA14" s="32"/>
    </row>
    <row r="15" spans="2:27" s="2" customFormat="1" ht="18" customHeight="1" thickBot="1" x14ac:dyDescent="0.3">
      <c r="B15" s="71"/>
      <c r="C15" s="12" t="s">
        <v>44</v>
      </c>
      <c r="D15" s="6" t="s">
        <v>34</v>
      </c>
      <c r="E15" s="9">
        <v>1</v>
      </c>
      <c r="F15" s="5" t="s">
        <v>97</v>
      </c>
      <c r="G15" s="8">
        <v>0</v>
      </c>
      <c r="H15" s="9">
        <v>20</v>
      </c>
      <c r="I15" s="10">
        <f t="shared" si="0"/>
        <v>0</v>
      </c>
      <c r="K15" s="69" t="s">
        <v>105</v>
      </c>
      <c r="L15" s="69"/>
      <c r="M15" s="69"/>
      <c r="N15" s="69"/>
      <c r="O15" s="69"/>
      <c r="P15" s="69"/>
      <c r="Q15" s="69"/>
      <c r="R15" s="69"/>
      <c r="S15" s="69"/>
      <c r="T15" s="30"/>
      <c r="U15" s="32"/>
      <c r="V15" s="32"/>
      <c r="W15" s="32"/>
      <c r="X15" s="32"/>
      <c r="Y15" s="32"/>
      <c r="Z15" s="32"/>
      <c r="AA15" s="32"/>
    </row>
    <row r="16" spans="2:27" s="2" customFormat="1" ht="18" customHeight="1" thickBot="1" x14ac:dyDescent="0.3">
      <c r="B16" s="71"/>
      <c r="C16" s="12" t="s">
        <v>45</v>
      </c>
      <c r="D16" s="6" t="s">
        <v>27</v>
      </c>
      <c r="E16" s="9">
        <v>1</v>
      </c>
      <c r="F16" s="5" t="s">
        <v>97</v>
      </c>
      <c r="G16" s="8">
        <v>0</v>
      </c>
      <c r="H16" s="9">
        <v>10</v>
      </c>
      <c r="I16" s="7">
        <f t="shared" si="0"/>
        <v>0</v>
      </c>
      <c r="K16" s="69" t="s">
        <v>106</v>
      </c>
      <c r="L16" s="69"/>
      <c r="M16" s="69"/>
      <c r="N16" s="69"/>
      <c r="O16" s="69"/>
      <c r="P16" s="69"/>
      <c r="Q16" s="69"/>
      <c r="R16" s="69"/>
      <c r="S16" s="69"/>
      <c r="T16" s="30"/>
      <c r="U16" s="32"/>
      <c r="V16" s="32"/>
      <c r="W16" s="32"/>
      <c r="X16" s="32"/>
      <c r="Y16" s="32"/>
      <c r="Z16" s="32"/>
      <c r="AA16" s="32"/>
    </row>
    <row r="17" spans="2:27" s="2" customFormat="1" ht="18" customHeight="1" thickBot="1" x14ac:dyDescent="0.3">
      <c r="B17" s="71"/>
      <c r="C17" s="12" t="s">
        <v>46</v>
      </c>
      <c r="D17" s="6" t="s">
        <v>28</v>
      </c>
      <c r="E17" s="9">
        <v>1</v>
      </c>
      <c r="F17" s="5" t="s">
        <v>97</v>
      </c>
      <c r="G17" s="8">
        <v>0</v>
      </c>
      <c r="H17" s="9">
        <v>10</v>
      </c>
      <c r="I17" s="7">
        <f t="shared" si="0"/>
        <v>0</v>
      </c>
      <c r="K17" s="69" t="s">
        <v>115</v>
      </c>
      <c r="L17" s="69"/>
      <c r="M17" s="69"/>
      <c r="N17" s="69"/>
      <c r="O17" s="69"/>
      <c r="P17" s="69"/>
      <c r="Q17" s="69"/>
      <c r="R17" s="69"/>
      <c r="S17" s="69"/>
      <c r="T17" s="30"/>
      <c r="U17" s="32"/>
      <c r="V17" s="32"/>
      <c r="W17" s="32"/>
      <c r="X17" s="32"/>
      <c r="Y17" s="32"/>
      <c r="Z17" s="32"/>
      <c r="AA17" s="32"/>
    </row>
    <row r="18" spans="2:27" s="2" customFormat="1" ht="18" customHeight="1" thickBot="1" x14ac:dyDescent="0.3">
      <c r="B18" s="71"/>
      <c r="C18" s="12" t="s">
        <v>47</v>
      </c>
      <c r="D18" s="6" t="s">
        <v>35</v>
      </c>
      <c r="E18" s="9">
        <v>1</v>
      </c>
      <c r="F18" s="5" t="s">
        <v>98</v>
      </c>
      <c r="G18" s="8">
        <v>0</v>
      </c>
      <c r="H18" s="9">
        <v>100</v>
      </c>
      <c r="I18" s="10">
        <f t="shared" si="0"/>
        <v>0</v>
      </c>
      <c r="K18" s="69" t="s">
        <v>107</v>
      </c>
      <c r="L18" s="69"/>
      <c r="M18" s="69"/>
      <c r="N18" s="69"/>
      <c r="O18" s="69"/>
      <c r="P18" s="69"/>
      <c r="Q18" s="69"/>
      <c r="R18" s="69"/>
      <c r="S18" s="69"/>
      <c r="T18" s="30"/>
      <c r="U18" s="32"/>
      <c r="V18" s="32"/>
      <c r="W18" s="32"/>
      <c r="X18" s="32"/>
      <c r="Y18" s="32"/>
      <c r="Z18" s="32"/>
      <c r="AA18" s="32"/>
    </row>
    <row r="19" spans="2:27" s="2" customFormat="1" ht="18" customHeight="1" thickBot="1" x14ac:dyDescent="0.3">
      <c r="B19" s="71"/>
      <c r="C19" s="12" t="s">
        <v>48</v>
      </c>
      <c r="D19" s="6" t="s">
        <v>36</v>
      </c>
      <c r="E19" s="9">
        <v>1</v>
      </c>
      <c r="F19" s="5" t="s">
        <v>98</v>
      </c>
      <c r="G19" s="8">
        <v>0</v>
      </c>
      <c r="H19" s="9">
        <v>20</v>
      </c>
      <c r="I19" s="10">
        <f t="shared" si="0"/>
        <v>0</v>
      </c>
      <c r="K19" s="69" t="s">
        <v>108</v>
      </c>
      <c r="L19" s="69"/>
      <c r="M19" s="69"/>
      <c r="N19" s="69"/>
      <c r="O19" s="69"/>
      <c r="P19" s="69"/>
      <c r="Q19" s="69"/>
      <c r="R19" s="69"/>
      <c r="S19" s="69"/>
      <c r="T19" s="30"/>
      <c r="U19" s="32"/>
      <c r="V19" s="32"/>
      <c r="W19" s="32"/>
      <c r="X19" s="32"/>
      <c r="Y19" s="32"/>
      <c r="Z19" s="32"/>
      <c r="AA19" s="32"/>
    </row>
    <row r="20" spans="2:27" s="2" customFormat="1" ht="18" customHeight="1" thickBot="1" x14ac:dyDescent="0.3">
      <c r="B20" s="71"/>
      <c r="C20" s="12" t="s">
        <v>49</v>
      </c>
      <c r="D20" s="6" t="s">
        <v>29</v>
      </c>
      <c r="E20" s="9">
        <v>1</v>
      </c>
      <c r="F20" s="5" t="s">
        <v>98</v>
      </c>
      <c r="G20" s="8">
        <v>0</v>
      </c>
      <c r="H20" s="9">
        <v>10</v>
      </c>
      <c r="I20" s="7">
        <f t="shared" si="0"/>
        <v>0</v>
      </c>
      <c r="K20" s="69" t="s">
        <v>109</v>
      </c>
      <c r="L20" s="69"/>
      <c r="M20" s="69"/>
      <c r="N20" s="69"/>
      <c r="O20" s="69"/>
      <c r="P20" s="69"/>
      <c r="Q20" s="69"/>
      <c r="R20" s="69"/>
      <c r="S20" s="69"/>
      <c r="T20" s="30"/>
      <c r="U20" s="32"/>
      <c r="V20" s="32"/>
      <c r="W20" s="32"/>
      <c r="X20" s="32"/>
      <c r="Y20" s="32"/>
      <c r="Z20" s="32"/>
      <c r="AA20" s="32"/>
    </row>
    <row r="21" spans="2:27" s="2" customFormat="1" ht="18" customHeight="1" thickBot="1" x14ac:dyDescent="0.3">
      <c r="B21" s="71"/>
      <c r="C21" s="12" t="s">
        <v>50</v>
      </c>
      <c r="D21" s="6" t="s">
        <v>30</v>
      </c>
      <c r="E21" s="9">
        <v>1</v>
      </c>
      <c r="F21" s="5" t="s">
        <v>98</v>
      </c>
      <c r="G21" s="8">
        <v>0</v>
      </c>
      <c r="H21" s="9">
        <v>10</v>
      </c>
      <c r="I21" s="7">
        <f t="shared" si="0"/>
        <v>0</v>
      </c>
      <c r="K21" s="69" t="s">
        <v>116</v>
      </c>
      <c r="L21" s="69"/>
      <c r="M21" s="69"/>
      <c r="N21" s="69"/>
      <c r="O21" s="69"/>
      <c r="P21" s="69"/>
      <c r="Q21" s="69"/>
      <c r="R21" s="69"/>
      <c r="S21" s="69"/>
      <c r="T21" s="30"/>
      <c r="U21" s="32"/>
      <c r="V21" s="32"/>
      <c r="W21" s="32"/>
      <c r="X21" s="32"/>
      <c r="Y21" s="32"/>
      <c r="Z21" s="32"/>
      <c r="AA21" s="32"/>
    </row>
    <row r="22" spans="2:27" s="2" customFormat="1" ht="18" customHeight="1" thickBot="1" x14ac:dyDescent="0.3">
      <c r="B22" s="71"/>
      <c r="C22" s="12" t="s">
        <v>51</v>
      </c>
      <c r="D22" s="6" t="s">
        <v>42</v>
      </c>
      <c r="E22" s="9">
        <v>1</v>
      </c>
      <c r="F22" s="5" t="s">
        <v>99</v>
      </c>
      <c r="G22" s="8">
        <v>0</v>
      </c>
      <c r="H22" s="9">
        <v>6000</v>
      </c>
      <c r="I22" s="10">
        <f t="shared" si="0"/>
        <v>0</v>
      </c>
      <c r="K22" s="69" t="s">
        <v>110</v>
      </c>
      <c r="L22" s="69"/>
      <c r="M22" s="69"/>
      <c r="N22" s="69"/>
      <c r="O22" s="69"/>
      <c r="P22" s="69"/>
      <c r="Q22" s="69"/>
      <c r="R22" s="69"/>
      <c r="S22" s="69"/>
      <c r="T22" s="30"/>
      <c r="U22" s="32"/>
      <c r="V22" s="32"/>
      <c r="W22" s="32"/>
      <c r="X22" s="32"/>
      <c r="Y22" s="32"/>
      <c r="Z22" s="32"/>
      <c r="AA22" s="32"/>
    </row>
    <row r="23" spans="2:27" s="2" customFormat="1" ht="18" customHeight="1" x14ac:dyDescent="0.25">
      <c r="B23" s="71"/>
      <c r="C23" s="12" t="s">
        <v>52</v>
      </c>
      <c r="D23" s="6" t="s">
        <v>43</v>
      </c>
      <c r="E23" s="9">
        <v>1</v>
      </c>
      <c r="F23" s="5" t="s">
        <v>100</v>
      </c>
      <c r="G23" s="8">
        <v>0</v>
      </c>
      <c r="H23" s="9">
        <v>100</v>
      </c>
      <c r="I23" s="10">
        <f t="shared" si="0"/>
        <v>0</v>
      </c>
      <c r="K23" s="69" t="s">
        <v>113</v>
      </c>
      <c r="L23" s="69"/>
      <c r="M23" s="69"/>
      <c r="N23" s="69"/>
      <c r="O23" s="69"/>
      <c r="P23" s="69"/>
      <c r="Q23" s="69"/>
      <c r="R23" s="69"/>
      <c r="S23" s="69"/>
      <c r="T23" s="30"/>
      <c r="U23" s="32"/>
      <c r="V23" s="32"/>
      <c r="W23" s="32"/>
      <c r="X23" s="32"/>
      <c r="Y23" s="32"/>
      <c r="Z23" s="32"/>
      <c r="AA23" s="32"/>
    </row>
    <row r="24" spans="2:27" s="2" customFormat="1" ht="21" customHeight="1" thickBot="1" x14ac:dyDescent="0.3">
      <c r="B24" s="72"/>
      <c r="C24" s="73" t="s">
        <v>38</v>
      </c>
      <c r="D24" s="73"/>
      <c r="E24" s="73"/>
      <c r="F24" s="73"/>
      <c r="G24" s="73"/>
      <c r="H24" s="73"/>
      <c r="I24" s="24">
        <f>SUM(I9:I23)</f>
        <v>0</v>
      </c>
      <c r="K24" s="3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s="2" customFormat="1" ht="21" customHeight="1" thickBot="1" x14ac:dyDescent="0.3">
      <c r="B25" s="28"/>
      <c r="C25" s="66" t="s">
        <v>125</v>
      </c>
      <c r="D25" s="67"/>
      <c r="E25" s="67"/>
      <c r="F25" s="67"/>
      <c r="G25" s="67"/>
      <c r="H25" s="67"/>
      <c r="I25" s="68"/>
      <c r="K25" s="3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18" customHeight="1" thickBot="1" x14ac:dyDescent="0.25">
      <c r="B26" s="70" t="s">
        <v>15</v>
      </c>
      <c r="C26" s="12" t="s">
        <v>10</v>
      </c>
      <c r="D26" s="13" t="s">
        <v>31</v>
      </c>
      <c r="E26" s="14">
        <v>1</v>
      </c>
      <c r="F26" s="15" t="s">
        <v>96</v>
      </c>
      <c r="G26" s="16">
        <v>0</v>
      </c>
      <c r="H26" s="14">
        <v>200</v>
      </c>
      <c r="I26" s="17">
        <f t="shared" ref="I26:I39" si="1">G26*E26*H26</f>
        <v>0</v>
      </c>
      <c r="K26" s="29"/>
      <c r="L26" s="29"/>
      <c r="M26" s="29"/>
      <c r="N26" s="29"/>
      <c r="O26" s="29"/>
      <c r="P26" s="29"/>
      <c r="Q26" s="29"/>
      <c r="R26" s="29"/>
      <c r="S26" s="29"/>
    </row>
    <row r="27" spans="2:27" ht="18" customHeight="1" thickBot="1" x14ac:dyDescent="0.25">
      <c r="B27" s="71"/>
      <c r="C27" s="12" t="s">
        <v>11</v>
      </c>
      <c r="D27" s="6" t="s">
        <v>32</v>
      </c>
      <c r="E27" s="9">
        <v>1</v>
      </c>
      <c r="F27" s="5" t="s">
        <v>96</v>
      </c>
      <c r="G27" s="8">
        <v>0</v>
      </c>
      <c r="H27" s="9">
        <v>20</v>
      </c>
      <c r="I27" s="10">
        <f t="shared" si="1"/>
        <v>0</v>
      </c>
    </row>
    <row r="28" spans="2:27" ht="18" customHeight="1" thickBot="1" x14ac:dyDescent="0.25">
      <c r="B28" s="71"/>
      <c r="C28" s="12" t="s">
        <v>12</v>
      </c>
      <c r="D28" s="6" t="s">
        <v>25</v>
      </c>
      <c r="E28" s="9">
        <v>1</v>
      </c>
      <c r="F28" s="5" t="s">
        <v>96</v>
      </c>
      <c r="G28" s="8">
        <v>0</v>
      </c>
      <c r="H28" s="9">
        <v>10</v>
      </c>
      <c r="I28" s="7">
        <f t="shared" si="1"/>
        <v>0</v>
      </c>
    </row>
    <row r="29" spans="2:27" ht="18" customHeight="1" thickBot="1" x14ac:dyDescent="0.25">
      <c r="B29" s="71"/>
      <c r="C29" s="12" t="s">
        <v>13</v>
      </c>
      <c r="D29" s="6" t="s">
        <v>26</v>
      </c>
      <c r="E29" s="9">
        <v>1</v>
      </c>
      <c r="F29" s="5" t="s">
        <v>96</v>
      </c>
      <c r="G29" s="8">
        <v>0</v>
      </c>
      <c r="H29" s="9">
        <v>10</v>
      </c>
      <c r="I29" s="7">
        <f t="shared" si="1"/>
        <v>0</v>
      </c>
    </row>
    <row r="30" spans="2:27" ht="18" customHeight="1" thickBot="1" x14ac:dyDescent="0.25">
      <c r="B30" s="71"/>
      <c r="C30" s="12" t="s">
        <v>39</v>
      </c>
      <c r="D30" s="6" t="s">
        <v>33</v>
      </c>
      <c r="E30" s="9">
        <v>1</v>
      </c>
      <c r="F30" s="5" t="s">
        <v>97</v>
      </c>
      <c r="G30" s="8">
        <v>0</v>
      </c>
      <c r="H30" s="9">
        <v>200</v>
      </c>
      <c r="I30" s="10">
        <f t="shared" si="1"/>
        <v>0</v>
      </c>
    </row>
    <row r="31" spans="2:27" ht="18" customHeight="1" thickBot="1" x14ac:dyDescent="0.25">
      <c r="B31" s="71"/>
      <c r="C31" s="12" t="s">
        <v>53</v>
      </c>
      <c r="D31" s="6" t="s">
        <v>34</v>
      </c>
      <c r="E31" s="9">
        <v>1</v>
      </c>
      <c r="F31" s="5" t="s">
        <v>97</v>
      </c>
      <c r="G31" s="8">
        <v>0</v>
      </c>
      <c r="H31" s="9">
        <v>20</v>
      </c>
      <c r="I31" s="10">
        <f t="shared" si="1"/>
        <v>0</v>
      </c>
    </row>
    <row r="32" spans="2:27" ht="18" customHeight="1" thickBot="1" x14ac:dyDescent="0.25">
      <c r="B32" s="71"/>
      <c r="C32" s="12" t="s">
        <v>54</v>
      </c>
      <c r="D32" s="6" t="s">
        <v>27</v>
      </c>
      <c r="E32" s="9">
        <v>1</v>
      </c>
      <c r="F32" s="5" t="s">
        <v>97</v>
      </c>
      <c r="G32" s="8">
        <v>0</v>
      </c>
      <c r="H32" s="9">
        <v>10</v>
      </c>
      <c r="I32" s="7">
        <f t="shared" si="1"/>
        <v>0</v>
      </c>
    </row>
    <row r="33" spans="2:9" ht="18" customHeight="1" thickBot="1" x14ac:dyDescent="0.25">
      <c r="B33" s="71"/>
      <c r="C33" s="12" t="s">
        <v>55</v>
      </c>
      <c r="D33" s="6" t="s">
        <v>28</v>
      </c>
      <c r="E33" s="9">
        <v>1</v>
      </c>
      <c r="F33" s="5" t="s">
        <v>97</v>
      </c>
      <c r="G33" s="8">
        <v>0</v>
      </c>
      <c r="H33" s="9">
        <v>10</v>
      </c>
      <c r="I33" s="7">
        <f t="shared" si="1"/>
        <v>0</v>
      </c>
    </row>
    <row r="34" spans="2:9" ht="18" customHeight="1" thickBot="1" x14ac:dyDescent="0.25">
      <c r="B34" s="71"/>
      <c r="C34" s="12" t="s">
        <v>56</v>
      </c>
      <c r="D34" s="6" t="s">
        <v>35</v>
      </c>
      <c r="E34" s="9">
        <v>1</v>
      </c>
      <c r="F34" s="5" t="s">
        <v>98</v>
      </c>
      <c r="G34" s="8">
        <v>0</v>
      </c>
      <c r="H34" s="9">
        <v>100</v>
      </c>
      <c r="I34" s="10">
        <f t="shared" si="1"/>
        <v>0</v>
      </c>
    </row>
    <row r="35" spans="2:9" ht="18" customHeight="1" thickBot="1" x14ac:dyDescent="0.25">
      <c r="B35" s="71"/>
      <c r="C35" s="12" t="s">
        <v>57</v>
      </c>
      <c r="D35" s="6" t="s">
        <v>36</v>
      </c>
      <c r="E35" s="9">
        <v>1</v>
      </c>
      <c r="F35" s="5" t="s">
        <v>98</v>
      </c>
      <c r="G35" s="8">
        <v>0</v>
      </c>
      <c r="H35" s="9">
        <v>20</v>
      </c>
      <c r="I35" s="10">
        <f t="shared" si="1"/>
        <v>0</v>
      </c>
    </row>
    <row r="36" spans="2:9" ht="18" customHeight="1" thickBot="1" x14ac:dyDescent="0.25">
      <c r="B36" s="71"/>
      <c r="C36" s="12" t="s">
        <v>58</v>
      </c>
      <c r="D36" s="6" t="s">
        <v>29</v>
      </c>
      <c r="E36" s="9">
        <v>1</v>
      </c>
      <c r="F36" s="5" t="s">
        <v>98</v>
      </c>
      <c r="G36" s="8">
        <v>0</v>
      </c>
      <c r="H36" s="9">
        <v>10</v>
      </c>
      <c r="I36" s="7">
        <f t="shared" si="1"/>
        <v>0</v>
      </c>
    </row>
    <row r="37" spans="2:9" ht="18" customHeight="1" thickBot="1" x14ac:dyDescent="0.25">
      <c r="B37" s="71"/>
      <c r="C37" s="12" t="s">
        <v>59</v>
      </c>
      <c r="D37" s="6" t="s">
        <v>30</v>
      </c>
      <c r="E37" s="9">
        <v>1</v>
      </c>
      <c r="F37" s="5" t="s">
        <v>98</v>
      </c>
      <c r="G37" s="8">
        <v>0</v>
      </c>
      <c r="H37" s="9">
        <v>10</v>
      </c>
      <c r="I37" s="7">
        <f t="shared" si="1"/>
        <v>0</v>
      </c>
    </row>
    <row r="38" spans="2:9" ht="18" customHeight="1" thickBot="1" x14ac:dyDescent="0.25">
      <c r="B38" s="71"/>
      <c r="C38" s="12" t="s">
        <v>60</v>
      </c>
      <c r="D38" s="6" t="s">
        <v>42</v>
      </c>
      <c r="E38" s="9">
        <v>1</v>
      </c>
      <c r="F38" s="5" t="s">
        <v>99</v>
      </c>
      <c r="G38" s="8">
        <v>0</v>
      </c>
      <c r="H38" s="9">
        <v>6000</v>
      </c>
      <c r="I38" s="10">
        <f t="shared" si="1"/>
        <v>0</v>
      </c>
    </row>
    <row r="39" spans="2:9" ht="18" customHeight="1" x14ac:dyDescent="0.2">
      <c r="B39" s="71"/>
      <c r="C39" s="12" t="s">
        <v>61</v>
      </c>
      <c r="D39" s="6" t="s">
        <v>43</v>
      </c>
      <c r="E39" s="9">
        <v>1</v>
      </c>
      <c r="F39" s="5" t="s">
        <v>100</v>
      </c>
      <c r="G39" s="8">
        <v>0</v>
      </c>
      <c r="H39" s="9">
        <v>100</v>
      </c>
      <c r="I39" s="10">
        <f t="shared" si="1"/>
        <v>0</v>
      </c>
    </row>
    <row r="40" spans="2:9" ht="21" customHeight="1" thickBot="1" x14ac:dyDescent="0.25">
      <c r="B40" s="72"/>
      <c r="C40" s="73" t="s">
        <v>38</v>
      </c>
      <c r="D40" s="73"/>
      <c r="E40" s="73"/>
      <c r="F40" s="73"/>
      <c r="G40" s="73"/>
      <c r="H40" s="73"/>
      <c r="I40" s="24">
        <f>SUM(I26:I39)</f>
        <v>0</v>
      </c>
    </row>
    <row r="41" spans="2:9" ht="21" customHeight="1" thickBot="1" x14ac:dyDescent="0.25">
      <c r="B41" s="28"/>
      <c r="C41" s="66" t="s">
        <v>124</v>
      </c>
      <c r="D41" s="67"/>
      <c r="E41" s="67"/>
      <c r="F41" s="67"/>
      <c r="G41" s="67"/>
      <c r="H41" s="67"/>
      <c r="I41" s="68"/>
    </row>
    <row r="42" spans="2:9" ht="18" customHeight="1" thickBot="1" x14ac:dyDescent="0.25">
      <c r="B42" s="70" t="s">
        <v>16</v>
      </c>
      <c r="C42" s="12" t="s">
        <v>17</v>
      </c>
      <c r="D42" s="13" t="s">
        <v>31</v>
      </c>
      <c r="E42" s="14">
        <v>1</v>
      </c>
      <c r="F42" s="15" t="s">
        <v>96</v>
      </c>
      <c r="G42" s="16">
        <v>0</v>
      </c>
      <c r="H42" s="14">
        <v>200</v>
      </c>
      <c r="I42" s="17">
        <f t="shared" ref="I42:I55" si="2">G42*E42*H42</f>
        <v>0</v>
      </c>
    </row>
    <row r="43" spans="2:9" ht="18" customHeight="1" thickBot="1" x14ac:dyDescent="0.25">
      <c r="B43" s="71"/>
      <c r="C43" s="12" t="s">
        <v>18</v>
      </c>
      <c r="D43" s="6" t="s">
        <v>32</v>
      </c>
      <c r="E43" s="9">
        <v>1</v>
      </c>
      <c r="F43" s="5" t="s">
        <v>96</v>
      </c>
      <c r="G43" s="8">
        <v>0</v>
      </c>
      <c r="H43" s="9">
        <v>20</v>
      </c>
      <c r="I43" s="10">
        <f t="shared" si="2"/>
        <v>0</v>
      </c>
    </row>
    <row r="44" spans="2:9" ht="18" customHeight="1" thickBot="1" x14ac:dyDescent="0.25">
      <c r="B44" s="71"/>
      <c r="C44" s="12" t="s">
        <v>19</v>
      </c>
      <c r="D44" s="6" t="s">
        <v>25</v>
      </c>
      <c r="E44" s="9">
        <v>1</v>
      </c>
      <c r="F44" s="5" t="s">
        <v>96</v>
      </c>
      <c r="G44" s="8">
        <v>0</v>
      </c>
      <c r="H44" s="9">
        <v>10</v>
      </c>
      <c r="I44" s="7">
        <f t="shared" si="2"/>
        <v>0</v>
      </c>
    </row>
    <row r="45" spans="2:9" ht="18" customHeight="1" thickBot="1" x14ac:dyDescent="0.25">
      <c r="B45" s="71"/>
      <c r="C45" s="12" t="s">
        <v>20</v>
      </c>
      <c r="D45" s="6" t="s">
        <v>26</v>
      </c>
      <c r="E45" s="9">
        <v>1</v>
      </c>
      <c r="F45" s="5" t="s">
        <v>96</v>
      </c>
      <c r="G45" s="8">
        <v>0</v>
      </c>
      <c r="H45" s="9">
        <v>10</v>
      </c>
      <c r="I45" s="7">
        <f t="shared" si="2"/>
        <v>0</v>
      </c>
    </row>
    <row r="46" spans="2:9" ht="18" customHeight="1" thickBot="1" x14ac:dyDescent="0.25">
      <c r="B46" s="71"/>
      <c r="C46" s="12" t="s">
        <v>40</v>
      </c>
      <c r="D46" s="6" t="s">
        <v>33</v>
      </c>
      <c r="E46" s="9">
        <v>1</v>
      </c>
      <c r="F46" s="5" t="s">
        <v>97</v>
      </c>
      <c r="G46" s="8">
        <v>0</v>
      </c>
      <c r="H46" s="9">
        <v>200</v>
      </c>
      <c r="I46" s="10">
        <f t="shared" si="2"/>
        <v>0</v>
      </c>
    </row>
    <row r="47" spans="2:9" ht="18" customHeight="1" thickBot="1" x14ac:dyDescent="0.25">
      <c r="B47" s="71"/>
      <c r="C47" s="12" t="s">
        <v>62</v>
      </c>
      <c r="D47" s="6" t="s">
        <v>34</v>
      </c>
      <c r="E47" s="9">
        <v>1</v>
      </c>
      <c r="F47" s="5" t="s">
        <v>97</v>
      </c>
      <c r="G47" s="8">
        <v>0</v>
      </c>
      <c r="H47" s="9">
        <v>20</v>
      </c>
      <c r="I47" s="10">
        <f t="shared" si="2"/>
        <v>0</v>
      </c>
    </row>
    <row r="48" spans="2:9" ht="18" customHeight="1" thickBot="1" x14ac:dyDescent="0.25">
      <c r="B48" s="71"/>
      <c r="C48" s="12" t="s">
        <v>63</v>
      </c>
      <c r="D48" s="6" t="s">
        <v>27</v>
      </c>
      <c r="E48" s="9">
        <v>1</v>
      </c>
      <c r="F48" s="5" t="s">
        <v>97</v>
      </c>
      <c r="G48" s="8">
        <v>0</v>
      </c>
      <c r="H48" s="9">
        <v>10</v>
      </c>
      <c r="I48" s="7">
        <f t="shared" si="2"/>
        <v>0</v>
      </c>
    </row>
    <row r="49" spans="2:9" ht="18" customHeight="1" thickBot="1" x14ac:dyDescent="0.25">
      <c r="B49" s="71"/>
      <c r="C49" s="12" t="s">
        <v>64</v>
      </c>
      <c r="D49" s="6" t="s">
        <v>28</v>
      </c>
      <c r="E49" s="9">
        <v>1</v>
      </c>
      <c r="F49" s="5" t="s">
        <v>97</v>
      </c>
      <c r="G49" s="8">
        <v>0</v>
      </c>
      <c r="H49" s="9">
        <v>10</v>
      </c>
      <c r="I49" s="7">
        <f t="shared" si="2"/>
        <v>0</v>
      </c>
    </row>
    <row r="50" spans="2:9" ht="18" customHeight="1" thickBot="1" x14ac:dyDescent="0.25">
      <c r="B50" s="71"/>
      <c r="C50" s="12" t="s">
        <v>65</v>
      </c>
      <c r="D50" s="6" t="s">
        <v>35</v>
      </c>
      <c r="E50" s="9">
        <v>1</v>
      </c>
      <c r="F50" s="5" t="s">
        <v>98</v>
      </c>
      <c r="G50" s="8">
        <v>0</v>
      </c>
      <c r="H50" s="9">
        <v>100</v>
      </c>
      <c r="I50" s="10">
        <f t="shared" si="2"/>
        <v>0</v>
      </c>
    </row>
    <row r="51" spans="2:9" ht="18" customHeight="1" thickBot="1" x14ac:dyDescent="0.25">
      <c r="B51" s="71"/>
      <c r="C51" s="12" t="s">
        <v>66</v>
      </c>
      <c r="D51" s="6" t="s">
        <v>36</v>
      </c>
      <c r="E51" s="9">
        <v>1</v>
      </c>
      <c r="F51" s="5" t="s">
        <v>98</v>
      </c>
      <c r="G51" s="8">
        <v>0</v>
      </c>
      <c r="H51" s="9">
        <v>20</v>
      </c>
      <c r="I51" s="10">
        <f t="shared" si="2"/>
        <v>0</v>
      </c>
    </row>
    <row r="52" spans="2:9" ht="18" customHeight="1" thickBot="1" x14ac:dyDescent="0.25">
      <c r="B52" s="71"/>
      <c r="C52" s="12" t="s">
        <v>67</v>
      </c>
      <c r="D52" s="6" t="s">
        <v>29</v>
      </c>
      <c r="E52" s="9">
        <v>1</v>
      </c>
      <c r="F52" s="5" t="s">
        <v>98</v>
      </c>
      <c r="G52" s="8">
        <v>0</v>
      </c>
      <c r="H52" s="9">
        <v>10</v>
      </c>
      <c r="I52" s="7">
        <f t="shared" si="2"/>
        <v>0</v>
      </c>
    </row>
    <row r="53" spans="2:9" ht="18" customHeight="1" thickBot="1" x14ac:dyDescent="0.25">
      <c r="B53" s="71"/>
      <c r="C53" s="12" t="s">
        <v>68</v>
      </c>
      <c r="D53" s="6" t="s">
        <v>30</v>
      </c>
      <c r="E53" s="9">
        <v>1</v>
      </c>
      <c r="F53" s="5" t="s">
        <v>98</v>
      </c>
      <c r="G53" s="8">
        <v>0</v>
      </c>
      <c r="H53" s="9">
        <v>10</v>
      </c>
      <c r="I53" s="7">
        <f t="shared" si="2"/>
        <v>0</v>
      </c>
    </row>
    <row r="54" spans="2:9" ht="18" customHeight="1" thickBot="1" x14ac:dyDescent="0.25">
      <c r="B54" s="71"/>
      <c r="C54" s="12" t="s">
        <v>69</v>
      </c>
      <c r="D54" s="6" t="s">
        <v>42</v>
      </c>
      <c r="E54" s="9">
        <v>1</v>
      </c>
      <c r="F54" s="5" t="s">
        <v>99</v>
      </c>
      <c r="G54" s="8">
        <v>0</v>
      </c>
      <c r="H54" s="9">
        <v>6000</v>
      </c>
      <c r="I54" s="10">
        <f t="shared" si="2"/>
        <v>0</v>
      </c>
    </row>
    <row r="55" spans="2:9" ht="18" customHeight="1" x14ac:dyDescent="0.2">
      <c r="B55" s="71"/>
      <c r="C55" s="12" t="s">
        <v>70</v>
      </c>
      <c r="D55" s="6" t="s">
        <v>43</v>
      </c>
      <c r="E55" s="9">
        <v>1</v>
      </c>
      <c r="F55" s="5" t="s">
        <v>100</v>
      </c>
      <c r="G55" s="8">
        <v>0</v>
      </c>
      <c r="H55" s="9">
        <v>100</v>
      </c>
      <c r="I55" s="10">
        <f t="shared" si="2"/>
        <v>0</v>
      </c>
    </row>
    <row r="56" spans="2:9" ht="21" customHeight="1" thickBot="1" x14ac:dyDescent="0.25">
      <c r="B56" s="72"/>
      <c r="C56" s="73" t="s">
        <v>38</v>
      </c>
      <c r="D56" s="73"/>
      <c r="E56" s="73"/>
      <c r="F56" s="73"/>
      <c r="G56" s="73"/>
      <c r="H56" s="73"/>
      <c r="I56" s="24">
        <f>SUM(I42:I55)</f>
        <v>0</v>
      </c>
    </row>
    <row r="57" spans="2:9" ht="21" customHeight="1" thickBot="1" x14ac:dyDescent="0.25">
      <c r="B57" s="28"/>
      <c r="C57" s="66" t="s">
        <v>127</v>
      </c>
      <c r="D57" s="67"/>
      <c r="E57" s="67"/>
      <c r="F57" s="67"/>
      <c r="G57" s="67"/>
      <c r="H57" s="67"/>
      <c r="I57" s="68"/>
    </row>
    <row r="58" spans="2:9" ht="18" customHeight="1" thickBot="1" x14ac:dyDescent="0.25">
      <c r="B58" s="70" t="s">
        <v>128</v>
      </c>
      <c r="C58" s="12" t="s">
        <v>21</v>
      </c>
      <c r="D58" s="13" t="s">
        <v>31</v>
      </c>
      <c r="E58" s="14">
        <v>1</v>
      </c>
      <c r="F58" s="15" t="s">
        <v>96</v>
      </c>
      <c r="G58" s="16">
        <v>0</v>
      </c>
      <c r="H58" s="14">
        <v>200</v>
      </c>
      <c r="I58" s="17">
        <f t="shared" ref="I58:I71" si="3">G58*E58*H58</f>
        <v>0</v>
      </c>
    </row>
    <row r="59" spans="2:9" ht="18" customHeight="1" thickBot="1" x14ac:dyDescent="0.25">
      <c r="B59" s="71"/>
      <c r="C59" s="12" t="s">
        <v>22</v>
      </c>
      <c r="D59" s="6" t="s">
        <v>32</v>
      </c>
      <c r="E59" s="9">
        <v>1</v>
      </c>
      <c r="F59" s="5" t="s">
        <v>96</v>
      </c>
      <c r="G59" s="8">
        <v>0</v>
      </c>
      <c r="H59" s="9">
        <v>20</v>
      </c>
      <c r="I59" s="10">
        <f t="shared" si="3"/>
        <v>0</v>
      </c>
    </row>
    <row r="60" spans="2:9" ht="18" customHeight="1" thickBot="1" x14ac:dyDescent="0.25">
      <c r="B60" s="71"/>
      <c r="C60" s="12" t="s">
        <v>23</v>
      </c>
      <c r="D60" s="6" t="s">
        <v>25</v>
      </c>
      <c r="E60" s="9">
        <v>1</v>
      </c>
      <c r="F60" s="5" t="s">
        <v>96</v>
      </c>
      <c r="G60" s="8">
        <v>0</v>
      </c>
      <c r="H60" s="9">
        <v>10</v>
      </c>
      <c r="I60" s="7">
        <f t="shared" si="3"/>
        <v>0</v>
      </c>
    </row>
    <row r="61" spans="2:9" ht="18" customHeight="1" thickBot="1" x14ac:dyDescent="0.25">
      <c r="B61" s="71"/>
      <c r="C61" s="12" t="s">
        <v>24</v>
      </c>
      <c r="D61" s="6" t="s">
        <v>26</v>
      </c>
      <c r="E61" s="9">
        <v>1</v>
      </c>
      <c r="F61" s="5" t="s">
        <v>96</v>
      </c>
      <c r="G61" s="8">
        <v>0</v>
      </c>
      <c r="H61" s="9">
        <v>10</v>
      </c>
      <c r="I61" s="7">
        <f t="shared" si="3"/>
        <v>0</v>
      </c>
    </row>
    <row r="62" spans="2:9" ht="18" customHeight="1" thickBot="1" x14ac:dyDescent="0.25">
      <c r="B62" s="71"/>
      <c r="C62" s="12" t="s">
        <v>41</v>
      </c>
      <c r="D62" s="6" t="s">
        <v>33</v>
      </c>
      <c r="E62" s="9">
        <v>1</v>
      </c>
      <c r="F62" s="5" t="s">
        <v>97</v>
      </c>
      <c r="G62" s="8">
        <v>0</v>
      </c>
      <c r="H62" s="9">
        <v>200</v>
      </c>
      <c r="I62" s="10">
        <f t="shared" si="3"/>
        <v>0</v>
      </c>
    </row>
    <row r="63" spans="2:9" ht="18" customHeight="1" thickBot="1" x14ac:dyDescent="0.25">
      <c r="B63" s="71"/>
      <c r="C63" s="12" t="s">
        <v>71</v>
      </c>
      <c r="D63" s="6" t="s">
        <v>34</v>
      </c>
      <c r="E63" s="9">
        <v>1</v>
      </c>
      <c r="F63" s="5" t="s">
        <v>97</v>
      </c>
      <c r="G63" s="8">
        <v>0</v>
      </c>
      <c r="H63" s="9">
        <v>20</v>
      </c>
      <c r="I63" s="10">
        <f t="shared" si="3"/>
        <v>0</v>
      </c>
    </row>
    <row r="64" spans="2:9" ht="18" customHeight="1" thickBot="1" x14ac:dyDescent="0.25">
      <c r="B64" s="71"/>
      <c r="C64" s="12" t="s">
        <v>72</v>
      </c>
      <c r="D64" s="6" t="s">
        <v>27</v>
      </c>
      <c r="E64" s="9">
        <v>1</v>
      </c>
      <c r="F64" s="5" t="s">
        <v>97</v>
      </c>
      <c r="G64" s="8">
        <v>0</v>
      </c>
      <c r="H64" s="9">
        <v>10</v>
      </c>
      <c r="I64" s="7">
        <f t="shared" si="3"/>
        <v>0</v>
      </c>
    </row>
    <row r="65" spans="2:11" ht="18" customHeight="1" thickBot="1" x14ac:dyDescent="0.25">
      <c r="B65" s="71"/>
      <c r="C65" s="12" t="s">
        <v>73</v>
      </c>
      <c r="D65" s="6" t="s">
        <v>28</v>
      </c>
      <c r="E65" s="9">
        <v>1</v>
      </c>
      <c r="F65" s="5" t="s">
        <v>97</v>
      </c>
      <c r="G65" s="8">
        <v>0</v>
      </c>
      <c r="H65" s="9">
        <v>10</v>
      </c>
      <c r="I65" s="7">
        <f t="shared" si="3"/>
        <v>0</v>
      </c>
    </row>
    <row r="66" spans="2:11" ht="18" customHeight="1" thickBot="1" x14ac:dyDescent="0.25">
      <c r="B66" s="71"/>
      <c r="C66" s="12" t="s">
        <v>74</v>
      </c>
      <c r="D66" s="6" t="s">
        <v>35</v>
      </c>
      <c r="E66" s="9">
        <v>1</v>
      </c>
      <c r="F66" s="5" t="s">
        <v>98</v>
      </c>
      <c r="G66" s="8">
        <v>0</v>
      </c>
      <c r="H66" s="9">
        <v>100</v>
      </c>
      <c r="I66" s="10">
        <f t="shared" si="3"/>
        <v>0</v>
      </c>
    </row>
    <row r="67" spans="2:11" ht="18" customHeight="1" thickBot="1" x14ac:dyDescent="0.25">
      <c r="B67" s="71"/>
      <c r="C67" s="12" t="s">
        <v>75</v>
      </c>
      <c r="D67" s="6" t="s">
        <v>36</v>
      </c>
      <c r="E67" s="9">
        <v>1</v>
      </c>
      <c r="F67" s="5" t="s">
        <v>98</v>
      </c>
      <c r="G67" s="8">
        <v>0</v>
      </c>
      <c r="H67" s="9">
        <v>20</v>
      </c>
      <c r="I67" s="10">
        <f t="shared" si="3"/>
        <v>0</v>
      </c>
    </row>
    <row r="68" spans="2:11" ht="18" customHeight="1" thickBot="1" x14ac:dyDescent="0.25">
      <c r="B68" s="71"/>
      <c r="C68" s="12" t="s">
        <v>76</v>
      </c>
      <c r="D68" s="6" t="s">
        <v>29</v>
      </c>
      <c r="E68" s="9">
        <v>1</v>
      </c>
      <c r="F68" s="5" t="s">
        <v>98</v>
      </c>
      <c r="G68" s="8">
        <v>0</v>
      </c>
      <c r="H68" s="9">
        <v>10</v>
      </c>
      <c r="I68" s="7">
        <f t="shared" si="3"/>
        <v>0</v>
      </c>
    </row>
    <row r="69" spans="2:11" ht="18" customHeight="1" thickBot="1" x14ac:dyDescent="0.25">
      <c r="B69" s="71"/>
      <c r="C69" s="12" t="s">
        <v>77</v>
      </c>
      <c r="D69" s="6" t="s">
        <v>30</v>
      </c>
      <c r="E69" s="9">
        <v>1</v>
      </c>
      <c r="F69" s="5" t="s">
        <v>98</v>
      </c>
      <c r="G69" s="8">
        <v>0</v>
      </c>
      <c r="H69" s="9">
        <v>10</v>
      </c>
      <c r="I69" s="7">
        <f t="shared" si="3"/>
        <v>0</v>
      </c>
    </row>
    <row r="70" spans="2:11" ht="18" customHeight="1" thickBot="1" x14ac:dyDescent="0.25">
      <c r="B70" s="71"/>
      <c r="C70" s="12" t="s">
        <v>78</v>
      </c>
      <c r="D70" s="6" t="s">
        <v>42</v>
      </c>
      <c r="E70" s="9">
        <v>1</v>
      </c>
      <c r="F70" s="5" t="s">
        <v>99</v>
      </c>
      <c r="G70" s="8">
        <v>0</v>
      </c>
      <c r="H70" s="9">
        <v>6000</v>
      </c>
      <c r="I70" s="10">
        <f t="shared" si="3"/>
        <v>0</v>
      </c>
    </row>
    <row r="71" spans="2:11" ht="18" customHeight="1" x14ac:dyDescent="0.2">
      <c r="B71" s="71"/>
      <c r="C71" s="12" t="s">
        <v>79</v>
      </c>
      <c r="D71" s="6" t="s">
        <v>43</v>
      </c>
      <c r="E71" s="9">
        <v>1</v>
      </c>
      <c r="F71" s="5" t="s">
        <v>100</v>
      </c>
      <c r="G71" s="8">
        <v>0</v>
      </c>
      <c r="H71" s="9">
        <v>100</v>
      </c>
      <c r="I71" s="10">
        <f t="shared" si="3"/>
        <v>0</v>
      </c>
    </row>
    <row r="72" spans="2:11" ht="21" customHeight="1" thickBot="1" x14ac:dyDescent="0.25">
      <c r="B72" s="72"/>
      <c r="C72" s="73" t="s">
        <v>38</v>
      </c>
      <c r="D72" s="73"/>
      <c r="E72" s="73"/>
      <c r="F72" s="73"/>
      <c r="G72" s="73"/>
      <c r="H72" s="73"/>
      <c r="I72" s="24">
        <f>SUM(I58:I71)</f>
        <v>0</v>
      </c>
    </row>
    <row r="73" spans="2:11" ht="50.1" customHeight="1" thickBot="1" x14ac:dyDescent="0.25">
      <c r="B73" s="78" t="s">
        <v>118</v>
      </c>
      <c r="C73" s="79"/>
      <c r="D73" s="79"/>
      <c r="E73" s="79"/>
      <c r="F73" s="79"/>
      <c r="G73" s="79"/>
      <c r="H73" s="79"/>
      <c r="I73" s="80"/>
    </row>
    <row r="74" spans="2:11" ht="21" customHeight="1" thickBot="1" x14ac:dyDescent="0.25">
      <c r="I74" s="25">
        <f>I24+I40+I56+I72</f>
        <v>0</v>
      </c>
    </row>
    <row r="75" spans="2:11" ht="12" customHeight="1" x14ac:dyDescent="0.2">
      <c r="I75" s="21"/>
    </row>
    <row r="76" spans="2:11" x14ac:dyDescent="0.2">
      <c r="K76" s="27"/>
    </row>
  </sheetData>
  <mergeCells count="37">
    <mergeCell ref="U8:AA8"/>
    <mergeCell ref="U9:AA12"/>
    <mergeCell ref="K22:S22"/>
    <mergeCell ref="K23:S23"/>
    <mergeCell ref="K18:S18"/>
    <mergeCell ref="K19:S19"/>
    <mergeCell ref="K20:S20"/>
    <mergeCell ref="K21:S21"/>
    <mergeCell ref="K14:S14"/>
    <mergeCell ref="K8:S8"/>
    <mergeCell ref="K9:S9"/>
    <mergeCell ref="K11:S11"/>
    <mergeCell ref="K12:S12"/>
    <mergeCell ref="K13:S13"/>
    <mergeCell ref="B73:I73"/>
    <mergeCell ref="B26:B40"/>
    <mergeCell ref="C40:H40"/>
    <mergeCell ref="B42:B56"/>
    <mergeCell ref="C56:H56"/>
    <mergeCell ref="B58:B72"/>
    <mergeCell ref="C72:H72"/>
    <mergeCell ref="C25:I25"/>
    <mergeCell ref="C41:I41"/>
    <mergeCell ref="C57:I57"/>
    <mergeCell ref="K10:S10"/>
    <mergeCell ref="C1:I1"/>
    <mergeCell ref="B2:I2"/>
    <mergeCell ref="B4:I4"/>
    <mergeCell ref="B9:B24"/>
    <mergeCell ref="C24:H24"/>
    <mergeCell ref="B3:I3"/>
    <mergeCell ref="B6:I6"/>
    <mergeCell ref="B5:I5"/>
    <mergeCell ref="C9:I9"/>
    <mergeCell ref="K15:S15"/>
    <mergeCell ref="K16:S16"/>
    <mergeCell ref="K17:S17"/>
  </mergeCells>
  <phoneticPr fontId="9" type="noConversion"/>
  <pageMargins left="0.7" right="0.7" top="0.75" bottom="0.75" header="0.3" footer="0.3"/>
  <pageSetup scale="29" fitToHeight="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Summary</vt:lpstr>
      <vt:lpstr>Price List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Lamboy Santana, Veronica Ms CIV USA ACC RCO-AK</dc:creator>
  <cp:lastModifiedBy>Aguilar, Michelle I CIV USARMY 413 CONTR SPT BDE (USA)</cp:lastModifiedBy>
  <cp:lastPrinted>2022-07-15T17:55:36Z</cp:lastPrinted>
  <dcterms:created xsi:type="dcterms:W3CDTF">2022-02-14T21:21:24Z</dcterms:created>
  <dcterms:modified xsi:type="dcterms:W3CDTF">2026-04-02T18:49:58Z</dcterms:modified>
</cp:coreProperties>
</file>