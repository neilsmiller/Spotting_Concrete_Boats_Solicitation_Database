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jonathan_d_larsen2_mil_army_mil/Documents/Desktop/Contracts/New Latrine/"/>
    </mc:Choice>
  </mc:AlternateContent>
  <xr:revisionPtr revIDLastSave="2" documentId="8_{BB805F29-5D9E-49F7-BC5A-684EE6354A01}" xr6:coauthVersionLast="47" xr6:coauthVersionMax="47" xr10:uidLastSave="{2F85EDBE-BDE1-4EB9-A6ED-1040EDBA067F}"/>
  <bookViews>
    <workbookView xWindow="30840" yWindow="705" windowWidth="25230" windowHeight="14160" xr2:uid="{17AF1B64-17EA-4B61-B234-0BA146F4FE06}"/>
  </bookViews>
  <sheets>
    <sheet name="MN Latrine and Grey Pric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" i="1" l="1"/>
  <c r="Q17" i="1"/>
  <c r="Q18" i="1"/>
  <c r="Q19" i="1"/>
  <c r="N16" i="1"/>
  <c r="N17" i="1"/>
  <c r="N18" i="1"/>
  <c r="N19" i="1"/>
  <c r="K16" i="1"/>
  <c r="K17" i="1"/>
  <c r="K18" i="1"/>
  <c r="K19" i="1"/>
  <c r="H16" i="1"/>
  <c r="H17" i="1"/>
  <c r="H18" i="1"/>
  <c r="H19" i="1"/>
  <c r="E16" i="1"/>
  <c r="E17" i="1"/>
  <c r="E18" i="1"/>
  <c r="E19" i="1"/>
  <c r="K4" i="1"/>
  <c r="Q20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N20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K20" i="1"/>
  <c r="K15" i="1"/>
  <c r="K14" i="1"/>
  <c r="K13" i="1"/>
  <c r="K12" i="1"/>
  <c r="K11" i="1"/>
  <c r="K10" i="1"/>
  <c r="K9" i="1"/>
  <c r="K8" i="1"/>
  <c r="K7" i="1"/>
  <c r="K6" i="1"/>
  <c r="K5" i="1"/>
  <c r="K3" i="1"/>
  <c r="H20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E4" i="1"/>
  <c r="E5" i="1"/>
  <c r="E6" i="1"/>
  <c r="E7" i="1"/>
  <c r="E8" i="1"/>
  <c r="E9" i="1"/>
  <c r="E10" i="1"/>
  <c r="E11" i="1"/>
  <c r="E12" i="1"/>
  <c r="E13" i="1"/>
  <c r="E14" i="1"/>
  <c r="E15" i="1"/>
  <c r="E20" i="1"/>
  <c r="E3" i="1"/>
  <c r="K21" i="1" l="1"/>
  <c r="E21" i="1"/>
  <c r="N21" i="1"/>
  <c r="Q21" i="1"/>
  <c r="H21" i="1"/>
</calcChain>
</file>

<file path=xl/sharedStrings.xml><?xml version="1.0" encoding="utf-8"?>
<sst xmlns="http://schemas.openxmlformats.org/spreadsheetml/2006/main" count="41" uniqueCount="41">
  <si>
    <t>ITEM</t>
  </si>
  <si>
    <t>NAME</t>
  </si>
  <si>
    <t>Grey Water Rental Tank 1000 Gal</t>
  </si>
  <si>
    <t>Grey Water Rental Tank 300 Gal</t>
  </si>
  <si>
    <t>ANNUAL ESTIMATED QUANTITY 2027</t>
  </si>
  <si>
    <t>Totals:</t>
  </si>
  <si>
    <t>Total CLIN 0001 Price 2026 (Base)</t>
  </si>
  <si>
    <t>Contractor Price 2026 (Base)</t>
  </si>
  <si>
    <t>Contractor Price 2027 (Ordering Period 1)</t>
  </si>
  <si>
    <t>Total CLIN 1001 Price 2027 (Ordering Period 1)</t>
  </si>
  <si>
    <t>ANNUAL ESTIMATED QUANTITY 2028</t>
  </si>
  <si>
    <t>Contractor Price 2028 (Ordering Period 2)</t>
  </si>
  <si>
    <t>Total CLIN 2001 Price 2028 (Ordering period 2)</t>
  </si>
  <si>
    <t>ANNUAL ESTIMATED QUANTITY 2029</t>
  </si>
  <si>
    <t>Contractor Price 2029 (Ordering Period 3)</t>
  </si>
  <si>
    <t>Total CLIN 3001 Price 2029 (Ordering Period 3)</t>
  </si>
  <si>
    <t>ANNUAL ESTIMATED QUANTITY 2030</t>
  </si>
  <si>
    <t>Contractor Price 2030 (Ordering Period 4)</t>
  </si>
  <si>
    <t>Total CLIN Price 2030 (Ordering Period 4)</t>
  </si>
  <si>
    <t>Greywater Pumping Service</t>
  </si>
  <si>
    <t>CRTC – Clean and Move</t>
  </si>
  <si>
    <t>CRTC – Winter Service in Place</t>
  </si>
  <si>
    <t>CRTC – Summer Service in Place</t>
  </si>
  <si>
    <t>CRTC – Winter Delivery and Pickup</t>
  </si>
  <si>
    <t>CRTC – Summer Delivery and Pickup</t>
  </si>
  <si>
    <t>Arden Hills – Clean and Move</t>
  </si>
  <si>
    <t>Arden Hills – Winter Service in Place</t>
  </si>
  <si>
    <t>Arden Hills – Summer Service in Place</t>
  </si>
  <si>
    <t>Arden Hills – Winter Delivery and Pickup</t>
  </si>
  <si>
    <t>Arden Hills - Summer Delivery and Pickup</t>
  </si>
  <si>
    <t>Hand Sanitizer - Both Locations</t>
  </si>
  <si>
    <t>ADA Latrine Clean and Move</t>
  </si>
  <si>
    <t>ADA Latrine Winter Service in Place</t>
  </si>
  <si>
    <t>ADA Latrine Summer Service in Place</t>
  </si>
  <si>
    <t>ADA Latrine Delivery and Pickup</t>
  </si>
  <si>
    <t>ANNUAL ESTIMATED 
QUANTITY 2026 (Base)</t>
  </si>
  <si>
    <t>CLIN 0001 Price -2026 Base:</t>
  </si>
  <si>
    <t>CLIN 1001 Price - 2027 Ordering Period 1:</t>
  </si>
  <si>
    <t>CLIN 2001 Price - 2028 Ordering Period 2:</t>
  </si>
  <si>
    <t>CLIN 3001 Price - 2029 Ordering Period 3</t>
  </si>
  <si>
    <t>CLIN 4001 Price - 2030 Ordering Period 4: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</si>
</sst>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44" fontId="5" fillId="2" borderId="4" xfId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44" fontId="5" fillId="3" borderId="4" xfId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44" fontId="5" fillId="4" borderId="4" xfId="1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44" fontId="5" fillId="5" borderId="4" xfId="1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44" fontId="5" fillId="6" borderId="4" xfId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0" xfId="0" applyFont="1"/>
    <xf numFmtId="0" fontId="5" fillId="0" borderId="1" xfId="0" applyFont="1" applyBorder="1" applyAlignment="1">
      <alignment horizontal="left" vertical="center"/>
    </xf>
    <xf numFmtId="44" fontId="6" fillId="6" borderId="2" xfId="0" applyNumberFormat="1" applyFont="1" applyFill="1" applyBorder="1" applyAlignment="1">
      <alignment vertical="center"/>
    </xf>
    <xf numFmtId="44" fontId="6" fillId="5" borderId="2" xfId="0" applyNumberFormat="1" applyFont="1" applyFill="1" applyBorder="1" applyAlignment="1">
      <alignment vertical="center"/>
    </xf>
    <xf numFmtId="44" fontId="6" fillId="4" borderId="2" xfId="0" applyNumberFormat="1" applyFont="1" applyFill="1" applyBorder="1" applyAlignment="1">
      <alignment vertical="center"/>
    </xf>
    <xf numFmtId="44" fontId="6" fillId="3" borderId="2" xfId="0" applyNumberFormat="1" applyFont="1" applyFill="1" applyBorder="1" applyAlignment="1">
      <alignment vertical="center"/>
    </xf>
    <xf numFmtId="0" fontId="6" fillId="0" borderId="0" xfId="0" applyFont="1" applyAlignment="1">
      <alignment horizontal="right" vertical="center"/>
    </xf>
    <xf numFmtId="44" fontId="6" fillId="2" borderId="2" xfId="0" applyNumberFormat="1" applyFont="1" applyFill="1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44" fontId="8" fillId="0" borderId="0" xfId="0" applyNumberFormat="1" applyFont="1" applyAlignment="1">
      <alignment horizontal="center" vertical="center"/>
    </xf>
    <xf numFmtId="0" fontId="6" fillId="2" borderId="5" xfId="0" applyFont="1" applyFill="1" applyBorder="1" applyAlignment="1">
      <alignment horizontal="right" vertical="center" wrapText="1"/>
    </xf>
    <xf numFmtId="0" fontId="6" fillId="2" borderId="6" xfId="0" applyFont="1" applyFill="1" applyBorder="1" applyAlignment="1">
      <alignment horizontal="right" vertical="center"/>
    </xf>
    <xf numFmtId="0" fontId="6" fillId="6" borderId="5" xfId="0" applyFont="1" applyFill="1" applyBorder="1" applyAlignment="1">
      <alignment horizontal="right" vertical="center"/>
    </xf>
    <xf numFmtId="0" fontId="6" fillId="6" borderId="6" xfId="0" applyFont="1" applyFill="1" applyBorder="1" applyAlignment="1">
      <alignment horizontal="right" vertical="center"/>
    </xf>
    <xf numFmtId="0" fontId="7" fillId="5" borderId="5" xfId="0" applyFont="1" applyFill="1" applyBorder="1" applyAlignment="1">
      <alignment horizontal="left" vertical="center" wrapText="1"/>
    </xf>
    <xf numFmtId="0" fontId="7" fillId="5" borderId="6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right" vertical="center"/>
    </xf>
    <xf numFmtId="0" fontId="7" fillId="4" borderId="6" xfId="0" applyFont="1" applyFill="1" applyBorder="1" applyAlignment="1">
      <alignment horizontal="right" vertical="center"/>
    </xf>
    <xf numFmtId="0" fontId="6" fillId="3" borderId="5" xfId="0" applyFont="1" applyFill="1" applyBorder="1" applyAlignment="1">
      <alignment horizontal="right" vertical="center"/>
    </xf>
    <xf numFmtId="0" fontId="6" fillId="3" borderId="6" xfId="0" applyFont="1" applyFill="1" applyBorder="1" applyAlignment="1">
      <alignment horizontal="righ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77315-FEA7-457A-AE64-0ED5EC6DA44C}">
  <dimension ref="A1:Q24"/>
  <sheetViews>
    <sheetView tabSelected="1" zoomScaleNormal="100" workbookViewId="0">
      <pane xSplit="2" topLeftCell="C1" activePane="topRight" state="frozen"/>
      <selection pane="topRight" activeCell="C13" sqref="C13"/>
    </sheetView>
  </sheetViews>
  <sheetFormatPr defaultColWidth="39.5703125" defaultRowHeight="11.25" x14ac:dyDescent="0.2"/>
  <cols>
    <col min="1" max="1" width="5.42578125" style="1" customWidth="1"/>
    <col min="2" max="2" width="22.5703125" style="1" customWidth="1"/>
    <col min="3" max="17" width="15.7109375" style="1" customWidth="1"/>
    <col min="18" max="16384" width="39.5703125" style="1"/>
  </cols>
  <sheetData>
    <row r="1" spans="1:17" ht="3" customHeight="1" thickBot="1" x14ac:dyDescent="0.25"/>
    <row r="2" spans="1:17" ht="35.25" customHeight="1" thickBot="1" x14ac:dyDescent="0.25">
      <c r="A2" s="2" t="s">
        <v>0</v>
      </c>
      <c r="B2" s="3" t="s">
        <v>1</v>
      </c>
      <c r="C2" s="4" t="s">
        <v>35</v>
      </c>
      <c r="D2" s="4" t="s">
        <v>7</v>
      </c>
      <c r="E2" s="4" t="s">
        <v>6</v>
      </c>
      <c r="F2" s="5" t="s">
        <v>4</v>
      </c>
      <c r="G2" s="5" t="s">
        <v>8</v>
      </c>
      <c r="H2" s="5" t="s">
        <v>9</v>
      </c>
      <c r="I2" s="6" t="s">
        <v>10</v>
      </c>
      <c r="J2" s="6" t="s">
        <v>11</v>
      </c>
      <c r="K2" s="6" t="s">
        <v>12</v>
      </c>
      <c r="L2" s="7" t="s">
        <v>13</v>
      </c>
      <c r="M2" s="7" t="s">
        <v>14</v>
      </c>
      <c r="N2" s="7" t="s">
        <v>15</v>
      </c>
      <c r="O2" s="8" t="s">
        <v>16</v>
      </c>
      <c r="P2" s="8" t="s">
        <v>17</v>
      </c>
      <c r="Q2" s="8" t="s">
        <v>18</v>
      </c>
    </row>
    <row r="3" spans="1:17" ht="21.95" customHeight="1" thickBot="1" x14ac:dyDescent="0.25">
      <c r="A3" s="9">
        <v>1</v>
      </c>
      <c r="B3" s="23" t="s">
        <v>19</v>
      </c>
      <c r="C3" s="11">
        <v>110</v>
      </c>
      <c r="D3" s="12">
        <v>0</v>
      </c>
      <c r="E3" s="12">
        <f>D3*C3</f>
        <v>0</v>
      </c>
      <c r="F3" s="13">
        <v>110</v>
      </c>
      <c r="G3" s="14"/>
      <c r="H3" s="14">
        <f>G3*F3</f>
        <v>0</v>
      </c>
      <c r="I3" s="15">
        <v>110</v>
      </c>
      <c r="J3" s="16"/>
      <c r="K3" s="16">
        <f>J4*I4</f>
        <v>0</v>
      </c>
      <c r="L3" s="17">
        <v>110</v>
      </c>
      <c r="M3" s="18"/>
      <c r="N3" s="18">
        <f>M3*L3</f>
        <v>0</v>
      </c>
      <c r="O3" s="19">
        <v>110</v>
      </c>
      <c r="P3" s="20"/>
      <c r="Q3" s="20">
        <f>P3*O3</f>
        <v>0</v>
      </c>
    </row>
    <row r="4" spans="1:17" ht="21.95" customHeight="1" thickBot="1" x14ac:dyDescent="0.25">
      <c r="A4" s="9">
        <v>2</v>
      </c>
      <c r="B4" s="10" t="s">
        <v>2</v>
      </c>
      <c r="C4" s="11">
        <v>5</v>
      </c>
      <c r="D4" s="12">
        <v>0</v>
      </c>
      <c r="E4" s="12">
        <f t="shared" ref="E4:E20" si="0">D4*C4</f>
        <v>0</v>
      </c>
      <c r="F4" s="13">
        <v>5</v>
      </c>
      <c r="G4" s="14"/>
      <c r="H4" s="14">
        <f t="shared" ref="H4:H20" si="1">G4*F4</f>
        <v>0</v>
      </c>
      <c r="I4" s="15">
        <v>5</v>
      </c>
      <c r="J4" s="16"/>
      <c r="K4" s="16">
        <f t="shared" ref="K4:K20" si="2">J4*I4</f>
        <v>0</v>
      </c>
      <c r="L4" s="17">
        <v>5</v>
      </c>
      <c r="M4" s="18"/>
      <c r="N4" s="18">
        <f t="shared" ref="N4:N20" si="3">M4*L4</f>
        <v>0</v>
      </c>
      <c r="O4" s="19">
        <v>5</v>
      </c>
      <c r="P4" s="20"/>
      <c r="Q4" s="20">
        <f t="shared" ref="Q4:Q20" si="4">P4*O4</f>
        <v>0</v>
      </c>
    </row>
    <row r="5" spans="1:17" ht="21.95" customHeight="1" thickBot="1" x14ac:dyDescent="0.25">
      <c r="A5" s="9">
        <v>3</v>
      </c>
      <c r="B5" s="21" t="s">
        <v>3</v>
      </c>
      <c r="C5" s="11">
        <v>5</v>
      </c>
      <c r="D5" s="12">
        <v>0</v>
      </c>
      <c r="E5" s="12">
        <f t="shared" si="0"/>
        <v>0</v>
      </c>
      <c r="F5" s="13">
        <v>5</v>
      </c>
      <c r="G5" s="14"/>
      <c r="H5" s="14">
        <f t="shared" si="1"/>
        <v>0</v>
      </c>
      <c r="I5" s="15">
        <v>5</v>
      </c>
      <c r="J5" s="16"/>
      <c r="K5" s="16">
        <f t="shared" si="2"/>
        <v>0</v>
      </c>
      <c r="L5" s="17">
        <v>5</v>
      </c>
      <c r="M5" s="18"/>
      <c r="N5" s="18">
        <f t="shared" si="3"/>
        <v>0</v>
      </c>
      <c r="O5" s="19">
        <v>5</v>
      </c>
      <c r="P5" s="20"/>
      <c r="Q5" s="20">
        <f t="shared" si="4"/>
        <v>0</v>
      </c>
    </row>
    <row r="6" spans="1:17" ht="21.95" customHeight="1" thickBot="1" x14ac:dyDescent="0.25">
      <c r="A6" s="9">
        <v>4</v>
      </c>
      <c r="B6" s="10" t="s">
        <v>20</v>
      </c>
      <c r="C6" s="11">
        <v>200</v>
      </c>
      <c r="D6" s="12">
        <v>0</v>
      </c>
      <c r="E6" s="12">
        <f t="shared" si="0"/>
        <v>0</v>
      </c>
      <c r="F6" s="13">
        <v>200</v>
      </c>
      <c r="G6" s="14"/>
      <c r="H6" s="14">
        <f t="shared" si="1"/>
        <v>0</v>
      </c>
      <c r="I6" s="15">
        <v>200</v>
      </c>
      <c r="J6" s="16"/>
      <c r="K6" s="16">
        <f t="shared" si="2"/>
        <v>0</v>
      </c>
      <c r="L6" s="17">
        <v>200</v>
      </c>
      <c r="M6" s="18"/>
      <c r="N6" s="18">
        <f t="shared" si="3"/>
        <v>0</v>
      </c>
      <c r="O6" s="19">
        <v>200</v>
      </c>
      <c r="P6" s="20"/>
      <c r="Q6" s="20">
        <f t="shared" si="4"/>
        <v>0</v>
      </c>
    </row>
    <row r="7" spans="1:17" ht="21.95" customHeight="1" thickBot="1" x14ac:dyDescent="0.25">
      <c r="A7" s="9">
        <v>5</v>
      </c>
      <c r="B7" s="10" t="s">
        <v>21</v>
      </c>
      <c r="C7" s="11">
        <v>300</v>
      </c>
      <c r="D7" s="12">
        <v>0</v>
      </c>
      <c r="E7" s="12">
        <f t="shared" si="0"/>
        <v>0</v>
      </c>
      <c r="F7" s="13">
        <v>300</v>
      </c>
      <c r="G7" s="14"/>
      <c r="H7" s="14">
        <f t="shared" si="1"/>
        <v>0</v>
      </c>
      <c r="I7" s="15">
        <v>300</v>
      </c>
      <c r="J7" s="16"/>
      <c r="K7" s="16">
        <f t="shared" si="2"/>
        <v>0</v>
      </c>
      <c r="L7" s="17">
        <v>300</v>
      </c>
      <c r="M7" s="18"/>
      <c r="N7" s="18">
        <f t="shared" si="3"/>
        <v>0</v>
      </c>
      <c r="O7" s="19">
        <v>300</v>
      </c>
      <c r="P7" s="20"/>
      <c r="Q7" s="20">
        <f t="shared" si="4"/>
        <v>0</v>
      </c>
    </row>
    <row r="8" spans="1:17" ht="21.95" customHeight="1" thickBot="1" x14ac:dyDescent="0.25">
      <c r="A8" s="9">
        <v>6</v>
      </c>
      <c r="B8" s="10" t="s">
        <v>22</v>
      </c>
      <c r="C8" s="11">
        <v>5500</v>
      </c>
      <c r="D8" s="12">
        <v>0</v>
      </c>
      <c r="E8" s="12">
        <f t="shared" si="0"/>
        <v>0</v>
      </c>
      <c r="F8" s="13">
        <v>5500</v>
      </c>
      <c r="G8" s="14"/>
      <c r="H8" s="14">
        <f t="shared" si="1"/>
        <v>0</v>
      </c>
      <c r="I8" s="15">
        <v>5500</v>
      </c>
      <c r="J8" s="16"/>
      <c r="K8" s="16">
        <f t="shared" si="2"/>
        <v>0</v>
      </c>
      <c r="L8" s="17">
        <v>5500</v>
      </c>
      <c r="M8" s="18"/>
      <c r="N8" s="18">
        <f t="shared" si="3"/>
        <v>0</v>
      </c>
      <c r="O8" s="19">
        <v>5500</v>
      </c>
      <c r="P8" s="20"/>
      <c r="Q8" s="20">
        <f t="shared" si="4"/>
        <v>0</v>
      </c>
    </row>
    <row r="9" spans="1:17" ht="21.95" customHeight="1" thickBot="1" x14ac:dyDescent="0.25">
      <c r="A9" s="9">
        <v>7</v>
      </c>
      <c r="B9" s="10" t="s">
        <v>23</v>
      </c>
      <c r="C9" s="11">
        <v>240</v>
      </c>
      <c r="D9" s="12">
        <v>0</v>
      </c>
      <c r="E9" s="12">
        <f t="shared" si="0"/>
        <v>0</v>
      </c>
      <c r="F9" s="13">
        <v>240</v>
      </c>
      <c r="G9" s="14"/>
      <c r="H9" s="14">
        <f t="shared" si="1"/>
        <v>0</v>
      </c>
      <c r="I9" s="15">
        <v>240</v>
      </c>
      <c r="J9" s="16"/>
      <c r="K9" s="16">
        <f t="shared" si="2"/>
        <v>0</v>
      </c>
      <c r="L9" s="17">
        <v>240</v>
      </c>
      <c r="M9" s="18"/>
      <c r="N9" s="18">
        <f t="shared" si="3"/>
        <v>0</v>
      </c>
      <c r="O9" s="19">
        <v>240</v>
      </c>
      <c r="P9" s="20"/>
      <c r="Q9" s="20">
        <f t="shared" si="4"/>
        <v>0</v>
      </c>
    </row>
    <row r="10" spans="1:17" ht="21.95" customHeight="1" thickBot="1" x14ac:dyDescent="0.25">
      <c r="A10" s="9">
        <v>8</v>
      </c>
      <c r="B10" s="10" t="s">
        <v>24</v>
      </c>
      <c r="C10" s="11">
        <v>2700</v>
      </c>
      <c r="D10" s="12">
        <v>0</v>
      </c>
      <c r="E10" s="12">
        <f t="shared" si="0"/>
        <v>0</v>
      </c>
      <c r="F10" s="13">
        <v>2700</v>
      </c>
      <c r="G10" s="14"/>
      <c r="H10" s="14">
        <f t="shared" si="1"/>
        <v>0</v>
      </c>
      <c r="I10" s="15">
        <v>2700</v>
      </c>
      <c r="J10" s="16"/>
      <c r="K10" s="16">
        <f t="shared" si="2"/>
        <v>0</v>
      </c>
      <c r="L10" s="17">
        <v>2700</v>
      </c>
      <c r="M10" s="18"/>
      <c r="N10" s="18">
        <f t="shared" si="3"/>
        <v>0</v>
      </c>
      <c r="O10" s="19">
        <v>2700</v>
      </c>
      <c r="P10" s="20"/>
      <c r="Q10" s="20">
        <f t="shared" si="4"/>
        <v>0</v>
      </c>
    </row>
    <row r="11" spans="1:17" ht="21.95" customHeight="1" thickBot="1" x14ac:dyDescent="0.25">
      <c r="A11" s="9">
        <v>9</v>
      </c>
      <c r="B11" s="10" t="s">
        <v>25</v>
      </c>
      <c r="C11" s="11">
        <v>50</v>
      </c>
      <c r="D11" s="12">
        <v>0</v>
      </c>
      <c r="E11" s="12">
        <f t="shared" si="0"/>
        <v>0</v>
      </c>
      <c r="F11" s="13">
        <v>50</v>
      </c>
      <c r="G11" s="14"/>
      <c r="H11" s="14">
        <f t="shared" si="1"/>
        <v>0</v>
      </c>
      <c r="I11" s="15">
        <v>50</v>
      </c>
      <c r="J11" s="16"/>
      <c r="K11" s="16">
        <f t="shared" si="2"/>
        <v>0</v>
      </c>
      <c r="L11" s="17">
        <v>50</v>
      </c>
      <c r="M11" s="18"/>
      <c r="N11" s="18">
        <f t="shared" si="3"/>
        <v>0</v>
      </c>
      <c r="O11" s="19">
        <v>50</v>
      </c>
      <c r="P11" s="20"/>
      <c r="Q11" s="20">
        <f t="shared" si="4"/>
        <v>0</v>
      </c>
    </row>
    <row r="12" spans="1:17" ht="21.95" customHeight="1" thickBot="1" x14ac:dyDescent="0.25">
      <c r="A12" s="9">
        <v>10</v>
      </c>
      <c r="B12" s="21" t="s">
        <v>26</v>
      </c>
      <c r="C12" s="11">
        <v>90</v>
      </c>
      <c r="D12" s="12">
        <v>0</v>
      </c>
      <c r="E12" s="12">
        <f t="shared" si="0"/>
        <v>0</v>
      </c>
      <c r="F12" s="13">
        <v>91</v>
      </c>
      <c r="G12" s="14"/>
      <c r="H12" s="14">
        <f t="shared" si="1"/>
        <v>0</v>
      </c>
      <c r="I12" s="15">
        <v>91</v>
      </c>
      <c r="J12" s="16"/>
      <c r="K12" s="16">
        <f t="shared" si="2"/>
        <v>0</v>
      </c>
      <c r="L12" s="17">
        <v>91</v>
      </c>
      <c r="M12" s="18"/>
      <c r="N12" s="18">
        <f t="shared" si="3"/>
        <v>0</v>
      </c>
      <c r="O12" s="19">
        <v>91</v>
      </c>
      <c r="P12" s="20"/>
      <c r="Q12" s="20">
        <f t="shared" si="4"/>
        <v>0</v>
      </c>
    </row>
    <row r="13" spans="1:17" ht="21.95" customHeight="1" thickBot="1" x14ac:dyDescent="0.25">
      <c r="A13" s="9">
        <v>11</v>
      </c>
      <c r="B13" s="10" t="s">
        <v>27</v>
      </c>
      <c r="C13" s="11">
        <v>120</v>
      </c>
      <c r="D13" s="12">
        <v>0</v>
      </c>
      <c r="E13" s="12">
        <f t="shared" si="0"/>
        <v>0</v>
      </c>
      <c r="F13" s="13">
        <v>120</v>
      </c>
      <c r="G13" s="14"/>
      <c r="H13" s="14">
        <f t="shared" si="1"/>
        <v>0</v>
      </c>
      <c r="I13" s="15">
        <v>120</v>
      </c>
      <c r="J13" s="16"/>
      <c r="K13" s="16">
        <f t="shared" si="2"/>
        <v>0</v>
      </c>
      <c r="L13" s="17">
        <v>120</v>
      </c>
      <c r="M13" s="18"/>
      <c r="N13" s="18">
        <f t="shared" si="3"/>
        <v>0</v>
      </c>
      <c r="O13" s="19">
        <v>120</v>
      </c>
      <c r="P13" s="20"/>
      <c r="Q13" s="20">
        <f t="shared" si="4"/>
        <v>0</v>
      </c>
    </row>
    <row r="14" spans="1:17" ht="21.95" customHeight="1" thickBot="1" x14ac:dyDescent="0.25">
      <c r="A14" s="9">
        <v>12</v>
      </c>
      <c r="B14" s="10" t="s">
        <v>28</v>
      </c>
      <c r="C14" s="11">
        <v>20</v>
      </c>
      <c r="D14" s="12">
        <v>0</v>
      </c>
      <c r="E14" s="12">
        <f t="shared" si="0"/>
        <v>0</v>
      </c>
      <c r="F14" s="13">
        <v>20</v>
      </c>
      <c r="G14" s="14"/>
      <c r="H14" s="14">
        <f t="shared" si="1"/>
        <v>0</v>
      </c>
      <c r="I14" s="15">
        <v>20</v>
      </c>
      <c r="J14" s="16"/>
      <c r="K14" s="16">
        <f t="shared" si="2"/>
        <v>0</v>
      </c>
      <c r="L14" s="17">
        <v>20</v>
      </c>
      <c r="M14" s="18"/>
      <c r="N14" s="18">
        <f t="shared" si="3"/>
        <v>0</v>
      </c>
      <c r="O14" s="19">
        <v>20</v>
      </c>
      <c r="P14" s="20"/>
      <c r="Q14" s="20">
        <f t="shared" si="4"/>
        <v>0</v>
      </c>
    </row>
    <row r="15" spans="1:17" ht="21.95" customHeight="1" thickBot="1" x14ac:dyDescent="0.25">
      <c r="A15" s="9">
        <v>13</v>
      </c>
      <c r="B15" s="10" t="s">
        <v>29</v>
      </c>
      <c r="C15" s="11">
        <v>50</v>
      </c>
      <c r="D15" s="12">
        <v>0</v>
      </c>
      <c r="E15" s="12">
        <f t="shared" si="0"/>
        <v>0</v>
      </c>
      <c r="F15" s="13">
        <v>50</v>
      </c>
      <c r="G15" s="14"/>
      <c r="H15" s="14">
        <f t="shared" si="1"/>
        <v>0</v>
      </c>
      <c r="I15" s="15">
        <v>50</v>
      </c>
      <c r="J15" s="16"/>
      <c r="K15" s="16">
        <f t="shared" si="2"/>
        <v>0</v>
      </c>
      <c r="L15" s="17">
        <v>50</v>
      </c>
      <c r="M15" s="18"/>
      <c r="N15" s="18">
        <f t="shared" si="3"/>
        <v>0</v>
      </c>
      <c r="O15" s="19">
        <v>50</v>
      </c>
      <c r="P15" s="20"/>
      <c r="Q15" s="20">
        <f t="shared" si="4"/>
        <v>0</v>
      </c>
    </row>
    <row r="16" spans="1:17" ht="21.95" customHeight="1" thickBot="1" x14ac:dyDescent="0.25">
      <c r="A16" s="9">
        <v>14</v>
      </c>
      <c r="B16" s="10" t="s">
        <v>30</v>
      </c>
      <c r="C16" s="11">
        <v>700</v>
      </c>
      <c r="D16" s="12">
        <v>0</v>
      </c>
      <c r="E16" s="12">
        <f t="shared" si="0"/>
        <v>0</v>
      </c>
      <c r="F16" s="13">
        <v>700</v>
      </c>
      <c r="G16" s="14"/>
      <c r="H16" s="14">
        <f t="shared" si="1"/>
        <v>0</v>
      </c>
      <c r="I16" s="15">
        <v>700</v>
      </c>
      <c r="J16" s="16"/>
      <c r="K16" s="16">
        <f t="shared" si="2"/>
        <v>0</v>
      </c>
      <c r="L16" s="17">
        <v>700</v>
      </c>
      <c r="M16" s="18"/>
      <c r="N16" s="18">
        <f t="shared" si="3"/>
        <v>0</v>
      </c>
      <c r="O16" s="19">
        <v>700</v>
      </c>
      <c r="P16" s="20"/>
      <c r="Q16" s="20">
        <f t="shared" si="4"/>
        <v>0</v>
      </c>
    </row>
    <row r="17" spans="1:17" ht="21.95" customHeight="1" thickBot="1" x14ac:dyDescent="0.25">
      <c r="A17" s="9">
        <v>15</v>
      </c>
      <c r="B17" s="10" t="s">
        <v>31</v>
      </c>
      <c r="C17" s="11">
        <v>10</v>
      </c>
      <c r="D17" s="12">
        <v>0</v>
      </c>
      <c r="E17" s="12">
        <f t="shared" si="0"/>
        <v>0</v>
      </c>
      <c r="F17" s="13">
        <v>10</v>
      </c>
      <c r="G17" s="14"/>
      <c r="H17" s="14">
        <f t="shared" si="1"/>
        <v>0</v>
      </c>
      <c r="I17" s="15">
        <v>10</v>
      </c>
      <c r="J17" s="16"/>
      <c r="K17" s="16">
        <f t="shared" si="2"/>
        <v>0</v>
      </c>
      <c r="L17" s="17">
        <v>10</v>
      </c>
      <c r="M17" s="18"/>
      <c r="N17" s="18">
        <f t="shared" si="3"/>
        <v>0</v>
      </c>
      <c r="O17" s="19">
        <v>10</v>
      </c>
      <c r="P17" s="20"/>
      <c r="Q17" s="20">
        <f t="shared" si="4"/>
        <v>0</v>
      </c>
    </row>
    <row r="18" spans="1:17" ht="21.95" customHeight="1" thickBot="1" x14ac:dyDescent="0.25">
      <c r="A18" s="9">
        <v>16</v>
      </c>
      <c r="B18" s="10" t="s">
        <v>32</v>
      </c>
      <c r="C18" s="11">
        <v>5</v>
      </c>
      <c r="D18" s="12">
        <v>0</v>
      </c>
      <c r="E18" s="12">
        <f t="shared" si="0"/>
        <v>0</v>
      </c>
      <c r="F18" s="13">
        <v>5</v>
      </c>
      <c r="G18" s="14"/>
      <c r="H18" s="14">
        <f t="shared" si="1"/>
        <v>0</v>
      </c>
      <c r="I18" s="15">
        <v>5</v>
      </c>
      <c r="J18" s="16"/>
      <c r="K18" s="16">
        <f t="shared" si="2"/>
        <v>0</v>
      </c>
      <c r="L18" s="17">
        <v>5</v>
      </c>
      <c r="M18" s="18"/>
      <c r="N18" s="18">
        <f t="shared" si="3"/>
        <v>0</v>
      </c>
      <c r="O18" s="19">
        <v>5</v>
      </c>
      <c r="P18" s="20"/>
      <c r="Q18" s="20">
        <f t="shared" si="4"/>
        <v>0</v>
      </c>
    </row>
    <row r="19" spans="1:17" ht="21.95" customHeight="1" thickBot="1" x14ac:dyDescent="0.25">
      <c r="A19" s="9">
        <v>17</v>
      </c>
      <c r="B19" s="10" t="s">
        <v>33</v>
      </c>
      <c r="C19" s="11">
        <v>10</v>
      </c>
      <c r="D19" s="12">
        <v>0</v>
      </c>
      <c r="E19" s="12">
        <f t="shared" si="0"/>
        <v>0</v>
      </c>
      <c r="F19" s="13">
        <v>10</v>
      </c>
      <c r="G19" s="14"/>
      <c r="H19" s="14">
        <f t="shared" si="1"/>
        <v>0</v>
      </c>
      <c r="I19" s="15">
        <v>10</v>
      </c>
      <c r="J19" s="16"/>
      <c r="K19" s="16">
        <f t="shared" si="2"/>
        <v>0</v>
      </c>
      <c r="L19" s="17">
        <v>10</v>
      </c>
      <c r="M19" s="18"/>
      <c r="N19" s="18">
        <f t="shared" si="3"/>
        <v>0</v>
      </c>
      <c r="O19" s="19">
        <v>10</v>
      </c>
      <c r="P19" s="20"/>
      <c r="Q19" s="20">
        <f t="shared" si="4"/>
        <v>0</v>
      </c>
    </row>
    <row r="20" spans="1:17" ht="21.95" customHeight="1" thickBot="1" x14ac:dyDescent="0.25">
      <c r="A20" s="9">
        <v>18</v>
      </c>
      <c r="B20" s="10" t="s">
        <v>34</v>
      </c>
      <c r="C20" s="11">
        <v>10</v>
      </c>
      <c r="D20" s="12">
        <v>0</v>
      </c>
      <c r="E20" s="12">
        <f t="shared" si="0"/>
        <v>0</v>
      </c>
      <c r="F20" s="13">
        <v>10</v>
      </c>
      <c r="G20" s="14"/>
      <c r="H20" s="14">
        <f t="shared" si="1"/>
        <v>0</v>
      </c>
      <c r="I20" s="15">
        <v>10</v>
      </c>
      <c r="J20" s="16"/>
      <c r="K20" s="16">
        <f t="shared" si="2"/>
        <v>0</v>
      </c>
      <c r="L20" s="17">
        <v>10</v>
      </c>
      <c r="M20" s="18"/>
      <c r="N20" s="18">
        <f t="shared" si="3"/>
        <v>0</v>
      </c>
      <c r="O20" s="19">
        <v>10</v>
      </c>
      <c r="P20" s="20"/>
      <c r="Q20" s="20">
        <f t="shared" si="4"/>
        <v>0</v>
      </c>
    </row>
    <row r="21" spans="1:17" s="22" customFormat="1" ht="21.95" customHeight="1" thickBot="1" x14ac:dyDescent="0.25">
      <c r="B21" s="28" t="s">
        <v>5</v>
      </c>
      <c r="C21" s="32" t="s">
        <v>36</v>
      </c>
      <c r="D21" s="33"/>
      <c r="E21" s="29">
        <f>SUM(E3:E20)</f>
        <v>0</v>
      </c>
      <c r="F21" s="40" t="s">
        <v>37</v>
      </c>
      <c r="G21" s="41"/>
      <c r="H21" s="27">
        <f>SUM(H3:H20)</f>
        <v>0</v>
      </c>
      <c r="I21" s="38" t="s">
        <v>38</v>
      </c>
      <c r="J21" s="39"/>
      <c r="K21" s="26">
        <f>SUM(K3:K20)</f>
        <v>0</v>
      </c>
      <c r="L21" s="36" t="s">
        <v>39</v>
      </c>
      <c r="M21" s="37"/>
      <c r="N21" s="25">
        <f>SUM(N3:N20)</f>
        <v>0</v>
      </c>
      <c r="O21" s="34" t="s">
        <v>40</v>
      </c>
      <c r="P21" s="35"/>
      <c r="Q21" s="24">
        <f>SUM(Q3:Q20)</f>
        <v>0</v>
      </c>
    </row>
    <row r="22" spans="1:17" ht="21.95" customHeight="1" x14ac:dyDescent="0.2"/>
    <row r="23" spans="1:17" ht="21.95" customHeight="1" x14ac:dyDescent="0.2">
      <c r="B23" s="30"/>
    </row>
    <row r="24" spans="1:17" ht="21.95" customHeight="1" x14ac:dyDescent="0.2">
      <c r="B24" s="31"/>
    </row>
  </sheetData>
  <mergeCells count="5">
    <mergeCell ref="C21:D21"/>
    <mergeCell ref="O21:P21"/>
    <mergeCell ref="L21:M21"/>
    <mergeCell ref="I21:J21"/>
    <mergeCell ref="F21:G21"/>
  </mergeCells>
  <phoneticPr fontId="2" type="noConversion"/>
  <pageMargins left="0.7" right="0.7" top="0.75" bottom="0.75" header="0.3" footer="0.3"/>
  <pageSetup orientation="landscape" horizontalDpi="1200" verticalDpi="1200" r:id="rId1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 Latrine and Grey Pricing</vt:lpstr>
    </vt:vector>
  </TitlesOfParts>
  <Company>Army Golden Master Program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THOMSEN, LUKE D  MAJ MIL NG MN ARNG</dc:creator>
  <cp:lastModifiedBy>Larsen, Jonathan D MSG USARMY NG (USA)</cp:lastModifiedBy>
  <cp:lastPrinted>2026-04-02T17:50:35Z</cp:lastPrinted>
  <dcterms:created xsi:type="dcterms:W3CDTF">2022-12-19T19:32:08Z</dcterms:created>
  <dcterms:modified xsi:type="dcterms:W3CDTF">2026-04-28T13:28:28Z</dcterms:modified>
</cp:coreProperties>
</file>