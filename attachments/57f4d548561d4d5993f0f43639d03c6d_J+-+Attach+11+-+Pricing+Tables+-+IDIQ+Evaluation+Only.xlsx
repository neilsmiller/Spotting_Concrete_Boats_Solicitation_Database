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s-my.sharepoint.com/personal/mcnellyrt_state_gov/Documents/Documents/GlobalAdv Specific/1. Request for Proposal (RFP)/1.0. RFP Compiled Sections/Final/"/>
    </mc:Choice>
  </mc:AlternateContent>
  <xr:revisionPtr revIDLastSave="50" documentId="8_{B7EFC3F5-AF16-4534-8722-389E2CA617FB}" xr6:coauthVersionLast="47" xr6:coauthVersionMax="47" xr10:uidLastSave="{5BAF2772-D03C-4379-91A9-61E72DF20F11}"/>
  <bookViews>
    <workbookView xWindow="0" yWindow="0" windowWidth="28800" windowHeight="17400" activeTab="3" xr2:uid="{D4D88422-F43B-4F40-AF2C-057D2434AE61}"/>
  </bookViews>
  <sheets>
    <sheet name="1. Prov. Bill. Ind. Cost Rates" sheetId="1" r:id="rId1"/>
    <sheet name="2. Ceiling Indirect Cost Rates" sheetId="2" r:id="rId2"/>
    <sheet name="3. NTE Profit &amp; Fee Percent" sheetId="8" r:id="rId3"/>
    <sheet name="4. IDIQ Prices" sheetId="6" r:id="rId4"/>
  </sheets>
  <externalReferences>
    <externalReference r:id="rId5"/>
  </externalReferences>
  <definedNames>
    <definedName name="Ceiling_FCCOM_Base">[1]Variables!$B$14</definedName>
    <definedName name="Ceiling_FCCOM_Extension">[1]Variables!$G$14</definedName>
    <definedName name="Ceiling_FCCOM_Opt1">[1]Variables!$C$14</definedName>
    <definedName name="Ceiling_FCCOM_Opt2">[1]Variables!$D$14</definedName>
    <definedName name="Ceiling_FCCOM_Opt3">[1]Variables!$E$14</definedName>
    <definedName name="Ceiling_FCCOM_Opt4">[1]Variables!$F$14</definedName>
    <definedName name="Ceiling_Fringe_Adj_CONUS">[1]Variables!$C$60</definedName>
    <definedName name="Ceiling_Fringe_Adj_OCONUS">[1]Variables!$C$61</definedName>
    <definedName name="Ceiling_G_and_A_Base">[1]Variables!$B$12</definedName>
    <definedName name="Ceiling_G_and_A_Extension">[1]Variables!$G$12</definedName>
    <definedName name="Ceiling_G_and_A_Opt1">[1]Variables!$C$12</definedName>
    <definedName name="Ceiling_G_and_A_Opt2">[1]Variables!$D$12</definedName>
    <definedName name="Ceiling_G_and_A_Opt3">[1]Variables!$E$12</definedName>
    <definedName name="Ceiling_G_and_A_Opt4">[1]Variables!$F$12</definedName>
    <definedName name="Ceiling_OH_Base">[1]Variables!$B$13</definedName>
    <definedName name="Ceiling_OH_Extension">[1]Variables!$G$13</definedName>
    <definedName name="Ceiling_OH_Opt1">[1]Variables!$C$13</definedName>
    <definedName name="Ceiling_OH_Opt2">[1]Variables!$D$13</definedName>
    <definedName name="Ceiling_OH_Opt3">[1]Variables!$E$13</definedName>
    <definedName name="Ceiling_OH_Opt4">[1]Variables!$F$13</definedName>
    <definedName name="FCCOM_Base">[1]Variables!$B$9</definedName>
    <definedName name="FCCOM_Extension">[1]Variables!$G$9</definedName>
    <definedName name="FCCOM_Opt1">[1]Variables!$C$9</definedName>
    <definedName name="FCCOM_Opt2">[1]Variables!$D$9</definedName>
    <definedName name="FCCOM_Opt3">[1]Variables!$E$9</definedName>
    <definedName name="FCCOM_Opt4">[1]Variables!$F$9</definedName>
    <definedName name="Fringe_CONUS">'[1]Fringe BuildUp'!$F$3</definedName>
    <definedName name="Fringe_OCONUS">'[1]Fringe BuildUp'!$H$3</definedName>
    <definedName name="G_and_A_Base">[1]Variables!$B$7</definedName>
    <definedName name="G_and_A_Extension">[1]Variables!$G$7</definedName>
    <definedName name="G_and_A_Opt1">[1]Variables!$C$7</definedName>
    <definedName name="G_and_A_Opt2">[1]Variables!$D$7</definedName>
    <definedName name="G_and_A_Opt3">[1]Variables!$E$7</definedName>
    <definedName name="G_and_A_Opt4">[1]Variables!$F$7</definedName>
    <definedName name="OH_Base">[1]Variables!$B$8</definedName>
    <definedName name="OH_Extension">[1]Variables!$G$8</definedName>
    <definedName name="OH_Opt1">[1]Variables!$C$8</definedName>
    <definedName name="OH_Opt2">[1]Variables!$D$8</definedName>
    <definedName name="OH_Opt3">[1]Variables!$E$8</definedName>
    <definedName name="OH_Opt4">[1]Variables!$F$8</definedName>
    <definedName name="_xlnm.Print_Area" localSheetId="0">'1. Prov. Bill. Ind. Cost Rates'!$A$1:$E$24</definedName>
    <definedName name="_xlnm.Print_Area" localSheetId="1">'2. Ceiling Indirect Cost Rates'!$A$1:$E$24</definedName>
    <definedName name="_xlnm.Print_Area" localSheetId="2">'3. NTE Profit &amp; Fee Percent'!$A$1:$F$15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6" l="1"/>
  <c r="W18" i="6"/>
  <c r="S18" i="6"/>
  <c r="O18" i="6"/>
  <c r="K18" i="6"/>
  <c r="G18" i="6"/>
  <c r="AA44" i="6"/>
  <c r="AA43" i="6"/>
  <c r="AA42" i="6"/>
  <c r="AA41" i="6"/>
  <c r="AA40" i="6"/>
  <c r="AA39" i="6"/>
  <c r="AA38" i="6"/>
  <c r="AA37" i="6"/>
  <c r="AA36" i="6"/>
  <c r="AA35" i="6"/>
  <c r="W44" i="6"/>
  <c r="W43" i="6"/>
  <c r="W42" i="6"/>
  <c r="W41" i="6"/>
  <c r="W40" i="6"/>
  <c r="W39" i="6"/>
  <c r="W38" i="6"/>
  <c r="W37" i="6"/>
  <c r="W36" i="6"/>
  <c r="W35" i="6"/>
  <c r="S44" i="6"/>
  <c r="S43" i="6"/>
  <c r="S42" i="6"/>
  <c r="S41" i="6"/>
  <c r="S40" i="6"/>
  <c r="S39" i="6"/>
  <c r="S38" i="6"/>
  <c r="S37" i="6"/>
  <c r="S36" i="6"/>
  <c r="S35" i="6"/>
  <c r="O44" i="6"/>
  <c r="O43" i="6"/>
  <c r="O42" i="6"/>
  <c r="O41" i="6"/>
  <c r="O40" i="6"/>
  <c r="O39" i="6"/>
  <c r="O38" i="6"/>
  <c r="O37" i="6"/>
  <c r="O36" i="6"/>
  <c r="O35" i="6"/>
  <c r="K44" i="6"/>
  <c r="K43" i="6"/>
  <c r="K42" i="6"/>
  <c r="K41" i="6"/>
  <c r="K40" i="6"/>
  <c r="K39" i="6"/>
  <c r="K38" i="6"/>
  <c r="K37" i="6"/>
  <c r="K36" i="6"/>
  <c r="K35" i="6"/>
  <c r="Y31" i="6"/>
  <c r="U31" i="6"/>
  <c r="Q31" i="6"/>
  <c r="M31" i="6"/>
  <c r="I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W30" i="6"/>
  <c r="W29" i="6"/>
  <c r="W28" i="6"/>
  <c r="W27" i="6"/>
  <c r="W26" i="6"/>
  <c r="W25" i="6"/>
  <c r="W24" i="6"/>
  <c r="W23" i="6"/>
  <c r="W22" i="6"/>
  <c r="W21" i="6"/>
  <c r="W20" i="6"/>
  <c r="W19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S30" i="6"/>
  <c r="S29" i="6"/>
  <c r="S28" i="6"/>
  <c r="S27" i="6"/>
  <c r="S26" i="6"/>
  <c r="S25" i="6"/>
  <c r="S24" i="6"/>
  <c r="S23" i="6"/>
  <c r="S22" i="6"/>
  <c r="S21" i="6"/>
  <c r="S20" i="6"/>
  <c r="S19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O30" i="6"/>
  <c r="O29" i="6"/>
  <c r="O28" i="6"/>
  <c r="O27" i="6"/>
  <c r="O26" i="6"/>
  <c r="O25" i="6"/>
  <c r="O24" i="6"/>
  <c r="O23" i="6"/>
  <c r="O22" i="6"/>
  <c r="O21" i="6"/>
  <c r="O20" i="6"/>
  <c r="O19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K30" i="6"/>
  <c r="K29" i="6"/>
  <c r="K28" i="6"/>
  <c r="K27" i="6"/>
  <c r="K26" i="6"/>
  <c r="K25" i="6"/>
  <c r="K24" i="6"/>
  <c r="K23" i="6"/>
  <c r="K22" i="6"/>
  <c r="K21" i="6"/>
  <c r="K20" i="6"/>
  <c r="K19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G6" i="6"/>
  <c r="G7" i="6"/>
  <c r="G8" i="6"/>
  <c r="G9" i="6"/>
  <c r="G10" i="6"/>
  <c r="G11" i="6"/>
  <c r="G12" i="6"/>
  <c r="G13" i="6"/>
  <c r="G14" i="6"/>
  <c r="G15" i="6"/>
  <c r="G16" i="6"/>
  <c r="G17" i="6"/>
  <c r="G19" i="6"/>
  <c r="G20" i="6"/>
  <c r="G21" i="6"/>
  <c r="G22" i="6"/>
  <c r="G23" i="6"/>
  <c r="G24" i="6"/>
  <c r="G25" i="6"/>
  <c r="G26" i="6"/>
  <c r="G27" i="6"/>
  <c r="G28" i="6"/>
  <c r="G29" i="6"/>
  <c r="G30" i="6"/>
  <c r="G5" i="6"/>
  <c r="G36" i="6"/>
  <c r="G37" i="6"/>
  <c r="G38" i="6"/>
  <c r="G39" i="6"/>
  <c r="G40" i="6"/>
  <c r="G41" i="6"/>
  <c r="G42" i="6"/>
  <c r="G43" i="6"/>
  <c r="G44" i="6"/>
  <c r="G35" i="6"/>
  <c r="E31" i="6"/>
  <c r="G45" i="6" l="1"/>
  <c r="AA45" i="6"/>
  <c r="K45" i="6"/>
  <c r="AA31" i="6"/>
  <c r="W31" i="6"/>
  <c r="S31" i="6"/>
  <c r="O31" i="6"/>
  <c r="K31" i="6"/>
  <c r="W45" i="6"/>
  <c r="S45" i="6"/>
  <c r="O45" i="6"/>
  <c r="G31" i="6"/>
  <c r="K49" i="6" l="1"/>
  <c r="G49" i="6"/>
  <c r="O49" i="6"/>
  <c r="AA49" i="6"/>
  <c r="W49" i="6"/>
  <c r="S49" i="6"/>
  <c r="G51" i="6" l="1"/>
</calcChain>
</file>

<file path=xl/sharedStrings.xml><?xml version="1.0" encoding="utf-8"?>
<sst xmlns="http://schemas.openxmlformats.org/spreadsheetml/2006/main" count="235" uniqueCount="129">
  <si>
    <t xml:space="preserve">Pricing Table 1 </t>
  </si>
  <si>
    <t xml:space="preserve">Proposed Provisional Billing Indirect Cost Rates </t>
  </si>
  <si>
    <t>Indirect Cost Rate Description
(e.g., Fringe Benefits, Overhead, G&amp;A)</t>
  </si>
  <si>
    <t>Proposed Provisional Billing Indirect Cost Rate</t>
  </si>
  <si>
    <t xml:space="preserve">Basis of Estimate of Proposed Provisional Billing Indirect Cost Rate 
(e.g., Negotiated Indirect Cost Rate Agreement with Cognizant Federal Agency Official, Internal Budget Estimate) </t>
  </si>
  <si>
    <t>Allocation Base 
(e.g., Total Labor Dollars, Direct Labor Dollars, Total Cost Input)</t>
  </si>
  <si>
    <t xml:space="preserve">1)  </t>
  </si>
  <si>
    <t>2)</t>
  </si>
  <si>
    <t>THE FOLLOWING IS FOR ILLUSTRATION PURPOSES ONLY:</t>
  </si>
  <si>
    <t>Indirect Cost Rate Description</t>
  </si>
  <si>
    <t>Basis of Estimate of Proposed Provisional Billing Indirect Cost Rate</t>
  </si>
  <si>
    <t xml:space="preserve">   Allocation Base </t>
  </si>
  <si>
    <t>Offeror Fiscal Year Period</t>
  </si>
  <si>
    <t>Total Labor Dollars</t>
  </si>
  <si>
    <t xml:space="preserve">     Fringe Benefits</t>
  </si>
  <si>
    <t>January 1, 2025 - 
December 31, 2025</t>
  </si>
  <si>
    <t>January 1, 2026 - 
December 31, 2026</t>
  </si>
  <si>
    <t>January 1, 2027 - 
December 31, 2027</t>
  </si>
  <si>
    <t>January 1, 2028 - 
December 31, 2028</t>
  </si>
  <si>
    <t>January 1, 2029 - 
December 31, 2029</t>
  </si>
  <si>
    <t>January 1, 2030 - 
December 31, 2030</t>
  </si>
  <si>
    <t xml:space="preserve"> </t>
  </si>
  <si>
    <t xml:space="preserve">Pricing Table 2 </t>
  </si>
  <si>
    <t xml:space="preserve">Proposed Ceiling Indirect Cost Rates </t>
  </si>
  <si>
    <t>Proposed Ceiling Indirect Cost Rate</t>
  </si>
  <si>
    <t xml:space="preserve">Basis of Estimate of Proposed Ceiling Indirect Cost Rate 
(e.g., Negotiated Indirect Cost Rate Agreement with Cognizant Federal Agency Official, Internal Budget Estimate) </t>
  </si>
  <si>
    <t>Basis of Estimate of Proposed Ceiling Indirect Cost Rate</t>
  </si>
  <si>
    <t xml:space="preserve">Pricing Table 3   </t>
  </si>
  <si>
    <t>Proposed Not-to-Exceed (NTE) Profit Percentages and NTE Fee Percentages</t>
  </si>
  <si>
    <t>Proposed NTE Profit Percentages</t>
  </si>
  <si>
    <t>Ordering Period - Year 1</t>
  </si>
  <si>
    <t>Ordering Period - Year 2</t>
  </si>
  <si>
    <t>Ordering Period - Year 3</t>
  </si>
  <si>
    <t>Ordering Period - Year 4</t>
  </si>
  <si>
    <t>Ordering Period - Year 5</t>
  </si>
  <si>
    <t>Six-Month Option
(FAR 52.217-8)</t>
  </si>
  <si>
    <t>Proposed NTE Fee Percentages</t>
  </si>
  <si>
    <t>Pricing Table 4 - IDIQ Prices</t>
  </si>
  <si>
    <t>CLIN</t>
  </si>
  <si>
    <t>Govt-Estimated Hours</t>
  </si>
  <si>
    <t>Govt-Estimated FTEs</t>
  </si>
  <si>
    <t>Ordering Period - Six-Month Option</t>
  </si>
  <si>
    <t>Proposed NTE Fully-Loaded Hourly Labor Rate</t>
  </si>
  <si>
    <t>Subtotal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</si>
  <si>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</si>
  <si>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</si>
  <si>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</si>
  <si>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</si>
  <si>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</si>
  <si>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</si>
  <si>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</si>
  <si>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</si>
  <si>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</si>
  <si>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</si>
  <si>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</si>
  <si>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</si>
  <si>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</si>
  <si>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</si>
  <si>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</si>
  <si>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</si>
  <si>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</si>
  <si>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</si>
  <si>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</si>
  <si>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</si>
  <si>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</si>
  <si>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</si>
  <si>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</si>
  <si>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</si>
  <si>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 xml:space="preserve">LABOR TOTAL </t>
  </si>
  <si>
    <t xml:space="preserve">GOVT-ESTIMATED ODCs </t>
  </si>
  <si>
    <t>TOTALS</t>
  </si>
  <si>
    <t>OVERALL PROPOSED PRICE (sum of Totals)</t>
  </si>
  <si>
    <t>Govt-Estimated Quantity</t>
  </si>
  <si>
    <t>Proposed NTE 
Unit Price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</si>
  <si>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</si>
  <si>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</si>
  <si>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</si>
  <si>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</si>
  <si>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</si>
  <si>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</si>
  <si>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</si>
  <si>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</si>
  <si>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</si>
  <si>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</si>
  <si>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 xml:space="preserve">EQUIPMENT TOTAL </t>
  </si>
  <si>
    <t>Armor, Personnel Body</t>
  </si>
  <si>
    <t>Helmet, Ballistic</t>
  </si>
  <si>
    <t>Phone, Satellite</t>
  </si>
  <si>
    <t>First Aid Kit, Individual</t>
  </si>
  <si>
    <t>GPS Device, Handheld</t>
  </si>
  <si>
    <t>Computer, Laptop</t>
  </si>
  <si>
    <t>Monitor, Computer</t>
  </si>
  <si>
    <t>Printer, Office (all in one)</t>
  </si>
  <si>
    <t>Keyboard/Mouse, Set (wired/CAC)</t>
  </si>
  <si>
    <t xml:space="preserve">2)  </t>
  </si>
  <si>
    <t>September 1, 2024 Forward Pricing Rate Agreement with Cognizant Federal Agency Official</t>
  </si>
  <si>
    <t>January 1, 2031 - 
December 31, 2031</t>
  </si>
  <si>
    <t>Offeror Fiscal Year Period
(e.g., January 1, 2025 - December 31, 2025)</t>
  </si>
  <si>
    <t>X025</t>
  </si>
  <si>
    <t>Program Manager (CONUS) (5-day workweek)</t>
  </si>
  <si>
    <t>Senior Advisor (Executive Level) (OCONUS) (5-day workweek)</t>
  </si>
  <si>
    <t>Senior Advisor (Organizational Level) (OCONUS) (5-day workweek)</t>
  </si>
  <si>
    <t>Legal Advisor (Executive Level) (OCONUS) (5-day workweek)</t>
  </si>
  <si>
    <t>Legal Advisor (Organizational Level) (OCONUS) (5-day workweek)</t>
  </si>
  <si>
    <t>Cybersecurity Advisor (Executive Level) (OCONUS) (5-day workweek)</t>
  </si>
  <si>
    <t>Cybersecurity Advisor (Organizational Level) (OCONUS) (5-day workweek)</t>
  </si>
  <si>
    <t>Cybersecurity Advisor (Operational Level) (OCONUS) (5-day workweek)</t>
  </si>
  <si>
    <t>Cybersecurity Advisor (Technical Level) (OCONUS) (5-day workweek)</t>
  </si>
  <si>
    <t>Facilitation Specialist (OCONUS) (5-day workweek)</t>
  </si>
  <si>
    <t>Site Coordinator (OCONUS) (5-day workweek)</t>
  </si>
  <si>
    <t>Senior Advisor (Executive Level) (OCONUS) (6-day workweek)</t>
  </si>
  <si>
    <t>Senior Advisor (Organizational Level) (OCONUS) (6-day workweek)</t>
  </si>
  <si>
    <t>Legal Advisor (Organizational Level) (OCONUS) (6-day workweek)</t>
  </si>
  <si>
    <t>Cybersecurity Advisor (Organizational Level) (OCONUS) (6-day workweek)</t>
  </si>
  <si>
    <t>Cybersecurity Advisor (Operational Level) (OCONUS) (6-day workweek)</t>
  </si>
  <si>
    <t>Cybersecurity Advisor (Technical Level) (OCONUS) (6-day workweek)</t>
  </si>
  <si>
    <t>Technical Advisor (Organizational Level) (OCONUS) (6-day workweek)</t>
  </si>
  <si>
    <t>Technical Advisor (Operational Level) (OCONUS) (6-day workweek)</t>
  </si>
  <si>
    <t>Facilitation Specialist (OCONUS) (6-day workweek)</t>
  </si>
  <si>
    <t>Site Coordinator (OCONUS) (6-day workweek)</t>
  </si>
  <si>
    <t>Labor Category (see Section J's Attachment 1)</t>
  </si>
  <si>
    <t>Equipment (see Section J's Attachment 3)</t>
  </si>
  <si>
    <t>Technical Advisor (Operational Level) (OCONUS) (5-day workweek)</t>
  </si>
  <si>
    <t>Technical Advisor (Organizational Level) (OCONUS) (5-day workweek)</t>
  </si>
  <si>
    <t>Legal Advisor (Executive Level) (OCONUS) (6-day workweek)</t>
  </si>
  <si>
    <t>Cybersecurity Advisor (Executive Level) (OCONUS) (6-day workweek)</t>
  </si>
  <si>
    <t>Vehicle (Personnel Transport) (Lease)</t>
  </si>
  <si>
    <t>Program Manager (OCONUS) (6-day workweek)</t>
  </si>
  <si>
    <t>X026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</si>
</sst>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el"/>
    </font>
    <font>
      <sz val="12"/>
      <color theme="1"/>
      <name val="Ariel"/>
    </font>
    <font>
      <sz val="12"/>
      <color theme="3"/>
      <name val="Ariel"/>
    </font>
    <font>
      <b/>
      <sz val="12"/>
      <color theme="3"/>
      <name val="Ariel"/>
    </font>
    <font>
      <b/>
      <sz val="12"/>
      <name val="Ariel"/>
    </font>
    <font>
      <sz val="12"/>
      <name val="Ariel"/>
    </font>
    <font>
      <b/>
      <sz val="12"/>
      <color rgb="FFFF0000"/>
      <name val="Ariel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164" fontId="2" fillId="4" borderId="6" xfId="3" applyNumberFormat="1" applyFont="1" applyFill="1" applyBorder="1" applyAlignment="1" applyProtection="1">
      <alignment horizontal="center" vertical="center"/>
    </xf>
    <xf numFmtId="44" fontId="2" fillId="0" borderId="4" xfId="4" applyFont="1" applyFill="1" applyBorder="1" applyProtection="1"/>
    <xf numFmtId="164" fontId="2" fillId="4" borderId="4" xfId="3" applyNumberFormat="1" applyFont="1" applyFill="1" applyBorder="1" applyAlignment="1" applyProtection="1">
      <alignment horizontal="center" vertical="center"/>
    </xf>
    <xf numFmtId="164" fontId="2" fillId="4" borderId="7" xfId="3" applyNumberFormat="1" applyFont="1" applyFill="1" applyBorder="1" applyAlignment="1" applyProtection="1">
      <alignment horizontal="center"/>
    </xf>
    <xf numFmtId="44" fontId="2" fillId="0" borderId="4" xfId="4" applyFont="1" applyBorder="1" applyProtection="1"/>
    <xf numFmtId="164" fontId="2" fillId="4" borderId="12" xfId="3" applyNumberFormat="1" applyFont="1" applyFill="1" applyBorder="1" applyAlignment="1" applyProtection="1">
      <alignment horizontal="center"/>
    </xf>
    <xf numFmtId="164" fontId="2" fillId="4" borderId="4" xfId="3" applyNumberFormat="1" applyFont="1" applyFill="1" applyBorder="1" applyAlignment="1" applyProtection="1">
      <alignment horizontal="center"/>
    </xf>
    <xf numFmtId="0" fontId="6" fillId="0" borderId="10" xfId="0" applyFont="1" applyBorder="1" applyAlignment="1">
      <alignment horizontal="center" wrapText="1"/>
    </xf>
    <xf numFmtId="0" fontId="7" fillId="2" borderId="11" xfId="0" applyFont="1" applyFill="1" applyBorder="1" applyAlignment="1" applyProtection="1">
      <alignment horizontal="left" vertical="top"/>
      <protection locked="0"/>
    </xf>
    <xf numFmtId="9" fontId="7" fillId="2" borderId="15" xfId="0" applyNumberFormat="1" applyFont="1" applyFill="1" applyBorder="1" applyAlignment="1" applyProtection="1">
      <alignment horizontal="center" vertical="top"/>
      <protection locked="0"/>
    </xf>
    <xf numFmtId="0" fontId="7" fillId="2" borderId="15" xfId="0" applyFont="1" applyFill="1" applyBorder="1" applyAlignment="1" applyProtection="1">
      <alignment horizontal="center" vertical="top"/>
      <protection locked="0"/>
    </xf>
    <xf numFmtId="0" fontId="7" fillId="2" borderId="12" xfId="0" applyFont="1" applyFill="1" applyBorder="1" applyAlignment="1" applyProtection="1">
      <alignment horizontal="center" vertical="top"/>
      <protection locked="0"/>
    </xf>
    <xf numFmtId="0" fontId="7" fillId="2" borderId="16" xfId="0" applyFont="1" applyFill="1" applyBorder="1" applyAlignment="1" applyProtection="1">
      <alignment horizontal="left" vertical="top"/>
      <protection locked="0"/>
    </xf>
    <xf numFmtId="9" fontId="7" fillId="2" borderId="0" xfId="0" applyNumberFormat="1" applyFont="1" applyFill="1" applyAlignment="1" applyProtection="1">
      <alignment horizontal="center" vertical="top"/>
      <protection locked="0"/>
    </xf>
    <xf numFmtId="0" fontId="7" fillId="2" borderId="0" xfId="0" applyFont="1" applyFill="1" applyAlignment="1" applyProtection="1">
      <alignment horizontal="center" vertical="top"/>
      <protection locked="0"/>
    </xf>
    <xf numFmtId="0" fontId="7" fillId="2" borderId="17" xfId="0" applyFont="1" applyFill="1" applyBorder="1" applyAlignment="1" applyProtection="1">
      <alignment horizontal="center" vertical="top"/>
      <protection locked="0"/>
    </xf>
    <xf numFmtId="0" fontId="7" fillId="2" borderId="18" xfId="0" applyFont="1" applyFill="1" applyBorder="1" applyAlignment="1" applyProtection="1">
      <alignment horizontal="left" vertical="top"/>
      <protection locked="0"/>
    </xf>
    <xf numFmtId="9" fontId="7" fillId="2" borderId="13" xfId="0" applyNumberFormat="1" applyFont="1" applyFill="1" applyBorder="1" applyAlignment="1" applyProtection="1">
      <alignment horizontal="center" vertical="top"/>
      <protection locked="0"/>
    </xf>
    <xf numFmtId="0" fontId="7" fillId="2" borderId="13" xfId="0" applyFont="1" applyFill="1" applyBorder="1" applyAlignment="1" applyProtection="1">
      <alignment horizontal="center" vertical="top"/>
      <protection locked="0"/>
    </xf>
    <xf numFmtId="0" fontId="7" fillId="2" borderId="14" xfId="0" applyFont="1" applyFill="1" applyBorder="1" applyAlignment="1" applyProtection="1">
      <alignment horizontal="center" vertical="top"/>
      <protection locked="0"/>
    </xf>
    <xf numFmtId="0" fontId="7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3" xfId="0" applyFont="1" applyBorder="1"/>
    <xf numFmtId="10" fontId="8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7" fillId="5" borderId="0" xfId="0" applyFont="1" applyFill="1"/>
    <xf numFmtId="0" fontId="7" fillId="2" borderId="11" xfId="0" applyFont="1" applyFill="1" applyBorder="1" applyProtection="1">
      <protection locked="0"/>
    </xf>
    <xf numFmtId="9" fontId="7" fillId="2" borderId="15" xfId="0" applyNumberFormat="1" applyFont="1" applyFill="1" applyBorder="1" applyProtection="1">
      <protection locked="0"/>
    </xf>
    <xf numFmtId="0" fontId="7" fillId="2" borderId="15" xfId="0" applyFont="1" applyFill="1" applyBorder="1" applyProtection="1">
      <protection locked="0"/>
    </xf>
    <xf numFmtId="0" fontId="7" fillId="2" borderId="12" xfId="0" applyFont="1" applyFill="1" applyBorder="1" applyProtection="1">
      <protection locked="0"/>
    </xf>
    <xf numFmtId="0" fontId="7" fillId="2" borderId="16" xfId="0" applyFont="1" applyFill="1" applyBorder="1" applyProtection="1">
      <protection locked="0"/>
    </xf>
    <xf numFmtId="9" fontId="7" fillId="2" borderId="0" xfId="0" applyNumberFormat="1" applyFont="1" applyFill="1" applyProtection="1">
      <protection locked="0"/>
    </xf>
    <xf numFmtId="0" fontId="7" fillId="2" borderId="0" xfId="0" applyFont="1" applyFill="1" applyProtection="1">
      <protection locked="0"/>
    </xf>
    <xf numFmtId="0" fontId="7" fillId="2" borderId="17" xfId="0" applyFont="1" applyFill="1" applyBorder="1" applyProtection="1">
      <protection locked="0"/>
    </xf>
    <xf numFmtId="0" fontId="7" fillId="2" borderId="18" xfId="0" applyFont="1" applyFill="1" applyBorder="1" applyProtection="1">
      <protection locked="0"/>
    </xf>
    <xf numFmtId="9" fontId="7" fillId="2" borderId="13" xfId="0" applyNumberFormat="1" applyFont="1" applyFill="1" applyBorder="1" applyProtection="1">
      <protection locked="0"/>
    </xf>
    <xf numFmtId="0" fontId="7" fillId="2" borderId="13" xfId="0" applyFont="1" applyFill="1" applyBorder="1" applyProtection="1">
      <protection locked="0"/>
    </xf>
    <xf numFmtId="0" fontId="7" fillId="2" borderId="14" xfId="0" applyFont="1" applyFill="1" applyBorder="1" applyProtection="1">
      <protection locked="0"/>
    </xf>
    <xf numFmtId="0" fontId="9" fillId="0" borderId="1" xfId="0" applyFont="1" applyBorder="1" applyAlignment="1">
      <alignment horizontal="center" wrapText="1"/>
    </xf>
    <xf numFmtId="10" fontId="11" fillId="2" borderId="4" xfId="1" applyNumberFormat="1" applyFont="1" applyFill="1" applyBorder="1" applyProtection="1">
      <protection locked="0"/>
    </xf>
    <xf numFmtId="10" fontId="11" fillId="0" borderId="0" xfId="1" applyNumberFormat="1" applyFont="1" applyProtection="1"/>
    <xf numFmtId="1" fontId="2" fillId="0" borderId="4" xfId="4" applyNumberFormat="1" applyFont="1" applyFill="1" applyBorder="1" applyAlignment="1" applyProtection="1">
      <alignment horizontal="center"/>
    </xf>
    <xf numFmtId="44" fontId="2" fillId="2" borderId="4" xfId="4" applyFont="1" applyFill="1" applyBorder="1" applyAlignment="1" applyProtection="1">
      <alignment horizontal="center"/>
      <protection locked="0"/>
    </xf>
    <xf numFmtId="44" fontId="2" fillId="2" borderId="4" xfId="2" applyNumberFormat="1" applyFill="1" applyBorder="1" applyAlignment="1" applyProtection="1">
      <alignment horizontal="center"/>
      <protection locked="0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center" wrapText="1"/>
    </xf>
    <xf numFmtId="10" fontId="11" fillId="0" borderId="0" xfId="0" applyNumberFormat="1" applyFont="1" applyAlignment="1">
      <alignment horizontal="right" vertical="center"/>
    </xf>
    <xf numFmtId="0" fontId="12" fillId="0" borderId="0" xfId="0" applyFont="1"/>
    <xf numFmtId="164" fontId="2" fillId="0" borderId="4" xfId="3" applyNumberFormat="1" applyFont="1" applyBorder="1" applyAlignment="1" applyProtection="1">
      <alignment horizontal="center"/>
    </xf>
    <xf numFmtId="164" fontId="2" fillId="0" borderId="4" xfId="3" applyNumberFormat="1" applyFont="1" applyFill="1" applyBorder="1" applyAlignment="1" applyProtection="1">
      <alignment horizontal="center"/>
    </xf>
    <xf numFmtId="0" fontId="14" fillId="7" borderId="4" xfId="5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left" vertical="center"/>
    </xf>
    <xf numFmtId="0" fontId="2" fillId="0" borderId="0" xfId="2"/>
    <xf numFmtId="0" fontId="2" fillId="0" borderId="0" xfId="2" applyAlignment="1">
      <alignment horizontal="center"/>
    </xf>
    <xf numFmtId="0" fontId="4" fillId="3" borderId="4" xfId="2" applyFont="1" applyFill="1" applyBorder="1" applyAlignment="1">
      <alignment horizontal="center" wrapText="1"/>
    </xf>
    <xf numFmtId="0" fontId="4" fillId="4" borderId="5" xfId="2" applyFont="1" applyFill="1" applyBorder="1"/>
    <xf numFmtId="0" fontId="2" fillId="5" borderId="0" xfId="2" applyFill="1"/>
    <xf numFmtId="0" fontId="4" fillId="4" borderId="7" xfId="2" applyFont="1" applyFill="1" applyBorder="1" applyAlignment="1">
      <alignment horizontal="center" wrapText="1"/>
    </xf>
    <xf numFmtId="0" fontId="2" fillId="5" borderId="0" xfId="2" applyFill="1" applyAlignment="1">
      <alignment horizontal="center"/>
    </xf>
    <xf numFmtId="0" fontId="2" fillId="0" borderId="7" xfId="2" applyBorder="1" applyAlignment="1">
      <alignment horizontal="center"/>
    </xf>
    <xf numFmtId="0" fontId="2" fillId="0" borderId="4" xfId="2" applyBorder="1" applyAlignment="1">
      <alignment vertical="center"/>
    </xf>
    <xf numFmtId="0" fontId="13" fillId="7" borderId="4" xfId="2" applyFont="1" applyFill="1" applyBorder="1"/>
    <xf numFmtId="0" fontId="14" fillId="7" borderId="4" xfId="2" applyFont="1" applyFill="1" applyBorder="1" applyAlignment="1">
      <alignment vertical="center"/>
    </xf>
    <xf numFmtId="0" fontId="14" fillId="7" borderId="4" xfId="2" applyFont="1" applyFill="1" applyBorder="1"/>
    <xf numFmtId="0" fontId="14" fillId="7" borderId="4" xfId="2" applyFont="1" applyFill="1" applyBorder="1" applyAlignment="1">
      <alignment horizontal="center"/>
    </xf>
    <xf numFmtId="44" fontId="14" fillId="7" borderId="4" xfId="2" applyNumberFormat="1" applyFont="1" applyFill="1" applyBorder="1"/>
    <xf numFmtId="0" fontId="15" fillId="0" borderId="0" xfId="0" applyFont="1"/>
    <xf numFmtId="0" fontId="2" fillId="4" borderId="0" xfId="2" applyFill="1" applyAlignment="1">
      <alignment horizontal="center"/>
    </xf>
    <xf numFmtId="0" fontId="2" fillId="0" borderId="6" xfId="2" applyBorder="1" applyAlignment="1">
      <alignment vertical="center"/>
    </xf>
    <xf numFmtId="0" fontId="2" fillId="5" borderId="2" xfId="2" applyFill="1" applyBorder="1"/>
    <xf numFmtId="1" fontId="2" fillId="0" borderId="4" xfId="2" applyNumberFormat="1" applyBorder="1" applyAlignment="1">
      <alignment horizontal="center"/>
    </xf>
    <xf numFmtId="0" fontId="2" fillId="0" borderId="11" xfId="2" applyBorder="1" applyAlignment="1">
      <alignment vertical="center"/>
    </xf>
    <xf numFmtId="0" fontId="2" fillId="5" borderId="4" xfId="2" applyFill="1" applyBorder="1"/>
    <xf numFmtId="0" fontId="4" fillId="0" borderId="0" xfId="2" applyFont="1" applyAlignment="1">
      <alignment vertical="center"/>
    </xf>
    <xf numFmtId="44" fontId="4" fillId="0" borderId="0" xfId="2" applyNumberFormat="1" applyFont="1"/>
    <xf numFmtId="0" fontId="4" fillId="6" borderId="4" xfId="2" applyFont="1" applyFill="1" applyBorder="1"/>
    <xf numFmtId="0" fontId="2" fillId="6" borderId="5" xfId="2" applyFill="1" applyBorder="1"/>
    <xf numFmtId="0" fontId="2" fillId="6" borderId="5" xfId="2" applyFill="1" applyBorder="1" applyAlignment="1">
      <alignment horizontal="center"/>
    </xf>
    <xf numFmtId="165" fontId="4" fillId="6" borderId="7" xfId="2" applyNumberFormat="1" applyFont="1" applyFill="1" applyBorder="1"/>
    <xf numFmtId="0" fontId="2" fillId="8" borderId="4" xfId="2" applyFill="1" applyBorder="1"/>
    <xf numFmtId="0" fontId="4" fillId="8" borderId="8" xfId="2" applyFont="1" applyFill="1" applyBorder="1" applyAlignment="1">
      <alignment vertical="center"/>
    </xf>
    <xf numFmtId="0" fontId="4" fillId="8" borderId="8" xfId="2" applyFont="1" applyFill="1" applyBorder="1"/>
    <xf numFmtId="0" fontId="4" fillId="8" borderId="8" xfId="2" applyFont="1" applyFill="1" applyBorder="1" applyAlignment="1">
      <alignment horizontal="center"/>
    </xf>
    <xf numFmtId="165" fontId="4" fillId="8" borderId="9" xfId="2" applyNumberFormat="1" applyFont="1" applyFill="1" applyBorder="1" applyAlignment="1">
      <alignment horizontal="left"/>
    </xf>
    <xf numFmtId="165" fontId="4" fillId="8" borderId="8" xfId="2" applyNumberFormat="1" applyFont="1" applyFill="1" applyBorder="1" applyAlignment="1">
      <alignment horizontal="left"/>
    </xf>
    <xf numFmtId="165" fontId="14" fillId="7" borderId="4" xfId="2" applyNumberFormat="1" applyFont="1" applyFill="1" applyBorder="1"/>
    <xf numFmtId="165" fontId="2" fillId="4" borderId="4" xfId="3" applyNumberFormat="1" applyFont="1" applyFill="1" applyBorder="1" applyAlignment="1" applyProtection="1">
      <alignment horizontal="center" vertical="center"/>
    </xf>
    <xf numFmtId="165" fontId="14" fillId="7" borderId="4" xfId="5" applyNumberFormat="1" applyFont="1" applyFill="1" applyBorder="1" applyAlignment="1" applyProtection="1">
      <alignment horizontal="center" vertical="center"/>
    </xf>
    <xf numFmtId="165" fontId="14" fillId="7" borderId="4" xfId="2" applyNumberFormat="1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 vertical="top"/>
    </xf>
    <xf numFmtId="0" fontId="4" fillId="3" borderId="13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4" xfId="2" applyFont="1" applyFill="1" applyBorder="1" applyAlignment="1">
      <alignment horizontal="center" wrapText="1"/>
    </xf>
    <xf numFmtId="0" fontId="4" fillId="3" borderId="5" xfId="2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4" fillId="3" borderId="4" xfId="2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</cellXfs>
  <cellStyles count="6">
    <cellStyle name="Comma" xfId="5" builtinId="3"/>
    <cellStyle name="Comma 2" xfId="3" xr:uid="{CC5E3BE9-65B2-42C8-A2A9-4682670F647E}"/>
    <cellStyle name="Currency 3" xfId="4" xr:uid="{D3DD91E1-C6D9-4CCE-BA95-78154B0751FA}"/>
    <cellStyle name="Normal" xfId="0" builtinId="0"/>
    <cellStyle name="Normal 3" xfId="2" xr:uid="{DF13ED53-7DC8-4270-AA1F-A63C2E91121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F%20Advisory%20and%20Reporting%20Services%20Detail%20Pricing%20Model%20-%20Final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 Provisional Billing Rates"/>
      <sheetName val="2. Ceiling Indirect Cost Rates"/>
      <sheetName val="3. NTE Labor Rates"/>
      <sheetName val="4. NTE Equip Prices"/>
      <sheetName val="5. IDIQ Prices"/>
      <sheetName val="6.  NTE Overtime Labor Rates"/>
      <sheetName val="Variables"/>
      <sheetName val="Labor BOE"/>
      <sheetName val="Selected Hourly Rate"/>
      <sheetName val="Fringe BuildUp"/>
      <sheetName val="Labor Build Up"/>
      <sheetName val="Equipment Buildup"/>
      <sheetName val="ODC Pricing Table"/>
      <sheetName val=" ODC's Detail"/>
      <sheetName val="Indirect Rates Details"/>
      <sheetName val="Indirect Rates Table"/>
      <sheetName val="Indirect Ceiling Rate Build Up"/>
      <sheetName val="NTE Gro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B7">
            <v>7.2499999999999995E-2</v>
          </cell>
          <cell r="C7">
            <v>7.2499999999999995E-2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</row>
        <row r="8">
          <cell r="B8">
            <v>4.2500000000000003E-2</v>
          </cell>
          <cell r="C8">
            <v>4.2500000000000003E-2</v>
          </cell>
          <cell r="D8">
            <v>0.04</v>
          </cell>
          <cell r="E8">
            <v>0.04</v>
          </cell>
          <cell r="F8">
            <v>0.04</v>
          </cell>
          <cell r="G8">
            <v>0.04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2">
          <cell r="B12">
            <v>0.12820512820512819</v>
          </cell>
          <cell r="C12">
            <v>0.1275</v>
          </cell>
          <cell r="D12">
            <v>0.125</v>
          </cell>
          <cell r="E12">
            <v>0.125</v>
          </cell>
          <cell r="F12">
            <v>0.125</v>
          </cell>
          <cell r="G12">
            <v>0.125</v>
          </cell>
        </row>
        <row r="13">
          <cell r="B13">
            <v>7.179487179487179E-2</v>
          </cell>
          <cell r="C13">
            <v>7.0999999999999994E-2</v>
          </cell>
          <cell r="D13">
            <v>7.0000000000000007E-2</v>
          </cell>
          <cell r="E13">
            <v>7.0000000000000007E-2</v>
          </cell>
          <cell r="F13">
            <v>7.0000000000000007E-2</v>
          </cell>
          <cell r="G13">
            <v>7.0000000000000007E-2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60">
          <cell r="C60">
            <v>0.05</v>
          </cell>
        </row>
        <row r="61">
          <cell r="C61">
            <v>0.05</v>
          </cell>
        </row>
      </sheetData>
      <sheetData sheetId="8"/>
      <sheetData sheetId="9"/>
      <sheetData sheetId="10">
        <row r="3">
          <cell r="H3">
            <v>0.31926410767495672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6768-639D-4F66-9C19-1B5BBFA012EE}">
  <sheetPr>
    <tabColor rgb="FFFFFF00"/>
    <pageSetUpPr fitToPage="1"/>
  </sheetPr>
  <dimension ref="A1:F26"/>
  <sheetViews>
    <sheetView zoomScale="85" zoomScaleNormal="85" workbookViewId="0">
      <selection sqref="A1:E24"/>
    </sheetView>
  </sheetViews>
  <sheetFormatPr defaultColWidth="9.28515625" defaultRowHeight="15"/>
  <cols>
    <col min="1" max="1" width="43.7109375" style="21" customWidth="1"/>
    <col min="2" max="2" width="20.28515625" style="21" bestFit="1" customWidth="1"/>
    <col min="3" max="3" width="72.7109375" style="21" customWidth="1"/>
    <col min="4" max="4" width="35.7109375" style="21" customWidth="1"/>
    <col min="5" max="5" width="45.5703125" style="21" customWidth="1"/>
    <col min="6" max="16384" width="9.28515625" style="21"/>
  </cols>
  <sheetData>
    <row r="1" spans="1:6" ht="15.75">
      <c r="A1" s="22" t="s">
        <v>0</v>
      </c>
    </row>
    <row r="2" spans="1:6" ht="15.75">
      <c r="A2" s="22"/>
    </row>
    <row r="3" spans="1:6" ht="15.75">
      <c r="C3" s="23" t="s">
        <v>1</v>
      </c>
      <c r="D3" s="24"/>
      <c r="E3" s="24"/>
    </row>
    <row r="4" spans="1:6" ht="15.75">
      <c r="C4" s="22"/>
      <c r="D4" s="24"/>
      <c r="E4" s="24"/>
    </row>
    <row r="5" spans="1:6" ht="51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97</v>
      </c>
      <c r="F5" s="25"/>
    </row>
    <row r="6" spans="1:6" s="26" customFormat="1">
      <c r="A6" s="9" t="s">
        <v>6</v>
      </c>
      <c r="B6" s="10"/>
      <c r="C6" s="11"/>
      <c r="D6" s="11"/>
      <c r="E6" s="12"/>
    </row>
    <row r="7" spans="1:6" s="26" customFormat="1">
      <c r="A7" s="13"/>
      <c r="B7" s="14"/>
      <c r="C7" s="15"/>
      <c r="D7" s="15"/>
      <c r="E7" s="16"/>
    </row>
    <row r="8" spans="1:6" s="26" customFormat="1">
      <c r="A8" s="13"/>
      <c r="B8" s="14"/>
      <c r="C8" s="15"/>
      <c r="D8" s="15"/>
      <c r="E8" s="16"/>
    </row>
    <row r="9" spans="1:6" s="26" customFormat="1">
      <c r="A9" s="13" t="s">
        <v>94</v>
      </c>
      <c r="B9" s="14"/>
      <c r="C9" s="15"/>
      <c r="D9" s="15"/>
      <c r="E9" s="16"/>
    </row>
    <row r="10" spans="1:6" s="26" customFormat="1">
      <c r="A10" s="13"/>
      <c r="B10" s="14"/>
      <c r="C10" s="15"/>
      <c r="D10" s="15"/>
      <c r="E10" s="16"/>
    </row>
    <row r="11" spans="1:6" s="26" customFormat="1">
      <c r="A11" s="17"/>
      <c r="B11" s="18"/>
      <c r="C11" s="19"/>
      <c r="D11" s="19"/>
      <c r="E11" s="20"/>
    </row>
    <row r="13" spans="1:6">
      <c r="A13" s="33"/>
      <c r="B13" s="33"/>
      <c r="C13" s="33"/>
      <c r="D13" s="33"/>
      <c r="E13" s="33"/>
    </row>
    <row r="14" spans="1:6" s="27" customFormat="1"/>
    <row r="15" spans="1:6" s="27" customFormat="1" ht="15.75">
      <c r="A15" s="57" t="s">
        <v>8</v>
      </c>
    </row>
    <row r="16" spans="1:6" s="27" customFormat="1"/>
    <row r="17" spans="1:6" s="27" customFormat="1" ht="63.75" thickBot="1">
      <c r="A17" s="46" t="s">
        <v>9</v>
      </c>
      <c r="B17" s="46" t="s">
        <v>3</v>
      </c>
      <c r="C17" s="46" t="s">
        <v>10</v>
      </c>
      <c r="D17" s="46" t="s">
        <v>11</v>
      </c>
      <c r="E17" s="46" t="s">
        <v>12</v>
      </c>
      <c r="F17" s="28"/>
    </row>
    <row r="18" spans="1:6" s="27" customFormat="1" ht="30">
      <c r="A18" s="29" t="s">
        <v>14</v>
      </c>
      <c r="B18" s="30">
        <v>0.29749999999999999</v>
      </c>
      <c r="C18" s="31" t="s">
        <v>95</v>
      </c>
      <c r="D18" s="32" t="s">
        <v>13</v>
      </c>
      <c r="E18" s="31" t="s">
        <v>15</v>
      </c>
      <c r="F18" s="28"/>
    </row>
    <row r="19" spans="1:6" s="27" customFormat="1" ht="30">
      <c r="A19" s="29" t="s">
        <v>14</v>
      </c>
      <c r="B19" s="30">
        <v>0.29730000000000001</v>
      </c>
      <c r="C19" s="31" t="s">
        <v>95</v>
      </c>
      <c r="D19" s="32" t="s">
        <v>13</v>
      </c>
      <c r="E19" s="31" t="s">
        <v>16</v>
      </c>
      <c r="F19" s="28"/>
    </row>
    <row r="20" spans="1:6" s="27" customFormat="1" ht="30">
      <c r="A20" s="29" t="s">
        <v>14</v>
      </c>
      <c r="B20" s="30">
        <v>0.29699999999999999</v>
      </c>
      <c r="C20" s="31" t="s">
        <v>95</v>
      </c>
      <c r="D20" s="32" t="s">
        <v>13</v>
      </c>
      <c r="E20" s="31" t="s">
        <v>17</v>
      </c>
      <c r="F20" s="28"/>
    </row>
    <row r="21" spans="1:6" s="27" customFormat="1" ht="30">
      <c r="A21" s="29" t="s">
        <v>14</v>
      </c>
      <c r="B21" s="30">
        <v>0.29699999999999999</v>
      </c>
      <c r="C21" s="31" t="s">
        <v>95</v>
      </c>
      <c r="D21" s="32" t="s">
        <v>13</v>
      </c>
      <c r="E21" s="31" t="s">
        <v>18</v>
      </c>
      <c r="F21" s="28"/>
    </row>
    <row r="22" spans="1:6" s="27" customFormat="1" ht="30">
      <c r="A22" s="29" t="s">
        <v>14</v>
      </c>
      <c r="B22" s="30">
        <v>0.29699999999999999</v>
      </c>
      <c r="C22" s="31" t="s">
        <v>95</v>
      </c>
      <c r="D22" s="32" t="s">
        <v>13</v>
      </c>
      <c r="E22" s="31" t="s">
        <v>19</v>
      </c>
      <c r="F22" s="28"/>
    </row>
    <row r="23" spans="1:6" s="27" customFormat="1" ht="30">
      <c r="A23" s="29" t="s">
        <v>14</v>
      </c>
      <c r="B23" s="30">
        <v>0.29699999999999999</v>
      </c>
      <c r="C23" s="31" t="s">
        <v>95</v>
      </c>
      <c r="D23" s="32" t="s">
        <v>13</v>
      </c>
      <c r="E23" s="31" t="s">
        <v>20</v>
      </c>
      <c r="F23" s="28"/>
    </row>
    <row r="24" spans="1:6" s="27" customFormat="1" ht="30">
      <c r="A24" s="29" t="s">
        <v>14</v>
      </c>
      <c r="B24" s="30">
        <v>0.29699999999999999</v>
      </c>
      <c r="C24" s="31" t="s">
        <v>95</v>
      </c>
      <c r="D24" s="32" t="s">
        <v>13</v>
      </c>
      <c r="E24" s="31" t="s">
        <v>96</v>
      </c>
      <c r="F24" s="28"/>
    </row>
    <row r="26" spans="1:6">
      <c r="B26" s="21" t="s">
        <v>21</v>
      </c>
    </row>
  </sheetData>
  <pageMargins left="0.7" right="0.7" top="0.75" bottom="0.75" header="0.3" footer="0.3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5FB1-2458-4791-9461-0A02497C573D}">
  <sheetPr>
    <tabColor rgb="FFFFFF00"/>
    <pageSetUpPr fitToPage="1"/>
  </sheetPr>
  <dimension ref="A1:F26"/>
  <sheetViews>
    <sheetView zoomScale="85" zoomScaleNormal="85" workbookViewId="0">
      <selection sqref="A1:E24"/>
    </sheetView>
  </sheetViews>
  <sheetFormatPr defaultColWidth="9.28515625" defaultRowHeight="15"/>
  <cols>
    <col min="1" max="1" width="43.7109375" style="21" customWidth="1"/>
    <col min="2" max="2" width="20.28515625" style="21" bestFit="1" customWidth="1"/>
    <col min="3" max="3" width="67.7109375" style="21" customWidth="1"/>
    <col min="4" max="4" width="35.7109375" style="21" customWidth="1"/>
    <col min="5" max="5" width="45.5703125" style="21" customWidth="1"/>
    <col min="6" max="16384" width="9.28515625" style="21"/>
  </cols>
  <sheetData>
    <row r="1" spans="1:6" ht="15.75">
      <c r="A1" s="22" t="s">
        <v>22</v>
      </c>
    </row>
    <row r="2" spans="1:6" ht="15.75">
      <c r="A2" s="22"/>
    </row>
    <row r="3" spans="1:6" ht="15.75">
      <c r="C3" s="23" t="s">
        <v>23</v>
      </c>
      <c r="D3" s="24"/>
      <c r="E3" s="24"/>
    </row>
    <row r="4" spans="1:6" ht="15.75">
      <c r="C4" s="22"/>
      <c r="D4" s="24"/>
      <c r="E4" s="24"/>
    </row>
    <row r="5" spans="1:6" ht="63">
      <c r="A5" s="8" t="s">
        <v>2</v>
      </c>
      <c r="B5" s="8" t="s">
        <v>24</v>
      </c>
      <c r="C5" s="8" t="s">
        <v>25</v>
      </c>
      <c r="D5" s="8" t="s">
        <v>5</v>
      </c>
      <c r="E5" s="8" t="s">
        <v>97</v>
      </c>
      <c r="F5" s="25"/>
    </row>
    <row r="6" spans="1:6" s="26" customFormat="1">
      <c r="A6" s="34" t="s">
        <v>6</v>
      </c>
      <c r="B6" s="35"/>
      <c r="C6" s="36"/>
      <c r="D6" s="36"/>
      <c r="E6" s="37"/>
    </row>
    <row r="7" spans="1:6" s="26" customFormat="1">
      <c r="A7" s="38"/>
      <c r="B7" s="39"/>
      <c r="C7" s="40"/>
      <c r="D7" s="40"/>
      <c r="E7" s="41"/>
    </row>
    <row r="8" spans="1:6" s="26" customFormat="1">
      <c r="A8" s="38"/>
      <c r="B8" s="39"/>
      <c r="C8" s="40"/>
      <c r="D8" s="40"/>
      <c r="E8" s="41"/>
    </row>
    <row r="9" spans="1:6" s="26" customFormat="1">
      <c r="A9" s="38" t="s">
        <v>7</v>
      </c>
      <c r="B9" s="39"/>
      <c r="C9" s="40"/>
      <c r="D9" s="40"/>
      <c r="E9" s="41"/>
    </row>
    <row r="10" spans="1:6" s="26" customFormat="1">
      <c r="A10" s="38"/>
      <c r="B10" s="39"/>
      <c r="C10" s="40"/>
      <c r="D10" s="40"/>
      <c r="E10" s="41"/>
    </row>
    <row r="11" spans="1:6" s="26" customFormat="1">
      <c r="A11" s="42"/>
      <c r="B11" s="43"/>
      <c r="C11" s="44"/>
      <c r="D11" s="44"/>
      <c r="E11" s="45"/>
    </row>
    <row r="12" spans="1:6" s="26" customFormat="1">
      <c r="A12" s="21"/>
      <c r="B12" s="21"/>
      <c r="C12" s="21"/>
      <c r="D12" s="21"/>
      <c r="E12" s="21"/>
    </row>
    <row r="13" spans="1:6">
      <c r="A13" s="33"/>
      <c r="B13" s="33"/>
      <c r="C13" s="33"/>
      <c r="D13" s="33"/>
      <c r="E13" s="33"/>
    </row>
    <row r="14" spans="1:6" s="26" customFormat="1">
      <c r="A14" s="21"/>
      <c r="B14" s="21"/>
      <c r="C14" s="21"/>
      <c r="D14" s="21"/>
      <c r="E14" s="21"/>
    </row>
    <row r="15" spans="1:6" s="27" customFormat="1" ht="15.75">
      <c r="A15" s="57" t="s">
        <v>8</v>
      </c>
    </row>
    <row r="16" spans="1:6" s="27" customFormat="1"/>
    <row r="17" spans="1:6" s="27" customFormat="1" ht="48" thickBot="1">
      <c r="A17" s="46" t="s">
        <v>9</v>
      </c>
      <c r="B17" s="46" t="s">
        <v>24</v>
      </c>
      <c r="C17" s="46" t="s">
        <v>26</v>
      </c>
      <c r="D17" s="46" t="s">
        <v>11</v>
      </c>
      <c r="E17" s="46" t="s">
        <v>12</v>
      </c>
      <c r="F17" s="28"/>
    </row>
    <row r="18" spans="1:6" s="27" customFormat="1" ht="30">
      <c r="A18" s="29" t="s">
        <v>14</v>
      </c>
      <c r="B18" s="30">
        <v>0.29749999999999999</v>
      </c>
      <c r="C18" s="31" t="s">
        <v>95</v>
      </c>
      <c r="D18" s="32" t="s">
        <v>13</v>
      </c>
      <c r="E18" s="31" t="s">
        <v>15</v>
      </c>
      <c r="F18" s="28"/>
    </row>
    <row r="19" spans="1:6" s="27" customFormat="1" ht="30">
      <c r="A19" s="29" t="s">
        <v>14</v>
      </c>
      <c r="B19" s="30">
        <v>0.29730000000000001</v>
      </c>
      <c r="C19" s="31" t="s">
        <v>95</v>
      </c>
      <c r="D19" s="32" t="s">
        <v>13</v>
      </c>
      <c r="E19" s="31" t="s">
        <v>16</v>
      </c>
      <c r="F19" s="28"/>
    </row>
    <row r="20" spans="1:6" s="27" customFormat="1" ht="30">
      <c r="A20" s="29" t="s">
        <v>14</v>
      </c>
      <c r="B20" s="30">
        <v>0.29699999999999999</v>
      </c>
      <c r="C20" s="31" t="s">
        <v>95</v>
      </c>
      <c r="D20" s="32" t="s">
        <v>13</v>
      </c>
      <c r="E20" s="31" t="s">
        <v>17</v>
      </c>
      <c r="F20" s="28"/>
    </row>
    <row r="21" spans="1:6" s="27" customFormat="1" ht="30">
      <c r="A21" s="29" t="s">
        <v>14</v>
      </c>
      <c r="B21" s="30">
        <v>0.29699999999999999</v>
      </c>
      <c r="C21" s="31" t="s">
        <v>95</v>
      </c>
      <c r="D21" s="32" t="s">
        <v>13</v>
      </c>
      <c r="E21" s="31" t="s">
        <v>18</v>
      </c>
      <c r="F21" s="28"/>
    </row>
    <row r="22" spans="1:6" s="27" customFormat="1" ht="30">
      <c r="A22" s="29" t="s">
        <v>14</v>
      </c>
      <c r="B22" s="30">
        <v>0.29699999999999999</v>
      </c>
      <c r="C22" s="31" t="s">
        <v>95</v>
      </c>
      <c r="D22" s="32" t="s">
        <v>13</v>
      </c>
      <c r="E22" s="31" t="s">
        <v>19</v>
      </c>
      <c r="F22" s="28"/>
    </row>
    <row r="23" spans="1:6" s="27" customFormat="1" ht="30">
      <c r="A23" s="29" t="s">
        <v>14</v>
      </c>
      <c r="B23" s="30">
        <v>0.29699999999999999</v>
      </c>
      <c r="C23" s="31" t="s">
        <v>95</v>
      </c>
      <c r="D23" s="32" t="s">
        <v>13</v>
      </c>
      <c r="E23" s="31" t="s">
        <v>20</v>
      </c>
      <c r="F23" s="28"/>
    </row>
    <row r="24" spans="1:6" s="27" customFormat="1" ht="30">
      <c r="A24" s="29" t="s">
        <v>14</v>
      </c>
      <c r="B24" s="30">
        <v>0.29699999999999999</v>
      </c>
      <c r="C24" s="31" t="s">
        <v>95</v>
      </c>
      <c r="D24" s="32" t="s">
        <v>13</v>
      </c>
      <c r="E24" s="31" t="s">
        <v>96</v>
      </c>
      <c r="F24" s="28"/>
    </row>
    <row r="26" spans="1:6">
      <c r="B26" s="21" t="s">
        <v>21</v>
      </c>
    </row>
  </sheetData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99EE-96F0-46B3-A5A0-48AE498CC668}">
  <sheetPr>
    <tabColor rgb="FF0070C0"/>
    <pageSetUpPr fitToPage="1"/>
  </sheetPr>
  <dimension ref="A1:F15"/>
  <sheetViews>
    <sheetView workbookViewId="0">
      <selection sqref="A1:F15"/>
    </sheetView>
  </sheetViews>
  <sheetFormatPr defaultColWidth="8.85546875" defaultRowHeight="15"/>
  <cols>
    <col min="1" max="1" width="19.42578125" style="21" customWidth="1"/>
    <col min="2" max="2" width="19.7109375" style="21" customWidth="1"/>
    <col min="3" max="5" width="20.28515625" style="21" customWidth="1"/>
    <col min="6" max="6" width="19.7109375" style="21" customWidth="1"/>
    <col min="7" max="16384" width="8.85546875" style="21"/>
  </cols>
  <sheetData>
    <row r="1" spans="1:6" ht="15.75">
      <c r="A1" s="52" t="s">
        <v>27</v>
      </c>
      <c r="B1" s="53"/>
      <c r="C1" s="54"/>
      <c r="D1" s="54"/>
      <c r="E1" s="54"/>
      <c r="F1" s="53"/>
    </row>
    <row r="2" spans="1:6" ht="15.75">
      <c r="A2" s="52"/>
      <c r="B2" s="53"/>
      <c r="C2" s="54"/>
      <c r="D2" s="54"/>
      <c r="E2" s="54"/>
      <c r="F2" s="53"/>
    </row>
    <row r="3" spans="1:6" ht="15.75">
      <c r="B3" s="52" t="s">
        <v>28</v>
      </c>
      <c r="C3" s="52"/>
      <c r="D3" s="52"/>
      <c r="E3" s="52"/>
      <c r="F3" s="53"/>
    </row>
    <row r="4" spans="1:6">
      <c r="A4" s="53"/>
      <c r="B4" s="53"/>
      <c r="C4" s="53"/>
      <c r="D4" s="53"/>
      <c r="E4" s="53"/>
      <c r="F4" s="53"/>
    </row>
    <row r="5" spans="1:6">
      <c r="A5" s="53"/>
      <c r="B5" s="53"/>
      <c r="C5" s="53"/>
      <c r="D5" s="53"/>
      <c r="E5" s="53"/>
      <c r="F5" s="53"/>
    </row>
    <row r="6" spans="1:6" ht="15.75">
      <c r="A6" s="99" t="s">
        <v>29</v>
      </c>
      <c r="B6" s="99"/>
      <c r="C6" s="99"/>
      <c r="D6" s="99"/>
      <c r="E6" s="99"/>
      <c r="F6" s="99"/>
    </row>
    <row r="7" spans="1:6" ht="47.25">
      <c r="A7" s="55" t="s">
        <v>30</v>
      </c>
      <c r="B7" s="55" t="s">
        <v>31</v>
      </c>
      <c r="C7" s="55" t="s">
        <v>32</v>
      </c>
      <c r="D7" s="55" t="s">
        <v>33</v>
      </c>
      <c r="E7" s="55" t="s">
        <v>34</v>
      </c>
      <c r="F7" s="55" t="s">
        <v>35</v>
      </c>
    </row>
    <row r="8" spans="1:6">
      <c r="A8" s="47"/>
      <c r="B8" s="47"/>
      <c r="C8" s="47"/>
      <c r="D8" s="47"/>
      <c r="E8" s="47"/>
      <c r="F8" s="47"/>
    </row>
    <row r="9" spans="1:6">
      <c r="A9" s="48"/>
      <c r="B9" s="48"/>
      <c r="C9" s="48"/>
      <c r="D9" s="48"/>
      <c r="E9" s="48"/>
      <c r="F9" s="53"/>
    </row>
    <row r="10" spans="1:6">
      <c r="A10" s="48"/>
      <c r="B10" s="48"/>
      <c r="C10" s="48"/>
      <c r="D10" s="48"/>
      <c r="E10" s="48"/>
      <c r="F10" s="53"/>
    </row>
    <row r="11" spans="1:6">
      <c r="A11" s="48"/>
      <c r="B11" s="48"/>
      <c r="C11" s="48"/>
      <c r="D11" s="48"/>
      <c r="E11" s="48"/>
      <c r="F11" s="53"/>
    </row>
    <row r="12" spans="1:6">
      <c r="A12" s="53"/>
      <c r="B12" s="53"/>
      <c r="C12" s="56"/>
      <c r="D12" s="56"/>
      <c r="E12" s="56"/>
      <c r="F12" s="53"/>
    </row>
    <row r="13" spans="1:6" ht="15.75">
      <c r="A13" s="99" t="s">
        <v>36</v>
      </c>
      <c r="B13" s="99"/>
      <c r="C13" s="99"/>
      <c r="D13" s="99"/>
      <c r="E13" s="99"/>
      <c r="F13" s="99"/>
    </row>
    <row r="14" spans="1:6" ht="47.25">
      <c r="A14" s="55" t="s">
        <v>30</v>
      </c>
      <c r="B14" s="55" t="s">
        <v>31</v>
      </c>
      <c r="C14" s="55" t="s">
        <v>32</v>
      </c>
      <c r="D14" s="55" t="s">
        <v>33</v>
      </c>
      <c r="E14" s="55" t="s">
        <v>34</v>
      </c>
      <c r="F14" s="55" t="s">
        <v>35</v>
      </c>
    </row>
    <row r="15" spans="1:6">
      <c r="A15" s="47"/>
      <c r="B15" s="47"/>
      <c r="C15" s="47"/>
      <c r="D15" s="47"/>
      <c r="E15" s="47"/>
      <c r="F15" s="47"/>
    </row>
  </sheetData>
  <sheetProtection algorithmName="SHA-512" hashValue="5AyyflafezjmOlA3gzpMs6XdVnRCbLRtSBJoGjMl/E81feMNHcjl+Y7C6p3UPZOAnQLzWecjDuFo0wzOh6Bb+A==" saltValue="xxfydYWARAH7PutS+6GTGA==" spinCount="100000" sheet="1" objects="1" scenarios="1"/>
  <mergeCells count="2">
    <mergeCell ref="A6:F6"/>
    <mergeCell ref="A13:F13"/>
  </mergeCells>
  <dataValidations count="1">
    <dataValidation type="decimal" allowBlank="1" showInputMessage="1" showErrorMessage="1" error="The Proposed NTE Profit/Fee Percentages must be 10.00% or less." sqref="A15:F15 A8:F8" xr:uid="{CC66A4DD-72CD-4F5C-BB15-7139F0F40E67}">
      <formula1>0</formula1>
      <formula2>0.1</formula2>
    </dataValidation>
  </dataValidation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D032-CB37-4DB8-84DC-BB764F07F24C}">
  <sheetPr>
    <tabColor rgb="FF00B050"/>
    <pageSetUpPr fitToPage="1"/>
  </sheetPr>
  <dimension ref="A1:AB51"/>
  <sheetViews>
    <sheetView tabSelected="1" topLeftCell="B1" zoomScale="70" zoomScaleNormal="70" workbookViewId="0">
      <selection activeCell="B15" sqref="B15"/>
    </sheetView>
  </sheetViews>
  <sheetFormatPr defaultRowHeight="15"/>
  <cols>
    <col min="1" max="1" width="8.7109375" style="62" customWidth="1"/>
    <col min="2" max="2" width="60.28515625" style="62" customWidth="1"/>
    <col min="3" max="3" width="11.140625" style="62" customWidth="1"/>
    <col min="4" max="4" width="2.28515625" style="63" customWidth="1"/>
    <col min="5" max="5" width="10.140625" style="63" customWidth="1"/>
    <col min="6" max="6" width="17.28515625" style="63" customWidth="1"/>
    <col min="7" max="7" width="18.7109375" style="62" customWidth="1"/>
    <col min="8" max="8" width="2.28515625" style="62" customWidth="1"/>
    <col min="9" max="9" width="11.7109375" style="63" customWidth="1"/>
    <col min="10" max="10" width="18.28515625" style="63" customWidth="1"/>
    <col min="11" max="11" width="20.5703125" style="62" customWidth="1"/>
    <col min="12" max="12" width="1.7109375" style="62" customWidth="1"/>
    <col min="13" max="13" width="11.7109375" style="63" customWidth="1"/>
    <col min="14" max="14" width="17.7109375" style="63" customWidth="1"/>
    <col min="15" max="15" width="20.5703125" style="62" customWidth="1"/>
    <col min="16" max="16" width="1.7109375" style="62" customWidth="1"/>
    <col min="17" max="17" width="11.7109375" style="63" customWidth="1"/>
    <col min="18" max="18" width="17.42578125" style="63" customWidth="1"/>
    <col min="19" max="19" width="21.5703125" style="62" bestFit="1" customWidth="1"/>
    <col min="20" max="20" width="1.7109375" style="62" customWidth="1"/>
    <col min="21" max="21" width="11.7109375" style="63" customWidth="1"/>
    <col min="22" max="22" width="17.28515625" style="63" customWidth="1"/>
    <col min="23" max="23" width="20.5703125" style="62" customWidth="1"/>
    <col min="24" max="24" width="1.7109375" style="62" customWidth="1"/>
    <col min="25" max="25" width="11.7109375" style="63" customWidth="1"/>
    <col min="26" max="26" width="18.28515625" style="62" customWidth="1"/>
    <col min="27" max="27" width="18.7109375" style="62" customWidth="1"/>
    <col min="28" max="28" width="2.42578125" style="62" customWidth="1"/>
  </cols>
  <sheetData>
    <row r="1" spans="1:28" ht="20.45" customHeight="1">
      <c r="A1" s="61" t="s">
        <v>37</v>
      </c>
    </row>
    <row r="3" spans="1:28">
      <c r="A3" s="105" t="s">
        <v>38</v>
      </c>
      <c r="B3" s="105" t="s">
        <v>120</v>
      </c>
      <c r="C3" s="102" t="s">
        <v>39</v>
      </c>
      <c r="D3" s="65"/>
      <c r="E3" s="103" t="s">
        <v>30</v>
      </c>
      <c r="F3" s="103"/>
      <c r="G3" s="104"/>
      <c r="H3" s="66"/>
      <c r="I3" s="100" t="s">
        <v>31</v>
      </c>
      <c r="J3" s="100"/>
      <c r="K3" s="101"/>
      <c r="L3" s="66"/>
      <c r="M3" s="100" t="s">
        <v>32</v>
      </c>
      <c r="N3" s="100"/>
      <c r="O3" s="101"/>
      <c r="P3" s="66"/>
      <c r="Q3" s="100" t="s">
        <v>33</v>
      </c>
      <c r="R3" s="100"/>
      <c r="S3" s="101"/>
      <c r="T3" s="66"/>
      <c r="U3" s="100" t="s">
        <v>34</v>
      </c>
      <c r="V3" s="100"/>
      <c r="W3" s="101"/>
      <c r="X3" s="66"/>
      <c r="Y3" s="100" t="s">
        <v>41</v>
      </c>
      <c r="Z3" s="100"/>
      <c r="AA3" s="101"/>
      <c r="AB3" s="66"/>
    </row>
    <row r="4" spans="1:28" ht="51.75">
      <c r="A4" s="105"/>
      <c r="B4" s="105"/>
      <c r="C4" s="102"/>
      <c r="D4" s="67"/>
      <c r="E4" s="64" t="s">
        <v>40</v>
      </c>
      <c r="F4" s="64" t="s">
        <v>42</v>
      </c>
      <c r="G4" s="64" t="s">
        <v>43</v>
      </c>
      <c r="H4" s="68"/>
      <c r="I4" s="64" t="s">
        <v>40</v>
      </c>
      <c r="J4" s="64" t="s">
        <v>42</v>
      </c>
      <c r="K4" s="64" t="s">
        <v>43</v>
      </c>
      <c r="L4" s="68"/>
      <c r="M4" s="64" t="s">
        <v>40</v>
      </c>
      <c r="N4" s="64" t="s">
        <v>42</v>
      </c>
      <c r="O4" s="64" t="s">
        <v>43</v>
      </c>
      <c r="P4" s="68"/>
      <c r="Q4" s="64" t="s">
        <v>40</v>
      </c>
      <c r="R4" s="64" t="s">
        <v>42</v>
      </c>
      <c r="S4" s="64" t="s">
        <v>43</v>
      </c>
      <c r="T4" s="68"/>
      <c r="U4" s="64" t="s">
        <v>40</v>
      </c>
      <c r="V4" s="64" t="s">
        <v>42</v>
      </c>
      <c r="W4" s="64" t="s">
        <v>43</v>
      </c>
      <c r="X4" s="68"/>
      <c r="Y4" s="64" t="s">
        <v>40</v>
      </c>
      <c r="Z4" s="64" t="s">
        <v>42</v>
      </c>
      <c r="AA4" s="64" t="s">
        <v>43</v>
      </c>
      <c r="AB4" s="68"/>
    </row>
    <row r="5" spans="1:28">
      <c r="A5" s="69" t="s">
        <v>44</v>
      </c>
      <c r="B5" s="70" t="s">
        <v>99</v>
      </c>
      <c r="C5" s="58">
        <v>1872</v>
      </c>
      <c r="D5" s="1"/>
      <c r="E5" s="49">
        <v>1</v>
      </c>
      <c r="F5" s="50"/>
      <c r="G5" s="2">
        <f>SUM($C5*E5)*F5</f>
        <v>0</v>
      </c>
      <c r="H5" s="66"/>
      <c r="I5" s="49">
        <v>1</v>
      </c>
      <c r="J5" s="50"/>
      <c r="K5" s="2">
        <f>SUM($C5*I5)*J5</f>
        <v>0</v>
      </c>
      <c r="L5" s="66"/>
      <c r="M5" s="49">
        <v>1</v>
      </c>
      <c r="N5" s="50"/>
      <c r="O5" s="2">
        <f>SUM($C5*M5)*N5</f>
        <v>0</v>
      </c>
      <c r="P5" s="66"/>
      <c r="Q5" s="49">
        <v>1</v>
      </c>
      <c r="R5" s="50"/>
      <c r="S5" s="2">
        <f>SUM($C5*Q5)*R5</f>
        <v>0</v>
      </c>
      <c r="T5" s="66"/>
      <c r="U5" s="49">
        <v>1</v>
      </c>
      <c r="V5" s="50"/>
      <c r="W5" s="2">
        <f>SUM($C5*U5)*V5</f>
        <v>0</v>
      </c>
      <c r="X5" s="66"/>
      <c r="Y5" s="49">
        <v>1</v>
      </c>
      <c r="Z5" s="50"/>
      <c r="AA5" s="2">
        <f>SUM($C5*Y5)*Z5</f>
        <v>0</v>
      </c>
      <c r="AB5" s="66"/>
    </row>
    <row r="6" spans="1:28">
      <c r="A6" s="69" t="s">
        <v>45</v>
      </c>
      <c r="B6" s="70" t="s">
        <v>100</v>
      </c>
      <c r="C6" s="58">
        <v>1872</v>
      </c>
      <c r="D6" s="1"/>
      <c r="E6" s="49">
        <v>11</v>
      </c>
      <c r="F6" s="50"/>
      <c r="G6" s="2">
        <f t="shared" ref="G6:G30" si="0">SUM($C6*E6)*F6</f>
        <v>0</v>
      </c>
      <c r="H6" s="66"/>
      <c r="I6" s="49">
        <v>13</v>
      </c>
      <c r="J6" s="50"/>
      <c r="K6" s="2">
        <f t="shared" ref="K6:K30" si="1">SUM($C6*I6)*J6</f>
        <v>0</v>
      </c>
      <c r="L6" s="66"/>
      <c r="M6" s="49">
        <v>14</v>
      </c>
      <c r="N6" s="50"/>
      <c r="O6" s="2">
        <f t="shared" ref="O6:O30" si="2">SUM($C6*M6)*N6</f>
        <v>0</v>
      </c>
      <c r="P6" s="66"/>
      <c r="Q6" s="49">
        <v>15</v>
      </c>
      <c r="R6" s="50"/>
      <c r="S6" s="2">
        <f t="shared" ref="S6:S30" si="3">SUM($C6*Q6)*R6</f>
        <v>0</v>
      </c>
      <c r="T6" s="66"/>
      <c r="U6" s="49">
        <v>15</v>
      </c>
      <c r="V6" s="50"/>
      <c r="W6" s="2">
        <f t="shared" ref="W6:W30" si="4">SUM($C6*U6)*V6</f>
        <v>0</v>
      </c>
      <c r="X6" s="66"/>
      <c r="Y6" s="49">
        <v>15</v>
      </c>
      <c r="Z6" s="50"/>
      <c r="AA6" s="2">
        <f t="shared" ref="AA6:AA30" si="5">SUM($C6*Y6)*Z6</f>
        <v>0</v>
      </c>
      <c r="AB6" s="66"/>
    </row>
    <row r="7" spans="1:28">
      <c r="A7" s="69" t="s">
        <v>46</v>
      </c>
      <c r="B7" s="70" t="s">
        <v>101</v>
      </c>
      <c r="C7" s="58">
        <v>1872</v>
      </c>
      <c r="D7" s="1"/>
      <c r="E7" s="49">
        <v>8</v>
      </c>
      <c r="F7" s="50"/>
      <c r="G7" s="2">
        <f t="shared" si="0"/>
        <v>0</v>
      </c>
      <c r="H7" s="66"/>
      <c r="I7" s="49">
        <v>9</v>
      </c>
      <c r="J7" s="50"/>
      <c r="K7" s="2">
        <f t="shared" si="1"/>
        <v>0</v>
      </c>
      <c r="L7" s="66"/>
      <c r="M7" s="49">
        <v>10</v>
      </c>
      <c r="N7" s="50"/>
      <c r="O7" s="2">
        <f t="shared" si="2"/>
        <v>0</v>
      </c>
      <c r="P7" s="66"/>
      <c r="Q7" s="49">
        <v>11</v>
      </c>
      <c r="R7" s="50"/>
      <c r="S7" s="2">
        <f t="shared" si="3"/>
        <v>0</v>
      </c>
      <c r="T7" s="66"/>
      <c r="U7" s="49">
        <v>11</v>
      </c>
      <c r="V7" s="50"/>
      <c r="W7" s="2">
        <f t="shared" si="4"/>
        <v>0</v>
      </c>
      <c r="X7" s="66"/>
      <c r="Y7" s="49">
        <v>11</v>
      </c>
      <c r="Z7" s="50"/>
      <c r="AA7" s="2">
        <f t="shared" si="5"/>
        <v>0</v>
      </c>
      <c r="AB7" s="66"/>
    </row>
    <row r="8" spans="1:28">
      <c r="A8" s="69" t="s">
        <v>47</v>
      </c>
      <c r="B8" s="70" t="s">
        <v>102</v>
      </c>
      <c r="C8" s="58">
        <v>1872</v>
      </c>
      <c r="D8" s="3"/>
      <c r="E8" s="49">
        <v>1</v>
      </c>
      <c r="F8" s="50"/>
      <c r="G8" s="2">
        <f t="shared" si="0"/>
        <v>0</v>
      </c>
      <c r="H8" s="66"/>
      <c r="I8" s="49">
        <v>2</v>
      </c>
      <c r="J8" s="50"/>
      <c r="K8" s="2">
        <f t="shared" si="1"/>
        <v>0</v>
      </c>
      <c r="L8" s="66"/>
      <c r="M8" s="49">
        <v>3</v>
      </c>
      <c r="N8" s="50"/>
      <c r="O8" s="2">
        <f t="shared" si="2"/>
        <v>0</v>
      </c>
      <c r="P8" s="66"/>
      <c r="Q8" s="49">
        <v>3</v>
      </c>
      <c r="R8" s="50"/>
      <c r="S8" s="2">
        <f t="shared" si="3"/>
        <v>0</v>
      </c>
      <c r="T8" s="66"/>
      <c r="U8" s="49">
        <v>3</v>
      </c>
      <c r="V8" s="50"/>
      <c r="W8" s="2">
        <f t="shared" si="4"/>
        <v>0</v>
      </c>
      <c r="X8" s="66"/>
      <c r="Y8" s="49">
        <v>3</v>
      </c>
      <c r="Z8" s="50"/>
      <c r="AA8" s="2">
        <f t="shared" si="5"/>
        <v>0</v>
      </c>
      <c r="AB8" s="66"/>
    </row>
    <row r="9" spans="1:28">
      <c r="A9" s="69" t="s">
        <v>48</v>
      </c>
      <c r="B9" s="70" t="s">
        <v>103</v>
      </c>
      <c r="C9" s="58">
        <v>1872</v>
      </c>
      <c r="D9" s="3"/>
      <c r="E9" s="49">
        <v>1</v>
      </c>
      <c r="F9" s="50"/>
      <c r="G9" s="2">
        <f t="shared" si="0"/>
        <v>0</v>
      </c>
      <c r="H9" s="66"/>
      <c r="I9" s="49">
        <v>2</v>
      </c>
      <c r="J9" s="50"/>
      <c r="K9" s="2">
        <f t="shared" si="1"/>
        <v>0</v>
      </c>
      <c r="L9" s="66"/>
      <c r="M9" s="49">
        <v>3</v>
      </c>
      <c r="N9" s="50"/>
      <c r="O9" s="2">
        <f t="shared" si="2"/>
        <v>0</v>
      </c>
      <c r="P9" s="66"/>
      <c r="Q9" s="49">
        <v>3</v>
      </c>
      <c r="R9" s="50"/>
      <c r="S9" s="2">
        <f t="shared" si="3"/>
        <v>0</v>
      </c>
      <c r="T9" s="66"/>
      <c r="U9" s="49">
        <v>3</v>
      </c>
      <c r="V9" s="50"/>
      <c r="W9" s="2">
        <f t="shared" si="4"/>
        <v>0</v>
      </c>
      <c r="X9" s="66"/>
      <c r="Y9" s="49">
        <v>3</v>
      </c>
      <c r="Z9" s="50"/>
      <c r="AA9" s="2">
        <f t="shared" si="5"/>
        <v>0</v>
      </c>
      <c r="AB9" s="66"/>
    </row>
    <row r="10" spans="1:28">
      <c r="A10" s="69" t="s">
        <v>49</v>
      </c>
      <c r="B10" s="70" t="s">
        <v>104</v>
      </c>
      <c r="C10" s="58">
        <v>1872</v>
      </c>
      <c r="D10" s="3"/>
      <c r="E10" s="49">
        <v>9</v>
      </c>
      <c r="F10" s="50"/>
      <c r="G10" s="2">
        <f t="shared" si="0"/>
        <v>0</v>
      </c>
      <c r="H10" s="66"/>
      <c r="I10" s="49">
        <v>10</v>
      </c>
      <c r="J10" s="50"/>
      <c r="K10" s="2">
        <f t="shared" si="1"/>
        <v>0</v>
      </c>
      <c r="L10" s="66"/>
      <c r="M10" s="49">
        <v>12</v>
      </c>
      <c r="N10" s="50"/>
      <c r="O10" s="2">
        <f t="shared" si="2"/>
        <v>0</v>
      </c>
      <c r="P10" s="66"/>
      <c r="Q10" s="49">
        <v>12</v>
      </c>
      <c r="R10" s="50"/>
      <c r="S10" s="2">
        <f t="shared" si="3"/>
        <v>0</v>
      </c>
      <c r="T10" s="66"/>
      <c r="U10" s="49">
        <v>12</v>
      </c>
      <c r="V10" s="50"/>
      <c r="W10" s="2">
        <f t="shared" si="4"/>
        <v>0</v>
      </c>
      <c r="X10" s="66"/>
      <c r="Y10" s="49">
        <v>12</v>
      </c>
      <c r="Z10" s="50"/>
      <c r="AA10" s="2">
        <f t="shared" si="5"/>
        <v>0</v>
      </c>
      <c r="AB10" s="66"/>
    </row>
    <row r="11" spans="1:28">
      <c r="A11" s="69" t="s">
        <v>50</v>
      </c>
      <c r="B11" s="70" t="s">
        <v>105</v>
      </c>
      <c r="C11" s="58">
        <v>1872</v>
      </c>
      <c r="D11" s="3"/>
      <c r="E11" s="49">
        <v>1</v>
      </c>
      <c r="F11" s="50"/>
      <c r="G11" s="2">
        <f t="shared" si="0"/>
        <v>0</v>
      </c>
      <c r="H11" s="66"/>
      <c r="I11" s="49">
        <v>2</v>
      </c>
      <c r="J11" s="50"/>
      <c r="K11" s="2">
        <f t="shared" si="1"/>
        <v>0</v>
      </c>
      <c r="L11" s="66"/>
      <c r="M11" s="49">
        <v>2</v>
      </c>
      <c r="N11" s="50"/>
      <c r="O11" s="2">
        <f t="shared" si="2"/>
        <v>0</v>
      </c>
      <c r="P11" s="66"/>
      <c r="Q11" s="49">
        <v>3</v>
      </c>
      <c r="R11" s="50"/>
      <c r="S11" s="2">
        <f t="shared" si="3"/>
        <v>0</v>
      </c>
      <c r="T11" s="66"/>
      <c r="U11" s="49">
        <v>3</v>
      </c>
      <c r="V11" s="50"/>
      <c r="W11" s="2">
        <f t="shared" si="4"/>
        <v>0</v>
      </c>
      <c r="X11" s="66"/>
      <c r="Y11" s="49">
        <v>3</v>
      </c>
      <c r="Z11" s="50"/>
      <c r="AA11" s="2">
        <f t="shared" si="5"/>
        <v>0</v>
      </c>
      <c r="AB11" s="66"/>
    </row>
    <row r="12" spans="1:28">
      <c r="A12" s="69" t="s">
        <v>51</v>
      </c>
      <c r="B12" s="70" t="s">
        <v>106</v>
      </c>
      <c r="C12" s="58">
        <v>1872</v>
      </c>
      <c r="D12" s="3"/>
      <c r="E12" s="49">
        <v>1</v>
      </c>
      <c r="F12" s="50"/>
      <c r="G12" s="2">
        <f t="shared" si="0"/>
        <v>0</v>
      </c>
      <c r="H12" s="66"/>
      <c r="I12" s="49">
        <v>1</v>
      </c>
      <c r="J12" s="50"/>
      <c r="K12" s="2">
        <f t="shared" si="1"/>
        <v>0</v>
      </c>
      <c r="L12" s="66"/>
      <c r="M12" s="49">
        <v>1</v>
      </c>
      <c r="N12" s="50"/>
      <c r="O12" s="2">
        <f t="shared" si="2"/>
        <v>0</v>
      </c>
      <c r="P12" s="66"/>
      <c r="Q12" s="49">
        <v>1</v>
      </c>
      <c r="R12" s="50"/>
      <c r="S12" s="2">
        <f t="shared" si="3"/>
        <v>0</v>
      </c>
      <c r="T12" s="66"/>
      <c r="U12" s="49">
        <v>1</v>
      </c>
      <c r="V12" s="50"/>
      <c r="W12" s="2">
        <f t="shared" si="4"/>
        <v>0</v>
      </c>
      <c r="X12" s="66"/>
      <c r="Y12" s="49">
        <v>1</v>
      </c>
      <c r="Z12" s="50"/>
      <c r="AA12" s="2">
        <f t="shared" si="5"/>
        <v>0</v>
      </c>
      <c r="AB12" s="66"/>
    </row>
    <row r="13" spans="1:28">
      <c r="A13" s="69" t="s">
        <v>52</v>
      </c>
      <c r="B13" s="70" t="s">
        <v>107</v>
      </c>
      <c r="C13" s="58">
        <v>1872</v>
      </c>
      <c r="D13" s="3"/>
      <c r="E13" s="49">
        <v>1</v>
      </c>
      <c r="F13" s="50"/>
      <c r="G13" s="2">
        <f t="shared" si="0"/>
        <v>0</v>
      </c>
      <c r="H13" s="66"/>
      <c r="I13" s="49">
        <v>1</v>
      </c>
      <c r="J13" s="50"/>
      <c r="K13" s="2">
        <f t="shared" si="1"/>
        <v>0</v>
      </c>
      <c r="L13" s="66"/>
      <c r="M13" s="49">
        <v>1</v>
      </c>
      <c r="N13" s="50"/>
      <c r="O13" s="2">
        <f t="shared" si="2"/>
        <v>0</v>
      </c>
      <c r="P13" s="66"/>
      <c r="Q13" s="49">
        <v>1</v>
      </c>
      <c r="R13" s="50"/>
      <c r="S13" s="2">
        <f t="shared" si="3"/>
        <v>0</v>
      </c>
      <c r="T13" s="66"/>
      <c r="U13" s="49">
        <v>1</v>
      </c>
      <c r="V13" s="50"/>
      <c r="W13" s="2">
        <f t="shared" si="4"/>
        <v>0</v>
      </c>
      <c r="X13" s="66"/>
      <c r="Y13" s="49">
        <v>1</v>
      </c>
      <c r="Z13" s="50"/>
      <c r="AA13" s="2">
        <f t="shared" si="5"/>
        <v>0</v>
      </c>
      <c r="AB13" s="66"/>
    </row>
    <row r="14" spans="1:28">
      <c r="A14" s="69" t="s">
        <v>53</v>
      </c>
      <c r="B14" s="70" t="s">
        <v>122</v>
      </c>
      <c r="C14" s="58">
        <v>1872</v>
      </c>
      <c r="D14" s="3"/>
      <c r="E14" s="49">
        <v>1</v>
      </c>
      <c r="F14" s="50"/>
      <c r="G14" s="2">
        <f t="shared" si="0"/>
        <v>0</v>
      </c>
      <c r="H14" s="66"/>
      <c r="I14" s="49">
        <v>1</v>
      </c>
      <c r="J14" s="50"/>
      <c r="K14" s="2">
        <f t="shared" si="1"/>
        <v>0</v>
      </c>
      <c r="L14" s="66"/>
      <c r="M14" s="49">
        <v>1</v>
      </c>
      <c r="N14" s="50"/>
      <c r="O14" s="2">
        <f t="shared" si="2"/>
        <v>0</v>
      </c>
      <c r="P14" s="66"/>
      <c r="Q14" s="49">
        <v>1</v>
      </c>
      <c r="R14" s="50"/>
      <c r="S14" s="2">
        <f t="shared" si="3"/>
        <v>0</v>
      </c>
      <c r="T14" s="66"/>
      <c r="U14" s="49">
        <v>1</v>
      </c>
      <c r="V14" s="50"/>
      <c r="W14" s="2">
        <f t="shared" si="4"/>
        <v>0</v>
      </c>
      <c r="X14" s="66"/>
      <c r="Y14" s="49">
        <v>1</v>
      </c>
      <c r="Z14" s="50"/>
      <c r="AA14" s="2">
        <f t="shared" si="5"/>
        <v>0</v>
      </c>
      <c r="AB14" s="66"/>
    </row>
    <row r="15" spans="1:28">
      <c r="A15" s="69" t="s">
        <v>54</v>
      </c>
      <c r="B15" s="70" t="s">
        <v>123</v>
      </c>
      <c r="C15" s="58">
        <v>1872</v>
      </c>
      <c r="D15" s="3"/>
      <c r="E15" s="49">
        <v>1</v>
      </c>
      <c r="F15" s="50"/>
      <c r="G15" s="2">
        <f t="shared" si="0"/>
        <v>0</v>
      </c>
      <c r="H15" s="66"/>
      <c r="I15" s="49">
        <v>1</v>
      </c>
      <c r="J15" s="50"/>
      <c r="K15" s="2">
        <f t="shared" si="1"/>
        <v>0</v>
      </c>
      <c r="L15" s="66"/>
      <c r="M15" s="49">
        <v>1</v>
      </c>
      <c r="N15" s="50"/>
      <c r="O15" s="2">
        <f t="shared" si="2"/>
        <v>0</v>
      </c>
      <c r="P15" s="66"/>
      <c r="Q15" s="49">
        <v>1</v>
      </c>
      <c r="R15" s="50"/>
      <c r="S15" s="2">
        <f t="shared" si="3"/>
        <v>0</v>
      </c>
      <c r="T15" s="66"/>
      <c r="U15" s="49">
        <v>1</v>
      </c>
      <c r="V15" s="50"/>
      <c r="W15" s="2">
        <f t="shared" si="4"/>
        <v>0</v>
      </c>
      <c r="X15" s="66"/>
      <c r="Y15" s="49">
        <v>1</v>
      </c>
      <c r="Z15" s="50"/>
      <c r="AA15" s="2">
        <f t="shared" si="5"/>
        <v>0</v>
      </c>
      <c r="AB15" s="66"/>
    </row>
    <row r="16" spans="1:28">
      <c r="A16" s="69" t="s">
        <v>55</v>
      </c>
      <c r="B16" s="70" t="s">
        <v>108</v>
      </c>
      <c r="C16" s="58">
        <v>1872</v>
      </c>
      <c r="D16" s="3"/>
      <c r="E16" s="49">
        <v>1</v>
      </c>
      <c r="F16" s="50"/>
      <c r="G16" s="2">
        <f t="shared" si="0"/>
        <v>0</v>
      </c>
      <c r="H16" s="66"/>
      <c r="I16" s="49">
        <v>1</v>
      </c>
      <c r="J16" s="50"/>
      <c r="K16" s="2">
        <f t="shared" si="1"/>
        <v>0</v>
      </c>
      <c r="L16" s="66"/>
      <c r="M16" s="49">
        <v>1</v>
      </c>
      <c r="N16" s="50"/>
      <c r="O16" s="2">
        <f t="shared" si="2"/>
        <v>0</v>
      </c>
      <c r="P16" s="66"/>
      <c r="Q16" s="49">
        <v>1</v>
      </c>
      <c r="R16" s="50"/>
      <c r="S16" s="2">
        <f t="shared" si="3"/>
        <v>0</v>
      </c>
      <c r="T16" s="66"/>
      <c r="U16" s="49">
        <v>1</v>
      </c>
      <c r="V16" s="50"/>
      <c r="W16" s="2">
        <f t="shared" si="4"/>
        <v>0</v>
      </c>
      <c r="X16" s="66"/>
      <c r="Y16" s="49">
        <v>1</v>
      </c>
      <c r="Z16" s="50"/>
      <c r="AA16" s="2">
        <f t="shared" si="5"/>
        <v>0</v>
      </c>
      <c r="AB16" s="66"/>
    </row>
    <row r="17" spans="1:28">
      <c r="A17" s="69" t="s">
        <v>56</v>
      </c>
      <c r="B17" s="70" t="s">
        <v>109</v>
      </c>
      <c r="C17" s="58">
        <v>1872</v>
      </c>
      <c r="D17" s="3"/>
      <c r="E17" s="49">
        <v>1</v>
      </c>
      <c r="F17" s="50"/>
      <c r="G17" s="2">
        <f t="shared" si="0"/>
        <v>0</v>
      </c>
      <c r="H17" s="66"/>
      <c r="I17" s="49">
        <v>1</v>
      </c>
      <c r="J17" s="50"/>
      <c r="K17" s="2">
        <f t="shared" si="1"/>
        <v>0</v>
      </c>
      <c r="L17" s="66"/>
      <c r="M17" s="49">
        <v>1</v>
      </c>
      <c r="N17" s="50"/>
      <c r="O17" s="2">
        <f t="shared" si="2"/>
        <v>0</v>
      </c>
      <c r="P17" s="66"/>
      <c r="Q17" s="49">
        <v>1</v>
      </c>
      <c r="R17" s="50"/>
      <c r="S17" s="2">
        <f t="shared" si="3"/>
        <v>0</v>
      </c>
      <c r="T17" s="66"/>
      <c r="U17" s="49">
        <v>1</v>
      </c>
      <c r="V17" s="50"/>
      <c r="W17" s="2">
        <f t="shared" si="4"/>
        <v>0</v>
      </c>
      <c r="X17" s="66"/>
      <c r="Y17" s="49">
        <v>1</v>
      </c>
      <c r="Z17" s="50"/>
      <c r="AA17" s="2">
        <f t="shared" si="5"/>
        <v>0</v>
      </c>
      <c r="AB17" s="66"/>
    </row>
    <row r="18" spans="1:28">
      <c r="A18" s="69" t="s">
        <v>57</v>
      </c>
      <c r="B18" s="70" t="s">
        <v>127</v>
      </c>
      <c r="C18" s="58">
        <v>2248</v>
      </c>
      <c r="D18" s="3"/>
      <c r="E18" s="49">
        <v>1</v>
      </c>
      <c r="F18" s="50"/>
      <c r="G18" s="2">
        <f t="shared" si="0"/>
        <v>0</v>
      </c>
      <c r="H18" s="66"/>
      <c r="I18" s="49">
        <v>1</v>
      </c>
      <c r="J18" s="50"/>
      <c r="K18" s="2">
        <f t="shared" si="1"/>
        <v>0</v>
      </c>
      <c r="L18" s="66"/>
      <c r="M18" s="49">
        <v>1</v>
      </c>
      <c r="N18" s="50"/>
      <c r="O18" s="2">
        <f t="shared" si="2"/>
        <v>0</v>
      </c>
      <c r="P18" s="66"/>
      <c r="Q18" s="49">
        <v>1</v>
      </c>
      <c r="R18" s="50"/>
      <c r="S18" s="2">
        <f t="shared" si="3"/>
        <v>0</v>
      </c>
      <c r="T18" s="66"/>
      <c r="U18" s="49">
        <v>1</v>
      </c>
      <c r="V18" s="50"/>
      <c r="W18" s="2">
        <f t="shared" si="4"/>
        <v>0</v>
      </c>
      <c r="X18" s="66"/>
      <c r="Y18" s="49">
        <v>1</v>
      </c>
      <c r="Z18" s="50"/>
      <c r="AA18" s="2">
        <f t="shared" si="5"/>
        <v>0</v>
      </c>
      <c r="AB18" s="66"/>
    </row>
    <row r="19" spans="1:28">
      <c r="A19" s="69" t="s">
        <v>58</v>
      </c>
      <c r="B19" s="70" t="s">
        <v>110</v>
      </c>
      <c r="C19" s="59">
        <v>2248</v>
      </c>
      <c r="D19" s="3"/>
      <c r="E19" s="49">
        <v>5</v>
      </c>
      <c r="F19" s="50"/>
      <c r="G19" s="2">
        <f t="shared" si="0"/>
        <v>0</v>
      </c>
      <c r="H19" s="66"/>
      <c r="I19" s="49">
        <v>5</v>
      </c>
      <c r="J19" s="50"/>
      <c r="K19" s="2">
        <f t="shared" si="1"/>
        <v>0</v>
      </c>
      <c r="L19" s="66"/>
      <c r="M19" s="49">
        <v>5</v>
      </c>
      <c r="N19" s="50"/>
      <c r="O19" s="2">
        <f t="shared" si="2"/>
        <v>0</v>
      </c>
      <c r="P19" s="66"/>
      <c r="Q19" s="49">
        <v>5</v>
      </c>
      <c r="R19" s="50"/>
      <c r="S19" s="2">
        <f t="shared" si="3"/>
        <v>0</v>
      </c>
      <c r="T19" s="66"/>
      <c r="U19" s="49">
        <v>5</v>
      </c>
      <c r="V19" s="50"/>
      <c r="W19" s="2">
        <f t="shared" si="4"/>
        <v>0</v>
      </c>
      <c r="X19" s="66"/>
      <c r="Y19" s="49">
        <v>5</v>
      </c>
      <c r="Z19" s="50"/>
      <c r="AA19" s="2">
        <f t="shared" si="5"/>
        <v>0</v>
      </c>
      <c r="AB19" s="66"/>
    </row>
    <row r="20" spans="1:28">
      <c r="A20" s="69" t="s">
        <v>59</v>
      </c>
      <c r="B20" s="70" t="s">
        <v>111</v>
      </c>
      <c r="C20" s="59">
        <v>2248</v>
      </c>
      <c r="D20" s="3"/>
      <c r="E20" s="49">
        <v>3</v>
      </c>
      <c r="F20" s="50"/>
      <c r="G20" s="2">
        <f t="shared" si="0"/>
        <v>0</v>
      </c>
      <c r="H20" s="66"/>
      <c r="I20" s="49">
        <v>3</v>
      </c>
      <c r="J20" s="50"/>
      <c r="K20" s="2">
        <f t="shared" si="1"/>
        <v>0</v>
      </c>
      <c r="L20" s="66"/>
      <c r="M20" s="49">
        <v>3</v>
      </c>
      <c r="N20" s="50"/>
      <c r="O20" s="2">
        <f t="shared" si="2"/>
        <v>0</v>
      </c>
      <c r="P20" s="66"/>
      <c r="Q20" s="49">
        <v>3</v>
      </c>
      <c r="R20" s="50"/>
      <c r="S20" s="2">
        <f t="shared" si="3"/>
        <v>0</v>
      </c>
      <c r="T20" s="66"/>
      <c r="U20" s="49">
        <v>3</v>
      </c>
      <c r="V20" s="50"/>
      <c r="W20" s="2">
        <f t="shared" si="4"/>
        <v>0</v>
      </c>
      <c r="X20" s="66"/>
      <c r="Y20" s="49">
        <v>3</v>
      </c>
      <c r="Z20" s="50"/>
      <c r="AA20" s="2">
        <f t="shared" si="5"/>
        <v>0</v>
      </c>
      <c r="AB20" s="66"/>
    </row>
    <row r="21" spans="1:28">
      <c r="A21" s="69" t="s">
        <v>60</v>
      </c>
      <c r="B21" s="70" t="s">
        <v>124</v>
      </c>
      <c r="C21" s="59">
        <v>2248</v>
      </c>
      <c r="D21" s="3"/>
      <c r="E21" s="49">
        <v>1</v>
      </c>
      <c r="F21" s="50"/>
      <c r="G21" s="2">
        <f t="shared" si="0"/>
        <v>0</v>
      </c>
      <c r="H21" s="66"/>
      <c r="I21" s="49">
        <v>1</v>
      </c>
      <c r="J21" s="50"/>
      <c r="K21" s="2">
        <f t="shared" si="1"/>
        <v>0</v>
      </c>
      <c r="L21" s="66"/>
      <c r="M21" s="49">
        <v>1</v>
      </c>
      <c r="N21" s="50"/>
      <c r="O21" s="2">
        <f t="shared" si="2"/>
        <v>0</v>
      </c>
      <c r="P21" s="66"/>
      <c r="Q21" s="49">
        <v>1</v>
      </c>
      <c r="R21" s="50"/>
      <c r="S21" s="2">
        <f t="shared" si="3"/>
        <v>0</v>
      </c>
      <c r="T21" s="66"/>
      <c r="U21" s="49">
        <v>1</v>
      </c>
      <c r="V21" s="50"/>
      <c r="W21" s="2">
        <f t="shared" si="4"/>
        <v>0</v>
      </c>
      <c r="X21" s="66"/>
      <c r="Y21" s="49">
        <v>1</v>
      </c>
      <c r="Z21" s="50"/>
      <c r="AA21" s="2">
        <f t="shared" si="5"/>
        <v>0</v>
      </c>
      <c r="AB21" s="66"/>
    </row>
    <row r="22" spans="1:28">
      <c r="A22" s="69" t="s">
        <v>61</v>
      </c>
      <c r="B22" s="70" t="s">
        <v>112</v>
      </c>
      <c r="C22" s="59">
        <v>2248</v>
      </c>
      <c r="D22" s="3"/>
      <c r="E22" s="49">
        <v>1</v>
      </c>
      <c r="F22" s="50"/>
      <c r="G22" s="2">
        <f t="shared" si="0"/>
        <v>0</v>
      </c>
      <c r="H22" s="66"/>
      <c r="I22" s="49">
        <v>1</v>
      </c>
      <c r="J22" s="50"/>
      <c r="K22" s="2">
        <f t="shared" si="1"/>
        <v>0</v>
      </c>
      <c r="L22" s="66"/>
      <c r="M22" s="49">
        <v>1</v>
      </c>
      <c r="N22" s="50"/>
      <c r="O22" s="2">
        <f t="shared" si="2"/>
        <v>0</v>
      </c>
      <c r="P22" s="66"/>
      <c r="Q22" s="49">
        <v>1</v>
      </c>
      <c r="R22" s="50"/>
      <c r="S22" s="2">
        <f t="shared" si="3"/>
        <v>0</v>
      </c>
      <c r="T22" s="66"/>
      <c r="U22" s="49">
        <v>1</v>
      </c>
      <c r="V22" s="50"/>
      <c r="W22" s="2">
        <f t="shared" si="4"/>
        <v>0</v>
      </c>
      <c r="X22" s="66"/>
      <c r="Y22" s="49">
        <v>1</v>
      </c>
      <c r="Z22" s="50"/>
      <c r="AA22" s="2">
        <f t="shared" si="5"/>
        <v>0</v>
      </c>
      <c r="AB22" s="66"/>
    </row>
    <row r="23" spans="1:28">
      <c r="A23" s="69" t="s">
        <v>62</v>
      </c>
      <c r="B23" s="70" t="s">
        <v>125</v>
      </c>
      <c r="C23" s="59">
        <v>2248</v>
      </c>
      <c r="D23" s="3"/>
      <c r="E23" s="49">
        <v>1</v>
      </c>
      <c r="F23" s="50"/>
      <c r="G23" s="2">
        <f t="shared" si="0"/>
        <v>0</v>
      </c>
      <c r="H23" s="66"/>
      <c r="I23" s="49">
        <v>1</v>
      </c>
      <c r="J23" s="50"/>
      <c r="K23" s="2">
        <f t="shared" si="1"/>
        <v>0</v>
      </c>
      <c r="L23" s="66"/>
      <c r="M23" s="49">
        <v>1</v>
      </c>
      <c r="N23" s="50"/>
      <c r="O23" s="2">
        <f t="shared" si="2"/>
        <v>0</v>
      </c>
      <c r="P23" s="66"/>
      <c r="Q23" s="49">
        <v>1</v>
      </c>
      <c r="R23" s="50"/>
      <c r="S23" s="2">
        <f t="shared" si="3"/>
        <v>0</v>
      </c>
      <c r="T23" s="66"/>
      <c r="U23" s="49">
        <v>1</v>
      </c>
      <c r="V23" s="50"/>
      <c r="W23" s="2">
        <f t="shared" si="4"/>
        <v>0</v>
      </c>
      <c r="X23" s="66"/>
      <c r="Y23" s="49">
        <v>1</v>
      </c>
      <c r="Z23" s="50"/>
      <c r="AA23" s="2">
        <f t="shared" si="5"/>
        <v>0</v>
      </c>
      <c r="AB23" s="66"/>
    </row>
    <row r="24" spans="1:28">
      <c r="A24" s="69" t="s">
        <v>63</v>
      </c>
      <c r="B24" s="70" t="s">
        <v>113</v>
      </c>
      <c r="C24" s="59">
        <v>2248</v>
      </c>
      <c r="D24" s="3"/>
      <c r="E24" s="49">
        <v>1</v>
      </c>
      <c r="F24" s="50"/>
      <c r="G24" s="2">
        <f t="shared" si="0"/>
        <v>0</v>
      </c>
      <c r="H24" s="66"/>
      <c r="I24" s="49">
        <v>1</v>
      </c>
      <c r="J24" s="50"/>
      <c r="K24" s="2">
        <f t="shared" si="1"/>
        <v>0</v>
      </c>
      <c r="L24" s="66"/>
      <c r="M24" s="49">
        <v>1</v>
      </c>
      <c r="N24" s="50"/>
      <c r="O24" s="2">
        <f t="shared" si="2"/>
        <v>0</v>
      </c>
      <c r="P24" s="66"/>
      <c r="Q24" s="49">
        <v>1</v>
      </c>
      <c r="R24" s="50"/>
      <c r="S24" s="2">
        <f t="shared" si="3"/>
        <v>0</v>
      </c>
      <c r="T24" s="66"/>
      <c r="U24" s="49">
        <v>1</v>
      </c>
      <c r="V24" s="50"/>
      <c r="W24" s="2">
        <f t="shared" si="4"/>
        <v>0</v>
      </c>
      <c r="X24" s="66"/>
      <c r="Y24" s="49">
        <v>1</v>
      </c>
      <c r="Z24" s="50"/>
      <c r="AA24" s="2">
        <f t="shared" si="5"/>
        <v>0</v>
      </c>
      <c r="AB24" s="66"/>
    </row>
    <row r="25" spans="1:28">
      <c r="A25" s="69" t="s">
        <v>64</v>
      </c>
      <c r="B25" s="70" t="s">
        <v>114</v>
      </c>
      <c r="C25" s="59">
        <v>2248</v>
      </c>
      <c r="D25" s="3"/>
      <c r="E25" s="49">
        <v>1</v>
      </c>
      <c r="F25" s="50"/>
      <c r="G25" s="2">
        <f t="shared" si="0"/>
        <v>0</v>
      </c>
      <c r="H25" s="66"/>
      <c r="I25" s="49">
        <v>1</v>
      </c>
      <c r="J25" s="50"/>
      <c r="K25" s="2">
        <f t="shared" si="1"/>
        <v>0</v>
      </c>
      <c r="L25" s="66"/>
      <c r="M25" s="49">
        <v>1</v>
      </c>
      <c r="N25" s="50"/>
      <c r="O25" s="2">
        <f t="shared" si="2"/>
        <v>0</v>
      </c>
      <c r="P25" s="66"/>
      <c r="Q25" s="49">
        <v>1</v>
      </c>
      <c r="R25" s="50"/>
      <c r="S25" s="2">
        <f t="shared" si="3"/>
        <v>0</v>
      </c>
      <c r="T25" s="66"/>
      <c r="U25" s="49">
        <v>1</v>
      </c>
      <c r="V25" s="50"/>
      <c r="W25" s="2">
        <f t="shared" si="4"/>
        <v>0</v>
      </c>
      <c r="X25" s="66"/>
      <c r="Y25" s="49">
        <v>1</v>
      </c>
      <c r="Z25" s="50"/>
      <c r="AA25" s="2">
        <f t="shared" si="5"/>
        <v>0</v>
      </c>
      <c r="AB25" s="66"/>
    </row>
    <row r="26" spans="1:28">
      <c r="A26" s="69" t="s">
        <v>65</v>
      </c>
      <c r="B26" s="70" t="s">
        <v>115</v>
      </c>
      <c r="C26" s="59">
        <v>2248</v>
      </c>
      <c r="D26" s="3"/>
      <c r="E26" s="49">
        <v>1</v>
      </c>
      <c r="F26" s="50"/>
      <c r="G26" s="2">
        <f t="shared" si="0"/>
        <v>0</v>
      </c>
      <c r="H26" s="66"/>
      <c r="I26" s="49">
        <v>1</v>
      </c>
      <c r="J26" s="50"/>
      <c r="K26" s="2">
        <f t="shared" si="1"/>
        <v>0</v>
      </c>
      <c r="L26" s="66"/>
      <c r="M26" s="49">
        <v>1</v>
      </c>
      <c r="N26" s="50"/>
      <c r="O26" s="2">
        <f t="shared" si="2"/>
        <v>0</v>
      </c>
      <c r="P26" s="66"/>
      <c r="Q26" s="49">
        <v>1</v>
      </c>
      <c r="R26" s="50"/>
      <c r="S26" s="2">
        <f t="shared" si="3"/>
        <v>0</v>
      </c>
      <c r="T26" s="66"/>
      <c r="U26" s="49">
        <v>1</v>
      </c>
      <c r="V26" s="50"/>
      <c r="W26" s="2">
        <f t="shared" si="4"/>
        <v>0</v>
      </c>
      <c r="X26" s="66"/>
      <c r="Y26" s="49">
        <v>1</v>
      </c>
      <c r="Z26" s="50"/>
      <c r="AA26" s="2">
        <f t="shared" si="5"/>
        <v>0</v>
      </c>
      <c r="AB26" s="66"/>
    </row>
    <row r="27" spans="1:28">
      <c r="A27" s="69" t="s">
        <v>66</v>
      </c>
      <c r="B27" s="70" t="s">
        <v>116</v>
      </c>
      <c r="C27" s="59">
        <v>2248</v>
      </c>
      <c r="D27" s="3"/>
      <c r="E27" s="49">
        <v>10</v>
      </c>
      <c r="F27" s="50"/>
      <c r="G27" s="2">
        <f t="shared" si="0"/>
        <v>0</v>
      </c>
      <c r="H27" s="66"/>
      <c r="I27" s="49">
        <v>10</v>
      </c>
      <c r="J27" s="50"/>
      <c r="K27" s="2">
        <f t="shared" si="1"/>
        <v>0</v>
      </c>
      <c r="L27" s="66"/>
      <c r="M27" s="49">
        <v>10</v>
      </c>
      <c r="N27" s="50"/>
      <c r="O27" s="2">
        <f t="shared" si="2"/>
        <v>0</v>
      </c>
      <c r="P27" s="66"/>
      <c r="Q27" s="49">
        <v>10</v>
      </c>
      <c r="R27" s="50"/>
      <c r="S27" s="2">
        <f t="shared" si="3"/>
        <v>0</v>
      </c>
      <c r="T27" s="66"/>
      <c r="U27" s="49">
        <v>10</v>
      </c>
      <c r="V27" s="50"/>
      <c r="W27" s="2">
        <f t="shared" si="4"/>
        <v>0</v>
      </c>
      <c r="X27" s="66"/>
      <c r="Y27" s="49">
        <v>10</v>
      </c>
      <c r="Z27" s="50"/>
      <c r="AA27" s="2">
        <f t="shared" si="5"/>
        <v>0</v>
      </c>
      <c r="AB27" s="66"/>
    </row>
    <row r="28" spans="1:28">
      <c r="A28" s="69" t="s">
        <v>67</v>
      </c>
      <c r="B28" s="70" t="s">
        <v>117</v>
      </c>
      <c r="C28" s="59">
        <v>2248</v>
      </c>
      <c r="D28" s="3"/>
      <c r="E28" s="49">
        <v>3</v>
      </c>
      <c r="F28" s="50"/>
      <c r="G28" s="2">
        <f t="shared" si="0"/>
        <v>0</v>
      </c>
      <c r="H28" s="66"/>
      <c r="I28" s="49">
        <v>3</v>
      </c>
      <c r="J28" s="50"/>
      <c r="K28" s="2">
        <f t="shared" si="1"/>
        <v>0</v>
      </c>
      <c r="L28" s="66"/>
      <c r="M28" s="49">
        <v>3</v>
      </c>
      <c r="N28" s="50"/>
      <c r="O28" s="2">
        <f t="shared" si="2"/>
        <v>0</v>
      </c>
      <c r="P28" s="66"/>
      <c r="Q28" s="49">
        <v>3</v>
      </c>
      <c r="R28" s="50"/>
      <c r="S28" s="2">
        <f t="shared" si="3"/>
        <v>0</v>
      </c>
      <c r="T28" s="66"/>
      <c r="U28" s="49">
        <v>3</v>
      </c>
      <c r="V28" s="50"/>
      <c r="W28" s="2">
        <f t="shared" si="4"/>
        <v>0</v>
      </c>
      <c r="X28" s="66"/>
      <c r="Y28" s="49">
        <v>3</v>
      </c>
      <c r="Z28" s="50"/>
      <c r="AA28" s="2">
        <f t="shared" si="5"/>
        <v>0</v>
      </c>
      <c r="AB28" s="66"/>
    </row>
    <row r="29" spans="1:28">
      <c r="A29" s="69" t="s">
        <v>98</v>
      </c>
      <c r="B29" s="70" t="s">
        <v>118</v>
      </c>
      <c r="C29" s="59">
        <v>2248</v>
      </c>
      <c r="D29" s="3"/>
      <c r="E29" s="49">
        <v>8</v>
      </c>
      <c r="F29" s="50"/>
      <c r="G29" s="2">
        <f t="shared" si="0"/>
        <v>0</v>
      </c>
      <c r="H29" s="66"/>
      <c r="I29" s="49">
        <v>8</v>
      </c>
      <c r="J29" s="50"/>
      <c r="K29" s="2">
        <f t="shared" si="1"/>
        <v>0</v>
      </c>
      <c r="L29" s="66"/>
      <c r="M29" s="49">
        <v>8</v>
      </c>
      <c r="N29" s="50"/>
      <c r="O29" s="2">
        <f t="shared" si="2"/>
        <v>0</v>
      </c>
      <c r="P29" s="66"/>
      <c r="Q29" s="49">
        <v>8</v>
      </c>
      <c r="R29" s="50"/>
      <c r="S29" s="2">
        <f t="shared" si="3"/>
        <v>0</v>
      </c>
      <c r="T29" s="66"/>
      <c r="U29" s="49">
        <v>8</v>
      </c>
      <c r="V29" s="50"/>
      <c r="W29" s="2">
        <f t="shared" si="4"/>
        <v>0</v>
      </c>
      <c r="X29" s="66"/>
      <c r="Y29" s="49">
        <v>8</v>
      </c>
      <c r="Z29" s="50"/>
      <c r="AA29" s="2">
        <f t="shared" si="5"/>
        <v>0</v>
      </c>
      <c r="AB29" s="66"/>
    </row>
    <row r="30" spans="1:28">
      <c r="A30" s="69" t="s">
        <v>128</v>
      </c>
      <c r="B30" s="70" t="s">
        <v>119</v>
      </c>
      <c r="C30" s="59">
        <v>2248</v>
      </c>
      <c r="D30" s="3"/>
      <c r="E30" s="49">
        <v>5</v>
      </c>
      <c r="F30" s="50"/>
      <c r="G30" s="2">
        <f t="shared" si="0"/>
        <v>0</v>
      </c>
      <c r="H30" s="66"/>
      <c r="I30" s="49">
        <v>5</v>
      </c>
      <c r="J30" s="50"/>
      <c r="K30" s="2">
        <f t="shared" si="1"/>
        <v>0</v>
      </c>
      <c r="L30" s="66"/>
      <c r="M30" s="49">
        <v>5</v>
      </c>
      <c r="N30" s="50"/>
      <c r="O30" s="2">
        <f t="shared" si="2"/>
        <v>0</v>
      </c>
      <c r="P30" s="66"/>
      <c r="Q30" s="49">
        <v>5</v>
      </c>
      <c r="R30" s="50"/>
      <c r="S30" s="2">
        <f t="shared" si="3"/>
        <v>0</v>
      </c>
      <c r="T30" s="66"/>
      <c r="U30" s="49">
        <v>5</v>
      </c>
      <c r="V30" s="50"/>
      <c r="W30" s="2">
        <f t="shared" si="4"/>
        <v>0</v>
      </c>
      <c r="X30" s="66"/>
      <c r="Y30" s="49">
        <v>5</v>
      </c>
      <c r="Z30" s="50"/>
      <c r="AA30" s="2">
        <f t="shared" si="5"/>
        <v>0</v>
      </c>
      <c r="AB30" s="66"/>
    </row>
    <row r="31" spans="1:28" s="76" customFormat="1">
      <c r="A31" s="71"/>
      <c r="B31" s="72" t="s">
        <v>68</v>
      </c>
      <c r="C31" s="73"/>
      <c r="D31" s="3"/>
      <c r="E31" s="60">
        <f>SUM(E5:E30)</f>
        <v>79</v>
      </c>
      <c r="F31" s="74"/>
      <c r="G31" s="75">
        <f>SUM(G5:G30)</f>
        <v>0</v>
      </c>
      <c r="H31" s="3"/>
      <c r="I31" s="60">
        <f>SUM(I5:I30)</f>
        <v>86</v>
      </c>
      <c r="J31" s="74"/>
      <c r="K31" s="75">
        <f>SUM(K5:K30)</f>
        <v>0</v>
      </c>
      <c r="L31" s="3"/>
      <c r="M31" s="60">
        <f>SUM(M5:M30)</f>
        <v>92</v>
      </c>
      <c r="N31" s="74"/>
      <c r="O31" s="75">
        <f>SUM(O5:O30)</f>
        <v>0</v>
      </c>
      <c r="P31" s="3"/>
      <c r="Q31" s="60">
        <f>SUM(Q5:Q30)</f>
        <v>95</v>
      </c>
      <c r="R31" s="74"/>
      <c r="S31" s="75">
        <f>SUM(S5:S30)</f>
        <v>0</v>
      </c>
      <c r="T31" s="3"/>
      <c r="U31" s="60">
        <f>SUM(U5:U30)</f>
        <v>95</v>
      </c>
      <c r="V31" s="74"/>
      <c r="W31" s="75">
        <f>SUM(W5:W30)</f>
        <v>0</v>
      </c>
      <c r="X31" s="3"/>
      <c r="Y31" s="60">
        <f>SUM(Y5:Y30)</f>
        <v>95</v>
      </c>
      <c r="Z31" s="74"/>
      <c r="AA31" s="75">
        <f>SUM(AA5:AA30)</f>
        <v>0</v>
      </c>
      <c r="AB31" s="3"/>
    </row>
    <row r="32" spans="1:28">
      <c r="D32" s="77"/>
      <c r="H32" s="66"/>
      <c r="L32" s="66"/>
      <c r="P32" s="66"/>
      <c r="T32" s="66"/>
      <c r="X32" s="66"/>
      <c r="Z32" s="63"/>
      <c r="AB32" s="66"/>
    </row>
    <row r="33" spans="1:28">
      <c r="A33" s="105" t="s">
        <v>38</v>
      </c>
      <c r="B33" s="105" t="s">
        <v>121</v>
      </c>
      <c r="C33" s="106"/>
      <c r="D33" s="65"/>
      <c r="E33" s="103" t="s">
        <v>30</v>
      </c>
      <c r="F33" s="103"/>
      <c r="G33" s="104"/>
      <c r="H33" s="66"/>
      <c r="I33" s="100" t="s">
        <v>31</v>
      </c>
      <c r="J33" s="100"/>
      <c r="K33" s="101"/>
      <c r="L33" s="66"/>
      <c r="M33" s="100" t="s">
        <v>32</v>
      </c>
      <c r="N33" s="100"/>
      <c r="O33" s="101"/>
      <c r="P33" s="66"/>
      <c r="Q33" s="100" t="s">
        <v>33</v>
      </c>
      <c r="R33" s="100"/>
      <c r="S33" s="101"/>
      <c r="T33" s="66"/>
      <c r="U33" s="100" t="s">
        <v>34</v>
      </c>
      <c r="V33" s="100"/>
      <c r="W33" s="101"/>
      <c r="X33" s="66"/>
      <c r="Y33" s="100" t="s">
        <v>41</v>
      </c>
      <c r="Z33" s="100"/>
      <c r="AA33" s="101"/>
      <c r="AB33" s="66"/>
    </row>
    <row r="34" spans="1:28" ht="39">
      <c r="A34" s="105"/>
      <c r="B34" s="105"/>
      <c r="C34" s="107"/>
      <c r="D34" s="67"/>
      <c r="E34" s="64" t="s">
        <v>72</v>
      </c>
      <c r="F34" s="64" t="s">
        <v>73</v>
      </c>
      <c r="G34" s="64" t="s">
        <v>43</v>
      </c>
      <c r="H34" s="66"/>
      <c r="I34" s="64" t="s">
        <v>72</v>
      </c>
      <c r="J34" s="64" t="s">
        <v>73</v>
      </c>
      <c r="K34" s="64" t="s">
        <v>43</v>
      </c>
      <c r="L34" s="66"/>
      <c r="M34" s="64" t="s">
        <v>72</v>
      </c>
      <c r="N34" s="64" t="s">
        <v>73</v>
      </c>
      <c r="O34" s="64" t="s">
        <v>43</v>
      </c>
      <c r="P34" s="66"/>
      <c r="Q34" s="64" t="s">
        <v>72</v>
      </c>
      <c r="R34" s="64" t="s">
        <v>73</v>
      </c>
      <c r="S34" s="64" t="s">
        <v>43</v>
      </c>
      <c r="T34" s="66"/>
      <c r="U34" s="64" t="s">
        <v>72</v>
      </c>
      <c r="V34" s="64" t="s">
        <v>73</v>
      </c>
      <c r="W34" s="64" t="s">
        <v>43</v>
      </c>
      <c r="X34" s="66"/>
      <c r="Y34" s="64" t="s">
        <v>72</v>
      </c>
      <c r="Z34" s="64" t="s">
        <v>73</v>
      </c>
      <c r="AA34" s="64" t="s">
        <v>43</v>
      </c>
      <c r="AB34" s="66"/>
    </row>
    <row r="35" spans="1:28">
      <c r="A35" s="69" t="s">
        <v>74</v>
      </c>
      <c r="B35" s="78" t="s">
        <v>85</v>
      </c>
      <c r="C35" s="79"/>
      <c r="D35" s="4"/>
      <c r="E35" s="80">
        <v>78</v>
      </c>
      <c r="F35" s="51"/>
      <c r="G35" s="5">
        <f>SUM(E35*F35)</f>
        <v>0</v>
      </c>
      <c r="H35" s="66"/>
      <c r="I35" s="80">
        <v>15</v>
      </c>
      <c r="J35" s="51"/>
      <c r="K35" s="5">
        <f>SUM(I35*J35)</f>
        <v>0</v>
      </c>
      <c r="L35" s="66"/>
      <c r="M35" s="80">
        <v>27</v>
      </c>
      <c r="N35" s="51"/>
      <c r="O35" s="5">
        <f>SUM(M35*N35)</f>
        <v>0</v>
      </c>
      <c r="P35" s="66"/>
      <c r="Q35" s="80">
        <v>19</v>
      </c>
      <c r="R35" s="51"/>
      <c r="S35" s="5">
        <f>SUM(Q35*R35)</f>
        <v>0</v>
      </c>
      <c r="T35" s="66"/>
      <c r="U35" s="80">
        <v>15</v>
      </c>
      <c r="V35" s="51"/>
      <c r="W35" s="5">
        <f>SUM(U35*V35)</f>
        <v>0</v>
      </c>
      <c r="X35" s="66"/>
      <c r="Y35" s="80">
        <v>7</v>
      </c>
      <c r="Z35" s="51"/>
      <c r="AA35" s="5">
        <f>SUM(Y35*Z35)</f>
        <v>0</v>
      </c>
      <c r="AB35" s="66"/>
    </row>
    <row r="36" spans="1:28">
      <c r="A36" s="69" t="s">
        <v>75</v>
      </c>
      <c r="B36" s="81" t="s">
        <v>86</v>
      </c>
      <c r="C36" s="79"/>
      <c r="D36" s="6"/>
      <c r="E36" s="80">
        <v>78</v>
      </c>
      <c r="F36" s="51"/>
      <c r="G36" s="5">
        <f t="shared" ref="G36:G44" si="6">SUM(E36*F36)</f>
        <v>0</v>
      </c>
      <c r="H36" s="66"/>
      <c r="I36" s="80">
        <v>15</v>
      </c>
      <c r="J36" s="51"/>
      <c r="K36" s="5">
        <f t="shared" ref="K36:K44" si="7">SUM(I36*J36)</f>
        <v>0</v>
      </c>
      <c r="L36" s="66"/>
      <c r="M36" s="80">
        <v>27</v>
      </c>
      <c r="N36" s="51"/>
      <c r="O36" s="5">
        <f t="shared" ref="O36:O44" si="8">SUM(M36*N36)</f>
        <v>0</v>
      </c>
      <c r="P36" s="66"/>
      <c r="Q36" s="80">
        <v>19</v>
      </c>
      <c r="R36" s="51"/>
      <c r="S36" s="5">
        <f t="shared" ref="S36:S44" si="9">SUM(Q36*R36)</f>
        <v>0</v>
      </c>
      <c r="T36" s="66"/>
      <c r="U36" s="80">
        <v>15</v>
      </c>
      <c r="V36" s="51"/>
      <c r="W36" s="5">
        <f t="shared" ref="W36:W44" si="10">SUM(U36*V36)</f>
        <v>0</v>
      </c>
      <c r="X36" s="66"/>
      <c r="Y36" s="80">
        <v>7</v>
      </c>
      <c r="Z36" s="51"/>
      <c r="AA36" s="5">
        <f t="shared" ref="AA36:AA44" si="11">SUM(Y36*Z36)</f>
        <v>0</v>
      </c>
      <c r="AB36" s="66"/>
    </row>
    <row r="37" spans="1:28">
      <c r="A37" s="69" t="s">
        <v>76</v>
      </c>
      <c r="B37" s="70" t="s">
        <v>87</v>
      </c>
      <c r="C37" s="82"/>
      <c r="D37" s="7"/>
      <c r="E37" s="80">
        <v>9</v>
      </c>
      <c r="F37" s="51"/>
      <c r="G37" s="5">
        <f t="shared" si="6"/>
        <v>0</v>
      </c>
      <c r="H37" s="66"/>
      <c r="I37" s="80">
        <v>2</v>
      </c>
      <c r="J37" s="51"/>
      <c r="K37" s="5">
        <f t="shared" si="7"/>
        <v>0</v>
      </c>
      <c r="L37" s="66"/>
      <c r="M37" s="80">
        <v>3</v>
      </c>
      <c r="N37" s="51"/>
      <c r="O37" s="5">
        <f t="shared" si="8"/>
        <v>0</v>
      </c>
      <c r="P37" s="66"/>
      <c r="Q37" s="80">
        <v>2</v>
      </c>
      <c r="R37" s="51"/>
      <c r="S37" s="5">
        <f t="shared" si="9"/>
        <v>0</v>
      </c>
      <c r="T37" s="66"/>
      <c r="U37" s="80">
        <v>2</v>
      </c>
      <c r="V37" s="51"/>
      <c r="W37" s="5">
        <f t="shared" si="10"/>
        <v>0</v>
      </c>
      <c r="X37" s="66"/>
      <c r="Y37" s="80">
        <v>2</v>
      </c>
      <c r="Z37" s="51"/>
      <c r="AA37" s="5">
        <f t="shared" si="11"/>
        <v>0</v>
      </c>
      <c r="AB37" s="66"/>
    </row>
    <row r="38" spans="1:28">
      <c r="A38" s="69" t="s">
        <v>77</v>
      </c>
      <c r="B38" s="70" t="s">
        <v>88</v>
      </c>
      <c r="C38" s="82"/>
      <c r="D38" s="7"/>
      <c r="E38" s="80">
        <v>9</v>
      </c>
      <c r="F38" s="51"/>
      <c r="G38" s="5">
        <f t="shared" si="6"/>
        <v>0</v>
      </c>
      <c r="H38" s="66"/>
      <c r="I38" s="80">
        <v>2</v>
      </c>
      <c r="J38" s="51"/>
      <c r="K38" s="5">
        <f t="shared" si="7"/>
        <v>0</v>
      </c>
      <c r="L38" s="66"/>
      <c r="M38" s="80">
        <v>3</v>
      </c>
      <c r="N38" s="51"/>
      <c r="O38" s="5">
        <f t="shared" si="8"/>
        <v>0</v>
      </c>
      <c r="P38" s="66"/>
      <c r="Q38" s="80">
        <v>2</v>
      </c>
      <c r="R38" s="51"/>
      <c r="S38" s="5">
        <f t="shared" si="9"/>
        <v>0</v>
      </c>
      <c r="T38" s="66"/>
      <c r="U38" s="80">
        <v>2</v>
      </c>
      <c r="V38" s="51"/>
      <c r="W38" s="5">
        <f t="shared" si="10"/>
        <v>0</v>
      </c>
      <c r="X38" s="66"/>
      <c r="Y38" s="80">
        <v>2</v>
      </c>
      <c r="Z38" s="51"/>
      <c r="AA38" s="5">
        <f t="shared" si="11"/>
        <v>0</v>
      </c>
      <c r="AB38" s="66"/>
    </row>
    <row r="39" spans="1:28">
      <c r="A39" s="69" t="s">
        <v>78</v>
      </c>
      <c r="B39" s="70" t="s">
        <v>89</v>
      </c>
      <c r="C39" s="82"/>
      <c r="D39" s="7"/>
      <c r="E39" s="80">
        <v>9</v>
      </c>
      <c r="F39" s="51"/>
      <c r="G39" s="5">
        <f t="shared" si="6"/>
        <v>0</v>
      </c>
      <c r="H39" s="66"/>
      <c r="I39" s="80">
        <v>2</v>
      </c>
      <c r="J39" s="51"/>
      <c r="K39" s="5">
        <f t="shared" si="7"/>
        <v>0</v>
      </c>
      <c r="L39" s="66"/>
      <c r="M39" s="80">
        <v>3</v>
      </c>
      <c r="N39" s="51"/>
      <c r="O39" s="5">
        <f t="shared" si="8"/>
        <v>0</v>
      </c>
      <c r="P39" s="66"/>
      <c r="Q39" s="80">
        <v>2</v>
      </c>
      <c r="R39" s="51"/>
      <c r="S39" s="5">
        <f t="shared" si="9"/>
        <v>0</v>
      </c>
      <c r="T39" s="66"/>
      <c r="U39" s="80">
        <v>2</v>
      </c>
      <c r="V39" s="51"/>
      <c r="W39" s="5">
        <f t="shared" si="10"/>
        <v>0</v>
      </c>
      <c r="X39" s="66"/>
      <c r="Y39" s="80">
        <v>2</v>
      </c>
      <c r="Z39" s="51"/>
      <c r="AA39" s="5">
        <f t="shared" si="11"/>
        <v>0</v>
      </c>
      <c r="AB39" s="66"/>
    </row>
    <row r="40" spans="1:28">
      <c r="A40" s="69" t="s">
        <v>79</v>
      </c>
      <c r="B40" s="70" t="s">
        <v>90</v>
      </c>
      <c r="C40" s="82"/>
      <c r="D40" s="7"/>
      <c r="E40" s="80">
        <v>50</v>
      </c>
      <c r="F40" s="51"/>
      <c r="G40" s="5">
        <f t="shared" si="6"/>
        <v>0</v>
      </c>
      <c r="H40" s="66"/>
      <c r="I40" s="80">
        <v>10</v>
      </c>
      <c r="J40" s="51"/>
      <c r="K40" s="5">
        <f t="shared" si="7"/>
        <v>0</v>
      </c>
      <c r="L40" s="66"/>
      <c r="M40" s="80">
        <v>17</v>
      </c>
      <c r="N40" s="51"/>
      <c r="O40" s="5">
        <f t="shared" si="8"/>
        <v>0</v>
      </c>
      <c r="P40" s="66"/>
      <c r="Q40" s="80">
        <v>12</v>
      </c>
      <c r="R40" s="51"/>
      <c r="S40" s="5">
        <f t="shared" si="9"/>
        <v>0</v>
      </c>
      <c r="T40" s="66"/>
      <c r="U40" s="80">
        <v>10</v>
      </c>
      <c r="V40" s="51"/>
      <c r="W40" s="5">
        <f t="shared" si="10"/>
        <v>0</v>
      </c>
      <c r="X40" s="66"/>
      <c r="Y40" s="80">
        <v>5</v>
      </c>
      <c r="Z40" s="51"/>
      <c r="AA40" s="5">
        <f t="shared" si="11"/>
        <v>0</v>
      </c>
      <c r="AB40" s="66"/>
    </row>
    <row r="41" spans="1:28">
      <c r="A41" s="69" t="s">
        <v>80</v>
      </c>
      <c r="B41" s="70" t="s">
        <v>91</v>
      </c>
      <c r="C41" s="82"/>
      <c r="D41" s="7"/>
      <c r="E41" s="80">
        <v>20</v>
      </c>
      <c r="F41" s="51"/>
      <c r="G41" s="5">
        <f t="shared" si="6"/>
        <v>0</v>
      </c>
      <c r="H41" s="66"/>
      <c r="I41" s="80">
        <v>20</v>
      </c>
      <c r="J41" s="51"/>
      <c r="K41" s="5">
        <f t="shared" si="7"/>
        <v>0</v>
      </c>
      <c r="L41" s="66"/>
      <c r="M41" s="80">
        <v>20</v>
      </c>
      <c r="N41" s="51"/>
      <c r="O41" s="5">
        <f t="shared" si="8"/>
        <v>0</v>
      </c>
      <c r="P41" s="66"/>
      <c r="Q41" s="80">
        <v>20</v>
      </c>
      <c r="R41" s="51"/>
      <c r="S41" s="5">
        <f t="shared" si="9"/>
        <v>0</v>
      </c>
      <c r="T41" s="66"/>
      <c r="U41" s="80">
        <v>20</v>
      </c>
      <c r="V41" s="51"/>
      <c r="W41" s="5">
        <f t="shared" si="10"/>
        <v>0</v>
      </c>
      <c r="X41" s="66"/>
      <c r="Y41" s="80">
        <v>20</v>
      </c>
      <c r="Z41" s="51"/>
      <c r="AA41" s="5">
        <f t="shared" si="11"/>
        <v>0</v>
      </c>
      <c r="AB41" s="66"/>
    </row>
    <row r="42" spans="1:28">
      <c r="A42" s="69" t="s">
        <v>81</v>
      </c>
      <c r="B42" s="70" t="s">
        <v>92</v>
      </c>
      <c r="C42" s="82"/>
      <c r="D42" s="7"/>
      <c r="E42" s="80">
        <v>50</v>
      </c>
      <c r="F42" s="51"/>
      <c r="G42" s="5">
        <f t="shared" si="6"/>
        <v>0</v>
      </c>
      <c r="H42" s="66"/>
      <c r="I42" s="80">
        <v>10</v>
      </c>
      <c r="J42" s="51"/>
      <c r="K42" s="5">
        <f t="shared" si="7"/>
        <v>0</v>
      </c>
      <c r="L42" s="66"/>
      <c r="M42" s="80">
        <v>17</v>
      </c>
      <c r="N42" s="51"/>
      <c r="O42" s="5">
        <f t="shared" si="8"/>
        <v>0</v>
      </c>
      <c r="P42" s="66"/>
      <c r="Q42" s="80">
        <v>12</v>
      </c>
      <c r="R42" s="51"/>
      <c r="S42" s="5">
        <f t="shared" si="9"/>
        <v>0</v>
      </c>
      <c r="T42" s="66"/>
      <c r="U42" s="80">
        <v>10</v>
      </c>
      <c r="V42" s="51"/>
      <c r="W42" s="5">
        <f t="shared" si="10"/>
        <v>0</v>
      </c>
      <c r="X42" s="66"/>
      <c r="Y42" s="80">
        <v>5</v>
      </c>
      <c r="Z42" s="51"/>
      <c r="AA42" s="5">
        <f t="shared" si="11"/>
        <v>0</v>
      </c>
      <c r="AB42" s="66"/>
    </row>
    <row r="43" spans="1:28">
      <c r="A43" s="69" t="s">
        <v>82</v>
      </c>
      <c r="B43" s="70" t="s">
        <v>93</v>
      </c>
      <c r="C43" s="82"/>
      <c r="D43" s="7"/>
      <c r="E43" s="80">
        <v>11</v>
      </c>
      <c r="F43" s="51"/>
      <c r="G43" s="5">
        <f t="shared" si="6"/>
        <v>0</v>
      </c>
      <c r="H43" s="66"/>
      <c r="I43" s="80">
        <v>2</v>
      </c>
      <c r="J43" s="51"/>
      <c r="K43" s="5">
        <f t="shared" si="7"/>
        <v>0</v>
      </c>
      <c r="L43" s="66"/>
      <c r="M43" s="80">
        <v>3</v>
      </c>
      <c r="N43" s="51"/>
      <c r="O43" s="5">
        <f t="shared" si="8"/>
        <v>0</v>
      </c>
      <c r="P43" s="66"/>
      <c r="Q43" s="80">
        <v>3</v>
      </c>
      <c r="R43" s="51"/>
      <c r="S43" s="5">
        <f t="shared" si="9"/>
        <v>0</v>
      </c>
      <c r="T43" s="66"/>
      <c r="U43" s="80">
        <v>2</v>
      </c>
      <c r="V43" s="51"/>
      <c r="W43" s="5">
        <f t="shared" si="10"/>
        <v>0</v>
      </c>
      <c r="X43" s="66"/>
      <c r="Y43" s="80">
        <v>2</v>
      </c>
      <c r="Z43" s="51"/>
      <c r="AA43" s="5">
        <f t="shared" si="11"/>
        <v>0</v>
      </c>
      <c r="AB43" s="66"/>
    </row>
    <row r="44" spans="1:28">
      <c r="A44" s="69" t="s">
        <v>83</v>
      </c>
      <c r="B44" s="70" t="s">
        <v>126</v>
      </c>
      <c r="C44" s="82"/>
      <c r="D44" s="7"/>
      <c r="E44" s="80">
        <v>50</v>
      </c>
      <c r="F44" s="51"/>
      <c r="G44" s="5">
        <f t="shared" si="6"/>
        <v>0</v>
      </c>
      <c r="H44" s="66"/>
      <c r="I44" s="80">
        <v>10</v>
      </c>
      <c r="J44" s="51"/>
      <c r="K44" s="5">
        <f t="shared" si="7"/>
        <v>0</v>
      </c>
      <c r="L44" s="66"/>
      <c r="M44" s="80">
        <v>17</v>
      </c>
      <c r="N44" s="51"/>
      <c r="O44" s="5">
        <f t="shared" si="8"/>
        <v>0</v>
      </c>
      <c r="P44" s="66"/>
      <c r="Q44" s="80">
        <v>12</v>
      </c>
      <c r="R44" s="51"/>
      <c r="S44" s="5">
        <f t="shared" si="9"/>
        <v>0</v>
      </c>
      <c r="T44" s="66"/>
      <c r="U44" s="80">
        <v>10</v>
      </c>
      <c r="V44" s="51"/>
      <c r="W44" s="5">
        <f t="shared" si="10"/>
        <v>0</v>
      </c>
      <c r="X44" s="66"/>
      <c r="Y44" s="80">
        <v>5</v>
      </c>
      <c r="Z44" s="51"/>
      <c r="AA44" s="5">
        <f t="shared" si="11"/>
        <v>0</v>
      </c>
      <c r="AB44" s="66"/>
    </row>
    <row r="45" spans="1:28" s="76" customFormat="1">
      <c r="A45" s="71"/>
      <c r="B45" s="72" t="s">
        <v>84</v>
      </c>
      <c r="C45" s="73"/>
      <c r="D45" s="3"/>
      <c r="E45" s="60"/>
      <c r="F45" s="74"/>
      <c r="G45" s="75">
        <f>SUM(G35:G44)</f>
        <v>0</v>
      </c>
      <c r="H45" s="3"/>
      <c r="I45" s="60"/>
      <c r="J45" s="74"/>
      <c r="K45" s="75">
        <f>SUM(K35:K44)</f>
        <v>0</v>
      </c>
      <c r="L45" s="3"/>
      <c r="M45" s="60"/>
      <c r="N45" s="74"/>
      <c r="O45" s="75">
        <f>SUM(O35:O44)</f>
        <v>0</v>
      </c>
      <c r="P45" s="3"/>
      <c r="Q45" s="60"/>
      <c r="R45" s="74"/>
      <c r="S45" s="75">
        <f>SUM(S35:S44)</f>
        <v>0</v>
      </c>
      <c r="T45" s="3"/>
      <c r="U45" s="60"/>
      <c r="V45" s="74"/>
      <c r="W45" s="75">
        <f>SUM(W35:W44)</f>
        <v>0</v>
      </c>
      <c r="X45" s="3"/>
      <c r="Y45" s="60"/>
      <c r="Z45" s="74"/>
      <c r="AA45" s="75">
        <f>SUM(AA35:AA44)</f>
        <v>0</v>
      </c>
      <c r="AB45" s="3"/>
    </row>
    <row r="46" spans="1:28">
      <c r="B46" s="83"/>
      <c r="D46" s="77"/>
      <c r="G46" s="84"/>
      <c r="H46" s="66"/>
      <c r="K46" s="84"/>
      <c r="L46" s="66"/>
      <c r="O46" s="84"/>
      <c r="P46" s="66"/>
      <c r="S46" s="84"/>
      <c r="T46" s="66"/>
      <c r="W46" s="84"/>
      <c r="X46" s="66"/>
      <c r="Z46" s="63"/>
      <c r="AA46" s="84"/>
      <c r="AB46" s="66"/>
    </row>
    <row r="47" spans="1:28" s="76" customFormat="1">
      <c r="A47" s="71"/>
      <c r="B47" s="72" t="s">
        <v>69</v>
      </c>
      <c r="C47" s="73"/>
      <c r="D47" s="3"/>
      <c r="E47" s="60"/>
      <c r="F47" s="74"/>
      <c r="G47" s="95">
        <v>33000</v>
      </c>
      <c r="H47" s="3"/>
      <c r="I47" s="60"/>
      <c r="J47" s="74"/>
      <c r="K47" s="95">
        <v>33000</v>
      </c>
      <c r="L47" s="96"/>
      <c r="M47" s="97"/>
      <c r="N47" s="98"/>
      <c r="O47" s="95">
        <v>33000</v>
      </c>
      <c r="P47" s="96"/>
      <c r="Q47" s="97"/>
      <c r="R47" s="98"/>
      <c r="S47" s="95">
        <v>33000</v>
      </c>
      <c r="T47" s="96"/>
      <c r="U47" s="97"/>
      <c r="V47" s="98"/>
      <c r="W47" s="95">
        <v>33000</v>
      </c>
      <c r="X47" s="96"/>
      <c r="Y47" s="97"/>
      <c r="Z47" s="98"/>
      <c r="AA47" s="95">
        <v>33000</v>
      </c>
      <c r="AB47" s="3"/>
    </row>
    <row r="48" spans="1:28" ht="15.75" thickBot="1">
      <c r="D48" s="77"/>
      <c r="H48" s="66"/>
      <c r="L48" s="66"/>
      <c r="P48" s="66"/>
      <c r="T48" s="66"/>
      <c r="X48" s="66"/>
      <c r="Z48" s="63"/>
      <c r="AB48" s="66"/>
    </row>
    <row r="49" spans="1:28" ht="15.75" thickBot="1">
      <c r="A49" s="89"/>
      <c r="B49" s="90" t="s">
        <v>70</v>
      </c>
      <c r="C49" s="91"/>
      <c r="D49" s="77"/>
      <c r="E49" s="92"/>
      <c r="F49" s="92"/>
      <c r="G49" s="93">
        <f>SUM(G31,G45,G47)</f>
        <v>33000</v>
      </c>
      <c r="H49" s="77"/>
      <c r="I49" s="92"/>
      <c r="J49" s="94"/>
      <c r="K49" s="93">
        <f>SUM(K31,K45,K47)</f>
        <v>33000</v>
      </c>
      <c r="L49" s="77"/>
      <c r="M49" s="92"/>
      <c r="N49" s="94"/>
      <c r="O49" s="93">
        <f>SUM(O31,O45,O47)</f>
        <v>33000</v>
      </c>
      <c r="P49" s="77"/>
      <c r="Q49" s="92"/>
      <c r="R49" s="94"/>
      <c r="S49" s="93">
        <f>SUM(S31,S45,S47)</f>
        <v>33000</v>
      </c>
      <c r="T49" s="77"/>
      <c r="U49" s="92"/>
      <c r="V49" s="94"/>
      <c r="W49" s="93">
        <f>SUM(W31,W45,W47)</f>
        <v>33000</v>
      </c>
      <c r="X49" s="77"/>
      <c r="Y49" s="92"/>
      <c r="Z49" s="94"/>
      <c r="AA49" s="93">
        <f>SUM(AA31,AA45,AA47)</f>
        <v>33000</v>
      </c>
      <c r="AB49" s="77"/>
    </row>
    <row r="51" spans="1:28">
      <c r="B51" s="85" t="s">
        <v>71</v>
      </c>
      <c r="C51" s="86"/>
      <c r="D51" s="87"/>
      <c r="E51" s="87"/>
      <c r="F51" s="87"/>
      <c r="G51" s="88">
        <f>SUM(G49,K49,O49,S49,W49,AA49)</f>
        <v>198000</v>
      </c>
    </row>
  </sheetData>
  <sheetProtection algorithmName="SHA-512" hashValue="JYkEj4SPISWLSPovYYcSXMxDdRR6J50BoJXbYWqNz7uo+JePVyx+5FmYufPekhiCMVpPR7VzMVEaoNcspeO0rg==" saltValue="+8mUfJ116L1B3L7VUg8mGA==" spinCount="100000" sheet="1" objects="1" scenarios="1"/>
  <mergeCells count="18">
    <mergeCell ref="C3:C4"/>
    <mergeCell ref="E3:G3"/>
    <mergeCell ref="E33:G33"/>
    <mergeCell ref="A3:A4"/>
    <mergeCell ref="B3:B4"/>
    <mergeCell ref="A33:A34"/>
    <mergeCell ref="B33:B34"/>
    <mergeCell ref="C33:C34"/>
    <mergeCell ref="U3:W3"/>
    <mergeCell ref="Y3:AA3"/>
    <mergeCell ref="U33:W33"/>
    <mergeCell ref="Y33:AA33"/>
    <mergeCell ref="I3:K3"/>
    <mergeCell ref="I33:K33"/>
    <mergeCell ref="M3:O3"/>
    <mergeCell ref="M33:O33"/>
    <mergeCell ref="Q33:S33"/>
    <mergeCell ref="Q3:S3"/>
  </mergeCells>
  <phoneticPr fontId="5" type="noConversion"/>
  <pageMargins left="0.7" right="0.7" top="0.75" bottom="0.75" header="0.3" footer="0.3"/>
  <pageSetup scale="6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da7ce6-20c7-455c-b508-d6bad9285698" xsi:nil="true"/>
    <lcf76f155ced4ddcb4097134ff3c332f xmlns="f3449181-0736-4ae5-8b70-2e67f8efec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1261A9865234BA6D946AB31ED9DF1" ma:contentTypeVersion="17" ma:contentTypeDescription="Create a new document." ma:contentTypeScope="" ma:versionID="2023183bde78611fc58fd6a61834f3f7">
  <xsd:schema xmlns:xsd="http://www.w3.org/2001/XMLSchema" xmlns:xs="http://www.w3.org/2001/XMLSchema" xmlns:p="http://schemas.microsoft.com/office/2006/metadata/properties" xmlns:ns2="f3449181-0736-4ae5-8b70-2e67f8efec31" xmlns:ns3="00da7ce6-20c7-455c-b508-d6bad9285698" targetNamespace="http://schemas.microsoft.com/office/2006/metadata/properties" ma:root="true" ma:fieldsID="48e14ef427e3c0284d78cfe66ddee35a" ns2:_="" ns3:_="">
    <xsd:import namespace="f3449181-0736-4ae5-8b70-2e67f8efec31"/>
    <xsd:import namespace="00da7ce6-20c7-455c-b508-d6bad92856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49181-0736-4ae5-8b70-2e67f8efe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a7ce6-20c7-455c-b508-d6bad928569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8033484-6677-4c95-a8df-ab44955f9185}" ma:internalName="TaxCatchAll" ma:showField="CatchAllData" ma:web="00da7ce6-20c7-455c-b508-d6bad92856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B2FDC-DA04-426A-8C6A-5195AF1A4704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f3449181-0736-4ae5-8b70-2e67f8efec31"/>
    <ds:schemaRef ds:uri="http://purl.org/dc/terms/"/>
    <ds:schemaRef ds:uri="http://schemas.microsoft.com/office/infopath/2007/PartnerControls"/>
    <ds:schemaRef ds:uri="00da7ce6-20c7-455c-b508-d6bad928569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812813-F12B-4DF5-85FB-62C330724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49181-0736-4ae5-8b70-2e67f8efec31"/>
    <ds:schemaRef ds:uri="00da7ce6-20c7-455c-b508-d6bad92856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64F4BD-9607-49CD-B4EE-2DE27EC6DC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1. Prov. Bill. Ind. Cost Rates</vt:lpstr>
      <vt:lpstr>2. Ceiling Indirect Cost Rates</vt:lpstr>
      <vt:lpstr>3. NTE Profit &amp; Fee Percent</vt:lpstr>
      <vt:lpstr>4. IDIQ Prices</vt:lpstr>
      <vt:lpstr>'1. Prov. Bill. Ind. Cost Rates'!Print_Area</vt:lpstr>
      <vt:lpstr>'2. Ceiling Indirect Cost Rates'!Print_Area</vt:lpstr>
      <vt:lpstr>'3. NTE Profit &amp; Fee Percent'!Print_Area</vt:lpstr>
    </vt:vector>
  </TitlesOfParts>
  <Manager/>
  <Company>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McNelly, Robert T</dc:creator>
  <cp:keywords/>
  <dc:description/>
  <cp:lastModifiedBy>McNelly, Robert T</cp:lastModifiedBy>
  <cp:revision/>
  <cp:lastPrinted>2024-12-03T14:03:03Z</cp:lastPrinted>
  <dcterms:created xsi:type="dcterms:W3CDTF">2024-04-01T19:35:37Z</dcterms:created>
  <dcterms:modified xsi:type="dcterms:W3CDTF">2024-12-03T14:03:21Z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2024-04-01T19:49:56Z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70faeef4-aa54-4cd2-9e7b-7bd4809f3f80</vt:lpwstr>
  </property>
  <property fmtid="{D5CDD505-2E9C-101B-9397-08002B2CF9AE}" pid="8" name="MSIP_Label_1665d9ee-429a-4d5f-97cc-cfb56e044a6e_ContentBits">
    <vt:lpwstr>0</vt:lpwstr>
  </property>
  <property fmtid="{D5CDD505-2E9C-101B-9397-08002B2CF9AE}" pid="9" name="ContentTypeId">
    <vt:lpwstr>0x0101007641261A9865234BA6D946AB31ED9DF1</vt:lpwstr>
  </property>
  <property fmtid="{D5CDD505-2E9C-101B-9397-08002B2CF9AE}" pid="10" name="MediaServiceImageTags">
    <vt:lpwstr/>
  </property>
</Properties>
</file>