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armyeitaas-my.sharepoint-mil.us/personal/melena_d_faxon_civ_army_mil/Documents/Desktop/21-D-0010 Renewal/Solicitation/"/>
    </mc:Choice>
  </mc:AlternateContent>
  <xr:revisionPtr revIDLastSave="48" documentId="11_C674BE5B9B6CB41A21D25CE825B9F70F29140795" xr6:coauthVersionLast="47" xr6:coauthVersionMax="47" xr10:uidLastSave="{DE9100A8-447F-4C18-B90F-442CCA573809}"/>
  <bookViews>
    <workbookView xWindow="28680" yWindow="150" windowWidth="29040" windowHeight="15450" xr2:uid="{00000000-000D-0000-FFFF-FFFF00000000}"/>
  </bookViews>
  <sheets>
    <sheet name="Price Quo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1" i="1" l="1"/>
  <c r="G29" i="1"/>
  <c r="G27" i="1"/>
  <c r="G39" i="1" l="1"/>
  <c r="G38" i="1"/>
  <c r="G37" i="1"/>
  <c r="G36" i="1"/>
  <c r="G35" i="1"/>
  <c r="G34" i="1"/>
  <c r="G32" i="1"/>
  <c r="G30" i="1"/>
  <c r="G28" i="1"/>
  <c r="G33" i="1" s="1"/>
  <c r="G25" i="1"/>
  <c r="G24" i="1"/>
  <c r="G23" i="1"/>
  <c r="G22" i="1"/>
  <c r="G21" i="1"/>
  <c r="G20" i="1"/>
  <c r="G26" i="1" s="1"/>
  <c r="G18" i="1"/>
  <c r="G17" i="1"/>
  <c r="G16" i="1"/>
  <c r="G15" i="1"/>
  <c r="G14" i="1"/>
  <c r="G13" i="1"/>
  <c r="G11" i="1"/>
  <c r="G10" i="1"/>
  <c r="G9" i="1"/>
  <c r="G8" i="1"/>
  <c r="G7" i="1"/>
  <c r="G6" i="1"/>
  <c r="G12" i="1" s="1"/>
  <c r="G19" i="1" l="1"/>
  <c r="G40" i="1"/>
  <c r="G41" i="1"/>
</calcChain>
</file>

<file path=xl/sharedStrings.xml><?xml version="1.0" encoding="utf-8"?>
<sst xmlns="http://schemas.openxmlformats.org/spreadsheetml/2006/main" count="116" uniqueCount="62">
  <si>
    <t>CLIN</t>
  </si>
  <si>
    <t>Unit of Measure</t>
  </si>
  <si>
    <t>Quantity</t>
  </si>
  <si>
    <t>Unit Price</t>
  </si>
  <si>
    <t>Total Cost</t>
  </si>
  <si>
    <t>0001</t>
  </si>
  <si>
    <t>0002</t>
  </si>
  <si>
    <t>Base Year Total Cost</t>
  </si>
  <si>
    <t>1001</t>
  </si>
  <si>
    <t>1002</t>
  </si>
  <si>
    <t>2001</t>
  </si>
  <si>
    <t>2002</t>
  </si>
  <si>
    <t>3001</t>
  </si>
  <si>
    <t>3002</t>
  </si>
  <si>
    <t>4001</t>
  </si>
  <si>
    <t>4002</t>
  </si>
  <si>
    <t>Overal Total Proposed Cost</t>
  </si>
  <si>
    <t>1st Option Year Total Cost</t>
  </si>
  <si>
    <t>2nd Option Year Total Cost</t>
  </si>
  <si>
    <t>3rd Option Year Total Cost</t>
  </si>
  <si>
    <t>4th Option Year Total Cost</t>
  </si>
  <si>
    <t>0003</t>
  </si>
  <si>
    <t>0004</t>
  </si>
  <si>
    <t>0005</t>
  </si>
  <si>
    <t>0006</t>
  </si>
  <si>
    <t>LF</t>
  </si>
  <si>
    <t>Service Description</t>
  </si>
  <si>
    <t>Install Suberranean Termite Colony Elimination System - Hard Surface</t>
  </si>
  <si>
    <t>Install Suberranean Termite Colony Elimination System - Soft Surface</t>
  </si>
  <si>
    <t>Bait &amp; Monitor Subterranean Termite Colony Elimination System</t>
  </si>
  <si>
    <t>Chemical Ground Treat Soft-Surface</t>
  </si>
  <si>
    <t>Chemical Ground Treat Hard-Surface</t>
  </si>
  <si>
    <t>MCF</t>
  </si>
  <si>
    <t>1003</t>
  </si>
  <si>
    <t>1004</t>
  </si>
  <si>
    <t>1005</t>
  </si>
  <si>
    <t>1006</t>
  </si>
  <si>
    <t>2003</t>
  </si>
  <si>
    <t>2004</t>
  </si>
  <si>
    <t>2005</t>
  </si>
  <si>
    <t>2006</t>
  </si>
  <si>
    <t>3003</t>
  </si>
  <si>
    <t>3004</t>
  </si>
  <si>
    <t>3005</t>
  </si>
  <si>
    <t>3006</t>
  </si>
  <si>
    <t>4003</t>
  </si>
  <si>
    <t>4004</t>
  </si>
  <si>
    <t>4005</t>
  </si>
  <si>
    <t>4006</t>
  </si>
  <si>
    <t>Prepared By:  ______________________________</t>
  </si>
  <si>
    <t>Signature:  ______________________________</t>
  </si>
  <si>
    <t>Date:  ______________________________</t>
  </si>
  <si>
    <t>Linear Footage</t>
  </si>
  <si>
    <t>One thousand cubic feet</t>
  </si>
  <si>
    <t xml:space="preserve"> </t>
  </si>
  <si>
    <t>Legend</t>
  </si>
  <si>
    <t>ABC Company Name</t>
  </si>
  <si>
    <t>Price Quote Summary*</t>
  </si>
  <si>
    <t>Tent Fumigation</t>
  </si>
  <si>
    <t xml:space="preserve">*  The Contractor shall furnish all management, tools, supplies, equipment, materials, labor, and transportation necessary to provide control/elimination of subterranean and dry-wood termites, in accordance with the manufacturer’s standards, commercial practices, and applicable federal, state, and local codes.  </t>
  </si>
  <si>
    <r>
      <rPr>
        <b/>
        <sz val="13"/>
        <color rgb="FFFF0000"/>
        <rFont val="Arial"/>
        <family val="2"/>
      </rPr>
      <t>Note:</t>
    </r>
    <r>
      <rPr>
        <sz val="13"/>
        <color rgb="FFFF0000"/>
        <rFont val="Arial"/>
        <family val="2"/>
      </rPr>
      <t xml:space="preserve">  </t>
    </r>
    <r>
      <rPr>
        <sz val="13"/>
        <rFont val="Arial"/>
        <family val="2"/>
      </rPr>
      <t xml:space="preserve">Although formulas are entered into this spreadsheet's cells, it is the vendor's responsibility to ensure all unit prices, total, and proposed costs are correct.                                                                                          </t>
    </r>
  </si>
  <si>
    <t>Solicitation Number W912CN-26-Q-A011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</si>
</sst>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3" x14ac:knownFonts="1">
    <font>
      <sz val="11"/>
      <color theme="1"/>
      <name val="Calibri"/>
      <family val="2"/>
      <scheme val="minor"/>
    </font>
    <font>
      <sz val="13"/>
      <color theme="1"/>
      <name val="Arial"/>
      <family val="2"/>
    </font>
    <font>
      <b/>
      <sz val="13"/>
      <color theme="1"/>
      <name val="Arial"/>
      <family val="2"/>
    </font>
    <font>
      <sz val="13"/>
      <name val="Arial"/>
      <family val="2"/>
    </font>
    <font>
      <b/>
      <sz val="14"/>
      <color theme="1"/>
      <name val="Arial"/>
      <family val="2"/>
    </font>
    <font>
      <b/>
      <sz val="13"/>
      <name val="Arial"/>
      <family val="2"/>
    </font>
    <font>
      <sz val="14"/>
      <name val="Arial"/>
      <family val="2"/>
    </font>
    <font>
      <b/>
      <sz val="14"/>
      <color rgb="FFFF0000"/>
      <name val="Arial"/>
      <family val="2"/>
    </font>
    <font>
      <sz val="14"/>
      <color theme="1"/>
      <name val="Arial"/>
      <family val="2"/>
    </font>
    <font>
      <sz val="13"/>
      <color rgb="FFFF0000"/>
      <name val="Arial"/>
      <family val="2"/>
    </font>
    <font>
      <b/>
      <sz val="13"/>
      <color rgb="FFFF0000"/>
      <name val="Arial"/>
      <family val="2"/>
    </font>
    <font>
      <i/>
      <sz val="13"/>
      <color theme="1"/>
      <name val="Arial"/>
      <family val="2"/>
    </font>
    <font>
      <b/>
      <sz val="14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/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44" fontId="3" fillId="0" borderId="1" xfId="0" applyNumberFormat="1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3" fontId="3" fillId="0" borderId="4" xfId="0" applyNumberFormat="1" applyFont="1" applyBorder="1" applyAlignment="1">
      <alignment horizontal="center"/>
    </xf>
    <xf numFmtId="0" fontId="8" fillId="0" borderId="0" xfId="0" applyFont="1"/>
    <xf numFmtId="44" fontId="6" fillId="0" borderId="1" xfId="0" applyNumberFormat="1" applyFont="1" applyBorder="1" applyAlignment="1">
      <alignment horizontal="center"/>
    </xf>
    <xf numFmtId="0" fontId="3" fillId="0" borderId="0" xfId="0" applyFont="1" applyAlignment="1">
      <alignment wrapText="1"/>
    </xf>
    <xf numFmtId="0" fontId="3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left"/>
    </xf>
    <xf numFmtId="0" fontId="2" fillId="3" borderId="10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49" fontId="3" fillId="0" borderId="10" xfId="0" applyNumberFormat="1" applyFont="1" applyBorder="1" applyAlignment="1">
      <alignment horizontal="center"/>
    </xf>
    <xf numFmtId="44" fontId="3" fillId="0" borderId="11" xfId="0" applyNumberFormat="1" applyFont="1" applyBorder="1" applyAlignment="1">
      <alignment horizontal="center"/>
    </xf>
    <xf numFmtId="44" fontId="3" fillId="4" borderId="11" xfId="0" applyNumberFormat="1" applyFont="1" applyFill="1" applyBorder="1" applyAlignment="1">
      <alignment wrapText="1"/>
    </xf>
    <xf numFmtId="44" fontId="1" fillId="4" borderId="11" xfId="0" applyNumberFormat="1" applyFont="1" applyFill="1" applyBorder="1" applyAlignment="1">
      <alignment wrapText="1"/>
    </xf>
    <xf numFmtId="44" fontId="2" fillId="2" borderId="11" xfId="0" applyNumberFormat="1" applyFont="1" applyFill="1" applyBorder="1"/>
    <xf numFmtId="0" fontId="7" fillId="3" borderId="5" xfId="0" applyFont="1" applyFill="1" applyBorder="1" applyAlignment="1">
      <alignment horizontal="center"/>
    </xf>
    <xf numFmtId="0" fontId="7" fillId="3" borderId="6" xfId="0" applyFont="1" applyFill="1" applyBorder="1" applyAlignment="1">
      <alignment horizontal="center"/>
    </xf>
    <xf numFmtId="0" fontId="7" fillId="3" borderId="7" xfId="0" applyFont="1" applyFill="1" applyBorder="1" applyAlignment="1">
      <alignment horizontal="center"/>
    </xf>
    <xf numFmtId="0" fontId="4" fillId="3" borderId="10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3" borderId="11" xfId="0" applyFont="1" applyFill="1" applyBorder="1" applyAlignment="1">
      <alignment horizontal="center"/>
    </xf>
    <xf numFmtId="0" fontId="12" fillId="3" borderId="8" xfId="0" applyFont="1" applyFill="1" applyBorder="1" applyAlignment="1">
      <alignment horizontal="center"/>
    </xf>
    <xf numFmtId="0" fontId="12" fillId="3" borderId="3" xfId="0" applyFont="1" applyFill="1" applyBorder="1" applyAlignment="1">
      <alignment horizontal="center"/>
    </xf>
    <xf numFmtId="0" fontId="12" fillId="3" borderId="9" xfId="0" applyFont="1" applyFill="1" applyBorder="1" applyAlignment="1">
      <alignment horizontal="center"/>
    </xf>
    <xf numFmtId="0" fontId="5" fillId="0" borderId="0" xfId="0" applyFont="1" applyAlignment="1">
      <alignment horizontal="left" wrapText="1"/>
    </xf>
    <xf numFmtId="0" fontId="2" fillId="3" borderId="2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9" fillId="0" borderId="0" xfId="0" applyFont="1" applyAlignment="1">
      <alignment horizontal="left" vertical="top" wrapText="1"/>
    </xf>
    <xf numFmtId="0" fontId="11" fillId="0" borderId="12" xfId="0" applyFont="1" applyBorder="1" applyAlignment="1">
      <alignment horizontal="left" wrapText="1"/>
    </xf>
    <xf numFmtId="0" fontId="11" fillId="0" borderId="13" xfId="0" applyFont="1" applyBorder="1" applyAlignment="1">
      <alignment horizontal="left" wrapText="1"/>
    </xf>
    <xf numFmtId="0" fontId="11" fillId="0" borderId="14" xfId="0" applyFont="1" applyBorder="1" applyAlignment="1">
      <alignment horizontal="left" wrapText="1"/>
    </xf>
    <xf numFmtId="0" fontId="5" fillId="4" borderId="8" xfId="0" applyFont="1" applyFill="1" applyBorder="1" applyAlignment="1">
      <alignment horizontal="right" wrapText="1"/>
    </xf>
    <xf numFmtId="0" fontId="5" fillId="4" borderId="3" xfId="0" applyFont="1" applyFill="1" applyBorder="1" applyAlignment="1">
      <alignment horizontal="right" wrapText="1"/>
    </xf>
    <xf numFmtId="0" fontId="5" fillId="4" borderId="4" xfId="0" applyFont="1" applyFill="1" applyBorder="1" applyAlignment="1">
      <alignment horizontal="right" wrapText="1"/>
    </xf>
    <xf numFmtId="0" fontId="2" fillId="4" borderId="8" xfId="0" applyFont="1" applyFill="1" applyBorder="1" applyAlignment="1">
      <alignment horizontal="right" wrapText="1"/>
    </xf>
    <xf numFmtId="0" fontId="2" fillId="4" borderId="3" xfId="0" applyFont="1" applyFill="1" applyBorder="1" applyAlignment="1">
      <alignment horizontal="right" wrapText="1"/>
    </xf>
    <xf numFmtId="0" fontId="2" fillId="4" borderId="4" xfId="0" applyFont="1" applyFill="1" applyBorder="1" applyAlignment="1">
      <alignment horizontal="right" wrapText="1"/>
    </xf>
    <xf numFmtId="0" fontId="2" fillId="2" borderId="8" xfId="0" applyFont="1" applyFill="1" applyBorder="1" applyAlignment="1">
      <alignment horizontal="right"/>
    </xf>
    <xf numFmtId="0" fontId="2" fillId="2" borderId="3" xfId="0" applyFont="1" applyFill="1" applyBorder="1" applyAlignment="1">
      <alignment horizontal="right"/>
    </xf>
    <xf numFmtId="0" fontId="2" fillId="2" borderId="4" xfId="0" applyFont="1" applyFill="1" applyBorder="1" applyAlignment="1">
      <alignment horizontal="right"/>
    </xf>
    <xf numFmtId="0" fontId="1" fillId="0" borderId="1" xfId="0" applyFont="1" applyFill="1" applyBorder="1" applyAlignment="1">
      <alignment horizontal="center"/>
    </xf>
    <xf numFmtId="0" fontId="1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  <color rgb="FF00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G59"/>
  <sheetViews>
    <sheetView tabSelected="1" zoomScaleNormal="100" workbookViewId="0"/>
  </sheetViews>
  <sheetFormatPr defaultRowHeight="16.5" x14ac:dyDescent="0.25"/>
  <cols>
    <col min="1" max="1" width="8.42578125" style="1" customWidth="1"/>
    <col min="2" max="2" width="10.85546875" style="1" customWidth="1"/>
    <col min="3" max="3" width="77.28515625" style="1" customWidth="1"/>
    <col min="4" max="4" width="12.28515625" style="1" customWidth="1"/>
    <col min="5" max="5" width="11.7109375" style="1" customWidth="1"/>
    <col min="6" max="6" width="15.7109375" style="1" customWidth="1"/>
    <col min="7" max="7" width="20.85546875" style="1" bestFit="1" customWidth="1"/>
    <col min="8" max="16384" width="9.140625" style="1"/>
  </cols>
  <sheetData>
    <row r="1" spans="2:7" ht="17.25" thickBot="1" x14ac:dyDescent="0.3"/>
    <row r="2" spans="2:7" ht="18" x14ac:dyDescent="0.25">
      <c r="B2" s="23" t="s">
        <v>56</v>
      </c>
      <c r="C2" s="24"/>
      <c r="D2" s="24"/>
      <c r="E2" s="24"/>
      <c r="F2" s="24"/>
      <c r="G2" s="25"/>
    </row>
    <row r="3" spans="2:7" ht="18" x14ac:dyDescent="0.25">
      <c r="B3" s="29" t="s">
        <v>61</v>
      </c>
      <c r="C3" s="30"/>
      <c r="D3" s="30"/>
      <c r="E3" s="30"/>
      <c r="F3" s="30"/>
      <c r="G3" s="31"/>
    </row>
    <row r="4" spans="2:7" ht="20.100000000000001" customHeight="1" x14ac:dyDescent="0.25">
      <c r="B4" s="26" t="s">
        <v>57</v>
      </c>
      <c r="C4" s="27"/>
      <c r="D4" s="27"/>
      <c r="E4" s="27"/>
      <c r="F4" s="27"/>
      <c r="G4" s="28"/>
    </row>
    <row r="5" spans="2:7" ht="35.25" customHeight="1" x14ac:dyDescent="0.25">
      <c r="B5" s="16" t="s">
        <v>0</v>
      </c>
      <c r="C5" s="2" t="s">
        <v>26</v>
      </c>
      <c r="D5" s="3" t="s">
        <v>1</v>
      </c>
      <c r="E5" s="4" t="s">
        <v>2</v>
      </c>
      <c r="F5" s="5" t="s">
        <v>3</v>
      </c>
      <c r="G5" s="17" t="s">
        <v>4</v>
      </c>
    </row>
    <row r="6" spans="2:7" ht="17.100000000000001" customHeight="1" x14ac:dyDescent="0.25">
      <c r="B6" s="18" t="s">
        <v>5</v>
      </c>
      <c r="C6" s="14" t="s">
        <v>28</v>
      </c>
      <c r="D6" s="6" t="s">
        <v>25</v>
      </c>
      <c r="E6" s="7">
        <v>3500</v>
      </c>
      <c r="F6" s="8"/>
      <c r="G6" s="19">
        <f>E6*F6</f>
        <v>0</v>
      </c>
    </row>
    <row r="7" spans="2:7" ht="17.100000000000001" customHeight="1" x14ac:dyDescent="0.25">
      <c r="B7" s="18" t="s">
        <v>6</v>
      </c>
      <c r="C7" s="14" t="s">
        <v>27</v>
      </c>
      <c r="D7" s="6" t="s">
        <v>25</v>
      </c>
      <c r="E7" s="7">
        <v>500</v>
      </c>
      <c r="F7" s="8"/>
      <c r="G7" s="19">
        <f t="shared" ref="G7:G11" si="0">E7*F7</f>
        <v>0</v>
      </c>
    </row>
    <row r="8" spans="2:7" ht="17.100000000000001" customHeight="1" x14ac:dyDescent="0.25">
      <c r="B8" s="18" t="s">
        <v>21</v>
      </c>
      <c r="C8" s="14" t="s">
        <v>29</v>
      </c>
      <c r="D8" s="6" t="s">
        <v>25</v>
      </c>
      <c r="E8" s="10">
        <v>3500</v>
      </c>
      <c r="F8" s="8"/>
      <c r="G8" s="19">
        <f t="shared" si="0"/>
        <v>0</v>
      </c>
    </row>
    <row r="9" spans="2:7" ht="17.100000000000001" customHeight="1" x14ac:dyDescent="0.25">
      <c r="B9" s="18" t="s">
        <v>22</v>
      </c>
      <c r="C9" s="15" t="s">
        <v>30</v>
      </c>
      <c r="D9" s="6" t="s">
        <v>25</v>
      </c>
      <c r="E9" s="9">
        <v>500</v>
      </c>
      <c r="F9" s="8"/>
      <c r="G9" s="19">
        <f t="shared" si="0"/>
        <v>0</v>
      </c>
    </row>
    <row r="10" spans="2:7" ht="17.100000000000001" customHeight="1" x14ac:dyDescent="0.25">
      <c r="B10" s="18" t="s">
        <v>23</v>
      </c>
      <c r="C10" s="15" t="s">
        <v>31</v>
      </c>
      <c r="D10" s="6" t="s">
        <v>25</v>
      </c>
      <c r="E10" s="9">
        <v>500</v>
      </c>
      <c r="F10" s="8"/>
      <c r="G10" s="19">
        <f t="shared" si="0"/>
        <v>0</v>
      </c>
    </row>
    <row r="11" spans="2:7" ht="17.100000000000001" customHeight="1" x14ac:dyDescent="0.25">
      <c r="B11" s="18" t="s">
        <v>24</v>
      </c>
      <c r="C11" s="15" t="s">
        <v>58</v>
      </c>
      <c r="D11" s="6" t="s">
        <v>32</v>
      </c>
      <c r="E11" s="10">
        <v>5000</v>
      </c>
      <c r="F11" s="8"/>
      <c r="G11" s="19">
        <f t="shared" si="0"/>
        <v>0</v>
      </c>
    </row>
    <row r="12" spans="2:7" ht="16.5" customHeight="1" x14ac:dyDescent="0.25">
      <c r="B12" s="39" t="s">
        <v>7</v>
      </c>
      <c r="C12" s="40"/>
      <c r="D12" s="40"/>
      <c r="E12" s="40"/>
      <c r="F12" s="41"/>
      <c r="G12" s="20">
        <f>SUM(G6:G11)</f>
        <v>0</v>
      </c>
    </row>
    <row r="13" spans="2:7" ht="17.100000000000001" customHeight="1" x14ac:dyDescent="0.25">
      <c r="B13" s="18" t="s">
        <v>8</v>
      </c>
      <c r="C13" s="14" t="s">
        <v>28</v>
      </c>
      <c r="D13" s="6" t="s">
        <v>25</v>
      </c>
      <c r="E13" s="7">
        <v>3500</v>
      </c>
      <c r="F13" s="8"/>
      <c r="G13" s="19">
        <f>E13*F13</f>
        <v>0</v>
      </c>
    </row>
    <row r="14" spans="2:7" ht="17.100000000000001" customHeight="1" x14ac:dyDescent="0.25">
      <c r="B14" s="18" t="s">
        <v>9</v>
      </c>
      <c r="C14" s="14" t="s">
        <v>27</v>
      </c>
      <c r="D14" s="6" t="s">
        <v>25</v>
      </c>
      <c r="E14" s="7">
        <v>500</v>
      </c>
      <c r="F14" s="8"/>
      <c r="G14" s="19">
        <f t="shared" ref="G14:G18" si="1">E14*F14</f>
        <v>0</v>
      </c>
    </row>
    <row r="15" spans="2:7" ht="17.100000000000001" customHeight="1" x14ac:dyDescent="0.25">
      <c r="B15" s="18" t="s">
        <v>33</v>
      </c>
      <c r="C15" s="14" t="s">
        <v>29</v>
      </c>
      <c r="D15" s="6" t="s">
        <v>25</v>
      </c>
      <c r="E15" s="10">
        <v>3500</v>
      </c>
      <c r="F15" s="8"/>
      <c r="G15" s="19">
        <f t="shared" si="1"/>
        <v>0</v>
      </c>
    </row>
    <row r="16" spans="2:7" ht="17.100000000000001" customHeight="1" x14ac:dyDescent="0.25">
      <c r="B16" s="18" t="s">
        <v>34</v>
      </c>
      <c r="C16" s="15" t="s">
        <v>30</v>
      </c>
      <c r="D16" s="6" t="s">
        <v>25</v>
      </c>
      <c r="E16" s="9">
        <v>500</v>
      </c>
      <c r="F16" s="8"/>
      <c r="G16" s="19">
        <f t="shared" si="1"/>
        <v>0</v>
      </c>
    </row>
    <row r="17" spans="2:7" ht="17.100000000000001" customHeight="1" x14ac:dyDescent="0.25">
      <c r="B17" s="18" t="s">
        <v>35</v>
      </c>
      <c r="C17" s="15" t="s">
        <v>31</v>
      </c>
      <c r="D17" s="6" t="s">
        <v>25</v>
      </c>
      <c r="E17" s="9">
        <v>500</v>
      </c>
      <c r="F17" s="8"/>
      <c r="G17" s="19">
        <f t="shared" si="1"/>
        <v>0</v>
      </c>
    </row>
    <row r="18" spans="2:7" ht="17.100000000000001" customHeight="1" x14ac:dyDescent="0.25">
      <c r="B18" s="18" t="s">
        <v>36</v>
      </c>
      <c r="C18" s="15" t="s">
        <v>58</v>
      </c>
      <c r="D18" s="6" t="s">
        <v>32</v>
      </c>
      <c r="E18" s="10">
        <v>5000</v>
      </c>
      <c r="F18" s="8"/>
      <c r="G18" s="19">
        <f t="shared" si="1"/>
        <v>0</v>
      </c>
    </row>
    <row r="19" spans="2:7" ht="16.5" customHeight="1" x14ac:dyDescent="0.25">
      <c r="B19" s="39" t="s">
        <v>17</v>
      </c>
      <c r="C19" s="40"/>
      <c r="D19" s="40"/>
      <c r="E19" s="40"/>
      <c r="F19" s="41"/>
      <c r="G19" s="20">
        <f>SUM(G13:G18)</f>
        <v>0</v>
      </c>
    </row>
    <row r="20" spans="2:7" ht="17.100000000000001" customHeight="1" x14ac:dyDescent="0.25">
      <c r="B20" s="18" t="s">
        <v>10</v>
      </c>
      <c r="C20" s="14" t="s">
        <v>28</v>
      </c>
      <c r="D20" s="6" t="s">
        <v>25</v>
      </c>
      <c r="E20" s="7">
        <v>3500</v>
      </c>
      <c r="F20" s="8"/>
      <c r="G20" s="19">
        <f>E20*F20</f>
        <v>0</v>
      </c>
    </row>
    <row r="21" spans="2:7" ht="17.100000000000001" customHeight="1" x14ac:dyDescent="0.25">
      <c r="B21" s="18" t="s">
        <v>11</v>
      </c>
      <c r="C21" s="14" t="s">
        <v>27</v>
      </c>
      <c r="D21" s="6" t="s">
        <v>25</v>
      </c>
      <c r="E21" s="7">
        <v>500</v>
      </c>
      <c r="F21" s="8"/>
      <c r="G21" s="19">
        <f t="shared" ref="G21:G25" si="2">E21*F21</f>
        <v>0</v>
      </c>
    </row>
    <row r="22" spans="2:7" ht="17.100000000000001" customHeight="1" x14ac:dyDescent="0.25">
      <c r="B22" s="18" t="s">
        <v>37</v>
      </c>
      <c r="C22" s="14" t="s">
        <v>29</v>
      </c>
      <c r="D22" s="6" t="s">
        <v>25</v>
      </c>
      <c r="E22" s="10">
        <v>3500</v>
      </c>
      <c r="F22" s="8"/>
      <c r="G22" s="19">
        <f t="shared" si="2"/>
        <v>0</v>
      </c>
    </row>
    <row r="23" spans="2:7" ht="17.100000000000001" customHeight="1" x14ac:dyDescent="0.25">
      <c r="B23" s="18" t="s">
        <v>38</v>
      </c>
      <c r="C23" s="15" t="s">
        <v>30</v>
      </c>
      <c r="D23" s="6" t="s">
        <v>25</v>
      </c>
      <c r="E23" s="9">
        <v>500</v>
      </c>
      <c r="F23" s="8"/>
      <c r="G23" s="19">
        <f t="shared" si="2"/>
        <v>0</v>
      </c>
    </row>
    <row r="24" spans="2:7" ht="17.100000000000001" customHeight="1" x14ac:dyDescent="0.25">
      <c r="B24" s="18" t="s">
        <v>39</v>
      </c>
      <c r="C24" s="15" t="s">
        <v>31</v>
      </c>
      <c r="D24" s="6" t="s">
        <v>25</v>
      </c>
      <c r="E24" s="9">
        <v>500</v>
      </c>
      <c r="F24" s="8"/>
      <c r="G24" s="19">
        <f t="shared" si="2"/>
        <v>0</v>
      </c>
    </row>
    <row r="25" spans="2:7" ht="17.100000000000001" customHeight="1" x14ac:dyDescent="0.25">
      <c r="B25" s="18" t="s">
        <v>40</v>
      </c>
      <c r="C25" s="15" t="s">
        <v>58</v>
      </c>
      <c r="D25" s="6" t="s">
        <v>32</v>
      </c>
      <c r="E25" s="10">
        <v>5000</v>
      </c>
      <c r="F25" s="8"/>
      <c r="G25" s="19">
        <f t="shared" si="2"/>
        <v>0</v>
      </c>
    </row>
    <row r="26" spans="2:7" ht="16.5" customHeight="1" x14ac:dyDescent="0.25">
      <c r="B26" s="39" t="s">
        <v>18</v>
      </c>
      <c r="C26" s="40"/>
      <c r="D26" s="40"/>
      <c r="E26" s="40"/>
      <c r="F26" s="41"/>
      <c r="G26" s="20">
        <f>SUM(G20:G25)</f>
        <v>0</v>
      </c>
    </row>
    <row r="27" spans="2:7" ht="17.100000000000001" customHeight="1" x14ac:dyDescent="0.25">
      <c r="B27" s="18" t="s">
        <v>12</v>
      </c>
      <c r="C27" s="14" t="s">
        <v>28</v>
      </c>
      <c r="D27" s="6" t="s">
        <v>25</v>
      </c>
      <c r="E27" s="7">
        <v>3500</v>
      </c>
      <c r="F27" s="8"/>
      <c r="G27" s="19">
        <f>E27*F27</f>
        <v>0</v>
      </c>
    </row>
    <row r="28" spans="2:7" ht="17.100000000000001" customHeight="1" x14ac:dyDescent="0.25">
      <c r="B28" s="18" t="s">
        <v>13</v>
      </c>
      <c r="C28" s="14" t="s">
        <v>27</v>
      </c>
      <c r="D28" s="6" t="s">
        <v>25</v>
      </c>
      <c r="E28" s="7">
        <v>500</v>
      </c>
      <c r="F28" s="8"/>
      <c r="G28" s="19">
        <f t="shared" ref="G28:G32" si="3">E28*F28</f>
        <v>0</v>
      </c>
    </row>
    <row r="29" spans="2:7" ht="17.100000000000001" customHeight="1" x14ac:dyDescent="0.25">
      <c r="B29" s="18" t="s">
        <v>41</v>
      </c>
      <c r="C29" s="14" t="s">
        <v>29</v>
      </c>
      <c r="D29" s="6" t="s">
        <v>25</v>
      </c>
      <c r="E29" s="10">
        <v>3500</v>
      </c>
      <c r="F29" s="8"/>
      <c r="G29" s="19">
        <f>E29*F29</f>
        <v>0</v>
      </c>
    </row>
    <row r="30" spans="2:7" ht="17.100000000000001" customHeight="1" x14ac:dyDescent="0.25">
      <c r="B30" s="18" t="s">
        <v>42</v>
      </c>
      <c r="C30" s="15" t="s">
        <v>30</v>
      </c>
      <c r="D30" s="6" t="s">
        <v>25</v>
      </c>
      <c r="E30" s="9">
        <v>500</v>
      </c>
      <c r="F30" s="8"/>
      <c r="G30" s="19">
        <f t="shared" si="3"/>
        <v>0</v>
      </c>
    </row>
    <row r="31" spans="2:7" s="11" customFormat="1" ht="17.100000000000001" customHeight="1" x14ac:dyDescent="0.25">
      <c r="B31" s="18" t="s">
        <v>43</v>
      </c>
      <c r="C31" s="15" t="s">
        <v>31</v>
      </c>
      <c r="D31" s="6" t="s">
        <v>25</v>
      </c>
      <c r="E31" s="9">
        <v>500</v>
      </c>
      <c r="F31" s="12"/>
      <c r="G31" s="19">
        <f>E31*F31</f>
        <v>0</v>
      </c>
    </row>
    <row r="32" spans="2:7" s="11" customFormat="1" ht="17.100000000000001" customHeight="1" x14ac:dyDescent="0.25">
      <c r="B32" s="18" t="s">
        <v>44</v>
      </c>
      <c r="C32" s="15" t="s">
        <v>58</v>
      </c>
      <c r="D32" s="6" t="s">
        <v>32</v>
      </c>
      <c r="E32" s="10">
        <v>5000</v>
      </c>
      <c r="F32" s="12"/>
      <c r="G32" s="19">
        <f t="shared" si="3"/>
        <v>0</v>
      </c>
    </row>
    <row r="33" spans="2:7" ht="16.5" customHeight="1" x14ac:dyDescent="0.25">
      <c r="B33" s="39" t="s">
        <v>19</v>
      </c>
      <c r="C33" s="40"/>
      <c r="D33" s="40"/>
      <c r="E33" s="40"/>
      <c r="F33" s="41"/>
      <c r="G33" s="20">
        <f>SUM(G27:G32)</f>
        <v>0</v>
      </c>
    </row>
    <row r="34" spans="2:7" ht="17.100000000000001" customHeight="1" x14ac:dyDescent="0.25">
      <c r="B34" s="18" t="s">
        <v>14</v>
      </c>
      <c r="C34" s="14" t="s">
        <v>28</v>
      </c>
      <c r="D34" s="6" t="s">
        <v>25</v>
      </c>
      <c r="E34" s="7">
        <v>3500</v>
      </c>
      <c r="F34" s="8"/>
      <c r="G34" s="19">
        <f>E34*F34</f>
        <v>0</v>
      </c>
    </row>
    <row r="35" spans="2:7" ht="17.100000000000001" customHeight="1" x14ac:dyDescent="0.25">
      <c r="B35" s="18" t="s">
        <v>15</v>
      </c>
      <c r="C35" s="14" t="s">
        <v>27</v>
      </c>
      <c r="D35" s="6" t="s">
        <v>25</v>
      </c>
      <c r="E35" s="7">
        <v>500</v>
      </c>
      <c r="F35" s="8"/>
      <c r="G35" s="19">
        <f t="shared" ref="G35:G39" si="4">E35*F35</f>
        <v>0</v>
      </c>
    </row>
    <row r="36" spans="2:7" ht="17.100000000000001" customHeight="1" x14ac:dyDescent="0.25">
      <c r="B36" s="18" t="s">
        <v>45</v>
      </c>
      <c r="C36" s="14" t="s">
        <v>29</v>
      </c>
      <c r="D36" s="6" t="s">
        <v>25</v>
      </c>
      <c r="E36" s="10">
        <v>3500</v>
      </c>
      <c r="F36" s="8"/>
      <c r="G36" s="19">
        <f t="shared" si="4"/>
        <v>0</v>
      </c>
    </row>
    <row r="37" spans="2:7" ht="17.100000000000001" customHeight="1" x14ac:dyDescent="0.25">
      <c r="B37" s="18" t="s">
        <v>46</v>
      </c>
      <c r="C37" s="15" t="s">
        <v>30</v>
      </c>
      <c r="D37" s="6" t="s">
        <v>25</v>
      </c>
      <c r="E37" s="9">
        <v>500</v>
      </c>
      <c r="F37" s="8"/>
      <c r="G37" s="19">
        <f t="shared" si="4"/>
        <v>0</v>
      </c>
    </row>
    <row r="38" spans="2:7" ht="17.100000000000001" customHeight="1" x14ac:dyDescent="0.25">
      <c r="B38" s="18" t="s">
        <v>47</v>
      </c>
      <c r="C38" s="15" t="s">
        <v>31</v>
      </c>
      <c r="D38" s="6" t="s">
        <v>25</v>
      </c>
      <c r="E38" s="9">
        <v>500</v>
      </c>
      <c r="F38" s="8"/>
      <c r="G38" s="19">
        <f t="shared" si="4"/>
        <v>0</v>
      </c>
    </row>
    <row r="39" spans="2:7" ht="17.100000000000001" customHeight="1" x14ac:dyDescent="0.25">
      <c r="B39" s="18" t="s">
        <v>48</v>
      </c>
      <c r="C39" s="15" t="s">
        <v>58</v>
      </c>
      <c r="D39" s="6" t="s">
        <v>32</v>
      </c>
      <c r="E39" s="10">
        <v>5000</v>
      </c>
      <c r="F39" s="8"/>
      <c r="G39" s="19">
        <f t="shared" si="4"/>
        <v>0</v>
      </c>
    </row>
    <row r="40" spans="2:7" ht="16.5" customHeight="1" x14ac:dyDescent="0.25">
      <c r="B40" s="42" t="s">
        <v>20</v>
      </c>
      <c r="C40" s="43"/>
      <c r="D40" s="43"/>
      <c r="E40" s="43"/>
      <c r="F40" s="44"/>
      <c r="G40" s="21">
        <f>SUM(G34:G39)</f>
        <v>0</v>
      </c>
    </row>
    <row r="41" spans="2:7" x14ac:dyDescent="0.25">
      <c r="B41" s="45" t="s">
        <v>16</v>
      </c>
      <c r="C41" s="46"/>
      <c r="D41" s="46"/>
      <c r="E41" s="46"/>
      <c r="F41" s="47"/>
      <c r="G41" s="22">
        <f>SUM(G12,G19,G26,G33,G40)</f>
        <v>0</v>
      </c>
    </row>
    <row r="42" spans="2:7" ht="55.5" customHeight="1" thickBot="1" x14ac:dyDescent="0.3">
      <c r="B42" s="36" t="s">
        <v>59</v>
      </c>
      <c r="C42" s="37"/>
      <c r="D42" s="37"/>
      <c r="E42" s="37"/>
      <c r="F42" s="37"/>
      <c r="G42" s="38"/>
    </row>
    <row r="43" spans="2:7" x14ac:dyDescent="0.25">
      <c r="B43" s="1" t="s">
        <v>54</v>
      </c>
    </row>
    <row r="46" spans="2:7" x14ac:dyDescent="0.25">
      <c r="B46" s="33" t="s">
        <v>55</v>
      </c>
      <c r="C46" s="34"/>
    </row>
    <row r="47" spans="2:7" x14ac:dyDescent="0.25">
      <c r="B47" s="48" t="s">
        <v>25</v>
      </c>
      <c r="C47" s="49" t="s">
        <v>52</v>
      </c>
    </row>
    <row r="48" spans="2:7" x14ac:dyDescent="0.25">
      <c r="B48" s="48" t="s">
        <v>32</v>
      </c>
      <c r="C48" s="49" t="s">
        <v>53</v>
      </c>
    </row>
    <row r="52" spans="2:7" ht="33" customHeight="1" x14ac:dyDescent="0.25">
      <c r="B52" s="35" t="s">
        <v>60</v>
      </c>
      <c r="C52" s="35"/>
      <c r="D52" s="35"/>
      <c r="E52" s="35"/>
      <c r="F52" s="35"/>
      <c r="G52" s="35"/>
    </row>
    <row r="55" spans="2:7" ht="21" customHeight="1" x14ac:dyDescent="0.25">
      <c r="B55" s="32" t="s">
        <v>49</v>
      </c>
      <c r="C55" s="32"/>
      <c r="D55" s="32"/>
      <c r="E55" s="32"/>
      <c r="F55" s="32"/>
      <c r="G55" s="13"/>
    </row>
    <row r="57" spans="2:7" x14ac:dyDescent="0.25">
      <c r="B57" s="32" t="s">
        <v>50</v>
      </c>
      <c r="C57" s="32"/>
      <c r="D57" s="32"/>
      <c r="E57" s="32"/>
      <c r="F57" s="32"/>
    </row>
    <row r="59" spans="2:7" x14ac:dyDescent="0.25">
      <c r="B59" s="32" t="s">
        <v>51</v>
      </c>
      <c r="C59" s="32"/>
      <c r="D59" s="32"/>
      <c r="E59" s="32"/>
      <c r="F59" s="32"/>
    </row>
  </sheetData>
  <mergeCells count="15">
    <mergeCell ref="B2:G2"/>
    <mergeCell ref="B4:G4"/>
    <mergeCell ref="B3:G3"/>
    <mergeCell ref="B57:F57"/>
    <mergeCell ref="B59:F59"/>
    <mergeCell ref="B46:C46"/>
    <mergeCell ref="B52:G52"/>
    <mergeCell ref="B42:G42"/>
    <mergeCell ref="B12:F12"/>
    <mergeCell ref="B19:F19"/>
    <mergeCell ref="B55:F55"/>
    <mergeCell ref="B26:F26"/>
    <mergeCell ref="B33:F33"/>
    <mergeCell ref="B40:F40"/>
    <mergeCell ref="B41:F41"/>
  </mergeCells>
  <pageMargins left="0.7" right="0.7" top="0.75" bottom="0.75" header="0.3" footer="0.3"/>
  <pageSetup scale="84" orientation="portrait" horizontalDpi="1200" verticalDpi="1200" r:id="rId1"/>
  <ignoredErrors>
    <ignoredError sqref="B6:B7 B13:B14 B34:B35 B20:B21 B27:B28 B8 B15:B18 B22 B29 B36 B9:B11 B23:B25 B30:B32 B37:B39" numberStoredAsText="1"/>
    <ignoredError sqref="G12 G19 G26 G33" formula="1"/>
  </ignoredErrors>
</worksheet>
</file>

<file path=docMetadata/LabelInfo.xml><?xml version="1.0" encoding="utf-8"?>
<clbl:labelList xmlns:clbl="http://schemas.microsoft.com/office/2020/mipLabelMetadata">
  <clbl:label id="{554eecc5-e26c-4620-b240-5a8bb326c33d}" enabled="1" method="Privileged" siteId="{fae6d70f-954b-4811-92b6-0530d6f84c4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 Quote</vt:lpstr>
    </vt:vector>
  </TitlesOfParts>
  <Company>United States Army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Faxon, Melena D. CIV USA</dc:creator>
  <cp:lastModifiedBy>Faxon, Melena D CIV USARMY 413 CONTR SPT BDE (USA)</cp:lastModifiedBy>
  <cp:lastPrinted>2020-09-21T20:02:16Z</cp:lastPrinted>
  <dcterms:created xsi:type="dcterms:W3CDTF">2019-12-17T18:52:36Z</dcterms:created>
  <dcterms:modified xsi:type="dcterms:W3CDTF">2026-03-17T00:44:22Z</dcterms:modified>
</cp:coreProperties>
</file>