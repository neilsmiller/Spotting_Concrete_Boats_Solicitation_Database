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ason_a_pelle_civ_us_navy_mil/Documents/Desktop/Michelle/Attachments/"/>
    </mc:Choice>
  </mc:AlternateContent>
  <xr:revisionPtr revIDLastSave="63" documentId="8_{69FE6EB6-9A09-498D-944F-8CE2F31A15A9}" xr6:coauthVersionLast="47" xr6:coauthVersionMax="47" xr10:uidLastSave="{14CBB648-27C8-436B-A9A2-178C2BB635FA}"/>
  <bookViews>
    <workbookView xWindow="-23148" yWindow="60" windowWidth="23256" windowHeight="12288" activeTab="6" xr2:uid="{00000000-000D-0000-FFFF-FFFF00000000}"/>
  </bookViews>
  <sheets>
    <sheet name="Summary" sheetId="26" r:id="rId1"/>
    <sheet name="Base Year" sheetId="35" r:id="rId2"/>
    <sheet name="Option 1" sheetId="42" r:id="rId3"/>
    <sheet name="Option 2" sheetId="43" r:id="rId4"/>
    <sheet name="Option 3" sheetId="44" r:id="rId5"/>
    <sheet name="Option 4" sheetId="45" r:id="rId6"/>
    <sheet name="Far 52.217-8 6-Month Extension" sheetId="4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45" l="1"/>
  <c r="D17" i="44"/>
  <c r="D17" i="43"/>
  <c r="D17" i="42"/>
  <c r="D17" i="35"/>
  <c r="D16" i="46"/>
  <c r="D16" i="45"/>
  <c r="D16" i="44"/>
  <c r="D16" i="43"/>
  <c r="D16" i="42"/>
  <c r="D17" i="46" l="1"/>
  <c r="F17" i="46" s="1"/>
  <c r="D4" i="46"/>
  <c r="E4" i="46" s="1"/>
  <c r="D5" i="46"/>
  <c r="E5" i="46" s="1"/>
  <c r="D6" i="46"/>
  <c r="E6" i="46" s="1"/>
  <c r="D3" i="46"/>
  <c r="E3" i="46" s="1"/>
  <c r="C4" i="46"/>
  <c r="C5" i="46"/>
  <c r="C6" i="46"/>
  <c r="C3" i="46"/>
  <c r="B11" i="46"/>
  <c r="F17" i="45"/>
  <c r="E7" i="26" s="1"/>
  <c r="B11" i="45"/>
  <c r="E6" i="45"/>
  <c r="F6" i="45" s="1"/>
  <c r="E5" i="45"/>
  <c r="E4" i="45"/>
  <c r="F4" i="45" s="1"/>
  <c r="C11" i="45"/>
  <c r="C7" i="26" s="1"/>
  <c r="E3" i="45"/>
  <c r="F17" i="44"/>
  <c r="E6" i="26" s="1"/>
  <c r="C11" i="44"/>
  <c r="C6" i="26" s="1"/>
  <c r="B11" i="44"/>
  <c r="E6" i="44"/>
  <c r="E5" i="44"/>
  <c r="F5" i="44" s="1"/>
  <c r="G5" i="44" s="1"/>
  <c r="H5" i="44" s="1"/>
  <c r="E4" i="44"/>
  <c r="F4" i="44" s="1"/>
  <c r="E3" i="44"/>
  <c r="F17" i="43"/>
  <c r="E5" i="26" s="1"/>
  <c r="B11" i="43"/>
  <c r="E6" i="43"/>
  <c r="E5" i="43"/>
  <c r="E4" i="43"/>
  <c r="C11" i="43"/>
  <c r="C5" i="26" s="1"/>
  <c r="E3" i="43"/>
  <c r="F3" i="43" s="1"/>
  <c r="F17" i="42"/>
  <c r="E4" i="26" s="1"/>
  <c r="B11" i="42"/>
  <c r="E6" i="42"/>
  <c r="E5" i="42"/>
  <c r="E4" i="42"/>
  <c r="F4" i="42" s="1"/>
  <c r="E3" i="42"/>
  <c r="F3" i="42" s="1"/>
  <c r="C11" i="42"/>
  <c r="C4" i="26" s="1"/>
  <c r="G3" i="42" l="1"/>
  <c r="H3" i="42" s="1"/>
  <c r="I3" i="42" s="1"/>
  <c r="F4" i="46"/>
  <c r="G4" i="46"/>
  <c r="H4" i="46" s="1"/>
  <c r="F6" i="46"/>
  <c r="G6" i="46" s="1"/>
  <c r="C11" i="46"/>
  <c r="F3" i="46"/>
  <c r="F5" i="46"/>
  <c r="G6" i="45"/>
  <c r="H6" i="45" s="1"/>
  <c r="G4" i="45"/>
  <c r="H4" i="45" s="1"/>
  <c r="F3" i="45"/>
  <c r="G3" i="45" s="1"/>
  <c r="H3" i="45" s="1"/>
  <c r="F5" i="45"/>
  <c r="I5" i="44"/>
  <c r="J5" i="44" s="1"/>
  <c r="F3" i="44"/>
  <c r="G3" i="44" s="1"/>
  <c r="F6" i="44"/>
  <c r="G4" i="44"/>
  <c r="H4" i="44" s="1"/>
  <c r="G6" i="44"/>
  <c r="H6" i="44" s="1"/>
  <c r="G3" i="43"/>
  <c r="H3" i="43" s="1"/>
  <c r="F6" i="43"/>
  <c r="G6" i="43" s="1"/>
  <c r="F4" i="43"/>
  <c r="G4" i="43" s="1"/>
  <c r="H4" i="43" s="1"/>
  <c r="F5" i="43"/>
  <c r="F6" i="42"/>
  <c r="G6" i="42" s="1"/>
  <c r="G4" i="42"/>
  <c r="H4" i="42" s="1"/>
  <c r="F5" i="42"/>
  <c r="I4" i="45" l="1"/>
  <c r="H6" i="42"/>
  <c r="G3" i="46"/>
  <c r="H3" i="46" s="1"/>
  <c r="I4" i="46"/>
  <c r="J4" i="46" s="1"/>
  <c r="H6" i="46"/>
  <c r="G5" i="46"/>
  <c r="H5" i="46" s="1"/>
  <c r="I3" i="45"/>
  <c r="I6" i="45"/>
  <c r="J6" i="45" s="1"/>
  <c r="G5" i="45"/>
  <c r="H5" i="45" s="1"/>
  <c r="J4" i="45"/>
  <c r="I6" i="44"/>
  <c r="J6" i="44" s="1"/>
  <c r="I4" i="44"/>
  <c r="J4" i="44" s="1"/>
  <c r="H3" i="44"/>
  <c r="I4" i="43"/>
  <c r="J4" i="43" s="1"/>
  <c r="H5" i="43"/>
  <c r="I3" i="43"/>
  <c r="H6" i="43"/>
  <c r="G5" i="43"/>
  <c r="I6" i="42"/>
  <c r="J6" i="42" s="1"/>
  <c r="G5" i="42"/>
  <c r="H5" i="42" s="1"/>
  <c r="I4" i="42"/>
  <c r="J4" i="42" s="1"/>
  <c r="J3" i="42"/>
  <c r="I5" i="46" l="1"/>
  <c r="J5" i="46" s="1"/>
  <c r="I3" i="46"/>
  <c r="I6" i="46"/>
  <c r="J6" i="46" s="1"/>
  <c r="I5" i="45"/>
  <c r="J5" i="45" s="1"/>
  <c r="J3" i="45"/>
  <c r="I3" i="44"/>
  <c r="E16" i="44" s="1"/>
  <c r="E18" i="44" s="1"/>
  <c r="J3" i="44"/>
  <c r="J8" i="44" s="1"/>
  <c r="J11" i="44" s="1"/>
  <c r="J3" i="43"/>
  <c r="I5" i="43"/>
  <c r="I6" i="43"/>
  <c r="J6" i="43" s="1"/>
  <c r="I5" i="42"/>
  <c r="E16" i="42" s="1"/>
  <c r="E18" i="42" s="1"/>
  <c r="E16" i="45" l="1"/>
  <c r="E18" i="45" s="1"/>
  <c r="E16" i="43"/>
  <c r="E18" i="43" s="1"/>
  <c r="E16" i="46"/>
  <c r="E18" i="46" s="1"/>
  <c r="J3" i="46"/>
  <c r="J8" i="46" s="1"/>
  <c r="J11" i="46" s="1"/>
  <c r="D18" i="46"/>
  <c r="F16" i="46"/>
  <c r="F18" i="46" s="1"/>
  <c r="D18" i="45"/>
  <c r="F16" i="45"/>
  <c r="J8" i="45"/>
  <c r="J11" i="45" s="1"/>
  <c r="D18" i="44"/>
  <c r="F16" i="44"/>
  <c r="J5" i="43"/>
  <c r="J8" i="43" s="1"/>
  <c r="J11" i="43" s="1"/>
  <c r="D18" i="43"/>
  <c r="F16" i="43"/>
  <c r="D18" i="42"/>
  <c r="F16" i="42"/>
  <c r="J5" i="42"/>
  <c r="J8" i="42" s="1"/>
  <c r="J11" i="42" s="1"/>
  <c r="F18" i="45" l="1"/>
  <c r="D7" i="26"/>
  <c r="F18" i="44"/>
  <c r="D6" i="26"/>
  <c r="F18" i="43"/>
  <c r="D5" i="26"/>
  <c r="F18" i="42"/>
  <c r="D4" i="26"/>
  <c r="E3" i="35"/>
  <c r="B13" i="26" l="1"/>
  <c r="B12" i="26"/>
  <c r="B11" i="26"/>
  <c r="B10" i="26"/>
  <c r="E4" i="35" l="1"/>
  <c r="F6" i="26" l="1"/>
  <c r="F4" i="35"/>
  <c r="G4" i="35" s="1"/>
  <c r="F5" i="26" l="1"/>
  <c r="F7" i="26"/>
  <c r="H4" i="35"/>
  <c r="F3" i="35"/>
  <c r="E5" i="35"/>
  <c r="F5" i="35" s="1"/>
  <c r="E6" i="35"/>
  <c r="B11" i="35"/>
  <c r="C11" i="35"/>
  <c r="C3" i="26" s="1"/>
  <c r="F17" i="35"/>
  <c r="E3" i="26" s="1"/>
  <c r="F6" i="35" l="1"/>
  <c r="G3" i="35"/>
  <c r="H3" i="35" s="1"/>
  <c r="D16" i="35" s="1"/>
  <c r="G5" i="35"/>
  <c r="H5" i="35" s="1"/>
  <c r="G6" i="35" l="1"/>
  <c r="H6" i="35" s="1"/>
  <c r="D18" i="35" l="1"/>
  <c r="I4" i="35"/>
  <c r="J4" i="35" s="1"/>
  <c r="I6" i="35"/>
  <c r="J6" i="35" s="1"/>
  <c r="I5" i="35"/>
  <c r="J5" i="35" s="1"/>
  <c r="I3" i="35"/>
  <c r="J3" i="35" l="1"/>
  <c r="E16" i="35" l="1"/>
  <c r="F16" i="35" s="1"/>
  <c r="J8" i="35"/>
  <c r="J11" i="35" s="1"/>
  <c r="F4" i="26" l="1"/>
  <c r="E18" i="35"/>
  <c r="D3" i="26" l="1"/>
  <c r="F18" i="35"/>
  <c r="E8" i="26" s="1"/>
  <c r="F3" i="26" l="1"/>
  <c r="D8" i="26"/>
  <c r="F8" i="26" s="1"/>
</calcChain>
</file>

<file path=xl/sharedStrings.xml><?xml version="1.0" encoding="utf-8"?>
<sst xmlns="http://schemas.openxmlformats.org/spreadsheetml/2006/main" count="168" uniqueCount="50">
  <si>
    <t>Cost</t>
  </si>
  <si>
    <t>Fee</t>
  </si>
  <si>
    <t>Total</t>
  </si>
  <si>
    <t>Period of Performance</t>
  </si>
  <si>
    <t>Fringe</t>
  </si>
  <si>
    <t>Overhead</t>
  </si>
  <si>
    <t>Hours</t>
  </si>
  <si>
    <t>CLIN</t>
  </si>
  <si>
    <t>Subtotals</t>
  </si>
  <si>
    <t>Extended</t>
  </si>
  <si>
    <t xml:space="preserve">Fee </t>
  </si>
  <si>
    <t>Burdened Rate</t>
  </si>
  <si>
    <t xml:space="preserve">G&amp;A </t>
  </si>
  <si>
    <t xml:space="preserve">OH </t>
  </si>
  <si>
    <t xml:space="preserve">Fringe </t>
  </si>
  <si>
    <t>Labor Rate</t>
  </si>
  <si>
    <t>Labor Hours</t>
  </si>
  <si>
    <t>FTE</t>
  </si>
  <si>
    <t>Labor Category</t>
  </si>
  <si>
    <t>Base Year</t>
  </si>
  <si>
    <t>Option Year 1</t>
  </si>
  <si>
    <t>Option Year 2</t>
  </si>
  <si>
    <t>Option Year 3</t>
  </si>
  <si>
    <t>2026 - 2027</t>
  </si>
  <si>
    <t>Option Year 4</t>
  </si>
  <si>
    <t>2027 - 2028</t>
  </si>
  <si>
    <t>TOTAL FFP Price</t>
  </si>
  <si>
    <t>G&amp;A Onsite</t>
  </si>
  <si>
    <t>Escalation Year</t>
  </si>
  <si>
    <t>OY1</t>
  </si>
  <si>
    <t>OY2</t>
  </si>
  <si>
    <t>OY3</t>
  </si>
  <si>
    <t>OY4</t>
  </si>
  <si>
    <t>Escalation Labor</t>
  </si>
  <si>
    <t>CR Travel CLINS</t>
  </si>
  <si>
    <t>2028 - 2029</t>
  </si>
  <si>
    <t>Total
CLINS</t>
  </si>
  <si>
    <t>FFP Labor CLINS</t>
  </si>
  <si>
    <t>Other Direct Cost (Travel)</t>
  </si>
  <si>
    <t>Labor</t>
  </si>
  <si>
    <t>Travel</t>
  </si>
  <si>
    <t>FFP &amp; CR</t>
  </si>
  <si>
    <t>Offeror is responsible for accuracy of all formulas in its submission</t>
  </si>
  <si>
    <t>2029 - 2030</t>
  </si>
  <si>
    <t>Oct 1 -Sep 30</t>
  </si>
  <si>
    <t>2030 - 2031</t>
  </si>
  <si>
    <t>Financial Analyst III</t>
  </si>
  <si>
    <t>Financial Analyst III (Accounting Analyst) (KEY)</t>
  </si>
  <si>
    <t>Senior Financial Analyst III (Project Manager) (KEY)</t>
  </si>
  <si>
    <t>Financial Analyst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</si>
</sst>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&lt;=9999999]###\-####;\(###\)\ ###\-####"/>
    <numFmt numFmtId="166" formatCode="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8"/>
      <name val="Calibri"/>
      <family val="2"/>
      <scheme val="minor"/>
    </font>
    <font>
      <sz val="10"/>
      <name val="Arial"/>
      <family val="2"/>
    </font>
    <font>
      <i/>
      <sz val="11"/>
      <name val="Times New Roman"/>
      <family val="1"/>
    </font>
    <font>
      <sz val="11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>
      <alignment horizontal="left"/>
    </xf>
    <xf numFmtId="0" fontId="10" fillId="0" borderId="0"/>
  </cellStyleXfs>
  <cellXfs count="7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44" fontId="0" fillId="0" borderId="0" xfId="2" applyFont="1" applyAlignment="1">
      <alignment horizontal="center"/>
    </xf>
    <xf numFmtId="44" fontId="0" fillId="0" borderId="5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44" fontId="0" fillId="0" borderId="6" xfId="0" applyNumberForma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44" fontId="1" fillId="2" borderId="6" xfId="0" applyNumberFormat="1" applyFont="1" applyFill="1" applyBorder="1" applyAlignment="1">
      <alignment horizontal="center"/>
    </xf>
    <xf numFmtId="44" fontId="1" fillId="2" borderId="7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/>
    <xf numFmtId="44" fontId="0" fillId="5" borderId="6" xfId="0" applyNumberFormat="1" applyFill="1" applyBorder="1" applyAlignment="1">
      <alignment horizontal="center"/>
    </xf>
    <xf numFmtId="0" fontId="0" fillId="5" borderId="3" xfId="0" applyFill="1" applyBorder="1"/>
    <xf numFmtId="44" fontId="0" fillId="0" borderId="0" xfId="2" applyFont="1"/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0" fillId="0" borderId="0" xfId="0" applyNumberFormat="1"/>
    <xf numFmtId="0" fontId="4" fillId="0" borderId="0" xfId="0" applyFont="1"/>
    <xf numFmtId="16" fontId="0" fillId="0" borderId="0" xfId="0" applyNumberFormat="1" applyAlignment="1">
      <alignment vertical="center"/>
    </xf>
    <xf numFmtId="0" fontId="3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vertical="center"/>
    </xf>
    <xf numFmtId="10" fontId="3" fillId="0" borderId="1" xfId="3" applyNumberFormat="1" applyFont="1" applyFill="1" applyBorder="1"/>
    <xf numFmtId="44" fontId="6" fillId="0" borderId="1" xfId="2" applyFont="1" applyBorder="1" applyAlignment="1">
      <alignment horizontal="center" vertical="center"/>
    </xf>
    <xf numFmtId="44" fontId="0" fillId="0" borderId="0" xfId="2" applyFont="1" applyFill="1" applyAlignment="1">
      <alignment horizontal="center"/>
    </xf>
    <xf numFmtId="44" fontId="0" fillId="0" borderId="5" xfId="2" applyFont="1" applyFill="1" applyBorder="1" applyAlignment="1">
      <alignment horizontal="center"/>
    </xf>
    <xf numFmtId="44" fontId="0" fillId="0" borderId="0" xfId="2" applyFont="1" applyFill="1" applyAlignment="1">
      <alignment vertical="center"/>
    </xf>
    <xf numFmtId="44" fontId="0" fillId="0" borderId="0" xfId="2" applyFont="1" applyFill="1"/>
    <xf numFmtId="4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3" applyNumberFormat="1" applyFont="1" applyBorder="1" applyAlignment="1">
      <alignment horizontal="center" vertical="center"/>
    </xf>
    <xf numFmtId="44" fontId="10" fillId="0" borderId="1" xfId="2" applyFont="1" applyFill="1" applyBorder="1" applyAlignment="1">
      <alignment horizontal="center"/>
    </xf>
    <xf numFmtId="44" fontId="1" fillId="0" borderId="1" xfId="0" applyNumberFormat="1" applyFont="1" applyBorder="1" applyAlignment="1">
      <alignment horizontal="center"/>
    </xf>
    <xf numFmtId="44" fontId="0" fillId="3" borderId="1" xfId="0" applyNumberFormat="1" applyFill="1" applyBorder="1" applyAlignment="1">
      <alignment horizontal="center"/>
    </xf>
    <xf numFmtId="9" fontId="0" fillId="0" borderId="0" xfId="0" applyNumberFormat="1"/>
    <xf numFmtId="0" fontId="4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4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10" fontId="7" fillId="0" borderId="1" xfId="3" applyNumberFormat="1" applyFont="1" applyFill="1" applyBorder="1"/>
    <xf numFmtId="0" fontId="5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44" fontId="7" fillId="0" borderId="1" xfId="0" applyNumberFormat="1" applyFont="1" applyBorder="1" applyAlignment="1">
      <alignment horizontal="center" vertical="center"/>
    </xf>
    <xf numFmtId="44" fontId="7" fillId="0" borderId="1" xfId="2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top"/>
    </xf>
    <xf numFmtId="3" fontId="7" fillId="8" borderId="1" xfId="0" applyNumberFormat="1" applyFont="1" applyFill="1" applyBorder="1" applyAlignment="1">
      <alignment horizontal="center" vertical="top"/>
    </xf>
    <xf numFmtId="0" fontId="7" fillId="0" borderId="1" xfId="0" applyFont="1" applyBorder="1"/>
    <xf numFmtId="0" fontId="7" fillId="6" borderId="1" xfId="0" applyFont="1" applyFill="1" applyBorder="1" applyAlignment="1">
      <alignment horizontal="center" vertical="center"/>
    </xf>
    <xf numFmtId="0" fontId="7" fillId="8" borderId="1" xfId="0" applyFont="1" applyFill="1" applyBorder="1"/>
    <xf numFmtId="0" fontId="11" fillId="8" borderId="1" xfId="0" applyFont="1" applyFill="1" applyBorder="1" applyAlignment="1">
      <alignment horizontal="center"/>
    </xf>
    <xf numFmtId="44" fontId="7" fillId="8" borderId="1" xfId="2" applyFont="1" applyFill="1" applyBorder="1"/>
    <xf numFmtId="10" fontId="7" fillId="8" borderId="1" xfId="3" applyNumberFormat="1" applyFont="1" applyFill="1" applyBorder="1"/>
    <xf numFmtId="44" fontId="7" fillId="0" borderId="2" xfId="0" applyNumberFormat="1" applyFont="1" applyBorder="1" applyAlignment="1">
      <alignment horizontal="center" vertical="center"/>
    </xf>
    <xf numFmtId="44" fontId="7" fillId="0" borderId="12" xfId="0" applyNumberFormat="1" applyFont="1" applyBorder="1" applyAlignment="1">
      <alignment horizontal="center" vertical="center"/>
    </xf>
    <xf numFmtId="10" fontId="1" fillId="3" borderId="1" xfId="3" applyNumberFormat="1" applyFont="1" applyFill="1" applyBorder="1" applyAlignment="1">
      <alignment horizontal="center" vertical="center"/>
    </xf>
    <xf numFmtId="0" fontId="0" fillId="0" borderId="0" xfId="0" applyBorder="1"/>
    <xf numFmtId="0" fontId="12" fillId="0" borderId="0" xfId="0" applyFont="1" applyBorder="1" applyAlignment="1">
      <alignment vertical="center"/>
    </xf>
    <xf numFmtId="44" fontId="0" fillId="0" borderId="0" xfId="2" applyFont="1" applyFill="1" applyBorder="1"/>
    <xf numFmtId="0" fontId="10" fillId="9" borderId="1" xfId="5" applyFill="1" applyBorder="1" applyAlignment="1">
      <alignment wrapText="1"/>
    </xf>
    <xf numFmtId="0" fontId="12" fillId="0" borderId="7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</cellXfs>
  <cellStyles count="6">
    <cellStyle name="%" xfId="5" xr:uid="{5817C2CB-300E-42F2-A936-01485BFF37E1}"/>
    <cellStyle name="Comma" xfId="1" builtinId="3"/>
    <cellStyle name="Currency" xfId="2" builtinId="4"/>
    <cellStyle name="Normal" xfId="0" builtinId="0"/>
    <cellStyle name="Percent" xfId="3" builtinId="5"/>
    <cellStyle name="Phone" xfId="4" xr:uid="{D70D1B47-067F-4608-93E4-A806ABFC8671}"/>
  </cellStyles>
  <dxfs count="0"/>
  <tableStyles count="0" defaultTableStyle="TableStyleMedium2" defaultPivotStyle="PivotStyleLight16"/>
  <colors>
    <mruColors>
      <color rgb="FF00B0F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E16E-7D41-420C-8EC2-F0D3D793F638}">
  <dimension ref="A1:J28"/>
  <sheetViews>
    <sheetView zoomScaleNormal="100" workbookViewId="0">
      <selection activeCell="E9" sqref="E9"/>
    </sheetView>
  </sheetViews>
  <sheetFormatPr defaultRowHeight="14.4" x14ac:dyDescent="0.3"/>
  <cols>
    <col min="1" max="2" width="21.33203125" customWidth="1"/>
    <col min="3" max="3" width="12.33203125" customWidth="1"/>
    <col min="4" max="4" width="15.33203125" customWidth="1"/>
    <col min="5" max="5" width="14.88671875" bestFit="1" customWidth="1"/>
    <col min="6" max="6" width="16.44140625" customWidth="1"/>
    <col min="7" max="7" width="13.88671875" bestFit="1" customWidth="1"/>
    <col min="8" max="8" width="14.88671875" bestFit="1" customWidth="1"/>
  </cols>
  <sheetData>
    <row r="1" spans="1:10" ht="39.450000000000003" customHeight="1" x14ac:dyDescent="0.3">
      <c r="A1" s="53"/>
      <c r="B1" s="53" t="s">
        <v>3</v>
      </c>
      <c r="C1" s="54" t="s">
        <v>6</v>
      </c>
      <c r="D1" s="53"/>
      <c r="E1" s="53"/>
      <c r="F1" s="53" t="s">
        <v>36</v>
      </c>
      <c r="G1" s="45"/>
    </row>
    <row r="2" spans="1:10" x14ac:dyDescent="0.3">
      <c r="A2" s="54"/>
      <c r="B2" s="46" t="s">
        <v>44</v>
      </c>
      <c r="C2" s="47" t="s">
        <v>2</v>
      </c>
      <c r="D2" s="48" t="s">
        <v>37</v>
      </c>
      <c r="E2" s="48" t="s">
        <v>34</v>
      </c>
      <c r="F2" s="47" t="s">
        <v>41</v>
      </c>
      <c r="G2" s="48"/>
      <c r="I2" s="44"/>
    </row>
    <row r="3" spans="1:10" x14ac:dyDescent="0.3">
      <c r="A3" s="54" t="s">
        <v>19</v>
      </c>
      <c r="B3" s="55" t="s">
        <v>23</v>
      </c>
      <c r="C3" s="56">
        <f>'Base Year'!C11</f>
        <v>0</v>
      </c>
      <c r="D3" s="57">
        <f>'Base Year'!F16</f>
        <v>0</v>
      </c>
      <c r="E3" s="57">
        <f>'Base Year'!F17</f>
        <v>0</v>
      </c>
      <c r="F3" s="57">
        <f>SUM(D3:E3)</f>
        <v>0</v>
      </c>
      <c r="G3" s="49"/>
    </row>
    <row r="4" spans="1:10" x14ac:dyDescent="0.3">
      <c r="A4" s="54" t="s">
        <v>20</v>
      </c>
      <c r="B4" s="55" t="s">
        <v>25</v>
      </c>
      <c r="C4" s="56">
        <f>'Option 1'!$C$11</f>
        <v>0</v>
      </c>
      <c r="D4" s="58">
        <f>'Option 1'!$F$16</f>
        <v>0</v>
      </c>
      <c r="E4" s="58">
        <f>'Option 1'!$F$17</f>
        <v>0</v>
      </c>
      <c r="F4" s="57">
        <f t="shared" ref="F4:F6" si="0">SUM(D4:E4)</f>
        <v>0</v>
      </c>
      <c r="G4" s="33"/>
    </row>
    <row r="5" spans="1:10" x14ac:dyDescent="0.3">
      <c r="A5" s="54" t="s">
        <v>21</v>
      </c>
      <c r="B5" s="55" t="s">
        <v>35</v>
      </c>
      <c r="C5" s="56">
        <f>'Option 2'!$C$11</f>
        <v>0</v>
      </c>
      <c r="D5" s="58">
        <f>'Option 2'!$F$16</f>
        <v>0</v>
      </c>
      <c r="E5" s="58">
        <f>'Option 2'!$F$17</f>
        <v>0</v>
      </c>
      <c r="F5" s="57">
        <f t="shared" si="0"/>
        <v>0</v>
      </c>
      <c r="G5" s="33"/>
    </row>
    <row r="6" spans="1:10" x14ac:dyDescent="0.3">
      <c r="A6" s="54" t="s">
        <v>22</v>
      </c>
      <c r="B6" s="55" t="s">
        <v>43</v>
      </c>
      <c r="C6" s="56">
        <f>'Option 3'!$C$11</f>
        <v>0</v>
      </c>
      <c r="D6" s="58">
        <f>'Option 3'!$F$16</f>
        <v>0</v>
      </c>
      <c r="E6" s="58">
        <f>'Option 3'!$F$17</f>
        <v>0</v>
      </c>
      <c r="F6" s="57">
        <f t="shared" si="0"/>
        <v>0</v>
      </c>
      <c r="G6" s="33"/>
    </row>
    <row r="7" spans="1:10" ht="15" thickBot="1" x14ac:dyDescent="0.35">
      <c r="A7" s="54" t="s">
        <v>24</v>
      </c>
      <c r="B7" s="55" t="s">
        <v>45</v>
      </c>
      <c r="C7" s="56">
        <f>'Option 4'!$C$11</f>
        <v>0</v>
      </c>
      <c r="D7" s="58">
        <f>'Option 4'!$F$16</f>
        <v>0</v>
      </c>
      <c r="E7" s="58">
        <f>'Option 4'!$F$17</f>
        <v>0</v>
      </c>
      <c r="F7" s="68">
        <f>SUM(D7:E7)</f>
        <v>0</v>
      </c>
      <c r="G7" s="33"/>
    </row>
    <row r="8" spans="1:10" x14ac:dyDescent="0.3">
      <c r="A8" s="54" t="s">
        <v>26</v>
      </c>
      <c r="B8" s="59"/>
      <c r="C8" s="60"/>
      <c r="D8" s="67">
        <f>SUM(D3:D7)</f>
        <v>0</v>
      </c>
      <c r="E8" s="67">
        <f>SUM(E3:E7)</f>
        <v>0</v>
      </c>
      <c r="F8" s="67">
        <f>SUM(D8:E8)</f>
        <v>0</v>
      </c>
      <c r="G8" s="49"/>
    </row>
    <row r="9" spans="1:10" x14ac:dyDescent="0.3">
      <c r="A9" s="61"/>
      <c r="B9" s="61"/>
      <c r="C9" s="61"/>
      <c r="D9" s="61"/>
      <c r="E9" s="61"/>
      <c r="F9" s="61"/>
      <c r="G9" s="50"/>
      <c r="H9" s="1"/>
    </row>
    <row r="10" spans="1:10" x14ac:dyDescent="0.3">
      <c r="A10" s="62" t="s">
        <v>4</v>
      </c>
      <c r="B10" s="51">
        <f>'Base Year'!E2</f>
        <v>0</v>
      </c>
      <c r="C10" s="63"/>
      <c r="D10" s="63"/>
      <c r="E10" s="63"/>
      <c r="F10" s="63"/>
      <c r="G10" s="50"/>
      <c r="H10" s="1"/>
    </row>
    <row r="11" spans="1:10" x14ac:dyDescent="0.3">
      <c r="A11" s="62" t="s">
        <v>5</v>
      </c>
      <c r="B11" s="51">
        <f>'Base Year'!F2</f>
        <v>0</v>
      </c>
      <c r="C11" s="64"/>
      <c r="D11" s="63"/>
      <c r="E11" s="63"/>
      <c r="F11" s="63"/>
      <c r="G11" s="50"/>
      <c r="H11" s="1"/>
    </row>
    <row r="12" spans="1:10" x14ac:dyDescent="0.3">
      <c r="A12" s="62" t="s">
        <v>27</v>
      </c>
      <c r="B12" s="51">
        <f>'Base Year'!G2</f>
        <v>0</v>
      </c>
      <c r="C12" s="63"/>
      <c r="D12" s="63"/>
      <c r="E12" s="63"/>
      <c r="F12" s="63"/>
      <c r="G12" s="50"/>
      <c r="H12" s="1"/>
    </row>
    <row r="13" spans="1:10" x14ac:dyDescent="0.3">
      <c r="A13" s="62" t="s">
        <v>1</v>
      </c>
      <c r="B13" s="51">
        <f>'Base Year'!I2</f>
        <v>0</v>
      </c>
      <c r="C13" s="63"/>
      <c r="D13" s="63"/>
      <c r="E13" s="63"/>
      <c r="F13" s="63"/>
      <c r="G13" s="50"/>
      <c r="H13" s="1"/>
    </row>
    <row r="14" spans="1:10" x14ac:dyDescent="0.3">
      <c r="A14" s="62" t="s">
        <v>28</v>
      </c>
      <c r="B14" s="65"/>
      <c r="C14" s="62" t="s">
        <v>29</v>
      </c>
      <c r="D14" s="62" t="s">
        <v>30</v>
      </c>
      <c r="E14" s="62" t="s">
        <v>31</v>
      </c>
      <c r="F14" s="62" t="s">
        <v>32</v>
      </c>
      <c r="G14" s="52"/>
    </row>
    <row r="15" spans="1:10" x14ac:dyDescent="0.3">
      <c r="A15" s="62" t="s">
        <v>33</v>
      </c>
      <c r="B15" s="66"/>
      <c r="C15" s="51">
        <v>0</v>
      </c>
      <c r="D15" s="51">
        <v>0</v>
      </c>
      <c r="E15" s="51">
        <v>0</v>
      </c>
      <c r="F15" s="51">
        <v>0</v>
      </c>
      <c r="G15" s="32"/>
      <c r="H15" s="70"/>
      <c r="I15" s="70"/>
      <c r="J15" s="70"/>
    </row>
    <row r="16" spans="1:10" x14ac:dyDescent="0.3">
      <c r="A16" s="74" t="s">
        <v>42</v>
      </c>
      <c r="B16" s="75"/>
      <c r="C16" s="75"/>
      <c r="D16" s="75"/>
      <c r="E16" s="75"/>
      <c r="F16" s="75"/>
      <c r="G16" s="76"/>
      <c r="H16" s="71"/>
      <c r="I16" s="71"/>
      <c r="J16" s="70"/>
    </row>
    <row r="17" spans="1:10" x14ac:dyDescent="0.3">
      <c r="A17" s="27"/>
      <c r="B17" s="1"/>
      <c r="D17" s="36"/>
      <c r="E17" s="37"/>
      <c r="F17" s="37"/>
      <c r="G17" s="37"/>
      <c r="H17" s="72"/>
      <c r="I17" s="70"/>
      <c r="J17" s="70"/>
    </row>
    <row r="18" spans="1:10" x14ac:dyDescent="0.3">
      <c r="A18" s="27"/>
      <c r="B18" s="1"/>
      <c r="D18" s="28"/>
      <c r="H18" s="70"/>
      <c r="I18" s="70"/>
      <c r="J18" s="70"/>
    </row>
    <row r="19" spans="1:10" x14ac:dyDescent="0.3">
      <c r="A19" s="27"/>
      <c r="B19" s="29"/>
      <c r="D19" s="28"/>
      <c r="E19" s="30"/>
      <c r="F19" s="30"/>
      <c r="G19" s="30"/>
    </row>
    <row r="20" spans="1:10" x14ac:dyDescent="0.3">
      <c r="A20" s="27"/>
      <c r="B20" s="1"/>
      <c r="D20" s="28"/>
    </row>
    <row r="21" spans="1:10" x14ac:dyDescent="0.3">
      <c r="B21" s="1"/>
      <c r="D21" s="28"/>
    </row>
    <row r="22" spans="1:10" x14ac:dyDescent="0.3">
      <c r="B22" s="1"/>
      <c r="D22" s="28"/>
    </row>
    <row r="23" spans="1:10" x14ac:dyDescent="0.3">
      <c r="B23" s="1"/>
      <c r="D23" s="28"/>
    </row>
    <row r="24" spans="1:10" x14ac:dyDescent="0.3">
      <c r="B24" s="1"/>
      <c r="D24" s="28"/>
    </row>
    <row r="25" spans="1:10" x14ac:dyDescent="0.3">
      <c r="B25" s="1"/>
    </row>
    <row r="26" spans="1:10" x14ac:dyDescent="0.3">
      <c r="B26" s="1"/>
      <c r="D26" s="31"/>
    </row>
    <row r="27" spans="1:10" x14ac:dyDescent="0.3">
      <c r="B27" s="1"/>
    </row>
    <row r="28" spans="1:10" x14ac:dyDescent="0.3">
      <c r="B28" s="1"/>
    </row>
  </sheetData>
  <mergeCells count="1">
    <mergeCell ref="A16:G16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F73CF-6E3F-4EEC-900C-45B87BCC4808}">
  <dimension ref="A1:L18"/>
  <sheetViews>
    <sheetView topLeftCell="A7" zoomScaleNormal="100" workbookViewId="0">
      <selection activeCell="D17" sqref="D17"/>
    </sheetView>
  </sheetViews>
  <sheetFormatPr defaultRowHeight="14.4" x14ac:dyDescent="0.3"/>
  <cols>
    <col min="1" max="1" width="52.109375" customWidth="1"/>
    <col min="2" max="2" width="9.88671875" style="2" customWidth="1"/>
    <col min="3" max="3" width="12.109375" style="2" customWidth="1"/>
    <col min="4" max="4" width="20" style="2" bestFit="1" customWidth="1"/>
    <col min="5" max="5" width="14.5546875" style="2" bestFit="1" customWidth="1"/>
    <col min="6" max="6" width="15.44140625" style="2" customWidth="1"/>
    <col min="7" max="7" width="13.33203125" style="2" bestFit="1" customWidth="1"/>
    <col min="8" max="8" width="14.33203125" style="2" bestFit="1" customWidth="1"/>
    <col min="9" max="9" width="14.33203125" style="2" customWidth="1"/>
    <col min="10" max="10" width="15.5546875" style="2" bestFit="1" customWidth="1"/>
    <col min="12" max="12" width="15.5546875" customWidth="1"/>
    <col min="14" max="14" width="14.33203125" bestFit="1" customWidth="1"/>
  </cols>
  <sheetData>
    <row r="1" spans="1:12" x14ac:dyDescent="0.3">
      <c r="A1" s="24" t="s">
        <v>18</v>
      </c>
      <c r="B1" s="23" t="s">
        <v>17</v>
      </c>
      <c r="C1" s="22" t="s">
        <v>16</v>
      </c>
      <c r="D1" s="22" t="s">
        <v>15</v>
      </c>
      <c r="E1" s="22" t="s">
        <v>14</v>
      </c>
      <c r="F1" s="22" t="s">
        <v>13</v>
      </c>
      <c r="G1" s="22" t="s">
        <v>12</v>
      </c>
      <c r="H1" s="22" t="s">
        <v>11</v>
      </c>
      <c r="I1" s="25" t="s">
        <v>10</v>
      </c>
      <c r="J1" s="21" t="s">
        <v>9</v>
      </c>
    </row>
    <row r="2" spans="1:12" x14ac:dyDescent="0.3">
      <c r="A2" s="24"/>
      <c r="B2" s="39"/>
      <c r="C2" s="39"/>
      <c r="D2" s="39"/>
      <c r="E2" s="69">
        <v>0</v>
      </c>
      <c r="F2" s="69">
        <v>0</v>
      </c>
      <c r="G2" s="69">
        <v>0</v>
      </c>
      <c r="H2" s="40"/>
      <c r="I2" s="69">
        <v>0</v>
      </c>
      <c r="J2" s="39"/>
    </row>
    <row r="3" spans="1:12" x14ac:dyDescent="0.3">
      <c r="A3" s="73" t="s">
        <v>48</v>
      </c>
      <c r="B3" s="14">
        <v>1</v>
      </c>
      <c r="C3" s="9"/>
      <c r="D3" s="41">
        <v>0</v>
      </c>
      <c r="E3" s="8">
        <f t="shared" ref="E3:E6" si="0">D3*$E$2</f>
        <v>0</v>
      </c>
      <c r="F3" s="8">
        <f t="shared" ref="F3:F6" si="1">(D3+E3)*$F$2</f>
        <v>0</v>
      </c>
      <c r="G3" s="8">
        <f t="shared" ref="G3:G6" si="2">(D3+E3+F3)*$G$2</f>
        <v>0</v>
      </c>
      <c r="H3" s="8">
        <f t="shared" ref="H3:H6" si="3">D3+E3+F3+G3</f>
        <v>0</v>
      </c>
      <c r="I3" s="8">
        <f t="shared" ref="I3:I6" si="4">(C3*H3)*$I$2</f>
        <v>0</v>
      </c>
      <c r="J3" s="8">
        <f t="shared" ref="J3:J6" si="5">(C3*H3)+I3</f>
        <v>0</v>
      </c>
    </row>
    <row r="4" spans="1:12" x14ac:dyDescent="0.3">
      <c r="A4" s="73" t="s">
        <v>47</v>
      </c>
      <c r="B4" s="14">
        <v>2</v>
      </c>
      <c r="C4" s="9"/>
      <c r="D4" s="41">
        <v>0</v>
      </c>
      <c r="E4" s="8">
        <f t="shared" si="0"/>
        <v>0</v>
      </c>
      <c r="F4" s="8">
        <f t="shared" si="1"/>
        <v>0</v>
      </c>
      <c r="G4" s="8">
        <f t="shared" si="2"/>
        <v>0</v>
      </c>
      <c r="H4" s="8">
        <f t="shared" si="3"/>
        <v>0</v>
      </c>
      <c r="I4" s="8">
        <f t="shared" si="4"/>
        <v>0</v>
      </c>
      <c r="J4" s="8">
        <f t="shared" si="5"/>
        <v>0</v>
      </c>
    </row>
    <row r="5" spans="1:12" x14ac:dyDescent="0.3">
      <c r="A5" s="73" t="s">
        <v>46</v>
      </c>
      <c r="B5" s="14">
        <v>2</v>
      </c>
      <c r="C5" s="9"/>
      <c r="D5" s="41">
        <v>0</v>
      </c>
      <c r="E5" s="8">
        <f t="shared" si="0"/>
        <v>0</v>
      </c>
      <c r="F5" s="8">
        <f t="shared" si="1"/>
        <v>0</v>
      </c>
      <c r="G5" s="8">
        <f t="shared" si="2"/>
        <v>0</v>
      </c>
      <c r="H5" s="8">
        <f t="shared" si="3"/>
        <v>0</v>
      </c>
      <c r="I5" s="8">
        <f t="shared" si="4"/>
        <v>0</v>
      </c>
      <c r="J5" s="8">
        <f t="shared" si="5"/>
        <v>0</v>
      </c>
      <c r="L5" s="26"/>
    </row>
    <row r="6" spans="1:12" x14ac:dyDescent="0.3">
      <c r="A6" s="73" t="s">
        <v>49</v>
      </c>
      <c r="B6" s="14">
        <v>2</v>
      </c>
      <c r="C6" s="9"/>
      <c r="D6" s="41">
        <v>0</v>
      </c>
      <c r="E6" s="8">
        <f t="shared" si="0"/>
        <v>0</v>
      </c>
      <c r="F6" s="8">
        <f t="shared" si="1"/>
        <v>0</v>
      </c>
      <c r="G6" s="8">
        <f t="shared" si="2"/>
        <v>0</v>
      </c>
      <c r="H6" s="8">
        <f t="shared" si="3"/>
        <v>0</v>
      </c>
      <c r="I6" s="8">
        <f t="shared" si="4"/>
        <v>0</v>
      </c>
      <c r="J6" s="8">
        <f t="shared" si="5"/>
        <v>0</v>
      </c>
    </row>
    <row r="7" spans="1:12" x14ac:dyDescent="0.3">
      <c r="A7" s="11"/>
      <c r="B7" s="14"/>
      <c r="C7" s="9"/>
      <c r="D7" s="8"/>
      <c r="E7" s="8"/>
      <c r="F7" s="8"/>
      <c r="G7" s="8"/>
      <c r="H7" s="8"/>
      <c r="I7" s="8"/>
      <c r="J7" s="8"/>
    </row>
    <row r="8" spans="1:12" x14ac:dyDescent="0.3">
      <c r="A8" s="11"/>
      <c r="B8" s="14"/>
      <c r="C8" s="9"/>
      <c r="D8" s="8"/>
      <c r="E8" s="8"/>
      <c r="F8" s="8"/>
      <c r="G8" s="8"/>
      <c r="H8" s="8"/>
      <c r="I8" s="42"/>
      <c r="J8" s="43">
        <f>SUM(J3:J7)</f>
        <v>0</v>
      </c>
    </row>
    <row r="9" spans="1:12" x14ac:dyDescent="0.3">
      <c r="A9" s="19" t="s">
        <v>38</v>
      </c>
      <c r="B9" s="10"/>
      <c r="C9" s="9"/>
      <c r="D9" s="8"/>
      <c r="E9" s="8"/>
      <c r="F9" s="8"/>
      <c r="G9" s="8"/>
      <c r="H9" s="8"/>
      <c r="I9" s="7"/>
      <c r="J9" s="18">
        <v>0</v>
      </c>
    </row>
    <row r="10" spans="1:12" x14ac:dyDescent="0.3">
      <c r="A10" s="11"/>
      <c r="B10" s="10"/>
      <c r="C10" s="9"/>
      <c r="D10" s="8"/>
      <c r="E10" s="8"/>
      <c r="F10" s="8"/>
      <c r="G10" s="8"/>
      <c r="H10" s="8"/>
      <c r="I10" s="7"/>
      <c r="J10" s="6"/>
    </row>
    <row r="11" spans="1:12" x14ac:dyDescent="0.3">
      <c r="A11" s="17" t="s">
        <v>8</v>
      </c>
      <c r="B11" s="16">
        <f>SUM(B3:B7)</f>
        <v>7</v>
      </c>
      <c r="C11" s="15">
        <f>SUM(C3:C7)</f>
        <v>0</v>
      </c>
      <c r="D11" s="8"/>
      <c r="E11" s="8"/>
      <c r="F11" s="14"/>
      <c r="G11" s="14"/>
      <c r="H11" s="14"/>
      <c r="I11" s="13" t="s">
        <v>2</v>
      </c>
      <c r="J11" s="12">
        <f>SUM(J8:J9)</f>
        <v>0</v>
      </c>
    </row>
    <row r="12" spans="1:12" x14ac:dyDescent="0.3">
      <c r="A12" s="11"/>
      <c r="B12" s="10"/>
      <c r="C12" s="9"/>
      <c r="D12" s="8"/>
      <c r="E12" s="8"/>
      <c r="F12" s="8"/>
      <c r="G12" s="8"/>
      <c r="H12" s="8"/>
      <c r="I12" s="7"/>
      <c r="J12" s="6"/>
    </row>
    <row r="13" spans="1:12" x14ac:dyDescent="0.3">
      <c r="A13" s="11"/>
      <c r="B13" s="10"/>
      <c r="C13" s="9"/>
      <c r="D13" s="8"/>
      <c r="E13" s="8"/>
      <c r="F13" s="8"/>
      <c r="G13" s="8"/>
      <c r="H13" s="8"/>
      <c r="I13" s="7"/>
      <c r="J13" s="6"/>
    </row>
    <row r="15" spans="1:12" x14ac:dyDescent="0.3">
      <c r="C15" s="2" t="s">
        <v>7</v>
      </c>
      <c r="D15" s="2" t="s">
        <v>0</v>
      </c>
      <c r="E15" s="2" t="s">
        <v>1</v>
      </c>
      <c r="F15" s="2" t="s">
        <v>2</v>
      </c>
    </row>
    <row r="16" spans="1:12" x14ac:dyDescent="0.3">
      <c r="B16" s="2" t="s">
        <v>39</v>
      </c>
      <c r="C16" s="5">
        <v>1000</v>
      </c>
      <c r="D16" s="34">
        <f>SUM((H5*C5),(H6*C6),(C3*H3),(C4*H4))</f>
        <v>0</v>
      </c>
      <c r="E16" s="3">
        <f>SUM(I3:I6)</f>
        <v>0</v>
      </c>
      <c r="F16" s="3">
        <f>SUM(D16:E16)</f>
        <v>0</v>
      </c>
      <c r="H16" s="38"/>
      <c r="I16" s="38"/>
      <c r="J16" s="38"/>
    </row>
    <row r="17" spans="2:6" x14ac:dyDescent="0.3">
      <c r="B17" s="2" t="s">
        <v>40</v>
      </c>
      <c r="C17" s="5">
        <v>3000</v>
      </c>
      <c r="D17" s="35">
        <f>J9</f>
        <v>0</v>
      </c>
      <c r="E17" s="4">
        <v>0</v>
      </c>
      <c r="F17" s="4">
        <f>SUM(D17:E17)</f>
        <v>0</v>
      </c>
    </row>
    <row r="18" spans="2:6" x14ac:dyDescent="0.3">
      <c r="D18" s="34">
        <f>SUM(D16:D17)</f>
        <v>0</v>
      </c>
      <c r="E18" s="3">
        <f>SUM(E16:E17)</f>
        <v>0</v>
      </c>
      <c r="F18" s="3">
        <f>SUM(F16:F17)</f>
        <v>0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31B4-6616-4DB2-A0CC-3A57D969425A}">
  <dimension ref="A1:N18"/>
  <sheetViews>
    <sheetView zoomScaleNormal="100" workbookViewId="0">
      <selection activeCell="D18" sqref="D18"/>
    </sheetView>
  </sheetViews>
  <sheetFormatPr defaultRowHeight="14.4" x14ac:dyDescent="0.3"/>
  <cols>
    <col min="1" max="1" width="52.109375" customWidth="1"/>
    <col min="2" max="2" width="9.88671875" style="2" customWidth="1"/>
    <col min="3" max="3" width="12.109375" style="2" customWidth="1"/>
    <col min="4" max="4" width="20" style="2" bestFit="1" customWidth="1"/>
    <col min="5" max="5" width="14.5546875" style="2" bestFit="1" customWidth="1"/>
    <col min="6" max="6" width="15.44140625" style="2" customWidth="1"/>
    <col min="7" max="7" width="13.33203125" style="2" bestFit="1" customWidth="1"/>
    <col min="8" max="8" width="14.33203125" style="2" bestFit="1" customWidth="1"/>
    <col min="9" max="9" width="14.33203125" style="2" customWidth="1"/>
    <col min="10" max="10" width="15.5546875" style="2" bestFit="1" customWidth="1"/>
    <col min="12" max="12" width="15.5546875" customWidth="1"/>
    <col min="14" max="14" width="14.33203125" bestFit="1" customWidth="1"/>
  </cols>
  <sheetData>
    <row r="1" spans="1:14" x14ac:dyDescent="0.3">
      <c r="A1" s="24" t="s">
        <v>18</v>
      </c>
      <c r="B1" s="23" t="s">
        <v>17</v>
      </c>
      <c r="C1" s="22" t="s">
        <v>16</v>
      </c>
      <c r="D1" s="22" t="s">
        <v>15</v>
      </c>
      <c r="E1" s="22" t="s">
        <v>14</v>
      </c>
      <c r="F1" s="22" t="s">
        <v>13</v>
      </c>
      <c r="G1" s="22" t="s">
        <v>12</v>
      </c>
      <c r="H1" s="22" t="s">
        <v>11</v>
      </c>
      <c r="I1" s="25" t="s">
        <v>10</v>
      </c>
      <c r="J1" s="21" t="s">
        <v>9</v>
      </c>
    </row>
    <row r="2" spans="1:14" x14ac:dyDescent="0.3">
      <c r="A2" s="24"/>
      <c r="B2" s="39"/>
      <c r="C2" s="39"/>
      <c r="D2" s="39"/>
      <c r="E2" s="69">
        <v>0</v>
      </c>
      <c r="F2" s="69">
        <v>0</v>
      </c>
      <c r="G2" s="69">
        <v>0</v>
      </c>
      <c r="H2" s="40"/>
      <c r="I2" s="69">
        <v>0</v>
      </c>
      <c r="J2" s="39"/>
    </row>
    <row r="3" spans="1:14" x14ac:dyDescent="0.3">
      <c r="A3" s="73" t="s">
        <v>48</v>
      </c>
      <c r="B3" s="14">
        <v>1</v>
      </c>
      <c r="C3" s="9"/>
      <c r="D3" s="41">
        <v>0</v>
      </c>
      <c r="E3" s="8">
        <f t="shared" ref="E3:E6" si="0">D3*$E$2</f>
        <v>0</v>
      </c>
      <c r="F3" s="8">
        <f t="shared" ref="F3:F6" si="1">(D3+E3)*$F$2</f>
        <v>0</v>
      </c>
      <c r="G3" s="8">
        <f t="shared" ref="G3:G6" si="2">(D3+E3+F3)*$G$2</f>
        <v>0</v>
      </c>
      <c r="H3" s="8">
        <f t="shared" ref="H3:H6" si="3">D3+E3+F3+G3</f>
        <v>0</v>
      </c>
      <c r="I3" s="8">
        <f t="shared" ref="I3:I6" si="4">(C3*H3)*$I$2</f>
        <v>0</v>
      </c>
      <c r="J3" s="8">
        <f t="shared" ref="J3:J6" si="5">(C3*H3)+I3</f>
        <v>0</v>
      </c>
    </row>
    <row r="4" spans="1:14" x14ac:dyDescent="0.3">
      <c r="A4" s="73" t="s">
        <v>47</v>
      </c>
      <c r="B4" s="14">
        <v>2</v>
      </c>
      <c r="C4" s="9"/>
      <c r="D4" s="41">
        <v>0</v>
      </c>
      <c r="E4" s="8">
        <f t="shared" si="0"/>
        <v>0</v>
      </c>
      <c r="F4" s="8">
        <f t="shared" si="1"/>
        <v>0</v>
      </c>
      <c r="G4" s="8">
        <f t="shared" si="2"/>
        <v>0</v>
      </c>
      <c r="H4" s="8">
        <f t="shared" si="3"/>
        <v>0</v>
      </c>
      <c r="I4" s="8">
        <f t="shared" si="4"/>
        <v>0</v>
      </c>
      <c r="J4" s="8">
        <f t="shared" si="5"/>
        <v>0</v>
      </c>
      <c r="L4" s="20"/>
      <c r="N4" s="20"/>
    </row>
    <row r="5" spans="1:14" x14ac:dyDescent="0.3">
      <c r="A5" s="73" t="s">
        <v>46</v>
      </c>
      <c r="B5" s="14">
        <v>2</v>
      </c>
      <c r="C5" s="9"/>
      <c r="D5" s="41">
        <v>0</v>
      </c>
      <c r="E5" s="8">
        <f t="shared" si="0"/>
        <v>0</v>
      </c>
      <c r="F5" s="8">
        <f t="shared" si="1"/>
        <v>0</v>
      </c>
      <c r="G5" s="8">
        <f t="shared" si="2"/>
        <v>0</v>
      </c>
      <c r="H5" s="8">
        <f t="shared" si="3"/>
        <v>0</v>
      </c>
      <c r="I5" s="8">
        <f t="shared" si="4"/>
        <v>0</v>
      </c>
      <c r="J5" s="8">
        <f t="shared" si="5"/>
        <v>0</v>
      </c>
      <c r="L5" s="26"/>
    </row>
    <row r="6" spans="1:14" x14ac:dyDescent="0.3">
      <c r="A6" s="73" t="s">
        <v>49</v>
      </c>
      <c r="B6" s="14">
        <v>2</v>
      </c>
      <c r="C6" s="9"/>
      <c r="D6" s="41">
        <v>0</v>
      </c>
      <c r="E6" s="8">
        <f t="shared" si="0"/>
        <v>0</v>
      </c>
      <c r="F6" s="8">
        <f t="shared" si="1"/>
        <v>0</v>
      </c>
      <c r="G6" s="8">
        <f t="shared" si="2"/>
        <v>0</v>
      </c>
      <c r="H6" s="8">
        <f t="shared" si="3"/>
        <v>0</v>
      </c>
      <c r="I6" s="8">
        <f t="shared" si="4"/>
        <v>0</v>
      </c>
      <c r="J6" s="8">
        <f t="shared" si="5"/>
        <v>0</v>
      </c>
    </row>
    <row r="7" spans="1:14" x14ac:dyDescent="0.3">
      <c r="A7" s="11"/>
      <c r="B7" s="14"/>
      <c r="C7" s="9"/>
      <c r="D7" s="8"/>
      <c r="E7" s="8"/>
      <c r="F7" s="8"/>
      <c r="G7" s="8"/>
      <c r="H7" s="8"/>
      <c r="I7" s="8"/>
      <c r="J7" s="8"/>
    </row>
    <row r="8" spans="1:14" x14ac:dyDescent="0.3">
      <c r="A8" s="11"/>
      <c r="B8" s="14"/>
      <c r="C8" s="9"/>
      <c r="D8" s="8"/>
      <c r="E8" s="8"/>
      <c r="F8" s="8"/>
      <c r="G8" s="8"/>
      <c r="H8" s="8"/>
      <c r="I8" s="42"/>
      <c r="J8" s="43">
        <f>SUM(J3:J7)</f>
        <v>0</v>
      </c>
    </row>
    <row r="9" spans="1:14" x14ac:dyDescent="0.3">
      <c r="A9" s="19" t="s">
        <v>38</v>
      </c>
      <c r="B9" s="10"/>
      <c r="C9" s="9"/>
      <c r="D9" s="8"/>
      <c r="E9" s="8"/>
      <c r="F9" s="8"/>
      <c r="G9" s="8"/>
      <c r="H9" s="8"/>
      <c r="I9" s="7"/>
      <c r="J9" s="18">
        <v>0</v>
      </c>
    </row>
    <row r="10" spans="1:14" x14ac:dyDescent="0.3">
      <c r="A10" s="11"/>
      <c r="B10" s="10"/>
      <c r="C10" s="9"/>
      <c r="D10" s="8"/>
      <c r="E10" s="8"/>
      <c r="F10" s="8"/>
      <c r="G10" s="8"/>
      <c r="H10" s="8"/>
      <c r="I10" s="7"/>
      <c r="J10" s="6"/>
    </row>
    <row r="11" spans="1:14" x14ac:dyDescent="0.3">
      <c r="A11" s="17" t="s">
        <v>8</v>
      </c>
      <c r="B11" s="16">
        <f>SUM(B3:B7)</f>
        <v>7</v>
      </c>
      <c r="C11" s="15">
        <f>SUM(C3:C7)</f>
        <v>0</v>
      </c>
      <c r="D11" s="8"/>
      <c r="E11" s="8"/>
      <c r="F11" s="14"/>
      <c r="G11" s="14"/>
      <c r="H11" s="14"/>
      <c r="I11" s="13" t="s">
        <v>2</v>
      </c>
      <c r="J11" s="12">
        <f>SUM(J8:J9)</f>
        <v>0</v>
      </c>
    </row>
    <row r="12" spans="1:14" x14ac:dyDescent="0.3">
      <c r="A12" s="11"/>
      <c r="B12" s="10"/>
      <c r="C12" s="9"/>
      <c r="D12" s="8"/>
      <c r="E12" s="8"/>
      <c r="F12" s="8"/>
      <c r="G12" s="8"/>
      <c r="H12" s="8"/>
      <c r="I12" s="7"/>
      <c r="J12" s="6"/>
    </row>
    <row r="13" spans="1:14" x14ac:dyDescent="0.3">
      <c r="A13" s="11"/>
      <c r="B13" s="10"/>
      <c r="C13" s="9"/>
      <c r="D13" s="8"/>
      <c r="E13" s="8"/>
      <c r="F13" s="8"/>
      <c r="G13" s="8"/>
      <c r="H13" s="8"/>
      <c r="I13" s="7"/>
      <c r="J13" s="6"/>
    </row>
    <row r="15" spans="1:14" x14ac:dyDescent="0.3">
      <c r="C15" s="2" t="s">
        <v>7</v>
      </c>
      <c r="D15" s="2" t="s">
        <v>0</v>
      </c>
      <c r="E15" s="2" t="s">
        <v>1</v>
      </c>
      <c r="F15" s="2" t="s">
        <v>2</v>
      </c>
    </row>
    <row r="16" spans="1:14" x14ac:dyDescent="0.3">
      <c r="B16" s="2" t="s">
        <v>39</v>
      </c>
      <c r="C16" s="5">
        <v>5000</v>
      </c>
      <c r="D16" s="34">
        <f>SUM((H4*C4),(H5*C5),(H6*C6),(C3*H3))</f>
        <v>0</v>
      </c>
      <c r="E16" s="3">
        <f>SUM(I3:I6)</f>
        <v>0</v>
      </c>
      <c r="F16" s="3">
        <f>SUM(D16:E16)</f>
        <v>0</v>
      </c>
      <c r="H16" s="38"/>
      <c r="I16" s="38"/>
      <c r="J16" s="38"/>
    </row>
    <row r="17" spans="2:6" x14ac:dyDescent="0.3">
      <c r="B17" s="2" t="s">
        <v>40</v>
      </c>
      <c r="C17" s="5">
        <v>7000</v>
      </c>
      <c r="D17" s="35">
        <f>J9</f>
        <v>0</v>
      </c>
      <c r="E17" s="4">
        <v>0</v>
      </c>
      <c r="F17" s="4">
        <f>SUM(D17:E17)</f>
        <v>0</v>
      </c>
    </row>
    <row r="18" spans="2:6" x14ac:dyDescent="0.3">
      <c r="D18" s="34">
        <f>SUM(D16:D17)</f>
        <v>0</v>
      </c>
      <c r="E18" s="3">
        <f>SUM(E16:E17)</f>
        <v>0</v>
      </c>
      <c r="F18" s="3">
        <f>SUM(F16:F17)</f>
        <v>0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61A37-1A66-4880-BE77-F50F378F28E9}">
  <dimension ref="A1:N18"/>
  <sheetViews>
    <sheetView topLeftCell="A7" zoomScaleNormal="100" workbookViewId="0">
      <selection activeCell="D18" sqref="D18"/>
    </sheetView>
  </sheetViews>
  <sheetFormatPr defaultRowHeight="14.4" x14ac:dyDescent="0.3"/>
  <cols>
    <col min="1" max="1" width="52.109375" customWidth="1"/>
    <col min="2" max="2" width="9.88671875" style="2" customWidth="1"/>
    <col min="3" max="3" width="12.109375" style="2" customWidth="1"/>
    <col min="4" max="4" width="20" style="2" bestFit="1" customWidth="1"/>
    <col min="5" max="5" width="14.5546875" style="2" bestFit="1" customWidth="1"/>
    <col min="6" max="6" width="15.44140625" style="2" customWidth="1"/>
    <col min="7" max="7" width="13.33203125" style="2" bestFit="1" customWidth="1"/>
    <col min="8" max="8" width="14.33203125" style="2" bestFit="1" customWidth="1"/>
    <col min="9" max="9" width="14.33203125" style="2" customWidth="1"/>
    <col min="10" max="10" width="15.5546875" style="2" bestFit="1" customWidth="1"/>
    <col min="12" max="12" width="15.5546875" customWidth="1"/>
    <col min="14" max="14" width="14.33203125" bestFit="1" customWidth="1"/>
  </cols>
  <sheetData>
    <row r="1" spans="1:14" x14ac:dyDescent="0.3">
      <c r="A1" s="24" t="s">
        <v>18</v>
      </c>
      <c r="B1" s="23" t="s">
        <v>17</v>
      </c>
      <c r="C1" s="22" t="s">
        <v>16</v>
      </c>
      <c r="D1" s="22" t="s">
        <v>15</v>
      </c>
      <c r="E1" s="22" t="s">
        <v>14</v>
      </c>
      <c r="F1" s="22" t="s">
        <v>13</v>
      </c>
      <c r="G1" s="22" t="s">
        <v>12</v>
      </c>
      <c r="H1" s="22" t="s">
        <v>11</v>
      </c>
      <c r="I1" s="25" t="s">
        <v>10</v>
      </c>
      <c r="J1" s="21" t="s">
        <v>9</v>
      </c>
    </row>
    <row r="2" spans="1:14" x14ac:dyDescent="0.3">
      <c r="A2" s="24"/>
      <c r="B2" s="39"/>
      <c r="C2" s="39"/>
      <c r="D2" s="39"/>
      <c r="E2" s="69">
        <v>0</v>
      </c>
      <c r="F2" s="69">
        <v>0</v>
      </c>
      <c r="G2" s="69">
        <v>0</v>
      </c>
      <c r="H2" s="40"/>
      <c r="I2" s="69">
        <v>0</v>
      </c>
      <c r="J2" s="39"/>
    </row>
    <row r="3" spans="1:14" x14ac:dyDescent="0.3">
      <c r="A3" s="73" t="s">
        <v>48</v>
      </c>
      <c r="B3" s="14">
        <v>1</v>
      </c>
      <c r="C3" s="9"/>
      <c r="D3" s="41">
        <v>0</v>
      </c>
      <c r="E3" s="8">
        <f t="shared" ref="E3:E6" si="0">D3*$E$2</f>
        <v>0</v>
      </c>
      <c r="F3" s="8">
        <f t="shared" ref="F3:F6" si="1">(D3+E3)*$F$2</f>
        <v>0</v>
      </c>
      <c r="G3" s="8">
        <f t="shared" ref="G3:G6" si="2">(D3+E3+F3)*$G$2</f>
        <v>0</v>
      </c>
      <c r="H3" s="8">
        <f t="shared" ref="H3:H6" si="3">D3+E3+F3+G3</f>
        <v>0</v>
      </c>
      <c r="I3" s="8">
        <f t="shared" ref="I3:I6" si="4">(C3*H3)*$I$2</f>
        <v>0</v>
      </c>
      <c r="J3" s="8">
        <f t="shared" ref="J3:J6" si="5">(C3*H3)+I3</f>
        <v>0</v>
      </c>
    </row>
    <row r="4" spans="1:14" x14ac:dyDescent="0.3">
      <c r="A4" s="73" t="s">
        <v>47</v>
      </c>
      <c r="B4" s="14">
        <v>2</v>
      </c>
      <c r="C4" s="9"/>
      <c r="D4" s="41">
        <v>0</v>
      </c>
      <c r="E4" s="8">
        <f t="shared" si="0"/>
        <v>0</v>
      </c>
      <c r="F4" s="8">
        <f t="shared" si="1"/>
        <v>0</v>
      </c>
      <c r="G4" s="8">
        <f t="shared" si="2"/>
        <v>0</v>
      </c>
      <c r="H4" s="8">
        <f t="shared" si="3"/>
        <v>0</v>
      </c>
      <c r="I4" s="8">
        <f t="shared" si="4"/>
        <v>0</v>
      </c>
      <c r="J4" s="8">
        <f t="shared" si="5"/>
        <v>0</v>
      </c>
      <c r="L4" s="20"/>
      <c r="N4" s="20"/>
    </row>
    <row r="5" spans="1:14" x14ac:dyDescent="0.3">
      <c r="A5" s="73" t="s">
        <v>46</v>
      </c>
      <c r="B5" s="14">
        <v>2</v>
      </c>
      <c r="C5" s="9"/>
      <c r="D5" s="41">
        <v>0</v>
      </c>
      <c r="E5" s="8">
        <f t="shared" si="0"/>
        <v>0</v>
      </c>
      <c r="F5" s="8">
        <f t="shared" si="1"/>
        <v>0</v>
      </c>
      <c r="G5" s="8">
        <f t="shared" si="2"/>
        <v>0</v>
      </c>
      <c r="H5" s="8">
        <f t="shared" si="3"/>
        <v>0</v>
      </c>
      <c r="I5" s="8">
        <f t="shared" si="4"/>
        <v>0</v>
      </c>
      <c r="J5" s="8">
        <f t="shared" si="5"/>
        <v>0</v>
      </c>
      <c r="L5" s="26"/>
    </row>
    <row r="6" spans="1:14" x14ac:dyDescent="0.3">
      <c r="A6" s="73" t="s">
        <v>49</v>
      </c>
      <c r="B6" s="14">
        <v>2</v>
      </c>
      <c r="C6" s="9"/>
      <c r="D6" s="41">
        <v>0</v>
      </c>
      <c r="E6" s="8">
        <f t="shared" si="0"/>
        <v>0</v>
      </c>
      <c r="F6" s="8">
        <f t="shared" si="1"/>
        <v>0</v>
      </c>
      <c r="G6" s="8">
        <f t="shared" si="2"/>
        <v>0</v>
      </c>
      <c r="H6" s="8">
        <f t="shared" si="3"/>
        <v>0</v>
      </c>
      <c r="I6" s="8">
        <f t="shared" si="4"/>
        <v>0</v>
      </c>
      <c r="J6" s="8">
        <f t="shared" si="5"/>
        <v>0</v>
      </c>
    </row>
    <row r="7" spans="1:14" x14ac:dyDescent="0.3">
      <c r="A7" s="11"/>
      <c r="B7" s="14"/>
      <c r="C7" s="9"/>
      <c r="D7" s="8"/>
      <c r="E7" s="8"/>
      <c r="F7" s="8"/>
      <c r="G7" s="8"/>
      <c r="H7" s="8"/>
      <c r="I7" s="8"/>
      <c r="J7" s="8"/>
    </row>
    <row r="8" spans="1:14" x14ac:dyDescent="0.3">
      <c r="A8" s="11"/>
      <c r="B8" s="14"/>
      <c r="C8" s="9"/>
      <c r="D8" s="8"/>
      <c r="E8" s="8"/>
      <c r="F8" s="8"/>
      <c r="G8" s="8"/>
      <c r="H8" s="8"/>
      <c r="I8" s="42"/>
      <c r="J8" s="43">
        <f>SUM(J3:J7)</f>
        <v>0</v>
      </c>
    </row>
    <row r="9" spans="1:14" x14ac:dyDescent="0.3">
      <c r="A9" s="19" t="s">
        <v>38</v>
      </c>
      <c r="B9" s="10"/>
      <c r="C9" s="9"/>
      <c r="D9" s="8"/>
      <c r="E9" s="8"/>
      <c r="F9" s="8"/>
      <c r="G9" s="8"/>
      <c r="H9" s="8"/>
      <c r="I9" s="7"/>
      <c r="J9" s="18">
        <v>0</v>
      </c>
    </row>
    <row r="10" spans="1:14" x14ac:dyDescent="0.3">
      <c r="A10" s="11"/>
      <c r="B10" s="10"/>
      <c r="C10" s="9"/>
      <c r="D10" s="8"/>
      <c r="E10" s="8"/>
      <c r="F10" s="8"/>
      <c r="G10" s="8"/>
      <c r="H10" s="8"/>
      <c r="I10" s="7"/>
      <c r="J10" s="6"/>
    </row>
    <row r="11" spans="1:14" x14ac:dyDescent="0.3">
      <c r="A11" s="17" t="s">
        <v>8</v>
      </c>
      <c r="B11" s="16">
        <f>SUM(B3:B7)</f>
        <v>7</v>
      </c>
      <c r="C11" s="15">
        <f>SUM(C3:C7)</f>
        <v>0</v>
      </c>
      <c r="D11" s="8"/>
      <c r="E11" s="8"/>
      <c r="F11" s="14"/>
      <c r="G11" s="14"/>
      <c r="H11" s="14"/>
      <c r="I11" s="13" t="s">
        <v>2</v>
      </c>
      <c r="J11" s="12">
        <f>SUM(J8:J9)</f>
        <v>0</v>
      </c>
    </row>
    <row r="12" spans="1:14" x14ac:dyDescent="0.3">
      <c r="A12" s="11"/>
      <c r="B12" s="10"/>
      <c r="C12" s="9"/>
      <c r="D12" s="8"/>
      <c r="E12" s="8"/>
      <c r="F12" s="8"/>
      <c r="G12" s="8"/>
      <c r="H12" s="8"/>
      <c r="I12" s="7"/>
      <c r="J12" s="6"/>
    </row>
    <row r="13" spans="1:14" x14ac:dyDescent="0.3">
      <c r="A13" s="11"/>
      <c r="B13" s="10"/>
      <c r="C13" s="9"/>
      <c r="D13" s="8"/>
      <c r="E13" s="8"/>
      <c r="F13" s="8"/>
      <c r="G13" s="8"/>
      <c r="H13" s="8"/>
      <c r="I13" s="7"/>
      <c r="J13" s="6"/>
    </row>
    <row r="15" spans="1:14" x14ac:dyDescent="0.3">
      <c r="C15" s="2" t="s">
        <v>7</v>
      </c>
      <c r="D15" s="2" t="s">
        <v>0</v>
      </c>
      <c r="E15" s="2" t="s">
        <v>1</v>
      </c>
      <c r="F15" s="2" t="s">
        <v>2</v>
      </c>
    </row>
    <row r="16" spans="1:14" x14ac:dyDescent="0.3">
      <c r="B16" s="2" t="s">
        <v>39</v>
      </c>
      <c r="C16" s="5">
        <v>5000</v>
      </c>
      <c r="D16" s="34">
        <f>SUM((H4*C4),(H5*C5),(H6*C6),(C3*H3))</f>
        <v>0</v>
      </c>
      <c r="E16" s="3">
        <f>SUM(I3:I6)</f>
        <v>0</v>
      </c>
      <c r="F16" s="3">
        <f>SUM(D16:E16)</f>
        <v>0</v>
      </c>
      <c r="H16" s="38"/>
      <c r="I16" s="38"/>
      <c r="J16" s="38"/>
    </row>
    <row r="17" spans="2:6" x14ac:dyDescent="0.3">
      <c r="B17" s="2" t="s">
        <v>40</v>
      </c>
      <c r="C17" s="5">
        <v>7000</v>
      </c>
      <c r="D17" s="35">
        <f>J9</f>
        <v>0</v>
      </c>
      <c r="E17" s="4">
        <v>0</v>
      </c>
      <c r="F17" s="4">
        <f>SUM(D17:E17)</f>
        <v>0</v>
      </c>
    </row>
    <row r="18" spans="2:6" x14ac:dyDescent="0.3">
      <c r="D18" s="34">
        <f>SUM(D16:D17)</f>
        <v>0</v>
      </c>
      <c r="E18" s="3">
        <f>SUM(E16:E17)</f>
        <v>0</v>
      </c>
      <c r="F18" s="3">
        <f>SUM(F16:F17)</f>
        <v>0</v>
      </c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82CF-28C5-4B19-9649-54BF3F1A4CE0}">
  <dimension ref="A1:N18"/>
  <sheetViews>
    <sheetView topLeftCell="A7" zoomScaleNormal="100" workbookViewId="0">
      <selection activeCell="D18" sqref="D18"/>
    </sheetView>
  </sheetViews>
  <sheetFormatPr defaultRowHeight="14.4" x14ac:dyDescent="0.3"/>
  <cols>
    <col min="1" max="1" width="52.109375" customWidth="1"/>
    <col min="2" max="2" width="9.88671875" style="2" customWidth="1"/>
    <col min="3" max="3" width="12.109375" style="2" customWidth="1"/>
    <col min="4" max="4" width="20" style="2" bestFit="1" customWidth="1"/>
    <col min="5" max="5" width="14.5546875" style="2" bestFit="1" customWidth="1"/>
    <col min="6" max="6" width="15.44140625" style="2" customWidth="1"/>
    <col min="7" max="7" width="13.33203125" style="2" bestFit="1" customWidth="1"/>
    <col min="8" max="8" width="14.33203125" style="2" bestFit="1" customWidth="1"/>
    <col min="9" max="9" width="14.33203125" style="2" customWidth="1"/>
    <col min="10" max="10" width="15.5546875" style="2" bestFit="1" customWidth="1"/>
    <col min="12" max="12" width="15.5546875" customWidth="1"/>
    <col min="14" max="14" width="14.33203125" bestFit="1" customWidth="1"/>
  </cols>
  <sheetData>
    <row r="1" spans="1:14" x14ac:dyDescent="0.3">
      <c r="A1" s="24" t="s">
        <v>18</v>
      </c>
      <c r="B1" s="23" t="s">
        <v>17</v>
      </c>
      <c r="C1" s="22" t="s">
        <v>16</v>
      </c>
      <c r="D1" s="22" t="s">
        <v>15</v>
      </c>
      <c r="E1" s="22" t="s">
        <v>14</v>
      </c>
      <c r="F1" s="22" t="s">
        <v>13</v>
      </c>
      <c r="G1" s="22" t="s">
        <v>12</v>
      </c>
      <c r="H1" s="22" t="s">
        <v>11</v>
      </c>
      <c r="I1" s="25" t="s">
        <v>10</v>
      </c>
      <c r="J1" s="21" t="s">
        <v>9</v>
      </c>
    </row>
    <row r="2" spans="1:14" x14ac:dyDescent="0.3">
      <c r="A2" s="24"/>
      <c r="B2" s="39"/>
      <c r="C2" s="39"/>
      <c r="D2" s="39"/>
      <c r="E2" s="69">
        <v>0</v>
      </c>
      <c r="F2" s="69">
        <v>0</v>
      </c>
      <c r="G2" s="69">
        <v>0</v>
      </c>
      <c r="H2" s="40"/>
      <c r="I2" s="69">
        <v>0</v>
      </c>
      <c r="J2" s="39"/>
    </row>
    <row r="3" spans="1:14" x14ac:dyDescent="0.3">
      <c r="A3" s="73" t="s">
        <v>48</v>
      </c>
      <c r="B3" s="14">
        <v>1</v>
      </c>
      <c r="C3" s="9"/>
      <c r="D3" s="41">
        <v>0</v>
      </c>
      <c r="E3" s="8">
        <f t="shared" ref="E3:E6" si="0">D3*$E$2</f>
        <v>0</v>
      </c>
      <c r="F3" s="8">
        <f t="shared" ref="F3:F6" si="1">(D3+E3)*$F$2</f>
        <v>0</v>
      </c>
      <c r="G3" s="8">
        <f t="shared" ref="G3:G6" si="2">(D3+E3+F3)*$G$2</f>
        <v>0</v>
      </c>
      <c r="H3" s="8">
        <f t="shared" ref="H3:H6" si="3">D3+E3+F3+G3</f>
        <v>0</v>
      </c>
      <c r="I3" s="8">
        <f t="shared" ref="I3:I6" si="4">(C3*H3)*$I$2</f>
        <v>0</v>
      </c>
      <c r="J3" s="8">
        <f t="shared" ref="J3:J6" si="5">(C3*H3)+I3</f>
        <v>0</v>
      </c>
    </row>
    <row r="4" spans="1:14" x14ac:dyDescent="0.3">
      <c r="A4" s="73" t="s">
        <v>47</v>
      </c>
      <c r="B4" s="14">
        <v>2</v>
      </c>
      <c r="C4" s="9"/>
      <c r="D4" s="41">
        <v>0</v>
      </c>
      <c r="E4" s="8">
        <f t="shared" si="0"/>
        <v>0</v>
      </c>
      <c r="F4" s="8">
        <f t="shared" si="1"/>
        <v>0</v>
      </c>
      <c r="G4" s="8">
        <f t="shared" si="2"/>
        <v>0</v>
      </c>
      <c r="H4" s="8">
        <f t="shared" si="3"/>
        <v>0</v>
      </c>
      <c r="I4" s="8">
        <f t="shared" si="4"/>
        <v>0</v>
      </c>
      <c r="J4" s="8">
        <f t="shared" si="5"/>
        <v>0</v>
      </c>
      <c r="L4" s="20"/>
      <c r="N4" s="20"/>
    </row>
    <row r="5" spans="1:14" x14ac:dyDescent="0.3">
      <c r="A5" s="73" t="s">
        <v>46</v>
      </c>
      <c r="B5" s="14">
        <v>2</v>
      </c>
      <c r="C5" s="9"/>
      <c r="D5" s="41">
        <v>0</v>
      </c>
      <c r="E5" s="8">
        <f t="shared" si="0"/>
        <v>0</v>
      </c>
      <c r="F5" s="8">
        <f t="shared" si="1"/>
        <v>0</v>
      </c>
      <c r="G5" s="8">
        <f t="shared" si="2"/>
        <v>0</v>
      </c>
      <c r="H5" s="8">
        <f t="shared" si="3"/>
        <v>0</v>
      </c>
      <c r="I5" s="8">
        <f t="shared" si="4"/>
        <v>0</v>
      </c>
      <c r="J5" s="8">
        <f t="shared" si="5"/>
        <v>0</v>
      </c>
      <c r="L5" s="26"/>
    </row>
    <row r="6" spans="1:14" x14ac:dyDescent="0.3">
      <c r="A6" s="73" t="s">
        <v>49</v>
      </c>
      <c r="B6" s="14">
        <v>2</v>
      </c>
      <c r="C6" s="9"/>
      <c r="D6" s="41">
        <v>0</v>
      </c>
      <c r="E6" s="8">
        <f t="shared" si="0"/>
        <v>0</v>
      </c>
      <c r="F6" s="8">
        <f t="shared" si="1"/>
        <v>0</v>
      </c>
      <c r="G6" s="8">
        <f t="shared" si="2"/>
        <v>0</v>
      </c>
      <c r="H6" s="8">
        <f t="shared" si="3"/>
        <v>0</v>
      </c>
      <c r="I6" s="8">
        <f t="shared" si="4"/>
        <v>0</v>
      </c>
      <c r="J6" s="8">
        <f t="shared" si="5"/>
        <v>0</v>
      </c>
    </row>
    <row r="7" spans="1:14" x14ac:dyDescent="0.3">
      <c r="A7" s="11"/>
      <c r="B7" s="14"/>
      <c r="C7" s="9"/>
      <c r="D7" s="8"/>
      <c r="E7" s="8"/>
      <c r="F7" s="8"/>
      <c r="G7" s="8"/>
      <c r="H7" s="8"/>
      <c r="I7" s="8"/>
      <c r="J7" s="8"/>
    </row>
    <row r="8" spans="1:14" x14ac:dyDescent="0.3">
      <c r="A8" s="11"/>
      <c r="B8" s="14"/>
      <c r="C8" s="9"/>
      <c r="D8" s="8"/>
      <c r="E8" s="8"/>
      <c r="F8" s="8"/>
      <c r="G8" s="8"/>
      <c r="H8" s="8"/>
      <c r="I8" s="42"/>
      <c r="J8" s="43">
        <f>SUM(J3:J7)</f>
        <v>0</v>
      </c>
    </row>
    <row r="9" spans="1:14" x14ac:dyDescent="0.3">
      <c r="A9" s="19" t="s">
        <v>38</v>
      </c>
      <c r="B9" s="10"/>
      <c r="C9" s="9"/>
      <c r="D9" s="8"/>
      <c r="E9" s="8"/>
      <c r="F9" s="8"/>
      <c r="G9" s="8"/>
      <c r="H9" s="8"/>
      <c r="I9" s="7"/>
      <c r="J9" s="18">
        <v>0</v>
      </c>
    </row>
    <row r="10" spans="1:14" x14ac:dyDescent="0.3">
      <c r="A10" s="11"/>
      <c r="B10" s="10"/>
      <c r="C10" s="9"/>
      <c r="D10" s="8"/>
      <c r="E10" s="8"/>
      <c r="F10" s="8"/>
      <c r="G10" s="8"/>
      <c r="H10" s="8"/>
      <c r="I10" s="7"/>
      <c r="J10" s="6"/>
    </row>
    <row r="11" spans="1:14" x14ac:dyDescent="0.3">
      <c r="A11" s="17" t="s">
        <v>8</v>
      </c>
      <c r="B11" s="16">
        <f>SUM(B3:B7)</f>
        <v>7</v>
      </c>
      <c r="C11" s="15">
        <f>SUM(C3:C7)</f>
        <v>0</v>
      </c>
      <c r="D11" s="8"/>
      <c r="E11" s="8"/>
      <c r="F11" s="14"/>
      <c r="G11" s="14"/>
      <c r="H11" s="14"/>
      <c r="I11" s="13" t="s">
        <v>2</v>
      </c>
      <c r="J11" s="12">
        <f>SUM(J8:J9)</f>
        <v>0</v>
      </c>
    </row>
    <row r="12" spans="1:14" x14ac:dyDescent="0.3">
      <c r="A12" s="11"/>
      <c r="B12" s="10"/>
      <c r="C12" s="9"/>
      <c r="D12" s="8"/>
      <c r="E12" s="8"/>
      <c r="F12" s="8"/>
      <c r="G12" s="8"/>
      <c r="H12" s="8"/>
      <c r="I12" s="7"/>
      <c r="J12" s="6"/>
    </row>
    <row r="13" spans="1:14" x14ac:dyDescent="0.3">
      <c r="A13" s="11"/>
      <c r="B13" s="10"/>
      <c r="C13" s="9"/>
      <c r="D13" s="8"/>
      <c r="E13" s="8"/>
      <c r="F13" s="8"/>
      <c r="G13" s="8"/>
      <c r="H13" s="8"/>
      <c r="I13" s="7"/>
      <c r="J13" s="6"/>
    </row>
    <row r="15" spans="1:14" x14ac:dyDescent="0.3">
      <c r="C15" s="2" t="s">
        <v>7</v>
      </c>
      <c r="D15" s="2" t="s">
        <v>0</v>
      </c>
      <c r="E15" s="2" t="s">
        <v>1</v>
      </c>
      <c r="F15" s="2" t="s">
        <v>2</v>
      </c>
    </row>
    <row r="16" spans="1:14" x14ac:dyDescent="0.3">
      <c r="B16" s="2" t="s">
        <v>39</v>
      </c>
      <c r="C16" s="5">
        <v>5000</v>
      </c>
      <c r="D16" s="34">
        <f>SUM((H4*C4),(H5*C5),(H6*C6),(C3*H3))</f>
        <v>0</v>
      </c>
      <c r="E16" s="3">
        <f>SUM(I3:I6)</f>
        <v>0</v>
      </c>
      <c r="F16" s="3">
        <f>SUM(D16:E16)</f>
        <v>0</v>
      </c>
      <c r="H16" s="38"/>
      <c r="I16" s="38"/>
      <c r="J16" s="38"/>
    </row>
    <row r="17" spans="2:6" x14ac:dyDescent="0.3">
      <c r="B17" s="2" t="s">
        <v>40</v>
      </c>
      <c r="C17" s="5">
        <v>7000</v>
      </c>
      <c r="D17" s="35">
        <f>J9</f>
        <v>0</v>
      </c>
      <c r="E17" s="4">
        <v>0</v>
      </c>
      <c r="F17" s="4">
        <f>SUM(D17:E17)</f>
        <v>0</v>
      </c>
    </row>
    <row r="18" spans="2:6" x14ac:dyDescent="0.3">
      <c r="D18" s="34">
        <f>SUM(D16:D17)</f>
        <v>0</v>
      </c>
      <c r="E18" s="3">
        <f>SUM(E16:E17)</f>
        <v>0</v>
      </c>
      <c r="F18" s="3">
        <f>SUM(F16:F17)</f>
        <v>0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4E6C-DFE8-43F8-BE1D-52C500D45C2E}">
  <dimension ref="A1:N18"/>
  <sheetViews>
    <sheetView topLeftCell="A4" zoomScaleNormal="100" workbookViewId="0">
      <selection activeCell="F17" sqref="F17"/>
    </sheetView>
  </sheetViews>
  <sheetFormatPr defaultRowHeight="14.4" x14ac:dyDescent="0.3"/>
  <cols>
    <col min="1" max="1" width="52.109375" customWidth="1"/>
    <col min="2" max="2" width="9.88671875" style="2" customWidth="1"/>
    <col min="3" max="3" width="12.109375" style="2" customWidth="1"/>
    <col min="4" max="4" width="20" style="2" bestFit="1" customWidth="1"/>
    <col min="5" max="5" width="14.5546875" style="2" bestFit="1" customWidth="1"/>
    <col min="6" max="6" width="15.44140625" style="2" customWidth="1"/>
    <col min="7" max="7" width="13.33203125" style="2" bestFit="1" customWidth="1"/>
    <col min="8" max="8" width="14.33203125" style="2" bestFit="1" customWidth="1"/>
    <col min="9" max="9" width="14.33203125" style="2" customWidth="1"/>
    <col min="10" max="10" width="15.5546875" style="2" bestFit="1" customWidth="1"/>
    <col min="12" max="12" width="15.5546875" customWidth="1"/>
    <col min="14" max="14" width="14.33203125" bestFit="1" customWidth="1"/>
  </cols>
  <sheetData>
    <row r="1" spans="1:14" x14ac:dyDescent="0.3">
      <c r="A1" s="24" t="s">
        <v>18</v>
      </c>
      <c r="B1" s="23" t="s">
        <v>17</v>
      </c>
      <c r="C1" s="22" t="s">
        <v>16</v>
      </c>
      <c r="D1" s="22" t="s">
        <v>15</v>
      </c>
      <c r="E1" s="22" t="s">
        <v>14</v>
      </c>
      <c r="F1" s="22" t="s">
        <v>13</v>
      </c>
      <c r="G1" s="22" t="s">
        <v>12</v>
      </c>
      <c r="H1" s="22" t="s">
        <v>11</v>
      </c>
      <c r="I1" s="25" t="s">
        <v>10</v>
      </c>
      <c r="J1" s="21" t="s">
        <v>9</v>
      </c>
    </row>
    <row r="2" spans="1:14" x14ac:dyDescent="0.3">
      <c r="A2" s="24"/>
      <c r="B2" s="39"/>
      <c r="C2" s="39"/>
      <c r="D2" s="39"/>
      <c r="E2" s="69">
        <v>0</v>
      </c>
      <c r="F2" s="69">
        <v>0</v>
      </c>
      <c r="G2" s="69">
        <v>0</v>
      </c>
      <c r="H2" s="40"/>
      <c r="I2" s="69">
        <v>0</v>
      </c>
      <c r="J2" s="39"/>
    </row>
    <row r="3" spans="1:14" x14ac:dyDescent="0.3">
      <c r="A3" s="73" t="s">
        <v>48</v>
      </c>
      <c r="B3" s="14">
        <v>1</v>
      </c>
      <c r="C3" s="9"/>
      <c r="D3" s="41">
        <v>0</v>
      </c>
      <c r="E3" s="8">
        <f t="shared" ref="E3:E6" si="0">D3*$E$2</f>
        <v>0</v>
      </c>
      <c r="F3" s="8">
        <f t="shared" ref="F3:F6" si="1">(D3+E3)*$F$2</f>
        <v>0</v>
      </c>
      <c r="G3" s="8">
        <f t="shared" ref="G3:G6" si="2">(D3+E3+F3)*$G$2</f>
        <v>0</v>
      </c>
      <c r="H3" s="8">
        <f t="shared" ref="H3:H6" si="3">D3+E3+F3+G3</f>
        <v>0</v>
      </c>
      <c r="I3" s="8">
        <f t="shared" ref="I3:I6" si="4">(C3*H3)*$I$2</f>
        <v>0</v>
      </c>
      <c r="J3" s="8">
        <f t="shared" ref="J3:J6" si="5">(C3*H3)+I3</f>
        <v>0</v>
      </c>
    </row>
    <row r="4" spans="1:14" x14ac:dyDescent="0.3">
      <c r="A4" s="73" t="s">
        <v>47</v>
      </c>
      <c r="B4" s="14">
        <v>2</v>
      </c>
      <c r="C4" s="9"/>
      <c r="D4" s="41">
        <v>0</v>
      </c>
      <c r="E4" s="8">
        <f t="shared" si="0"/>
        <v>0</v>
      </c>
      <c r="F4" s="8">
        <f t="shared" si="1"/>
        <v>0</v>
      </c>
      <c r="G4" s="8">
        <f t="shared" si="2"/>
        <v>0</v>
      </c>
      <c r="H4" s="8">
        <f t="shared" si="3"/>
        <v>0</v>
      </c>
      <c r="I4" s="8">
        <f t="shared" si="4"/>
        <v>0</v>
      </c>
      <c r="J4" s="8">
        <f t="shared" si="5"/>
        <v>0</v>
      </c>
      <c r="L4" s="20"/>
      <c r="N4" s="20"/>
    </row>
    <row r="5" spans="1:14" x14ac:dyDescent="0.3">
      <c r="A5" s="73" t="s">
        <v>46</v>
      </c>
      <c r="B5" s="14">
        <v>2</v>
      </c>
      <c r="C5" s="9"/>
      <c r="D5" s="41">
        <v>0</v>
      </c>
      <c r="E5" s="8">
        <f t="shared" si="0"/>
        <v>0</v>
      </c>
      <c r="F5" s="8">
        <f t="shared" si="1"/>
        <v>0</v>
      </c>
      <c r="G5" s="8">
        <f t="shared" si="2"/>
        <v>0</v>
      </c>
      <c r="H5" s="8">
        <f t="shared" si="3"/>
        <v>0</v>
      </c>
      <c r="I5" s="8">
        <f t="shared" si="4"/>
        <v>0</v>
      </c>
      <c r="J5" s="8">
        <f t="shared" si="5"/>
        <v>0</v>
      </c>
      <c r="L5" s="26"/>
    </row>
    <row r="6" spans="1:14" x14ac:dyDescent="0.3">
      <c r="A6" s="73" t="s">
        <v>49</v>
      </c>
      <c r="B6" s="14">
        <v>2</v>
      </c>
      <c r="C6" s="9"/>
      <c r="D6" s="41">
        <v>0</v>
      </c>
      <c r="E6" s="8">
        <f t="shared" si="0"/>
        <v>0</v>
      </c>
      <c r="F6" s="8">
        <f t="shared" si="1"/>
        <v>0</v>
      </c>
      <c r="G6" s="8">
        <f t="shared" si="2"/>
        <v>0</v>
      </c>
      <c r="H6" s="8">
        <f t="shared" si="3"/>
        <v>0</v>
      </c>
      <c r="I6" s="8">
        <f t="shared" si="4"/>
        <v>0</v>
      </c>
      <c r="J6" s="8">
        <f t="shared" si="5"/>
        <v>0</v>
      </c>
    </row>
    <row r="7" spans="1:14" x14ac:dyDescent="0.3">
      <c r="A7" s="11"/>
      <c r="B7" s="14"/>
      <c r="C7" s="9"/>
      <c r="D7" s="8"/>
      <c r="E7" s="8"/>
      <c r="F7" s="8"/>
      <c r="G7" s="8"/>
      <c r="H7" s="8"/>
      <c r="I7" s="8"/>
      <c r="J7" s="8"/>
    </row>
    <row r="8" spans="1:14" x14ac:dyDescent="0.3">
      <c r="A8" s="11"/>
      <c r="B8" s="14"/>
      <c r="C8" s="9"/>
      <c r="D8" s="8"/>
      <c r="E8" s="8"/>
      <c r="F8" s="8"/>
      <c r="G8" s="8"/>
      <c r="H8" s="8"/>
      <c r="I8" s="42"/>
      <c r="J8" s="43">
        <f>SUM(J3:J7)</f>
        <v>0</v>
      </c>
    </row>
    <row r="9" spans="1:14" x14ac:dyDescent="0.3">
      <c r="A9" s="19" t="s">
        <v>38</v>
      </c>
      <c r="B9" s="10"/>
      <c r="C9" s="9"/>
      <c r="D9" s="8"/>
      <c r="E9" s="8"/>
      <c r="F9" s="8"/>
      <c r="G9" s="8"/>
      <c r="H9" s="8"/>
      <c r="I9" s="7"/>
      <c r="J9" s="18">
        <v>0</v>
      </c>
    </row>
    <row r="10" spans="1:14" x14ac:dyDescent="0.3">
      <c r="A10" s="11"/>
      <c r="B10" s="10"/>
      <c r="C10" s="9"/>
      <c r="D10" s="8"/>
      <c r="E10" s="8"/>
      <c r="F10" s="8"/>
      <c r="G10" s="8"/>
      <c r="H10" s="8"/>
      <c r="I10" s="7"/>
      <c r="J10" s="6"/>
    </row>
    <row r="11" spans="1:14" x14ac:dyDescent="0.3">
      <c r="A11" s="17" t="s">
        <v>8</v>
      </c>
      <c r="B11" s="16">
        <f>SUM(B3:B7)</f>
        <v>7</v>
      </c>
      <c r="C11" s="15">
        <f>SUM(C3:C7)</f>
        <v>0</v>
      </c>
      <c r="D11" s="8"/>
      <c r="E11" s="8"/>
      <c r="F11" s="14"/>
      <c r="G11" s="14"/>
      <c r="H11" s="14"/>
      <c r="I11" s="13" t="s">
        <v>2</v>
      </c>
      <c r="J11" s="12">
        <f>SUM(J8:J9)</f>
        <v>0</v>
      </c>
    </row>
    <row r="12" spans="1:14" x14ac:dyDescent="0.3">
      <c r="A12" s="11"/>
      <c r="B12" s="10"/>
      <c r="C12" s="9"/>
      <c r="D12" s="8"/>
      <c r="E12" s="8"/>
      <c r="F12" s="8"/>
      <c r="G12" s="8"/>
      <c r="H12" s="8"/>
      <c r="I12" s="7"/>
      <c r="J12" s="6"/>
    </row>
    <row r="13" spans="1:14" x14ac:dyDescent="0.3">
      <c r="A13" s="11"/>
      <c r="B13" s="10"/>
      <c r="C13" s="9"/>
      <c r="D13" s="8"/>
      <c r="E13" s="8"/>
      <c r="F13" s="8"/>
      <c r="G13" s="8"/>
      <c r="H13" s="8"/>
      <c r="I13" s="7"/>
      <c r="J13" s="6"/>
    </row>
    <row r="15" spans="1:14" x14ac:dyDescent="0.3">
      <c r="C15" s="2" t="s">
        <v>7</v>
      </c>
      <c r="D15" s="2" t="s">
        <v>0</v>
      </c>
      <c r="E15" s="2" t="s">
        <v>1</v>
      </c>
      <c r="F15" s="2" t="s">
        <v>2</v>
      </c>
    </row>
    <row r="16" spans="1:14" x14ac:dyDescent="0.3">
      <c r="B16" s="2" t="s">
        <v>39</v>
      </c>
      <c r="C16" s="5">
        <v>5000</v>
      </c>
      <c r="D16" s="34">
        <f>SUM((H4*C4),(H5*C5),(H6*C6),(C3*H3))</f>
        <v>0</v>
      </c>
      <c r="E16" s="3">
        <f>SUM(I3:I6)</f>
        <v>0</v>
      </c>
      <c r="F16" s="3">
        <f>SUM(D16:E16)</f>
        <v>0</v>
      </c>
      <c r="H16" s="38"/>
      <c r="I16" s="38"/>
      <c r="J16" s="38"/>
    </row>
    <row r="17" spans="2:6" x14ac:dyDescent="0.3">
      <c r="B17" s="2" t="s">
        <v>40</v>
      </c>
      <c r="C17" s="5">
        <v>7000</v>
      </c>
      <c r="D17" s="35">
        <f>J9</f>
        <v>0</v>
      </c>
      <c r="E17" s="4">
        <v>0</v>
      </c>
      <c r="F17" s="4">
        <f>SUM(D17:E17)</f>
        <v>0</v>
      </c>
    </row>
    <row r="18" spans="2:6" x14ac:dyDescent="0.3">
      <c r="D18" s="34">
        <f>SUM(D16:D17)</f>
        <v>0</v>
      </c>
      <c r="E18" s="3">
        <f>SUM(E16:E17)</f>
        <v>0</v>
      </c>
      <c r="F18" s="3">
        <f>SUM(F16:F17)</f>
        <v>0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00F5-1C84-48C5-AEDB-D699E5732C96}">
  <dimension ref="A1:N18"/>
  <sheetViews>
    <sheetView tabSelected="1" zoomScaleNormal="100" workbookViewId="0">
      <selection activeCell="J9" sqref="J9"/>
    </sheetView>
  </sheetViews>
  <sheetFormatPr defaultRowHeight="14.4" x14ac:dyDescent="0.3"/>
  <cols>
    <col min="1" max="1" width="52.109375" customWidth="1"/>
    <col min="2" max="2" width="9.88671875" style="2" customWidth="1"/>
    <col min="3" max="3" width="12.109375" style="2" customWidth="1"/>
    <col min="4" max="4" width="20" style="2" bestFit="1" customWidth="1"/>
    <col min="5" max="5" width="14.5546875" style="2" bestFit="1" customWidth="1"/>
    <col min="6" max="6" width="15.44140625" style="2" customWidth="1"/>
    <col min="7" max="7" width="13.33203125" style="2" bestFit="1" customWidth="1"/>
    <col min="8" max="8" width="14.33203125" style="2" bestFit="1" customWidth="1"/>
    <col min="9" max="9" width="14.33203125" style="2" customWidth="1"/>
    <col min="10" max="10" width="15.5546875" style="2" bestFit="1" customWidth="1"/>
    <col min="12" max="12" width="15.5546875" customWidth="1"/>
    <col min="14" max="14" width="14.33203125" bestFit="1" customWidth="1"/>
  </cols>
  <sheetData>
    <row r="1" spans="1:14" x14ac:dyDescent="0.3">
      <c r="A1" s="24" t="s">
        <v>18</v>
      </c>
      <c r="B1" s="23" t="s">
        <v>17</v>
      </c>
      <c r="C1" s="22" t="s">
        <v>16</v>
      </c>
      <c r="D1" s="22" t="s">
        <v>15</v>
      </c>
      <c r="E1" s="22" t="s">
        <v>14</v>
      </c>
      <c r="F1" s="22" t="s">
        <v>13</v>
      </c>
      <c r="G1" s="22" t="s">
        <v>12</v>
      </c>
      <c r="H1" s="22" t="s">
        <v>11</v>
      </c>
      <c r="I1" s="25" t="s">
        <v>10</v>
      </c>
      <c r="J1" s="21" t="s">
        <v>9</v>
      </c>
    </row>
    <row r="2" spans="1:14" x14ac:dyDescent="0.3">
      <c r="A2" s="24"/>
      <c r="B2" s="39"/>
      <c r="C2" s="39"/>
      <c r="D2" s="39"/>
      <c r="E2" s="69">
        <v>0</v>
      </c>
      <c r="F2" s="69">
        <v>0</v>
      </c>
      <c r="G2" s="69">
        <v>0</v>
      </c>
      <c r="H2" s="40"/>
      <c r="I2" s="69">
        <v>0</v>
      </c>
      <c r="J2" s="39"/>
    </row>
    <row r="3" spans="1:14" x14ac:dyDescent="0.3">
      <c r="A3" s="73" t="s">
        <v>48</v>
      </c>
      <c r="B3" s="14">
        <v>1</v>
      </c>
      <c r="C3" s="9">
        <f>'Option 4'!C3/2</f>
        <v>0</v>
      </c>
      <c r="D3" s="41">
        <f>'Option 4'!D3</f>
        <v>0</v>
      </c>
      <c r="E3" s="8">
        <f t="shared" ref="E3:E6" si="0">D3*$E$2</f>
        <v>0</v>
      </c>
      <c r="F3" s="8">
        <f t="shared" ref="F3:F6" si="1">(D3+E3)*$F$2</f>
        <v>0</v>
      </c>
      <c r="G3" s="8">
        <f t="shared" ref="G3:G6" si="2">(D3+E3+F3)*$G$2</f>
        <v>0</v>
      </c>
      <c r="H3" s="8">
        <f t="shared" ref="H3:H6" si="3">D3+E3+F3+G3</f>
        <v>0</v>
      </c>
      <c r="I3" s="8">
        <f t="shared" ref="I3:I6" si="4">(C3*H3)*$I$2</f>
        <v>0</v>
      </c>
      <c r="J3" s="8">
        <f t="shared" ref="J3:J6" si="5">(C3*H3)+I3</f>
        <v>0</v>
      </c>
    </row>
    <row r="4" spans="1:14" x14ac:dyDescent="0.3">
      <c r="A4" s="73" t="s">
        <v>47</v>
      </c>
      <c r="B4" s="14">
        <v>2</v>
      </c>
      <c r="C4" s="9">
        <f>'Option 4'!C4/2</f>
        <v>0</v>
      </c>
      <c r="D4" s="41">
        <f>'Option 4'!D4</f>
        <v>0</v>
      </c>
      <c r="E4" s="8">
        <f t="shared" si="0"/>
        <v>0</v>
      </c>
      <c r="F4" s="8">
        <f t="shared" si="1"/>
        <v>0</v>
      </c>
      <c r="G4" s="8">
        <f t="shared" si="2"/>
        <v>0</v>
      </c>
      <c r="H4" s="8">
        <f t="shared" si="3"/>
        <v>0</v>
      </c>
      <c r="I4" s="8">
        <f t="shared" si="4"/>
        <v>0</v>
      </c>
      <c r="J4" s="8">
        <f t="shared" si="5"/>
        <v>0</v>
      </c>
      <c r="L4" s="20"/>
      <c r="N4" s="20"/>
    </row>
    <row r="5" spans="1:14" x14ac:dyDescent="0.3">
      <c r="A5" s="73" t="s">
        <v>46</v>
      </c>
      <c r="B5" s="14">
        <v>2</v>
      </c>
      <c r="C5" s="9">
        <f>'Option 4'!C5/2</f>
        <v>0</v>
      </c>
      <c r="D5" s="41">
        <f>'Option 4'!D5</f>
        <v>0</v>
      </c>
      <c r="E5" s="8">
        <f t="shared" si="0"/>
        <v>0</v>
      </c>
      <c r="F5" s="8">
        <f t="shared" si="1"/>
        <v>0</v>
      </c>
      <c r="G5" s="8">
        <f t="shared" si="2"/>
        <v>0</v>
      </c>
      <c r="H5" s="8">
        <f t="shared" si="3"/>
        <v>0</v>
      </c>
      <c r="I5" s="8">
        <f t="shared" si="4"/>
        <v>0</v>
      </c>
      <c r="J5" s="8">
        <f t="shared" si="5"/>
        <v>0</v>
      </c>
      <c r="L5" s="26"/>
    </row>
    <row r="6" spans="1:14" x14ac:dyDescent="0.3">
      <c r="A6" s="73" t="s">
        <v>49</v>
      </c>
      <c r="B6" s="14">
        <v>2</v>
      </c>
      <c r="C6" s="9">
        <f>'Option 4'!C6/2</f>
        <v>0</v>
      </c>
      <c r="D6" s="41">
        <f>'Option 4'!D6</f>
        <v>0</v>
      </c>
      <c r="E6" s="8">
        <f t="shared" si="0"/>
        <v>0</v>
      </c>
      <c r="F6" s="8">
        <f t="shared" si="1"/>
        <v>0</v>
      </c>
      <c r="G6" s="8">
        <f t="shared" si="2"/>
        <v>0</v>
      </c>
      <c r="H6" s="8">
        <f t="shared" si="3"/>
        <v>0</v>
      </c>
      <c r="I6" s="8">
        <f t="shared" si="4"/>
        <v>0</v>
      </c>
      <c r="J6" s="8">
        <f t="shared" si="5"/>
        <v>0</v>
      </c>
    </row>
    <row r="7" spans="1:14" x14ac:dyDescent="0.3">
      <c r="A7" s="11"/>
      <c r="B7" s="14"/>
      <c r="C7" s="9"/>
      <c r="D7" s="8"/>
      <c r="E7" s="8"/>
      <c r="F7" s="8"/>
      <c r="G7" s="8"/>
      <c r="H7" s="8"/>
      <c r="I7" s="8"/>
      <c r="J7" s="8"/>
    </row>
    <row r="8" spans="1:14" x14ac:dyDescent="0.3">
      <c r="A8" s="11"/>
      <c r="B8" s="14"/>
      <c r="C8" s="9"/>
      <c r="D8" s="8"/>
      <c r="E8" s="8"/>
      <c r="F8" s="8"/>
      <c r="G8" s="8"/>
      <c r="H8" s="8"/>
      <c r="I8" s="42"/>
      <c r="J8" s="43">
        <f>SUM(J3:J7)</f>
        <v>0</v>
      </c>
    </row>
    <row r="9" spans="1:14" x14ac:dyDescent="0.3">
      <c r="A9" s="19" t="s">
        <v>38</v>
      </c>
      <c r="B9" s="10"/>
      <c r="C9" s="9"/>
      <c r="D9" s="8"/>
      <c r="E9" s="8"/>
      <c r="F9" s="8"/>
      <c r="G9" s="8"/>
      <c r="H9" s="8"/>
      <c r="I9" s="7"/>
      <c r="J9" s="18">
        <v>0</v>
      </c>
    </row>
    <row r="10" spans="1:14" x14ac:dyDescent="0.3">
      <c r="A10" s="11"/>
      <c r="B10" s="10"/>
      <c r="C10" s="9"/>
      <c r="D10" s="8"/>
      <c r="E10" s="8"/>
      <c r="F10" s="8"/>
      <c r="G10" s="8"/>
      <c r="H10" s="8"/>
      <c r="I10" s="7"/>
      <c r="J10" s="6"/>
    </row>
    <row r="11" spans="1:14" x14ac:dyDescent="0.3">
      <c r="A11" s="17" t="s">
        <v>8</v>
      </c>
      <c r="B11" s="16">
        <f>SUM(B3:B7)</f>
        <v>7</v>
      </c>
      <c r="C11" s="15">
        <f>SUM(C3:C7)</f>
        <v>0</v>
      </c>
      <c r="D11" s="8"/>
      <c r="E11" s="8"/>
      <c r="F11" s="14"/>
      <c r="G11" s="14"/>
      <c r="H11" s="14"/>
      <c r="I11" s="13" t="s">
        <v>2</v>
      </c>
      <c r="J11" s="12">
        <f>SUM(J8:J9)</f>
        <v>0</v>
      </c>
    </row>
    <row r="12" spans="1:14" x14ac:dyDescent="0.3">
      <c r="A12" s="11"/>
      <c r="B12" s="10"/>
      <c r="C12" s="9"/>
      <c r="D12" s="8"/>
      <c r="E12" s="8"/>
      <c r="F12" s="8"/>
      <c r="G12" s="8"/>
      <c r="H12" s="8"/>
      <c r="I12" s="7"/>
      <c r="J12" s="6"/>
    </row>
    <row r="13" spans="1:14" x14ac:dyDescent="0.3">
      <c r="A13" s="11"/>
      <c r="B13" s="10"/>
      <c r="C13" s="9"/>
      <c r="D13" s="8"/>
      <c r="E13" s="8"/>
      <c r="F13" s="8"/>
      <c r="G13" s="8"/>
      <c r="H13" s="8"/>
      <c r="I13" s="7"/>
      <c r="J13" s="6"/>
    </row>
    <row r="15" spans="1:14" x14ac:dyDescent="0.3">
      <c r="C15" s="2" t="s">
        <v>7</v>
      </c>
      <c r="D15" s="2" t="s">
        <v>0</v>
      </c>
      <c r="E15" s="2" t="s">
        <v>1</v>
      </c>
      <c r="F15" s="2" t="s">
        <v>2</v>
      </c>
    </row>
    <row r="16" spans="1:14" x14ac:dyDescent="0.3">
      <c r="B16" s="2" t="s">
        <v>39</v>
      </c>
      <c r="C16" s="5">
        <v>5000</v>
      </c>
      <c r="D16" s="34">
        <f>SUM((H4*C4),(H5*C5),(H6*C6),(C3*H3))</f>
        <v>0</v>
      </c>
      <c r="E16" s="3">
        <f>SUM(I3:I6)</f>
        <v>0</v>
      </c>
      <c r="F16" s="3">
        <f>SUM(D16:E16)</f>
        <v>0</v>
      </c>
      <c r="H16" s="38"/>
      <c r="I16" s="38"/>
      <c r="J16" s="38"/>
    </row>
    <row r="17" spans="2:6" x14ac:dyDescent="0.3">
      <c r="B17" s="2" t="s">
        <v>40</v>
      </c>
      <c r="C17" s="5">
        <v>7000</v>
      </c>
      <c r="D17" s="35">
        <f>J9</f>
        <v>0</v>
      </c>
      <c r="E17" s="4">
        <v>0</v>
      </c>
      <c r="F17" s="4">
        <f>SUM(D17:E17)</f>
        <v>0</v>
      </c>
    </row>
    <row r="18" spans="2:6" x14ac:dyDescent="0.3">
      <c r="D18" s="34">
        <f>SUM(D16:D17)</f>
        <v>0</v>
      </c>
      <c r="E18" s="3">
        <f>SUM(E16:E17)</f>
        <v>0</v>
      </c>
      <c r="F18" s="3">
        <f>SUM(F16:F17)</f>
        <v>0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1fa03f-945b-47ef-a99b-0f269d80977f">
      <Terms xmlns="http://schemas.microsoft.com/office/infopath/2007/PartnerControls"/>
    </lcf76f155ced4ddcb4097134ff3c332f>
    <TaxCatchAll xmlns="c1a710f6-3443-49c5-8526-2d5e3dc235d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1A9D53ACED4A4C9293AADE726EEE40" ma:contentTypeVersion="17" ma:contentTypeDescription="Create a new document." ma:contentTypeScope="" ma:versionID="edfc38c7988b33b656352ab8ba2a8caa">
  <xsd:schema xmlns:xsd="http://www.w3.org/2001/XMLSchema" xmlns:xs="http://www.w3.org/2001/XMLSchema" xmlns:p="http://schemas.microsoft.com/office/2006/metadata/properties" xmlns:ns2="551fa03f-945b-47ef-a99b-0f269d80977f" xmlns:ns3="c1a710f6-3443-49c5-8526-2d5e3dc235dc" targetNamespace="http://schemas.microsoft.com/office/2006/metadata/properties" ma:root="true" ma:fieldsID="442a06ae5184bc5f7938e10b0210eebc" ns2:_="" ns3:_="">
    <xsd:import namespace="551fa03f-945b-47ef-a99b-0f269d80977f"/>
    <xsd:import namespace="c1a710f6-3443-49c5-8526-2d5e3dc23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fa03f-945b-47ef-a99b-0f269d809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563e238-911a-4729-9be9-3529cc35d4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a710f6-3443-49c5-8526-2d5e3dc235d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dde03a3-6b0e-479a-b6ae-9ce0c04446ea}" ma:internalName="TaxCatchAll" ma:showField="CatchAllData" ma:web="c1a710f6-3443-49c5-8526-2d5e3dc235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46E696-052F-4B5F-ACA5-FEC59FA933A0}">
  <ds:schemaRefs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c1a710f6-3443-49c5-8526-2d5e3dc235dc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51fa03f-945b-47ef-a99b-0f269d80977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1572ED8-17E5-4C4E-A019-8AFE74B966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1fa03f-945b-47ef-a99b-0f269d80977f"/>
    <ds:schemaRef ds:uri="c1a710f6-3443-49c5-8526-2d5e3dc235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F6334F-FF99-4F70-A19E-98B27330967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Base Year</vt:lpstr>
      <vt:lpstr>Option 1</vt:lpstr>
      <vt:lpstr>Option 2</vt:lpstr>
      <vt:lpstr>Option 3</vt:lpstr>
      <vt:lpstr>Option 4</vt:lpstr>
      <vt:lpstr>Far 52.217-8 6-Month Extension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Bud R CIV CNAP, N422AC</dc:creator>
  <cp:lastModifiedBy>Pelle, Jason A CIV USN NAVSUP FLCSD (USA)</cp:lastModifiedBy>
  <dcterms:created xsi:type="dcterms:W3CDTF">2020-06-07T17:29:33Z</dcterms:created>
  <dcterms:modified xsi:type="dcterms:W3CDTF">2026-02-26T22:49:28Z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</Properties>
</file>