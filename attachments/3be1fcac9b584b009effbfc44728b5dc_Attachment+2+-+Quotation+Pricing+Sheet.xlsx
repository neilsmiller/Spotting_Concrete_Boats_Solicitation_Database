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bpgov-my.sharepoint.com/personal/0070735023_cbp_dhs_gov/Documents/Desktop/SERVICE CONTRACTS/PR20154644_Oil-H2O Separator Pumping/"/>
    </mc:Choice>
  </mc:AlternateContent>
  <xr:revisionPtr revIDLastSave="459" documentId="8_{1FE05AB4-B986-4FAE-ACCB-A9743CC461FB}" xr6:coauthVersionLast="47" xr6:coauthVersionMax="47" xr10:uidLastSave="{56084CFC-8EE0-472C-B83B-97F668A401AB}"/>
  <bookViews>
    <workbookView xWindow="67080" yWindow="-120" windowWidth="29040" windowHeight="15720" xr2:uid="{00000000-000D-0000-FFFF-FFFF00000000}"/>
  </bookViews>
  <sheets>
    <sheet name="BASE YR- Pricing Sheet" sheetId="1" r:id="rId1"/>
    <sheet name="OY1 YR- Pricing Sheet" sheetId="2" r:id="rId2"/>
    <sheet name="OY2 YR- Pricing Sheet" sheetId="3" r:id="rId3"/>
    <sheet name="OY3 YR- Pricing Sheet" sheetId="4" r:id="rId4"/>
    <sheet name="OY4 YR- Pricing She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5" l="1"/>
  <c r="I66" i="5" s="1"/>
  <c r="I67" i="5" s="1"/>
  <c r="F61" i="5"/>
  <c r="I61" i="5" s="1"/>
  <c r="I62" i="5" s="1"/>
  <c r="F56" i="5"/>
  <c r="I56" i="5" s="1"/>
  <c r="F55" i="5"/>
  <c r="I55" i="5" s="1"/>
  <c r="I57" i="5" s="1"/>
  <c r="F50" i="5"/>
  <c r="I50" i="5" s="1"/>
  <c r="F49" i="5"/>
  <c r="I49" i="5" s="1"/>
  <c r="I51" i="5" s="1"/>
  <c r="I44" i="5"/>
  <c r="F43" i="5"/>
  <c r="I43" i="5" s="1"/>
  <c r="F42" i="5"/>
  <c r="I42" i="5" s="1"/>
  <c r="I45" i="5" s="1"/>
  <c r="F37" i="5"/>
  <c r="I37" i="5" s="1"/>
  <c r="F36" i="5"/>
  <c r="I36" i="5" s="1"/>
  <c r="F31" i="5"/>
  <c r="I31" i="5" s="1"/>
  <c r="F30" i="5"/>
  <c r="I30" i="5" s="1"/>
  <c r="F25" i="5"/>
  <c r="I25" i="5" s="1"/>
  <c r="F24" i="5"/>
  <c r="I24" i="5" s="1"/>
  <c r="F23" i="5"/>
  <c r="I23" i="5" s="1"/>
  <c r="F22" i="5"/>
  <c r="I22" i="5" s="1"/>
  <c r="F21" i="5"/>
  <c r="I21" i="5" s="1"/>
  <c r="F20" i="5"/>
  <c r="I20" i="5" s="1"/>
  <c r="F19" i="5"/>
  <c r="I19" i="5" s="1"/>
  <c r="F14" i="5"/>
  <c r="I14" i="5" s="1"/>
  <c r="F13" i="5"/>
  <c r="I13" i="5" s="1"/>
  <c r="F12" i="5"/>
  <c r="I12" i="5" s="1"/>
  <c r="F11" i="5"/>
  <c r="I11" i="5" s="1"/>
  <c r="I15" i="5" s="1"/>
  <c r="I66" i="4"/>
  <c r="I67" i="4" s="1"/>
  <c r="F66" i="4"/>
  <c r="F61" i="4"/>
  <c r="I61" i="4" s="1"/>
  <c r="I62" i="4" s="1"/>
  <c r="F56" i="4"/>
  <c r="I56" i="4" s="1"/>
  <c r="F55" i="4"/>
  <c r="I55" i="4" s="1"/>
  <c r="I57" i="4" s="1"/>
  <c r="I50" i="4"/>
  <c r="F50" i="4"/>
  <c r="F49" i="4"/>
  <c r="I49" i="4" s="1"/>
  <c r="I44" i="4"/>
  <c r="F43" i="4"/>
  <c r="I43" i="4" s="1"/>
  <c r="F42" i="4"/>
  <c r="I42" i="4" s="1"/>
  <c r="I45" i="4" s="1"/>
  <c r="F37" i="4"/>
  <c r="I37" i="4" s="1"/>
  <c r="F36" i="4"/>
  <c r="I36" i="4" s="1"/>
  <c r="I38" i="4" s="1"/>
  <c r="F31" i="4"/>
  <c r="I31" i="4" s="1"/>
  <c r="F30" i="4"/>
  <c r="I30" i="4" s="1"/>
  <c r="F25" i="4"/>
  <c r="I25" i="4" s="1"/>
  <c r="F24" i="4"/>
  <c r="I24" i="4" s="1"/>
  <c r="F23" i="4"/>
  <c r="I23" i="4" s="1"/>
  <c r="F22" i="4"/>
  <c r="I22" i="4" s="1"/>
  <c r="F21" i="4"/>
  <c r="I21" i="4" s="1"/>
  <c r="F20" i="4"/>
  <c r="I20" i="4" s="1"/>
  <c r="F19" i="4"/>
  <c r="I19" i="4" s="1"/>
  <c r="F14" i="4"/>
  <c r="I14" i="4" s="1"/>
  <c r="F13" i="4"/>
  <c r="I13" i="4" s="1"/>
  <c r="F12" i="4"/>
  <c r="I12" i="4" s="1"/>
  <c r="F11" i="4"/>
  <c r="I11" i="4" s="1"/>
  <c r="I15" i="4" s="1"/>
  <c r="F66" i="3"/>
  <c r="I66" i="3" s="1"/>
  <c r="I67" i="3" s="1"/>
  <c r="F61" i="3"/>
  <c r="I61" i="3" s="1"/>
  <c r="I62" i="3" s="1"/>
  <c r="F56" i="3"/>
  <c r="I56" i="3" s="1"/>
  <c r="F55" i="3"/>
  <c r="I55" i="3" s="1"/>
  <c r="F50" i="3"/>
  <c r="I50" i="3" s="1"/>
  <c r="F49" i="3"/>
  <c r="I49" i="3" s="1"/>
  <c r="I44" i="3"/>
  <c r="F43" i="3"/>
  <c r="I43" i="3" s="1"/>
  <c r="F42" i="3"/>
  <c r="I42" i="3" s="1"/>
  <c r="F37" i="3"/>
  <c r="I37" i="3" s="1"/>
  <c r="F36" i="3"/>
  <c r="I36" i="3" s="1"/>
  <c r="F31" i="3"/>
  <c r="I31" i="3" s="1"/>
  <c r="F30" i="3"/>
  <c r="I30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4" i="3"/>
  <c r="I14" i="3" s="1"/>
  <c r="F13" i="3"/>
  <c r="I13" i="3" s="1"/>
  <c r="F12" i="3"/>
  <c r="I12" i="3" s="1"/>
  <c r="F11" i="3"/>
  <c r="I11" i="3" s="1"/>
  <c r="F66" i="2"/>
  <c r="I66" i="2" s="1"/>
  <c r="I67" i="2" s="1"/>
  <c r="F61" i="2"/>
  <c r="I61" i="2" s="1"/>
  <c r="I62" i="2" s="1"/>
  <c r="F56" i="2"/>
  <c r="I56" i="2" s="1"/>
  <c r="F55" i="2"/>
  <c r="I55" i="2" s="1"/>
  <c r="I57" i="2" s="1"/>
  <c r="F50" i="2"/>
  <c r="I50" i="2" s="1"/>
  <c r="F49" i="2"/>
  <c r="I49" i="2" s="1"/>
  <c r="I44" i="2"/>
  <c r="F43" i="2"/>
  <c r="I43" i="2" s="1"/>
  <c r="F42" i="2"/>
  <c r="I42" i="2" s="1"/>
  <c r="F37" i="2"/>
  <c r="I37" i="2" s="1"/>
  <c r="F36" i="2"/>
  <c r="I36" i="2" s="1"/>
  <c r="I38" i="2" s="1"/>
  <c r="F31" i="2"/>
  <c r="I31" i="2" s="1"/>
  <c r="F30" i="2"/>
  <c r="I30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4" i="2"/>
  <c r="I14" i="2" s="1"/>
  <c r="F13" i="2"/>
  <c r="I13" i="2" s="1"/>
  <c r="F12" i="2"/>
  <c r="I12" i="2" s="1"/>
  <c r="F11" i="2"/>
  <c r="I11" i="2" s="1"/>
  <c r="F66" i="1"/>
  <c r="F61" i="1"/>
  <c r="I61" i="1" s="1"/>
  <c r="I62" i="1" s="1"/>
  <c r="F56" i="1"/>
  <c r="I56" i="1" s="1"/>
  <c r="F55" i="1"/>
  <c r="I55" i="1" s="1"/>
  <c r="F50" i="1"/>
  <c r="I50" i="1" s="1"/>
  <c r="F49" i="1"/>
  <c r="I49" i="1" s="1"/>
  <c r="F43" i="1"/>
  <c r="I43" i="1" s="1"/>
  <c r="F42" i="1"/>
  <c r="I42" i="1" s="1"/>
  <c r="F37" i="1"/>
  <c r="I37" i="1" s="1"/>
  <c r="F36" i="1"/>
  <c r="I36" i="1" s="1"/>
  <c r="F31" i="1"/>
  <c r="F30" i="1"/>
  <c r="F25" i="1"/>
  <c r="I25" i="1" s="1"/>
  <c r="F20" i="1"/>
  <c r="F21" i="1"/>
  <c r="F22" i="1"/>
  <c r="F23" i="1"/>
  <c r="F24" i="1"/>
  <c r="F19" i="1"/>
  <c r="F12" i="1"/>
  <c r="I12" i="1" s="1"/>
  <c r="F13" i="1"/>
  <c r="I13" i="1" s="1"/>
  <c r="F14" i="1"/>
  <c r="I14" i="1" s="1"/>
  <c r="F11" i="1"/>
  <c r="I11" i="1" s="1"/>
  <c r="I66" i="1"/>
  <c r="I67" i="1" s="1"/>
  <c r="I44" i="1"/>
  <c r="I31" i="1"/>
  <c r="I30" i="1"/>
  <c r="I24" i="1"/>
  <c r="I23" i="1"/>
  <c r="I22" i="1"/>
  <c r="I21" i="1"/>
  <c r="I20" i="1"/>
  <c r="I19" i="1"/>
  <c r="I32" i="5" l="1"/>
  <c r="I38" i="5"/>
  <c r="I26" i="5"/>
  <c r="I69" i="5" s="1"/>
  <c r="I51" i="4"/>
  <c r="I32" i="4"/>
  <c r="I26" i="4"/>
  <c r="I69" i="4" s="1"/>
  <c r="I57" i="3"/>
  <c r="I32" i="3"/>
  <c r="I51" i="3"/>
  <c r="I45" i="3"/>
  <c r="I26" i="3"/>
  <c r="I38" i="3"/>
  <c r="I32" i="2"/>
  <c r="I15" i="2"/>
  <c r="I26" i="2"/>
  <c r="I51" i="2"/>
  <c r="I45" i="2"/>
  <c r="I51" i="1"/>
  <c r="I15" i="3"/>
  <c r="I69" i="2"/>
  <c r="I57" i="1"/>
  <c r="I32" i="1"/>
  <c r="I45" i="1"/>
  <c r="I38" i="1"/>
  <c r="I15" i="1"/>
  <c r="I26" i="1"/>
  <c r="I69" i="3" l="1"/>
  <c r="I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tc={EB83F430-4CD5-49AB-B61C-3031989C973F}</author>
    <author>tc={269FABCE-DCF8-4696-B69C-B0F28DE190C2}</author>
    <author>tc={4B1F51D5-4CE4-4015-921E-92281D0EA9E8}</author>
    <author>tc={CFB658B0-4A7D-41A7-A963-FB9B5F908044}</author>
    <author>tc={47269A38-98C4-4D78-877F-6DE184729F0E}</author>
    <author>tc={07CBA2C9-73A8-4C2C-A93A-FC235B228A7E}</author>
    <author>tc={01221603-E0B5-4926-979D-B7993144E534}</author>
    <author>tc={879FAD40-F8B9-4F2D-A184-86ED3BD64D8B}</author>
    <author>tc={89D7FED4-590B-4591-91F2-C24CB2DB09BB}</author>
  </authors>
  <commentList>
    <comment ref="H10" authorId="0" shapeId="0" xr:uid="{EB83F430-4CD5-49AB-B61C-3031989C97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18" authorId="1" shapeId="0" xr:uid="{269FABCE-DCF8-4696-B69C-B0F28DE190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29" authorId="2" shapeId="0" xr:uid="{4B1F51D5-4CE4-4015-921E-92281D0EA9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35" authorId="3" shapeId="0" xr:uid="{CFB658B0-4A7D-41A7-A963-FB9B5F9080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1" authorId="4" shapeId="0" xr:uid="{47269A38-98C4-4D78-877F-6DE184729F0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8" authorId="5" shapeId="0" xr:uid="{07CBA2C9-73A8-4C2C-A93A-FC235B228A7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54" authorId="6" shapeId="0" xr:uid="{01221603-E0B5-4926-979D-B7993144E5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0" authorId="7" shapeId="0" xr:uid="{879FAD40-F8B9-4F2D-A184-86ED3BD64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5" authorId="8" shapeId="0" xr:uid="{89D7FED4-590B-4591-91F2-C24CB2DB09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tc={C38327DF-201A-4C6A-B642-F199E93A7D67}</author>
    <author>tc={6F20B8CE-BC44-47A2-8532-A45C744C4F7B}</author>
    <author>tc={A06114CD-D587-41EA-AC95-59CD7CF17B62}</author>
    <author>tc={ADE99079-9C7B-413D-AE9B-11837EC1AB4C}</author>
    <author>tc={FBF49184-5378-4C37-9CD9-71F2F1D4E0C1}</author>
    <author>tc={F1E1AD26-B047-4D89-B887-72D2CAADABBC}</author>
    <author>tc={35CB0E49-A33B-4AA5-9E77-F7C0EB409EBC}</author>
    <author>tc={04807C2C-CCE4-4BF6-A36A-1FE9C6BE4BFB}</author>
    <author>tc={73CD0F0A-607F-4214-8BEB-0037F03E3E02}</author>
  </authors>
  <commentList>
    <comment ref="H10" authorId="0" shapeId="0" xr:uid="{C38327DF-201A-4C6A-B642-F199E93A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18" authorId="1" shapeId="0" xr:uid="{6F20B8CE-BC44-47A2-8532-A45C744C4F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29" authorId="2" shapeId="0" xr:uid="{A06114CD-D587-41EA-AC95-59CD7CF17B6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35" authorId="3" shapeId="0" xr:uid="{ADE99079-9C7B-413D-AE9B-11837EC1AB4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1" authorId="4" shapeId="0" xr:uid="{FBF49184-5378-4C37-9CD9-71F2F1D4E0C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8" authorId="5" shapeId="0" xr:uid="{F1E1AD26-B047-4D89-B887-72D2CAADAB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54" authorId="6" shapeId="0" xr:uid="{35CB0E49-A33B-4AA5-9E77-F7C0EB409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0" authorId="7" shapeId="0" xr:uid="{04807C2C-CCE4-4BF6-A36A-1FE9C6BE4BF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5" authorId="8" shapeId="0" xr:uid="{73CD0F0A-607F-4214-8BEB-0037F03E3E0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tc={3A403D55-D39A-4C72-B287-25B7EB0588D9}</author>
    <author>tc={3DC62A2B-2B7F-4CCC-A53C-F96E34FF7704}</author>
    <author>tc={FE3DFCD9-AEC9-4A2B-97AC-5113B3AF13F9}</author>
    <author>tc={5BB0CB4F-3E24-441D-A7F2-3F980678BC1A}</author>
    <author>tc={88DF77C1-C927-41D0-8F91-EF693831F7B0}</author>
    <author>tc={2A3DE65B-3838-4940-AB04-501CC76E2842}</author>
    <author>tc={087D3279-288C-4B7E-AA85-DF64C7CD7618}</author>
    <author>tc={D4EA0606-F11D-4C13-9D28-F997E97D598D}</author>
    <author>tc={3AF978E2-2144-49DE-AFEF-BCBA8A25505E}</author>
  </authors>
  <commentList>
    <comment ref="H10" authorId="0" shapeId="0" xr:uid="{3A403D55-D39A-4C72-B287-25B7EB0588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18" authorId="1" shapeId="0" xr:uid="{3DC62A2B-2B7F-4CCC-A53C-F96E34FF770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29" authorId="2" shapeId="0" xr:uid="{FE3DFCD9-AEC9-4A2B-97AC-5113B3AF13F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35" authorId="3" shapeId="0" xr:uid="{5BB0CB4F-3E24-441D-A7F2-3F980678BC1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1" authorId="4" shapeId="0" xr:uid="{88DF77C1-C927-41D0-8F91-EF693831F7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8" authorId="5" shapeId="0" xr:uid="{2A3DE65B-3838-4940-AB04-501CC76E28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54" authorId="6" shapeId="0" xr:uid="{087D3279-288C-4B7E-AA85-DF64C7CD76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0" authorId="7" shapeId="0" xr:uid="{D4EA0606-F11D-4C13-9D28-F997E97D598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5" authorId="8" shapeId="0" xr:uid="{3AF978E2-2144-49DE-AFEF-BCBA8A25505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tc={D40690D7-7321-4C02-9D97-B430AFF7F940}</author>
    <author>tc={80EAE659-6375-49F8-B6FC-C06B1E67A834}</author>
    <author>tc={E3B839B6-254F-4D22-A60F-598C14242B5D}</author>
    <author>tc={4BA5450E-A340-4017-B0F2-0489FB6FC3FB}</author>
    <author>tc={290500F2-0D39-4883-9524-456C8744BE8C}</author>
    <author>tc={08524CC5-A074-4A1E-B5E1-3F4F97150F7B}</author>
    <author>tc={0114E63D-2A57-4084-B736-7C03CFD8FC06}</author>
    <author>tc={8F635572-639D-4681-8B11-328B885CF367}</author>
    <author>tc={FE077768-41EB-48F9-B8E6-6E14F2C44284}</author>
  </authors>
  <commentList>
    <comment ref="H10" authorId="0" shapeId="0" xr:uid="{D40690D7-7321-4C02-9D97-B430AFF7F94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18" authorId="1" shapeId="0" xr:uid="{80EAE659-6375-49F8-B6FC-C06B1E67A8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29" authorId="2" shapeId="0" xr:uid="{E3B839B6-254F-4D22-A60F-598C14242B5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35" authorId="3" shapeId="0" xr:uid="{4BA5450E-A340-4017-B0F2-0489FB6FC3F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1" authorId="4" shapeId="0" xr:uid="{290500F2-0D39-4883-9524-456C8744BE8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8" authorId="5" shapeId="0" xr:uid="{08524CC5-A074-4A1E-B5E1-3F4F97150F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54" authorId="6" shapeId="0" xr:uid="{0114E63D-2A57-4084-B736-7C03CFD8FC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0" authorId="7" shapeId="0" xr:uid="{8F635572-639D-4681-8B11-328B885CF3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5" authorId="8" shapeId="0" xr:uid="{FE077768-41EB-48F9-B8E6-6E14F2C4428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tc={DE5CF6D1-A293-49A1-8299-BA553BAFEC21}</author>
    <author>tc={272F4A77-54E3-4EC7-9C81-4C5326F7F370}</author>
    <author>tc={20F77A34-A631-49E5-A821-4A5622875B37}</author>
    <author>tc={9281D7E9-0460-4455-9CDF-3D8DD45F2707}</author>
    <author>tc={6C517EA9-8C4B-4EA2-87C3-05826F486DDD}</author>
    <author>tc={53CDC9A8-229D-425F-8977-964781EA48DA}</author>
    <author>tc={C5C9CA7F-F2D4-447F-BBAF-3315B3993007}</author>
    <author>tc={A2B84577-9679-4559-9779-21C1E3505E28}</author>
    <author>tc={D8DBDD80-0B04-47DA-9B93-FC170720E9D9}</author>
  </authors>
  <commentList>
    <comment ref="H10" authorId="0" shapeId="0" xr:uid="{DE5CF6D1-A293-49A1-8299-BA553BAFEC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18" authorId="1" shapeId="0" xr:uid="{272F4A77-54E3-4EC7-9C81-4C5326F7F37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29" authorId="2" shapeId="0" xr:uid="{20F77A34-A631-49E5-A821-4A5622875B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35" authorId="3" shapeId="0" xr:uid="{9281D7E9-0460-4455-9CDF-3D8DD45F27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1" authorId="4" shapeId="0" xr:uid="{6C517EA9-8C4B-4EA2-87C3-05826F486DD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48" authorId="5" shapeId="0" xr:uid="{53CDC9A8-229D-425F-8977-964781EA48D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54" authorId="6" shapeId="0" xr:uid="{C5C9CA7F-F2D4-447F-BBAF-3315B39930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0" authorId="7" shapeId="0" xr:uid="{A2B84577-9679-4559-9779-21C1E3505E2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  <comment ref="H65" authorId="8" shapeId="0" xr:uid="{D8DBDD80-0B04-47DA-9B93-FC170720E9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Blue Cells</t>
      </text>
    </comment>
  </commentList>
</comments>
</file>

<file path=xl/sharedStrings.xml><?xml version="1.0" encoding="utf-8"?>
<sst xmlns="http://schemas.openxmlformats.org/spreadsheetml/2006/main" count="855" uniqueCount="68">
  <si>
    <t>Offeror's Name:</t>
  </si>
  <si>
    <t>Quotation Pricing Sheet</t>
  </si>
  <si>
    <t>Offeror's UEI#:</t>
  </si>
  <si>
    <t>Location</t>
  </si>
  <si>
    <t>Service</t>
  </si>
  <si>
    <t>Estimated Qty to be Emptied Annually</t>
  </si>
  <si>
    <t>Units</t>
  </si>
  <si>
    <t>gallons</t>
  </si>
  <si>
    <t>Unit Cost</t>
  </si>
  <si>
    <t>Total</t>
  </si>
  <si>
    <t>Clarifier/Oil Water Separator</t>
  </si>
  <si>
    <t>Oil/Water Separator Pumping Service</t>
  </si>
  <si>
    <t>A1. Facility Maintenance (CA0186/CA0094)</t>
  </si>
  <si>
    <t>A2. Vehicle Maintnenace Garagre (CA0186/CA4024)</t>
  </si>
  <si>
    <t>Garage Oil Water Separator</t>
  </si>
  <si>
    <t>A3. Vehicle Maintenance Garage (CA0186/CA4024)</t>
  </si>
  <si>
    <t>Carwash Clarifier/Oil Water Separator</t>
  </si>
  <si>
    <t>A4. OIT Facility, Garage (CA0186/CA4086)</t>
  </si>
  <si>
    <t>B1. Carwash Stations (CA0173/CA0277)</t>
  </si>
  <si>
    <t>B2. Carwash Stations (CA0173/CA0277)</t>
  </si>
  <si>
    <t>B3. Carwash Stations (CA0173/CA0277)</t>
  </si>
  <si>
    <t>B1-1. Carwash Station (CA0173/CA0277)</t>
  </si>
  <si>
    <t>Mud Trench</t>
  </si>
  <si>
    <t>B2-1. Carwash Station (CA0173/CA0277)</t>
  </si>
  <si>
    <t>B3-1. Carwash Station (CA0173/CA0277)</t>
  </si>
  <si>
    <t>B4. Vehicle Maintenance Garage (CA0173/CA4073)</t>
  </si>
  <si>
    <t>Cleaning Bay Clarifier/Oil Water Separtor</t>
  </si>
  <si>
    <t>C1. Carwash Station (CA0172/CA7652)</t>
  </si>
  <si>
    <t>C2. Fuel Island (CA0172/CA0199)</t>
  </si>
  <si>
    <t>Sump</t>
  </si>
  <si>
    <t>D1. Carwash Stations (CA0120/CA7574)</t>
  </si>
  <si>
    <t xml:space="preserve">Carwash Clarifier/Oil Water Separator </t>
  </si>
  <si>
    <t>D2. Carwash Stations (CA0120/CA7574)</t>
  </si>
  <si>
    <t>E1. Carwash Stations (CA0124/CA4076)</t>
  </si>
  <si>
    <t>E2. Carwash Stations (CA0124/CA4076)</t>
  </si>
  <si>
    <t>E3. Garage (CA0124/CA4076)</t>
  </si>
  <si>
    <t>Garage Sump</t>
  </si>
  <si>
    <t>F. BOULEVARD BORDER PATROL STATION - 2463 RIBBONWOOD RD, BOULEVARD, CA, 91905</t>
  </si>
  <si>
    <t>E.         CAMPO BORDER PATROL STATION - 32355 OLD HIGHWAY 80, PINE VALLEY, CA, 91962</t>
  </si>
  <si>
    <t>D.                          EL CAJON SUB-STATION (FOREST GATE) - 3 FOREST GATE, CAMPO, CA, 91906</t>
  </si>
  <si>
    <t>C.                   El CAJON BORDER PATROL STATION (SIU) - 225 KENNEY ST. EL CAJON, CA, 92020</t>
  </si>
  <si>
    <t>F1. Carwash Statiions (CA11560/CA15027)</t>
  </si>
  <si>
    <t>F2. Garage (CA11560/CA15009)</t>
  </si>
  <si>
    <t>G.              CHULA VISTA BORDE PATROL STATION - 3752 BEYER BLVD., SAN DIEGO, CA, 92173</t>
  </si>
  <si>
    <t>B.    IMPERIAL BEACH BORDER PATROL STATION - 1802 SATURN BLVD, SAN DIEGO, CA 92154</t>
  </si>
  <si>
    <t>A.       SAN DIEGO SECTOR FACILITY MAINTENANCE - 7684 POGO ROW, SAN DIEGO, CA, 92154</t>
  </si>
  <si>
    <t>G1. Carwash Statiions (CA0141/CA0453)</t>
  </si>
  <si>
    <t>G2. Stream Cleaning Station (CA0141/CA0453)</t>
  </si>
  <si>
    <t>H.   INTERSTATE 8 WESTBOUND BORDER PATROL CHECKPOINT - 728 INTERSTATE 8 W., PINE VALLEY, CA, 91906</t>
  </si>
  <si>
    <t>H1. Water Treatment Plant (CA0261/CA16597)</t>
  </si>
  <si>
    <t>Water Treatment Plant Backwash Tank</t>
  </si>
  <si>
    <t>I.          HIGHWAY 94 BORDER PATROL CHECKPOINT - 15430A CAMPO RD., JAMUL, CA, 91906</t>
  </si>
  <si>
    <t>I1. Water Treatment Plant (CA0176/CA21943)</t>
  </si>
  <si>
    <t>BASE YEAR: 8/7/2026 - 08/06/2027</t>
  </si>
  <si>
    <t>Total Pricing</t>
  </si>
  <si>
    <t>BASE YEAR TOTAL PRICE:</t>
  </si>
  <si>
    <t>Attachment 2</t>
  </si>
  <si>
    <t>*** Contractor must have a PERMIT to haul backwash and wastewater to be able to dump at The City of San Diego***</t>
  </si>
  <si>
    <t>OPTION YEAR 1: 8/7/2027 - 08/06/2028</t>
  </si>
  <si>
    <t>OPTION YEAR 2: 8/7/2028 - 08/06/2029</t>
  </si>
  <si>
    <t>OPTION YEAR 3: 8/7/2029 - 08/06/2030</t>
  </si>
  <si>
    <t>OPTION YEAR 4: 8/7/2030 - 08/06/2031</t>
  </si>
  <si>
    <t>Size (Gallons)</t>
  </si>
  <si>
    <t>Frequency per year</t>
  </si>
  <si>
    <t>OPTION YEAR 4 TOTAL PRICE:</t>
  </si>
  <si>
    <t>OPTION YEAR 3 TOTAL PRICE:</t>
  </si>
  <si>
    <t>OPTION YEAR 2 TOTAL PRICE:</t>
  </si>
  <si>
    <t>OPTION YEAR 1 TOTAL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</si>
</sst>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u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25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u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44" fontId="2" fillId="0" borderId="0" xfId="0" applyNumberFormat="1" applyFont="1"/>
    <xf numFmtId="0" fontId="2" fillId="0" borderId="2" xfId="0" applyFont="1" applyBorder="1"/>
    <xf numFmtId="0" fontId="2" fillId="0" borderId="9" xfId="0" applyFont="1" applyBorder="1" applyAlignment="1">
      <alignment vertical="center"/>
    </xf>
    <xf numFmtId="44" fontId="2" fillId="0" borderId="10" xfId="0" applyNumberFormat="1" applyFont="1" applyBorder="1"/>
    <xf numFmtId="44" fontId="2" fillId="0" borderId="15" xfId="0" applyNumberFormat="1" applyFont="1" applyBorder="1"/>
    <xf numFmtId="0" fontId="2" fillId="0" borderId="11" xfId="0" applyFont="1" applyBorder="1" applyAlignment="1">
      <alignment vertical="center"/>
    </xf>
    <xf numFmtId="44" fontId="2" fillId="0" borderId="2" xfId="1" applyFont="1" applyFill="1" applyBorder="1" applyProtection="1">
      <protection locked="0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wrapText="1"/>
    </xf>
    <xf numFmtId="44" fontId="3" fillId="0" borderId="7" xfId="1" applyFont="1" applyFill="1" applyBorder="1" applyProtection="1">
      <protection locked="0"/>
    </xf>
    <xf numFmtId="44" fontId="3" fillId="0" borderId="8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horizontal="justify" vertical="center"/>
    </xf>
    <xf numFmtId="164" fontId="2" fillId="0" borderId="2" xfId="2" applyNumberFormat="1" applyFont="1" applyBorder="1"/>
    <xf numFmtId="0" fontId="6" fillId="0" borderId="12" xfId="0" applyFont="1" applyBorder="1" applyAlignment="1">
      <alignment horizontal="justify" vertical="center"/>
    </xf>
    <xf numFmtId="44" fontId="2" fillId="0" borderId="12" xfId="1" applyFont="1" applyFill="1" applyBorder="1" applyProtection="1">
      <protection locked="0"/>
    </xf>
    <xf numFmtId="44" fontId="2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18" xfId="0" applyFont="1" applyFill="1" applyBorder="1" applyAlignment="1">
      <alignment vertical="center"/>
    </xf>
    <xf numFmtId="0" fontId="6" fillId="4" borderId="16" xfId="0" applyFont="1" applyFill="1" applyBorder="1" applyAlignment="1">
      <alignment horizontal="justify" vertical="center"/>
    </xf>
    <xf numFmtId="164" fontId="2" fillId="4" borderId="16" xfId="2" applyNumberFormat="1" applyFont="1" applyFill="1" applyBorder="1"/>
    <xf numFmtId="44" fontId="2" fillId="4" borderId="16" xfId="1" applyFont="1" applyFill="1" applyBorder="1" applyProtection="1">
      <protection locked="0"/>
    </xf>
    <xf numFmtId="44" fontId="2" fillId="4" borderId="19" xfId="0" applyNumberFormat="1" applyFont="1" applyFill="1" applyBorder="1" applyAlignment="1">
      <alignment horizontal="center"/>
    </xf>
    <xf numFmtId="44" fontId="2" fillId="4" borderId="20" xfId="0" applyNumberFormat="1" applyFont="1" applyFill="1" applyBorder="1"/>
    <xf numFmtId="0" fontId="3" fillId="0" borderId="2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0" borderId="4" xfId="0" applyFont="1" applyBorder="1"/>
    <xf numFmtId="0" fontId="3" fillId="0" borderId="7" xfId="0" applyFont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44" fontId="2" fillId="4" borderId="0" xfId="0" applyNumberFormat="1" applyFont="1" applyFill="1"/>
    <xf numFmtId="0" fontId="5" fillId="0" borderId="1" xfId="0" applyFont="1" applyBorder="1"/>
    <xf numFmtId="44" fontId="9" fillId="0" borderId="1" xfId="0" applyNumberFormat="1" applyFont="1" applyBorder="1"/>
    <xf numFmtId="3" fontId="6" fillId="0" borderId="2" xfId="0" applyNumberFormat="1" applyFont="1" applyBorder="1"/>
    <xf numFmtId="3" fontId="6" fillId="0" borderId="2" xfId="0" applyNumberFormat="1" applyFont="1" applyBorder="1" applyAlignment="1">
      <alignment horizontal="right" vertical="center"/>
    </xf>
    <xf numFmtId="3" fontId="6" fillId="0" borderId="12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 vertical="center"/>
    </xf>
    <xf numFmtId="0" fontId="2" fillId="0" borderId="25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0" fontId="7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OWN, DOMINIQUE U" id="{15A97D3C-B1F3-47E0-A39E-57CB12051DAC}" userId="S::0618593613@cbp.dhs.gov::3f2154ed-7995-4290-929f-8527baa77f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3-03-17T13:23:24.23" personId="{15A97D3C-B1F3-47E0-A39E-57CB12051DAC}" id="{EB83F430-4CD5-49AB-B61C-3031989C973F}">
    <text>Complete Blue Cells</text>
  </threadedComment>
  <threadedComment ref="H18" dT="2023-03-17T13:23:24.23" personId="{15A97D3C-B1F3-47E0-A39E-57CB12051DAC}" id="{269FABCE-DCF8-4696-B69C-B0F28DE190C2}">
    <text>Complete Blue Cells</text>
  </threadedComment>
  <threadedComment ref="H29" dT="2023-03-17T13:23:24.23" personId="{15A97D3C-B1F3-47E0-A39E-57CB12051DAC}" id="{4B1F51D5-4CE4-4015-921E-92281D0EA9E8}">
    <text>Complete Blue Cells</text>
  </threadedComment>
  <threadedComment ref="H35" dT="2023-03-17T13:23:24.23" personId="{15A97D3C-B1F3-47E0-A39E-57CB12051DAC}" id="{CFB658B0-4A7D-41A7-A963-FB9B5F908044}">
    <text>Complete Blue Cells</text>
  </threadedComment>
  <threadedComment ref="H41" dT="2023-03-17T13:23:24.23" personId="{15A97D3C-B1F3-47E0-A39E-57CB12051DAC}" id="{47269A38-98C4-4D78-877F-6DE184729F0E}">
    <text>Complete Blue Cells</text>
  </threadedComment>
  <threadedComment ref="H48" dT="2023-03-17T13:23:24.23" personId="{15A97D3C-B1F3-47E0-A39E-57CB12051DAC}" id="{07CBA2C9-73A8-4C2C-A93A-FC235B228A7E}">
    <text>Complete Blue Cells</text>
  </threadedComment>
  <threadedComment ref="H54" dT="2023-03-17T13:23:24.23" personId="{15A97D3C-B1F3-47E0-A39E-57CB12051DAC}" id="{01221603-E0B5-4926-979D-B7993144E534}">
    <text>Complete Blue Cells</text>
  </threadedComment>
  <threadedComment ref="H60" dT="2023-03-17T13:23:24.23" personId="{15A97D3C-B1F3-47E0-A39E-57CB12051DAC}" id="{879FAD40-F8B9-4F2D-A184-86ED3BD64D8B}">
    <text>Complete Blue Cells</text>
  </threadedComment>
  <threadedComment ref="H65" dT="2023-03-17T13:23:24.23" personId="{15A97D3C-B1F3-47E0-A39E-57CB12051DAC}" id="{89D7FED4-590B-4591-91F2-C24CB2DB09BB}">
    <text>Complete Blue Cells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3-03-17T13:23:24.23" personId="{15A97D3C-B1F3-47E0-A39E-57CB12051DAC}" id="{C38327DF-201A-4C6A-B642-F199E93A7D67}">
    <text>Complete Blue Cells</text>
  </threadedComment>
  <threadedComment ref="H18" dT="2023-03-17T13:23:24.23" personId="{15A97D3C-B1F3-47E0-A39E-57CB12051DAC}" id="{6F20B8CE-BC44-47A2-8532-A45C744C4F7B}">
    <text>Complete Blue Cells</text>
  </threadedComment>
  <threadedComment ref="H29" dT="2023-03-17T13:23:24.23" personId="{15A97D3C-B1F3-47E0-A39E-57CB12051DAC}" id="{A06114CD-D587-41EA-AC95-59CD7CF17B62}">
    <text>Complete Blue Cells</text>
  </threadedComment>
  <threadedComment ref="H35" dT="2023-03-17T13:23:24.23" personId="{15A97D3C-B1F3-47E0-A39E-57CB12051DAC}" id="{ADE99079-9C7B-413D-AE9B-11837EC1AB4C}">
    <text>Complete Blue Cells</text>
  </threadedComment>
  <threadedComment ref="H41" dT="2023-03-17T13:23:24.23" personId="{15A97D3C-B1F3-47E0-A39E-57CB12051DAC}" id="{FBF49184-5378-4C37-9CD9-71F2F1D4E0C1}">
    <text>Complete Blue Cells</text>
  </threadedComment>
  <threadedComment ref="H48" dT="2023-03-17T13:23:24.23" personId="{15A97D3C-B1F3-47E0-A39E-57CB12051DAC}" id="{F1E1AD26-B047-4D89-B887-72D2CAADABBC}">
    <text>Complete Blue Cells</text>
  </threadedComment>
  <threadedComment ref="H54" dT="2023-03-17T13:23:24.23" personId="{15A97D3C-B1F3-47E0-A39E-57CB12051DAC}" id="{35CB0E49-A33B-4AA5-9E77-F7C0EB409EBC}">
    <text>Complete Blue Cells</text>
  </threadedComment>
  <threadedComment ref="H60" dT="2023-03-17T13:23:24.23" personId="{15A97D3C-B1F3-47E0-A39E-57CB12051DAC}" id="{04807C2C-CCE4-4BF6-A36A-1FE9C6BE4BFB}">
    <text>Complete Blue Cells</text>
  </threadedComment>
  <threadedComment ref="H65" dT="2023-03-17T13:23:24.23" personId="{15A97D3C-B1F3-47E0-A39E-57CB12051DAC}" id="{73CD0F0A-607F-4214-8BEB-0037F03E3E02}">
    <text>Complete Blue Cells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0" dT="2023-03-17T13:23:24.23" personId="{15A97D3C-B1F3-47E0-A39E-57CB12051DAC}" id="{3A403D55-D39A-4C72-B287-25B7EB0588D9}">
    <text>Complete Blue Cells</text>
  </threadedComment>
  <threadedComment ref="H18" dT="2023-03-17T13:23:24.23" personId="{15A97D3C-B1F3-47E0-A39E-57CB12051DAC}" id="{3DC62A2B-2B7F-4CCC-A53C-F96E34FF7704}">
    <text>Complete Blue Cells</text>
  </threadedComment>
  <threadedComment ref="H29" dT="2023-03-17T13:23:24.23" personId="{15A97D3C-B1F3-47E0-A39E-57CB12051DAC}" id="{FE3DFCD9-AEC9-4A2B-97AC-5113B3AF13F9}">
    <text>Complete Blue Cells</text>
  </threadedComment>
  <threadedComment ref="H35" dT="2023-03-17T13:23:24.23" personId="{15A97D3C-B1F3-47E0-A39E-57CB12051DAC}" id="{5BB0CB4F-3E24-441D-A7F2-3F980678BC1A}">
    <text>Complete Blue Cells</text>
  </threadedComment>
  <threadedComment ref="H41" dT="2023-03-17T13:23:24.23" personId="{15A97D3C-B1F3-47E0-A39E-57CB12051DAC}" id="{88DF77C1-C927-41D0-8F91-EF693831F7B0}">
    <text>Complete Blue Cells</text>
  </threadedComment>
  <threadedComment ref="H48" dT="2023-03-17T13:23:24.23" personId="{15A97D3C-B1F3-47E0-A39E-57CB12051DAC}" id="{2A3DE65B-3838-4940-AB04-501CC76E2842}">
    <text>Complete Blue Cells</text>
  </threadedComment>
  <threadedComment ref="H54" dT="2023-03-17T13:23:24.23" personId="{15A97D3C-B1F3-47E0-A39E-57CB12051DAC}" id="{087D3279-288C-4B7E-AA85-DF64C7CD7618}">
    <text>Complete Blue Cells</text>
  </threadedComment>
  <threadedComment ref="H60" dT="2023-03-17T13:23:24.23" personId="{15A97D3C-B1F3-47E0-A39E-57CB12051DAC}" id="{D4EA0606-F11D-4C13-9D28-F997E97D598D}">
    <text>Complete Blue Cells</text>
  </threadedComment>
  <threadedComment ref="H65" dT="2023-03-17T13:23:24.23" personId="{15A97D3C-B1F3-47E0-A39E-57CB12051DAC}" id="{3AF978E2-2144-49DE-AFEF-BCBA8A25505E}">
    <text>Complete Blue Cells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0" dT="2023-03-17T13:23:24.23" personId="{15A97D3C-B1F3-47E0-A39E-57CB12051DAC}" id="{D40690D7-7321-4C02-9D97-B430AFF7F940}">
    <text>Complete Blue Cells</text>
  </threadedComment>
  <threadedComment ref="H18" dT="2023-03-17T13:23:24.23" personId="{15A97D3C-B1F3-47E0-A39E-57CB12051DAC}" id="{80EAE659-6375-49F8-B6FC-C06B1E67A834}">
    <text>Complete Blue Cells</text>
  </threadedComment>
  <threadedComment ref="H29" dT="2023-03-17T13:23:24.23" personId="{15A97D3C-B1F3-47E0-A39E-57CB12051DAC}" id="{E3B839B6-254F-4D22-A60F-598C14242B5D}">
    <text>Complete Blue Cells</text>
  </threadedComment>
  <threadedComment ref="H35" dT="2023-03-17T13:23:24.23" personId="{15A97D3C-B1F3-47E0-A39E-57CB12051DAC}" id="{4BA5450E-A340-4017-B0F2-0489FB6FC3FB}">
    <text>Complete Blue Cells</text>
  </threadedComment>
  <threadedComment ref="H41" dT="2023-03-17T13:23:24.23" personId="{15A97D3C-B1F3-47E0-A39E-57CB12051DAC}" id="{290500F2-0D39-4883-9524-456C8744BE8C}">
    <text>Complete Blue Cells</text>
  </threadedComment>
  <threadedComment ref="H48" dT="2023-03-17T13:23:24.23" personId="{15A97D3C-B1F3-47E0-A39E-57CB12051DAC}" id="{08524CC5-A074-4A1E-B5E1-3F4F97150F7B}">
    <text>Complete Blue Cells</text>
  </threadedComment>
  <threadedComment ref="H54" dT="2023-03-17T13:23:24.23" personId="{15A97D3C-B1F3-47E0-A39E-57CB12051DAC}" id="{0114E63D-2A57-4084-B736-7C03CFD8FC06}">
    <text>Complete Blue Cells</text>
  </threadedComment>
  <threadedComment ref="H60" dT="2023-03-17T13:23:24.23" personId="{15A97D3C-B1F3-47E0-A39E-57CB12051DAC}" id="{8F635572-639D-4681-8B11-328B885CF367}">
    <text>Complete Blue Cells</text>
  </threadedComment>
  <threadedComment ref="H65" dT="2023-03-17T13:23:24.23" personId="{15A97D3C-B1F3-47E0-A39E-57CB12051DAC}" id="{FE077768-41EB-48F9-B8E6-6E14F2C44284}">
    <text>Complete Blue Cells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0" dT="2023-03-17T13:23:24.23" personId="{15A97D3C-B1F3-47E0-A39E-57CB12051DAC}" id="{DE5CF6D1-A293-49A1-8299-BA553BAFEC21}">
    <text>Complete Blue Cells</text>
  </threadedComment>
  <threadedComment ref="H18" dT="2023-03-17T13:23:24.23" personId="{15A97D3C-B1F3-47E0-A39E-57CB12051DAC}" id="{272F4A77-54E3-4EC7-9C81-4C5326F7F370}">
    <text>Complete Blue Cells</text>
  </threadedComment>
  <threadedComment ref="H29" dT="2023-03-17T13:23:24.23" personId="{15A97D3C-B1F3-47E0-A39E-57CB12051DAC}" id="{20F77A34-A631-49E5-A821-4A5622875B37}">
    <text>Complete Blue Cells</text>
  </threadedComment>
  <threadedComment ref="H35" dT="2023-03-17T13:23:24.23" personId="{15A97D3C-B1F3-47E0-A39E-57CB12051DAC}" id="{9281D7E9-0460-4455-9CDF-3D8DD45F2707}">
    <text>Complete Blue Cells</text>
  </threadedComment>
  <threadedComment ref="H41" dT="2023-03-17T13:23:24.23" personId="{15A97D3C-B1F3-47E0-A39E-57CB12051DAC}" id="{6C517EA9-8C4B-4EA2-87C3-05826F486DDD}">
    <text>Complete Blue Cells</text>
  </threadedComment>
  <threadedComment ref="H48" dT="2023-03-17T13:23:24.23" personId="{15A97D3C-B1F3-47E0-A39E-57CB12051DAC}" id="{53CDC9A8-229D-425F-8977-964781EA48DA}">
    <text>Complete Blue Cells</text>
  </threadedComment>
  <threadedComment ref="H54" dT="2023-03-17T13:23:24.23" personId="{15A97D3C-B1F3-47E0-A39E-57CB12051DAC}" id="{C5C9CA7F-F2D4-447F-BBAF-3315B3993007}">
    <text>Complete Blue Cells</text>
  </threadedComment>
  <threadedComment ref="H60" dT="2023-03-17T13:23:24.23" personId="{15A97D3C-B1F3-47E0-A39E-57CB12051DAC}" id="{A2B84577-9679-4559-9779-21C1E3505E28}">
    <text>Complete Blue Cells</text>
  </threadedComment>
  <threadedComment ref="H65" dT="2023-03-17T13:23:24.23" personId="{15A97D3C-B1F3-47E0-A39E-57CB12051DAC}" id="{D8DBDD80-0B04-47DA-9B93-FC170720E9D9}">
    <text>Complete Blue Cells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showGridLines="0" tabSelected="1" topLeftCell="A28" workbookViewId="0">
      <selection activeCell="O15" sqref="O15"/>
    </sheetView>
  </sheetViews>
  <sheetFormatPr defaultColWidth="8.7109375" defaultRowHeight="15" x14ac:dyDescent="0.25"/>
  <cols>
    <col min="1" max="1" width="3.5703125" style="1" customWidth="1"/>
    <col min="2" max="2" width="48.140625" style="1" customWidth="1"/>
    <col min="3" max="3" width="37.140625" style="1" customWidth="1"/>
    <col min="4" max="4" width="10.85546875" style="1" customWidth="1"/>
    <col min="5" max="5" width="11.85546875" style="1" customWidth="1"/>
    <col min="6" max="6" width="21" style="1" customWidth="1"/>
    <col min="7" max="7" width="8.28515625" style="1" customWidth="1"/>
    <col min="8" max="8" width="15.28515625" style="1" bestFit="1" customWidth="1"/>
    <col min="9" max="9" width="33" style="1" customWidth="1"/>
    <col min="10" max="10" width="17.28515625" style="1" customWidth="1"/>
    <col min="11" max="16384" width="8.7109375" style="1"/>
  </cols>
  <sheetData>
    <row r="1" spans="1:9" ht="15.75" x14ac:dyDescent="0.25">
      <c r="A1" s="54" t="s">
        <v>56</v>
      </c>
      <c r="B1" s="54"/>
      <c r="C1" s="54"/>
      <c r="D1" s="54"/>
      <c r="E1" s="54"/>
      <c r="F1" s="54"/>
      <c r="G1" s="54"/>
      <c r="H1" s="54"/>
      <c r="I1" s="54"/>
    </row>
    <row r="2" spans="1:9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</row>
    <row r="3" spans="1:9" x14ac:dyDescent="0.25">
      <c r="A3" s="55" t="s">
        <v>11</v>
      </c>
      <c r="B3" s="55"/>
      <c r="C3" s="55"/>
      <c r="D3" s="55"/>
      <c r="E3" s="55"/>
      <c r="F3" s="55"/>
      <c r="G3" s="55"/>
      <c r="H3" s="55"/>
      <c r="I3" s="55"/>
    </row>
    <row r="4" spans="1:9" x14ac:dyDescent="0.25">
      <c r="C4" s="55"/>
      <c r="D4" s="55"/>
      <c r="E4" s="55"/>
      <c r="F4" s="55"/>
    </row>
    <row r="5" spans="1:9" ht="30.75" x14ac:dyDescent="0.4">
      <c r="A5" s="65" t="s">
        <v>53</v>
      </c>
      <c r="B5" s="65"/>
      <c r="C5" s="65"/>
      <c r="D5" s="65"/>
      <c r="E5" s="65"/>
      <c r="F5" s="65"/>
      <c r="G5" s="65"/>
      <c r="H5" s="65"/>
      <c r="I5" s="65"/>
    </row>
    <row r="6" spans="1:9" ht="16.5" thickBot="1" x14ac:dyDescent="0.3">
      <c r="A6" s="51" t="s">
        <v>57</v>
      </c>
      <c r="B6" s="52"/>
      <c r="C6" s="52"/>
      <c r="D6" s="52"/>
      <c r="E6" s="52"/>
      <c r="F6" s="52"/>
      <c r="G6" s="52"/>
      <c r="H6" s="52"/>
      <c r="I6" s="52"/>
    </row>
    <row r="7" spans="1:9" ht="16.5" thickBo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</row>
    <row r="8" spans="1:9" x14ac:dyDescent="0.25">
      <c r="A8" s="34"/>
      <c r="B8" s="34"/>
      <c r="C8" s="34"/>
      <c r="D8" s="34"/>
      <c r="E8" s="34"/>
      <c r="F8" s="34"/>
      <c r="G8" s="34"/>
      <c r="H8" s="34"/>
      <c r="I8" s="35"/>
    </row>
    <row r="9" spans="1:9" ht="16.5" thickBot="1" x14ac:dyDescent="0.3">
      <c r="A9" s="62" t="s">
        <v>45</v>
      </c>
      <c r="B9" s="62"/>
      <c r="C9" s="62"/>
      <c r="D9" s="62"/>
      <c r="E9" s="62"/>
      <c r="F9" s="62"/>
      <c r="G9" s="62"/>
      <c r="H9" s="62"/>
      <c r="I9" s="62"/>
    </row>
    <row r="10" spans="1:9" ht="31.5" x14ac:dyDescent="0.25">
      <c r="A10" s="9" t="s">
        <v>3</v>
      </c>
      <c r="B10" s="27"/>
      <c r="C10" s="10" t="s">
        <v>4</v>
      </c>
      <c r="D10" s="32" t="s">
        <v>62</v>
      </c>
      <c r="E10" s="32" t="s">
        <v>63</v>
      </c>
      <c r="F10" s="11" t="s">
        <v>5</v>
      </c>
      <c r="G10" s="12" t="s">
        <v>6</v>
      </c>
      <c r="H10" s="10" t="s">
        <v>8</v>
      </c>
      <c r="I10" s="13" t="s">
        <v>9</v>
      </c>
    </row>
    <row r="11" spans="1:9" ht="15.75" x14ac:dyDescent="0.25">
      <c r="A11" s="4" t="s">
        <v>12</v>
      </c>
      <c r="B11" s="28"/>
      <c r="C11" s="14" t="s">
        <v>10</v>
      </c>
      <c r="D11" s="38">
        <v>1500</v>
      </c>
      <c r="E11" s="42">
        <v>1</v>
      </c>
      <c r="F11" s="16">
        <f>(D11*E11)</f>
        <v>1500</v>
      </c>
      <c r="G11" s="8" t="s">
        <v>7</v>
      </c>
      <c r="H11" s="19">
        <v>0</v>
      </c>
      <c r="I11" s="5">
        <f>F11*H11</f>
        <v>0</v>
      </c>
    </row>
    <row r="12" spans="1:9" ht="15.75" x14ac:dyDescent="0.25">
      <c r="A12" s="4" t="s">
        <v>13</v>
      </c>
      <c r="C12" s="14" t="s">
        <v>14</v>
      </c>
      <c r="D12" s="38">
        <v>1000</v>
      </c>
      <c r="E12" s="42">
        <v>1</v>
      </c>
      <c r="F12" s="16">
        <f t="shared" ref="F12:F14" si="0">(D12*E12)</f>
        <v>1000</v>
      </c>
      <c r="G12" s="8" t="s">
        <v>7</v>
      </c>
      <c r="H12" s="19">
        <v>0</v>
      </c>
      <c r="I12" s="5">
        <f>F12*H12</f>
        <v>0</v>
      </c>
    </row>
    <row r="13" spans="1:9" ht="15.75" x14ac:dyDescent="0.25">
      <c r="A13" s="4" t="s">
        <v>15</v>
      </c>
      <c r="B13" s="28"/>
      <c r="C13" s="15" t="s">
        <v>16</v>
      </c>
      <c r="D13" s="39">
        <v>2500</v>
      </c>
      <c r="E13" s="43">
        <v>1</v>
      </c>
      <c r="F13" s="16">
        <f t="shared" si="0"/>
        <v>2500</v>
      </c>
      <c r="G13" s="8" t="s">
        <v>7</v>
      </c>
      <c r="H13" s="19">
        <v>0</v>
      </c>
      <c r="I13" s="5">
        <f>F13*H13</f>
        <v>0</v>
      </c>
    </row>
    <row r="14" spans="1:9" ht="16.5" thickBot="1" x14ac:dyDescent="0.3">
      <c r="A14" s="7" t="s">
        <v>17</v>
      </c>
      <c r="B14" s="29"/>
      <c r="C14" s="17" t="s">
        <v>14</v>
      </c>
      <c r="D14" s="40">
        <v>1500</v>
      </c>
      <c r="E14" s="44">
        <v>1</v>
      </c>
      <c r="F14" s="16">
        <f t="shared" si="0"/>
        <v>1500</v>
      </c>
      <c r="G14" s="18" t="s">
        <v>7</v>
      </c>
      <c r="H14" s="19">
        <v>0</v>
      </c>
      <c r="I14" s="5">
        <f>F14*H14</f>
        <v>0</v>
      </c>
    </row>
    <row r="15" spans="1:9" ht="16.5" customHeight="1" thickBot="1" x14ac:dyDescent="0.3">
      <c r="A15" s="48" t="s">
        <v>54</v>
      </c>
      <c r="B15" s="49"/>
      <c r="C15" s="50"/>
      <c r="D15" s="50"/>
      <c r="E15" s="50"/>
      <c r="F15" s="50"/>
      <c r="G15" s="50"/>
      <c r="H15" s="50"/>
      <c r="I15" s="6">
        <f>SUM(I11:I14)</f>
        <v>0</v>
      </c>
    </row>
    <row r="16" spans="1:9" ht="15.75" x14ac:dyDescent="0.25">
      <c r="A16" s="21"/>
      <c r="B16" s="30"/>
      <c r="C16" s="22"/>
      <c r="D16" s="22"/>
      <c r="E16" s="22"/>
      <c r="F16" s="23"/>
      <c r="G16" s="24"/>
      <c r="H16" s="25"/>
      <c r="I16" s="26"/>
    </row>
    <row r="17" spans="1:15" ht="16.5" thickBot="1" x14ac:dyDescent="0.3">
      <c r="A17" s="63" t="s">
        <v>44</v>
      </c>
      <c r="B17" s="52"/>
      <c r="C17" s="52"/>
      <c r="D17" s="52"/>
      <c r="E17" s="52"/>
      <c r="F17" s="52"/>
      <c r="G17" s="52"/>
      <c r="H17" s="52"/>
      <c r="I17" s="64"/>
    </row>
    <row r="18" spans="1:15" ht="31.5" x14ac:dyDescent="0.25">
      <c r="A18" s="9" t="s">
        <v>3</v>
      </c>
      <c r="B18" s="27"/>
      <c r="C18" s="10" t="s">
        <v>4</v>
      </c>
      <c r="D18" s="32" t="s">
        <v>62</v>
      </c>
      <c r="E18" s="32" t="s">
        <v>63</v>
      </c>
      <c r="F18" s="32" t="s">
        <v>5</v>
      </c>
      <c r="G18" s="12" t="s">
        <v>6</v>
      </c>
      <c r="H18" s="10" t="s">
        <v>8</v>
      </c>
      <c r="I18" s="13" t="s">
        <v>9</v>
      </c>
    </row>
    <row r="19" spans="1:15" ht="15.75" x14ac:dyDescent="0.25">
      <c r="A19" s="4" t="s">
        <v>18</v>
      </c>
      <c r="B19" s="28"/>
      <c r="C19" s="14" t="s">
        <v>16</v>
      </c>
      <c r="D19" s="38">
        <v>1500</v>
      </c>
      <c r="E19" s="45">
        <v>3</v>
      </c>
      <c r="F19" s="16">
        <f>(D19*E19)</f>
        <v>4500</v>
      </c>
      <c r="G19" s="8" t="s">
        <v>7</v>
      </c>
      <c r="H19" s="19">
        <v>0</v>
      </c>
      <c r="I19" s="5">
        <f t="shared" ref="I19:I25" si="1">F19*H19</f>
        <v>0</v>
      </c>
    </row>
    <row r="20" spans="1:15" ht="15.75" x14ac:dyDescent="0.25">
      <c r="A20" s="4"/>
      <c r="B20" s="28" t="s">
        <v>21</v>
      </c>
      <c r="C20" s="14" t="s">
        <v>22</v>
      </c>
      <c r="D20" s="14">
        <v>800</v>
      </c>
      <c r="E20" s="45">
        <v>3</v>
      </c>
      <c r="F20" s="16">
        <f t="shared" ref="F20:F25" si="2">(D20*E20)</f>
        <v>2400</v>
      </c>
      <c r="G20" s="8" t="s">
        <v>7</v>
      </c>
      <c r="H20" s="19">
        <v>0</v>
      </c>
      <c r="I20" s="5">
        <f t="shared" si="1"/>
        <v>0</v>
      </c>
    </row>
    <row r="21" spans="1:15" ht="15.75" x14ac:dyDescent="0.25">
      <c r="A21" s="4" t="s">
        <v>19</v>
      </c>
      <c r="B21" s="28"/>
      <c r="C21" s="14" t="s">
        <v>16</v>
      </c>
      <c r="D21" s="38">
        <v>1500</v>
      </c>
      <c r="E21" s="45">
        <v>3</v>
      </c>
      <c r="F21" s="16">
        <f t="shared" si="2"/>
        <v>4500</v>
      </c>
      <c r="G21" s="8" t="s">
        <v>7</v>
      </c>
      <c r="H21" s="19">
        <v>0</v>
      </c>
      <c r="I21" s="5">
        <f t="shared" si="1"/>
        <v>0</v>
      </c>
    </row>
    <row r="22" spans="1:15" ht="15.75" x14ac:dyDescent="0.25">
      <c r="A22" s="4"/>
      <c r="B22" s="28" t="s">
        <v>23</v>
      </c>
      <c r="C22" s="14" t="s">
        <v>22</v>
      </c>
      <c r="D22" s="14">
        <v>800</v>
      </c>
      <c r="E22" s="45">
        <v>3</v>
      </c>
      <c r="F22" s="16">
        <f t="shared" si="2"/>
        <v>2400</v>
      </c>
      <c r="G22" s="8" t="s">
        <v>7</v>
      </c>
      <c r="H22" s="19">
        <v>0</v>
      </c>
      <c r="I22" s="5">
        <f t="shared" si="1"/>
        <v>0</v>
      </c>
    </row>
    <row r="23" spans="1:15" ht="15.75" x14ac:dyDescent="0.25">
      <c r="A23" s="4" t="s">
        <v>20</v>
      </c>
      <c r="B23" s="28"/>
      <c r="C23" s="14" t="s">
        <v>16</v>
      </c>
      <c r="D23" s="38">
        <v>1500</v>
      </c>
      <c r="E23" s="45">
        <v>3</v>
      </c>
      <c r="F23" s="16">
        <f t="shared" si="2"/>
        <v>4500</v>
      </c>
      <c r="G23" s="8" t="s">
        <v>7</v>
      </c>
      <c r="H23" s="19">
        <v>0</v>
      </c>
      <c r="I23" s="5">
        <f t="shared" si="1"/>
        <v>0</v>
      </c>
    </row>
    <row r="24" spans="1:15" ht="15.75" x14ac:dyDescent="0.25">
      <c r="A24" s="4"/>
      <c r="B24" s="28" t="s">
        <v>24</v>
      </c>
      <c r="C24" s="14" t="s">
        <v>22</v>
      </c>
      <c r="D24" s="14">
        <v>800</v>
      </c>
      <c r="E24" s="45">
        <v>3</v>
      </c>
      <c r="F24" s="16">
        <f t="shared" si="2"/>
        <v>2400</v>
      </c>
      <c r="G24" s="8" t="s">
        <v>7</v>
      </c>
      <c r="H24" s="19">
        <v>0</v>
      </c>
      <c r="I24" s="5">
        <f t="shared" si="1"/>
        <v>0</v>
      </c>
    </row>
    <row r="25" spans="1:15" ht="32.25" thickBot="1" x14ac:dyDescent="0.3">
      <c r="A25" s="7" t="s">
        <v>25</v>
      </c>
      <c r="B25" s="29"/>
      <c r="C25" s="17" t="s">
        <v>26</v>
      </c>
      <c r="D25" s="41">
        <v>500</v>
      </c>
      <c r="E25" s="46">
        <v>1</v>
      </c>
      <c r="F25" s="16">
        <f t="shared" si="2"/>
        <v>500</v>
      </c>
      <c r="G25" s="18" t="s">
        <v>7</v>
      </c>
      <c r="H25" s="19">
        <v>0</v>
      </c>
      <c r="I25" s="5">
        <f t="shared" si="1"/>
        <v>0</v>
      </c>
    </row>
    <row r="26" spans="1:15" ht="15.75" thickBot="1" x14ac:dyDescent="0.3">
      <c r="A26" s="48" t="s">
        <v>54</v>
      </c>
      <c r="B26" s="49"/>
      <c r="C26" s="50"/>
      <c r="D26" s="50"/>
      <c r="E26" s="50"/>
      <c r="F26" s="50"/>
      <c r="G26" s="50"/>
      <c r="H26" s="50"/>
      <c r="I26" s="6">
        <f>SUM(I19:I25)</f>
        <v>0</v>
      </c>
    </row>
    <row r="27" spans="1:15" x14ac:dyDescent="0.25">
      <c r="A27" s="34"/>
      <c r="B27" s="34"/>
      <c r="C27" s="34"/>
      <c r="D27" s="34"/>
      <c r="E27" s="34"/>
      <c r="F27" s="34"/>
      <c r="G27" s="34"/>
      <c r="H27" s="34"/>
      <c r="I27" s="35"/>
      <c r="O27" s="20"/>
    </row>
    <row r="28" spans="1:15" ht="16.5" thickBot="1" x14ac:dyDescent="0.3">
      <c r="A28" s="53" t="s">
        <v>40</v>
      </c>
      <c r="B28" s="53"/>
      <c r="C28" s="53"/>
      <c r="D28" s="53"/>
      <c r="E28" s="53"/>
      <c r="F28" s="53"/>
      <c r="G28" s="53"/>
      <c r="H28" s="53"/>
      <c r="I28" s="53"/>
    </row>
    <row r="29" spans="1:15" ht="31.5" x14ac:dyDescent="0.25">
      <c r="A29" s="9" t="s">
        <v>3</v>
      </c>
      <c r="B29" s="27"/>
      <c r="C29" s="10" t="s">
        <v>4</v>
      </c>
      <c r="D29" s="32" t="s">
        <v>62</v>
      </c>
      <c r="E29" s="32" t="s">
        <v>63</v>
      </c>
      <c r="F29" s="32" t="s">
        <v>5</v>
      </c>
      <c r="G29" s="12" t="s">
        <v>6</v>
      </c>
      <c r="H29" s="10" t="s">
        <v>8</v>
      </c>
      <c r="I29" s="13" t="s">
        <v>9</v>
      </c>
    </row>
    <row r="30" spans="1:15" ht="15.75" x14ac:dyDescent="0.25">
      <c r="A30" s="4" t="s">
        <v>27</v>
      </c>
      <c r="B30" s="28"/>
      <c r="C30" s="14" t="s">
        <v>16</v>
      </c>
      <c r="D30" s="47">
        <v>1200</v>
      </c>
      <c r="E30" s="45">
        <v>1</v>
      </c>
      <c r="F30" s="16">
        <f>(E30*D30)</f>
        <v>1200</v>
      </c>
      <c r="G30" s="8" t="s">
        <v>7</v>
      </c>
      <c r="H30" s="19">
        <v>0</v>
      </c>
      <c r="I30" s="5">
        <f>F30*H30</f>
        <v>0</v>
      </c>
    </row>
    <row r="31" spans="1:15" ht="15.75" x14ac:dyDescent="0.25">
      <c r="A31" s="4" t="s">
        <v>28</v>
      </c>
      <c r="B31" s="28"/>
      <c r="C31" s="14" t="s">
        <v>29</v>
      </c>
      <c r="D31" s="47">
        <v>1200</v>
      </c>
      <c r="E31" s="45">
        <v>1</v>
      </c>
      <c r="F31" s="16">
        <f>(E31*D31)</f>
        <v>1200</v>
      </c>
      <c r="G31" s="8" t="s">
        <v>7</v>
      </c>
      <c r="H31" s="19">
        <v>0</v>
      </c>
      <c r="I31" s="5">
        <f>F31*H31</f>
        <v>0</v>
      </c>
    </row>
    <row r="32" spans="1:15" ht="15.75" thickBot="1" x14ac:dyDescent="0.3">
      <c r="A32" s="48" t="s">
        <v>54</v>
      </c>
      <c r="B32" s="49"/>
      <c r="C32" s="50"/>
      <c r="D32" s="50"/>
      <c r="E32" s="50"/>
      <c r="F32" s="50"/>
      <c r="G32" s="50"/>
      <c r="H32" s="50"/>
      <c r="I32" s="6">
        <f>SUM(I30:I31)</f>
        <v>0</v>
      </c>
    </row>
    <row r="33" spans="1:9" x14ac:dyDescent="0.25">
      <c r="A33" s="34"/>
      <c r="B33" s="34"/>
      <c r="C33" s="34"/>
      <c r="D33" s="34"/>
      <c r="E33" s="34"/>
      <c r="F33" s="34"/>
      <c r="G33" s="34"/>
      <c r="H33" s="34"/>
      <c r="I33" s="35"/>
    </row>
    <row r="34" spans="1:9" ht="16.5" thickBot="1" x14ac:dyDescent="0.3">
      <c r="A34" s="53" t="s">
        <v>39</v>
      </c>
      <c r="B34" s="53"/>
      <c r="C34" s="53"/>
      <c r="D34" s="53"/>
      <c r="E34" s="53"/>
      <c r="F34" s="53"/>
      <c r="G34" s="53"/>
      <c r="H34" s="53"/>
      <c r="I34" s="53"/>
    </row>
    <row r="35" spans="1:9" ht="31.5" x14ac:dyDescent="0.25">
      <c r="A35" s="9" t="s">
        <v>3</v>
      </c>
      <c r="B35" s="27"/>
      <c r="C35" s="10" t="s">
        <v>4</v>
      </c>
      <c r="D35" s="32" t="s">
        <v>62</v>
      </c>
      <c r="E35" s="32" t="s">
        <v>63</v>
      </c>
      <c r="F35" s="32" t="s">
        <v>5</v>
      </c>
      <c r="G35" s="12" t="s">
        <v>6</v>
      </c>
      <c r="H35" s="10" t="s">
        <v>8</v>
      </c>
      <c r="I35" s="13" t="s">
        <v>9</v>
      </c>
    </row>
    <row r="36" spans="1:9" ht="15.75" x14ac:dyDescent="0.25">
      <c r="A36" s="4" t="s">
        <v>30</v>
      </c>
      <c r="B36" s="28"/>
      <c r="C36" s="14" t="s">
        <v>31</v>
      </c>
      <c r="D36" s="47">
        <v>1200</v>
      </c>
      <c r="E36" s="45">
        <v>1</v>
      </c>
      <c r="F36" s="16">
        <f>(E36*D36)</f>
        <v>1200</v>
      </c>
      <c r="G36" s="8" t="s">
        <v>7</v>
      </c>
      <c r="H36" s="19">
        <v>0</v>
      </c>
      <c r="I36" s="5">
        <f>F36*H36</f>
        <v>0</v>
      </c>
    </row>
    <row r="37" spans="1:9" ht="15.75" x14ac:dyDescent="0.25">
      <c r="A37" s="4" t="s">
        <v>32</v>
      </c>
      <c r="B37" s="28"/>
      <c r="C37" s="14" t="s">
        <v>22</v>
      </c>
      <c r="D37" s="47">
        <v>2400</v>
      </c>
      <c r="E37" s="45">
        <v>1</v>
      </c>
      <c r="F37" s="16">
        <f>(E37*D37)</f>
        <v>2400</v>
      </c>
      <c r="G37" s="8" t="s">
        <v>7</v>
      </c>
      <c r="H37" s="19">
        <v>0</v>
      </c>
      <c r="I37" s="5">
        <f>F37*H37</f>
        <v>0</v>
      </c>
    </row>
    <row r="38" spans="1:9" ht="15.75" thickBot="1" x14ac:dyDescent="0.3">
      <c r="A38" s="48" t="s">
        <v>54</v>
      </c>
      <c r="B38" s="49"/>
      <c r="C38" s="50"/>
      <c r="D38" s="50"/>
      <c r="E38" s="50"/>
      <c r="F38" s="50"/>
      <c r="G38" s="50"/>
      <c r="H38" s="50"/>
      <c r="I38" s="6">
        <f>SUM(I36:I37)</f>
        <v>0</v>
      </c>
    </row>
    <row r="39" spans="1:9" x14ac:dyDescent="0.25">
      <c r="A39" s="34"/>
      <c r="B39" s="34"/>
      <c r="C39" s="34"/>
      <c r="D39" s="34"/>
      <c r="E39" s="34"/>
      <c r="F39" s="34"/>
      <c r="G39" s="34"/>
      <c r="H39" s="34"/>
      <c r="I39" s="35"/>
    </row>
    <row r="40" spans="1:9" ht="16.5" thickBot="1" x14ac:dyDescent="0.3">
      <c r="A40" s="53" t="s">
        <v>38</v>
      </c>
      <c r="B40" s="53"/>
      <c r="C40" s="53"/>
      <c r="D40" s="53"/>
      <c r="E40" s="53"/>
      <c r="F40" s="53"/>
      <c r="G40" s="53"/>
      <c r="H40" s="53"/>
      <c r="I40" s="53"/>
    </row>
    <row r="41" spans="1:9" ht="31.5" x14ac:dyDescent="0.25">
      <c r="A41" s="9" t="s">
        <v>3</v>
      </c>
      <c r="B41" s="27"/>
      <c r="C41" s="10" t="s">
        <v>4</v>
      </c>
      <c r="D41" s="32" t="s">
        <v>62</v>
      </c>
      <c r="E41" s="32" t="s">
        <v>63</v>
      </c>
      <c r="F41" s="32" t="s">
        <v>5</v>
      </c>
      <c r="G41" s="12" t="s">
        <v>6</v>
      </c>
      <c r="H41" s="10" t="s">
        <v>8</v>
      </c>
      <c r="I41" s="13" t="s">
        <v>9</v>
      </c>
    </row>
    <row r="42" spans="1:9" ht="15.75" x14ac:dyDescent="0.25">
      <c r="A42" s="4" t="s">
        <v>33</v>
      </c>
      <c r="B42" s="28"/>
      <c r="C42" s="14" t="s">
        <v>16</v>
      </c>
      <c r="D42" s="47">
        <v>1200</v>
      </c>
      <c r="E42" s="45">
        <v>3</v>
      </c>
      <c r="F42" s="16">
        <f>(E42*D42)</f>
        <v>3600</v>
      </c>
      <c r="G42" s="8" t="s">
        <v>7</v>
      </c>
      <c r="H42" s="19">
        <v>0</v>
      </c>
      <c r="I42" s="5">
        <f>F42*H42</f>
        <v>0</v>
      </c>
    </row>
    <row r="43" spans="1:9" ht="15.75" x14ac:dyDescent="0.25">
      <c r="A43" s="4" t="s">
        <v>34</v>
      </c>
      <c r="B43" s="28"/>
      <c r="C43" s="14" t="s">
        <v>22</v>
      </c>
      <c r="D43" s="47">
        <v>1200</v>
      </c>
      <c r="E43" s="45">
        <v>3</v>
      </c>
      <c r="F43" s="16">
        <f>(E43*D43)</f>
        <v>3600</v>
      </c>
      <c r="G43" s="8" t="s">
        <v>7</v>
      </c>
      <c r="H43" s="19">
        <v>0</v>
      </c>
      <c r="I43" s="5">
        <f>F43*H43</f>
        <v>0</v>
      </c>
    </row>
    <row r="44" spans="1:9" ht="15.75" x14ac:dyDescent="0.25">
      <c r="A44" s="4" t="s">
        <v>35</v>
      </c>
      <c r="B44" s="28"/>
      <c r="C44" s="14" t="s">
        <v>36</v>
      </c>
      <c r="D44" s="38">
        <v>1000</v>
      </c>
      <c r="E44" s="45">
        <v>2</v>
      </c>
      <c r="F44" s="16">
        <v>2000</v>
      </c>
      <c r="G44" s="8" t="s">
        <v>7</v>
      </c>
      <c r="H44" s="19">
        <v>0</v>
      </c>
      <c r="I44" s="5">
        <f>F44*H44</f>
        <v>0</v>
      </c>
    </row>
    <row r="45" spans="1:9" ht="15.75" thickBot="1" x14ac:dyDescent="0.3">
      <c r="A45" s="48" t="s">
        <v>54</v>
      </c>
      <c r="B45" s="49"/>
      <c r="C45" s="50"/>
      <c r="D45" s="50"/>
      <c r="E45" s="50"/>
      <c r="F45" s="50"/>
      <c r="G45" s="50"/>
      <c r="H45" s="50"/>
      <c r="I45" s="6">
        <f>SUM(I42:I44)</f>
        <v>0</v>
      </c>
    </row>
    <row r="46" spans="1:9" x14ac:dyDescent="0.25">
      <c r="A46" s="34"/>
      <c r="B46" s="34"/>
      <c r="C46" s="34"/>
      <c r="D46" s="34"/>
      <c r="E46" s="34"/>
      <c r="F46" s="34"/>
      <c r="G46" s="34"/>
      <c r="H46" s="34"/>
      <c r="I46" s="35"/>
    </row>
    <row r="47" spans="1:9" ht="16.5" thickBot="1" x14ac:dyDescent="0.3">
      <c r="A47" s="53" t="s">
        <v>37</v>
      </c>
      <c r="B47" s="53"/>
      <c r="C47" s="53"/>
      <c r="D47" s="53"/>
      <c r="E47" s="53"/>
      <c r="F47" s="53"/>
      <c r="G47" s="53"/>
      <c r="H47" s="53"/>
      <c r="I47" s="53"/>
    </row>
    <row r="48" spans="1:9" ht="31.5" x14ac:dyDescent="0.25">
      <c r="A48" s="9" t="s">
        <v>3</v>
      </c>
      <c r="B48" s="27"/>
      <c r="C48" s="10" t="s">
        <v>4</v>
      </c>
      <c r="D48" s="32" t="s">
        <v>62</v>
      </c>
      <c r="E48" s="32" t="s">
        <v>63</v>
      </c>
      <c r="F48" s="32" t="s">
        <v>5</v>
      </c>
      <c r="G48" s="12" t="s">
        <v>6</v>
      </c>
      <c r="H48" s="10" t="s">
        <v>8</v>
      </c>
      <c r="I48" s="13" t="s">
        <v>9</v>
      </c>
    </row>
    <row r="49" spans="1:9" ht="15.75" x14ac:dyDescent="0.25">
      <c r="A49" s="4" t="s">
        <v>41</v>
      </c>
      <c r="B49" s="28"/>
      <c r="C49" s="14" t="s">
        <v>16</v>
      </c>
      <c r="D49" s="38">
        <v>1500</v>
      </c>
      <c r="E49" s="45">
        <v>1</v>
      </c>
      <c r="F49" s="16">
        <f>(E49*D49)</f>
        <v>1500</v>
      </c>
      <c r="G49" s="8" t="s">
        <v>7</v>
      </c>
      <c r="H49" s="19">
        <v>0</v>
      </c>
      <c r="I49" s="5">
        <f>F49*H49</f>
        <v>0</v>
      </c>
    </row>
    <row r="50" spans="1:9" ht="15.75" x14ac:dyDescent="0.25">
      <c r="A50" s="4" t="s">
        <v>42</v>
      </c>
      <c r="B50" s="28"/>
      <c r="C50" s="14" t="s">
        <v>36</v>
      </c>
      <c r="D50" s="38">
        <v>1500</v>
      </c>
      <c r="E50" s="45">
        <v>2</v>
      </c>
      <c r="F50" s="16">
        <f>(E50*D50)</f>
        <v>3000</v>
      </c>
      <c r="G50" s="8" t="s">
        <v>7</v>
      </c>
      <c r="H50" s="19">
        <v>0</v>
      </c>
      <c r="I50" s="5">
        <f>F50*H50</f>
        <v>0</v>
      </c>
    </row>
    <row r="51" spans="1:9" ht="15.75" thickBot="1" x14ac:dyDescent="0.3">
      <c r="A51" s="48" t="s">
        <v>54</v>
      </c>
      <c r="B51" s="49"/>
      <c r="C51" s="50"/>
      <c r="D51" s="50"/>
      <c r="E51" s="50"/>
      <c r="F51" s="50"/>
      <c r="G51" s="50"/>
      <c r="H51" s="50"/>
      <c r="I51" s="6">
        <f>SUM(I49:I50)</f>
        <v>0</v>
      </c>
    </row>
    <row r="52" spans="1:9" x14ac:dyDescent="0.25">
      <c r="A52" s="34"/>
      <c r="B52" s="34"/>
      <c r="C52" s="34"/>
      <c r="D52" s="34"/>
      <c r="E52" s="34"/>
      <c r="F52" s="34"/>
      <c r="G52" s="34"/>
      <c r="H52" s="34"/>
      <c r="I52" s="35"/>
    </row>
    <row r="53" spans="1:9" ht="16.5" thickBot="1" x14ac:dyDescent="0.3">
      <c r="A53" s="53" t="s">
        <v>43</v>
      </c>
      <c r="B53" s="53"/>
      <c r="C53" s="53"/>
      <c r="D53" s="53"/>
      <c r="E53" s="53"/>
      <c r="F53" s="53"/>
      <c r="G53" s="53"/>
      <c r="H53" s="53"/>
      <c r="I53" s="53"/>
    </row>
    <row r="54" spans="1:9" ht="31.5" x14ac:dyDescent="0.25">
      <c r="A54" s="9" t="s">
        <v>3</v>
      </c>
      <c r="B54" s="27"/>
      <c r="C54" s="10" t="s">
        <v>4</v>
      </c>
      <c r="D54" s="32" t="s">
        <v>62</v>
      </c>
      <c r="E54" s="32" t="s">
        <v>63</v>
      </c>
      <c r="F54" s="32" t="s">
        <v>5</v>
      </c>
      <c r="G54" s="12" t="s">
        <v>6</v>
      </c>
      <c r="H54" s="10" t="s">
        <v>8</v>
      </c>
      <c r="I54" s="13" t="s">
        <v>9</v>
      </c>
    </row>
    <row r="55" spans="1:9" ht="15.75" x14ac:dyDescent="0.25">
      <c r="A55" s="4" t="s">
        <v>46</v>
      </c>
      <c r="B55" s="28"/>
      <c r="C55" s="14" t="s">
        <v>16</v>
      </c>
      <c r="D55" s="38">
        <v>1500</v>
      </c>
      <c r="E55" s="45">
        <v>3</v>
      </c>
      <c r="F55" s="16">
        <f>(E55*D55)</f>
        <v>4500</v>
      </c>
      <c r="G55" s="8" t="s">
        <v>7</v>
      </c>
      <c r="H55" s="19">
        <v>0</v>
      </c>
      <c r="I55" s="5">
        <f>F55*H55</f>
        <v>0</v>
      </c>
    </row>
    <row r="56" spans="1:9" ht="15.75" x14ac:dyDescent="0.25">
      <c r="A56" s="4" t="s">
        <v>47</v>
      </c>
      <c r="B56" s="28"/>
      <c r="C56" s="14" t="s">
        <v>29</v>
      </c>
      <c r="D56" s="38">
        <v>500</v>
      </c>
      <c r="E56" s="45">
        <v>1</v>
      </c>
      <c r="F56" s="16">
        <f>(E56*D56)</f>
        <v>500</v>
      </c>
      <c r="G56" s="8" t="s">
        <v>7</v>
      </c>
      <c r="H56" s="19">
        <v>0</v>
      </c>
      <c r="I56" s="5">
        <f>F56*H56</f>
        <v>0</v>
      </c>
    </row>
    <row r="57" spans="1:9" ht="15.75" thickBot="1" x14ac:dyDescent="0.3">
      <c r="A57" s="48" t="s">
        <v>54</v>
      </c>
      <c r="B57" s="49"/>
      <c r="C57" s="50"/>
      <c r="D57" s="50"/>
      <c r="E57" s="50"/>
      <c r="F57" s="50"/>
      <c r="G57" s="50"/>
      <c r="H57" s="50"/>
      <c r="I57" s="6">
        <f>SUM(I55:I56)</f>
        <v>0</v>
      </c>
    </row>
    <row r="58" spans="1:9" x14ac:dyDescent="0.25">
      <c r="A58" s="34"/>
      <c r="B58" s="34"/>
      <c r="C58" s="34"/>
      <c r="D58" s="34"/>
      <c r="E58" s="34"/>
      <c r="F58" s="34"/>
      <c r="G58" s="34"/>
      <c r="H58" s="34"/>
      <c r="I58" s="35"/>
    </row>
    <row r="59" spans="1:9" ht="16.5" thickBot="1" x14ac:dyDescent="0.3">
      <c r="A59" s="53" t="s">
        <v>48</v>
      </c>
      <c r="B59" s="53"/>
      <c r="C59" s="53"/>
      <c r="D59" s="53"/>
      <c r="E59" s="53"/>
      <c r="F59" s="53"/>
      <c r="G59" s="53"/>
      <c r="H59" s="53"/>
      <c r="I59" s="53"/>
    </row>
    <row r="60" spans="1:9" ht="31.5" x14ac:dyDescent="0.25">
      <c r="A60" s="9" t="s">
        <v>3</v>
      </c>
      <c r="B60" s="27"/>
      <c r="C60" s="10" t="s">
        <v>4</v>
      </c>
      <c r="D60" s="32" t="s">
        <v>62</v>
      </c>
      <c r="E60" s="32" t="s">
        <v>63</v>
      </c>
      <c r="F60" s="32" t="s">
        <v>5</v>
      </c>
      <c r="G60" s="12" t="s">
        <v>6</v>
      </c>
      <c r="H60" s="10" t="s">
        <v>8</v>
      </c>
      <c r="I60" s="13" t="s">
        <v>9</v>
      </c>
    </row>
    <row r="61" spans="1:9" ht="15.75" x14ac:dyDescent="0.25">
      <c r="A61" s="4" t="s">
        <v>49</v>
      </c>
      <c r="B61" s="28"/>
      <c r="C61" s="14" t="s">
        <v>50</v>
      </c>
      <c r="D61" s="38">
        <v>2500</v>
      </c>
      <c r="E61" s="45">
        <v>24</v>
      </c>
      <c r="F61" s="16">
        <f>(E61*D61)</f>
        <v>60000</v>
      </c>
      <c r="G61" s="8" t="s">
        <v>7</v>
      </c>
      <c r="H61" s="19">
        <v>0</v>
      </c>
      <c r="I61" s="5">
        <f>F61*H61</f>
        <v>0</v>
      </c>
    </row>
    <row r="62" spans="1:9" ht="15.75" thickBot="1" x14ac:dyDescent="0.3">
      <c r="A62" s="48" t="s">
        <v>54</v>
      </c>
      <c r="B62" s="49"/>
      <c r="C62" s="50"/>
      <c r="D62" s="50"/>
      <c r="E62" s="50"/>
      <c r="F62" s="50"/>
      <c r="G62" s="50"/>
      <c r="H62" s="50"/>
      <c r="I62" s="6">
        <f>SUM(I61:I61)</f>
        <v>0</v>
      </c>
    </row>
    <row r="63" spans="1:9" x14ac:dyDescent="0.25">
      <c r="A63" s="34"/>
      <c r="B63" s="34"/>
      <c r="C63" s="34"/>
      <c r="D63" s="34"/>
      <c r="E63" s="34"/>
      <c r="F63" s="34"/>
      <c r="G63" s="34"/>
      <c r="H63" s="34"/>
      <c r="I63" s="35"/>
    </row>
    <row r="64" spans="1:9" ht="16.5" thickBot="1" x14ac:dyDescent="0.3">
      <c r="A64" s="53" t="s">
        <v>51</v>
      </c>
      <c r="B64" s="53"/>
      <c r="C64" s="53"/>
      <c r="D64" s="53"/>
      <c r="E64" s="53"/>
      <c r="F64" s="53"/>
      <c r="G64" s="53"/>
      <c r="H64" s="53"/>
      <c r="I64" s="53"/>
    </row>
    <row r="65" spans="1:9" ht="31.5" x14ac:dyDescent="0.25">
      <c r="A65" s="9" t="s">
        <v>3</v>
      </c>
      <c r="B65" s="27"/>
      <c r="C65" s="10" t="s">
        <v>4</v>
      </c>
      <c r="D65" s="32" t="s">
        <v>62</v>
      </c>
      <c r="E65" s="32" t="s">
        <v>63</v>
      </c>
      <c r="F65" s="32" t="s">
        <v>5</v>
      </c>
      <c r="G65" s="12" t="s">
        <v>6</v>
      </c>
      <c r="H65" s="10" t="s">
        <v>8</v>
      </c>
      <c r="I65" s="13" t="s">
        <v>9</v>
      </c>
    </row>
    <row r="66" spans="1:9" ht="15.75" x14ac:dyDescent="0.25">
      <c r="A66" s="4" t="s">
        <v>52</v>
      </c>
      <c r="B66" s="28"/>
      <c r="C66" s="14" t="s">
        <v>50</v>
      </c>
      <c r="D66" s="38">
        <v>5000</v>
      </c>
      <c r="E66" s="45">
        <v>4</v>
      </c>
      <c r="F66" s="16">
        <f>(E66*D66)</f>
        <v>20000</v>
      </c>
      <c r="G66" s="8" t="s">
        <v>7</v>
      </c>
      <c r="H66" s="19">
        <v>0</v>
      </c>
      <c r="I66" s="5">
        <f>F66*H66</f>
        <v>0</v>
      </c>
    </row>
    <row r="67" spans="1:9" ht="15.75" thickBot="1" x14ac:dyDescent="0.3">
      <c r="A67" s="48" t="s">
        <v>54</v>
      </c>
      <c r="B67" s="49"/>
      <c r="C67" s="50"/>
      <c r="D67" s="50"/>
      <c r="E67" s="50"/>
      <c r="F67" s="50"/>
      <c r="G67" s="50"/>
      <c r="H67" s="50"/>
      <c r="I67" s="6">
        <f>SUM(I66:I66)</f>
        <v>0</v>
      </c>
    </row>
    <row r="68" spans="1:9" x14ac:dyDescent="0.25">
      <c r="A68" s="33"/>
      <c r="B68" s="33"/>
      <c r="C68" s="33"/>
      <c r="D68" s="33"/>
      <c r="E68" s="33"/>
      <c r="F68" s="33"/>
      <c r="G68" s="33"/>
      <c r="H68" s="33"/>
      <c r="I68" s="2"/>
    </row>
    <row r="69" spans="1:9" ht="18.75" x14ac:dyDescent="0.3">
      <c r="A69" s="36" t="s">
        <v>55</v>
      </c>
      <c r="B69" s="36"/>
      <c r="C69" s="36"/>
      <c r="D69" s="36"/>
      <c r="E69" s="36"/>
      <c r="F69" s="36"/>
      <c r="G69" s="36"/>
      <c r="H69" s="36"/>
      <c r="I69" s="37">
        <f>SUM(I15+I26+I32+I38+I45+I51+I57+I62+I67)</f>
        <v>0</v>
      </c>
    </row>
    <row r="70" spans="1:9" x14ac:dyDescent="0.25">
      <c r="I70" s="2"/>
    </row>
    <row r="71" spans="1:9" x14ac:dyDescent="0.25">
      <c r="A71" s="3" t="s">
        <v>0</v>
      </c>
      <c r="B71" s="31"/>
      <c r="C71" s="56"/>
      <c r="D71" s="57"/>
      <c r="E71" s="57"/>
      <c r="F71" s="57"/>
      <c r="G71" s="58"/>
    </row>
    <row r="72" spans="1:9" x14ac:dyDescent="0.25">
      <c r="A72" s="3" t="s">
        <v>2</v>
      </c>
      <c r="B72" s="31"/>
      <c r="C72" s="59"/>
      <c r="D72" s="60"/>
      <c r="E72" s="60"/>
      <c r="F72" s="60"/>
      <c r="G72" s="61"/>
    </row>
  </sheetData>
  <sheetProtection selectLockedCells="1"/>
  <protectedRanges>
    <protectedRange sqref="G7 G5 G65:G68 G6 G8:G59 G60:G64" name="Range1"/>
  </protectedRanges>
  <mergeCells count="27">
    <mergeCell ref="A1:I1"/>
    <mergeCell ref="A2:I2"/>
    <mergeCell ref="A3:I3"/>
    <mergeCell ref="C71:G71"/>
    <mergeCell ref="C72:G72"/>
    <mergeCell ref="A26:H26"/>
    <mergeCell ref="A32:H32"/>
    <mergeCell ref="A38:H38"/>
    <mergeCell ref="C4:F4"/>
    <mergeCell ref="A9:I9"/>
    <mergeCell ref="A17:I17"/>
    <mergeCell ref="A28:I28"/>
    <mergeCell ref="A5:I5"/>
    <mergeCell ref="A34:I34"/>
    <mergeCell ref="A67:H67"/>
    <mergeCell ref="A40:I40"/>
    <mergeCell ref="A45:H45"/>
    <mergeCell ref="A47:I47"/>
    <mergeCell ref="A51:H51"/>
    <mergeCell ref="A53:I53"/>
    <mergeCell ref="A15:H15"/>
    <mergeCell ref="A6:I6"/>
    <mergeCell ref="A7:I7"/>
    <mergeCell ref="A57:H57"/>
    <mergeCell ref="A59:I59"/>
    <mergeCell ref="A62:H62"/>
    <mergeCell ref="A64:I64"/>
  </mergeCells>
  <phoneticPr fontId="4" type="noConversion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2D7-780C-4BDB-8172-D81B392D2F2B}">
  <dimension ref="A1:O72"/>
  <sheetViews>
    <sheetView showGridLines="0" topLeftCell="A87" workbookViewId="0">
      <selection activeCell="A6" sqref="A6:I6"/>
    </sheetView>
  </sheetViews>
  <sheetFormatPr defaultColWidth="8.7109375" defaultRowHeight="15" x14ac:dyDescent="0.25"/>
  <cols>
    <col min="1" max="1" width="3.5703125" style="1" customWidth="1"/>
    <col min="2" max="2" width="48.140625" style="1" customWidth="1"/>
    <col min="3" max="3" width="37.140625" style="1" customWidth="1"/>
    <col min="4" max="4" width="21" style="1" customWidth="1"/>
    <col min="5" max="5" width="11.85546875" style="1" customWidth="1"/>
    <col min="6" max="6" width="15.28515625" style="1" bestFit="1" customWidth="1"/>
    <col min="7" max="7" width="16.85546875" style="1" customWidth="1"/>
    <col min="8" max="8" width="17.28515625" style="1" customWidth="1"/>
    <col min="9" max="9" width="20.42578125" style="1" customWidth="1"/>
    <col min="10" max="16384" width="8.7109375" style="1"/>
  </cols>
  <sheetData>
    <row r="1" spans="1:9" ht="15.75" x14ac:dyDescent="0.25">
      <c r="A1" s="54" t="s">
        <v>56</v>
      </c>
      <c r="B1" s="54"/>
      <c r="C1" s="54"/>
      <c r="D1" s="54"/>
      <c r="E1" s="54"/>
      <c r="F1" s="54"/>
      <c r="G1" s="54"/>
    </row>
    <row r="2" spans="1:9" x14ac:dyDescent="0.25">
      <c r="A2" s="55" t="s">
        <v>1</v>
      </c>
      <c r="B2" s="55"/>
      <c r="C2" s="55"/>
      <c r="D2" s="55"/>
      <c r="E2" s="55"/>
      <c r="F2" s="55"/>
      <c r="G2" s="55"/>
    </row>
    <row r="3" spans="1:9" x14ac:dyDescent="0.25">
      <c r="A3" s="55" t="s">
        <v>11</v>
      </c>
      <c r="B3" s="55"/>
      <c r="C3" s="55"/>
      <c r="D3" s="55"/>
      <c r="E3" s="55"/>
      <c r="F3" s="55"/>
      <c r="G3" s="55"/>
    </row>
    <row r="4" spans="1:9" x14ac:dyDescent="0.25">
      <c r="C4" s="55"/>
      <c r="D4" s="55"/>
    </row>
    <row r="5" spans="1:9" ht="30.75" x14ac:dyDescent="0.4">
      <c r="A5" s="65" t="s">
        <v>58</v>
      </c>
      <c r="B5" s="65"/>
      <c r="C5" s="65"/>
      <c r="D5" s="65"/>
      <c r="E5" s="65"/>
      <c r="F5" s="65"/>
      <c r="G5" s="65"/>
    </row>
    <row r="6" spans="1:9" ht="16.5" thickBot="1" x14ac:dyDescent="0.3">
      <c r="A6" s="51" t="s">
        <v>57</v>
      </c>
      <c r="B6" s="52"/>
      <c r="C6" s="52"/>
      <c r="D6" s="52"/>
      <c r="E6" s="52"/>
      <c r="F6" s="52"/>
      <c r="G6" s="52"/>
      <c r="H6" s="52"/>
      <c r="I6" s="52"/>
    </row>
    <row r="7" spans="1:9" ht="16.5" thickBo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</row>
    <row r="8" spans="1:9" x14ac:dyDescent="0.25">
      <c r="A8" s="34"/>
      <c r="B8" s="34"/>
      <c r="C8" s="34"/>
      <c r="D8" s="34"/>
      <c r="E8" s="34"/>
      <c r="F8" s="34"/>
      <c r="G8" s="34"/>
      <c r="H8" s="34"/>
      <c r="I8" s="35"/>
    </row>
    <row r="9" spans="1:9" ht="16.5" thickBot="1" x14ac:dyDescent="0.3">
      <c r="A9" s="62" t="s">
        <v>45</v>
      </c>
      <c r="B9" s="62"/>
      <c r="C9" s="62"/>
      <c r="D9" s="62"/>
      <c r="E9" s="62"/>
      <c r="F9" s="62"/>
      <c r="G9" s="62"/>
      <c r="H9" s="62"/>
      <c r="I9" s="62"/>
    </row>
    <row r="10" spans="1:9" ht="47.25" x14ac:dyDescent="0.25">
      <c r="A10" s="9" t="s">
        <v>3</v>
      </c>
      <c r="B10" s="27"/>
      <c r="C10" s="10" t="s">
        <v>4</v>
      </c>
      <c r="D10" s="32" t="s">
        <v>62</v>
      </c>
      <c r="E10" s="32" t="s">
        <v>63</v>
      </c>
      <c r="F10" s="32" t="s">
        <v>5</v>
      </c>
      <c r="G10" s="12" t="s">
        <v>6</v>
      </c>
      <c r="H10" s="10" t="s">
        <v>8</v>
      </c>
      <c r="I10" s="13" t="s">
        <v>9</v>
      </c>
    </row>
    <row r="11" spans="1:9" ht="15.75" x14ac:dyDescent="0.25">
      <c r="A11" s="4" t="s">
        <v>12</v>
      </c>
      <c r="B11" s="28"/>
      <c r="C11" s="14" t="s">
        <v>10</v>
      </c>
      <c r="D11" s="38">
        <v>1500</v>
      </c>
      <c r="E11" s="42">
        <v>1</v>
      </c>
      <c r="F11" s="16">
        <f>(D11*E11)</f>
        <v>1500</v>
      </c>
      <c r="G11" s="8" t="s">
        <v>7</v>
      </c>
      <c r="H11" s="19">
        <v>0</v>
      </c>
      <c r="I11" s="5">
        <f>F11*H11</f>
        <v>0</v>
      </c>
    </row>
    <row r="12" spans="1:9" ht="15.75" x14ac:dyDescent="0.25">
      <c r="A12" s="4" t="s">
        <v>13</v>
      </c>
      <c r="C12" s="14" t="s">
        <v>14</v>
      </c>
      <c r="D12" s="38">
        <v>1000</v>
      </c>
      <c r="E12" s="42">
        <v>1</v>
      </c>
      <c r="F12" s="16">
        <f t="shared" ref="F12:F14" si="0">(D12*E12)</f>
        <v>1000</v>
      </c>
      <c r="G12" s="8" t="s">
        <v>7</v>
      </c>
      <c r="H12" s="19">
        <v>0</v>
      </c>
      <c r="I12" s="5">
        <f>F12*H12</f>
        <v>0</v>
      </c>
    </row>
    <row r="13" spans="1:9" ht="15.75" x14ac:dyDescent="0.25">
      <c r="A13" s="4" t="s">
        <v>15</v>
      </c>
      <c r="B13" s="28"/>
      <c r="C13" s="15" t="s">
        <v>16</v>
      </c>
      <c r="D13" s="39">
        <v>2500</v>
      </c>
      <c r="E13" s="43">
        <v>1</v>
      </c>
      <c r="F13" s="16">
        <f t="shared" si="0"/>
        <v>2500</v>
      </c>
      <c r="G13" s="8" t="s">
        <v>7</v>
      </c>
      <c r="H13" s="19">
        <v>0</v>
      </c>
      <c r="I13" s="5">
        <f>F13*H13</f>
        <v>0</v>
      </c>
    </row>
    <row r="14" spans="1:9" ht="16.5" thickBot="1" x14ac:dyDescent="0.3">
      <c r="A14" s="7" t="s">
        <v>17</v>
      </c>
      <c r="B14" s="29"/>
      <c r="C14" s="17" t="s">
        <v>14</v>
      </c>
      <c r="D14" s="40">
        <v>1500</v>
      </c>
      <c r="E14" s="44">
        <v>1</v>
      </c>
      <c r="F14" s="16">
        <f t="shared" si="0"/>
        <v>1500</v>
      </c>
      <c r="G14" s="18" t="s">
        <v>7</v>
      </c>
      <c r="H14" s="19">
        <v>0</v>
      </c>
      <c r="I14" s="5">
        <f>F14*H14</f>
        <v>0</v>
      </c>
    </row>
    <row r="15" spans="1:9" ht="16.5" customHeight="1" thickBot="1" x14ac:dyDescent="0.3">
      <c r="A15" s="48" t="s">
        <v>54</v>
      </c>
      <c r="B15" s="49"/>
      <c r="C15" s="50"/>
      <c r="D15" s="50"/>
      <c r="E15" s="50"/>
      <c r="F15" s="50"/>
      <c r="G15" s="50"/>
      <c r="H15" s="50"/>
      <c r="I15" s="6">
        <f>SUM(I11:I14)</f>
        <v>0</v>
      </c>
    </row>
    <row r="16" spans="1:9" ht="15.75" x14ac:dyDescent="0.25">
      <c r="A16" s="21"/>
      <c r="B16" s="30"/>
      <c r="C16" s="22"/>
      <c r="D16" s="22"/>
      <c r="E16" s="22"/>
      <c r="F16" s="23"/>
      <c r="G16" s="24"/>
      <c r="H16" s="25"/>
      <c r="I16" s="26"/>
    </row>
    <row r="17" spans="1:15" ht="16.5" thickBot="1" x14ac:dyDescent="0.3">
      <c r="A17" s="63" t="s">
        <v>44</v>
      </c>
      <c r="B17" s="52"/>
      <c r="C17" s="52"/>
      <c r="D17" s="52"/>
      <c r="E17" s="52"/>
      <c r="F17" s="52"/>
      <c r="G17" s="52"/>
      <c r="H17" s="52"/>
      <c r="I17" s="64"/>
    </row>
    <row r="18" spans="1:15" ht="47.25" x14ac:dyDescent="0.25">
      <c r="A18" s="9" t="s">
        <v>3</v>
      </c>
      <c r="B18" s="27"/>
      <c r="C18" s="10" t="s">
        <v>4</v>
      </c>
      <c r="D18" s="32" t="s">
        <v>62</v>
      </c>
      <c r="E18" s="32" t="s">
        <v>63</v>
      </c>
      <c r="F18" s="32" t="s">
        <v>5</v>
      </c>
      <c r="G18" s="12" t="s">
        <v>6</v>
      </c>
      <c r="H18" s="10" t="s">
        <v>8</v>
      </c>
      <c r="I18" s="13" t="s">
        <v>9</v>
      </c>
    </row>
    <row r="19" spans="1:15" ht="15.75" x14ac:dyDescent="0.25">
      <c r="A19" s="4" t="s">
        <v>18</v>
      </c>
      <c r="B19" s="28"/>
      <c r="C19" s="14" t="s">
        <v>16</v>
      </c>
      <c r="D19" s="38">
        <v>1500</v>
      </c>
      <c r="E19" s="45">
        <v>3</v>
      </c>
      <c r="F19" s="16">
        <f>(D19*E19)</f>
        <v>4500</v>
      </c>
      <c r="G19" s="8" t="s">
        <v>7</v>
      </c>
      <c r="H19" s="19">
        <v>0</v>
      </c>
      <c r="I19" s="5">
        <f t="shared" ref="I19:I25" si="1">F19*H19</f>
        <v>0</v>
      </c>
    </row>
    <row r="20" spans="1:15" ht="15.75" x14ac:dyDescent="0.25">
      <c r="A20" s="4"/>
      <c r="B20" s="28" t="s">
        <v>21</v>
      </c>
      <c r="C20" s="14" t="s">
        <v>22</v>
      </c>
      <c r="D20" s="14">
        <v>800</v>
      </c>
      <c r="E20" s="45">
        <v>3</v>
      </c>
      <c r="F20" s="16">
        <f t="shared" ref="F20:F25" si="2">(D20*E20)</f>
        <v>2400</v>
      </c>
      <c r="G20" s="8" t="s">
        <v>7</v>
      </c>
      <c r="H20" s="19">
        <v>0</v>
      </c>
      <c r="I20" s="5">
        <f t="shared" si="1"/>
        <v>0</v>
      </c>
    </row>
    <row r="21" spans="1:15" ht="15.75" x14ac:dyDescent="0.25">
      <c r="A21" s="4" t="s">
        <v>19</v>
      </c>
      <c r="B21" s="28"/>
      <c r="C21" s="14" t="s">
        <v>16</v>
      </c>
      <c r="D21" s="38">
        <v>1500</v>
      </c>
      <c r="E21" s="45">
        <v>3</v>
      </c>
      <c r="F21" s="16">
        <f t="shared" si="2"/>
        <v>4500</v>
      </c>
      <c r="G21" s="8" t="s">
        <v>7</v>
      </c>
      <c r="H21" s="19">
        <v>0</v>
      </c>
      <c r="I21" s="5">
        <f t="shared" si="1"/>
        <v>0</v>
      </c>
    </row>
    <row r="22" spans="1:15" ht="15.75" x14ac:dyDescent="0.25">
      <c r="A22" s="4"/>
      <c r="B22" s="28" t="s">
        <v>23</v>
      </c>
      <c r="C22" s="14" t="s">
        <v>22</v>
      </c>
      <c r="D22" s="14">
        <v>800</v>
      </c>
      <c r="E22" s="45">
        <v>3</v>
      </c>
      <c r="F22" s="16">
        <f t="shared" si="2"/>
        <v>2400</v>
      </c>
      <c r="G22" s="8" t="s">
        <v>7</v>
      </c>
      <c r="H22" s="19">
        <v>0</v>
      </c>
      <c r="I22" s="5">
        <f t="shared" si="1"/>
        <v>0</v>
      </c>
    </row>
    <row r="23" spans="1:15" ht="15.75" x14ac:dyDescent="0.25">
      <c r="A23" s="4" t="s">
        <v>20</v>
      </c>
      <c r="B23" s="28"/>
      <c r="C23" s="14" t="s">
        <v>16</v>
      </c>
      <c r="D23" s="38">
        <v>1500</v>
      </c>
      <c r="E23" s="45">
        <v>3</v>
      </c>
      <c r="F23" s="16">
        <f t="shared" si="2"/>
        <v>4500</v>
      </c>
      <c r="G23" s="8" t="s">
        <v>7</v>
      </c>
      <c r="H23" s="19">
        <v>0</v>
      </c>
      <c r="I23" s="5">
        <f t="shared" si="1"/>
        <v>0</v>
      </c>
    </row>
    <row r="24" spans="1:15" ht="15.75" x14ac:dyDescent="0.25">
      <c r="A24" s="4"/>
      <c r="B24" s="28" t="s">
        <v>24</v>
      </c>
      <c r="C24" s="14" t="s">
        <v>22</v>
      </c>
      <c r="D24" s="14">
        <v>800</v>
      </c>
      <c r="E24" s="45">
        <v>3</v>
      </c>
      <c r="F24" s="16">
        <f t="shared" si="2"/>
        <v>2400</v>
      </c>
      <c r="G24" s="8" t="s">
        <v>7</v>
      </c>
      <c r="H24" s="19">
        <v>0</v>
      </c>
      <c r="I24" s="5">
        <f t="shared" si="1"/>
        <v>0</v>
      </c>
    </row>
    <row r="25" spans="1:15" ht="32.25" thickBot="1" x14ac:dyDescent="0.3">
      <c r="A25" s="7" t="s">
        <v>25</v>
      </c>
      <c r="B25" s="29"/>
      <c r="C25" s="17" t="s">
        <v>26</v>
      </c>
      <c r="D25" s="41">
        <v>500</v>
      </c>
      <c r="E25" s="46">
        <v>1</v>
      </c>
      <c r="F25" s="16">
        <f t="shared" si="2"/>
        <v>500</v>
      </c>
      <c r="G25" s="18" t="s">
        <v>7</v>
      </c>
      <c r="H25" s="19">
        <v>0</v>
      </c>
      <c r="I25" s="5">
        <f t="shared" si="1"/>
        <v>0</v>
      </c>
    </row>
    <row r="26" spans="1:15" ht="15.75" thickBot="1" x14ac:dyDescent="0.3">
      <c r="A26" s="48" t="s">
        <v>54</v>
      </c>
      <c r="B26" s="49"/>
      <c r="C26" s="50"/>
      <c r="D26" s="50"/>
      <c r="E26" s="50"/>
      <c r="F26" s="50"/>
      <c r="G26" s="50"/>
      <c r="H26" s="50"/>
      <c r="I26" s="6">
        <f>SUM(I19:I25)</f>
        <v>0</v>
      </c>
    </row>
    <row r="27" spans="1:15" x14ac:dyDescent="0.25">
      <c r="A27" s="34"/>
      <c r="B27" s="34"/>
      <c r="C27" s="34"/>
      <c r="D27" s="34"/>
      <c r="E27" s="34"/>
      <c r="F27" s="34"/>
      <c r="G27" s="34"/>
      <c r="H27" s="34"/>
      <c r="I27" s="35"/>
      <c r="O27" s="20"/>
    </row>
    <row r="28" spans="1:15" ht="16.5" thickBot="1" x14ac:dyDescent="0.3">
      <c r="A28" s="53" t="s">
        <v>40</v>
      </c>
      <c r="B28" s="53"/>
      <c r="C28" s="53"/>
      <c r="D28" s="53"/>
      <c r="E28" s="53"/>
      <c r="F28" s="53"/>
      <c r="G28" s="53"/>
      <c r="H28" s="53"/>
      <c r="I28" s="53"/>
    </row>
    <row r="29" spans="1:15" ht="47.25" x14ac:dyDescent="0.25">
      <c r="A29" s="9" t="s">
        <v>3</v>
      </c>
      <c r="B29" s="27"/>
      <c r="C29" s="10" t="s">
        <v>4</v>
      </c>
      <c r="D29" s="32" t="s">
        <v>62</v>
      </c>
      <c r="E29" s="32" t="s">
        <v>63</v>
      </c>
      <c r="F29" s="32" t="s">
        <v>5</v>
      </c>
      <c r="G29" s="12" t="s">
        <v>6</v>
      </c>
      <c r="H29" s="10" t="s">
        <v>8</v>
      </c>
      <c r="I29" s="13" t="s">
        <v>9</v>
      </c>
    </row>
    <row r="30" spans="1:15" ht="15.75" x14ac:dyDescent="0.25">
      <c r="A30" s="4" t="s">
        <v>27</v>
      </c>
      <c r="B30" s="28"/>
      <c r="C30" s="14" t="s">
        <v>16</v>
      </c>
      <c r="D30" s="47">
        <v>1200</v>
      </c>
      <c r="E30" s="45">
        <v>1</v>
      </c>
      <c r="F30" s="16">
        <f>(E30*D30)</f>
        <v>1200</v>
      </c>
      <c r="G30" s="8" t="s">
        <v>7</v>
      </c>
      <c r="H30" s="19">
        <v>0</v>
      </c>
      <c r="I30" s="5">
        <f>F30*H30</f>
        <v>0</v>
      </c>
    </row>
    <row r="31" spans="1:15" ht="15.75" x14ac:dyDescent="0.25">
      <c r="A31" s="4" t="s">
        <v>28</v>
      </c>
      <c r="B31" s="28"/>
      <c r="C31" s="14" t="s">
        <v>29</v>
      </c>
      <c r="D31" s="47">
        <v>1200</v>
      </c>
      <c r="E31" s="45">
        <v>1</v>
      </c>
      <c r="F31" s="16">
        <f>(E31*D31)</f>
        <v>1200</v>
      </c>
      <c r="G31" s="8" t="s">
        <v>7</v>
      </c>
      <c r="H31" s="19">
        <v>0</v>
      </c>
      <c r="I31" s="5">
        <f>F31*H31</f>
        <v>0</v>
      </c>
    </row>
    <row r="32" spans="1:15" ht="15.75" thickBot="1" x14ac:dyDescent="0.3">
      <c r="A32" s="48" t="s">
        <v>54</v>
      </c>
      <c r="B32" s="49"/>
      <c r="C32" s="50"/>
      <c r="D32" s="50"/>
      <c r="E32" s="50"/>
      <c r="F32" s="50"/>
      <c r="G32" s="50"/>
      <c r="H32" s="50"/>
      <c r="I32" s="6">
        <f>SUM(I30:I31)</f>
        <v>0</v>
      </c>
    </row>
    <row r="33" spans="1:9" x14ac:dyDescent="0.25">
      <c r="A33" s="34"/>
      <c r="B33" s="34"/>
      <c r="C33" s="34"/>
      <c r="D33" s="34"/>
      <c r="E33" s="34"/>
      <c r="F33" s="34"/>
      <c r="G33" s="34"/>
      <c r="H33" s="34"/>
      <c r="I33" s="35"/>
    </row>
    <row r="34" spans="1:9" ht="16.5" thickBot="1" x14ac:dyDescent="0.3">
      <c r="A34" s="53" t="s">
        <v>39</v>
      </c>
      <c r="B34" s="53"/>
      <c r="C34" s="53"/>
      <c r="D34" s="53"/>
      <c r="E34" s="53"/>
      <c r="F34" s="53"/>
      <c r="G34" s="53"/>
      <c r="H34" s="53"/>
      <c r="I34" s="53"/>
    </row>
    <row r="35" spans="1:9" ht="47.25" x14ac:dyDescent="0.25">
      <c r="A35" s="9" t="s">
        <v>3</v>
      </c>
      <c r="B35" s="27"/>
      <c r="C35" s="10" t="s">
        <v>4</v>
      </c>
      <c r="D35" s="32" t="s">
        <v>62</v>
      </c>
      <c r="E35" s="32" t="s">
        <v>63</v>
      </c>
      <c r="F35" s="32" t="s">
        <v>5</v>
      </c>
      <c r="G35" s="12" t="s">
        <v>6</v>
      </c>
      <c r="H35" s="10" t="s">
        <v>8</v>
      </c>
      <c r="I35" s="13" t="s">
        <v>9</v>
      </c>
    </row>
    <row r="36" spans="1:9" ht="15.75" x14ac:dyDescent="0.25">
      <c r="A36" s="4" t="s">
        <v>30</v>
      </c>
      <c r="B36" s="28"/>
      <c r="C36" s="14" t="s">
        <v>31</v>
      </c>
      <c r="D36" s="47">
        <v>1200</v>
      </c>
      <c r="E36" s="45">
        <v>1</v>
      </c>
      <c r="F36" s="16">
        <f>(E36*D36)</f>
        <v>1200</v>
      </c>
      <c r="G36" s="8" t="s">
        <v>7</v>
      </c>
      <c r="H36" s="19">
        <v>0</v>
      </c>
      <c r="I36" s="5">
        <f>F36*H36</f>
        <v>0</v>
      </c>
    </row>
    <row r="37" spans="1:9" ht="15.75" x14ac:dyDescent="0.25">
      <c r="A37" s="4" t="s">
        <v>32</v>
      </c>
      <c r="B37" s="28"/>
      <c r="C37" s="14" t="s">
        <v>22</v>
      </c>
      <c r="D37" s="47">
        <v>2400</v>
      </c>
      <c r="E37" s="45">
        <v>1</v>
      </c>
      <c r="F37" s="16">
        <f>(E37*D37)</f>
        <v>2400</v>
      </c>
      <c r="G37" s="8" t="s">
        <v>7</v>
      </c>
      <c r="H37" s="19">
        <v>0</v>
      </c>
      <c r="I37" s="5">
        <f>F37*H37</f>
        <v>0</v>
      </c>
    </row>
    <row r="38" spans="1:9" ht="15.75" thickBot="1" x14ac:dyDescent="0.3">
      <c r="A38" s="48" t="s">
        <v>54</v>
      </c>
      <c r="B38" s="49"/>
      <c r="C38" s="50"/>
      <c r="D38" s="50"/>
      <c r="E38" s="50"/>
      <c r="F38" s="50"/>
      <c r="G38" s="50"/>
      <c r="H38" s="50"/>
      <c r="I38" s="6">
        <f>SUM(I36:I37)</f>
        <v>0</v>
      </c>
    </row>
    <row r="39" spans="1:9" x14ac:dyDescent="0.25">
      <c r="A39" s="34"/>
      <c r="B39" s="34"/>
      <c r="C39" s="34"/>
      <c r="D39" s="34"/>
      <c r="E39" s="34"/>
      <c r="F39" s="34"/>
      <c r="G39" s="34"/>
      <c r="H39" s="34"/>
      <c r="I39" s="35"/>
    </row>
    <row r="40" spans="1:9" ht="16.5" thickBot="1" x14ac:dyDescent="0.3">
      <c r="A40" s="53" t="s">
        <v>38</v>
      </c>
      <c r="B40" s="53"/>
      <c r="C40" s="53"/>
      <c r="D40" s="53"/>
      <c r="E40" s="53"/>
      <c r="F40" s="53"/>
      <c r="G40" s="53"/>
      <c r="H40" s="53"/>
      <c r="I40" s="53"/>
    </row>
    <row r="41" spans="1:9" ht="47.25" x14ac:dyDescent="0.25">
      <c r="A41" s="9" t="s">
        <v>3</v>
      </c>
      <c r="B41" s="27"/>
      <c r="C41" s="10" t="s">
        <v>4</v>
      </c>
      <c r="D41" s="32" t="s">
        <v>62</v>
      </c>
      <c r="E41" s="32" t="s">
        <v>63</v>
      </c>
      <c r="F41" s="32" t="s">
        <v>5</v>
      </c>
      <c r="G41" s="12" t="s">
        <v>6</v>
      </c>
      <c r="H41" s="10" t="s">
        <v>8</v>
      </c>
      <c r="I41" s="13" t="s">
        <v>9</v>
      </c>
    </row>
    <row r="42" spans="1:9" ht="15.75" x14ac:dyDescent="0.25">
      <c r="A42" s="4" t="s">
        <v>33</v>
      </c>
      <c r="B42" s="28"/>
      <c r="C42" s="14" t="s">
        <v>16</v>
      </c>
      <c r="D42" s="47">
        <v>1200</v>
      </c>
      <c r="E42" s="45">
        <v>3</v>
      </c>
      <c r="F42" s="16">
        <f>(E42*D42)</f>
        <v>3600</v>
      </c>
      <c r="G42" s="8" t="s">
        <v>7</v>
      </c>
      <c r="H42" s="19">
        <v>0</v>
      </c>
      <c r="I42" s="5">
        <f>F42*H42</f>
        <v>0</v>
      </c>
    </row>
    <row r="43" spans="1:9" ht="15.75" x14ac:dyDescent="0.25">
      <c r="A43" s="4" t="s">
        <v>34</v>
      </c>
      <c r="B43" s="28"/>
      <c r="C43" s="14" t="s">
        <v>22</v>
      </c>
      <c r="D43" s="47">
        <v>1200</v>
      </c>
      <c r="E43" s="45">
        <v>3</v>
      </c>
      <c r="F43" s="16">
        <f>(E43*D43)</f>
        <v>3600</v>
      </c>
      <c r="G43" s="8" t="s">
        <v>7</v>
      </c>
      <c r="H43" s="19">
        <v>0</v>
      </c>
      <c r="I43" s="5">
        <f>F43*H43</f>
        <v>0</v>
      </c>
    </row>
    <row r="44" spans="1:9" ht="15.75" x14ac:dyDescent="0.25">
      <c r="A44" s="4" t="s">
        <v>35</v>
      </c>
      <c r="B44" s="28"/>
      <c r="C44" s="14" t="s">
        <v>36</v>
      </c>
      <c r="D44" s="38">
        <v>1000</v>
      </c>
      <c r="E44" s="45">
        <v>2</v>
      </c>
      <c r="F44" s="16">
        <v>2000</v>
      </c>
      <c r="G44" s="8" t="s">
        <v>7</v>
      </c>
      <c r="H44" s="19">
        <v>0</v>
      </c>
      <c r="I44" s="5">
        <f>F44*H44</f>
        <v>0</v>
      </c>
    </row>
    <row r="45" spans="1:9" ht="15.75" thickBot="1" x14ac:dyDescent="0.3">
      <c r="A45" s="48" t="s">
        <v>54</v>
      </c>
      <c r="B45" s="49"/>
      <c r="C45" s="50"/>
      <c r="D45" s="50"/>
      <c r="E45" s="50"/>
      <c r="F45" s="50"/>
      <c r="G45" s="50"/>
      <c r="H45" s="50"/>
      <c r="I45" s="6">
        <f>SUM(I42:I44)</f>
        <v>0</v>
      </c>
    </row>
    <row r="46" spans="1:9" x14ac:dyDescent="0.25">
      <c r="A46" s="34"/>
      <c r="B46" s="34"/>
      <c r="C46" s="34"/>
      <c r="D46" s="34"/>
      <c r="E46" s="34"/>
      <c r="F46" s="34"/>
      <c r="G46" s="34"/>
      <c r="H46" s="34"/>
      <c r="I46" s="35"/>
    </row>
    <row r="47" spans="1:9" ht="16.5" thickBot="1" x14ac:dyDescent="0.3">
      <c r="A47" s="53" t="s">
        <v>37</v>
      </c>
      <c r="B47" s="53"/>
      <c r="C47" s="53"/>
      <c r="D47" s="53"/>
      <c r="E47" s="53"/>
      <c r="F47" s="53"/>
      <c r="G47" s="53"/>
      <c r="H47" s="53"/>
      <c r="I47" s="53"/>
    </row>
    <row r="48" spans="1:9" ht="47.25" x14ac:dyDescent="0.25">
      <c r="A48" s="9" t="s">
        <v>3</v>
      </c>
      <c r="B48" s="27"/>
      <c r="C48" s="10" t="s">
        <v>4</v>
      </c>
      <c r="D48" s="32" t="s">
        <v>62</v>
      </c>
      <c r="E48" s="32" t="s">
        <v>63</v>
      </c>
      <c r="F48" s="32" t="s">
        <v>5</v>
      </c>
      <c r="G48" s="12" t="s">
        <v>6</v>
      </c>
      <c r="H48" s="10" t="s">
        <v>8</v>
      </c>
      <c r="I48" s="13" t="s">
        <v>9</v>
      </c>
    </row>
    <row r="49" spans="1:9" ht="15.75" x14ac:dyDescent="0.25">
      <c r="A49" s="4" t="s">
        <v>41</v>
      </c>
      <c r="B49" s="28"/>
      <c r="C49" s="14" t="s">
        <v>16</v>
      </c>
      <c r="D49" s="38">
        <v>1500</v>
      </c>
      <c r="E49" s="45">
        <v>1</v>
      </c>
      <c r="F49" s="16">
        <f>(E49*D49)</f>
        <v>1500</v>
      </c>
      <c r="G49" s="8" t="s">
        <v>7</v>
      </c>
      <c r="H49" s="19">
        <v>0</v>
      </c>
      <c r="I49" s="5">
        <f>F49*H49</f>
        <v>0</v>
      </c>
    </row>
    <row r="50" spans="1:9" ht="15.75" x14ac:dyDescent="0.25">
      <c r="A50" s="4" t="s">
        <v>42</v>
      </c>
      <c r="B50" s="28"/>
      <c r="C50" s="14" t="s">
        <v>36</v>
      </c>
      <c r="D50" s="38">
        <v>1500</v>
      </c>
      <c r="E50" s="45">
        <v>2</v>
      </c>
      <c r="F50" s="16">
        <f>(E50*D50)</f>
        <v>3000</v>
      </c>
      <c r="G50" s="8" t="s">
        <v>7</v>
      </c>
      <c r="H50" s="19">
        <v>0</v>
      </c>
      <c r="I50" s="5">
        <f>F50*H50</f>
        <v>0</v>
      </c>
    </row>
    <row r="51" spans="1:9" ht="15.75" thickBot="1" x14ac:dyDescent="0.3">
      <c r="A51" s="48" t="s">
        <v>54</v>
      </c>
      <c r="B51" s="49"/>
      <c r="C51" s="50"/>
      <c r="D51" s="50"/>
      <c r="E51" s="50"/>
      <c r="F51" s="50"/>
      <c r="G51" s="50"/>
      <c r="H51" s="50"/>
      <c r="I51" s="6">
        <f>SUM(I49:I50)</f>
        <v>0</v>
      </c>
    </row>
    <row r="52" spans="1:9" x14ac:dyDescent="0.25">
      <c r="A52" s="34"/>
      <c r="B52" s="34"/>
      <c r="C52" s="34"/>
      <c r="D52" s="34"/>
      <c r="E52" s="34"/>
      <c r="F52" s="34"/>
      <c r="G52" s="34"/>
      <c r="H52" s="34"/>
      <c r="I52" s="35"/>
    </row>
    <row r="53" spans="1:9" ht="16.5" thickBot="1" x14ac:dyDescent="0.3">
      <c r="A53" s="53" t="s">
        <v>43</v>
      </c>
      <c r="B53" s="53"/>
      <c r="C53" s="53"/>
      <c r="D53" s="53"/>
      <c r="E53" s="53"/>
      <c r="F53" s="53"/>
      <c r="G53" s="53"/>
      <c r="H53" s="53"/>
      <c r="I53" s="53"/>
    </row>
    <row r="54" spans="1:9" ht="47.25" x14ac:dyDescent="0.25">
      <c r="A54" s="9" t="s">
        <v>3</v>
      </c>
      <c r="B54" s="27"/>
      <c r="C54" s="10" t="s">
        <v>4</v>
      </c>
      <c r="D54" s="32" t="s">
        <v>62</v>
      </c>
      <c r="E54" s="32" t="s">
        <v>63</v>
      </c>
      <c r="F54" s="32" t="s">
        <v>5</v>
      </c>
      <c r="G54" s="12" t="s">
        <v>6</v>
      </c>
      <c r="H54" s="10" t="s">
        <v>8</v>
      </c>
      <c r="I54" s="13" t="s">
        <v>9</v>
      </c>
    </row>
    <row r="55" spans="1:9" ht="15.75" x14ac:dyDescent="0.25">
      <c r="A55" s="4" t="s">
        <v>46</v>
      </c>
      <c r="B55" s="28"/>
      <c r="C55" s="14" t="s">
        <v>16</v>
      </c>
      <c r="D55" s="38">
        <v>1500</v>
      </c>
      <c r="E55" s="45">
        <v>3</v>
      </c>
      <c r="F55" s="16">
        <f>(E55*D55)</f>
        <v>4500</v>
      </c>
      <c r="G55" s="8" t="s">
        <v>7</v>
      </c>
      <c r="H55" s="19">
        <v>0</v>
      </c>
      <c r="I55" s="5">
        <f>F55*H55</f>
        <v>0</v>
      </c>
    </row>
    <row r="56" spans="1:9" ht="15.75" x14ac:dyDescent="0.25">
      <c r="A56" s="4" t="s">
        <v>47</v>
      </c>
      <c r="B56" s="28"/>
      <c r="C56" s="14" t="s">
        <v>29</v>
      </c>
      <c r="D56" s="38">
        <v>500</v>
      </c>
      <c r="E56" s="45">
        <v>1</v>
      </c>
      <c r="F56" s="16">
        <f>(E56*D56)</f>
        <v>500</v>
      </c>
      <c r="G56" s="8" t="s">
        <v>7</v>
      </c>
      <c r="H56" s="19">
        <v>0</v>
      </c>
      <c r="I56" s="5">
        <f>F56*H56</f>
        <v>0</v>
      </c>
    </row>
    <row r="57" spans="1:9" ht="15.75" thickBot="1" x14ac:dyDescent="0.3">
      <c r="A57" s="48" t="s">
        <v>54</v>
      </c>
      <c r="B57" s="49"/>
      <c r="C57" s="50"/>
      <c r="D57" s="50"/>
      <c r="E57" s="50"/>
      <c r="F57" s="50"/>
      <c r="G57" s="50"/>
      <c r="H57" s="50"/>
      <c r="I57" s="6">
        <f>SUM(I55:I56)</f>
        <v>0</v>
      </c>
    </row>
    <row r="58" spans="1:9" x14ac:dyDescent="0.25">
      <c r="A58" s="34"/>
      <c r="B58" s="34"/>
      <c r="C58" s="34"/>
      <c r="D58" s="34"/>
      <c r="E58" s="34"/>
      <c r="F58" s="34"/>
      <c r="G58" s="34"/>
      <c r="H58" s="34"/>
      <c r="I58" s="35"/>
    </row>
    <row r="59" spans="1:9" ht="16.5" thickBot="1" x14ac:dyDescent="0.3">
      <c r="A59" s="53" t="s">
        <v>48</v>
      </c>
      <c r="B59" s="53"/>
      <c r="C59" s="53"/>
      <c r="D59" s="53"/>
      <c r="E59" s="53"/>
      <c r="F59" s="53"/>
      <c r="G59" s="53"/>
      <c r="H59" s="53"/>
      <c r="I59" s="53"/>
    </row>
    <row r="60" spans="1:9" ht="47.25" x14ac:dyDescent="0.25">
      <c r="A60" s="9" t="s">
        <v>3</v>
      </c>
      <c r="B60" s="27"/>
      <c r="C60" s="10" t="s">
        <v>4</v>
      </c>
      <c r="D60" s="32" t="s">
        <v>62</v>
      </c>
      <c r="E60" s="32" t="s">
        <v>63</v>
      </c>
      <c r="F60" s="32" t="s">
        <v>5</v>
      </c>
      <c r="G60" s="12" t="s">
        <v>6</v>
      </c>
      <c r="H60" s="10" t="s">
        <v>8</v>
      </c>
      <c r="I60" s="13" t="s">
        <v>9</v>
      </c>
    </row>
    <row r="61" spans="1:9" ht="15.75" x14ac:dyDescent="0.25">
      <c r="A61" s="4" t="s">
        <v>49</v>
      </c>
      <c r="B61" s="28"/>
      <c r="C61" s="14" t="s">
        <v>50</v>
      </c>
      <c r="D61" s="38">
        <v>2500</v>
      </c>
      <c r="E61" s="45">
        <v>24</v>
      </c>
      <c r="F61" s="16">
        <f>(E61*D61)</f>
        <v>60000</v>
      </c>
      <c r="G61" s="8" t="s">
        <v>7</v>
      </c>
      <c r="H61" s="19">
        <v>0</v>
      </c>
      <c r="I61" s="5">
        <f>F61*H61</f>
        <v>0</v>
      </c>
    </row>
    <row r="62" spans="1:9" ht="15.75" thickBot="1" x14ac:dyDescent="0.3">
      <c r="A62" s="48" t="s">
        <v>54</v>
      </c>
      <c r="B62" s="49"/>
      <c r="C62" s="50"/>
      <c r="D62" s="50"/>
      <c r="E62" s="50"/>
      <c r="F62" s="50"/>
      <c r="G62" s="50"/>
      <c r="H62" s="50"/>
      <c r="I62" s="6">
        <f>SUM(I61:I61)</f>
        <v>0</v>
      </c>
    </row>
    <row r="63" spans="1:9" x14ac:dyDescent="0.25">
      <c r="A63" s="34"/>
      <c r="B63" s="34"/>
      <c r="C63" s="34"/>
      <c r="D63" s="34"/>
      <c r="E63" s="34"/>
      <c r="F63" s="34"/>
      <c r="G63" s="34"/>
      <c r="H63" s="34"/>
      <c r="I63" s="35"/>
    </row>
    <row r="64" spans="1:9" ht="16.5" thickBot="1" x14ac:dyDescent="0.3">
      <c r="A64" s="53" t="s">
        <v>51</v>
      </c>
      <c r="B64" s="53"/>
      <c r="C64" s="53"/>
      <c r="D64" s="53"/>
      <c r="E64" s="53"/>
      <c r="F64" s="53"/>
      <c r="G64" s="53"/>
      <c r="H64" s="53"/>
      <c r="I64" s="53"/>
    </row>
    <row r="65" spans="1:9" ht="47.25" x14ac:dyDescent="0.25">
      <c r="A65" s="9" t="s">
        <v>3</v>
      </c>
      <c r="B65" s="27"/>
      <c r="C65" s="10" t="s">
        <v>4</v>
      </c>
      <c r="D65" s="32" t="s">
        <v>62</v>
      </c>
      <c r="E65" s="32" t="s">
        <v>63</v>
      </c>
      <c r="F65" s="32" t="s">
        <v>5</v>
      </c>
      <c r="G65" s="12" t="s">
        <v>6</v>
      </c>
      <c r="H65" s="10" t="s">
        <v>8</v>
      </c>
      <c r="I65" s="13" t="s">
        <v>9</v>
      </c>
    </row>
    <row r="66" spans="1:9" ht="15.75" x14ac:dyDescent="0.25">
      <c r="A66" s="4" t="s">
        <v>52</v>
      </c>
      <c r="B66" s="28"/>
      <c r="C66" s="14" t="s">
        <v>50</v>
      </c>
      <c r="D66" s="38">
        <v>5000</v>
      </c>
      <c r="E66" s="45">
        <v>4</v>
      </c>
      <c r="F66" s="16">
        <f>(E66*D66)</f>
        <v>20000</v>
      </c>
      <c r="G66" s="8" t="s">
        <v>7</v>
      </c>
      <c r="H66" s="19">
        <v>0</v>
      </c>
      <c r="I66" s="5">
        <f>F66*H66</f>
        <v>0</v>
      </c>
    </row>
    <row r="67" spans="1:9" ht="15.75" thickBot="1" x14ac:dyDescent="0.3">
      <c r="A67" s="48" t="s">
        <v>54</v>
      </c>
      <c r="B67" s="49"/>
      <c r="C67" s="50"/>
      <c r="D67" s="50"/>
      <c r="E67" s="50"/>
      <c r="F67" s="50"/>
      <c r="G67" s="50"/>
      <c r="H67" s="50"/>
      <c r="I67" s="6">
        <f>SUM(I66:I66)</f>
        <v>0</v>
      </c>
    </row>
    <row r="68" spans="1:9" x14ac:dyDescent="0.25">
      <c r="A68" s="33"/>
      <c r="B68" s="33"/>
      <c r="C68" s="33"/>
      <c r="D68" s="33"/>
      <c r="E68" s="33"/>
      <c r="F68" s="33"/>
      <c r="G68" s="33"/>
      <c r="H68" s="33"/>
      <c r="I68" s="2"/>
    </row>
    <row r="69" spans="1:9" ht="18.75" x14ac:dyDescent="0.3">
      <c r="A69" s="36" t="s">
        <v>67</v>
      </c>
      <c r="B69" s="36"/>
      <c r="C69" s="36"/>
      <c r="D69" s="36"/>
      <c r="E69" s="36"/>
      <c r="F69" s="36"/>
      <c r="G69" s="36"/>
      <c r="H69" s="36"/>
      <c r="I69" s="37">
        <f>SUM(I15+I26+I32+I38+I45+I51+I57+I62+I67)</f>
        <v>0</v>
      </c>
    </row>
    <row r="70" spans="1:9" x14ac:dyDescent="0.25">
      <c r="G70" s="2"/>
    </row>
    <row r="71" spans="1:9" x14ac:dyDescent="0.25">
      <c r="A71" s="3" t="s">
        <v>0</v>
      </c>
      <c r="B71" s="31"/>
      <c r="C71" s="56"/>
      <c r="D71" s="57"/>
      <c r="E71" s="58"/>
    </row>
    <row r="72" spans="1:9" x14ac:dyDescent="0.25">
      <c r="A72" s="3" t="s">
        <v>2</v>
      </c>
      <c r="B72" s="31"/>
      <c r="C72" s="59"/>
      <c r="D72" s="60"/>
      <c r="E72" s="61"/>
    </row>
  </sheetData>
  <sheetProtection selectLockedCells="1"/>
  <protectedRanges>
    <protectedRange sqref="E5" name="Range1"/>
    <protectedRange sqref="G7 G8:G59 G6 G60:G64 G65:G68" name="Range1_1"/>
  </protectedRanges>
  <mergeCells count="27">
    <mergeCell ref="A1:G1"/>
    <mergeCell ref="A2:G2"/>
    <mergeCell ref="A3:G3"/>
    <mergeCell ref="C4:D4"/>
    <mergeCell ref="A5:G5"/>
    <mergeCell ref="C71:E71"/>
    <mergeCell ref="C72:E72"/>
    <mergeCell ref="A9:I9"/>
    <mergeCell ref="A15:H15"/>
    <mergeCell ref="A17:I17"/>
    <mergeCell ref="A26:H26"/>
    <mergeCell ref="A28:I28"/>
    <mergeCell ref="A32:H32"/>
    <mergeCell ref="A34:I34"/>
    <mergeCell ref="A64:I64"/>
    <mergeCell ref="A6:I6"/>
    <mergeCell ref="A38:H38"/>
    <mergeCell ref="A40:I40"/>
    <mergeCell ref="A45:H45"/>
    <mergeCell ref="A47:I47"/>
    <mergeCell ref="A67:H67"/>
    <mergeCell ref="A51:H51"/>
    <mergeCell ref="A53:I53"/>
    <mergeCell ref="A57:H57"/>
    <mergeCell ref="A59:I59"/>
    <mergeCell ref="A7:I7"/>
    <mergeCell ref="A62:H62"/>
  </mergeCells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81BA-CE5E-457A-914C-E4EE19F55AC3}">
  <dimension ref="A1:O72"/>
  <sheetViews>
    <sheetView showGridLines="0" topLeftCell="A49" workbookViewId="0">
      <selection activeCell="A6" sqref="A6:I6"/>
    </sheetView>
  </sheetViews>
  <sheetFormatPr defaultColWidth="8.7109375" defaultRowHeight="15" x14ac:dyDescent="0.25"/>
  <cols>
    <col min="1" max="1" width="3.5703125" style="1" customWidth="1"/>
    <col min="2" max="2" width="48.140625" style="1" customWidth="1"/>
    <col min="3" max="3" width="37.140625" style="1" customWidth="1"/>
    <col min="4" max="4" width="21" style="1" customWidth="1"/>
    <col min="5" max="5" width="11.28515625" style="1" customWidth="1"/>
    <col min="6" max="6" width="15.28515625" style="1" bestFit="1" customWidth="1"/>
    <col min="7" max="7" width="16.85546875" style="1" customWidth="1"/>
    <col min="8" max="8" width="17.28515625" style="1" customWidth="1"/>
    <col min="9" max="9" width="26.140625" style="1" customWidth="1"/>
    <col min="10" max="16384" width="8.7109375" style="1"/>
  </cols>
  <sheetData>
    <row r="1" spans="1:9" ht="15.75" x14ac:dyDescent="0.25">
      <c r="A1" s="54" t="s">
        <v>56</v>
      </c>
      <c r="B1" s="54"/>
      <c r="C1" s="54"/>
      <c r="D1" s="54"/>
      <c r="E1" s="54"/>
      <c r="F1" s="54"/>
      <c r="G1" s="54"/>
    </row>
    <row r="2" spans="1:9" x14ac:dyDescent="0.25">
      <c r="A2" s="55" t="s">
        <v>1</v>
      </c>
      <c r="B2" s="55"/>
      <c r="C2" s="55"/>
      <c r="D2" s="55"/>
      <c r="E2" s="55"/>
      <c r="F2" s="55"/>
      <c r="G2" s="55"/>
    </row>
    <row r="3" spans="1:9" x14ac:dyDescent="0.25">
      <c r="A3" s="55" t="s">
        <v>11</v>
      </c>
      <c r="B3" s="55"/>
      <c r="C3" s="55"/>
      <c r="D3" s="55"/>
      <c r="E3" s="55"/>
      <c r="F3" s="55"/>
      <c r="G3" s="55"/>
    </row>
    <row r="4" spans="1:9" x14ac:dyDescent="0.25">
      <c r="C4" s="55"/>
      <c r="D4" s="55"/>
    </row>
    <row r="5" spans="1:9" ht="30.75" x14ac:dyDescent="0.4">
      <c r="A5" s="65" t="s">
        <v>59</v>
      </c>
      <c r="B5" s="65"/>
      <c r="C5" s="65"/>
      <c r="D5" s="65"/>
      <c r="E5" s="65"/>
      <c r="F5" s="65"/>
      <c r="G5" s="65"/>
    </row>
    <row r="6" spans="1:9" ht="16.5" thickBot="1" x14ac:dyDescent="0.3">
      <c r="A6" s="51" t="s">
        <v>57</v>
      </c>
      <c r="B6" s="52"/>
      <c r="C6" s="52"/>
      <c r="D6" s="52"/>
      <c r="E6" s="52"/>
      <c r="F6" s="52"/>
      <c r="G6" s="52"/>
      <c r="H6" s="52"/>
      <c r="I6" s="52"/>
    </row>
    <row r="7" spans="1:9" ht="16.5" thickBo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</row>
    <row r="8" spans="1:9" x14ac:dyDescent="0.25">
      <c r="A8" s="34"/>
      <c r="B8" s="34"/>
      <c r="C8" s="34"/>
      <c r="D8" s="34"/>
      <c r="E8" s="34"/>
      <c r="F8" s="34"/>
      <c r="G8" s="34"/>
      <c r="H8" s="34"/>
      <c r="I8" s="35"/>
    </row>
    <row r="9" spans="1:9" ht="16.5" thickBot="1" x14ac:dyDescent="0.3">
      <c r="A9" s="62" t="s">
        <v>45</v>
      </c>
      <c r="B9" s="62"/>
      <c r="C9" s="62"/>
      <c r="D9" s="62"/>
      <c r="E9" s="62"/>
      <c r="F9" s="62"/>
      <c r="G9" s="62"/>
      <c r="H9" s="62"/>
      <c r="I9" s="62"/>
    </row>
    <row r="10" spans="1:9" ht="47.25" x14ac:dyDescent="0.25">
      <c r="A10" s="9" t="s">
        <v>3</v>
      </c>
      <c r="B10" s="27"/>
      <c r="C10" s="10" t="s">
        <v>4</v>
      </c>
      <c r="D10" s="32" t="s">
        <v>62</v>
      </c>
      <c r="E10" s="32" t="s">
        <v>63</v>
      </c>
      <c r="F10" s="32" t="s">
        <v>5</v>
      </c>
      <c r="G10" s="12" t="s">
        <v>6</v>
      </c>
      <c r="H10" s="10" t="s">
        <v>8</v>
      </c>
      <c r="I10" s="13" t="s">
        <v>9</v>
      </c>
    </row>
    <row r="11" spans="1:9" ht="15.75" x14ac:dyDescent="0.25">
      <c r="A11" s="4" t="s">
        <v>12</v>
      </c>
      <c r="B11" s="28"/>
      <c r="C11" s="14" t="s">
        <v>10</v>
      </c>
      <c r="D11" s="38">
        <v>1500</v>
      </c>
      <c r="E11" s="42">
        <v>1</v>
      </c>
      <c r="F11" s="16">
        <f>(D11*E11)</f>
        <v>1500</v>
      </c>
      <c r="G11" s="8" t="s">
        <v>7</v>
      </c>
      <c r="H11" s="19">
        <v>0</v>
      </c>
      <c r="I11" s="5">
        <f>F11*H11</f>
        <v>0</v>
      </c>
    </row>
    <row r="12" spans="1:9" ht="15.75" x14ac:dyDescent="0.25">
      <c r="A12" s="4" t="s">
        <v>13</v>
      </c>
      <c r="C12" s="14" t="s">
        <v>14</v>
      </c>
      <c r="D12" s="38">
        <v>1000</v>
      </c>
      <c r="E12" s="42">
        <v>1</v>
      </c>
      <c r="F12" s="16">
        <f t="shared" ref="F12:F14" si="0">(D12*E12)</f>
        <v>1000</v>
      </c>
      <c r="G12" s="8" t="s">
        <v>7</v>
      </c>
      <c r="H12" s="19">
        <v>0</v>
      </c>
      <c r="I12" s="5">
        <f>F12*H12</f>
        <v>0</v>
      </c>
    </row>
    <row r="13" spans="1:9" ht="15.75" x14ac:dyDescent="0.25">
      <c r="A13" s="4" t="s">
        <v>15</v>
      </c>
      <c r="B13" s="28"/>
      <c r="C13" s="15" t="s">
        <v>16</v>
      </c>
      <c r="D13" s="39">
        <v>2500</v>
      </c>
      <c r="E13" s="43">
        <v>1</v>
      </c>
      <c r="F13" s="16">
        <f t="shared" si="0"/>
        <v>2500</v>
      </c>
      <c r="G13" s="8" t="s">
        <v>7</v>
      </c>
      <c r="H13" s="19">
        <v>0</v>
      </c>
      <c r="I13" s="5">
        <f>F13*H13</f>
        <v>0</v>
      </c>
    </row>
    <row r="14" spans="1:9" ht="16.5" thickBot="1" x14ac:dyDescent="0.3">
      <c r="A14" s="7" t="s">
        <v>17</v>
      </c>
      <c r="B14" s="29"/>
      <c r="C14" s="17" t="s">
        <v>14</v>
      </c>
      <c r="D14" s="40">
        <v>1500</v>
      </c>
      <c r="E14" s="44">
        <v>1</v>
      </c>
      <c r="F14" s="16">
        <f t="shared" si="0"/>
        <v>1500</v>
      </c>
      <c r="G14" s="18" t="s">
        <v>7</v>
      </c>
      <c r="H14" s="19">
        <v>0</v>
      </c>
      <c r="I14" s="5">
        <f>F14*H14</f>
        <v>0</v>
      </c>
    </row>
    <row r="15" spans="1:9" ht="16.5" customHeight="1" thickBot="1" x14ac:dyDescent="0.3">
      <c r="A15" s="48" t="s">
        <v>54</v>
      </c>
      <c r="B15" s="49"/>
      <c r="C15" s="50"/>
      <c r="D15" s="50"/>
      <c r="E15" s="50"/>
      <c r="F15" s="50"/>
      <c r="G15" s="50"/>
      <c r="H15" s="50"/>
      <c r="I15" s="6">
        <f>SUM(I11:I14)</f>
        <v>0</v>
      </c>
    </row>
    <row r="16" spans="1:9" ht="15.75" x14ac:dyDescent="0.25">
      <c r="A16" s="21"/>
      <c r="B16" s="30"/>
      <c r="C16" s="22"/>
      <c r="D16" s="22"/>
      <c r="E16" s="22"/>
      <c r="F16" s="23"/>
      <c r="G16" s="24"/>
      <c r="H16" s="25"/>
      <c r="I16" s="26"/>
    </row>
    <row r="17" spans="1:15" ht="16.5" thickBot="1" x14ac:dyDescent="0.3">
      <c r="A17" s="63" t="s">
        <v>44</v>
      </c>
      <c r="B17" s="52"/>
      <c r="C17" s="52"/>
      <c r="D17" s="52"/>
      <c r="E17" s="52"/>
      <c r="F17" s="52"/>
      <c r="G17" s="52"/>
      <c r="H17" s="52"/>
      <c r="I17" s="64"/>
    </row>
    <row r="18" spans="1:15" ht="47.25" x14ac:dyDescent="0.25">
      <c r="A18" s="9" t="s">
        <v>3</v>
      </c>
      <c r="B18" s="27"/>
      <c r="C18" s="10" t="s">
        <v>4</v>
      </c>
      <c r="D18" s="32" t="s">
        <v>62</v>
      </c>
      <c r="E18" s="32" t="s">
        <v>63</v>
      </c>
      <c r="F18" s="32" t="s">
        <v>5</v>
      </c>
      <c r="G18" s="12" t="s">
        <v>6</v>
      </c>
      <c r="H18" s="10" t="s">
        <v>8</v>
      </c>
      <c r="I18" s="13" t="s">
        <v>9</v>
      </c>
    </row>
    <row r="19" spans="1:15" ht="15.75" x14ac:dyDescent="0.25">
      <c r="A19" s="4" t="s">
        <v>18</v>
      </c>
      <c r="B19" s="28"/>
      <c r="C19" s="14" t="s">
        <v>16</v>
      </c>
      <c r="D19" s="38">
        <v>1500</v>
      </c>
      <c r="E19" s="45">
        <v>3</v>
      </c>
      <c r="F19" s="16">
        <f>(D19*E19)</f>
        <v>4500</v>
      </c>
      <c r="G19" s="8" t="s">
        <v>7</v>
      </c>
      <c r="H19" s="19">
        <v>0</v>
      </c>
      <c r="I19" s="5">
        <f t="shared" ref="I19:I25" si="1">F19*H19</f>
        <v>0</v>
      </c>
    </row>
    <row r="20" spans="1:15" ht="15.75" x14ac:dyDescent="0.25">
      <c r="A20" s="4"/>
      <c r="B20" s="28" t="s">
        <v>21</v>
      </c>
      <c r="C20" s="14" t="s">
        <v>22</v>
      </c>
      <c r="D20" s="14">
        <v>800</v>
      </c>
      <c r="E20" s="45">
        <v>3</v>
      </c>
      <c r="F20" s="16">
        <f t="shared" ref="F20:F25" si="2">(D20*E20)</f>
        <v>2400</v>
      </c>
      <c r="G20" s="8" t="s">
        <v>7</v>
      </c>
      <c r="H20" s="19">
        <v>0</v>
      </c>
      <c r="I20" s="5">
        <f t="shared" si="1"/>
        <v>0</v>
      </c>
    </row>
    <row r="21" spans="1:15" ht="15.75" x14ac:dyDescent="0.25">
      <c r="A21" s="4" t="s">
        <v>19</v>
      </c>
      <c r="B21" s="28"/>
      <c r="C21" s="14" t="s">
        <v>16</v>
      </c>
      <c r="D21" s="38">
        <v>1500</v>
      </c>
      <c r="E21" s="45">
        <v>3</v>
      </c>
      <c r="F21" s="16">
        <f t="shared" si="2"/>
        <v>4500</v>
      </c>
      <c r="G21" s="8" t="s">
        <v>7</v>
      </c>
      <c r="H21" s="19">
        <v>0</v>
      </c>
      <c r="I21" s="5">
        <f t="shared" si="1"/>
        <v>0</v>
      </c>
    </row>
    <row r="22" spans="1:15" ht="15.75" x14ac:dyDescent="0.25">
      <c r="A22" s="4"/>
      <c r="B22" s="28" t="s">
        <v>23</v>
      </c>
      <c r="C22" s="14" t="s">
        <v>22</v>
      </c>
      <c r="D22" s="14">
        <v>800</v>
      </c>
      <c r="E22" s="45">
        <v>3</v>
      </c>
      <c r="F22" s="16">
        <f t="shared" si="2"/>
        <v>2400</v>
      </c>
      <c r="G22" s="8" t="s">
        <v>7</v>
      </c>
      <c r="H22" s="19">
        <v>0</v>
      </c>
      <c r="I22" s="5">
        <f t="shared" si="1"/>
        <v>0</v>
      </c>
    </row>
    <row r="23" spans="1:15" ht="15.75" x14ac:dyDescent="0.25">
      <c r="A23" s="4" t="s">
        <v>20</v>
      </c>
      <c r="B23" s="28"/>
      <c r="C23" s="14" t="s">
        <v>16</v>
      </c>
      <c r="D23" s="38">
        <v>1500</v>
      </c>
      <c r="E23" s="45">
        <v>3</v>
      </c>
      <c r="F23" s="16">
        <f t="shared" si="2"/>
        <v>4500</v>
      </c>
      <c r="G23" s="8" t="s">
        <v>7</v>
      </c>
      <c r="H23" s="19">
        <v>0</v>
      </c>
      <c r="I23" s="5">
        <f t="shared" si="1"/>
        <v>0</v>
      </c>
    </row>
    <row r="24" spans="1:15" ht="15.75" x14ac:dyDescent="0.25">
      <c r="A24" s="4"/>
      <c r="B24" s="28" t="s">
        <v>24</v>
      </c>
      <c r="C24" s="14" t="s">
        <v>22</v>
      </c>
      <c r="D24" s="14">
        <v>800</v>
      </c>
      <c r="E24" s="45">
        <v>3</v>
      </c>
      <c r="F24" s="16">
        <f t="shared" si="2"/>
        <v>2400</v>
      </c>
      <c r="G24" s="8" t="s">
        <v>7</v>
      </c>
      <c r="H24" s="19">
        <v>0</v>
      </c>
      <c r="I24" s="5">
        <f t="shared" si="1"/>
        <v>0</v>
      </c>
    </row>
    <row r="25" spans="1:15" ht="32.25" thickBot="1" x14ac:dyDescent="0.3">
      <c r="A25" s="7" t="s">
        <v>25</v>
      </c>
      <c r="B25" s="29"/>
      <c r="C25" s="17" t="s">
        <v>26</v>
      </c>
      <c r="D25" s="41">
        <v>500</v>
      </c>
      <c r="E25" s="46">
        <v>1</v>
      </c>
      <c r="F25" s="16">
        <f t="shared" si="2"/>
        <v>500</v>
      </c>
      <c r="G25" s="18" t="s">
        <v>7</v>
      </c>
      <c r="H25" s="19">
        <v>0</v>
      </c>
      <c r="I25" s="5">
        <f t="shared" si="1"/>
        <v>0</v>
      </c>
    </row>
    <row r="26" spans="1:15" ht="15.75" thickBot="1" x14ac:dyDescent="0.3">
      <c r="A26" s="48" t="s">
        <v>54</v>
      </c>
      <c r="B26" s="49"/>
      <c r="C26" s="50"/>
      <c r="D26" s="50"/>
      <c r="E26" s="50"/>
      <c r="F26" s="50"/>
      <c r="G26" s="50"/>
      <c r="H26" s="50"/>
      <c r="I26" s="6">
        <f>SUM(I19:I25)</f>
        <v>0</v>
      </c>
    </row>
    <row r="27" spans="1:15" x14ac:dyDescent="0.25">
      <c r="A27" s="34"/>
      <c r="B27" s="34"/>
      <c r="C27" s="34"/>
      <c r="D27" s="34"/>
      <c r="E27" s="34"/>
      <c r="F27" s="34"/>
      <c r="G27" s="34"/>
      <c r="H27" s="34"/>
      <c r="I27" s="35"/>
      <c r="O27" s="20"/>
    </row>
    <row r="28" spans="1:15" ht="16.5" thickBot="1" x14ac:dyDescent="0.3">
      <c r="A28" s="53" t="s">
        <v>40</v>
      </c>
      <c r="B28" s="53"/>
      <c r="C28" s="53"/>
      <c r="D28" s="53"/>
      <c r="E28" s="53"/>
      <c r="F28" s="53"/>
      <c r="G28" s="53"/>
      <c r="H28" s="53"/>
      <c r="I28" s="53"/>
    </row>
    <row r="29" spans="1:15" ht="47.25" x14ac:dyDescent="0.25">
      <c r="A29" s="9" t="s">
        <v>3</v>
      </c>
      <c r="B29" s="27"/>
      <c r="C29" s="10" t="s">
        <v>4</v>
      </c>
      <c r="D29" s="32" t="s">
        <v>62</v>
      </c>
      <c r="E29" s="32" t="s">
        <v>63</v>
      </c>
      <c r="F29" s="32" t="s">
        <v>5</v>
      </c>
      <c r="G29" s="12" t="s">
        <v>6</v>
      </c>
      <c r="H29" s="10" t="s">
        <v>8</v>
      </c>
      <c r="I29" s="13" t="s">
        <v>9</v>
      </c>
    </row>
    <row r="30" spans="1:15" ht="15.75" x14ac:dyDescent="0.25">
      <c r="A30" s="4" t="s">
        <v>27</v>
      </c>
      <c r="B30" s="28"/>
      <c r="C30" s="14" t="s">
        <v>16</v>
      </c>
      <c r="D30" s="47">
        <v>1200</v>
      </c>
      <c r="E30" s="45">
        <v>1</v>
      </c>
      <c r="F30" s="16">
        <f>(E30*D30)</f>
        <v>1200</v>
      </c>
      <c r="G30" s="8" t="s">
        <v>7</v>
      </c>
      <c r="H30" s="19">
        <v>0</v>
      </c>
      <c r="I30" s="5">
        <f>F30*H30</f>
        <v>0</v>
      </c>
    </row>
    <row r="31" spans="1:15" ht="15.75" x14ac:dyDescent="0.25">
      <c r="A31" s="4" t="s">
        <v>28</v>
      </c>
      <c r="B31" s="28"/>
      <c r="C31" s="14" t="s">
        <v>29</v>
      </c>
      <c r="D31" s="47">
        <v>1200</v>
      </c>
      <c r="E31" s="45">
        <v>1</v>
      </c>
      <c r="F31" s="16">
        <f>(E31*D31)</f>
        <v>1200</v>
      </c>
      <c r="G31" s="8" t="s">
        <v>7</v>
      </c>
      <c r="H31" s="19">
        <v>0</v>
      </c>
      <c r="I31" s="5">
        <f>F31*H31</f>
        <v>0</v>
      </c>
    </row>
    <row r="32" spans="1:15" ht="15.75" thickBot="1" x14ac:dyDescent="0.3">
      <c r="A32" s="48" t="s">
        <v>54</v>
      </c>
      <c r="B32" s="49"/>
      <c r="C32" s="50"/>
      <c r="D32" s="50"/>
      <c r="E32" s="50"/>
      <c r="F32" s="50"/>
      <c r="G32" s="50"/>
      <c r="H32" s="50"/>
      <c r="I32" s="6">
        <f>SUM(I30:I31)</f>
        <v>0</v>
      </c>
    </row>
    <row r="33" spans="1:9" x14ac:dyDescent="0.25">
      <c r="A33" s="34"/>
      <c r="B33" s="34"/>
      <c r="C33" s="34"/>
      <c r="D33" s="34"/>
      <c r="E33" s="34"/>
      <c r="F33" s="34"/>
      <c r="G33" s="34"/>
      <c r="H33" s="34"/>
      <c r="I33" s="35"/>
    </row>
    <row r="34" spans="1:9" ht="16.5" thickBot="1" x14ac:dyDescent="0.3">
      <c r="A34" s="53" t="s">
        <v>39</v>
      </c>
      <c r="B34" s="53"/>
      <c r="C34" s="53"/>
      <c r="D34" s="53"/>
      <c r="E34" s="53"/>
      <c r="F34" s="53"/>
      <c r="G34" s="53"/>
      <c r="H34" s="53"/>
      <c r="I34" s="53"/>
    </row>
    <row r="35" spans="1:9" ht="47.25" x14ac:dyDescent="0.25">
      <c r="A35" s="9" t="s">
        <v>3</v>
      </c>
      <c r="B35" s="27"/>
      <c r="C35" s="10" t="s">
        <v>4</v>
      </c>
      <c r="D35" s="32" t="s">
        <v>62</v>
      </c>
      <c r="E35" s="32" t="s">
        <v>63</v>
      </c>
      <c r="F35" s="32" t="s">
        <v>5</v>
      </c>
      <c r="G35" s="12" t="s">
        <v>6</v>
      </c>
      <c r="H35" s="10" t="s">
        <v>8</v>
      </c>
      <c r="I35" s="13" t="s">
        <v>9</v>
      </c>
    </row>
    <row r="36" spans="1:9" ht="15.75" x14ac:dyDescent="0.25">
      <c r="A36" s="4" t="s">
        <v>30</v>
      </c>
      <c r="B36" s="28"/>
      <c r="C36" s="14" t="s">
        <v>31</v>
      </c>
      <c r="D36" s="47">
        <v>1200</v>
      </c>
      <c r="E36" s="45">
        <v>1</v>
      </c>
      <c r="F36" s="16">
        <f>(E36*D36)</f>
        <v>1200</v>
      </c>
      <c r="G36" s="8" t="s">
        <v>7</v>
      </c>
      <c r="H36" s="19">
        <v>0</v>
      </c>
      <c r="I36" s="5">
        <f>F36*H36</f>
        <v>0</v>
      </c>
    </row>
    <row r="37" spans="1:9" ht="15.75" x14ac:dyDescent="0.25">
      <c r="A37" s="4" t="s">
        <v>32</v>
      </c>
      <c r="B37" s="28"/>
      <c r="C37" s="14" t="s">
        <v>22</v>
      </c>
      <c r="D37" s="47">
        <v>2400</v>
      </c>
      <c r="E37" s="45">
        <v>1</v>
      </c>
      <c r="F37" s="16">
        <f>(E37*D37)</f>
        <v>2400</v>
      </c>
      <c r="G37" s="8" t="s">
        <v>7</v>
      </c>
      <c r="H37" s="19">
        <v>0</v>
      </c>
      <c r="I37" s="5">
        <f>F37*H37</f>
        <v>0</v>
      </c>
    </row>
    <row r="38" spans="1:9" ht="15.75" thickBot="1" x14ac:dyDescent="0.3">
      <c r="A38" s="48" t="s">
        <v>54</v>
      </c>
      <c r="B38" s="49"/>
      <c r="C38" s="50"/>
      <c r="D38" s="50"/>
      <c r="E38" s="50"/>
      <c r="F38" s="50"/>
      <c r="G38" s="50"/>
      <c r="H38" s="50"/>
      <c r="I38" s="6">
        <f>SUM(I36:I37)</f>
        <v>0</v>
      </c>
    </row>
    <row r="39" spans="1:9" x14ac:dyDescent="0.25">
      <c r="A39" s="34"/>
      <c r="B39" s="34"/>
      <c r="C39" s="34"/>
      <c r="D39" s="34"/>
      <c r="E39" s="34"/>
      <c r="F39" s="34"/>
      <c r="G39" s="34"/>
      <c r="H39" s="34"/>
      <c r="I39" s="35"/>
    </row>
    <row r="40" spans="1:9" ht="16.5" thickBot="1" x14ac:dyDescent="0.3">
      <c r="A40" s="53" t="s">
        <v>38</v>
      </c>
      <c r="B40" s="53"/>
      <c r="C40" s="53"/>
      <c r="D40" s="53"/>
      <c r="E40" s="53"/>
      <c r="F40" s="53"/>
      <c r="G40" s="53"/>
      <c r="H40" s="53"/>
      <c r="I40" s="53"/>
    </row>
    <row r="41" spans="1:9" ht="47.25" x14ac:dyDescent="0.25">
      <c r="A41" s="9" t="s">
        <v>3</v>
      </c>
      <c r="B41" s="27"/>
      <c r="C41" s="10" t="s">
        <v>4</v>
      </c>
      <c r="D41" s="32" t="s">
        <v>62</v>
      </c>
      <c r="E41" s="32" t="s">
        <v>63</v>
      </c>
      <c r="F41" s="32" t="s">
        <v>5</v>
      </c>
      <c r="G41" s="12" t="s">
        <v>6</v>
      </c>
      <c r="H41" s="10" t="s">
        <v>8</v>
      </c>
      <c r="I41" s="13" t="s">
        <v>9</v>
      </c>
    </row>
    <row r="42" spans="1:9" ht="15.75" x14ac:dyDescent="0.25">
      <c r="A42" s="4" t="s">
        <v>33</v>
      </c>
      <c r="B42" s="28"/>
      <c r="C42" s="14" t="s">
        <v>16</v>
      </c>
      <c r="D42" s="47">
        <v>1200</v>
      </c>
      <c r="E42" s="45">
        <v>3</v>
      </c>
      <c r="F42" s="16">
        <f>(E42*D42)</f>
        <v>3600</v>
      </c>
      <c r="G42" s="8" t="s">
        <v>7</v>
      </c>
      <c r="H42" s="19">
        <v>0</v>
      </c>
      <c r="I42" s="5">
        <f>F42*H42</f>
        <v>0</v>
      </c>
    </row>
    <row r="43" spans="1:9" ht="15.75" x14ac:dyDescent="0.25">
      <c r="A43" s="4" t="s">
        <v>34</v>
      </c>
      <c r="B43" s="28"/>
      <c r="C43" s="14" t="s">
        <v>22</v>
      </c>
      <c r="D43" s="47">
        <v>1200</v>
      </c>
      <c r="E43" s="45">
        <v>3</v>
      </c>
      <c r="F43" s="16">
        <f>(E43*D43)</f>
        <v>3600</v>
      </c>
      <c r="G43" s="8" t="s">
        <v>7</v>
      </c>
      <c r="H43" s="19">
        <v>0</v>
      </c>
      <c r="I43" s="5">
        <f>F43*H43</f>
        <v>0</v>
      </c>
    </row>
    <row r="44" spans="1:9" ht="15.75" x14ac:dyDescent="0.25">
      <c r="A44" s="4" t="s">
        <v>35</v>
      </c>
      <c r="B44" s="28"/>
      <c r="C44" s="14" t="s">
        <v>36</v>
      </c>
      <c r="D44" s="38">
        <v>1000</v>
      </c>
      <c r="E44" s="45">
        <v>2</v>
      </c>
      <c r="F44" s="16">
        <v>2000</v>
      </c>
      <c r="G44" s="8" t="s">
        <v>7</v>
      </c>
      <c r="H44" s="19">
        <v>0</v>
      </c>
      <c r="I44" s="5">
        <f>F44*H44</f>
        <v>0</v>
      </c>
    </row>
    <row r="45" spans="1:9" ht="15.75" thickBot="1" x14ac:dyDescent="0.3">
      <c r="A45" s="48" t="s">
        <v>54</v>
      </c>
      <c r="B45" s="49"/>
      <c r="C45" s="50"/>
      <c r="D45" s="50"/>
      <c r="E45" s="50"/>
      <c r="F45" s="50"/>
      <c r="G45" s="50"/>
      <c r="H45" s="50"/>
      <c r="I45" s="6">
        <f>SUM(I42:I44)</f>
        <v>0</v>
      </c>
    </row>
    <row r="46" spans="1:9" x14ac:dyDescent="0.25">
      <c r="A46" s="34"/>
      <c r="B46" s="34"/>
      <c r="C46" s="34"/>
      <c r="D46" s="34"/>
      <c r="E46" s="34"/>
      <c r="F46" s="34"/>
      <c r="G46" s="34"/>
      <c r="H46" s="34"/>
      <c r="I46" s="35"/>
    </row>
    <row r="47" spans="1:9" ht="16.5" thickBot="1" x14ac:dyDescent="0.3">
      <c r="A47" s="53" t="s">
        <v>37</v>
      </c>
      <c r="B47" s="53"/>
      <c r="C47" s="53"/>
      <c r="D47" s="53"/>
      <c r="E47" s="53"/>
      <c r="F47" s="53"/>
      <c r="G47" s="53"/>
      <c r="H47" s="53"/>
      <c r="I47" s="53"/>
    </row>
    <row r="48" spans="1:9" ht="47.25" x14ac:dyDescent="0.25">
      <c r="A48" s="9" t="s">
        <v>3</v>
      </c>
      <c r="B48" s="27"/>
      <c r="C48" s="10" t="s">
        <v>4</v>
      </c>
      <c r="D48" s="32" t="s">
        <v>62</v>
      </c>
      <c r="E48" s="32" t="s">
        <v>63</v>
      </c>
      <c r="F48" s="32" t="s">
        <v>5</v>
      </c>
      <c r="G48" s="12" t="s">
        <v>6</v>
      </c>
      <c r="H48" s="10" t="s">
        <v>8</v>
      </c>
      <c r="I48" s="13" t="s">
        <v>9</v>
      </c>
    </row>
    <row r="49" spans="1:9" ht="15.75" x14ac:dyDescent="0.25">
      <c r="A49" s="4" t="s">
        <v>41</v>
      </c>
      <c r="B49" s="28"/>
      <c r="C49" s="14" t="s">
        <v>16</v>
      </c>
      <c r="D49" s="38">
        <v>1500</v>
      </c>
      <c r="E49" s="45">
        <v>1</v>
      </c>
      <c r="F49" s="16">
        <f>(E49*D49)</f>
        <v>1500</v>
      </c>
      <c r="G49" s="8" t="s">
        <v>7</v>
      </c>
      <c r="H49" s="19">
        <v>0</v>
      </c>
      <c r="I49" s="5">
        <f>F49*H49</f>
        <v>0</v>
      </c>
    </row>
    <row r="50" spans="1:9" ht="15.75" x14ac:dyDescent="0.25">
      <c r="A50" s="4" t="s">
        <v>42</v>
      </c>
      <c r="B50" s="28"/>
      <c r="C50" s="14" t="s">
        <v>36</v>
      </c>
      <c r="D50" s="38">
        <v>1500</v>
      </c>
      <c r="E50" s="45">
        <v>2</v>
      </c>
      <c r="F50" s="16">
        <f>(E50*D50)</f>
        <v>3000</v>
      </c>
      <c r="G50" s="8" t="s">
        <v>7</v>
      </c>
      <c r="H50" s="19">
        <v>0</v>
      </c>
      <c r="I50" s="5">
        <f>F50*H50</f>
        <v>0</v>
      </c>
    </row>
    <row r="51" spans="1:9" ht="15.75" thickBot="1" x14ac:dyDescent="0.3">
      <c r="A51" s="48" t="s">
        <v>54</v>
      </c>
      <c r="B51" s="49"/>
      <c r="C51" s="50"/>
      <c r="D51" s="50"/>
      <c r="E51" s="50"/>
      <c r="F51" s="50"/>
      <c r="G51" s="50"/>
      <c r="H51" s="50"/>
      <c r="I51" s="6">
        <f>SUM(I49:I50)</f>
        <v>0</v>
      </c>
    </row>
    <row r="52" spans="1:9" x14ac:dyDescent="0.25">
      <c r="A52" s="34"/>
      <c r="B52" s="34"/>
      <c r="C52" s="34"/>
      <c r="D52" s="34"/>
      <c r="E52" s="34"/>
      <c r="F52" s="34"/>
      <c r="G52" s="34"/>
      <c r="H52" s="34"/>
      <c r="I52" s="35"/>
    </row>
    <row r="53" spans="1:9" ht="16.5" thickBot="1" x14ac:dyDescent="0.3">
      <c r="A53" s="53" t="s">
        <v>43</v>
      </c>
      <c r="B53" s="53"/>
      <c r="C53" s="53"/>
      <c r="D53" s="53"/>
      <c r="E53" s="53"/>
      <c r="F53" s="53"/>
      <c r="G53" s="53"/>
      <c r="H53" s="53"/>
      <c r="I53" s="53"/>
    </row>
    <row r="54" spans="1:9" ht="47.25" x14ac:dyDescent="0.25">
      <c r="A54" s="9" t="s">
        <v>3</v>
      </c>
      <c r="B54" s="27"/>
      <c r="C54" s="10" t="s">
        <v>4</v>
      </c>
      <c r="D54" s="32" t="s">
        <v>62</v>
      </c>
      <c r="E54" s="32" t="s">
        <v>63</v>
      </c>
      <c r="F54" s="32" t="s">
        <v>5</v>
      </c>
      <c r="G54" s="12" t="s">
        <v>6</v>
      </c>
      <c r="H54" s="10" t="s">
        <v>8</v>
      </c>
      <c r="I54" s="13" t="s">
        <v>9</v>
      </c>
    </row>
    <row r="55" spans="1:9" ht="15.75" x14ac:dyDescent="0.25">
      <c r="A55" s="4" t="s">
        <v>46</v>
      </c>
      <c r="B55" s="28"/>
      <c r="C55" s="14" t="s">
        <v>16</v>
      </c>
      <c r="D55" s="38">
        <v>1500</v>
      </c>
      <c r="E55" s="45">
        <v>3</v>
      </c>
      <c r="F55" s="16">
        <f>(E55*D55)</f>
        <v>4500</v>
      </c>
      <c r="G55" s="8" t="s">
        <v>7</v>
      </c>
      <c r="H55" s="19">
        <v>0</v>
      </c>
      <c r="I55" s="5">
        <f>F55*H55</f>
        <v>0</v>
      </c>
    </row>
    <row r="56" spans="1:9" ht="15.75" x14ac:dyDescent="0.25">
      <c r="A56" s="4" t="s">
        <v>47</v>
      </c>
      <c r="B56" s="28"/>
      <c r="C56" s="14" t="s">
        <v>29</v>
      </c>
      <c r="D56" s="38">
        <v>500</v>
      </c>
      <c r="E56" s="45">
        <v>1</v>
      </c>
      <c r="F56" s="16">
        <f>(E56*D56)</f>
        <v>500</v>
      </c>
      <c r="G56" s="8" t="s">
        <v>7</v>
      </c>
      <c r="H56" s="19">
        <v>0</v>
      </c>
      <c r="I56" s="5">
        <f>F56*H56</f>
        <v>0</v>
      </c>
    </row>
    <row r="57" spans="1:9" ht="15.75" thickBot="1" x14ac:dyDescent="0.3">
      <c r="A57" s="48" t="s">
        <v>54</v>
      </c>
      <c r="B57" s="49"/>
      <c r="C57" s="50"/>
      <c r="D57" s="50"/>
      <c r="E57" s="50"/>
      <c r="F57" s="50"/>
      <c r="G57" s="50"/>
      <c r="H57" s="50"/>
      <c r="I57" s="6">
        <f>SUM(I55:I56)</f>
        <v>0</v>
      </c>
    </row>
    <row r="58" spans="1:9" x14ac:dyDescent="0.25">
      <c r="A58" s="34"/>
      <c r="B58" s="34"/>
      <c r="C58" s="34"/>
      <c r="D58" s="34"/>
      <c r="E58" s="34"/>
      <c r="F58" s="34"/>
      <c r="G58" s="34"/>
      <c r="H58" s="34"/>
      <c r="I58" s="35"/>
    </row>
    <row r="59" spans="1:9" ht="16.5" thickBot="1" x14ac:dyDescent="0.3">
      <c r="A59" s="53" t="s">
        <v>48</v>
      </c>
      <c r="B59" s="53"/>
      <c r="C59" s="53"/>
      <c r="D59" s="53"/>
      <c r="E59" s="53"/>
      <c r="F59" s="53"/>
      <c r="G59" s="53"/>
      <c r="H59" s="53"/>
      <c r="I59" s="53"/>
    </row>
    <row r="60" spans="1:9" ht="47.25" x14ac:dyDescent="0.25">
      <c r="A60" s="9" t="s">
        <v>3</v>
      </c>
      <c r="B60" s="27"/>
      <c r="C60" s="10" t="s">
        <v>4</v>
      </c>
      <c r="D60" s="32" t="s">
        <v>62</v>
      </c>
      <c r="E60" s="32" t="s">
        <v>63</v>
      </c>
      <c r="F60" s="32" t="s">
        <v>5</v>
      </c>
      <c r="G60" s="12" t="s">
        <v>6</v>
      </c>
      <c r="H60" s="10" t="s">
        <v>8</v>
      </c>
      <c r="I60" s="13" t="s">
        <v>9</v>
      </c>
    </row>
    <row r="61" spans="1:9" ht="15.75" x14ac:dyDescent="0.25">
      <c r="A61" s="4" t="s">
        <v>49</v>
      </c>
      <c r="B61" s="28"/>
      <c r="C61" s="14" t="s">
        <v>50</v>
      </c>
      <c r="D61" s="38">
        <v>2500</v>
      </c>
      <c r="E61" s="45">
        <v>24</v>
      </c>
      <c r="F61" s="16">
        <f>(E61*D61)</f>
        <v>60000</v>
      </c>
      <c r="G61" s="8" t="s">
        <v>7</v>
      </c>
      <c r="H61" s="19">
        <v>0</v>
      </c>
      <c r="I61" s="5">
        <f>F61*H61</f>
        <v>0</v>
      </c>
    </row>
    <row r="62" spans="1:9" ht="15.75" thickBot="1" x14ac:dyDescent="0.3">
      <c r="A62" s="48" t="s">
        <v>54</v>
      </c>
      <c r="B62" s="49"/>
      <c r="C62" s="50"/>
      <c r="D62" s="50"/>
      <c r="E62" s="50"/>
      <c r="F62" s="50"/>
      <c r="G62" s="50"/>
      <c r="H62" s="50"/>
      <c r="I62" s="6">
        <f>SUM(I61:I61)</f>
        <v>0</v>
      </c>
    </row>
    <row r="63" spans="1:9" x14ac:dyDescent="0.25">
      <c r="A63" s="34"/>
      <c r="B63" s="34"/>
      <c r="C63" s="34"/>
      <c r="D63" s="34"/>
      <c r="E63" s="34"/>
      <c r="F63" s="34"/>
      <c r="G63" s="34"/>
      <c r="H63" s="34"/>
      <c r="I63" s="35"/>
    </row>
    <row r="64" spans="1:9" ht="16.5" thickBot="1" x14ac:dyDescent="0.3">
      <c r="A64" s="53" t="s">
        <v>51</v>
      </c>
      <c r="B64" s="53"/>
      <c r="C64" s="53"/>
      <c r="D64" s="53"/>
      <c r="E64" s="53"/>
      <c r="F64" s="53"/>
      <c r="G64" s="53"/>
      <c r="H64" s="53"/>
      <c r="I64" s="53"/>
    </row>
    <row r="65" spans="1:9" ht="47.25" x14ac:dyDescent="0.25">
      <c r="A65" s="9" t="s">
        <v>3</v>
      </c>
      <c r="B65" s="27"/>
      <c r="C65" s="10" t="s">
        <v>4</v>
      </c>
      <c r="D65" s="32" t="s">
        <v>62</v>
      </c>
      <c r="E65" s="32" t="s">
        <v>63</v>
      </c>
      <c r="F65" s="32" t="s">
        <v>5</v>
      </c>
      <c r="G65" s="12" t="s">
        <v>6</v>
      </c>
      <c r="H65" s="10" t="s">
        <v>8</v>
      </c>
      <c r="I65" s="13" t="s">
        <v>9</v>
      </c>
    </row>
    <row r="66" spans="1:9" ht="15.75" x14ac:dyDescent="0.25">
      <c r="A66" s="4" t="s">
        <v>52</v>
      </c>
      <c r="B66" s="28"/>
      <c r="C66" s="14" t="s">
        <v>50</v>
      </c>
      <c r="D66" s="38">
        <v>5000</v>
      </c>
      <c r="E66" s="45">
        <v>4</v>
      </c>
      <c r="F66" s="16">
        <f>(E66*D66)</f>
        <v>20000</v>
      </c>
      <c r="G66" s="8" t="s">
        <v>7</v>
      </c>
      <c r="H66" s="19">
        <v>0</v>
      </c>
      <c r="I66" s="5">
        <f>F66*H66</f>
        <v>0</v>
      </c>
    </row>
    <row r="67" spans="1:9" ht="15.75" thickBot="1" x14ac:dyDescent="0.3">
      <c r="A67" s="48" t="s">
        <v>54</v>
      </c>
      <c r="B67" s="49"/>
      <c r="C67" s="50"/>
      <c r="D67" s="50"/>
      <c r="E67" s="50"/>
      <c r="F67" s="50"/>
      <c r="G67" s="50"/>
      <c r="H67" s="50"/>
      <c r="I67" s="6">
        <f>SUM(I66:I66)</f>
        <v>0</v>
      </c>
    </row>
    <row r="68" spans="1:9" x14ac:dyDescent="0.25">
      <c r="A68" s="33"/>
      <c r="B68" s="33"/>
      <c r="C68" s="33"/>
      <c r="D68" s="33"/>
      <c r="E68" s="33"/>
      <c r="F68" s="33"/>
      <c r="G68" s="33"/>
      <c r="H68" s="33"/>
      <c r="I68" s="2"/>
    </row>
    <row r="69" spans="1:9" ht="18.75" x14ac:dyDescent="0.3">
      <c r="A69" s="36" t="s">
        <v>66</v>
      </c>
      <c r="B69" s="36"/>
      <c r="C69" s="36"/>
      <c r="D69" s="36"/>
      <c r="E69" s="36"/>
      <c r="F69" s="36"/>
      <c r="G69" s="36"/>
      <c r="H69" s="36"/>
      <c r="I69" s="37">
        <f>SUM(I15+I26+I32+I38+I45+I51+I57+I62+I67)</f>
        <v>0</v>
      </c>
    </row>
    <row r="70" spans="1:9" x14ac:dyDescent="0.25">
      <c r="G70" s="2"/>
    </row>
    <row r="71" spans="1:9" x14ac:dyDescent="0.25">
      <c r="A71" s="3" t="s">
        <v>0</v>
      </c>
      <c r="B71" s="31"/>
      <c r="C71" s="56"/>
      <c r="D71" s="57"/>
      <c r="E71" s="58"/>
    </row>
    <row r="72" spans="1:9" x14ac:dyDescent="0.25">
      <c r="A72" s="3" t="s">
        <v>2</v>
      </c>
      <c r="B72" s="31"/>
      <c r="C72" s="59"/>
      <c r="D72" s="60"/>
      <c r="E72" s="61"/>
    </row>
  </sheetData>
  <sheetProtection selectLockedCells="1"/>
  <protectedRanges>
    <protectedRange sqref="E5" name="Range1"/>
    <protectedRange sqref="G7 G8:G59 G6 G60:G64 G65:G68" name="Range1_1"/>
  </protectedRanges>
  <mergeCells count="27">
    <mergeCell ref="A1:G1"/>
    <mergeCell ref="A2:G2"/>
    <mergeCell ref="A3:G3"/>
    <mergeCell ref="C4:D4"/>
    <mergeCell ref="A5:G5"/>
    <mergeCell ref="C71:E71"/>
    <mergeCell ref="C72:E72"/>
    <mergeCell ref="A9:I9"/>
    <mergeCell ref="A15:H15"/>
    <mergeCell ref="A17:I17"/>
    <mergeCell ref="A26:H26"/>
    <mergeCell ref="A28:I28"/>
    <mergeCell ref="A32:H32"/>
    <mergeCell ref="A34:I34"/>
    <mergeCell ref="A64:I64"/>
    <mergeCell ref="A6:I6"/>
    <mergeCell ref="A38:H38"/>
    <mergeCell ref="A40:I40"/>
    <mergeCell ref="A45:H45"/>
    <mergeCell ref="A47:I47"/>
    <mergeCell ref="A67:H67"/>
    <mergeCell ref="A51:H51"/>
    <mergeCell ref="A53:I53"/>
    <mergeCell ref="A57:H57"/>
    <mergeCell ref="A59:I59"/>
    <mergeCell ref="A7:I7"/>
    <mergeCell ref="A62:H62"/>
  </mergeCells>
  <pageMargins left="0.7" right="0.7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4E0B-BB14-44B2-ACC0-B3D02772FA04}">
  <dimension ref="A1:O72"/>
  <sheetViews>
    <sheetView showGridLines="0" topLeftCell="A48" workbookViewId="0">
      <selection activeCell="A6" sqref="A6:I6"/>
    </sheetView>
  </sheetViews>
  <sheetFormatPr defaultColWidth="8.7109375" defaultRowHeight="15" x14ac:dyDescent="0.25"/>
  <cols>
    <col min="1" max="1" width="3.5703125" style="1" customWidth="1"/>
    <col min="2" max="2" width="48.140625" style="1" customWidth="1"/>
    <col min="3" max="3" width="37.140625" style="1" customWidth="1"/>
    <col min="4" max="4" width="21" style="1" customWidth="1"/>
    <col min="5" max="5" width="12.140625" style="1" customWidth="1"/>
    <col min="6" max="6" width="15.28515625" style="1" bestFit="1" customWidth="1"/>
    <col min="7" max="7" width="16.85546875" style="1" customWidth="1"/>
    <col min="8" max="8" width="17.28515625" style="1" customWidth="1"/>
    <col min="9" max="9" width="22.140625" style="1" customWidth="1"/>
    <col min="10" max="16384" width="8.7109375" style="1"/>
  </cols>
  <sheetData>
    <row r="1" spans="1:9" ht="15.75" x14ac:dyDescent="0.25">
      <c r="A1" s="54" t="s">
        <v>56</v>
      </c>
      <c r="B1" s="54"/>
      <c r="C1" s="54"/>
      <c r="D1" s="54"/>
      <c r="E1" s="54"/>
      <c r="F1" s="54"/>
      <c r="G1" s="54"/>
    </row>
    <row r="2" spans="1:9" x14ac:dyDescent="0.25">
      <c r="A2" s="55" t="s">
        <v>1</v>
      </c>
      <c r="B2" s="55"/>
      <c r="C2" s="55"/>
      <c r="D2" s="55"/>
      <c r="E2" s="55"/>
      <c r="F2" s="55"/>
      <c r="G2" s="55"/>
    </row>
    <row r="3" spans="1:9" x14ac:dyDescent="0.25">
      <c r="A3" s="55" t="s">
        <v>11</v>
      </c>
      <c r="B3" s="55"/>
      <c r="C3" s="55"/>
      <c r="D3" s="55"/>
      <c r="E3" s="55"/>
      <c r="F3" s="55"/>
      <c r="G3" s="55"/>
    </row>
    <row r="4" spans="1:9" x14ac:dyDescent="0.25">
      <c r="C4" s="55"/>
      <c r="D4" s="55"/>
    </row>
    <row r="5" spans="1:9" ht="30.75" x14ac:dyDescent="0.4">
      <c r="A5" s="65" t="s">
        <v>60</v>
      </c>
      <c r="B5" s="65"/>
      <c r="C5" s="65"/>
      <c r="D5" s="65"/>
      <c r="E5" s="65"/>
      <c r="F5" s="65"/>
      <c r="G5" s="65"/>
    </row>
    <row r="6" spans="1:9" ht="16.5" thickBot="1" x14ac:dyDescent="0.3">
      <c r="A6" s="51" t="s">
        <v>57</v>
      </c>
      <c r="B6" s="52"/>
      <c r="C6" s="52"/>
      <c r="D6" s="52"/>
      <c r="E6" s="52"/>
      <c r="F6" s="52"/>
      <c r="G6" s="52"/>
      <c r="H6" s="52"/>
      <c r="I6" s="52"/>
    </row>
    <row r="7" spans="1:9" ht="16.5" thickBo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</row>
    <row r="8" spans="1:9" x14ac:dyDescent="0.25">
      <c r="A8" s="34"/>
      <c r="B8" s="34"/>
      <c r="C8" s="34"/>
      <c r="D8" s="34"/>
      <c r="E8" s="34"/>
      <c r="F8" s="34"/>
      <c r="G8" s="34"/>
      <c r="H8" s="34"/>
      <c r="I8" s="35"/>
    </row>
    <row r="9" spans="1:9" ht="16.5" thickBot="1" x14ac:dyDescent="0.3">
      <c r="A9" s="62" t="s">
        <v>45</v>
      </c>
      <c r="B9" s="62"/>
      <c r="C9" s="62"/>
      <c r="D9" s="62"/>
      <c r="E9" s="62"/>
      <c r="F9" s="62"/>
      <c r="G9" s="62"/>
      <c r="H9" s="62"/>
      <c r="I9" s="62"/>
    </row>
    <row r="10" spans="1:9" ht="47.25" x14ac:dyDescent="0.25">
      <c r="A10" s="9" t="s">
        <v>3</v>
      </c>
      <c r="B10" s="27"/>
      <c r="C10" s="10" t="s">
        <v>4</v>
      </c>
      <c r="D10" s="32" t="s">
        <v>62</v>
      </c>
      <c r="E10" s="32" t="s">
        <v>63</v>
      </c>
      <c r="F10" s="32" t="s">
        <v>5</v>
      </c>
      <c r="G10" s="12" t="s">
        <v>6</v>
      </c>
      <c r="H10" s="10" t="s">
        <v>8</v>
      </c>
      <c r="I10" s="13" t="s">
        <v>9</v>
      </c>
    </row>
    <row r="11" spans="1:9" ht="15.75" x14ac:dyDescent="0.25">
      <c r="A11" s="4" t="s">
        <v>12</v>
      </c>
      <c r="B11" s="28"/>
      <c r="C11" s="14" t="s">
        <v>10</v>
      </c>
      <c r="D11" s="38">
        <v>1500</v>
      </c>
      <c r="E11" s="42">
        <v>1</v>
      </c>
      <c r="F11" s="16">
        <f>(D11*E11)</f>
        <v>1500</v>
      </c>
      <c r="G11" s="8" t="s">
        <v>7</v>
      </c>
      <c r="H11" s="19">
        <v>0</v>
      </c>
      <c r="I11" s="5">
        <f>F11*H11</f>
        <v>0</v>
      </c>
    </row>
    <row r="12" spans="1:9" ht="15.75" x14ac:dyDescent="0.25">
      <c r="A12" s="4" t="s">
        <v>13</v>
      </c>
      <c r="C12" s="14" t="s">
        <v>14</v>
      </c>
      <c r="D12" s="38">
        <v>1000</v>
      </c>
      <c r="E12" s="42">
        <v>1</v>
      </c>
      <c r="F12" s="16">
        <f t="shared" ref="F12:F14" si="0">(D12*E12)</f>
        <v>1000</v>
      </c>
      <c r="G12" s="8" t="s">
        <v>7</v>
      </c>
      <c r="H12" s="19">
        <v>0</v>
      </c>
      <c r="I12" s="5">
        <f>F12*H12</f>
        <v>0</v>
      </c>
    </row>
    <row r="13" spans="1:9" ht="15.75" x14ac:dyDescent="0.25">
      <c r="A13" s="4" t="s">
        <v>15</v>
      </c>
      <c r="B13" s="28"/>
      <c r="C13" s="15" t="s">
        <v>16</v>
      </c>
      <c r="D13" s="39">
        <v>2500</v>
      </c>
      <c r="E13" s="43">
        <v>1</v>
      </c>
      <c r="F13" s="16">
        <f t="shared" si="0"/>
        <v>2500</v>
      </c>
      <c r="G13" s="8" t="s">
        <v>7</v>
      </c>
      <c r="H13" s="19">
        <v>0</v>
      </c>
      <c r="I13" s="5">
        <f>F13*H13</f>
        <v>0</v>
      </c>
    </row>
    <row r="14" spans="1:9" ht="16.5" thickBot="1" x14ac:dyDescent="0.3">
      <c r="A14" s="7" t="s">
        <v>17</v>
      </c>
      <c r="B14" s="29"/>
      <c r="C14" s="17" t="s">
        <v>14</v>
      </c>
      <c r="D14" s="40">
        <v>1500</v>
      </c>
      <c r="E14" s="44">
        <v>1</v>
      </c>
      <c r="F14" s="16">
        <f t="shared" si="0"/>
        <v>1500</v>
      </c>
      <c r="G14" s="18" t="s">
        <v>7</v>
      </c>
      <c r="H14" s="19">
        <v>0</v>
      </c>
      <c r="I14" s="5">
        <f>F14*H14</f>
        <v>0</v>
      </c>
    </row>
    <row r="15" spans="1:9" ht="16.5" customHeight="1" thickBot="1" x14ac:dyDescent="0.3">
      <c r="A15" s="48" t="s">
        <v>54</v>
      </c>
      <c r="B15" s="49"/>
      <c r="C15" s="50"/>
      <c r="D15" s="50"/>
      <c r="E15" s="50"/>
      <c r="F15" s="50"/>
      <c r="G15" s="50"/>
      <c r="H15" s="50"/>
      <c r="I15" s="6">
        <f>SUM(I11:I14)</f>
        <v>0</v>
      </c>
    </row>
    <row r="16" spans="1:9" ht="15.75" x14ac:dyDescent="0.25">
      <c r="A16" s="21"/>
      <c r="B16" s="30"/>
      <c r="C16" s="22"/>
      <c r="D16" s="22"/>
      <c r="E16" s="22"/>
      <c r="F16" s="23"/>
      <c r="G16" s="24"/>
      <c r="H16" s="25"/>
      <c r="I16" s="26"/>
    </row>
    <row r="17" spans="1:15" ht="16.5" thickBot="1" x14ac:dyDescent="0.3">
      <c r="A17" s="63" t="s">
        <v>44</v>
      </c>
      <c r="B17" s="52"/>
      <c r="C17" s="52"/>
      <c r="D17" s="52"/>
      <c r="E17" s="52"/>
      <c r="F17" s="52"/>
      <c r="G17" s="52"/>
      <c r="H17" s="52"/>
      <c r="I17" s="64"/>
    </row>
    <row r="18" spans="1:15" ht="47.25" x14ac:dyDescent="0.25">
      <c r="A18" s="9" t="s">
        <v>3</v>
      </c>
      <c r="B18" s="27"/>
      <c r="C18" s="10" t="s">
        <v>4</v>
      </c>
      <c r="D18" s="32" t="s">
        <v>62</v>
      </c>
      <c r="E18" s="32" t="s">
        <v>63</v>
      </c>
      <c r="F18" s="32" t="s">
        <v>5</v>
      </c>
      <c r="G18" s="12" t="s">
        <v>6</v>
      </c>
      <c r="H18" s="10" t="s">
        <v>8</v>
      </c>
      <c r="I18" s="13" t="s">
        <v>9</v>
      </c>
    </row>
    <row r="19" spans="1:15" ht="15.75" x14ac:dyDescent="0.25">
      <c r="A19" s="4" t="s">
        <v>18</v>
      </c>
      <c r="B19" s="28"/>
      <c r="C19" s="14" t="s">
        <v>16</v>
      </c>
      <c r="D19" s="38">
        <v>1500</v>
      </c>
      <c r="E19" s="45">
        <v>3</v>
      </c>
      <c r="F19" s="16">
        <f>(D19*E19)</f>
        <v>4500</v>
      </c>
      <c r="G19" s="8" t="s">
        <v>7</v>
      </c>
      <c r="H19" s="19">
        <v>0</v>
      </c>
      <c r="I19" s="5">
        <f t="shared" ref="I19:I25" si="1">F19*H19</f>
        <v>0</v>
      </c>
    </row>
    <row r="20" spans="1:15" ht="15.75" x14ac:dyDescent="0.25">
      <c r="A20" s="4"/>
      <c r="B20" s="28" t="s">
        <v>21</v>
      </c>
      <c r="C20" s="14" t="s">
        <v>22</v>
      </c>
      <c r="D20" s="14">
        <v>800</v>
      </c>
      <c r="E20" s="45">
        <v>3</v>
      </c>
      <c r="F20" s="16">
        <f t="shared" ref="F20:F25" si="2">(D20*E20)</f>
        <v>2400</v>
      </c>
      <c r="G20" s="8" t="s">
        <v>7</v>
      </c>
      <c r="H20" s="19">
        <v>0</v>
      </c>
      <c r="I20" s="5">
        <f t="shared" si="1"/>
        <v>0</v>
      </c>
    </row>
    <row r="21" spans="1:15" ht="15.75" x14ac:dyDescent="0.25">
      <c r="A21" s="4" t="s">
        <v>19</v>
      </c>
      <c r="B21" s="28"/>
      <c r="C21" s="14" t="s">
        <v>16</v>
      </c>
      <c r="D21" s="38">
        <v>1500</v>
      </c>
      <c r="E21" s="45">
        <v>3</v>
      </c>
      <c r="F21" s="16">
        <f t="shared" si="2"/>
        <v>4500</v>
      </c>
      <c r="G21" s="8" t="s">
        <v>7</v>
      </c>
      <c r="H21" s="19">
        <v>0</v>
      </c>
      <c r="I21" s="5">
        <f t="shared" si="1"/>
        <v>0</v>
      </c>
    </row>
    <row r="22" spans="1:15" ht="15.75" x14ac:dyDescent="0.25">
      <c r="A22" s="4"/>
      <c r="B22" s="28" t="s">
        <v>23</v>
      </c>
      <c r="C22" s="14" t="s">
        <v>22</v>
      </c>
      <c r="D22" s="14">
        <v>800</v>
      </c>
      <c r="E22" s="45">
        <v>3</v>
      </c>
      <c r="F22" s="16">
        <f t="shared" si="2"/>
        <v>2400</v>
      </c>
      <c r="G22" s="8" t="s">
        <v>7</v>
      </c>
      <c r="H22" s="19">
        <v>0</v>
      </c>
      <c r="I22" s="5">
        <f t="shared" si="1"/>
        <v>0</v>
      </c>
    </row>
    <row r="23" spans="1:15" ht="15.75" x14ac:dyDescent="0.25">
      <c r="A23" s="4" t="s">
        <v>20</v>
      </c>
      <c r="B23" s="28"/>
      <c r="C23" s="14" t="s">
        <v>16</v>
      </c>
      <c r="D23" s="38">
        <v>1500</v>
      </c>
      <c r="E23" s="45">
        <v>3</v>
      </c>
      <c r="F23" s="16">
        <f t="shared" si="2"/>
        <v>4500</v>
      </c>
      <c r="G23" s="8" t="s">
        <v>7</v>
      </c>
      <c r="H23" s="19">
        <v>0</v>
      </c>
      <c r="I23" s="5">
        <f t="shared" si="1"/>
        <v>0</v>
      </c>
    </row>
    <row r="24" spans="1:15" ht="15.75" x14ac:dyDescent="0.25">
      <c r="A24" s="4"/>
      <c r="B24" s="28" t="s">
        <v>24</v>
      </c>
      <c r="C24" s="14" t="s">
        <v>22</v>
      </c>
      <c r="D24" s="14">
        <v>800</v>
      </c>
      <c r="E24" s="45">
        <v>3</v>
      </c>
      <c r="F24" s="16">
        <f t="shared" si="2"/>
        <v>2400</v>
      </c>
      <c r="G24" s="8" t="s">
        <v>7</v>
      </c>
      <c r="H24" s="19">
        <v>0</v>
      </c>
      <c r="I24" s="5">
        <f t="shared" si="1"/>
        <v>0</v>
      </c>
    </row>
    <row r="25" spans="1:15" ht="32.25" thickBot="1" x14ac:dyDescent="0.3">
      <c r="A25" s="7" t="s">
        <v>25</v>
      </c>
      <c r="B25" s="29"/>
      <c r="C25" s="17" t="s">
        <v>26</v>
      </c>
      <c r="D25" s="41">
        <v>500</v>
      </c>
      <c r="E25" s="46">
        <v>1</v>
      </c>
      <c r="F25" s="16">
        <f t="shared" si="2"/>
        <v>500</v>
      </c>
      <c r="G25" s="18" t="s">
        <v>7</v>
      </c>
      <c r="H25" s="19">
        <v>0</v>
      </c>
      <c r="I25" s="5">
        <f t="shared" si="1"/>
        <v>0</v>
      </c>
    </row>
    <row r="26" spans="1:15" ht="15.75" thickBot="1" x14ac:dyDescent="0.3">
      <c r="A26" s="48" t="s">
        <v>54</v>
      </c>
      <c r="B26" s="49"/>
      <c r="C26" s="50"/>
      <c r="D26" s="50"/>
      <c r="E26" s="50"/>
      <c r="F26" s="50"/>
      <c r="G26" s="50"/>
      <c r="H26" s="50"/>
      <c r="I26" s="6">
        <f>SUM(I19:I25)</f>
        <v>0</v>
      </c>
    </row>
    <row r="27" spans="1:15" x14ac:dyDescent="0.25">
      <c r="A27" s="34"/>
      <c r="B27" s="34"/>
      <c r="C27" s="34"/>
      <c r="D27" s="34"/>
      <c r="E27" s="34"/>
      <c r="F27" s="34"/>
      <c r="G27" s="34"/>
      <c r="H27" s="34"/>
      <c r="I27" s="35"/>
      <c r="O27" s="20"/>
    </row>
    <row r="28" spans="1:15" ht="16.5" thickBot="1" x14ac:dyDescent="0.3">
      <c r="A28" s="53" t="s">
        <v>40</v>
      </c>
      <c r="B28" s="53"/>
      <c r="C28" s="53"/>
      <c r="D28" s="53"/>
      <c r="E28" s="53"/>
      <c r="F28" s="53"/>
      <c r="G28" s="53"/>
      <c r="H28" s="53"/>
      <c r="I28" s="53"/>
    </row>
    <row r="29" spans="1:15" ht="47.25" x14ac:dyDescent="0.25">
      <c r="A29" s="9" t="s">
        <v>3</v>
      </c>
      <c r="B29" s="27"/>
      <c r="C29" s="10" t="s">
        <v>4</v>
      </c>
      <c r="D29" s="32" t="s">
        <v>62</v>
      </c>
      <c r="E29" s="32" t="s">
        <v>63</v>
      </c>
      <c r="F29" s="32" t="s">
        <v>5</v>
      </c>
      <c r="G29" s="12" t="s">
        <v>6</v>
      </c>
      <c r="H29" s="10" t="s">
        <v>8</v>
      </c>
      <c r="I29" s="13" t="s">
        <v>9</v>
      </c>
    </row>
    <row r="30" spans="1:15" ht="15.75" x14ac:dyDescent="0.25">
      <c r="A30" s="4" t="s">
        <v>27</v>
      </c>
      <c r="B30" s="28"/>
      <c r="C30" s="14" t="s">
        <v>16</v>
      </c>
      <c r="D30" s="47">
        <v>1200</v>
      </c>
      <c r="E30" s="45">
        <v>1</v>
      </c>
      <c r="F30" s="16">
        <f>(E30*D30)</f>
        <v>1200</v>
      </c>
      <c r="G30" s="8" t="s">
        <v>7</v>
      </c>
      <c r="H30" s="19">
        <v>0</v>
      </c>
      <c r="I30" s="5">
        <f>F30*H30</f>
        <v>0</v>
      </c>
    </row>
    <row r="31" spans="1:15" ht="15.75" x14ac:dyDescent="0.25">
      <c r="A31" s="4" t="s">
        <v>28</v>
      </c>
      <c r="B31" s="28"/>
      <c r="C31" s="14" t="s">
        <v>29</v>
      </c>
      <c r="D31" s="47">
        <v>1200</v>
      </c>
      <c r="E31" s="45">
        <v>1</v>
      </c>
      <c r="F31" s="16">
        <f>(E31*D31)</f>
        <v>1200</v>
      </c>
      <c r="G31" s="8" t="s">
        <v>7</v>
      </c>
      <c r="H31" s="19">
        <v>0</v>
      </c>
      <c r="I31" s="5">
        <f>F31*H31</f>
        <v>0</v>
      </c>
    </row>
    <row r="32" spans="1:15" ht="15.75" thickBot="1" x14ac:dyDescent="0.3">
      <c r="A32" s="48" t="s">
        <v>54</v>
      </c>
      <c r="B32" s="49"/>
      <c r="C32" s="50"/>
      <c r="D32" s="50"/>
      <c r="E32" s="50"/>
      <c r="F32" s="50"/>
      <c r="G32" s="50"/>
      <c r="H32" s="50"/>
      <c r="I32" s="6">
        <f>SUM(I30:I31)</f>
        <v>0</v>
      </c>
    </row>
    <row r="33" spans="1:9" x14ac:dyDescent="0.25">
      <c r="A33" s="34"/>
      <c r="B33" s="34"/>
      <c r="C33" s="34"/>
      <c r="D33" s="34"/>
      <c r="E33" s="34"/>
      <c r="F33" s="34"/>
      <c r="G33" s="34"/>
      <c r="H33" s="34"/>
      <c r="I33" s="35"/>
    </row>
    <row r="34" spans="1:9" ht="16.5" thickBot="1" x14ac:dyDescent="0.3">
      <c r="A34" s="53" t="s">
        <v>39</v>
      </c>
      <c r="B34" s="53"/>
      <c r="C34" s="53"/>
      <c r="D34" s="53"/>
      <c r="E34" s="53"/>
      <c r="F34" s="53"/>
      <c r="G34" s="53"/>
      <c r="H34" s="53"/>
      <c r="I34" s="53"/>
    </row>
    <row r="35" spans="1:9" ht="47.25" x14ac:dyDescent="0.25">
      <c r="A35" s="9" t="s">
        <v>3</v>
      </c>
      <c r="B35" s="27"/>
      <c r="C35" s="10" t="s">
        <v>4</v>
      </c>
      <c r="D35" s="32" t="s">
        <v>62</v>
      </c>
      <c r="E35" s="32" t="s">
        <v>63</v>
      </c>
      <c r="F35" s="32" t="s">
        <v>5</v>
      </c>
      <c r="G35" s="12" t="s">
        <v>6</v>
      </c>
      <c r="H35" s="10" t="s">
        <v>8</v>
      </c>
      <c r="I35" s="13" t="s">
        <v>9</v>
      </c>
    </row>
    <row r="36" spans="1:9" ht="15.75" x14ac:dyDescent="0.25">
      <c r="A36" s="4" t="s">
        <v>30</v>
      </c>
      <c r="B36" s="28"/>
      <c r="C36" s="14" t="s">
        <v>31</v>
      </c>
      <c r="D36" s="47">
        <v>1200</v>
      </c>
      <c r="E36" s="45">
        <v>1</v>
      </c>
      <c r="F36" s="16">
        <f>(E36*D36)</f>
        <v>1200</v>
      </c>
      <c r="G36" s="8" t="s">
        <v>7</v>
      </c>
      <c r="H36" s="19">
        <v>0</v>
      </c>
      <c r="I36" s="5">
        <f>F36*H36</f>
        <v>0</v>
      </c>
    </row>
    <row r="37" spans="1:9" ht="15.75" x14ac:dyDescent="0.25">
      <c r="A37" s="4" t="s">
        <v>32</v>
      </c>
      <c r="B37" s="28"/>
      <c r="C37" s="14" t="s">
        <v>22</v>
      </c>
      <c r="D37" s="47">
        <v>2400</v>
      </c>
      <c r="E37" s="45">
        <v>1</v>
      </c>
      <c r="F37" s="16">
        <f>(E37*D37)</f>
        <v>2400</v>
      </c>
      <c r="G37" s="8" t="s">
        <v>7</v>
      </c>
      <c r="H37" s="19">
        <v>0</v>
      </c>
      <c r="I37" s="5">
        <f>F37*H37</f>
        <v>0</v>
      </c>
    </row>
    <row r="38" spans="1:9" ht="15.75" thickBot="1" x14ac:dyDescent="0.3">
      <c r="A38" s="48" t="s">
        <v>54</v>
      </c>
      <c r="B38" s="49"/>
      <c r="C38" s="50"/>
      <c r="D38" s="50"/>
      <c r="E38" s="50"/>
      <c r="F38" s="50"/>
      <c r="G38" s="50"/>
      <c r="H38" s="50"/>
      <c r="I38" s="6">
        <f>SUM(I36:I37)</f>
        <v>0</v>
      </c>
    </row>
    <row r="39" spans="1:9" x14ac:dyDescent="0.25">
      <c r="A39" s="34"/>
      <c r="B39" s="34"/>
      <c r="C39" s="34"/>
      <c r="D39" s="34"/>
      <c r="E39" s="34"/>
      <c r="F39" s="34"/>
      <c r="G39" s="34"/>
      <c r="H39" s="34"/>
      <c r="I39" s="35"/>
    </row>
    <row r="40" spans="1:9" ht="16.5" thickBot="1" x14ac:dyDescent="0.3">
      <c r="A40" s="53" t="s">
        <v>38</v>
      </c>
      <c r="B40" s="53"/>
      <c r="C40" s="53"/>
      <c r="D40" s="53"/>
      <c r="E40" s="53"/>
      <c r="F40" s="53"/>
      <c r="G40" s="53"/>
      <c r="H40" s="53"/>
      <c r="I40" s="53"/>
    </row>
    <row r="41" spans="1:9" ht="47.25" x14ac:dyDescent="0.25">
      <c r="A41" s="9" t="s">
        <v>3</v>
      </c>
      <c r="B41" s="27"/>
      <c r="C41" s="10" t="s">
        <v>4</v>
      </c>
      <c r="D41" s="32" t="s">
        <v>62</v>
      </c>
      <c r="E41" s="32" t="s">
        <v>63</v>
      </c>
      <c r="F41" s="32" t="s">
        <v>5</v>
      </c>
      <c r="G41" s="12" t="s">
        <v>6</v>
      </c>
      <c r="H41" s="10" t="s">
        <v>8</v>
      </c>
      <c r="I41" s="13" t="s">
        <v>9</v>
      </c>
    </row>
    <row r="42" spans="1:9" ht="15.75" x14ac:dyDescent="0.25">
      <c r="A42" s="4" t="s">
        <v>33</v>
      </c>
      <c r="B42" s="28"/>
      <c r="C42" s="14" t="s">
        <v>16</v>
      </c>
      <c r="D42" s="47">
        <v>1200</v>
      </c>
      <c r="E42" s="45">
        <v>3</v>
      </c>
      <c r="F42" s="16">
        <f>(E42*D42)</f>
        <v>3600</v>
      </c>
      <c r="G42" s="8" t="s">
        <v>7</v>
      </c>
      <c r="H42" s="19">
        <v>0</v>
      </c>
      <c r="I42" s="5">
        <f>F42*H42</f>
        <v>0</v>
      </c>
    </row>
    <row r="43" spans="1:9" ht="15.75" x14ac:dyDescent="0.25">
      <c r="A43" s="4" t="s">
        <v>34</v>
      </c>
      <c r="B43" s="28"/>
      <c r="C43" s="14" t="s">
        <v>22</v>
      </c>
      <c r="D43" s="47">
        <v>1200</v>
      </c>
      <c r="E43" s="45">
        <v>3</v>
      </c>
      <c r="F43" s="16">
        <f>(E43*D43)</f>
        <v>3600</v>
      </c>
      <c r="G43" s="8" t="s">
        <v>7</v>
      </c>
      <c r="H43" s="19">
        <v>0</v>
      </c>
      <c r="I43" s="5">
        <f>F43*H43</f>
        <v>0</v>
      </c>
    </row>
    <row r="44" spans="1:9" ht="15.75" x14ac:dyDescent="0.25">
      <c r="A44" s="4" t="s">
        <v>35</v>
      </c>
      <c r="B44" s="28"/>
      <c r="C44" s="14" t="s">
        <v>36</v>
      </c>
      <c r="D44" s="38">
        <v>1000</v>
      </c>
      <c r="E44" s="45">
        <v>2</v>
      </c>
      <c r="F44" s="16">
        <v>2000</v>
      </c>
      <c r="G44" s="8" t="s">
        <v>7</v>
      </c>
      <c r="H44" s="19">
        <v>0</v>
      </c>
      <c r="I44" s="5">
        <f>F44*H44</f>
        <v>0</v>
      </c>
    </row>
    <row r="45" spans="1:9" ht="15.75" thickBot="1" x14ac:dyDescent="0.3">
      <c r="A45" s="48" t="s">
        <v>54</v>
      </c>
      <c r="B45" s="49"/>
      <c r="C45" s="50"/>
      <c r="D45" s="50"/>
      <c r="E45" s="50"/>
      <c r="F45" s="50"/>
      <c r="G45" s="50"/>
      <c r="H45" s="50"/>
      <c r="I45" s="6">
        <f>SUM(I42:I44)</f>
        <v>0</v>
      </c>
    </row>
    <row r="46" spans="1:9" x14ac:dyDescent="0.25">
      <c r="A46" s="34"/>
      <c r="B46" s="34"/>
      <c r="C46" s="34"/>
      <c r="D46" s="34"/>
      <c r="E46" s="34"/>
      <c r="F46" s="34"/>
      <c r="G46" s="34"/>
      <c r="H46" s="34"/>
      <c r="I46" s="35"/>
    </row>
    <row r="47" spans="1:9" ht="16.5" thickBot="1" x14ac:dyDescent="0.3">
      <c r="A47" s="53" t="s">
        <v>37</v>
      </c>
      <c r="B47" s="53"/>
      <c r="C47" s="53"/>
      <c r="D47" s="53"/>
      <c r="E47" s="53"/>
      <c r="F47" s="53"/>
      <c r="G47" s="53"/>
      <c r="H47" s="53"/>
      <c r="I47" s="53"/>
    </row>
    <row r="48" spans="1:9" ht="47.25" x14ac:dyDescent="0.25">
      <c r="A48" s="9" t="s">
        <v>3</v>
      </c>
      <c r="B48" s="27"/>
      <c r="C48" s="10" t="s">
        <v>4</v>
      </c>
      <c r="D48" s="32" t="s">
        <v>62</v>
      </c>
      <c r="E48" s="32" t="s">
        <v>63</v>
      </c>
      <c r="F48" s="32" t="s">
        <v>5</v>
      </c>
      <c r="G48" s="12" t="s">
        <v>6</v>
      </c>
      <c r="H48" s="10" t="s">
        <v>8</v>
      </c>
      <c r="I48" s="13" t="s">
        <v>9</v>
      </c>
    </row>
    <row r="49" spans="1:9" ht="15.75" x14ac:dyDescent="0.25">
      <c r="A49" s="4" t="s">
        <v>41</v>
      </c>
      <c r="B49" s="28"/>
      <c r="C49" s="14" t="s">
        <v>16</v>
      </c>
      <c r="D49" s="38">
        <v>1500</v>
      </c>
      <c r="E49" s="45">
        <v>1</v>
      </c>
      <c r="F49" s="16">
        <f>(E49*D49)</f>
        <v>1500</v>
      </c>
      <c r="G49" s="8" t="s">
        <v>7</v>
      </c>
      <c r="H49" s="19">
        <v>0</v>
      </c>
      <c r="I49" s="5">
        <f>F49*H49</f>
        <v>0</v>
      </c>
    </row>
    <row r="50" spans="1:9" ht="15.75" x14ac:dyDescent="0.25">
      <c r="A50" s="4" t="s">
        <v>42</v>
      </c>
      <c r="B50" s="28"/>
      <c r="C50" s="14" t="s">
        <v>36</v>
      </c>
      <c r="D50" s="38">
        <v>1500</v>
      </c>
      <c r="E50" s="45">
        <v>2</v>
      </c>
      <c r="F50" s="16">
        <f>(E50*D50)</f>
        <v>3000</v>
      </c>
      <c r="G50" s="8" t="s">
        <v>7</v>
      </c>
      <c r="H50" s="19">
        <v>0</v>
      </c>
      <c r="I50" s="5">
        <f>F50*H50</f>
        <v>0</v>
      </c>
    </row>
    <row r="51" spans="1:9" ht="15.75" thickBot="1" x14ac:dyDescent="0.3">
      <c r="A51" s="48" t="s">
        <v>54</v>
      </c>
      <c r="B51" s="49"/>
      <c r="C51" s="50"/>
      <c r="D51" s="50"/>
      <c r="E51" s="50"/>
      <c r="F51" s="50"/>
      <c r="G51" s="50"/>
      <c r="H51" s="50"/>
      <c r="I51" s="6">
        <f>SUM(I49:I50)</f>
        <v>0</v>
      </c>
    </row>
    <row r="52" spans="1:9" x14ac:dyDescent="0.25">
      <c r="A52" s="34"/>
      <c r="B52" s="34"/>
      <c r="C52" s="34"/>
      <c r="D52" s="34"/>
      <c r="E52" s="34"/>
      <c r="F52" s="34"/>
      <c r="G52" s="34"/>
      <c r="H52" s="34"/>
      <c r="I52" s="35"/>
    </row>
    <row r="53" spans="1:9" ht="16.5" thickBot="1" x14ac:dyDescent="0.3">
      <c r="A53" s="53" t="s">
        <v>43</v>
      </c>
      <c r="B53" s="53"/>
      <c r="C53" s="53"/>
      <c r="D53" s="53"/>
      <c r="E53" s="53"/>
      <c r="F53" s="53"/>
      <c r="G53" s="53"/>
      <c r="H53" s="53"/>
      <c r="I53" s="53"/>
    </row>
    <row r="54" spans="1:9" ht="47.25" x14ac:dyDescent="0.25">
      <c r="A54" s="9" t="s">
        <v>3</v>
      </c>
      <c r="B54" s="27"/>
      <c r="C54" s="10" t="s">
        <v>4</v>
      </c>
      <c r="D54" s="32" t="s">
        <v>62</v>
      </c>
      <c r="E54" s="32" t="s">
        <v>63</v>
      </c>
      <c r="F54" s="32" t="s">
        <v>5</v>
      </c>
      <c r="G54" s="12" t="s">
        <v>6</v>
      </c>
      <c r="H54" s="10" t="s">
        <v>8</v>
      </c>
      <c r="I54" s="13" t="s">
        <v>9</v>
      </c>
    </row>
    <row r="55" spans="1:9" ht="15.75" x14ac:dyDescent="0.25">
      <c r="A55" s="4" t="s">
        <v>46</v>
      </c>
      <c r="B55" s="28"/>
      <c r="C55" s="14" t="s">
        <v>16</v>
      </c>
      <c r="D55" s="38">
        <v>1500</v>
      </c>
      <c r="E55" s="45">
        <v>3</v>
      </c>
      <c r="F55" s="16">
        <f>(E55*D55)</f>
        <v>4500</v>
      </c>
      <c r="G55" s="8" t="s">
        <v>7</v>
      </c>
      <c r="H55" s="19">
        <v>0</v>
      </c>
      <c r="I55" s="5">
        <f>F55*H55</f>
        <v>0</v>
      </c>
    </row>
    <row r="56" spans="1:9" ht="15.75" x14ac:dyDescent="0.25">
      <c r="A56" s="4" t="s">
        <v>47</v>
      </c>
      <c r="B56" s="28"/>
      <c r="C56" s="14" t="s">
        <v>29</v>
      </c>
      <c r="D56" s="38">
        <v>500</v>
      </c>
      <c r="E56" s="45">
        <v>1</v>
      </c>
      <c r="F56" s="16">
        <f>(E56*D56)</f>
        <v>500</v>
      </c>
      <c r="G56" s="8" t="s">
        <v>7</v>
      </c>
      <c r="H56" s="19">
        <v>0</v>
      </c>
      <c r="I56" s="5">
        <f>F56*H56</f>
        <v>0</v>
      </c>
    </row>
    <row r="57" spans="1:9" ht="15.75" thickBot="1" x14ac:dyDescent="0.3">
      <c r="A57" s="48" t="s">
        <v>54</v>
      </c>
      <c r="B57" s="49"/>
      <c r="C57" s="50"/>
      <c r="D57" s="50"/>
      <c r="E57" s="50"/>
      <c r="F57" s="50"/>
      <c r="G57" s="50"/>
      <c r="H57" s="50"/>
      <c r="I57" s="6">
        <f>SUM(I55:I56)</f>
        <v>0</v>
      </c>
    </row>
    <row r="58" spans="1:9" x14ac:dyDescent="0.25">
      <c r="A58" s="34"/>
      <c r="B58" s="34"/>
      <c r="C58" s="34"/>
      <c r="D58" s="34"/>
      <c r="E58" s="34"/>
      <c r="F58" s="34"/>
      <c r="G58" s="34"/>
      <c r="H58" s="34"/>
      <c r="I58" s="35"/>
    </row>
    <row r="59" spans="1:9" ht="16.5" thickBot="1" x14ac:dyDescent="0.3">
      <c r="A59" s="53" t="s">
        <v>48</v>
      </c>
      <c r="B59" s="53"/>
      <c r="C59" s="53"/>
      <c r="D59" s="53"/>
      <c r="E59" s="53"/>
      <c r="F59" s="53"/>
      <c r="G59" s="53"/>
      <c r="H59" s="53"/>
      <c r="I59" s="53"/>
    </row>
    <row r="60" spans="1:9" ht="47.25" x14ac:dyDescent="0.25">
      <c r="A60" s="9" t="s">
        <v>3</v>
      </c>
      <c r="B60" s="27"/>
      <c r="C60" s="10" t="s">
        <v>4</v>
      </c>
      <c r="D60" s="32" t="s">
        <v>62</v>
      </c>
      <c r="E60" s="32" t="s">
        <v>63</v>
      </c>
      <c r="F60" s="32" t="s">
        <v>5</v>
      </c>
      <c r="G60" s="12" t="s">
        <v>6</v>
      </c>
      <c r="H60" s="10" t="s">
        <v>8</v>
      </c>
      <c r="I60" s="13" t="s">
        <v>9</v>
      </c>
    </row>
    <row r="61" spans="1:9" ht="15.75" x14ac:dyDescent="0.25">
      <c r="A61" s="4" t="s">
        <v>49</v>
      </c>
      <c r="B61" s="28"/>
      <c r="C61" s="14" t="s">
        <v>50</v>
      </c>
      <c r="D61" s="38">
        <v>2500</v>
      </c>
      <c r="E61" s="45">
        <v>24</v>
      </c>
      <c r="F61" s="16">
        <f>(E61*D61)</f>
        <v>60000</v>
      </c>
      <c r="G61" s="8" t="s">
        <v>7</v>
      </c>
      <c r="H61" s="19">
        <v>0</v>
      </c>
      <c r="I61" s="5">
        <f>F61*H61</f>
        <v>0</v>
      </c>
    </row>
    <row r="62" spans="1:9" ht="15.75" thickBot="1" x14ac:dyDescent="0.3">
      <c r="A62" s="48" t="s">
        <v>54</v>
      </c>
      <c r="B62" s="49"/>
      <c r="C62" s="50"/>
      <c r="D62" s="50"/>
      <c r="E62" s="50"/>
      <c r="F62" s="50"/>
      <c r="G62" s="50"/>
      <c r="H62" s="50"/>
      <c r="I62" s="6">
        <f>SUM(I61:I61)</f>
        <v>0</v>
      </c>
    </row>
    <row r="63" spans="1:9" x14ac:dyDescent="0.25">
      <c r="A63" s="34"/>
      <c r="B63" s="34"/>
      <c r="C63" s="34"/>
      <c r="D63" s="34"/>
      <c r="E63" s="34"/>
      <c r="F63" s="34"/>
      <c r="G63" s="34"/>
      <c r="H63" s="34"/>
      <c r="I63" s="35"/>
    </row>
    <row r="64" spans="1:9" ht="16.5" thickBot="1" x14ac:dyDescent="0.3">
      <c r="A64" s="53" t="s">
        <v>51</v>
      </c>
      <c r="B64" s="53"/>
      <c r="C64" s="53"/>
      <c r="D64" s="53"/>
      <c r="E64" s="53"/>
      <c r="F64" s="53"/>
      <c r="G64" s="53"/>
      <c r="H64" s="53"/>
      <c r="I64" s="53"/>
    </row>
    <row r="65" spans="1:9" ht="47.25" x14ac:dyDescent="0.25">
      <c r="A65" s="9" t="s">
        <v>3</v>
      </c>
      <c r="B65" s="27"/>
      <c r="C65" s="10" t="s">
        <v>4</v>
      </c>
      <c r="D65" s="32" t="s">
        <v>62</v>
      </c>
      <c r="E65" s="32" t="s">
        <v>63</v>
      </c>
      <c r="F65" s="32" t="s">
        <v>5</v>
      </c>
      <c r="G65" s="12" t="s">
        <v>6</v>
      </c>
      <c r="H65" s="10" t="s">
        <v>8</v>
      </c>
      <c r="I65" s="13" t="s">
        <v>9</v>
      </c>
    </row>
    <row r="66" spans="1:9" ht="15.75" x14ac:dyDescent="0.25">
      <c r="A66" s="4" t="s">
        <v>52</v>
      </c>
      <c r="B66" s="28"/>
      <c r="C66" s="14" t="s">
        <v>50</v>
      </c>
      <c r="D66" s="38">
        <v>5000</v>
      </c>
      <c r="E66" s="45">
        <v>4</v>
      </c>
      <c r="F66" s="16">
        <f>(E66*D66)</f>
        <v>20000</v>
      </c>
      <c r="G66" s="8" t="s">
        <v>7</v>
      </c>
      <c r="H66" s="19">
        <v>0</v>
      </c>
      <c r="I66" s="5">
        <f>F66*H66</f>
        <v>0</v>
      </c>
    </row>
    <row r="67" spans="1:9" ht="15.75" thickBot="1" x14ac:dyDescent="0.3">
      <c r="A67" s="48" t="s">
        <v>54</v>
      </c>
      <c r="B67" s="49"/>
      <c r="C67" s="50"/>
      <c r="D67" s="50"/>
      <c r="E67" s="50"/>
      <c r="F67" s="50"/>
      <c r="G67" s="50"/>
      <c r="H67" s="50"/>
      <c r="I67" s="6">
        <f>SUM(I66:I66)</f>
        <v>0</v>
      </c>
    </row>
    <row r="68" spans="1:9" x14ac:dyDescent="0.25">
      <c r="A68" s="33"/>
      <c r="B68" s="33"/>
      <c r="C68" s="33"/>
      <c r="D68" s="33"/>
      <c r="E68" s="33"/>
      <c r="F68" s="33"/>
      <c r="G68" s="33"/>
      <c r="H68" s="33"/>
      <c r="I68" s="2"/>
    </row>
    <row r="69" spans="1:9" ht="18.75" x14ac:dyDescent="0.3">
      <c r="A69" s="36" t="s">
        <v>65</v>
      </c>
      <c r="B69" s="36"/>
      <c r="C69" s="36"/>
      <c r="D69" s="36"/>
      <c r="E69" s="36"/>
      <c r="F69" s="36"/>
      <c r="G69" s="36"/>
      <c r="H69" s="36"/>
      <c r="I69" s="37">
        <f>SUM(I15+I26+I32+I38+I45+I51+I57+I62+I67)</f>
        <v>0</v>
      </c>
    </row>
    <row r="70" spans="1:9" x14ac:dyDescent="0.25">
      <c r="G70" s="2"/>
    </row>
    <row r="71" spans="1:9" x14ac:dyDescent="0.25">
      <c r="A71" s="3" t="s">
        <v>0</v>
      </c>
      <c r="B71" s="31"/>
      <c r="C71" s="56"/>
      <c r="D71" s="57"/>
      <c r="E71" s="58"/>
    </row>
    <row r="72" spans="1:9" x14ac:dyDescent="0.25">
      <c r="A72" s="3" t="s">
        <v>2</v>
      </c>
      <c r="B72" s="31"/>
      <c r="C72" s="59"/>
      <c r="D72" s="60"/>
      <c r="E72" s="61"/>
    </row>
  </sheetData>
  <sheetProtection selectLockedCells="1"/>
  <protectedRanges>
    <protectedRange sqref="E5" name="Range1"/>
    <protectedRange sqref="G7 G8:G59 G6 G60:G64 G65:G68" name="Range1_1"/>
  </protectedRanges>
  <mergeCells count="27">
    <mergeCell ref="A1:G1"/>
    <mergeCell ref="A2:G2"/>
    <mergeCell ref="A3:G3"/>
    <mergeCell ref="C4:D4"/>
    <mergeCell ref="A5:G5"/>
    <mergeCell ref="C71:E71"/>
    <mergeCell ref="C72:E72"/>
    <mergeCell ref="A9:I9"/>
    <mergeCell ref="A15:H15"/>
    <mergeCell ref="A17:I17"/>
    <mergeCell ref="A26:H26"/>
    <mergeCell ref="A28:I28"/>
    <mergeCell ref="A32:H32"/>
    <mergeCell ref="A34:I34"/>
    <mergeCell ref="A64:I64"/>
    <mergeCell ref="A6:I6"/>
    <mergeCell ref="A38:H38"/>
    <mergeCell ref="A40:I40"/>
    <mergeCell ref="A45:H45"/>
    <mergeCell ref="A47:I47"/>
    <mergeCell ref="A67:H67"/>
    <mergeCell ref="A51:H51"/>
    <mergeCell ref="A53:I53"/>
    <mergeCell ref="A57:H57"/>
    <mergeCell ref="A59:I59"/>
    <mergeCell ref="A7:I7"/>
    <mergeCell ref="A62:H62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2163-5D26-47A1-80CB-B66843F5BC64}">
  <dimension ref="A1:O72"/>
  <sheetViews>
    <sheetView showGridLines="0" topLeftCell="A56" workbookViewId="0">
      <selection activeCell="A6" sqref="A6:I6"/>
    </sheetView>
  </sheetViews>
  <sheetFormatPr defaultColWidth="8.7109375" defaultRowHeight="15" x14ac:dyDescent="0.25"/>
  <cols>
    <col min="1" max="1" width="3.5703125" style="1" customWidth="1"/>
    <col min="2" max="2" width="48.140625" style="1" customWidth="1"/>
    <col min="3" max="3" width="37.140625" style="1" customWidth="1"/>
    <col min="4" max="4" width="21" style="1" customWidth="1"/>
    <col min="5" max="5" width="11" style="1" bestFit="1" customWidth="1"/>
    <col min="6" max="6" width="15.28515625" style="1" bestFit="1" customWidth="1"/>
    <col min="7" max="7" width="16.85546875" style="1" customWidth="1"/>
    <col min="8" max="8" width="17.28515625" style="1" customWidth="1"/>
    <col min="9" max="9" width="21.5703125" style="1" customWidth="1"/>
    <col min="10" max="16384" width="8.7109375" style="1"/>
  </cols>
  <sheetData>
    <row r="1" spans="1:9" ht="15.75" x14ac:dyDescent="0.25">
      <c r="A1" s="54" t="s">
        <v>56</v>
      </c>
      <c r="B1" s="54"/>
      <c r="C1" s="54"/>
      <c r="D1" s="54"/>
      <c r="E1" s="54"/>
      <c r="F1" s="54"/>
      <c r="G1" s="54"/>
    </row>
    <row r="2" spans="1:9" x14ac:dyDescent="0.25">
      <c r="A2" s="55" t="s">
        <v>1</v>
      </c>
      <c r="B2" s="55"/>
      <c r="C2" s="55"/>
      <c r="D2" s="55"/>
      <c r="E2" s="55"/>
      <c r="F2" s="55"/>
      <c r="G2" s="55"/>
    </row>
    <row r="3" spans="1:9" x14ac:dyDescent="0.25">
      <c r="A3" s="55" t="s">
        <v>11</v>
      </c>
      <c r="B3" s="55"/>
      <c r="C3" s="55"/>
      <c r="D3" s="55"/>
      <c r="E3" s="55"/>
      <c r="F3" s="55"/>
      <c r="G3" s="55"/>
    </row>
    <row r="4" spans="1:9" x14ac:dyDescent="0.25">
      <c r="C4" s="55"/>
      <c r="D4" s="55"/>
    </row>
    <row r="5" spans="1:9" ht="30.75" x14ac:dyDescent="0.4">
      <c r="A5" s="65" t="s">
        <v>61</v>
      </c>
      <c r="B5" s="65"/>
      <c r="C5" s="65"/>
      <c r="D5" s="65"/>
      <c r="E5" s="65"/>
      <c r="F5" s="65"/>
      <c r="G5" s="65"/>
    </row>
    <row r="6" spans="1:9" ht="16.5" thickBot="1" x14ac:dyDescent="0.3">
      <c r="A6" s="51" t="s">
        <v>57</v>
      </c>
      <c r="B6" s="52"/>
      <c r="C6" s="52"/>
      <c r="D6" s="52"/>
      <c r="E6" s="52"/>
      <c r="F6" s="52"/>
      <c r="G6" s="52"/>
      <c r="H6" s="52"/>
      <c r="I6" s="52"/>
    </row>
    <row r="7" spans="1:9" ht="16.5" thickBo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</row>
    <row r="8" spans="1:9" x14ac:dyDescent="0.25">
      <c r="A8" s="34"/>
      <c r="B8" s="34"/>
      <c r="C8" s="34"/>
      <c r="D8" s="34"/>
      <c r="E8" s="34"/>
      <c r="F8" s="34"/>
      <c r="G8" s="34"/>
      <c r="H8" s="34"/>
      <c r="I8" s="35"/>
    </row>
    <row r="9" spans="1:9" ht="16.5" thickBot="1" x14ac:dyDescent="0.3">
      <c r="A9" s="62" t="s">
        <v>45</v>
      </c>
      <c r="B9" s="62"/>
      <c r="C9" s="62"/>
      <c r="D9" s="62"/>
      <c r="E9" s="62"/>
      <c r="F9" s="62"/>
      <c r="G9" s="62"/>
      <c r="H9" s="62"/>
      <c r="I9" s="62"/>
    </row>
    <row r="10" spans="1:9" ht="47.25" x14ac:dyDescent="0.25">
      <c r="A10" s="9" t="s">
        <v>3</v>
      </c>
      <c r="B10" s="27"/>
      <c r="C10" s="10" t="s">
        <v>4</v>
      </c>
      <c r="D10" s="32" t="s">
        <v>62</v>
      </c>
      <c r="E10" s="32" t="s">
        <v>63</v>
      </c>
      <c r="F10" s="32" t="s">
        <v>5</v>
      </c>
      <c r="G10" s="12" t="s">
        <v>6</v>
      </c>
      <c r="H10" s="10" t="s">
        <v>8</v>
      </c>
      <c r="I10" s="13" t="s">
        <v>9</v>
      </c>
    </row>
    <row r="11" spans="1:9" ht="15.75" x14ac:dyDescent="0.25">
      <c r="A11" s="4" t="s">
        <v>12</v>
      </c>
      <c r="B11" s="28"/>
      <c r="C11" s="14" t="s">
        <v>10</v>
      </c>
      <c r="D11" s="38">
        <v>1500</v>
      </c>
      <c r="E11" s="42">
        <v>1</v>
      </c>
      <c r="F11" s="16">
        <f>(D11*E11)</f>
        <v>1500</v>
      </c>
      <c r="G11" s="8" t="s">
        <v>7</v>
      </c>
      <c r="H11" s="19">
        <v>0</v>
      </c>
      <c r="I11" s="5">
        <f>F11*H11</f>
        <v>0</v>
      </c>
    </row>
    <row r="12" spans="1:9" ht="15.75" x14ac:dyDescent="0.25">
      <c r="A12" s="4" t="s">
        <v>13</v>
      </c>
      <c r="C12" s="14" t="s">
        <v>14</v>
      </c>
      <c r="D12" s="38">
        <v>1000</v>
      </c>
      <c r="E12" s="42">
        <v>1</v>
      </c>
      <c r="F12" s="16">
        <f t="shared" ref="F12:F14" si="0">(D12*E12)</f>
        <v>1000</v>
      </c>
      <c r="G12" s="8" t="s">
        <v>7</v>
      </c>
      <c r="H12" s="19">
        <v>0</v>
      </c>
      <c r="I12" s="5">
        <f>F12*H12</f>
        <v>0</v>
      </c>
    </row>
    <row r="13" spans="1:9" ht="15.75" x14ac:dyDescent="0.25">
      <c r="A13" s="4" t="s">
        <v>15</v>
      </c>
      <c r="B13" s="28"/>
      <c r="C13" s="15" t="s">
        <v>16</v>
      </c>
      <c r="D13" s="39">
        <v>2500</v>
      </c>
      <c r="E13" s="43">
        <v>1</v>
      </c>
      <c r="F13" s="16">
        <f t="shared" si="0"/>
        <v>2500</v>
      </c>
      <c r="G13" s="8" t="s">
        <v>7</v>
      </c>
      <c r="H13" s="19">
        <v>0</v>
      </c>
      <c r="I13" s="5">
        <f>F13*H13</f>
        <v>0</v>
      </c>
    </row>
    <row r="14" spans="1:9" ht="16.5" thickBot="1" x14ac:dyDescent="0.3">
      <c r="A14" s="7" t="s">
        <v>17</v>
      </c>
      <c r="B14" s="29"/>
      <c r="C14" s="17" t="s">
        <v>14</v>
      </c>
      <c r="D14" s="40">
        <v>1500</v>
      </c>
      <c r="E14" s="44">
        <v>1</v>
      </c>
      <c r="F14" s="16">
        <f t="shared" si="0"/>
        <v>1500</v>
      </c>
      <c r="G14" s="18" t="s">
        <v>7</v>
      </c>
      <c r="H14" s="19">
        <v>0</v>
      </c>
      <c r="I14" s="5">
        <f>F14*H14</f>
        <v>0</v>
      </c>
    </row>
    <row r="15" spans="1:9" ht="16.5" customHeight="1" thickBot="1" x14ac:dyDescent="0.3">
      <c r="A15" s="48" t="s">
        <v>54</v>
      </c>
      <c r="B15" s="49"/>
      <c r="C15" s="50"/>
      <c r="D15" s="50"/>
      <c r="E15" s="50"/>
      <c r="F15" s="50"/>
      <c r="G15" s="50"/>
      <c r="H15" s="50"/>
      <c r="I15" s="6">
        <f>SUM(I11:I14)</f>
        <v>0</v>
      </c>
    </row>
    <row r="16" spans="1:9" ht="15.75" x14ac:dyDescent="0.25">
      <c r="A16" s="21"/>
      <c r="B16" s="30"/>
      <c r="C16" s="22"/>
      <c r="D16" s="22"/>
      <c r="E16" s="22"/>
      <c r="F16" s="23"/>
      <c r="G16" s="24"/>
      <c r="H16" s="25"/>
      <c r="I16" s="26"/>
    </row>
    <row r="17" spans="1:15" ht="16.5" thickBot="1" x14ac:dyDescent="0.3">
      <c r="A17" s="63" t="s">
        <v>44</v>
      </c>
      <c r="B17" s="52"/>
      <c r="C17" s="52"/>
      <c r="D17" s="52"/>
      <c r="E17" s="52"/>
      <c r="F17" s="52"/>
      <c r="G17" s="52"/>
      <c r="H17" s="52"/>
      <c r="I17" s="64"/>
    </row>
    <row r="18" spans="1:15" ht="47.25" x14ac:dyDescent="0.25">
      <c r="A18" s="9" t="s">
        <v>3</v>
      </c>
      <c r="B18" s="27"/>
      <c r="C18" s="10" t="s">
        <v>4</v>
      </c>
      <c r="D18" s="32" t="s">
        <v>62</v>
      </c>
      <c r="E18" s="32" t="s">
        <v>63</v>
      </c>
      <c r="F18" s="32" t="s">
        <v>5</v>
      </c>
      <c r="G18" s="12" t="s">
        <v>6</v>
      </c>
      <c r="H18" s="10" t="s">
        <v>8</v>
      </c>
      <c r="I18" s="13" t="s">
        <v>9</v>
      </c>
    </row>
    <row r="19" spans="1:15" ht="15.75" x14ac:dyDescent="0.25">
      <c r="A19" s="4" t="s">
        <v>18</v>
      </c>
      <c r="B19" s="28"/>
      <c r="C19" s="14" t="s">
        <v>16</v>
      </c>
      <c r="D19" s="38">
        <v>1500</v>
      </c>
      <c r="E19" s="45">
        <v>3</v>
      </c>
      <c r="F19" s="16">
        <f>(D19*E19)</f>
        <v>4500</v>
      </c>
      <c r="G19" s="8" t="s">
        <v>7</v>
      </c>
      <c r="H19" s="19">
        <v>0</v>
      </c>
      <c r="I19" s="5">
        <f t="shared" ref="I19:I25" si="1">F19*H19</f>
        <v>0</v>
      </c>
    </row>
    <row r="20" spans="1:15" ht="15.75" x14ac:dyDescent="0.25">
      <c r="A20" s="4"/>
      <c r="B20" s="28" t="s">
        <v>21</v>
      </c>
      <c r="C20" s="14" t="s">
        <v>22</v>
      </c>
      <c r="D20" s="14">
        <v>800</v>
      </c>
      <c r="E20" s="45">
        <v>3</v>
      </c>
      <c r="F20" s="16">
        <f t="shared" ref="F20:F25" si="2">(D20*E20)</f>
        <v>2400</v>
      </c>
      <c r="G20" s="8" t="s">
        <v>7</v>
      </c>
      <c r="H20" s="19">
        <v>0</v>
      </c>
      <c r="I20" s="5">
        <f t="shared" si="1"/>
        <v>0</v>
      </c>
    </row>
    <row r="21" spans="1:15" ht="15.75" x14ac:dyDescent="0.25">
      <c r="A21" s="4" t="s">
        <v>19</v>
      </c>
      <c r="B21" s="28"/>
      <c r="C21" s="14" t="s">
        <v>16</v>
      </c>
      <c r="D21" s="38">
        <v>1500</v>
      </c>
      <c r="E21" s="45">
        <v>3</v>
      </c>
      <c r="F21" s="16">
        <f t="shared" si="2"/>
        <v>4500</v>
      </c>
      <c r="G21" s="8" t="s">
        <v>7</v>
      </c>
      <c r="H21" s="19">
        <v>0</v>
      </c>
      <c r="I21" s="5">
        <f t="shared" si="1"/>
        <v>0</v>
      </c>
    </row>
    <row r="22" spans="1:15" ht="15.75" x14ac:dyDescent="0.25">
      <c r="A22" s="4"/>
      <c r="B22" s="28" t="s">
        <v>23</v>
      </c>
      <c r="C22" s="14" t="s">
        <v>22</v>
      </c>
      <c r="D22" s="14">
        <v>800</v>
      </c>
      <c r="E22" s="45">
        <v>3</v>
      </c>
      <c r="F22" s="16">
        <f t="shared" si="2"/>
        <v>2400</v>
      </c>
      <c r="G22" s="8" t="s">
        <v>7</v>
      </c>
      <c r="H22" s="19">
        <v>0</v>
      </c>
      <c r="I22" s="5">
        <f t="shared" si="1"/>
        <v>0</v>
      </c>
    </row>
    <row r="23" spans="1:15" ht="15.75" x14ac:dyDescent="0.25">
      <c r="A23" s="4" t="s">
        <v>20</v>
      </c>
      <c r="B23" s="28"/>
      <c r="C23" s="14" t="s">
        <v>16</v>
      </c>
      <c r="D23" s="38">
        <v>1500</v>
      </c>
      <c r="E23" s="45">
        <v>3</v>
      </c>
      <c r="F23" s="16">
        <f t="shared" si="2"/>
        <v>4500</v>
      </c>
      <c r="G23" s="8" t="s">
        <v>7</v>
      </c>
      <c r="H23" s="19">
        <v>0</v>
      </c>
      <c r="I23" s="5">
        <f t="shared" si="1"/>
        <v>0</v>
      </c>
    </row>
    <row r="24" spans="1:15" ht="15.75" x14ac:dyDescent="0.25">
      <c r="A24" s="4"/>
      <c r="B24" s="28" t="s">
        <v>24</v>
      </c>
      <c r="C24" s="14" t="s">
        <v>22</v>
      </c>
      <c r="D24" s="14">
        <v>800</v>
      </c>
      <c r="E24" s="45">
        <v>3</v>
      </c>
      <c r="F24" s="16">
        <f t="shared" si="2"/>
        <v>2400</v>
      </c>
      <c r="G24" s="8" t="s">
        <v>7</v>
      </c>
      <c r="H24" s="19">
        <v>0</v>
      </c>
      <c r="I24" s="5">
        <f t="shared" si="1"/>
        <v>0</v>
      </c>
    </row>
    <row r="25" spans="1:15" ht="32.25" thickBot="1" x14ac:dyDescent="0.3">
      <c r="A25" s="7" t="s">
        <v>25</v>
      </c>
      <c r="B25" s="29"/>
      <c r="C25" s="17" t="s">
        <v>26</v>
      </c>
      <c r="D25" s="41">
        <v>500</v>
      </c>
      <c r="E25" s="46">
        <v>1</v>
      </c>
      <c r="F25" s="16">
        <f t="shared" si="2"/>
        <v>500</v>
      </c>
      <c r="G25" s="18" t="s">
        <v>7</v>
      </c>
      <c r="H25" s="19">
        <v>0</v>
      </c>
      <c r="I25" s="5">
        <f t="shared" si="1"/>
        <v>0</v>
      </c>
    </row>
    <row r="26" spans="1:15" ht="15.75" thickBot="1" x14ac:dyDescent="0.3">
      <c r="A26" s="48" t="s">
        <v>54</v>
      </c>
      <c r="B26" s="49"/>
      <c r="C26" s="50"/>
      <c r="D26" s="50"/>
      <c r="E26" s="50"/>
      <c r="F26" s="50"/>
      <c r="G26" s="50"/>
      <c r="H26" s="50"/>
      <c r="I26" s="6">
        <f>SUM(I19:I25)</f>
        <v>0</v>
      </c>
    </row>
    <row r="27" spans="1:15" x14ac:dyDescent="0.25">
      <c r="A27" s="34"/>
      <c r="B27" s="34"/>
      <c r="C27" s="34"/>
      <c r="D27" s="34"/>
      <c r="E27" s="34"/>
      <c r="F27" s="34"/>
      <c r="G27" s="34"/>
      <c r="H27" s="34"/>
      <c r="I27" s="35"/>
      <c r="O27" s="20"/>
    </row>
    <row r="28" spans="1:15" ht="16.5" thickBot="1" x14ac:dyDescent="0.3">
      <c r="A28" s="53" t="s">
        <v>40</v>
      </c>
      <c r="B28" s="53"/>
      <c r="C28" s="53"/>
      <c r="D28" s="53"/>
      <c r="E28" s="53"/>
      <c r="F28" s="53"/>
      <c r="G28" s="53"/>
      <c r="H28" s="53"/>
      <c r="I28" s="53"/>
    </row>
    <row r="29" spans="1:15" ht="47.25" x14ac:dyDescent="0.25">
      <c r="A29" s="9" t="s">
        <v>3</v>
      </c>
      <c r="B29" s="27"/>
      <c r="C29" s="10" t="s">
        <v>4</v>
      </c>
      <c r="D29" s="32" t="s">
        <v>62</v>
      </c>
      <c r="E29" s="32" t="s">
        <v>63</v>
      </c>
      <c r="F29" s="32" t="s">
        <v>5</v>
      </c>
      <c r="G29" s="12" t="s">
        <v>6</v>
      </c>
      <c r="H29" s="10" t="s">
        <v>8</v>
      </c>
      <c r="I29" s="13" t="s">
        <v>9</v>
      </c>
    </row>
    <row r="30" spans="1:15" ht="15.75" x14ac:dyDescent="0.25">
      <c r="A30" s="4" t="s">
        <v>27</v>
      </c>
      <c r="B30" s="28"/>
      <c r="C30" s="14" t="s">
        <v>16</v>
      </c>
      <c r="D30" s="47">
        <v>1200</v>
      </c>
      <c r="E30" s="45">
        <v>1</v>
      </c>
      <c r="F30" s="16">
        <f>(E30*D30)</f>
        <v>1200</v>
      </c>
      <c r="G30" s="8" t="s">
        <v>7</v>
      </c>
      <c r="H30" s="19">
        <v>0</v>
      </c>
      <c r="I30" s="5">
        <f>F30*H30</f>
        <v>0</v>
      </c>
    </row>
    <row r="31" spans="1:15" ht="15.75" x14ac:dyDescent="0.25">
      <c r="A31" s="4" t="s">
        <v>28</v>
      </c>
      <c r="B31" s="28"/>
      <c r="C31" s="14" t="s">
        <v>29</v>
      </c>
      <c r="D31" s="47">
        <v>1200</v>
      </c>
      <c r="E31" s="45">
        <v>1</v>
      </c>
      <c r="F31" s="16">
        <f>(E31*D31)</f>
        <v>1200</v>
      </c>
      <c r="G31" s="8" t="s">
        <v>7</v>
      </c>
      <c r="H31" s="19">
        <v>0</v>
      </c>
      <c r="I31" s="5">
        <f>F31*H31</f>
        <v>0</v>
      </c>
    </row>
    <row r="32" spans="1:15" ht="15.75" thickBot="1" x14ac:dyDescent="0.3">
      <c r="A32" s="48" t="s">
        <v>54</v>
      </c>
      <c r="B32" s="49"/>
      <c r="C32" s="50"/>
      <c r="D32" s="50"/>
      <c r="E32" s="50"/>
      <c r="F32" s="50"/>
      <c r="G32" s="50"/>
      <c r="H32" s="50"/>
      <c r="I32" s="6">
        <f>SUM(I30:I31)</f>
        <v>0</v>
      </c>
    </row>
    <row r="33" spans="1:9" x14ac:dyDescent="0.25">
      <c r="A33" s="34"/>
      <c r="B33" s="34"/>
      <c r="C33" s="34"/>
      <c r="D33" s="34"/>
      <c r="E33" s="34"/>
      <c r="F33" s="34"/>
      <c r="G33" s="34"/>
      <c r="H33" s="34"/>
      <c r="I33" s="35"/>
    </row>
    <row r="34" spans="1:9" ht="16.5" thickBot="1" x14ac:dyDescent="0.3">
      <c r="A34" s="53" t="s">
        <v>39</v>
      </c>
      <c r="B34" s="53"/>
      <c r="C34" s="53"/>
      <c r="D34" s="53"/>
      <c r="E34" s="53"/>
      <c r="F34" s="53"/>
      <c r="G34" s="53"/>
      <c r="H34" s="53"/>
      <c r="I34" s="53"/>
    </row>
    <row r="35" spans="1:9" ht="47.25" x14ac:dyDescent="0.25">
      <c r="A35" s="9" t="s">
        <v>3</v>
      </c>
      <c r="B35" s="27"/>
      <c r="C35" s="10" t="s">
        <v>4</v>
      </c>
      <c r="D35" s="32" t="s">
        <v>62</v>
      </c>
      <c r="E35" s="32" t="s">
        <v>63</v>
      </c>
      <c r="F35" s="32" t="s">
        <v>5</v>
      </c>
      <c r="G35" s="12" t="s">
        <v>6</v>
      </c>
      <c r="H35" s="10" t="s">
        <v>8</v>
      </c>
      <c r="I35" s="13" t="s">
        <v>9</v>
      </c>
    </row>
    <row r="36" spans="1:9" ht="15.75" x14ac:dyDescent="0.25">
      <c r="A36" s="4" t="s">
        <v>30</v>
      </c>
      <c r="B36" s="28"/>
      <c r="C36" s="14" t="s">
        <v>31</v>
      </c>
      <c r="D36" s="47">
        <v>1200</v>
      </c>
      <c r="E36" s="45">
        <v>1</v>
      </c>
      <c r="F36" s="16">
        <f>(E36*D36)</f>
        <v>1200</v>
      </c>
      <c r="G36" s="8" t="s">
        <v>7</v>
      </c>
      <c r="H36" s="19">
        <v>0</v>
      </c>
      <c r="I36" s="5">
        <f>F36*H36</f>
        <v>0</v>
      </c>
    </row>
    <row r="37" spans="1:9" ht="15.75" x14ac:dyDescent="0.25">
      <c r="A37" s="4" t="s">
        <v>32</v>
      </c>
      <c r="B37" s="28"/>
      <c r="C37" s="14" t="s">
        <v>22</v>
      </c>
      <c r="D37" s="47">
        <v>2400</v>
      </c>
      <c r="E37" s="45">
        <v>1</v>
      </c>
      <c r="F37" s="16">
        <f>(E37*D37)</f>
        <v>2400</v>
      </c>
      <c r="G37" s="8" t="s">
        <v>7</v>
      </c>
      <c r="H37" s="19">
        <v>0</v>
      </c>
      <c r="I37" s="5">
        <f>F37*H37</f>
        <v>0</v>
      </c>
    </row>
    <row r="38" spans="1:9" ht="15.75" thickBot="1" x14ac:dyDescent="0.3">
      <c r="A38" s="48" t="s">
        <v>54</v>
      </c>
      <c r="B38" s="49"/>
      <c r="C38" s="50"/>
      <c r="D38" s="50"/>
      <c r="E38" s="50"/>
      <c r="F38" s="50"/>
      <c r="G38" s="50"/>
      <c r="H38" s="50"/>
      <c r="I38" s="6">
        <f>SUM(I36:I37)</f>
        <v>0</v>
      </c>
    </row>
    <row r="39" spans="1:9" x14ac:dyDescent="0.25">
      <c r="A39" s="34"/>
      <c r="B39" s="34"/>
      <c r="C39" s="34"/>
      <c r="D39" s="34"/>
      <c r="E39" s="34"/>
      <c r="F39" s="34"/>
      <c r="G39" s="34"/>
      <c r="H39" s="34"/>
      <c r="I39" s="35"/>
    </row>
    <row r="40" spans="1:9" ht="16.5" thickBot="1" x14ac:dyDescent="0.3">
      <c r="A40" s="53" t="s">
        <v>38</v>
      </c>
      <c r="B40" s="53"/>
      <c r="C40" s="53"/>
      <c r="D40" s="53"/>
      <c r="E40" s="53"/>
      <c r="F40" s="53"/>
      <c r="G40" s="53"/>
      <c r="H40" s="53"/>
      <c r="I40" s="53"/>
    </row>
    <row r="41" spans="1:9" ht="47.25" x14ac:dyDescent="0.25">
      <c r="A41" s="9" t="s">
        <v>3</v>
      </c>
      <c r="B41" s="27"/>
      <c r="C41" s="10" t="s">
        <v>4</v>
      </c>
      <c r="D41" s="32" t="s">
        <v>62</v>
      </c>
      <c r="E41" s="32" t="s">
        <v>63</v>
      </c>
      <c r="F41" s="32" t="s">
        <v>5</v>
      </c>
      <c r="G41" s="12" t="s">
        <v>6</v>
      </c>
      <c r="H41" s="10" t="s">
        <v>8</v>
      </c>
      <c r="I41" s="13" t="s">
        <v>9</v>
      </c>
    </row>
    <row r="42" spans="1:9" ht="15.75" x14ac:dyDescent="0.25">
      <c r="A42" s="4" t="s">
        <v>33</v>
      </c>
      <c r="B42" s="28"/>
      <c r="C42" s="14" t="s">
        <v>16</v>
      </c>
      <c r="D42" s="47">
        <v>1200</v>
      </c>
      <c r="E42" s="45">
        <v>3</v>
      </c>
      <c r="F42" s="16">
        <f>(E42*D42)</f>
        <v>3600</v>
      </c>
      <c r="G42" s="8" t="s">
        <v>7</v>
      </c>
      <c r="H42" s="19">
        <v>0</v>
      </c>
      <c r="I42" s="5">
        <f>F42*H42</f>
        <v>0</v>
      </c>
    </row>
    <row r="43" spans="1:9" ht="15.75" x14ac:dyDescent="0.25">
      <c r="A43" s="4" t="s">
        <v>34</v>
      </c>
      <c r="B43" s="28"/>
      <c r="C43" s="14" t="s">
        <v>22</v>
      </c>
      <c r="D43" s="47">
        <v>1200</v>
      </c>
      <c r="E43" s="45">
        <v>3</v>
      </c>
      <c r="F43" s="16">
        <f>(E43*D43)</f>
        <v>3600</v>
      </c>
      <c r="G43" s="8" t="s">
        <v>7</v>
      </c>
      <c r="H43" s="19">
        <v>0</v>
      </c>
      <c r="I43" s="5">
        <f>F43*H43</f>
        <v>0</v>
      </c>
    </row>
    <row r="44" spans="1:9" ht="15.75" x14ac:dyDescent="0.25">
      <c r="A44" s="4" t="s">
        <v>35</v>
      </c>
      <c r="B44" s="28"/>
      <c r="C44" s="14" t="s">
        <v>36</v>
      </c>
      <c r="D44" s="38">
        <v>1000</v>
      </c>
      <c r="E44" s="45">
        <v>2</v>
      </c>
      <c r="F44" s="16">
        <v>2000</v>
      </c>
      <c r="G44" s="8" t="s">
        <v>7</v>
      </c>
      <c r="H44" s="19">
        <v>0</v>
      </c>
      <c r="I44" s="5">
        <f>F44*H44</f>
        <v>0</v>
      </c>
    </row>
    <row r="45" spans="1:9" ht="15.75" thickBot="1" x14ac:dyDescent="0.3">
      <c r="A45" s="48" t="s">
        <v>54</v>
      </c>
      <c r="B45" s="49"/>
      <c r="C45" s="50"/>
      <c r="D45" s="50"/>
      <c r="E45" s="50"/>
      <c r="F45" s="50"/>
      <c r="G45" s="50"/>
      <c r="H45" s="50"/>
      <c r="I45" s="6">
        <f>SUM(I42:I44)</f>
        <v>0</v>
      </c>
    </row>
    <row r="46" spans="1:9" x14ac:dyDescent="0.25">
      <c r="A46" s="34"/>
      <c r="B46" s="34"/>
      <c r="C46" s="34"/>
      <c r="D46" s="34"/>
      <c r="E46" s="34"/>
      <c r="F46" s="34"/>
      <c r="G46" s="34"/>
      <c r="H46" s="34"/>
      <c r="I46" s="35"/>
    </row>
    <row r="47" spans="1:9" ht="16.5" thickBot="1" x14ac:dyDescent="0.3">
      <c r="A47" s="53" t="s">
        <v>37</v>
      </c>
      <c r="B47" s="53"/>
      <c r="C47" s="53"/>
      <c r="D47" s="53"/>
      <c r="E47" s="53"/>
      <c r="F47" s="53"/>
      <c r="G47" s="53"/>
      <c r="H47" s="53"/>
      <c r="I47" s="53"/>
    </row>
    <row r="48" spans="1:9" ht="47.25" x14ac:dyDescent="0.25">
      <c r="A48" s="9" t="s">
        <v>3</v>
      </c>
      <c r="B48" s="27"/>
      <c r="C48" s="10" t="s">
        <v>4</v>
      </c>
      <c r="D48" s="32" t="s">
        <v>62</v>
      </c>
      <c r="E48" s="32" t="s">
        <v>63</v>
      </c>
      <c r="F48" s="32" t="s">
        <v>5</v>
      </c>
      <c r="G48" s="12" t="s">
        <v>6</v>
      </c>
      <c r="H48" s="10" t="s">
        <v>8</v>
      </c>
      <c r="I48" s="13" t="s">
        <v>9</v>
      </c>
    </row>
    <row r="49" spans="1:9" ht="15.75" x14ac:dyDescent="0.25">
      <c r="A49" s="4" t="s">
        <v>41</v>
      </c>
      <c r="B49" s="28"/>
      <c r="C49" s="14" t="s">
        <v>16</v>
      </c>
      <c r="D49" s="38">
        <v>1500</v>
      </c>
      <c r="E49" s="45">
        <v>1</v>
      </c>
      <c r="F49" s="16">
        <f>(E49*D49)</f>
        <v>1500</v>
      </c>
      <c r="G49" s="8" t="s">
        <v>7</v>
      </c>
      <c r="H49" s="19">
        <v>0</v>
      </c>
      <c r="I49" s="5">
        <f>F49*H49</f>
        <v>0</v>
      </c>
    </row>
    <row r="50" spans="1:9" ht="15.75" x14ac:dyDescent="0.25">
      <c r="A50" s="4" t="s">
        <v>42</v>
      </c>
      <c r="B50" s="28"/>
      <c r="C50" s="14" t="s">
        <v>36</v>
      </c>
      <c r="D50" s="38">
        <v>1500</v>
      </c>
      <c r="E50" s="45">
        <v>2</v>
      </c>
      <c r="F50" s="16">
        <f>(E50*D50)</f>
        <v>3000</v>
      </c>
      <c r="G50" s="8" t="s">
        <v>7</v>
      </c>
      <c r="H50" s="19">
        <v>0</v>
      </c>
      <c r="I50" s="5">
        <f>F50*H50</f>
        <v>0</v>
      </c>
    </row>
    <row r="51" spans="1:9" ht="15.75" thickBot="1" x14ac:dyDescent="0.3">
      <c r="A51" s="48" t="s">
        <v>54</v>
      </c>
      <c r="B51" s="49"/>
      <c r="C51" s="50"/>
      <c r="D51" s="50"/>
      <c r="E51" s="50"/>
      <c r="F51" s="50"/>
      <c r="G51" s="50"/>
      <c r="H51" s="50"/>
      <c r="I51" s="6">
        <f>SUM(I49:I50)</f>
        <v>0</v>
      </c>
    </row>
    <row r="52" spans="1:9" x14ac:dyDescent="0.25">
      <c r="A52" s="34"/>
      <c r="B52" s="34"/>
      <c r="C52" s="34"/>
      <c r="D52" s="34"/>
      <c r="E52" s="34"/>
      <c r="F52" s="34"/>
      <c r="G52" s="34"/>
      <c r="H52" s="34"/>
      <c r="I52" s="35"/>
    </row>
    <row r="53" spans="1:9" ht="16.5" thickBot="1" x14ac:dyDescent="0.3">
      <c r="A53" s="53" t="s">
        <v>43</v>
      </c>
      <c r="B53" s="53"/>
      <c r="C53" s="53"/>
      <c r="D53" s="53"/>
      <c r="E53" s="53"/>
      <c r="F53" s="53"/>
      <c r="G53" s="53"/>
      <c r="H53" s="53"/>
      <c r="I53" s="53"/>
    </row>
    <row r="54" spans="1:9" ht="47.25" x14ac:dyDescent="0.25">
      <c r="A54" s="9" t="s">
        <v>3</v>
      </c>
      <c r="B54" s="27"/>
      <c r="C54" s="10" t="s">
        <v>4</v>
      </c>
      <c r="D54" s="32" t="s">
        <v>62</v>
      </c>
      <c r="E54" s="32" t="s">
        <v>63</v>
      </c>
      <c r="F54" s="32" t="s">
        <v>5</v>
      </c>
      <c r="G54" s="12" t="s">
        <v>6</v>
      </c>
      <c r="H54" s="10" t="s">
        <v>8</v>
      </c>
      <c r="I54" s="13" t="s">
        <v>9</v>
      </c>
    </row>
    <row r="55" spans="1:9" ht="15.75" x14ac:dyDescent="0.25">
      <c r="A55" s="4" t="s">
        <v>46</v>
      </c>
      <c r="B55" s="28"/>
      <c r="C55" s="14" t="s">
        <v>16</v>
      </c>
      <c r="D55" s="38">
        <v>1500</v>
      </c>
      <c r="E55" s="45">
        <v>3</v>
      </c>
      <c r="F55" s="16">
        <f>(E55*D55)</f>
        <v>4500</v>
      </c>
      <c r="G55" s="8" t="s">
        <v>7</v>
      </c>
      <c r="H55" s="19">
        <v>0</v>
      </c>
      <c r="I55" s="5">
        <f>F55*H55</f>
        <v>0</v>
      </c>
    </row>
    <row r="56" spans="1:9" ht="15.75" x14ac:dyDescent="0.25">
      <c r="A56" s="4" t="s">
        <v>47</v>
      </c>
      <c r="B56" s="28"/>
      <c r="C56" s="14" t="s">
        <v>29</v>
      </c>
      <c r="D56" s="38">
        <v>500</v>
      </c>
      <c r="E56" s="45">
        <v>1</v>
      </c>
      <c r="F56" s="16">
        <f>(E56*D56)</f>
        <v>500</v>
      </c>
      <c r="G56" s="8" t="s">
        <v>7</v>
      </c>
      <c r="H56" s="19">
        <v>0</v>
      </c>
      <c r="I56" s="5">
        <f>F56*H56</f>
        <v>0</v>
      </c>
    </row>
    <row r="57" spans="1:9" ht="15.75" thickBot="1" x14ac:dyDescent="0.3">
      <c r="A57" s="48" t="s">
        <v>54</v>
      </c>
      <c r="B57" s="49"/>
      <c r="C57" s="50"/>
      <c r="D57" s="50"/>
      <c r="E57" s="50"/>
      <c r="F57" s="50"/>
      <c r="G57" s="50"/>
      <c r="H57" s="50"/>
      <c r="I57" s="6">
        <f>SUM(I55:I56)</f>
        <v>0</v>
      </c>
    </row>
    <row r="58" spans="1:9" x14ac:dyDescent="0.25">
      <c r="A58" s="34"/>
      <c r="B58" s="34"/>
      <c r="C58" s="34"/>
      <c r="D58" s="34"/>
      <c r="E58" s="34"/>
      <c r="F58" s="34"/>
      <c r="G58" s="34"/>
      <c r="H58" s="34"/>
      <c r="I58" s="35"/>
    </row>
    <row r="59" spans="1:9" ht="16.5" thickBot="1" x14ac:dyDescent="0.3">
      <c r="A59" s="53" t="s">
        <v>48</v>
      </c>
      <c r="B59" s="53"/>
      <c r="C59" s="53"/>
      <c r="D59" s="53"/>
      <c r="E59" s="53"/>
      <c r="F59" s="53"/>
      <c r="G59" s="53"/>
      <c r="H59" s="53"/>
      <c r="I59" s="53"/>
    </row>
    <row r="60" spans="1:9" ht="47.25" x14ac:dyDescent="0.25">
      <c r="A60" s="9" t="s">
        <v>3</v>
      </c>
      <c r="B60" s="27"/>
      <c r="C60" s="10" t="s">
        <v>4</v>
      </c>
      <c r="D60" s="32" t="s">
        <v>62</v>
      </c>
      <c r="E60" s="32" t="s">
        <v>63</v>
      </c>
      <c r="F60" s="32" t="s">
        <v>5</v>
      </c>
      <c r="G60" s="12" t="s">
        <v>6</v>
      </c>
      <c r="H60" s="10" t="s">
        <v>8</v>
      </c>
      <c r="I60" s="13" t="s">
        <v>9</v>
      </c>
    </row>
    <row r="61" spans="1:9" ht="15.75" x14ac:dyDescent="0.25">
      <c r="A61" s="4" t="s">
        <v>49</v>
      </c>
      <c r="B61" s="28"/>
      <c r="C61" s="14" t="s">
        <v>50</v>
      </c>
      <c r="D61" s="38">
        <v>2500</v>
      </c>
      <c r="E61" s="45">
        <v>24</v>
      </c>
      <c r="F61" s="16">
        <f>(E61*D61)</f>
        <v>60000</v>
      </c>
      <c r="G61" s="8" t="s">
        <v>7</v>
      </c>
      <c r="H61" s="19">
        <v>0</v>
      </c>
      <c r="I61" s="5">
        <f>F61*H61</f>
        <v>0</v>
      </c>
    </row>
    <row r="62" spans="1:9" ht="15.75" thickBot="1" x14ac:dyDescent="0.3">
      <c r="A62" s="48" t="s">
        <v>54</v>
      </c>
      <c r="B62" s="49"/>
      <c r="C62" s="50"/>
      <c r="D62" s="50"/>
      <c r="E62" s="50"/>
      <c r="F62" s="50"/>
      <c r="G62" s="50"/>
      <c r="H62" s="50"/>
      <c r="I62" s="6">
        <f>SUM(I61:I61)</f>
        <v>0</v>
      </c>
    </row>
    <row r="63" spans="1:9" x14ac:dyDescent="0.25">
      <c r="A63" s="34"/>
      <c r="B63" s="34"/>
      <c r="C63" s="34"/>
      <c r="D63" s="34"/>
      <c r="E63" s="34"/>
      <c r="F63" s="34"/>
      <c r="G63" s="34"/>
      <c r="H63" s="34"/>
      <c r="I63" s="35"/>
    </row>
    <row r="64" spans="1:9" ht="16.5" thickBot="1" x14ac:dyDescent="0.3">
      <c r="A64" s="53" t="s">
        <v>51</v>
      </c>
      <c r="B64" s="53"/>
      <c r="C64" s="53"/>
      <c r="D64" s="53"/>
      <c r="E64" s="53"/>
      <c r="F64" s="53"/>
      <c r="G64" s="53"/>
      <c r="H64" s="53"/>
      <c r="I64" s="53"/>
    </row>
    <row r="65" spans="1:9" ht="47.25" x14ac:dyDescent="0.25">
      <c r="A65" s="9" t="s">
        <v>3</v>
      </c>
      <c r="B65" s="27"/>
      <c r="C65" s="10" t="s">
        <v>4</v>
      </c>
      <c r="D65" s="32" t="s">
        <v>62</v>
      </c>
      <c r="E65" s="32" t="s">
        <v>63</v>
      </c>
      <c r="F65" s="32" t="s">
        <v>5</v>
      </c>
      <c r="G65" s="12" t="s">
        <v>6</v>
      </c>
      <c r="H65" s="10" t="s">
        <v>8</v>
      </c>
      <c r="I65" s="13" t="s">
        <v>9</v>
      </c>
    </row>
    <row r="66" spans="1:9" ht="15.75" x14ac:dyDescent="0.25">
      <c r="A66" s="4" t="s">
        <v>52</v>
      </c>
      <c r="B66" s="28"/>
      <c r="C66" s="14" t="s">
        <v>50</v>
      </c>
      <c r="D66" s="38">
        <v>5000</v>
      </c>
      <c r="E66" s="45">
        <v>4</v>
      </c>
      <c r="F66" s="16">
        <f>(E66*D66)</f>
        <v>20000</v>
      </c>
      <c r="G66" s="8" t="s">
        <v>7</v>
      </c>
      <c r="H66" s="19">
        <v>0</v>
      </c>
      <c r="I66" s="5">
        <f>F66*H66</f>
        <v>0</v>
      </c>
    </row>
    <row r="67" spans="1:9" ht="15.75" thickBot="1" x14ac:dyDescent="0.3">
      <c r="A67" s="48" t="s">
        <v>54</v>
      </c>
      <c r="B67" s="49"/>
      <c r="C67" s="50"/>
      <c r="D67" s="50"/>
      <c r="E67" s="50"/>
      <c r="F67" s="50"/>
      <c r="G67" s="50"/>
      <c r="H67" s="50"/>
      <c r="I67" s="6">
        <f>SUM(I66:I66)</f>
        <v>0</v>
      </c>
    </row>
    <row r="68" spans="1:9" x14ac:dyDescent="0.25">
      <c r="A68" s="33"/>
      <c r="B68" s="33"/>
      <c r="C68" s="33"/>
      <c r="D68" s="33"/>
      <c r="E68" s="33"/>
      <c r="F68" s="33"/>
      <c r="G68" s="33"/>
      <c r="H68" s="33"/>
      <c r="I68" s="2"/>
    </row>
    <row r="69" spans="1:9" ht="18.75" x14ac:dyDescent="0.3">
      <c r="A69" s="36" t="s">
        <v>64</v>
      </c>
      <c r="B69" s="36"/>
      <c r="C69" s="36"/>
      <c r="D69" s="36"/>
      <c r="E69" s="36"/>
      <c r="F69" s="36"/>
      <c r="G69" s="36"/>
      <c r="H69" s="36"/>
      <c r="I69" s="37">
        <f>SUM(I15+I26+I32+I38+I45+I51+I57+I62+I67)</f>
        <v>0</v>
      </c>
    </row>
    <row r="70" spans="1:9" x14ac:dyDescent="0.25">
      <c r="G70" s="2"/>
    </row>
    <row r="71" spans="1:9" x14ac:dyDescent="0.25">
      <c r="A71" s="3" t="s">
        <v>0</v>
      </c>
      <c r="B71" s="31"/>
      <c r="C71" s="56"/>
      <c r="D71" s="57"/>
      <c r="E71" s="58"/>
    </row>
    <row r="72" spans="1:9" x14ac:dyDescent="0.25">
      <c r="A72" s="3" t="s">
        <v>2</v>
      </c>
      <c r="B72" s="31"/>
      <c r="C72" s="59"/>
      <c r="D72" s="60"/>
      <c r="E72" s="61"/>
    </row>
  </sheetData>
  <sheetProtection selectLockedCells="1"/>
  <protectedRanges>
    <protectedRange sqref="E5" name="Range1"/>
    <protectedRange sqref="G7 G8:G59 G6 G60:G64 G65:G68" name="Range1_1"/>
  </protectedRanges>
  <mergeCells count="27">
    <mergeCell ref="A1:G1"/>
    <mergeCell ref="A2:G2"/>
    <mergeCell ref="A3:G3"/>
    <mergeCell ref="C4:D4"/>
    <mergeCell ref="A5:G5"/>
    <mergeCell ref="C71:E71"/>
    <mergeCell ref="C72:E72"/>
    <mergeCell ref="A9:I9"/>
    <mergeCell ref="A15:H15"/>
    <mergeCell ref="A17:I17"/>
    <mergeCell ref="A26:H26"/>
    <mergeCell ref="A28:I28"/>
    <mergeCell ref="A32:H32"/>
    <mergeCell ref="A34:I34"/>
    <mergeCell ref="A64:I64"/>
    <mergeCell ref="A6:I6"/>
    <mergeCell ref="A38:H38"/>
    <mergeCell ref="A40:I40"/>
    <mergeCell ref="A45:H45"/>
    <mergeCell ref="A47:I47"/>
    <mergeCell ref="A67:H67"/>
    <mergeCell ref="A51:H51"/>
    <mergeCell ref="A53:I53"/>
    <mergeCell ref="A57:H57"/>
    <mergeCell ref="A59:I59"/>
    <mergeCell ref="A7:I7"/>
    <mergeCell ref="A62:H62"/>
  </mergeCells>
  <pageMargins left="0.7" right="0.7" top="0.75" bottom="0.75" header="0.3" footer="0.3"/>
  <pageSetup orientation="landscape" r:id="rId1"/>
  <legacyDrawing r:id="rId2"/>
</worksheet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YR- Pricing Sheet</vt:lpstr>
      <vt:lpstr>OY1 YR- Pricing Sheet</vt:lpstr>
      <vt:lpstr>OY2 YR- Pricing Sheet</vt:lpstr>
      <vt:lpstr>OY3 YR- Pricing Sheet</vt:lpstr>
      <vt:lpstr>OY4 YR- Pricing Sheet</vt:lpstr>
    </vt:vector>
  </TitlesOfParts>
  <Company>U.S. Customs and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Brown</dc:creator>
  <cp:lastModifiedBy>SOLIS, JESUS</cp:lastModifiedBy>
  <cp:lastPrinted>2023-03-17T13:28:15Z</cp:lastPrinted>
  <dcterms:created xsi:type="dcterms:W3CDTF">2020-07-14T10:27:39Z</dcterms:created>
  <dcterms:modified xsi:type="dcterms:W3CDTF">2026-05-05T23:20:01Z</dcterms:modified>
</cp:coreProperties>
</file>