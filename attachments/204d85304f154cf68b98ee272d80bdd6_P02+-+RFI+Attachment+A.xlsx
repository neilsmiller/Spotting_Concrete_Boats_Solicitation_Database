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marcos_diaz_va_gov/Documents/Desktop/1 V 501 Blood Type IVD Reagents/"/>
    </mc:Choice>
  </mc:AlternateContent>
  <xr:revisionPtr revIDLastSave="954" documentId="13_ncr:1_{25309648-13C1-4E98-BFB0-65B904DC3CA1}" xr6:coauthVersionLast="47" xr6:coauthVersionMax="47" xr10:uidLastSave="{296DC3F2-9705-4294-8050-686ADBA0E575}"/>
  <bookViews>
    <workbookView xWindow="135" yWindow="705" windowWidth="28095" windowHeight="14595" xr2:uid="{D31AFFB8-1CDE-4389-82FF-3CBF3C3644B5}"/>
  </bookViews>
  <sheets>
    <sheet name="Base" sheetId="1" r:id="rId1"/>
    <sheet name="Annual Site Breakdow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58" i="2" l="1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J3" i="1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R32" i="1" l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51" i="1"/>
  <c r="R52" i="1"/>
  <c r="R53" i="1"/>
  <c r="R54" i="1"/>
  <c r="R55" i="1"/>
  <c r="R56" i="1"/>
  <c r="R57" i="1"/>
  <c r="R58" i="1"/>
  <c r="P54" i="1"/>
  <c r="P55" i="1"/>
  <c r="P56" i="1"/>
  <c r="P57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52" i="1"/>
  <c r="N53" i="1"/>
  <c r="N54" i="1"/>
  <c r="N55" i="1"/>
  <c r="N56" i="1"/>
  <c r="N57" i="1"/>
  <c r="N58" i="1"/>
  <c r="N59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51" i="1"/>
  <c r="L52" i="1"/>
  <c r="L53" i="1"/>
  <c r="L54" i="1"/>
  <c r="L55" i="1"/>
  <c r="L56" i="1"/>
  <c r="L57" i="1"/>
  <c r="L58" i="1"/>
  <c r="L59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R3" i="1"/>
  <c r="R4" i="1"/>
  <c r="R5" i="1"/>
  <c r="R6" i="1"/>
  <c r="R59" i="1"/>
  <c r="R60" i="1"/>
  <c r="P58" i="1"/>
  <c r="P59" i="1"/>
  <c r="P60" i="1"/>
  <c r="N3" i="1"/>
  <c r="N4" i="1"/>
  <c r="N5" i="1"/>
  <c r="N60" i="1"/>
  <c r="L4" i="1"/>
  <c r="L5" i="1"/>
  <c r="L6" i="1"/>
  <c r="L60" i="1"/>
  <c r="J4" i="1"/>
  <c r="J5" i="1"/>
  <c r="J6" i="1"/>
  <c r="N6" i="1"/>
  <c r="L3" i="1"/>
  <c r="S55" i="1" l="1"/>
  <c r="S47" i="1"/>
  <c r="S39" i="1"/>
  <c r="S45" i="1"/>
  <c r="S37" i="1"/>
  <c r="S38" i="1"/>
  <c r="S48" i="1"/>
  <c r="S40" i="1"/>
  <c r="S46" i="1"/>
  <c r="S32" i="1"/>
  <c r="S44" i="1"/>
  <c r="S36" i="1"/>
  <c r="S51" i="1"/>
  <c r="S43" i="1"/>
  <c r="S35" i="1"/>
  <c r="S50" i="1"/>
  <c r="S42" i="1"/>
  <c r="S34" i="1"/>
  <c r="S49" i="1"/>
  <c r="S41" i="1"/>
  <c r="S33" i="1"/>
  <c r="S21" i="1"/>
  <c r="S13" i="1"/>
  <c r="S29" i="1"/>
  <c r="S54" i="1"/>
  <c r="S20" i="1"/>
  <c r="S27" i="1"/>
  <c r="S12" i="1"/>
  <c r="S26" i="1"/>
  <c r="S11" i="1"/>
  <c r="S17" i="1"/>
  <c r="S10" i="1"/>
  <c r="S25" i="1"/>
  <c r="S24" i="1"/>
  <c r="S16" i="1"/>
  <c r="S8" i="1"/>
  <c r="S28" i="1"/>
  <c r="S53" i="1"/>
  <c r="S18" i="1"/>
  <c r="S57" i="1"/>
  <c r="S31" i="1"/>
  <c r="S23" i="1"/>
  <c r="S15" i="1"/>
  <c r="S7" i="1"/>
  <c r="S19" i="1"/>
  <c r="S52" i="1"/>
  <c r="S9" i="1"/>
  <c r="S56" i="1"/>
  <c r="S30" i="1"/>
  <c r="S22" i="1"/>
  <c r="S14" i="1"/>
  <c r="Q61" i="1"/>
  <c r="S4" i="1"/>
  <c r="K61" i="1"/>
  <c r="S60" i="1"/>
  <c r="S5" i="1"/>
  <c r="S59" i="1"/>
  <c r="S58" i="1"/>
  <c r="O61" i="1"/>
  <c r="S6" i="1"/>
  <c r="S3" i="1"/>
  <c r="M61" i="1"/>
  <c r="I61" i="1"/>
  <c r="R64" i="1" l="1"/>
</calcChain>
</file>

<file path=xl/sharedStrings.xml><?xml version="1.0" encoding="utf-8"?>
<sst xmlns="http://schemas.openxmlformats.org/spreadsheetml/2006/main" count="379" uniqueCount="145">
  <si>
    <t>CLIN</t>
  </si>
  <si>
    <t>Brand Name Nomenclature</t>
  </si>
  <si>
    <t>Manufacturer Part Number</t>
  </si>
  <si>
    <t>Unit Price</t>
  </si>
  <si>
    <t>Extended Price</t>
  </si>
  <si>
    <t>Brand Name</t>
  </si>
  <si>
    <t>TOTAL</t>
  </si>
  <si>
    <t>Quantity required (ANNUAL)</t>
  </si>
  <si>
    <t>BASE</t>
  </si>
  <si>
    <t>OPTION 1</t>
  </si>
  <si>
    <t>OPTION 2</t>
  </si>
  <si>
    <t>OPTION 3</t>
  </si>
  <si>
    <t>OPTION 4</t>
  </si>
  <si>
    <t>GRAND TOTAL</t>
  </si>
  <si>
    <t>BASE TOTALS</t>
  </si>
  <si>
    <t>OPTION 2 TOTALS</t>
  </si>
  <si>
    <t>OPTION 1 TOTALS</t>
  </si>
  <si>
    <t>OPTION 3 TOTALS</t>
  </si>
  <si>
    <t>OPTION 4 TOTALS</t>
  </si>
  <si>
    <t>Werfen</t>
  </si>
  <si>
    <t>Gamma N-HANCE 3x10</t>
  </si>
  <si>
    <t>Anti-C Mono 1x5ml (Gammaclone)</t>
  </si>
  <si>
    <t>Monoclonal control 10x10</t>
  </si>
  <si>
    <t>Anti-E Mono 1x5ml (Gammaclone)</t>
  </si>
  <si>
    <t>Anti-Little c Mono Ser 1 1x5</t>
  </si>
  <si>
    <t>Anti-K Mono Ser 2 1x5</t>
  </si>
  <si>
    <t>Anti A1 Lectin 1x5</t>
  </si>
  <si>
    <t>22% Bov Alb 10x10</t>
  </si>
  <si>
    <t>Anti-A Mono 3x10ml</t>
  </si>
  <si>
    <t>Anti-B Mono 3x10ml</t>
  </si>
  <si>
    <t>Gamma PeG 10x10</t>
  </si>
  <si>
    <t>Gamma Elu-Kit II</t>
  </si>
  <si>
    <t>Anti-IgG Mono Grn 10x10</t>
  </si>
  <si>
    <t>Panocell-10 11x3, 1x2ml</t>
  </si>
  <si>
    <t>Anti-Little e Mono 1x5 (Gammac</t>
  </si>
  <si>
    <t>Anti-M Mono 1x5</t>
  </si>
  <si>
    <t>Anti-N Mono 1x5</t>
  </si>
  <si>
    <t>Gamma N-HANCE 10x10</t>
  </si>
  <si>
    <t>Anti-Fya Gamma-clone 1x5</t>
  </si>
  <si>
    <t>Anti-C3b,-C3d Mono 1x5</t>
  </si>
  <si>
    <t>Anti-IgG,-C3d M/P Clear 10x10</t>
  </si>
  <si>
    <t>Anti-IgG,-C3d M/P Grn 10x10</t>
  </si>
  <si>
    <t>Anti-K Mono 1x5ml (Gammaclone)</t>
  </si>
  <si>
    <t>Control - Gamma-Clone 10x110</t>
  </si>
  <si>
    <t>Anti-Lea Mono 1x5</t>
  </si>
  <si>
    <t>Anti-Leb Mono 1x5</t>
  </si>
  <si>
    <t>Anti-A,B Mono Ser 1 10x10</t>
  </si>
  <si>
    <t>Anti-D Mono Ser 4 10x10</t>
  </si>
  <si>
    <t>Anti-D (Mono Blend) 3x10ml</t>
  </si>
  <si>
    <t>Anti-Fyb Gamma-clone 1x5</t>
  </si>
  <si>
    <t>Anti-Cw Gamma-clone 1x5</t>
  </si>
  <si>
    <t>Anti-s Gamma-clone 1x5 (Little s)</t>
  </si>
  <si>
    <t>Anti-B Mono Ser 3 10x10</t>
  </si>
  <si>
    <t>Anti-A,B Mono 10x10</t>
  </si>
  <si>
    <t>Lewis Blood Group Subst. 1x2</t>
  </si>
  <si>
    <t>Anti-JKA Gamma-clone 1x5</t>
  </si>
  <si>
    <t>Anti-JKB Gamma-clone 1x5</t>
  </si>
  <si>
    <t>Referencell A2 Cell 1x10</t>
  </si>
  <si>
    <t>Anti-A(Mono)Ser1 10x10ml</t>
  </si>
  <si>
    <t>Anti-IgG Clear Mono 10x10</t>
  </si>
  <si>
    <t>Anti-A Mono 10x10</t>
  </si>
  <si>
    <t>Anti-D (Mono Blend)10x10</t>
  </si>
  <si>
    <t>Anti-S Gamma-clone 1x5 (Big S)</t>
  </si>
  <si>
    <t>Referencells A1B 2x10</t>
  </si>
  <si>
    <t>Anti-B Mono 10x10</t>
  </si>
  <si>
    <t>Complement Control Cells 1x3</t>
  </si>
  <si>
    <t>Checkcell 1x10</t>
  </si>
  <si>
    <t>Checkcell 3x10</t>
  </si>
  <si>
    <t>CorQC Test System 2x11.5</t>
  </si>
  <si>
    <t>Panoscreen III 3x10</t>
  </si>
  <si>
    <t>Panoscreen 2x10</t>
  </si>
  <si>
    <t>Panocell 16 16x3</t>
  </si>
  <si>
    <t>Panocell 20 20x3</t>
  </si>
  <si>
    <t>Tech Chek Education Use only</t>
  </si>
  <si>
    <t>Anti-IgG, -C3d, Polyspecific, Monoclonal, Green, 3x10mL</t>
  </si>
  <si>
    <t>Gamma-Clone Control, 3x10ml</t>
  </si>
  <si>
    <t>0705403</t>
  </si>
  <si>
    <t>0066421</t>
  </si>
  <si>
    <t>0066089</t>
  </si>
  <si>
    <t>0066422</t>
  </si>
  <si>
    <t>0066425</t>
  </si>
  <si>
    <t>0004210</t>
  </si>
  <si>
    <t>0012280</t>
  </si>
  <si>
    <t>0002327</t>
  </si>
  <si>
    <t>0410203</t>
  </si>
  <si>
    <t>0413203</t>
  </si>
  <si>
    <t>0705010</t>
  </si>
  <si>
    <t>0007861</t>
  </si>
  <si>
    <t>0409210</t>
  </si>
  <si>
    <t>0003032</t>
  </si>
  <si>
    <t>0066424</t>
  </si>
  <si>
    <t>0004802</t>
  </si>
  <si>
    <t>0004807</t>
  </si>
  <si>
    <t>0705410</t>
  </si>
  <si>
    <t>0066430</t>
  </si>
  <si>
    <t>0004068</t>
  </si>
  <si>
    <t>0401010</t>
  </si>
  <si>
    <t>0409710</t>
  </si>
  <si>
    <t>0066451</t>
  </si>
  <si>
    <t>0420410</t>
  </si>
  <si>
    <t>0004861</t>
  </si>
  <si>
    <t>0004864</t>
  </si>
  <si>
    <t>0006408</t>
  </si>
  <si>
    <t>0006412</t>
  </si>
  <si>
    <t>0420503</t>
  </si>
  <si>
    <t>0004818</t>
  </si>
  <si>
    <t>0004819</t>
  </si>
  <si>
    <t>0066429</t>
  </si>
  <si>
    <t>0006406</t>
  </si>
  <si>
    <t>0414210</t>
  </si>
  <si>
    <t>0007702</t>
  </si>
  <si>
    <t>0066426</t>
  </si>
  <si>
    <t>0066427</t>
  </si>
  <si>
    <t>0002342</t>
  </si>
  <si>
    <t>0006400</t>
  </si>
  <si>
    <t>0401510</t>
  </si>
  <si>
    <t>0410210</t>
  </si>
  <si>
    <t>0066420</t>
  </si>
  <si>
    <t>0066428</t>
  </si>
  <si>
    <t>0002345</t>
  </si>
  <si>
    <t>0413210</t>
  </si>
  <si>
    <t>0007930</t>
  </si>
  <si>
    <t>0002224</t>
  </si>
  <si>
    <t>0002225</t>
  </si>
  <si>
    <t>0002400</t>
  </si>
  <si>
    <t>0002381</t>
  </si>
  <si>
    <t>0002380</t>
  </si>
  <si>
    <t>0002332</t>
  </si>
  <si>
    <t>0005020</t>
  </si>
  <si>
    <t>0002999</t>
  </si>
  <si>
    <t>0409703</t>
  </si>
  <si>
    <t>420403</t>
  </si>
  <si>
    <t>Equivalent Brand</t>
  </si>
  <si>
    <t>Equivalent Nomenclature</t>
  </si>
  <si>
    <t>Equivalent Description Matching Salient Characteristics and or location of information regarding equal capability</t>
  </si>
  <si>
    <t>VISN SITE BREAKDOWNS AND TOTALS</t>
  </si>
  <si>
    <t>Mfr Part Number</t>
  </si>
  <si>
    <t>ABQ 501</t>
  </si>
  <si>
    <t>LL   605</t>
  </si>
  <si>
    <t>TUC 678</t>
  </si>
  <si>
    <t>SD 664</t>
  </si>
  <si>
    <t>PHX 644</t>
  </si>
  <si>
    <t>LB  600</t>
  </si>
  <si>
    <t>GLA 691</t>
  </si>
  <si>
    <t>VISN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</si>
</sst>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theme="4" tint="0.499984740745262"/>
      </bottom>
      <diagonal/>
    </border>
    <border>
      <left/>
      <right style="medium">
        <color indexed="64"/>
      </right>
      <top style="medium">
        <color indexed="64"/>
      </top>
      <bottom style="thick">
        <color theme="4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ck">
        <color theme="4" tint="0.499984740745262"/>
      </bottom>
      <diagonal/>
    </border>
    <border>
      <left style="medium">
        <color indexed="64"/>
      </left>
      <right/>
      <top/>
      <bottom style="thick">
        <color theme="4"/>
      </bottom>
      <diagonal/>
    </border>
    <border>
      <left/>
      <right style="medium">
        <color indexed="64"/>
      </right>
      <top/>
      <bottom style="thick">
        <color theme="4"/>
      </bottom>
      <diagonal/>
    </border>
    <border>
      <left style="medium">
        <color indexed="64"/>
      </left>
      <right/>
      <top style="double">
        <color theme="4"/>
      </top>
      <bottom style="medium">
        <color indexed="64"/>
      </bottom>
      <diagonal/>
    </border>
    <border>
      <left/>
      <right style="medium">
        <color indexed="64"/>
      </right>
      <top style="double">
        <color theme="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theme="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</cellStyleXfs>
  <cellXfs count="58">
    <xf numFmtId="0" fontId="0" fillId="0" borderId="0" xfId="0"/>
    <xf numFmtId="0" fontId="0" fillId="0" borderId="0" xfId="0" applyAlignment="1">
      <alignment horizontal="left" wrapText="1"/>
    </xf>
    <xf numFmtId="0" fontId="2" fillId="0" borderId="2" xfId="2" applyAlignment="1">
      <alignment horizontal="center" wrapText="1"/>
    </xf>
    <xf numFmtId="0" fontId="4" fillId="0" borderId="4" xfId="4" applyAlignment="1">
      <alignment horizontal="left" wrapText="1"/>
    </xf>
    <xf numFmtId="0" fontId="0" fillId="0" borderId="0" xfId="0" applyAlignment="1">
      <alignment horizontal="left"/>
    </xf>
    <xf numFmtId="44" fontId="2" fillId="0" borderId="2" xfId="2" applyNumberFormat="1" applyAlignment="1">
      <alignment horizontal="center" wrapText="1"/>
    </xf>
    <xf numFmtId="44" fontId="2" fillId="0" borderId="18" xfId="2" applyNumberFormat="1" applyBorder="1" applyAlignment="1">
      <alignment horizontal="center" wrapText="1"/>
    </xf>
    <xf numFmtId="44" fontId="2" fillId="0" borderId="19" xfId="2" applyNumberFormat="1" applyBorder="1" applyAlignment="1">
      <alignment horizontal="center" wrapText="1"/>
    </xf>
    <xf numFmtId="44" fontId="0" fillId="0" borderId="0" xfId="0" applyNumberFormat="1" applyAlignment="1">
      <alignment horizontal="left" wrapText="1"/>
    </xf>
    <xf numFmtId="0" fontId="2" fillId="0" borderId="2" xfId="2" applyAlignment="1">
      <alignment horizontal="left" wrapText="1"/>
    </xf>
    <xf numFmtId="0" fontId="3" fillId="0" borderId="0" xfId="0" applyFont="1" applyAlignment="1">
      <alignment horizontal="left" wrapText="1"/>
    </xf>
    <xf numFmtId="1" fontId="2" fillId="0" borderId="2" xfId="2" applyNumberForma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/>
    <xf numFmtId="1" fontId="5" fillId="0" borderId="1" xfId="0" applyNumberFormat="1" applyFont="1" applyBorder="1"/>
    <xf numFmtId="1" fontId="5" fillId="0" borderId="1" xfId="1" applyNumberFormat="1" applyFont="1" applyBorder="1" applyAlignment="1" applyProtection="1">
      <alignment wrapText="1"/>
      <protection locked="0"/>
    </xf>
    <xf numFmtId="1" fontId="5" fillId="0" borderId="1" xfId="1" applyNumberFormat="1" applyFont="1" applyBorder="1" applyAlignment="1">
      <alignment wrapText="1"/>
    </xf>
    <xf numFmtId="1" fontId="5" fillId="0" borderId="1" xfId="1" applyNumberFormat="1" applyFont="1" applyFill="1" applyBorder="1" applyAlignment="1">
      <alignment wrapText="1"/>
    </xf>
    <xf numFmtId="1" fontId="5" fillId="0" borderId="1" xfId="0" applyNumberFormat="1" applyFont="1" applyBorder="1" applyAlignment="1">
      <alignment wrapText="1"/>
    </xf>
    <xf numFmtId="1" fontId="6" fillId="3" borderId="1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/>
    <xf numFmtId="44" fontId="7" fillId="0" borderId="9" xfId="1" applyFont="1" applyBorder="1" applyAlignment="1" applyProtection="1">
      <alignment horizontal="left" wrapText="1"/>
      <protection locked="0"/>
    </xf>
    <xf numFmtId="44" fontId="7" fillId="0" borderId="8" xfId="1" applyFont="1" applyBorder="1" applyAlignment="1">
      <alignment horizontal="left" wrapText="1"/>
    </xf>
    <xf numFmtId="44" fontId="7" fillId="0" borderId="13" xfId="1" applyFont="1" applyBorder="1" applyAlignment="1">
      <alignment horizontal="left" wrapText="1"/>
    </xf>
    <xf numFmtId="44" fontId="7" fillId="0" borderId="16" xfId="1" applyFont="1" applyBorder="1" applyAlignment="1">
      <alignment horizontal="left" wrapText="1"/>
    </xf>
    <xf numFmtId="44" fontId="7" fillId="0" borderId="7" xfId="1" applyFont="1" applyFill="1" applyBorder="1" applyAlignment="1">
      <alignment horizontal="left" wrapText="1"/>
    </xf>
    <xf numFmtId="44" fontId="7" fillId="0" borderId="7" xfId="1" applyFont="1" applyBorder="1" applyAlignment="1">
      <alignment horizontal="left" wrapText="1"/>
    </xf>
    <xf numFmtId="44" fontId="8" fillId="0" borderId="6" xfId="1" applyFont="1" applyBorder="1" applyAlignment="1">
      <alignment horizontal="left" wrapText="1"/>
    </xf>
    <xf numFmtId="44" fontId="7" fillId="0" borderId="10" xfId="1" applyFont="1" applyBorder="1" applyAlignment="1">
      <alignment horizontal="left" wrapText="1"/>
    </xf>
    <xf numFmtId="44" fontId="7" fillId="0" borderId="6" xfId="1" applyFont="1" applyBorder="1" applyAlignment="1">
      <alignment horizontal="left" wrapText="1"/>
    </xf>
    <xf numFmtId="44" fontId="7" fillId="0" borderId="5" xfId="1" applyFont="1" applyBorder="1" applyAlignment="1">
      <alignment horizontal="left" wrapText="1"/>
    </xf>
    <xf numFmtId="44" fontId="7" fillId="0" borderId="9" xfId="1" applyFont="1" applyFill="1" applyBorder="1" applyAlignment="1">
      <alignment horizontal="left" wrapText="1"/>
    </xf>
    <xf numFmtId="44" fontId="7" fillId="0" borderId="9" xfId="1" applyFont="1" applyBorder="1" applyAlignment="1">
      <alignment horizontal="left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 indent="1"/>
    </xf>
    <xf numFmtId="1" fontId="10" fillId="0" borderId="5" xfId="0" applyNumberFormat="1" applyFont="1" applyBorder="1" applyAlignment="1">
      <alignment horizontal="center" vertical="center" shrinkToFit="1"/>
    </xf>
    <xf numFmtId="44" fontId="11" fillId="0" borderId="0" xfId="1" applyFont="1" applyAlignment="1">
      <alignment horizontal="left" wrapText="1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wrapText="1"/>
    </xf>
    <xf numFmtId="0" fontId="11" fillId="2" borderId="3" xfId="3" applyFont="1" applyFill="1" applyAlignment="1">
      <alignment horizontal="left"/>
    </xf>
    <xf numFmtId="44" fontId="11" fillId="2" borderId="3" xfId="3" applyNumberFormat="1" applyFont="1" applyFill="1" applyAlignment="1">
      <alignment horizontal="center"/>
    </xf>
    <xf numFmtId="0" fontId="11" fillId="2" borderId="3" xfId="3" applyFont="1" applyFill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4" fillId="0" borderId="14" xfId="4" applyBorder="1" applyAlignment="1">
      <alignment horizontal="center" wrapText="1"/>
    </xf>
    <xf numFmtId="0" fontId="4" fillId="0" borderId="15" xfId="4" applyBorder="1" applyAlignment="1">
      <alignment horizontal="center" wrapText="1"/>
    </xf>
    <xf numFmtId="0" fontId="4" fillId="0" borderId="17" xfId="4" applyBorder="1" applyAlignment="1">
      <alignment horizontal="center" wrapText="1"/>
    </xf>
    <xf numFmtId="44" fontId="11" fillId="0" borderId="22" xfId="3" applyNumberFormat="1" applyFont="1" applyBorder="1" applyAlignment="1">
      <alignment horizontal="center" wrapText="1"/>
    </xf>
    <xf numFmtId="0" fontId="4" fillId="0" borderId="4" xfId="4" applyAlignment="1">
      <alignment horizontal="center" wrapText="1"/>
    </xf>
  </cellXfs>
  <cellStyles count="5">
    <cellStyle name="Currency" xfId="1" builtinId="4"/>
    <cellStyle name="Heading 1" xfId="2" builtinId="16"/>
    <cellStyle name="Heading 2" xfId="4" builtinId="17"/>
    <cellStyle name="Normal" xfId="0" builtinId="0"/>
    <cellStyle name="Total" xfId="3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64D30-29D0-45B8-9D2D-2E9EAA875EC3}">
  <dimension ref="A1:U65"/>
  <sheetViews>
    <sheetView tabSelected="1" zoomScaleNormal="100" workbookViewId="0">
      <selection activeCell="E3" sqref="E3"/>
    </sheetView>
  </sheetViews>
  <sheetFormatPr defaultColWidth="9.140625" defaultRowHeight="15" x14ac:dyDescent="0.25"/>
  <cols>
    <col min="1" max="1" width="6.5703125" style="1" bestFit="1" customWidth="1"/>
    <col min="2" max="2" width="8.42578125" style="1" customWidth="1"/>
    <col min="3" max="3" width="42" style="1" customWidth="1"/>
    <col min="4" max="4" width="18" style="1" bestFit="1" customWidth="1"/>
    <col min="5" max="6" width="20.7109375" style="1" customWidth="1"/>
    <col min="7" max="7" width="48" style="1" customWidth="1"/>
    <col min="8" max="8" width="13.85546875" style="1" customWidth="1"/>
    <col min="9" max="9" width="9.7109375" style="1" customWidth="1"/>
    <col min="10" max="10" width="12.7109375" style="1" customWidth="1"/>
    <col min="11" max="11" width="9.7109375" style="1" customWidth="1"/>
    <col min="12" max="12" width="12.7109375" style="1" customWidth="1"/>
    <col min="13" max="13" width="9.7109375" style="1" customWidth="1"/>
    <col min="14" max="14" width="12.7109375" style="1" customWidth="1"/>
    <col min="15" max="15" width="9.7109375" style="1" customWidth="1"/>
    <col min="16" max="16" width="12.7109375" style="1" customWidth="1"/>
    <col min="17" max="17" width="9.7109375" style="1" customWidth="1"/>
    <col min="18" max="18" width="12.7109375" style="1" customWidth="1"/>
    <col min="19" max="19" width="20.5703125" style="10" customWidth="1"/>
    <col min="20" max="16384" width="9.140625" style="1"/>
  </cols>
  <sheetData>
    <row r="1" spans="1:21" ht="30" customHeight="1" thickBot="1" x14ac:dyDescent="0.35">
      <c r="A1" s="3"/>
      <c r="B1" s="3"/>
      <c r="C1" s="3"/>
      <c r="D1" s="3"/>
      <c r="E1" s="3"/>
      <c r="F1" s="3"/>
      <c r="G1" s="3"/>
      <c r="H1" s="3"/>
      <c r="I1" s="53" t="s">
        <v>8</v>
      </c>
      <c r="J1" s="54"/>
      <c r="K1" s="55" t="s">
        <v>9</v>
      </c>
      <c r="L1" s="55"/>
      <c r="M1" s="53" t="s">
        <v>10</v>
      </c>
      <c r="N1" s="54"/>
      <c r="O1" s="55" t="s">
        <v>11</v>
      </c>
      <c r="P1" s="55"/>
      <c r="Q1" s="53" t="s">
        <v>12</v>
      </c>
      <c r="R1" s="54"/>
      <c r="S1" s="3" t="s">
        <v>6</v>
      </c>
    </row>
    <row r="2" spans="1:21" ht="79.5" thickTop="1" thickBot="1" x14ac:dyDescent="0.35">
      <c r="A2" s="2" t="s">
        <v>0</v>
      </c>
      <c r="B2" s="2" t="s">
        <v>5</v>
      </c>
      <c r="C2" s="2" t="s">
        <v>1</v>
      </c>
      <c r="D2" s="2" t="s">
        <v>2</v>
      </c>
      <c r="E2" s="2" t="s">
        <v>132</v>
      </c>
      <c r="F2" s="2" t="s">
        <v>133</v>
      </c>
      <c r="G2" s="2" t="s">
        <v>134</v>
      </c>
      <c r="H2" s="2" t="s">
        <v>7</v>
      </c>
      <c r="I2" s="6" t="s">
        <v>3</v>
      </c>
      <c r="J2" s="7" t="s">
        <v>4</v>
      </c>
      <c r="K2" s="5" t="s">
        <v>3</v>
      </c>
      <c r="L2" s="5" t="s">
        <v>4</v>
      </c>
      <c r="M2" s="6" t="s">
        <v>3</v>
      </c>
      <c r="N2" s="7" t="s">
        <v>4</v>
      </c>
      <c r="O2" s="5" t="s">
        <v>3</v>
      </c>
      <c r="P2" s="5" t="s">
        <v>4</v>
      </c>
      <c r="Q2" s="6" t="s">
        <v>3</v>
      </c>
      <c r="R2" s="7" t="s">
        <v>4</v>
      </c>
      <c r="S2" s="9"/>
    </row>
    <row r="3" spans="1:21" ht="15.75" thickTop="1" x14ac:dyDescent="0.25">
      <c r="A3" s="24">
        <v>1</v>
      </c>
      <c r="B3" s="25" t="s">
        <v>19</v>
      </c>
      <c r="C3" s="26" t="s">
        <v>20</v>
      </c>
      <c r="D3" s="26" t="s">
        <v>76</v>
      </c>
      <c r="E3" s="26"/>
      <c r="F3" s="26"/>
      <c r="G3" s="26"/>
      <c r="H3" s="26">
        <v>4</v>
      </c>
      <c r="I3" s="27"/>
      <c r="J3" s="28">
        <f>SUM(I3*H3)</f>
        <v>0</v>
      </c>
      <c r="K3" s="29"/>
      <c r="L3" s="30">
        <f>SUM(K3*H3)</f>
        <v>0</v>
      </c>
      <c r="M3" s="31"/>
      <c r="N3" s="28">
        <f t="shared" ref="N3:N59" si="0">SUM(M3*H3)</f>
        <v>0</v>
      </c>
      <c r="O3" s="29"/>
      <c r="P3" s="30">
        <f t="shared" ref="P3:P57" si="1">SUM(O3*H3)</f>
        <v>0</v>
      </c>
      <c r="Q3" s="32"/>
      <c r="R3" s="28">
        <f t="shared" ref="R3:R58" si="2">SUM(Q3*H3)</f>
        <v>0</v>
      </c>
      <c r="S3" s="33">
        <f>SUM(J3+L3+N3+P3+R3)</f>
        <v>0</v>
      </c>
      <c r="U3" s="8"/>
    </row>
    <row r="4" spans="1:21" x14ac:dyDescent="0.25">
      <c r="A4" s="24">
        <v>2</v>
      </c>
      <c r="B4" s="25" t="s">
        <v>19</v>
      </c>
      <c r="C4" s="26" t="s">
        <v>21</v>
      </c>
      <c r="D4" s="26" t="s">
        <v>77</v>
      </c>
      <c r="E4" s="26"/>
      <c r="F4" s="26"/>
      <c r="G4" s="26"/>
      <c r="H4" s="26">
        <v>14</v>
      </c>
      <c r="I4" s="27"/>
      <c r="J4" s="34">
        <f t="shared" ref="J4:J60" si="3">SUM(I4*H4)</f>
        <v>0</v>
      </c>
      <c r="K4" s="35"/>
      <c r="L4" s="36">
        <f t="shared" ref="L4:L60" si="4">SUM(K4*H4)</f>
        <v>0</v>
      </c>
      <c r="M4" s="37"/>
      <c r="N4" s="34">
        <f t="shared" si="0"/>
        <v>0</v>
      </c>
      <c r="O4" s="35"/>
      <c r="P4" s="36">
        <f t="shared" si="1"/>
        <v>0</v>
      </c>
      <c r="Q4" s="38"/>
      <c r="R4" s="34">
        <f t="shared" si="2"/>
        <v>0</v>
      </c>
      <c r="S4" s="33">
        <f t="shared" ref="S4:S60" si="5">SUM(J4+L4+N4+P4+R4)</f>
        <v>0</v>
      </c>
      <c r="U4" s="8"/>
    </row>
    <row r="5" spans="1:21" x14ac:dyDescent="0.25">
      <c r="A5" s="24">
        <v>3</v>
      </c>
      <c r="B5" s="25" t="s">
        <v>19</v>
      </c>
      <c r="C5" s="26" t="s">
        <v>22</v>
      </c>
      <c r="D5" s="26" t="s">
        <v>78</v>
      </c>
      <c r="E5" s="26"/>
      <c r="F5" s="26"/>
      <c r="G5" s="26"/>
      <c r="H5" s="26">
        <v>10</v>
      </c>
      <c r="I5" s="27"/>
      <c r="J5" s="34">
        <f t="shared" si="3"/>
        <v>0</v>
      </c>
      <c r="K5" s="35"/>
      <c r="L5" s="36">
        <f t="shared" si="4"/>
        <v>0</v>
      </c>
      <c r="M5" s="37"/>
      <c r="N5" s="34">
        <f t="shared" si="0"/>
        <v>0</v>
      </c>
      <c r="O5" s="35"/>
      <c r="P5" s="36">
        <f t="shared" si="1"/>
        <v>0</v>
      </c>
      <c r="Q5" s="38"/>
      <c r="R5" s="34">
        <f t="shared" si="2"/>
        <v>0</v>
      </c>
      <c r="S5" s="33">
        <f t="shared" si="5"/>
        <v>0</v>
      </c>
      <c r="U5" s="8"/>
    </row>
    <row r="6" spans="1:21" x14ac:dyDescent="0.25">
      <c r="A6" s="24">
        <v>4</v>
      </c>
      <c r="B6" s="25" t="s">
        <v>19</v>
      </c>
      <c r="C6" s="26" t="s">
        <v>23</v>
      </c>
      <c r="D6" s="26" t="s">
        <v>79</v>
      </c>
      <c r="E6" s="26"/>
      <c r="F6" s="26"/>
      <c r="G6" s="26"/>
      <c r="H6" s="26">
        <v>23</v>
      </c>
      <c r="I6" s="27"/>
      <c r="J6" s="34">
        <f t="shared" si="3"/>
        <v>0</v>
      </c>
      <c r="K6" s="35"/>
      <c r="L6" s="36">
        <f t="shared" si="4"/>
        <v>0</v>
      </c>
      <c r="M6" s="37"/>
      <c r="N6" s="34">
        <f>SUM(M6*H6)</f>
        <v>0</v>
      </c>
      <c r="O6" s="35"/>
      <c r="P6" s="36">
        <f t="shared" si="1"/>
        <v>0</v>
      </c>
      <c r="Q6" s="38"/>
      <c r="R6" s="34">
        <f t="shared" si="2"/>
        <v>0</v>
      </c>
      <c r="S6" s="33">
        <f t="shared" si="5"/>
        <v>0</v>
      </c>
      <c r="U6" s="8"/>
    </row>
    <row r="7" spans="1:21" x14ac:dyDescent="0.25">
      <c r="A7" s="24">
        <v>5</v>
      </c>
      <c r="B7" s="25" t="s">
        <v>19</v>
      </c>
      <c r="C7" s="26" t="s">
        <v>24</v>
      </c>
      <c r="D7" s="26" t="s">
        <v>80</v>
      </c>
      <c r="E7" s="26"/>
      <c r="F7" s="26"/>
      <c r="G7" s="26"/>
      <c r="H7" s="26">
        <v>15</v>
      </c>
      <c r="I7" s="27"/>
      <c r="J7" s="34">
        <f t="shared" si="3"/>
        <v>0</v>
      </c>
      <c r="K7" s="35"/>
      <c r="L7" s="36">
        <f t="shared" si="4"/>
        <v>0</v>
      </c>
      <c r="M7" s="37"/>
      <c r="N7" s="34">
        <f t="shared" si="0"/>
        <v>0</v>
      </c>
      <c r="O7" s="35"/>
      <c r="P7" s="36">
        <f t="shared" si="1"/>
        <v>0</v>
      </c>
      <c r="Q7" s="38"/>
      <c r="R7" s="34">
        <f t="shared" si="2"/>
        <v>0</v>
      </c>
      <c r="S7" s="33">
        <f t="shared" si="5"/>
        <v>0</v>
      </c>
      <c r="U7" s="8"/>
    </row>
    <row r="8" spans="1:21" x14ac:dyDescent="0.25">
      <c r="A8" s="24">
        <v>6</v>
      </c>
      <c r="B8" s="25" t="s">
        <v>19</v>
      </c>
      <c r="C8" s="26" t="s">
        <v>25</v>
      </c>
      <c r="D8" s="26" t="s">
        <v>81</v>
      </c>
      <c r="E8" s="26"/>
      <c r="F8" s="26"/>
      <c r="G8" s="26"/>
      <c r="H8" s="26">
        <v>25</v>
      </c>
      <c r="I8" s="27"/>
      <c r="J8" s="34">
        <f t="shared" si="3"/>
        <v>0</v>
      </c>
      <c r="K8" s="35"/>
      <c r="L8" s="36">
        <f t="shared" si="4"/>
        <v>0</v>
      </c>
      <c r="M8" s="37"/>
      <c r="N8" s="34">
        <f t="shared" si="0"/>
        <v>0</v>
      </c>
      <c r="O8" s="35"/>
      <c r="P8" s="36">
        <f t="shared" si="1"/>
        <v>0</v>
      </c>
      <c r="Q8" s="38"/>
      <c r="R8" s="34">
        <f t="shared" si="2"/>
        <v>0</v>
      </c>
      <c r="S8" s="33">
        <f t="shared" si="5"/>
        <v>0</v>
      </c>
      <c r="U8" s="8"/>
    </row>
    <row r="9" spans="1:21" x14ac:dyDescent="0.25">
      <c r="A9" s="24">
        <v>7</v>
      </c>
      <c r="B9" s="25" t="s">
        <v>19</v>
      </c>
      <c r="C9" s="26" t="s">
        <v>26</v>
      </c>
      <c r="D9" s="26" t="s">
        <v>82</v>
      </c>
      <c r="E9" s="26"/>
      <c r="F9" s="26"/>
      <c r="G9" s="26"/>
      <c r="H9" s="26">
        <v>13</v>
      </c>
      <c r="I9" s="27"/>
      <c r="J9" s="34">
        <f t="shared" si="3"/>
        <v>0</v>
      </c>
      <c r="K9" s="35"/>
      <c r="L9" s="36">
        <f t="shared" si="4"/>
        <v>0</v>
      </c>
      <c r="M9" s="37"/>
      <c r="N9" s="34">
        <f t="shared" si="0"/>
        <v>0</v>
      </c>
      <c r="O9" s="35"/>
      <c r="P9" s="36">
        <f t="shared" si="1"/>
        <v>0</v>
      </c>
      <c r="Q9" s="38"/>
      <c r="R9" s="34">
        <f t="shared" si="2"/>
        <v>0</v>
      </c>
      <c r="S9" s="33">
        <f t="shared" si="5"/>
        <v>0</v>
      </c>
      <c r="U9" s="8"/>
    </row>
    <row r="10" spans="1:21" x14ac:dyDescent="0.25">
      <c r="A10" s="24">
        <v>8</v>
      </c>
      <c r="B10" s="25" t="s">
        <v>19</v>
      </c>
      <c r="C10" s="26" t="s">
        <v>27</v>
      </c>
      <c r="D10" s="26" t="s">
        <v>83</v>
      </c>
      <c r="E10" s="26"/>
      <c r="F10" s="26"/>
      <c r="G10" s="26"/>
      <c r="H10" s="26">
        <v>28</v>
      </c>
      <c r="I10" s="27"/>
      <c r="J10" s="34">
        <f t="shared" si="3"/>
        <v>0</v>
      </c>
      <c r="K10" s="35"/>
      <c r="L10" s="36">
        <f t="shared" si="4"/>
        <v>0</v>
      </c>
      <c r="M10" s="37"/>
      <c r="N10" s="34">
        <f t="shared" si="0"/>
        <v>0</v>
      </c>
      <c r="O10" s="35"/>
      <c r="P10" s="36">
        <f t="shared" si="1"/>
        <v>0</v>
      </c>
      <c r="Q10" s="38"/>
      <c r="R10" s="34">
        <f t="shared" si="2"/>
        <v>0</v>
      </c>
      <c r="S10" s="33">
        <f t="shared" si="5"/>
        <v>0</v>
      </c>
      <c r="U10" s="8"/>
    </row>
    <row r="11" spans="1:21" x14ac:dyDescent="0.25">
      <c r="A11" s="24">
        <v>9</v>
      </c>
      <c r="B11" s="25" t="s">
        <v>19</v>
      </c>
      <c r="C11" s="26" t="s">
        <v>28</v>
      </c>
      <c r="D11" s="26" t="s">
        <v>84</v>
      </c>
      <c r="E11" s="26"/>
      <c r="F11" s="26"/>
      <c r="G11" s="26"/>
      <c r="H11" s="26">
        <v>3</v>
      </c>
      <c r="I11" s="27"/>
      <c r="J11" s="34">
        <f t="shared" si="3"/>
        <v>0</v>
      </c>
      <c r="K11" s="35"/>
      <c r="L11" s="36">
        <f t="shared" si="4"/>
        <v>0</v>
      </c>
      <c r="M11" s="37"/>
      <c r="N11" s="34">
        <f t="shared" si="0"/>
        <v>0</v>
      </c>
      <c r="O11" s="35"/>
      <c r="P11" s="36">
        <f t="shared" si="1"/>
        <v>0</v>
      </c>
      <c r="Q11" s="38"/>
      <c r="R11" s="34">
        <f t="shared" si="2"/>
        <v>0</v>
      </c>
      <c r="S11" s="33">
        <f t="shared" si="5"/>
        <v>0</v>
      </c>
      <c r="U11" s="8"/>
    </row>
    <row r="12" spans="1:21" x14ac:dyDescent="0.25">
      <c r="A12" s="24">
        <v>10</v>
      </c>
      <c r="B12" s="25" t="s">
        <v>19</v>
      </c>
      <c r="C12" s="26" t="s">
        <v>29</v>
      </c>
      <c r="D12" s="26" t="s">
        <v>85</v>
      </c>
      <c r="E12" s="26"/>
      <c r="F12" s="26"/>
      <c r="G12" s="26"/>
      <c r="H12" s="26">
        <v>3</v>
      </c>
      <c r="I12" s="27"/>
      <c r="J12" s="34">
        <f t="shared" si="3"/>
        <v>0</v>
      </c>
      <c r="K12" s="35"/>
      <c r="L12" s="36">
        <f t="shared" si="4"/>
        <v>0</v>
      </c>
      <c r="M12" s="37"/>
      <c r="N12" s="34">
        <f t="shared" si="0"/>
        <v>0</v>
      </c>
      <c r="O12" s="35"/>
      <c r="P12" s="36">
        <f t="shared" si="1"/>
        <v>0</v>
      </c>
      <c r="Q12" s="38"/>
      <c r="R12" s="34">
        <f t="shared" si="2"/>
        <v>0</v>
      </c>
      <c r="S12" s="33">
        <f t="shared" si="5"/>
        <v>0</v>
      </c>
      <c r="U12" s="8"/>
    </row>
    <row r="13" spans="1:21" x14ac:dyDescent="0.25">
      <c r="A13" s="24">
        <v>11</v>
      </c>
      <c r="B13" s="25" t="s">
        <v>19</v>
      </c>
      <c r="C13" s="26" t="s">
        <v>30</v>
      </c>
      <c r="D13" s="26" t="s">
        <v>86</v>
      </c>
      <c r="E13" s="26"/>
      <c r="F13" s="26"/>
      <c r="G13" s="26"/>
      <c r="H13" s="26">
        <v>16</v>
      </c>
      <c r="I13" s="27"/>
      <c r="J13" s="34">
        <f t="shared" si="3"/>
        <v>0</v>
      </c>
      <c r="K13" s="35"/>
      <c r="L13" s="36">
        <f t="shared" si="4"/>
        <v>0</v>
      </c>
      <c r="M13" s="37"/>
      <c r="N13" s="34">
        <f t="shared" si="0"/>
        <v>0</v>
      </c>
      <c r="O13" s="35"/>
      <c r="P13" s="36">
        <f t="shared" si="1"/>
        <v>0</v>
      </c>
      <c r="Q13" s="38"/>
      <c r="R13" s="34">
        <f t="shared" si="2"/>
        <v>0</v>
      </c>
      <c r="S13" s="33">
        <f t="shared" si="5"/>
        <v>0</v>
      </c>
      <c r="U13" s="8"/>
    </row>
    <row r="14" spans="1:21" x14ac:dyDescent="0.25">
      <c r="A14" s="24">
        <v>12</v>
      </c>
      <c r="B14" s="25" t="s">
        <v>19</v>
      </c>
      <c r="C14" s="26" t="s">
        <v>31</v>
      </c>
      <c r="D14" s="26" t="s">
        <v>87</v>
      </c>
      <c r="E14" s="26"/>
      <c r="F14" s="26"/>
      <c r="G14" s="26"/>
      <c r="H14" s="26">
        <v>14</v>
      </c>
      <c r="I14" s="27"/>
      <c r="J14" s="34">
        <f t="shared" si="3"/>
        <v>0</v>
      </c>
      <c r="K14" s="35"/>
      <c r="L14" s="36">
        <f t="shared" si="4"/>
        <v>0</v>
      </c>
      <c r="M14" s="37"/>
      <c r="N14" s="34">
        <f t="shared" si="0"/>
        <v>0</v>
      </c>
      <c r="O14" s="35"/>
      <c r="P14" s="36">
        <f t="shared" si="1"/>
        <v>0</v>
      </c>
      <c r="Q14" s="38"/>
      <c r="R14" s="34">
        <f t="shared" si="2"/>
        <v>0</v>
      </c>
      <c r="S14" s="33">
        <f t="shared" si="5"/>
        <v>0</v>
      </c>
      <c r="U14" s="8"/>
    </row>
    <row r="15" spans="1:21" x14ac:dyDescent="0.25">
      <c r="A15" s="24">
        <v>13</v>
      </c>
      <c r="B15" s="25" t="s">
        <v>19</v>
      </c>
      <c r="C15" s="26" t="s">
        <v>32</v>
      </c>
      <c r="D15" s="26" t="s">
        <v>88</v>
      </c>
      <c r="E15" s="26"/>
      <c r="F15" s="26"/>
      <c r="G15" s="26"/>
      <c r="H15" s="26">
        <v>18</v>
      </c>
      <c r="I15" s="27"/>
      <c r="J15" s="34">
        <f t="shared" si="3"/>
        <v>0</v>
      </c>
      <c r="K15" s="35"/>
      <c r="L15" s="36">
        <f t="shared" si="4"/>
        <v>0</v>
      </c>
      <c r="M15" s="37"/>
      <c r="N15" s="34">
        <f t="shared" si="0"/>
        <v>0</v>
      </c>
      <c r="O15" s="35"/>
      <c r="P15" s="36">
        <f t="shared" si="1"/>
        <v>0</v>
      </c>
      <c r="Q15" s="38"/>
      <c r="R15" s="34">
        <f t="shared" si="2"/>
        <v>0</v>
      </c>
      <c r="S15" s="33">
        <f t="shared" si="5"/>
        <v>0</v>
      </c>
      <c r="U15" s="8"/>
    </row>
    <row r="16" spans="1:21" x14ac:dyDescent="0.25">
      <c r="A16" s="24">
        <v>14</v>
      </c>
      <c r="B16" s="25" t="s">
        <v>19</v>
      </c>
      <c r="C16" s="26" t="s">
        <v>33</v>
      </c>
      <c r="D16" s="26" t="s">
        <v>89</v>
      </c>
      <c r="E16" s="26"/>
      <c r="F16" s="26"/>
      <c r="G16" s="26"/>
      <c r="H16" s="26">
        <v>26</v>
      </c>
      <c r="I16" s="27"/>
      <c r="J16" s="34">
        <f t="shared" si="3"/>
        <v>0</v>
      </c>
      <c r="K16" s="35"/>
      <c r="L16" s="36">
        <f t="shared" si="4"/>
        <v>0</v>
      </c>
      <c r="M16" s="37"/>
      <c r="N16" s="34">
        <f t="shared" si="0"/>
        <v>0</v>
      </c>
      <c r="O16" s="35"/>
      <c r="P16" s="36">
        <f t="shared" si="1"/>
        <v>0</v>
      </c>
      <c r="Q16" s="38"/>
      <c r="R16" s="34">
        <f t="shared" si="2"/>
        <v>0</v>
      </c>
      <c r="S16" s="33">
        <f t="shared" si="5"/>
        <v>0</v>
      </c>
      <c r="U16" s="8"/>
    </row>
    <row r="17" spans="1:21" x14ac:dyDescent="0.25">
      <c r="A17" s="24">
        <v>15</v>
      </c>
      <c r="B17" s="25" t="s">
        <v>19</v>
      </c>
      <c r="C17" s="26" t="s">
        <v>34</v>
      </c>
      <c r="D17" s="26" t="s">
        <v>90</v>
      </c>
      <c r="E17" s="26"/>
      <c r="F17" s="26"/>
      <c r="G17" s="26"/>
      <c r="H17" s="26">
        <v>8</v>
      </c>
      <c r="I17" s="27"/>
      <c r="J17" s="34">
        <f t="shared" si="3"/>
        <v>0</v>
      </c>
      <c r="K17" s="35"/>
      <c r="L17" s="36">
        <f t="shared" si="4"/>
        <v>0</v>
      </c>
      <c r="M17" s="37"/>
      <c r="N17" s="34">
        <f t="shared" si="0"/>
        <v>0</v>
      </c>
      <c r="O17" s="35"/>
      <c r="P17" s="36">
        <f t="shared" si="1"/>
        <v>0</v>
      </c>
      <c r="Q17" s="38"/>
      <c r="R17" s="34">
        <f t="shared" si="2"/>
        <v>0</v>
      </c>
      <c r="S17" s="33">
        <f t="shared" si="5"/>
        <v>0</v>
      </c>
      <c r="U17" s="8"/>
    </row>
    <row r="18" spans="1:21" x14ac:dyDescent="0.25">
      <c r="A18" s="24">
        <v>16</v>
      </c>
      <c r="B18" s="25" t="s">
        <v>19</v>
      </c>
      <c r="C18" s="26" t="s">
        <v>35</v>
      </c>
      <c r="D18" s="26" t="s">
        <v>91</v>
      </c>
      <c r="E18" s="26"/>
      <c r="F18" s="26"/>
      <c r="G18" s="26"/>
      <c r="H18" s="26">
        <v>16</v>
      </c>
      <c r="I18" s="27"/>
      <c r="J18" s="34">
        <f t="shared" si="3"/>
        <v>0</v>
      </c>
      <c r="K18" s="35"/>
      <c r="L18" s="36">
        <f t="shared" si="4"/>
        <v>0</v>
      </c>
      <c r="M18" s="37"/>
      <c r="N18" s="34">
        <f t="shared" si="0"/>
        <v>0</v>
      </c>
      <c r="O18" s="35"/>
      <c r="P18" s="36">
        <f t="shared" si="1"/>
        <v>0</v>
      </c>
      <c r="Q18" s="38"/>
      <c r="R18" s="34">
        <f t="shared" si="2"/>
        <v>0</v>
      </c>
      <c r="S18" s="33">
        <f t="shared" si="5"/>
        <v>0</v>
      </c>
      <c r="U18" s="8"/>
    </row>
    <row r="19" spans="1:21" x14ac:dyDescent="0.25">
      <c r="A19" s="24">
        <v>17</v>
      </c>
      <c r="B19" s="25" t="s">
        <v>19</v>
      </c>
      <c r="C19" s="26" t="s">
        <v>36</v>
      </c>
      <c r="D19" s="26" t="s">
        <v>92</v>
      </c>
      <c r="E19" s="26"/>
      <c r="F19" s="26"/>
      <c r="G19" s="26"/>
      <c r="H19" s="26">
        <v>9</v>
      </c>
      <c r="I19" s="27"/>
      <c r="J19" s="34">
        <f t="shared" si="3"/>
        <v>0</v>
      </c>
      <c r="K19" s="35"/>
      <c r="L19" s="36">
        <f t="shared" si="4"/>
        <v>0</v>
      </c>
      <c r="M19" s="37"/>
      <c r="N19" s="34">
        <f t="shared" si="0"/>
        <v>0</v>
      </c>
      <c r="O19" s="35"/>
      <c r="P19" s="36">
        <f t="shared" si="1"/>
        <v>0</v>
      </c>
      <c r="Q19" s="38"/>
      <c r="R19" s="34">
        <f t="shared" si="2"/>
        <v>0</v>
      </c>
      <c r="S19" s="33">
        <f t="shared" si="5"/>
        <v>0</v>
      </c>
      <c r="U19" s="8"/>
    </row>
    <row r="20" spans="1:21" x14ac:dyDescent="0.25">
      <c r="A20" s="24">
        <v>18</v>
      </c>
      <c r="B20" s="25" t="s">
        <v>19</v>
      </c>
      <c r="C20" s="26" t="s">
        <v>37</v>
      </c>
      <c r="D20" s="26" t="s">
        <v>93</v>
      </c>
      <c r="E20" s="26"/>
      <c r="F20" s="26"/>
      <c r="G20" s="26"/>
      <c r="H20" s="26">
        <v>3</v>
      </c>
      <c r="I20" s="27"/>
      <c r="J20" s="34">
        <f t="shared" si="3"/>
        <v>0</v>
      </c>
      <c r="K20" s="35"/>
      <c r="L20" s="36">
        <f t="shared" si="4"/>
        <v>0</v>
      </c>
      <c r="M20" s="37"/>
      <c r="N20" s="34">
        <f t="shared" si="0"/>
        <v>0</v>
      </c>
      <c r="O20" s="35"/>
      <c r="P20" s="36">
        <f t="shared" si="1"/>
        <v>0</v>
      </c>
      <c r="Q20" s="38"/>
      <c r="R20" s="34">
        <f t="shared" si="2"/>
        <v>0</v>
      </c>
      <c r="S20" s="33">
        <f t="shared" si="5"/>
        <v>0</v>
      </c>
      <c r="U20" s="8"/>
    </row>
    <row r="21" spans="1:21" x14ac:dyDescent="0.25">
      <c r="A21" s="24">
        <v>19</v>
      </c>
      <c r="B21" s="25" t="s">
        <v>19</v>
      </c>
      <c r="C21" s="26" t="s">
        <v>38</v>
      </c>
      <c r="D21" s="26" t="s">
        <v>94</v>
      </c>
      <c r="E21" s="26"/>
      <c r="F21" s="26"/>
      <c r="G21" s="26"/>
      <c r="H21" s="26">
        <v>21</v>
      </c>
      <c r="I21" s="27"/>
      <c r="J21" s="34">
        <f t="shared" si="3"/>
        <v>0</v>
      </c>
      <c r="K21" s="35"/>
      <c r="L21" s="36">
        <f t="shared" si="4"/>
        <v>0</v>
      </c>
      <c r="M21" s="37"/>
      <c r="N21" s="34">
        <f t="shared" si="0"/>
        <v>0</v>
      </c>
      <c r="O21" s="35"/>
      <c r="P21" s="36">
        <f t="shared" si="1"/>
        <v>0</v>
      </c>
      <c r="Q21" s="38"/>
      <c r="R21" s="34">
        <f t="shared" si="2"/>
        <v>0</v>
      </c>
      <c r="S21" s="33">
        <f t="shared" si="5"/>
        <v>0</v>
      </c>
      <c r="U21" s="8"/>
    </row>
    <row r="22" spans="1:21" x14ac:dyDescent="0.25">
      <c r="A22" s="24">
        <v>20</v>
      </c>
      <c r="B22" s="25" t="s">
        <v>19</v>
      </c>
      <c r="C22" s="26" t="s">
        <v>39</v>
      </c>
      <c r="D22" s="26" t="s">
        <v>95</v>
      </c>
      <c r="E22" s="26"/>
      <c r="F22" s="26"/>
      <c r="G22" s="26"/>
      <c r="H22" s="26">
        <v>66</v>
      </c>
      <c r="I22" s="27"/>
      <c r="J22" s="34">
        <f t="shared" si="3"/>
        <v>0</v>
      </c>
      <c r="K22" s="35"/>
      <c r="L22" s="36">
        <f t="shared" si="4"/>
        <v>0</v>
      </c>
      <c r="M22" s="37"/>
      <c r="N22" s="34">
        <f t="shared" si="0"/>
        <v>0</v>
      </c>
      <c r="O22" s="35"/>
      <c r="P22" s="36">
        <f t="shared" si="1"/>
        <v>0</v>
      </c>
      <c r="Q22" s="38"/>
      <c r="R22" s="34">
        <f t="shared" si="2"/>
        <v>0</v>
      </c>
      <c r="S22" s="33">
        <f t="shared" si="5"/>
        <v>0</v>
      </c>
      <c r="U22" s="8"/>
    </row>
    <row r="23" spans="1:21" x14ac:dyDescent="0.25">
      <c r="A23" s="24">
        <v>21</v>
      </c>
      <c r="B23" s="25" t="s">
        <v>19</v>
      </c>
      <c r="C23" s="26" t="s">
        <v>40</v>
      </c>
      <c r="D23" s="26" t="s">
        <v>96</v>
      </c>
      <c r="E23" s="26"/>
      <c r="F23" s="26"/>
      <c r="G23" s="26"/>
      <c r="H23" s="26">
        <v>5</v>
      </c>
      <c r="I23" s="27"/>
      <c r="J23" s="34">
        <f t="shared" si="3"/>
        <v>0</v>
      </c>
      <c r="K23" s="35"/>
      <c r="L23" s="36">
        <f t="shared" si="4"/>
        <v>0</v>
      </c>
      <c r="M23" s="37"/>
      <c r="N23" s="34">
        <f t="shared" si="0"/>
        <v>0</v>
      </c>
      <c r="O23" s="35"/>
      <c r="P23" s="36">
        <f t="shared" si="1"/>
        <v>0</v>
      </c>
      <c r="Q23" s="38"/>
      <c r="R23" s="34">
        <f t="shared" si="2"/>
        <v>0</v>
      </c>
      <c r="S23" s="33">
        <f t="shared" si="5"/>
        <v>0</v>
      </c>
      <c r="U23" s="8"/>
    </row>
    <row r="24" spans="1:21" x14ac:dyDescent="0.25">
      <c r="A24" s="24">
        <v>22</v>
      </c>
      <c r="B24" s="25" t="s">
        <v>19</v>
      </c>
      <c r="C24" s="26" t="s">
        <v>41</v>
      </c>
      <c r="D24" s="26" t="s">
        <v>97</v>
      </c>
      <c r="E24" s="26"/>
      <c r="F24" s="26"/>
      <c r="G24" s="26"/>
      <c r="H24" s="26">
        <v>2</v>
      </c>
      <c r="I24" s="27"/>
      <c r="J24" s="34">
        <f t="shared" si="3"/>
        <v>0</v>
      </c>
      <c r="K24" s="35"/>
      <c r="L24" s="36">
        <f t="shared" si="4"/>
        <v>0</v>
      </c>
      <c r="M24" s="37"/>
      <c r="N24" s="34">
        <f t="shared" si="0"/>
        <v>0</v>
      </c>
      <c r="O24" s="35"/>
      <c r="P24" s="36">
        <f t="shared" si="1"/>
        <v>0</v>
      </c>
      <c r="Q24" s="38"/>
      <c r="R24" s="34">
        <f t="shared" si="2"/>
        <v>0</v>
      </c>
      <c r="S24" s="33">
        <f t="shared" si="5"/>
        <v>0</v>
      </c>
      <c r="U24" s="8"/>
    </row>
    <row r="25" spans="1:21" x14ac:dyDescent="0.25">
      <c r="A25" s="24">
        <v>23</v>
      </c>
      <c r="B25" s="25" t="s">
        <v>19</v>
      </c>
      <c r="C25" s="26" t="s">
        <v>42</v>
      </c>
      <c r="D25" s="26" t="s">
        <v>98</v>
      </c>
      <c r="E25" s="26"/>
      <c r="F25" s="26"/>
      <c r="G25" s="26"/>
      <c r="H25" s="26">
        <v>12</v>
      </c>
      <c r="I25" s="27"/>
      <c r="J25" s="34">
        <f t="shared" si="3"/>
        <v>0</v>
      </c>
      <c r="K25" s="35"/>
      <c r="L25" s="36">
        <f t="shared" si="4"/>
        <v>0</v>
      </c>
      <c r="M25" s="37"/>
      <c r="N25" s="34">
        <f t="shared" si="0"/>
        <v>0</v>
      </c>
      <c r="O25" s="35"/>
      <c r="P25" s="36">
        <f t="shared" si="1"/>
        <v>0</v>
      </c>
      <c r="Q25" s="38"/>
      <c r="R25" s="34">
        <f t="shared" si="2"/>
        <v>0</v>
      </c>
      <c r="S25" s="33">
        <f t="shared" si="5"/>
        <v>0</v>
      </c>
      <c r="U25" s="8"/>
    </row>
    <row r="26" spans="1:21" x14ac:dyDescent="0.25">
      <c r="A26" s="24">
        <v>24</v>
      </c>
      <c r="B26" s="25" t="s">
        <v>19</v>
      </c>
      <c r="C26" s="26" t="s">
        <v>43</v>
      </c>
      <c r="D26" s="26" t="s">
        <v>99</v>
      </c>
      <c r="E26" s="26"/>
      <c r="F26" s="26"/>
      <c r="G26" s="26"/>
      <c r="H26" s="26">
        <v>4</v>
      </c>
      <c r="I26" s="27"/>
      <c r="J26" s="34">
        <f t="shared" si="3"/>
        <v>0</v>
      </c>
      <c r="K26" s="35"/>
      <c r="L26" s="36">
        <f t="shared" si="4"/>
        <v>0</v>
      </c>
      <c r="M26" s="37"/>
      <c r="N26" s="34">
        <f t="shared" si="0"/>
        <v>0</v>
      </c>
      <c r="O26" s="35"/>
      <c r="P26" s="36">
        <f t="shared" si="1"/>
        <v>0</v>
      </c>
      <c r="Q26" s="38"/>
      <c r="R26" s="34">
        <f t="shared" si="2"/>
        <v>0</v>
      </c>
      <c r="S26" s="33">
        <f t="shared" si="5"/>
        <v>0</v>
      </c>
      <c r="U26" s="8"/>
    </row>
    <row r="27" spans="1:21" x14ac:dyDescent="0.25">
      <c r="A27" s="24">
        <v>25</v>
      </c>
      <c r="B27" s="25" t="s">
        <v>19</v>
      </c>
      <c r="C27" s="26" t="s">
        <v>44</v>
      </c>
      <c r="D27" s="26" t="s">
        <v>100</v>
      </c>
      <c r="E27" s="26"/>
      <c r="F27" s="26"/>
      <c r="G27" s="26"/>
      <c r="H27" s="26">
        <v>2</v>
      </c>
      <c r="I27" s="27"/>
      <c r="J27" s="34">
        <f t="shared" si="3"/>
        <v>0</v>
      </c>
      <c r="K27" s="35"/>
      <c r="L27" s="36">
        <f t="shared" si="4"/>
        <v>0</v>
      </c>
      <c r="M27" s="37"/>
      <c r="N27" s="34">
        <f t="shared" si="0"/>
        <v>0</v>
      </c>
      <c r="O27" s="35"/>
      <c r="P27" s="36">
        <f t="shared" si="1"/>
        <v>0</v>
      </c>
      <c r="Q27" s="38"/>
      <c r="R27" s="34">
        <f t="shared" si="2"/>
        <v>0</v>
      </c>
      <c r="S27" s="33">
        <f t="shared" si="5"/>
        <v>0</v>
      </c>
      <c r="U27" s="8"/>
    </row>
    <row r="28" spans="1:21" x14ac:dyDescent="0.25">
      <c r="A28" s="24">
        <v>26</v>
      </c>
      <c r="B28" s="25" t="s">
        <v>19</v>
      </c>
      <c r="C28" s="26" t="s">
        <v>45</v>
      </c>
      <c r="D28" s="26" t="s">
        <v>101</v>
      </c>
      <c r="E28" s="26"/>
      <c r="F28" s="26"/>
      <c r="G28" s="26"/>
      <c r="H28" s="26">
        <v>2</v>
      </c>
      <c r="I28" s="27"/>
      <c r="J28" s="34">
        <f t="shared" si="3"/>
        <v>0</v>
      </c>
      <c r="K28" s="35"/>
      <c r="L28" s="36">
        <f t="shared" si="4"/>
        <v>0</v>
      </c>
      <c r="M28" s="37"/>
      <c r="N28" s="34">
        <f t="shared" si="0"/>
        <v>0</v>
      </c>
      <c r="O28" s="35"/>
      <c r="P28" s="36">
        <f t="shared" si="1"/>
        <v>0</v>
      </c>
      <c r="Q28" s="38"/>
      <c r="R28" s="34">
        <f t="shared" si="2"/>
        <v>0</v>
      </c>
      <c r="S28" s="33">
        <f t="shared" si="5"/>
        <v>0</v>
      </c>
      <c r="U28" s="8"/>
    </row>
    <row r="29" spans="1:21" x14ac:dyDescent="0.25">
      <c r="A29" s="24">
        <v>27</v>
      </c>
      <c r="B29" s="25" t="s">
        <v>19</v>
      </c>
      <c r="C29" s="26" t="s">
        <v>46</v>
      </c>
      <c r="D29" s="26" t="s">
        <v>102</v>
      </c>
      <c r="E29" s="26"/>
      <c r="F29" s="26"/>
      <c r="G29" s="26"/>
      <c r="H29" s="26">
        <v>6</v>
      </c>
      <c r="I29" s="27"/>
      <c r="J29" s="34">
        <f t="shared" si="3"/>
        <v>0</v>
      </c>
      <c r="K29" s="35"/>
      <c r="L29" s="36">
        <f t="shared" si="4"/>
        <v>0</v>
      </c>
      <c r="M29" s="37"/>
      <c r="N29" s="34">
        <f t="shared" si="0"/>
        <v>0</v>
      </c>
      <c r="O29" s="35"/>
      <c r="P29" s="36">
        <f t="shared" si="1"/>
        <v>0</v>
      </c>
      <c r="Q29" s="38"/>
      <c r="R29" s="34">
        <f t="shared" si="2"/>
        <v>0</v>
      </c>
      <c r="S29" s="33">
        <f t="shared" si="5"/>
        <v>0</v>
      </c>
      <c r="U29" s="8"/>
    </row>
    <row r="30" spans="1:21" x14ac:dyDescent="0.25">
      <c r="A30" s="24">
        <v>28</v>
      </c>
      <c r="B30" s="25" t="s">
        <v>19</v>
      </c>
      <c r="C30" s="26" t="s">
        <v>47</v>
      </c>
      <c r="D30" s="26" t="s">
        <v>103</v>
      </c>
      <c r="E30" s="26"/>
      <c r="F30" s="26"/>
      <c r="G30" s="26"/>
      <c r="H30" s="26">
        <v>13</v>
      </c>
      <c r="I30" s="27"/>
      <c r="J30" s="34">
        <f t="shared" si="3"/>
        <v>0</v>
      </c>
      <c r="K30" s="35"/>
      <c r="L30" s="36">
        <f t="shared" si="4"/>
        <v>0</v>
      </c>
      <c r="M30" s="37"/>
      <c r="N30" s="34">
        <f t="shared" si="0"/>
        <v>0</v>
      </c>
      <c r="O30" s="35"/>
      <c r="P30" s="36">
        <f t="shared" si="1"/>
        <v>0</v>
      </c>
      <c r="Q30" s="38"/>
      <c r="R30" s="34">
        <f t="shared" si="2"/>
        <v>0</v>
      </c>
      <c r="S30" s="33">
        <f t="shared" si="5"/>
        <v>0</v>
      </c>
      <c r="U30" s="8"/>
    </row>
    <row r="31" spans="1:21" x14ac:dyDescent="0.25">
      <c r="A31" s="24">
        <v>29</v>
      </c>
      <c r="B31" s="25" t="s">
        <v>19</v>
      </c>
      <c r="C31" s="26" t="s">
        <v>48</v>
      </c>
      <c r="D31" s="26" t="s">
        <v>104</v>
      </c>
      <c r="E31" s="26"/>
      <c r="F31" s="26"/>
      <c r="G31" s="26"/>
      <c r="H31" s="26">
        <v>4</v>
      </c>
      <c r="I31" s="27"/>
      <c r="J31" s="34">
        <f t="shared" si="3"/>
        <v>0</v>
      </c>
      <c r="K31" s="35"/>
      <c r="L31" s="36">
        <f t="shared" si="4"/>
        <v>0</v>
      </c>
      <c r="M31" s="37"/>
      <c r="N31" s="34">
        <f t="shared" si="0"/>
        <v>0</v>
      </c>
      <c r="O31" s="35"/>
      <c r="P31" s="36">
        <f t="shared" si="1"/>
        <v>0</v>
      </c>
      <c r="Q31" s="38"/>
      <c r="R31" s="34">
        <f t="shared" si="2"/>
        <v>0</v>
      </c>
      <c r="S31" s="33">
        <f t="shared" si="5"/>
        <v>0</v>
      </c>
      <c r="U31" s="8"/>
    </row>
    <row r="32" spans="1:21" x14ac:dyDescent="0.25">
      <c r="A32" s="24">
        <v>30</v>
      </c>
      <c r="B32" s="25" t="s">
        <v>19</v>
      </c>
      <c r="C32" s="26" t="s">
        <v>49</v>
      </c>
      <c r="D32" s="26" t="s">
        <v>105</v>
      </c>
      <c r="E32" s="26"/>
      <c r="F32" s="26"/>
      <c r="G32" s="26"/>
      <c r="H32" s="26">
        <v>17</v>
      </c>
      <c r="I32" s="27"/>
      <c r="J32" s="34">
        <f t="shared" si="3"/>
        <v>0</v>
      </c>
      <c r="K32" s="35"/>
      <c r="L32" s="36">
        <f t="shared" si="4"/>
        <v>0</v>
      </c>
      <c r="M32" s="37"/>
      <c r="N32" s="34">
        <f t="shared" si="0"/>
        <v>0</v>
      </c>
      <c r="O32" s="35"/>
      <c r="P32" s="36">
        <f t="shared" si="1"/>
        <v>0</v>
      </c>
      <c r="Q32" s="38"/>
      <c r="R32" s="34">
        <f t="shared" si="2"/>
        <v>0</v>
      </c>
      <c r="S32" s="33">
        <f t="shared" si="5"/>
        <v>0</v>
      </c>
      <c r="U32" s="8"/>
    </row>
    <row r="33" spans="1:21" x14ac:dyDescent="0.25">
      <c r="A33" s="24">
        <v>31</v>
      </c>
      <c r="B33" s="25" t="s">
        <v>19</v>
      </c>
      <c r="C33" s="26" t="s">
        <v>50</v>
      </c>
      <c r="D33" s="26" t="s">
        <v>106</v>
      </c>
      <c r="E33" s="26"/>
      <c r="F33" s="26"/>
      <c r="G33" s="26"/>
      <c r="H33" s="26">
        <v>2</v>
      </c>
      <c r="I33" s="27"/>
      <c r="J33" s="34">
        <f t="shared" si="3"/>
        <v>0</v>
      </c>
      <c r="K33" s="35"/>
      <c r="L33" s="36">
        <f t="shared" si="4"/>
        <v>0</v>
      </c>
      <c r="M33" s="37"/>
      <c r="N33" s="34">
        <f t="shared" si="0"/>
        <v>0</v>
      </c>
      <c r="O33" s="35"/>
      <c r="P33" s="36">
        <f t="shared" si="1"/>
        <v>0</v>
      </c>
      <c r="Q33" s="38"/>
      <c r="R33" s="34">
        <f t="shared" si="2"/>
        <v>0</v>
      </c>
      <c r="S33" s="33">
        <f t="shared" si="5"/>
        <v>0</v>
      </c>
      <c r="U33" s="8"/>
    </row>
    <row r="34" spans="1:21" x14ac:dyDescent="0.25">
      <c r="A34" s="24">
        <v>32</v>
      </c>
      <c r="B34" s="25" t="s">
        <v>19</v>
      </c>
      <c r="C34" s="26" t="s">
        <v>51</v>
      </c>
      <c r="D34" s="26" t="s">
        <v>107</v>
      </c>
      <c r="E34" s="26"/>
      <c r="F34" s="26"/>
      <c r="G34" s="26"/>
      <c r="H34" s="26">
        <v>12</v>
      </c>
      <c r="I34" s="27"/>
      <c r="J34" s="34">
        <f t="shared" si="3"/>
        <v>0</v>
      </c>
      <c r="K34" s="35"/>
      <c r="L34" s="36">
        <f t="shared" si="4"/>
        <v>0</v>
      </c>
      <c r="M34" s="37"/>
      <c r="N34" s="34">
        <f t="shared" si="0"/>
        <v>0</v>
      </c>
      <c r="O34" s="35"/>
      <c r="P34" s="36">
        <f t="shared" si="1"/>
        <v>0</v>
      </c>
      <c r="Q34" s="38"/>
      <c r="R34" s="34">
        <f t="shared" si="2"/>
        <v>0</v>
      </c>
      <c r="S34" s="33">
        <f t="shared" si="5"/>
        <v>0</v>
      </c>
      <c r="U34" s="8"/>
    </row>
    <row r="35" spans="1:21" x14ac:dyDescent="0.25">
      <c r="A35" s="24">
        <v>33</v>
      </c>
      <c r="B35" s="25" t="s">
        <v>19</v>
      </c>
      <c r="C35" s="26" t="s">
        <v>52</v>
      </c>
      <c r="D35" s="26" t="s">
        <v>108</v>
      </c>
      <c r="E35" s="26"/>
      <c r="F35" s="26"/>
      <c r="G35" s="26"/>
      <c r="H35" s="26">
        <v>13</v>
      </c>
      <c r="I35" s="27"/>
      <c r="J35" s="34">
        <f t="shared" si="3"/>
        <v>0</v>
      </c>
      <c r="K35" s="35"/>
      <c r="L35" s="36">
        <f t="shared" si="4"/>
        <v>0</v>
      </c>
      <c r="M35" s="37"/>
      <c r="N35" s="34">
        <f t="shared" si="0"/>
        <v>0</v>
      </c>
      <c r="O35" s="35"/>
      <c r="P35" s="36">
        <f t="shared" si="1"/>
        <v>0</v>
      </c>
      <c r="Q35" s="38"/>
      <c r="R35" s="34">
        <f t="shared" si="2"/>
        <v>0</v>
      </c>
      <c r="S35" s="33">
        <f t="shared" si="5"/>
        <v>0</v>
      </c>
      <c r="U35" s="8"/>
    </row>
    <row r="36" spans="1:21" x14ac:dyDescent="0.25">
      <c r="A36" s="24">
        <v>34</v>
      </c>
      <c r="B36" s="25" t="s">
        <v>19</v>
      </c>
      <c r="C36" s="26" t="s">
        <v>53</v>
      </c>
      <c r="D36" s="26" t="s">
        <v>109</v>
      </c>
      <c r="E36" s="26"/>
      <c r="F36" s="26"/>
      <c r="G36" s="26"/>
      <c r="H36" s="26">
        <v>5</v>
      </c>
      <c r="I36" s="27"/>
      <c r="J36" s="34">
        <f t="shared" si="3"/>
        <v>0</v>
      </c>
      <c r="K36" s="35"/>
      <c r="L36" s="36">
        <f t="shared" si="4"/>
        <v>0</v>
      </c>
      <c r="M36" s="37"/>
      <c r="N36" s="34">
        <f t="shared" si="0"/>
        <v>0</v>
      </c>
      <c r="O36" s="35"/>
      <c r="P36" s="36">
        <f t="shared" si="1"/>
        <v>0</v>
      </c>
      <c r="Q36" s="38"/>
      <c r="R36" s="34">
        <f t="shared" si="2"/>
        <v>0</v>
      </c>
      <c r="S36" s="33">
        <f t="shared" si="5"/>
        <v>0</v>
      </c>
      <c r="U36" s="8"/>
    </row>
    <row r="37" spans="1:21" x14ac:dyDescent="0.25">
      <c r="A37" s="24">
        <v>35</v>
      </c>
      <c r="B37" s="25" t="s">
        <v>19</v>
      </c>
      <c r="C37" s="26" t="s">
        <v>54</v>
      </c>
      <c r="D37" s="26" t="s">
        <v>110</v>
      </c>
      <c r="E37" s="26"/>
      <c r="F37" s="26"/>
      <c r="G37" s="26"/>
      <c r="H37" s="26">
        <v>3</v>
      </c>
      <c r="I37" s="27"/>
      <c r="J37" s="34">
        <f t="shared" si="3"/>
        <v>0</v>
      </c>
      <c r="K37" s="35"/>
      <c r="L37" s="36">
        <f t="shared" si="4"/>
        <v>0</v>
      </c>
      <c r="M37" s="37"/>
      <c r="N37" s="34">
        <f t="shared" si="0"/>
        <v>0</v>
      </c>
      <c r="O37" s="35"/>
      <c r="P37" s="36">
        <f t="shared" si="1"/>
        <v>0</v>
      </c>
      <c r="Q37" s="38"/>
      <c r="R37" s="34">
        <f t="shared" si="2"/>
        <v>0</v>
      </c>
      <c r="S37" s="33">
        <f t="shared" si="5"/>
        <v>0</v>
      </c>
      <c r="U37" s="8"/>
    </row>
    <row r="38" spans="1:21" x14ac:dyDescent="0.25">
      <c r="A38" s="24">
        <v>36</v>
      </c>
      <c r="B38" s="25" t="s">
        <v>19</v>
      </c>
      <c r="C38" s="26" t="s">
        <v>55</v>
      </c>
      <c r="D38" s="26" t="s">
        <v>111</v>
      </c>
      <c r="E38" s="26"/>
      <c r="F38" s="26"/>
      <c r="G38" s="26"/>
      <c r="H38" s="26">
        <v>20</v>
      </c>
      <c r="I38" s="27"/>
      <c r="J38" s="34">
        <f t="shared" si="3"/>
        <v>0</v>
      </c>
      <c r="K38" s="35"/>
      <c r="L38" s="36">
        <f t="shared" si="4"/>
        <v>0</v>
      </c>
      <c r="M38" s="37"/>
      <c r="N38" s="34">
        <f t="shared" si="0"/>
        <v>0</v>
      </c>
      <c r="O38" s="35"/>
      <c r="P38" s="36">
        <f t="shared" si="1"/>
        <v>0</v>
      </c>
      <c r="Q38" s="38"/>
      <c r="R38" s="34">
        <f t="shared" si="2"/>
        <v>0</v>
      </c>
      <c r="S38" s="33">
        <f t="shared" si="5"/>
        <v>0</v>
      </c>
      <c r="U38" s="8"/>
    </row>
    <row r="39" spans="1:21" x14ac:dyDescent="0.25">
      <c r="A39" s="24">
        <v>37</v>
      </c>
      <c r="B39" s="25" t="s">
        <v>19</v>
      </c>
      <c r="C39" s="26" t="s">
        <v>56</v>
      </c>
      <c r="D39" s="26" t="s">
        <v>112</v>
      </c>
      <c r="E39" s="26"/>
      <c r="F39" s="26"/>
      <c r="G39" s="26"/>
      <c r="H39" s="26">
        <v>19</v>
      </c>
      <c r="I39" s="27"/>
      <c r="J39" s="34">
        <f t="shared" si="3"/>
        <v>0</v>
      </c>
      <c r="K39" s="35"/>
      <c r="L39" s="36">
        <f t="shared" si="4"/>
        <v>0</v>
      </c>
      <c r="M39" s="37"/>
      <c r="N39" s="34">
        <f t="shared" si="0"/>
        <v>0</v>
      </c>
      <c r="O39" s="35"/>
      <c r="P39" s="36">
        <f t="shared" si="1"/>
        <v>0</v>
      </c>
      <c r="Q39" s="38"/>
      <c r="R39" s="34">
        <f t="shared" si="2"/>
        <v>0</v>
      </c>
      <c r="S39" s="33">
        <f t="shared" si="5"/>
        <v>0</v>
      </c>
      <c r="U39" s="8"/>
    </row>
    <row r="40" spans="1:21" x14ac:dyDescent="0.25">
      <c r="A40" s="24">
        <v>38</v>
      </c>
      <c r="B40" s="25" t="s">
        <v>19</v>
      </c>
      <c r="C40" s="26" t="s">
        <v>57</v>
      </c>
      <c r="D40" s="26" t="s">
        <v>113</v>
      </c>
      <c r="E40" s="26"/>
      <c r="F40" s="26"/>
      <c r="G40" s="26"/>
      <c r="H40" s="26">
        <v>67</v>
      </c>
      <c r="I40" s="27"/>
      <c r="J40" s="34">
        <f t="shared" si="3"/>
        <v>0</v>
      </c>
      <c r="K40" s="35"/>
      <c r="L40" s="36">
        <f t="shared" si="4"/>
        <v>0</v>
      </c>
      <c r="M40" s="37"/>
      <c r="N40" s="34">
        <f t="shared" si="0"/>
        <v>0</v>
      </c>
      <c r="O40" s="35"/>
      <c r="P40" s="36">
        <f t="shared" si="1"/>
        <v>0</v>
      </c>
      <c r="Q40" s="38"/>
      <c r="R40" s="34">
        <f t="shared" si="2"/>
        <v>0</v>
      </c>
      <c r="S40" s="33">
        <f t="shared" si="5"/>
        <v>0</v>
      </c>
      <c r="U40" s="8"/>
    </row>
    <row r="41" spans="1:21" x14ac:dyDescent="0.25">
      <c r="A41" s="24">
        <v>39</v>
      </c>
      <c r="B41" s="25" t="s">
        <v>19</v>
      </c>
      <c r="C41" s="26" t="s">
        <v>58</v>
      </c>
      <c r="D41" s="26" t="s">
        <v>114</v>
      </c>
      <c r="E41" s="26"/>
      <c r="F41" s="26"/>
      <c r="G41" s="26"/>
      <c r="H41" s="26">
        <v>12</v>
      </c>
      <c r="I41" s="27"/>
      <c r="J41" s="34">
        <f t="shared" si="3"/>
        <v>0</v>
      </c>
      <c r="K41" s="35"/>
      <c r="L41" s="36">
        <f t="shared" si="4"/>
        <v>0</v>
      </c>
      <c r="M41" s="37"/>
      <c r="N41" s="34">
        <f t="shared" si="0"/>
        <v>0</v>
      </c>
      <c r="O41" s="35"/>
      <c r="P41" s="36">
        <f t="shared" si="1"/>
        <v>0</v>
      </c>
      <c r="Q41" s="38"/>
      <c r="R41" s="34">
        <f t="shared" si="2"/>
        <v>0</v>
      </c>
      <c r="S41" s="33">
        <f t="shared" si="5"/>
        <v>0</v>
      </c>
      <c r="U41" s="8"/>
    </row>
    <row r="42" spans="1:21" x14ac:dyDescent="0.25">
      <c r="A42" s="24">
        <v>40</v>
      </c>
      <c r="B42" s="25" t="s">
        <v>19</v>
      </c>
      <c r="C42" s="26" t="s">
        <v>59</v>
      </c>
      <c r="D42" s="26" t="s">
        <v>115</v>
      </c>
      <c r="E42" s="26"/>
      <c r="F42" s="26"/>
      <c r="G42" s="26"/>
      <c r="H42" s="26">
        <v>9</v>
      </c>
      <c r="I42" s="27"/>
      <c r="J42" s="34">
        <f t="shared" si="3"/>
        <v>0</v>
      </c>
      <c r="K42" s="35"/>
      <c r="L42" s="36">
        <f t="shared" si="4"/>
        <v>0</v>
      </c>
      <c r="M42" s="37"/>
      <c r="N42" s="34">
        <f t="shared" si="0"/>
        <v>0</v>
      </c>
      <c r="O42" s="35"/>
      <c r="P42" s="36">
        <f t="shared" si="1"/>
        <v>0</v>
      </c>
      <c r="Q42" s="38"/>
      <c r="R42" s="34">
        <f t="shared" si="2"/>
        <v>0</v>
      </c>
      <c r="S42" s="33">
        <f t="shared" si="5"/>
        <v>0</v>
      </c>
      <c r="U42" s="8"/>
    </row>
    <row r="43" spans="1:21" x14ac:dyDescent="0.25">
      <c r="A43" s="24">
        <v>41</v>
      </c>
      <c r="B43" s="25" t="s">
        <v>19</v>
      </c>
      <c r="C43" s="26" t="s">
        <v>60</v>
      </c>
      <c r="D43" s="26" t="s">
        <v>116</v>
      </c>
      <c r="E43" s="26"/>
      <c r="F43" s="26"/>
      <c r="G43" s="26"/>
      <c r="H43" s="26">
        <v>7</v>
      </c>
      <c r="I43" s="27"/>
      <c r="J43" s="34">
        <f t="shared" si="3"/>
        <v>0</v>
      </c>
      <c r="K43" s="35"/>
      <c r="L43" s="36">
        <f t="shared" si="4"/>
        <v>0</v>
      </c>
      <c r="M43" s="37"/>
      <c r="N43" s="34">
        <f t="shared" si="0"/>
        <v>0</v>
      </c>
      <c r="O43" s="35"/>
      <c r="P43" s="36">
        <f t="shared" si="1"/>
        <v>0</v>
      </c>
      <c r="Q43" s="38"/>
      <c r="R43" s="34">
        <f t="shared" si="2"/>
        <v>0</v>
      </c>
      <c r="S43" s="33">
        <f t="shared" si="5"/>
        <v>0</v>
      </c>
      <c r="U43" s="8"/>
    </row>
    <row r="44" spans="1:21" x14ac:dyDescent="0.25">
      <c r="A44" s="24">
        <v>42</v>
      </c>
      <c r="B44" s="25" t="s">
        <v>19</v>
      </c>
      <c r="C44" s="26" t="s">
        <v>61</v>
      </c>
      <c r="D44" s="26" t="s">
        <v>117</v>
      </c>
      <c r="E44" s="26"/>
      <c r="F44" s="26"/>
      <c r="G44" s="26"/>
      <c r="H44" s="26">
        <v>4</v>
      </c>
      <c r="I44" s="27"/>
      <c r="J44" s="34">
        <f t="shared" si="3"/>
        <v>0</v>
      </c>
      <c r="K44" s="35"/>
      <c r="L44" s="36">
        <f t="shared" si="4"/>
        <v>0</v>
      </c>
      <c r="M44" s="37"/>
      <c r="N44" s="34">
        <f t="shared" si="0"/>
        <v>0</v>
      </c>
      <c r="O44" s="35"/>
      <c r="P44" s="36">
        <f t="shared" si="1"/>
        <v>0</v>
      </c>
      <c r="Q44" s="38"/>
      <c r="R44" s="34">
        <f t="shared" si="2"/>
        <v>0</v>
      </c>
      <c r="S44" s="33">
        <f t="shared" si="5"/>
        <v>0</v>
      </c>
      <c r="U44" s="8"/>
    </row>
    <row r="45" spans="1:21" x14ac:dyDescent="0.25">
      <c r="A45" s="24">
        <v>43</v>
      </c>
      <c r="B45" s="25" t="s">
        <v>19</v>
      </c>
      <c r="C45" s="26" t="s">
        <v>62</v>
      </c>
      <c r="D45" s="26" t="s">
        <v>118</v>
      </c>
      <c r="E45" s="26"/>
      <c r="F45" s="26"/>
      <c r="G45" s="26"/>
      <c r="H45" s="26">
        <v>12</v>
      </c>
      <c r="I45" s="27"/>
      <c r="J45" s="34">
        <f t="shared" si="3"/>
        <v>0</v>
      </c>
      <c r="K45" s="35"/>
      <c r="L45" s="36">
        <f t="shared" si="4"/>
        <v>0</v>
      </c>
      <c r="M45" s="37"/>
      <c r="N45" s="34">
        <f t="shared" si="0"/>
        <v>0</v>
      </c>
      <c r="O45" s="35"/>
      <c r="P45" s="36">
        <f t="shared" si="1"/>
        <v>0</v>
      </c>
      <c r="Q45" s="38"/>
      <c r="R45" s="34">
        <f t="shared" si="2"/>
        <v>0</v>
      </c>
      <c r="S45" s="33">
        <f t="shared" si="5"/>
        <v>0</v>
      </c>
      <c r="U45" s="8"/>
    </row>
    <row r="46" spans="1:21" x14ac:dyDescent="0.25">
      <c r="A46" s="24">
        <v>44</v>
      </c>
      <c r="B46" s="25" t="s">
        <v>19</v>
      </c>
      <c r="C46" s="26" t="s">
        <v>63</v>
      </c>
      <c r="D46" s="26" t="s">
        <v>119</v>
      </c>
      <c r="E46" s="26"/>
      <c r="F46" s="26"/>
      <c r="G46" s="26"/>
      <c r="H46" s="26">
        <v>160</v>
      </c>
      <c r="I46" s="27"/>
      <c r="J46" s="34">
        <f t="shared" si="3"/>
        <v>0</v>
      </c>
      <c r="K46" s="35"/>
      <c r="L46" s="36">
        <f t="shared" si="4"/>
        <v>0</v>
      </c>
      <c r="M46" s="37"/>
      <c r="N46" s="34">
        <f t="shared" si="0"/>
        <v>0</v>
      </c>
      <c r="O46" s="35"/>
      <c r="P46" s="36">
        <f t="shared" si="1"/>
        <v>0</v>
      </c>
      <c r="Q46" s="38"/>
      <c r="R46" s="34">
        <f t="shared" si="2"/>
        <v>0</v>
      </c>
      <c r="S46" s="33">
        <f t="shared" si="5"/>
        <v>0</v>
      </c>
      <c r="U46" s="8"/>
    </row>
    <row r="47" spans="1:21" x14ac:dyDescent="0.25">
      <c r="A47" s="24">
        <v>45</v>
      </c>
      <c r="B47" s="25" t="s">
        <v>19</v>
      </c>
      <c r="C47" s="26" t="s">
        <v>64</v>
      </c>
      <c r="D47" s="26" t="s">
        <v>120</v>
      </c>
      <c r="E47" s="39"/>
      <c r="F47" s="39"/>
      <c r="G47" s="39"/>
      <c r="H47" s="26">
        <v>6</v>
      </c>
      <c r="I47" s="27"/>
      <c r="J47" s="34">
        <f t="shared" si="3"/>
        <v>0</v>
      </c>
      <c r="K47" s="35"/>
      <c r="L47" s="36">
        <f t="shared" si="4"/>
        <v>0</v>
      </c>
      <c r="M47" s="37"/>
      <c r="N47" s="34">
        <f t="shared" si="0"/>
        <v>0</v>
      </c>
      <c r="O47" s="35"/>
      <c r="P47" s="36">
        <f t="shared" si="1"/>
        <v>0</v>
      </c>
      <c r="Q47" s="38"/>
      <c r="R47" s="34">
        <f t="shared" si="2"/>
        <v>0</v>
      </c>
      <c r="S47" s="33">
        <f t="shared" si="5"/>
        <v>0</v>
      </c>
      <c r="U47" s="8"/>
    </row>
    <row r="48" spans="1:21" x14ac:dyDescent="0.25">
      <c r="A48" s="24">
        <v>46</v>
      </c>
      <c r="B48" s="25" t="s">
        <v>19</v>
      </c>
      <c r="C48" s="26" t="s">
        <v>65</v>
      </c>
      <c r="D48" s="26" t="s">
        <v>121</v>
      </c>
      <c r="E48" s="26"/>
      <c r="F48" s="26"/>
      <c r="G48" s="26"/>
      <c r="H48" s="26">
        <v>121</v>
      </c>
      <c r="I48" s="27"/>
      <c r="J48" s="34">
        <f t="shared" si="3"/>
        <v>0</v>
      </c>
      <c r="K48" s="35"/>
      <c r="L48" s="36">
        <f t="shared" si="4"/>
        <v>0</v>
      </c>
      <c r="M48" s="37"/>
      <c r="N48" s="34">
        <f t="shared" si="0"/>
        <v>0</v>
      </c>
      <c r="O48" s="35"/>
      <c r="P48" s="36">
        <f t="shared" si="1"/>
        <v>0</v>
      </c>
      <c r="Q48" s="38"/>
      <c r="R48" s="34">
        <f t="shared" si="2"/>
        <v>0</v>
      </c>
      <c r="S48" s="33">
        <f t="shared" si="5"/>
        <v>0</v>
      </c>
      <c r="U48" s="8"/>
    </row>
    <row r="49" spans="1:21" x14ac:dyDescent="0.25">
      <c r="A49" s="24">
        <v>47</v>
      </c>
      <c r="B49" s="25" t="s">
        <v>19</v>
      </c>
      <c r="C49" s="26" t="s">
        <v>66</v>
      </c>
      <c r="D49" s="26" t="s">
        <v>122</v>
      </c>
      <c r="E49" s="26"/>
      <c r="F49" s="26"/>
      <c r="G49" s="26"/>
      <c r="H49" s="26">
        <v>108</v>
      </c>
      <c r="I49" s="27"/>
      <c r="J49" s="34">
        <f t="shared" si="3"/>
        <v>0</v>
      </c>
      <c r="K49" s="35"/>
      <c r="L49" s="36">
        <f t="shared" si="4"/>
        <v>0</v>
      </c>
      <c r="M49" s="37"/>
      <c r="N49" s="34">
        <f t="shared" si="0"/>
        <v>0</v>
      </c>
      <c r="O49" s="35"/>
      <c r="P49" s="36">
        <f t="shared" si="1"/>
        <v>0</v>
      </c>
      <c r="Q49" s="38"/>
      <c r="R49" s="34">
        <f t="shared" si="2"/>
        <v>0</v>
      </c>
      <c r="S49" s="33">
        <f t="shared" si="5"/>
        <v>0</v>
      </c>
      <c r="U49" s="8"/>
    </row>
    <row r="50" spans="1:21" x14ac:dyDescent="0.25">
      <c r="A50" s="24">
        <v>48</v>
      </c>
      <c r="B50" s="25" t="s">
        <v>19</v>
      </c>
      <c r="C50" s="26" t="s">
        <v>67</v>
      </c>
      <c r="D50" s="26" t="s">
        <v>123</v>
      </c>
      <c r="E50" s="26"/>
      <c r="F50" s="26"/>
      <c r="G50" s="26"/>
      <c r="H50" s="26">
        <v>65</v>
      </c>
      <c r="I50" s="27"/>
      <c r="J50" s="34">
        <f t="shared" si="3"/>
        <v>0</v>
      </c>
      <c r="K50" s="35"/>
      <c r="L50" s="36">
        <f t="shared" si="4"/>
        <v>0</v>
      </c>
      <c r="M50" s="37"/>
      <c r="N50" s="34">
        <f t="shared" si="0"/>
        <v>0</v>
      </c>
      <c r="O50" s="35"/>
      <c r="P50" s="36">
        <f t="shared" si="1"/>
        <v>0</v>
      </c>
      <c r="Q50" s="38"/>
      <c r="R50" s="34">
        <f t="shared" si="2"/>
        <v>0</v>
      </c>
      <c r="S50" s="33">
        <f t="shared" si="5"/>
        <v>0</v>
      </c>
      <c r="U50" s="8"/>
    </row>
    <row r="51" spans="1:21" x14ac:dyDescent="0.25">
      <c r="A51" s="24">
        <v>49</v>
      </c>
      <c r="B51" s="25" t="s">
        <v>19</v>
      </c>
      <c r="C51" s="26" t="s">
        <v>68</v>
      </c>
      <c r="D51" s="26" t="s">
        <v>124</v>
      </c>
      <c r="E51" s="26"/>
      <c r="F51" s="26"/>
      <c r="G51" s="26"/>
      <c r="H51" s="26">
        <v>52</v>
      </c>
      <c r="I51" s="27"/>
      <c r="J51" s="34">
        <f t="shared" si="3"/>
        <v>0</v>
      </c>
      <c r="K51" s="35"/>
      <c r="L51" s="36">
        <f t="shared" si="4"/>
        <v>0</v>
      </c>
      <c r="M51" s="37"/>
      <c r="N51" s="34">
        <f t="shared" si="0"/>
        <v>0</v>
      </c>
      <c r="O51" s="35"/>
      <c r="P51" s="36">
        <f t="shared" si="1"/>
        <v>0</v>
      </c>
      <c r="Q51" s="38"/>
      <c r="R51" s="34">
        <f t="shared" si="2"/>
        <v>0</v>
      </c>
      <c r="S51" s="33">
        <f t="shared" si="5"/>
        <v>0</v>
      </c>
      <c r="U51" s="8"/>
    </row>
    <row r="52" spans="1:21" x14ac:dyDescent="0.25">
      <c r="A52" s="24">
        <v>50</v>
      </c>
      <c r="B52" s="25" t="s">
        <v>19</v>
      </c>
      <c r="C52" s="26" t="s">
        <v>69</v>
      </c>
      <c r="D52" s="26" t="s">
        <v>125</v>
      </c>
      <c r="E52" s="26"/>
      <c r="F52" s="26"/>
      <c r="G52" s="26"/>
      <c r="H52" s="26">
        <v>160</v>
      </c>
      <c r="I52" s="27"/>
      <c r="J52" s="34">
        <f t="shared" si="3"/>
        <v>0</v>
      </c>
      <c r="K52" s="35"/>
      <c r="L52" s="36">
        <f t="shared" si="4"/>
        <v>0</v>
      </c>
      <c r="M52" s="37"/>
      <c r="N52" s="34">
        <f t="shared" si="0"/>
        <v>0</v>
      </c>
      <c r="O52" s="35"/>
      <c r="P52" s="36">
        <f t="shared" si="1"/>
        <v>0</v>
      </c>
      <c r="Q52" s="38"/>
      <c r="R52" s="34">
        <f t="shared" si="2"/>
        <v>0</v>
      </c>
      <c r="S52" s="33">
        <f t="shared" si="5"/>
        <v>0</v>
      </c>
      <c r="U52" s="8"/>
    </row>
    <row r="53" spans="1:21" x14ac:dyDescent="0.25">
      <c r="A53" s="24">
        <v>51</v>
      </c>
      <c r="B53" s="25" t="s">
        <v>19</v>
      </c>
      <c r="C53" s="26" t="s">
        <v>70</v>
      </c>
      <c r="D53" s="26" t="s">
        <v>126</v>
      </c>
      <c r="E53" s="26"/>
      <c r="F53" s="26"/>
      <c r="G53" s="26"/>
      <c r="H53" s="26">
        <v>1</v>
      </c>
      <c r="I53" s="27"/>
      <c r="J53" s="34">
        <f t="shared" si="3"/>
        <v>0</v>
      </c>
      <c r="K53" s="35"/>
      <c r="L53" s="36">
        <f t="shared" si="4"/>
        <v>0</v>
      </c>
      <c r="M53" s="37"/>
      <c r="N53" s="34">
        <f t="shared" si="0"/>
        <v>0</v>
      </c>
      <c r="O53" s="35"/>
      <c r="P53" s="36">
        <f t="shared" si="1"/>
        <v>0</v>
      </c>
      <c r="Q53" s="38"/>
      <c r="R53" s="34">
        <f t="shared" si="2"/>
        <v>0</v>
      </c>
      <c r="S53" s="33">
        <f t="shared" si="5"/>
        <v>0</v>
      </c>
      <c r="U53" s="8"/>
    </row>
    <row r="54" spans="1:21" x14ac:dyDescent="0.25">
      <c r="A54" s="24">
        <v>52</v>
      </c>
      <c r="B54" s="25" t="s">
        <v>19</v>
      </c>
      <c r="C54" s="26" t="s">
        <v>71</v>
      </c>
      <c r="D54" s="26" t="s">
        <v>127</v>
      </c>
      <c r="E54" s="26"/>
      <c r="F54" s="26"/>
      <c r="G54" s="26"/>
      <c r="H54" s="26">
        <v>92</v>
      </c>
      <c r="I54" s="27"/>
      <c r="J54" s="34">
        <f t="shared" si="3"/>
        <v>0</v>
      </c>
      <c r="K54" s="35"/>
      <c r="L54" s="36">
        <f t="shared" si="4"/>
        <v>0</v>
      </c>
      <c r="M54" s="37"/>
      <c r="N54" s="34">
        <f t="shared" si="0"/>
        <v>0</v>
      </c>
      <c r="O54" s="35"/>
      <c r="P54" s="36">
        <f t="shared" si="1"/>
        <v>0</v>
      </c>
      <c r="Q54" s="38"/>
      <c r="R54" s="34">
        <f t="shared" si="2"/>
        <v>0</v>
      </c>
      <c r="S54" s="33">
        <f t="shared" si="5"/>
        <v>0</v>
      </c>
      <c r="U54" s="8"/>
    </row>
    <row r="55" spans="1:21" x14ac:dyDescent="0.25">
      <c r="A55" s="24">
        <v>53</v>
      </c>
      <c r="B55" s="25" t="s">
        <v>19</v>
      </c>
      <c r="C55" s="26" t="s">
        <v>72</v>
      </c>
      <c r="D55" s="26" t="s">
        <v>128</v>
      </c>
      <c r="E55" s="26"/>
      <c r="F55" s="26"/>
      <c r="G55" s="26"/>
      <c r="H55" s="26">
        <v>31</v>
      </c>
      <c r="I55" s="27"/>
      <c r="J55" s="34">
        <f t="shared" si="3"/>
        <v>0</v>
      </c>
      <c r="K55" s="35"/>
      <c r="L55" s="36">
        <f t="shared" si="4"/>
        <v>0</v>
      </c>
      <c r="M55" s="37"/>
      <c r="N55" s="34">
        <f t="shared" si="0"/>
        <v>0</v>
      </c>
      <c r="O55" s="35"/>
      <c r="P55" s="36">
        <f t="shared" si="1"/>
        <v>0</v>
      </c>
      <c r="Q55" s="38"/>
      <c r="R55" s="34">
        <f t="shared" si="2"/>
        <v>0</v>
      </c>
      <c r="S55" s="33">
        <f t="shared" si="5"/>
        <v>0</v>
      </c>
      <c r="U55" s="8"/>
    </row>
    <row r="56" spans="1:21" x14ac:dyDescent="0.25">
      <c r="A56" s="24">
        <v>54</v>
      </c>
      <c r="B56" s="25" t="s">
        <v>19</v>
      </c>
      <c r="C56" s="26" t="s">
        <v>73</v>
      </c>
      <c r="D56" s="26" t="s">
        <v>129</v>
      </c>
      <c r="E56" s="26"/>
      <c r="F56" s="26"/>
      <c r="G56" s="26"/>
      <c r="H56" s="26">
        <v>21</v>
      </c>
      <c r="I56" s="27"/>
      <c r="J56" s="34">
        <f t="shared" si="3"/>
        <v>0</v>
      </c>
      <c r="K56" s="35"/>
      <c r="L56" s="36">
        <f t="shared" si="4"/>
        <v>0</v>
      </c>
      <c r="M56" s="37"/>
      <c r="N56" s="34">
        <f t="shared" si="0"/>
        <v>0</v>
      </c>
      <c r="O56" s="35"/>
      <c r="P56" s="36">
        <f t="shared" si="1"/>
        <v>0</v>
      </c>
      <c r="Q56" s="38"/>
      <c r="R56" s="34">
        <f t="shared" si="2"/>
        <v>0</v>
      </c>
      <c r="S56" s="33">
        <f t="shared" si="5"/>
        <v>0</v>
      </c>
      <c r="U56" s="8"/>
    </row>
    <row r="57" spans="1:21" x14ac:dyDescent="0.25">
      <c r="A57" s="24">
        <v>55</v>
      </c>
      <c r="B57" s="25" t="s">
        <v>19</v>
      </c>
      <c r="C57" s="26" t="s">
        <v>74</v>
      </c>
      <c r="D57" s="26" t="s">
        <v>130</v>
      </c>
      <c r="E57" s="26"/>
      <c r="F57" s="26"/>
      <c r="G57" s="26"/>
      <c r="H57" s="26">
        <v>1</v>
      </c>
      <c r="I57" s="27"/>
      <c r="J57" s="34">
        <f t="shared" si="3"/>
        <v>0</v>
      </c>
      <c r="K57" s="35"/>
      <c r="L57" s="36">
        <f t="shared" si="4"/>
        <v>0</v>
      </c>
      <c r="M57" s="37"/>
      <c r="N57" s="34">
        <f t="shared" si="0"/>
        <v>0</v>
      </c>
      <c r="O57" s="35"/>
      <c r="P57" s="36">
        <f t="shared" si="1"/>
        <v>0</v>
      </c>
      <c r="Q57" s="38"/>
      <c r="R57" s="34">
        <f t="shared" si="2"/>
        <v>0</v>
      </c>
      <c r="S57" s="33">
        <f t="shared" si="5"/>
        <v>0</v>
      </c>
      <c r="U57" s="8"/>
    </row>
    <row r="58" spans="1:21" x14ac:dyDescent="0.25">
      <c r="A58" s="24">
        <v>56</v>
      </c>
      <c r="B58" s="25" t="s">
        <v>19</v>
      </c>
      <c r="C58" s="26" t="s">
        <v>75</v>
      </c>
      <c r="D58" s="26" t="s">
        <v>131</v>
      </c>
      <c r="E58" s="26"/>
      <c r="F58" s="26"/>
      <c r="G58" s="26"/>
      <c r="H58" s="26">
        <v>1</v>
      </c>
      <c r="I58" s="27"/>
      <c r="J58" s="34">
        <f t="shared" si="3"/>
        <v>0</v>
      </c>
      <c r="K58" s="35"/>
      <c r="L58" s="36">
        <f t="shared" si="4"/>
        <v>0</v>
      </c>
      <c r="M58" s="37"/>
      <c r="N58" s="34">
        <f t="shared" si="0"/>
        <v>0</v>
      </c>
      <c r="O58" s="35"/>
      <c r="P58" s="36">
        <f t="shared" ref="P58:P60" si="6">SUM(O58*H58)</f>
        <v>0</v>
      </c>
      <c r="Q58" s="38"/>
      <c r="R58" s="34">
        <f t="shared" si="2"/>
        <v>0</v>
      </c>
      <c r="S58" s="33">
        <f t="shared" si="5"/>
        <v>0</v>
      </c>
      <c r="U58" s="8"/>
    </row>
    <row r="59" spans="1:21" x14ac:dyDescent="0.25">
      <c r="A59" s="24">
        <v>57</v>
      </c>
      <c r="B59" s="25"/>
      <c r="C59" s="26"/>
      <c r="D59" s="40"/>
      <c r="E59" s="26"/>
      <c r="F59" s="26"/>
      <c r="G59" s="26"/>
      <c r="H59" s="26"/>
      <c r="I59" s="27"/>
      <c r="J59" s="34">
        <f t="shared" si="3"/>
        <v>0</v>
      </c>
      <c r="K59" s="35"/>
      <c r="L59" s="36">
        <f t="shared" si="4"/>
        <v>0</v>
      </c>
      <c r="M59" s="37"/>
      <c r="N59" s="34">
        <f t="shared" si="0"/>
        <v>0</v>
      </c>
      <c r="O59" s="35"/>
      <c r="P59" s="36">
        <f t="shared" si="6"/>
        <v>0</v>
      </c>
      <c r="Q59" s="38"/>
      <c r="R59" s="34">
        <f t="shared" ref="R59:R60" si="7">SUM(Q59*H59)</f>
        <v>0</v>
      </c>
      <c r="S59" s="33">
        <f t="shared" si="5"/>
        <v>0</v>
      </c>
      <c r="U59" s="8"/>
    </row>
    <row r="60" spans="1:21" x14ac:dyDescent="0.25">
      <c r="A60" s="24">
        <v>58</v>
      </c>
      <c r="B60" s="25"/>
      <c r="C60" s="39"/>
      <c r="D60" s="40"/>
      <c r="E60" s="26"/>
      <c r="F60" s="26"/>
      <c r="G60" s="26"/>
      <c r="H60" s="41"/>
      <c r="I60" s="27"/>
      <c r="J60" s="34">
        <f t="shared" si="3"/>
        <v>0</v>
      </c>
      <c r="K60" s="35"/>
      <c r="L60" s="36">
        <f t="shared" si="4"/>
        <v>0</v>
      </c>
      <c r="M60" s="38"/>
      <c r="N60" s="34">
        <f t="shared" ref="N60" si="8">SUM(M60*H60)</f>
        <v>0</v>
      </c>
      <c r="O60" s="35"/>
      <c r="P60" s="36">
        <f t="shared" si="6"/>
        <v>0</v>
      </c>
      <c r="Q60" s="38"/>
      <c r="R60" s="34">
        <f t="shared" si="7"/>
        <v>0</v>
      </c>
      <c r="S60" s="33">
        <f t="shared" si="5"/>
        <v>0</v>
      </c>
      <c r="U60" s="8"/>
    </row>
    <row r="61" spans="1:21" ht="19.5" thickBot="1" x14ac:dyDescent="0.35">
      <c r="I61" s="56">
        <f>SUM(J3:J60)</f>
        <v>0</v>
      </c>
      <c r="J61" s="56"/>
      <c r="K61" s="56">
        <f>SUM(L3:L60)</f>
        <v>0</v>
      </c>
      <c r="L61" s="56"/>
      <c r="M61" s="56">
        <f>SUM(N3:N60)</f>
        <v>0</v>
      </c>
      <c r="N61" s="56"/>
      <c r="O61" s="56">
        <f>SUM(P3:P60)</f>
        <v>0</v>
      </c>
      <c r="P61" s="56"/>
      <c r="Q61" s="56">
        <f>SUM(R3:R60)</f>
        <v>0</v>
      </c>
      <c r="R61" s="56"/>
      <c r="S61" s="42"/>
    </row>
    <row r="62" spans="1:21" s="4" customFormat="1" ht="20.25" thickTop="1" thickBot="1" x14ac:dyDescent="0.35">
      <c r="E62" s="1"/>
      <c r="F62" s="1"/>
      <c r="G62" s="1"/>
      <c r="I62" s="49" t="s">
        <v>14</v>
      </c>
      <c r="J62" s="50"/>
      <c r="K62" s="51" t="s">
        <v>16</v>
      </c>
      <c r="L62" s="52"/>
      <c r="M62" s="51" t="s">
        <v>15</v>
      </c>
      <c r="N62" s="52"/>
      <c r="O62" s="51" t="s">
        <v>17</v>
      </c>
      <c r="P62" s="52"/>
      <c r="Q62" s="51" t="s">
        <v>18</v>
      </c>
      <c r="R62" s="52"/>
      <c r="S62" s="43"/>
    </row>
    <row r="63" spans="1:21" s="4" customFormat="1" ht="18.75" x14ac:dyDescent="0.3">
      <c r="E63" s="1"/>
      <c r="F63" s="1"/>
      <c r="G63" s="1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3"/>
    </row>
    <row r="64" spans="1:21" ht="19.5" thickBot="1" x14ac:dyDescent="0.35">
      <c r="I64" s="45"/>
      <c r="J64" s="45"/>
      <c r="K64" s="45"/>
      <c r="L64" s="45"/>
      <c r="M64" s="45"/>
      <c r="N64" s="45"/>
      <c r="O64" s="45"/>
      <c r="P64" s="46" t="s">
        <v>13</v>
      </c>
      <c r="Q64" s="46"/>
      <c r="R64" s="47">
        <f>SUM(S3:S60)</f>
        <v>0</v>
      </c>
      <c r="S64" s="48"/>
    </row>
    <row r="65" ht="15.75" thickTop="1" x14ac:dyDescent="0.25"/>
  </sheetData>
  <mergeCells count="16">
    <mergeCell ref="I61:J61"/>
    <mergeCell ref="K61:L61"/>
    <mergeCell ref="M61:N61"/>
    <mergeCell ref="O61:P61"/>
    <mergeCell ref="Q61:R61"/>
    <mergeCell ref="I1:J1"/>
    <mergeCell ref="K1:L1"/>
    <mergeCell ref="M1:N1"/>
    <mergeCell ref="O1:P1"/>
    <mergeCell ref="Q1:R1"/>
    <mergeCell ref="R64:S64"/>
    <mergeCell ref="I62:J62"/>
    <mergeCell ref="K62:L62"/>
    <mergeCell ref="M62:N62"/>
    <mergeCell ref="O62:P62"/>
    <mergeCell ref="Q62:R6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A5EDF-89A5-4E96-A03E-166592F19EB2}">
  <dimension ref="A1:O61"/>
  <sheetViews>
    <sheetView topLeftCell="A27" workbookViewId="0">
      <selection activeCell="L2" sqref="L2"/>
    </sheetView>
  </sheetViews>
  <sheetFormatPr defaultRowHeight="15" x14ac:dyDescent="0.25"/>
  <cols>
    <col min="3" max="3" width="34.7109375" customWidth="1"/>
    <col min="4" max="4" width="15.7109375" customWidth="1"/>
    <col min="5" max="11" width="8.7109375" customWidth="1"/>
    <col min="12" max="12" width="12.5703125" style="23" customWidth="1"/>
  </cols>
  <sheetData>
    <row r="1" spans="1:15" ht="18" thickBot="1" x14ac:dyDescent="0.35">
      <c r="A1" s="57" t="s">
        <v>135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1"/>
      <c r="N1" s="1"/>
      <c r="O1" s="1"/>
    </row>
    <row r="2" spans="1:15" ht="43.5" customHeight="1" thickTop="1" thickBot="1" x14ac:dyDescent="0.35">
      <c r="A2" s="2" t="s">
        <v>0</v>
      </c>
      <c r="B2" s="2" t="s">
        <v>5</v>
      </c>
      <c r="C2" s="2" t="s">
        <v>1</v>
      </c>
      <c r="D2" s="2" t="s">
        <v>136</v>
      </c>
      <c r="E2" s="11" t="s">
        <v>137</v>
      </c>
      <c r="F2" s="11" t="s">
        <v>138</v>
      </c>
      <c r="G2" s="11" t="s">
        <v>139</v>
      </c>
      <c r="H2" s="11" t="s">
        <v>140</v>
      </c>
      <c r="I2" s="11" t="s">
        <v>141</v>
      </c>
      <c r="J2" s="11" t="s">
        <v>142</v>
      </c>
      <c r="K2" s="11" t="s">
        <v>143</v>
      </c>
      <c r="L2" s="11" t="s">
        <v>144</v>
      </c>
      <c r="M2" s="1"/>
      <c r="N2" s="1"/>
      <c r="O2" s="1"/>
    </row>
    <row r="3" spans="1:15" ht="16.5" thickTop="1" x14ac:dyDescent="0.25">
      <c r="A3" s="12">
        <v>1</v>
      </c>
      <c r="B3" s="13" t="s">
        <v>19</v>
      </c>
      <c r="C3" s="14" t="s">
        <v>20</v>
      </c>
      <c r="D3" s="14" t="s">
        <v>76</v>
      </c>
      <c r="E3" s="15"/>
      <c r="F3" s="16"/>
      <c r="G3" s="17">
        <v>2</v>
      </c>
      <c r="H3" s="18">
        <v>1</v>
      </c>
      <c r="I3" s="17">
        <v>1</v>
      </c>
      <c r="J3" s="17"/>
      <c r="K3" s="19"/>
      <c r="L3" s="20">
        <f t="shared" ref="L3:L34" si="0">SUM(E3+F3+G3+H3+I3+J3+K3)</f>
        <v>4</v>
      </c>
      <c r="M3" s="1"/>
      <c r="N3" s="1"/>
      <c r="O3" s="1"/>
    </row>
    <row r="4" spans="1:15" ht="15.75" x14ac:dyDescent="0.25">
      <c r="A4" s="12">
        <v>2</v>
      </c>
      <c r="B4" s="13" t="s">
        <v>19</v>
      </c>
      <c r="C4" s="14" t="s">
        <v>21</v>
      </c>
      <c r="D4" s="14" t="s">
        <v>77</v>
      </c>
      <c r="E4" s="15">
        <v>4</v>
      </c>
      <c r="F4" s="16">
        <v>2</v>
      </c>
      <c r="G4" s="17"/>
      <c r="H4" s="18"/>
      <c r="I4" s="17">
        <v>6</v>
      </c>
      <c r="J4" s="17"/>
      <c r="K4" s="19">
        <v>2</v>
      </c>
      <c r="L4" s="20">
        <f t="shared" si="0"/>
        <v>14</v>
      </c>
      <c r="M4" s="1"/>
      <c r="N4" s="1"/>
      <c r="O4" s="1"/>
    </row>
    <row r="5" spans="1:15" ht="15.75" x14ac:dyDescent="0.25">
      <c r="A5" s="12">
        <v>3</v>
      </c>
      <c r="B5" s="13" t="s">
        <v>19</v>
      </c>
      <c r="C5" s="14" t="s">
        <v>22</v>
      </c>
      <c r="D5" s="14" t="s">
        <v>78</v>
      </c>
      <c r="E5" s="15"/>
      <c r="F5" s="16">
        <v>1</v>
      </c>
      <c r="G5" s="17">
        <v>2</v>
      </c>
      <c r="H5" s="18"/>
      <c r="I5" s="17">
        <v>4</v>
      </c>
      <c r="J5" s="17"/>
      <c r="K5" s="19">
        <v>3</v>
      </c>
      <c r="L5" s="20">
        <f t="shared" si="0"/>
        <v>10</v>
      </c>
      <c r="M5" s="1"/>
      <c r="N5" s="1"/>
      <c r="O5" s="1"/>
    </row>
    <row r="6" spans="1:15" ht="15.75" x14ac:dyDescent="0.25">
      <c r="A6" s="12">
        <v>4</v>
      </c>
      <c r="B6" s="13" t="s">
        <v>19</v>
      </c>
      <c r="C6" s="14" t="s">
        <v>23</v>
      </c>
      <c r="D6" s="14" t="s">
        <v>79</v>
      </c>
      <c r="E6" s="15">
        <v>4</v>
      </c>
      <c r="F6" s="16">
        <v>7</v>
      </c>
      <c r="G6" s="17"/>
      <c r="H6" s="18"/>
      <c r="I6" s="17">
        <v>8</v>
      </c>
      <c r="J6" s="17"/>
      <c r="K6" s="19">
        <v>4</v>
      </c>
      <c r="L6" s="20">
        <f t="shared" si="0"/>
        <v>23</v>
      </c>
      <c r="M6" s="1"/>
      <c r="N6" s="1"/>
      <c r="O6" s="1"/>
    </row>
    <row r="7" spans="1:15" ht="15.75" x14ac:dyDescent="0.25">
      <c r="A7" s="12">
        <v>5</v>
      </c>
      <c r="B7" s="13" t="s">
        <v>19</v>
      </c>
      <c r="C7" s="14" t="s">
        <v>24</v>
      </c>
      <c r="D7" s="14" t="s">
        <v>80</v>
      </c>
      <c r="E7" s="15">
        <v>3</v>
      </c>
      <c r="F7" s="16">
        <v>2</v>
      </c>
      <c r="G7" s="17"/>
      <c r="H7" s="18"/>
      <c r="I7" s="17">
        <v>8</v>
      </c>
      <c r="J7" s="17"/>
      <c r="K7" s="19">
        <v>2</v>
      </c>
      <c r="L7" s="20">
        <f t="shared" si="0"/>
        <v>15</v>
      </c>
      <c r="M7" s="1"/>
      <c r="N7" s="1"/>
      <c r="O7" s="1"/>
    </row>
    <row r="8" spans="1:15" ht="15.75" x14ac:dyDescent="0.25">
      <c r="A8" s="12">
        <v>6</v>
      </c>
      <c r="B8" s="13" t="s">
        <v>19</v>
      </c>
      <c r="C8" s="14" t="s">
        <v>25</v>
      </c>
      <c r="D8" s="14" t="s">
        <v>81</v>
      </c>
      <c r="E8" s="15">
        <v>4</v>
      </c>
      <c r="F8" s="16"/>
      <c r="G8" s="17">
        <v>4</v>
      </c>
      <c r="H8" s="18"/>
      <c r="I8" s="17">
        <v>11</v>
      </c>
      <c r="J8" s="17">
        <v>2</v>
      </c>
      <c r="K8" s="19">
        <v>4</v>
      </c>
      <c r="L8" s="20">
        <f t="shared" si="0"/>
        <v>25</v>
      </c>
      <c r="M8" s="1"/>
      <c r="N8" s="1"/>
      <c r="O8" s="1"/>
    </row>
    <row r="9" spans="1:15" ht="15.75" x14ac:dyDescent="0.25">
      <c r="A9" s="12">
        <v>7</v>
      </c>
      <c r="B9" s="13" t="s">
        <v>19</v>
      </c>
      <c r="C9" s="14" t="s">
        <v>26</v>
      </c>
      <c r="D9" s="14" t="s">
        <v>82</v>
      </c>
      <c r="E9" s="15">
        <v>3</v>
      </c>
      <c r="F9" s="16">
        <v>1</v>
      </c>
      <c r="G9" s="17">
        <v>1</v>
      </c>
      <c r="H9" s="18">
        <v>1</v>
      </c>
      <c r="I9" s="17">
        <v>4</v>
      </c>
      <c r="J9" s="17">
        <v>1</v>
      </c>
      <c r="K9" s="19">
        <v>2</v>
      </c>
      <c r="L9" s="20">
        <f t="shared" si="0"/>
        <v>13</v>
      </c>
      <c r="M9" s="1"/>
      <c r="N9" s="1"/>
      <c r="O9" s="1"/>
    </row>
    <row r="10" spans="1:15" ht="15.75" x14ac:dyDescent="0.25">
      <c r="A10" s="12">
        <v>8</v>
      </c>
      <c r="B10" s="13" t="s">
        <v>19</v>
      </c>
      <c r="C10" s="14" t="s">
        <v>27</v>
      </c>
      <c r="D10" s="14" t="s">
        <v>83</v>
      </c>
      <c r="E10" s="15">
        <v>11</v>
      </c>
      <c r="F10" s="16">
        <v>4</v>
      </c>
      <c r="G10" s="17">
        <v>2</v>
      </c>
      <c r="H10" s="18"/>
      <c r="I10" s="17">
        <v>8</v>
      </c>
      <c r="J10" s="17">
        <v>1</v>
      </c>
      <c r="K10" s="19">
        <v>2</v>
      </c>
      <c r="L10" s="20">
        <f t="shared" si="0"/>
        <v>28</v>
      </c>
      <c r="M10" s="1"/>
      <c r="N10" s="1"/>
      <c r="O10" s="1"/>
    </row>
    <row r="11" spans="1:15" ht="15.75" x14ac:dyDescent="0.25">
      <c r="A11" s="12">
        <v>9</v>
      </c>
      <c r="B11" s="13" t="s">
        <v>19</v>
      </c>
      <c r="C11" s="14" t="s">
        <v>28</v>
      </c>
      <c r="D11" s="14" t="s">
        <v>84</v>
      </c>
      <c r="E11" s="15"/>
      <c r="F11" s="16"/>
      <c r="G11" s="17"/>
      <c r="H11" s="18">
        <v>1</v>
      </c>
      <c r="I11" s="17">
        <v>1</v>
      </c>
      <c r="J11" s="17">
        <v>1</v>
      </c>
      <c r="K11" s="19"/>
      <c r="L11" s="20">
        <f t="shared" si="0"/>
        <v>3</v>
      </c>
      <c r="M11" s="1"/>
      <c r="N11" s="1"/>
      <c r="O11" s="1"/>
    </row>
    <row r="12" spans="1:15" ht="15.75" x14ac:dyDescent="0.25">
      <c r="A12" s="12">
        <v>10</v>
      </c>
      <c r="B12" s="13" t="s">
        <v>19</v>
      </c>
      <c r="C12" s="14" t="s">
        <v>29</v>
      </c>
      <c r="D12" s="14" t="s">
        <v>85</v>
      </c>
      <c r="E12" s="15"/>
      <c r="F12" s="16"/>
      <c r="G12" s="17"/>
      <c r="H12" s="18">
        <v>1</v>
      </c>
      <c r="I12" s="17">
        <v>1</v>
      </c>
      <c r="J12" s="17">
        <v>1</v>
      </c>
      <c r="K12" s="19"/>
      <c r="L12" s="20">
        <f t="shared" si="0"/>
        <v>3</v>
      </c>
      <c r="M12" s="1"/>
      <c r="N12" s="1"/>
      <c r="O12" s="1"/>
    </row>
    <row r="13" spans="1:15" ht="15.75" x14ac:dyDescent="0.25">
      <c r="A13" s="12">
        <v>11</v>
      </c>
      <c r="B13" s="13" t="s">
        <v>19</v>
      </c>
      <c r="C13" s="14" t="s">
        <v>30</v>
      </c>
      <c r="D13" s="14" t="s">
        <v>86</v>
      </c>
      <c r="E13" s="15"/>
      <c r="F13" s="16">
        <v>2</v>
      </c>
      <c r="G13" s="17"/>
      <c r="H13" s="18"/>
      <c r="I13" s="17">
        <v>10</v>
      </c>
      <c r="J13" s="17"/>
      <c r="K13" s="19">
        <v>4</v>
      </c>
      <c r="L13" s="20">
        <f t="shared" si="0"/>
        <v>16</v>
      </c>
      <c r="M13" s="1"/>
      <c r="N13" s="1"/>
      <c r="O13" s="1"/>
    </row>
    <row r="14" spans="1:15" ht="15.75" x14ac:dyDescent="0.25">
      <c r="A14" s="12">
        <v>12</v>
      </c>
      <c r="B14" s="13" t="s">
        <v>19</v>
      </c>
      <c r="C14" s="14" t="s">
        <v>31</v>
      </c>
      <c r="D14" s="14" t="s">
        <v>87</v>
      </c>
      <c r="E14" s="15"/>
      <c r="F14" s="16">
        <v>2</v>
      </c>
      <c r="G14" s="17">
        <v>3</v>
      </c>
      <c r="H14" s="18">
        <v>3</v>
      </c>
      <c r="I14" s="17">
        <v>1</v>
      </c>
      <c r="J14" s="17">
        <v>1</v>
      </c>
      <c r="K14" s="19">
        <v>4</v>
      </c>
      <c r="L14" s="20">
        <f t="shared" si="0"/>
        <v>14</v>
      </c>
      <c r="M14" s="1"/>
      <c r="N14" s="1"/>
      <c r="O14" s="1"/>
    </row>
    <row r="15" spans="1:15" ht="15.75" x14ac:dyDescent="0.25">
      <c r="A15" s="12">
        <v>13</v>
      </c>
      <c r="B15" s="13" t="s">
        <v>19</v>
      </c>
      <c r="C15" s="14" t="s">
        <v>32</v>
      </c>
      <c r="D15" s="14" t="s">
        <v>88</v>
      </c>
      <c r="E15" s="15">
        <v>3</v>
      </c>
      <c r="F15" s="16"/>
      <c r="G15" s="17">
        <v>2</v>
      </c>
      <c r="H15" s="18">
        <v>1</v>
      </c>
      <c r="I15" s="17">
        <v>12</v>
      </c>
      <c r="J15" s="17"/>
      <c r="K15" s="19"/>
      <c r="L15" s="20">
        <f t="shared" si="0"/>
        <v>18</v>
      </c>
      <c r="M15" s="1"/>
      <c r="N15" s="1"/>
      <c r="O15" s="1"/>
    </row>
    <row r="16" spans="1:15" ht="15.75" x14ac:dyDescent="0.25">
      <c r="A16" s="12">
        <v>14</v>
      </c>
      <c r="B16" s="13" t="s">
        <v>19</v>
      </c>
      <c r="C16" s="14" t="s">
        <v>33</v>
      </c>
      <c r="D16" s="14" t="s">
        <v>89</v>
      </c>
      <c r="E16" s="15"/>
      <c r="F16" s="16"/>
      <c r="G16" s="17"/>
      <c r="H16" s="18"/>
      <c r="I16" s="17">
        <v>13</v>
      </c>
      <c r="J16" s="17"/>
      <c r="K16" s="19">
        <v>13</v>
      </c>
      <c r="L16" s="20">
        <f t="shared" si="0"/>
        <v>26</v>
      </c>
      <c r="M16" s="1"/>
      <c r="N16" s="1"/>
      <c r="O16" s="1"/>
    </row>
    <row r="17" spans="1:15" ht="15.75" x14ac:dyDescent="0.25">
      <c r="A17" s="12">
        <v>15</v>
      </c>
      <c r="B17" s="13" t="s">
        <v>19</v>
      </c>
      <c r="C17" s="14" t="s">
        <v>34</v>
      </c>
      <c r="D17" s="14" t="s">
        <v>90</v>
      </c>
      <c r="E17" s="15">
        <v>2</v>
      </c>
      <c r="F17" s="16">
        <v>1</v>
      </c>
      <c r="G17" s="17"/>
      <c r="H17" s="18"/>
      <c r="I17" s="17">
        <v>3</v>
      </c>
      <c r="J17" s="17"/>
      <c r="K17" s="19">
        <v>2</v>
      </c>
      <c r="L17" s="20">
        <f t="shared" si="0"/>
        <v>8</v>
      </c>
      <c r="M17" s="1"/>
      <c r="N17" s="1"/>
      <c r="O17" s="1"/>
    </row>
    <row r="18" spans="1:15" ht="15.75" x14ac:dyDescent="0.25">
      <c r="A18" s="12">
        <v>16</v>
      </c>
      <c r="B18" s="13" t="s">
        <v>19</v>
      </c>
      <c r="C18" s="14" t="s">
        <v>35</v>
      </c>
      <c r="D18" s="14" t="s">
        <v>91</v>
      </c>
      <c r="E18" s="15"/>
      <c r="F18" s="16">
        <v>3</v>
      </c>
      <c r="G18" s="17">
        <v>2</v>
      </c>
      <c r="H18" s="18">
        <v>1</v>
      </c>
      <c r="I18" s="17">
        <v>6</v>
      </c>
      <c r="J18" s="17"/>
      <c r="K18" s="19">
        <v>4</v>
      </c>
      <c r="L18" s="20">
        <f t="shared" si="0"/>
        <v>16</v>
      </c>
      <c r="M18" s="1"/>
      <c r="N18" s="1"/>
      <c r="O18" s="1"/>
    </row>
    <row r="19" spans="1:15" ht="15.75" x14ac:dyDescent="0.25">
      <c r="A19" s="12">
        <v>17</v>
      </c>
      <c r="B19" s="13" t="s">
        <v>19</v>
      </c>
      <c r="C19" s="14" t="s">
        <v>36</v>
      </c>
      <c r="D19" s="14" t="s">
        <v>92</v>
      </c>
      <c r="E19" s="15"/>
      <c r="F19" s="16">
        <v>1</v>
      </c>
      <c r="G19" s="17">
        <v>2</v>
      </c>
      <c r="H19" s="18"/>
      <c r="I19" s="17">
        <v>4</v>
      </c>
      <c r="J19" s="17"/>
      <c r="K19" s="19">
        <v>2</v>
      </c>
      <c r="L19" s="20">
        <f t="shared" si="0"/>
        <v>9</v>
      </c>
      <c r="M19" s="1"/>
      <c r="N19" s="1"/>
      <c r="O19" s="1"/>
    </row>
    <row r="20" spans="1:15" ht="15.75" x14ac:dyDescent="0.25">
      <c r="A20" s="12">
        <v>18</v>
      </c>
      <c r="B20" s="13" t="s">
        <v>19</v>
      </c>
      <c r="C20" s="14" t="s">
        <v>37</v>
      </c>
      <c r="D20" s="14" t="s">
        <v>93</v>
      </c>
      <c r="E20" s="15"/>
      <c r="F20" s="16">
        <v>1</v>
      </c>
      <c r="G20" s="17">
        <v>1</v>
      </c>
      <c r="H20" s="18"/>
      <c r="I20" s="17">
        <v>1</v>
      </c>
      <c r="J20" s="17"/>
      <c r="K20" s="19"/>
      <c r="L20" s="20">
        <f t="shared" si="0"/>
        <v>3</v>
      </c>
      <c r="M20" s="1"/>
      <c r="N20" s="1"/>
      <c r="O20" s="1"/>
    </row>
    <row r="21" spans="1:15" ht="15.75" x14ac:dyDescent="0.25">
      <c r="A21" s="12">
        <v>19</v>
      </c>
      <c r="B21" s="13" t="s">
        <v>19</v>
      </c>
      <c r="C21" s="14" t="s">
        <v>38</v>
      </c>
      <c r="D21" s="14" t="s">
        <v>94</v>
      </c>
      <c r="E21" s="15">
        <v>3</v>
      </c>
      <c r="F21" s="16">
        <v>2</v>
      </c>
      <c r="G21" s="17">
        <v>3</v>
      </c>
      <c r="H21" s="18">
        <v>3</v>
      </c>
      <c r="I21" s="17">
        <v>8</v>
      </c>
      <c r="J21" s="17"/>
      <c r="K21" s="19">
        <v>2</v>
      </c>
      <c r="L21" s="20">
        <f t="shared" si="0"/>
        <v>21</v>
      </c>
      <c r="M21" s="1"/>
      <c r="N21" s="1"/>
      <c r="O21" s="1"/>
    </row>
    <row r="22" spans="1:15" ht="15.75" x14ac:dyDescent="0.25">
      <c r="A22" s="12">
        <v>20</v>
      </c>
      <c r="B22" s="13" t="s">
        <v>19</v>
      </c>
      <c r="C22" s="14" t="s">
        <v>39</v>
      </c>
      <c r="D22" s="14" t="s">
        <v>95</v>
      </c>
      <c r="E22" s="15">
        <v>3</v>
      </c>
      <c r="F22" s="16">
        <v>4</v>
      </c>
      <c r="G22" s="17">
        <v>7</v>
      </c>
      <c r="H22" s="18">
        <v>5</v>
      </c>
      <c r="I22" s="17">
        <v>32</v>
      </c>
      <c r="J22" s="17"/>
      <c r="K22" s="19">
        <v>15</v>
      </c>
      <c r="L22" s="20">
        <f t="shared" si="0"/>
        <v>66</v>
      </c>
      <c r="M22" s="1"/>
      <c r="N22" s="1"/>
      <c r="O22" s="1"/>
    </row>
    <row r="23" spans="1:15" ht="15.75" x14ac:dyDescent="0.25">
      <c r="A23" s="12">
        <v>21</v>
      </c>
      <c r="B23" s="13" t="s">
        <v>19</v>
      </c>
      <c r="C23" s="14" t="s">
        <v>40</v>
      </c>
      <c r="D23" s="14" t="s">
        <v>96</v>
      </c>
      <c r="E23" s="15">
        <v>3</v>
      </c>
      <c r="F23" s="16"/>
      <c r="G23" s="17">
        <v>1</v>
      </c>
      <c r="H23" s="18"/>
      <c r="I23" s="17">
        <v>1</v>
      </c>
      <c r="J23" s="17"/>
      <c r="K23" s="19"/>
      <c r="L23" s="20">
        <f t="shared" si="0"/>
        <v>5</v>
      </c>
      <c r="M23" s="1"/>
      <c r="N23" s="1"/>
      <c r="O23" s="1"/>
    </row>
    <row r="24" spans="1:15" ht="15.75" x14ac:dyDescent="0.25">
      <c r="A24" s="12">
        <v>22</v>
      </c>
      <c r="B24" s="13" t="s">
        <v>19</v>
      </c>
      <c r="C24" s="14" t="s">
        <v>41</v>
      </c>
      <c r="D24" s="14" t="s">
        <v>97</v>
      </c>
      <c r="E24" s="15"/>
      <c r="F24" s="16">
        <v>1</v>
      </c>
      <c r="G24" s="17"/>
      <c r="H24" s="18"/>
      <c r="I24" s="17">
        <v>1</v>
      </c>
      <c r="J24" s="17"/>
      <c r="K24" s="19"/>
      <c r="L24" s="20">
        <f t="shared" si="0"/>
        <v>2</v>
      </c>
      <c r="M24" s="1"/>
      <c r="N24" s="1"/>
      <c r="O24" s="1"/>
    </row>
    <row r="25" spans="1:15" ht="15.75" x14ac:dyDescent="0.25">
      <c r="A25" s="12">
        <v>23</v>
      </c>
      <c r="B25" s="13" t="s">
        <v>19</v>
      </c>
      <c r="C25" s="14" t="s">
        <v>42</v>
      </c>
      <c r="D25" s="14" t="s">
        <v>98</v>
      </c>
      <c r="E25" s="15"/>
      <c r="F25" s="16">
        <v>7</v>
      </c>
      <c r="G25" s="17"/>
      <c r="H25" s="18">
        <v>3</v>
      </c>
      <c r="I25" s="17">
        <v>2</v>
      </c>
      <c r="J25" s="17"/>
      <c r="K25" s="19"/>
      <c r="L25" s="20">
        <f t="shared" si="0"/>
        <v>12</v>
      </c>
      <c r="M25" s="1"/>
      <c r="N25" s="1"/>
      <c r="O25" s="1"/>
    </row>
    <row r="26" spans="1:15" ht="15.75" x14ac:dyDescent="0.25">
      <c r="A26" s="12">
        <v>24</v>
      </c>
      <c r="B26" s="13" t="s">
        <v>19</v>
      </c>
      <c r="C26" s="14" t="s">
        <v>43</v>
      </c>
      <c r="D26" s="14" t="s">
        <v>99</v>
      </c>
      <c r="E26" s="15">
        <v>3</v>
      </c>
      <c r="F26" s="16"/>
      <c r="G26" s="17"/>
      <c r="H26" s="18"/>
      <c r="I26" s="17">
        <v>1</v>
      </c>
      <c r="J26" s="17"/>
      <c r="K26" s="19"/>
      <c r="L26" s="20">
        <f t="shared" si="0"/>
        <v>4</v>
      </c>
      <c r="M26" s="1"/>
      <c r="N26" s="1"/>
      <c r="O26" s="1"/>
    </row>
    <row r="27" spans="1:15" ht="15.75" x14ac:dyDescent="0.25">
      <c r="A27" s="12">
        <v>25</v>
      </c>
      <c r="B27" s="13" t="s">
        <v>19</v>
      </c>
      <c r="C27" s="14" t="s">
        <v>44</v>
      </c>
      <c r="D27" s="14" t="s">
        <v>100</v>
      </c>
      <c r="E27" s="15"/>
      <c r="F27" s="16">
        <v>1</v>
      </c>
      <c r="G27" s="17"/>
      <c r="H27" s="18"/>
      <c r="I27" s="17">
        <v>1</v>
      </c>
      <c r="J27" s="17"/>
      <c r="K27" s="19"/>
      <c r="L27" s="20">
        <f t="shared" si="0"/>
        <v>2</v>
      </c>
      <c r="M27" s="1"/>
      <c r="N27" s="1"/>
      <c r="O27" s="1"/>
    </row>
    <row r="28" spans="1:15" ht="15.75" x14ac:dyDescent="0.25">
      <c r="A28" s="12">
        <v>26</v>
      </c>
      <c r="B28" s="13" t="s">
        <v>19</v>
      </c>
      <c r="C28" s="14" t="s">
        <v>45</v>
      </c>
      <c r="D28" s="14" t="s">
        <v>101</v>
      </c>
      <c r="E28" s="15"/>
      <c r="F28" s="16">
        <v>1</v>
      </c>
      <c r="G28" s="17"/>
      <c r="H28" s="18"/>
      <c r="I28" s="17">
        <v>1</v>
      </c>
      <c r="J28" s="17"/>
      <c r="K28" s="19"/>
      <c r="L28" s="20">
        <f t="shared" si="0"/>
        <v>2</v>
      </c>
      <c r="M28" s="1"/>
      <c r="N28" s="1"/>
      <c r="O28" s="1"/>
    </row>
    <row r="29" spans="1:15" ht="15.75" x14ac:dyDescent="0.25">
      <c r="A29" s="12">
        <v>27</v>
      </c>
      <c r="B29" s="13" t="s">
        <v>19</v>
      </c>
      <c r="C29" s="14" t="s">
        <v>46</v>
      </c>
      <c r="D29" s="14" t="s">
        <v>102</v>
      </c>
      <c r="E29" s="15">
        <v>2</v>
      </c>
      <c r="F29" s="16"/>
      <c r="G29" s="17"/>
      <c r="H29" s="18"/>
      <c r="I29" s="17">
        <v>4</v>
      </c>
      <c r="J29" s="17"/>
      <c r="K29" s="19"/>
      <c r="L29" s="20">
        <f t="shared" si="0"/>
        <v>6</v>
      </c>
      <c r="M29" s="1"/>
      <c r="N29" s="1"/>
      <c r="O29" s="1"/>
    </row>
    <row r="30" spans="1:15" ht="15.75" x14ac:dyDescent="0.25">
      <c r="A30" s="12">
        <v>28</v>
      </c>
      <c r="B30" s="13" t="s">
        <v>19</v>
      </c>
      <c r="C30" s="14" t="s">
        <v>47</v>
      </c>
      <c r="D30" s="14" t="s">
        <v>103</v>
      </c>
      <c r="E30" s="15"/>
      <c r="F30" s="16"/>
      <c r="G30" s="17"/>
      <c r="H30" s="18"/>
      <c r="I30" s="17">
        <v>8</v>
      </c>
      <c r="J30" s="17"/>
      <c r="K30" s="19">
        <v>5</v>
      </c>
      <c r="L30" s="20">
        <f t="shared" si="0"/>
        <v>13</v>
      </c>
      <c r="M30" s="1"/>
      <c r="N30" s="1"/>
      <c r="O30" s="1"/>
    </row>
    <row r="31" spans="1:15" ht="15.75" x14ac:dyDescent="0.25">
      <c r="A31" s="12">
        <v>29</v>
      </c>
      <c r="B31" s="13" t="s">
        <v>19</v>
      </c>
      <c r="C31" s="14" t="s">
        <v>48</v>
      </c>
      <c r="D31" s="14" t="s">
        <v>104</v>
      </c>
      <c r="E31" s="15"/>
      <c r="F31" s="16"/>
      <c r="G31" s="17">
        <v>3</v>
      </c>
      <c r="H31" s="18"/>
      <c r="I31" s="17">
        <v>1</v>
      </c>
      <c r="J31" s="17"/>
      <c r="K31" s="19"/>
      <c r="L31" s="20">
        <f t="shared" si="0"/>
        <v>4</v>
      </c>
      <c r="M31" s="1"/>
      <c r="N31" s="1"/>
      <c r="O31" s="1"/>
    </row>
    <row r="32" spans="1:15" ht="15.75" x14ac:dyDescent="0.25">
      <c r="A32" s="12">
        <v>30</v>
      </c>
      <c r="B32" s="13" t="s">
        <v>19</v>
      </c>
      <c r="C32" s="14" t="s">
        <v>49</v>
      </c>
      <c r="D32" s="14" t="s">
        <v>105</v>
      </c>
      <c r="E32" s="15">
        <v>3</v>
      </c>
      <c r="F32" s="16"/>
      <c r="G32" s="17">
        <v>1</v>
      </c>
      <c r="H32" s="18">
        <v>3</v>
      </c>
      <c r="I32" s="17">
        <v>8</v>
      </c>
      <c r="J32" s="17"/>
      <c r="K32" s="19">
        <v>2</v>
      </c>
      <c r="L32" s="20">
        <f t="shared" si="0"/>
        <v>17</v>
      </c>
      <c r="M32" s="1"/>
      <c r="N32" s="1"/>
      <c r="O32" s="1"/>
    </row>
    <row r="33" spans="1:15" ht="15.75" x14ac:dyDescent="0.25">
      <c r="A33" s="12">
        <v>31</v>
      </c>
      <c r="B33" s="13" t="s">
        <v>19</v>
      </c>
      <c r="C33" s="14" t="s">
        <v>50</v>
      </c>
      <c r="D33" s="14" t="s">
        <v>106</v>
      </c>
      <c r="E33" s="15"/>
      <c r="F33" s="16"/>
      <c r="G33" s="17"/>
      <c r="H33" s="18"/>
      <c r="I33" s="17">
        <v>2</v>
      </c>
      <c r="J33" s="17"/>
      <c r="K33" s="19"/>
      <c r="L33" s="20">
        <f t="shared" si="0"/>
        <v>2</v>
      </c>
      <c r="M33" s="1"/>
      <c r="N33" s="1"/>
      <c r="O33" s="1"/>
    </row>
    <row r="34" spans="1:15" ht="15.75" x14ac:dyDescent="0.25">
      <c r="A34" s="12">
        <v>32</v>
      </c>
      <c r="B34" s="13" t="s">
        <v>19</v>
      </c>
      <c r="C34" s="14" t="s">
        <v>51</v>
      </c>
      <c r="D34" s="14" t="s">
        <v>107</v>
      </c>
      <c r="E34" s="15"/>
      <c r="F34" s="16">
        <v>1</v>
      </c>
      <c r="G34" s="17">
        <v>2</v>
      </c>
      <c r="H34" s="18">
        <v>1</v>
      </c>
      <c r="I34" s="17">
        <v>5</v>
      </c>
      <c r="J34" s="17">
        <v>1</v>
      </c>
      <c r="K34" s="19">
        <v>2</v>
      </c>
      <c r="L34" s="20">
        <f t="shared" si="0"/>
        <v>12</v>
      </c>
      <c r="M34" s="1"/>
      <c r="N34" s="1"/>
      <c r="O34" s="1"/>
    </row>
    <row r="35" spans="1:15" ht="15.75" x14ac:dyDescent="0.25">
      <c r="A35" s="12">
        <v>33</v>
      </c>
      <c r="B35" s="13" t="s">
        <v>19</v>
      </c>
      <c r="C35" s="14" t="s">
        <v>52</v>
      </c>
      <c r="D35" s="14" t="s">
        <v>108</v>
      </c>
      <c r="E35" s="15">
        <v>4</v>
      </c>
      <c r="F35" s="16">
        <v>1</v>
      </c>
      <c r="G35" s="17"/>
      <c r="H35" s="18"/>
      <c r="I35" s="17">
        <v>8</v>
      </c>
      <c r="J35" s="17"/>
      <c r="K35" s="19"/>
      <c r="L35" s="20">
        <f t="shared" ref="L35:L58" si="1">SUM(E35+F35+G35+H35+I35+J35+K35)</f>
        <v>13</v>
      </c>
      <c r="M35" s="1"/>
      <c r="N35" s="1"/>
      <c r="O35" s="1"/>
    </row>
    <row r="36" spans="1:15" ht="15.75" x14ac:dyDescent="0.25">
      <c r="A36" s="12">
        <v>34</v>
      </c>
      <c r="B36" s="13" t="s">
        <v>19</v>
      </c>
      <c r="C36" s="14" t="s">
        <v>53</v>
      </c>
      <c r="D36" s="14" t="s">
        <v>109</v>
      </c>
      <c r="E36" s="15"/>
      <c r="F36" s="16">
        <v>1</v>
      </c>
      <c r="G36" s="17"/>
      <c r="H36" s="18"/>
      <c r="I36" s="17">
        <v>1</v>
      </c>
      <c r="J36" s="17"/>
      <c r="K36" s="19">
        <v>3</v>
      </c>
      <c r="L36" s="20">
        <f t="shared" si="1"/>
        <v>5</v>
      </c>
      <c r="M36" s="1"/>
      <c r="N36" s="1"/>
      <c r="O36" s="1"/>
    </row>
    <row r="37" spans="1:15" ht="15.75" x14ac:dyDescent="0.25">
      <c r="A37" s="12">
        <v>35</v>
      </c>
      <c r="B37" s="13" t="s">
        <v>19</v>
      </c>
      <c r="C37" s="14" t="s">
        <v>54</v>
      </c>
      <c r="D37" s="14" t="s">
        <v>110</v>
      </c>
      <c r="E37" s="15"/>
      <c r="F37" s="16"/>
      <c r="G37" s="17"/>
      <c r="H37" s="18"/>
      <c r="I37" s="17">
        <v>1</v>
      </c>
      <c r="J37" s="17"/>
      <c r="K37" s="19">
        <v>2</v>
      </c>
      <c r="L37" s="20">
        <f t="shared" si="1"/>
        <v>3</v>
      </c>
      <c r="M37" s="1"/>
      <c r="N37" s="1"/>
      <c r="O37" s="1"/>
    </row>
    <row r="38" spans="1:15" ht="15.75" x14ac:dyDescent="0.25">
      <c r="A38" s="12">
        <v>36</v>
      </c>
      <c r="B38" s="13" t="s">
        <v>19</v>
      </c>
      <c r="C38" s="14" t="s">
        <v>55</v>
      </c>
      <c r="D38" s="14" t="s">
        <v>111</v>
      </c>
      <c r="E38" s="15">
        <v>3</v>
      </c>
      <c r="F38" s="16">
        <v>2</v>
      </c>
      <c r="G38" s="17">
        <v>3</v>
      </c>
      <c r="H38" s="18">
        <v>1</v>
      </c>
      <c r="I38" s="17">
        <v>9</v>
      </c>
      <c r="J38" s="17"/>
      <c r="K38" s="19">
        <v>2</v>
      </c>
      <c r="L38" s="20">
        <f t="shared" si="1"/>
        <v>20</v>
      </c>
      <c r="M38" s="1"/>
      <c r="N38" s="1"/>
      <c r="O38" s="1"/>
    </row>
    <row r="39" spans="1:15" ht="15.75" x14ac:dyDescent="0.25">
      <c r="A39" s="12">
        <v>37</v>
      </c>
      <c r="B39" s="13" t="s">
        <v>19</v>
      </c>
      <c r="C39" s="14" t="s">
        <v>56</v>
      </c>
      <c r="D39" s="14" t="s">
        <v>112</v>
      </c>
      <c r="E39" s="15">
        <v>3</v>
      </c>
      <c r="F39" s="16">
        <v>2</v>
      </c>
      <c r="G39" s="17">
        <v>2</v>
      </c>
      <c r="H39" s="18">
        <v>1</v>
      </c>
      <c r="I39" s="17">
        <v>9</v>
      </c>
      <c r="J39" s="17"/>
      <c r="K39" s="19">
        <v>2</v>
      </c>
      <c r="L39" s="20">
        <f t="shared" si="1"/>
        <v>19</v>
      </c>
      <c r="M39" s="1"/>
      <c r="N39" s="1"/>
      <c r="O39" s="1"/>
    </row>
    <row r="40" spans="1:15" ht="15.75" x14ac:dyDescent="0.25">
      <c r="A40" s="12">
        <v>38</v>
      </c>
      <c r="B40" s="13" t="s">
        <v>19</v>
      </c>
      <c r="C40" s="14" t="s">
        <v>57</v>
      </c>
      <c r="D40" s="14" t="s">
        <v>113</v>
      </c>
      <c r="E40" s="15">
        <v>13</v>
      </c>
      <c r="F40" s="16"/>
      <c r="G40" s="17"/>
      <c r="H40" s="18"/>
      <c r="I40" s="17">
        <v>28</v>
      </c>
      <c r="J40" s="17">
        <v>13</v>
      </c>
      <c r="K40" s="19">
        <v>13</v>
      </c>
      <c r="L40" s="20">
        <f t="shared" si="1"/>
        <v>67</v>
      </c>
      <c r="M40" s="1"/>
      <c r="N40" s="1"/>
      <c r="O40" s="1"/>
    </row>
    <row r="41" spans="1:15" ht="15.75" x14ac:dyDescent="0.25">
      <c r="A41" s="12">
        <v>39</v>
      </c>
      <c r="B41" s="13" t="s">
        <v>19</v>
      </c>
      <c r="C41" s="14" t="s">
        <v>58</v>
      </c>
      <c r="D41" s="14" t="s">
        <v>114</v>
      </c>
      <c r="E41" s="15">
        <v>4</v>
      </c>
      <c r="F41" s="16"/>
      <c r="G41" s="17"/>
      <c r="H41" s="18"/>
      <c r="I41" s="17">
        <v>8</v>
      </c>
      <c r="J41" s="17"/>
      <c r="K41" s="19"/>
      <c r="L41" s="20">
        <f t="shared" si="1"/>
        <v>12</v>
      </c>
      <c r="M41" s="1"/>
      <c r="N41" s="1"/>
      <c r="O41" s="1"/>
    </row>
    <row r="42" spans="1:15" ht="15.75" x14ac:dyDescent="0.25">
      <c r="A42" s="12">
        <v>40</v>
      </c>
      <c r="B42" s="13" t="s">
        <v>19</v>
      </c>
      <c r="C42" s="14" t="s">
        <v>59</v>
      </c>
      <c r="D42" s="14" t="s">
        <v>115</v>
      </c>
      <c r="E42" s="15"/>
      <c r="F42" s="16">
        <v>3</v>
      </c>
      <c r="G42" s="17"/>
      <c r="H42" s="18"/>
      <c r="I42" s="17">
        <v>1</v>
      </c>
      <c r="J42" s="17"/>
      <c r="K42" s="19">
        <v>5</v>
      </c>
      <c r="L42" s="20">
        <f t="shared" si="1"/>
        <v>9</v>
      </c>
      <c r="M42" s="1"/>
      <c r="N42" s="1"/>
      <c r="O42" s="1"/>
    </row>
    <row r="43" spans="1:15" ht="15.75" x14ac:dyDescent="0.25">
      <c r="A43" s="12">
        <v>41</v>
      </c>
      <c r="B43" s="13" t="s">
        <v>19</v>
      </c>
      <c r="C43" s="14" t="s">
        <v>60</v>
      </c>
      <c r="D43" s="14" t="s">
        <v>116</v>
      </c>
      <c r="E43" s="15"/>
      <c r="F43" s="16">
        <v>1</v>
      </c>
      <c r="G43" s="17"/>
      <c r="H43" s="18"/>
      <c r="I43" s="17">
        <v>1</v>
      </c>
      <c r="J43" s="17"/>
      <c r="K43" s="19">
        <v>5</v>
      </c>
      <c r="L43" s="20">
        <f t="shared" si="1"/>
        <v>7</v>
      </c>
      <c r="M43" s="1"/>
      <c r="N43" s="1"/>
      <c r="O43" s="1"/>
    </row>
    <row r="44" spans="1:15" ht="15.75" x14ac:dyDescent="0.25">
      <c r="A44" s="12">
        <v>42</v>
      </c>
      <c r="B44" s="13" t="s">
        <v>19</v>
      </c>
      <c r="C44" s="14" t="s">
        <v>61</v>
      </c>
      <c r="D44" s="14" t="s">
        <v>117</v>
      </c>
      <c r="E44" s="15">
        <v>3</v>
      </c>
      <c r="F44" s="16"/>
      <c r="G44" s="17"/>
      <c r="H44" s="18"/>
      <c r="I44" s="17">
        <v>1</v>
      </c>
      <c r="J44" s="17"/>
      <c r="K44" s="19"/>
      <c r="L44" s="20">
        <f t="shared" si="1"/>
        <v>4</v>
      </c>
      <c r="M44" s="1"/>
      <c r="N44" s="1"/>
      <c r="O44" s="1"/>
    </row>
    <row r="45" spans="1:15" ht="15.75" x14ac:dyDescent="0.25">
      <c r="A45" s="12">
        <v>43</v>
      </c>
      <c r="B45" s="13" t="s">
        <v>19</v>
      </c>
      <c r="C45" s="14" t="s">
        <v>62</v>
      </c>
      <c r="D45" s="14" t="s">
        <v>118</v>
      </c>
      <c r="E45" s="15">
        <v>1</v>
      </c>
      <c r="F45" s="16">
        <v>1</v>
      </c>
      <c r="G45" s="17">
        <v>2</v>
      </c>
      <c r="H45" s="18"/>
      <c r="I45" s="17">
        <v>6</v>
      </c>
      <c r="J45" s="17"/>
      <c r="K45" s="19">
        <v>2</v>
      </c>
      <c r="L45" s="20">
        <f t="shared" si="1"/>
        <v>12</v>
      </c>
      <c r="M45" s="1"/>
      <c r="N45" s="1"/>
      <c r="O45" s="1"/>
    </row>
    <row r="46" spans="1:15" ht="15.75" x14ac:dyDescent="0.25">
      <c r="A46" s="12">
        <v>44</v>
      </c>
      <c r="B46" s="13" t="s">
        <v>19</v>
      </c>
      <c r="C46" s="14" t="s">
        <v>63</v>
      </c>
      <c r="D46" s="14" t="s">
        <v>119</v>
      </c>
      <c r="E46" s="15">
        <v>39</v>
      </c>
      <c r="F46" s="16">
        <v>26</v>
      </c>
      <c r="G46" s="17"/>
      <c r="H46" s="18"/>
      <c r="I46" s="17">
        <v>56</v>
      </c>
      <c r="J46" s="17">
        <v>13</v>
      </c>
      <c r="K46" s="19">
        <v>26</v>
      </c>
      <c r="L46" s="20">
        <f t="shared" si="1"/>
        <v>160</v>
      </c>
      <c r="M46" s="1"/>
      <c r="N46" s="1"/>
      <c r="O46" s="1"/>
    </row>
    <row r="47" spans="1:15" ht="15.75" x14ac:dyDescent="0.25">
      <c r="A47" s="12">
        <v>45</v>
      </c>
      <c r="B47" s="13" t="s">
        <v>19</v>
      </c>
      <c r="C47" s="14" t="s">
        <v>64</v>
      </c>
      <c r="D47" s="14" t="s">
        <v>120</v>
      </c>
      <c r="E47" s="15"/>
      <c r="F47" s="16"/>
      <c r="G47" s="17"/>
      <c r="H47" s="18"/>
      <c r="I47" s="17">
        <v>1</v>
      </c>
      <c r="J47" s="17"/>
      <c r="K47" s="19">
        <v>5</v>
      </c>
      <c r="L47" s="20">
        <f t="shared" si="1"/>
        <v>6</v>
      </c>
      <c r="M47" s="1"/>
      <c r="N47" s="1"/>
      <c r="O47" s="1"/>
    </row>
    <row r="48" spans="1:15" ht="15.75" x14ac:dyDescent="0.25">
      <c r="A48" s="12">
        <v>46</v>
      </c>
      <c r="B48" s="13" t="s">
        <v>19</v>
      </c>
      <c r="C48" s="14" t="s">
        <v>65</v>
      </c>
      <c r="D48" s="14" t="s">
        <v>121</v>
      </c>
      <c r="E48" s="15">
        <v>13</v>
      </c>
      <c r="F48" s="16">
        <v>13</v>
      </c>
      <c r="G48" s="17">
        <v>14</v>
      </c>
      <c r="H48" s="18"/>
      <c r="I48" s="17">
        <v>42</v>
      </c>
      <c r="J48" s="17">
        <v>26</v>
      </c>
      <c r="K48" s="19">
        <v>13</v>
      </c>
      <c r="L48" s="20">
        <f t="shared" si="1"/>
        <v>121</v>
      </c>
      <c r="M48" s="1"/>
      <c r="N48" s="1"/>
      <c r="O48" s="1"/>
    </row>
    <row r="49" spans="1:15" ht="15.75" x14ac:dyDescent="0.25">
      <c r="A49" s="12">
        <v>47</v>
      </c>
      <c r="B49" s="13" t="s">
        <v>19</v>
      </c>
      <c r="C49" s="14" t="s">
        <v>66</v>
      </c>
      <c r="D49" s="14" t="s">
        <v>122</v>
      </c>
      <c r="E49" s="15"/>
      <c r="F49" s="16">
        <v>52</v>
      </c>
      <c r="G49" s="17"/>
      <c r="H49" s="18"/>
      <c r="I49" s="17">
        <v>56</v>
      </c>
      <c r="J49" s="17"/>
      <c r="K49" s="19"/>
      <c r="L49" s="20">
        <f t="shared" si="1"/>
        <v>108</v>
      </c>
      <c r="M49" s="1"/>
      <c r="N49" s="1"/>
      <c r="O49" s="1"/>
    </row>
    <row r="50" spans="1:15" ht="15.75" x14ac:dyDescent="0.25">
      <c r="A50" s="12">
        <v>48</v>
      </c>
      <c r="B50" s="13" t="s">
        <v>19</v>
      </c>
      <c r="C50" s="14" t="s">
        <v>67</v>
      </c>
      <c r="D50" s="14" t="s">
        <v>123</v>
      </c>
      <c r="E50" s="15">
        <v>39</v>
      </c>
      <c r="F50" s="16"/>
      <c r="G50" s="17"/>
      <c r="H50" s="18"/>
      <c r="I50" s="17"/>
      <c r="J50" s="17">
        <v>13</v>
      </c>
      <c r="K50" s="19">
        <v>13</v>
      </c>
      <c r="L50" s="20">
        <f t="shared" si="1"/>
        <v>65</v>
      </c>
      <c r="M50" s="1"/>
      <c r="N50" s="1"/>
      <c r="O50" s="1"/>
    </row>
    <row r="51" spans="1:15" ht="15.75" x14ac:dyDescent="0.25">
      <c r="A51" s="12">
        <v>49</v>
      </c>
      <c r="B51" s="13" t="s">
        <v>19</v>
      </c>
      <c r="C51" s="14" t="s">
        <v>68</v>
      </c>
      <c r="D51" s="14" t="s">
        <v>124</v>
      </c>
      <c r="E51" s="15">
        <v>13</v>
      </c>
      <c r="F51" s="16"/>
      <c r="G51" s="17"/>
      <c r="H51" s="18"/>
      <c r="I51" s="17"/>
      <c r="J51" s="17">
        <v>13</v>
      </c>
      <c r="K51" s="19">
        <v>26</v>
      </c>
      <c r="L51" s="20">
        <f t="shared" si="1"/>
        <v>52</v>
      </c>
      <c r="M51" s="1"/>
      <c r="N51" s="1"/>
      <c r="O51" s="1"/>
    </row>
    <row r="52" spans="1:15" ht="15.75" x14ac:dyDescent="0.25">
      <c r="A52" s="12">
        <v>50</v>
      </c>
      <c r="B52" s="13" t="s">
        <v>19</v>
      </c>
      <c r="C52" s="14" t="s">
        <v>69</v>
      </c>
      <c r="D52" s="14" t="s">
        <v>125</v>
      </c>
      <c r="E52" s="15">
        <v>39</v>
      </c>
      <c r="F52" s="16">
        <v>26</v>
      </c>
      <c r="G52" s="17"/>
      <c r="H52" s="18"/>
      <c r="I52" s="17">
        <v>56</v>
      </c>
      <c r="J52" s="17">
        <v>13</v>
      </c>
      <c r="K52" s="19">
        <v>26</v>
      </c>
      <c r="L52" s="20">
        <f t="shared" si="1"/>
        <v>160</v>
      </c>
      <c r="M52" s="1"/>
      <c r="N52" s="1"/>
      <c r="O52" s="1"/>
    </row>
    <row r="53" spans="1:15" ht="15.75" x14ac:dyDescent="0.25">
      <c r="A53" s="12">
        <v>51</v>
      </c>
      <c r="B53" s="13" t="s">
        <v>19</v>
      </c>
      <c r="C53" s="14" t="s">
        <v>70</v>
      </c>
      <c r="D53" s="14" t="s">
        <v>126</v>
      </c>
      <c r="E53" s="15"/>
      <c r="F53" s="16"/>
      <c r="G53" s="17"/>
      <c r="H53" s="18"/>
      <c r="I53" s="17"/>
      <c r="J53" s="17"/>
      <c r="K53" s="19">
        <v>1</v>
      </c>
      <c r="L53" s="20">
        <f t="shared" si="1"/>
        <v>1</v>
      </c>
      <c r="M53" s="1"/>
      <c r="N53" s="1"/>
      <c r="O53" s="1"/>
    </row>
    <row r="54" spans="1:15" ht="15.75" x14ac:dyDescent="0.25">
      <c r="A54" s="12">
        <v>52</v>
      </c>
      <c r="B54" s="13" t="s">
        <v>19</v>
      </c>
      <c r="C54" s="14" t="s">
        <v>71</v>
      </c>
      <c r="D54" s="14" t="s">
        <v>127</v>
      </c>
      <c r="E54" s="15">
        <v>13</v>
      </c>
      <c r="F54" s="16">
        <v>13</v>
      </c>
      <c r="G54" s="17">
        <v>13</v>
      </c>
      <c r="H54" s="18">
        <v>13</v>
      </c>
      <c r="I54" s="17">
        <v>14</v>
      </c>
      <c r="J54" s="17">
        <v>13</v>
      </c>
      <c r="K54" s="19">
        <v>13</v>
      </c>
      <c r="L54" s="20">
        <f t="shared" si="1"/>
        <v>92</v>
      </c>
      <c r="M54" s="1"/>
      <c r="N54" s="1"/>
      <c r="O54" s="1"/>
    </row>
    <row r="55" spans="1:15" ht="15.75" x14ac:dyDescent="0.25">
      <c r="A55" s="12">
        <v>53</v>
      </c>
      <c r="B55" s="13" t="s">
        <v>19</v>
      </c>
      <c r="C55" s="14" t="s">
        <v>72</v>
      </c>
      <c r="D55" s="14" t="s">
        <v>128</v>
      </c>
      <c r="E55" s="15"/>
      <c r="F55" s="16"/>
      <c r="G55" s="17"/>
      <c r="H55" s="18"/>
      <c r="I55" s="17">
        <v>18</v>
      </c>
      <c r="J55" s="17"/>
      <c r="K55" s="19">
        <v>13</v>
      </c>
      <c r="L55" s="20">
        <f t="shared" si="1"/>
        <v>31</v>
      </c>
      <c r="M55" s="1"/>
      <c r="N55" s="1"/>
      <c r="O55" s="1"/>
    </row>
    <row r="56" spans="1:15" ht="15.75" x14ac:dyDescent="0.25">
      <c r="A56" s="12">
        <v>54</v>
      </c>
      <c r="B56" s="13" t="s">
        <v>19</v>
      </c>
      <c r="C56" s="14" t="s">
        <v>73</v>
      </c>
      <c r="D56" s="14" t="s">
        <v>129</v>
      </c>
      <c r="E56" s="15">
        <v>13</v>
      </c>
      <c r="F56" s="16"/>
      <c r="G56" s="17"/>
      <c r="H56" s="18"/>
      <c r="I56" s="17">
        <v>4</v>
      </c>
      <c r="J56" s="17">
        <v>4</v>
      </c>
      <c r="K56" s="19"/>
      <c r="L56" s="20">
        <f t="shared" si="1"/>
        <v>21</v>
      </c>
      <c r="M56" s="1"/>
      <c r="N56" s="1"/>
      <c r="O56" s="1"/>
    </row>
    <row r="57" spans="1:15" ht="15.75" x14ac:dyDescent="0.25">
      <c r="A57" s="12">
        <v>55</v>
      </c>
      <c r="B57" s="13" t="s">
        <v>19</v>
      </c>
      <c r="C57" s="14" t="s">
        <v>74</v>
      </c>
      <c r="D57" s="14" t="s">
        <v>130</v>
      </c>
      <c r="E57" s="15"/>
      <c r="F57" s="16"/>
      <c r="G57" s="17"/>
      <c r="H57" s="18">
        <v>1</v>
      </c>
      <c r="I57" s="17"/>
      <c r="J57" s="17"/>
      <c r="K57" s="19"/>
      <c r="L57" s="20">
        <f t="shared" si="1"/>
        <v>1</v>
      </c>
      <c r="M57" s="1"/>
      <c r="N57" s="1"/>
      <c r="O57" s="1"/>
    </row>
    <row r="58" spans="1:15" ht="15.75" x14ac:dyDescent="0.25">
      <c r="A58" s="12">
        <v>56</v>
      </c>
      <c r="B58" s="13" t="s">
        <v>19</v>
      </c>
      <c r="C58" s="14" t="s">
        <v>75</v>
      </c>
      <c r="D58" s="14" t="s">
        <v>131</v>
      </c>
      <c r="E58" s="15"/>
      <c r="F58" s="16"/>
      <c r="G58" s="17"/>
      <c r="H58" s="18">
        <v>1</v>
      </c>
      <c r="I58" s="17"/>
      <c r="J58" s="17"/>
      <c r="K58" s="19"/>
      <c r="L58" s="20">
        <f t="shared" si="1"/>
        <v>1</v>
      </c>
      <c r="M58" s="1"/>
      <c r="N58" s="1"/>
      <c r="O58" s="1"/>
    </row>
    <row r="59" spans="1:15" x14ac:dyDescent="0.25">
      <c r="A59" s="1"/>
      <c r="B59" s="1"/>
      <c r="C59" s="1"/>
      <c r="D59" s="1"/>
      <c r="E59" s="21"/>
      <c r="F59" s="21"/>
      <c r="G59" s="21"/>
      <c r="H59" s="21"/>
      <c r="I59" s="21"/>
      <c r="J59" s="21"/>
      <c r="K59" s="21"/>
      <c r="L59" s="22"/>
      <c r="M59" s="1"/>
      <c r="N59" s="1"/>
      <c r="O59" s="1"/>
    </row>
    <row r="60" spans="1:15" x14ac:dyDescent="0.25">
      <c r="A60" s="1"/>
      <c r="B60" s="1"/>
      <c r="C60" s="1"/>
      <c r="D60" s="1"/>
      <c r="E60" s="21"/>
      <c r="F60" s="21"/>
      <c r="G60" s="21"/>
      <c r="H60" s="21"/>
      <c r="I60" s="21"/>
      <c r="J60" s="21"/>
      <c r="K60" s="21"/>
      <c r="L60" s="22"/>
      <c r="M60" s="1"/>
      <c r="N60" s="1"/>
      <c r="O60" s="1"/>
    </row>
    <row r="61" spans="1:15" x14ac:dyDescent="0.25">
      <c r="A61" s="1"/>
      <c r="B61" s="1"/>
      <c r="C61" s="1"/>
      <c r="D61" s="1"/>
      <c r="E61" s="21"/>
      <c r="F61" s="21"/>
      <c r="G61" s="21"/>
      <c r="H61" s="21"/>
      <c r="I61" s="21"/>
      <c r="J61" s="21"/>
      <c r="K61" s="21"/>
      <c r="L61" s="22"/>
      <c r="M61" s="1"/>
      <c r="N61" s="1"/>
      <c r="O61" s="1"/>
    </row>
  </sheetData>
  <sheetProtection sheet="1" objects="1" scenarios="1"/>
  <mergeCells count="1">
    <mergeCell ref="A1:L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Annual Site 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Veterans Affairs</dc:creator>
  <cp:lastModifiedBy>Diaz, Marcos A.</cp:lastModifiedBy>
  <dcterms:created xsi:type="dcterms:W3CDTF">2020-01-27T23:53:43Z</dcterms:created>
  <dcterms:modified xsi:type="dcterms:W3CDTF">2026-05-05T18:22:27Z</dcterms:modified>
</cp:coreProperties>
</file>