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ith.Martin\Box\PPS FPO SWZPD\ZC SS CAE\Contracts\ASF - Apache-Sitgreaves\FY26\127EAX26Q0023 Black Jack CG Reno 1164444\OVER SAT FEB 2022\A PRE SOL_SOL DOCS\A10 SOLICITATION\SAM Upload\"/>
    </mc:Choice>
  </mc:AlternateContent>
  <xr:revisionPtr revIDLastSave="0" documentId="13_ncr:1_{E823A72C-5A45-49AE-987A-15F9C7D7BC2F}" xr6:coauthVersionLast="47" xr6:coauthVersionMax="47" xr10:uidLastSave="{00000000-0000-0000-0000-000000000000}"/>
  <bookViews>
    <workbookView xWindow="840" yWindow="1965" windowWidth="21600" windowHeight="11235" xr2:uid="{FAECD809-4F2D-4CCE-8D4E-4B005261D31A}"/>
  </bookViews>
  <sheets>
    <sheet name="SOI Black Jack CG Reno" sheetId="1" r:id="rId1"/>
  </sheets>
  <definedNames>
    <definedName name="_xlnm.Print_Area" localSheetId="0">'SOI Black Jack CG Reno'!$B$1:$I$55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6" i="1"/>
  <c r="I43" i="1"/>
  <c r="I7" i="1"/>
  <c r="I8" i="1"/>
  <c r="I9" i="1"/>
  <c r="I10" i="1"/>
  <c r="I11" i="1"/>
  <c r="I22" i="1"/>
  <c r="I23" i="1"/>
  <c r="I24" i="1"/>
  <c r="I25" i="1"/>
  <c r="I26" i="1"/>
  <c r="I27" i="1"/>
  <c r="I28" i="1"/>
  <c r="I29" i="1"/>
  <c r="I30" i="1"/>
  <c r="I31" i="1"/>
  <c r="I32" i="1"/>
  <c r="I33" i="1"/>
  <c r="I38" i="1"/>
  <c r="I39" i="1"/>
  <c r="I40" i="1"/>
  <c r="I41" i="1"/>
  <c r="I44" i="1"/>
  <c r="I50" i="1"/>
  <c r="I51" i="1"/>
  <c r="I52" i="1"/>
  <c r="I53" i="1"/>
  <c r="I54" i="1"/>
  <c r="I47" i="1"/>
  <c r="I45" i="1"/>
  <c r="I14" i="1"/>
  <c r="I18" i="1"/>
  <c r="I17" i="1"/>
  <c r="I16" i="1"/>
  <c r="I49" i="1"/>
  <c r="I48" i="1"/>
  <c r="I15" i="1"/>
  <c r="I13" i="1"/>
  <c r="I12" i="1"/>
  <c r="I46" i="1"/>
  <c r="I20" i="1" l="1"/>
  <c r="I19" i="1"/>
  <c r="I42" i="1"/>
  <c r="I55" i="1" s="1"/>
  <c r="I34" i="1" l="1"/>
  <c r="I56" i="1" s="1"/>
</calcChain>
</file>

<file path=xl/sharedStrings.xml><?xml version="1.0" encoding="utf-8"?>
<sst xmlns="http://schemas.openxmlformats.org/spreadsheetml/2006/main" count="237" uniqueCount="141">
  <si>
    <t>GAOA BLACK JACK CAMPGROUND RENOVATION 
APACHE-SITGREAVES NATIONAL FOREST  
SOLICTATION 127EAX26Q0023</t>
  </si>
  <si>
    <t>SCHEDULE OF ITEMS</t>
  </si>
  <si>
    <t>0001 -BASE ITEM</t>
  </si>
  <si>
    <t>ITEM NO.</t>
  </si>
  <si>
    <t>PAY ITEM</t>
  </si>
  <si>
    <t>LINE ITEM DESCRIPTION</t>
  </si>
  <si>
    <t>PAY UNIT</t>
  </si>
  <si>
    <t>MoM</t>
  </si>
  <si>
    <t>ESTIMATED QUANTITIES</t>
  </si>
  <si>
    <t>UNIT PRICE</t>
  </si>
  <si>
    <t>AMOUNT</t>
  </si>
  <si>
    <t>0001AA</t>
  </si>
  <si>
    <t>Mobilization/Bond</t>
  </si>
  <si>
    <t>LS</t>
  </si>
  <si>
    <t>0001AB</t>
  </si>
  <si>
    <t>Construction Staking</t>
  </si>
  <si>
    <t>0001AC</t>
  </si>
  <si>
    <t>Sampling and Testing (Subgrade, ABC, Concrete)</t>
  </si>
  <si>
    <t>0001AD</t>
  </si>
  <si>
    <t>Clearing and Grubbing, Tree and Stump Removal under 8"</t>
  </si>
  <si>
    <t>0001AE</t>
  </si>
  <si>
    <t>Excavation, Embankment, and Compaction</t>
  </si>
  <si>
    <t>0001AF</t>
  </si>
  <si>
    <t>Subgrade Preparation, Rough and Finished Grading</t>
  </si>
  <si>
    <t>0001AG</t>
  </si>
  <si>
    <t>30201(a)</t>
  </si>
  <si>
    <t>Roadway Base Aggregate, Grading A, Method 2</t>
  </si>
  <si>
    <t>CY</t>
  </si>
  <si>
    <t>EQ</t>
  </si>
  <si>
    <t>0001AH</t>
  </si>
  <si>
    <t>30201(b)</t>
  </si>
  <si>
    <t>Roadway Surface Aggregate, Grading G, Method 2</t>
  </si>
  <si>
    <t>0001AI</t>
  </si>
  <si>
    <t>30201 ( c)</t>
  </si>
  <si>
    <t>Roadway Base Aggregate, Grading A, Method 2, Spurs</t>
  </si>
  <si>
    <t>0001AJ</t>
  </si>
  <si>
    <t>30201(d)</t>
  </si>
  <si>
    <t>Roadway Surface Aggregate, Grading G, Method 2, Spurs</t>
  </si>
  <si>
    <t>0001AK</t>
  </si>
  <si>
    <t>30201(e)</t>
  </si>
  <si>
    <t>Roadway Base Aggregate, Grading G, Method 2, South Sidewalks</t>
  </si>
  <si>
    <t>0001AL</t>
  </si>
  <si>
    <t>30201(f)</t>
  </si>
  <si>
    <t>Roadway Base Aggregate, Grading G, Method 2, Middle Sidewalks</t>
  </si>
  <si>
    <t>0001AM</t>
  </si>
  <si>
    <t>30201(g)</t>
  </si>
  <si>
    <t>Roadway Base Aggregate, Grading G, Method 2, North Sidewalks</t>
  </si>
  <si>
    <t>0001AN</t>
  </si>
  <si>
    <t>61501(A)</t>
  </si>
  <si>
    <t>South Sidewalks and Pads Structural Concrete</t>
  </si>
  <si>
    <t>SF</t>
  </si>
  <si>
    <t>0001AO</t>
  </si>
  <si>
    <t>61501(B)</t>
  </si>
  <si>
    <t>Middle Sidewalks and Pads Structural Concrete</t>
  </si>
  <si>
    <t>0001AP</t>
  </si>
  <si>
    <t xml:space="preserve">61501(C) </t>
  </si>
  <si>
    <t>North Sidewalks and Pads Structural Concrete</t>
  </si>
  <si>
    <t>0001AQ</t>
  </si>
  <si>
    <t>SWPPP</t>
  </si>
  <si>
    <t>0001AR</t>
  </si>
  <si>
    <t xml:space="preserve">Low-Water Crossing </t>
  </si>
  <si>
    <t>EA</t>
  </si>
  <si>
    <t>0001AS</t>
  </si>
  <si>
    <t>Camping Spur Signs w/ Posts and Installation</t>
  </si>
  <si>
    <t>0001AT</t>
  </si>
  <si>
    <t>Traffic and Parking Signs w/ Posts and Installation</t>
  </si>
  <si>
    <t>0001AU</t>
  </si>
  <si>
    <t>2 Hole Vault Toilet
Complete Install</t>
  </si>
  <si>
    <t>LSQ</t>
  </si>
  <si>
    <t xml:space="preserve">0001AV </t>
  </si>
  <si>
    <t>Tent Pad Sites</t>
  </si>
  <si>
    <t>0001AW</t>
  </si>
  <si>
    <t>Picnic Table</t>
  </si>
  <si>
    <t>0001AX</t>
  </si>
  <si>
    <t>Grill/Firepit Installed</t>
  </si>
  <si>
    <t>0001AY</t>
  </si>
  <si>
    <t>Gates Double</t>
  </si>
  <si>
    <t>0001AZ</t>
  </si>
  <si>
    <t>Kiosk and Installation</t>
  </si>
  <si>
    <t>0001BA</t>
  </si>
  <si>
    <t>Concrete Wheel Stops</t>
  </si>
  <si>
    <t>0001BB</t>
  </si>
  <si>
    <t>Landscape Boulders Placed (Cooking Pit)</t>
  </si>
  <si>
    <t>Total Base Item</t>
  </si>
  <si>
    <t>0002 - Optional Item</t>
  </si>
  <si>
    <t>0002AA</t>
  </si>
  <si>
    <t>Tree Removal Over 8" DBH</t>
  </si>
  <si>
    <t>0002AB</t>
  </si>
  <si>
    <t>36' x 36' Ramada</t>
  </si>
  <si>
    <t>0002AC</t>
  </si>
  <si>
    <t>0002AD</t>
  </si>
  <si>
    <t>Gates Single</t>
  </si>
  <si>
    <t>0002AE</t>
  </si>
  <si>
    <t>30201(h)</t>
  </si>
  <si>
    <t>Roadway Base Aggregate, Grading G, Method 2, Overlook Parking Pad</t>
  </si>
  <si>
    <t>0002AF</t>
  </si>
  <si>
    <t>30201(I)</t>
  </si>
  <si>
    <t>Roadway Surface Aggregate, Grading G, Method 2, Overlook Parking Pad</t>
  </si>
  <si>
    <t>0002AG</t>
  </si>
  <si>
    <t xml:space="preserve">Overlook Platform With Railing </t>
  </si>
  <si>
    <t>0002AH</t>
  </si>
  <si>
    <t>Overlook Trail Surfacing, 3/8" ABC, Grading H, With Stabilizer</t>
  </si>
  <si>
    <t>0002AI</t>
  </si>
  <si>
    <t xml:space="preserve">61501(D) </t>
  </si>
  <si>
    <t xml:space="preserve">Overlook Parking Pad Structural Concrete </t>
  </si>
  <si>
    <t>0002AJ</t>
  </si>
  <si>
    <t xml:space="preserve">61501(E) </t>
  </si>
  <si>
    <t>Overlook Trail Structural Concrete Sidewalk</t>
  </si>
  <si>
    <t>0002AK</t>
  </si>
  <si>
    <t>South Trail/Picnic Surfacing, 3/8" ABC, Grading H, With Stabilizer</t>
  </si>
  <si>
    <t>0002AL</t>
  </si>
  <si>
    <t>North Trail/Picnic Surfacing, 3/8" ABC, Grading H, With Stabilizer</t>
  </si>
  <si>
    <t>0002AM</t>
  </si>
  <si>
    <t>Septic System With Locking Sanitary Tank Hatch</t>
  </si>
  <si>
    <t>0002AN</t>
  </si>
  <si>
    <t>0002AO</t>
  </si>
  <si>
    <t>0002AP</t>
  </si>
  <si>
    <t>Grill</t>
  </si>
  <si>
    <t>0002AQ</t>
  </si>
  <si>
    <t>Landscape Boulders Placed</t>
  </si>
  <si>
    <t>TOTAL OPTIONAL ITEM</t>
  </si>
  <si>
    <t>TOTAL BASE + OPTION</t>
  </si>
  <si>
    <t xml:space="preserve"> </t>
  </si>
  <si>
    <t>NOTE 1: Contractor input Unit Prices</t>
  </si>
  <si>
    <t>Method of Measurement (MoM)</t>
  </si>
  <si>
    <t>Pay Units</t>
  </si>
  <si>
    <t>NOTE 2: Auto Calculated Values</t>
  </si>
  <si>
    <t>AQ - Acqual Quantity</t>
  </si>
  <si>
    <t>CY - Cubic Yards</t>
  </si>
  <si>
    <t>NOTE 3: Submission of the SOI represents the Contractors commitment to the data herein. It is the responsibility of the Contractor to verify that all values presented in the SOI, including auto-calculated cells, accurately represent the Contractor's intended price elements.  The Government shall not be held liable for any errors in calculation or pricing data.</t>
  </si>
  <si>
    <t>LSQ - Lump Sum Quantity</t>
  </si>
  <si>
    <t>EA - Each</t>
  </si>
  <si>
    <t>NOTE 4: Payment for bond premiums in accordance with AGAR Clause 452.232-71, Progress Payments for Commercial Construction Contracts, shall not be in addition to the contract price, but may be included under Mobilization.</t>
  </si>
  <si>
    <t>EQ - Estimated Quantity</t>
  </si>
  <si>
    <t>LF - Linear Feet</t>
  </si>
  <si>
    <t>LS - Lump Sum</t>
  </si>
  <si>
    <t>OFFEROR NAME:</t>
  </si>
  <si>
    <t>SF - Square Foot</t>
  </si>
  <si>
    <t>TN - Tons</t>
  </si>
  <si>
    <t xml:space="preserve"> SAM UEI #: 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</si>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</sst>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37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16" xfId="0" applyFont="1" applyBorder="1"/>
    <xf numFmtId="0" fontId="1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2" fillId="3" borderId="0" xfId="0" applyFont="1" applyFill="1"/>
    <xf numFmtId="0" fontId="11" fillId="5" borderId="0" xfId="0" applyFont="1" applyFill="1"/>
    <xf numFmtId="0" fontId="12" fillId="3" borderId="0" xfId="0" applyFont="1" applyFill="1" applyAlignment="1">
      <alignment horizontal="center" wrapText="1"/>
    </xf>
    <xf numFmtId="0" fontId="0" fillId="0" borderId="20" xfId="0" applyBorder="1"/>
    <xf numFmtId="0" fontId="5" fillId="0" borderId="0" xfId="0" applyFont="1" applyAlignment="1">
      <alignment horizontal="right"/>
    </xf>
    <xf numFmtId="0" fontId="0" fillId="0" borderId="0" xfId="0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164" fontId="10" fillId="0" borderId="0" xfId="1" applyNumberFormat="1" applyFont="1" applyBorder="1"/>
    <xf numFmtId="44" fontId="10" fillId="0" borderId="0" xfId="1" applyFont="1" applyBorder="1"/>
    <xf numFmtId="0" fontId="0" fillId="0" borderId="24" xfId="0" applyBorder="1"/>
    <xf numFmtId="0" fontId="8" fillId="2" borderId="27" xfId="0" applyFont="1" applyFill="1" applyBorder="1" applyAlignment="1">
      <alignment horizontal="center"/>
    </xf>
    <xf numFmtId="0" fontId="11" fillId="5" borderId="24" xfId="0" applyFont="1" applyFill="1" applyBorder="1"/>
    <xf numFmtId="0" fontId="12" fillId="3" borderId="24" xfId="0" applyFont="1" applyFill="1" applyBorder="1"/>
    <xf numFmtId="0" fontId="12" fillId="3" borderId="25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wrapText="1"/>
    </xf>
    <xf numFmtId="0" fontId="12" fillId="3" borderId="8" xfId="0" applyFont="1" applyFill="1" applyBorder="1"/>
    <xf numFmtId="0" fontId="11" fillId="5" borderId="8" xfId="0" applyFont="1" applyFill="1" applyBorder="1"/>
    <xf numFmtId="0" fontId="11" fillId="5" borderId="26" xfId="0" applyFont="1" applyFill="1" applyBorder="1"/>
    <xf numFmtId="44" fontId="0" fillId="2" borderId="5" xfId="0" applyNumberFormat="1" applyFill="1" applyBorder="1" applyAlignment="1">
      <alignment horizontal="center" vertical="center"/>
    </xf>
    <xf numFmtId="44" fontId="0" fillId="2" borderId="6" xfId="0" applyNumberFormat="1" applyFill="1" applyBorder="1" applyAlignment="1">
      <alignment horizontal="center" vertical="center"/>
    </xf>
    <xf numFmtId="164" fontId="17" fillId="0" borderId="29" xfId="1" applyNumberFormat="1" applyFont="1" applyBorder="1" applyAlignment="1">
      <alignment wrapText="1"/>
    </xf>
    <xf numFmtId="44" fontId="17" fillId="0" borderId="4" xfId="1" applyFont="1" applyBorder="1"/>
    <xf numFmtId="164" fontId="17" fillId="0" borderId="29" xfId="1" applyNumberFormat="1" applyFont="1" applyBorder="1"/>
    <xf numFmtId="0" fontId="18" fillId="3" borderId="29" xfId="0" applyFont="1" applyFill="1" applyBorder="1"/>
    <xf numFmtId="0" fontId="19" fillId="5" borderId="4" xfId="0" applyFont="1" applyFill="1" applyBorder="1"/>
    <xf numFmtId="0" fontId="12" fillId="3" borderId="30" xfId="0" applyFont="1" applyFill="1" applyBorder="1"/>
    <xf numFmtId="0" fontId="19" fillId="5" borderId="11" xfId="0" applyFont="1" applyFill="1" applyBorder="1"/>
    <xf numFmtId="0" fontId="17" fillId="0" borderId="4" xfId="1" applyNumberFormat="1" applyFont="1" applyBorder="1"/>
    <xf numFmtId="164" fontId="17" fillId="0" borderId="31" xfId="1" applyNumberFormat="1" applyFont="1" applyBorder="1" applyAlignment="1">
      <alignment wrapText="1"/>
    </xf>
    <xf numFmtId="44" fontId="17" fillId="0" borderId="32" xfId="1" applyFont="1" applyBorder="1" applyAlignment="1">
      <alignment wrapText="1"/>
    </xf>
    <xf numFmtId="164" fontId="20" fillId="0" borderId="33" xfId="1" applyNumberFormat="1" applyFont="1" applyBorder="1" applyAlignment="1">
      <alignment horizontal="center" wrapText="1"/>
    </xf>
    <xf numFmtId="44" fontId="20" fillId="0" borderId="34" xfId="1" applyFont="1" applyBorder="1" applyAlignment="1">
      <alignment horizontal="center"/>
    </xf>
    <xf numFmtId="44" fontId="17" fillId="0" borderId="4" xfId="1" applyFont="1" applyBorder="1" applyAlignment="1"/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44" fontId="0" fillId="10" borderId="4" xfId="0" applyNumberFormat="1" applyFill="1" applyBorder="1" applyAlignment="1">
      <alignment horizontal="center" vertical="center"/>
    </xf>
    <xf numFmtId="44" fontId="0" fillId="10" borderId="7" xfId="0" applyNumberFormat="1" applyFill="1" applyBorder="1" applyAlignment="1">
      <alignment horizontal="center" vertical="center"/>
    </xf>
    <xf numFmtId="44" fontId="0" fillId="10" borderId="18" xfId="0" applyNumberFormat="1" applyFill="1" applyBorder="1" applyAlignment="1">
      <alignment horizontal="center"/>
    </xf>
    <xf numFmtId="44" fontId="0" fillId="10" borderId="11" xfId="0" applyNumberFormat="1" applyFill="1" applyBorder="1" applyAlignment="1">
      <alignment horizontal="center" vertical="center"/>
    </xf>
    <xf numFmtId="44" fontId="1" fillId="10" borderId="18" xfId="0" applyNumberFormat="1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/>
    </xf>
    <xf numFmtId="0" fontId="0" fillId="0" borderId="3" xfId="0" applyBorder="1"/>
    <xf numFmtId="0" fontId="1" fillId="9" borderId="3" xfId="0" applyFont="1" applyFill="1" applyBorder="1"/>
    <xf numFmtId="0" fontId="15" fillId="0" borderId="22" xfId="0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0" fontId="15" fillId="0" borderId="25" xfId="0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3" fillId="0" borderId="16" xfId="0" applyFont="1" applyBorder="1" applyAlignment="1">
      <alignment vertical="top"/>
    </xf>
    <xf numFmtId="0" fontId="13" fillId="0" borderId="17" xfId="0" applyFont="1" applyBorder="1" applyAlignment="1">
      <alignment vertical="top"/>
    </xf>
    <xf numFmtId="0" fontId="14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2" fillId="4" borderId="22" xfId="0" applyFont="1" applyFill="1" applyBorder="1" applyAlignment="1">
      <alignment horizontal="center"/>
    </xf>
    <xf numFmtId="0" fontId="12" fillId="4" borderId="23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center"/>
    </xf>
    <xf numFmtId="0" fontId="12" fillId="4" borderId="25" xfId="0" applyFont="1" applyFill="1" applyBorder="1" applyAlignment="1">
      <alignment horizontal="center"/>
    </xf>
    <xf numFmtId="0" fontId="12" fillId="4" borderId="26" xfId="0" applyFont="1" applyFill="1" applyBorder="1" applyAlignment="1">
      <alignment horizontal="center"/>
    </xf>
    <xf numFmtId="0" fontId="12" fillId="4" borderId="22" xfId="0" applyFont="1" applyFill="1" applyBorder="1" applyAlignment="1">
      <alignment horizontal="center" wrapText="1"/>
    </xf>
    <xf numFmtId="0" fontId="12" fillId="4" borderId="23" xfId="0" applyFont="1" applyFill="1" applyBorder="1" applyAlignment="1">
      <alignment horizontal="center" wrapText="1"/>
    </xf>
    <xf numFmtId="0" fontId="12" fillId="4" borderId="20" xfId="0" applyFont="1" applyFill="1" applyBorder="1" applyAlignment="1">
      <alignment horizontal="center" wrapText="1"/>
    </xf>
    <xf numFmtId="0" fontId="12" fillId="4" borderId="24" xfId="0" applyFont="1" applyFill="1" applyBorder="1" applyAlignment="1">
      <alignment horizontal="center" wrapText="1"/>
    </xf>
    <xf numFmtId="0" fontId="12" fillId="4" borderId="25" xfId="0" applyFont="1" applyFill="1" applyBorder="1" applyAlignment="1">
      <alignment horizontal="center" wrapText="1"/>
    </xf>
    <xf numFmtId="0" fontId="12" fillId="4" borderId="26" xfId="0" applyFont="1" applyFill="1" applyBorder="1" applyAlignment="1">
      <alignment horizont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1" fillId="10" borderId="16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2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1" fillId="9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1" fillId="6" borderId="0" xfId="0" applyFont="1" applyFill="1" applyAlignment="1">
      <alignment horizontal="center" wrapText="1"/>
    </xf>
    <xf numFmtId="0" fontId="1" fillId="6" borderId="24" xfId="0" applyFont="1" applyFill="1" applyBorder="1" applyAlignment="1">
      <alignment horizontal="center" wrapText="1"/>
    </xf>
    <xf numFmtId="0" fontId="16" fillId="0" borderId="16" xfId="0" applyFont="1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5909-60F6-456B-96C5-7891748D91A0}">
  <dimension ref="A1:T75"/>
  <sheetViews>
    <sheetView tabSelected="1" zoomScale="140" zoomScaleNormal="140" workbookViewId="0">
      <selection activeCell="B64" sqref="B64:C66"/>
    </sheetView>
  </sheetViews>
  <sheetFormatPr defaultRowHeight="15" x14ac:dyDescent="0.25"/>
  <cols>
    <col min="2" max="2" width="9.85546875" customWidth="1"/>
    <col min="3" max="3" width="10" customWidth="1"/>
    <col min="4" max="4" width="36" customWidth="1"/>
    <col min="7" max="7" width="13.28515625" style="4" customWidth="1"/>
    <col min="8" max="8" width="12.7109375" style="4" bestFit="1" customWidth="1"/>
    <col min="9" max="9" width="17.5703125" style="4" bestFit="1" customWidth="1"/>
    <col min="10" max="10" width="13.85546875" bestFit="1" customWidth="1"/>
    <col min="11" max="11" width="13.5703125" bestFit="1" customWidth="1"/>
    <col min="12" max="12" width="12.7109375" bestFit="1" customWidth="1"/>
    <col min="13" max="13" width="13.7109375" bestFit="1" customWidth="1"/>
    <col min="16" max="16" width="36.85546875" customWidth="1"/>
    <col min="20" max="21" width="11.140625" bestFit="1" customWidth="1"/>
  </cols>
  <sheetData>
    <row r="1" spans="1:20" ht="54" customHeight="1" x14ac:dyDescent="0.25">
      <c r="A1" s="132" t="s">
        <v>0</v>
      </c>
      <c r="B1" s="132"/>
      <c r="C1" s="132"/>
      <c r="D1" s="132"/>
      <c r="E1" s="132"/>
      <c r="F1" s="132"/>
      <c r="G1" s="132"/>
      <c r="H1" s="132"/>
      <c r="I1" s="133"/>
    </row>
    <row r="2" spans="1:20" ht="18.75" x14ac:dyDescent="0.3">
      <c r="A2" s="130" t="s">
        <v>1</v>
      </c>
      <c r="B2" s="130"/>
      <c r="C2" s="130"/>
      <c r="D2" s="130"/>
      <c r="E2" s="130"/>
      <c r="F2" s="130"/>
      <c r="G2" s="130"/>
      <c r="H2" s="130"/>
      <c r="I2" s="131"/>
    </row>
    <row r="3" spans="1:20" ht="18.75" customHeight="1" x14ac:dyDescent="0.25">
      <c r="A3" s="124"/>
      <c r="B3" s="124"/>
      <c r="C3" s="124"/>
      <c r="D3" s="124"/>
      <c r="E3" s="124"/>
      <c r="F3" s="124"/>
      <c r="G3" s="124"/>
      <c r="H3" s="124"/>
      <c r="I3" s="125"/>
    </row>
    <row r="4" spans="1:20" ht="15.75" x14ac:dyDescent="0.25">
      <c r="A4" s="128" t="s">
        <v>2</v>
      </c>
      <c r="B4" s="128"/>
      <c r="C4" s="128"/>
      <c r="D4" s="128"/>
      <c r="E4" s="128"/>
      <c r="F4" s="128"/>
      <c r="G4" s="128"/>
      <c r="H4" s="128"/>
      <c r="I4" s="129"/>
    </row>
    <row r="5" spans="1:20" ht="30" x14ac:dyDescent="0.25">
      <c r="A5" s="77" t="s">
        <v>3</v>
      </c>
      <c r="B5" s="126" t="s">
        <v>4</v>
      </c>
      <c r="C5" s="127"/>
      <c r="D5" s="64" t="s">
        <v>5</v>
      </c>
      <c r="E5" s="64" t="s">
        <v>6</v>
      </c>
      <c r="F5" s="64" t="s">
        <v>7</v>
      </c>
      <c r="G5" s="65" t="s">
        <v>8</v>
      </c>
      <c r="H5" s="65" t="s">
        <v>9</v>
      </c>
      <c r="I5" s="66" t="s">
        <v>10</v>
      </c>
    </row>
    <row r="6" spans="1:20" x14ac:dyDescent="0.25">
      <c r="A6" s="76" t="s">
        <v>11</v>
      </c>
      <c r="B6" s="101">
        <v>15101</v>
      </c>
      <c r="C6" s="102"/>
      <c r="D6" s="17" t="s">
        <v>12</v>
      </c>
      <c r="E6" s="1" t="s">
        <v>13</v>
      </c>
      <c r="F6" s="1" t="s">
        <v>13</v>
      </c>
      <c r="G6" s="13">
        <v>1</v>
      </c>
      <c r="H6" s="49">
        <v>0</v>
      </c>
      <c r="I6" s="70">
        <f t="shared" ref="I6:I31" si="0">H6*G6</f>
        <v>0</v>
      </c>
    </row>
    <row r="7" spans="1:20" x14ac:dyDescent="0.25">
      <c r="A7" s="76" t="s">
        <v>14</v>
      </c>
      <c r="B7" s="101">
        <v>15201</v>
      </c>
      <c r="C7" s="102"/>
      <c r="D7" s="17" t="s">
        <v>15</v>
      </c>
      <c r="E7" s="1" t="s">
        <v>13</v>
      </c>
      <c r="F7" s="1" t="s">
        <v>13</v>
      </c>
      <c r="G7" s="13">
        <v>1</v>
      </c>
      <c r="H7" s="49">
        <v>0</v>
      </c>
      <c r="I7" s="70">
        <f t="shared" si="0"/>
        <v>0</v>
      </c>
    </row>
    <row r="8" spans="1:20" ht="30" x14ac:dyDescent="0.25">
      <c r="A8" s="76" t="s">
        <v>16</v>
      </c>
      <c r="B8" s="101">
        <v>15401</v>
      </c>
      <c r="C8" s="102"/>
      <c r="D8" s="17" t="s">
        <v>17</v>
      </c>
      <c r="E8" s="1" t="s">
        <v>13</v>
      </c>
      <c r="F8" s="1" t="s">
        <v>13</v>
      </c>
      <c r="G8" s="13">
        <v>1</v>
      </c>
      <c r="H8" s="49">
        <v>0</v>
      </c>
      <c r="I8" s="70">
        <f t="shared" si="0"/>
        <v>0</v>
      </c>
    </row>
    <row r="9" spans="1:20" ht="30" x14ac:dyDescent="0.25">
      <c r="A9" s="76" t="s">
        <v>18</v>
      </c>
      <c r="B9" s="101">
        <v>20101</v>
      </c>
      <c r="C9" s="102"/>
      <c r="D9" s="17" t="s">
        <v>19</v>
      </c>
      <c r="E9" s="1" t="s">
        <v>13</v>
      </c>
      <c r="F9" s="1" t="s">
        <v>13</v>
      </c>
      <c r="G9" s="13">
        <v>1</v>
      </c>
      <c r="H9" s="49">
        <v>0</v>
      </c>
      <c r="I9" s="70">
        <f t="shared" si="0"/>
        <v>0</v>
      </c>
      <c r="O9" s="5"/>
      <c r="Q9" s="6"/>
      <c r="R9" s="7"/>
      <c r="S9" s="8"/>
      <c r="T9" s="8"/>
    </row>
    <row r="10" spans="1:20" ht="30" x14ac:dyDescent="0.25">
      <c r="A10" s="76" t="s">
        <v>20</v>
      </c>
      <c r="B10" s="101">
        <v>20401</v>
      </c>
      <c r="C10" s="102"/>
      <c r="D10" s="17" t="s">
        <v>21</v>
      </c>
      <c r="E10" s="1" t="s">
        <v>13</v>
      </c>
      <c r="F10" s="1" t="s">
        <v>13</v>
      </c>
      <c r="G10" s="13">
        <v>1</v>
      </c>
      <c r="H10" s="49">
        <v>0</v>
      </c>
      <c r="I10" s="70">
        <f t="shared" si="0"/>
        <v>0</v>
      </c>
      <c r="O10" s="5"/>
      <c r="R10" s="7"/>
      <c r="S10" s="8"/>
      <c r="T10" s="8"/>
    </row>
    <row r="11" spans="1:20" ht="30" x14ac:dyDescent="0.25">
      <c r="A11" s="76" t="s">
        <v>22</v>
      </c>
      <c r="B11" s="101">
        <v>20402</v>
      </c>
      <c r="C11" s="102"/>
      <c r="D11" s="17" t="s">
        <v>23</v>
      </c>
      <c r="E11" s="1" t="s">
        <v>13</v>
      </c>
      <c r="F11" s="1" t="s">
        <v>13</v>
      </c>
      <c r="G11" s="13">
        <v>1</v>
      </c>
      <c r="H11" s="49">
        <v>0</v>
      </c>
      <c r="I11" s="70">
        <f t="shared" si="0"/>
        <v>0</v>
      </c>
      <c r="O11" s="5"/>
      <c r="R11" s="7"/>
      <c r="S11" s="8"/>
      <c r="T11" s="8"/>
    </row>
    <row r="12" spans="1:20" ht="30" x14ac:dyDescent="0.25">
      <c r="A12" s="76" t="s">
        <v>24</v>
      </c>
      <c r="B12" s="101" t="s">
        <v>25</v>
      </c>
      <c r="C12" s="102"/>
      <c r="D12" s="17" t="s">
        <v>26</v>
      </c>
      <c r="E12" s="1" t="s">
        <v>27</v>
      </c>
      <c r="F12" s="15" t="s">
        <v>28</v>
      </c>
      <c r="G12" s="13">
        <v>2833</v>
      </c>
      <c r="H12" s="49">
        <v>0</v>
      </c>
      <c r="I12" s="70">
        <f>H12*G12</f>
        <v>0</v>
      </c>
    </row>
    <row r="13" spans="1:20" ht="30" x14ac:dyDescent="0.25">
      <c r="A13" s="76" t="s">
        <v>29</v>
      </c>
      <c r="B13" s="101" t="s">
        <v>30</v>
      </c>
      <c r="C13" s="102"/>
      <c r="D13" s="17" t="s">
        <v>31</v>
      </c>
      <c r="E13" s="1" t="s">
        <v>27</v>
      </c>
      <c r="F13" s="15" t="s">
        <v>28</v>
      </c>
      <c r="G13" s="13">
        <v>1418</v>
      </c>
      <c r="H13" s="49">
        <v>0</v>
      </c>
      <c r="I13" s="70">
        <f>H13*G13</f>
        <v>0</v>
      </c>
    </row>
    <row r="14" spans="1:20" ht="30" x14ac:dyDescent="0.25">
      <c r="A14" s="76" t="s">
        <v>32</v>
      </c>
      <c r="B14" s="101" t="s">
        <v>33</v>
      </c>
      <c r="C14" s="102"/>
      <c r="D14" s="17" t="s">
        <v>34</v>
      </c>
      <c r="E14" s="1" t="s">
        <v>27</v>
      </c>
      <c r="F14" s="15" t="s">
        <v>28</v>
      </c>
      <c r="G14" s="13">
        <v>5111</v>
      </c>
      <c r="H14" s="49">
        <v>0</v>
      </c>
      <c r="I14" s="70">
        <f t="shared" ref="I14:I15" si="1">H14*G14</f>
        <v>0</v>
      </c>
    </row>
    <row r="15" spans="1:20" ht="30" x14ac:dyDescent="0.25">
      <c r="A15" s="76" t="s">
        <v>35</v>
      </c>
      <c r="B15" s="101" t="s">
        <v>36</v>
      </c>
      <c r="C15" s="102"/>
      <c r="D15" s="17" t="s">
        <v>37</v>
      </c>
      <c r="E15" s="1" t="s">
        <v>27</v>
      </c>
      <c r="F15" s="15" t="s">
        <v>28</v>
      </c>
      <c r="G15" s="13">
        <v>2556</v>
      </c>
      <c r="H15" s="49">
        <v>0</v>
      </c>
      <c r="I15" s="70">
        <f t="shared" si="1"/>
        <v>0</v>
      </c>
    </row>
    <row r="16" spans="1:20" ht="30" x14ac:dyDescent="0.25">
      <c r="A16" s="76" t="s">
        <v>38</v>
      </c>
      <c r="B16" s="101" t="s">
        <v>39</v>
      </c>
      <c r="C16" s="102"/>
      <c r="D16" s="17" t="s">
        <v>40</v>
      </c>
      <c r="E16" s="1" t="s">
        <v>27</v>
      </c>
      <c r="F16" s="15" t="s">
        <v>28</v>
      </c>
      <c r="G16" s="13">
        <v>16</v>
      </c>
      <c r="H16" s="49">
        <v>0</v>
      </c>
      <c r="I16" s="70">
        <f t="shared" ref="I16" si="2">H16*G16</f>
        <v>0</v>
      </c>
    </row>
    <row r="17" spans="1:11" ht="30" x14ac:dyDescent="0.25">
      <c r="A17" s="76" t="s">
        <v>41</v>
      </c>
      <c r="B17" s="101" t="s">
        <v>42</v>
      </c>
      <c r="C17" s="102"/>
      <c r="D17" s="17" t="s">
        <v>43</v>
      </c>
      <c r="E17" s="1" t="s">
        <v>27</v>
      </c>
      <c r="F17" s="15" t="s">
        <v>28</v>
      </c>
      <c r="G17" s="13">
        <v>11</v>
      </c>
      <c r="H17" s="49">
        <v>0</v>
      </c>
      <c r="I17" s="70">
        <f t="shared" ref="I17:I22" si="3">H17*G17</f>
        <v>0</v>
      </c>
    </row>
    <row r="18" spans="1:11" ht="30" x14ac:dyDescent="0.25">
      <c r="A18" s="76" t="s">
        <v>44</v>
      </c>
      <c r="B18" s="101" t="s">
        <v>45</v>
      </c>
      <c r="C18" s="102"/>
      <c r="D18" s="17" t="s">
        <v>46</v>
      </c>
      <c r="E18" s="1" t="s">
        <v>27</v>
      </c>
      <c r="F18" s="15" t="s">
        <v>28</v>
      </c>
      <c r="G18" s="13">
        <v>22</v>
      </c>
      <c r="H18" s="49">
        <v>0</v>
      </c>
      <c r="I18" s="70">
        <f>H18*G18</f>
        <v>0</v>
      </c>
    </row>
    <row r="19" spans="1:11" ht="30" x14ac:dyDescent="0.25">
      <c r="A19" s="76" t="s">
        <v>47</v>
      </c>
      <c r="B19" s="101" t="s">
        <v>48</v>
      </c>
      <c r="C19" s="102"/>
      <c r="D19" s="17" t="s">
        <v>49</v>
      </c>
      <c r="E19" s="1" t="s">
        <v>50</v>
      </c>
      <c r="F19" s="15" t="s">
        <v>28</v>
      </c>
      <c r="G19" s="13">
        <v>1056</v>
      </c>
      <c r="H19" s="49">
        <v>0</v>
      </c>
      <c r="I19" s="70">
        <f>H19*G19</f>
        <v>0</v>
      </c>
    </row>
    <row r="20" spans="1:11" ht="30" x14ac:dyDescent="0.25">
      <c r="A20" s="76" t="s">
        <v>51</v>
      </c>
      <c r="B20" s="101" t="s">
        <v>52</v>
      </c>
      <c r="C20" s="102"/>
      <c r="D20" s="17" t="s">
        <v>53</v>
      </c>
      <c r="E20" s="1" t="s">
        <v>50</v>
      </c>
      <c r="F20" s="15" t="s">
        <v>28</v>
      </c>
      <c r="G20" s="13">
        <v>743</v>
      </c>
      <c r="H20" s="49">
        <v>0</v>
      </c>
      <c r="I20" s="70">
        <f>H20*G20</f>
        <v>0</v>
      </c>
    </row>
    <row r="21" spans="1:11" ht="30" x14ac:dyDescent="0.25">
      <c r="A21" s="76" t="s">
        <v>54</v>
      </c>
      <c r="B21" s="101" t="s">
        <v>55</v>
      </c>
      <c r="C21" s="102"/>
      <c r="D21" s="17" t="s">
        <v>56</v>
      </c>
      <c r="E21" s="1" t="s">
        <v>50</v>
      </c>
      <c r="F21" s="15" t="s">
        <v>28</v>
      </c>
      <c r="G21" s="13">
        <v>1419</v>
      </c>
      <c r="H21" s="49">
        <v>0</v>
      </c>
      <c r="I21" s="70">
        <f t="shared" si="3"/>
        <v>0</v>
      </c>
    </row>
    <row r="22" spans="1:11" x14ac:dyDescent="0.25">
      <c r="A22" s="76" t="s">
        <v>57</v>
      </c>
      <c r="B22" s="101">
        <v>60051</v>
      </c>
      <c r="C22" s="102"/>
      <c r="D22" s="17" t="s">
        <v>58</v>
      </c>
      <c r="E22" s="1" t="s">
        <v>13</v>
      </c>
      <c r="F22" s="15" t="s">
        <v>13</v>
      </c>
      <c r="G22" s="13">
        <v>1</v>
      </c>
      <c r="H22" s="49">
        <v>0</v>
      </c>
      <c r="I22" s="70">
        <f t="shared" si="3"/>
        <v>0</v>
      </c>
    </row>
    <row r="23" spans="1:11" x14ac:dyDescent="0.25">
      <c r="A23" s="76" t="s">
        <v>59</v>
      </c>
      <c r="B23" s="101">
        <v>60052</v>
      </c>
      <c r="C23" s="102"/>
      <c r="D23" s="17" t="s">
        <v>60</v>
      </c>
      <c r="E23" s="1" t="s">
        <v>61</v>
      </c>
      <c r="F23" s="15" t="s">
        <v>61</v>
      </c>
      <c r="G23" s="13">
        <v>4</v>
      </c>
      <c r="H23" s="49">
        <v>0</v>
      </c>
      <c r="I23" s="70">
        <f t="shared" si="0"/>
        <v>0</v>
      </c>
    </row>
    <row r="24" spans="1:11" ht="30" x14ac:dyDescent="0.25">
      <c r="A24" s="76" t="s">
        <v>62</v>
      </c>
      <c r="B24" s="101">
        <v>60054</v>
      </c>
      <c r="C24" s="102"/>
      <c r="D24" s="17" t="s">
        <v>63</v>
      </c>
      <c r="E24" s="1" t="s">
        <v>61</v>
      </c>
      <c r="F24" s="15" t="s">
        <v>61</v>
      </c>
      <c r="G24" s="13">
        <v>16</v>
      </c>
      <c r="H24" s="49">
        <v>0</v>
      </c>
      <c r="I24" s="70">
        <f t="shared" ref="I24" si="4">H24*G24</f>
        <v>0</v>
      </c>
      <c r="K24" s="3"/>
    </row>
    <row r="25" spans="1:11" ht="30" x14ac:dyDescent="0.25">
      <c r="A25" s="76" t="s">
        <v>64</v>
      </c>
      <c r="B25" s="101">
        <v>60055</v>
      </c>
      <c r="C25" s="102"/>
      <c r="D25" s="17" t="s">
        <v>65</v>
      </c>
      <c r="E25" s="1" t="s">
        <v>61</v>
      </c>
      <c r="F25" s="15" t="s">
        <v>61</v>
      </c>
      <c r="G25" s="13">
        <v>26</v>
      </c>
      <c r="H25" s="49">
        <v>0</v>
      </c>
      <c r="I25" s="70">
        <f t="shared" si="0"/>
        <v>0</v>
      </c>
    </row>
    <row r="26" spans="1:11" ht="30" x14ac:dyDescent="0.25">
      <c r="A26" s="76" t="s">
        <v>66</v>
      </c>
      <c r="B26" s="101">
        <v>60053</v>
      </c>
      <c r="C26" s="102"/>
      <c r="D26" s="17" t="s">
        <v>67</v>
      </c>
      <c r="E26" s="1" t="s">
        <v>13</v>
      </c>
      <c r="F26" s="15" t="s">
        <v>68</v>
      </c>
      <c r="G26" s="13">
        <v>1</v>
      </c>
      <c r="H26" s="49">
        <v>0</v>
      </c>
      <c r="I26" s="70">
        <f>H26*G26</f>
        <v>0</v>
      </c>
      <c r="K26" s="3"/>
    </row>
    <row r="27" spans="1:11" x14ac:dyDescent="0.25">
      <c r="A27" s="76" t="s">
        <v>69</v>
      </c>
      <c r="B27" s="101">
        <v>60060</v>
      </c>
      <c r="C27" s="102"/>
      <c r="D27" s="17" t="s">
        <v>70</v>
      </c>
      <c r="E27" s="1" t="s">
        <v>61</v>
      </c>
      <c r="F27" s="15" t="s">
        <v>61</v>
      </c>
      <c r="G27" s="15">
        <v>2</v>
      </c>
      <c r="H27" s="49">
        <v>0</v>
      </c>
      <c r="I27" s="70">
        <f t="shared" ref="I27" si="5">H27*G27</f>
        <v>0</v>
      </c>
    </row>
    <row r="28" spans="1:11" x14ac:dyDescent="0.25">
      <c r="A28" s="76" t="s">
        <v>71</v>
      </c>
      <c r="B28" s="101">
        <v>60061</v>
      </c>
      <c r="C28" s="102"/>
      <c r="D28" s="17" t="s">
        <v>72</v>
      </c>
      <c r="E28" s="1" t="s">
        <v>61</v>
      </c>
      <c r="F28" s="15" t="s">
        <v>61</v>
      </c>
      <c r="G28" s="15">
        <v>27</v>
      </c>
      <c r="H28" s="49">
        <v>0</v>
      </c>
      <c r="I28" s="70">
        <f t="shared" si="0"/>
        <v>0</v>
      </c>
    </row>
    <row r="29" spans="1:11" x14ac:dyDescent="0.25">
      <c r="A29" s="76" t="s">
        <v>73</v>
      </c>
      <c r="B29" s="101">
        <v>60063</v>
      </c>
      <c r="C29" s="102"/>
      <c r="D29" s="17" t="s">
        <v>74</v>
      </c>
      <c r="E29" s="1" t="s">
        <v>61</v>
      </c>
      <c r="F29" s="15" t="s">
        <v>61</v>
      </c>
      <c r="G29" s="15">
        <v>15</v>
      </c>
      <c r="H29" s="49">
        <v>0</v>
      </c>
      <c r="I29" s="70">
        <f t="shared" ref="I29" si="6">H29*G29</f>
        <v>0</v>
      </c>
    </row>
    <row r="30" spans="1:11" x14ac:dyDescent="0.25">
      <c r="A30" s="76" t="s">
        <v>75</v>
      </c>
      <c r="B30" s="101">
        <v>60065</v>
      </c>
      <c r="C30" s="102"/>
      <c r="D30" s="17" t="s">
        <v>76</v>
      </c>
      <c r="E30" s="1" t="s">
        <v>61</v>
      </c>
      <c r="F30" s="15" t="s">
        <v>61</v>
      </c>
      <c r="G30" s="15">
        <v>2</v>
      </c>
      <c r="H30" s="49">
        <v>0</v>
      </c>
      <c r="I30" s="70">
        <f t="shared" si="0"/>
        <v>0</v>
      </c>
    </row>
    <row r="31" spans="1:11" x14ac:dyDescent="0.25">
      <c r="A31" s="76" t="s">
        <v>77</v>
      </c>
      <c r="B31" s="101">
        <v>60066</v>
      </c>
      <c r="C31" s="102"/>
      <c r="D31" s="17" t="s">
        <v>78</v>
      </c>
      <c r="E31" s="1" t="s">
        <v>61</v>
      </c>
      <c r="F31" s="15" t="s">
        <v>61</v>
      </c>
      <c r="G31" s="15">
        <v>1</v>
      </c>
      <c r="H31" s="49">
        <v>0</v>
      </c>
      <c r="I31" s="70">
        <f t="shared" si="0"/>
        <v>0</v>
      </c>
    </row>
    <row r="32" spans="1:11" x14ac:dyDescent="0.25">
      <c r="A32" s="76" t="s">
        <v>79</v>
      </c>
      <c r="B32" s="101">
        <v>60903</v>
      </c>
      <c r="C32" s="102"/>
      <c r="D32" s="17" t="s">
        <v>80</v>
      </c>
      <c r="E32" s="1" t="s">
        <v>61</v>
      </c>
      <c r="F32" s="15" t="s">
        <v>61</v>
      </c>
      <c r="G32" s="13">
        <v>18</v>
      </c>
      <c r="H32" s="49">
        <v>0</v>
      </c>
      <c r="I32" s="70">
        <f>H32*G32</f>
        <v>0</v>
      </c>
    </row>
    <row r="33" spans="1:20" ht="20.25" customHeight="1" thickBot="1" x14ac:dyDescent="0.3">
      <c r="A33" s="76" t="s">
        <v>81</v>
      </c>
      <c r="B33" s="117">
        <v>70000</v>
      </c>
      <c r="C33" s="118"/>
      <c r="D33" s="18" t="s">
        <v>82</v>
      </c>
      <c r="E33" s="19" t="s">
        <v>61</v>
      </c>
      <c r="F33" s="20" t="s">
        <v>61</v>
      </c>
      <c r="G33" s="21">
        <v>16</v>
      </c>
      <c r="H33" s="50">
        <v>0</v>
      </c>
      <c r="I33" s="71">
        <f>H33*G33</f>
        <v>0</v>
      </c>
    </row>
    <row r="34" spans="1:20" ht="15.75" thickBot="1" x14ac:dyDescent="0.3">
      <c r="A34" s="76"/>
      <c r="B34" s="23"/>
      <c r="C34" s="23"/>
      <c r="D34" s="23"/>
      <c r="E34" s="23"/>
      <c r="F34" s="114" t="s">
        <v>83</v>
      </c>
      <c r="G34" s="115"/>
      <c r="H34" s="116"/>
      <c r="I34" s="72">
        <f>SUM(I6:I33)</f>
        <v>0</v>
      </c>
    </row>
    <row r="35" spans="1:20" ht="18.75" customHeight="1" x14ac:dyDescent="0.25">
      <c r="A35" s="124"/>
      <c r="B35" s="124"/>
      <c r="C35" s="124"/>
      <c r="D35" s="124"/>
      <c r="E35" s="124"/>
      <c r="F35" s="124"/>
      <c r="G35" s="124"/>
      <c r="H35" s="124"/>
      <c r="I35" s="125"/>
      <c r="J35" s="9"/>
      <c r="K35" s="10"/>
    </row>
    <row r="36" spans="1:20" ht="16.5" thickBot="1" x14ac:dyDescent="0.3">
      <c r="A36" s="121" t="s">
        <v>84</v>
      </c>
      <c r="B36" s="122"/>
      <c r="C36" s="122"/>
      <c r="D36" s="122"/>
      <c r="E36" s="122"/>
      <c r="F36" s="122"/>
      <c r="G36" s="122"/>
      <c r="H36" s="122"/>
      <c r="I36" s="123"/>
      <c r="J36" s="9"/>
      <c r="K36" s="10"/>
    </row>
    <row r="37" spans="1:20" ht="30" x14ac:dyDescent="0.25">
      <c r="A37" s="77" t="s">
        <v>3</v>
      </c>
      <c r="B37" s="119" t="s">
        <v>4</v>
      </c>
      <c r="C37" s="120"/>
      <c r="D37" s="67" t="s">
        <v>5</v>
      </c>
      <c r="E37" s="67" t="s">
        <v>6</v>
      </c>
      <c r="F37" s="67" t="s">
        <v>7</v>
      </c>
      <c r="G37" s="68" t="s">
        <v>8</v>
      </c>
      <c r="H37" s="68" t="s">
        <v>9</v>
      </c>
      <c r="I37" s="69" t="s">
        <v>10</v>
      </c>
      <c r="J37" s="9"/>
      <c r="K37" s="10"/>
    </row>
    <row r="38" spans="1:20" x14ac:dyDescent="0.25">
      <c r="A38" s="76" t="s">
        <v>85</v>
      </c>
      <c r="B38" s="101">
        <v>20101</v>
      </c>
      <c r="C38" s="102"/>
      <c r="D38" s="2" t="s">
        <v>86</v>
      </c>
      <c r="E38" s="1" t="s">
        <v>61</v>
      </c>
      <c r="F38" s="15" t="s">
        <v>61</v>
      </c>
      <c r="G38" s="13">
        <v>90</v>
      </c>
      <c r="H38" s="49">
        <v>0</v>
      </c>
      <c r="I38" s="70">
        <f t="shared" ref="I38" si="7">H38*G38</f>
        <v>0</v>
      </c>
      <c r="O38" s="5"/>
      <c r="Q38" s="6"/>
      <c r="R38" s="7"/>
      <c r="S38" s="8"/>
      <c r="T38" s="8"/>
    </row>
    <row r="39" spans="1:20" x14ac:dyDescent="0.25">
      <c r="A39" s="76" t="s">
        <v>87</v>
      </c>
      <c r="B39" s="101">
        <v>60056</v>
      </c>
      <c r="C39" s="102"/>
      <c r="D39" s="2" t="s">
        <v>88</v>
      </c>
      <c r="E39" s="1" t="s">
        <v>13</v>
      </c>
      <c r="F39" s="15" t="s">
        <v>68</v>
      </c>
      <c r="G39" s="15">
        <v>1</v>
      </c>
      <c r="H39" s="49">
        <v>0</v>
      </c>
      <c r="I39" s="70">
        <f>H39*G39</f>
        <v>0</v>
      </c>
    </row>
    <row r="40" spans="1:20" x14ac:dyDescent="0.25">
      <c r="A40" s="76" t="s">
        <v>89</v>
      </c>
      <c r="B40" s="101">
        <v>60065</v>
      </c>
      <c r="C40" s="102"/>
      <c r="D40" s="2" t="s">
        <v>76</v>
      </c>
      <c r="E40" s="1" t="s">
        <v>61</v>
      </c>
      <c r="F40" s="15" t="s">
        <v>61</v>
      </c>
      <c r="G40" s="15">
        <v>2</v>
      </c>
      <c r="H40" s="49">
        <v>0</v>
      </c>
      <c r="I40" s="70">
        <f t="shared" ref="I40" si="8">H40*G40</f>
        <v>0</v>
      </c>
    </row>
    <row r="41" spans="1:20" x14ac:dyDescent="0.25">
      <c r="A41" s="76" t="s">
        <v>90</v>
      </c>
      <c r="B41" s="101">
        <v>60065</v>
      </c>
      <c r="C41" s="102"/>
      <c r="D41" s="2" t="s">
        <v>91</v>
      </c>
      <c r="E41" s="1" t="s">
        <v>61</v>
      </c>
      <c r="F41" s="15" t="s">
        <v>61</v>
      </c>
      <c r="G41" s="15">
        <v>3</v>
      </c>
      <c r="H41" s="49">
        <v>0</v>
      </c>
      <c r="I41" s="70">
        <f t="shared" ref="I41" si="9">H41*G41</f>
        <v>0</v>
      </c>
    </row>
    <row r="42" spans="1:20" ht="30" x14ac:dyDescent="0.25">
      <c r="A42" s="76" t="s">
        <v>92</v>
      </c>
      <c r="B42" s="101" t="s">
        <v>93</v>
      </c>
      <c r="C42" s="102"/>
      <c r="D42" s="2" t="s">
        <v>94</v>
      </c>
      <c r="E42" s="1" t="s">
        <v>27</v>
      </c>
      <c r="F42" s="15" t="s">
        <v>28</v>
      </c>
      <c r="G42" s="13">
        <v>24</v>
      </c>
      <c r="H42" s="49">
        <v>0</v>
      </c>
      <c r="I42" s="70">
        <f>H42*G42</f>
        <v>0</v>
      </c>
    </row>
    <row r="43" spans="1:20" ht="30" x14ac:dyDescent="0.25">
      <c r="A43" s="76" t="s">
        <v>95</v>
      </c>
      <c r="B43" s="101" t="s">
        <v>96</v>
      </c>
      <c r="C43" s="102"/>
      <c r="D43" s="2" t="s">
        <v>97</v>
      </c>
      <c r="E43" s="1" t="s">
        <v>27</v>
      </c>
      <c r="F43" s="15" t="s">
        <v>28</v>
      </c>
      <c r="G43" s="13">
        <v>12</v>
      </c>
      <c r="H43" s="49">
        <v>0</v>
      </c>
      <c r="I43" s="70">
        <f>H43*G43</f>
        <v>0</v>
      </c>
    </row>
    <row r="44" spans="1:20" x14ac:dyDescent="0.25">
      <c r="A44" s="76" t="s">
        <v>98</v>
      </c>
      <c r="B44" s="101">
        <v>60064</v>
      </c>
      <c r="C44" s="102"/>
      <c r="D44" s="2" t="s">
        <v>99</v>
      </c>
      <c r="E44" s="1" t="s">
        <v>13</v>
      </c>
      <c r="F44" s="15" t="s">
        <v>68</v>
      </c>
      <c r="G44" s="15">
        <v>1</v>
      </c>
      <c r="H44" s="49">
        <v>0</v>
      </c>
      <c r="I44" s="70">
        <f>H44*G44</f>
        <v>0</v>
      </c>
    </row>
    <row r="45" spans="1:20" ht="30" x14ac:dyDescent="0.25">
      <c r="A45" s="76" t="s">
        <v>100</v>
      </c>
      <c r="B45" s="101">
        <v>60059</v>
      </c>
      <c r="C45" s="102"/>
      <c r="D45" s="2" t="s">
        <v>101</v>
      </c>
      <c r="E45" s="1" t="s">
        <v>27</v>
      </c>
      <c r="F45" s="15" t="s">
        <v>28</v>
      </c>
      <c r="G45" s="15">
        <v>17.5</v>
      </c>
      <c r="H45" s="49">
        <v>0</v>
      </c>
      <c r="I45" s="70">
        <f t="shared" ref="I45" si="10">H45*G45</f>
        <v>0</v>
      </c>
    </row>
    <row r="46" spans="1:20" ht="30" x14ac:dyDescent="0.25">
      <c r="A46" s="76" t="s">
        <v>102</v>
      </c>
      <c r="B46" s="101" t="s">
        <v>103</v>
      </c>
      <c r="C46" s="102"/>
      <c r="D46" s="2" t="s">
        <v>104</v>
      </c>
      <c r="E46" s="1" t="s">
        <v>50</v>
      </c>
      <c r="F46" s="15" t="s">
        <v>28</v>
      </c>
      <c r="G46" s="13">
        <v>311</v>
      </c>
      <c r="H46" s="49">
        <v>0</v>
      </c>
      <c r="I46" s="70">
        <f>H46*G46</f>
        <v>0</v>
      </c>
    </row>
    <row r="47" spans="1:20" ht="30" x14ac:dyDescent="0.25">
      <c r="A47" s="76" t="s">
        <v>105</v>
      </c>
      <c r="B47" s="101" t="s">
        <v>106</v>
      </c>
      <c r="C47" s="102"/>
      <c r="D47" s="2" t="s">
        <v>107</v>
      </c>
      <c r="E47" s="1" t="s">
        <v>27</v>
      </c>
      <c r="F47" s="15" t="s">
        <v>28</v>
      </c>
      <c r="G47" s="15">
        <v>17.5</v>
      </c>
      <c r="H47" s="49">
        <v>0</v>
      </c>
      <c r="I47" s="70">
        <f t="shared" ref="I47" si="11">H47*G47</f>
        <v>0</v>
      </c>
    </row>
    <row r="48" spans="1:20" ht="30" x14ac:dyDescent="0.25">
      <c r="A48" s="76" t="s">
        <v>108</v>
      </c>
      <c r="B48" s="101">
        <v>60057</v>
      </c>
      <c r="C48" s="102"/>
      <c r="D48" s="2" t="s">
        <v>109</v>
      </c>
      <c r="E48" s="1" t="s">
        <v>27</v>
      </c>
      <c r="F48" s="15" t="s">
        <v>28</v>
      </c>
      <c r="G48" s="15">
        <v>45</v>
      </c>
      <c r="H48" s="49">
        <v>0</v>
      </c>
      <c r="I48" s="70">
        <f>H48*G48</f>
        <v>0</v>
      </c>
    </row>
    <row r="49" spans="1:13" ht="30" x14ac:dyDescent="0.25">
      <c r="A49" s="76" t="s">
        <v>110</v>
      </c>
      <c r="B49" s="101">
        <v>60058</v>
      </c>
      <c r="C49" s="102"/>
      <c r="D49" s="2" t="s">
        <v>111</v>
      </c>
      <c r="E49" s="1" t="s">
        <v>27</v>
      </c>
      <c r="F49" s="15" t="s">
        <v>28</v>
      </c>
      <c r="G49" s="15">
        <v>42.5</v>
      </c>
      <c r="H49" s="49">
        <v>0</v>
      </c>
      <c r="I49" s="70">
        <f t="shared" ref="I49" si="12">H49*G49</f>
        <v>0</v>
      </c>
    </row>
    <row r="50" spans="1:13" ht="30" x14ac:dyDescent="0.25">
      <c r="A50" s="76" t="s">
        <v>112</v>
      </c>
      <c r="B50" s="101">
        <v>61201</v>
      </c>
      <c r="C50" s="102"/>
      <c r="D50" s="2" t="s">
        <v>113</v>
      </c>
      <c r="E50" s="1" t="s">
        <v>13</v>
      </c>
      <c r="F50" s="15" t="s">
        <v>68</v>
      </c>
      <c r="G50" s="15">
        <v>1</v>
      </c>
      <c r="H50" s="49">
        <v>0</v>
      </c>
      <c r="I50" s="70">
        <f>H50*G50</f>
        <v>0</v>
      </c>
    </row>
    <row r="51" spans="1:13" x14ac:dyDescent="0.25">
      <c r="A51" s="76" t="s">
        <v>114</v>
      </c>
      <c r="B51" s="101">
        <v>60903</v>
      </c>
      <c r="C51" s="102"/>
      <c r="D51" s="2" t="s">
        <v>80</v>
      </c>
      <c r="E51" s="1" t="s">
        <v>61</v>
      </c>
      <c r="F51" s="15" t="s">
        <v>61</v>
      </c>
      <c r="G51" s="13">
        <v>2</v>
      </c>
      <c r="H51" s="49">
        <v>0</v>
      </c>
      <c r="I51" s="70">
        <f>H51*G51</f>
        <v>0</v>
      </c>
    </row>
    <row r="52" spans="1:13" x14ac:dyDescent="0.25">
      <c r="A52" s="76" t="s">
        <v>115</v>
      </c>
      <c r="B52" s="101">
        <v>60061</v>
      </c>
      <c r="C52" s="102"/>
      <c r="D52" s="2" t="s">
        <v>72</v>
      </c>
      <c r="E52" s="1" t="s">
        <v>61</v>
      </c>
      <c r="F52" s="15" t="s">
        <v>61</v>
      </c>
      <c r="G52" s="15">
        <v>9</v>
      </c>
      <c r="H52" s="49">
        <v>0</v>
      </c>
      <c r="I52" s="70">
        <f t="shared" ref="I52" si="13">H52*G52</f>
        <v>0</v>
      </c>
    </row>
    <row r="53" spans="1:13" x14ac:dyDescent="0.25">
      <c r="A53" s="76" t="s">
        <v>116</v>
      </c>
      <c r="B53" s="101">
        <v>60062</v>
      </c>
      <c r="C53" s="102"/>
      <c r="D53" s="2" t="s">
        <v>117</v>
      </c>
      <c r="E53" s="1" t="s">
        <v>61</v>
      </c>
      <c r="F53" s="15" t="s">
        <v>61</v>
      </c>
      <c r="G53" s="15">
        <v>7</v>
      </c>
      <c r="H53" s="49">
        <v>0</v>
      </c>
      <c r="I53" s="70">
        <f t="shared" ref="I53" si="14">H53*G53</f>
        <v>0</v>
      </c>
    </row>
    <row r="54" spans="1:13" ht="18.75" customHeight="1" thickBot="1" x14ac:dyDescent="0.3">
      <c r="A54" s="76" t="s">
        <v>118</v>
      </c>
      <c r="B54" s="103">
        <v>70001</v>
      </c>
      <c r="C54" s="104"/>
      <c r="D54" s="11" t="s">
        <v>119</v>
      </c>
      <c r="E54" s="12" t="s">
        <v>61</v>
      </c>
      <c r="F54" s="16" t="s">
        <v>61</v>
      </c>
      <c r="G54" s="14">
        <v>200</v>
      </c>
      <c r="H54" s="49">
        <v>0</v>
      </c>
      <c r="I54" s="73">
        <f>H54*G54</f>
        <v>0</v>
      </c>
    </row>
    <row r="55" spans="1:13" ht="15.75" thickBot="1" x14ac:dyDescent="0.3">
      <c r="B55" s="24"/>
      <c r="C55" s="23"/>
      <c r="D55" s="23"/>
      <c r="E55" s="23"/>
      <c r="F55" s="114" t="s">
        <v>120</v>
      </c>
      <c r="G55" s="115"/>
      <c r="H55" s="116"/>
      <c r="I55" s="72">
        <f>SUM(I38:I54)</f>
        <v>0</v>
      </c>
    </row>
    <row r="56" spans="1:13" ht="15.75" thickBot="1" x14ac:dyDescent="0.3">
      <c r="B56" s="22"/>
      <c r="C56" s="25"/>
      <c r="D56" s="25"/>
      <c r="E56" s="25"/>
      <c r="F56" s="105" t="s">
        <v>121</v>
      </c>
      <c r="G56" s="106"/>
      <c r="H56" s="107"/>
      <c r="I56" s="74">
        <f>SUM(I34+I55)</f>
        <v>0</v>
      </c>
    </row>
    <row r="57" spans="1:13" x14ac:dyDescent="0.25">
      <c r="B57" s="30"/>
      <c r="C57" s="31"/>
      <c r="D57" s="32"/>
      <c r="E57" s="6"/>
      <c r="F57" s="6"/>
      <c r="G57" s="7"/>
      <c r="H57" s="8"/>
      <c r="I57" s="33"/>
      <c r="M57" s="3" t="s">
        <v>122</v>
      </c>
    </row>
    <row r="58" spans="1:13" ht="15.75" customHeight="1" thickBot="1" x14ac:dyDescent="0.3">
      <c r="B58" s="34"/>
      <c r="C58" s="35"/>
      <c r="D58" s="36"/>
      <c r="E58" s="37"/>
      <c r="F58" s="36"/>
      <c r="G58" s="38"/>
      <c r="H58" s="39"/>
      <c r="I58" s="40"/>
    </row>
    <row r="59" spans="1:13" ht="37.5" thickBot="1" x14ac:dyDescent="0.3">
      <c r="B59" s="41"/>
      <c r="C59" s="84" t="s">
        <v>123</v>
      </c>
      <c r="D59" s="85"/>
      <c r="E59" s="26"/>
      <c r="F59" s="36"/>
      <c r="G59" s="61" t="s">
        <v>124</v>
      </c>
      <c r="H59" s="62" t="s">
        <v>125</v>
      </c>
      <c r="I59" s="40"/>
    </row>
    <row r="60" spans="1:13" ht="25.5" thickBot="1" x14ac:dyDescent="0.3">
      <c r="B60" s="75"/>
      <c r="C60" s="84" t="s">
        <v>126</v>
      </c>
      <c r="D60" s="85"/>
      <c r="E60" s="26"/>
      <c r="F60" s="36"/>
      <c r="G60" s="59" t="s">
        <v>127</v>
      </c>
      <c r="H60" s="60" t="s">
        <v>128</v>
      </c>
      <c r="I60" s="40"/>
    </row>
    <row r="61" spans="1:13" ht="61.5" customHeight="1" thickBot="1" x14ac:dyDescent="0.3">
      <c r="B61" s="34"/>
      <c r="C61" s="86" t="s">
        <v>129</v>
      </c>
      <c r="D61" s="87"/>
      <c r="E61" s="88"/>
      <c r="F61" s="36"/>
      <c r="G61" s="51" t="s">
        <v>130</v>
      </c>
      <c r="H61" s="52" t="s">
        <v>131</v>
      </c>
      <c r="I61" s="40"/>
    </row>
    <row r="62" spans="1:13" ht="51.75" customHeight="1" thickBot="1" x14ac:dyDescent="0.3">
      <c r="B62" s="34"/>
      <c r="C62" s="134" t="s">
        <v>132</v>
      </c>
      <c r="D62" s="135"/>
      <c r="E62" s="136"/>
      <c r="F62" s="36"/>
      <c r="G62" s="51" t="s">
        <v>133</v>
      </c>
      <c r="H62" s="58" t="s">
        <v>134</v>
      </c>
      <c r="I62" s="40"/>
    </row>
    <row r="63" spans="1:13" ht="15.75" thickBot="1" x14ac:dyDescent="0.3">
      <c r="B63" s="34"/>
      <c r="C63" s="36"/>
      <c r="D63" s="36"/>
      <c r="E63" s="37"/>
      <c r="F63" s="36"/>
      <c r="G63" s="53" t="s">
        <v>131</v>
      </c>
      <c r="H63" s="63" t="s">
        <v>135</v>
      </c>
      <c r="I63" s="40"/>
    </row>
    <row r="64" spans="1:13" x14ac:dyDescent="0.25">
      <c r="B64" s="108" t="s">
        <v>136</v>
      </c>
      <c r="C64" s="109"/>
      <c r="D64" s="89"/>
      <c r="E64" s="90"/>
      <c r="F64" s="27"/>
      <c r="G64" s="54"/>
      <c r="H64" s="55" t="s">
        <v>137</v>
      </c>
      <c r="I64" s="42"/>
    </row>
    <row r="65" spans="2:9" ht="15.75" thickBot="1" x14ac:dyDescent="0.3">
      <c r="B65" s="110"/>
      <c r="C65" s="111"/>
      <c r="D65" s="91"/>
      <c r="E65" s="92"/>
      <c r="F65" s="27"/>
      <c r="G65" s="56"/>
      <c r="H65" s="57" t="s">
        <v>138</v>
      </c>
      <c r="I65" s="42"/>
    </row>
    <row r="66" spans="2:9" ht="15.75" thickBot="1" x14ac:dyDescent="0.3">
      <c r="B66" s="112"/>
      <c r="C66" s="113"/>
      <c r="D66" s="93"/>
      <c r="E66" s="94"/>
      <c r="F66" s="27"/>
      <c r="G66" s="27"/>
      <c r="H66" s="28"/>
      <c r="I66" s="42"/>
    </row>
    <row r="67" spans="2:9" x14ac:dyDescent="0.25">
      <c r="B67" s="108" t="s">
        <v>139</v>
      </c>
      <c r="C67" s="109"/>
      <c r="D67" s="89"/>
      <c r="E67" s="90"/>
      <c r="F67" s="27"/>
      <c r="G67" s="27"/>
      <c r="H67" s="28"/>
      <c r="I67" s="42"/>
    </row>
    <row r="68" spans="2:9" x14ac:dyDescent="0.25">
      <c r="B68" s="110"/>
      <c r="C68" s="111"/>
      <c r="D68" s="91"/>
      <c r="E68" s="92"/>
      <c r="F68" s="27"/>
      <c r="G68" s="27"/>
      <c r="H68" s="28"/>
      <c r="I68" s="42"/>
    </row>
    <row r="69" spans="2:9" ht="15.75" thickBot="1" x14ac:dyDescent="0.3">
      <c r="B69" s="112"/>
      <c r="C69" s="113"/>
      <c r="D69" s="93"/>
      <c r="E69" s="94"/>
      <c r="F69" s="27"/>
      <c r="G69" s="27"/>
      <c r="H69" s="28"/>
      <c r="I69" s="42"/>
    </row>
    <row r="70" spans="2:9" ht="15" customHeight="1" x14ac:dyDescent="0.25">
      <c r="B70" s="78" t="s">
        <v>140</v>
      </c>
      <c r="C70" s="79"/>
      <c r="D70" s="95"/>
      <c r="E70" s="96"/>
      <c r="F70" s="27"/>
      <c r="G70" s="27"/>
      <c r="H70" s="27"/>
      <c r="I70" s="43"/>
    </row>
    <row r="71" spans="2:9" x14ac:dyDescent="0.25">
      <c r="B71" s="80"/>
      <c r="C71" s="81"/>
      <c r="D71" s="97"/>
      <c r="E71" s="98"/>
      <c r="F71" s="27"/>
      <c r="G71" s="27"/>
      <c r="H71" s="27"/>
      <c r="I71" s="43"/>
    </row>
    <row r="72" spans="2:9" ht="15.75" thickBot="1" x14ac:dyDescent="0.3">
      <c r="B72" s="82"/>
      <c r="C72" s="83"/>
      <c r="D72" s="99"/>
      <c r="E72" s="100"/>
      <c r="F72" s="27"/>
      <c r="G72" s="27"/>
      <c r="H72" s="27"/>
      <c r="I72" s="43"/>
    </row>
    <row r="73" spans="2:9" ht="15.75" thickBot="1" x14ac:dyDescent="0.3">
      <c r="B73" s="44"/>
      <c r="C73" s="45"/>
      <c r="D73" s="45"/>
      <c r="E73" s="45"/>
      <c r="F73" s="46"/>
      <c r="G73" s="46"/>
      <c r="H73" s="47"/>
      <c r="I73" s="48"/>
    </row>
    <row r="74" spans="2:9" x14ac:dyDescent="0.25">
      <c r="B74" s="29"/>
      <c r="C74" s="29"/>
      <c r="D74" s="29"/>
      <c r="E74" s="29"/>
      <c r="F74" s="27"/>
      <c r="G74" s="27"/>
      <c r="H74" s="28"/>
      <c r="I74" s="28"/>
    </row>
    <row r="75" spans="2:9" x14ac:dyDescent="0.25">
      <c r="B75" s="29"/>
      <c r="C75" s="29"/>
      <c r="D75" s="29"/>
      <c r="E75" s="29"/>
      <c r="F75" s="27"/>
      <c r="G75" s="27"/>
      <c r="H75" s="28"/>
      <c r="I75" s="28"/>
    </row>
  </sheetData>
  <sheetProtection algorithmName="SHA-512" hashValue="k0910pLToCKaiNyUKYzwNUUMRhqu1dsNqSnSyf+j2DsASBJCRMXF5iBgdSzTSERD4KEXiAE/RfJbtzxpqTi7NQ==" saltValue="sJgwlMo1DD2G09CLwGpSiw==" spinCount="100000" sheet="1" objects="1" scenarios="1"/>
  <protectedRanges>
    <protectedRange sqref="H6:H33" name="Range1"/>
    <protectedRange sqref="H38:H54" name="Range2"/>
    <protectedRange sqref="D64:E72" name="Range3"/>
  </protectedRanges>
  <mergeCells count="66">
    <mergeCell ref="B12:C12"/>
    <mergeCell ref="B13:C13"/>
    <mergeCell ref="C62:E62"/>
    <mergeCell ref="B7:C7"/>
    <mergeCell ref="B8:C8"/>
    <mergeCell ref="B9:C9"/>
    <mergeCell ref="B10:C10"/>
    <mergeCell ref="B11:C11"/>
    <mergeCell ref="B14:C14"/>
    <mergeCell ref="B15:C15"/>
    <mergeCell ref="B16:C16"/>
    <mergeCell ref="B17:C17"/>
    <mergeCell ref="B18:C18"/>
    <mergeCell ref="B19:C19"/>
    <mergeCell ref="B20:C20"/>
    <mergeCell ref="B21:C21"/>
    <mergeCell ref="B5:C5"/>
    <mergeCell ref="B6:C6"/>
    <mergeCell ref="A4:I4"/>
    <mergeCell ref="A2:I2"/>
    <mergeCell ref="A1:I1"/>
    <mergeCell ref="A3:I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F34:H34"/>
    <mergeCell ref="B37:C37"/>
    <mergeCell ref="A36:I36"/>
    <mergeCell ref="A35:I35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53:C53"/>
    <mergeCell ref="B54:C54"/>
    <mergeCell ref="F56:H56"/>
    <mergeCell ref="B64:C66"/>
    <mergeCell ref="B67:C69"/>
    <mergeCell ref="F55:H55"/>
    <mergeCell ref="B70:C72"/>
    <mergeCell ref="C59:D59"/>
    <mergeCell ref="C60:D60"/>
    <mergeCell ref="C61:E61"/>
    <mergeCell ref="D64:E66"/>
    <mergeCell ref="D67:E69"/>
    <mergeCell ref="D70:E72"/>
  </mergeCells>
  <pageMargins left="0.7" right="0.7" top="0.75" bottom="0.75" header="0.3" footer="0.3"/>
  <pageSetup scale="69" orientation="portrait" r:id="rId1"/>
  <rowBreaks count="1" manualBreakCount="1">
    <brk id="34" min="1" max="8" man="1"/>
  </rowBreaks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SOI Black Jack CG Reno</vt:lpstr>
      <vt:lpstr>'SOI Black Jack CG Reno'!Print_Area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Miller, Chris- FS</dc:creator>
  <cp:keywords/>
  <dc:description/>
  <cp:lastModifiedBy>Martin, Judith (CTR) - FS, DC</cp:lastModifiedBy>
  <cp:revision/>
  <dcterms:created xsi:type="dcterms:W3CDTF">2023-05-10T19:01:10Z</dcterms:created>
  <dcterms:modified xsi:type="dcterms:W3CDTF">2026-04-15T14:34:31Z</dcterms:modified>
  <cp:category/>
  <cp:contentStatus/>
</cp:coreProperties>
</file>