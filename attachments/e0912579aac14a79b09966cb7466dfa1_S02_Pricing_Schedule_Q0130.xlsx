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sarah_fry2_va_gov/Documents/Sarah/FY26/15. 14 LINE ITEM PHARM SHAWNEE/"/>
    </mc:Choice>
  </mc:AlternateContent>
  <xr:revisionPtr revIDLastSave="3" documentId="8_{869C35C7-D7E7-419E-AE5C-3E4CB6954609}" xr6:coauthVersionLast="47" xr6:coauthVersionMax="47" xr10:uidLastSave="{5C3BB8EA-F433-47B3-B4BC-51670AC1E5B9}"/>
  <bookViews>
    <workbookView xWindow="28680" yWindow="-120" windowWidth="29040" windowHeight="15720" xr2:uid="{00000000-000D-0000-FFFF-FFFF00000000}"/>
  </bookViews>
  <sheets>
    <sheet name="Quote Sprea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5" i="1" l="1"/>
  <c r="L24" i="1"/>
  <c r="L23" i="1"/>
  <c r="L22" i="1"/>
  <c r="L26" i="1" l="1"/>
  <c r="L21" i="1"/>
  <c r="L18" i="1"/>
  <c r="L17" i="1"/>
  <c r="L16" i="1"/>
  <c r="L15" i="1"/>
  <c r="L20" i="1"/>
  <c r="L19" i="1"/>
  <c r="L13" i="1"/>
  <c r="L14" i="1"/>
  <c r="L27" i="1" l="1"/>
</calcChain>
</file>

<file path=xl/sharedStrings.xml><?xml version="1.0" encoding="utf-8"?>
<sst xmlns="http://schemas.openxmlformats.org/spreadsheetml/2006/main" count="126" uniqueCount="95">
  <si>
    <t>Vendor Name:</t>
  </si>
  <si>
    <t>Line Item</t>
  </si>
  <si>
    <t>Description</t>
  </si>
  <si>
    <t>Unit Price</t>
  </si>
  <si>
    <t>Total Price</t>
  </si>
  <si>
    <t>POC E-Mail:</t>
  </si>
  <si>
    <t xml:space="preserve"> NDC#</t>
  </si>
  <si>
    <t>POC Name:</t>
  </si>
  <si>
    <t>Posted Date:</t>
  </si>
  <si>
    <t>Closing Date:</t>
  </si>
  <si>
    <t>Vendor Comments</t>
  </si>
  <si>
    <t xml:space="preserve"> Alternate NDCs </t>
  </si>
  <si>
    <t>Phone:</t>
  </si>
  <si>
    <t>Mfr</t>
  </si>
  <si>
    <t>Unit</t>
  </si>
  <si>
    <t>Closing Time:</t>
  </si>
  <si>
    <t>QTY</t>
  </si>
  <si>
    <t>CMOP Facility</t>
  </si>
  <si>
    <t>QTY shall be adjusted for that count and this should be noted in "Vendor Comments"</t>
  </si>
  <si>
    <t>Grand Total Price</t>
  </si>
  <si>
    <t>Required documents:</t>
  </si>
  <si>
    <t xml:space="preserve">2.  Quote - excel spreadsheet </t>
  </si>
  <si>
    <t>Solicitation - Quote Spreadsheet</t>
  </si>
  <si>
    <t>Vendor shall complete all areas in orange</t>
  </si>
  <si>
    <t>*  Vendors shall submit no more than (1) one quote per vendor</t>
  </si>
  <si>
    <t>shall be no less than  one (1) year of date of delivery.  Please provide expiration in "Vendor Comments" if short-dated</t>
  </si>
  <si>
    <t xml:space="preserve">*  If vendor is proposing NDC with count other than CMOP listed NDC, </t>
  </si>
  <si>
    <t>Packaging Multiple</t>
  </si>
  <si>
    <t>0001</t>
  </si>
  <si>
    <t>0002</t>
  </si>
  <si>
    <t>BT</t>
  </si>
  <si>
    <t>0003</t>
  </si>
  <si>
    <t xml:space="preserve"> ueiSAM:</t>
  </si>
  <si>
    <t>*  Per the Statement of Requirements, expiration dates of all pharmaceuticals and/or medical surgical supplies</t>
  </si>
  <si>
    <t>1.  SF1449 - Solicitation cover page (signed)</t>
  </si>
  <si>
    <t>0004</t>
  </si>
  <si>
    <t>0005</t>
  </si>
  <si>
    <t>0007</t>
  </si>
  <si>
    <t>0008</t>
  </si>
  <si>
    <t>0009</t>
  </si>
  <si>
    <t>3.  State Wholesale Distributor License, valid and unexpired</t>
  </si>
  <si>
    <t>4.  Buy American Act (BAA) Certificate</t>
  </si>
  <si>
    <t>Customer is requesting full case quantities for products below; please adjust quantity to change total for a full case and make note within vendor comments.</t>
  </si>
  <si>
    <t>Place of Manufacture</t>
  </si>
  <si>
    <t>0010</t>
  </si>
  <si>
    <t>30</t>
  </si>
  <si>
    <t>90</t>
  </si>
  <si>
    <t>1000</t>
  </si>
  <si>
    <t>100</t>
  </si>
  <si>
    <t>Email quotes to: sarah.fry2@va.gov</t>
  </si>
  <si>
    <t>0006</t>
  </si>
  <si>
    <t>4:00PM Central Time (CST)</t>
  </si>
  <si>
    <t>RFQ:  36C77026Q0130</t>
  </si>
  <si>
    <t>CMOP - Shawnee CMOP</t>
  </si>
  <si>
    <t>Delivery on or before:  SITE WOULD LIKE PARTIAL QUANTITIES DELIVERED
 EACH MONTH FOR 4 MONTHS First delivery 10 Days ARO</t>
  </si>
  <si>
    <t>0011</t>
  </si>
  <si>
    <t>0012</t>
  </si>
  <si>
    <t>0013</t>
  </si>
  <si>
    <t>0014</t>
  </si>
  <si>
    <t>Shawnee</t>
  </si>
  <si>
    <t>AMLODIPINE 10MG/OLMESARTAN 40MG TAB 90CT, A1421</t>
  </si>
  <si>
    <t>APAP 325MG/BUTALBITAL 50MG/CAFN 40MG TAB (A1612) 500CT</t>
  </si>
  <si>
    <t>BICALUTAMIDE 50MG TAB  100CT (B0282)</t>
  </si>
  <si>
    <t>BIMATOPROST 0.03% OPH SOLN 2.5ML (B0471)</t>
  </si>
  <si>
    <t>CAPECITABINE 150MG TAB 60CT (C0795)</t>
  </si>
  <si>
    <t>CANDESARTAN CILEXETIL 4MG TAB 90CT (C0860)</t>
  </si>
  <si>
    <t>CINACALCET HCL 30MG TAB 30CT (C1148)</t>
  </si>
  <si>
    <t>DARIFENACIN 15MG SA TAB 30CT, D0656</t>
  </si>
  <si>
    <t>DOXYCYCLINE MONOHYDRATE 100MG CAP (D0911)</t>
  </si>
  <si>
    <t>DICLOFENAC NA 2% TOP SOLN 112GM (D1004)</t>
  </si>
  <si>
    <t>DARUNAVIR 800MG TAB 30CT, D1352</t>
  </si>
  <si>
    <t>ENTACAPONE 200MG TAB 100CT (E0294)</t>
  </si>
  <si>
    <t>ESOMEPRAZOLE MAGNESIUM 40MG EC CAP 1000CT (E0444)</t>
  </si>
  <si>
    <t>62332-0215-90</t>
  </si>
  <si>
    <t>10702-0253-50</t>
  </si>
  <si>
    <t>47335-0485-88</t>
  </si>
  <si>
    <t>42571-0128-35</t>
  </si>
  <si>
    <t>31722-0774-60</t>
  </si>
  <si>
    <t>62332-0341-90</t>
  </si>
  <si>
    <t>64380-0883-04</t>
  </si>
  <si>
    <t>13668-0203-30</t>
  </si>
  <si>
    <t>64380-0180-02</t>
  </si>
  <si>
    <t>68180-0537-01</t>
  </si>
  <si>
    <t>72205-0184-60</t>
  </si>
  <si>
    <t>72205-0185-30</t>
  </si>
  <si>
    <t>27241-0049-10</t>
  </si>
  <si>
    <t>70377-0056-13</t>
  </si>
  <si>
    <t xml:space="preserve">DARUNAVIR 600MG TAB 60CT, D1351
Need bottle tall enough for pharmacy label approx. 3+ inches tall. </t>
  </si>
  <si>
    <t>500</t>
  </si>
  <si>
    <t>1</t>
  </si>
  <si>
    <t>60</t>
  </si>
  <si>
    <t>250</t>
  </si>
  <si>
    <t>112</t>
  </si>
  <si>
    <t xml:space="preserve">Total  Small Business Set-aside </t>
  </si>
  <si>
    <t xml:space="preserve">Buy American Act Applies (BAA)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</si>
</sst>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</font>
    <font>
      <sz val="14"/>
      <color indexed="8"/>
      <name val="Calibri"/>
      <family val="2"/>
    </font>
    <font>
      <b/>
      <i/>
      <sz val="11"/>
      <color rgb="FFFF0000"/>
      <name val="Calibri"/>
      <family val="2"/>
      <scheme val="minor"/>
    </font>
    <font>
      <sz val="14"/>
      <color rgb="FFFF0000"/>
      <name val="Calibri"/>
      <family val="2"/>
    </font>
    <font>
      <sz val="14"/>
      <name val="Calibri"/>
      <family val="2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0" fontId="1" fillId="0" borderId="0"/>
  </cellStyleXfs>
  <cellXfs count="89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44" fontId="10" fillId="0" borderId="0" xfId="1" applyFont="1" applyFill="1" applyBorder="1" applyAlignment="1" applyProtection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center" vertical="center" wrapText="1"/>
    </xf>
    <xf numFmtId="49" fontId="17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44" fontId="13" fillId="4" borderId="1" xfId="1" applyFont="1" applyFill="1" applyBorder="1" applyAlignment="1" applyProtection="1">
      <alignment horizontal="center" vertical="center" wrapText="1"/>
    </xf>
    <xf numFmtId="0" fontId="14" fillId="4" borderId="14" xfId="0" applyFont="1" applyFill="1" applyBorder="1" applyAlignment="1" applyProtection="1">
      <alignment horizontal="center" vertical="center"/>
      <protection locked="0"/>
    </xf>
    <xf numFmtId="164" fontId="5" fillId="2" borderId="17" xfId="0" applyNumberFormat="1" applyFont="1" applyFill="1" applyBorder="1" applyAlignment="1">
      <alignment horizontal="center" vertical="center"/>
    </xf>
    <xf numFmtId="0" fontId="8" fillId="0" borderId="13" xfId="0" applyFont="1" applyBorder="1" applyAlignment="1" applyProtection="1">
      <alignment horizontal="center"/>
      <protection locked="0"/>
    </xf>
    <xf numFmtId="49" fontId="8" fillId="0" borderId="13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49" fontId="19" fillId="0" borderId="1" xfId="0" applyNumberFormat="1" applyFont="1" applyBorder="1" applyAlignment="1" applyProtection="1">
      <alignment horizontal="center" vertical="center" wrapText="1"/>
      <protection locked="0"/>
    </xf>
    <xf numFmtId="49" fontId="20" fillId="2" borderId="0" xfId="0" applyNumberFormat="1" applyFont="1" applyFill="1" applyAlignment="1">
      <alignment horizontal="center"/>
    </xf>
    <xf numFmtId="49" fontId="17" fillId="0" borderId="0" xfId="0" applyNumberFormat="1" applyFont="1" applyAlignment="1" applyProtection="1">
      <alignment horizontal="center" vertical="center" wrapText="1"/>
      <protection locked="0"/>
    </xf>
    <xf numFmtId="49" fontId="20" fillId="2" borderId="25" xfId="0" applyNumberFormat="1" applyFont="1" applyFill="1" applyBorder="1" applyAlignment="1">
      <alignment horizontal="center" vertical="center"/>
    </xf>
    <xf numFmtId="49" fontId="20" fillId="2" borderId="26" xfId="0" applyNumberFormat="1" applyFont="1" applyFill="1" applyBorder="1" applyAlignment="1">
      <alignment horizontal="center" vertical="center"/>
    </xf>
    <xf numFmtId="49" fontId="20" fillId="2" borderId="13" xfId="0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/>
    </xf>
    <xf numFmtId="49" fontId="20" fillId="2" borderId="27" xfId="0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17" fillId="0" borderId="4" xfId="0" applyNumberFormat="1" applyFont="1" applyBorder="1" applyAlignment="1" applyProtection="1">
      <alignment horizontal="center" vertical="center" wrapText="1"/>
      <protection locked="0"/>
    </xf>
    <xf numFmtId="49" fontId="20" fillId="2" borderId="30" xfId="0" applyNumberFormat="1" applyFont="1" applyFill="1" applyBorder="1" applyAlignment="1">
      <alignment horizontal="center" vertical="center"/>
    </xf>
    <xf numFmtId="49" fontId="17" fillId="0" borderId="26" xfId="0" applyNumberFormat="1" applyFont="1" applyBorder="1" applyAlignment="1" applyProtection="1">
      <alignment horizontal="center" vertical="center" wrapText="1"/>
      <protection locked="0"/>
    </xf>
    <xf numFmtId="49" fontId="17" fillId="4" borderId="26" xfId="0" applyNumberFormat="1" applyFont="1" applyFill="1" applyBorder="1" applyAlignment="1" applyProtection="1">
      <alignment horizontal="center" vertical="center" wrapText="1"/>
      <protection locked="0"/>
    </xf>
    <xf numFmtId="49" fontId="17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6" xfId="0" applyFont="1" applyBorder="1" applyAlignment="1">
      <alignment horizontal="center" vertical="center" wrapText="1"/>
    </xf>
    <xf numFmtId="44" fontId="13" fillId="4" borderId="26" xfId="1" applyFont="1" applyFill="1" applyBorder="1" applyAlignment="1" applyProtection="1">
      <alignment horizontal="center" vertical="center" wrapText="1"/>
    </xf>
    <xf numFmtId="164" fontId="13" fillId="2" borderId="26" xfId="0" applyNumberFormat="1" applyFont="1" applyFill="1" applyBorder="1" applyAlignment="1">
      <alignment horizontal="center" vertical="center" wrapText="1"/>
    </xf>
    <xf numFmtId="0" fontId="14" fillId="4" borderId="35" xfId="0" applyFont="1" applyFill="1" applyBorder="1" applyAlignment="1" applyProtection="1">
      <alignment horizontal="center" vertical="center"/>
      <protection locked="0"/>
    </xf>
    <xf numFmtId="49" fontId="9" fillId="3" borderId="36" xfId="0" applyNumberFormat="1" applyFont="1" applyFill="1" applyBorder="1" applyAlignment="1" applyProtection="1">
      <alignment horizontal="center" wrapText="1"/>
      <protection locked="0"/>
    </xf>
    <xf numFmtId="49" fontId="9" fillId="3" borderId="36" xfId="0" applyNumberFormat="1" applyFont="1" applyFill="1" applyBorder="1" applyAlignment="1" applyProtection="1">
      <alignment horizontal="center"/>
      <protection locked="0"/>
    </xf>
    <xf numFmtId="164" fontId="9" fillId="3" borderId="36" xfId="0" applyNumberFormat="1" applyFont="1" applyFill="1" applyBorder="1" applyAlignment="1" applyProtection="1">
      <alignment horizontal="center" wrapText="1"/>
      <protection locked="0"/>
    </xf>
    <xf numFmtId="0" fontId="7" fillId="3" borderId="32" xfId="0" applyFont="1" applyFill="1" applyBorder="1" applyProtection="1">
      <protection locked="0"/>
    </xf>
    <xf numFmtId="49" fontId="9" fillId="3" borderId="31" xfId="0" applyNumberFormat="1" applyFont="1" applyFill="1" applyBorder="1" applyAlignment="1" applyProtection="1">
      <alignment horizontal="center" wrapText="1"/>
      <protection locked="0"/>
    </xf>
    <xf numFmtId="0" fontId="7" fillId="0" borderId="2" xfId="0" applyFont="1" applyBorder="1" applyAlignment="1" applyProtection="1">
      <alignment horizontal="left"/>
      <protection locked="0"/>
    </xf>
    <xf numFmtId="0" fontId="7" fillId="0" borderId="24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8" fillId="4" borderId="15" xfId="0" applyFont="1" applyFill="1" applyBorder="1" applyAlignment="1" applyProtection="1">
      <alignment horizontal="center"/>
      <protection locked="0"/>
    </xf>
    <xf numFmtId="0" fontId="8" fillId="4" borderId="3" xfId="0" applyFont="1" applyFill="1" applyBorder="1" applyAlignment="1" applyProtection="1">
      <alignment horizontal="center"/>
      <protection locked="0"/>
    </xf>
    <xf numFmtId="0" fontId="8" fillId="4" borderId="4" xfId="0" applyFont="1" applyFill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6" fillId="0" borderId="13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20" xfId="0" applyFont="1" applyBorder="1" applyAlignment="1" applyProtection="1">
      <alignment horizontal="center"/>
      <protection locked="0"/>
    </xf>
    <xf numFmtId="49" fontId="4" fillId="0" borderId="1" xfId="0" applyNumberFormat="1" applyFont="1" applyBorder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14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14" xfId="0" applyFont="1" applyBorder="1" applyAlignment="1" applyProtection="1">
      <alignment horizontal="left"/>
      <protection locked="0"/>
    </xf>
    <xf numFmtId="0" fontId="5" fillId="0" borderId="13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 applyProtection="1">
      <alignment horizontal="center"/>
      <protection locked="0"/>
    </xf>
    <xf numFmtId="0" fontId="4" fillId="4" borderId="2" xfId="0" applyFont="1" applyFill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18" xfId="0" applyFont="1" applyBorder="1" applyAlignment="1" applyProtection="1">
      <alignment horizontal="left"/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22" fillId="0" borderId="33" xfId="0" applyFont="1" applyBorder="1" applyAlignment="1" applyProtection="1">
      <alignment horizontal="center" vertical="center"/>
      <protection locked="0"/>
    </xf>
    <xf numFmtId="0" fontId="22" fillId="0" borderId="34" xfId="0" applyFont="1" applyBorder="1" applyAlignment="1" applyProtection="1">
      <alignment horizontal="center" vertical="center"/>
      <protection locked="0"/>
    </xf>
    <xf numFmtId="0" fontId="18" fillId="5" borderId="22" xfId="0" applyFont="1" applyFill="1" applyBorder="1" applyAlignment="1" applyProtection="1">
      <alignment horizontal="center" wrapText="1"/>
      <protection locked="0"/>
    </xf>
    <xf numFmtId="0" fontId="18" fillId="5" borderId="18" xfId="0" applyFont="1" applyFill="1" applyBorder="1" applyAlignment="1" applyProtection="1">
      <alignment horizontal="center" wrapText="1"/>
      <protection locked="0"/>
    </xf>
    <xf numFmtId="0" fontId="8" fillId="0" borderId="19" xfId="0" applyFont="1" applyBorder="1" applyAlignment="1" applyProtection="1">
      <alignment horizontal="center"/>
      <protection locked="0"/>
    </xf>
    <xf numFmtId="0" fontId="8" fillId="0" borderId="21" xfId="0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</cellXfs>
  <cellStyles count="4">
    <cellStyle name="Currency" xfId="1" builtinId="4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"/>
  <sheetViews>
    <sheetView tabSelected="1" topLeftCell="A19" zoomScale="80" zoomScaleNormal="80" workbookViewId="0">
      <selection activeCell="C22" sqref="C22"/>
    </sheetView>
  </sheetViews>
  <sheetFormatPr defaultColWidth="9.08984375" defaultRowHeight="15.5" x14ac:dyDescent="0.35"/>
  <cols>
    <col min="1" max="1" width="15.54296875" style="2" customWidth="1"/>
    <col min="2" max="2" width="17.453125" style="3" customWidth="1"/>
    <col min="3" max="3" width="70.26953125" style="4" customWidth="1"/>
    <col min="4" max="4" width="21.453125" style="2" customWidth="1"/>
    <col min="5" max="5" width="20.6328125" style="2" customWidth="1"/>
    <col min="6" max="6" width="26.6328125" style="2" customWidth="1"/>
    <col min="7" max="7" width="17.453125" style="2" customWidth="1"/>
    <col min="8" max="8" width="12.453125" style="2" customWidth="1"/>
    <col min="9" max="9" width="10.08984375" style="2" customWidth="1"/>
    <col min="10" max="10" width="8.54296875" style="2" customWidth="1"/>
    <col min="11" max="11" width="15.90625" style="2" customWidth="1"/>
    <col min="12" max="12" width="27.08984375" style="2" customWidth="1"/>
    <col min="13" max="13" width="36.90625" style="1" customWidth="1"/>
    <col min="14" max="16384" width="9.08984375" style="1"/>
  </cols>
  <sheetData>
    <row r="1" spans="1:13" ht="27" customHeight="1" x14ac:dyDescent="0.35">
      <c r="A1" s="45" t="s">
        <v>53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ht="46.5" customHeight="1" x14ac:dyDescent="0.5">
      <c r="A2" s="52" t="s">
        <v>52</v>
      </c>
      <c r="B2" s="53"/>
      <c r="C2" s="53"/>
      <c r="D2" s="57" t="s">
        <v>54</v>
      </c>
      <c r="E2" s="53"/>
      <c r="F2" s="53"/>
      <c r="G2" s="53"/>
      <c r="H2" s="53"/>
      <c r="I2" s="53"/>
      <c r="J2" s="53"/>
      <c r="K2" s="53"/>
      <c r="L2" s="53" t="s">
        <v>20</v>
      </c>
      <c r="M2" s="60"/>
    </row>
    <row r="3" spans="1:13" ht="18.5" x14ac:dyDescent="0.45">
      <c r="A3" s="63" t="s">
        <v>22</v>
      </c>
      <c r="B3" s="64"/>
      <c r="C3" s="64"/>
      <c r="D3" s="65" t="s">
        <v>8</v>
      </c>
      <c r="E3" s="66"/>
      <c r="F3" s="58">
        <v>46146</v>
      </c>
      <c r="G3" s="59"/>
      <c r="H3" s="59"/>
      <c r="I3" s="59"/>
      <c r="J3" s="59"/>
      <c r="K3" s="59"/>
      <c r="L3" s="61" t="s">
        <v>34</v>
      </c>
      <c r="M3" s="62"/>
    </row>
    <row r="4" spans="1:13" x14ac:dyDescent="0.35">
      <c r="A4" s="48" t="s">
        <v>23</v>
      </c>
      <c r="B4" s="49"/>
      <c r="C4" s="50"/>
      <c r="D4" s="67" t="s">
        <v>9</v>
      </c>
      <c r="E4" s="67"/>
      <c r="F4" s="58">
        <v>46153</v>
      </c>
      <c r="G4" s="59"/>
      <c r="H4" s="59"/>
      <c r="I4" s="59"/>
      <c r="J4" s="59"/>
      <c r="K4" s="59"/>
      <c r="L4" s="61" t="s">
        <v>21</v>
      </c>
      <c r="M4" s="62"/>
    </row>
    <row r="5" spans="1:13" x14ac:dyDescent="0.35">
      <c r="A5" s="19" t="s">
        <v>0</v>
      </c>
      <c r="B5" s="56"/>
      <c r="C5" s="56"/>
      <c r="D5" s="51" t="s">
        <v>15</v>
      </c>
      <c r="E5" s="51"/>
      <c r="F5" s="55" t="s">
        <v>51</v>
      </c>
      <c r="G5" s="55"/>
      <c r="H5" s="55"/>
      <c r="I5" s="55"/>
      <c r="J5" s="55"/>
      <c r="K5" s="55"/>
      <c r="L5" s="61" t="s">
        <v>40</v>
      </c>
      <c r="M5" s="62"/>
    </row>
    <row r="6" spans="1:13" x14ac:dyDescent="0.35">
      <c r="A6" s="18" t="s">
        <v>32</v>
      </c>
      <c r="B6" s="56"/>
      <c r="C6" s="56"/>
      <c r="D6" s="54"/>
      <c r="E6" s="54"/>
      <c r="F6" s="54"/>
      <c r="G6" s="54"/>
      <c r="H6" s="54"/>
      <c r="I6" s="54"/>
      <c r="J6" s="54"/>
      <c r="K6" s="54"/>
      <c r="L6" s="43" t="s">
        <v>41</v>
      </c>
      <c r="M6" s="44"/>
    </row>
    <row r="7" spans="1:13" ht="18" customHeight="1" x14ac:dyDescent="0.35">
      <c r="A7" s="17" t="s">
        <v>7</v>
      </c>
      <c r="B7" s="56"/>
      <c r="C7" s="68"/>
      <c r="D7" s="51" t="s">
        <v>24</v>
      </c>
      <c r="E7" s="51"/>
      <c r="F7" s="51"/>
      <c r="G7" s="51"/>
      <c r="H7" s="51"/>
      <c r="I7" s="51"/>
      <c r="J7" s="51"/>
      <c r="K7" s="51"/>
      <c r="L7" s="77"/>
      <c r="M7" s="61"/>
    </row>
    <row r="8" spans="1:13" ht="18" customHeight="1" x14ac:dyDescent="0.35">
      <c r="A8" s="17" t="s">
        <v>5</v>
      </c>
      <c r="B8" s="56"/>
      <c r="C8" s="68"/>
      <c r="D8" s="74" t="s">
        <v>26</v>
      </c>
      <c r="E8" s="75"/>
      <c r="F8" s="75"/>
      <c r="G8" s="75"/>
      <c r="H8" s="75"/>
      <c r="I8" s="75"/>
      <c r="J8" s="75"/>
      <c r="K8" s="76"/>
      <c r="L8" s="69" t="s">
        <v>49</v>
      </c>
      <c r="M8" s="70"/>
    </row>
    <row r="9" spans="1:13" ht="18" customHeight="1" x14ac:dyDescent="0.35">
      <c r="A9" s="17" t="s">
        <v>12</v>
      </c>
      <c r="B9" s="56"/>
      <c r="C9" s="68"/>
      <c r="D9" s="71" t="s">
        <v>18</v>
      </c>
      <c r="E9" s="72"/>
      <c r="F9" s="72"/>
      <c r="G9" s="72"/>
      <c r="H9" s="72"/>
      <c r="I9" s="72"/>
      <c r="J9" s="72"/>
      <c r="K9" s="73"/>
      <c r="L9" s="82" t="s">
        <v>42</v>
      </c>
      <c r="M9" s="83"/>
    </row>
    <row r="10" spans="1:13" ht="18" customHeight="1" x14ac:dyDescent="0.35">
      <c r="A10" s="84"/>
      <c r="B10" s="75"/>
      <c r="C10" s="75"/>
      <c r="D10" s="74" t="s">
        <v>33</v>
      </c>
      <c r="E10" s="75"/>
      <c r="F10" s="75"/>
      <c r="G10" s="75"/>
      <c r="H10" s="75"/>
      <c r="I10" s="75"/>
      <c r="J10" s="75"/>
      <c r="K10" s="76"/>
      <c r="L10" s="82"/>
      <c r="M10" s="83"/>
    </row>
    <row r="11" spans="1:13" ht="18" customHeight="1" thickBot="1" x14ac:dyDescent="0.4">
      <c r="A11" s="85"/>
      <c r="B11" s="86"/>
      <c r="C11" s="86"/>
      <c r="D11" s="87" t="s">
        <v>25</v>
      </c>
      <c r="E11" s="86"/>
      <c r="F11" s="86"/>
      <c r="G11" s="86"/>
      <c r="H11" s="86"/>
      <c r="I11" s="86"/>
      <c r="J11" s="86"/>
      <c r="K11" s="88"/>
      <c r="L11" s="82"/>
      <c r="M11" s="83"/>
    </row>
    <row r="12" spans="1:13" ht="36" customHeight="1" thickBot="1" x14ac:dyDescent="0.4">
      <c r="A12" s="42" t="s">
        <v>1</v>
      </c>
      <c r="B12" s="38" t="s">
        <v>17</v>
      </c>
      <c r="C12" s="39" t="s">
        <v>2</v>
      </c>
      <c r="D12" s="38" t="s">
        <v>6</v>
      </c>
      <c r="E12" s="38" t="s">
        <v>11</v>
      </c>
      <c r="F12" s="39" t="s">
        <v>13</v>
      </c>
      <c r="G12" s="38" t="s">
        <v>43</v>
      </c>
      <c r="H12" s="38" t="s">
        <v>27</v>
      </c>
      <c r="I12" s="38" t="s">
        <v>14</v>
      </c>
      <c r="J12" s="38" t="s">
        <v>16</v>
      </c>
      <c r="K12" s="39" t="s">
        <v>3</v>
      </c>
      <c r="L12" s="40" t="s">
        <v>4</v>
      </c>
      <c r="M12" s="41" t="s">
        <v>10</v>
      </c>
    </row>
    <row r="13" spans="1:13" ht="89.25" customHeight="1" x14ac:dyDescent="0.35">
      <c r="A13" s="23" t="s">
        <v>28</v>
      </c>
      <c r="B13" s="31" t="s">
        <v>59</v>
      </c>
      <c r="C13" s="24" t="s">
        <v>60</v>
      </c>
      <c r="D13" s="24" t="s">
        <v>73</v>
      </c>
      <c r="E13" s="31"/>
      <c r="F13" s="32"/>
      <c r="G13" s="32"/>
      <c r="H13" s="33" t="s">
        <v>46</v>
      </c>
      <c r="I13" s="33" t="s">
        <v>30</v>
      </c>
      <c r="J13" s="34">
        <v>336</v>
      </c>
      <c r="K13" s="35">
        <v>0</v>
      </c>
      <c r="L13" s="36">
        <f>J13*K13</f>
        <v>0</v>
      </c>
      <c r="M13" s="37"/>
    </row>
    <row r="14" spans="1:13" ht="89.25" customHeight="1" x14ac:dyDescent="0.35">
      <c r="A14" s="25" t="s">
        <v>29</v>
      </c>
      <c r="B14" s="10" t="s">
        <v>59</v>
      </c>
      <c r="C14" s="26" t="s">
        <v>61</v>
      </c>
      <c r="D14" s="26" t="s">
        <v>74</v>
      </c>
      <c r="E14" s="20"/>
      <c r="F14" s="13"/>
      <c r="G14" s="13"/>
      <c r="H14" s="12" t="s">
        <v>88</v>
      </c>
      <c r="I14" s="12" t="s">
        <v>30</v>
      </c>
      <c r="J14" s="11">
        <v>216</v>
      </c>
      <c r="K14" s="14">
        <v>0</v>
      </c>
      <c r="L14" s="9">
        <f t="shared" ref="L14" si="0">J14*K14</f>
        <v>0</v>
      </c>
      <c r="M14" s="15"/>
    </row>
    <row r="15" spans="1:13" ht="89.25" customHeight="1" x14ac:dyDescent="0.35">
      <c r="A15" s="25" t="s">
        <v>31</v>
      </c>
      <c r="B15" s="10" t="s">
        <v>59</v>
      </c>
      <c r="C15" s="26" t="s">
        <v>62</v>
      </c>
      <c r="D15" s="26" t="s">
        <v>75</v>
      </c>
      <c r="E15" s="20"/>
      <c r="F15" s="13"/>
      <c r="G15" s="13"/>
      <c r="H15" s="12" t="s">
        <v>48</v>
      </c>
      <c r="I15" s="12" t="s">
        <v>30</v>
      </c>
      <c r="J15" s="11">
        <v>648</v>
      </c>
      <c r="K15" s="14">
        <v>0</v>
      </c>
      <c r="L15" s="9">
        <f t="shared" ref="L15:L16" si="1">J15*K15</f>
        <v>0</v>
      </c>
      <c r="M15" s="15"/>
    </row>
    <row r="16" spans="1:13" ht="89.25" customHeight="1" x14ac:dyDescent="0.35">
      <c r="A16" s="25" t="s">
        <v>35</v>
      </c>
      <c r="B16" s="10" t="s">
        <v>59</v>
      </c>
      <c r="C16" s="26" t="s">
        <v>63</v>
      </c>
      <c r="D16" s="26" t="s">
        <v>76</v>
      </c>
      <c r="E16" s="10"/>
      <c r="F16" s="13"/>
      <c r="G16" s="13"/>
      <c r="H16" s="12" t="s">
        <v>89</v>
      </c>
      <c r="I16" s="12" t="s">
        <v>30</v>
      </c>
      <c r="J16" s="11">
        <v>1536</v>
      </c>
      <c r="K16" s="14">
        <v>0</v>
      </c>
      <c r="L16" s="9">
        <f t="shared" si="1"/>
        <v>0</v>
      </c>
      <c r="M16" s="15"/>
    </row>
    <row r="17" spans="1:13" ht="89.25" customHeight="1" x14ac:dyDescent="0.35">
      <c r="A17" s="25" t="s">
        <v>36</v>
      </c>
      <c r="B17" s="10" t="s">
        <v>59</v>
      </c>
      <c r="C17" s="26" t="s">
        <v>64</v>
      </c>
      <c r="D17" s="26" t="s">
        <v>77</v>
      </c>
      <c r="E17" s="20"/>
      <c r="F17" s="13"/>
      <c r="G17" s="13"/>
      <c r="H17" s="12" t="s">
        <v>90</v>
      </c>
      <c r="I17" s="12" t="s">
        <v>30</v>
      </c>
      <c r="J17" s="11">
        <v>288</v>
      </c>
      <c r="K17" s="14">
        <v>0</v>
      </c>
      <c r="L17" s="9">
        <f>J17*K17</f>
        <v>0</v>
      </c>
      <c r="M17" s="15"/>
    </row>
    <row r="18" spans="1:13" ht="89.25" customHeight="1" x14ac:dyDescent="0.35">
      <c r="A18" s="25" t="s">
        <v>50</v>
      </c>
      <c r="B18" s="10" t="s">
        <v>59</v>
      </c>
      <c r="C18" s="26" t="s">
        <v>65</v>
      </c>
      <c r="D18" s="26" t="s">
        <v>78</v>
      </c>
      <c r="E18" s="10"/>
      <c r="F18" s="13"/>
      <c r="G18" s="13"/>
      <c r="H18" s="12" t="s">
        <v>46</v>
      </c>
      <c r="I18" s="12" t="s">
        <v>30</v>
      </c>
      <c r="J18" s="11">
        <v>1776</v>
      </c>
      <c r="K18" s="14">
        <v>0</v>
      </c>
      <c r="L18" s="9">
        <f t="shared" ref="L18" si="2">J18*K18</f>
        <v>0</v>
      </c>
      <c r="M18" s="15"/>
    </row>
    <row r="19" spans="1:13" ht="89.25" customHeight="1" x14ac:dyDescent="0.35">
      <c r="A19" s="25" t="s">
        <v>37</v>
      </c>
      <c r="B19" s="10" t="s">
        <v>59</v>
      </c>
      <c r="C19" s="26" t="s">
        <v>66</v>
      </c>
      <c r="D19" s="26" t="s">
        <v>79</v>
      </c>
      <c r="E19" s="10"/>
      <c r="F19" s="13"/>
      <c r="G19" s="13"/>
      <c r="H19" s="12" t="s">
        <v>45</v>
      </c>
      <c r="I19" s="12" t="s">
        <v>30</v>
      </c>
      <c r="J19" s="11">
        <v>1920</v>
      </c>
      <c r="K19" s="14">
        <v>0</v>
      </c>
      <c r="L19" s="9">
        <f t="shared" ref="L19" si="3">J19*K19</f>
        <v>0</v>
      </c>
      <c r="M19" s="15"/>
    </row>
    <row r="20" spans="1:13" ht="89.25" customHeight="1" x14ac:dyDescent="0.35">
      <c r="A20" s="25" t="s">
        <v>38</v>
      </c>
      <c r="B20" s="10" t="s">
        <v>59</v>
      </c>
      <c r="C20" s="26" t="s">
        <v>67</v>
      </c>
      <c r="D20" s="26" t="s">
        <v>80</v>
      </c>
      <c r="E20" s="10"/>
      <c r="F20" s="13"/>
      <c r="G20" s="13"/>
      <c r="H20" s="12" t="s">
        <v>45</v>
      </c>
      <c r="I20" s="12" t="s">
        <v>30</v>
      </c>
      <c r="J20" s="11">
        <v>960</v>
      </c>
      <c r="K20" s="14">
        <v>0</v>
      </c>
      <c r="L20" s="9">
        <f>J20*K20</f>
        <v>0</v>
      </c>
      <c r="M20" s="15"/>
    </row>
    <row r="21" spans="1:13" ht="89.25" customHeight="1" x14ac:dyDescent="0.35">
      <c r="A21" s="25" t="s">
        <v>39</v>
      </c>
      <c r="B21" s="10" t="s">
        <v>59</v>
      </c>
      <c r="C21" s="26" t="s">
        <v>68</v>
      </c>
      <c r="D21" s="26" t="s">
        <v>81</v>
      </c>
      <c r="E21" s="10"/>
      <c r="F21" s="13"/>
      <c r="G21" s="13"/>
      <c r="H21" s="12" t="s">
        <v>91</v>
      </c>
      <c r="I21" s="12" t="s">
        <v>30</v>
      </c>
      <c r="J21" s="11">
        <v>144</v>
      </c>
      <c r="K21" s="14">
        <v>0</v>
      </c>
      <c r="L21" s="9">
        <f t="shared" ref="L21:L26" si="4">J21*K21</f>
        <v>0</v>
      </c>
      <c r="M21" s="15"/>
    </row>
    <row r="22" spans="1:13" ht="89.25" customHeight="1" x14ac:dyDescent="0.35">
      <c r="A22" s="25" t="s">
        <v>44</v>
      </c>
      <c r="B22" s="10" t="s">
        <v>59</v>
      </c>
      <c r="C22" s="26" t="s">
        <v>69</v>
      </c>
      <c r="D22" s="26" t="s">
        <v>82</v>
      </c>
      <c r="E22" s="10"/>
      <c r="F22" s="13"/>
      <c r="G22" s="13"/>
      <c r="H22" s="12" t="s">
        <v>92</v>
      </c>
      <c r="I22" s="12" t="s">
        <v>30</v>
      </c>
      <c r="J22" s="11">
        <v>600</v>
      </c>
      <c r="K22" s="14">
        <v>0</v>
      </c>
      <c r="L22" s="9">
        <f t="shared" si="4"/>
        <v>0</v>
      </c>
      <c r="M22" s="15"/>
    </row>
    <row r="23" spans="1:13" ht="89.25" customHeight="1" x14ac:dyDescent="0.35">
      <c r="A23" s="25" t="s">
        <v>55</v>
      </c>
      <c r="B23" s="10" t="s">
        <v>59</v>
      </c>
      <c r="C23" s="28" t="s">
        <v>87</v>
      </c>
      <c r="D23" s="26" t="s">
        <v>83</v>
      </c>
      <c r="E23" s="10"/>
      <c r="F23" s="13"/>
      <c r="G23" s="13"/>
      <c r="H23" s="12" t="s">
        <v>90</v>
      </c>
      <c r="I23" s="12" t="s">
        <v>30</v>
      </c>
      <c r="J23" s="11">
        <v>528</v>
      </c>
      <c r="K23" s="14">
        <v>0</v>
      </c>
      <c r="L23" s="9">
        <f t="shared" si="4"/>
        <v>0</v>
      </c>
      <c r="M23" s="15"/>
    </row>
    <row r="24" spans="1:13" ht="89.25" customHeight="1" x14ac:dyDescent="0.35">
      <c r="A24" s="25" t="s">
        <v>56</v>
      </c>
      <c r="B24" s="10" t="s">
        <v>59</v>
      </c>
      <c r="C24" s="26" t="s">
        <v>70</v>
      </c>
      <c r="D24" s="26" t="s">
        <v>84</v>
      </c>
      <c r="E24" s="10"/>
      <c r="F24" s="13"/>
      <c r="G24" s="13"/>
      <c r="H24" s="12" t="s">
        <v>45</v>
      </c>
      <c r="I24" s="12" t="s">
        <v>30</v>
      </c>
      <c r="J24" s="11">
        <v>1056</v>
      </c>
      <c r="K24" s="14">
        <v>0</v>
      </c>
      <c r="L24" s="9">
        <f t="shared" si="4"/>
        <v>0</v>
      </c>
      <c r="M24" s="15"/>
    </row>
    <row r="25" spans="1:13" ht="89.25" customHeight="1" x14ac:dyDescent="0.35">
      <c r="A25" s="30" t="s">
        <v>57</v>
      </c>
      <c r="B25" s="10" t="s">
        <v>59</v>
      </c>
      <c r="C25" s="26" t="s">
        <v>71</v>
      </c>
      <c r="D25" s="26" t="s">
        <v>85</v>
      </c>
      <c r="E25" s="10"/>
      <c r="F25" s="13"/>
      <c r="G25" s="13"/>
      <c r="H25" s="12" t="s">
        <v>48</v>
      </c>
      <c r="I25" s="12" t="s">
        <v>30</v>
      </c>
      <c r="J25" s="11">
        <v>1368</v>
      </c>
      <c r="K25" s="14">
        <v>0</v>
      </c>
      <c r="L25" s="9">
        <f t="shared" si="4"/>
        <v>0</v>
      </c>
      <c r="M25" s="15"/>
    </row>
    <row r="26" spans="1:13" ht="89.25" customHeight="1" thickBot="1" x14ac:dyDescent="0.4">
      <c r="A26" s="26" t="s">
        <v>58</v>
      </c>
      <c r="B26" s="29" t="s">
        <v>59</v>
      </c>
      <c r="C26" s="27" t="s">
        <v>72</v>
      </c>
      <c r="D26" s="27" t="s">
        <v>86</v>
      </c>
      <c r="E26" s="10"/>
      <c r="F26" s="13"/>
      <c r="G26" s="13"/>
      <c r="H26" s="12" t="s">
        <v>47</v>
      </c>
      <c r="I26" s="12" t="s">
        <v>30</v>
      </c>
      <c r="J26" s="11">
        <v>912</v>
      </c>
      <c r="K26" s="14">
        <v>0</v>
      </c>
      <c r="L26" s="9">
        <f t="shared" si="4"/>
        <v>0</v>
      </c>
      <c r="M26" s="15"/>
    </row>
    <row r="27" spans="1:13" ht="26.5" customHeight="1" thickBot="1" x14ac:dyDescent="0.5">
      <c r="A27" s="21"/>
      <c r="B27" s="22"/>
      <c r="C27" s="80" t="s">
        <v>93</v>
      </c>
      <c r="D27" s="81"/>
      <c r="E27" s="5"/>
      <c r="F27" s="5"/>
      <c r="G27" s="5"/>
      <c r="H27" s="5"/>
      <c r="I27" s="5"/>
      <c r="J27" s="78" t="s">
        <v>19</v>
      </c>
      <c r="K27" s="79"/>
      <c r="L27" s="16">
        <f>SUM(L13:L20)</f>
        <v>0</v>
      </c>
      <c r="M27" s="5"/>
    </row>
    <row r="28" spans="1:13" ht="28" customHeight="1" thickBot="1" x14ac:dyDescent="0.5">
      <c r="A28" s="21"/>
      <c r="B28" s="22"/>
      <c r="C28" s="80" t="s">
        <v>94</v>
      </c>
      <c r="D28" s="81"/>
      <c r="E28" s="5"/>
      <c r="F28" s="5"/>
      <c r="G28" s="5"/>
      <c r="H28" s="5"/>
      <c r="I28" s="5"/>
      <c r="J28" s="6"/>
      <c r="K28" s="7"/>
      <c r="L28" s="8"/>
      <c r="M28" s="5"/>
    </row>
    <row r="29" spans="1:13" ht="18.5" x14ac:dyDescent="0.45">
      <c r="A29" s="21"/>
      <c r="B29" s="22"/>
      <c r="C29" s="21"/>
    </row>
    <row r="30" spans="1:13" ht="18.5" x14ac:dyDescent="0.45">
      <c r="A30" s="21"/>
      <c r="B30" s="22"/>
      <c r="C30" s="21"/>
    </row>
  </sheetData>
  <sheetProtection formatCells="0" formatColumns="0" formatRows="0"/>
  <mergeCells count="34">
    <mergeCell ref="C28:D28"/>
    <mergeCell ref="L9:M11"/>
    <mergeCell ref="D10:K10"/>
    <mergeCell ref="A10:C11"/>
    <mergeCell ref="D11:K11"/>
    <mergeCell ref="B9:C9"/>
    <mergeCell ref="D9:K9"/>
    <mergeCell ref="D8:K8"/>
    <mergeCell ref="L7:M7"/>
    <mergeCell ref="J27:K27"/>
    <mergeCell ref="C27:D27"/>
    <mergeCell ref="D3:E3"/>
    <mergeCell ref="D4:E4"/>
    <mergeCell ref="D5:E5"/>
    <mergeCell ref="L5:M5"/>
    <mergeCell ref="B8:C8"/>
    <mergeCell ref="L8:M8"/>
    <mergeCell ref="B7:C7"/>
    <mergeCell ref="L6:M6"/>
    <mergeCell ref="A1:M1"/>
    <mergeCell ref="A4:C4"/>
    <mergeCell ref="D7:K7"/>
    <mergeCell ref="A2:C2"/>
    <mergeCell ref="D6:K6"/>
    <mergeCell ref="F5:K5"/>
    <mergeCell ref="B6:C6"/>
    <mergeCell ref="D2:K2"/>
    <mergeCell ref="F3:K3"/>
    <mergeCell ref="F4:K4"/>
    <mergeCell ref="B5:C5"/>
    <mergeCell ref="L2:M2"/>
    <mergeCell ref="L3:M3"/>
    <mergeCell ref="L4:M4"/>
    <mergeCell ref="A3:C3"/>
  </mergeCells>
  <dataValidations count="1"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13:A30" xr:uid="{EF62C967-11F7-44E9-9CC8-DE9BADDC31BB}">
      <formula1>20</formula1>
    </dataValidation>
  </dataValidations>
  <pageMargins left="0.25" right="0.25" top="0.75" bottom="0.75" header="0.3" footer="0.3"/>
  <pageSetup scale="53" fitToHeight="0" orientation="landscape" r:id="rId1"/>
  <ignoredErrors>
    <ignoredError sqref="A13:A26 H13:H26" numberStoredAsText="1"/>
  </ignoredErrors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Spreadsheet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ammhinrhodek</dc:creator>
  <cp:lastModifiedBy>Fry, Sarah K. (MRN)</cp:lastModifiedBy>
  <cp:lastPrinted>2020-08-17T20:22:42Z</cp:lastPrinted>
  <dcterms:created xsi:type="dcterms:W3CDTF">2010-03-17T16:46:03Z</dcterms:created>
  <dcterms:modified xsi:type="dcterms:W3CDTF">2026-04-30T19:52:26Z</dcterms:modified>
</cp:coreProperties>
</file>