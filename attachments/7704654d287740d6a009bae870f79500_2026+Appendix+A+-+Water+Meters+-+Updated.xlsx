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af-my.dps.mil/personal/delano_asante_us_af_mil/Documents/Documents/PZIB/Projects/ID 1701/Solicitation Package/"/>
    </mc:Choice>
  </mc:AlternateContent>
  <xr:revisionPtr revIDLastSave="0" documentId="8_{10C1702B-20C3-42AC-9185-409A74F4CC5D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Water" sheetId="7" r:id="rId1"/>
  </sheets>
  <definedNames>
    <definedName name="_xlnm._FilterDatabase" localSheetId="0" hidden="1">Water!$A$2:$R$22</definedName>
    <definedName name="_xlnm.Print_Area" localSheetId="0">Water!$A$1:$X$38</definedName>
    <definedName name="_xlnm.Print_Titles" localSheetId="0">Water!$2:$2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7" l="1"/>
  <c r="B24" i="7" l="1"/>
  <c r="R11" i="7"/>
  <c r="R12" i="7"/>
  <c r="R19" i="7"/>
  <c r="R13" i="7"/>
  <c r="R14" i="7"/>
  <c r="R17" i="7"/>
  <c r="R16" i="7"/>
  <c r="R8" i="7"/>
  <c r="R9" i="7"/>
  <c r="R10" i="7"/>
</calcChain>
</file>

<file path=xl/sharedStrings.xml><?xml version="1.0" encoding="utf-8"?>
<sst xmlns="http://schemas.openxmlformats.org/spreadsheetml/2006/main" count="282" uniqueCount="100">
  <si>
    <t>WATER METER CALIBRATION SCHEDULE</t>
  </si>
  <si>
    <t>REIMB</t>
  </si>
  <si>
    <t>BLDG</t>
  </si>
  <si>
    <t>EMCS Config</t>
  </si>
  <si>
    <t>EMCS Connect</t>
  </si>
  <si>
    <t>CUSTOMER</t>
  </si>
  <si>
    <t>METER #</t>
  </si>
  <si>
    <t>MAKE/MODEL</t>
  </si>
  <si>
    <t>IWIMS</t>
  </si>
  <si>
    <t>SIZE</t>
  </si>
  <si>
    <t>UTILITY</t>
  </si>
  <si>
    <t>Quantity of Calibrations</t>
  </si>
  <si>
    <t>Acutal Calibrations</t>
  </si>
  <si>
    <t>LOCATION</t>
  </si>
  <si>
    <t>UNIT</t>
  </si>
  <si>
    <t>XPLIER</t>
  </si>
  <si>
    <t>LAST TEST</t>
  </si>
  <si>
    <t>CALIBRATION METHOD</t>
  </si>
  <si>
    <t>CALIBRATION REQUIREMENT</t>
  </si>
  <si>
    <t>Comments</t>
  </si>
  <si>
    <t xml:space="preserve">Water By-Pass </t>
  </si>
  <si>
    <t>Test Port</t>
  </si>
  <si>
    <t>Confined Space Permit Required</t>
  </si>
  <si>
    <t>N</t>
  </si>
  <si>
    <t>Steam Plant</t>
  </si>
  <si>
    <t>Zenner PMTB04</t>
  </si>
  <si>
    <t>4"</t>
  </si>
  <si>
    <t>WATER</t>
  </si>
  <si>
    <t>Mech Room</t>
  </si>
  <si>
    <t>GAL</t>
  </si>
  <si>
    <t>On-Site</t>
  </si>
  <si>
    <t>Annually</t>
  </si>
  <si>
    <t>Has by-pass</t>
  </si>
  <si>
    <t>Yes</t>
  </si>
  <si>
    <t>Y</t>
  </si>
  <si>
    <t>MASTER METER - FAMCAMP</t>
  </si>
  <si>
    <t>70122912-1</t>
  </si>
  <si>
    <t>Neptune</t>
  </si>
  <si>
    <t>9100-0092</t>
  </si>
  <si>
    <t>Cmpnd Mtr / HF</t>
  </si>
  <si>
    <t>FT^3</t>
  </si>
  <si>
    <t>No by-pass</t>
  </si>
  <si>
    <t>70122912-2</t>
  </si>
  <si>
    <t>9100-0175</t>
  </si>
  <si>
    <t>Wired</t>
  </si>
  <si>
    <t>MASTER METER - HARTWELL GATE</t>
  </si>
  <si>
    <t>Hersey FM3</t>
  </si>
  <si>
    <t>9100-0093</t>
  </si>
  <si>
    <t>Meter Pit</t>
  </si>
  <si>
    <t>MM</t>
  </si>
  <si>
    <t>MASTER METER - WOOD STREET</t>
  </si>
  <si>
    <t>9100-0094</t>
  </si>
  <si>
    <t>Pit / Chestnut St</t>
  </si>
  <si>
    <t>Hersey MVR350</t>
  </si>
  <si>
    <t>0066-0098</t>
  </si>
  <si>
    <t>No</t>
  </si>
  <si>
    <t>HQ WG</t>
  </si>
  <si>
    <t>0066-0101</t>
  </si>
  <si>
    <t>Admin Bldg 3</t>
  </si>
  <si>
    <t>0066-0104</t>
  </si>
  <si>
    <t>CONS/LGCA</t>
  </si>
  <si>
    <t>0066-0181</t>
  </si>
  <si>
    <t>Electric Research Lab</t>
  </si>
  <si>
    <t>0066-0204</t>
  </si>
  <si>
    <t>Electronic Systems BLDG - Phase I</t>
  </si>
  <si>
    <t>0066-0105</t>
  </si>
  <si>
    <t>Electronic Systems BLDG - Phase II</t>
  </si>
  <si>
    <t>0066-0145</t>
  </si>
  <si>
    <t>Loading Dock</t>
  </si>
  <si>
    <t>Child Care Center</t>
  </si>
  <si>
    <t>0066-0108</t>
  </si>
  <si>
    <t>0066-0099</t>
  </si>
  <si>
    <t>Electric Research Eng</t>
  </si>
  <si>
    <t>0066-0100</t>
  </si>
  <si>
    <t>LSC</t>
  </si>
  <si>
    <t>?</t>
  </si>
  <si>
    <t>Lincoln School</t>
  </si>
  <si>
    <t>4438-0414</t>
  </si>
  <si>
    <t>PIT</t>
  </si>
  <si>
    <t>MASSPORT Main Meter</t>
  </si>
  <si>
    <t>0066-0095</t>
  </si>
  <si>
    <t>Under Runway</t>
  </si>
  <si>
    <t>0066-0172</t>
  </si>
  <si>
    <t>Total</t>
  </si>
  <si>
    <t>Calibration Required</t>
  </si>
  <si>
    <t>Size</t>
  </si>
  <si>
    <t>Frequency</t>
  </si>
  <si>
    <t>5/8"</t>
  </si>
  <si>
    <t>Every 10 years</t>
  </si>
  <si>
    <t>3/4"</t>
  </si>
  <si>
    <t>Every 8 years</t>
  </si>
  <si>
    <t>1"</t>
  </si>
  <si>
    <t>Every 6 years</t>
  </si>
  <si>
    <t>1-1/2"</t>
  </si>
  <si>
    <t>Every 4 years</t>
  </si>
  <si>
    <t>Meters 3" and above - Annually IAW Manufacturer's Recommendations (Massport has combo meter 8"/2")</t>
  </si>
  <si>
    <t>Master Meter (6"/1" Combo) - (Manufacturer Recommends Annual Calibration)</t>
  </si>
  <si>
    <t>Meters 3" and below - Replacement Every 10 years IAW Manufacturer's Recommendations</t>
  </si>
  <si>
    <t>1102 was 1102C, 1108 was 1105B, Lincoln School is back, Master Meters calib. 1/Yr..  6/23/16</t>
  </si>
  <si>
    <t>Water Treatment Plant - FAMCAMP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</si>
</sst>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3" applyNumberFormat="0" applyAlignment="0" applyProtection="0"/>
    <xf numFmtId="0" fontId="5" fillId="28" borderId="4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3" applyNumberFormat="0" applyAlignment="0" applyProtection="0"/>
    <xf numFmtId="0" fontId="12" fillId="0" borderId="8" applyNumberFormat="0" applyFill="0" applyAlignment="0" applyProtection="0"/>
    <xf numFmtId="0" fontId="13" fillId="31" borderId="0" applyNumberFormat="0" applyBorder="0" applyAlignment="0" applyProtection="0"/>
    <xf numFmtId="0" fontId="1" fillId="32" borderId="9" applyNumberFormat="0" applyFont="0" applyAlignment="0" applyProtection="0"/>
    <xf numFmtId="0" fontId="14" fillId="27" borderId="10" applyNumberFormat="0" applyAlignment="0" applyProtection="0"/>
    <xf numFmtId="0" fontId="15" fillId="0" borderId="0" applyNumberFormat="0" applyFill="0" applyBorder="0" applyAlignment="0" applyProtection="0"/>
    <xf numFmtId="0" fontId="16" fillId="0" borderId="11" applyNumberFormat="0" applyFill="0" applyAlignment="0" applyProtection="0"/>
    <xf numFmtId="0" fontId="17" fillId="0" borderId="0" applyNumberFormat="0" applyFill="0" applyBorder="0" applyAlignment="0" applyProtection="0"/>
  </cellStyleXfs>
  <cellXfs count="32">
    <xf numFmtId="0" fontId="0" fillId="0" borderId="0" xfId="0"/>
    <xf numFmtId="0" fontId="18" fillId="0" borderId="0" xfId="0" applyFont="1" applyAlignment="1">
      <alignment vertical="center"/>
    </xf>
    <xf numFmtId="164" fontId="18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vertical="center" wrapText="1"/>
    </xf>
    <xf numFmtId="0" fontId="19" fillId="33" borderId="1" xfId="0" applyFont="1" applyFill="1" applyBorder="1" applyAlignment="1">
      <alignment horizontal="center" vertical="center" wrapText="1"/>
    </xf>
    <xf numFmtId="0" fontId="19" fillId="33" borderId="1" xfId="0" applyFont="1" applyFill="1" applyBorder="1" applyAlignment="1">
      <alignment horizontal="left" vertical="center" wrapText="1"/>
    </xf>
    <xf numFmtId="164" fontId="19" fillId="33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14" fontId="18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14" fontId="18" fillId="0" borderId="0" xfId="0" applyNumberFormat="1" applyFont="1" applyAlignment="1">
      <alignment horizontal="left" vertical="center"/>
    </xf>
    <xf numFmtId="0" fontId="18" fillId="0" borderId="0" xfId="0" applyFont="1" applyAlignment="1">
      <alignment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 wrapText="1"/>
    </xf>
    <xf numFmtId="0" fontId="3" fillId="26" borderId="1" xfId="25" applyBorder="1" applyAlignment="1">
      <alignment vertical="center"/>
    </xf>
    <xf numFmtId="0" fontId="7" fillId="29" borderId="1" xfId="29" applyBorder="1" applyAlignment="1">
      <alignment vertical="center"/>
    </xf>
    <xf numFmtId="0" fontId="22" fillId="0" borderId="1" xfId="0" applyFont="1" applyBorder="1" applyAlignment="1">
      <alignment vertical="center"/>
    </xf>
    <xf numFmtId="0" fontId="3" fillId="34" borderId="1" xfId="25" applyFill="1" applyBorder="1" applyAlignment="1">
      <alignment vertical="center"/>
    </xf>
    <xf numFmtId="0" fontId="3" fillId="35" borderId="1" xfId="25" applyFill="1" applyBorder="1" applyAlignment="1">
      <alignment vertical="center"/>
    </xf>
    <xf numFmtId="0" fontId="18" fillId="34" borderId="1" xfId="0" applyFont="1" applyFill="1" applyBorder="1" applyAlignment="1">
      <alignment vertical="center" wrapText="1"/>
    </xf>
    <xf numFmtId="0" fontId="20" fillId="0" borderId="0" xfId="0" applyFont="1" applyAlignment="1">
      <alignment horizontal="left" vertical="center"/>
    </xf>
    <xf numFmtId="0" fontId="3" fillId="26" borderId="0" xfId="25" applyBorder="1" applyAlignment="1">
      <alignment vertical="center"/>
    </xf>
    <xf numFmtId="0" fontId="22" fillId="0" borderId="0" xfId="0" applyFont="1" applyAlignment="1">
      <alignment vertical="center"/>
    </xf>
    <xf numFmtId="164" fontId="23" fillId="0" borderId="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FFC7CE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8"/>
  <sheetViews>
    <sheetView tabSelected="1" zoomScale="130" zoomScaleNormal="130" workbookViewId="0">
      <pane xSplit="2" ySplit="2" topLeftCell="C3" activePane="bottomRight" state="frozen"/>
      <selection pane="topRight" activeCell="R54" sqref="R54"/>
      <selection pane="bottomLeft" activeCell="R54" sqref="R54"/>
      <selection pane="bottomRight" activeCell="F24" sqref="F24"/>
    </sheetView>
  </sheetViews>
  <sheetFormatPr defaultColWidth="9.140625" defaultRowHeight="12.75" x14ac:dyDescent="0.25"/>
  <cols>
    <col min="1" max="2" width="5.5703125" style="3" customWidth="1"/>
    <col min="3" max="3" width="6.42578125" style="3" customWidth="1"/>
    <col min="4" max="4" width="7.42578125" style="3" customWidth="1"/>
    <col min="5" max="5" width="28.5703125" style="5" customWidth="1"/>
    <col min="6" max="6" width="10.5703125" style="3" customWidth="1"/>
    <col min="7" max="7" width="13.42578125" style="3" customWidth="1"/>
    <col min="8" max="8" width="9.85546875" style="3" customWidth="1"/>
    <col min="9" max="9" width="5.42578125" style="3" customWidth="1"/>
    <col min="10" max="10" width="7" style="3" hidden="1" customWidth="1"/>
    <col min="11" max="12" width="7" style="3" customWidth="1"/>
    <col min="13" max="13" width="14.85546875" style="3" customWidth="1"/>
    <col min="14" max="14" width="5.7109375" style="3" customWidth="1"/>
    <col min="15" max="15" width="6.42578125" style="3" customWidth="1"/>
    <col min="16" max="16" width="10.140625" style="4" customWidth="1"/>
    <col min="17" max="17" width="11.42578125" style="3" customWidth="1"/>
    <col min="18" max="18" width="19.7109375" style="5" customWidth="1"/>
    <col min="19" max="19" width="17.7109375" style="1" hidden="1" customWidth="1"/>
    <col min="20" max="21" width="11.7109375" style="1" customWidth="1"/>
    <col min="22" max="22" width="12.5703125" style="1" customWidth="1"/>
    <col min="23" max="26" width="9.140625" style="1"/>
    <col min="27" max="27" width="3.85546875" style="1" customWidth="1"/>
    <col min="28" max="16384" width="9.140625" style="1"/>
  </cols>
  <sheetData>
    <row r="1" spans="1:23" ht="27" customHeight="1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23" s="6" customFormat="1" ht="38.25" customHeight="1" x14ac:dyDescent="0.25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9" t="s">
        <v>16</v>
      </c>
      <c r="Q2" s="7" t="s">
        <v>17</v>
      </c>
      <c r="R2" s="7" t="s">
        <v>18</v>
      </c>
      <c r="S2" s="17" t="s">
        <v>19</v>
      </c>
      <c r="T2" s="7" t="s">
        <v>20</v>
      </c>
      <c r="U2" s="7" t="s">
        <v>21</v>
      </c>
      <c r="V2" s="7" t="s">
        <v>22</v>
      </c>
    </row>
    <row r="3" spans="1:23" x14ac:dyDescent="0.25">
      <c r="A3" s="10" t="s">
        <v>23</v>
      </c>
      <c r="B3" s="10">
        <v>1201</v>
      </c>
      <c r="C3" s="10" t="s">
        <v>23</v>
      </c>
      <c r="D3" s="10" t="s">
        <v>23</v>
      </c>
      <c r="E3" s="11" t="s">
        <v>24</v>
      </c>
      <c r="F3" s="10">
        <v>14360583</v>
      </c>
      <c r="G3" s="10" t="s">
        <v>25</v>
      </c>
      <c r="H3" s="10"/>
      <c r="I3" s="10" t="s">
        <v>26</v>
      </c>
      <c r="J3" s="10" t="s">
        <v>27</v>
      </c>
      <c r="K3" s="10">
        <v>1</v>
      </c>
      <c r="L3" s="10">
        <v>1</v>
      </c>
      <c r="M3" s="10" t="s">
        <v>28</v>
      </c>
      <c r="N3" s="10" t="s">
        <v>29</v>
      </c>
      <c r="O3" s="10">
        <v>100</v>
      </c>
      <c r="P3" s="12"/>
      <c r="Q3" s="10" t="s">
        <v>30</v>
      </c>
      <c r="R3" s="14" t="s">
        <v>31</v>
      </c>
      <c r="T3" s="25" t="s">
        <v>32</v>
      </c>
      <c r="U3" s="25" t="s">
        <v>33</v>
      </c>
      <c r="V3" s="19" t="s">
        <v>33</v>
      </c>
    </row>
    <row r="4" spans="1:23" ht="15" x14ac:dyDescent="0.25">
      <c r="A4" s="10" t="s">
        <v>34</v>
      </c>
      <c r="B4" s="10">
        <v>1409</v>
      </c>
      <c r="C4" s="10" t="s">
        <v>23</v>
      </c>
      <c r="D4" s="10" t="s">
        <v>23</v>
      </c>
      <c r="E4" s="13" t="s">
        <v>35</v>
      </c>
      <c r="F4" s="10" t="s">
        <v>36</v>
      </c>
      <c r="G4" s="10" t="s">
        <v>37</v>
      </c>
      <c r="H4" s="10" t="s">
        <v>38</v>
      </c>
      <c r="I4" s="10">
        <v>6</v>
      </c>
      <c r="J4" s="10" t="s">
        <v>27</v>
      </c>
      <c r="K4" s="10">
        <v>1</v>
      </c>
      <c r="L4" s="10">
        <v>3</v>
      </c>
      <c r="M4" s="10" t="s">
        <v>39</v>
      </c>
      <c r="N4" s="10" t="s">
        <v>40</v>
      </c>
      <c r="O4" s="10">
        <v>100</v>
      </c>
      <c r="P4" s="2"/>
      <c r="Q4" s="10" t="s">
        <v>30</v>
      </c>
      <c r="R4" s="14" t="s">
        <v>31</v>
      </c>
      <c r="T4" s="20" t="s">
        <v>41</v>
      </c>
      <c r="U4" s="23" t="s">
        <v>33</v>
      </c>
      <c r="V4" s="19" t="s">
        <v>33</v>
      </c>
    </row>
    <row r="5" spans="1:23" ht="15" x14ac:dyDescent="0.25">
      <c r="A5" s="10" t="s">
        <v>34</v>
      </c>
      <c r="B5" s="10">
        <v>1409</v>
      </c>
      <c r="C5" s="10" t="s">
        <v>23</v>
      </c>
      <c r="D5" s="10" t="s">
        <v>23</v>
      </c>
      <c r="E5" s="13" t="s">
        <v>35</v>
      </c>
      <c r="F5" s="10" t="s">
        <v>42</v>
      </c>
      <c r="G5" s="10" t="s">
        <v>37</v>
      </c>
      <c r="H5" s="10" t="s">
        <v>43</v>
      </c>
      <c r="I5" s="10">
        <v>1</v>
      </c>
      <c r="J5" s="10" t="s">
        <v>27</v>
      </c>
      <c r="K5" s="10"/>
      <c r="L5" s="10">
        <v>0</v>
      </c>
      <c r="M5" s="10" t="s">
        <v>39</v>
      </c>
      <c r="N5" s="10" t="s">
        <v>40</v>
      </c>
      <c r="O5" s="10">
        <v>0</v>
      </c>
      <c r="P5" s="2"/>
      <c r="Q5" s="10" t="s">
        <v>30</v>
      </c>
      <c r="R5" s="14" t="s">
        <v>31</v>
      </c>
      <c r="T5" s="20" t="s">
        <v>41</v>
      </c>
      <c r="U5" s="23" t="s">
        <v>33</v>
      </c>
      <c r="V5" s="19" t="s">
        <v>33</v>
      </c>
    </row>
    <row r="6" spans="1:23" ht="15" x14ac:dyDescent="0.25">
      <c r="A6" s="10" t="s">
        <v>23</v>
      </c>
      <c r="B6" s="10">
        <v>1439</v>
      </c>
      <c r="C6" s="10" t="s">
        <v>23</v>
      </c>
      <c r="D6" s="10" t="s">
        <v>44</v>
      </c>
      <c r="E6" s="13" t="s">
        <v>45</v>
      </c>
      <c r="F6" s="10">
        <v>11900927</v>
      </c>
      <c r="G6" s="10" t="s">
        <v>46</v>
      </c>
      <c r="H6" s="10" t="s">
        <v>47</v>
      </c>
      <c r="I6" s="10">
        <v>8</v>
      </c>
      <c r="J6" s="10" t="s">
        <v>27</v>
      </c>
      <c r="K6" s="10">
        <v>1</v>
      </c>
      <c r="L6" s="10">
        <v>3</v>
      </c>
      <c r="M6" s="10" t="s">
        <v>48</v>
      </c>
      <c r="N6" s="10" t="s">
        <v>40</v>
      </c>
      <c r="O6" s="10">
        <v>100</v>
      </c>
      <c r="P6" s="2"/>
      <c r="Q6" s="10" t="s">
        <v>30</v>
      </c>
      <c r="R6" s="14" t="s">
        <v>31</v>
      </c>
      <c r="T6" s="21" t="s">
        <v>32</v>
      </c>
      <c r="U6" s="23" t="s">
        <v>33</v>
      </c>
      <c r="V6" s="19" t="s">
        <v>33</v>
      </c>
      <c r="W6" s="16"/>
    </row>
    <row r="7" spans="1:23" ht="15" x14ac:dyDescent="0.25">
      <c r="A7" s="10" t="s">
        <v>23</v>
      </c>
      <c r="B7" s="10" t="s">
        <v>49</v>
      </c>
      <c r="C7" s="10" t="s">
        <v>23</v>
      </c>
      <c r="D7" s="10" t="s">
        <v>23</v>
      </c>
      <c r="E7" s="13" t="s">
        <v>50</v>
      </c>
      <c r="F7" s="10">
        <v>11900926</v>
      </c>
      <c r="G7" s="10" t="s">
        <v>46</v>
      </c>
      <c r="H7" s="10" t="s">
        <v>51</v>
      </c>
      <c r="I7" s="10">
        <v>8</v>
      </c>
      <c r="J7" s="10" t="s">
        <v>27</v>
      </c>
      <c r="K7" s="10">
        <v>1</v>
      </c>
      <c r="L7" s="10">
        <v>3</v>
      </c>
      <c r="M7" s="10" t="s">
        <v>52</v>
      </c>
      <c r="N7" s="10" t="s">
        <v>40</v>
      </c>
      <c r="O7" s="10">
        <v>100</v>
      </c>
      <c r="P7" s="2"/>
      <c r="Q7" s="10" t="s">
        <v>30</v>
      </c>
      <c r="R7" s="14" t="s">
        <v>31</v>
      </c>
      <c r="T7" s="21" t="s">
        <v>32</v>
      </c>
      <c r="U7" s="23" t="s">
        <v>33</v>
      </c>
      <c r="V7" s="19" t="s">
        <v>33</v>
      </c>
      <c r="W7" s="16"/>
    </row>
    <row r="8" spans="1:23" ht="15" x14ac:dyDescent="0.25">
      <c r="A8" s="10" t="s">
        <v>34</v>
      </c>
      <c r="B8" s="10">
        <v>1065</v>
      </c>
      <c r="C8" s="10" t="s">
        <v>23</v>
      </c>
      <c r="D8" s="10" t="s">
        <v>23</v>
      </c>
      <c r="E8" s="11" t="s">
        <v>99</v>
      </c>
      <c r="F8" s="10">
        <v>10808795</v>
      </c>
      <c r="G8" s="10" t="s">
        <v>53</v>
      </c>
      <c r="H8" s="10" t="s">
        <v>54</v>
      </c>
      <c r="I8" s="10">
        <v>3</v>
      </c>
      <c r="J8" s="10" t="s">
        <v>27</v>
      </c>
      <c r="K8" s="10">
        <v>1</v>
      </c>
      <c r="L8" s="10">
        <v>1</v>
      </c>
      <c r="M8" s="10" t="s">
        <v>28</v>
      </c>
      <c r="N8" s="10" t="s">
        <v>29</v>
      </c>
      <c r="O8" s="10">
        <v>0</v>
      </c>
      <c r="P8" s="2"/>
      <c r="Q8" s="10" t="s">
        <v>30</v>
      </c>
      <c r="R8" s="14" t="str">
        <f t="shared" ref="R8:R19" si="0">IF(I8="5/8","Every 10 years",IF(I8="3/4","Every 10 years",IF(I8="1-1/2","Every 10 years",IF(I8&lt;3,"Every 10 years",IF(I8&gt;=3,"Annually","")))))</f>
        <v>Annually</v>
      </c>
      <c r="T8" s="20" t="s">
        <v>41</v>
      </c>
      <c r="U8" s="23" t="s">
        <v>33</v>
      </c>
      <c r="V8" s="18" t="s">
        <v>55</v>
      </c>
    </row>
    <row r="9" spans="1:23" ht="15" x14ac:dyDescent="0.25">
      <c r="A9" s="10" t="s">
        <v>23</v>
      </c>
      <c r="B9" s="10">
        <v>1106</v>
      </c>
      <c r="C9" s="10" t="s">
        <v>23</v>
      </c>
      <c r="D9" s="10" t="s">
        <v>23</v>
      </c>
      <c r="E9" s="11" t="s">
        <v>56</v>
      </c>
      <c r="F9" s="10">
        <v>11801329</v>
      </c>
      <c r="G9" s="10" t="s">
        <v>53</v>
      </c>
      <c r="H9" s="10" t="s">
        <v>57</v>
      </c>
      <c r="I9" s="10">
        <v>3</v>
      </c>
      <c r="J9" s="10" t="s">
        <v>27</v>
      </c>
      <c r="K9" s="10">
        <v>1</v>
      </c>
      <c r="L9" s="10">
        <v>1</v>
      </c>
      <c r="M9" s="10" t="s">
        <v>28</v>
      </c>
      <c r="N9" s="10" t="s">
        <v>29</v>
      </c>
      <c r="O9" s="10">
        <v>10</v>
      </c>
      <c r="P9" s="2"/>
      <c r="Q9" s="10" t="s">
        <v>30</v>
      </c>
      <c r="R9" s="14" t="str">
        <f t="shared" si="0"/>
        <v>Annually</v>
      </c>
      <c r="T9" s="21" t="s">
        <v>32</v>
      </c>
      <c r="U9" s="23" t="s">
        <v>33</v>
      </c>
      <c r="V9" s="18" t="s">
        <v>55</v>
      </c>
    </row>
    <row r="10" spans="1:23" ht="15" x14ac:dyDescent="0.25">
      <c r="A10" s="10" t="s">
        <v>23</v>
      </c>
      <c r="B10" s="10">
        <v>1305</v>
      </c>
      <c r="C10" s="10" t="s">
        <v>23</v>
      </c>
      <c r="D10" s="10" t="s">
        <v>34</v>
      </c>
      <c r="E10" s="11" t="s">
        <v>58</v>
      </c>
      <c r="F10" s="10">
        <v>11803763</v>
      </c>
      <c r="G10" s="10" t="s">
        <v>53</v>
      </c>
      <c r="H10" s="10" t="s">
        <v>59</v>
      </c>
      <c r="I10" s="10">
        <v>3</v>
      </c>
      <c r="J10" s="10" t="s">
        <v>27</v>
      </c>
      <c r="K10" s="10">
        <v>1</v>
      </c>
      <c r="L10" s="10">
        <v>1</v>
      </c>
      <c r="M10" s="10" t="s">
        <v>28</v>
      </c>
      <c r="N10" s="10" t="s">
        <v>29</v>
      </c>
      <c r="O10" s="10">
        <v>0</v>
      </c>
      <c r="P10" s="2"/>
      <c r="Q10" s="10" t="s">
        <v>30</v>
      </c>
      <c r="R10" s="14" t="str">
        <f t="shared" si="0"/>
        <v>Annually</v>
      </c>
      <c r="T10" s="21" t="s">
        <v>32</v>
      </c>
      <c r="U10" s="23" t="s">
        <v>33</v>
      </c>
      <c r="V10" s="18" t="s">
        <v>55</v>
      </c>
    </row>
    <row r="11" spans="1:23" ht="15" x14ac:dyDescent="0.25">
      <c r="A11" s="10" t="s">
        <v>23</v>
      </c>
      <c r="B11" s="10">
        <v>1604</v>
      </c>
      <c r="C11" s="10" t="s">
        <v>34</v>
      </c>
      <c r="D11" s="10" t="s">
        <v>34</v>
      </c>
      <c r="E11" s="11" t="s">
        <v>60</v>
      </c>
      <c r="F11" s="10">
        <v>70224444</v>
      </c>
      <c r="G11" s="10" t="s">
        <v>37</v>
      </c>
      <c r="H11" s="10" t="s">
        <v>61</v>
      </c>
      <c r="I11" s="10">
        <v>3</v>
      </c>
      <c r="J11" s="10" t="s">
        <v>27</v>
      </c>
      <c r="K11" s="10">
        <v>1</v>
      </c>
      <c r="L11" s="10">
        <v>1</v>
      </c>
      <c r="M11" s="10" t="s">
        <v>28</v>
      </c>
      <c r="N11" s="10" t="s">
        <v>40</v>
      </c>
      <c r="O11" s="10">
        <v>10</v>
      </c>
      <c r="P11" s="2"/>
      <c r="Q11" s="10" t="s">
        <v>30</v>
      </c>
      <c r="R11" s="14" t="str">
        <f t="shared" si="0"/>
        <v>Annually</v>
      </c>
      <c r="T11" s="20" t="s">
        <v>41</v>
      </c>
      <c r="U11" s="23" t="s">
        <v>33</v>
      </c>
      <c r="V11" s="18" t="s">
        <v>55</v>
      </c>
    </row>
    <row r="12" spans="1:23" ht="15" x14ac:dyDescent="0.25">
      <c r="A12" s="10" t="s">
        <v>23</v>
      </c>
      <c r="B12" s="10">
        <v>1607</v>
      </c>
      <c r="C12" s="10" t="s">
        <v>23</v>
      </c>
      <c r="D12" s="10" t="s">
        <v>23</v>
      </c>
      <c r="E12" s="11" t="s">
        <v>62</v>
      </c>
      <c r="F12" s="10">
        <v>10808798</v>
      </c>
      <c r="G12" s="10" t="s">
        <v>53</v>
      </c>
      <c r="H12" s="10" t="s">
        <v>63</v>
      </c>
      <c r="I12" s="10">
        <v>3</v>
      </c>
      <c r="J12" s="10" t="s">
        <v>27</v>
      </c>
      <c r="K12" s="10">
        <v>1</v>
      </c>
      <c r="L12" s="10">
        <v>1</v>
      </c>
      <c r="M12" s="10" t="s">
        <v>28</v>
      </c>
      <c r="N12" s="10" t="s">
        <v>29</v>
      </c>
      <c r="O12" s="10">
        <v>0</v>
      </c>
      <c r="P12" s="2"/>
      <c r="Q12" s="10" t="s">
        <v>30</v>
      </c>
      <c r="R12" s="14" t="str">
        <f t="shared" si="0"/>
        <v>Annually</v>
      </c>
      <c r="T12" s="24" t="s">
        <v>41</v>
      </c>
      <c r="U12" s="23" t="s">
        <v>33</v>
      </c>
      <c r="V12" s="22" t="s">
        <v>33</v>
      </c>
    </row>
    <row r="13" spans="1:23" ht="15" x14ac:dyDescent="0.25">
      <c r="A13" s="10" t="s">
        <v>23</v>
      </c>
      <c r="B13" s="10">
        <v>1614</v>
      </c>
      <c r="C13" s="10" t="s">
        <v>23</v>
      </c>
      <c r="D13" s="10" t="s">
        <v>23</v>
      </c>
      <c r="E13" s="11" t="s">
        <v>64</v>
      </c>
      <c r="F13" s="10">
        <v>11803762</v>
      </c>
      <c r="G13" s="10" t="s">
        <v>53</v>
      </c>
      <c r="H13" s="10" t="s">
        <v>65</v>
      </c>
      <c r="I13" s="10">
        <v>3</v>
      </c>
      <c r="J13" s="10" t="s">
        <v>27</v>
      </c>
      <c r="K13" s="10">
        <v>1</v>
      </c>
      <c r="L13" s="10">
        <v>1</v>
      </c>
      <c r="M13" s="10" t="s">
        <v>28</v>
      </c>
      <c r="N13" s="10" t="s">
        <v>29</v>
      </c>
      <c r="O13" s="10">
        <v>0</v>
      </c>
      <c r="P13" s="2"/>
      <c r="Q13" s="10" t="s">
        <v>30</v>
      </c>
      <c r="R13" s="14" t="str">
        <f t="shared" si="0"/>
        <v>Annually</v>
      </c>
      <c r="T13" s="21" t="s">
        <v>32</v>
      </c>
      <c r="U13" s="23" t="s">
        <v>33</v>
      </c>
      <c r="V13" s="18" t="s">
        <v>55</v>
      </c>
    </row>
    <row r="14" spans="1:23" ht="15" x14ac:dyDescent="0.25">
      <c r="A14" s="10" t="s">
        <v>23</v>
      </c>
      <c r="B14" s="10">
        <v>1614</v>
      </c>
      <c r="C14" s="10" t="s">
        <v>23</v>
      </c>
      <c r="D14" s="10" t="s">
        <v>23</v>
      </c>
      <c r="E14" s="11" t="s">
        <v>66</v>
      </c>
      <c r="F14" s="10">
        <v>11803764</v>
      </c>
      <c r="G14" s="10" t="s">
        <v>53</v>
      </c>
      <c r="H14" s="10" t="s">
        <v>67</v>
      </c>
      <c r="I14" s="10">
        <v>3</v>
      </c>
      <c r="J14" s="10" t="s">
        <v>27</v>
      </c>
      <c r="K14" s="10">
        <v>1</v>
      </c>
      <c r="L14" s="10">
        <v>1</v>
      </c>
      <c r="M14" s="10" t="s">
        <v>68</v>
      </c>
      <c r="N14" s="10" t="s">
        <v>29</v>
      </c>
      <c r="O14" s="10">
        <v>0</v>
      </c>
      <c r="P14" s="2"/>
      <c r="Q14" s="10" t="s">
        <v>30</v>
      </c>
      <c r="R14" s="14" t="str">
        <f t="shared" si="0"/>
        <v>Annually</v>
      </c>
      <c r="T14" s="21" t="s">
        <v>32</v>
      </c>
      <c r="U14" s="23" t="s">
        <v>33</v>
      </c>
      <c r="V14" s="18" t="s">
        <v>55</v>
      </c>
    </row>
    <row r="15" spans="1:23" ht="15" x14ac:dyDescent="0.25">
      <c r="A15" s="10" t="s">
        <v>23</v>
      </c>
      <c r="B15" s="10">
        <v>1994</v>
      </c>
      <c r="C15" s="10" t="s">
        <v>23</v>
      </c>
      <c r="D15" s="10" t="s">
        <v>23</v>
      </c>
      <c r="E15" s="11" t="s">
        <v>69</v>
      </c>
      <c r="F15" s="10">
        <v>11801340</v>
      </c>
      <c r="G15" s="10" t="s">
        <v>53</v>
      </c>
      <c r="H15" s="10" t="s">
        <v>70</v>
      </c>
      <c r="I15" s="10">
        <v>3</v>
      </c>
      <c r="J15" s="10" t="s">
        <v>27</v>
      </c>
      <c r="K15" s="10">
        <v>1</v>
      </c>
      <c r="L15" s="10">
        <v>1</v>
      </c>
      <c r="M15" s="10" t="s">
        <v>28</v>
      </c>
      <c r="N15" s="10" t="s">
        <v>29</v>
      </c>
      <c r="O15" s="10">
        <v>0</v>
      </c>
      <c r="P15" s="2"/>
      <c r="Q15" s="10" t="s">
        <v>30</v>
      </c>
      <c r="R15" s="14" t="str">
        <f t="shared" si="0"/>
        <v>Annually</v>
      </c>
      <c r="T15" s="21" t="s">
        <v>32</v>
      </c>
      <c r="U15" s="23" t="s">
        <v>33</v>
      </c>
      <c r="V15" s="18" t="s">
        <v>55</v>
      </c>
    </row>
    <row r="16" spans="1:23" ht="15" x14ac:dyDescent="0.25">
      <c r="A16" s="10" t="s">
        <v>23</v>
      </c>
      <c r="B16" s="10">
        <v>1102</v>
      </c>
      <c r="C16" s="10" t="s">
        <v>23</v>
      </c>
      <c r="D16" s="10" t="s">
        <v>23</v>
      </c>
      <c r="E16" s="11" t="s">
        <v>62</v>
      </c>
      <c r="F16" s="10">
        <v>10808797</v>
      </c>
      <c r="G16" s="10" t="s">
        <v>53</v>
      </c>
      <c r="H16" s="10" t="s">
        <v>71</v>
      </c>
      <c r="I16" s="10">
        <v>3</v>
      </c>
      <c r="J16" s="10" t="s">
        <v>27</v>
      </c>
      <c r="K16" s="10">
        <v>1</v>
      </c>
      <c r="L16" s="10">
        <v>1</v>
      </c>
      <c r="M16" s="10" t="s">
        <v>28</v>
      </c>
      <c r="N16" s="10" t="s">
        <v>29</v>
      </c>
      <c r="O16" s="10">
        <v>0</v>
      </c>
      <c r="P16" s="2"/>
      <c r="Q16" s="10" t="s">
        <v>30</v>
      </c>
      <c r="R16" s="14" t="str">
        <f t="shared" si="0"/>
        <v>Annually</v>
      </c>
      <c r="T16" s="21" t="s">
        <v>32</v>
      </c>
      <c r="U16" s="23" t="s">
        <v>33</v>
      </c>
      <c r="V16" s="18" t="s">
        <v>55</v>
      </c>
    </row>
    <row r="17" spans="1:22" ht="15" x14ac:dyDescent="0.25">
      <c r="A17" s="10" t="s">
        <v>23</v>
      </c>
      <c r="B17" s="10">
        <v>1108</v>
      </c>
      <c r="C17" s="10" t="s">
        <v>23</v>
      </c>
      <c r="D17" s="10" t="s">
        <v>23</v>
      </c>
      <c r="E17" s="11" t="s">
        <v>72</v>
      </c>
      <c r="F17" s="10">
        <v>10808793</v>
      </c>
      <c r="G17" s="10" t="s">
        <v>53</v>
      </c>
      <c r="H17" s="10" t="s">
        <v>73</v>
      </c>
      <c r="I17" s="10">
        <v>3</v>
      </c>
      <c r="J17" s="10" t="s">
        <v>27</v>
      </c>
      <c r="K17" s="10">
        <v>1</v>
      </c>
      <c r="L17" s="10"/>
      <c r="M17" s="10" t="s">
        <v>28</v>
      </c>
      <c r="N17" s="10" t="s">
        <v>29</v>
      </c>
      <c r="O17" s="10">
        <v>100</v>
      </c>
      <c r="P17" s="2"/>
      <c r="Q17" s="10" t="s">
        <v>30</v>
      </c>
      <c r="R17" s="14" t="str">
        <f t="shared" si="0"/>
        <v>Annually</v>
      </c>
      <c r="T17" s="21" t="s">
        <v>32</v>
      </c>
      <c r="U17" s="23" t="s">
        <v>33</v>
      </c>
      <c r="V17" s="18" t="s">
        <v>55</v>
      </c>
    </row>
    <row r="18" spans="1:22" ht="15" x14ac:dyDescent="0.25">
      <c r="A18" s="10" t="s">
        <v>34</v>
      </c>
      <c r="B18" s="10" t="s">
        <v>74</v>
      </c>
      <c r="C18" s="10" t="s">
        <v>23</v>
      </c>
      <c r="D18" s="10" t="s">
        <v>75</v>
      </c>
      <c r="E18" s="11" t="s">
        <v>76</v>
      </c>
      <c r="F18" s="10" t="s">
        <v>77</v>
      </c>
      <c r="G18" s="10" t="s">
        <v>37</v>
      </c>
      <c r="H18" s="10"/>
      <c r="I18" s="10">
        <v>4</v>
      </c>
      <c r="J18" s="10"/>
      <c r="K18" s="10">
        <v>1</v>
      </c>
      <c r="L18" s="10"/>
      <c r="M18" s="10" t="s">
        <v>28</v>
      </c>
      <c r="N18" s="10" t="s">
        <v>29</v>
      </c>
      <c r="O18" s="10"/>
      <c r="P18" s="29"/>
      <c r="Q18" s="10" t="s">
        <v>30</v>
      </c>
      <c r="R18" s="14" t="s">
        <v>31</v>
      </c>
      <c r="T18" s="21"/>
      <c r="U18" s="23"/>
      <c r="V18" s="18"/>
    </row>
    <row r="19" spans="1:22" ht="15" x14ac:dyDescent="0.25">
      <c r="A19" s="10" t="s">
        <v>34</v>
      </c>
      <c r="B19" s="10" t="s">
        <v>78</v>
      </c>
      <c r="C19" s="10" t="s">
        <v>23</v>
      </c>
      <c r="D19" s="10" t="s">
        <v>23</v>
      </c>
      <c r="E19" s="11" t="s">
        <v>79</v>
      </c>
      <c r="F19" s="10">
        <v>31944690</v>
      </c>
      <c r="G19" s="10" t="s">
        <v>37</v>
      </c>
      <c r="H19" s="10" t="s">
        <v>80</v>
      </c>
      <c r="I19" s="10">
        <v>8</v>
      </c>
      <c r="J19" s="10" t="s">
        <v>27</v>
      </c>
      <c r="K19" s="10">
        <v>1</v>
      </c>
      <c r="L19" s="10">
        <v>1</v>
      </c>
      <c r="M19" s="10" t="s">
        <v>81</v>
      </c>
      <c r="N19" s="10" t="s">
        <v>40</v>
      </c>
      <c r="O19" s="10">
        <v>100</v>
      </c>
      <c r="P19" s="2"/>
      <c r="Q19" s="10" t="s">
        <v>30</v>
      </c>
      <c r="R19" s="14" t="str">
        <f t="shared" si="0"/>
        <v>Annually</v>
      </c>
      <c r="T19" s="20" t="s">
        <v>41</v>
      </c>
      <c r="U19" s="23" t="s">
        <v>33</v>
      </c>
      <c r="V19" s="22" t="s">
        <v>33</v>
      </c>
    </row>
    <row r="20" spans="1:22" ht="15" x14ac:dyDescent="0.25">
      <c r="A20" s="10" t="s">
        <v>34</v>
      </c>
      <c r="B20" s="10" t="s">
        <v>78</v>
      </c>
      <c r="C20" s="10" t="s">
        <v>23</v>
      </c>
      <c r="D20" s="10" t="s">
        <v>23</v>
      </c>
      <c r="E20" s="11" t="s">
        <v>79</v>
      </c>
      <c r="F20" s="10">
        <v>60392470</v>
      </c>
      <c r="G20" s="10" t="s">
        <v>37</v>
      </c>
      <c r="H20" s="10" t="s">
        <v>82</v>
      </c>
      <c r="I20" s="10">
        <v>2</v>
      </c>
      <c r="J20" s="10" t="s">
        <v>27</v>
      </c>
      <c r="K20" s="10">
        <v>1</v>
      </c>
      <c r="L20" s="10"/>
      <c r="M20" s="10" t="s">
        <v>81</v>
      </c>
      <c r="N20" s="10" t="s">
        <v>29</v>
      </c>
      <c r="O20" s="10">
        <v>100</v>
      </c>
      <c r="P20" s="2"/>
      <c r="Q20" s="10" t="s">
        <v>30</v>
      </c>
      <c r="R20" s="14" t="s">
        <v>31</v>
      </c>
      <c r="T20" s="20" t="s">
        <v>41</v>
      </c>
      <c r="U20" s="23" t="s">
        <v>33</v>
      </c>
      <c r="V20" s="22" t="s">
        <v>33</v>
      </c>
    </row>
    <row r="21" spans="1:22" ht="15" x14ac:dyDescent="0.25">
      <c r="R21" s="26"/>
      <c r="T21" s="27"/>
      <c r="U21" s="27"/>
      <c r="V21" s="28"/>
    </row>
    <row r="22" spans="1:2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4" spans="1:22" x14ac:dyDescent="0.25">
      <c r="A24" s="3" t="s">
        <v>83</v>
      </c>
      <c r="B24" s="3">
        <f>COUNTA(B3:B20)</f>
        <v>18</v>
      </c>
      <c r="N24" s="31"/>
      <c r="O24" s="31"/>
      <c r="P24" s="31"/>
      <c r="Q24" s="31"/>
    </row>
    <row r="25" spans="1:22" hidden="1" x14ac:dyDescent="0.25">
      <c r="F25" s="5" t="s">
        <v>84</v>
      </c>
    </row>
    <row r="26" spans="1:22" hidden="1" x14ac:dyDescent="0.25">
      <c r="F26" s="3" t="s">
        <v>85</v>
      </c>
      <c r="G26" s="3" t="s">
        <v>86</v>
      </c>
    </row>
    <row r="27" spans="1:22" hidden="1" x14ac:dyDescent="0.25">
      <c r="F27" s="3" t="s">
        <v>87</v>
      </c>
      <c r="G27" s="3" t="s">
        <v>88</v>
      </c>
    </row>
    <row r="28" spans="1:22" hidden="1" x14ac:dyDescent="0.25">
      <c r="F28" s="3" t="s">
        <v>89</v>
      </c>
      <c r="G28" s="3" t="s">
        <v>90</v>
      </c>
    </row>
    <row r="29" spans="1:22" hidden="1" x14ac:dyDescent="0.25">
      <c r="F29" s="3" t="s">
        <v>91</v>
      </c>
      <c r="G29" s="3" t="s">
        <v>92</v>
      </c>
    </row>
    <row r="30" spans="1:22" hidden="1" x14ac:dyDescent="0.25">
      <c r="F30" s="3" t="s">
        <v>93</v>
      </c>
      <c r="G30" s="3" t="s">
        <v>94</v>
      </c>
    </row>
    <row r="31" spans="1:22" x14ac:dyDescent="0.25">
      <c r="A31" s="5"/>
      <c r="E31" s="15"/>
      <c r="N31" s="31"/>
      <c r="O31" s="31"/>
      <c r="P31" s="31"/>
      <c r="Q31" s="31"/>
    </row>
    <row r="33" spans="5:5" x14ac:dyDescent="0.25">
      <c r="E33" s="5" t="s">
        <v>95</v>
      </c>
    </row>
    <row r="34" spans="5:5" x14ac:dyDescent="0.25">
      <c r="E34" s="5" t="s">
        <v>96</v>
      </c>
    </row>
    <row r="35" spans="5:5" x14ac:dyDescent="0.25">
      <c r="E35" s="5" t="s">
        <v>97</v>
      </c>
    </row>
    <row r="38" spans="5:5" x14ac:dyDescent="0.25">
      <c r="E38" s="5" t="s">
        <v>98</v>
      </c>
    </row>
  </sheetData>
  <autoFilter ref="A2:R22" xr:uid="{00000000-0009-0000-0000-000000000000}"/>
  <mergeCells count="3">
    <mergeCell ref="A1:R1"/>
    <mergeCell ref="N24:Q24"/>
    <mergeCell ref="N31:Q31"/>
  </mergeCells>
  <printOptions horizontalCentered="1"/>
  <pageMargins left="0.17" right="0.17" top="0.54" bottom="0.2" header="0.27" footer="0.16"/>
  <pageSetup paperSize="5" scale="75" orientation="landscape" r:id="rId1"/>
  <headerFooter>
    <oddHeader>&amp;RAs of  &amp;D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336339-2738-48F8-8527-346B8C097A1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A7ABBAA-AF4B-4D8A-8C39-A8079DA385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DCF8AA-3D62-4D1D-9AA7-469DEC629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Water</vt:lpstr>
      <vt:lpstr>Water!Print_Area</vt:lpstr>
      <vt:lpstr>Water!Print_Titles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Bilodeau, Theresa CTR USAF AFMC 66 ABG/CEK</dc:creator>
  <cp:keywords/>
  <dc:description/>
  <cp:lastModifiedBy>ASANTE, DELANO Y 1st Lt USAF AFMC AFLCMC/PZI</cp:lastModifiedBy>
  <cp:revision/>
  <dcterms:created xsi:type="dcterms:W3CDTF">2011-04-18T14:58:12Z</dcterms:created>
  <dcterms:modified xsi:type="dcterms:W3CDTF">2026-04-15T12:51:44Z</dcterms:modified>
  <cp:category/>
  <cp:contentStatus/>
</cp:coreProperties>
</file>