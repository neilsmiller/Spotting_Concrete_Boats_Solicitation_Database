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charles_j_bartlett_civ_health_mil/Documents/Desktop/"/>
    </mc:Choice>
  </mc:AlternateContent>
  <xr:revisionPtr revIDLastSave="217" documentId="8_{A9DE8097-33A0-4C2D-AA49-9B0DF0614B27}" xr6:coauthVersionLast="47" xr6:coauthVersionMax="47" xr10:uidLastSave="{1B04186A-12C2-402C-96B0-FB1D64CDDC00}"/>
  <bookViews>
    <workbookView xWindow="-120" yWindow="-120" windowWidth="29040" windowHeight="15720" activeTab="2" xr2:uid="{13D5E0A7-8EA6-46E0-A401-C8EBC12F600E}"/>
  </bookViews>
  <sheets>
    <sheet name="PRICING SHEET" sheetId="1" r:id="rId1"/>
    <sheet name="SUPPLEMENTAL PRICING SHEET" sheetId="2" r:id="rId2"/>
    <sheet name="ODC BUILD-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3" i="2" l="1"/>
  <c r="E122" i="2"/>
  <c r="E121" i="2"/>
  <c r="E120" i="2"/>
  <c r="D115" i="2"/>
  <c r="C115" i="2"/>
  <c r="B115" i="2"/>
  <c r="E114" i="2"/>
  <c r="E113" i="2"/>
  <c r="E112" i="2"/>
  <c r="E111" i="2"/>
  <c r="D107" i="2"/>
  <c r="C107" i="2"/>
  <c r="B107" i="2"/>
  <c r="E106" i="2"/>
  <c r="E105" i="2"/>
  <c r="E104" i="2"/>
  <c r="E103" i="2"/>
  <c r="E98" i="2"/>
  <c r="E97" i="2"/>
  <c r="E96" i="2"/>
  <c r="E95" i="2"/>
  <c r="D90" i="2"/>
  <c r="C90" i="2"/>
  <c r="B90" i="2"/>
  <c r="E89" i="2"/>
  <c r="E88" i="2"/>
  <c r="E87" i="2"/>
  <c r="E86" i="2"/>
  <c r="E90" i="2" s="1"/>
  <c r="D82" i="2"/>
  <c r="C82" i="2"/>
  <c r="B82" i="2"/>
  <c r="E81" i="2"/>
  <c r="E80" i="2"/>
  <c r="E79" i="2"/>
  <c r="E78" i="2"/>
  <c r="E74" i="2"/>
  <c r="E73" i="2"/>
  <c r="E72" i="2"/>
  <c r="E71" i="2"/>
  <c r="D66" i="2"/>
  <c r="C66" i="2"/>
  <c r="B66" i="2"/>
  <c r="E65" i="2"/>
  <c r="E64" i="2"/>
  <c r="E63" i="2"/>
  <c r="E62" i="2"/>
  <c r="E66" i="2" s="1"/>
  <c r="D58" i="2"/>
  <c r="C58" i="2"/>
  <c r="B58" i="2"/>
  <c r="E57" i="2"/>
  <c r="E56" i="2"/>
  <c r="E55" i="2"/>
  <c r="E54" i="2"/>
  <c r="E50" i="2"/>
  <c r="E49" i="2"/>
  <c r="E48" i="2"/>
  <c r="E47" i="2"/>
  <c r="D42" i="2"/>
  <c r="C42" i="2"/>
  <c r="B42" i="2"/>
  <c r="E41" i="2"/>
  <c r="E40" i="2"/>
  <c r="E39" i="2"/>
  <c r="E38" i="2"/>
  <c r="D34" i="2"/>
  <c r="C34" i="2"/>
  <c r="B34" i="2"/>
  <c r="E33" i="2"/>
  <c r="E32" i="2"/>
  <c r="E31" i="2"/>
  <c r="E30" i="2"/>
  <c r="E25" i="2"/>
  <c r="E24" i="2"/>
  <c r="E23" i="2"/>
  <c r="E22" i="2"/>
  <c r="G40" i="1"/>
  <c r="G39" i="1"/>
  <c r="G38" i="1"/>
  <c r="G43" i="1" s="1"/>
  <c r="G32" i="1"/>
  <c r="G31" i="1"/>
  <c r="G35" i="1" s="1"/>
  <c r="G30" i="1"/>
  <c r="G27" i="1"/>
  <c r="G24" i="1"/>
  <c r="G23" i="1"/>
  <c r="G22" i="1"/>
  <c r="G19" i="1"/>
  <c r="G16" i="1"/>
  <c r="G15" i="1"/>
  <c r="G14" i="1"/>
  <c r="D17" i="2"/>
  <c r="C17" i="2"/>
  <c r="B17" i="2"/>
  <c r="E16" i="2"/>
  <c r="E15" i="2"/>
  <c r="E14" i="2"/>
  <c r="E13" i="2"/>
  <c r="G7" i="1"/>
  <c r="G5" i="1"/>
  <c r="E8" i="2"/>
  <c r="E7" i="2"/>
  <c r="E6" i="2"/>
  <c r="E5" i="2"/>
  <c r="D9" i="2"/>
  <c r="C9" i="2"/>
  <c r="B9" i="2"/>
  <c r="G6" i="1"/>
  <c r="E115" i="2" l="1"/>
  <c r="E107" i="2"/>
  <c r="E42" i="2"/>
  <c r="E34" i="2"/>
  <c r="E58" i="2"/>
  <c r="E82" i="2"/>
  <c r="E17" i="2"/>
  <c r="G10" i="1"/>
  <c r="E9" i="2"/>
</calcChain>
</file>

<file path=xl/sharedStrings.xml><?xml version="1.0" encoding="utf-8"?>
<sst xmlns="http://schemas.openxmlformats.org/spreadsheetml/2006/main" count="450" uniqueCount="114">
  <si>
    <t xml:space="preserve">Attachment 1 Pricing Sheet </t>
  </si>
  <si>
    <t>Base Period</t>
  </si>
  <si>
    <t>CLINS</t>
  </si>
  <si>
    <t xml:space="preserve"> Description </t>
  </si>
  <si>
    <t>CLIN TYPE</t>
  </si>
  <si>
    <t>Quantity</t>
  </si>
  <si>
    <t>Unit of Issue</t>
  </si>
  <si>
    <t>Unit Price</t>
  </si>
  <si>
    <t>Total</t>
  </si>
  <si>
    <t>0001</t>
  </si>
  <si>
    <t>FFP</t>
  </si>
  <si>
    <t>Months</t>
  </si>
  <si>
    <t>0002</t>
  </si>
  <si>
    <t>Job</t>
  </si>
  <si>
    <t>TOTAL BASE PERIOD</t>
  </si>
  <si>
    <t>Option Period 1</t>
  </si>
  <si>
    <t>1001</t>
  </si>
  <si>
    <t>1002</t>
  </si>
  <si>
    <t>Option Period 2</t>
  </si>
  <si>
    <t xml:space="preserve"> Description</t>
  </si>
  <si>
    <t>2001</t>
  </si>
  <si>
    <t>2002</t>
  </si>
  <si>
    <t>COST</t>
  </si>
  <si>
    <t>3001</t>
  </si>
  <si>
    <t>3002</t>
  </si>
  <si>
    <t>4001</t>
  </si>
  <si>
    <t>4002</t>
  </si>
  <si>
    <t>Option Period 3</t>
  </si>
  <si>
    <t>Option Period 4</t>
  </si>
  <si>
    <t># Labor Hours</t>
  </si>
  <si>
    <t>FTEs</t>
  </si>
  <si>
    <t>Hourly Rates</t>
  </si>
  <si>
    <t>Total Cost/Price</t>
  </si>
  <si>
    <t>CLIN Type</t>
  </si>
  <si>
    <t>Prime Or Sub</t>
  </si>
  <si>
    <t>TOTAL</t>
  </si>
  <si>
    <r>
      <t xml:space="preserve">NOTE: </t>
    </r>
    <r>
      <rPr>
        <sz val="12"/>
        <color theme="1"/>
        <rFont val="Calibri"/>
        <family val="2"/>
        <scheme val="minor"/>
      </rPr>
      <t xml:space="preserve"> 1,920 is considered a standard Full Time Equivalent (FTE) per year. </t>
    </r>
  </si>
  <si>
    <t>BASE PERIOD OTHER DIRECT COSTS (ODCS) (PWS Section 2.1.4)</t>
  </si>
  <si>
    <t>OPTION PERIOD ONE OTHER DIRECT COSTS (ODCS) (PWS Section 2.1.4)</t>
  </si>
  <si>
    <t>OPTION PERIOD TWO OTHER DIRECT COSTS (ODCS) (PWS Section 2.1.4)</t>
  </si>
  <si>
    <t>OPTION PERIOD THREE OTHER DIRECT COSTS (ODCS) (PWS Section 2.1.4)</t>
  </si>
  <si>
    <t>OPTION PERIOD FOUR OTHER DIRECT COSTS (ODCS) (PWS Section 2.1.4)</t>
  </si>
  <si>
    <t>BASE PERIOD 	
Medical Focus PM Training: Medical Focus PM Training (DAU Certified) (PWS Section 2.01)</t>
  </si>
  <si>
    <t>OPTION PERIOD FOUR
Medical Focus PM Training: Medical Focus PM Training (DAU Certified) (PWS Section 2.01)</t>
  </si>
  <si>
    <t>OPTION PERIOD THREE	
Medical Focus PM Training: Medical Focus PM Training (DAU Certified) (PWS Section 2.01)</t>
  </si>
  <si>
    <t>OPTION PERIOD TWO	
Medical Focus PM Training: Medical Focus PM Training (DAU Certified) (PWS Section 2.01)</t>
  </si>
  <si>
    <t>DHA IMAC Training Courses</t>
  </si>
  <si>
    <t>Labor Categories</t>
  </si>
  <si>
    <t>Ea</t>
  </si>
  <si>
    <t>0004</t>
  </si>
  <si>
    <t>1004</t>
  </si>
  <si>
    <t>3004</t>
  </si>
  <si>
    <t>2004</t>
  </si>
  <si>
    <t>4004</t>
  </si>
  <si>
    <t>Base Period - CLIN 0001 (DAU Certified Course - 6 Total) Labor Categories &amp; Line Items
(12 Month Period of Performance)</t>
  </si>
  <si>
    <t>BASE PERIOD - 2 Truncated (but non-certified) version of the DAU - certified course (PWS Section 2.1)</t>
  </si>
  <si>
    <t xml:space="preserve">COST </t>
  </si>
  <si>
    <t>0003 (Option)</t>
  </si>
  <si>
    <t>0005 (Option)</t>
  </si>
  <si>
    <t>BASE PERIOD (OPTIONAL)  ODCs - 2 Ea Truncated (but non-certified) version of the DAU - certified course (PWS Section 2.1)</t>
  </si>
  <si>
    <t>BASE PERIOD (Optional) 2 Ea Truncated (but non-certified) version of the DAU - certified course (PWS Section 2.1)</t>
  </si>
  <si>
    <t>1003 (Option)</t>
  </si>
  <si>
    <t>1005 (Option)</t>
  </si>
  <si>
    <t>OPTION PERIOD ONE  - 2 Truncated (but non-certified) version of the DAU - certified course (PWS Section 2.1)</t>
  </si>
  <si>
    <t>OPTION PERIOD ONE  (Optional) 2 Ea Truncated (but non-certified) version of the DAU - certified course (PWS Section 2.1)</t>
  </si>
  <si>
    <t>OPTION PERIOD ONE (OPTIONAL)  ODCs - 2 Ea Truncated (but non-certified) version of the DAU - certified course (PWS Section 2.1)</t>
  </si>
  <si>
    <t>TOTAL OPTION PERIOD ONE</t>
  </si>
  <si>
    <t>OPTION PERIOD ONE 	
Medical Focus PM Training: Medical Focus PM Training (DAU Certified) (PWS Section 2.01)</t>
  </si>
  <si>
    <t>2003 (Option)</t>
  </si>
  <si>
    <t>2005 (Option)</t>
  </si>
  <si>
    <t>TOTAL OPTION PERIOD TWO</t>
  </si>
  <si>
    <t>OPTION PERIOD TWO  - 2 Truncated (but non-certified) version of the DAU - certified course (PWS Section 2.1)</t>
  </si>
  <si>
    <t>OPTION PERIOD TWO  (Optional) 2 Ea Truncated (but non-certified) version of the DAU - certified course (PWS Section 2.1)</t>
  </si>
  <si>
    <t>OPTION PERIOD TWO (OPTIONAL)  ODCs - 2 Ea Truncated (but non-certified) version of the DAU - certified course (PWS Section 2.1)</t>
  </si>
  <si>
    <t>3003 (Option)</t>
  </si>
  <si>
    <t>3005 (Option)</t>
  </si>
  <si>
    <t>OPTION PERIOD THREE  - 2 Truncated (but non-certified) version of the DAU - certified course (PWS Section 2.1)</t>
  </si>
  <si>
    <t>OPTION PERIOD THREE  (Optional) 2 Ea Truncated (but non-certified) version of the DAU - certified course (PWS Section 2.1)</t>
  </si>
  <si>
    <t>OPTION PERIOD THREE (OPTIONAL)  ODCs - 2 Ea Truncated (but non-certified) version of the DAU - certified course (PWS Section 2.1)</t>
  </si>
  <si>
    <t>TOTAL OPTION PERIOD THREE</t>
  </si>
  <si>
    <t>4003 (Option)</t>
  </si>
  <si>
    <t>4005 (Option)</t>
  </si>
  <si>
    <t>OPTION PERIOD FOUR  - 2 Truncated (but non-certified) version of the DAU - certified course (PWS Section 2.1)</t>
  </si>
  <si>
    <t>OPTION PERIOD FOUR  (Optional) 2 Ea Truncated (but non-certified) version of the DAU - certified course (PWS Section 2.1)</t>
  </si>
  <si>
    <t>OPTION PERIOD FOUR (OPTIONAL)  ODCs - 2 Ea Truncated (but non-certified) version of the DAU - certified course (PWS Section 2.1)</t>
  </si>
  <si>
    <t>TOTAL OPTION PERIOD FOUR</t>
  </si>
  <si>
    <t xml:space="preserve"> Base Period Labor</t>
  </si>
  <si>
    <t>Base Period - CLIN 0002  (Truncated Course 2 Total)  Labor Categories &amp; Line Items
(12 Month Period of Performance)</t>
  </si>
  <si>
    <t>OPTIONAL Base Period - CLIN 0003 (Truncated Course 2 Total)  Labor Categories &amp; Line Items
(12 Month Period of Performance)</t>
  </si>
  <si>
    <t>OP1 Labor</t>
  </si>
  <si>
    <t>OP1  - CLIN 1001 (DAU Certified Course - 6 Total) Labor Categories &amp; Line Items
(12 Month Period of Performance)</t>
  </si>
  <si>
    <t>OP1 - CLIN 1002  (Truncated Course 2 Total)  Labor Categories &amp; Line Items
(12 Month Period of Performance)</t>
  </si>
  <si>
    <t>OPTIONAL OP1  - CLIN 1003 (Truncated Course 2 Total)  Labor Categories &amp; Line Items
(12 Month Period of Performance)</t>
  </si>
  <si>
    <t>OP2 Labor</t>
  </si>
  <si>
    <t>OP2  - CLIN 2001 (DAU Certified Course - 6 Total) Labor Categories &amp; Line Items
(12 Month Period of Performance)</t>
  </si>
  <si>
    <t>OP2 - CLIN 2002  (Truncated Course 2 Total)  Labor Categories &amp; Line Items
(12 Month Period of Performance)</t>
  </si>
  <si>
    <t>OPTIONAL OP2  - CLIN 2003 (Truncated Course 2 Total)  Labor Categories &amp; Line Items
(12 Month Period of Performance)</t>
  </si>
  <si>
    <t>OP3 Labor</t>
  </si>
  <si>
    <t>OP3  - CLIN 3001 (DAU Certified Course - 6 Total) Labor Categories &amp; Line Items
(12 Month Period of Performance)</t>
  </si>
  <si>
    <t>OP3 - CLIN 3002  (Truncated Course 2 Total)  Labor Categories &amp; Line Items
(12 Month Period of Performance)</t>
  </si>
  <si>
    <t>OPTIONAL OP3  - CLIN 3003 (Truncated Course 2 Total)  Labor Categories &amp; Line Items
(12 Month Period of Performance)</t>
  </si>
  <si>
    <t>OP4 Labor</t>
  </si>
  <si>
    <t>OP4  - CLIN 4001 (DAU Certified Course - 6 Total) Labor Categories &amp; Line Items
(12 Month Period of Performance)</t>
  </si>
  <si>
    <t>OP4 - CLIN 4002  (Truncated Course 2 Total)  Labor Categories &amp; Line Items
(12 Month Period of Performance)</t>
  </si>
  <si>
    <t>OPTIONAL OP4  - CLIN 4003 (Truncated Course 2 Total)  Labor Categories &amp; Line Items
(12 Month Period of Performance)</t>
  </si>
  <si>
    <t>COURSE PRICING (LABOR BUILD-UP)</t>
  </si>
  <si>
    <t>ODC BUILD-UP</t>
  </si>
  <si>
    <t>OP1</t>
  </si>
  <si>
    <t>OP2</t>
  </si>
  <si>
    <t>OP3</t>
  </si>
  <si>
    <t>OP4</t>
  </si>
  <si>
    <t>Travel</t>
  </si>
  <si>
    <t>Other (Materials, Printing, Shipping, Etc.)</t>
  </si>
  <si>
    <t>Other (Materials, Supplies, Printing,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</si>
</sst>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9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3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wrapText="1"/>
    </xf>
    <xf numFmtId="0" fontId="0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49" fontId="0" fillId="0" borderId="2" xfId="0" applyNumberFormat="1" applyFont="1" applyFill="1" applyBorder="1" applyAlignment="1">
      <alignment horizontal="left"/>
    </xf>
    <xf numFmtId="0" fontId="0" fillId="0" borderId="0" xfId="0" applyBorder="1" applyAlignment="1">
      <alignment wrapText="1"/>
    </xf>
    <xf numFmtId="0" fontId="0" fillId="4" borderId="0" xfId="0" applyFill="1" applyAlignment="1">
      <alignment horizontal="left"/>
    </xf>
    <xf numFmtId="0" fontId="0" fillId="4" borderId="0" xfId="0" applyFill="1" applyAlignment="1">
      <alignment wrapText="1"/>
    </xf>
    <xf numFmtId="0" fontId="0" fillId="0" borderId="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49" fontId="0" fillId="0" borderId="2" xfId="0" quotePrefix="1" applyNumberFormat="1" applyFont="1" applyFill="1" applyBorder="1" applyAlignment="1">
      <alignment horizontal="left"/>
    </xf>
    <xf numFmtId="164" fontId="2" fillId="3" borderId="3" xfId="0" applyNumberFormat="1" applyFont="1" applyFill="1" applyBorder="1" applyAlignment="1">
      <alignment horizontal="center" vertical="center"/>
    </xf>
    <xf numFmtId="0" fontId="6" fillId="0" borderId="0" xfId="1" applyFont="1"/>
    <xf numFmtId="0" fontId="5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5" fillId="7" borderId="2" xfId="1" applyFont="1" applyFill="1" applyBorder="1" applyAlignment="1">
      <alignment horizontal="left"/>
    </xf>
    <xf numFmtId="0" fontId="5" fillId="7" borderId="2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/>
    </xf>
    <xf numFmtId="0" fontId="7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7" fontId="6" fillId="0" borderId="2" xfId="2" applyNumberFormat="1" applyFont="1" applyFill="1" applyBorder="1" applyAlignment="1">
      <alignment horizontal="center" vertical="center" wrapText="1"/>
    </xf>
    <xf numFmtId="7" fontId="6" fillId="0" borderId="2" xfId="2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5" fillId="6" borderId="2" xfId="1" applyFont="1" applyFill="1" applyBorder="1"/>
    <xf numFmtId="3" fontId="5" fillId="6" borderId="2" xfId="1" applyNumberFormat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7" fontId="5" fillId="6" borderId="2" xfId="2" applyNumberFormat="1" applyFont="1" applyFill="1" applyBorder="1" applyAlignment="1">
      <alignment horizontal="center" vertical="center" wrapText="1"/>
    </xf>
    <xf numFmtId="7" fontId="5" fillId="6" borderId="2" xfId="2" applyNumberFormat="1" applyFont="1" applyFill="1" applyBorder="1" applyAlignment="1">
      <alignment horizontal="center" vertical="center"/>
    </xf>
    <xf numFmtId="44" fontId="5" fillId="6" borderId="2" xfId="2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0" fillId="0" borderId="3" xfId="0" applyNumberFormat="1" applyFont="1" applyFill="1" applyBorder="1" applyAlignment="1">
      <alignment horizontal="center" vertical="center"/>
    </xf>
    <xf numFmtId="0" fontId="5" fillId="6" borderId="0" xfId="1" applyFont="1" applyFill="1" applyBorder="1"/>
    <xf numFmtId="3" fontId="5" fillId="6" borderId="0" xfId="1" applyNumberFormat="1" applyFont="1" applyFill="1" applyBorder="1" applyAlignment="1">
      <alignment horizontal="center" vertical="center" wrapText="1"/>
    </xf>
    <xf numFmtId="0" fontId="5" fillId="6" borderId="0" xfId="1" applyFont="1" applyFill="1" applyBorder="1" applyAlignment="1">
      <alignment horizontal="center" vertical="center" wrapText="1"/>
    </xf>
    <xf numFmtId="7" fontId="5" fillId="6" borderId="0" xfId="2" applyNumberFormat="1" applyFont="1" applyFill="1" applyBorder="1" applyAlignment="1">
      <alignment horizontal="center" vertical="center" wrapText="1"/>
    </xf>
    <xf numFmtId="7" fontId="5" fillId="6" borderId="0" xfId="2" applyNumberFormat="1" applyFont="1" applyFill="1" applyBorder="1" applyAlignment="1">
      <alignment horizontal="center" vertical="center"/>
    </xf>
    <xf numFmtId="44" fontId="5" fillId="6" borderId="0" xfId="2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11" fillId="0" borderId="0" xfId="0" applyFont="1"/>
    <xf numFmtId="0" fontId="12" fillId="0" borderId="0" xfId="0" applyFont="1"/>
  </cellXfs>
  <cellStyles count="3">
    <cellStyle name="Currency 2" xfId="2" xr:uid="{86EA9591-2139-47F6-9AED-6BCB7D4F7A98}"/>
    <cellStyle name="Normal" xfId="0" builtinId="0"/>
    <cellStyle name="Normal 2" xfId="1" xr:uid="{BC00ABF7-5FB3-4179-9610-6F9E61E03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3A1C-727A-415F-8405-8ECC4D51FEE9}">
  <dimension ref="A1:Q43"/>
  <sheetViews>
    <sheetView workbookViewId="0">
      <selection activeCell="N8" sqref="N8"/>
    </sheetView>
  </sheetViews>
  <sheetFormatPr defaultRowHeight="15" x14ac:dyDescent="0.25"/>
  <cols>
    <col min="1" max="1" width="35.28515625" bestFit="1" customWidth="1"/>
    <col min="2" max="2" width="43.7109375" customWidth="1"/>
    <col min="3" max="3" width="9.7109375" bestFit="1" customWidth="1"/>
    <col min="4" max="4" width="25.28515625" customWidth="1"/>
    <col min="5" max="5" width="12.140625" bestFit="1" customWidth="1"/>
    <col min="6" max="7" width="10.140625" bestFit="1" customWidth="1"/>
  </cols>
  <sheetData>
    <row r="1" spans="1:7" x14ac:dyDescent="0.25">
      <c r="A1" s="17" t="s">
        <v>0</v>
      </c>
      <c r="B1" s="9"/>
      <c r="C1" s="12"/>
      <c r="D1" s="12"/>
      <c r="E1" s="12"/>
      <c r="F1" s="12"/>
      <c r="G1" s="12"/>
    </row>
    <row r="2" spans="1:7" x14ac:dyDescent="0.25">
      <c r="A2" s="18" t="s">
        <v>46</v>
      </c>
      <c r="B2" s="9"/>
      <c r="C2" s="12"/>
      <c r="D2" s="12"/>
      <c r="E2" s="12"/>
      <c r="F2" s="12"/>
      <c r="G2" s="12"/>
    </row>
    <row r="3" spans="1:7" x14ac:dyDescent="0.25">
      <c r="A3" s="5" t="s">
        <v>1</v>
      </c>
      <c r="B3" s="6"/>
      <c r="C3" s="13"/>
      <c r="D3" s="13"/>
      <c r="E3" s="13"/>
      <c r="F3" s="13"/>
      <c r="G3" s="13"/>
    </row>
    <row r="4" spans="1:7" x14ac:dyDescent="0.25">
      <c r="A4" s="2" t="s">
        <v>2</v>
      </c>
      <c r="B4" s="7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</row>
    <row r="5" spans="1:7" ht="45" x14ac:dyDescent="0.25">
      <c r="A5" s="8" t="s">
        <v>9</v>
      </c>
      <c r="B5" s="4" t="s">
        <v>42</v>
      </c>
      <c r="C5" s="15" t="s">
        <v>10</v>
      </c>
      <c r="D5" s="15">
        <v>6</v>
      </c>
      <c r="E5" s="15" t="s">
        <v>48</v>
      </c>
      <c r="F5" s="20"/>
      <c r="G5" s="20">
        <f>D5*F5</f>
        <v>0</v>
      </c>
    </row>
    <row r="6" spans="1:7" ht="45" x14ac:dyDescent="0.25">
      <c r="A6" s="21" t="s">
        <v>12</v>
      </c>
      <c r="B6" s="4" t="s">
        <v>55</v>
      </c>
      <c r="C6" s="15" t="s">
        <v>10</v>
      </c>
      <c r="D6" s="15">
        <v>2</v>
      </c>
      <c r="E6" s="15" t="s">
        <v>48</v>
      </c>
      <c r="F6" s="20"/>
      <c r="G6" s="20">
        <f>D6*F6</f>
        <v>0</v>
      </c>
    </row>
    <row r="7" spans="1:7" s="1" customFormat="1" ht="45" x14ac:dyDescent="0.25">
      <c r="A7" s="21" t="s">
        <v>57</v>
      </c>
      <c r="B7" s="4" t="s">
        <v>60</v>
      </c>
      <c r="C7" s="15" t="s">
        <v>10</v>
      </c>
      <c r="D7" s="15">
        <v>2</v>
      </c>
      <c r="E7" s="15" t="s">
        <v>48</v>
      </c>
      <c r="F7" s="20"/>
      <c r="G7" s="45">
        <f>D7*F7</f>
        <v>0</v>
      </c>
    </row>
    <row r="8" spans="1:7" s="1" customFormat="1" ht="30" x14ac:dyDescent="0.25">
      <c r="A8" s="21" t="s">
        <v>49</v>
      </c>
      <c r="B8" s="4" t="s">
        <v>37</v>
      </c>
      <c r="C8" s="15" t="s">
        <v>22</v>
      </c>
      <c r="D8" s="15">
        <v>1</v>
      </c>
      <c r="E8" s="15" t="s">
        <v>13</v>
      </c>
      <c r="F8" s="20"/>
      <c r="G8" s="45">
        <v>0</v>
      </c>
    </row>
    <row r="9" spans="1:7" s="1" customFormat="1" ht="45" x14ac:dyDescent="0.25">
      <c r="A9" s="21" t="s">
        <v>58</v>
      </c>
      <c r="B9" s="4" t="s">
        <v>59</v>
      </c>
      <c r="C9" s="15" t="s">
        <v>56</v>
      </c>
      <c r="D9" s="15">
        <v>1</v>
      </c>
      <c r="E9" s="15" t="s">
        <v>13</v>
      </c>
      <c r="F9" s="20"/>
      <c r="G9" s="45">
        <v>0</v>
      </c>
    </row>
    <row r="10" spans="1:7" x14ac:dyDescent="0.25">
      <c r="A10" s="8"/>
      <c r="B10" s="3"/>
      <c r="C10" s="19"/>
      <c r="D10" s="19" t="s">
        <v>14</v>
      </c>
      <c r="E10" s="19"/>
      <c r="F10" s="19"/>
      <c r="G10" s="22">
        <f>G5+G6+G8</f>
        <v>0</v>
      </c>
    </row>
    <row r="11" spans="1:7" x14ac:dyDescent="0.25">
      <c r="A11" s="10"/>
      <c r="B11" s="11"/>
      <c r="C11" s="16"/>
      <c r="D11" s="16"/>
      <c r="E11" s="16"/>
      <c r="F11" s="16"/>
      <c r="G11" s="16"/>
    </row>
    <row r="12" spans="1:7" x14ac:dyDescent="0.25">
      <c r="A12" s="5" t="s">
        <v>15</v>
      </c>
      <c r="B12" s="6"/>
      <c r="C12" s="13"/>
      <c r="D12" s="13"/>
      <c r="E12" s="13"/>
      <c r="F12" s="13"/>
      <c r="G12" s="13"/>
    </row>
    <row r="13" spans="1:7" x14ac:dyDescent="0.25">
      <c r="A13" s="2" t="s">
        <v>2</v>
      </c>
      <c r="B13" s="7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</row>
    <row r="14" spans="1:7" ht="45" x14ac:dyDescent="0.25">
      <c r="A14" s="8" t="s">
        <v>16</v>
      </c>
      <c r="B14" s="4" t="s">
        <v>67</v>
      </c>
      <c r="C14" s="15" t="s">
        <v>10</v>
      </c>
      <c r="D14" s="15">
        <v>6</v>
      </c>
      <c r="E14" s="15" t="s">
        <v>48</v>
      </c>
      <c r="F14" s="20"/>
      <c r="G14" s="20">
        <f>D14*F14</f>
        <v>0</v>
      </c>
    </row>
    <row r="15" spans="1:7" ht="45" x14ac:dyDescent="0.25">
      <c r="A15" s="21" t="s">
        <v>17</v>
      </c>
      <c r="B15" s="4" t="s">
        <v>63</v>
      </c>
      <c r="C15" s="15" t="s">
        <v>10</v>
      </c>
      <c r="D15" s="15">
        <v>2</v>
      </c>
      <c r="E15" s="15" t="s">
        <v>48</v>
      </c>
      <c r="F15" s="20"/>
      <c r="G15" s="20">
        <f>D15*F15</f>
        <v>0</v>
      </c>
    </row>
    <row r="16" spans="1:7" s="1" customFormat="1" ht="45" x14ac:dyDescent="0.25">
      <c r="A16" s="21" t="s">
        <v>61</v>
      </c>
      <c r="B16" s="4" t="s">
        <v>64</v>
      </c>
      <c r="C16" s="15" t="s">
        <v>10</v>
      </c>
      <c r="D16" s="15">
        <v>2</v>
      </c>
      <c r="E16" s="15" t="s">
        <v>48</v>
      </c>
      <c r="F16" s="20"/>
      <c r="G16" s="45">
        <f>D16*F16</f>
        <v>0</v>
      </c>
    </row>
    <row r="17" spans="1:7" s="1" customFormat="1" ht="30" x14ac:dyDescent="0.25">
      <c r="A17" s="21" t="s">
        <v>50</v>
      </c>
      <c r="B17" s="4" t="s">
        <v>38</v>
      </c>
      <c r="C17" s="15" t="s">
        <v>22</v>
      </c>
      <c r="D17" s="15">
        <v>1</v>
      </c>
      <c r="E17" s="15" t="s">
        <v>13</v>
      </c>
      <c r="F17" s="20"/>
      <c r="G17" s="45">
        <v>0</v>
      </c>
    </row>
    <row r="18" spans="1:7" ht="45" x14ac:dyDescent="0.25">
      <c r="A18" s="21" t="s">
        <v>62</v>
      </c>
      <c r="B18" s="4" t="s">
        <v>65</v>
      </c>
      <c r="C18" s="15" t="s">
        <v>56</v>
      </c>
      <c r="D18" s="15">
        <v>1</v>
      </c>
      <c r="E18" s="15" t="s">
        <v>13</v>
      </c>
      <c r="F18" s="20"/>
      <c r="G18" s="45">
        <v>0</v>
      </c>
    </row>
    <row r="19" spans="1:7" x14ac:dyDescent="0.25">
      <c r="A19" s="8"/>
      <c r="B19" s="3"/>
      <c r="C19" s="19"/>
      <c r="D19" s="19" t="s">
        <v>66</v>
      </c>
      <c r="E19" s="19"/>
      <c r="F19" s="19"/>
      <c r="G19" s="22">
        <f>G14+G15+G17</f>
        <v>0</v>
      </c>
    </row>
    <row r="20" spans="1:7" x14ac:dyDescent="0.25">
      <c r="A20" s="5" t="s">
        <v>18</v>
      </c>
      <c r="B20" s="6"/>
      <c r="C20" s="13"/>
      <c r="D20" s="13"/>
      <c r="E20" s="13"/>
      <c r="F20" s="13"/>
      <c r="G20" s="13"/>
    </row>
    <row r="21" spans="1:7" x14ac:dyDescent="0.25">
      <c r="A21" s="2" t="s">
        <v>2</v>
      </c>
      <c r="B21" s="7" t="s">
        <v>19</v>
      </c>
      <c r="C21" s="14" t="s">
        <v>4</v>
      </c>
      <c r="D21" s="14" t="s">
        <v>5</v>
      </c>
      <c r="E21" s="14" t="s">
        <v>6</v>
      </c>
      <c r="F21" s="14" t="s">
        <v>7</v>
      </c>
      <c r="G21" s="14" t="s">
        <v>8</v>
      </c>
    </row>
    <row r="22" spans="1:7" ht="45" x14ac:dyDescent="0.25">
      <c r="A22" s="8" t="s">
        <v>20</v>
      </c>
      <c r="B22" s="4" t="s">
        <v>45</v>
      </c>
      <c r="C22" s="15" t="s">
        <v>10</v>
      </c>
      <c r="D22" s="15">
        <v>6</v>
      </c>
      <c r="E22" s="15" t="s">
        <v>48</v>
      </c>
      <c r="F22" s="20"/>
      <c r="G22" s="20">
        <f>D22*F22</f>
        <v>0</v>
      </c>
    </row>
    <row r="23" spans="1:7" ht="45" x14ac:dyDescent="0.25">
      <c r="A23" s="21" t="s">
        <v>21</v>
      </c>
      <c r="B23" s="4" t="s">
        <v>71</v>
      </c>
      <c r="C23" s="15" t="s">
        <v>10</v>
      </c>
      <c r="D23" s="15">
        <v>2</v>
      </c>
      <c r="E23" s="15" t="s">
        <v>48</v>
      </c>
      <c r="F23" s="20"/>
      <c r="G23" s="20">
        <f>D23*F23</f>
        <v>0</v>
      </c>
    </row>
    <row r="24" spans="1:7" s="1" customFormat="1" ht="45" x14ac:dyDescent="0.25">
      <c r="A24" s="21" t="s">
        <v>68</v>
      </c>
      <c r="B24" s="4" t="s">
        <v>72</v>
      </c>
      <c r="C24" s="15" t="s">
        <v>10</v>
      </c>
      <c r="D24" s="15">
        <v>2</v>
      </c>
      <c r="E24" s="15" t="s">
        <v>48</v>
      </c>
      <c r="F24" s="20"/>
      <c r="G24" s="45">
        <f>D24*F24</f>
        <v>0</v>
      </c>
    </row>
    <row r="25" spans="1:7" s="1" customFormat="1" ht="30" x14ac:dyDescent="0.25">
      <c r="A25" s="21" t="s">
        <v>52</v>
      </c>
      <c r="B25" s="4" t="s">
        <v>39</v>
      </c>
      <c r="C25" s="15" t="s">
        <v>22</v>
      </c>
      <c r="D25" s="15">
        <v>1</v>
      </c>
      <c r="E25" s="15" t="s">
        <v>13</v>
      </c>
      <c r="F25" s="20"/>
      <c r="G25" s="45">
        <v>0</v>
      </c>
    </row>
    <row r="26" spans="1:7" ht="45" x14ac:dyDescent="0.25">
      <c r="A26" s="21" t="s">
        <v>69</v>
      </c>
      <c r="B26" s="4" t="s">
        <v>73</v>
      </c>
      <c r="C26" s="15" t="s">
        <v>56</v>
      </c>
      <c r="D26" s="15">
        <v>1</v>
      </c>
      <c r="E26" s="15" t="s">
        <v>13</v>
      </c>
      <c r="F26" s="20"/>
      <c r="G26" s="45">
        <v>0</v>
      </c>
    </row>
    <row r="27" spans="1:7" x14ac:dyDescent="0.25">
      <c r="A27" s="8"/>
      <c r="B27" s="3"/>
      <c r="C27" s="19"/>
      <c r="D27" s="19" t="s">
        <v>70</v>
      </c>
      <c r="E27" s="19"/>
      <c r="F27" s="19"/>
      <c r="G27" s="22">
        <f>G22+G23+G25</f>
        <v>0</v>
      </c>
    </row>
    <row r="28" spans="1:7" x14ac:dyDescent="0.25">
      <c r="A28" s="5" t="s">
        <v>27</v>
      </c>
      <c r="B28" s="6"/>
      <c r="C28" s="13"/>
      <c r="D28" s="13"/>
      <c r="E28" s="13"/>
      <c r="F28" s="13"/>
      <c r="G28" s="13"/>
    </row>
    <row r="29" spans="1:7" x14ac:dyDescent="0.25">
      <c r="A29" s="2" t="s">
        <v>2</v>
      </c>
      <c r="B29" s="7" t="s">
        <v>19</v>
      </c>
      <c r="C29" s="14" t="s">
        <v>4</v>
      </c>
      <c r="D29" s="14" t="s">
        <v>5</v>
      </c>
      <c r="E29" s="14" t="s">
        <v>6</v>
      </c>
      <c r="F29" s="14" t="s">
        <v>7</v>
      </c>
      <c r="G29" s="14" t="s">
        <v>8</v>
      </c>
    </row>
    <row r="30" spans="1:7" ht="45" x14ac:dyDescent="0.25">
      <c r="A30" s="8" t="s">
        <v>23</v>
      </c>
      <c r="B30" s="4" t="s">
        <v>44</v>
      </c>
      <c r="C30" s="15" t="s">
        <v>10</v>
      </c>
      <c r="D30" s="15">
        <v>6</v>
      </c>
      <c r="E30" s="15" t="s">
        <v>48</v>
      </c>
      <c r="F30" s="20"/>
      <c r="G30" s="20">
        <f>D30*F30</f>
        <v>0</v>
      </c>
    </row>
    <row r="31" spans="1:7" ht="45" x14ac:dyDescent="0.25">
      <c r="A31" s="21" t="s">
        <v>24</v>
      </c>
      <c r="B31" s="4" t="s">
        <v>76</v>
      </c>
      <c r="C31" s="15" t="s">
        <v>10</v>
      </c>
      <c r="D31" s="15">
        <v>2</v>
      </c>
      <c r="E31" s="15" t="s">
        <v>48</v>
      </c>
      <c r="F31" s="20"/>
      <c r="G31" s="20">
        <f>D31*F31</f>
        <v>0</v>
      </c>
    </row>
    <row r="32" spans="1:7" s="1" customFormat="1" ht="45" x14ac:dyDescent="0.25">
      <c r="A32" s="21" t="s">
        <v>74</v>
      </c>
      <c r="B32" s="4" t="s">
        <v>77</v>
      </c>
      <c r="C32" s="15" t="s">
        <v>10</v>
      </c>
      <c r="D32" s="15">
        <v>2</v>
      </c>
      <c r="E32" s="15" t="s">
        <v>48</v>
      </c>
      <c r="F32" s="20"/>
      <c r="G32" s="45">
        <f>D32*F32</f>
        <v>0</v>
      </c>
    </row>
    <row r="33" spans="1:17" s="1" customFormat="1" ht="30" x14ac:dyDescent="0.25">
      <c r="A33" s="21" t="s">
        <v>51</v>
      </c>
      <c r="B33" s="4" t="s">
        <v>40</v>
      </c>
      <c r="C33" s="15" t="s">
        <v>22</v>
      </c>
      <c r="D33" s="15">
        <v>1</v>
      </c>
      <c r="E33" s="15" t="s">
        <v>13</v>
      </c>
      <c r="F33" s="20"/>
      <c r="G33" s="45">
        <v>0</v>
      </c>
    </row>
    <row r="34" spans="1:17" ht="45" x14ac:dyDescent="0.25">
      <c r="A34" s="21" t="s">
        <v>75</v>
      </c>
      <c r="B34" s="4" t="s">
        <v>78</v>
      </c>
      <c r="C34" s="15" t="s">
        <v>56</v>
      </c>
      <c r="D34" s="15">
        <v>1</v>
      </c>
      <c r="E34" s="15" t="s">
        <v>13</v>
      </c>
      <c r="F34" s="20"/>
      <c r="G34" s="45">
        <v>0</v>
      </c>
      <c r="Q34" s="54"/>
    </row>
    <row r="35" spans="1:17" x14ac:dyDescent="0.25">
      <c r="A35" s="8"/>
      <c r="B35" s="3"/>
      <c r="C35" s="19"/>
      <c r="D35" s="19" t="s">
        <v>79</v>
      </c>
      <c r="E35" s="19"/>
      <c r="F35" s="19"/>
      <c r="G35" s="22">
        <f>G30+G31+G33</f>
        <v>0</v>
      </c>
    </row>
    <row r="36" spans="1:17" x14ac:dyDescent="0.25">
      <c r="A36" s="5" t="s">
        <v>28</v>
      </c>
      <c r="B36" s="6"/>
      <c r="C36" s="13"/>
      <c r="D36" s="13"/>
      <c r="E36" s="13"/>
      <c r="F36" s="13"/>
      <c r="G36" s="13"/>
    </row>
    <row r="37" spans="1:17" x14ac:dyDescent="0.25">
      <c r="A37" s="2" t="s">
        <v>2</v>
      </c>
      <c r="B37" s="7" t="s">
        <v>19</v>
      </c>
      <c r="C37" s="14" t="s">
        <v>4</v>
      </c>
      <c r="D37" s="14" t="s">
        <v>5</v>
      </c>
      <c r="E37" s="14" t="s">
        <v>6</v>
      </c>
      <c r="F37" s="14" t="s">
        <v>7</v>
      </c>
      <c r="G37" s="14" t="s">
        <v>8</v>
      </c>
    </row>
    <row r="38" spans="1:17" ht="45" x14ac:dyDescent="0.25">
      <c r="A38" s="8" t="s">
        <v>25</v>
      </c>
      <c r="B38" s="4" t="s">
        <v>43</v>
      </c>
      <c r="C38" s="15" t="s">
        <v>10</v>
      </c>
      <c r="D38" s="15">
        <v>6</v>
      </c>
      <c r="E38" s="15" t="s">
        <v>48</v>
      </c>
      <c r="F38" s="20"/>
      <c r="G38" s="20">
        <f>D38*F38</f>
        <v>0</v>
      </c>
    </row>
    <row r="39" spans="1:17" ht="45" x14ac:dyDescent="0.25">
      <c r="A39" s="21" t="s">
        <v>26</v>
      </c>
      <c r="B39" s="4" t="s">
        <v>82</v>
      </c>
      <c r="C39" s="15" t="s">
        <v>10</v>
      </c>
      <c r="D39" s="15">
        <v>2</v>
      </c>
      <c r="E39" s="15" t="s">
        <v>48</v>
      </c>
      <c r="F39" s="20"/>
      <c r="G39" s="20">
        <f>D39*F39</f>
        <v>0</v>
      </c>
    </row>
    <row r="40" spans="1:17" s="1" customFormat="1" ht="45" x14ac:dyDescent="0.25">
      <c r="A40" s="21" t="s">
        <v>80</v>
      </c>
      <c r="B40" s="4" t="s">
        <v>83</v>
      </c>
      <c r="C40" s="15" t="s">
        <v>10</v>
      </c>
      <c r="D40" s="15">
        <v>2</v>
      </c>
      <c r="E40" s="15" t="s">
        <v>48</v>
      </c>
      <c r="F40" s="20"/>
      <c r="G40" s="45">
        <f>D40*F40</f>
        <v>0</v>
      </c>
    </row>
    <row r="41" spans="1:17" s="1" customFormat="1" ht="30" x14ac:dyDescent="0.25">
      <c r="A41" s="21" t="s">
        <v>53</v>
      </c>
      <c r="B41" s="4" t="s">
        <v>41</v>
      </c>
      <c r="C41" s="15" t="s">
        <v>22</v>
      </c>
      <c r="D41" s="15">
        <v>1</v>
      </c>
      <c r="E41" s="15" t="s">
        <v>13</v>
      </c>
      <c r="F41" s="20"/>
      <c r="G41" s="45">
        <v>0</v>
      </c>
    </row>
    <row r="42" spans="1:17" ht="45" x14ac:dyDescent="0.25">
      <c r="A42" s="21" t="s">
        <v>81</v>
      </c>
      <c r="B42" s="4" t="s">
        <v>84</v>
      </c>
      <c r="C42" s="15" t="s">
        <v>56</v>
      </c>
      <c r="D42" s="15">
        <v>1</v>
      </c>
      <c r="E42" s="15" t="s">
        <v>13</v>
      </c>
      <c r="F42" s="20"/>
      <c r="G42" s="45">
        <v>0</v>
      </c>
    </row>
    <row r="43" spans="1:17" x14ac:dyDescent="0.25">
      <c r="A43" s="8"/>
      <c r="B43" s="3"/>
      <c r="C43" s="19"/>
      <c r="D43" s="19" t="s">
        <v>85</v>
      </c>
      <c r="E43" s="19"/>
      <c r="F43" s="19"/>
      <c r="G43" s="53">
        <f>G38+G39+G41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6207-2AC2-4BC2-9F47-6C534CCF4B18}">
  <dimension ref="A1:I125"/>
  <sheetViews>
    <sheetView topLeftCell="A11" workbookViewId="0">
      <selection activeCell="A27" sqref="A27:XFD27"/>
    </sheetView>
  </sheetViews>
  <sheetFormatPr defaultRowHeight="15" x14ac:dyDescent="0.25"/>
  <cols>
    <col min="1" max="1" width="74.42578125" customWidth="1"/>
    <col min="2" max="2" width="14.7109375" bestFit="1" customWidth="1"/>
    <col min="3" max="3" width="5.140625" bestFit="1" customWidth="1"/>
    <col min="4" max="4" width="11.28515625" customWidth="1"/>
    <col min="5" max="5" width="16.7109375" bestFit="1" customWidth="1"/>
    <col min="6" max="6" width="9.7109375" bestFit="1" customWidth="1"/>
    <col min="7" max="7" width="13.140625" bestFit="1" customWidth="1"/>
    <col min="8" max="8" width="13" bestFit="1" customWidth="1"/>
    <col min="9" max="9" width="8.28515625" bestFit="1" customWidth="1"/>
    <col min="10" max="10" width="24.85546875" customWidth="1"/>
  </cols>
  <sheetData>
    <row r="1" spans="1:9" s="1" customFormat="1" ht="18.75" x14ac:dyDescent="0.3">
      <c r="A1" s="55" t="s">
        <v>105</v>
      </c>
    </row>
    <row r="2" spans="1:9" ht="15.75" x14ac:dyDescent="0.25">
      <c r="A2" s="52" t="s">
        <v>86</v>
      </c>
      <c r="B2" s="52"/>
      <c r="C2" s="52"/>
      <c r="D2" s="52"/>
      <c r="E2" s="52"/>
      <c r="F2" s="23"/>
      <c r="G2" s="23"/>
      <c r="H2" s="23"/>
      <c r="I2" s="23"/>
    </row>
    <row r="3" spans="1:9" ht="47.25" x14ac:dyDescent="0.25">
      <c r="A3" s="24" t="s">
        <v>54</v>
      </c>
      <c r="B3" s="24" t="s">
        <v>29</v>
      </c>
      <c r="C3" s="24" t="s">
        <v>30</v>
      </c>
      <c r="D3" s="24" t="s">
        <v>31</v>
      </c>
      <c r="E3" s="25" t="s">
        <v>32</v>
      </c>
      <c r="F3" s="26" t="s">
        <v>5</v>
      </c>
      <c r="G3" s="25" t="s">
        <v>6</v>
      </c>
      <c r="H3" s="26" t="s">
        <v>33</v>
      </c>
      <c r="I3" s="27" t="s">
        <v>34</v>
      </c>
    </row>
    <row r="4" spans="1:9" ht="15.75" x14ac:dyDescent="0.25">
      <c r="A4" s="28" t="s">
        <v>47</v>
      </c>
      <c r="B4" s="29"/>
      <c r="C4" s="29"/>
      <c r="D4" s="30"/>
      <c r="E4" s="30"/>
      <c r="F4" s="30"/>
      <c r="G4" s="30"/>
      <c r="H4" s="30"/>
      <c r="I4" s="30"/>
    </row>
    <row r="5" spans="1:9" s="1" customFormat="1" ht="15.75" x14ac:dyDescent="0.25">
      <c r="A5" s="31"/>
      <c r="B5" s="32"/>
      <c r="C5" s="33"/>
      <c r="D5" s="34"/>
      <c r="E5" s="35">
        <f>B5*D5</f>
        <v>0</v>
      </c>
      <c r="F5" s="36">
        <v>12</v>
      </c>
      <c r="G5" s="36" t="s">
        <v>11</v>
      </c>
      <c r="H5" s="37" t="s">
        <v>10</v>
      </c>
      <c r="I5" s="37"/>
    </row>
    <row r="6" spans="1:9" s="1" customFormat="1" ht="15.75" x14ac:dyDescent="0.25">
      <c r="A6" s="31"/>
      <c r="B6" s="32"/>
      <c r="C6" s="33"/>
      <c r="D6" s="34"/>
      <c r="E6" s="35">
        <f>B6*D6</f>
        <v>0</v>
      </c>
      <c r="F6" s="36">
        <v>12</v>
      </c>
      <c r="G6" s="36" t="s">
        <v>11</v>
      </c>
      <c r="H6" s="37" t="s">
        <v>10</v>
      </c>
      <c r="I6" s="37"/>
    </row>
    <row r="7" spans="1:9" ht="15.75" x14ac:dyDescent="0.25">
      <c r="A7" s="31"/>
      <c r="B7" s="32"/>
      <c r="C7" s="33"/>
      <c r="D7" s="34"/>
      <c r="E7" s="35">
        <f>B7*D7</f>
        <v>0</v>
      </c>
      <c r="F7" s="36">
        <v>12</v>
      </c>
      <c r="G7" s="36" t="s">
        <v>11</v>
      </c>
      <c r="H7" s="37" t="s">
        <v>10</v>
      </c>
      <c r="I7" s="37"/>
    </row>
    <row r="8" spans="1:9" ht="15.75" x14ac:dyDescent="0.25">
      <c r="A8" s="31"/>
      <c r="B8" s="32"/>
      <c r="C8" s="33"/>
      <c r="D8" s="34"/>
      <c r="E8" s="35">
        <f>B8*D8</f>
        <v>0</v>
      </c>
      <c r="F8" s="36">
        <v>12</v>
      </c>
      <c r="G8" s="36" t="s">
        <v>11</v>
      </c>
      <c r="H8" s="37" t="s">
        <v>10</v>
      </c>
      <c r="I8" s="37"/>
    </row>
    <row r="9" spans="1:9" ht="15.75" x14ac:dyDescent="0.25">
      <c r="A9" s="38" t="s">
        <v>35</v>
      </c>
      <c r="B9" s="39">
        <f>SUM(B5:B8)</f>
        <v>0</v>
      </c>
      <c r="C9" s="40">
        <f>SUM(C5:C8)</f>
        <v>0</v>
      </c>
      <c r="D9" s="41">
        <f>SUM(D5:D8)</f>
        <v>0</v>
      </c>
      <c r="E9" s="42">
        <f>SUM(E5:E8)</f>
        <v>0</v>
      </c>
      <c r="F9" s="43"/>
      <c r="G9" s="43"/>
      <c r="H9" s="43"/>
      <c r="I9" s="43"/>
    </row>
    <row r="10" spans="1:9" s="1" customFormat="1" ht="15.75" x14ac:dyDescent="0.25">
      <c r="A10" s="46"/>
      <c r="B10" s="47"/>
      <c r="C10" s="48"/>
      <c r="D10" s="49"/>
      <c r="E10" s="50"/>
      <c r="F10" s="51"/>
      <c r="G10" s="51"/>
      <c r="H10" s="51"/>
      <c r="I10" s="51"/>
    </row>
    <row r="11" spans="1:9" s="1" customFormat="1" ht="47.25" x14ac:dyDescent="0.25">
      <c r="A11" s="24" t="s">
        <v>87</v>
      </c>
      <c r="B11" s="24" t="s">
        <v>29</v>
      </c>
      <c r="C11" s="24" t="s">
        <v>30</v>
      </c>
      <c r="D11" s="24" t="s">
        <v>31</v>
      </c>
      <c r="E11" s="25" t="s">
        <v>32</v>
      </c>
      <c r="F11" s="26" t="s">
        <v>5</v>
      </c>
      <c r="G11" s="25" t="s">
        <v>6</v>
      </c>
      <c r="H11" s="26" t="s">
        <v>33</v>
      </c>
      <c r="I11" s="27" t="s">
        <v>34</v>
      </c>
    </row>
    <row r="12" spans="1:9" s="1" customFormat="1" ht="15.75" x14ac:dyDescent="0.25">
      <c r="A12" s="28" t="s">
        <v>47</v>
      </c>
      <c r="B12" s="29"/>
      <c r="C12" s="29"/>
      <c r="D12" s="30"/>
      <c r="E12" s="30"/>
      <c r="F12" s="30"/>
      <c r="G12" s="30"/>
      <c r="H12" s="30"/>
      <c r="I12" s="30"/>
    </row>
    <row r="13" spans="1:9" s="1" customFormat="1" ht="15.75" x14ac:dyDescent="0.25">
      <c r="A13" s="31"/>
      <c r="B13" s="32"/>
      <c r="C13" s="33"/>
      <c r="D13" s="34"/>
      <c r="E13" s="35">
        <f>B13*D13</f>
        <v>0</v>
      </c>
      <c r="F13" s="36">
        <v>12</v>
      </c>
      <c r="G13" s="36" t="s">
        <v>11</v>
      </c>
      <c r="H13" s="37" t="s">
        <v>10</v>
      </c>
      <c r="I13" s="37"/>
    </row>
    <row r="14" spans="1:9" s="1" customFormat="1" ht="15.75" x14ac:dyDescent="0.25">
      <c r="A14" s="31"/>
      <c r="B14" s="32"/>
      <c r="C14" s="33"/>
      <c r="D14" s="34"/>
      <c r="E14" s="35">
        <f>B14*D14</f>
        <v>0</v>
      </c>
      <c r="F14" s="36">
        <v>12</v>
      </c>
      <c r="G14" s="36" t="s">
        <v>11</v>
      </c>
      <c r="H14" s="37" t="s">
        <v>10</v>
      </c>
      <c r="I14" s="37"/>
    </row>
    <row r="15" spans="1:9" s="1" customFormat="1" ht="15.75" x14ac:dyDescent="0.25">
      <c r="A15" s="31"/>
      <c r="B15" s="32"/>
      <c r="C15" s="33"/>
      <c r="D15" s="34"/>
      <c r="E15" s="35">
        <f>B15*D15</f>
        <v>0</v>
      </c>
      <c r="F15" s="36">
        <v>12</v>
      </c>
      <c r="G15" s="36" t="s">
        <v>11</v>
      </c>
      <c r="H15" s="37" t="s">
        <v>10</v>
      </c>
      <c r="I15" s="37"/>
    </row>
    <row r="16" spans="1:9" s="1" customFormat="1" ht="15.75" x14ac:dyDescent="0.25">
      <c r="A16" s="31"/>
      <c r="B16" s="32"/>
      <c r="C16" s="33"/>
      <c r="D16" s="34"/>
      <c r="E16" s="35">
        <f>B16*D16</f>
        <v>0</v>
      </c>
      <c r="F16" s="36">
        <v>12</v>
      </c>
      <c r="G16" s="36" t="s">
        <v>11</v>
      </c>
      <c r="H16" s="37" t="s">
        <v>10</v>
      </c>
      <c r="I16" s="37"/>
    </row>
    <row r="17" spans="1:9" s="1" customFormat="1" ht="15.75" x14ac:dyDescent="0.25">
      <c r="A17" s="38" t="s">
        <v>35</v>
      </c>
      <c r="B17" s="39">
        <f>SUM(B13:B16)</f>
        <v>0</v>
      </c>
      <c r="C17" s="40">
        <f>SUM(C13:C16)</f>
        <v>0</v>
      </c>
      <c r="D17" s="41">
        <f>SUM(D13:D16)</f>
        <v>0</v>
      </c>
      <c r="E17" s="42">
        <f>SUM(E13:E16)</f>
        <v>0</v>
      </c>
      <c r="F17" s="43"/>
      <c r="G17" s="43"/>
      <c r="H17" s="43"/>
      <c r="I17" s="43"/>
    </row>
    <row r="18" spans="1:9" s="1" customFormat="1" ht="15.75" x14ac:dyDescent="0.25">
      <c r="A18" s="46"/>
      <c r="B18" s="47"/>
      <c r="C18" s="48"/>
      <c r="D18" s="49"/>
      <c r="E18" s="50"/>
      <c r="F18" s="51"/>
      <c r="G18" s="51"/>
      <c r="H18" s="51"/>
      <c r="I18" s="51"/>
    </row>
    <row r="20" spans="1:9" ht="47.25" x14ac:dyDescent="0.25">
      <c r="A20" s="24" t="s">
        <v>88</v>
      </c>
      <c r="B20" s="24" t="s">
        <v>29</v>
      </c>
      <c r="C20" s="24" t="s">
        <v>30</v>
      </c>
      <c r="D20" s="24" t="s">
        <v>31</v>
      </c>
      <c r="E20" s="25" t="s">
        <v>32</v>
      </c>
      <c r="F20" s="26" t="s">
        <v>5</v>
      </c>
      <c r="G20" s="25" t="s">
        <v>6</v>
      </c>
      <c r="H20" s="26" t="s">
        <v>33</v>
      </c>
      <c r="I20" s="27" t="s">
        <v>34</v>
      </c>
    </row>
    <row r="21" spans="1:9" ht="15.75" x14ac:dyDescent="0.25">
      <c r="A21" s="28" t="s">
        <v>47</v>
      </c>
      <c r="B21" s="29"/>
      <c r="C21" s="29"/>
      <c r="D21" s="30"/>
      <c r="E21" s="30"/>
      <c r="F21" s="30"/>
      <c r="G21" s="30"/>
      <c r="H21" s="30"/>
      <c r="I21" s="30"/>
    </row>
    <row r="22" spans="1:9" ht="15.75" x14ac:dyDescent="0.25">
      <c r="A22" s="31"/>
      <c r="B22" s="32"/>
      <c r="C22" s="33"/>
      <c r="D22" s="34"/>
      <c r="E22" s="35">
        <f t="shared" ref="E22:E25" si="0">B22*D22</f>
        <v>0</v>
      </c>
      <c r="F22" s="36">
        <v>12</v>
      </c>
      <c r="G22" s="36" t="s">
        <v>11</v>
      </c>
      <c r="H22" s="37" t="s">
        <v>10</v>
      </c>
      <c r="I22" s="37"/>
    </row>
    <row r="23" spans="1:9" ht="15.75" x14ac:dyDescent="0.25">
      <c r="A23" s="31"/>
      <c r="B23" s="32"/>
      <c r="C23" s="33"/>
      <c r="D23" s="34"/>
      <c r="E23" s="35">
        <f t="shared" si="0"/>
        <v>0</v>
      </c>
      <c r="F23" s="36">
        <v>12</v>
      </c>
      <c r="G23" s="36" t="s">
        <v>11</v>
      </c>
      <c r="H23" s="37" t="s">
        <v>10</v>
      </c>
      <c r="I23" s="37"/>
    </row>
    <row r="24" spans="1:9" ht="15.75" x14ac:dyDescent="0.25">
      <c r="A24" s="31"/>
      <c r="B24" s="32"/>
      <c r="C24" s="33"/>
      <c r="D24" s="34"/>
      <c r="E24" s="35">
        <f t="shared" si="0"/>
        <v>0</v>
      </c>
      <c r="F24" s="36">
        <v>12</v>
      </c>
      <c r="G24" s="36" t="s">
        <v>11</v>
      </c>
      <c r="H24" s="37" t="s">
        <v>10</v>
      </c>
      <c r="I24" s="37"/>
    </row>
    <row r="25" spans="1:9" ht="15.75" x14ac:dyDescent="0.25">
      <c r="A25" s="31"/>
      <c r="B25" s="32"/>
      <c r="C25" s="33"/>
      <c r="D25" s="34"/>
      <c r="E25" s="35">
        <f t="shared" si="0"/>
        <v>0</v>
      </c>
      <c r="F25" s="36">
        <v>12</v>
      </c>
      <c r="G25" s="36" t="s">
        <v>11</v>
      </c>
      <c r="H25" s="37" t="s">
        <v>10</v>
      </c>
      <c r="I25" s="37"/>
    </row>
    <row r="27" spans="1:9" ht="15.75" x14ac:dyDescent="0.25">
      <c r="A27" s="52" t="s">
        <v>89</v>
      </c>
      <c r="B27" s="52"/>
      <c r="C27" s="52"/>
      <c r="D27" s="52"/>
      <c r="E27" s="52"/>
      <c r="F27" s="23"/>
      <c r="G27" s="23"/>
      <c r="H27" s="23"/>
      <c r="I27" s="23"/>
    </row>
    <row r="28" spans="1:9" ht="47.25" x14ac:dyDescent="0.25">
      <c r="A28" s="24" t="s">
        <v>90</v>
      </c>
      <c r="B28" s="24" t="s">
        <v>29</v>
      </c>
      <c r="C28" s="24" t="s">
        <v>30</v>
      </c>
      <c r="D28" s="24" t="s">
        <v>31</v>
      </c>
      <c r="E28" s="25" t="s">
        <v>32</v>
      </c>
      <c r="F28" s="26" t="s">
        <v>5</v>
      </c>
      <c r="G28" s="25" t="s">
        <v>6</v>
      </c>
      <c r="H28" s="26" t="s">
        <v>33</v>
      </c>
      <c r="I28" s="27" t="s">
        <v>34</v>
      </c>
    </row>
    <row r="29" spans="1:9" ht="15.75" x14ac:dyDescent="0.25">
      <c r="A29" s="28" t="s">
        <v>47</v>
      </c>
      <c r="B29" s="29"/>
      <c r="C29" s="29"/>
      <c r="D29" s="30"/>
      <c r="E29" s="30"/>
      <c r="F29" s="30"/>
      <c r="G29" s="30"/>
      <c r="H29" s="30"/>
      <c r="I29" s="30"/>
    </row>
    <row r="30" spans="1:9" ht="15.75" x14ac:dyDescent="0.25">
      <c r="A30" s="31"/>
      <c r="B30" s="32"/>
      <c r="C30" s="33"/>
      <c r="D30" s="34"/>
      <c r="E30" s="35">
        <f>B30*D30</f>
        <v>0</v>
      </c>
      <c r="F30" s="36">
        <v>12</v>
      </c>
      <c r="G30" s="36" t="s">
        <v>11</v>
      </c>
      <c r="H30" s="37" t="s">
        <v>10</v>
      </c>
      <c r="I30" s="37"/>
    </row>
    <row r="31" spans="1:9" ht="15.75" x14ac:dyDescent="0.25">
      <c r="A31" s="31"/>
      <c r="B31" s="32"/>
      <c r="C31" s="33"/>
      <c r="D31" s="34"/>
      <c r="E31" s="35">
        <f>B31*D31</f>
        <v>0</v>
      </c>
      <c r="F31" s="36">
        <v>12</v>
      </c>
      <c r="G31" s="36" t="s">
        <v>11</v>
      </c>
      <c r="H31" s="37" t="s">
        <v>10</v>
      </c>
      <c r="I31" s="37"/>
    </row>
    <row r="32" spans="1:9" ht="15.75" x14ac:dyDescent="0.25">
      <c r="A32" s="31"/>
      <c r="B32" s="32"/>
      <c r="C32" s="33"/>
      <c r="D32" s="34"/>
      <c r="E32" s="35">
        <f>B32*D32</f>
        <v>0</v>
      </c>
      <c r="F32" s="36">
        <v>12</v>
      </c>
      <c r="G32" s="36" t="s">
        <v>11</v>
      </c>
      <c r="H32" s="37" t="s">
        <v>10</v>
      </c>
      <c r="I32" s="37"/>
    </row>
    <row r="33" spans="1:9" ht="15.75" x14ac:dyDescent="0.25">
      <c r="A33" s="31"/>
      <c r="B33" s="32"/>
      <c r="C33" s="33"/>
      <c r="D33" s="34"/>
      <c r="E33" s="35">
        <f>B33*D33</f>
        <v>0</v>
      </c>
      <c r="F33" s="36">
        <v>12</v>
      </c>
      <c r="G33" s="36" t="s">
        <v>11</v>
      </c>
      <c r="H33" s="37" t="s">
        <v>10</v>
      </c>
      <c r="I33" s="37"/>
    </row>
    <row r="34" spans="1:9" ht="15.75" x14ac:dyDescent="0.25">
      <c r="A34" s="38" t="s">
        <v>35</v>
      </c>
      <c r="B34" s="39">
        <f>SUM(B30:B33)</f>
        <v>0</v>
      </c>
      <c r="C34" s="40">
        <f>SUM(C30:C33)</f>
        <v>0</v>
      </c>
      <c r="D34" s="41">
        <f>SUM(D30:D33)</f>
        <v>0</v>
      </c>
      <c r="E34" s="42">
        <f>SUM(E30:E33)</f>
        <v>0</v>
      </c>
      <c r="F34" s="43"/>
      <c r="G34" s="43"/>
      <c r="H34" s="43"/>
      <c r="I34" s="43"/>
    </row>
    <row r="35" spans="1:9" ht="15.75" x14ac:dyDescent="0.25">
      <c r="A35" s="46"/>
      <c r="B35" s="47"/>
      <c r="C35" s="48"/>
      <c r="D35" s="49"/>
      <c r="E35" s="50"/>
      <c r="F35" s="51"/>
      <c r="G35" s="51"/>
      <c r="H35" s="51"/>
      <c r="I35" s="51"/>
    </row>
    <row r="36" spans="1:9" ht="47.25" x14ac:dyDescent="0.25">
      <c r="A36" s="24" t="s">
        <v>91</v>
      </c>
      <c r="B36" s="24" t="s">
        <v>29</v>
      </c>
      <c r="C36" s="24" t="s">
        <v>30</v>
      </c>
      <c r="D36" s="24" t="s">
        <v>31</v>
      </c>
      <c r="E36" s="25" t="s">
        <v>32</v>
      </c>
      <c r="F36" s="26" t="s">
        <v>5</v>
      </c>
      <c r="G36" s="25" t="s">
        <v>6</v>
      </c>
      <c r="H36" s="26" t="s">
        <v>33</v>
      </c>
      <c r="I36" s="27" t="s">
        <v>34</v>
      </c>
    </row>
    <row r="37" spans="1:9" ht="15.75" x14ac:dyDescent="0.25">
      <c r="A37" s="28" t="s">
        <v>47</v>
      </c>
      <c r="B37" s="29"/>
      <c r="C37" s="29"/>
      <c r="D37" s="30"/>
      <c r="E37" s="30"/>
      <c r="F37" s="30"/>
      <c r="G37" s="30"/>
      <c r="H37" s="30"/>
      <c r="I37" s="30"/>
    </row>
    <row r="38" spans="1:9" ht="15.75" x14ac:dyDescent="0.25">
      <c r="A38" s="31"/>
      <c r="B38" s="32"/>
      <c r="C38" s="33"/>
      <c r="D38" s="34"/>
      <c r="E38" s="35">
        <f>B38*D38</f>
        <v>0</v>
      </c>
      <c r="F38" s="36">
        <v>12</v>
      </c>
      <c r="G38" s="36" t="s">
        <v>11</v>
      </c>
      <c r="H38" s="37" t="s">
        <v>10</v>
      </c>
      <c r="I38" s="37"/>
    </row>
    <row r="39" spans="1:9" ht="15.75" x14ac:dyDescent="0.25">
      <c r="A39" s="31"/>
      <c r="B39" s="32"/>
      <c r="C39" s="33"/>
      <c r="D39" s="34"/>
      <c r="E39" s="35">
        <f>B39*D39</f>
        <v>0</v>
      </c>
      <c r="F39" s="36">
        <v>12</v>
      </c>
      <c r="G39" s="36" t="s">
        <v>11</v>
      </c>
      <c r="H39" s="37" t="s">
        <v>10</v>
      </c>
      <c r="I39" s="37"/>
    </row>
    <row r="40" spans="1:9" ht="15.75" x14ac:dyDescent="0.25">
      <c r="A40" s="31"/>
      <c r="B40" s="32"/>
      <c r="C40" s="33"/>
      <c r="D40" s="34"/>
      <c r="E40" s="35">
        <f>B40*D40</f>
        <v>0</v>
      </c>
      <c r="F40" s="36">
        <v>12</v>
      </c>
      <c r="G40" s="36" t="s">
        <v>11</v>
      </c>
      <c r="H40" s="37" t="s">
        <v>10</v>
      </c>
      <c r="I40" s="37"/>
    </row>
    <row r="41" spans="1:9" ht="15.75" x14ac:dyDescent="0.25">
      <c r="A41" s="31"/>
      <c r="B41" s="32"/>
      <c r="C41" s="33"/>
      <c r="D41" s="34"/>
      <c r="E41" s="35">
        <f>B41*D41</f>
        <v>0</v>
      </c>
      <c r="F41" s="36">
        <v>12</v>
      </c>
      <c r="G41" s="36" t="s">
        <v>11</v>
      </c>
      <c r="H41" s="37" t="s">
        <v>10</v>
      </c>
      <c r="I41" s="37"/>
    </row>
    <row r="42" spans="1:9" ht="15.75" x14ac:dyDescent="0.25">
      <c r="A42" s="38" t="s">
        <v>35</v>
      </c>
      <c r="B42" s="39">
        <f>SUM(B38:B41)</f>
        <v>0</v>
      </c>
      <c r="C42" s="40">
        <f>SUM(C38:C41)</f>
        <v>0</v>
      </c>
      <c r="D42" s="41">
        <f>SUM(D38:D41)</f>
        <v>0</v>
      </c>
      <c r="E42" s="42">
        <f>SUM(E38:E41)</f>
        <v>0</v>
      </c>
      <c r="F42" s="43"/>
      <c r="G42" s="43"/>
      <c r="H42" s="43"/>
      <c r="I42" s="43"/>
    </row>
    <row r="43" spans="1:9" ht="15.75" x14ac:dyDescent="0.25">
      <c r="A43" s="46"/>
      <c r="B43" s="47"/>
      <c r="C43" s="48"/>
      <c r="D43" s="49"/>
      <c r="E43" s="50"/>
      <c r="F43" s="51"/>
      <c r="G43" s="51"/>
      <c r="H43" s="51"/>
      <c r="I43" s="51"/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47.25" x14ac:dyDescent="0.25">
      <c r="A45" s="24" t="s">
        <v>92</v>
      </c>
      <c r="B45" s="24" t="s">
        <v>29</v>
      </c>
      <c r="C45" s="24" t="s">
        <v>30</v>
      </c>
      <c r="D45" s="24" t="s">
        <v>31</v>
      </c>
      <c r="E45" s="25" t="s">
        <v>32</v>
      </c>
      <c r="F45" s="26" t="s">
        <v>5</v>
      </c>
      <c r="G45" s="25" t="s">
        <v>6</v>
      </c>
      <c r="H45" s="26" t="s">
        <v>33</v>
      </c>
      <c r="I45" s="27" t="s">
        <v>34</v>
      </c>
    </row>
    <row r="46" spans="1:9" ht="15.75" x14ac:dyDescent="0.25">
      <c r="A46" s="28" t="s">
        <v>47</v>
      </c>
      <c r="B46" s="29"/>
      <c r="C46" s="29"/>
      <c r="D46" s="30"/>
      <c r="E46" s="30"/>
      <c r="F46" s="30"/>
      <c r="G46" s="30"/>
      <c r="H46" s="30"/>
      <c r="I46" s="30"/>
    </row>
    <row r="47" spans="1:9" ht="15.75" x14ac:dyDescent="0.25">
      <c r="A47" s="31"/>
      <c r="B47" s="32"/>
      <c r="C47" s="33"/>
      <c r="D47" s="34"/>
      <c r="E47" s="35">
        <f t="shared" ref="E47:E50" si="1">B47*D47</f>
        <v>0</v>
      </c>
      <c r="F47" s="36">
        <v>12</v>
      </c>
      <c r="G47" s="36" t="s">
        <v>11</v>
      </c>
      <c r="H47" s="37" t="s">
        <v>10</v>
      </c>
      <c r="I47" s="37"/>
    </row>
    <row r="48" spans="1:9" ht="15.75" x14ac:dyDescent="0.25">
      <c r="A48" s="31"/>
      <c r="B48" s="32"/>
      <c r="C48" s="33"/>
      <c r="D48" s="34"/>
      <c r="E48" s="35">
        <f t="shared" si="1"/>
        <v>0</v>
      </c>
      <c r="F48" s="36">
        <v>12</v>
      </c>
      <c r="G48" s="36" t="s">
        <v>11</v>
      </c>
      <c r="H48" s="37" t="s">
        <v>10</v>
      </c>
      <c r="I48" s="37"/>
    </row>
    <row r="49" spans="1:9" ht="15.75" x14ac:dyDescent="0.25">
      <c r="A49" s="31"/>
      <c r="B49" s="32"/>
      <c r="C49" s="33"/>
      <c r="D49" s="34"/>
      <c r="E49" s="35">
        <f t="shared" si="1"/>
        <v>0</v>
      </c>
      <c r="F49" s="36">
        <v>12</v>
      </c>
      <c r="G49" s="36" t="s">
        <v>11</v>
      </c>
      <c r="H49" s="37" t="s">
        <v>10</v>
      </c>
      <c r="I49" s="37"/>
    </row>
    <row r="50" spans="1:9" ht="15.75" x14ac:dyDescent="0.25">
      <c r="A50" s="31"/>
      <c r="B50" s="32"/>
      <c r="C50" s="33"/>
      <c r="D50" s="34"/>
      <c r="E50" s="35">
        <f t="shared" si="1"/>
        <v>0</v>
      </c>
      <c r="F50" s="36">
        <v>12</v>
      </c>
      <c r="G50" s="36" t="s">
        <v>11</v>
      </c>
      <c r="H50" s="37" t="s">
        <v>10</v>
      </c>
      <c r="I50" s="37"/>
    </row>
    <row r="51" spans="1:9" ht="15.75" x14ac:dyDescent="0.25">
      <c r="A51" s="52" t="s">
        <v>93</v>
      </c>
      <c r="B51" s="52"/>
      <c r="C51" s="52"/>
      <c r="D51" s="52"/>
      <c r="E51" s="52"/>
      <c r="F51" s="23"/>
      <c r="G51" s="23"/>
      <c r="H51" s="23"/>
      <c r="I51" s="23"/>
    </row>
    <row r="52" spans="1:9" ht="47.25" x14ac:dyDescent="0.25">
      <c r="A52" s="24" t="s">
        <v>94</v>
      </c>
      <c r="B52" s="24" t="s">
        <v>29</v>
      </c>
      <c r="C52" s="24" t="s">
        <v>30</v>
      </c>
      <c r="D52" s="24" t="s">
        <v>31</v>
      </c>
      <c r="E52" s="25" t="s">
        <v>32</v>
      </c>
      <c r="F52" s="26" t="s">
        <v>5</v>
      </c>
      <c r="G52" s="25" t="s">
        <v>6</v>
      </c>
      <c r="H52" s="26" t="s">
        <v>33</v>
      </c>
      <c r="I52" s="27" t="s">
        <v>34</v>
      </c>
    </row>
    <row r="53" spans="1:9" ht="15.75" x14ac:dyDescent="0.25">
      <c r="A53" s="28" t="s">
        <v>47</v>
      </c>
      <c r="B53" s="29"/>
      <c r="C53" s="29"/>
      <c r="D53" s="30"/>
      <c r="E53" s="30"/>
      <c r="F53" s="30"/>
      <c r="G53" s="30"/>
      <c r="H53" s="30"/>
      <c r="I53" s="30"/>
    </row>
    <row r="54" spans="1:9" ht="15.75" x14ac:dyDescent="0.25">
      <c r="A54" s="31"/>
      <c r="B54" s="32"/>
      <c r="C54" s="33"/>
      <c r="D54" s="34"/>
      <c r="E54" s="35">
        <f>B54*D54</f>
        <v>0</v>
      </c>
      <c r="F54" s="36">
        <v>12</v>
      </c>
      <c r="G54" s="36" t="s">
        <v>11</v>
      </c>
      <c r="H54" s="37" t="s">
        <v>10</v>
      </c>
      <c r="I54" s="37"/>
    </row>
    <row r="55" spans="1:9" ht="15.75" x14ac:dyDescent="0.25">
      <c r="A55" s="31"/>
      <c r="B55" s="32"/>
      <c r="C55" s="33"/>
      <c r="D55" s="34"/>
      <c r="E55" s="35">
        <f>B55*D55</f>
        <v>0</v>
      </c>
      <c r="F55" s="36">
        <v>12</v>
      </c>
      <c r="G55" s="36" t="s">
        <v>11</v>
      </c>
      <c r="H55" s="37" t="s">
        <v>10</v>
      </c>
      <c r="I55" s="37"/>
    </row>
    <row r="56" spans="1:9" ht="15.75" x14ac:dyDescent="0.25">
      <c r="A56" s="31"/>
      <c r="B56" s="32"/>
      <c r="C56" s="33"/>
      <c r="D56" s="34"/>
      <c r="E56" s="35">
        <f>B56*D56</f>
        <v>0</v>
      </c>
      <c r="F56" s="36">
        <v>12</v>
      </c>
      <c r="G56" s="36" t="s">
        <v>11</v>
      </c>
      <c r="H56" s="37" t="s">
        <v>10</v>
      </c>
      <c r="I56" s="37"/>
    </row>
    <row r="57" spans="1:9" ht="15.75" x14ac:dyDescent="0.25">
      <c r="A57" s="31"/>
      <c r="B57" s="32"/>
      <c r="C57" s="33"/>
      <c r="D57" s="34"/>
      <c r="E57" s="35">
        <f>B57*D57</f>
        <v>0</v>
      </c>
      <c r="F57" s="36">
        <v>12</v>
      </c>
      <c r="G57" s="36" t="s">
        <v>11</v>
      </c>
      <c r="H57" s="37" t="s">
        <v>10</v>
      </c>
      <c r="I57" s="37"/>
    </row>
    <row r="58" spans="1:9" ht="15.75" x14ac:dyDescent="0.25">
      <c r="A58" s="38" t="s">
        <v>35</v>
      </c>
      <c r="B58" s="39">
        <f>SUM(B54:B57)</f>
        <v>0</v>
      </c>
      <c r="C58" s="40">
        <f>SUM(C54:C57)</f>
        <v>0</v>
      </c>
      <c r="D58" s="41">
        <f>SUM(D54:D57)</f>
        <v>0</v>
      </c>
      <c r="E58" s="42">
        <f>SUM(E54:E57)</f>
        <v>0</v>
      </c>
      <c r="F58" s="43"/>
      <c r="G58" s="43"/>
      <c r="H58" s="43"/>
      <c r="I58" s="43"/>
    </row>
    <row r="59" spans="1:9" ht="15.75" x14ac:dyDescent="0.25">
      <c r="A59" s="46"/>
      <c r="B59" s="47"/>
      <c r="C59" s="48"/>
      <c r="D59" s="49"/>
      <c r="E59" s="50"/>
      <c r="F59" s="51"/>
      <c r="G59" s="51"/>
      <c r="H59" s="51"/>
      <c r="I59" s="51"/>
    </row>
    <row r="60" spans="1:9" ht="47.25" x14ac:dyDescent="0.25">
      <c r="A60" s="24" t="s">
        <v>95</v>
      </c>
      <c r="B60" s="24" t="s">
        <v>29</v>
      </c>
      <c r="C60" s="24" t="s">
        <v>30</v>
      </c>
      <c r="D60" s="24" t="s">
        <v>31</v>
      </c>
      <c r="E60" s="25" t="s">
        <v>32</v>
      </c>
      <c r="F60" s="26" t="s">
        <v>5</v>
      </c>
      <c r="G60" s="25" t="s">
        <v>6</v>
      </c>
      <c r="H60" s="26" t="s">
        <v>33</v>
      </c>
      <c r="I60" s="27" t="s">
        <v>34</v>
      </c>
    </row>
    <row r="61" spans="1:9" ht="15.75" x14ac:dyDescent="0.25">
      <c r="A61" s="28" t="s">
        <v>47</v>
      </c>
      <c r="B61" s="29"/>
      <c r="C61" s="29"/>
      <c r="D61" s="30"/>
      <c r="E61" s="30"/>
      <c r="F61" s="30"/>
      <c r="G61" s="30"/>
      <c r="H61" s="30"/>
      <c r="I61" s="30"/>
    </row>
    <row r="62" spans="1:9" ht="15.75" x14ac:dyDescent="0.25">
      <c r="A62" s="31"/>
      <c r="B62" s="32"/>
      <c r="C62" s="33"/>
      <c r="D62" s="34"/>
      <c r="E62" s="35">
        <f>B62*D62</f>
        <v>0</v>
      </c>
      <c r="F62" s="36">
        <v>12</v>
      </c>
      <c r="G62" s="36" t="s">
        <v>11</v>
      </c>
      <c r="H62" s="37" t="s">
        <v>10</v>
      </c>
      <c r="I62" s="37"/>
    </row>
    <row r="63" spans="1:9" ht="15.75" x14ac:dyDescent="0.25">
      <c r="A63" s="31"/>
      <c r="B63" s="32"/>
      <c r="C63" s="33"/>
      <c r="D63" s="34"/>
      <c r="E63" s="35">
        <f>B63*D63</f>
        <v>0</v>
      </c>
      <c r="F63" s="36">
        <v>12</v>
      </c>
      <c r="G63" s="36" t="s">
        <v>11</v>
      </c>
      <c r="H63" s="37" t="s">
        <v>10</v>
      </c>
      <c r="I63" s="37"/>
    </row>
    <row r="64" spans="1:9" ht="15.75" x14ac:dyDescent="0.25">
      <c r="A64" s="31"/>
      <c r="B64" s="32"/>
      <c r="C64" s="33"/>
      <c r="D64" s="34"/>
      <c r="E64" s="35">
        <f>B64*D64</f>
        <v>0</v>
      </c>
      <c r="F64" s="36">
        <v>12</v>
      </c>
      <c r="G64" s="36" t="s">
        <v>11</v>
      </c>
      <c r="H64" s="37" t="s">
        <v>10</v>
      </c>
      <c r="I64" s="37"/>
    </row>
    <row r="65" spans="1:9" ht="15.75" x14ac:dyDescent="0.25">
      <c r="A65" s="31"/>
      <c r="B65" s="32"/>
      <c r="C65" s="33"/>
      <c r="D65" s="34"/>
      <c r="E65" s="35">
        <f>B65*D65</f>
        <v>0</v>
      </c>
      <c r="F65" s="36">
        <v>12</v>
      </c>
      <c r="G65" s="36" t="s">
        <v>11</v>
      </c>
      <c r="H65" s="37" t="s">
        <v>10</v>
      </c>
      <c r="I65" s="37"/>
    </row>
    <row r="66" spans="1:9" ht="15.75" x14ac:dyDescent="0.25">
      <c r="A66" s="38" t="s">
        <v>35</v>
      </c>
      <c r="B66" s="39">
        <f>SUM(B62:B65)</f>
        <v>0</v>
      </c>
      <c r="C66" s="40">
        <f>SUM(C62:C65)</f>
        <v>0</v>
      </c>
      <c r="D66" s="41">
        <f>SUM(D62:D65)</f>
        <v>0</v>
      </c>
      <c r="E66" s="42">
        <f>SUM(E62:E65)</f>
        <v>0</v>
      </c>
      <c r="F66" s="43"/>
      <c r="G66" s="43"/>
      <c r="H66" s="43"/>
      <c r="I66" s="43"/>
    </row>
    <row r="67" spans="1:9" ht="15.75" x14ac:dyDescent="0.25">
      <c r="A67" s="46"/>
      <c r="B67" s="47"/>
      <c r="C67" s="48"/>
      <c r="D67" s="49"/>
      <c r="E67" s="50"/>
      <c r="F67" s="51"/>
      <c r="G67" s="51"/>
      <c r="H67" s="51"/>
      <c r="I67" s="5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47.25" x14ac:dyDescent="0.25">
      <c r="A69" s="24" t="s">
        <v>96</v>
      </c>
      <c r="B69" s="24" t="s">
        <v>29</v>
      </c>
      <c r="C69" s="24" t="s">
        <v>30</v>
      </c>
      <c r="D69" s="24" t="s">
        <v>31</v>
      </c>
      <c r="E69" s="25" t="s">
        <v>32</v>
      </c>
      <c r="F69" s="26" t="s">
        <v>5</v>
      </c>
      <c r="G69" s="25" t="s">
        <v>6</v>
      </c>
      <c r="H69" s="26" t="s">
        <v>33</v>
      </c>
      <c r="I69" s="27" t="s">
        <v>34</v>
      </c>
    </row>
    <row r="70" spans="1:9" ht="15.75" x14ac:dyDescent="0.25">
      <c r="A70" s="28" t="s">
        <v>47</v>
      </c>
      <c r="B70" s="29"/>
      <c r="C70" s="29"/>
      <c r="D70" s="30"/>
      <c r="E70" s="30"/>
      <c r="F70" s="30"/>
      <c r="G70" s="30"/>
      <c r="H70" s="30"/>
      <c r="I70" s="30"/>
    </row>
    <row r="71" spans="1:9" ht="15.75" x14ac:dyDescent="0.25">
      <c r="A71" s="31"/>
      <c r="B71" s="32"/>
      <c r="C71" s="33"/>
      <c r="D71" s="34"/>
      <c r="E71" s="35">
        <f t="shared" ref="E71:E74" si="2">B71*D71</f>
        <v>0</v>
      </c>
      <c r="F71" s="36">
        <v>12</v>
      </c>
      <c r="G71" s="36" t="s">
        <v>11</v>
      </c>
      <c r="H71" s="37" t="s">
        <v>10</v>
      </c>
      <c r="I71" s="37"/>
    </row>
    <row r="72" spans="1:9" ht="15.75" x14ac:dyDescent="0.25">
      <c r="A72" s="31"/>
      <c r="B72" s="32"/>
      <c r="C72" s="33"/>
      <c r="D72" s="34"/>
      <c r="E72" s="35">
        <f t="shared" si="2"/>
        <v>0</v>
      </c>
      <c r="F72" s="36">
        <v>12</v>
      </c>
      <c r="G72" s="36" t="s">
        <v>11</v>
      </c>
      <c r="H72" s="37" t="s">
        <v>10</v>
      </c>
      <c r="I72" s="37"/>
    </row>
    <row r="73" spans="1:9" ht="15.75" x14ac:dyDescent="0.25">
      <c r="A73" s="31"/>
      <c r="B73" s="32"/>
      <c r="C73" s="33"/>
      <c r="D73" s="34"/>
      <c r="E73" s="35">
        <f t="shared" si="2"/>
        <v>0</v>
      </c>
      <c r="F73" s="36">
        <v>12</v>
      </c>
      <c r="G73" s="36" t="s">
        <v>11</v>
      </c>
      <c r="H73" s="37" t="s">
        <v>10</v>
      </c>
      <c r="I73" s="37"/>
    </row>
    <row r="74" spans="1:9" ht="15.75" x14ac:dyDescent="0.25">
      <c r="A74" s="31"/>
      <c r="B74" s="32"/>
      <c r="C74" s="33"/>
      <c r="D74" s="34"/>
      <c r="E74" s="35">
        <f t="shared" si="2"/>
        <v>0</v>
      </c>
      <c r="F74" s="36">
        <v>12</v>
      </c>
      <c r="G74" s="36" t="s">
        <v>11</v>
      </c>
      <c r="H74" s="37" t="s">
        <v>10</v>
      </c>
      <c r="I74" s="37"/>
    </row>
    <row r="75" spans="1:9" ht="15.75" x14ac:dyDescent="0.25">
      <c r="A75" s="52" t="s">
        <v>97</v>
      </c>
      <c r="B75" s="52"/>
      <c r="C75" s="52"/>
      <c r="D75" s="52"/>
      <c r="E75" s="52"/>
      <c r="F75" s="23"/>
      <c r="G75" s="23"/>
      <c r="H75" s="23"/>
      <c r="I75" s="23"/>
    </row>
    <row r="76" spans="1:9" ht="47.25" x14ac:dyDescent="0.25">
      <c r="A76" s="24" t="s">
        <v>98</v>
      </c>
      <c r="B76" s="24" t="s">
        <v>29</v>
      </c>
      <c r="C76" s="24" t="s">
        <v>30</v>
      </c>
      <c r="D76" s="24" t="s">
        <v>31</v>
      </c>
      <c r="E76" s="25" t="s">
        <v>32</v>
      </c>
      <c r="F76" s="26" t="s">
        <v>5</v>
      </c>
      <c r="G76" s="25" t="s">
        <v>6</v>
      </c>
      <c r="H76" s="26" t="s">
        <v>33</v>
      </c>
      <c r="I76" s="27" t="s">
        <v>34</v>
      </c>
    </row>
    <row r="77" spans="1:9" ht="15.75" x14ac:dyDescent="0.25">
      <c r="A77" s="28" t="s">
        <v>47</v>
      </c>
      <c r="B77" s="29"/>
      <c r="C77" s="29"/>
      <c r="D77" s="30"/>
      <c r="E77" s="30"/>
      <c r="F77" s="30"/>
      <c r="G77" s="30"/>
      <c r="H77" s="30"/>
      <c r="I77" s="30"/>
    </row>
    <row r="78" spans="1:9" ht="15.75" x14ac:dyDescent="0.25">
      <c r="A78" s="31"/>
      <c r="B78" s="32"/>
      <c r="C78" s="33"/>
      <c r="D78" s="34"/>
      <c r="E78" s="35">
        <f>B78*D78</f>
        <v>0</v>
      </c>
      <c r="F78" s="36">
        <v>12</v>
      </c>
      <c r="G78" s="36" t="s">
        <v>11</v>
      </c>
      <c r="H78" s="37" t="s">
        <v>10</v>
      </c>
      <c r="I78" s="37"/>
    </row>
    <row r="79" spans="1:9" ht="15.75" x14ac:dyDescent="0.25">
      <c r="A79" s="31"/>
      <c r="B79" s="32"/>
      <c r="C79" s="33"/>
      <c r="D79" s="34"/>
      <c r="E79" s="35">
        <f>B79*D79</f>
        <v>0</v>
      </c>
      <c r="F79" s="36">
        <v>12</v>
      </c>
      <c r="G79" s="36" t="s">
        <v>11</v>
      </c>
      <c r="H79" s="37" t="s">
        <v>10</v>
      </c>
      <c r="I79" s="37"/>
    </row>
    <row r="80" spans="1:9" ht="15.75" x14ac:dyDescent="0.25">
      <c r="A80" s="31"/>
      <c r="B80" s="32"/>
      <c r="C80" s="33"/>
      <c r="D80" s="34"/>
      <c r="E80" s="35">
        <f>B80*D80</f>
        <v>0</v>
      </c>
      <c r="F80" s="36">
        <v>12</v>
      </c>
      <c r="G80" s="36" t="s">
        <v>11</v>
      </c>
      <c r="H80" s="37" t="s">
        <v>10</v>
      </c>
      <c r="I80" s="37"/>
    </row>
    <row r="81" spans="1:9" ht="15.75" x14ac:dyDescent="0.25">
      <c r="A81" s="31"/>
      <c r="B81" s="32"/>
      <c r="C81" s="33"/>
      <c r="D81" s="34"/>
      <c r="E81" s="35">
        <f>B81*D81</f>
        <v>0</v>
      </c>
      <c r="F81" s="36">
        <v>12</v>
      </c>
      <c r="G81" s="36" t="s">
        <v>11</v>
      </c>
      <c r="H81" s="37" t="s">
        <v>10</v>
      </c>
      <c r="I81" s="37"/>
    </row>
    <row r="82" spans="1:9" ht="15.75" x14ac:dyDescent="0.25">
      <c r="A82" s="38" t="s">
        <v>35</v>
      </c>
      <c r="B82" s="39">
        <f>SUM(B78:B81)</f>
        <v>0</v>
      </c>
      <c r="C82" s="40">
        <f>SUM(C78:C81)</f>
        <v>0</v>
      </c>
      <c r="D82" s="41">
        <f>SUM(D78:D81)</f>
        <v>0</v>
      </c>
      <c r="E82" s="42">
        <f>SUM(E78:E81)</f>
        <v>0</v>
      </c>
      <c r="F82" s="43"/>
      <c r="G82" s="43"/>
      <c r="H82" s="43"/>
      <c r="I82" s="43"/>
    </row>
    <row r="83" spans="1:9" ht="15.75" x14ac:dyDescent="0.25">
      <c r="A83" s="46"/>
      <c r="B83" s="47"/>
      <c r="C83" s="48"/>
      <c r="D83" s="49"/>
      <c r="E83" s="50"/>
      <c r="F83" s="51"/>
      <c r="G83" s="51"/>
      <c r="H83" s="51"/>
      <c r="I83" s="51"/>
    </row>
    <row r="84" spans="1:9" ht="47.25" x14ac:dyDescent="0.25">
      <c r="A84" s="24" t="s">
        <v>99</v>
      </c>
      <c r="B84" s="24" t="s">
        <v>29</v>
      </c>
      <c r="C84" s="24" t="s">
        <v>30</v>
      </c>
      <c r="D84" s="24" t="s">
        <v>31</v>
      </c>
      <c r="E84" s="25" t="s">
        <v>32</v>
      </c>
      <c r="F84" s="26" t="s">
        <v>5</v>
      </c>
      <c r="G84" s="25" t="s">
        <v>6</v>
      </c>
      <c r="H84" s="26" t="s">
        <v>33</v>
      </c>
      <c r="I84" s="27" t="s">
        <v>34</v>
      </c>
    </row>
    <row r="85" spans="1:9" ht="15.75" x14ac:dyDescent="0.25">
      <c r="A85" s="28" t="s">
        <v>47</v>
      </c>
      <c r="B85" s="29"/>
      <c r="C85" s="29"/>
      <c r="D85" s="30"/>
      <c r="E85" s="30"/>
      <c r="F85" s="30"/>
      <c r="G85" s="30"/>
      <c r="H85" s="30"/>
      <c r="I85" s="30"/>
    </row>
    <row r="86" spans="1:9" ht="15.75" x14ac:dyDescent="0.25">
      <c r="A86" s="31"/>
      <c r="B86" s="32"/>
      <c r="C86" s="33"/>
      <c r="D86" s="34"/>
      <c r="E86" s="35">
        <f>B86*D86</f>
        <v>0</v>
      </c>
      <c r="F86" s="36">
        <v>12</v>
      </c>
      <c r="G86" s="36" t="s">
        <v>11</v>
      </c>
      <c r="H86" s="37" t="s">
        <v>10</v>
      </c>
      <c r="I86" s="37"/>
    </row>
    <row r="87" spans="1:9" ht="15.75" x14ac:dyDescent="0.25">
      <c r="A87" s="31"/>
      <c r="B87" s="32"/>
      <c r="C87" s="33"/>
      <c r="D87" s="34"/>
      <c r="E87" s="35">
        <f>B87*D87</f>
        <v>0</v>
      </c>
      <c r="F87" s="36">
        <v>12</v>
      </c>
      <c r="G87" s="36" t="s">
        <v>11</v>
      </c>
      <c r="H87" s="37" t="s">
        <v>10</v>
      </c>
      <c r="I87" s="37"/>
    </row>
    <row r="88" spans="1:9" ht="15.75" x14ac:dyDescent="0.25">
      <c r="A88" s="31"/>
      <c r="B88" s="32"/>
      <c r="C88" s="33"/>
      <c r="D88" s="34"/>
      <c r="E88" s="35">
        <f>B88*D88</f>
        <v>0</v>
      </c>
      <c r="F88" s="36">
        <v>12</v>
      </c>
      <c r="G88" s="36" t="s">
        <v>11</v>
      </c>
      <c r="H88" s="37" t="s">
        <v>10</v>
      </c>
      <c r="I88" s="37"/>
    </row>
    <row r="89" spans="1:9" ht="15.75" x14ac:dyDescent="0.25">
      <c r="A89" s="31"/>
      <c r="B89" s="32"/>
      <c r="C89" s="33"/>
      <c r="D89" s="34"/>
      <c r="E89" s="35">
        <f>B89*D89</f>
        <v>0</v>
      </c>
      <c r="F89" s="36">
        <v>12</v>
      </c>
      <c r="G89" s="36" t="s">
        <v>11</v>
      </c>
      <c r="H89" s="37" t="s">
        <v>10</v>
      </c>
      <c r="I89" s="37"/>
    </row>
    <row r="90" spans="1:9" ht="15.75" x14ac:dyDescent="0.25">
      <c r="A90" s="38" t="s">
        <v>35</v>
      </c>
      <c r="B90" s="39">
        <f>SUM(B86:B89)</f>
        <v>0</v>
      </c>
      <c r="C90" s="40">
        <f>SUM(C86:C89)</f>
        <v>0</v>
      </c>
      <c r="D90" s="41">
        <f>SUM(D86:D89)</f>
        <v>0</v>
      </c>
      <c r="E90" s="42">
        <f>SUM(E86:E89)</f>
        <v>0</v>
      </c>
      <c r="F90" s="43"/>
      <c r="G90" s="43"/>
      <c r="H90" s="43"/>
      <c r="I90" s="43"/>
    </row>
    <row r="91" spans="1:9" ht="15.75" x14ac:dyDescent="0.25">
      <c r="A91" s="46"/>
      <c r="B91" s="47"/>
      <c r="C91" s="48"/>
      <c r="D91" s="49"/>
      <c r="E91" s="50"/>
      <c r="F91" s="51"/>
      <c r="G91" s="51"/>
      <c r="H91" s="51"/>
      <c r="I91" s="5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47.25" x14ac:dyDescent="0.25">
      <c r="A93" s="24" t="s">
        <v>100</v>
      </c>
      <c r="B93" s="24" t="s">
        <v>29</v>
      </c>
      <c r="C93" s="24" t="s">
        <v>30</v>
      </c>
      <c r="D93" s="24" t="s">
        <v>31</v>
      </c>
      <c r="E93" s="25" t="s">
        <v>32</v>
      </c>
      <c r="F93" s="26" t="s">
        <v>5</v>
      </c>
      <c r="G93" s="25" t="s">
        <v>6</v>
      </c>
      <c r="H93" s="26" t="s">
        <v>33</v>
      </c>
      <c r="I93" s="27" t="s">
        <v>34</v>
      </c>
    </row>
    <row r="94" spans="1:9" ht="15.75" x14ac:dyDescent="0.25">
      <c r="A94" s="28" t="s">
        <v>47</v>
      </c>
      <c r="B94" s="29"/>
      <c r="C94" s="29"/>
      <c r="D94" s="30"/>
      <c r="E94" s="30"/>
      <c r="F94" s="30"/>
      <c r="G94" s="30"/>
      <c r="H94" s="30"/>
      <c r="I94" s="30"/>
    </row>
    <row r="95" spans="1:9" ht="15.75" x14ac:dyDescent="0.25">
      <c r="A95" s="31"/>
      <c r="B95" s="32"/>
      <c r="C95" s="33"/>
      <c r="D95" s="34"/>
      <c r="E95" s="35">
        <f t="shared" ref="E95:E98" si="3">B95*D95</f>
        <v>0</v>
      </c>
      <c r="F95" s="36">
        <v>12</v>
      </c>
      <c r="G95" s="36" t="s">
        <v>11</v>
      </c>
      <c r="H95" s="37" t="s">
        <v>10</v>
      </c>
      <c r="I95" s="37"/>
    </row>
    <row r="96" spans="1:9" ht="15.75" x14ac:dyDescent="0.25">
      <c r="A96" s="31"/>
      <c r="B96" s="32"/>
      <c r="C96" s="33"/>
      <c r="D96" s="34"/>
      <c r="E96" s="35">
        <f t="shared" si="3"/>
        <v>0</v>
      </c>
      <c r="F96" s="36">
        <v>12</v>
      </c>
      <c r="G96" s="36" t="s">
        <v>11</v>
      </c>
      <c r="H96" s="37" t="s">
        <v>10</v>
      </c>
      <c r="I96" s="37"/>
    </row>
    <row r="97" spans="1:9" ht="15.75" x14ac:dyDescent="0.25">
      <c r="A97" s="31"/>
      <c r="B97" s="32"/>
      <c r="C97" s="33"/>
      <c r="D97" s="34"/>
      <c r="E97" s="35">
        <f t="shared" si="3"/>
        <v>0</v>
      </c>
      <c r="F97" s="36">
        <v>12</v>
      </c>
      <c r="G97" s="36" t="s">
        <v>11</v>
      </c>
      <c r="H97" s="37" t="s">
        <v>10</v>
      </c>
      <c r="I97" s="37"/>
    </row>
    <row r="98" spans="1:9" ht="15.75" x14ac:dyDescent="0.25">
      <c r="A98" s="31"/>
      <c r="B98" s="32"/>
      <c r="C98" s="33"/>
      <c r="D98" s="34"/>
      <c r="E98" s="35">
        <f t="shared" si="3"/>
        <v>0</v>
      </c>
      <c r="F98" s="36">
        <v>12</v>
      </c>
      <c r="G98" s="36" t="s">
        <v>11</v>
      </c>
      <c r="H98" s="37" t="s">
        <v>10</v>
      </c>
      <c r="I98" s="37"/>
    </row>
    <row r="100" spans="1:9" ht="15.75" x14ac:dyDescent="0.25">
      <c r="A100" s="52" t="s">
        <v>101</v>
      </c>
      <c r="B100" s="52"/>
      <c r="C100" s="52"/>
      <c r="D100" s="52"/>
      <c r="E100" s="52"/>
      <c r="F100" s="23"/>
      <c r="G100" s="23"/>
      <c r="H100" s="23"/>
      <c r="I100" s="23"/>
    </row>
    <row r="101" spans="1:9" ht="47.25" x14ac:dyDescent="0.25">
      <c r="A101" s="24" t="s">
        <v>102</v>
      </c>
      <c r="B101" s="24" t="s">
        <v>29</v>
      </c>
      <c r="C101" s="24" t="s">
        <v>30</v>
      </c>
      <c r="D101" s="24" t="s">
        <v>31</v>
      </c>
      <c r="E101" s="25" t="s">
        <v>32</v>
      </c>
      <c r="F101" s="26" t="s">
        <v>5</v>
      </c>
      <c r="G101" s="25" t="s">
        <v>6</v>
      </c>
      <c r="H101" s="26" t="s">
        <v>33</v>
      </c>
      <c r="I101" s="27" t="s">
        <v>34</v>
      </c>
    </row>
    <row r="102" spans="1:9" ht="15.75" x14ac:dyDescent="0.25">
      <c r="A102" s="28" t="s">
        <v>47</v>
      </c>
      <c r="B102" s="29"/>
      <c r="C102" s="29"/>
      <c r="D102" s="30"/>
      <c r="E102" s="30"/>
      <c r="F102" s="30"/>
      <c r="G102" s="30"/>
      <c r="H102" s="30"/>
      <c r="I102" s="30"/>
    </row>
    <row r="103" spans="1:9" ht="15.75" x14ac:dyDescent="0.25">
      <c r="A103" s="31"/>
      <c r="B103" s="32"/>
      <c r="C103" s="33"/>
      <c r="D103" s="34"/>
      <c r="E103" s="35">
        <f>B103*D103</f>
        <v>0</v>
      </c>
      <c r="F103" s="36">
        <v>12</v>
      </c>
      <c r="G103" s="36" t="s">
        <v>11</v>
      </c>
      <c r="H103" s="37" t="s">
        <v>10</v>
      </c>
      <c r="I103" s="37"/>
    </row>
    <row r="104" spans="1:9" ht="15.75" x14ac:dyDescent="0.25">
      <c r="A104" s="31"/>
      <c r="B104" s="32"/>
      <c r="C104" s="33"/>
      <c r="D104" s="34"/>
      <c r="E104" s="35">
        <f>B104*D104</f>
        <v>0</v>
      </c>
      <c r="F104" s="36">
        <v>12</v>
      </c>
      <c r="G104" s="36" t="s">
        <v>11</v>
      </c>
      <c r="H104" s="37" t="s">
        <v>10</v>
      </c>
      <c r="I104" s="37"/>
    </row>
    <row r="105" spans="1:9" ht="15.75" x14ac:dyDescent="0.25">
      <c r="A105" s="31"/>
      <c r="B105" s="32"/>
      <c r="C105" s="33"/>
      <c r="D105" s="34"/>
      <c r="E105" s="35">
        <f>B105*D105</f>
        <v>0</v>
      </c>
      <c r="F105" s="36">
        <v>12</v>
      </c>
      <c r="G105" s="36" t="s">
        <v>11</v>
      </c>
      <c r="H105" s="37" t="s">
        <v>10</v>
      </c>
      <c r="I105" s="37"/>
    </row>
    <row r="106" spans="1:9" ht="15.75" x14ac:dyDescent="0.25">
      <c r="A106" s="31"/>
      <c r="B106" s="32"/>
      <c r="C106" s="33"/>
      <c r="D106" s="34"/>
      <c r="E106" s="35">
        <f>B106*D106</f>
        <v>0</v>
      </c>
      <c r="F106" s="36">
        <v>12</v>
      </c>
      <c r="G106" s="36" t="s">
        <v>11</v>
      </c>
      <c r="H106" s="37" t="s">
        <v>10</v>
      </c>
      <c r="I106" s="37"/>
    </row>
    <row r="107" spans="1:9" ht="15.75" x14ac:dyDescent="0.25">
      <c r="A107" s="38" t="s">
        <v>35</v>
      </c>
      <c r="B107" s="39">
        <f>SUM(B103:B106)</f>
        <v>0</v>
      </c>
      <c r="C107" s="40">
        <f>SUM(C103:C106)</f>
        <v>0</v>
      </c>
      <c r="D107" s="41">
        <f>SUM(D103:D106)</f>
        <v>0</v>
      </c>
      <c r="E107" s="42">
        <f>SUM(E103:E106)</f>
        <v>0</v>
      </c>
      <c r="F107" s="43"/>
      <c r="G107" s="43"/>
      <c r="H107" s="43"/>
      <c r="I107" s="43"/>
    </row>
    <row r="108" spans="1:9" ht="15.75" x14ac:dyDescent="0.25">
      <c r="A108" s="46"/>
      <c r="B108" s="47"/>
      <c r="C108" s="48"/>
      <c r="D108" s="49"/>
      <c r="E108" s="50"/>
      <c r="F108" s="51"/>
      <c r="G108" s="51"/>
      <c r="H108" s="51"/>
      <c r="I108" s="51"/>
    </row>
    <row r="109" spans="1:9" ht="47.25" x14ac:dyDescent="0.25">
      <c r="A109" s="24" t="s">
        <v>103</v>
      </c>
      <c r="B109" s="24" t="s">
        <v>29</v>
      </c>
      <c r="C109" s="24" t="s">
        <v>30</v>
      </c>
      <c r="D109" s="24" t="s">
        <v>31</v>
      </c>
      <c r="E109" s="25" t="s">
        <v>32</v>
      </c>
      <c r="F109" s="26" t="s">
        <v>5</v>
      </c>
      <c r="G109" s="25" t="s">
        <v>6</v>
      </c>
      <c r="H109" s="26" t="s">
        <v>33</v>
      </c>
      <c r="I109" s="27" t="s">
        <v>34</v>
      </c>
    </row>
    <row r="110" spans="1:9" ht="15.75" x14ac:dyDescent="0.25">
      <c r="A110" s="28" t="s">
        <v>47</v>
      </c>
      <c r="B110" s="29"/>
      <c r="C110" s="29"/>
      <c r="D110" s="30"/>
      <c r="E110" s="30"/>
      <c r="F110" s="30"/>
      <c r="G110" s="30"/>
      <c r="H110" s="30"/>
      <c r="I110" s="30"/>
    </row>
    <row r="111" spans="1:9" ht="15.75" x14ac:dyDescent="0.25">
      <c r="A111" s="31"/>
      <c r="B111" s="32"/>
      <c r="C111" s="33"/>
      <c r="D111" s="34"/>
      <c r="E111" s="35">
        <f>B111*D111</f>
        <v>0</v>
      </c>
      <c r="F111" s="36">
        <v>12</v>
      </c>
      <c r="G111" s="36" t="s">
        <v>11</v>
      </c>
      <c r="H111" s="37" t="s">
        <v>10</v>
      </c>
      <c r="I111" s="37"/>
    </row>
    <row r="112" spans="1:9" ht="15.75" x14ac:dyDescent="0.25">
      <c r="A112" s="31"/>
      <c r="B112" s="32"/>
      <c r="C112" s="33"/>
      <c r="D112" s="34"/>
      <c r="E112" s="35">
        <f>B112*D112</f>
        <v>0</v>
      </c>
      <c r="F112" s="36">
        <v>12</v>
      </c>
      <c r="G112" s="36" t="s">
        <v>11</v>
      </c>
      <c r="H112" s="37" t="s">
        <v>10</v>
      </c>
      <c r="I112" s="37"/>
    </row>
    <row r="113" spans="1:9" ht="15.75" x14ac:dyDescent="0.25">
      <c r="A113" s="31"/>
      <c r="B113" s="32"/>
      <c r="C113" s="33"/>
      <c r="D113" s="34"/>
      <c r="E113" s="35">
        <f>B113*D113</f>
        <v>0</v>
      </c>
      <c r="F113" s="36">
        <v>12</v>
      </c>
      <c r="G113" s="36" t="s">
        <v>11</v>
      </c>
      <c r="H113" s="37" t="s">
        <v>10</v>
      </c>
      <c r="I113" s="37"/>
    </row>
    <row r="114" spans="1:9" ht="15.75" x14ac:dyDescent="0.25">
      <c r="A114" s="31"/>
      <c r="B114" s="32"/>
      <c r="C114" s="33"/>
      <c r="D114" s="34"/>
      <c r="E114" s="35">
        <f>B114*D114</f>
        <v>0</v>
      </c>
      <c r="F114" s="36">
        <v>12</v>
      </c>
      <c r="G114" s="36" t="s">
        <v>11</v>
      </c>
      <c r="H114" s="37" t="s">
        <v>10</v>
      </c>
      <c r="I114" s="37"/>
    </row>
    <row r="115" spans="1:9" ht="15.75" x14ac:dyDescent="0.25">
      <c r="A115" s="38" t="s">
        <v>35</v>
      </c>
      <c r="B115" s="39">
        <f>SUM(B111:B114)</f>
        <v>0</v>
      </c>
      <c r="C115" s="40">
        <f>SUM(C111:C114)</f>
        <v>0</v>
      </c>
      <c r="D115" s="41">
        <f>SUM(D111:D114)</f>
        <v>0</v>
      </c>
      <c r="E115" s="42">
        <f>SUM(E111:E114)</f>
        <v>0</v>
      </c>
      <c r="F115" s="43"/>
      <c r="G115" s="43"/>
      <c r="H115" s="43"/>
      <c r="I115" s="43"/>
    </row>
    <row r="116" spans="1:9" ht="15.75" x14ac:dyDescent="0.25">
      <c r="A116" s="46"/>
      <c r="B116" s="47"/>
      <c r="C116" s="48"/>
      <c r="D116" s="49"/>
      <c r="E116" s="50"/>
      <c r="F116" s="51"/>
      <c r="G116" s="51"/>
      <c r="H116" s="51"/>
      <c r="I116" s="51"/>
    </row>
    <row r="117" spans="1:9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47.25" x14ac:dyDescent="0.25">
      <c r="A118" s="24" t="s">
        <v>104</v>
      </c>
      <c r="B118" s="24" t="s">
        <v>29</v>
      </c>
      <c r="C118" s="24" t="s">
        <v>30</v>
      </c>
      <c r="D118" s="24" t="s">
        <v>31</v>
      </c>
      <c r="E118" s="25" t="s">
        <v>32</v>
      </c>
      <c r="F118" s="26" t="s">
        <v>5</v>
      </c>
      <c r="G118" s="25" t="s">
        <v>6</v>
      </c>
      <c r="H118" s="26" t="s">
        <v>33</v>
      </c>
      <c r="I118" s="27" t="s">
        <v>34</v>
      </c>
    </row>
    <row r="119" spans="1:9" ht="15.75" x14ac:dyDescent="0.25">
      <c r="A119" s="28" t="s">
        <v>47</v>
      </c>
      <c r="B119" s="29"/>
      <c r="C119" s="29"/>
      <c r="D119" s="30"/>
      <c r="E119" s="30"/>
      <c r="F119" s="30"/>
      <c r="G119" s="30"/>
      <c r="H119" s="30"/>
      <c r="I119" s="30"/>
    </row>
    <row r="120" spans="1:9" ht="15.75" x14ac:dyDescent="0.25">
      <c r="A120" s="31"/>
      <c r="B120" s="32"/>
      <c r="C120" s="33"/>
      <c r="D120" s="34"/>
      <c r="E120" s="35">
        <f t="shared" ref="E120:E123" si="4">B120*D120</f>
        <v>0</v>
      </c>
      <c r="F120" s="36">
        <v>12</v>
      </c>
      <c r="G120" s="36" t="s">
        <v>11</v>
      </c>
      <c r="H120" s="37" t="s">
        <v>10</v>
      </c>
      <c r="I120" s="37"/>
    </row>
    <row r="121" spans="1:9" ht="15.75" x14ac:dyDescent="0.25">
      <c r="A121" s="31"/>
      <c r="B121" s="32"/>
      <c r="C121" s="33"/>
      <c r="D121" s="34"/>
      <c r="E121" s="35">
        <f t="shared" si="4"/>
        <v>0</v>
      </c>
      <c r="F121" s="36">
        <v>12</v>
      </c>
      <c r="G121" s="36" t="s">
        <v>11</v>
      </c>
      <c r="H121" s="37" t="s">
        <v>10</v>
      </c>
      <c r="I121" s="37"/>
    </row>
    <row r="122" spans="1:9" ht="15.75" x14ac:dyDescent="0.25">
      <c r="A122" s="31"/>
      <c r="B122" s="32"/>
      <c r="C122" s="33"/>
      <c r="D122" s="34"/>
      <c r="E122" s="35">
        <f t="shared" si="4"/>
        <v>0</v>
      </c>
      <c r="F122" s="36">
        <v>12</v>
      </c>
      <c r="G122" s="36" t="s">
        <v>11</v>
      </c>
      <c r="H122" s="37" t="s">
        <v>10</v>
      </c>
      <c r="I122" s="37"/>
    </row>
    <row r="123" spans="1:9" ht="15.75" x14ac:dyDescent="0.25">
      <c r="A123" s="31"/>
      <c r="B123" s="32"/>
      <c r="C123" s="33"/>
      <c r="D123" s="34"/>
      <c r="E123" s="35">
        <f t="shared" si="4"/>
        <v>0</v>
      </c>
      <c r="F123" s="36">
        <v>12</v>
      </c>
      <c r="G123" s="36" t="s">
        <v>11</v>
      </c>
      <c r="H123" s="37" t="s">
        <v>10</v>
      </c>
      <c r="I123" s="37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x14ac:dyDescent="0.25">
      <c r="A125" s="44" t="s">
        <v>36</v>
      </c>
    </row>
  </sheetData>
  <mergeCells count="5">
    <mergeCell ref="A75:E75"/>
    <mergeCell ref="A100:E100"/>
    <mergeCell ref="A2:E2"/>
    <mergeCell ref="A27:E27"/>
    <mergeCell ref="A51:E5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C4D0-AE28-408E-8F67-57B360986A3E}">
  <dimension ref="A1:A68"/>
  <sheetViews>
    <sheetView tabSelected="1" workbookViewId="0">
      <selection activeCell="G47" sqref="G47"/>
    </sheetView>
  </sheetViews>
  <sheetFormatPr defaultRowHeight="15" x14ac:dyDescent="0.25"/>
  <cols>
    <col min="1" max="1" width="37.7109375" customWidth="1"/>
  </cols>
  <sheetData>
    <row r="1" spans="1:1" ht="18.75" x14ac:dyDescent="0.3">
      <c r="A1" s="55" t="s">
        <v>106</v>
      </c>
    </row>
    <row r="3" spans="1:1" x14ac:dyDescent="0.25">
      <c r="A3" s="56" t="s">
        <v>1</v>
      </c>
    </row>
    <row r="5" spans="1:1" x14ac:dyDescent="0.25">
      <c r="A5" t="s">
        <v>111</v>
      </c>
    </row>
    <row r="12" spans="1:1" x14ac:dyDescent="0.25">
      <c r="A12" t="s">
        <v>112</v>
      </c>
    </row>
    <row r="16" spans="1:1" s="1" customFormat="1" x14ac:dyDescent="0.25"/>
    <row r="18" spans="1:1" x14ac:dyDescent="0.25">
      <c r="A18" s="56" t="s">
        <v>107</v>
      </c>
    </row>
    <row r="19" spans="1:1" s="1" customFormat="1" x14ac:dyDescent="0.25"/>
    <row r="20" spans="1:1" ht="14.25" customHeight="1" x14ac:dyDescent="0.25">
      <c r="A20" s="1" t="s">
        <v>111</v>
      </c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 t="s">
        <v>112</v>
      </c>
    </row>
    <row r="28" spans="1:1" s="1" customFormat="1" x14ac:dyDescent="0.25"/>
    <row r="31" spans="1:1" x14ac:dyDescent="0.25">
      <c r="A31" s="56" t="s">
        <v>108</v>
      </c>
    </row>
    <row r="33" spans="1:1" x14ac:dyDescent="0.25">
      <c r="A33" s="1" t="s">
        <v>111</v>
      </c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 t="s">
        <v>112</v>
      </c>
    </row>
    <row r="41" spans="1:1" s="1" customFormat="1" x14ac:dyDescent="0.25"/>
    <row r="44" spans="1:1" x14ac:dyDescent="0.25">
      <c r="A44" s="56" t="s">
        <v>109</v>
      </c>
    </row>
    <row r="46" spans="1:1" x14ac:dyDescent="0.25">
      <c r="A46" s="1" t="s">
        <v>111</v>
      </c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 t="s">
        <v>113</v>
      </c>
    </row>
    <row r="59" spans="1:1" x14ac:dyDescent="0.25">
      <c r="A59" s="56" t="s">
        <v>110</v>
      </c>
    </row>
    <row r="61" spans="1:1" x14ac:dyDescent="0.25">
      <c r="A61" s="1" t="s">
        <v>111</v>
      </c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 t="s">
        <v>113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SHEET</vt:lpstr>
      <vt:lpstr>SUPPLEMENTAL PRICING SHEET</vt:lpstr>
      <vt:lpstr>ODC BUILD-UP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Jandovitz, Kevin T CIV DHA USAMRAA (USA)</dc:creator>
  <cp:lastModifiedBy>Bartlett, Charles J CIV DHA DHA CONTRACTING ACT (USA)</cp:lastModifiedBy>
  <dcterms:created xsi:type="dcterms:W3CDTF">2024-11-05T16:44:45Z</dcterms:created>
  <dcterms:modified xsi:type="dcterms:W3CDTF">2026-03-10T12:17:57Z</dcterms:modified>
</cp:coreProperties>
</file>