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fcgov-my.sharepoint.com/personal/mhergenrader_dfc_gov/Documents/Desktop/"/>
    </mc:Choice>
  </mc:AlternateContent>
  <xr:revisionPtr revIDLastSave="7" documentId="8_{BD04664F-F3E5-4C37-9FD5-3E1A7B32A339}" xr6:coauthVersionLast="47" xr6:coauthVersionMax="47" xr10:uidLastSave="{7A45D67A-93A3-4954-BC3B-BA99D5E02C2E}"/>
  <bookViews>
    <workbookView xWindow="1170" yWindow="1170" windowWidth="21600" windowHeight="11295" xr2:uid="{00000000-000D-0000-FFFF-FFFF00000000}"/>
  </bookViews>
  <sheets>
    <sheet name="Summary" sheetId="11" r:id="rId1"/>
    <sheet name="Base Year" sheetId="6" r:id="rId2"/>
    <sheet name="Option Year 1" sheetId="7" r:id="rId3"/>
    <sheet name="Option Year 2" sheetId="8" r:id="rId4"/>
    <sheet name="Option Year 3" sheetId="15" r:id="rId5"/>
    <sheet name="Option Year 4" sheetId="16" r:id="rId6"/>
  </sheets>
  <definedNames>
    <definedName name="DL_Subtotal" localSheetId="1">'Base Year'!$F$10</definedName>
    <definedName name="DL_Subtotal" localSheetId="2">'Option Year 1'!$F$10</definedName>
    <definedName name="DL_Subtotal" localSheetId="3">'Option Year 2'!$F$10</definedName>
    <definedName name="DL_Subtotal" localSheetId="4">'Option Year 3'!$F$10</definedName>
    <definedName name="DL_Subtotal" localSheetId="5">'Option Year 4'!$F$10</definedName>
    <definedName name="DL_Subtotal">#REF!</definedName>
    <definedName name="EP_Subtotal" localSheetId="1">'Base Year'!$F$17</definedName>
    <definedName name="EP_Subtotal" localSheetId="2">'Option Year 1'!$F$17</definedName>
    <definedName name="EP_Subtotal" localSheetId="3">'Option Year 2'!$F$17</definedName>
    <definedName name="EP_Subtotal" localSheetId="4">'Option Year 3'!$F$17</definedName>
    <definedName name="EP_Subtotal" localSheetId="5">'Option Year 4'!$F$17</definedName>
    <definedName name="EP_Subtotal">#REF!</definedName>
    <definedName name="FY_Subtotal" localSheetId="1">'Base Year'!#REF!</definedName>
    <definedName name="FY_Subtotal" localSheetId="2">'Option Year 1'!#REF!</definedName>
    <definedName name="FY_Subtotal" localSheetId="3">'Option Year 2'!#REF!</definedName>
    <definedName name="FY_Subtotal" localSheetId="4">'Option Year 3'!#REF!</definedName>
    <definedName name="FY_Subtotal" localSheetId="5">'Option Year 4'!#REF!</definedName>
    <definedName name="FY_Subtotal">#REF!</definedName>
    <definedName name="FY_Total" localSheetId="1">'Base Year'!$F$48</definedName>
    <definedName name="FY_Total" localSheetId="2">'Option Year 1'!$F$48</definedName>
    <definedName name="FY_Total" localSheetId="3">'Option Year 2'!$F$48</definedName>
    <definedName name="FY_Total" localSheetId="4">'Option Year 3'!$F$48</definedName>
    <definedName name="FY_Total" localSheetId="5">'Option Year 4'!$F$48</definedName>
    <definedName name="FY_Total">#REF!</definedName>
    <definedName name="Labor_Subtotal" localSheetId="1">'Base Year'!$F$10</definedName>
    <definedName name="Labor_Subtotal" localSheetId="2">'Option Year 1'!$F$10</definedName>
    <definedName name="Labor_Subtotal" localSheetId="3">'Option Year 2'!$F$10</definedName>
    <definedName name="Labor_Subtotal" localSheetId="4">'Option Year 3'!$F$10</definedName>
    <definedName name="Labor_Subtotal" localSheetId="5">'Option Year 4'!$F$10</definedName>
    <definedName name="Labor_Subtotal">#REF!</definedName>
    <definedName name="ODC_MS_Subtotal" localSheetId="1">'Base Year'!$F$39</definedName>
    <definedName name="ODC_MS_Subtotal" localSheetId="2">'Option Year 1'!$F$39</definedName>
    <definedName name="ODC_MS_Subtotal" localSheetId="3">'Option Year 2'!$F$39</definedName>
    <definedName name="ODC_MS_Subtotal" localSheetId="4">'Option Year 3'!$F$39</definedName>
    <definedName name="ODC_MS_Subtotal" localSheetId="5">'Option Year 4'!$F$39</definedName>
    <definedName name="ODC_MS_Subtotal">#REF!</definedName>
    <definedName name="ODC_Other_Subtotal" localSheetId="1">'Base Year'!$F$46</definedName>
    <definedName name="ODC_Other_Subtotal" localSheetId="2">'Option Year 1'!$F$46</definedName>
    <definedName name="ODC_Other_Subtotal" localSheetId="3">'Option Year 2'!$F$46</definedName>
    <definedName name="ODC_Other_Subtotal" localSheetId="4">'Option Year 3'!$F$46</definedName>
    <definedName name="ODC_Other_Subtotal" localSheetId="5">'Option Year 4'!$F$46</definedName>
    <definedName name="ODC_Other_Subtotal">#REF!</definedName>
    <definedName name="ODC_Travel_Subtotal" localSheetId="1">'Base Year'!$F$32</definedName>
    <definedName name="ODC_Travel_Subtotal" localSheetId="2">'Option Year 1'!$F$32</definedName>
    <definedName name="ODC_Travel_Subtotal" localSheetId="3">'Option Year 2'!$F$32</definedName>
    <definedName name="ODC_Travel_Subtotal" localSheetId="4">'Option Year 3'!$F$32</definedName>
    <definedName name="ODC_Travel_Subtotal" localSheetId="5">'Option Year 4'!$F$32</definedName>
    <definedName name="ODC_Travel_Subtotal">#REF!</definedName>
    <definedName name="ODCtravel_Subtotal" localSheetId="1">'Base Year'!$F$32</definedName>
    <definedName name="ODCtravel_Subtotal" localSheetId="2">'Option Year 1'!$F$32</definedName>
    <definedName name="ODCtravel_Subtotal" localSheetId="3">'Option Year 2'!$F$32</definedName>
    <definedName name="ODCtravel_Subtotal" localSheetId="4">'Option Year 3'!$F$32</definedName>
    <definedName name="ODCtravel_Subtotal" localSheetId="5">'Option Year 4'!$F$32</definedName>
    <definedName name="ODCtravel_Subtotal">#REF!</definedName>
    <definedName name="Other_sub_total">#REF!</definedName>
    <definedName name="SP_Subtotal" localSheetId="1">'Base Year'!$F$24</definedName>
    <definedName name="SP_Subtotal" localSheetId="2">'Option Year 1'!$F$24</definedName>
    <definedName name="SP_Subtotal" localSheetId="3">'Option Year 2'!$F$24</definedName>
    <definedName name="SP_Subtotal" localSheetId="4">'Option Year 3'!$F$24</definedName>
    <definedName name="SP_Subtotal" localSheetId="5">'Option Year 4'!$F$24</definedName>
    <definedName name="SP_Subtotal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6" l="1"/>
  <c r="F21" i="6" l="1"/>
  <c r="F22" i="6"/>
  <c r="F7" i="15" l="1"/>
  <c r="F14" i="15"/>
  <c r="F21" i="15"/>
  <c r="F29" i="15"/>
  <c r="F36" i="15"/>
  <c r="F43" i="15"/>
  <c r="F45" i="16" l="1"/>
  <c r="F44" i="16"/>
  <c r="F43" i="16"/>
  <c r="F38" i="16"/>
  <c r="F37" i="16"/>
  <c r="F31" i="16"/>
  <c r="F30" i="16"/>
  <c r="F29" i="16"/>
  <c r="F23" i="16"/>
  <c r="F22" i="16"/>
  <c r="F21" i="16"/>
  <c r="F16" i="16"/>
  <c r="F15" i="16"/>
  <c r="F14" i="16"/>
  <c r="F9" i="16"/>
  <c r="F8" i="16"/>
  <c r="F7" i="16"/>
  <c r="F45" i="15"/>
  <c r="F44" i="15"/>
  <c r="F46" i="15" s="1"/>
  <c r="F38" i="15"/>
  <c r="F37" i="15"/>
  <c r="F31" i="15"/>
  <c r="F30" i="15"/>
  <c r="F32" i="15" s="1"/>
  <c r="F23" i="15"/>
  <c r="F22" i="15"/>
  <c r="F16" i="15"/>
  <c r="F15" i="15"/>
  <c r="F9" i="15"/>
  <c r="F8" i="15"/>
  <c r="F21" i="8"/>
  <c r="F22" i="8"/>
  <c r="F23" i="8"/>
  <c r="F14" i="8"/>
  <c r="F32" i="16" l="1"/>
  <c r="F17" i="15"/>
  <c r="F24" i="15"/>
  <c r="F10" i="15"/>
  <c r="F39" i="15"/>
  <c r="F48" i="15" s="1"/>
  <c r="D3" i="15" s="1"/>
  <c r="E6" i="11" s="1"/>
  <c r="F17" i="16"/>
  <c r="F24" i="8"/>
  <c r="F46" i="16"/>
  <c r="F10" i="16"/>
  <c r="F24" i="16"/>
  <c r="F39" i="16"/>
  <c r="F15" i="6"/>
  <c r="F16" i="6"/>
  <c r="F48" i="16" l="1"/>
  <c r="D3" i="16" s="1"/>
  <c r="E7" i="11" s="1"/>
  <c r="F9" i="6"/>
  <c r="F8" i="6"/>
  <c r="F7" i="6"/>
  <c r="F7" i="7" l="1"/>
  <c r="F8" i="7"/>
  <c r="F9" i="7"/>
  <c r="F6" i="11" l="1"/>
  <c r="F8" i="8"/>
  <c r="F9" i="8"/>
  <c r="F44" i="6"/>
  <c r="F45" i="6"/>
  <c r="F43" i="6"/>
  <c r="F36" i="6"/>
  <c r="F7" i="11" l="1"/>
  <c r="F46" i="6"/>
  <c r="F7" i="8"/>
  <c r="F15" i="8"/>
  <c r="F16" i="8"/>
  <c r="F29" i="8"/>
  <c r="F30" i="8"/>
  <c r="F31" i="8"/>
  <c r="F36" i="8"/>
  <c r="F37" i="8"/>
  <c r="F38" i="8"/>
  <c r="F14" i="6"/>
  <c r="F17" i="6" s="1"/>
  <c r="F23" i="6"/>
  <c r="F24" i="6" s="1"/>
  <c r="F29" i="6"/>
  <c r="F30" i="6"/>
  <c r="F31" i="6"/>
  <c r="F37" i="6"/>
  <c r="F38" i="6"/>
  <c r="F14" i="7"/>
  <c r="F15" i="7"/>
  <c r="F16" i="7"/>
  <c r="F21" i="7"/>
  <c r="F22" i="7"/>
  <c r="F23" i="7"/>
  <c r="F29" i="7"/>
  <c r="F30" i="7"/>
  <c r="F31" i="7"/>
  <c r="F36" i="7"/>
  <c r="F37" i="7"/>
  <c r="F38" i="7"/>
  <c r="F43" i="8"/>
  <c r="F44" i="8"/>
  <c r="F45" i="8"/>
  <c r="F43" i="7"/>
  <c r="F44" i="7"/>
  <c r="F45" i="7"/>
  <c r="F17" i="8" l="1"/>
  <c r="F46" i="8"/>
  <c r="F17" i="7"/>
  <c r="F32" i="7"/>
  <c r="F10" i="7"/>
  <c r="F32" i="8"/>
  <c r="F24" i="7"/>
  <c r="F32" i="6"/>
  <c r="F39" i="8"/>
  <c r="F46" i="7"/>
  <c r="F39" i="7"/>
  <c r="F10" i="8"/>
  <c r="F39" i="6"/>
  <c r="F10" i="6"/>
  <c r="F48" i="8" l="1"/>
  <c r="F48" i="7"/>
  <c r="F48" i="6"/>
  <c r="D3" i="8" l="1"/>
  <c r="E5" i="11" s="1"/>
  <c r="F5" i="11" s="1"/>
  <c r="D3" i="7"/>
  <c r="E4" i="11" s="1"/>
  <c r="D3" i="6"/>
  <c r="E3" i="11" s="1"/>
  <c r="F3" i="11" s="1"/>
  <c r="E8" i="11" l="1"/>
  <c r="F4" i="11"/>
  <c r="F8" i="11" s="1"/>
</calcChain>
</file>

<file path=xl/sharedStrings.xml><?xml version="1.0" encoding="utf-8"?>
<sst xmlns="http://schemas.openxmlformats.org/spreadsheetml/2006/main" count="237" uniqueCount="44">
  <si>
    <t>INDEPENDENT GOVERNMENT COST ESTIMATE</t>
  </si>
  <si>
    <t>SUMMARY DATA</t>
  </si>
  <si>
    <t>TOTAL</t>
  </si>
  <si>
    <t>WITH FEES</t>
  </si>
  <si>
    <t>BASE YEAR SUBTOTAL:</t>
  </si>
  <si>
    <t>OPTION YEAR 1 SUBTOTAL:</t>
  </si>
  <si>
    <t>OPTION YEAR 2 SUBTOTAL:</t>
  </si>
  <si>
    <t>OPTION YEAR 3 SUBTOTAL:</t>
  </si>
  <si>
    <t>OPTION YEAR 4 SUBTOTAL:</t>
  </si>
  <si>
    <t>PROCUREMENT TOTAL:</t>
  </si>
  <si>
    <t>Total</t>
  </si>
  <si>
    <t>DIRECT LABOR (BURDENED RATES)</t>
  </si>
  <si>
    <t xml:space="preserve">Labor Category </t>
  </si>
  <si>
    <t>Hours</t>
  </si>
  <si>
    <t>Labor Rate</t>
  </si>
  <si>
    <t>Amount</t>
  </si>
  <si>
    <t>SUBTOTAL</t>
  </si>
  <si>
    <t>EQUIPMENT PURCHASES</t>
  </si>
  <si>
    <t>Item Description</t>
  </si>
  <si>
    <t>Quantity</t>
  </si>
  <si>
    <t>Unit Price</t>
  </si>
  <si>
    <t>SOFTWARE PURCHASES</t>
  </si>
  <si>
    <t>OTHER DIRECT COST (ODCs)</t>
  </si>
  <si>
    <t>REQUIRED TRAVEL:  (Not-to-Exceed Amount; Worse Case)</t>
  </si>
  <si>
    <t>Travel (To/From)</t>
  </si>
  <si>
    <t>No. of Trips</t>
  </si>
  <si>
    <t>Price Per Trip</t>
  </si>
  <si>
    <t>MATERIAL/SUPPLIES: (List Below)</t>
  </si>
  <si>
    <t>OTHER: (Anything not covered above)</t>
  </si>
  <si>
    <t>FY TOTAL</t>
  </si>
  <si>
    <t>Rate</t>
  </si>
  <si>
    <t>OTHER DIRECT COST</t>
  </si>
  <si>
    <t>Environmental and Social Specialist</t>
  </si>
  <si>
    <t xml:space="preserve">Subject Matter Expert (SME)  </t>
  </si>
  <si>
    <t>OPTION YEAR 4: 06-01-2030 - 05-31-31</t>
  </si>
  <si>
    <t>OPTION YEAR 3: 06-01-2029 - 05-31-30</t>
  </si>
  <si>
    <t>OPTION YEAR 2: 06-01-2028 - 05-31-29</t>
  </si>
  <si>
    <t>OPTION YEAR 1: 06-01-2027 - 05-31-28</t>
  </si>
  <si>
    <t>BASE YEAR: 06-01-2026 - 05-31-27</t>
  </si>
  <si>
    <t>France/Burundi/Ecuador</t>
  </si>
  <si>
    <t>IDIQ Price Workbook</t>
  </si>
  <si>
    <t>Insturctions:  Complete yellow highlighted cells for all tabs.  Travel is government populated.</t>
  </si>
  <si>
    <t>Senior Environmental and Social Specialist</t>
  </si>
  <si>
    <t>The hours are estimates only for the purposes of conducting price analysis.  They are not actuals.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</si>
</sst>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3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4" fontId="0" fillId="3" borderId="1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0" borderId="4" xfId="0" applyNumberFormat="1" applyBorder="1"/>
    <xf numFmtId="164" fontId="0" fillId="0" borderId="3" xfId="0" applyNumberFormat="1" applyBorder="1"/>
    <xf numFmtId="164" fontId="6" fillId="4" borderId="1" xfId="0" applyNumberFormat="1" applyFont="1" applyFill="1" applyBorder="1"/>
    <xf numFmtId="164" fontId="8" fillId="4" borderId="0" xfId="0" applyNumberFormat="1" applyFont="1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0" borderId="1" xfId="0" applyFont="1" applyBorder="1"/>
    <xf numFmtId="0" fontId="2" fillId="4" borderId="0" xfId="0" applyFont="1" applyFill="1" applyBorder="1" applyAlignment="1">
      <alignment horizontal="left"/>
    </xf>
    <xf numFmtId="0" fontId="7" fillId="0" borderId="7" xfId="0" applyFont="1" applyBorder="1" applyAlignment="1"/>
    <xf numFmtId="0" fontId="7" fillId="0" borderId="5" xfId="0" applyFont="1" applyBorder="1" applyAlignment="1"/>
    <xf numFmtId="0" fontId="0" fillId="0" borderId="2" xfId="0" applyFont="1" applyBorder="1" applyAlignment="1">
      <alignment wrapText="1"/>
    </xf>
    <xf numFmtId="0" fontId="3" fillId="0" borderId="3" xfId="0" applyFont="1" applyBorder="1" applyAlignment="1">
      <alignment horizontal="center"/>
    </xf>
    <xf numFmtId="0" fontId="9" fillId="0" borderId="3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0" fillId="0" borderId="1" xfId="0" applyFill="1" applyBorder="1"/>
    <xf numFmtId="0" fontId="12" fillId="0" borderId="1" xfId="0" applyFont="1" applyFill="1" applyBorder="1"/>
    <xf numFmtId="7" fontId="12" fillId="5" borderId="0" xfId="0" applyNumberFormat="1" applyFont="1" applyFill="1"/>
    <xf numFmtId="164" fontId="12" fillId="5" borderId="1" xfId="0" applyNumberFormat="1" applyFont="1" applyFill="1" applyBorder="1"/>
    <xf numFmtId="0" fontId="0" fillId="3" borderId="0" xfId="0" applyFill="1" applyAlignment="1">
      <alignment horizontal="right" indent="1"/>
    </xf>
    <xf numFmtId="0" fontId="8" fillId="4" borderId="0" xfId="0" applyFont="1" applyFill="1" applyAlignment="1">
      <alignment horizontal="right" indent="1"/>
    </xf>
    <xf numFmtId="0" fontId="7" fillId="0" borderId="6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5" fillId="2" borderId="2" xfId="0" applyFont="1" applyFill="1" applyBorder="1" applyAlignment="1"/>
    <xf numFmtId="0" fontId="5" fillId="2" borderId="3" xfId="0" applyFont="1" applyFill="1" applyBorder="1" applyAlignment="1"/>
    <xf numFmtId="0" fontId="5" fillId="2" borderId="4" xfId="0" applyFont="1" applyFill="1" applyBorder="1" applyAlignment="1"/>
    <xf numFmtId="0" fontId="1" fillId="4" borderId="0" xfId="0" applyFont="1" applyFill="1" applyBorder="1" applyAlignment="1">
      <alignment horizontal="left"/>
    </xf>
    <xf numFmtId="0" fontId="1" fillId="4" borderId="2" xfId="0" applyFont="1" applyFill="1" applyBorder="1" applyAlignment="1"/>
    <xf numFmtId="0" fontId="1" fillId="4" borderId="3" xfId="0" applyFont="1" applyFill="1" applyBorder="1" applyAlignment="1"/>
    <xf numFmtId="0" fontId="1" fillId="4" borderId="4" xfId="0" applyFont="1" applyFill="1" applyBorder="1" applyAlignment="1"/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right"/>
    </xf>
    <xf numFmtId="0" fontId="10" fillId="0" borderId="3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left" vertical="center"/>
    </xf>
    <xf numFmtId="164" fontId="9" fillId="2" borderId="3" xfId="0" applyNumberFormat="1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/>
    </xf>
    <xf numFmtId="0" fontId="6" fillId="4" borderId="3" xfId="0" applyFont="1" applyFill="1" applyBorder="1" applyAlignment="1">
      <alignment horizontal="right"/>
    </xf>
    <xf numFmtId="0" fontId="6" fillId="4" borderId="4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4" xfId="0" applyFont="1" applyFill="1" applyBorder="1" applyAlignment="1">
      <alignment horizontal="left"/>
    </xf>
    <xf numFmtId="0" fontId="4" fillId="3" borderId="2" xfId="0" applyFont="1" applyFill="1" applyBorder="1" applyAlignment="1"/>
    <xf numFmtId="0" fontId="4" fillId="3" borderId="3" xfId="0" applyFont="1" applyFill="1" applyBorder="1" applyAlignment="1"/>
    <xf numFmtId="0" fontId="4" fillId="3" borderId="4" xfId="0" applyFont="1" applyFill="1" applyBorder="1" applyAlignment="1"/>
    <xf numFmtId="0" fontId="10" fillId="0" borderId="2" xfId="0" applyFont="1" applyBorder="1" applyAlignment="1"/>
    <xf numFmtId="0" fontId="11" fillId="0" borderId="3" xfId="0" applyFont="1" applyBorder="1" applyAlignment="1"/>
    <xf numFmtId="0" fontId="11" fillId="0" borderId="4" xfId="0" applyFont="1" applyBorder="1" applyAlignment="1"/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11" sqref="A11:F11"/>
    </sheetView>
  </sheetViews>
  <sheetFormatPr defaultRowHeight="15" x14ac:dyDescent="0.25"/>
  <cols>
    <col min="1" max="1" width="10.7109375" customWidth="1"/>
    <col min="2" max="2" width="11.42578125" customWidth="1"/>
    <col min="3" max="4" width="15.7109375" customWidth="1"/>
    <col min="5" max="6" width="18.7109375" customWidth="1"/>
  </cols>
  <sheetData>
    <row r="1" spans="1:6" ht="26.25" x14ac:dyDescent="0.4">
      <c r="A1" s="32" t="s">
        <v>40</v>
      </c>
      <c r="B1" s="33"/>
      <c r="C1" s="33"/>
      <c r="D1" s="33"/>
      <c r="E1" s="33"/>
      <c r="F1" s="34"/>
    </row>
    <row r="2" spans="1:6" x14ac:dyDescent="0.25">
      <c r="A2" s="35" t="s">
        <v>1</v>
      </c>
      <c r="B2" s="35"/>
      <c r="C2" s="17"/>
      <c r="D2" s="17"/>
      <c r="E2" s="23" t="s">
        <v>2</v>
      </c>
      <c r="F2" s="23" t="s">
        <v>3</v>
      </c>
    </row>
    <row r="3" spans="1:6" x14ac:dyDescent="0.25">
      <c r="A3" s="28" t="s">
        <v>4</v>
      </c>
      <c r="B3" s="28"/>
      <c r="C3" s="28"/>
      <c r="D3" s="28"/>
      <c r="E3" s="15">
        <f>'Base Year'!D3</f>
        <v>24792</v>
      </c>
      <c r="F3" s="15">
        <f>E3*1.03</f>
        <v>25535.760000000002</v>
      </c>
    </row>
    <row r="4" spans="1:6" x14ac:dyDescent="0.25">
      <c r="A4" s="28" t="s">
        <v>5</v>
      </c>
      <c r="B4" s="28"/>
      <c r="C4" s="28"/>
      <c r="D4" s="28"/>
      <c r="E4" s="15">
        <f>'Option Year 1'!D3</f>
        <v>49584</v>
      </c>
      <c r="F4" s="15">
        <f>E4*1.03</f>
        <v>51071.520000000004</v>
      </c>
    </row>
    <row r="5" spans="1:6" x14ac:dyDescent="0.25">
      <c r="A5" s="28" t="s">
        <v>6</v>
      </c>
      <c r="B5" s="28"/>
      <c r="C5" s="28"/>
      <c r="D5" s="28"/>
      <c r="E5" s="15">
        <f>'Option Year 2'!D3</f>
        <v>49584</v>
      </c>
      <c r="F5" s="15">
        <f>E5*1.03</f>
        <v>51071.520000000004</v>
      </c>
    </row>
    <row r="6" spans="1:6" x14ac:dyDescent="0.25">
      <c r="A6" s="28" t="s">
        <v>7</v>
      </c>
      <c r="B6" s="28"/>
      <c r="C6" s="28"/>
      <c r="D6" s="28"/>
      <c r="E6" s="15">
        <f>'Option Year 3'!D3</f>
        <v>49584</v>
      </c>
      <c r="F6" s="15">
        <f>E6*1.03</f>
        <v>51071.520000000004</v>
      </c>
    </row>
    <row r="7" spans="1:6" x14ac:dyDescent="0.25">
      <c r="A7" s="28" t="s">
        <v>8</v>
      </c>
      <c r="B7" s="28"/>
      <c r="C7" s="28"/>
      <c r="D7" s="28"/>
      <c r="E7" s="15">
        <f>'Option Year 4'!D3</f>
        <v>49584</v>
      </c>
      <c r="F7" s="15">
        <f>E7*1.03</f>
        <v>51071.520000000004</v>
      </c>
    </row>
    <row r="8" spans="1:6" ht="18.75" x14ac:dyDescent="0.3">
      <c r="A8" s="29" t="s">
        <v>9</v>
      </c>
      <c r="B8" s="29"/>
      <c r="C8" s="29"/>
      <c r="D8" s="29"/>
      <c r="E8" s="14">
        <f>SUM(E3:E7)</f>
        <v>223128</v>
      </c>
      <c r="F8" s="14">
        <f>SUM(F3:F7)</f>
        <v>229821.84000000003</v>
      </c>
    </row>
    <row r="10" spans="1:6" x14ac:dyDescent="0.25">
      <c r="A10" s="30" t="s">
        <v>41</v>
      </c>
      <c r="B10" s="31"/>
      <c r="C10" s="31"/>
      <c r="D10" s="31"/>
      <c r="E10" s="31"/>
      <c r="F10" s="31"/>
    </row>
    <row r="11" spans="1:6" x14ac:dyDescent="0.25">
      <c r="A11" s="30" t="s">
        <v>43</v>
      </c>
      <c r="B11" s="31"/>
      <c r="C11" s="31"/>
      <c r="D11" s="31"/>
      <c r="E11" s="31"/>
      <c r="F11" s="31"/>
    </row>
  </sheetData>
  <sheetProtection selectLockedCells="1"/>
  <mergeCells count="10">
    <mergeCell ref="A1:F1"/>
    <mergeCell ref="A3:D3"/>
    <mergeCell ref="A4:D4"/>
    <mergeCell ref="A2:B2"/>
    <mergeCell ref="A11:F11"/>
    <mergeCell ref="A6:D6"/>
    <mergeCell ref="A7:D7"/>
    <mergeCell ref="A8:D8"/>
    <mergeCell ref="A5:D5"/>
    <mergeCell ref="A10:F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8"/>
  <sheetViews>
    <sheetView zoomScale="90" zoomScaleNormal="90" workbookViewId="0">
      <selection activeCell="C7" sqref="C7"/>
    </sheetView>
  </sheetViews>
  <sheetFormatPr defaultColWidth="9.140625" defaultRowHeight="15" x14ac:dyDescent="0.25"/>
  <cols>
    <col min="1" max="1" width="4.28515625" style="1" customWidth="1"/>
    <col min="2" max="2" width="4.7109375" style="1" customWidth="1"/>
    <col min="3" max="3" width="30.7109375" style="1" customWidth="1"/>
    <col min="4" max="4" width="16.7109375" style="1" customWidth="1"/>
    <col min="5" max="5" width="16.7109375" style="8" customWidth="1"/>
    <col min="6" max="6" width="29.140625" style="8" customWidth="1"/>
    <col min="7" max="7" width="4.7109375" style="1" customWidth="1"/>
    <col min="8" max="8" width="12.7109375" style="1" bestFit="1" customWidth="1"/>
    <col min="9" max="10" width="9.140625" style="1"/>
    <col min="11" max="11" width="15.7109375" style="1" customWidth="1"/>
    <col min="12" max="16384" width="9.140625" style="1"/>
  </cols>
  <sheetData>
    <row r="1" spans="1:11" ht="23.25" customHeight="1" x14ac:dyDescent="0.35">
      <c r="A1" s="6"/>
      <c r="B1" s="59" t="s">
        <v>0</v>
      </c>
      <c r="C1" s="60"/>
      <c r="D1" s="60"/>
      <c r="E1" s="60"/>
      <c r="F1" s="61"/>
    </row>
    <row r="2" spans="1:11" ht="18.75" customHeight="1" x14ac:dyDescent="0.3">
      <c r="A2" s="6"/>
      <c r="B2" s="56" t="s">
        <v>38</v>
      </c>
      <c r="C2" s="57"/>
      <c r="D2" s="57"/>
      <c r="E2" s="57"/>
      <c r="F2" s="58"/>
    </row>
    <row r="3" spans="1:11" ht="23.25" x14ac:dyDescent="0.35">
      <c r="A3" s="22"/>
      <c r="B3" s="44" t="s">
        <v>10</v>
      </c>
      <c r="C3" s="44"/>
      <c r="D3" s="45">
        <f>FY_Total</f>
        <v>24792</v>
      </c>
      <c r="E3" s="45"/>
      <c r="F3" s="46"/>
    </row>
    <row r="4" spans="1:11" ht="18.75" x14ac:dyDescent="0.3">
      <c r="A4" s="42"/>
      <c r="B4" s="42"/>
      <c r="C4" s="42"/>
      <c r="D4" s="42"/>
      <c r="E4" s="42"/>
      <c r="F4" s="43"/>
    </row>
    <row r="5" spans="1:11" ht="15" customHeight="1" x14ac:dyDescent="0.25">
      <c r="A5" s="5"/>
      <c r="B5" s="36" t="s">
        <v>11</v>
      </c>
      <c r="C5" s="37"/>
      <c r="D5" s="37"/>
      <c r="E5" s="37"/>
      <c r="F5" s="38"/>
    </row>
    <row r="6" spans="1:11" ht="15" customHeight="1" x14ac:dyDescent="0.25">
      <c r="C6" s="4" t="s">
        <v>12</v>
      </c>
      <c r="D6" s="4" t="s">
        <v>13</v>
      </c>
      <c r="E6" s="7" t="s">
        <v>14</v>
      </c>
      <c r="F6" s="7" t="s">
        <v>15</v>
      </c>
    </row>
    <row r="7" spans="1:11" ht="30" x14ac:dyDescent="0.25">
      <c r="B7" s="1">
        <v>1</v>
      </c>
      <c r="C7" s="20" t="s">
        <v>42</v>
      </c>
      <c r="D7" s="25">
        <v>1240</v>
      </c>
      <c r="E7" s="26"/>
      <c r="F7" s="8">
        <f>+D7*E7</f>
        <v>0</v>
      </c>
    </row>
    <row r="8" spans="1:11" ht="37.5" customHeight="1" x14ac:dyDescent="0.25">
      <c r="B8" s="1">
        <v>2</v>
      </c>
      <c r="C8" s="20" t="s">
        <v>32</v>
      </c>
      <c r="D8" s="25">
        <v>128</v>
      </c>
      <c r="E8" s="26"/>
      <c r="F8" s="8">
        <f>+D8*E8</f>
        <v>0</v>
      </c>
      <c r="K8" s="2"/>
    </row>
    <row r="9" spans="1:11" ht="15" customHeight="1" x14ac:dyDescent="0.25">
      <c r="B9" s="1">
        <v>3</v>
      </c>
      <c r="C9" s="20" t="s">
        <v>33</v>
      </c>
      <c r="D9" s="25">
        <v>480</v>
      </c>
      <c r="E9" s="26"/>
      <c r="F9" s="8">
        <f>+D9*E9</f>
        <v>0</v>
      </c>
    </row>
    <row r="10" spans="1:11" ht="15" customHeight="1" x14ac:dyDescent="0.25">
      <c r="B10" s="39" t="s">
        <v>16</v>
      </c>
      <c r="C10" s="40"/>
      <c r="D10" s="40"/>
      <c r="E10" s="41"/>
      <c r="F10" s="9">
        <f>SUM(F7:F9)</f>
        <v>0</v>
      </c>
    </row>
    <row r="11" spans="1:11" s="3" customFormat="1" ht="15" customHeight="1" x14ac:dyDescent="0.25">
      <c r="E11" s="10"/>
      <c r="F11" s="10"/>
    </row>
    <row r="12" spans="1:11" ht="15" customHeight="1" x14ac:dyDescent="0.25">
      <c r="A12" s="5"/>
      <c r="B12" s="62" t="s">
        <v>17</v>
      </c>
      <c r="C12" s="63"/>
      <c r="D12" s="63"/>
      <c r="E12" s="63"/>
      <c r="F12" s="64"/>
    </row>
    <row r="13" spans="1:11" x14ac:dyDescent="0.25">
      <c r="C13" s="4" t="s">
        <v>18</v>
      </c>
      <c r="D13" s="4" t="s">
        <v>19</v>
      </c>
      <c r="E13" s="7" t="s">
        <v>20</v>
      </c>
      <c r="F13" s="7" t="s">
        <v>10</v>
      </c>
      <c r="I13" s="3"/>
    </row>
    <row r="14" spans="1:11" x14ac:dyDescent="0.25">
      <c r="B14" s="1">
        <v>1</v>
      </c>
      <c r="D14" s="1">
        <v>0</v>
      </c>
      <c r="E14" s="8">
        <v>0</v>
      </c>
      <c r="F14" s="8">
        <f>(D14*E14)</f>
        <v>0</v>
      </c>
    </row>
    <row r="15" spans="1:11" ht="15.75" customHeight="1" x14ac:dyDescent="0.25">
      <c r="B15" s="1">
        <v>2</v>
      </c>
      <c r="D15" s="1">
        <v>0</v>
      </c>
      <c r="E15" s="8">
        <v>0</v>
      </c>
      <c r="F15" s="8">
        <f>(D15*E15)</f>
        <v>0</v>
      </c>
    </row>
    <row r="16" spans="1:11" ht="15" customHeight="1" x14ac:dyDescent="0.25">
      <c r="B16" s="1">
        <v>3</v>
      </c>
      <c r="D16" s="1">
        <v>0</v>
      </c>
      <c r="E16" s="8">
        <v>0</v>
      </c>
      <c r="F16" s="8">
        <f>(D16*E16)</f>
        <v>0</v>
      </c>
    </row>
    <row r="17" spans="1:9" ht="15" customHeight="1" x14ac:dyDescent="0.25">
      <c r="B17" s="39" t="s">
        <v>16</v>
      </c>
      <c r="C17" s="40"/>
      <c r="D17" s="40"/>
      <c r="E17" s="41"/>
      <c r="F17" s="9">
        <f>SUM(F14:F16)</f>
        <v>0</v>
      </c>
    </row>
    <row r="19" spans="1:9" x14ac:dyDescent="0.25">
      <c r="B19" s="36" t="s">
        <v>21</v>
      </c>
      <c r="C19" s="37"/>
      <c r="D19" s="37"/>
      <c r="E19" s="37"/>
      <c r="F19" s="38"/>
    </row>
    <row r="20" spans="1:9" x14ac:dyDescent="0.25">
      <c r="A20" s="5"/>
      <c r="C20" s="4" t="s">
        <v>18</v>
      </c>
      <c r="D20" s="4" t="s">
        <v>19</v>
      </c>
      <c r="E20" s="7" t="s">
        <v>20</v>
      </c>
      <c r="F20" s="7" t="s">
        <v>10</v>
      </c>
    </row>
    <row r="21" spans="1:9" ht="15" customHeight="1" x14ac:dyDescent="0.25">
      <c r="A21" s="5"/>
      <c r="B21" s="1">
        <v>1</v>
      </c>
      <c r="D21" s="1">
        <v>0</v>
      </c>
      <c r="E21" s="8">
        <v>0</v>
      </c>
      <c r="F21" s="8">
        <f t="shared" ref="F21:F22" si="0">(D21*E21)</f>
        <v>0</v>
      </c>
    </row>
    <row r="22" spans="1:9" ht="15" customHeight="1" x14ac:dyDescent="0.25">
      <c r="B22" s="1">
        <v>2</v>
      </c>
      <c r="D22" s="1">
        <v>0</v>
      </c>
      <c r="E22" s="8">
        <v>0</v>
      </c>
      <c r="F22" s="8">
        <f t="shared" si="0"/>
        <v>0</v>
      </c>
      <c r="I22" s="18"/>
    </row>
    <row r="23" spans="1:9" ht="15" customHeight="1" x14ac:dyDescent="0.25">
      <c r="B23" s="1">
        <v>3</v>
      </c>
      <c r="D23" s="1">
        <v>0</v>
      </c>
      <c r="E23" s="8">
        <v>0</v>
      </c>
      <c r="F23" s="8">
        <f>(D23*E23)</f>
        <v>0</v>
      </c>
      <c r="I23" s="19"/>
    </row>
    <row r="24" spans="1:9" ht="15" customHeight="1" x14ac:dyDescent="0.25">
      <c r="B24" s="39" t="s">
        <v>16</v>
      </c>
      <c r="C24" s="40"/>
      <c r="D24" s="40"/>
      <c r="E24" s="41"/>
      <c r="F24" s="9">
        <f>SUM(F21:F23)</f>
        <v>0</v>
      </c>
    </row>
    <row r="25" spans="1:9" x14ac:dyDescent="0.25">
      <c r="A25" s="5"/>
    </row>
    <row r="26" spans="1:9" ht="15" customHeight="1" x14ac:dyDescent="0.25">
      <c r="A26" s="5"/>
      <c r="B26" s="36" t="s">
        <v>22</v>
      </c>
      <c r="C26" s="37"/>
      <c r="D26" s="37"/>
      <c r="E26" s="37"/>
      <c r="F26" s="38"/>
    </row>
    <row r="27" spans="1:9" ht="15" customHeight="1" x14ac:dyDescent="0.25">
      <c r="B27" s="50" t="s">
        <v>23</v>
      </c>
      <c r="C27" s="51"/>
      <c r="D27" s="51"/>
      <c r="E27" s="51"/>
      <c r="F27" s="52"/>
    </row>
    <row r="28" spans="1:9" ht="32.25" customHeight="1" x14ac:dyDescent="0.25">
      <c r="C28" s="4" t="s">
        <v>24</v>
      </c>
      <c r="D28" s="4" t="s">
        <v>25</v>
      </c>
      <c r="E28" s="7" t="s">
        <v>26</v>
      </c>
      <c r="F28" s="7" t="s">
        <v>10</v>
      </c>
    </row>
    <row r="29" spans="1:9" x14ac:dyDescent="0.25">
      <c r="B29" s="1">
        <v>1</v>
      </c>
      <c r="C29" s="24" t="s">
        <v>39</v>
      </c>
      <c r="D29" s="1">
        <v>4</v>
      </c>
      <c r="E29" s="8">
        <v>6198</v>
      </c>
      <c r="F29" s="8">
        <f>(D29*E29)</f>
        <v>24792</v>
      </c>
    </row>
    <row r="30" spans="1:9" ht="15" customHeight="1" x14ac:dyDescent="0.25">
      <c r="B30" s="1">
        <v>2</v>
      </c>
      <c r="D30" s="1">
        <v>0</v>
      </c>
      <c r="E30" s="8">
        <v>0</v>
      </c>
      <c r="F30" s="8">
        <f>(D30*E30)</f>
        <v>0</v>
      </c>
      <c r="I30" s="3"/>
    </row>
    <row r="31" spans="1:9" x14ac:dyDescent="0.25">
      <c r="A31" s="5"/>
      <c r="B31" s="1">
        <v>3</v>
      </c>
      <c r="D31" s="1">
        <v>0</v>
      </c>
      <c r="E31" s="8">
        <v>0</v>
      </c>
      <c r="F31" s="8">
        <f>(D31*E31)</f>
        <v>0</v>
      </c>
      <c r="I31" s="3"/>
    </row>
    <row r="32" spans="1:9" x14ac:dyDescent="0.25">
      <c r="A32" s="5"/>
      <c r="B32" s="39" t="s">
        <v>16</v>
      </c>
      <c r="C32" s="40"/>
      <c r="D32" s="40"/>
      <c r="E32" s="41"/>
      <c r="F32" s="9">
        <f>SUM(F29:F31)</f>
        <v>24792</v>
      </c>
      <c r="I32" s="3"/>
    </row>
    <row r="33" spans="1:6" x14ac:dyDescent="0.25">
      <c r="A33" s="5"/>
      <c r="B33" s="5"/>
      <c r="C33" s="6"/>
      <c r="D33" s="6"/>
      <c r="E33" s="12"/>
      <c r="F33" s="11"/>
    </row>
    <row r="34" spans="1:6" x14ac:dyDescent="0.25">
      <c r="B34" s="53" t="s">
        <v>27</v>
      </c>
      <c r="C34" s="54"/>
      <c r="D34" s="54"/>
      <c r="E34" s="54"/>
      <c r="F34" s="55"/>
    </row>
    <row r="35" spans="1:6" ht="15" customHeight="1" x14ac:dyDescent="0.25">
      <c r="C35" s="4" t="s">
        <v>18</v>
      </c>
      <c r="D35" s="4" t="s">
        <v>19</v>
      </c>
      <c r="E35" s="7" t="s">
        <v>20</v>
      </c>
      <c r="F35" s="7" t="s">
        <v>10</v>
      </c>
    </row>
    <row r="36" spans="1:6" x14ac:dyDescent="0.25">
      <c r="B36" s="1">
        <v>1</v>
      </c>
      <c r="D36" s="1">
        <v>0</v>
      </c>
      <c r="E36" s="8">
        <v>0</v>
      </c>
      <c r="F36" s="8">
        <f>(D36*E36)</f>
        <v>0</v>
      </c>
    </row>
    <row r="37" spans="1:6" ht="15" customHeight="1" x14ac:dyDescent="0.25">
      <c r="B37" s="1">
        <v>2</v>
      </c>
      <c r="D37" s="1">
        <v>0</v>
      </c>
      <c r="E37" s="8">
        <v>0</v>
      </c>
      <c r="F37" s="8">
        <f>(D37*E37)</f>
        <v>0</v>
      </c>
    </row>
    <row r="38" spans="1:6" x14ac:dyDescent="0.25">
      <c r="A38" s="5"/>
      <c r="B38" s="1">
        <v>3</v>
      </c>
      <c r="D38" s="1">
        <v>0</v>
      </c>
      <c r="E38" s="8">
        <v>0</v>
      </c>
      <c r="F38" s="8">
        <f>(D38*E38)</f>
        <v>0</v>
      </c>
    </row>
    <row r="39" spans="1:6" x14ac:dyDescent="0.25">
      <c r="A39" s="5"/>
      <c r="B39" s="39" t="s">
        <v>16</v>
      </c>
      <c r="C39" s="40"/>
      <c r="D39" s="40"/>
      <c r="E39" s="41"/>
      <c r="F39" s="9">
        <f>SUM(F36:F38)</f>
        <v>0</v>
      </c>
    </row>
    <row r="40" spans="1:6" x14ac:dyDescent="0.25">
      <c r="A40" s="5"/>
      <c r="B40" s="5"/>
      <c r="C40" s="6"/>
      <c r="D40" s="6"/>
      <c r="E40" s="12"/>
      <c r="F40" s="11"/>
    </row>
    <row r="41" spans="1:6" x14ac:dyDescent="0.25">
      <c r="B41" s="53" t="s">
        <v>28</v>
      </c>
      <c r="C41" s="54"/>
      <c r="D41" s="54"/>
      <c r="E41" s="54"/>
      <c r="F41" s="55"/>
    </row>
    <row r="42" spans="1:6" ht="15" customHeight="1" x14ac:dyDescent="0.25">
      <c r="A42" s="2"/>
      <c r="C42" s="4" t="s">
        <v>18</v>
      </c>
      <c r="D42" s="4" t="s">
        <v>19</v>
      </c>
      <c r="E42" s="7" t="s">
        <v>20</v>
      </c>
      <c r="F42" s="7" t="s">
        <v>10</v>
      </c>
    </row>
    <row r="43" spans="1:6" x14ac:dyDescent="0.25">
      <c r="B43" s="16">
        <v>1</v>
      </c>
      <c r="D43" s="1">
        <v>0</v>
      </c>
      <c r="E43" s="8">
        <v>0</v>
      </c>
      <c r="F43" s="8">
        <f>(D43*E43)</f>
        <v>0</v>
      </c>
    </row>
    <row r="44" spans="1:6" x14ac:dyDescent="0.25">
      <c r="A44" s="2"/>
      <c r="B44" s="16">
        <v>2</v>
      </c>
      <c r="D44" s="1">
        <v>0</v>
      </c>
      <c r="E44" s="8">
        <v>0</v>
      </c>
      <c r="F44" s="8">
        <f>(D44*E44)</f>
        <v>0</v>
      </c>
    </row>
    <row r="45" spans="1:6" x14ac:dyDescent="0.25">
      <c r="B45" s="16">
        <v>3</v>
      </c>
      <c r="D45" s="1">
        <v>0</v>
      </c>
      <c r="E45" s="8">
        <v>0</v>
      </c>
      <c r="F45" s="8">
        <f>(D45*E45)</f>
        <v>0</v>
      </c>
    </row>
    <row r="46" spans="1:6" ht="15" customHeight="1" x14ac:dyDescent="0.25">
      <c r="B46" s="39" t="s">
        <v>16</v>
      </c>
      <c r="C46" s="40"/>
      <c r="D46" s="40"/>
      <c r="E46" s="41"/>
      <c r="F46" s="9">
        <f>SUM(F43:F45)</f>
        <v>0</v>
      </c>
    </row>
    <row r="47" spans="1:6" ht="30.75" customHeight="1" x14ac:dyDescent="0.25"/>
    <row r="48" spans="1:6" ht="21" customHeight="1" x14ac:dyDescent="0.35">
      <c r="B48" s="47" t="s">
        <v>29</v>
      </c>
      <c r="C48" s="48"/>
      <c r="D48" s="48"/>
      <c r="E48" s="49"/>
      <c r="F48" s="13">
        <f>SUM(DL_Subtotal,EP_Subtotal,SP_Subtotal, ODC_Travel_Subtotal,ODC_MS_Subtotal,ODC_Other_Subtotal)</f>
        <v>24792</v>
      </c>
    </row>
  </sheetData>
  <mergeCells count="19">
    <mergeCell ref="B2:F2"/>
    <mergeCell ref="B1:F1"/>
    <mergeCell ref="B19:F19"/>
    <mergeCell ref="B17:E17"/>
    <mergeCell ref="B12:F12"/>
    <mergeCell ref="B48:E48"/>
    <mergeCell ref="B24:E24"/>
    <mergeCell ref="B26:F26"/>
    <mergeCell ref="B27:F27"/>
    <mergeCell ref="B32:E32"/>
    <mergeCell ref="B34:F34"/>
    <mergeCell ref="B39:E39"/>
    <mergeCell ref="B41:F41"/>
    <mergeCell ref="B46:E46"/>
    <mergeCell ref="B5:F5"/>
    <mergeCell ref="B10:E10"/>
    <mergeCell ref="A4:F4"/>
    <mergeCell ref="B3:C3"/>
    <mergeCell ref="D3:F3"/>
  </mergeCells>
  <pageMargins left="0.7" right="0.7" top="0.75" bottom="0.75" header="0.3" footer="0.3"/>
  <pageSetup scale="7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8"/>
  <sheetViews>
    <sheetView zoomScale="90" zoomScaleNormal="90" workbookViewId="0">
      <selection activeCell="C7" sqref="C7"/>
    </sheetView>
  </sheetViews>
  <sheetFormatPr defaultColWidth="9.140625" defaultRowHeight="15" x14ac:dyDescent="0.25"/>
  <cols>
    <col min="1" max="1" width="4.28515625" style="1" customWidth="1"/>
    <col min="2" max="2" width="4.7109375" style="1" customWidth="1"/>
    <col min="3" max="3" width="30.7109375" style="1" customWidth="1"/>
    <col min="4" max="4" width="16.7109375" style="1" customWidth="1"/>
    <col min="5" max="5" width="16.7109375" style="8" customWidth="1"/>
    <col min="6" max="6" width="29.5703125" style="8" customWidth="1"/>
    <col min="7" max="7" width="4.7109375" style="1" customWidth="1"/>
    <col min="8" max="9" width="9.140625" style="1"/>
    <col min="10" max="10" width="15.7109375" style="1" customWidth="1"/>
    <col min="11" max="16384" width="9.140625" style="1"/>
  </cols>
  <sheetData>
    <row r="1" spans="1:10" ht="23.25" x14ac:dyDescent="0.35">
      <c r="A1" s="6"/>
      <c r="B1" s="59" t="s">
        <v>0</v>
      </c>
      <c r="C1" s="60"/>
      <c r="D1" s="60"/>
      <c r="E1" s="60"/>
      <c r="F1" s="61"/>
    </row>
    <row r="2" spans="1:10" ht="18.75" x14ac:dyDescent="0.3">
      <c r="A2" s="6"/>
      <c r="B2" s="56" t="s">
        <v>37</v>
      </c>
      <c r="C2" s="57"/>
      <c r="D2" s="57"/>
      <c r="E2" s="57"/>
      <c r="F2" s="58"/>
    </row>
    <row r="3" spans="1:10" ht="23.25" x14ac:dyDescent="0.35">
      <c r="A3" s="22"/>
      <c r="B3" s="44" t="s">
        <v>10</v>
      </c>
      <c r="C3" s="44"/>
      <c r="D3" s="45">
        <f>FY_Total</f>
        <v>49584</v>
      </c>
      <c r="E3" s="45"/>
      <c r="F3" s="46"/>
    </row>
    <row r="4" spans="1:10" ht="18.75" x14ac:dyDescent="0.3">
      <c r="A4" s="42"/>
      <c r="B4" s="42"/>
      <c r="C4" s="42"/>
      <c r="D4" s="42"/>
      <c r="E4" s="42"/>
      <c r="F4" s="43"/>
    </row>
    <row r="5" spans="1:10" ht="15" customHeight="1" x14ac:dyDescent="0.25">
      <c r="A5" s="5"/>
      <c r="B5" s="36" t="s">
        <v>11</v>
      </c>
      <c r="C5" s="37"/>
      <c r="D5" s="37"/>
      <c r="E5" s="37"/>
      <c r="F5" s="38"/>
    </row>
    <row r="6" spans="1:10" ht="21" customHeight="1" x14ac:dyDescent="0.25">
      <c r="C6" s="4" t="s">
        <v>12</v>
      </c>
      <c r="D6" s="4" t="s">
        <v>13</v>
      </c>
      <c r="E6" s="7" t="s">
        <v>30</v>
      </c>
      <c r="F6" s="7" t="s">
        <v>15</v>
      </c>
    </row>
    <row r="7" spans="1:10" ht="30" x14ac:dyDescent="0.25">
      <c r="B7" s="1">
        <v>1</v>
      </c>
      <c r="C7" s="20" t="s">
        <v>42</v>
      </c>
      <c r="D7" s="25">
        <v>2480</v>
      </c>
      <c r="E7" s="27"/>
      <c r="F7" s="8">
        <f>(D7*E7)</f>
        <v>0</v>
      </c>
    </row>
    <row r="8" spans="1:10" ht="30" customHeight="1" x14ac:dyDescent="0.25">
      <c r="B8" s="1">
        <v>2</v>
      </c>
      <c r="C8" s="20" t="s">
        <v>32</v>
      </c>
      <c r="D8" s="25">
        <v>256</v>
      </c>
      <c r="E8" s="27"/>
      <c r="F8" s="8">
        <f>(D8*E8)</f>
        <v>0</v>
      </c>
      <c r="J8" s="2"/>
    </row>
    <row r="9" spans="1:10" ht="15" customHeight="1" x14ac:dyDescent="0.25">
      <c r="B9" s="1">
        <v>3</v>
      </c>
      <c r="C9" s="20" t="s">
        <v>33</v>
      </c>
      <c r="D9" s="25">
        <v>960</v>
      </c>
      <c r="E9" s="27"/>
      <c r="F9" s="8">
        <f>(D9*E9)</f>
        <v>0</v>
      </c>
    </row>
    <row r="10" spans="1:10" ht="15" customHeight="1" x14ac:dyDescent="0.25">
      <c r="B10" s="39" t="s">
        <v>16</v>
      </c>
      <c r="C10" s="40"/>
      <c r="D10" s="40"/>
      <c r="E10" s="41"/>
      <c r="F10" s="9">
        <f>SUM(F7:F9)</f>
        <v>0</v>
      </c>
    </row>
    <row r="11" spans="1:10" s="3" customFormat="1" ht="15" customHeight="1" x14ac:dyDescent="0.25">
      <c r="E11" s="10"/>
      <c r="F11" s="10"/>
    </row>
    <row r="12" spans="1:10" ht="15" customHeight="1" x14ac:dyDescent="0.25">
      <c r="A12" s="5"/>
      <c r="B12" s="62" t="s">
        <v>17</v>
      </c>
      <c r="C12" s="63"/>
      <c r="D12" s="63"/>
      <c r="E12" s="63"/>
      <c r="F12" s="64"/>
    </row>
    <row r="13" spans="1:10" x14ac:dyDescent="0.25">
      <c r="C13" s="4" t="s">
        <v>18</v>
      </c>
      <c r="D13" s="4" t="s">
        <v>19</v>
      </c>
      <c r="E13" s="7" t="s">
        <v>20</v>
      </c>
      <c r="F13" s="7" t="s">
        <v>10</v>
      </c>
      <c r="H13" s="3"/>
    </row>
    <row r="14" spans="1:10" x14ac:dyDescent="0.25">
      <c r="B14" s="1">
        <v>1</v>
      </c>
      <c r="D14" s="1">
        <v>0</v>
      </c>
      <c r="E14" s="8">
        <v>0</v>
      </c>
      <c r="F14" s="8">
        <f>(D14*E14)</f>
        <v>0</v>
      </c>
    </row>
    <row r="15" spans="1:10" ht="15" customHeight="1" x14ac:dyDescent="0.25">
      <c r="B15" s="1">
        <v>2</v>
      </c>
      <c r="D15" s="1">
        <v>0</v>
      </c>
      <c r="E15" s="8">
        <v>0</v>
      </c>
      <c r="F15" s="8">
        <f>(D15*E15)</f>
        <v>0</v>
      </c>
    </row>
    <row r="16" spans="1:10" x14ac:dyDescent="0.25">
      <c r="B16" s="1">
        <v>3</v>
      </c>
      <c r="D16" s="1">
        <v>0</v>
      </c>
      <c r="E16" s="8">
        <v>0</v>
      </c>
      <c r="F16" s="8">
        <f>(D16*E16)</f>
        <v>0</v>
      </c>
    </row>
    <row r="17" spans="1:10" ht="15" customHeight="1" x14ac:dyDescent="0.25">
      <c r="B17" s="39" t="s">
        <v>16</v>
      </c>
      <c r="C17" s="40"/>
      <c r="D17" s="40"/>
      <c r="E17" s="41"/>
      <c r="F17" s="9">
        <f>SUM(F14:F16)</f>
        <v>0</v>
      </c>
    </row>
    <row r="19" spans="1:10" x14ac:dyDescent="0.25">
      <c r="A19" s="5"/>
      <c r="B19" s="36" t="s">
        <v>21</v>
      </c>
      <c r="C19" s="37"/>
      <c r="D19" s="37"/>
      <c r="E19" s="37"/>
      <c r="F19" s="38"/>
    </row>
    <row r="20" spans="1:10" ht="15" customHeight="1" x14ac:dyDescent="0.25">
      <c r="C20" s="4" t="s">
        <v>18</v>
      </c>
      <c r="D20" s="4" t="s">
        <v>19</v>
      </c>
      <c r="E20" s="7" t="s">
        <v>20</v>
      </c>
      <c r="F20" s="7" t="s">
        <v>10</v>
      </c>
    </row>
    <row r="21" spans="1:10" ht="15" customHeight="1" x14ac:dyDescent="0.25">
      <c r="B21" s="1">
        <v>1</v>
      </c>
      <c r="D21" s="1">
        <v>0</v>
      </c>
      <c r="E21" s="8">
        <v>0</v>
      </c>
      <c r="F21" s="8">
        <f>(D21*E21)</f>
        <v>0</v>
      </c>
      <c r="J21" s="2"/>
    </row>
    <row r="22" spans="1:10" x14ac:dyDescent="0.25">
      <c r="B22" s="1">
        <v>2</v>
      </c>
      <c r="D22" s="1">
        <v>0</v>
      </c>
      <c r="E22" s="8">
        <v>0</v>
      </c>
      <c r="F22" s="8">
        <f>(D22*E22)</f>
        <v>0</v>
      </c>
    </row>
    <row r="23" spans="1:10" ht="15" customHeight="1" x14ac:dyDescent="0.25">
      <c r="B23" s="1">
        <v>3</v>
      </c>
      <c r="D23" s="1">
        <v>0</v>
      </c>
      <c r="E23" s="8">
        <v>0</v>
      </c>
      <c r="F23" s="8">
        <f>(D23*E23)</f>
        <v>0</v>
      </c>
      <c r="H23" s="3"/>
    </row>
    <row r="24" spans="1:10" x14ac:dyDescent="0.25">
      <c r="B24" s="39" t="s">
        <v>16</v>
      </c>
      <c r="C24" s="40"/>
      <c r="D24" s="40"/>
      <c r="E24" s="41"/>
      <c r="F24" s="9">
        <f>SUM(F21:F23)</f>
        <v>0</v>
      </c>
      <c r="H24" s="3"/>
    </row>
    <row r="26" spans="1:10" ht="15" customHeight="1" x14ac:dyDescent="0.25">
      <c r="A26" s="5"/>
      <c r="B26" s="36" t="s">
        <v>31</v>
      </c>
      <c r="C26" s="37"/>
      <c r="D26" s="37"/>
      <c r="E26" s="37"/>
      <c r="F26" s="38"/>
    </row>
    <row r="27" spans="1:10" ht="15" customHeight="1" x14ac:dyDescent="0.25">
      <c r="A27" s="5"/>
      <c r="B27" s="50" t="s">
        <v>23</v>
      </c>
      <c r="C27" s="51"/>
      <c r="D27" s="51"/>
      <c r="E27" s="51"/>
      <c r="F27" s="52"/>
    </row>
    <row r="28" spans="1:10" x14ac:dyDescent="0.25">
      <c r="C28" s="4" t="s">
        <v>24</v>
      </c>
      <c r="D28" s="4" t="s">
        <v>25</v>
      </c>
      <c r="E28" s="7" t="s">
        <v>26</v>
      </c>
      <c r="F28" s="7" t="s">
        <v>10</v>
      </c>
    </row>
    <row r="29" spans="1:10" x14ac:dyDescent="0.25">
      <c r="B29" s="1">
        <v>1</v>
      </c>
      <c r="C29" s="24" t="s">
        <v>39</v>
      </c>
      <c r="D29" s="1">
        <v>8</v>
      </c>
      <c r="E29" s="8">
        <v>6198</v>
      </c>
      <c r="F29" s="8">
        <f>(D29*E29)</f>
        <v>49584</v>
      </c>
    </row>
    <row r="30" spans="1:10" ht="15" customHeight="1" x14ac:dyDescent="0.25">
      <c r="B30" s="1">
        <v>2</v>
      </c>
      <c r="D30" s="1">
        <v>0</v>
      </c>
      <c r="E30" s="8">
        <v>0</v>
      </c>
      <c r="F30" s="8">
        <f>(D30*E30)</f>
        <v>0</v>
      </c>
    </row>
    <row r="31" spans="1:10" x14ac:dyDescent="0.25">
      <c r="B31" s="1">
        <v>3</v>
      </c>
      <c r="D31" s="1">
        <v>0</v>
      </c>
      <c r="E31" s="8">
        <v>0</v>
      </c>
      <c r="F31" s="8">
        <f>(D31*E31)</f>
        <v>0</v>
      </c>
      <c r="H31" s="3"/>
    </row>
    <row r="32" spans="1:10" x14ac:dyDescent="0.25">
      <c r="A32" s="5"/>
      <c r="B32" s="39" t="s">
        <v>16</v>
      </c>
      <c r="C32" s="40"/>
      <c r="D32" s="40"/>
      <c r="E32" s="41"/>
      <c r="F32" s="9">
        <f>SUM(F29:F31)</f>
        <v>49584</v>
      </c>
      <c r="H32" s="3"/>
    </row>
    <row r="33" spans="1:8" x14ac:dyDescent="0.25">
      <c r="A33" s="5"/>
      <c r="B33" s="5"/>
      <c r="C33" s="6"/>
      <c r="D33" s="6"/>
      <c r="E33" s="12"/>
      <c r="F33" s="11"/>
      <c r="H33" s="3"/>
    </row>
    <row r="34" spans="1:8" x14ac:dyDescent="0.25">
      <c r="A34" s="5"/>
      <c r="B34" s="53" t="s">
        <v>27</v>
      </c>
      <c r="C34" s="54"/>
      <c r="D34" s="54"/>
      <c r="E34" s="54"/>
      <c r="F34" s="55"/>
    </row>
    <row r="35" spans="1:8" ht="15" customHeight="1" x14ac:dyDescent="0.25">
      <c r="C35" s="4" t="s">
        <v>18</v>
      </c>
      <c r="D35" s="4" t="s">
        <v>19</v>
      </c>
      <c r="E35" s="7" t="s">
        <v>20</v>
      </c>
      <c r="F35" s="7" t="s">
        <v>10</v>
      </c>
    </row>
    <row r="36" spans="1:8" x14ac:dyDescent="0.25">
      <c r="B36" s="1">
        <v>1</v>
      </c>
      <c r="D36" s="1">
        <v>0</v>
      </c>
      <c r="E36" s="8">
        <v>0</v>
      </c>
      <c r="F36" s="8">
        <f>(D36*E36)</f>
        <v>0</v>
      </c>
    </row>
    <row r="37" spans="1:8" ht="15" customHeight="1" x14ac:dyDescent="0.25">
      <c r="B37" s="1">
        <v>2</v>
      </c>
      <c r="D37" s="1">
        <v>0</v>
      </c>
      <c r="E37" s="8">
        <v>0</v>
      </c>
      <c r="F37" s="8">
        <f>(D37*E37)</f>
        <v>0</v>
      </c>
    </row>
    <row r="38" spans="1:8" x14ac:dyDescent="0.25">
      <c r="B38" s="1">
        <v>3</v>
      </c>
      <c r="D38" s="1">
        <v>0</v>
      </c>
      <c r="E38" s="8">
        <v>0</v>
      </c>
      <c r="F38" s="8">
        <f>(D38*E38)</f>
        <v>0</v>
      </c>
    </row>
    <row r="39" spans="1:8" x14ac:dyDescent="0.25">
      <c r="A39" s="5"/>
      <c r="B39" s="39" t="s">
        <v>16</v>
      </c>
      <c r="C39" s="40"/>
      <c r="D39" s="40"/>
      <c r="E39" s="41"/>
      <c r="F39" s="9">
        <f>SUM(F36:F38)</f>
        <v>0</v>
      </c>
    </row>
    <row r="40" spans="1:8" x14ac:dyDescent="0.25">
      <c r="A40" s="5"/>
      <c r="B40" s="5"/>
      <c r="C40" s="6"/>
      <c r="D40" s="6"/>
      <c r="E40" s="12"/>
      <c r="F40" s="11"/>
    </row>
    <row r="41" spans="1:8" x14ac:dyDescent="0.25">
      <c r="A41" s="5"/>
      <c r="B41" s="53" t="s">
        <v>28</v>
      </c>
      <c r="C41" s="54"/>
      <c r="D41" s="54"/>
      <c r="E41" s="54"/>
      <c r="F41" s="55"/>
    </row>
    <row r="42" spans="1:8" ht="15" customHeight="1" x14ac:dyDescent="0.25">
      <c r="C42" s="4" t="s">
        <v>18</v>
      </c>
      <c r="D42" s="4" t="s">
        <v>19</v>
      </c>
      <c r="E42" s="7" t="s">
        <v>20</v>
      </c>
      <c r="F42" s="7" t="s">
        <v>10</v>
      </c>
    </row>
    <row r="43" spans="1:8" x14ac:dyDescent="0.25">
      <c r="A43" s="2"/>
      <c r="B43" s="16">
        <v>1</v>
      </c>
      <c r="D43" s="1">
        <v>0</v>
      </c>
      <c r="E43" s="8">
        <v>0</v>
      </c>
      <c r="F43" s="8">
        <f>(D43*E43)</f>
        <v>0</v>
      </c>
    </row>
    <row r="44" spans="1:8" x14ac:dyDescent="0.25">
      <c r="B44" s="16">
        <v>2</v>
      </c>
      <c r="D44" s="1">
        <v>0</v>
      </c>
      <c r="E44" s="8">
        <v>0</v>
      </c>
      <c r="F44" s="8">
        <f>(D44*E44)</f>
        <v>0</v>
      </c>
    </row>
    <row r="45" spans="1:8" x14ac:dyDescent="0.25">
      <c r="A45" s="2"/>
      <c r="B45" s="16">
        <v>3</v>
      </c>
      <c r="D45" s="1">
        <v>0</v>
      </c>
      <c r="E45" s="8">
        <v>0</v>
      </c>
      <c r="F45" s="8">
        <f>(D45*E45)</f>
        <v>0</v>
      </c>
    </row>
    <row r="46" spans="1:8" ht="15" customHeight="1" x14ac:dyDescent="0.25">
      <c r="B46" s="39" t="s">
        <v>16</v>
      </c>
      <c r="C46" s="40"/>
      <c r="D46" s="40"/>
      <c r="E46" s="41"/>
      <c r="F46" s="9">
        <f>SUM(F43:F45)</f>
        <v>0</v>
      </c>
    </row>
    <row r="48" spans="1:8" ht="21" customHeight="1" x14ac:dyDescent="0.35">
      <c r="B48" s="47" t="s">
        <v>29</v>
      </c>
      <c r="C48" s="48"/>
      <c r="D48" s="48"/>
      <c r="E48" s="49"/>
      <c r="F48" s="13">
        <f>SUM(DL_Subtotal,EP_Subtotal,SP_Subtotal, ODC_Travel_Subtotal,ODC_MS_Subtotal,ODC_Other_Subtotal)</f>
        <v>49584</v>
      </c>
    </row>
  </sheetData>
  <mergeCells count="19">
    <mergeCell ref="B5:F5"/>
    <mergeCell ref="B10:E10"/>
    <mergeCell ref="B12:F12"/>
    <mergeCell ref="A4:F4"/>
    <mergeCell ref="B1:F1"/>
    <mergeCell ref="B2:F2"/>
    <mergeCell ref="B3:C3"/>
    <mergeCell ref="D3:F3"/>
    <mergeCell ref="B48:E48"/>
    <mergeCell ref="B17:E17"/>
    <mergeCell ref="B19:F19"/>
    <mergeCell ref="B24:E24"/>
    <mergeCell ref="B26:F26"/>
    <mergeCell ref="B27:F27"/>
    <mergeCell ref="B32:E32"/>
    <mergeCell ref="B34:F34"/>
    <mergeCell ref="B39:E39"/>
    <mergeCell ref="B41:F41"/>
    <mergeCell ref="B46:E46"/>
  </mergeCells>
  <pageMargins left="0.7" right="0.7" top="0.75" bottom="0.75" header="0.3" footer="0.3"/>
  <pageSetup scale="7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8"/>
  <sheetViews>
    <sheetView topLeftCell="A2" zoomScale="90" zoomScaleNormal="90" workbookViewId="0">
      <selection activeCell="C7" sqref="C7"/>
    </sheetView>
  </sheetViews>
  <sheetFormatPr defaultColWidth="9.140625" defaultRowHeight="15" x14ac:dyDescent="0.25"/>
  <cols>
    <col min="1" max="1" width="4.28515625" style="1" customWidth="1"/>
    <col min="2" max="2" width="4.7109375" style="1" customWidth="1"/>
    <col min="3" max="3" width="30.7109375" style="1" customWidth="1"/>
    <col min="4" max="4" width="16.7109375" style="1" customWidth="1"/>
    <col min="5" max="5" width="16.7109375" style="8" customWidth="1"/>
    <col min="6" max="6" width="31.42578125" style="8" customWidth="1"/>
    <col min="7" max="7" width="4.7109375" style="1" customWidth="1"/>
    <col min="8" max="9" width="9.140625" style="1"/>
    <col min="10" max="10" width="15.7109375" style="1" customWidth="1"/>
    <col min="11" max="16384" width="9.140625" style="1"/>
  </cols>
  <sheetData>
    <row r="1" spans="1:10" ht="23.25" x14ac:dyDescent="0.35">
      <c r="A1" s="6"/>
      <c r="B1" s="59" t="s">
        <v>0</v>
      </c>
      <c r="C1" s="60"/>
      <c r="D1" s="60"/>
      <c r="E1" s="60"/>
      <c r="F1" s="61"/>
    </row>
    <row r="2" spans="1:10" ht="18.75" x14ac:dyDescent="0.3">
      <c r="A2" s="6"/>
      <c r="B2" s="56" t="s">
        <v>36</v>
      </c>
      <c r="C2" s="57"/>
      <c r="D2" s="57"/>
      <c r="E2" s="57"/>
      <c r="F2" s="58"/>
    </row>
    <row r="3" spans="1:10" ht="23.25" x14ac:dyDescent="0.35">
      <c r="A3" s="22"/>
      <c r="B3" s="44" t="s">
        <v>10</v>
      </c>
      <c r="C3" s="44"/>
      <c r="D3" s="45">
        <f>FY_Total</f>
        <v>49584</v>
      </c>
      <c r="E3" s="45"/>
      <c r="F3" s="46"/>
    </row>
    <row r="4" spans="1:10" ht="18.75" x14ac:dyDescent="0.3">
      <c r="A4" s="42"/>
      <c r="B4" s="42"/>
      <c r="C4" s="42"/>
      <c r="D4" s="42"/>
      <c r="E4" s="42"/>
      <c r="F4" s="43"/>
    </row>
    <row r="5" spans="1:10" ht="15" customHeight="1" x14ac:dyDescent="0.25">
      <c r="A5" s="5"/>
      <c r="B5" s="36" t="s">
        <v>11</v>
      </c>
      <c r="C5" s="37"/>
      <c r="D5" s="37"/>
      <c r="E5" s="37"/>
      <c r="F5" s="38"/>
    </row>
    <row r="6" spans="1:10" ht="21" customHeight="1" x14ac:dyDescent="0.25">
      <c r="C6" s="4" t="s">
        <v>12</v>
      </c>
      <c r="D6" s="4" t="s">
        <v>13</v>
      </c>
      <c r="E6" s="7" t="s">
        <v>30</v>
      </c>
      <c r="F6" s="7" t="s">
        <v>15</v>
      </c>
    </row>
    <row r="7" spans="1:10" ht="30" x14ac:dyDescent="0.25">
      <c r="B7" s="1">
        <v>1</v>
      </c>
      <c r="C7" s="20" t="s">
        <v>42</v>
      </c>
      <c r="D7" s="25">
        <v>2480</v>
      </c>
      <c r="E7" s="26"/>
      <c r="F7" s="8">
        <f>(D7*E7)</f>
        <v>0</v>
      </c>
    </row>
    <row r="8" spans="1:10" ht="30.75" customHeight="1" x14ac:dyDescent="0.25">
      <c r="B8" s="1">
        <v>2</v>
      </c>
      <c r="C8" s="20" t="s">
        <v>32</v>
      </c>
      <c r="D8" s="25">
        <v>256</v>
      </c>
      <c r="E8" s="26"/>
      <c r="F8" s="8">
        <f t="shared" ref="F8:F9" si="0">(D8*E8)</f>
        <v>0</v>
      </c>
      <c r="J8" s="2"/>
    </row>
    <row r="9" spans="1:10" ht="15" customHeight="1" x14ac:dyDescent="0.25">
      <c r="B9" s="1">
        <v>3</v>
      </c>
      <c r="C9" s="20" t="s">
        <v>33</v>
      </c>
      <c r="D9" s="25">
        <v>960</v>
      </c>
      <c r="E9" s="26"/>
      <c r="F9" s="8">
        <f t="shared" si="0"/>
        <v>0</v>
      </c>
    </row>
    <row r="10" spans="1:10" ht="15" customHeight="1" x14ac:dyDescent="0.25">
      <c r="B10" s="39" t="s">
        <v>16</v>
      </c>
      <c r="C10" s="40"/>
      <c r="D10" s="40"/>
      <c r="E10" s="41"/>
      <c r="F10" s="9">
        <f>SUM(F7:F9)</f>
        <v>0</v>
      </c>
    </row>
    <row r="11" spans="1:10" s="3" customFormat="1" ht="15" customHeight="1" x14ac:dyDescent="0.25">
      <c r="E11" s="10"/>
      <c r="F11" s="10"/>
    </row>
    <row r="12" spans="1:10" ht="15" customHeight="1" x14ac:dyDescent="0.25">
      <c r="A12" s="5"/>
      <c r="B12" s="62" t="s">
        <v>17</v>
      </c>
      <c r="C12" s="63"/>
      <c r="D12" s="63"/>
      <c r="E12" s="63"/>
      <c r="F12" s="64"/>
    </row>
    <row r="13" spans="1:10" x14ac:dyDescent="0.25">
      <c r="C13" s="4" t="s">
        <v>18</v>
      </c>
      <c r="D13" s="4" t="s">
        <v>19</v>
      </c>
      <c r="E13" s="7" t="s">
        <v>20</v>
      </c>
      <c r="F13" s="7" t="s">
        <v>10</v>
      </c>
      <c r="H13" s="3"/>
    </row>
    <row r="14" spans="1:10" x14ac:dyDescent="0.25">
      <c r="B14" s="1">
        <v>1</v>
      </c>
      <c r="D14" s="1">
        <v>0</v>
      </c>
      <c r="E14" s="8">
        <v>0</v>
      </c>
      <c r="F14" s="8">
        <f>(D14*E14)</f>
        <v>0</v>
      </c>
    </row>
    <row r="15" spans="1:10" ht="15" customHeight="1" x14ac:dyDescent="0.25">
      <c r="B15" s="1">
        <v>2</v>
      </c>
      <c r="D15" s="1">
        <v>0</v>
      </c>
      <c r="E15" s="8">
        <v>0</v>
      </c>
      <c r="F15" s="8">
        <f>(D15*E15)</f>
        <v>0</v>
      </c>
    </row>
    <row r="16" spans="1:10" x14ac:dyDescent="0.25">
      <c r="B16" s="1">
        <v>3</v>
      </c>
      <c r="D16" s="1">
        <v>0</v>
      </c>
      <c r="E16" s="8">
        <v>0</v>
      </c>
      <c r="F16" s="8">
        <f>(D16*E16)</f>
        <v>0</v>
      </c>
    </row>
    <row r="17" spans="1:8" ht="15" customHeight="1" x14ac:dyDescent="0.25">
      <c r="B17" s="39" t="s">
        <v>16</v>
      </c>
      <c r="C17" s="40"/>
      <c r="D17" s="40"/>
      <c r="E17" s="41"/>
      <c r="F17" s="9">
        <f>SUM(F14:F16)</f>
        <v>0</v>
      </c>
    </row>
    <row r="19" spans="1:8" x14ac:dyDescent="0.25">
      <c r="A19" s="5"/>
      <c r="B19" s="36" t="s">
        <v>21</v>
      </c>
      <c r="C19" s="37"/>
      <c r="D19" s="37"/>
      <c r="E19" s="37"/>
      <c r="F19" s="38"/>
    </row>
    <row r="20" spans="1:8" ht="15" customHeight="1" x14ac:dyDescent="0.25">
      <c r="C20" s="4" t="s">
        <v>18</v>
      </c>
      <c r="D20" s="4" t="s">
        <v>19</v>
      </c>
      <c r="E20" s="7" t="s">
        <v>20</v>
      </c>
      <c r="F20" s="7" t="s">
        <v>10</v>
      </c>
    </row>
    <row r="21" spans="1:8" ht="15" customHeight="1" x14ac:dyDescent="0.25">
      <c r="B21" s="5">
        <v>1</v>
      </c>
      <c r="C21" s="21"/>
      <c r="D21" s="1">
        <v>0</v>
      </c>
      <c r="E21" s="8">
        <v>0</v>
      </c>
      <c r="F21" s="8">
        <f>(D21*E21)</f>
        <v>0</v>
      </c>
    </row>
    <row r="22" spans="1:8" ht="15" customHeight="1" x14ac:dyDescent="0.25">
      <c r="B22" s="5">
        <v>2</v>
      </c>
      <c r="C22" s="21"/>
      <c r="D22" s="1">
        <v>0</v>
      </c>
      <c r="E22" s="8">
        <v>0</v>
      </c>
      <c r="F22" s="8">
        <f t="shared" ref="F22:F23" si="1">(D22*E22)</f>
        <v>0</v>
      </c>
    </row>
    <row r="23" spans="1:8" ht="15" customHeight="1" x14ac:dyDescent="0.25">
      <c r="B23" s="5">
        <v>3</v>
      </c>
      <c r="C23" s="21"/>
      <c r="D23" s="1">
        <v>0</v>
      </c>
      <c r="E23" s="8">
        <v>0</v>
      </c>
      <c r="F23" s="8">
        <f t="shared" si="1"/>
        <v>0</v>
      </c>
    </row>
    <row r="24" spans="1:8" ht="15" customHeight="1" x14ac:dyDescent="0.25">
      <c r="B24" s="39" t="s">
        <v>16</v>
      </c>
      <c r="C24" s="40"/>
      <c r="D24" s="40"/>
      <c r="E24" s="41"/>
      <c r="F24" s="9">
        <f>SUM(F21:F23)</f>
        <v>0</v>
      </c>
      <c r="H24" s="3"/>
    </row>
    <row r="26" spans="1:8" ht="15" customHeight="1" x14ac:dyDescent="0.25">
      <c r="A26" s="5"/>
      <c r="B26" s="36" t="s">
        <v>31</v>
      </c>
      <c r="C26" s="37"/>
      <c r="D26" s="37"/>
      <c r="E26" s="37"/>
      <c r="F26" s="38"/>
    </row>
    <row r="27" spans="1:8" ht="15" customHeight="1" x14ac:dyDescent="0.25">
      <c r="A27" s="5"/>
      <c r="B27" s="50" t="s">
        <v>23</v>
      </c>
      <c r="C27" s="51"/>
      <c r="D27" s="51"/>
      <c r="E27" s="51"/>
      <c r="F27" s="52"/>
    </row>
    <row r="28" spans="1:8" x14ac:dyDescent="0.25">
      <c r="C28" s="4" t="s">
        <v>24</v>
      </c>
      <c r="D28" s="4" t="s">
        <v>25</v>
      </c>
      <c r="E28" s="7" t="s">
        <v>26</v>
      </c>
      <c r="F28" s="7" t="s">
        <v>10</v>
      </c>
    </row>
    <row r="29" spans="1:8" x14ac:dyDescent="0.25">
      <c r="B29" s="1">
        <v>1</v>
      </c>
      <c r="C29" s="24" t="s">
        <v>39</v>
      </c>
      <c r="D29" s="1">
        <v>8</v>
      </c>
      <c r="E29" s="8">
        <v>6198</v>
      </c>
      <c r="F29" s="8">
        <f>(D29*E29)</f>
        <v>49584</v>
      </c>
    </row>
    <row r="30" spans="1:8" ht="15" customHeight="1" x14ac:dyDescent="0.25">
      <c r="B30" s="1">
        <v>2</v>
      </c>
      <c r="D30" s="1">
        <v>0</v>
      </c>
      <c r="E30" s="8">
        <v>0</v>
      </c>
      <c r="F30" s="8">
        <f>(D30*E30)</f>
        <v>0</v>
      </c>
    </row>
    <row r="31" spans="1:8" x14ac:dyDescent="0.25">
      <c r="B31" s="1">
        <v>3</v>
      </c>
      <c r="D31" s="1">
        <v>0</v>
      </c>
      <c r="E31" s="8">
        <v>0</v>
      </c>
      <c r="F31" s="8">
        <f>(D31*E31)</f>
        <v>0</v>
      </c>
      <c r="H31" s="3"/>
    </row>
    <row r="32" spans="1:8" ht="15" customHeight="1" x14ac:dyDescent="0.25">
      <c r="A32" s="5"/>
      <c r="B32" s="39" t="s">
        <v>16</v>
      </c>
      <c r="C32" s="40"/>
      <c r="D32" s="40"/>
      <c r="E32" s="41"/>
      <c r="F32" s="9">
        <f>SUM(F29:F31)</f>
        <v>49584</v>
      </c>
      <c r="H32" s="3"/>
    </row>
    <row r="33" spans="1:8" x14ac:dyDescent="0.25">
      <c r="A33" s="5"/>
      <c r="B33" s="5"/>
      <c r="C33" s="6"/>
      <c r="D33" s="6"/>
      <c r="E33" s="12"/>
      <c r="F33" s="11"/>
      <c r="H33" s="3"/>
    </row>
    <row r="34" spans="1:8" x14ac:dyDescent="0.25">
      <c r="A34" s="5"/>
      <c r="B34" s="50" t="s">
        <v>27</v>
      </c>
      <c r="C34" s="51"/>
      <c r="D34" s="51"/>
      <c r="E34" s="51"/>
      <c r="F34" s="52"/>
    </row>
    <row r="35" spans="1:8" ht="15" customHeight="1" x14ac:dyDescent="0.25">
      <c r="C35" s="4" t="s">
        <v>18</v>
      </c>
      <c r="D35" s="4" t="s">
        <v>19</v>
      </c>
      <c r="E35" s="7" t="s">
        <v>20</v>
      </c>
      <c r="F35" s="7" t="s">
        <v>10</v>
      </c>
    </row>
    <row r="36" spans="1:8" x14ac:dyDescent="0.25">
      <c r="B36" s="1">
        <v>1</v>
      </c>
      <c r="D36" s="1">
        <v>0</v>
      </c>
      <c r="E36" s="8">
        <v>0</v>
      </c>
      <c r="F36" s="8">
        <f>(D36*E36)</f>
        <v>0</v>
      </c>
    </row>
    <row r="37" spans="1:8" ht="15" customHeight="1" x14ac:dyDescent="0.25">
      <c r="B37" s="1">
        <v>2</v>
      </c>
      <c r="D37" s="1">
        <v>0</v>
      </c>
      <c r="E37" s="8">
        <v>0</v>
      </c>
      <c r="F37" s="8">
        <f>(D37*E37)</f>
        <v>0</v>
      </c>
    </row>
    <row r="38" spans="1:8" x14ac:dyDescent="0.25">
      <c r="B38" s="1">
        <v>3</v>
      </c>
      <c r="D38" s="1">
        <v>0</v>
      </c>
      <c r="E38" s="8">
        <v>0</v>
      </c>
      <c r="F38" s="8">
        <f>(D38*E38)</f>
        <v>0</v>
      </c>
    </row>
    <row r="39" spans="1:8" x14ac:dyDescent="0.25">
      <c r="A39" s="5"/>
      <c r="B39" s="39" t="s">
        <v>16</v>
      </c>
      <c r="C39" s="40"/>
      <c r="D39" s="40"/>
      <c r="E39" s="41"/>
      <c r="F39" s="9">
        <f>SUM(F36:F38)</f>
        <v>0</v>
      </c>
    </row>
    <row r="40" spans="1:8" x14ac:dyDescent="0.25">
      <c r="A40" s="5"/>
      <c r="B40" s="5"/>
      <c r="C40" s="6"/>
      <c r="D40" s="6"/>
      <c r="E40" s="12"/>
      <c r="F40" s="11"/>
    </row>
    <row r="41" spans="1:8" x14ac:dyDescent="0.25">
      <c r="A41" s="5"/>
      <c r="B41" s="50" t="s">
        <v>28</v>
      </c>
      <c r="C41" s="51"/>
      <c r="D41" s="51"/>
      <c r="E41" s="51"/>
      <c r="F41" s="52"/>
    </row>
    <row r="42" spans="1:8" ht="15" customHeight="1" x14ac:dyDescent="0.25">
      <c r="C42" s="4" t="s">
        <v>18</v>
      </c>
      <c r="D42" s="4" t="s">
        <v>19</v>
      </c>
      <c r="E42" s="7" t="s">
        <v>20</v>
      </c>
      <c r="F42" s="7" t="s">
        <v>10</v>
      </c>
    </row>
    <row r="43" spans="1:8" x14ac:dyDescent="0.25">
      <c r="A43" s="2"/>
      <c r="B43" s="16">
        <v>1</v>
      </c>
      <c r="D43" s="1">
        <v>0</v>
      </c>
      <c r="E43" s="8">
        <v>0</v>
      </c>
      <c r="F43" s="8">
        <f>(D43*E43)</f>
        <v>0</v>
      </c>
    </row>
    <row r="44" spans="1:8" x14ac:dyDescent="0.25">
      <c r="B44" s="16">
        <v>2</v>
      </c>
      <c r="D44" s="1">
        <v>0</v>
      </c>
      <c r="E44" s="8">
        <v>0</v>
      </c>
      <c r="F44" s="8">
        <f>(D44*E44)</f>
        <v>0</v>
      </c>
    </row>
    <row r="45" spans="1:8" x14ac:dyDescent="0.25">
      <c r="A45" s="2"/>
      <c r="B45" s="16">
        <v>3</v>
      </c>
      <c r="D45" s="1">
        <v>0</v>
      </c>
      <c r="E45" s="8">
        <v>0</v>
      </c>
      <c r="F45" s="8">
        <f>(D45*E45)</f>
        <v>0</v>
      </c>
    </row>
    <row r="46" spans="1:8" ht="15" customHeight="1" x14ac:dyDescent="0.25">
      <c r="B46" s="39" t="s">
        <v>16</v>
      </c>
      <c r="C46" s="40"/>
      <c r="D46" s="40"/>
      <c r="E46" s="41"/>
      <c r="F46" s="9">
        <f>SUM(F43:F45)</f>
        <v>0</v>
      </c>
    </row>
    <row r="48" spans="1:8" ht="21" customHeight="1" x14ac:dyDescent="0.35">
      <c r="B48" s="47" t="s">
        <v>29</v>
      </c>
      <c r="C48" s="48"/>
      <c r="D48" s="48"/>
      <c r="E48" s="49"/>
      <c r="F48" s="13">
        <f>SUM(DL_Subtotal,EP_Subtotal,SP_Subtotal, ODC_Travel_Subtotal,ODC_MS_Subtotal,ODC_Other_Subtotal)</f>
        <v>49584</v>
      </c>
    </row>
  </sheetData>
  <mergeCells count="19">
    <mergeCell ref="B48:E48"/>
    <mergeCell ref="B17:E17"/>
    <mergeCell ref="B19:F19"/>
    <mergeCell ref="B24:E24"/>
    <mergeCell ref="B26:F26"/>
    <mergeCell ref="B27:F27"/>
    <mergeCell ref="B32:E32"/>
    <mergeCell ref="B34:F34"/>
    <mergeCell ref="B39:E39"/>
    <mergeCell ref="B41:F41"/>
    <mergeCell ref="B46:E46"/>
    <mergeCell ref="B1:F1"/>
    <mergeCell ref="B2:F2"/>
    <mergeCell ref="B5:F5"/>
    <mergeCell ref="B10:E10"/>
    <mergeCell ref="B12:F12"/>
    <mergeCell ref="B3:C3"/>
    <mergeCell ref="D3:F3"/>
    <mergeCell ref="A4:F4"/>
  </mergeCells>
  <pageMargins left="0.7" right="0.7" top="0.75" bottom="0.75" header="0.3" footer="0.3"/>
  <pageSetup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48"/>
  <sheetViews>
    <sheetView zoomScale="90" zoomScaleNormal="90" workbookViewId="0">
      <selection activeCell="C7" sqref="C7"/>
    </sheetView>
  </sheetViews>
  <sheetFormatPr defaultColWidth="9.140625" defaultRowHeight="15" x14ac:dyDescent="0.25"/>
  <cols>
    <col min="1" max="1" width="4.28515625" style="1" customWidth="1"/>
    <col min="2" max="2" width="4.7109375" style="1" customWidth="1"/>
    <col min="3" max="3" width="30.7109375" style="1" customWidth="1"/>
    <col min="4" max="4" width="16.7109375" style="1" customWidth="1"/>
    <col min="5" max="5" width="16.7109375" style="8" customWidth="1"/>
    <col min="6" max="6" width="26.28515625" style="8" customWidth="1"/>
    <col min="7" max="7" width="4.7109375" style="1" customWidth="1"/>
    <col min="8" max="9" width="9.140625" style="1"/>
    <col min="10" max="10" width="15.7109375" style="1" customWidth="1"/>
    <col min="11" max="16384" width="9.140625" style="1"/>
  </cols>
  <sheetData>
    <row r="1" spans="1:10" ht="23.25" x14ac:dyDescent="0.35">
      <c r="A1" s="6"/>
      <c r="B1" s="59" t="s">
        <v>0</v>
      </c>
      <c r="C1" s="60"/>
      <c r="D1" s="60"/>
      <c r="E1" s="60"/>
      <c r="F1" s="61"/>
    </row>
    <row r="2" spans="1:10" ht="18.75" x14ac:dyDescent="0.3">
      <c r="A2" s="6"/>
      <c r="B2" s="56" t="s">
        <v>35</v>
      </c>
      <c r="C2" s="57"/>
      <c r="D2" s="57"/>
      <c r="E2" s="57"/>
      <c r="F2" s="58"/>
    </row>
    <row r="3" spans="1:10" ht="23.25" x14ac:dyDescent="0.35">
      <c r="A3" s="22"/>
      <c r="B3" s="44" t="s">
        <v>10</v>
      </c>
      <c r="C3" s="44"/>
      <c r="D3" s="45">
        <f>FY_Total</f>
        <v>49584</v>
      </c>
      <c r="E3" s="45"/>
      <c r="F3" s="46"/>
    </row>
    <row r="4" spans="1:10" ht="18.75" x14ac:dyDescent="0.3">
      <c r="A4" s="42"/>
      <c r="B4" s="42"/>
      <c r="C4" s="42"/>
      <c r="D4" s="42"/>
      <c r="E4" s="42"/>
      <c r="F4" s="43"/>
    </row>
    <row r="5" spans="1:10" ht="15" customHeight="1" x14ac:dyDescent="0.25">
      <c r="A5" s="5"/>
      <c r="B5" s="36" t="s">
        <v>11</v>
      </c>
      <c r="C5" s="37"/>
      <c r="D5" s="37"/>
      <c r="E5" s="37"/>
      <c r="F5" s="38"/>
    </row>
    <row r="6" spans="1:10" ht="21" customHeight="1" x14ac:dyDescent="0.25">
      <c r="C6" s="4" t="s">
        <v>12</v>
      </c>
      <c r="D6" s="4" t="s">
        <v>13</v>
      </c>
      <c r="E6" s="7" t="s">
        <v>30</v>
      </c>
      <c r="F6" s="7" t="s">
        <v>15</v>
      </c>
    </row>
    <row r="7" spans="1:10" ht="30" x14ac:dyDescent="0.25">
      <c r="B7" s="1">
        <v>1</v>
      </c>
      <c r="C7" s="20" t="s">
        <v>42</v>
      </c>
      <c r="D7" s="25">
        <v>2480</v>
      </c>
      <c r="E7" s="26"/>
      <c r="F7" s="8">
        <f>(D7*E7)</f>
        <v>0</v>
      </c>
    </row>
    <row r="8" spans="1:10" ht="30" customHeight="1" x14ac:dyDescent="0.25">
      <c r="B8" s="1">
        <v>2</v>
      </c>
      <c r="C8" s="20" t="s">
        <v>32</v>
      </c>
      <c r="D8" s="25">
        <v>256</v>
      </c>
      <c r="E8" s="26"/>
      <c r="F8" s="8">
        <f t="shared" ref="F8:F9" si="0">(D8*E8)</f>
        <v>0</v>
      </c>
      <c r="J8" s="2"/>
    </row>
    <row r="9" spans="1:10" ht="15" customHeight="1" x14ac:dyDescent="0.25">
      <c r="B9" s="1">
        <v>3</v>
      </c>
      <c r="C9" s="20" t="s">
        <v>33</v>
      </c>
      <c r="D9" s="25">
        <v>960</v>
      </c>
      <c r="E9" s="26"/>
      <c r="F9" s="8">
        <f t="shared" si="0"/>
        <v>0</v>
      </c>
    </row>
    <row r="10" spans="1:10" ht="15" customHeight="1" x14ac:dyDescent="0.25">
      <c r="B10" s="39" t="s">
        <v>16</v>
      </c>
      <c r="C10" s="40"/>
      <c r="D10" s="40"/>
      <c r="E10" s="41"/>
      <c r="F10" s="9">
        <f>SUM(F7:F9)</f>
        <v>0</v>
      </c>
    </row>
    <row r="11" spans="1:10" s="3" customFormat="1" ht="15" customHeight="1" x14ac:dyDescent="0.25">
      <c r="E11" s="10"/>
      <c r="F11" s="10"/>
    </row>
    <row r="12" spans="1:10" ht="15" customHeight="1" x14ac:dyDescent="0.25">
      <c r="A12" s="5"/>
      <c r="B12" s="62" t="s">
        <v>17</v>
      </c>
      <c r="C12" s="63"/>
      <c r="D12" s="63"/>
      <c r="E12" s="63"/>
      <c r="F12" s="64"/>
    </row>
    <row r="13" spans="1:10" x14ac:dyDescent="0.25">
      <c r="C13" s="4" t="s">
        <v>18</v>
      </c>
      <c r="D13" s="4" t="s">
        <v>19</v>
      </c>
      <c r="E13" s="7" t="s">
        <v>20</v>
      </c>
      <c r="F13" s="7" t="s">
        <v>10</v>
      </c>
      <c r="H13" s="3"/>
    </row>
    <row r="14" spans="1:10" x14ac:dyDescent="0.25">
      <c r="B14" s="1">
        <v>1</v>
      </c>
      <c r="D14" s="1">
        <v>0</v>
      </c>
      <c r="E14" s="8">
        <v>0</v>
      </c>
      <c r="F14" s="8">
        <f>(D14*E14)</f>
        <v>0</v>
      </c>
    </row>
    <row r="15" spans="1:10" ht="15" customHeight="1" x14ac:dyDescent="0.25">
      <c r="B15" s="1">
        <v>2</v>
      </c>
      <c r="D15" s="1">
        <v>0</v>
      </c>
      <c r="E15" s="8">
        <v>0</v>
      </c>
      <c r="F15" s="8">
        <f>(D15*E15)</f>
        <v>0</v>
      </c>
    </row>
    <row r="16" spans="1:10" x14ac:dyDescent="0.25">
      <c r="B16" s="1">
        <v>3</v>
      </c>
      <c r="D16" s="1">
        <v>0</v>
      </c>
      <c r="E16" s="8">
        <v>0</v>
      </c>
      <c r="F16" s="8">
        <f>(D16*E16)</f>
        <v>0</v>
      </c>
    </row>
    <row r="17" spans="1:8" ht="15" customHeight="1" x14ac:dyDescent="0.25">
      <c r="B17" s="39" t="s">
        <v>16</v>
      </c>
      <c r="C17" s="40"/>
      <c r="D17" s="40"/>
      <c r="E17" s="41"/>
      <c r="F17" s="9">
        <f>SUM(F14:F16)</f>
        <v>0</v>
      </c>
    </row>
    <row r="19" spans="1:8" x14ac:dyDescent="0.25">
      <c r="A19" s="5"/>
      <c r="B19" s="36" t="s">
        <v>21</v>
      </c>
      <c r="C19" s="37"/>
      <c r="D19" s="37"/>
      <c r="E19" s="37"/>
      <c r="F19" s="38"/>
    </row>
    <row r="20" spans="1:8" ht="15" customHeight="1" x14ac:dyDescent="0.25">
      <c r="C20" s="4" t="s">
        <v>18</v>
      </c>
      <c r="D20" s="4" t="s">
        <v>19</v>
      </c>
      <c r="E20" s="7" t="s">
        <v>20</v>
      </c>
      <c r="F20" s="7" t="s">
        <v>10</v>
      </c>
    </row>
    <row r="21" spans="1:8" ht="15" customHeight="1" x14ac:dyDescent="0.25">
      <c r="B21" s="5">
        <v>1</v>
      </c>
      <c r="C21" s="21"/>
      <c r="D21" s="1">
        <v>0</v>
      </c>
      <c r="E21" s="8">
        <v>0</v>
      </c>
      <c r="F21" s="8">
        <f>(D21*E21)</f>
        <v>0</v>
      </c>
    </row>
    <row r="22" spans="1:8" ht="15" customHeight="1" x14ac:dyDescent="0.25">
      <c r="B22" s="5">
        <v>2</v>
      </c>
      <c r="C22" s="21"/>
      <c r="D22" s="1">
        <v>0</v>
      </c>
      <c r="E22" s="8">
        <v>0</v>
      </c>
      <c r="F22" s="8">
        <f t="shared" ref="F22:F23" si="1">(D22*E22)</f>
        <v>0</v>
      </c>
    </row>
    <row r="23" spans="1:8" ht="15" customHeight="1" x14ac:dyDescent="0.25">
      <c r="B23" s="5">
        <v>3</v>
      </c>
      <c r="C23" s="21"/>
      <c r="D23" s="1">
        <v>0</v>
      </c>
      <c r="E23" s="8">
        <v>0</v>
      </c>
      <c r="F23" s="8">
        <f t="shared" si="1"/>
        <v>0</v>
      </c>
    </row>
    <row r="24" spans="1:8" ht="15" customHeight="1" x14ac:dyDescent="0.25">
      <c r="B24" s="39" t="s">
        <v>16</v>
      </c>
      <c r="C24" s="40"/>
      <c r="D24" s="40"/>
      <c r="E24" s="41"/>
      <c r="F24" s="9">
        <f>SUM(F21:F23)</f>
        <v>0</v>
      </c>
      <c r="H24" s="3"/>
    </row>
    <row r="26" spans="1:8" ht="15" customHeight="1" x14ac:dyDescent="0.25">
      <c r="A26" s="5"/>
      <c r="B26" s="36" t="s">
        <v>31</v>
      </c>
      <c r="C26" s="37"/>
      <c r="D26" s="37"/>
      <c r="E26" s="37"/>
      <c r="F26" s="38"/>
    </row>
    <row r="27" spans="1:8" ht="15" customHeight="1" x14ac:dyDescent="0.25">
      <c r="A27" s="5"/>
      <c r="B27" s="50" t="s">
        <v>23</v>
      </c>
      <c r="C27" s="51"/>
      <c r="D27" s="51"/>
      <c r="E27" s="51"/>
      <c r="F27" s="52"/>
    </row>
    <row r="28" spans="1:8" x14ac:dyDescent="0.25">
      <c r="C28" s="4" t="s">
        <v>24</v>
      </c>
      <c r="D28" s="4" t="s">
        <v>25</v>
      </c>
      <c r="E28" s="7" t="s">
        <v>26</v>
      </c>
      <c r="F28" s="7" t="s">
        <v>10</v>
      </c>
    </row>
    <row r="29" spans="1:8" x14ac:dyDescent="0.25">
      <c r="B29" s="1">
        <v>1</v>
      </c>
      <c r="C29" s="24" t="s">
        <v>39</v>
      </c>
      <c r="D29" s="1">
        <v>8</v>
      </c>
      <c r="E29" s="8">
        <v>6198</v>
      </c>
      <c r="F29" s="8">
        <f>(D29*E29)</f>
        <v>49584</v>
      </c>
    </row>
    <row r="30" spans="1:8" ht="15" customHeight="1" x14ac:dyDescent="0.25">
      <c r="B30" s="1">
        <v>2</v>
      </c>
      <c r="D30" s="1">
        <v>0</v>
      </c>
      <c r="E30" s="8">
        <v>0</v>
      </c>
      <c r="F30" s="8">
        <f>(D30*E30)</f>
        <v>0</v>
      </c>
    </row>
    <row r="31" spans="1:8" x14ac:dyDescent="0.25">
      <c r="B31" s="1">
        <v>3</v>
      </c>
      <c r="D31" s="1">
        <v>0</v>
      </c>
      <c r="E31" s="8">
        <v>0</v>
      </c>
      <c r="F31" s="8">
        <f>(D31*E31)</f>
        <v>0</v>
      </c>
      <c r="H31" s="3"/>
    </row>
    <row r="32" spans="1:8" ht="15" customHeight="1" x14ac:dyDescent="0.25">
      <c r="A32" s="5"/>
      <c r="B32" s="39" t="s">
        <v>16</v>
      </c>
      <c r="C32" s="40"/>
      <c r="D32" s="40"/>
      <c r="E32" s="41"/>
      <c r="F32" s="9">
        <f>SUM(F29:F31)</f>
        <v>49584</v>
      </c>
      <c r="H32" s="3"/>
    </row>
    <row r="33" spans="1:8" x14ac:dyDescent="0.25">
      <c r="A33" s="5"/>
      <c r="B33" s="5"/>
      <c r="C33" s="6"/>
      <c r="D33" s="6"/>
      <c r="E33" s="12"/>
      <c r="F33" s="11"/>
      <c r="H33" s="3"/>
    </row>
    <row r="34" spans="1:8" x14ac:dyDescent="0.25">
      <c r="A34" s="5"/>
      <c r="B34" s="50" t="s">
        <v>27</v>
      </c>
      <c r="C34" s="51"/>
      <c r="D34" s="51"/>
      <c r="E34" s="51"/>
      <c r="F34" s="52"/>
    </row>
    <row r="35" spans="1:8" ht="15" customHeight="1" x14ac:dyDescent="0.25">
      <c r="C35" s="4" t="s">
        <v>18</v>
      </c>
      <c r="D35" s="4" t="s">
        <v>19</v>
      </c>
      <c r="E35" s="7" t="s">
        <v>20</v>
      </c>
      <c r="F35" s="7" t="s">
        <v>10</v>
      </c>
    </row>
    <row r="36" spans="1:8" x14ac:dyDescent="0.25">
      <c r="B36" s="1">
        <v>1</v>
      </c>
      <c r="D36" s="1">
        <v>0</v>
      </c>
      <c r="E36" s="8">
        <v>0</v>
      </c>
      <c r="F36" s="8">
        <f>(D36*E36)</f>
        <v>0</v>
      </c>
    </row>
    <row r="37" spans="1:8" ht="15" customHeight="1" x14ac:dyDescent="0.25">
      <c r="B37" s="1">
        <v>2</v>
      </c>
      <c r="D37" s="1">
        <v>0</v>
      </c>
      <c r="E37" s="8">
        <v>0</v>
      </c>
      <c r="F37" s="8">
        <f>(D37*E37)</f>
        <v>0</v>
      </c>
    </row>
    <row r="38" spans="1:8" x14ac:dyDescent="0.25">
      <c r="B38" s="1">
        <v>3</v>
      </c>
      <c r="D38" s="1">
        <v>0</v>
      </c>
      <c r="E38" s="8">
        <v>0</v>
      </c>
      <c r="F38" s="8">
        <f>(D38*E38)</f>
        <v>0</v>
      </c>
    </row>
    <row r="39" spans="1:8" x14ac:dyDescent="0.25">
      <c r="A39" s="5"/>
      <c r="B39" s="39" t="s">
        <v>16</v>
      </c>
      <c r="C39" s="40"/>
      <c r="D39" s="40"/>
      <c r="E39" s="41"/>
      <c r="F39" s="9">
        <f>SUM(F36:F38)</f>
        <v>0</v>
      </c>
    </row>
    <row r="40" spans="1:8" x14ac:dyDescent="0.25">
      <c r="A40" s="5"/>
      <c r="B40" s="5"/>
      <c r="C40" s="6"/>
      <c r="D40" s="6"/>
      <c r="E40" s="12"/>
      <c r="F40" s="11"/>
    </row>
    <row r="41" spans="1:8" x14ac:dyDescent="0.25">
      <c r="A41" s="5"/>
      <c r="B41" s="53" t="s">
        <v>28</v>
      </c>
      <c r="C41" s="54"/>
      <c r="D41" s="54"/>
      <c r="E41" s="54"/>
      <c r="F41" s="55"/>
    </row>
    <row r="42" spans="1:8" ht="15" customHeight="1" x14ac:dyDescent="0.25">
      <c r="C42" s="4" t="s">
        <v>18</v>
      </c>
      <c r="D42" s="4" t="s">
        <v>19</v>
      </c>
      <c r="E42" s="7" t="s">
        <v>20</v>
      </c>
      <c r="F42" s="7" t="s">
        <v>10</v>
      </c>
    </row>
    <row r="43" spans="1:8" x14ac:dyDescent="0.25">
      <c r="A43" s="2"/>
      <c r="B43" s="16">
        <v>1</v>
      </c>
      <c r="D43" s="1">
        <v>0</v>
      </c>
      <c r="E43" s="8">
        <v>0</v>
      </c>
      <c r="F43" s="8">
        <f>(D43*E43)</f>
        <v>0</v>
      </c>
    </row>
    <row r="44" spans="1:8" x14ac:dyDescent="0.25">
      <c r="B44" s="16">
        <v>2</v>
      </c>
      <c r="D44" s="1">
        <v>0</v>
      </c>
      <c r="E44" s="8">
        <v>0</v>
      </c>
      <c r="F44" s="8">
        <f>(D44*E44)</f>
        <v>0</v>
      </c>
    </row>
    <row r="45" spans="1:8" x14ac:dyDescent="0.25">
      <c r="A45" s="2"/>
      <c r="B45" s="16">
        <v>3</v>
      </c>
      <c r="D45" s="1">
        <v>0</v>
      </c>
      <c r="E45" s="8">
        <v>0</v>
      </c>
      <c r="F45" s="8">
        <f>(D45*E45)</f>
        <v>0</v>
      </c>
    </row>
    <row r="46" spans="1:8" ht="15" customHeight="1" x14ac:dyDescent="0.25">
      <c r="B46" s="39" t="s">
        <v>16</v>
      </c>
      <c r="C46" s="40"/>
      <c r="D46" s="40"/>
      <c r="E46" s="41"/>
      <c r="F46" s="9">
        <f>SUM(F43:F45)</f>
        <v>0</v>
      </c>
    </row>
    <row r="48" spans="1:8" ht="21" customHeight="1" x14ac:dyDescent="0.35">
      <c r="B48" s="47" t="s">
        <v>29</v>
      </c>
      <c r="C48" s="48"/>
      <c r="D48" s="48"/>
      <c r="E48" s="49"/>
      <c r="F48" s="13">
        <f>SUM(DL_Subtotal,EP_Subtotal,SP_Subtotal, ODC_Travel_Subtotal,ODC_MS_Subtotal,ODC_Other_Subtotal)</f>
        <v>49584</v>
      </c>
    </row>
  </sheetData>
  <mergeCells count="19">
    <mergeCell ref="B26:F26"/>
    <mergeCell ref="B27:F27"/>
    <mergeCell ref="B19:F19"/>
    <mergeCell ref="B48:E48"/>
    <mergeCell ref="B32:E32"/>
    <mergeCell ref="B34:F34"/>
    <mergeCell ref="B39:E39"/>
    <mergeCell ref="B41:F41"/>
    <mergeCell ref="B46:E46"/>
    <mergeCell ref="B1:F1"/>
    <mergeCell ref="B2:F2"/>
    <mergeCell ref="B3:C3"/>
    <mergeCell ref="D3:F3"/>
    <mergeCell ref="B24:E24"/>
    <mergeCell ref="B10:E10"/>
    <mergeCell ref="B12:F12"/>
    <mergeCell ref="B17:E17"/>
    <mergeCell ref="A4:F4"/>
    <mergeCell ref="B5:F5"/>
  </mergeCells>
  <pageMargins left="0.7" right="0.7" top="0.75" bottom="0.75" header="0.3" footer="0.3"/>
  <pageSetup scale="7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48"/>
  <sheetViews>
    <sheetView zoomScaleNormal="100" workbookViewId="0">
      <selection activeCell="F7" sqref="F7"/>
    </sheetView>
  </sheetViews>
  <sheetFormatPr defaultColWidth="9.140625" defaultRowHeight="15" x14ac:dyDescent="0.25"/>
  <cols>
    <col min="1" max="1" width="4.28515625" style="1" customWidth="1"/>
    <col min="2" max="2" width="4.7109375" style="1" customWidth="1"/>
    <col min="3" max="3" width="30.7109375" style="1" customWidth="1"/>
    <col min="4" max="4" width="16.7109375" style="1" customWidth="1"/>
    <col min="5" max="5" width="16.7109375" style="8" customWidth="1"/>
    <col min="6" max="6" width="27" style="8" customWidth="1"/>
    <col min="7" max="7" width="4.7109375" style="1" customWidth="1"/>
    <col min="8" max="9" width="9.140625" style="1"/>
    <col min="10" max="10" width="15.7109375" style="1" customWidth="1"/>
    <col min="11" max="16384" width="9.140625" style="1"/>
  </cols>
  <sheetData>
    <row r="1" spans="1:10" ht="23.25" x14ac:dyDescent="0.35">
      <c r="A1" s="6"/>
      <c r="B1" s="59" t="s">
        <v>0</v>
      </c>
      <c r="C1" s="60"/>
      <c r="D1" s="60"/>
      <c r="E1" s="60"/>
      <c r="F1" s="61"/>
    </row>
    <row r="2" spans="1:10" ht="18.75" x14ac:dyDescent="0.3">
      <c r="A2" s="6"/>
      <c r="B2" s="56" t="s">
        <v>34</v>
      </c>
      <c r="C2" s="57"/>
      <c r="D2" s="57"/>
      <c r="E2" s="57"/>
      <c r="F2" s="58"/>
    </row>
    <row r="3" spans="1:10" ht="23.25" x14ac:dyDescent="0.35">
      <c r="A3" s="22"/>
      <c r="B3" s="44" t="s">
        <v>10</v>
      </c>
      <c r="C3" s="44"/>
      <c r="D3" s="45">
        <f>FY_Total</f>
        <v>49584</v>
      </c>
      <c r="E3" s="45"/>
      <c r="F3" s="46"/>
    </row>
    <row r="4" spans="1:10" ht="18.75" x14ac:dyDescent="0.3">
      <c r="A4" s="42"/>
      <c r="B4" s="42"/>
      <c r="C4" s="42"/>
      <c r="D4" s="42"/>
      <c r="E4" s="42"/>
      <c r="F4" s="43"/>
    </row>
    <row r="5" spans="1:10" ht="15" customHeight="1" x14ac:dyDescent="0.25">
      <c r="A5" s="5"/>
      <c r="B5" s="36" t="s">
        <v>11</v>
      </c>
      <c r="C5" s="37"/>
      <c r="D5" s="37"/>
      <c r="E5" s="37"/>
      <c r="F5" s="38"/>
    </row>
    <row r="6" spans="1:10" ht="21" customHeight="1" x14ac:dyDescent="0.25">
      <c r="C6" s="4" t="s">
        <v>12</v>
      </c>
      <c r="D6" s="4" t="s">
        <v>13</v>
      </c>
      <c r="E6" s="7" t="s">
        <v>30</v>
      </c>
      <c r="F6" s="7" t="s">
        <v>15</v>
      </c>
    </row>
    <row r="7" spans="1:10" ht="30" x14ac:dyDescent="0.25">
      <c r="B7" s="1">
        <v>1</v>
      </c>
      <c r="C7" s="20" t="s">
        <v>42</v>
      </c>
      <c r="D7" s="25">
        <v>2480</v>
      </c>
      <c r="E7" s="26"/>
      <c r="F7" s="8">
        <f>(D7*E7)</f>
        <v>0</v>
      </c>
    </row>
    <row r="8" spans="1:10" ht="32.25" customHeight="1" x14ac:dyDescent="0.25">
      <c r="B8" s="1">
        <v>2</v>
      </c>
      <c r="C8" s="20" t="s">
        <v>32</v>
      </c>
      <c r="D8" s="25">
        <v>256</v>
      </c>
      <c r="E8" s="26"/>
      <c r="F8" s="8">
        <f t="shared" ref="F8:F9" si="0">(D8*E8)</f>
        <v>0</v>
      </c>
      <c r="J8" s="2"/>
    </row>
    <row r="9" spans="1:10" ht="15" customHeight="1" x14ac:dyDescent="0.25">
      <c r="B9" s="1">
        <v>3</v>
      </c>
      <c r="C9" s="20" t="s">
        <v>33</v>
      </c>
      <c r="D9" s="25">
        <v>960</v>
      </c>
      <c r="E9" s="26"/>
      <c r="F9" s="8">
        <f t="shared" si="0"/>
        <v>0</v>
      </c>
    </row>
    <row r="10" spans="1:10" ht="15" customHeight="1" x14ac:dyDescent="0.25">
      <c r="B10" s="39" t="s">
        <v>16</v>
      </c>
      <c r="C10" s="40"/>
      <c r="D10" s="40"/>
      <c r="E10" s="41"/>
      <c r="F10" s="9">
        <f>SUM(F7:F9)</f>
        <v>0</v>
      </c>
    </row>
    <row r="11" spans="1:10" s="3" customFormat="1" ht="15" customHeight="1" x14ac:dyDescent="0.25">
      <c r="E11" s="10"/>
      <c r="F11" s="10"/>
    </row>
    <row r="12" spans="1:10" ht="15" customHeight="1" x14ac:dyDescent="0.25">
      <c r="A12" s="5"/>
      <c r="B12" s="62" t="s">
        <v>17</v>
      </c>
      <c r="C12" s="63"/>
      <c r="D12" s="63"/>
      <c r="E12" s="63"/>
      <c r="F12" s="64"/>
    </row>
    <row r="13" spans="1:10" x14ac:dyDescent="0.25">
      <c r="C13" s="4" t="s">
        <v>18</v>
      </c>
      <c r="D13" s="4" t="s">
        <v>19</v>
      </c>
      <c r="E13" s="7" t="s">
        <v>20</v>
      </c>
      <c r="F13" s="7" t="s">
        <v>10</v>
      </c>
      <c r="H13" s="3"/>
    </row>
    <row r="14" spans="1:10" x14ac:dyDescent="0.25">
      <c r="B14" s="1">
        <v>1</v>
      </c>
      <c r="D14" s="1">
        <v>0</v>
      </c>
      <c r="E14" s="8">
        <v>0</v>
      </c>
      <c r="F14" s="8">
        <f>(D14*E14)</f>
        <v>0</v>
      </c>
    </row>
    <row r="15" spans="1:10" ht="15" customHeight="1" x14ac:dyDescent="0.25">
      <c r="B15" s="1">
        <v>2</v>
      </c>
      <c r="D15" s="1">
        <v>0</v>
      </c>
      <c r="E15" s="8">
        <v>0</v>
      </c>
      <c r="F15" s="8">
        <f>(D15*E15)</f>
        <v>0</v>
      </c>
    </row>
    <row r="16" spans="1:10" x14ac:dyDescent="0.25">
      <c r="B16" s="1">
        <v>3</v>
      </c>
      <c r="D16" s="1">
        <v>0</v>
      </c>
      <c r="E16" s="8">
        <v>0</v>
      </c>
      <c r="F16" s="8">
        <f>(D16*E16)</f>
        <v>0</v>
      </c>
    </row>
    <row r="17" spans="1:8" ht="15" customHeight="1" x14ac:dyDescent="0.25">
      <c r="B17" s="39" t="s">
        <v>16</v>
      </c>
      <c r="C17" s="40"/>
      <c r="D17" s="40"/>
      <c r="E17" s="41"/>
      <c r="F17" s="9">
        <f>SUM(F14:F16)</f>
        <v>0</v>
      </c>
    </row>
    <row r="19" spans="1:8" x14ac:dyDescent="0.25">
      <c r="A19" s="5"/>
      <c r="B19" s="36" t="s">
        <v>21</v>
      </c>
      <c r="C19" s="37"/>
      <c r="D19" s="37"/>
      <c r="E19" s="37"/>
      <c r="F19" s="38"/>
    </row>
    <row r="20" spans="1:8" ht="15" customHeight="1" x14ac:dyDescent="0.25">
      <c r="C20" s="4" t="s">
        <v>18</v>
      </c>
      <c r="D20" s="4" t="s">
        <v>19</v>
      </c>
      <c r="E20" s="7" t="s">
        <v>20</v>
      </c>
      <c r="F20" s="7" t="s">
        <v>10</v>
      </c>
    </row>
    <row r="21" spans="1:8" ht="15" customHeight="1" x14ac:dyDescent="0.25">
      <c r="B21" s="5">
        <v>1</v>
      </c>
      <c r="C21" s="21"/>
      <c r="D21" s="1">
        <v>0</v>
      </c>
      <c r="E21" s="8">
        <v>0</v>
      </c>
      <c r="F21" s="8">
        <f>(D21*E21)</f>
        <v>0</v>
      </c>
    </row>
    <row r="22" spans="1:8" ht="15" customHeight="1" x14ac:dyDescent="0.25">
      <c r="B22" s="5">
        <v>2</v>
      </c>
      <c r="C22" s="21"/>
      <c r="D22" s="1">
        <v>0</v>
      </c>
      <c r="E22" s="8">
        <v>0</v>
      </c>
      <c r="F22" s="8">
        <f t="shared" ref="F22:F23" si="1">(D22*E22)</f>
        <v>0</v>
      </c>
    </row>
    <row r="23" spans="1:8" ht="15" customHeight="1" x14ac:dyDescent="0.25">
      <c r="B23" s="5">
        <v>3</v>
      </c>
      <c r="C23" s="21"/>
      <c r="D23" s="1">
        <v>0</v>
      </c>
      <c r="E23" s="8">
        <v>0</v>
      </c>
      <c r="F23" s="8">
        <f t="shared" si="1"/>
        <v>0</v>
      </c>
    </row>
    <row r="24" spans="1:8" ht="15" customHeight="1" x14ac:dyDescent="0.25">
      <c r="B24" s="39" t="s">
        <v>16</v>
      </c>
      <c r="C24" s="40"/>
      <c r="D24" s="40"/>
      <c r="E24" s="41"/>
      <c r="F24" s="9">
        <f>SUM(F21:F23)</f>
        <v>0</v>
      </c>
      <c r="H24" s="3"/>
    </row>
    <row r="26" spans="1:8" ht="15" customHeight="1" x14ac:dyDescent="0.25">
      <c r="A26" s="5"/>
      <c r="B26" s="36" t="s">
        <v>31</v>
      </c>
      <c r="C26" s="37"/>
      <c r="D26" s="37"/>
      <c r="E26" s="37"/>
      <c r="F26" s="38"/>
    </row>
    <row r="27" spans="1:8" ht="15" customHeight="1" x14ac:dyDescent="0.25">
      <c r="A27" s="5"/>
      <c r="B27" s="50" t="s">
        <v>23</v>
      </c>
      <c r="C27" s="51"/>
      <c r="D27" s="51"/>
      <c r="E27" s="51"/>
      <c r="F27" s="52"/>
    </row>
    <row r="28" spans="1:8" x14ac:dyDescent="0.25">
      <c r="C28" s="4" t="s">
        <v>24</v>
      </c>
      <c r="D28" s="4" t="s">
        <v>25</v>
      </c>
      <c r="E28" s="7" t="s">
        <v>26</v>
      </c>
      <c r="F28" s="7" t="s">
        <v>10</v>
      </c>
    </row>
    <row r="29" spans="1:8" x14ac:dyDescent="0.25">
      <c r="B29" s="1">
        <v>1</v>
      </c>
      <c r="C29" s="24" t="s">
        <v>39</v>
      </c>
      <c r="D29" s="1">
        <v>8</v>
      </c>
      <c r="E29" s="8">
        <v>6198</v>
      </c>
      <c r="F29" s="8">
        <f>(D29*E29)</f>
        <v>49584</v>
      </c>
    </row>
    <row r="30" spans="1:8" ht="15" customHeight="1" x14ac:dyDescent="0.25">
      <c r="B30" s="1">
        <v>2</v>
      </c>
      <c r="D30" s="1">
        <v>0</v>
      </c>
      <c r="E30" s="8">
        <v>0</v>
      </c>
      <c r="F30" s="8">
        <f>(D30*E30)</f>
        <v>0</v>
      </c>
    </row>
    <row r="31" spans="1:8" x14ac:dyDescent="0.25">
      <c r="B31" s="1">
        <v>3</v>
      </c>
      <c r="D31" s="1">
        <v>0</v>
      </c>
      <c r="E31" s="8">
        <v>0</v>
      </c>
      <c r="F31" s="8">
        <f>(D31*E31)</f>
        <v>0</v>
      </c>
      <c r="H31" s="3"/>
    </row>
    <row r="32" spans="1:8" ht="15" customHeight="1" x14ac:dyDescent="0.25">
      <c r="A32" s="5"/>
      <c r="B32" s="39" t="s">
        <v>16</v>
      </c>
      <c r="C32" s="40"/>
      <c r="D32" s="40"/>
      <c r="E32" s="41"/>
      <c r="F32" s="9">
        <f>SUM(F29:F31)</f>
        <v>49584</v>
      </c>
      <c r="H32" s="3"/>
    </row>
    <row r="33" spans="1:8" x14ac:dyDescent="0.25">
      <c r="A33" s="5"/>
      <c r="B33" s="5"/>
      <c r="C33" s="6"/>
      <c r="D33" s="6"/>
      <c r="E33" s="12"/>
      <c r="F33" s="11"/>
      <c r="H33" s="3"/>
    </row>
    <row r="34" spans="1:8" x14ac:dyDescent="0.25">
      <c r="A34" s="5"/>
      <c r="B34" s="53" t="s">
        <v>27</v>
      </c>
      <c r="C34" s="54"/>
      <c r="D34" s="54"/>
      <c r="E34" s="54"/>
      <c r="F34" s="55"/>
    </row>
    <row r="35" spans="1:8" ht="15" customHeight="1" x14ac:dyDescent="0.25">
      <c r="C35" s="4" t="s">
        <v>18</v>
      </c>
      <c r="D35" s="4" t="s">
        <v>19</v>
      </c>
      <c r="E35" s="7" t="s">
        <v>20</v>
      </c>
      <c r="F35" s="7" t="s">
        <v>10</v>
      </c>
    </row>
    <row r="36" spans="1:8" ht="15" customHeight="1" x14ac:dyDescent="0.25">
      <c r="B36" s="1">
        <v>1</v>
      </c>
      <c r="C36" s="4"/>
      <c r="D36" s="1">
        <v>0</v>
      </c>
      <c r="E36" s="8">
        <v>0</v>
      </c>
      <c r="F36" s="8">
        <f>(D36*E36)</f>
        <v>0</v>
      </c>
    </row>
    <row r="37" spans="1:8" ht="15" customHeight="1" x14ac:dyDescent="0.25">
      <c r="B37" s="1">
        <v>2</v>
      </c>
      <c r="D37" s="1">
        <v>0</v>
      </c>
      <c r="E37" s="8">
        <v>0</v>
      </c>
      <c r="F37" s="8">
        <f>(D37*E37)</f>
        <v>0</v>
      </c>
    </row>
    <row r="38" spans="1:8" ht="15" customHeight="1" x14ac:dyDescent="0.25">
      <c r="B38" s="1">
        <v>3</v>
      </c>
      <c r="D38" s="1">
        <v>0</v>
      </c>
      <c r="E38" s="8">
        <v>0</v>
      </c>
      <c r="F38" s="8">
        <f>(D38*E38)</f>
        <v>0</v>
      </c>
    </row>
    <row r="39" spans="1:8" ht="15" customHeight="1" x14ac:dyDescent="0.25">
      <c r="A39" s="5"/>
      <c r="B39" s="39" t="s">
        <v>16</v>
      </c>
      <c r="C39" s="40"/>
      <c r="D39" s="40"/>
      <c r="E39" s="41"/>
      <c r="F39" s="9">
        <f>SUM(F36:F38)</f>
        <v>0</v>
      </c>
    </row>
    <row r="40" spans="1:8" ht="15" customHeight="1" x14ac:dyDescent="0.25">
      <c r="A40" s="5"/>
      <c r="B40" s="5"/>
      <c r="C40" s="6"/>
      <c r="D40" s="6"/>
      <c r="E40" s="12"/>
      <c r="F40" s="11"/>
    </row>
    <row r="41" spans="1:8" ht="15" customHeight="1" x14ac:dyDescent="0.25">
      <c r="A41" s="5"/>
      <c r="B41" s="53" t="s">
        <v>28</v>
      </c>
      <c r="C41" s="54"/>
      <c r="D41" s="54"/>
      <c r="E41" s="54"/>
      <c r="F41" s="55"/>
    </row>
    <row r="42" spans="1:8" ht="15" customHeight="1" x14ac:dyDescent="0.25">
      <c r="C42" s="4" t="s">
        <v>18</v>
      </c>
      <c r="D42" s="4" t="s">
        <v>19</v>
      </c>
      <c r="E42" s="7" t="s">
        <v>20</v>
      </c>
      <c r="F42" s="7" t="s">
        <v>10</v>
      </c>
    </row>
    <row r="43" spans="1:8" ht="15" customHeight="1" x14ac:dyDescent="0.25">
      <c r="A43" s="2"/>
      <c r="B43" s="16">
        <v>1</v>
      </c>
      <c r="D43" s="1">
        <v>0</v>
      </c>
      <c r="E43" s="8">
        <v>0</v>
      </c>
      <c r="F43" s="8">
        <f>(D43*E43)</f>
        <v>0</v>
      </c>
    </row>
    <row r="44" spans="1:8" ht="15" customHeight="1" x14ac:dyDescent="0.25">
      <c r="B44" s="16">
        <v>2</v>
      </c>
      <c r="D44" s="1">
        <v>0</v>
      </c>
      <c r="E44" s="8">
        <v>0</v>
      </c>
      <c r="F44" s="8">
        <f>(D44*E44)</f>
        <v>0</v>
      </c>
    </row>
    <row r="45" spans="1:8" ht="15" customHeight="1" x14ac:dyDescent="0.25">
      <c r="A45" s="2"/>
      <c r="B45" s="16">
        <v>3</v>
      </c>
      <c r="D45" s="1">
        <v>0</v>
      </c>
      <c r="E45" s="8">
        <v>0</v>
      </c>
      <c r="F45" s="8">
        <f>(D45*E45)</f>
        <v>0</v>
      </c>
    </row>
    <row r="46" spans="1:8" ht="15" customHeight="1" x14ac:dyDescent="0.25">
      <c r="B46" s="39" t="s">
        <v>16</v>
      </c>
      <c r="C46" s="40"/>
      <c r="D46" s="40"/>
      <c r="E46" s="41"/>
      <c r="F46" s="9">
        <f>SUM(F43:F45)</f>
        <v>0</v>
      </c>
    </row>
    <row r="47" spans="1:8" ht="15" customHeight="1" x14ac:dyDescent="0.25"/>
    <row r="48" spans="1:8" ht="21" x14ac:dyDescent="0.35">
      <c r="B48" s="47" t="s">
        <v>29</v>
      </c>
      <c r="C48" s="48"/>
      <c r="D48" s="48"/>
      <c r="E48" s="49"/>
      <c r="F48" s="13">
        <f>SUM(DL_Subtotal,EP_Subtotal,SP_Subtotal, ODC_Travel_Subtotal,ODC_MS_Subtotal,ODC_Other_Subtotal)</f>
        <v>49584</v>
      </c>
    </row>
  </sheetData>
  <mergeCells count="19">
    <mergeCell ref="B26:F26"/>
    <mergeCell ref="B27:F27"/>
    <mergeCell ref="B19:F19"/>
    <mergeCell ref="B48:E48"/>
    <mergeCell ref="B32:E32"/>
    <mergeCell ref="B34:F34"/>
    <mergeCell ref="B39:E39"/>
    <mergeCell ref="B41:F41"/>
    <mergeCell ref="B46:E46"/>
    <mergeCell ref="B1:F1"/>
    <mergeCell ref="B2:F2"/>
    <mergeCell ref="B3:C3"/>
    <mergeCell ref="D3:F3"/>
    <mergeCell ref="B24:E24"/>
    <mergeCell ref="B10:E10"/>
    <mergeCell ref="B12:F12"/>
    <mergeCell ref="B17:E17"/>
    <mergeCell ref="A4:F4"/>
    <mergeCell ref="B5:F5"/>
  </mergeCells>
  <pageMargins left="0.7" right="0.7" top="0.75" bottom="0.75" header="0.3" footer="0.3"/>
  <pageSetup scale="7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9EF9F708337E4CB9DBA51B4D402B2C" ma:contentTypeVersion="14" ma:contentTypeDescription="Create a new document." ma:contentTypeScope="" ma:versionID="f7137151f948517d75b06542facec2e3">
  <xsd:schema xmlns:xsd="http://www.w3.org/2001/XMLSchema" xmlns:xs="http://www.w3.org/2001/XMLSchema" xmlns:p="http://schemas.microsoft.com/office/2006/metadata/properties" xmlns:ns2="e9273f3e-431a-4229-9229-f3fc25e5404b" xmlns:ns3="bd65b579-a84b-46c2-b548-0849cb6fcd8a" targetNamespace="http://schemas.microsoft.com/office/2006/metadata/properties" ma:root="true" ma:fieldsID="08a9019d0956326a49b7568c206de95e" ns2:_="" ns3:_="">
    <xsd:import namespace="e9273f3e-431a-4229-9229-f3fc25e5404b"/>
    <xsd:import namespace="bd65b579-a84b-46c2-b548-0849cb6fcd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273f3e-431a-4229-9229-f3fc25e540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2c05f6b-1d26-4e69-9341-18f36dd83c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5b579-a84b-46c2-b548-0849cb6fcd8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7fd66cf-89f1-4323-b800-6206f935bd8f}" ma:internalName="TaxCatchAll" ma:showField="CatchAllData" ma:web="bd65b579-a84b-46c2-b548-0849cb6fcd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273f3e-431a-4229-9229-f3fc25e5404b">
      <Terms xmlns="http://schemas.microsoft.com/office/infopath/2007/PartnerControls"/>
    </lcf76f155ced4ddcb4097134ff3c332f>
    <TaxCatchAll xmlns="bd65b579-a84b-46c2-b548-0849cb6fcd8a" xsi:nil="true"/>
  </documentManagement>
</p:properties>
</file>

<file path=customXml/itemProps1.xml><?xml version="1.0" encoding="utf-8"?>
<ds:datastoreItem xmlns:ds="http://schemas.openxmlformats.org/officeDocument/2006/customXml" ds:itemID="{289C90C3-A74F-4F45-A3D0-30809A6E1C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273f3e-431a-4229-9229-f3fc25e5404b"/>
    <ds:schemaRef ds:uri="bd65b579-a84b-46c2-b548-0849cb6fc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40E776-6C9C-44B4-8FDA-0F32740101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DA9E7D-960B-4A06-9C01-6E8CEA210DD6}">
  <ds:schemaRefs>
    <ds:schemaRef ds:uri="http://schemas.microsoft.com/office/2006/metadata/properties"/>
    <ds:schemaRef ds:uri="http://schemas.microsoft.com/office/infopath/2007/PartnerControls"/>
    <ds:schemaRef ds:uri="e9273f3e-431a-4229-9229-f3fc25e5404b"/>
    <ds:schemaRef ds:uri="bd65b579-a84b-46c2-b548-0849cb6fcd8a"/>
  </ds:schemaRefs>
</ds:datastoreItem>
</file>

<file path=docMetadata/LabelInfo.xml><?xml version="1.0" encoding="utf-8"?>
<clbl:labelList xmlns:clbl="http://schemas.microsoft.com/office/2020/mipLabelMetadata">
  <clbl:label id="{5c1c8aa7-9732-4c22-88c5-b30c9245f282}" enabled="0" method="" siteId="{5c1c8aa7-9732-4c22-88c5-b30c9245f2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45</vt:i4>
      </vt:variant>
    </vt:vector>
  </HeadingPairs>
  <TitlesOfParts>
    <vt:vector size="51" baseType="lpstr">
      <vt:lpstr>Summary</vt:lpstr>
      <vt:lpstr>Base Year</vt:lpstr>
      <vt:lpstr>Option Year 1</vt:lpstr>
      <vt:lpstr>Option Year 2</vt:lpstr>
      <vt:lpstr>Option Year 3</vt:lpstr>
      <vt:lpstr>Option Year 4</vt:lpstr>
      <vt:lpstr>'Base Year'!DL_Subtotal</vt:lpstr>
      <vt:lpstr>'Option Year 1'!DL_Subtotal</vt:lpstr>
      <vt:lpstr>'Option Year 2'!DL_Subtotal</vt:lpstr>
      <vt:lpstr>'Option Year 3'!DL_Subtotal</vt:lpstr>
      <vt:lpstr>'Option Year 4'!DL_Subtotal</vt:lpstr>
      <vt:lpstr>'Base Year'!EP_Subtotal</vt:lpstr>
      <vt:lpstr>'Option Year 1'!EP_Subtotal</vt:lpstr>
      <vt:lpstr>'Option Year 2'!EP_Subtotal</vt:lpstr>
      <vt:lpstr>'Option Year 3'!EP_Subtotal</vt:lpstr>
      <vt:lpstr>'Option Year 4'!EP_Subtotal</vt:lpstr>
      <vt:lpstr>'Base Year'!FY_Total</vt:lpstr>
      <vt:lpstr>'Option Year 1'!FY_Total</vt:lpstr>
      <vt:lpstr>'Option Year 2'!FY_Total</vt:lpstr>
      <vt:lpstr>'Option Year 3'!FY_Total</vt:lpstr>
      <vt:lpstr>'Option Year 4'!FY_Total</vt:lpstr>
      <vt:lpstr>'Base Year'!Labor_Subtotal</vt:lpstr>
      <vt:lpstr>'Option Year 1'!Labor_Subtotal</vt:lpstr>
      <vt:lpstr>'Option Year 2'!Labor_Subtotal</vt:lpstr>
      <vt:lpstr>'Option Year 3'!Labor_Subtotal</vt:lpstr>
      <vt:lpstr>'Option Year 4'!Labor_Subtotal</vt:lpstr>
      <vt:lpstr>'Base Year'!ODC_MS_Subtotal</vt:lpstr>
      <vt:lpstr>'Option Year 1'!ODC_MS_Subtotal</vt:lpstr>
      <vt:lpstr>'Option Year 2'!ODC_MS_Subtotal</vt:lpstr>
      <vt:lpstr>'Option Year 3'!ODC_MS_Subtotal</vt:lpstr>
      <vt:lpstr>'Option Year 4'!ODC_MS_Subtotal</vt:lpstr>
      <vt:lpstr>'Base Year'!ODC_Other_Subtotal</vt:lpstr>
      <vt:lpstr>'Option Year 1'!ODC_Other_Subtotal</vt:lpstr>
      <vt:lpstr>'Option Year 2'!ODC_Other_Subtotal</vt:lpstr>
      <vt:lpstr>'Option Year 3'!ODC_Other_Subtotal</vt:lpstr>
      <vt:lpstr>'Option Year 4'!ODC_Other_Subtotal</vt:lpstr>
      <vt:lpstr>'Base Year'!ODC_Travel_Subtotal</vt:lpstr>
      <vt:lpstr>'Option Year 1'!ODC_Travel_Subtotal</vt:lpstr>
      <vt:lpstr>'Option Year 2'!ODC_Travel_Subtotal</vt:lpstr>
      <vt:lpstr>'Option Year 3'!ODC_Travel_Subtotal</vt:lpstr>
      <vt:lpstr>'Option Year 4'!ODC_Travel_Subtotal</vt:lpstr>
      <vt:lpstr>'Base Year'!ODCtravel_Subtotal</vt:lpstr>
      <vt:lpstr>'Option Year 1'!ODCtravel_Subtotal</vt:lpstr>
      <vt:lpstr>'Option Year 2'!ODCtravel_Subtotal</vt:lpstr>
      <vt:lpstr>'Option Year 3'!ODCtravel_Subtotal</vt:lpstr>
      <vt:lpstr>'Option Year 4'!ODCtravel_Subtotal</vt:lpstr>
      <vt:lpstr>'Base Year'!SP_Subtotal</vt:lpstr>
      <vt:lpstr>'Option Year 1'!SP_Subtotal</vt:lpstr>
      <vt:lpstr>'Option Year 2'!SP_Subtotal</vt:lpstr>
      <vt:lpstr>'Option Year 3'!SP_Subtotal</vt:lpstr>
      <vt:lpstr>'Option Year 4'!SP_Subtotal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racharm</dc:creator>
  <cp:keywords/>
  <dc:description/>
  <cp:lastModifiedBy>Hergenrader, Melissa (OCCS)</cp:lastModifiedBy>
  <cp:revision/>
  <dcterms:created xsi:type="dcterms:W3CDTF">2010-11-05T14:30:26Z</dcterms:created>
  <dcterms:modified xsi:type="dcterms:W3CDTF">2026-04-21T13:12:52Z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0x010100BA9EF9F708337E4CB9DBA51B4D402B2C</vt:lpwstr>
  </property>
  <property fmtid="{D5CDD505-2E9C-101B-9397-08002B2CF9AE}" pid="3" name="MediaServiceImageTags">
    <vt:lpwstr/>
  </property>
</Properties>
</file>