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filterPrivacy="1" defaultThemeVersion="124226"/>
  <xr:revisionPtr revIDLastSave="15" documentId="8_{341FF6BB-1991-4EB6-AA2E-0E660E1BEFB2}" xr6:coauthVersionLast="47" xr6:coauthVersionMax="47" xr10:uidLastSave="{AD639031-825F-4774-B510-C33F3137975B}"/>
  <bookViews>
    <workbookView xWindow="-120" yWindow="150" windowWidth="29040" windowHeight="15450" firstSheet="1" activeTab="1" xr2:uid="{00000000-000D-0000-FFFF-FFFF00000000}"/>
  </bookViews>
  <sheets>
    <sheet name="Recovered_Sheet1" sheetId="1" state="veryHidden" r:id="rId1"/>
    <sheet name="26QA014" sheetId="4" r:id="rId2"/>
  </sheets>
  <definedNames>
    <definedName name="_xlnm.Print_Area" localSheetId="1">'26QA014'!$A$1:$O$61</definedName>
    <definedName name="_xlnm.Print_Titles" localSheetId="1">'26QA014'!$A:$F,'26QA014'!$1:$3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3" i="4" l="1"/>
  <c r="K96" i="4"/>
  <c r="K38" i="4" l="1"/>
  <c r="L38" i="4" s="1"/>
  <c r="J38" i="4"/>
  <c r="H38" i="4"/>
  <c r="I38" i="4" s="1"/>
  <c r="H93" i="4"/>
  <c r="J22" i="4"/>
  <c r="K85" i="4"/>
  <c r="M85" i="4" s="1"/>
  <c r="K81" i="4"/>
  <c r="M81" i="4" s="1"/>
  <c r="K77" i="4"/>
  <c r="M77" i="4" s="1"/>
  <c r="M73" i="4"/>
  <c r="K67" i="4"/>
  <c r="L67" i="4" s="1"/>
  <c r="H67" i="4"/>
  <c r="I67" i="4" s="1"/>
  <c r="K60" i="4"/>
  <c r="M60" i="4" s="1"/>
  <c r="K56" i="4"/>
  <c r="M56" i="4" s="1"/>
  <c r="K52" i="4"/>
  <c r="M52" i="4" s="1"/>
  <c r="A13" i="4"/>
  <c r="B13" i="4"/>
  <c r="A20" i="4"/>
  <c r="A24" i="4" s="1"/>
  <c r="A27" i="4" s="1"/>
  <c r="B20" i="4"/>
  <c r="B24" i="4" s="1"/>
  <c r="B27" i="4" s="1"/>
  <c r="H22" i="4"/>
  <c r="I22" i="4" s="1"/>
  <c r="H29" i="4"/>
  <c r="I29" i="4" s="1"/>
  <c r="H35" i="4"/>
  <c r="I35" i="4" s="1"/>
  <c r="K35" i="4"/>
  <c r="L35" i="4" s="1"/>
  <c r="H42" i="4"/>
  <c r="I42" i="4" s="1"/>
  <c r="K42" i="4"/>
  <c r="L42" i="4" s="1"/>
  <c r="K48" i="4"/>
  <c r="M48" i="4" s="1"/>
  <c r="J42" i="4" l="1"/>
  <c r="K98" i="4"/>
  <c r="K91" i="4"/>
  <c r="K93" i="4" s="1"/>
  <c r="J67" i="4" l="1"/>
  <c r="K101" i="4"/>
  <c r="J35" i="4"/>
  <c r="J29" i="4"/>
</calcChain>
</file>

<file path=xl/sharedStrings.xml><?xml version="1.0" encoding="utf-8"?>
<sst xmlns="http://schemas.openxmlformats.org/spreadsheetml/2006/main" count="167" uniqueCount="54">
  <si>
    <t>NSP</t>
  </si>
  <si>
    <t>SLIN</t>
  </si>
  <si>
    <t xml:space="preserve"> </t>
  </si>
  <si>
    <t>CLIN 2 - NON RECURRING</t>
  </si>
  <si>
    <t>CLIN 3 - MONTHLY RECURRING</t>
  </si>
  <si>
    <t>0002</t>
  </si>
  <si>
    <t>DESCRIPTION</t>
  </si>
  <si>
    <t>Unit of</t>
  </si>
  <si>
    <t>Issue</t>
  </si>
  <si>
    <t>A</t>
  </si>
  <si>
    <t>LO</t>
  </si>
  <si>
    <t>B</t>
  </si>
  <si>
    <t xml:space="preserve"> Unit $</t>
  </si>
  <si>
    <t xml:space="preserve"> Qty</t>
  </si>
  <si>
    <t>City Trunk Traffic Study</t>
  </si>
  <si>
    <t>EA</t>
  </si>
  <si>
    <t xml:space="preserve"> Ext $</t>
  </si>
  <si>
    <t>Traffic Analysis Report, DS1 and Higher)</t>
  </si>
  <si>
    <t>Higher Bandwidth Transport Study</t>
  </si>
  <si>
    <t>C</t>
  </si>
  <si>
    <t>D</t>
  </si>
  <si>
    <t>x 12</t>
  </si>
  <si>
    <t>Customer Service Record</t>
  </si>
  <si>
    <t>City Trunk Traffic Analysis Report</t>
  </si>
  <si>
    <t xml:space="preserve">Higher Bandwidth Transport Circuit </t>
  </si>
  <si>
    <t>Communication Service Record</t>
  </si>
  <si>
    <t>Taxes, Fees, and Surcharges</t>
  </si>
  <si>
    <t>USOC</t>
  </si>
  <si>
    <t>Base</t>
  </si>
  <si>
    <t>Year</t>
  </si>
  <si>
    <t>DID Directory Number</t>
  </si>
  <si>
    <t>E</t>
  </si>
  <si>
    <t xml:space="preserve">      -------------------------------- N/A ----------------------------------</t>
  </si>
  <si>
    <t xml:space="preserve">      ------------------------- Reserved ------------------------------</t>
  </si>
  <si>
    <t>Direct In Dial Directory Number (DID) (Appendix 10, Table 10.1)</t>
  </si>
  <si>
    <t xml:space="preserve">Data Item IAW DD Form 1423-1 SOW </t>
  </si>
  <si>
    <t>Trunking Traffic Study / Analysis Report (SOW 3.2.2)</t>
  </si>
  <si>
    <t>0001</t>
  </si>
  <si>
    <t>Total Non-Recurring Charges</t>
  </si>
  <si>
    <t>Total Monthly Recurring Charges (MRC)</t>
  </si>
  <si>
    <t>Total Taxes (TFS)</t>
  </si>
  <si>
    <t>MRC + TFS per month</t>
  </si>
  <si>
    <t>Please ensure the values above compute to no more than 2 decimal places (i.e. dollars and cents).</t>
  </si>
  <si>
    <t>ISDN PRIs</t>
  </si>
  <si>
    <t>Local Exchange PRIs (Appendix 10, Table 10.3.2)</t>
  </si>
  <si>
    <t>White Sands Missile Range, NM</t>
  </si>
  <si>
    <t>E911 Trunks (Appendix 10, Table 10.2)</t>
  </si>
  <si>
    <t>Includes Access Recovery Charges and Subscriber Line Charge</t>
  </si>
  <si>
    <t>E911</t>
  </si>
  <si>
    <t>DID</t>
  </si>
  <si>
    <t>PRI</t>
  </si>
  <si>
    <t>Additional Listing</t>
  </si>
  <si>
    <t>DS1 (MTM)</t>
  </si>
  <si>
    <t>26QA014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</si>
</sst>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&quot;$&quot;#,##0.00;[Red]&quot;$&quot;#,##0.00"/>
    <numFmt numFmtId="165" formatCode="&quot;$&quot;#,##0"/>
    <numFmt numFmtId="166" formatCode="&quot;$&quot;#,##0.00"/>
    <numFmt numFmtId="168" formatCode=";;;"/>
    <numFmt numFmtId="169" formatCode="#,##0.000"/>
    <numFmt numFmtId="170" formatCode="0.00_)"/>
    <numFmt numFmtId="171" formatCode="&quot;$&quot;#,##0.0000"/>
  </numFmts>
  <fonts count="56" x14ac:knownFonts="1">
    <font>
      <sz val="8"/>
      <name val="Arial"/>
    </font>
    <font>
      <sz val="11"/>
      <color indexed="8"/>
      <name val="Calibri"/>
      <family val="2"/>
    </font>
    <font>
      <b/>
      <sz val="8"/>
      <name val="Arial"/>
      <family val="2"/>
    </font>
    <font>
      <sz val="8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37"/>
      <name val="Arial"/>
      <family val="2"/>
    </font>
    <font>
      <b/>
      <i/>
      <sz val="10"/>
      <color indexed="10"/>
      <name val="Arial"/>
      <family val="2"/>
    </font>
    <font>
      <u/>
      <sz val="7"/>
      <color indexed="39"/>
      <name val="Arial"/>
      <family val="2"/>
    </font>
    <font>
      <b/>
      <u/>
      <sz val="8"/>
      <color indexed="37"/>
      <name val="Arial"/>
      <family val="2"/>
    </font>
    <font>
      <b/>
      <sz val="8"/>
      <color indexed="37"/>
      <name val="Arial"/>
      <family val="2"/>
    </font>
    <font>
      <sz val="7"/>
      <color indexed="12"/>
      <name val="Arial"/>
      <family val="2"/>
    </font>
    <font>
      <u/>
      <sz val="8"/>
      <color indexed="37"/>
      <name val="Arial"/>
      <family val="2"/>
    </font>
    <font>
      <b/>
      <i/>
      <u/>
      <sz val="10"/>
      <color indexed="10"/>
      <name val="Arial"/>
      <family val="2"/>
    </font>
    <font>
      <b/>
      <i/>
      <u/>
      <sz val="10"/>
      <color indexed="10"/>
      <name val="Arial"/>
      <family val="2"/>
    </font>
    <font>
      <b/>
      <sz val="8"/>
      <color indexed="38"/>
      <name val="Arial"/>
      <family val="2"/>
    </font>
    <font>
      <sz val="8"/>
      <color indexed="38"/>
      <name val="Arial"/>
      <family val="2"/>
    </font>
    <font>
      <b/>
      <sz val="8"/>
      <name val="Arial"/>
      <family val="2"/>
    </font>
    <font>
      <sz val="8"/>
      <color indexed="19"/>
      <name val="Arial"/>
      <family val="2"/>
    </font>
    <font>
      <sz val="8"/>
      <color indexed="10"/>
      <name val="Arial"/>
      <family val="2"/>
    </font>
    <font>
      <b/>
      <u/>
      <sz val="8"/>
      <color indexed="10"/>
      <name val="Arial"/>
      <family val="2"/>
    </font>
    <font>
      <i/>
      <sz val="8"/>
      <color indexed="38"/>
      <name val="Arial"/>
      <family val="2"/>
    </font>
    <font>
      <sz val="7"/>
      <color indexed="38"/>
      <name val="Arial"/>
      <family val="2"/>
    </font>
    <font>
      <sz val="8"/>
      <color indexed="12"/>
      <name val="Arial"/>
      <family val="2"/>
    </font>
    <font>
      <sz val="8"/>
      <color indexed="22"/>
      <name val="Arial"/>
      <family val="2"/>
    </font>
    <font>
      <b/>
      <sz val="8"/>
      <color indexed="10"/>
      <name val="Arial"/>
      <family val="2"/>
    </font>
    <font>
      <sz val="10"/>
      <name val="MS Sans Serif"/>
      <family val="2"/>
    </font>
    <font>
      <b/>
      <sz val="8"/>
      <color indexed="19"/>
      <name val="Arial"/>
      <family val="2"/>
    </font>
    <font>
      <b/>
      <sz val="8"/>
      <color indexed="5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i/>
      <sz val="16"/>
      <name val="Helv"/>
    </font>
    <font>
      <b/>
      <u/>
      <sz val="8"/>
      <color indexed="61"/>
      <name val="Arial"/>
      <family val="2"/>
    </font>
    <font>
      <b/>
      <u/>
      <sz val="8"/>
      <color indexed="50"/>
      <name val="Arial"/>
      <family val="2"/>
    </font>
    <font>
      <b/>
      <sz val="7"/>
      <color indexed="12"/>
      <name val="Arial"/>
      <family val="2"/>
    </font>
    <font>
      <b/>
      <sz val="18"/>
      <color indexed="62"/>
      <name val="Cambria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19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10"/>
      <name val="Calibri"/>
      <family val="2"/>
    </font>
    <font>
      <sz val="11"/>
      <color indexed="10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9"/>
      <name val="Arial Narrow"/>
      <family val="2"/>
    </font>
    <font>
      <sz val="11"/>
      <color theme="1"/>
      <name val="Calibri"/>
      <family val="2"/>
      <scheme val="minor"/>
    </font>
    <font>
      <b/>
      <sz val="8"/>
      <color rgb="FF008000"/>
      <name val="Arial"/>
      <family val="2"/>
    </font>
    <font>
      <b/>
      <u/>
      <sz val="8"/>
      <color rgb="FF008000"/>
      <name val="Arial"/>
      <family val="2"/>
    </font>
    <font>
      <b/>
      <sz val="7"/>
      <color rgb="FF008000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46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</fills>
  <borders count="3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hair">
        <color indexed="21"/>
      </left>
      <right/>
      <top/>
      <bottom/>
      <diagonal/>
    </border>
    <border>
      <left/>
      <right/>
      <top/>
      <bottom style="hair">
        <color indexed="37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/>
      <diagonal/>
    </border>
    <border>
      <left style="hair">
        <color indexed="12"/>
      </left>
      <right style="hair">
        <color indexed="12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12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12"/>
      </right>
      <top style="hair">
        <color indexed="12"/>
      </top>
      <bottom/>
      <diagonal/>
    </border>
    <border>
      <left/>
      <right style="hair">
        <color indexed="12"/>
      </right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21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12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hair">
        <color indexed="12"/>
      </left>
      <right style="hair">
        <color indexed="64"/>
      </right>
      <top/>
      <bottom style="thin">
        <color indexed="64"/>
      </bottom>
      <diagonal/>
    </border>
  </borders>
  <cellStyleXfs count="60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4" borderId="0" applyNumberFormat="0" applyBorder="0" applyAlignment="0" applyProtection="0"/>
    <xf numFmtId="0" fontId="1" fillId="6" borderId="0" applyNumberFormat="0" applyBorder="0" applyAlignment="0" applyProtection="0"/>
    <xf numFmtId="0" fontId="1" fillId="3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6" borderId="0" applyNumberFormat="0" applyBorder="0" applyAlignment="0" applyProtection="0"/>
    <xf numFmtId="0" fontId="1" fillId="4" borderId="0" applyNumberFormat="0" applyBorder="0" applyAlignment="0" applyProtection="0"/>
    <xf numFmtId="0" fontId="50" fillId="6" borderId="0" applyNumberFormat="0" applyBorder="0" applyAlignment="0" applyProtection="0"/>
    <xf numFmtId="0" fontId="50" fillId="9" borderId="0" applyNumberFormat="0" applyBorder="0" applyAlignment="0" applyProtection="0"/>
    <xf numFmtId="0" fontId="50" fillId="10" borderId="0" applyNumberFormat="0" applyBorder="0" applyAlignment="0" applyProtection="0"/>
    <xf numFmtId="0" fontId="50" fillId="8" borderId="0" applyNumberFormat="0" applyBorder="0" applyAlignment="0" applyProtection="0"/>
    <xf numFmtId="0" fontId="50" fillId="6" borderId="0" applyNumberFormat="0" applyBorder="0" applyAlignment="0" applyProtection="0"/>
    <xf numFmtId="0" fontId="50" fillId="3" borderId="0" applyNumberFormat="0" applyBorder="0" applyAlignment="0" applyProtection="0"/>
    <xf numFmtId="0" fontId="50" fillId="11" borderId="0" applyNumberFormat="0" applyBorder="0" applyAlignment="0" applyProtection="0"/>
    <xf numFmtId="0" fontId="50" fillId="9" borderId="0" applyNumberFormat="0" applyBorder="0" applyAlignment="0" applyProtection="0"/>
    <xf numFmtId="0" fontId="50" fillId="10" borderId="0" applyNumberFormat="0" applyBorder="0" applyAlignment="0" applyProtection="0"/>
    <xf numFmtId="0" fontId="50" fillId="12" borderId="0" applyNumberFormat="0" applyBorder="0" applyAlignment="0" applyProtection="0"/>
    <xf numFmtId="0" fontId="50" fillId="13" borderId="0" applyNumberFormat="0" applyBorder="0" applyAlignment="0" applyProtection="0"/>
    <xf numFmtId="0" fontId="50" fillId="14" borderId="0" applyNumberFormat="0" applyBorder="0" applyAlignment="0" applyProtection="0"/>
    <xf numFmtId="0" fontId="40" fillId="15" borderId="0" applyNumberFormat="0" applyBorder="0" applyAlignment="0" applyProtection="0"/>
    <xf numFmtId="0" fontId="44" fillId="16" borderId="1" applyNumberFormat="0" applyAlignment="0" applyProtection="0"/>
    <xf numFmtId="0" fontId="46" fillId="17" borderId="2" applyNumberFormat="0" applyAlignment="0" applyProtection="0"/>
    <xf numFmtId="0" fontId="48" fillId="0" borderId="0" applyNumberFormat="0" applyFill="0" applyBorder="0" applyAlignment="0" applyProtection="0"/>
    <xf numFmtId="0" fontId="39" fillId="6" borderId="0" applyNumberFormat="0" applyBorder="0" applyAlignment="0" applyProtection="0"/>
    <xf numFmtId="38" fontId="5" fillId="18" borderId="0" applyNumberFormat="0" applyBorder="0" applyAlignment="0" applyProtection="0"/>
    <xf numFmtId="0" fontId="30" fillId="0" borderId="3" applyNumberFormat="0" applyAlignment="0" applyProtection="0">
      <alignment horizontal="left" vertical="center"/>
    </xf>
    <xf numFmtId="0" fontId="30" fillId="0" borderId="4">
      <alignment horizontal="left" vertical="center"/>
    </xf>
    <xf numFmtId="0" fontId="36" fillId="0" borderId="5" applyNumberFormat="0" applyFill="0" applyAlignment="0" applyProtection="0"/>
    <xf numFmtId="0" fontId="37" fillId="0" borderId="6" applyNumberFormat="0" applyFill="0" applyAlignment="0" applyProtection="0"/>
    <xf numFmtId="0" fontId="38" fillId="0" borderId="7" applyNumberFormat="0" applyFill="0" applyAlignment="0" applyProtection="0"/>
    <xf numFmtId="0" fontId="38" fillId="0" borderId="0" applyNumberFormat="0" applyFill="0" applyBorder="0" applyAlignment="0" applyProtection="0"/>
    <xf numFmtId="0" fontId="42" fillId="7" borderId="1" applyNumberFormat="0" applyAlignment="0" applyProtection="0"/>
    <xf numFmtId="10" fontId="5" fillId="19" borderId="8" applyNumberFormat="0" applyBorder="0" applyAlignment="0" applyProtection="0"/>
    <xf numFmtId="0" fontId="45" fillId="0" borderId="9" applyNumberFormat="0" applyFill="0" applyAlignment="0" applyProtection="0"/>
    <xf numFmtId="0" fontId="41" fillId="7" borderId="0" applyNumberFormat="0" applyBorder="0" applyAlignment="0" applyProtection="0"/>
    <xf numFmtId="170" fontId="31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3" fillId="4" borderId="10" applyNumberFormat="0" applyFont="0" applyAlignment="0" applyProtection="0"/>
    <xf numFmtId="0" fontId="43" fillId="16" borderId="11" applyNumberFormat="0" applyAlignment="0" applyProtection="0"/>
    <xf numFmtId="9" fontId="3" fillId="0" borderId="0" applyFont="0" applyFill="0" applyBorder="0" applyAlignment="0" applyProtection="0"/>
    <xf numFmtId="10" fontId="29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49" fillId="0" borderId="12" applyNumberFormat="0" applyFill="0" applyAlignment="0" applyProtection="0"/>
    <xf numFmtId="0" fontId="47" fillId="0" borderId="0" applyNumberFormat="0" applyFill="0" applyBorder="0" applyAlignment="0" applyProtection="0"/>
  </cellStyleXfs>
  <cellXfs count="225">
    <xf numFmtId="0" fontId="0" fillId="0" borderId="0" xfId="0"/>
    <xf numFmtId="0" fontId="0" fillId="20" borderId="0" xfId="0" applyFill="1"/>
    <xf numFmtId="0" fontId="4" fillId="0" borderId="0" xfId="0" applyFont="1" applyAlignment="1">
      <alignment vertical="top"/>
    </xf>
    <xf numFmtId="0" fontId="16" fillId="21" borderId="13" xfId="0" applyFont="1" applyFill="1" applyBorder="1" applyAlignment="1">
      <alignment horizontal="center" vertical="center"/>
    </xf>
    <xf numFmtId="3" fontId="19" fillId="21" borderId="0" xfId="0" applyNumberFormat="1" applyFont="1" applyFill="1" applyAlignment="1">
      <alignment horizontal="right" vertical="center"/>
    </xf>
    <xf numFmtId="0" fontId="0" fillId="21" borderId="0" xfId="0" applyFill="1"/>
    <xf numFmtId="0" fontId="16" fillId="20" borderId="13" xfId="0" applyFont="1" applyFill="1" applyBorder="1" applyAlignment="1">
      <alignment horizontal="center" vertical="center"/>
    </xf>
    <xf numFmtId="3" fontId="19" fillId="20" borderId="0" xfId="0" applyNumberFormat="1" applyFont="1" applyFill="1" applyAlignment="1">
      <alignment horizontal="right" vertical="center"/>
    </xf>
    <xf numFmtId="3" fontId="20" fillId="20" borderId="0" xfId="0" applyNumberFormat="1" applyFont="1" applyFill="1" applyAlignment="1">
      <alignment horizontal="right" vertical="center" wrapText="1"/>
    </xf>
    <xf numFmtId="3" fontId="18" fillId="20" borderId="0" xfId="0" applyNumberFormat="1" applyFont="1" applyFill="1" applyAlignment="1">
      <alignment horizontal="left" vertical="center"/>
    </xf>
    <xf numFmtId="3" fontId="18" fillId="20" borderId="0" xfId="0" applyNumberFormat="1" applyFont="1" applyFill="1" applyAlignment="1">
      <alignment horizontal="right" vertical="center"/>
    </xf>
    <xf numFmtId="165" fontId="18" fillId="20" borderId="0" xfId="0" applyNumberFormat="1" applyFont="1" applyFill="1" applyAlignment="1">
      <alignment horizontal="center" vertical="center"/>
    </xf>
    <xf numFmtId="0" fontId="9" fillId="20" borderId="0" xfId="0" applyFont="1" applyFill="1" applyAlignment="1">
      <alignment horizontal="left" vertical="center"/>
    </xf>
    <xf numFmtId="0" fontId="22" fillId="20" borderId="13" xfId="0" applyFont="1" applyFill="1" applyBorder="1" applyAlignment="1">
      <alignment horizontal="left"/>
    </xf>
    <xf numFmtId="0" fontId="16" fillId="20" borderId="13" xfId="0" applyFont="1" applyFill="1" applyBorder="1" applyAlignment="1">
      <alignment horizontal="center"/>
    </xf>
    <xf numFmtId="165" fontId="18" fillId="20" borderId="0" xfId="0" applyNumberFormat="1" applyFont="1" applyFill="1" applyAlignment="1" applyProtection="1">
      <alignment horizontal="right" vertical="center"/>
      <protection locked="0"/>
    </xf>
    <xf numFmtId="3" fontId="18" fillId="20" borderId="0" xfId="0" applyNumberFormat="1" applyFont="1" applyFill="1" applyAlignment="1" applyProtection="1">
      <alignment horizontal="right" vertical="center"/>
      <protection locked="0"/>
    </xf>
    <xf numFmtId="3" fontId="19" fillId="20" borderId="0" xfId="0" applyNumberFormat="1" applyFont="1" applyFill="1" applyAlignment="1">
      <alignment horizontal="right"/>
    </xf>
    <xf numFmtId="0" fontId="16" fillId="20" borderId="0" xfId="0" applyFont="1" applyFill="1" applyAlignment="1">
      <alignment horizontal="center" vertical="center"/>
    </xf>
    <xf numFmtId="0" fontId="16" fillId="20" borderId="0" xfId="0" applyFont="1" applyFill="1" applyAlignment="1">
      <alignment vertical="center"/>
    </xf>
    <xf numFmtId="0" fontId="16" fillId="19" borderId="0" xfId="0" applyFont="1" applyFill="1" applyAlignment="1">
      <alignment vertical="center"/>
    </xf>
    <xf numFmtId="0" fontId="9" fillId="21" borderId="0" xfId="0" applyFont="1" applyFill="1" applyAlignment="1">
      <alignment horizontal="left" vertical="center"/>
    </xf>
    <xf numFmtId="0" fontId="18" fillId="20" borderId="0" xfId="0" applyFont="1" applyFill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168" fontId="18" fillId="0" borderId="0" xfId="0" applyNumberFormat="1" applyFont="1" applyAlignment="1">
      <alignment horizontal="right" vertical="center"/>
    </xf>
    <xf numFmtId="168" fontId="18" fillId="0" borderId="0" xfId="0" applyNumberFormat="1" applyFont="1" applyAlignment="1">
      <alignment horizontal="center" vertical="center"/>
    </xf>
    <xf numFmtId="0" fontId="17" fillId="0" borderId="0" xfId="0" applyFont="1"/>
    <xf numFmtId="165" fontId="18" fillId="20" borderId="0" xfId="0" quotePrefix="1" applyNumberFormat="1" applyFont="1" applyFill="1" applyAlignment="1" applyProtection="1">
      <alignment horizontal="right" vertical="center"/>
      <protection locked="0"/>
    </xf>
    <xf numFmtId="166" fontId="18" fillId="20" borderId="0" xfId="0" quotePrefix="1" applyNumberFormat="1" applyFont="1" applyFill="1" applyAlignment="1" applyProtection="1">
      <alignment horizontal="right" vertical="center"/>
      <protection locked="0"/>
    </xf>
    <xf numFmtId="166" fontId="19" fillId="22" borderId="14" xfId="0" applyNumberFormat="1" applyFont="1" applyFill="1" applyBorder="1" applyAlignment="1" applyProtection="1">
      <alignment horizontal="right" vertical="center"/>
      <protection locked="0"/>
    </xf>
    <xf numFmtId="0" fontId="9" fillId="0" borderId="0" xfId="0" applyFont="1" applyAlignment="1">
      <alignment horizontal="left" vertical="center"/>
    </xf>
    <xf numFmtId="3" fontId="19" fillId="0" borderId="0" xfId="0" applyNumberFormat="1" applyFont="1" applyAlignment="1">
      <alignment horizontal="right"/>
    </xf>
    <xf numFmtId="168" fontId="24" fillId="0" borderId="0" xfId="0" applyNumberFormat="1" applyFont="1" applyAlignment="1" applyProtection="1">
      <alignment horizontal="center"/>
      <protection locked="0"/>
    </xf>
    <xf numFmtId="168" fontId="18" fillId="0" borderId="0" xfId="0" applyNumberFormat="1" applyFont="1" applyAlignment="1">
      <alignment horizontal="center"/>
    </xf>
    <xf numFmtId="3" fontId="15" fillId="0" borderId="0" xfId="0" applyNumberFormat="1" applyFont="1" applyAlignment="1">
      <alignment horizontal="right" vertical="center"/>
    </xf>
    <xf numFmtId="3" fontId="16" fillId="0" borderId="0" xfId="0" applyNumberFormat="1" applyFont="1" applyAlignment="1">
      <alignment horizontal="right" vertical="center"/>
    </xf>
    <xf numFmtId="0" fontId="18" fillId="0" borderId="0" xfId="0" applyFont="1"/>
    <xf numFmtId="3" fontId="25" fillId="0" borderId="0" xfId="55" quotePrefix="1" applyNumberFormat="1" applyFont="1" applyFill="1" applyBorder="1" applyAlignment="1">
      <alignment horizontal="right" vertical="top"/>
    </xf>
    <xf numFmtId="0" fontId="32" fillId="0" borderId="0" xfId="0" applyFont="1" applyAlignment="1">
      <alignment vertical="center"/>
    </xf>
    <xf numFmtId="169" fontId="28" fillId="0" borderId="0" xfId="0" applyNumberFormat="1" applyFont="1" applyAlignment="1">
      <alignment horizontal="centerContinuous" vertical="center"/>
    </xf>
    <xf numFmtId="168" fontId="0" fillId="0" borderId="0" xfId="0" applyNumberFormat="1"/>
    <xf numFmtId="0" fontId="23" fillId="0" borderId="0" xfId="0" applyFont="1" applyAlignment="1">
      <alignment horizontal="centerContinuous" vertical="center"/>
    </xf>
    <xf numFmtId="0" fontId="33" fillId="0" borderId="0" xfId="0" applyFont="1" applyAlignment="1">
      <alignment vertical="center"/>
    </xf>
    <xf numFmtId="168" fontId="27" fillId="0" borderId="0" xfId="0" applyNumberFormat="1" applyFont="1" applyAlignment="1">
      <alignment horizontal="right" vertical="center"/>
    </xf>
    <xf numFmtId="168" fontId="0" fillId="0" borderId="0" xfId="0" applyNumberFormat="1" applyAlignment="1">
      <alignment horizontal="centerContinuous"/>
    </xf>
    <xf numFmtId="166" fontId="19" fillId="22" borderId="0" xfId="0" applyNumberFormat="1" applyFont="1" applyFill="1" applyAlignment="1" applyProtection="1">
      <alignment horizontal="right" vertical="center"/>
      <protection locked="0"/>
    </xf>
    <xf numFmtId="3" fontId="19" fillId="21" borderId="15" xfId="0" applyNumberFormat="1" applyFont="1" applyFill="1" applyBorder="1" applyAlignment="1">
      <alignment horizontal="right" vertical="center"/>
    </xf>
    <xf numFmtId="3" fontId="19" fillId="20" borderId="15" xfId="0" applyNumberFormat="1" applyFont="1" applyFill="1" applyBorder="1" applyAlignment="1">
      <alignment horizontal="right" vertical="center"/>
    </xf>
    <xf numFmtId="3" fontId="20" fillId="20" borderId="15" xfId="0" applyNumberFormat="1" applyFont="1" applyFill="1" applyBorder="1" applyAlignment="1">
      <alignment horizontal="right" vertical="center" wrapText="1"/>
    </xf>
    <xf numFmtId="3" fontId="18" fillId="20" borderId="15" xfId="0" applyNumberFormat="1" applyFont="1" applyFill="1" applyBorder="1" applyAlignment="1">
      <alignment horizontal="right" vertical="center"/>
    </xf>
    <xf numFmtId="3" fontId="18" fillId="20" borderId="15" xfId="0" applyNumberFormat="1" applyFont="1" applyFill="1" applyBorder="1" applyAlignment="1">
      <alignment horizontal="left" vertical="center"/>
    </xf>
    <xf numFmtId="3" fontId="18" fillId="20" borderId="15" xfId="0" applyNumberFormat="1" applyFont="1" applyFill="1" applyBorder="1" applyAlignment="1" applyProtection="1">
      <alignment horizontal="right" vertical="center"/>
      <protection locked="0"/>
    </xf>
    <xf numFmtId="3" fontId="19" fillId="20" borderId="15" xfId="0" applyNumberFormat="1" applyFont="1" applyFill="1" applyBorder="1" applyAlignment="1">
      <alignment horizontal="right"/>
    </xf>
    <xf numFmtId="166" fontId="19" fillId="22" borderId="15" xfId="0" applyNumberFormat="1" applyFont="1" applyFill="1" applyBorder="1" applyAlignment="1" applyProtection="1">
      <alignment horizontal="right" vertical="center"/>
      <protection locked="0"/>
    </xf>
    <xf numFmtId="166" fontId="18" fillId="20" borderId="15" xfId="0" quotePrefix="1" applyNumberFormat="1" applyFont="1" applyFill="1" applyBorder="1" applyAlignment="1" applyProtection="1">
      <alignment horizontal="right" vertical="center"/>
      <protection locked="0"/>
    </xf>
    <xf numFmtId="165" fontId="18" fillId="20" borderId="15" xfId="0" applyNumberFormat="1" applyFont="1" applyFill="1" applyBorder="1" applyAlignment="1" applyProtection="1">
      <alignment horizontal="right" vertical="center"/>
      <protection locked="0"/>
    </xf>
    <xf numFmtId="0" fontId="9" fillId="0" borderId="0" xfId="0" quotePrefix="1" applyFont="1" applyAlignment="1">
      <alignment horizontal="left" vertical="center"/>
    </xf>
    <xf numFmtId="168" fontId="24" fillId="20" borderId="0" xfId="0" applyNumberFormat="1" applyFont="1" applyFill="1" applyAlignment="1" applyProtection="1">
      <alignment horizontal="center"/>
      <protection locked="0"/>
    </xf>
    <xf numFmtId="168" fontId="18" fillId="20" borderId="0" xfId="0" applyNumberFormat="1" applyFont="1" applyFill="1" applyAlignment="1">
      <alignment horizontal="center"/>
    </xf>
    <xf numFmtId="168" fontId="18" fillId="20" borderId="0" xfId="0" applyNumberFormat="1" applyFont="1" applyFill="1" applyAlignment="1">
      <alignment horizontal="right" vertical="center"/>
    </xf>
    <xf numFmtId="0" fontId="18" fillId="20" borderId="0" xfId="0" applyFont="1" applyFill="1" applyAlignment="1">
      <alignment horizontal="center" vertical="center"/>
    </xf>
    <xf numFmtId="0" fontId="6" fillId="19" borderId="0" xfId="0" applyFont="1" applyFill="1" applyAlignment="1">
      <alignment horizontal="centerContinuous"/>
    </xf>
    <xf numFmtId="168" fontId="6" fillId="19" borderId="0" xfId="0" applyNumberFormat="1" applyFont="1" applyFill="1" applyAlignment="1">
      <alignment horizontal="centerContinuous"/>
    </xf>
    <xf numFmtId="15" fontId="34" fillId="19" borderId="16" xfId="0" applyNumberFormat="1" applyFont="1" applyFill="1" applyBorder="1" applyAlignment="1" applyProtection="1">
      <alignment horizontal="center" vertical="center" wrapText="1"/>
      <protection locked="0"/>
    </xf>
    <xf numFmtId="0" fontId="10" fillId="19" borderId="16" xfId="0" applyFont="1" applyFill="1" applyBorder="1" applyAlignment="1">
      <alignment horizontal="center"/>
    </xf>
    <xf numFmtId="0" fontId="10" fillId="19" borderId="16" xfId="0" applyFont="1" applyFill="1" applyBorder="1" applyAlignment="1">
      <alignment horizontal="centerContinuous"/>
    </xf>
    <xf numFmtId="0" fontId="10" fillId="19" borderId="16" xfId="0" quotePrefix="1" applyFont="1" applyFill="1" applyBorder="1" applyAlignment="1">
      <alignment horizontal="center"/>
    </xf>
    <xf numFmtId="0" fontId="10" fillId="19" borderId="15" xfId="0" quotePrefix="1" applyFont="1" applyFill="1" applyBorder="1" applyAlignment="1">
      <alignment horizontal="center"/>
    </xf>
    <xf numFmtId="0" fontId="10" fillId="19" borderId="0" xfId="0" quotePrefix="1" applyFont="1" applyFill="1" applyAlignment="1">
      <alignment horizontal="center"/>
    </xf>
    <xf numFmtId="0" fontId="13" fillId="19" borderId="0" xfId="0" applyFont="1" applyFill="1" applyAlignment="1" applyProtection="1">
      <alignment horizontal="center" vertical="center" wrapText="1"/>
      <protection locked="0"/>
    </xf>
    <xf numFmtId="0" fontId="12" fillId="19" borderId="13" xfId="0" applyFont="1" applyFill="1" applyBorder="1" applyAlignment="1">
      <alignment horizontal="center"/>
    </xf>
    <xf numFmtId="0" fontId="6" fillId="19" borderId="13" xfId="0" applyFont="1" applyFill="1" applyBorder="1" applyAlignment="1">
      <alignment horizontal="center"/>
    </xf>
    <xf numFmtId="0" fontId="6" fillId="19" borderId="0" xfId="0" quotePrefix="1" applyFont="1" applyFill="1" applyAlignment="1">
      <alignment horizontal="center"/>
    </xf>
    <xf numFmtId="0" fontId="6" fillId="19" borderId="0" xfId="0" applyFont="1" applyFill="1" applyAlignment="1">
      <alignment horizontal="center"/>
    </xf>
    <xf numFmtId="0" fontId="6" fillId="19" borderId="15" xfId="0" quotePrefix="1" applyFont="1" applyFill="1" applyBorder="1" applyAlignment="1">
      <alignment horizontal="center"/>
    </xf>
    <xf numFmtId="0" fontId="11" fillId="19" borderId="0" xfId="0" applyFont="1" applyFill="1" applyAlignment="1" applyProtection="1">
      <alignment horizontal="left" vertical="center"/>
      <protection locked="0"/>
    </xf>
    <xf numFmtId="0" fontId="6" fillId="19" borderId="15" xfId="0" applyFont="1" applyFill="1" applyBorder="1" applyAlignment="1">
      <alignment horizontal="center"/>
    </xf>
    <xf numFmtId="0" fontId="14" fillId="19" borderId="0" xfId="0" applyFont="1" applyFill="1" applyAlignment="1" applyProtection="1">
      <alignment horizontal="left" vertical="center" wrapText="1"/>
      <protection locked="0"/>
    </xf>
    <xf numFmtId="0" fontId="9" fillId="19" borderId="0" xfId="0" applyFont="1" applyFill="1" applyAlignment="1">
      <alignment horizontal="left"/>
    </xf>
    <xf numFmtId="168" fontId="6" fillId="19" borderId="0" xfId="0" applyNumberFormat="1" applyFont="1" applyFill="1" applyAlignment="1">
      <alignment horizontal="center"/>
    </xf>
    <xf numFmtId="0" fontId="10" fillId="19" borderId="0" xfId="0" applyFont="1" applyFill="1" applyAlignment="1">
      <alignment horizontal="left" vertical="top"/>
    </xf>
    <xf numFmtId="0" fontId="6" fillId="19" borderId="13" xfId="0" applyFont="1" applyFill="1" applyBorder="1" applyAlignment="1">
      <alignment horizontal="center" vertical="top"/>
    </xf>
    <xf numFmtId="168" fontId="6" fillId="19" borderId="0" xfId="0" applyNumberFormat="1" applyFont="1" applyFill="1" applyAlignment="1">
      <alignment horizontal="center" vertical="top"/>
    </xf>
    <xf numFmtId="0" fontId="21" fillId="19" borderId="0" xfId="0" applyFont="1" applyFill="1" applyAlignment="1">
      <alignment vertical="center"/>
    </xf>
    <xf numFmtId="0" fontId="6" fillId="19" borderId="0" xfId="0" applyFont="1" applyFill="1" applyAlignment="1">
      <alignment horizontal="center" vertical="top"/>
    </xf>
    <xf numFmtId="0" fontId="18" fillId="21" borderId="0" xfId="0" applyFont="1" applyFill="1" applyAlignment="1">
      <alignment horizontal="center" vertical="center"/>
    </xf>
    <xf numFmtId="0" fontId="18" fillId="20" borderId="0" xfId="0" applyFont="1" applyFill="1" applyAlignment="1">
      <alignment horizontal="center"/>
    </xf>
    <xf numFmtId="0" fontId="6" fillId="19" borderId="17" xfId="0" applyFont="1" applyFill="1" applyBorder="1" applyAlignment="1">
      <alignment horizontal="center"/>
    </xf>
    <xf numFmtId="0" fontId="6" fillId="19" borderId="18" xfId="0" applyFont="1" applyFill="1" applyBorder="1" applyAlignment="1">
      <alignment horizontal="center"/>
    </xf>
    <xf numFmtId="0" fontId="6" fillId="19" borderId="18" xfId="0" applyFont="1" applyFill="1" applyBorder="1" applyAlignment="1">
      <alignment horizontal="center" vertical="top"/>
    </xf>
    <xf numFmtId="0" fontId="16" fillId="21" borderId="18" xfId="0" applyFont="1" applyFill="1" applyBorder="1" applyAlignment="1">
      <alignment horizontal="center" vertical="center"/>
    </xf>
    <xf numFmtId="0" fontId="16" fillId="20" borderId="18" xfId="0" applyFont="1" applyFill="1" applyBorder="1" applyAlignment="1">
      <alignment horizontal="center" vertical="center"/>
    </xf>
    <xf numFmtId="0" fontId="16" fillId="20" borderId="18" xfId="0" applyFont="1" applyFill="1" applyBorder="1" applyAlignment="1">
      <alignment horizontal="center"/>
    </xf>
    <xf numFmtId="168" fontId="6" fillId="20" borderId="0" xfId="0" applyNumberFormat="1" applyFont="1" applyFill="1" applyAlignment="1">
      <alignment horizontal="center"/>
    </xf>
    <xf numFmtId="168" fontId="6" fillId="20" borderId="0" xfId="0" applyNumberFormat="1" applyFont="1" applyFill="1" applyAlignment="1">
      <alignment horizontal="center" vertical="top"/>
    </xf>
    <xf numFmtId="0" fontId="7" fillId="19" borderId="19" xfId="0" applyFont="1" applyFill="1" applyBorder="1" applyAlignment="1" applyProtection="1">
      <alignment horizontal="center" vertical="center"/>
      <protection locked="0"/>
    </xf>
    <xf numFmtId="0" fontId="8" fillId="19" borderId="19" xfId="0" applyFont="1" applyFill="1" applyBorder="1" applyAlignment="1" applyProtection="1">
      <alignment horizontal="center" vertical="center"/>
      <protection locked="0"/>
    </xf>
    <xf numFmtId="0" fontId="8" fillId="19" borderId="19" xfId="0" applyFont="1" applyFill="1" applyBorder="1" applyAlignment="1" applyProtection="1">
      <alignment horizontal="right" vertical="center"/>
      <protection locked="0"/>
    </xf>
    <xf numFmtId="0" fontId="6" fillId="19" borderId="19" xfId="0" applyFont="1" applyFill="1" applyBorder="1" applyAlignment="1">
      <alignment horizontal="centerContinuous"/>
    </xf>
    <xf numFmtId="164" fontId="9" fillId="19" borderId="19" xfId="0" applyNumberFormat="1" applyFont="1" applyFill="1" applyBorder="1" applyAlignment="1">
      <alignment horizontal="centerContinuous" vertical="top"/>
    </xf>
    <xf numFmtId="168" fontId="6" fillId="19" borderId="19" xfId="0" applyNumberFormat="1" applyFont="1" applyFill="1" applyBorder="1" applyAlignment="1">
      <alignment horizontal="centerContinuous"/>
    </xf>
    <xf numFmtId="164" fontId="9" fillId="19" borderId="20" xfId="0" applyNumberFormat="1" applyFont="1" applyFill="1" applyBorder="1" applyAlignment="1">
      <alignment horizontal="centerContinuous" vertical="top"/>
    </xf>
    <xf numFmtId="168" fontId="6" fillId="20" borderId="19" xfId="0" applyNumberFormat="1" applyFont="1" applyFill="1" applyBorder="1" applyAlignment="1">
      <alignment horizontal="centerContinuous"/>
    </xf>
    <xf numFmtId="168" fontId="6" fillId="20" borderId="0" xfId="0" applyNumberFormat="1" applyFont="1" applyFill="1" applyAlignment="1">
      <alignment horizontal="centerContinuous"/>
    </xf>
    <xf numFmtId="168" fontId="18" fillId="20" borderId="0" xfId="0" applyNumberFormat="1" applyFont="1" applyFill="1" applyAlignment="1">
      <alignment horizontal="center" vertical="center"/>
    </xf>
    <xf numFmtId="0" fontId="18" fillId="20" borderId="0" xfId="0" applyFont="1" applyFill="1"/>
    <xf numFmtId="3" fontId="25" fillId="20" borderId="0" xfId="55" quotePrefix="1" applyNumberFormat="1" applyFont="1" applyFill="1" applyBorder="1" applyAlignment="1">
      <alignment horizontal="right" vertical="top"/>
    </xf>
    <xf numFmtId="3" fontId="16" fillId="20" borderId="0" xfId="0" applyNumberFormat="1" applyFont="1" applyFill="1" applyAlignment="1">
      <alignment horizontal="right" vertical="center"/>
    </xf>
    <xf numFmtId="0" fontId="32" fillId="20" borderId="0" xfId="0" applyFont="1" applyFill="1" applyAlignment="1">
      <alignment vertical="center"/>
    </xf>
    <xf numFmtId="168" fontId="0" fillId="20" borderId="0" xfId="0" applyNumberFormat="1" applyFill="1"/>
    <xf numFmtId="3" fontId="15" fillId="20" borderId="0" xfId="0" applyNumberFormat="1" applyFont="1" applyFill="1" applyAlignment="1">
      <alignment horizontal="right" vertical="center"/>
    </xf>
    <xf numFmtId="169" fontId="28" fillId="20" borderId="0" xfId="0" applyNumberFormat="1" applyFont="1" applyFill="1" applyAlignment="1">
      <alignment horizontal="centerContinuous" vertical="center"/>
    </xf>
    <xf numFmtId="168" fontId="27" fillId="20" borderId="0" xfId="0" applyNumberFormat="1" applyFont="1" applyFill="1" applyAlignment="1">
      <alignment horizontal="right" vertical="center"/>
    </xf>
    <xf numFmtId="0" fontId="23" fillId="20" borderId="0" xfId="0" applyFont="1" applyFill="1" applyAlignment="1">
      <alignment horizontal="centerContinuous" vertical="center"/>
    </xf>
    <xf numFmtId="0" fontId="33" fillId="20" borderId="0" xfId="0" applyFont="1" applyFill="1" applyAlignment="1">
      <alignment vertical="center"/>
    </xf>
    <xf numFmtId="168" fontId="0" fillId="20" borderId="0" xfId="0" applyNumberFormat="1" applyFill="1" applyAlignment="1">
      <alignment horizontal="centerContinuous"/>
    </xf>
    <xf numFmtId="0" fontId="0" fillId="23" borderId="0" xfId="0" applyFill="1"/>
    <xf numFmtId="0" fontId="0" fillId="24" borderId="0" xfId="0" applyFill="1"/>
    <xf numFmtId="0" fontId="53" fillId="19" borderId="21" xfId="0" applyFont="1" applyFill="1" applyBorder="1" applyAlignment="1">
      <alignment horizontal="center" vertical="center"/>
    </xf>
    <xf numFmtId="0" fontId="53" fillId="19" borderId="19" xfId="0" applyFont="1" applyFill="1" applyBorder="1" applyAlignment="1">
      <alignment horizontal="center" vertical="center"/>
    </xf>
    <xf numFmtId="0" fontId="53" fillId="19" borderId="22" xfId="0" applyFont="1" applyFill="1" applyBorder="1" applyAlignment="1">
      <alignment horizontal="center" vertical="center"/>
    </xf>
    <xf numFmtId="0" fontId="53" fillId="19" borderId="16" xfId="0" applyFont="1" applyFill="1" applyBorder="1" applyAlignment="1">
      <alignment horizontal="center" vertical="center"/>
    </xf>
    <xf numFmtId="0" fontId="54" fillId="19" borderId="23" xfId="0" applyFont="1" applyFill="1" applyBorder="1" applyAlignment="1">
      <alignment horizontal="center" vertical="center"/>
    </xf>
    <xf numFmtId="0" fontId="53" fillId="19" borderId="24" xfId="0" applyFont="1" applyFill="1" applyBorder="1" applyAlignment="1">
      <alignment horizontal="center" vertical="center"/>
    </xf>
    <xf numFmtId="0" fontId="53" fillId="19" borderId="23" xfId="0" applyFont="1" applyFill="1" applyBorder="1" applyAlignment="1">
      <alignment horizontal="center" vertical="center"/>
    </xf>
    <xf numFmtId="0" fontId="55" fillId="19" borderId="25" xfId="0" applyFont="1" applyFill="1" applyBorder="1" applyAlignment="1" applyProtection="1">
      <alignment horizontal="center" vertical="center"/>
      <protection locked="0"/>
    </xf>
    <xf numFmtId="0" fontId="53" fillId="19" borderId="25" xfId="0" applyFont="1" applyFill="1" applyBorder="1" applyAlignment="1">
      <alignment horizontal="center" vertical="center"/>
    </xf>
    <xf numFmtId="0" fontId="53" fillId="19" borderId="23" xfId="0" applyFont="1" applyFill="1" applyBorder="1" applyAlignment="1">
      <alignment horizontal="center"/>
    </xf>
    <xf numFmtId="0" fontId="53" fillId="19" borderId="25" xfId="0" applyFont="1" applyFill="1" applyBorder="1" applyAlignment="1">
      <alignment horizontal="center"/>
    </xf>
    <xf numFmtId="0" fontId="53" fillId="19" borderId="23" xfId="0" applyFont="1" applyFill="1" applyBorder="1" applyAlignment="1">
      <alignment horizontal="center" vertical="top"/>
    </xf>
    <xf numFmtId="0" fontId="53" fillId="19" borderId="25" xfId="0" applyFont="1" applyFill="1" applyBorder="1" applyAlignment="1">
      <alignment horizontal="center" vertical="top"/>
    </xf>
    <xf numFmtId="0" fontId="53" fillId="21" borderId="23" xfId="0" applyFont="1" applyFill="1" applyBorder="1" applyAlignment="1">
      <alignment horizontal="center" vertical="center"/>
    </xf>
    <xf numFmtId="0" fontId="53" fillId="21" borderId="25" xfId="0" applyFont="1" applyFill="1" applyBorder="1" applyAlignment="1">
      <alignment horizontal="center" vertical="center"/>
    </xf>
    <xf numFmtId="0" fontId="53" fillId="20" borderId="23" xfId="0" applyFont="1" applyFill="1" applyBorder="1" applyAlignment="1">
      <alignment horizontal="center" vertical="center"/>
    </xf>
    <xf numFmtId="0" fontId="53" fillId="20" borderId="26" xfId="0" applyFont="1" applyFill="1" applyBorder="1" applyAlignment="1">
      <alignment horizontal="center" vertical="center"/>
    </xf>
    <xf numFmtId="0" fontId="53" fillId="19" borderId="26" xfId="0" applyFont="1" applyFill="1" applyBorder="1" applyAlignment="1">
      <alignment horizontal="center" vertical="center"/>
    </xf>
    <xf numFmtId="0" fontId="53" fillId="19" borderId="26" xfId="0" applyFont="1" applyFill="1" applyBorder="1" applyAlignment="1">
      <alignment horizontal="center" vertical="top"/>
    </xf>
    <xf numFmtId="0" fontId="53" fillId="20" borderId="23" xfId="0" applyFont="1" applyFill="1" applyBorder="1" applyAlignment="1">
      <alignment horizontal="center"/>
    </xf>
    <xf numFmtId="0" fontId="53" fillId="20" borderId="26" xfId="0" applyFont="1" applyFill="1" applyBorder="1" applyAlignment="1">
      <alignment horizontal="center"/>
    </xf>
    <xf numFmtId="0" fontId="53" fillId="20" borderId="23" xfId="0" applyFont="1" applyFill="1" applyBorder="1" applyAlignment="1">
      <alignment horizontal="center" vertical="top"/>
    </xf>
    <xf numFmtId="0" fontId="53" fillId="20" borderId="26" xfId="0" applyFont="1" applyFill="1" applyBorder="1" applyAlignment="1">
      <alignment horizontal="center" vertical="top"/>
    </xf>
    <xf numFmtId="0" fontId="53" fillId="0" borderId="0" xfId="0" applyFont="1" applyAlignment="1">
      <alignment horizontal="center"/>
    </xf>
    <xf numFmtId="168" fontId="24" fillId="23" borderId="29" xfId="0" applyNumberFormat="1" applyFont="1" applyFill="1" applyBorder="1" applyAlignment="1" applyProtection="1">
      <alignment horizontal="center"/>
      <protection locked="0"/>
    </xf>
    <xf numFmtId="0" fontId="53" fillId="23" borderId="0" xfId="0" applyFont="1" applyFill="1" applyAlignment="1">
      <alignment horizontal="center"/>
    </xf>
    <xf numFmtId="168" fontId="18" fillId="23" borderId="0" xfId="0" applyNumberFormat="1" applyFont="1" applyFill="1" applyAlignment="1">
      <alignment horizontal="right" vertical="center"/>
    </xf>
    <xf numFmtId="0" fontId="53" fillId="23" borderId="27" xfId="0" applyFont="1" applyFill="1" applyBorder="1" applyAlignment="1">
      <alignment horizontal="center" vertical="center"/>
    </xf>
    <xf numFmtId="0" fontId="53" fillId="23" borderId="30" xfId="0" applyFont="1" applyFill="1" applyBorder="1" applyAlignment="1">
      <alignment horizontal="center" vertical="center"/>
    </xf>
    <xf numFmtId="0" fontId="16" fillId="23" borderId="28" xfId="0" applyFont="1" applyFill="1" applyBorder="1" applyAlignment="1">
      <alignment vertical="center" wrapText="1"/>
    </xf>
    <xf numFmtId="0" fontId="22" fillId="23" borderId="31" xfId="0" applyFont="1" applyFill="1" applyBorder="1" applyAlignment="1">
      <alignment horizontal="left"/>
    </xf>
    <xf numFmtId="0" fontId="16" fillId="23" borderId="32" xfId="0" applyFont="1" applyFill="1" applyBorder="1" applyAlignment="1">
      <alignment horizontal="center"/>
    </xf>
    <xf numFmtId="0" fontId="18" fillId="23" borderId="28" xfId="0" applyFont="1" applyFill="1" applyBorder="1" applyAlignment="1">
      <alignment horizontal="center"/>
    </xf>
    <xf numFmtId="3" fontId="19" fillId="23" borderId="28" xfId="0" applyNumberFormat="1" applyFont="1" applyFill="1" applyBorder="1" applyAlignment="1">
      <alignment horizontal="right"/>
    </xf>
    <xf numFmtId="168" fontId="18" fillId="23" borderId="28" xfId="0" applyNumberFormat="1" applyFont="1" applyFill="1" applyBorder="1" applyAlignment="1">
      <alignment horizontal="right" vertical="center"/>
    </xf>
    <xf numFmtId="3" fontId="19" fillId="23" borderId="33" xfId="0" applyNumberFormat="1" applyFont="1" applyFill="1" applyBorder="1" applyAlignment="1">
      <alignment horizontal="right"/>
    </xf>
    <xf numFmtId="0" fontId="0" fillId="23" borderId="23" xfId="0" applyFill="1" applyBorder="1"/>
    <xf numFmtId="0" fontId="53" fillId="23" borderId="23" xfId="0" applyFont="1" applyFill="1" applyBorder="1" applyAlignment="1">
      <alignment horizontal="center" vertical="center"/>
    </xf>
    <xf numFmtId="0" fontId="18" fillId="23" borderId="0" xfId="0" applyFont="1" applyFill="1" applyAlignment="1">
      <alignment horizontal="center" vertical="top"/>
    </xf>
    <xf numFmtId="0" fontId="18" fillId="23" borderId="0" xfId="0" applyFont="1" applyFill="1" applyAlignment="1">
      <alignment horizontal="left" vertical="top"/>
    </xf>
    <xf numFmtId="168" fontId="24" fillId="23" borderId="0" xfId="0" applyNumberFormat="1" applyFont="1" applyFill="1" applyAlignment="1" applyProtection="1">
      <alignment horizontal="center"/>
      <protection locked="0"/>
    </xf>
    <xf numFmtId="166" fontId="18" fillId="23" borderId="0" xfId="0" applyNumberFormat="1" applyFont="1" applyFill="1" applyAlignment="1" applyProtection="1">
      <alignment horizontal="right" vertical="center"/>
      <protection locked="0"/>
    </xf>
    <xf numFmtId="0" fontId="16" fillId="23" borderId="0" xfId="0" applyFont="1" applyFill="1" applyAlignment="1">
      <alignment horizontal="center"/>
    </xf>
    <xf numFmtId="165" fontId="18" fillId="23" borderId="28" xfId="0" applyNumberFormat="1" applyFont="1" applyFill="1" applyBorder="1" applyAlignment="1" applyProtection="1">
      <alignment horizontal="right" vertical="center"/>
      <protection locked="0"/>
    </xf>
    <xf numFmtId="168" fontId="18" fillId="23" borderId="28" xfId="0" applyNumberFormat="1" applyFont="1" applyFill="1" applyBorder="1" applyAlignment="1">
      <alignment horizontal="center"/>
    </xf>
    <xf numFmtId="168" fontId="18" fillId="23" borderId="0" xfId="0" applyNumberFormat="1" applyFont="1" applyFill="1" applyAlignment="1">
      <alignment horizontal="center"/>
    </xf>
    <xf numFmtId="0" fontId="53" fillId="23" borderId="23" xfId="0" applyFont="1" applyFill="1" applyBorder="1" applyAlignment="1">
      <alignment horizontal="center"/>
    </xf>
    <xf numFmtId="0" fontId="16" fillId="23" borderId="0" xfId="0" applyFont="1" applyFill="1" applyAlignment="1">
      <alignment horizontal="center" vertical="center"/>
    </xf>
    <xf numFmtId="0" fontId="53" fillId="23" borderId="23" xfId="0" applyFont="1" applyFill="1" applyBorder="1" applyAlignment="1">
      <alignment horizontal="center" vertical="top"/>
    </xf>
    <xf numFmtId="0" fontId="53" fillId="23" borderId="0" xfId="0" applyFont="1" applyFill="1" applyAlignment="1">
      <alignment horizontal="center" vertical="top"/>
    </xf>
    <xf numFmtId="0" fontId="19" fillId="23" borderId="0" xfId="0" applyFont="1" applyFill="1" applyAlignment="1">
      <alignment horizontal="left" vertical="center"/>
    </xf>
    <xf numFmtId="165" fontId="18" fillId="23" borderId="0" xfId="0" applyNumberFormat="1" applyFont="1" applyFill="1" applyAlignment="1">
      <alignment horizontal="center" vertical="center"/>
    </xf>
    <xf numFmtId="3" fontId="27" fillId="23" borderId="0" xfId="0" applyNumberFormat="1" applyFont="1" applyFill="1" applyAlignment="1">
      <alignment horizontal="left" vertical="center"/>
    </xf>
    <xf numFmtId="0" fontId="17" fillId="23" borderId="0" xfId="0" applyFont="1" applyFill="1" applyAlignment="1">
      <alignment horizontal="center" vertical="center" wrapText="1"/>
    </xf>
    <xf numFmtId="0" fontId="53" fillId="23" borderId="27" xfId="0" applyFont="1" applyFill="1" applyBorder="1" applyAlignment="1">
      <alignment horizontal="center"/>
    </xf>
    <xf numFmtId="0" fontId="53" fillId="23" borderId="28" xfId="0" applyFont="1" applyFill="1" applyBorder="1" applyAlignment="1">
      <alignment horizontal="center"/>
    </xf>
    <xf numFmtId="0" fontId="0" fillId="23" borderId="28" xfId="0" applyFill="1" applyBorder="1"/>
    <xf numFmtId="0" fontId="17" fillId="23" borderId="28" xfId="0" applyFont="1" applyFill="1" applyBorder="1" applyAlignment="1">
      <alignment horizontal="center" vertical="center" wrapText="1"/>
    </xf>
    <xf numFmtId="0" fontId="17" fillId="23" borderId="23" xfId="0" applyFont="1" applyFill="1" applyBorder="1"/>
    <xf numFmtId="0" fontId="17" fillId="23" borderId="0" xfId="0" applyFont="1" applyFill="1"/>
    <xf numFmtId="168" fontId="6" fillId="23" borderId="0" xfId="0" applyNumberFormat="1" applyFont="1" applyFill="1" applyAlignment="1">
      <alignment horizontal="center"/>
    </xf>
    <xf numFmtId="0" fontId="4" fillId="23" borderId="23" xfId="0" applyFont="1" applyFill="1" applyBorder="1" applyAlignment="1">
      <alignment vertical="top"/>
    </xf>
    <xf numFmtId="168" fontId="6" fillId="23" borderId="0" xfId="0" applyNumberFormat="1" applyFont="1" applyFill="1" applyAlignment="1">
      <alignment horizontal="center" vertical="top"/>
    </xf>
    <xf numFmtId="0" fontId="4" fillId="23" borderId="0" xfId="0" applyFont="1" applyFill="1" applyAlignment="1">
      <alignment vertical="top"/>
    </xf>
    <xf numFmtId="3" fontId="19" fillId="23" borderId="0" xfId="0" applyNumberFormat="1" applyFont="1" applyFill="1" applyAlignment="1">
      <alignment horizontal="right"/>
    </xf>
    <xf numFmtId="0" fontId="18" fillId="23" borderId="0" xfId="0" applyFont="1" applyFill="1" applyAlignment="1">
      <alignment horizontal="left" vertical="center"/>
    </xf>
    <xf numFmtId="3" fontId="15" fillId="23" borderId="0" xfId="0" applyNumberFormat="1" applyFont="1" applyFill="1" applyAlignment="1">
      <alignment horizontal="right" vertical="center"/>
    </xf>
    <xf numFmtId="3" fontId="16" fillId="23" borderId="0" xfId="0" applyNumberFormat="1" applyFont="1" applyFill="1" applyAlignment="1">
      <alignment horizontal="right" vertical="center"/>
    </xf>
    <xf numFmtId="0" fontId="18" fillId="23" borderId="0" xfId="0" applyFont="1" applyFill="1"/>
    <xf numFmtId="3" fontId="25" fillId="23" borderId="0" xfId="55" quotePrefix="1" applyNumberFormat="1" applyFont="1" applyFill="1" applyBorder="1" applyAlignment="1">
      <alignment horizontal="right" vertical="top"/>
    </xf>
    <xf numFmtId="0" fontId="32" fillId="23" borderId="0" xfId="0" applyFont="1" applyFill="1" applyAlignment="1">
      <alignment vertical="center"/>
    </xf>
    <xf numFmtId="169" fontId="28" fillId="23" borderId="0" xfId="0" applyNumberFormat="1" applyFont="1" applyFill="1" applyAlignment="1">
      <alignment horizontal="centerContinuous" vertical="center"/>
    </xf>
    <xf numFmtId="168" fontId="27" fillId="23" borderId="0" xfId="0" applyNumberFormat="1" applyFont="1" applyFill="1" applyAlignment="1">
      <alignment horizontal="right" vertical="center"/>
    </xf>
    <xf numFmtId="168" fontId="0" fillId="23" borderId="0" xfId="0" applyNumberFormat="1" applyFill="1"/>
    <xf numFmtId="0" fontId="23" fillId="23" borderId="0" xfId="0" applyFont="1" applyFill="1" applyAlignment="1">
      <alignment horizontal="centerContinuous" vertical="center"/>
    </xf>
    <xf numFmtId="0" fontId="33" fillId="23" borderId="0" xfId="0" applyFont="1" applyFill="1" applyAlignment="1">
      <alignment vertical="center"/>
    </xf>
    <xf numFmtId="0" fontId="53" fillId="23" borderId="0" xfId="0" applyFont="1" applyFill="1" applyAlignment="1">
      <alignment horizontal="center" vertical="center"/>
    </xf>
    <xf numFmtId="0" fontId="16" fillId="23" borderId="0" xfId="0" applyFont="1" applyFill="1" applyAlignment="1">
      <alignment vertical="center" wrapText="1"/>
    </xf>
    <xf numFmtId="0" fontId="18" fillId="23" borderId="0" xfId="0" applyFont="1" applyFill="1" applyAlignment="1">
      <alignment horizontal="center"/>
    </xf>
    <xf numFmtId="0" fontId="2" fillId="23" borderId="0" xfId="0" applyFont="1" applyFill="1" applyAlignment="1">
      <alignment horizontal="left"/>
    </xf>
    <xf numFmtId="0" fontId="3" fillId="23" borderId="0" xfId="0" applyFont="1" applyFill="1"/>
    <xf numFmtId="168" fontId="3" fillId="23" borderId="0" xfId="0" applyNumberFormat="1" applyFont="1" applyFill="1" applyAlignment="1" applyProtection="1">
      <alignment horizontal="center"/>
      <protection locked="0"/>
    </xf>
    <xf numFmtId="166" fontId="3" fillId="23" borderId="15" xfId="0" applyNumberFormat="1" applyFont="1" applyFill="1" applyBorder="1" applyAlignment="1" applyProtection="1">
      <alignment horizontal="right" vertical="center"/>
      <protection locked="0"/>
    </xf>
    <xf numFmtId="166" fontId="3" fillId="23" borderId="0" xfId="0" applyNumberFormat="1" applyFont="1" applyFill="1" applyAlignment="1" applyProtection="1">
      <alignment horizontal="right" vertical="center"/>
      <protection locked="0"/>
    </xf>
    <xf numFmtId="165" fontId="3" fillId="23" borderId="28" xfId="0" applyNumberFormat="1" applyFont="1" applyFill="1" applyBorder="1" applyAlignment="1" applyProtection="1">
      <alignment horizontal="right" vertical="center"/>
      <protection locked="0"/>
    </xf>
    <xf numFmtId="168" fontId="3" fillId="23" borderId="28" xfId="0" applyNumberFormat="1" applyFont="1" applyFill="1" applyBorder="1" applyAlignment="1">
      <alignment horizontal="center"/>
    </xf>
    <xf numFmtId="168" fontId="3" fillId="23" borderId="0" xfId="0" applyNumberFormat="1" applyFont="1" applyFill="1" applyAlignment="1">
      <alignment horizontal="center"/>
    </xf>
    <xf numFmtId="165" fontId="3" fillId="23" borderId="33" xfId="0" applyNumberFormat="1" applyFont="1" applyFill="1" applyBorder="1" applyAlignment="1" applyProtection="1">
      <alignment horizontal="right" vertical="center"/>
      <protection locked="0"/>
    </xf>
    <xf numFmtId="0" fontId="3" fillId="23" borderId="15" xfId="0" applyFont="1" applyFill="1" applyBorder="1"/>
    <xf numFmtId="3" fontId="3" fillId="23" borderId="0" xfId="0" applyNumberFormat="1" applyFont="1" applyFill="1" applyAlignment="1">
      <alignment horizontal="right" vertical="center"/>
    </xf>
    <xf numFmtId="3" fontId="2" fillId="23" borderId="15" xfId="0" applyNumberFormat="1" applyFont="1" applyFill="1" applyBorder="1" applyAlignment="1">
      <alignment horizontal="left" vertical="center"/>
    </xf>
    <xf numFmtId="3" fontId="2" fillId="23" borderId="0" xfId="0" applyNumberFormat="1" applyFont="1" applyFill="1" applyAlignment="1">
      <alignment horizontal="left" vertical="center"/>
    </xf>
    <xf numFmtId="0" fontId="2" fillId="23" borderId="0" xfId="0" applyFont="1" applyFill="1" applyAlignment="1">
      <alignment horizontal="center" vertical="center" wrapText="1"/>
    </xf>
    <xf numFmtId="168" fontId="3" fillId="23" borderId="29" xfId="0" applyNumberFormat="1" applyFont="1" applyFill="1" applyBorder="1" applyAlignment="1" applyProtection="1">
      <alignment horizontal="center"/>
      <protection locked="0"/>
    </xf>
    <xf numFmtId="168" fontId="3" fillId="23" borderId="0" xfId="0" applyNumberFormat="1" applyFont="1" applyFill="1" applyAlignment="1">
      <alignment horizontal="right" vertical="center"/>
    </xf>
    <xf numFmtId="168" fontId="18" fillId="23" borderId="34" xfId="0" applyNumberFormat="1" applyFont="1" applyFill="1" applyBorder="1" applyAlignment="1">
      <alignment horizontal="right" vertical="center"/>
    </xf>
    <xf numFmtId="0" fontId="2" fillId="23" borderId="15" xfId="0" applyFont="1" applyFill="1" applyBorder="1"/>
    <xf numFmtId="171" fontId="3" fillId="23" borderId="0" xfId="0" applyNumberFormat="1" applyFont="1" applyFill="1" applyAlignment="1" applyProtection="1">
      <alignment horizontal="right" vertical="center"/>
      <protection locked="0"/>
    </xf>
    <xf numFmtId="0" fontId="16" fillId="23" borderId="35" xfId="0" applyFont="1" applyFill="1" applyBorder="1" applyAlignment="1">
      <alignment horizontal="center"/>
    </xf>
    <xf numFmtId="0" fontId="16" fillId="23" borderId="26" xfId="0" applyFont="1" applyFill="1" applyBorder="1" applyAlignment="1">
      <alignment horizontal="center"/>
    </xf>
    <xf numFmtId="0" fontId="0" fillId="23" borderId="26" xfId="0" applyFill="1" applyBorder="1"/>
    <xf numFmtId="0" fontId="16" fillId="23" borderId="26" xfId="0" applyFont="1" applyFill="1" applyBorder="1" applyAlignment="1">
      <alignment horizontal="center" vertical="center"/>
    </xf>
    <xf numFmtId="0" fontId="17" fillId="23" borderId="26" xfId="0" applyFont="1" applyFill="1" applyBorder="1" applyAlignment="1">
      <alignment horizontal="center" vertical="center" wrapText="1"/>
    </xf>
    <xf numFmtId="0" fontId="0" fillId="23" borderId="30" xfId="0" applyFill="1" applyBorder="1"/>
    <xf numFmtId="0" fontId="51" fillId="23" borderId="33" xfId="0" applyFont="1" applyFill="1" applyBorder="1"/>
    <xf numFmtId="0" fontId="24" fillId="20" borderId="0" xfId="0" applyFont="1" applyFill="1" applyAlignment="1" applyProtection="1">
      <alignment horizontal="center"/>
      <protection locked="0"/>
    </xf>
  </cellXfs>
  <cellStyles count="60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Grey" xfId="30" xr:uid="{00000000-0005-0000-0000-00001E000000}"/>
    <cellStyle name="Header1" xfId="31" xr:uid="{00000000-0005-0000-0000-00001F000000}"/>
    <cellStyle name="Header2" xfId="32" xr:uid="{00000000-0005-0000-0000-000020000000}"/>
    <cellStyle name="Heading 1" xfId="33" builtinId="16" customBuiltin="1"/>
    <cellStyle name="Heading 2" xfId="34" builtinId="17" customBuiltin="1"/>
    <cellStyle name="Heading 3" xfId="35" builtinId="18" customBuiltin="1"/>
    <cellStyle name="Heading 4" xfId="36" builtinId="19" customBuiltin="1"/>
    <cellStyle name="Input" xfId="37" builtinId="20" customBuiltin="1"/>
    <cellStyle name="Input [yellow]" xfId="38" xr:uid="{00000000-0005-0000-0000-000026000000}"/>
    <cellStyle name="Linked Cell" xfId="39" builtinId="24" customBuiltin="1"/>
    <cellStyle name="Neutral" xfId="40" builtinId="28" customBuiltin="1"/>
    <cellStyle name="Normal" xfId="0" builtinId="0"/>
    <cellStyle name="Normal - Style1" xfId="41" xr:uid="{00000000-0005-0000-0000-00002A000000}"/>
    <cellStyle name="Normal 10" xfId="42" xr:uid="{00000000-0005-0000-0000-00002B000000}"/>
    <cellStyle name="Normal 11" xfId="43" xr:uid="{00000000-0005-0000-0000-00002C000000}"/>
    <cellStyle name="Normal 12" xfId="44" xr:uid="{00000000-0005-0000-0000-00002D000000}"/>
    <cellStyle name="Normal 2" xfId="45" xr:uid="{00000000-0005-0000-0000-00002E000000}"/>
    <cellStyle name="Normal 3" xfId="46" xr:uid="{00000000-0005-0000-0000-00002F000000}"/>
    <cellStyle name="Normal 4" xfId="47" xr:uid="{00000000-0005-0000-0000-000030000000}"/>
    <cellStyle name="Normal 5" xfId="48" xr:uid="{00000000-0005-0000-0000-000031000000}"/>
    <cellStyle name="Normal 6" xfId="49" xr:uid="{00000000-0005-0000-0000-000032000000}"/>
    <cellStyle name="Normal 7" xfId="50" xr:uid="{00000000-0005-0000-0000-000033000000}"/>
    <cellStyle name="Normal 8" xfId="51" xr:uid="{00000000-0005-0000-0000-000034000000}"/>
    <cellStyle name="Normal 9" xfId="52" xr:uid="{00000000-0005-0000-0000-000035000000}"/>
    <cellStyle name="Note" xfId="53" builtinId="10" customBuiltin="1"/>
    <cellStyle name="Output" xfId="54" builtinId="21" customBuiltin="1"/>
    <cellStyle name="Percent" xfId="55" builtinId="5"/>
    <cellStyle name="Percent [2]" xfId="56" xr:uid="{00000000-0005-0000-0000-00003A000000}"/>
    <cellStyle name="Title" xfId="57" builtinId="15" customBuiltin="1"/>
    <cellStyle name="Total" xfId="58" builtinId="25" customBuiltin="1"/>
    <cellStyle name="Warning Text" xfId="59" builtinId="11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28575</xdr:colOff>
      <xdr:row>3</xdr:row>
      <xdr:rowOff>19050</xdr:rowOff>
    </xdr:from>
    <xdr:to>
      <xdr:col>9</xdr:col>
      <xdr:colOff>0</xdr:colOff>
      <xdr:row>4</xdr:row>
      <xdr:rowOff>123825</xdr:rowOff>
    </xdr:to>
    <xdr:sp macro="" textlink="">
      <xdr:nvSpPr>
        <xdr:cNvPr id="2052" name="Text 4">
          <a:extLst>
            <a:ext uri="{FF2B5EF4-FFF2-40B4-BE49-F238E27FC236}">
              <a16:creationId xmlns:a16="http://schemas.microsoft.com/office/drawing/2014/main" id="{E611C21B-7F0B-569D-207B-10CF5536ED07}"/>
            </a:ext>
          </a:extLst>
        </xdr:cNvPr>
        <xdr:cNvSpPr txBox="1">
          <a:spLocks noChangeArrowheads="1"/>
        </xdr:cNvSpPr>
      </xdr:nvSpPr>
      <xdr:spPr bwMode="auto">
        <a:xfrm>
          <a:off x="4533900" y="342900"/>
          <a:ext cx="3171825" cy="228600"/>
        </a:xfrm>
        <a:prstGeom prst="rect">
          <a:avLst/>
        </a:prstGeom>
        <a:solidFill>
          <a:srgbClr val="FFFFFF"/>
        </a:solidFill>
        <a:ln w="1">
          <a:solidFill>
            <a:srgbClr val="808000"/>
          </a:solidFill>
          <a:prstDash val="dash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sz="700" b="0" i="0" strike="noStrike">
              <a:solidFill>
                <a:srgbClr val="808000"/>
              </a:solidFill>
              <a:latin typeface="Arial"/>
              <a:cs typeface="Arial"/>
            </a:rPr>
            <a:t>These are one-time expenses to invoke additional</a:t>
          </a:r>
        </a:p>
        <a:p>
          <a:pPr algn="ctr" rtl="0">
            <a:defRPr sz="1000"/>
          </a:pPr>
          <a:r>
            <a:rPr lang="en-US" sz="700" b="0" i="0" strike="noStrike">
              <a:solidFill>
                <a:srgbClr val="808000"/>
              </a:solidFill>
              <a:latin typeface="Arial"/>
              <a:cs typeface="Arial"/>
            </a:rPr>
            <a:t>services not present at the end of cutover.</a:t>
          </a:r>
        </a:p>
      </xdr:txBody>
    </xdr:sp>
    <xdr:clientData/>
  </xdr:twoCellAnchor>
  <xdr:twoCellAnchor>
    <xdr:from>
      <xdr:col>10</xdr:col>
      <xdr:colOff>38100</xdr:colOff>
      <xdr:row>3</xdr:row>
      <xdr:rowOff>19050</xdr:rowOff>
    </xdr:from>
    <xdr:to>
      <xdr:col>13</xdr:col>
      <xdr:colOff>0</xdr:colOff>
      <xdr:row>4</xdr:row>
      <xdr:rowOff>123825</xdr:rowOff>
    </xdr:to>
    <xdr:sp macro="" textlink="">
      <xdr:nvSpPr>
        <xdr:cNvPr id="2053" name="Text 5">
          <a:extLst>
            <a:ext uri="{FF2B5EF4-FFF2-40B4-BE49-F238E27FC236}">
              <a16:creationId xmlns:a16="http://schemas.microsoft.com/office/drawing/2014/main" id="{8EDB4E2E-6248-46A8-AFD3-DB0E76A3DE40}"/>
            </a:ext>
          </a:extLst>
        </xdr:cNvPr>
        <xdr:cNvSpPr txBox="1">
          <a:spLocks noChangeArrowheads="1"/>
        </xdr:cNvSpPr>
      </xdr:nvSpPr>
      <xdr:spPr bwMode="auto">
        <a:xfrm>
          <a:off x="7743825" y="342900"/>
          <a:ext cx="3714750" cy="228600"/>
        </a:xfrm>
        <a:prstGeom prst="rect">
          <a:avLst/>
        </a:prstGeom>
        <a:solidFill>
          <a:srgbClr val="FFFFFF"/>
        </a:solidFill>
        <a:ln w="1">
          <a:solidFill>
            <a:srgbClr val="808000"/>
          </a:solidFill>
          <a:prstDash val="dash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sz="700" b="0" i="0" strike="noStrike">
              <a:solidFill>
                <a:srgbClr val="808000"/>
              </a:solidFill>
              <a:latin typeface="Arial"/>
              <a:cs typeface="Arial"/>
            </a:rPr>
            <a:t>These are recurring expenses to maintain existing services.</a:t>
          </a:r>
        </a:p>
        <a:p>
          <a:pPr algn="ctr" rtl="0">
            <a:defRPr sz="1000"/>
          </a:pPr>
          <a:r>
            <a:rPr lang="en-US" sz="700" b="0" i="0" u="sng" strike="noStrike">
              <a:solidFill>
                <a:srgbClr val="808000"/>
              </a:solidFill>
              <a:latin typeface="Arial"/>
              <a:cs typeface="Arial"/>
            </a:rPr>
            <a:t>Unit prices are for 1 month, not 12.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1.25" x14ac:dyDescent="0.2"/>
  <sheetData/>
  <phoneticPr fontId="0" type="noConversion"/>
  <pageMargins left="0.75" right="0.75" top="1" bottom="1" header="0.5" footer="0.5"/>
  <pageSetup orientation="portrait" horizontalDpi="1200" verticalDpi="1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506"/>
  <sheetViews>
    <sheetView tabSelected="1" topLeftCell="A19" zoomScale="120" zoomScaleNormal="120" zoomScaleSheetLayoutView="100" workbookViewId="0">
      <selection activeCell="C94" sqref="C94"/>
    </sheetView>
  </sheetViews>
  <sheetFormatPr defaultRowHeight="11.25" x14ac:dyDescent="0.2"/>
  <cols>
    <col min="1" max="1" width="5.1640625" style="142" bestFit="1" customWidth="1"/>
    <col min="2" max="2" width="2.83203125" style="142" bestFit="1" customWidth="1"/>
    <col min="3" max="3" width="65.6640625" bestFit="1" customWidth="1"/>
    <col min="4" max="4" width="7" customWidth="1"/>
    <col min="5" max="5" width="5.6640625" customWidth="1"/>
    <col min="6" max="6" width="6" customWidth="1"/>
    <col min="7" max="7" width="0.6640625" hidden="1" customWidth="1"/>
    <col min="8" max="8" width="10.6640625" customWidth="1"/>
    <col min="9" max="9" width="0.6640625" style="41" customWidth="1"/>
    <col min="10" max="10" width="0.6640625" style="110" customWidth="1"/>
    <col min="11" max="11" width="14.1640625" customWidth="1"/>
    <col min="12" max="12" width="0.5" customWidth="1"/>
    <col min="13" max="13" width="0.33203125" customWidth="1"/>
    <col min="14" max="14" width="8" customWidth="1"/>
    <col min="15" max="15" width="1.6640625" customWidth="1"/>
    <col min="19" max="19" width="15" customWidth="1"/>
    <col min="21" max="21" width="11.83203125" customWidth="1"/>
    <col min="23" max="23" width="12" customWidth="1"/>
  </cols>
  <sheetData>
    <row r="1" spans="1:26" ht="12.75" x14ac:dyDescent="0.2">
      <c r="A1" s="119" t="s">
        <v>2</v>
      </c>
      <c r="B1" s="120"/>
      <c r="C1" s="96" t="s">
        <v>45</v>
      </c>
      <c r="D1" s="97"/>
      <c r="E1" s="97"/>
      <c r="F1" s="98"/>
      <c r="G1" s="99" t="s">
        <v>2</v>
      </c>
      <c r="H1" s="100" t="s">
        <v>3</v>
      </c>
      <c r="I1" s="101"/>
      <c r="J1" s="103"/>
      <c r="K1" s="102" t="s">
        <v>4</v>
      </c>
      <c r="L1" s="100"/>
      <c r="M1" s="100"/>
      <c r="N1" s="100"/>
      <c r="O1" s="100"/>
      <c r="P1" s="155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 spans="1:26" s="27" customFormat="1" x14ac:dyDescent="0.2">
      <c r="A2" s="121"/>
      <c r="B2" s="122"/>
      <c r="C2" s="64" t="s">
        <v>53</v>
      </c>
      <c r="D2" s="65"/>
      <c r="E2" s="65"/>
      <c r="F2" s="65"/>
      <c r="G2" s="66"/>
      <c r="H2" s="67" t="s">
        <v>37</v>
      </c>
      <c r="I2" s="63"/>
      <c r="J2" s="104"/>
      <c r="K2" s="68" t="s">
        <v>5</v>
      </c>
      <c r="L2" s="69"/>
      <c r="M2" s="69"/>
      <c r="N2" s="69"/>
      <c r="O2" s="69"/>
      <c r="P2" s="177"/>
      <c r="Q2" s="178"/>
      <c r="R2" s="178"/>
      <c r="S2" s="178"/>
      <c r="T2" s="178"/>
      <c r="U2" s="178"/>
      <c r="V2" s="178"/>
      <c r="W2" s="178"/>
      <c r="X2" s="178"/>
      <c r="Y2" s="178"/>
      <c r="Z2" s="178"/>
    </row>
    <row r="3" spans="1:26" s="1" customFormat="1" ht="12.75" x14ac:dyDescent="0.2">
      <c r="A3" s="123"/>
      <c r="B3" s="124"/>
      <c r="C3" s="70"/>
      <c r="D3" s="71"/>
      <c r="E3" s="71"/>
      <c r="F3" s="88"/>
      <c r="G3" s="62"/>
      <c r="H3" s="73"/>
      <c r="I3" s="63"/>
      <c r="J3" s="104"/>
      <c r="K3" s="75"/>
      <c r="L3" s="73"/>
      <c r="M3" s="73"/>
      <c r="N3" s="73"/>
      <c r="O3" s="73"/>
      <c r="P3" s="155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 x14ac:dyDescent="0.2">
      <c r="A4" s="125"/>
      <c r="B4" s="126"/>
      <c r="C4" s="76"/>
      <c r="D4" s="72"/>
      <c r="E4" s="72"/>
      <c r="F4" s="89"/>
      <c r="G4" s="62"/>
      <c r="H4" s="74"/>
      <c r="I4" s="63"/>
      <c r="J4" s="104"/>
      <c r="K4" s="77"/>
      <c r="L4" s="74"/>
      <c r="M4" s="74"/>
      <c r="N4" s="74"/>
      <c r="O4" s="74"/>
      <c r="P4" s="155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 ht="12.75" x14ac:dyDescent="0.2">
      <c r="A5" s="125"/>
      <c r="B5" s="127"/>
      <c r="C5" s="78"/>
      <c r="D5" s="72"/>
      <c r="E5" s="72"/>
      <c r="F5" s="89"/>
      <c r="G5" s="62"/>
      <c r="H5" s="74"/>
      <c r="I5" s="63"/>
      <c r="J5" s="104"/>
      <c r="K5" s="77"/>
      <c r="L5" s="74"/>
      <c r="M5" s="74"/>
      <c r="N5" s="74"/>
      <c r="O5" s="74"/>
      <c r="P5" s="155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 x14ac:dyDescent="0.2">
      <c r="A6" s="128" t="s">
        <v>1</v>
      </c>
      <c r="B6" s="129"/>
      <c r="C6" s="79" t="s">
        <v>6</v>
      </c>
      <c r="D6" s="72" t="s">
        <v>27</v>
      </c>
      <c r="E6" s="72"/>
      <c r="F6" s="89" t="s">
        <v>7</v>
      </c>
      <c r="G6" s="62"/>
      <c r="H6" s="74" t="s">
        <v>28</v>
      </c>
      <c r="I6" s="80"/>
      <c r="J6" s="94"/>
      <c r="K6" s="77" t="s">
        <v>28</v>
      </c>
      <c r="L6" s="74"/>
      <c r="M6" s="74"/>
      <c r="N6" s="74"/>
      <c r="O6" s="74"/>
      <c r="P6" s="155"/>
      <c r="Q6" s="179"/>
      <c r="R6" s="117"/>
      <c r="S6" s="117"/>
      <c r="T6" s="117"/>
      <c r="U6" s="117"/>
      <c r="V6" s="117"/>
      <c r="W6" s="117"/>
      <c r="X6" s="117"/>
      <c r="Y6" s="117"/>
      <c r="Z6" s="117"/>
    </row>
    <row r="7" spans="1:26" s="2" customFormat="1" ht="12.75" x14ac:dyDescent="0.2">
      <c r="A7" s="130"/>
      <c r="B7" s="131"/>
      <c r="C7" s="81"/>
      <c r="D7" s="82"/>
      <c r="E7" s="82"/>
      <c r="F7" s="90" t="s">
        <v>8</v>
      </c>
      <c r="G7" s="85"/>
      <c r="H7" s="74" t="s">
        <v>29</v>
      </c>
      <c r="I7" s="83"/>
      <c r="J7" s="95"/>
      <c r="K7" s="77" t="s">
        <v>29</v>
      </c>
      <c r="L7" s="74"/>
      <c r="M7" s="74"/>
      <c r="N7" s="74"/>
      <c r="O7" s="74"/>
      <c r="P7" s="180"/>
      <c r="Q7" s="181"/>
      <c r="R7" s="182"/>
      <c r="S7" s="182"/>
      <c r="T7" s="182"/>
      <c r="U7" s="182"/>
      <c r="V7" s="182"/>
      <c r="W7" s="182"/>
      <c r="X7" s="182"/>
      <c r="Y7" s="182"/>
      <c r="Z7" s="182"/>
    </row>
    <row r="8" spans="1:26" s="5" customFormat="1" ht="3" customHeight="1" x14ac:dyDescent="0.2">
      <c r="A8" s="132"/>
      <c r="B8" s="133"/>
      <c r="C8" s="21"/>
      <c r="D8" s="3"/>
      <c r="E8" s="3"/>
      <c r="F8" s="91"/>
      <c r="G8" s="86"/>
      <c r="H8" s="4"/>
      <c r="I8" s="26"/>
      <c r="J8" s="105"/>
      <c r="K8" s="47"/>
      <c r="L8" s="4"/>
      <c r="M8" s="4"/>
      <c r="N8" s="4"/>
      <c r="O8" s="4"/>
      <c r="P8" s="155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 x14ac:dyDescent="0.2">
      <c r="A9" s="134"/>
      <c r="B9" s="135"/>
      <c r="C9" s="12"/>
      <c r="D9" s="6"/>
      <c r="E9" s="6"/>
      <c r="F9" s="92"/>
      <c r="G9" s="61"/>
      <c r="H9" s="7"/>
      <c r="I9" s="26"/>
      <c r="J9" s="105"/>
      <c r="K9" s="48"/>
      <c r="L9" s="7"/>
      <c r="M9" s="7"/>
      <c r="N9" s="7"/>
      <c r="O9" s="7"/>
      <c r="P9" s="155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 x14ac:dyDescent="0.2">
      <c r="A10" s="134"/>
      <c r="B10" s="135"/>
      <c r="C10" s="57" t="s">
        <v>35</v>
      </c>
      <c r="D10" s="6"/>
      <c r="E10" s="6"/>
      <c r="F10" s="92"/>
      <c r="G10" s="11"/>
      <c r="H10" s="8"/>
      <c r="I10" s="26"/>
      <c r="J10" s="105"/>
      <c r="K10" s="49"/>
      <c r="L10" s="8"/>
      <c r="M10" s="8"/>
      <c r="N10" s="8"/>
      <c r="O10" s="8"/>
      <c r="P10" s="155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 x14ac:dyDescent="0.2">
      <c r="A11" s="125" t="s">
        <v>9</v>
      </c>
      <c r="B11" s="136" t="s">
        <v>9</v>
      </c>
      <c r="C11" s="84" t="s">
        <v>22</v>
      </c>
      <c r="D11" s="6"/>
      <c r="E11" s="6"/>
      <c r="F11" s="92" t="s">
        <v>10</v>
      </c>
      <c r="G11" s="11"/>
      <c r="H11" s="9" t="s">
        <v>33</v>
      </c>
      <c r="I11" s="25"/>
      <c r="J11" s="60"/>
      <c r="K11" s="48" t="s">
        <v>0</v>
      </c>
      <c r="L11" s="7"/>
      <c r="M11" s="7"/>
      <c r="N11" s="7"/>
      <c r="O11" s="7"/>
      <c r="P11" s="155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 x14ac:dyDescent="0.2">
      <c r="A12" s="134"/>
      <c r="B12" s="135"/>
      <c r="C12" s="19"/>
      <c r="D12" s="6"/>
      <c r="E12" s="6"/>
      <c r="F12" s="92"/>
      <c r="G12" s="11"/>
      <c r="H12" s="10"/>
      <c r="I12" s="25"/>
      <c r="J12" s="60"/>
      <c r="K12" s="50"/>
      <c r="L12" s="10"/>
      <c r="M12" s="10"/>
      <c r="N12" s="10"/>
      <c r="O12" s="10"/>
      <c r="P12" s="155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 x14ac:dyDescent="0.2">
      <c r="A13" s="130" t="str">
        <f>+A11</f>
        <v>A</v>
      </c>
      <c r="B13" s="137" t="str">
        <f>IF(OR(CODE(B11)=72,CODE(B11)=78),CHAR(CODE(B11)+2),CHAR(CODE(B11)+1))</f>
        <v>B</v>
      </c>
      <c r="C13" s="84" t="s">
        <v>25</v>
      </c>
      <c r="D13" s="6"/>
      <c r="E13" s="6"/>
      <c r="F13" s="92" t="s">
        <v>10</v>
      </c>
      <c r="G13" s="11"/>
      <c r="H13" s="9" t="s">
        <v>33</v>
      </c>
      <c r="I13" s="25"/>
      <c r="J13" s="60"/>
      <c r="K13" s="48" t="s">
        <v>0</v>
      </c>
      <c r="L13" s="7"/>
      <c r="M13" s="7"/>
      <c r="N13" s="7"/>
      <c r="O13" s="7"/>
      <c r="P13" s="155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 x14ac:dyDescent="0.2">
      <c r="A14" s="134"/>
      <c r="B14" s="135"/>
      <c r="C14" s="12"/>
      <c r="D14" s="6"/>
      <c r="E14" s="6"/>
      <c r="F14" s="92"/>
      <c r="G14" s="61"/>
      <c r="H14" s="7"/>
      <c r="I14" s="26"/>
      <c r="J14" s="105"/>
      <c r="K14" s="48"/>
      <c r="L14" s="7"/>
      <c r="M14" s="7"/>
      <c r="N14" s="7"/>
      <c r="O14" s="7"/>
      <c r="P14" s="155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 x14ac:dyDescent="0.2">
      <c r="A15" s="134"/>
      <c r="B15" s="135"/>
      <c r="C15" s="12"/>
      <c r="D15" s="6"/>
      <c r="E15" s="6"/>
      <c r="F15" s="92"/>
      <c r="G15" s="61"/>
      <c r="H15" s="7"/>
      <c r="I15" s="26"/>
      <c r="J15" s="105"/>
      <c r="K15" s="48"/>
      <c r="L15" s="7"/>
      <c r="M15" s="7"/>
      <c r="N15" s="7"/>
      <c r="O15" s="7"/>
      <c r="P15" s="155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 x14ac:dyDescent="0.2">
      <c r="A16" s="134"/>
      <c r="B16" s="135"/>
      <c r="C16" s="31" t="s">
        <v>36</v>
      </c>
      <c r="D16" s="6"/>
      <c r="E16" s="6"/>
      <c r="F16" s="92"/>
      <c r="G16" s="11"/>
      <c r="H16" s="8"/>
      <c r="I16" s="26"/>
      <c r="J16" s="105"/>
      <c r="K16" s="49"/>
      <c r="L16" s="8"/>
      <c r="M16" s="8"/>
      <c r="N16" s="8"/>
      <c r="O16" s="8"/>
      <c r="P16" s="155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 x14ac:dyDescent="0.2">
      <c r="A17" s="125" t="s">
        <v>11</v>
      </c>
      <c r="B17" s="136" t="s">
        <v>9</v>
      </c>
      <c r="C17" s="84" t="s">
        <v>23</v>
      </c>
      <c r="D17" s="13"/>
      <c r="E17" s="13" t="s">
        <v>12</v>
      </c>
      <c r="F17" s="92"/>
      <c r="G17" s="11"/>
      <c r="H17" s="10" t="s">
        <v>0</v>
      </c>
      <c r="I17" s="25"/>
      <c r="J17" s="60"/>
      <c r="K17" s="51"/>
      <c r="L17" s="9"/>
      <c r="M17" s="9"/>
      <c r="N17" s="9"/>
      <c r="O17" s="9"/>
      <c r="P17" s="155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 x14ac:dyDescent="0.2">
      <c r="A18" s="134"/>
      <c r="B18" s="135"/>
      <c r="C18" s="20"/>
      <c r="D18" s="13"/>
      <c r="E18" s="13" t="s">
        <v>13</v>
      </c>
      <c r="F18" s="92" t="s">
        <v>10</v>
      </c>
      <c r="G18" s="11"/>
      <c r="H18" s="10">
        <v>1</v>
      </c>
      <c r="I18" s="25"/>
      <c r="J18" s="60"/>
      <c r="K18" s="50"/>
      <c r="L18" s="10"/>
      <c r="M18" s="10"/>
      <c r="N18" s="10"/>
      <c r="O18" s="10"/>
      <c r="P18" s="155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 x14ac:dyDescent="0.2">
      <c r="A19" s="134"/>
      <c r="B19" s="135"/>
      <c r="C19" s="19"/>
      <c r="D19" s="6"/>
      <c r="E19" s="6"/>
      <c r="F19" s="92"/>
      <c r="G19" s="11"/>
      <c r="H19" s="10"/>
      <c r="I19" s="25"/>
      <c r="J19" s="60"/>
      <c r="K19" s="50"/>
      <c r="L19" s="10"/>
      <c r="M19" s="10"/>
      <c r="N19" s="10"/>
      <c r="O19" s="10"/>
      <c r="P19" s="155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 x14ac:dyDescent="0.2">
      <c r="A20" s="130" t="str">
        <f>+A17</f>
        <v>B</v>
      </c>
      <c r="B20" s="137" t="str">
        <f>IF(OR(CODE(B17)=72,CODE(B17)=78),CHAR(CODE(B17)+2),CHAR(CODE(B17)+1))</f>
        <v>B</v>
      </c>
      <c r="C20" s="20" t="s">
        <v>14</v>
      </c>
      <c r="D20" s="13"/>
      <c r="E20" s="13" t="s">
        <v>12</v>
      </c>
      <c r="F20" s="93"/>
      <c r="G20" s="61"/>
      <c r="H20" s="30" t="s">
        <v>0</v>
      </c>
      <c r="I20" s="34"/>
      <c r="J20" s="59"/>
      <c r="K20" s="51"/>
      <c r="L20" s="9"/>
      <c r="M20" s="9"/>
      <c r="N20" s="9"/>
      <c r="O20" s="9"/>
      <c r="P20" s="155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 spans="1:26" x14ac:dyDescent="0.2">
      <c r="A21" s="134"/>
      <c r="B21" s="135"/>
      <c r="C21" s="20"/>
      <c r="D21" s="13"/>
      <c r="E21" s="13" t="s">
        <v>13</v>
      </c>
      <c r="F21" s="93" t="s">
        <v>15</v>
      </c>
      <c r="G21" s="61"/>
      <c r="H21" s="10">
        <v>1</v>
      </c>
      <c r="I21" s="25"/>
      <c r="J21" s="60"/>
      <c r="K21" s="49"/>
      <c r="L21" s="8"/>
      <c r="M21" s="8"/>
      <c r="N21" s="8"/>
      <c r="O21" s="8"/>
      <c r="P21" s="155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 spans="1:26" x14ac:dyDescent="0.2">
      <c r="A22" s="138"/>
      <c r="B22" s="139"/>
      <c r="C22" s="20"/>
      <c r="D22" s="13"/>
      <c r="E22" s="13" t="s">
        <v>16</v>
      </c>
      <c r="F22" s="93"/>
      <c r="G22" s="61"/>
      <c r="H22" s="29" t="str">
        <f>IF(H20="NSP","NSP",SUM(H20*H21))</f>
        <v>NSP</v>
      </c>
      <c r="I22" s="33" t="str">
        <f>+H22</f>
        <v>NSP</v>
      </c>
      <c r="J22" s="224" t="e">
        <f>H35,H42,H67,#REF!,#REF!,#REF!,#REF!,#REF!,#REF!,#REF!,#REF!</f>
        <v>#REF!</v>
      </c>
      <c r="K22" s="52"/>
      <c r="L22" s="16"/>
      <c r="M22" s="16"/>
      <c r="N22" s="16"/>
      <c r="O22" s="16"/>
      <c r="P22" s="155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 spans="1:26" x14ac:dyDescent="0.2">
      <c r="A23" s="140"/>
      <c r="B23" s="135"/>
      <c r="C23" s="19"/>
      <c r="D23" s="6"/>
      <c r="E23" s="6"/>
      <c r="F23" s="92"/>
      <c r="G23" s="11"/>
      <c r="H23" s="17"/>
      <c r="I23" s="34"/>
      <c r="J23" s="59"/>
      <c r="K23" s="50"/>
      <c r="L23" s="10"/>
      <c r="M23" s="10"/>
      <c r="N23" s="10"/>
      <c r="O23" s="10"/>
      <c r="P23" s="155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 spans="1:26" x14ac:dyDescent="0.2">
      <c r="A24" s="130" t="str">
        <f>+A20</f>
        <v>B</v>
      </c>
      <c r="B24" s="137" t="str">
        <f>IF(OR(CODE(B20)=72,CODE(B20)=78),CHAR(CODE(B20)+2),CHAR(CODE(B20)+1))</f>
        <v>C</v>
      </c>
      <c r="C24" s="84" t="s">
        <v>24</v>
      </c>
      <c r="D24" s="13"/>
      <c r="E24" s="13" t="s">
        <v>12</v>
      </c>
      <c r="F24" s="92"/>
      <c r="G24" s="11"/>
      <c r="H24" s="10" t="s">
        <v>0</v>
      </c>
      <c r="I24" s="25"/>
      <c r="J24" s="60"/>
      <c r="K24" s="51"/>
      <c r="L24" s="9"/>
      <c r="M24" s="9"/>
      <c r="N24" s="9"/>
      <c r="O24" s="9"/>
      <c r="P24" s="155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spans="1:26" x14ac:dyDescent="0.2">
      <c r="A25" s="134"/>
      <c r="B25" s="135"/>
      <c r="C25" s="84" t="s">
        <v>17</v>
      </c>
      <c r="D25" s="13"/>
      <c r="E25" s="13" t="s">
        <v>13</v>
      </c>
      <c r="F25" s="92" t="s">
        <v>10</v>
      </c>
      <c r="G25" s="11"/>
      <c r="H25" s="10">
        <v>0</v>
      </c>
      <c r="I25" s="25"/>
      <c r="J25" s="60"/>
      <c r="K25" s="50"/>
      <c r="L25" s="10"/>
      <c r="M25" s="10"/>
      <c r="N25" s="10"/>
      <c r="O25" s="10"/>
      <c r="P25" s="155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spans="1:26" x14ac:dyDescent="0.2">
      <c r="A26" s="134"/>
      <c r="B26" s="135"/>
      <c r="C26" s="19"/>
      <c r="D26" s="6"/>
      <c r="E26" s="6"/>
      <c r="F26" s="92"/>
      <c r="G26" s="11"/>
      <c r="H26" s="10"/>
      <c r="I26" s="25"/>
      <c r="J26" s="60"/>
      <c r="K26" s="50"/>
      <c r="L26" s="10"/>
      <c r="M26" s="10"/>
      <c r="N26" s="10"/>
      <c r="O26" s="10"/>
      <c r="P26" s="155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 spans="1:26" x14ac:dyDescent="0.2">
      <c r="A27" s="130" t="str">
        <f>+A24</f>
        <v>B</v>
      </c>
      <c r="B27" s="137" t="str">
        <f>IF(OR(CODE(B24)=72,CODE(B24)=78),CHAR(CODE(B24)+2),CHAR(CODE(B24)+1))</f>
        <v>D</v>
      </c>
      <c r="C27" s="20" t="s">
        <v>18</v>
      </c>
      <c r="D27" s="13"/>
      <c r="E27" s="13" t="s">
        <v>12</v>
      </c>
      <c r="F27" s="93"/>
      <c r="G27" s="61"/>
      <c r="H27" s="30" t="s">
        <v>0</v>
      </c>
      <c r="I27" s="34"/>
      <c r="J27" s="59"/>
      <c r="K27" s="51"/>
      <c r="L27" s="9"/>
      <c r="M27" s="9"/>
      <c r="N27" s="9"/>
      <c r="O27" s="9"/>
      <c r="P27" s="155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spans="1:26" x14ac:dyDescent="0.2">
      <c r="A28" s="134"/>
      <c r="B28" s="135"/>
      <c r="C28" s="20"/>
      <c r="D28" s="13"/>
      <c r="E28" s="13" t="s">
        <v>13</v>
      </c>
      <c r="F28" s="93" t="s">
        <v>15</v>
      </c>
      <c r="G28" s="61"/>
      <c r="H28" s="10">
        <v>1</v>
      </c>
      <c r="I28" s="25"/>
      <c r="J28" s="60"/>
      <c r="K28" s="49"/>
      <c r="L28" s="8"/>
      <c r="M28" s="8"/>
      <c r="N28" s="8"/>
      <c r="O28" s="8"/>
      <c r="P28" s="155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spans="1:26" x14ac:dyDescent="0.2">
      <c r="A29" s="138"/>
      <c r="B29" s="139"/>
      <c r="C29" s="20"/>
      <c r="D29" s="13"/>
      <c r="E29" s="13" t="s">
        <v>16</v>
      </c>
      <c r="F29" s="93"/>
      <c r="G29" s="61"/>
      <c r="H29" s="29" t="str">
        <f>IF(H27="NSP","NSP",SUM(H27*H28))</f>
        <v>NSP</v>
      </c>
      <c r="I29" s="33" t="str">
        <f>+H29</f>
        <v>NSP</v>
      </c>
      <c r="J29" s="58" t="e">
        <f>+#REF!</f>
        <v>#REF!</v>
      </c>
      <c r="K29" s="52"/>
      <c r="L29" s="16"/>
      <c r="M29" s="16"/>
      <c r="N29" s="16"/>
      <c r="O29" s="16"/>
      <c r="P29" s="155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spans="1:26" x14ac:dyDescent="0.2">
      <c r="A30" s="140"/>
      <c r="B30" s="141"/>
      <c r="C30" s="22"/>
      <c r="D30" s="6"/>
      <c r="E30" s="6"/>
      <c r="F30" s="92"/>
      <c r="G30" s="11"/>
      <c r="H30" s="10"/>
      <c r="I30" s="25"/>
      <c r="J30" s="60"/>
      <c r="K30" s="50"/>
      <c r="L30" s="10"/>
      <c r="M30" s="10"/>
      <c r="N30" s="10"/>
      <c r="O30" s="10"/>
      <c r="P30" s="155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spans="1:26" x14ac:dyDescent="0.2">
      <c r="A31" s="140"/>
      <c r="B31" s="141"/>
      <c r="C31" s="22"/>
      <c r="D31" s="6"/>
      <c r="E31" s="6"/>
      <c r="F31" s="92"/>
      <c r="G31" s="11"/>
      <c r="H31" s="10"/>
      <c r="I31" s="25"/>
      <c r="J31" s="60"/>
      <c r="K31" s="50"/>
      <c r="L31" s="10"/>
      <c r="M31" s="10"/>
      <c r="N31" s="10"/>
      <c r="O31" s="10"/>
      <c r="P31" s="155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spans="1:26" x14ac:dyDescent="0.2">
      <c r="A32" s="134"/>
      <c r="B32" s="135"/>
      <c r="C32" s="31" t="s">
        <v>34</v>
      </c>
      <c r="D32" s="14"/>
      <c r="E32" s="14"/>
      <c r="F32" s="93"/>
      <c r="G32" s="87"/>
      <c r="H32" s="17"/>
      <c r="I32" s="25"/>
      <c r="J32" s="60"/>
      <c r="K32" s="53"/>
      <c r="L32" s="17"/>
      <c r="M32" s="17"/>
      <c r="N32" s="17"/>
      <c r="O32" s="17"/>
      <c r="P32" s="155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spans="1:26" x14ac:dyDescent="0.2">
      <c r="A33" s="125" t="s">
        <v>19</v>
      </c>
      <c r="B33" s="136" t="s">
        <v>9</v>
      </c>
      <c r="C33" s="20" t="s">
        <v>30</v>
      </c>
      <c r="D33" s="13"/>
      <c r="E33" s="13" t="s">
        <v>12</v>
      </c>
      <c r="F33" s="93"/>
      <c r="G33" s="61"/>
      <c r="H33" s="30">
        <v>0</v>
      </c>
      <c r="I33" s="33"/>
      <c r="J33" s="58"/>
      <c r="K33" s="54">
        <v>0</v>
      </c>
      <c r="L33" s="46"/>
      <c r="M33" s="46"/>
      <c r="N33" s="46"/>
      <c r="O33" s="46"/>
      <c r="P33" s="155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 spans="1:26" x14ac:dyDescent="0.2">
      <c r="A34" s="134"/>
      <c r="B34" s="135"/>
      <c r="C34" s="20" t="s">
        <v>2</v>
      </c>
      <c r="D34" s="13"/>
      <c r="E34" s="13" t="s">
        <v>13</v>
      </c>
      <c r="F34" s="93" t="s">
        <v>15</v>
      </c>
      <c r="G34" s="61"/>
      <c r="H34" s="10">
        <v>0</v>
      </c>
      <c r="I34" s="34"/>
      <c r="J34" s="59"/>
      <c r="K34" s="48">
        <v>27080</v>
      </c>
      <c r="L34" s="10"/>
      <c r="M34" s="10"/>
      <c r="N34" s="10"/>
      <c r="O34" s="10"/>
      <c r="P34" s="155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 spans="1:26" x14ac:dyDescent="0.2">
      <c r="A35" s="134"/>
      <c r="B35" s="135"/>
      <c r="C35" s="20"/>
      <c r="D35" s="13"/>
      <c r="E35" s="13" t="s">
        <v>16</v>
      </c>
      <c r="F35" s="93"/>
      <c r="G35" s="61"/>
      <c r="H35" s="29">
        <f>IF(H33="NSP","NSP",SUM(H33*H34))</f>
        <v>0</v>
      </c>
      <c r="I35" s="33">
        <f>+H35</f>
        <v>0</v>
      </c>
      <c r="J35" s="58" t="e">
        <f>+#REF!</f>
        <v>#REF!</v>
      </c>
      <c r="K35" s="55">
        <f>IF(K33="NSP","NSP",SUM(K33*K34))</f>
        <v>0</v>
      </c>
      <c r="L35" s="29">
        <f>K35</f>
        <v>0</v>
      </c>
      <c r="M35" s="29"/>
      <c r="N35" s="29"/>
      <c r="O35" s="29"/>
      <c r="P35" s="155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 spans="1:26" x14ac:dyDescent="0.2">
      <c r="A36" s="125" t="s">
        <v>19</v>
      </c>
      <c r="B36" s="136" t="s">
        <v>11</v>
      </c>
      <c r="C36" s="20" t="s">
        <v>51</v>
      </c>
      <c r="D36" s="13"/>
      <c r="E36" s="13" t="s">
        <v>12</v>
      </c>
      <c r="F36" s="93"/>
      <c r="G36" s="61"/>
      <c r="H36" s="30">
        <v>0</v>
      </c>
      <c r="I36" s="33"/>
      <c r="J36" s="58"/>
      <c r="K36" s="54">
        <v>0</v>
      </c>
      <c r="L36" s="46"/>
      <c r="M36" s="46"/>
      <c r="N36" s="46"/>
      <c r="O36" s="46"/>
      <c r="P36" s="155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 spans="1:26" x14ac:dyDescent="0.2">
      <c r="A37" s="134"/>
      <c r="B37" s="135"/>
      <c r="C37" s="20" t="s">
        <v>2</v>
      </c>
      <c r="D37" s="13"/>
      <c r="E37" s="13" t="s">
        <v>13</v>
      </c>
      <c r="F37" s="93" t="s">
        <v>15</v>
      </c>
      <c r="G37" s="61"/>
      <c r="H37" s="10">
        <v>0</v>
      </c>
      <c r="I37" s="34"/>
      <c r="J37" s="59"/>
      <c r="K37" s="48">
        <v>12</v>
      </c>
      <c r="L37" s="10"/>
      <c r="M37" s="10"/>
      <c r="N37" s="10"/>
      <c r="O37" s="10"/>
      <c r="P37" s="155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 spans="1:26" x14ac:dyDescent="0.2">
      <c r="A38" s="134"/>
      <c r="B38" s="135"/>
      <c r="C38" s="20"/>
      <c r="D38" s="13"/>
      <c r="E38" s="13" t="s">
        <v>16</v>
      </c>
      <c r="F38" s="93"/>
      <c r="G38" s="61"/>
      <c r="H38" s="29">
        <f>IF(H36="NSP","NSP",SUM(H36*H37))</f>
        <v>0</v>
      </c>
      <c r="I38" s="33">
        <f>+H38</f>
        <v>0</v>
      </c>
      <c r="J38" s="58" t="e">
        <f>+#REF!</f>
        <v>#REF!</v>
      </c>
      <c r="K38" s="55">
        <f>IF(K36="NSP","NSP",SUM(K36*K37))</f>
        <v>0</v>
      </c>
      <c r="L38" s="29">
        <f>K38</f>
        <v>0</v>
      </c>
      <c r="M38" s="29"/>
      <c r="N38" s="29"/>
      <c r="O38" s="29"/>
      <c r="P38" s="155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spans="1:26" x14ac:dyDescent="0.2">
      <c r="A39" s="134"/>
      <c r="B39" s="135"/>
      <c r="C39" s="31" t="s">
        <v>46</v>
      </c>
      <c r="D39" s="14"/>
      <c r="E39" s="14"/>
      <c r="F39" s="93"/>
      <c r="G39" s="87"/>
      <c r="H39" s="17"/>
      <c r="I39" s="38"/>
      <c r="J39" s="107"/>
      <c r="K39" s="53"/>
      <c r="L39" s="17"/>
      <c r="M39" s="17"/>
      <c r="N39" s="17"/>
      <c r="O39" s="17"/>
      <c r="P39" s="155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 spans="1:26" x14ac:dyDescent="0.2">
      <c r="A40" s="125" t="s">
        <v>20</v>
      </c>
      <c r="B40" s="136" t="s">
        <v>9</v>
      </c>
      <c r="C40" s="20" t="s">
        <v>52</v>
      </c>
      <c r="D40" s="13"/>
      <c r="E40" s="13" t="s">
        <v>12</v>
      </c>
      <c r="F40" s="93"/>
      <c r="G40" s="61"/>
      <c r="H40" s="30">
        <v>0</v>
      </c>
      <c r="I40" s="38"/>
      <c r="J40" s="107"/>
      <c r="K40" s="54">
        <v>0</v>
      </c>
      <c r="L40" s="46"/>
      <c r="M40" s="46"/>
      <c r="N40" s="46"/>
      <c r="O40" s="46"/>
      <c r="P40" s="155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 spans="1:26" x14ac:dyDescent="0.2">
      <c r="A41" s="140"/>
      <c r="B41" s="135"/>
      <c r="C41" s="20"/>
      <c r="D41" s="13"/>
      <c r="E41" s="13" t="s">
        <v>13</v>
      </c>
      <c r="F41" s="93" t="s">
        <v>15</v>
      </c>
      <c r="G41" s="61"/>
      <c r="H41" s="10">
        <v>0</v>
      </c>
      <c r="I41" s="38"/>
      <c r="J41" s="107"/>
      <c r="K41" s="48">
        <v>2</v>
      </c>
      <c r="L41" s="7"/>
      <c r="M41" s="7"/>
      <c r="N41" s="10"/>
      <c r="O41" s="10"/>
      <c r="P41" s="155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 spans="1:26" x14ac:dyDescent="0.2">
      <c r="A42" s="140"/>
      <c r="B42" s="135"/>
      <c r="C42" s="20"/>
      <c r="D42" s="13"/>
      <c r="E42" s="13" t="s">
        <v>16</v>
      </c>
      <c r="F42" s="93"/>
      <c r="G42" s="61"/>
      <c r="H42" s="29">
        <f>IF(H40="NSP","NSP",SUM(H40*H41))</f>
        <v>0</v>
      </c>
      <c r="I42" s="33">
        <f>+H42</f>
        <v>0</v>
      </c>
      <c r="J42" s="58" t="e">
        <f>+#REF!</f>
        <v>#REF!</v>
      </c>
      <c r="K42" s="55">
        <f>IF(K40="NSP","NSP",SUM(K40*K41))</f>
        <v>0</v>
      </c>
      <c r="L42" s="29">
        <f>K42</f>
        <v>0</v>
      </c>
      <c r="M42" s="29"/>
      <c r="N42" s="29"/>
      <c r="O42" s="29"/>
      <c r="P42" s="155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 spans="1:26" x14ac:dyDescent="0.2">
      <c r="A43" s="134"/>
      <c r="B43" s="135"/>
      <c r="C43" s="19"/>
      <c r="D43" s="13"/>
      <c r="E43" s="13"/>
      <c r="F43" s="93"/>
      <c r="G43" s="61"/>
      <c r="H43" s="29"/>
      <c r="I43" s="33"/>
      <c r="J43" s="58"/>
      <c r="K43" s="55"/>
      <c r="L43" s="29"/>
      <c r="M43" s="29"/>
      <c r="N43" s="29"/>
      <c r="O43" s="29"/>
      <c r="P43" s="155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spans="1:26" x14ac:dyDescent="0.2">
      <c r="A44" s="134"/>
      <c r="B44" s="135"/>
      <c r="C44" s="19"/>
      <c r="D44" s="13"/>
      <c r="E44" s="13"/>
      <c r="F44" s="93"/>
      <c r="G44" s="61"/>
      <c r="H44" s="29"/>
      <c r="I44" s="33"/>
      <c r="J44" s="58"/>
      <c r="K44" s="55"/>
      <c r="L44" s="29"/>
      <c r="M44" s="29"/>
      <c r="N44" s="29"/>
      <c r="O44" s="29"/>
      <c r="P44" s="155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spans="1:26" x14ac:dyDescent="0.2">
      <c r="A45" s="134"/>
      <c r="B45" s="135"/>
      <c r="C45" s="31" t="s">
        <v>26</v>
      </c>
      <c r="D45" s="13"/>
      <c r="E45" s="13"/>
      <c r="F45" s="93"/>
      <c r="G45" s="61"/>
      <c r="H45" s="28"/>
      <c r="I45" s="34"/>
      <c r="J45" s="59"/>
      <c r="K45" s="56"/>
      <c r="L45" s="15"/>
      <c r="M45" s="15"/>
      <c r="N45" s="15"/>
      <c r="O45" s="15"/>
      <c r="P45" s="155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spans="1:26" ht="12" customHeight="1" x14ac:dyDescent="0.2">
      <c r="A46" s="130" t="s">
        <v>20</v>
      </c>
      <c r="B46" s="137" t="s">
        <v>11</v>
      </c>
      <c r="C46" s="20" t="s">
        <v>49</v>
      </c>
      <c r="D46" s="13"/>
      <c r="E46" s="13" t="s">
        <v>12</v>
      </c>
      <c r="F46" s="93"/>
      <c r="G46" s="61"/>
      <c r="H46" s="9" t="s">
        <v>32</v>
      </c>
      <c r="I46" s="34"/>
      <c r="J46" s="59"/>
      <c r="K46" s="54">
        <v>0</v>
      </c>
      <c r="L46" s="46"/>
      <c r="M46" s="46"/>
      <c r="N46" s="118"/>
      <c r="O46" s="46"/>
      <c r="P46" s="155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spans="1:26" x14ac:dyDescent="0.2">
      <c r="A47" s="134"/>
      <c r="B47" s="135"/>
      <c r="C47" s="20"/>
      <c r="D47" s="13"/>
      <c r="E47" s="13" t="s">
        <v>13</v>
      </c>
      <c r="F47" s="93" t="s">
        <v>15</v>
      </c>
      <c r="G47" s="61"/>
      <c r="H47" s="8"/>
      <c r="I47" s="34"/>
      <c r="J47" s="59"/>
      <c r="K47" s="50">
        <v>1</v>
      </c>
      <c r="L47" s="10"/>
      <c r="M47" s="10"/>
      <c r="N47" s="117"/>
      <c r="O47" s="10"/>
      <c r="P47" s="155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spans="1:26" x14ac:dyDescent="0.2">
      <c r="A48" s="134"/>
      <c r="B48" s="135"/>
      <c r="C48" s="20"/>
      <c r="D48" s="13"/>
      <c r="E48" s="13" t="s">
        <v>16</v>
      </c>
      <c r="F48" s="93"/>
      <c r="G48" s="61"/>
      <c r="H48" s="16"/>
      <c r="I48" s="25"/>
      <c r="J48" s="60"/>
      <c r="K48" s="55">
        <f>IF(K46="NSP","NSP",SUM(K46*K47))</f>
        <v>0</v>
      </c>
      <c r="L48" s="29"/>
      <c r="M48" s="29">
        <f>K48</f>
        <v>0</v>
      </c>
      <c r="N48" s="117"/>
      <c r="O48" s="29"/>
      <c r="P48" s="155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spans="1:26" x14ac:dyDescent="0.2">
      <c r="A49" s="134"/>
      <c r="B49" s="135"/>
      <c r="C49" s="19"/>
      <c r="D49" s="13"/>
      <c r="E49" s="13"/>
      <c r="F49" s="93"/>
      <c r="G49" s="61"/>
      <c r="H49" s="10"/>
      <c r="I49" s="33"/>
      <c r="J49" s="58"/>
      <c r="K49" s="56"/>
      <c r="L49" s="15"/>
      <c r="M49" s="15"/>
      <c r="N49" s="117"/>
      <c r="O49" s="15"/>
      <c r="P49" s="155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spans="1:26" ht="12" customHeight="1" x14ac:dyDescent="0.2">
      <c r="A50" s="130" t="s">
        <v>20</v>
      </c>
      <c r="B50" s="137" t="s">
        <v>19</v>
      </c>
      <c r="C50" s="20" t="s">
        <v>48</v>
      </c>
      <c r="D50" s="13"/>
      <c r="E50" s="13" t="s">
        <v>12</v>
      </c>
      <c r="F50" s="93"/>
      <c r="G50" s="61"/>
      <c r="H50" s="9" t="s">
        <v>32</v>
      </c>
      <c r="I50" s="34"/>
      <c r="J50" s="59"/>
      <c r="K50" s="54">
        <v>0</v>
      </c>
      <c r="L50" s="46"/>
      <c r="M50" s="46"/>
      <c r="N50" s="118"/>
      <c r="O50" s="46"/>
      <c r="P50" s="155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1:26" x14ac:dyDescent="0.2">
      <c r="A51" s="134"/>
      <c r="B51" s="135"/>
      <c r="C51" s="20"/>
      <c r="D51" s="13"/>
      <c r="E51" s="13" t="s">
        <v>13</v>
      </c>
      <c r="F51" s="93" t="s">
        <v>15</v>
      </c>
      <c r="G51" s="61"/>
      <c r="H51" s="8"/>
      <c r="I51" s="34"/>
      <c r="J51" s="59"/>
      <c r="K51" s="50">
        <v>1</v>
      </c>
      <c r="L51" s="10"/>
      <c r="M51" s="10"/>
      <c r="N51" s="117"/>
      <c r="O51" s="10"/>
      <c r="P51" s="155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1:26" x14ac:dyDescent="0.2">
      <c r="A52" s="134"/>
      <c r="B52" s="135"/>
      <c r="C52" s="20"/>
      <c r="D52" s="13"/>
      <c r="E52" s="13" t="s">
        <v>16</v>
      </c>
      <c r="F52" s="93"/>
      <c r="G52" s="61"/>
      <c r="H52" s="16"/>
      <c r="I52" s="25"/>
      <c r="J52" s="60"/>
      <c r="K52" s="55">
        <f>IF(K50="NSP","NSP",SUM(K50*K51))</f>
        <v>0</v>
      </c>
      <c r="L52" s="29"/>
      <c r="M52" s="29">
        <f>K52</f>
        <v>0</v>
      </c>
      <c r="N52" s="117"/>
      <c r="O52" s="29"/>
      <c r="P52" s="155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1:26" x14ac:dyDescent="0.2">
      <c r="A53" s="134"/>
      <c r="B53" s="135"/>
      <c r="C53" s="19"/>
      <c r="D53" s="13"/>
      <c r="E53" s="13"/>
      <c r="F53" s="93"/>
      <c r="G53" s="61"/>
      <c r="H53" s="10"/>
      <c r="I53" s="33"/>
      <c r="J53" s="58"/>
      <c r="K53" s="56"/>
      <c r="L53" s="15"/>
      <c r="M53" s="15"/>
      <c r="N53" s="117"/>
      <c r="O53" s="15"/>
      <c r="P53" s="155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spans="1:26" ht="12" customHeight="1" x14ac:dyDescent="0.2">
      <c r="A54" s="130" t="s">
        <v>20</v>
      </c>
      <c r="B54" s="137" t="s">
        <v>20</v>
      </c>
      <c r="C54" s="20" t="s">
        <v>2</v>
      </c>
      <c r="D54" s="13"/>
      <c r="E54" s="13" t="s">
        <v>12</v>
      </c>
      <c r="F54" s="93"/>
      <c r="G54" s="61"/>
      <c r="H54" s="9" t="s">
        <v>32</v>
      </c>
      <c r="I54" s="34"/>
      <c r="J54" s="59"/>
      <c r="K54" s="54">
        <v>0</v>
      </c>
      <c r="L54" s="46"/>
      <c r="M54" s="46"/>
      <c r="N54" s="118"/>
      <c r="O54" s="46"/>
      <c r="P54" s="155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spans="1:26" x14ac:dyDescent="0.2">
      <c r="A55" s="134"/>
      <c r="B55" s="135"/>
      <c r="C55" s="20"/>
      <c r="D55" s="13"/>
      <c r="E55" s="13" t="s">
        <v>13</v>
      </c>
      <c r="F55" s="93" t="s">
        <v>15</v>
      </c>
      <c r="G55" s="61"/>
      <c r="H55" s="8"/>
      <c r="I55" s="34"/>
      <c r="J55" s="59"/>
      <c r="K55" s="50">
        <v>0</v>
      </c>
      <c r="L55" s="10"/>
      <c r="M55" s="10"/>
      <c r="N55" s="117"/>
      <c r="O55" s="10"/>
      <c r="P55" s="155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spans="1:26" x14ac:dyDescent="0.2">
      <c r="A56" s="134"/>
      <c r="B56" s="135"/>
      <c r="C56" s="20"/>
      <c r="D56" s="13"/>
      <c r="E56" s="13" t="s">
        <v>16</v>
      </c>
      <c r="F56" s="93"/>
      <c r="G56" s="61"/>
      <c r="H56" s="16"/>
      <c r="I56" s="25"/>
      <c r="J56" s="60"/>
      <c r="K56" s="55">
        <f>IF(K54="NSP","NSP",SUM(K54*K55))</f>
        <v>0</v>
      </c>
      <c r="L56" s="29"/>
      <c r="M56" s="29">
        <f>K56</f>
        <v>0</v>
      </c>
      <c r="N56" s="117"/>
      <c r="O56" s="29"/>
      <c r="P56" s="155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spans="1:26" x14ac:dyDescent="0.2">
      <c r="A57" s="134"/>
      <c r="B57" s="135"/>
      <c r="C57" s="19"/>
      <c r="D57" s="13"/>
      <c r="E57" s="13"/>
      <c r="F57" s="93"/>
      <c r="G57" s="61"/>
      <c r="H57" s="10"/>
      <c r="I57" s="33"/>
      <c r="J57" s="58"/>
      <c r="K57" s="56"/>
      <c r="L57" s="15"/>
      <c r="M57" s="15"/>
      <c r="N57" s="117"/>
      <c r="O57" s="15"/>
      <c r="P57" s="155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spans="1:26" ht="12" customHeight="1" x14ac:dyDescent="0.2">
      <c r="A58" s="130" t="s">
        <v>20</v>
      </c>
      <c r="B58" s="137" t="s">
        <v>31</v>
      </c>
      <c r="C58" s="20" t="s">
        <v>2</v>
      </c>
      <c r="D58" s="13"/>
      <c r="E58" s="13" t="s">
        <v>12</v>
      </c>
      <c r="F58" s="93"/>
      <c r="G58" s="61"/>
      <c r="H58" s="9" t="s">
        <v>32</v>
      </c>
      <c r="I58" s="34"/>
      <c r="J58" s="59"/>
      <c r="K58" s="54">
        <v>0</v>
      </c>
      <c r="L58" s="46"/>
      <c r="M58" s="46"/>
      <c r="N58" s="118"/>
      <c r="O58" s="46"/>
      <c r="P58" s="155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spans="1:26" x14ac:dyDescent="0.2">
      <c r="A59" s="134"/>
      <c r="B59" s="135"/>
      <c r="C59" s="20"/>
      <c r="D59" s="13"/>
      <c r="E59" s="13" t="s">
        <v>13</v>
      </c>
      <c r="F59" s="93" t="s">
        <v>15</v>
      </c>
      <c r="G59" s="61"/>
      <c r="H59" s="8"/>
      <c r="I59" s="34"/>
      <c r="J59" s="59"/>
      <c r="K59" s="50">
        <v>0</v>
      </c>
      <c r="L59" s="10"/>
      <c r="M59" s="10"/>
      <c r="N59" s="117"/>
      <c r="O59" s="10"/>
      <c r="P59" s="155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spans="1:26" x14ac:dyDescent="0.2">
      <c r="A60" s="134"/>
      <c r="B60" s="135"/>
      <c r="C60" s="20"/>
      <c r="D60" s="13"/>
      <c r="E60" s="13" t="s">
        <v>16</v>
      </c>
      <c r="F60" s="93"/>
      <c r="G60" s="61"/>
      <c r="H60" s="16"/>
      <c r="I60" s="25"/>
      <c r="J60" s="60"/>
      <c r="K60" s="55">
        <f>IF(K58="NSP","NSP",SUM(K58*K59))</f>
        <v>0</v>
      </c>
      <c r="L60" s="29"/>
      <c r="M60" s="29">
        <f>K60</f>
        <v>0</v>
      </c>
      <c r="N60" s="117"/>
      <c r="O60" s="29"/>
      <c r="P60" s="155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spans="1:26" x14ac:dyDescent="0.2">
      <c r="A61" s="140"/>
      <c r="B61" s="141"/>
      <c r="C61" s="22"/>
      <c r="D61" s="6"/>
      <c r="E61" s="6"/>
      <c r="F61" s="92"/>
      <c r="G61" s="11"/>
      <c r="H61" s="10"/>
      <c r="I61" s="25"/>
      <c r="J61" s="60"/>
      <c r="K61" s="50"/>
      <c r="L61" s="10"/>
      <c r="M61" s="10"/>
      <c r="N61" s="10"/>
      <c r="O61" s="10"/>
      <c r="P61" s="155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1:26" x14ac:dyDescent="0.2">
      <c r="A62" s="134"/>
      <c r="B62" s="135"/>
      <c r="C62" s="19"/>
      <c r="D62" s="13"/>
      <c r="E62" s="13"/>
      <c r="F62" s="93"/>
      <c r="G62" s="61"/>
      <c r="H62" s="10"/>
      <c r="I62" s="33"/>
      <c r="J62" s="58"/>
      <c r="K62" s="56"/>
      <c r="L62" s="15"/>
      <c r="M62" s="15"/>
      <c r="N62" s="117"/>
      <c r="O62" s="15"/>
      <c r="P62" s="155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spans="1:26" x14ac:dyDescent="0.2">
      <c r="A63" s="140"/>
      <c r="B63" s="141"/>
      <c r="C63" s="22"/>
      <c r="D63" s="6"/>
      <c r="E63" s="6"/>
      <c r="F63" s="92"/>
      <c r="G63" s="11"/>
      <c r="H63" s="10"/>
      <c r="I63" s="25"/>
      <c r="J63" s="60"/>
      <c r="K63" s="50"/>
      <c r="L63" s="10"/>
      <c r="M63" s="10"/>
      <c r="N63" s="10"/>
      <c r="O63" s="10"/>
      <c r="P63" s="155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spans="1:26" x14ac:dyDescent="0.2">
      <c r="A64" s="134"/>
      <c r="B64" s="135"/>
      <c r="C64" s="31" t="s">
        <v>44</v>
      </c>
      <c r="D64" s="14"/>
      <c r="E64" s="14"/>
      <c r="F64" s="93"/>
      <c r="G64" s="87"/>
      <c r="H64" s="17"/>
      <c r="I64" s="38"/>
      <c r="J64" s="107"/>
      <c r="K64" s="53"/>
      <c r="L64" s="17"/>
      <c r="M64" s="17"/>
      <c r="N64" s="17"/>
      <c r="O64" s="17"/>
      <c r="P64" s="155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spans="1:26" x14ac:dyDescent="0.2">
      <c r="A65" s="125" t="s">
        <v>31</v>
      </c>
      <c r="B65" s="136" t="s">
        <v>9</v>
      </c>
      <c r="C65" s="20" t="s">
        <v>43</v>
      </c>
      <c r="D65" s="13"/>
      <c r="E65" s="13" t="s">
        <v>12</v>
      </c>
      <c r="F65" s="93"/>
      <c r="G65" s="61"/>
      <c r="H65" s="30">
        <v>0</v>
      </c>
      <c r="I65" s="38"/>
      <c r="J65" s="107"/>
      <c r="K65" s="54">
        <v>0</v>
      </c>
      <c r="L65" s="46"/>
      <c r="M65" s="46"/>
      <c r="N65" s="46"/>
      <c r="O65" s="46"/>
      <c r="P65" s="155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spans="1:26" x14ac:dyDescent="0.2">
      <c r="A66" s="140"/>
      <c r="B66" s="135"/>
      <c r="C66" s="20" t="s">
        <v>47</v>
      </c>
      <c r="D66" s="13"/>
      <c r="E66" s="13" t="s">
        <v>13</v>
      </c>
      <c r="F66" s="93" t="s">
        <v>15</v>
      </c>
      <c r="G66" s="61"/>
      <c r="H66" s="10">
        <v>0</v>
      </c>
      <c r="I66" s="38"/>
      <c r="J66" s="107"/>
      <c r="K66" s="48">
        <v>7</v>
      </c>
      <c r="L66" s="7"/>
      <c r="M66" s="7"/>
      <c r="N66" s="10"/>
      <c r="O66" s="10"/>
      <c r="P66" s="155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 spans="1:26" x14ac:dyDescent="0.2">
      <c r="A67" s="140"/>
      <c r="B67" s="135"/>
      <c r="C67" s="20"/>
      <c r="D67" s="13"/>
      <c r="E67" s="13" t="s">
        <v>16</v>
      </c>
      <c r="F67" s="93"/>
      <c r="G67" s="61"/>
      <c r="H67" s="29">
        <f>IF(H65="NSP","NSP",SUM(H65*H66))</f>
        <v>0</v>
      </c>
      <c r="I67" s="33">
        <f>+H67</f>
        <v>0</v>
      </c>
      <c r="J67" s="58" t="e">
        <f>+#REF!</f>
        <v>#REF!</v>
      </c>
      <c r="K67" s="55">
        <f>IF(K65="NSP","NSP",SUM(K65*K66))</f>
        <v>0</v>
      </c>
      <c r="L67" s="29">
        <f>K67</f>
        <v>0</v>
      </c>
      <c r="M67" s="29"/>
      <c r="N67" s="29"/>
      <c r="O67" s="29"/>
      <c r="P67" s="155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 spans="1:26" x14ac:dyDescent="0.2">
      <c r="A68" s="134"/>
      <c r="B68" s="135"/>
      <c r="C68" s="19"/>
      <c r="D68" s="13"/>
      <c r="E68" s="13"/>
      <c r="F68" s="93"/>
      <c r="G68" s="61"/>
      <c r="H68" s="29"/>
      <c r="I68" s="33"/>
      <c r="J68" s="58"/>
      <c r="K68" s="55"/>
      <c r="L68" s="29"/>
      <c r="M68" s="29"/>
      <c r="N68" s="29"/>
      <c r="O68" s="29"/>
      <c r="P68" s="155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 spans="1:26" x14ac:dyDescent="0.2">
      <c r="A69" s="134"/>
      <c r="B69" s="135"/>
      <c r="C69" s="19"/>
      <c r="D69" s="13"/>
      <c r="E69" s="13"/>
      <c r="F69" s="93"/>
      <c r="G69" s="61"/>
      <c r="H69" s="29"/>
      <c r="I69" s="33"/>
      <c r="J69" s="58"/>
      <c r="K69" s="55"/>
      <c r="L69" s="29"/>
      <c r="M69" s="29"/>
      <c r="N69" s="29"/>
      <c r="O69" s="29"/>
      <c r="P69" s="155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 spans="1:26" x14ac:dyDescent="0.2">
      <c r="A70" s="134"/>
      <c r="B70" s="135"/>
      <c r="C70" s="31" t="s">
        <v>26</v>
      </c>
      <c r="D70" s="13"/>
      <c r="E70" s="13"/>
      <c r="F70" s="93"/>
      <c r="G70" s="61"/>
      <c r="H70" s="28"/>
      <c r="I70" s="34"/>
      <c r="J70" s="59"/>
      <c r="K70" s="56"/>
      <c r="L70" s="15"/>
      <c r="M70" s="15"/>
      <c r="N70" s="15"/>
      <c r="O70" s="15"/>
      <c r="P70" s="155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spans="1:26" ht="12" customHeight="1" x14ac:dyDescent="0.2">
      <c r="A71" s="130" t="s">
        <v>31</v>
      </c>
      <c r="B71" s="137" t="s">
        <v>11</v>
      </c>
      <c r="C71" s="20" t="s">
        <v>50</v>
      </c>
      <c r="D71" s="13"/>
      <c r="E71" s="13" t="s">
        <v>12</v>
      </c>
      <c r="F71" s="93"/>
      <c r="G71" s="61"/>
      <c r="H71" s="9" t="s">
        <v>32</v>
      </c>
      <c r="I71" s="34"/>
      <c r="J71" s="59"/>
      <c r="K71" s="54">
        <v>0</v>
      </c>
      <c r="L71" s="46"/>
      <c r="M71" s="46"/>
      <c r="N71" s="118"/>
      <c r="O71" s="46"/>
      <c r="P71" s="155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 spans="1:26" x14ac:dyDescent="0.2">
      <c r="A72" s="134"/>
      <c r="B72" s="135"/>
      <c r="C72" s="20"/>
      <c r="D72" s="13"/>
      <c r="E72" s="13" t="s">
        <v>13</v>
      </c>
      <c r="F72" s="93" t="s">
        <v>15</v>
      </c>
      <c r="G72" s="61"/>
      <c r="H72" s="8"/>
      <c r="I72" s="34"/>
      <c r="J72" s="59"/>
      <c r="K72" s="50">
        <v>1</v>
      </c>
      <c r="L72" s="10"/>
      <c r="M72" s="10"/>
      <c r="N72" s="117"/>
      <c r="O72" s="10"/>
      <c r="P72" s="155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 spans="1:26" x14ac:dyDescent="0.2">
      <c r="A73" s="134"/>
      <c r="B73" s="135"/>
      <c r="C73" s="20"/>
      <c r="D73" s="13"/>
      <c r="E73" s="13" t="s">
        <v>16</v>
      </c>
      <c r="F73" s="93"/>
      <c r="G73" s="61"/>
      <c r="H73" s="16"/>
      <c r="I73" s="25"/>
      <c r="J73" s="60"/>
      <c r="K73" s="55">
        <f>IF(K71="NSP","NSP",SUM(K71*K72))</f>
        <v>0</v>
      </c>
      <c r="L73" s="29"/>
      <c r="M73" s="29">
        <f>K73</f>
        <v>0</v>
      </c>
      <c r="N73" s="117"/>
      <c r="O73" s="29"/>
      <c r="P73" s="155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spans="1:26" x14ac:dyDescent="0.2">
      <c r="A74" s="134" t="s">
        <v>2</v>
      </c>
      <c r="B74" s="135"/>
      <c r="C74" s="19"/>
      <c r="D74" s="13"/>
      <c r="E74" s="13"/>
      <c r="F74" s="93"/>
      <c r="G74" s="61"/>
      <c r="H74" s="10"/>
      <c r="I74" s="33"/>
      <c r="J74" s="58"/>
      <c r="K74" s="56"/>
      <c r="L74" s="15"/>
      <c r="M74" s="15"/>
      <c r="N74" s="117"/>
      <c r="O74" s="15"/>
      <c r="P74" s="155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 spans="1:26" ht="12" customHeight="1" x14ac:dyDescent="0.2">
      <c r="A75" s="130" t="s">
        <v>31</v>
      </c>
      <c r="B75" s="137" t="s">
        <v>19</v>
      </c>
      <c r="C75" s="20" t="s">
        <v>2</v>
      </c>
      <c r="D75" s="13"/>
      <c r="E75" s="13" t="s">
        <v>12</v>
      </c>
      <c r="F75" s="93"/>
      <c r="G75" s="61"/>
      <c r="H75" s="9" t="s">
        <v>32</v>
      </c>
      <c r="I75" s="34"/>
      <c r="J75" s="59"/>
      <c r="K75" s="54">
        <v>0</v>
      </c>
      <c r="L75" s="46"/>
      <c r="M75" s="46"/>
      <c r="N75" s="118"/>
      <c r="O75" s="46"/>
      <c r="P75" s="155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 spans="1:26" x14ac:dyDescent="0.2">
      <c r="A76" s="134"/>
      <c r="B76" s="135"/>
      <c r="C76" s="20"/>
      <c r="D76" s="13"/>
      <c r="E76" s="13" t="s">
        <v>13</v>
      </c>
      <c r="F76" s="93" t="s">
        <v>15</v>
      </c>
      <c r="G76" s="61"/>
      <c r="H76" s="8"/>
      <c r="I76" s="34"/>
      <c r="J76" s="59"/>
      <c r="K76" s="50">
        <v>0</v>
      </c>
      <c r="L76" s="10"/>
      <c r="M76" s="10"/>
      <c r="N76" s="117"/>
      <c r="O76" s="10"/>
      <c r="P76" s="155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spans="1:26" x14ac:dyDescent="0.2">
      <c r="A77" s="134"/>
      <c r="B77" s="135"/>
      <c r="C77" s="20"/>
      <c r="D77" s="13"/>
      <c r="E77" s="13" t="s">
        <v>16</v>
      </c>
      <c r="F77" s="93"/>
      <c r="G77" s="61"/>
      <c r="H77" s="16"/>
      <c r="I77" s="25"/>
      <c r="J77" s="60"/>
      <c r="K77" s="55">
        <f>IF(K75="NSP","NSP",SUM(K75*K76))</f>
        <v>0</v>
      </c>
      <c r="L77" s="29"/>
      <c r="M77" s="29">
        <f>K77</f>
        <v>0</v>
      </c>
      <c r="N77" s="117"/>
      <c r="O77" s="29"/>
      <c r="P77" s="155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spans="1:26" x14ac:dyDescent="0.2">
      <c r="A78" s="134"/>
      <c r="B78" s="135"/>
      <c r="C78" s="19"/>
      <c r="D78" s="13"/>
      <c r="E78" s="13"/>
      <c r="F78" s="93"/>
      <c r="G78" s="61"/>
      <c r="H78" s="10"/>
      <c r="I78" s="33"/>
      <c r="J78" s="58"/>
      <c r="K78" s="56"/>
      <c r="L78" s="15"/>
      <c r="M78" s="15"/>
      <c r="N78" s="117"/>
      <c r="O78" s="15"/>
      <c r="P78" s="155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 spans="1:26" ht="12" customHeight="1" x14ac:dyDescent="0.2">
      <c r="A79" s="130" t="s">
        <v>31</v>
      </c>
      <c r="B79" s="137" t="s">
        <v>20</v>
      </c>
      <c r="C79" s="20" t="s">
        <v>2</v>
      </c>
      <c r="D79" s="13"/>
      <c r="E79" s="13" t="s">
        <v>12</v>
      </c>
      <c r="F79" s="93"/>
      <c r="G79" s="61"/>
      <c r="H79" s="9" t="s">
        <v>32</v>
      </c>
      <c r="I79" s="34"/>
      <c r="J79" s="59"/>
      <c r="K79" s="54">
        <v>0</v>
      </c>
      <c r="L79" s="46"/>
      <c r="M79" s="46"/>
      <c r="N79" s="118"/>
      <c r="O79" s="46"/>
      <c r="P79" s="155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spans="1:26" x14ac:dyDescent="0.2">
      <c r="A80" s="134"/>
      <c r="B80" s="135"/>
      <c r="C80" s="20"/>
      <c r="D80" s="13"/>
      <c r="E80" s="13" t="s">
        <v>13</v>
      </c>
      <c r="F80" s="93" t="s">
        <v>15</v>
      </c>
      <c r="G80" s="61"/>
      <c r="H80" s="8"/>
      <c r="I80" s="34"/>
      <c r="J80" s="59"/>
      <c r="K80" s="50">
        <v>0</v>
      </c>
      <c r="L80" s="10"/>
      <c r="M80" s="10"/>
      <c r="N80" s="117"/>
      <c r="O80" s="10"/>
      <c r="P80" s="155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 spans="1:26" x14ac:dyDescent="0.2">
      <c r="A81" s="134"/>
      <c r="B81" s="135"/>
      <c r="C81" s="20"/>
      <c r="D81" s="13"/>
      <c r="E81" s="13" t="s">
        <v>16</v>
      </c>
      <c r="F81" s="93"/>
      <c r="G81" s="61"/>
      <c r="H81" s="16"/>
      <c r="I81" s="25"/>
      <c r="J81" s="60"/>
      <c r="K81" s="55">
        <f>IF(K79="NSP","NSP",SUM(K79*K80))</f>
        <v>0</v>
      </c>
      <c r="L81" s="29"/>
      <c r="M81" s="29">
        <f>K81</f>
        <v>0</v>
      </c>
      <c r="N81" s="117"/>
      <c r="O81" s="29"/>
      <c r="P81" s="155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 spans="1:26" x14ac:dyDescent="0.2">
      <c r="A82" s="134"/>
      <c r="B82" s="135"/>
      <c r="C82" s="19"/>
      <c r="D82" s="13"/>
      <c r="E82" s="13"/>
      <c r="F82" s="93"/>
      <c r="G82" s="61"/>
      <c r="H82" s="10"/>
      <c r="I82" s="33"/>
      <c r="J82" s="58"/>
      <c r="K82" s="56"/>
      <c r="L82" s="15"/>
      <c r="M82" s="15"/>
      <c r="N82" s="117"/>
      <c r="O82" s="15"/>
      <c r="P82" s="155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 spans="1:26" ht="12" customHeight="1" x14ac:dyDescent="0.2">
      <c r="A83" s="130" t="s">
        <v>31</v>
      </c>
      <c r="B83" s="137" t="s">
        <v>31</v>
      </c>
      <c r="C83" s="20" t="s">
        <v>2</v>
      </c>
      <c r="D83" s="13"/>
      <c r="E83" s="13" t="s">
        <v>12</v>
      </c>
      <c r="F83" s="93"/>
      <c r="G83" s="61"/>
      <c r="H83" s="9" t="s">
        <v>32</v>
      </c>
      <c r="I83" s="34"/>
      <c r="J83" s="59"/>
      <c r="K83" s="54">
        <v>0</v>
      </c>
      <c r="L83" s="46"/>
      <c r="M83" s="46"/>
      <c r="N83" s="118"/>
      <c r="O83" s="46"/>
      <c r="P83" s="155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 spans="1:26" x14ac:dyDescent="0.2">
      <c r="A84" s="134"/>
      <c r="B84" s="135"/>
      <c r="C84" s="20"/>
      <c r="D84" s="13"/>
      <c r="E84" s="13" t="s">
        <v>13</v>
      </c>
      <c r="F84" s="93" t="s">
        <v>15</v>
      </c>
      <c r="G84" s="61"/>
      <c r="H84" s="8"/>
      <c r="I84" s="34"/>
      <c r="J84" s="59"/>
      <c r="K84" s="50">
        <v>0</v>
      </c>
      <c r="L84" s="10"/>
      <c r="M84" s="10"/>
      <c r="N84" s="117"/>
      <c r="O84" s="10"/>
      <c r="P84" s="155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spans="1:26" x14ac:dyDescent="0.2">
      <c r="A85" s="134"/>
      <c r="B85" s="135"/>
      <c r="C85" s="20"/>
      <c r="D85" s="13"/>
      <c r="E85" s="13" t="s">
        <v>16</v>
      </c>
      <c r="F85" s="93"/>
      <c r="G85" s="61"/>
      <c r="H85" s="16"/>
      <c r="I85" s="25"/>
      <c r="J85" s="60"/>
      <c r="K85" s="55">
        <f>IF(K83="NSP","NSP",SUM(K83*K84))</f>
        <v>0</v>
      </c>
      <c r="L85" s="29"/>
      <c r="M85" s="29">
        <f>K85</f>
        <v>0</v>
      </c>
      <c r="N85" s="117"/>
      <c r="O85" s="29"/>
      <c r="P85" s="155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spans="1:26" x14ac:dyDescent="0.2">
      <c r="A86" s="140"/>
      <c r="B86" s="141"/>
      <c r="C86" s="22"/>
      <c r="D86" s="6"/>
      <c r="E86" s="6"/>
      <c r="F86" s="92"/>
      <c r="G86" s="11"/>
      <c r="H86" s="10"/>
      <c r="I86" s="25"/>
      <c r="J86" s="60"/>
      <c r="K86" s="50"/>
      <c r="L86" s="10"/>
      <c r="M86" s="10"/>
      <c r="N86" s="10"/>
      <c r="O86" s="10"/>
      <c r="P86" s="155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 spans="1:26" x14ac:dyDescent="0.2">
      <c r="A87" s="134"/>
      <c r="B87" s="135"/>
      <c r="C87" s="19"/>
      <c r="D87" s="13"/>
      <c r="E87" s="13"/>
      <c r="F87" s="93"/>
      <c r="G87" s="61"/>
      <c r="H87" s="10"/>
      <c r="I87" s="33"/>
      <c r="J87" s="58"/>
      <c r="K87" s="56"/>
      <c r="L87" s="15"/>
      <c r="M87" s="15"/>
      <c r="N87" s="117"/>
      <c r="O87" s="15"/>
      <c r="P87" s="155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 spans="1:26" x14ac:dyDescent="0.2">
      <c r="A88" s="140"/>
      <c r="B88" s="141"/>
      <c r="C88" s="22"/>
      <c r="D88" s="6"/>
      <c r="E88" s="6"/>
      <c r="F88" s="92"/>
      <c r="G88" s="11"/>
      <c r="H88" s="10"/>
      <c r="I88" s="25"/>
      <c r="J88" s="60"/>
      <c r="K88" s="50"/>
      <c r="L88" s="10"/>
      <c r="M88" s="10"/>
      <c r="N88" s="10"/>
      <c r="O88" s="10"/>
      <c r="P88" s="155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 spans="1:26" x14ac:dyDescent="0.2">
      <c r="A89" s="146"/>
      <c r="B89" s="147"/>
      <c r="C89" s="148"/>
      <c r="D89" s="149"/>
      <c r="E89" s="150"/>
      <c r="F89" s="217"/>
      <c r="G89" s="151"/>
      <c r="H89" s="152"/>
      <c r="I89" s="153"/>
      <c r="J89" s="153"/>
      <c r="K89" s="154"/>
      <c r="L89" s="152"/>
      <c r="M89" s="152"/>
      <c r="N89" s="152"/>
      <c r="O89" s="152"/>
      <c r="P89" s="155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 spans="1:26" x14ac:dyDescent="0.2">
      <c r="A90" s="156"/>
      <c r="B90" s="195"/>
      <c r="C90" s="196"/>
      <c r="D90" s="198"/>
      <c r="E90" s="161"/>
      <c r="F90" s="218"/>
      <c r="G90" s="197"/>
      <c r="H90" s="198" t="s">
        <v>38</v>
      </c>
      <c r="I90" s="145"/>
      <c r="J90" s="214"/>
      <c r="K90" s="198" t="s">
        <v>39</v>
      </c>
      <c r="L90" s="183"/>
      <c r="M90" s="183"/>
      <c r="N90" s="183"/>
      <c r="O90" s="183"/>
      <c r="P90" s="155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 spans="1:26" x14ac:dyDescent="0.2">
      <c r="A91" s="156"/>
      <c r="B91" s="144"/>
      <c r="C91" s="157"/>
      <c r="D91" s="198"/>
      <c r="E91" s="158"/>
      <c r="F91" s="219"/>
      <c r="G91" s="117"/>
      <c r="H91" s="199"/>
      <c r="I91" s="200"/>
      <c r="J91" s="200"/>
      <c r="K91" s="201">
        <f>SUM(L33:L88)</f>
        <v>0</v>
      </c>
      <c r="L91" s="202"/>
      <c r="M91" s="202"/>
      <c r="N91" s="160"/>
      <c r="O91" s="160"/>
      <c r="P91" s="155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 spans="1:26" x14ac:dyDescent="0.2">
      <c r="A92" s="156"/>
      <c r="B92" s="144"/>
      <c r="C92" s="158"/>
      <c r="D92" s="161"/>
      <c r="E92" s="158"/>
      <c r="F92" s="219"/>
      <c r="G92" s="117"/>
      <c r="H92" s="203"/>
      <c r="I92" s="204"/>
      <c r="J92" s="205"/>
      <c r="K92" s="206" t="s">
        <v>21</v>
      </c>
      <c r="L92" s="203"/>
      <c r="M92" s="203"/>
      <c r="N92" s="162"/>
      <c r="O92" s="162"/>
      <c r="P92" s="155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 spans="1:26" x14ac:dyDescent="0.2">
      <c r="A93" s="165"/>
      <c r="B93" s="144"/>
      <c r="C93" s="157"/>
      <c r="D93" s="158"/>
      <c r="E93" s="158" t="s">
        <v>2</v>
      </c>
      <c r="F93" s="219"/>
      <c r="G93" s="117"/>
      <c r="H93" s="202">
        <f>SUM(H35,H42,H67)</f>
        <v>0</v>
      </c>
      <c r="I93" s="205"/>
      <c r="J93" s="205"/>
      <c r="K93" s="201">
        <f>+K91*12</f>
        <v>0</v>
      </c>
      <c r="L93" s="202"/>
      <c r="M93" s="202"/>
      <c r="N93" s="160"/>
      <c r="O93" s="160"/>
      <c r="P93" s="155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 spans="1:26" x14ac:dyDescent="0.2">
      <c r="A94" s="165"/>
      <c r="B94" s="144"/>
      <c r="C94" s="157"/>
      <c r="D94" s="158"/>
      <c r="E94" s="166"/>
      <c r="F94" s="220"/>
      <c r="G94" s="117"/>
      <c r="H94" s="199"/>
      <c r="I94" s="205"/>
      <c r="J94" s="205"/>
      <c r="K94" s="207"/>
      <c r="L94" s="199"/>
      <c r="M94" s="199"/>
      <c r="N94" s="117"/>
      <c r="O94" s="117"/>
      <c r="P94" s="155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 spans="1:26" x14ac:dyDescent="0.2">
      <c r="A95" s="167"/>
      <c r="B95" s="168"/>
      <c r="C95" s="169"/>
      <c r="D95" s="158"/>
      <c r="E95" s="161"/>
      <c r="F95" s="218"/>
      <c r="G95" s="170"/>
      <c r="H95" s="208"/>
      <c r="I95" s="205"/>
      <c r="J95" s="205"/>
      <c r="K95" s="209" t="s">
        <v>40</v>
      </c>
      <c r="L95" s="210"/>
      <c r="M95" s="210"/>
      <c r="N95" s="171"/>
      <c r="O95" s="171"/>
      <c r="P95" s="155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 spans="1:26" x14ac:dyDescent="0.2">
      <c r="A96" s="156"/>
      <c r="B96" s="172"/>
      <c r="C96" s="172"/>
      <c r="D96" s="166"/>
      <c r="E96" s="172"/>
      <c r="F96" s="221"/>
      <c r="G96" s="172"/>
      <c r="H96" s="211"/>
      <c r="I96" s="211"/>
      <c r="J96" s="212"/>
      <c r="K96" s="202">
        <f>K46+K50+K54+K58+K71+K75</f>
        <v>0</v>
      </c>
      <c r="L96" s="202" t="s">
        <v>2</v>
      </c>
      <c r="M96" s="202" t="s">
        <v>2</v>
      </c>
      <c r="N96" s="160"/>
      <c r="O96" s="160"/>
      <c r="P96" s="155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spans="1:26" x14ac:dyDescent="0.2">
      <c r="A97" s="156"/>
      <c r="B97" s="172"/>
      <c r="C97" s="172"/>
      <c r="D97" s="172"/>
      <c r="E97" s="172"/>
      <c r="F97" s="221"/>
      <c r="G97" s="172"/>
      <c r="H97" s="211"/>
      <c r="I97" s="211"/>
      <c r="J97" s="205"/>
      <c r="K97" s="206" t="s">
        <v>21</v>
      </c>
      <c r="L97" s="203"/>
      <c r="M97" s="203"/>
      <c r="N97" s="162"/>
      <c r="O97" s="162"/>
      <c r="P97" s="155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spans="1:26" x14ac:dyDescent="0.2">
      <c r="A98" s="165"/>
      <c r="B98" s="172"/>
      <c r="C98" s="172"/>
      <c r="D98" s="172"/>
      <c r="E98" s="172"/>
      <c r="F98" s="221"/>
      <c r="G98" s="172"/>
      <c r="H98" s="211"/>
      <c r="I98" s="211"/>
      <c r="J98" s="205"/>
      <c r="K98" s="201">
        <f>+K96*12</f>
        <v>0</v>
      </c>
      <c r="L98" s="202"/>
      <c r="M98" s="202"/>
      <c r="N98" s="160"/>
      <c r="O98" s="160"/>
      <c r="P98" s="155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 spans="1:26" x14ac:dyDescent="0.2">
      <c r="A99" s="165"/>
      <c r="B99" s="172"/>
      <c r="C99" s="172"/>
      <c r="D99" s="172"/>
      <c r="E99" s="172"/>
      <c r="F99" s="221"/>
      <c r="G99" s="172"/>
      <c r="H99" s="211"/>
      <c r="I99" s="211"/>
      <c r="J99" s="213"/>
      <c r="K99" s="207"/>
      <c r="L99" s="199"/>
      <c r="M99" s="199"/>
      <c r="N99" s="117"/>
      <c r="O99" s="117"/>
      <c r="P99" s="155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 spans="1:26" x14ac:dyDescent="0.2">
      <c r="A100" s="165"/>
      <c r="B100" s="172"/>
      <c r="C100" s="172"/>
      <c r="D100" s="172"/>
      <c r="E100" s="172"/>
      <c r="F100" s="221"/>
      <c r="G100" s="172"/>
      <c r="H100" s="172"/>
      <c r="I100" s="172"/>
      <c r="J100" s="159"/>
      <c r="K100" s="215" t="s">
        <v>41</v>
      </c>
      <c r="L100" s="117"/>
      <c r="M100" s="117"/>
      <c r="N100" s="117"/>
      <c r="O100" s="117"/>
      <c r="P100" s="155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 spans="1:26" x14ac:dyDescent="0.2">
      <c r="A101" s="165"/>
      <c r="B101" s="172"/>
      <c r="C101" s="172"/>
      <c r="D101" s="172"/>
      <c r="E101" s="172"/>
      <c r="F101" s="221"/>
      <c r="G101" s="172"/>
      <c r="H101" s="172"/>
      <c r="I101" s="172"/>
      <c r="J101" s="143"/>
      <c r="K101" s="216">
        <f>K91+K96</f>
        <v>0</v>
      </c>
      <c r="L101" s="216" t="s">
        <v>2</v>
      </c>
      <c r="M101" s="216" t="s">
        <v>2</v>
      </c>
      <c r="N101" s="117"/>
      <c r="O101" s="117"/>
      <c r="P101" s="155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 spans="1:26" ht="13.5" x14ac:dyDescent="0.25">
      <c r="A102" s="173"/>
      <c r="B102" s="174"/>
      <c r="C102" s="175"/>
      <c r="D102" s="176"/>
      <c r="E102" s="175"/>
      <c r="F102" s="222"/>
      <c r="G102" s="175"/>
      <c r="H102" s="175"/>
      <c r="I102" s="163"/>
      <c r="J102" s="163"/>
      <c r="K102" s="223" t="s">
        <v>42</v>
      </c>
      <c r="L102" s="175"/>
      <c r="M102" s="175"/>
      <c r="N102" s="175"/>
      <c r="O102" s="175"/>
      <c r="P102" s="155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 spans="1:26" x14ac:dyDescent="0.2">
      <c r="A103" s="144"/>
      <c r="B103" s="144"/>
      <c r="C103" s="117"/>
      <c r="D103" s="117"/>
      <c r="E103" s="117"/>
      <c r="F103" s="117"/>
      <c r="G103" s="117"/>
      <c r="H103" s="117"/>
      <c r="I103" s="164"/>
      <c r="J103" s="164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 spans="1:26" x14ac:dyDescent="0.2">
      <c r="A104" s="144"/>
      <c r="B104" s="144"/>
      <c r="C104" s="117"/>
      <c r="D104" s="117"/>
      <c r="E104" s="117"/>
      <c r="F104" s="117"/>
      <c r="G104" s="117"/>
      <c r="H104" s="117"/>
      <c r="I104" s="164"/>
      <c r="J104" s="164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 spans="1:26" x14ac:dyDescent="0.2">
      <c r="A105" s="144"/>
      <c r="B105" s="144"/>
      <c r="C105" s="117"/>
      <c r="D105" s="117"/>
      <c r="E105" s="117"/>
      <c r="F105" s="117"/>
      <c r="G105" s="117"/>
      <c r="H105" s="117"/>
      <c r="I105" s="145"/>
      <c r="J105" s="145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 spans="1:26" x14ac:dyDescent="0.2">
      <c r="A106" s="144"/>
      <c r="B106" s="144"/>
      <c r="C106" s="117"/>
      <c r="D106" s="117"/>
      <c r="E106" s="117"/>
      <c r="F106" s="117"/>
      <c r="G106" s="117"/>
      <c r="H106" s="117"/>
      <c r="I106" s="159"/>
      <c r="J106" s="159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 spans="1:26" x14ac:dyDescent="0.2">
      <c r="A107" s="144"/>
      <c r="B107" s="144"/>
      <c r="C107" s="117"/>
      <c r="D107" s="117"/>
      <c r="E107" s="117"/>
      <c r="F107" s="117"/>
      <c r="G107" s="117"/>
      <c r="H107" s="117"/>
      <c r="I107" s="164"/>
      <c r="J107" s="164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 spans="1:26" x14ac:dyDescent="0.2">
      <c r="A108" s="144"/>
      <c r="B108" s="144"/>
      <c r="C108" s="117"/>
      <c r="D108" s="117"/>
      <c r="E108" s="117"/>
      <c r="F108" s="117"/>
      <c r="G108" s="117"/>
      <c r="H108" s="117"/>
      <c r="I108" s="164"/>
      <c r="J108" s="164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spans="1:26" x14ac:dyDescent="0.2">
      <c r="A109" s="144"/>
      <c r="B109" s="144"/>
      <c r="C109" s="117"/>
      <c r="D109" s="117"/>
      <c r="E109" s="117"/>
      <c r="F109" s="117"/>
      <c r="G109" s="117"/>
      <c r="H109" s="117"/>
      <c r="I109" s="164"/>
      <c r="J109" s="164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 spans="1:26" x14ac:dyDescent="0.2">
      <c r="A110" s="144"/>
      <c r="B110" s="144"/>
      <c r="C110" s="117"/>
      <c r="D110" s="117"/>
      <c r="E110" s="117"/>
      <c r="F110" s="117"/>
      <c r="G110" s="117"/>
      <c r="H110" s="117"/>
      <c r="I110" s="145"/>
      <c r="J110" s="145"/>
      <c r="K110" s="117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 spans="1:26" x14ac:dyDescent="0.2">
      <c r="A111" s="144"/>
      <c r="B111" s="144"/>
      <c r="C111" s="117"/>
      <c r="D111" s="117"/>
      <c r="E111" s="117"/>
      <c r="F111" s="117"/>
      <c r="G111" s="117"/>
      <c r="H111" s="117"/>
      <c r="I111" s="159"/>
      <c r="J111" s="159"/>
      <c r="K111" s="117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 spans="1:26" x14ac:dyDescent="0.2">
      <c r="A112" s="144"/>
      <c r="B112" s="144"/>
      <c r="C112" s="117"/>
      <c r="D112" s="117"/>
      <c r="E112" s="117"/>
      <c r="F112" s="117"/>
      <c r="G112" s="117"/>
      <c r="H112" s="117"/>
      <c r="I112" s="164"/>
      <c r="J112" s="164"/>
      <c r="K112" s="117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 spans="1:26" x14ac:dyDescent="0.2">
      <c r="A113" s="144"/>
      <c r="B113" s="144"/>
      <c r="C113" s="117"/>
      <c r="D113" s="117"/>
      <c r="E113" s="117"/>
      <c r="F113" s="117"/>
      <c r="G113" s="117"/>
      <c r="H113" s="117"/>
      <c r="I113" s="164"/>
      <c r="J113" s="164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 spans="1:26" x14ac:dyDescent="0.2">
      <c r="A114" s="144"/>
      <c r="B114" s="144"/>
      <c r="C114" s="117"/>
      <c r="D114" s="117"/>
      <c r="E114" s="117"/>
      <c r="F114" s="117"/>
      <c r="G114" s="117"/>
      <c r="H114" s="117"/>
      <c r="I114" s="164"/>
      <c r="J114" s="164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 spans="1:26" x14ac:dyDescent="0.2">
      <c r="A115" s="144"/>
      <c r="B115" s="144"/>
      <c r="C115" s="117"/>
      <c r="D115" s="117"/>
      <c r="E115" s="117"/>
      <c r="F115" s="117"/>
      <c r="G115" s="117"/>
      <c r="H115" s="117"/>
      <c r="I115" s="145"/>
      <c r="J115" s="145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 spans="1:26" x14ac:dyDescent="0.2">
      <c r="A116" s="144"/>
      <c r="B116" s="144"/>
      <c r="C116" s="117"/>
      <c r="D116" s="117"/>
      <c r="E116" s="117"/>
      <c r="F116" s="117"/>
      <c r="G116" s="117"/>
      <c r="H116" s="117"/>
      <c r="I116" s="159"/>
      <c r="J116" s="159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 spans="1:26" x14ac:dyDescent="0.2">
      <c r="A117" s="144"/>
      <c r="B117" s="144"/>
      <c r="C117" s="117"/>
      <c r="D117" s="117"/>
      <c r="E117" s="117"/>
      <c r="F117" s="117"/>
      <c r="G117" s="117"/>
      <c r="H117" s="117"/>
      <c r="I117" s="159"/>
      <c r="J117" s="159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 spans="1:26" x14ac:dyDescent="0.2">
      <c r="A118" s="144"/>
      <c r="B118" s="144"/>
      <c r="C118" s="117"/>
      <c r="D118" s="117"/>
      <c r="E118" s="117"/>
      <c r="F118" s="117"/>
      <c r="G118" s="117"/>
      <c r="H118" s="117"/>
      <c r="I118" s="159"/>
      <c r="J118" s="159"/>
      <c r="K118" s="117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 spans="1:26" x14ac:dyDescent="0.2">
      <c r="A119" s="144"/>
      <c r="B119" s="144"/>
      <c r="C119" s="117"/>
      <c r="D119" s="117"/>
      <c r="E119" s="117"/>
      <c r="F119" s="117"/>
      <c r="G119" s="117"/>
      <c r="H119" s="117"/>
      <c r="I119" s="145"/>
      <c r="J119" s="145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 spans="1:26" x14ac:dyDescent="0.2">
      <c r="A120" s="144"/>
      <c r="B120" s="144"/>
      <c r="C120" s="117"/>
      <c r="D120" s="117"/>
      <c r="E120" s="117"/>
      <c r="F120" s="117"/>
      <c r="G120" s="117"/>
      <c r="H120" s="117"/>
      <c r="I120" s="145"/>
      <c r="J120" s="145"/>
      <c r="K120" s="117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spans="1:26" x14ac:dyDescent="0.2">
      <c r="A121" s="144"/>
      <c r="B121" s="144"/>
      <c r="C121" s="117"/>
      <c r="D121" s="117"/>
      <c r="E121" s="117"/>
      <c r="F121" s="117"/>
      <c r="G121" s="117"/>
      <c r="H121" s="117"/>
      <c r="I121" s="145"/>
      <c r="J121" s="145"/>
      <c r="K121" s="117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 spans="1:26" x14ac:dyDescent="0.2">
      <c r="A122" s="144"/>
      <c r="B122" s="144"/>
      <c r="C122" s="117"/>
      <c r="D122" s="117"/>
      <c r="E122" s="117"/>
      <c r="F122" s="117"/>
      <c r="G122" s="117"/>
      <c r="H122" s="117"/>
      <c r="I122" s="183"/>
      <c r="J122" s="183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spans="1:26" x14ac:dyDescent="0.2">
      <c r="A123" s="144"/>
      <c r="B123" s="144"/>
      <c r="C123" s="117"/>
      <c r="D123" s="117"/>
      <c r="E123" s="117"/>
      <c r="F123" s="117"/>
      <c r="G123" s="117"/>
      <c r="H123" s="117"/>
      <c r="I123" s="183"/>
      <c r="J123" s="183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 spans="1:26" x14ac:dyDescent="0.2">
      <c r="A124" s="144"/>
      <c r="B124" s="144"/>
      <c r="C124" s="117"/>
      <c r="D124" s="117"/>
      <c r="E124" s="117"/>
      <c r="F124" s="117"/>
      <c r="G124" s="117"/>
      <c r="H124" s="117"/>
      <c r="I124" s="183"/>
      <c r="J124" s="183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spans="1:26" x14ac:dyDescent="0.2">
      <c r="A125" s="144"/>
      <c r="B125" s="144"/>
      <c r="C125" s="117"/>
      <c r="D125" s="117"/>
      <c r="E125" s="117"/>
      <c r="F125" s="117"/>
      <c r="G125" s="117"/>
      <c r="H125" s="117"/>
      <c r="I125" s="183"/>
      <c r="J125" s="183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 spans="1:26" x14ac:dyDescent="0.2">
      <c r="A126" s="144"/>
      <c r="B126" s="144"/>
      <c r="C126" s="117"/>
      <c r="D126" s="117"/>
      <c r="E126" s="117"/>
      <c r="F126" s="117"/>
      <c r="G126" s="117"/>
      <c r="H126" s="117"/>
      <c r="I126" s="183"/>
      <c r="J126" s="183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 spans="1:26" x14ac:dyDescent="0.2">
      <c r="A127" s="144"/>
      <c r="B127" s="144"/>
      <c r="C127" s="117"/>
      <c r="D127" s="117"/>
      <c r="E127" s="117"/>
      <c r="F127" s="117"/>
      <c r="G127" s="117"/>
      <c r="H127" s="117"/>
      <c r="I127" s="183"/>
      <c r="J127" s="183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 spans="1:26" x14ac:dyDescent="0.2">
      <c r="A128" s="144"/>
      <c r="B128" s="144"/>
      <c r="C128" s="117"/>
      <c r="D128" s="117"/>
      <c r="E128" s="117"/>
      <c r="F128" s="117"/>
      <c r="G128" s="117"/>
      <c r="H128" s="117"/>
      <c r="I128" s="145"/>
      <c r="J128" s="145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 spans="1:26" x14ac:dyDescent="0.2">
      <c r="A129" s="144"/>
      <c r="B129" s="144"/>
      <c r="C129" s="117"/>
      <c r="D129" s="117"/>
      <c r="E129" s="117"/>
      <c r="F129" s="117"/>
      <c r="G129" s="117"/>
      <c r="H129" s="117"/>
      <c r="I129" s="184"/>
      <c r="J129" s="184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 spans="1:26" x14ac:dyDescent="0.2">
      <c r="A130" s="144"/>
      <c r="B130" s="144"/>
      <c r="C130" s="117"/>
      <c r="D130" s="117"/>
      <c r="E130" s="117"/>
      <c r="F130" s="117"/>
      <c r="G130" s="117"/>
      <c r="H130" s="117"/>
      <c r="I130" s="166"/>
      <c r="J130" s="166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 spans="1:26" x14ac:dyDescent="0.2">
      <c r="A131" s="144"/>
      <c r="B131" s="144"/>
      <c r="C131" s="117"/>
      <c r="D131" s="117"/>
      <c r="E131" s="117"/>
      <c r="F131" s="117"/>
      <c r="G131" s="117"/>
      <c r="H131" s="117"/>
      <c r="I131" s="166"/>
      <c r="J131" s="166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 spans="1:26" x14ac:dyDescent="0.2">
      <c r="A132" s="144"/>
      <c r="B132" s="144"/>
      <c r="C132" s="117"/>
      <c r="D132" s="117"/>
      <c r="E132" s="117"/>
      <c r="F132" s="117"/>
      <c r="G132" s="117"/>
      <c r="H132" s="117"/>
      <c r="I132" s="166"/>
      <c r="J132" s="166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 spans="1:26" x14ac:dyDescent="0.2">
      <c r="A133" s="144"/>
      <c r="B133" s="144"/>
      <c r="C133" s="117"/>
      <c r="D133" s="117"/>
      <c r="E133" s="117"/>
      <c r="F133" s="117"/>
      <c r="G133" s="117"/>
      <c r="H133" s="117"/>
      <c r="I133" s="166"/>
      <c r="J133" s="166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 spans="1:26" x14ac:dyDescent="0.2">
      <c r="A134" s="144"/>
      <c r="B134" s="144"/>
      <c r="C134" s="117"/>
      <c r="D134" s="117"/>
      <c r="E134" s="117"/>
      <c r="F134" s="117"/>
      <c r="G134" s="117"/>
      <c r="H134" s="117"/>
      <c r="I134" s="185"/>
      <c r="J134" s="185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 spans="1:26" x14ac:dyDescent="0.2">
      <c r="A135" s="144"/>
      <c r="B135" s="144"/>
      <c r="C135" s="117"/>
      <c r="D135" s="117"/>
      <c r="E135" s="117"/>
      <c r="F135" s="117"/>
      <c r="G135" s="117"/>
      <c r="H135" s="117"/>
      <c r="I135" s="185"/>
      <c r="J135" s="185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 spans="1:26" x14ac:dyDescent="0.2">
      <c r="A136" s="144"/>
      <c r="B136" s="144"/>
      <c r="C136" s="117"/>
      <c r="D136" s="117"/>
      <c r="E136" s="117"/>
      <c r="F136" s="117"/>
      <c r="G136" s="117"/>
      <c r="H136" s="117"/>
      <c r="I136" s="185"/>
      <c r="J136" s="185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 spans="1:26" x14ac:dyDescent="0.2">
      <c r="A137" s="144"/>
      <c r="B137" s="144"/>
      <c r="C137" s="117"/>
      <c r="D137" s="117"/>
      <c r="E137" s="117"/>
      <c r="F137" s="117"/>
      <c r="G137" s="117"/>
      <c r="H137" s="117"/>
      <c r="I137" s="185"/>
      <c r="J137" s="185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 spans="1:26" x14ac:dyDescent="0.2">
      <c r="A138" s="144"/>
      <c r="B138" s="144"/>
      <c r="C138" s="117"/>
      <c r="D138" s="117"/>
      <c r="E138" s="117"/>
      <c r="F138" s="117"/>
      <c r="G138" s="117"/>
      <c r="H138" s="117"/>
      <c r="I138" s="185"/>
      <c r="J138" s="185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 spans="1:26" x14ac:dyDescent="0.2">
      <c r="A139" s="144"/>
      <c r="B139" s="144"/>
      <c r="C139" s="117"/>
      <c r="D139" s="117"/>
      <c r="E139" s="117"/>
      <c r="F139" s="117"/>
      <c r="G139" s="117"/>
      <c r="H139" s="117"/>
      <c r="I139" s="185"/>
      <c r="J139" s="185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 spans="1:26" x14ac:dyDescent="0.2">
      <c r="A140" s="144"/>
      <c r="B140" s="144"/>
      <c r="C140" s="117"/>
      <c r="D140" s="117"/>
      <c r="E140" s="117"/>
      <c r="F140" s="117"/>
      <c r="G140" s="117"/>
      <c r="H140" s="117"/>
      <c r="I140" s="166"/>
      <c r="J140" s="166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 spans="1:26" x14ac:dyDescent="0.2">
      <c r="A141" s="144"/>
      <c r="B141" s="144"/>
      <c r="C141" s="117"/>
      <c r="D141" s="117"/>
      <c r="E141" s="117"/>
      <c r="F141" s="117"/>
      <c r="G141" s="117"/>
      <c r="H141" s="117"/>
      <c r="I141" s="185"/>
      <c r="J141" s="185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 spans="1:26" x14ac:dyDescent="0.2">
      <c r="A142" s="144"/>
      <c r="B142" s="144"/>
      <c r="C142" s="117"/>
      <c r="D142" s="117"/>
      <c r="E142" s="117"/>
      <c r="F142" s="117"/>
      <c r="G142" s="117"/>
      <c r="H142" s="117"/>
      <c r="I142" s="166"/>
      <c r="J142" s="166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 spans="1:26" x14ac:dyDescent="0.2">
      <c r="A143" s="144"/>
      <c r="B143" s="144"/>
      <c r="C143" s="117"/>
      <c r="D143" s="117"/>
      <c r="E143" s="117"/>
      <c r="F143" s="117"/>
      <c r="G143" s="117"/>
      <c r="H143" s="117"/>
      <c r="I143" s="166"/>
      <c r="J143" s="166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 spans="1:26" x14ac:dyDescent="0.2">
      <c r="A144" s="144"/>
      <c r="B144" s="144"/>
      <c r="C144" s="117"/>
      <c r="D144" s="117"/>
      <c r="E144" s="117"/>
      <c r="F144" s="117"/>
      <c r="G144" s="117"/>
      <c r="H144" s="117"/>
      <c r="I144" s="166"/>
      <c r="J144" s="166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 spans="1:26" x14ac:dyDescent="0.2">
      <c r="A145" s="144"/>
      <c r="B145" s="144"/>
      <c r="C145" s="117"/>
      <c r="D145" s="117"/>
      <c r="E145" s="117"/>
      <c r="F145" s="117"/>
      <c r="G145" s="117"/>
      <c r="H145" s="117"/>
      <c r="I145" s="166"/>
      <c r="J145" s="166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 spans="1:26" x14ac:dyDescent="0.2">
      <c r="A146" s="144"/>
      <c r="B146" s="144"/>
      <c r="C146" s="117"/>
      <c r="D146" s="117"/>
      <c r="E146" s="117"/>
      <c r="F146" s="117"/>
      <c r="G146" s="117"/>
      <c r="H146" s="117"/>
      <c r="I146" s="186"/>
      <c r="J146" s="186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 spans="1:26" x14ac:dyDescent="0.2">
      <c r="A147" s="144"/>
      <c r="B147" s="144"/>
      <c r="C147" s="117"/>
      <c r="D147" s="117"/>
      <c r="E147" s="117"/>
      <c r="F147" s="117"/>
      <c r="G147" s="117"/>
      <c r="H147" s="117"/>
      <c r="I147" s="186"/>
      <c r="J147" s="186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 spans="1:26" x14ac:dyDescent="0.2">
      <c r="A148" s="144"/>
      <c r="B148" s="144"/>
      <c r="C148" s="117"/>
      <c r="D148" s="117"/>
      <c r="E148" s="117"/>
      <c r="F148" s="117"/>
      <c r="G148" s="117"/>
      <c r="H148" s="117"/>
      <c r="I148" s="184"/>
      <c r="J148" s="184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 spans="1:26" x14ac:dyDescent="0.2">
      <c r="A149" s="144"/>
      <c r="B149" s="144"/>
      <c r="C149" s="117"/>
      <c r="D149" s="117"/>
      <c r="E149" s="117"/>
      <c r="F149" s="117"/>
      <c r="G149" s="117"/>
      <c r="H149" s="117"/>
      <c r="I149" s="166"/>
      <c r="J149" s="166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 spans="1:26" x14ac:dyDescent="0.2">
      <c r="A150" s="144"/>
      <c r="B150" s="144"/>
      <c r="C150" s="117"/>
      <c r="D150" s="117"/>
      <c r="E150" s="117"/>
      <c r="F150" s="117"/>
      <c r="G150" s="117"/>
      <c r="H150" s="117"/>
      <c r="I150" s="187"/>
      <c r="J150" s="18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 spans="1:26" x14ac:dyDescent="0.2">
      <c r="A151" s="144"/>
      <c r="B151" s="144"/>
      <c r="C151" s="117"/>
      <c r="D151" s="117"/>
      <c r="E151" s="117"/>
      <c r="F151" s="117"/>
      <c r="G151" s="117"/>
      <c r="H151" s="117"/>
      <c r="I151" s="188"/>
      <c r="J151" s="188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 spans="1:26" x14ac:dyDescent="0.2">
      <c r="A152" s="144"/>
      <c r="B152" s="144"/>
      <c r="C152" s="117"/>
      <c r="D152" s="117"/>
      <c r="E152" s="117"/>
      <c r="F152" s="117"/>
      <c r="G152" s="117"/>
      <c r="H152" s="117"/>
      <c r="I152" s="188"/>
      <c r="J152" s="188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 spans="1:26" x14ac:dyDescent="0.2">
      <c r="A153" s="144"/>
      <c r="B153" s="144"/>
      <c r="C153" s="117"/>
      <c r="D153" s="117"/>
      <c r="E153" s="117"/>
      <c r="F153" s="117"/>
      <c r="G153" s="117"/>
      <c r="H153" s="117"/>
      <c r="I153" s="188"/>
      <c r="J153" s="188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 spans="1:26" x14ac:dyDescent="0.2">
      <c r="A154" s="144"/>
      <c r="B154" s="144"/>
      <c r="C154" s="117"/>
      <c r="D154" s="117"/>
      <c r="E154" s="117"/>
      <c r="F154" s="117"/>
      <c r="G154" s="117"/>
      <c r="H154" s="117"/>
      <c r="I154" s="188"/>
      <c r="J154" s="188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 spans="1:26" x14ac:dyDescent="0.2">
      <c r="A155" s="144"/>
      <c r="B155" s="144"/>
      <c r="C155" s="117"/>
      <c r="D155" s="117"/>
      <c r="E155" s="117"/>
      <c r="F155" s="117"/>
      <c r="G155" s="117"/>
      <c r="H155" s="117"/>
      <c r="I155" s="188"/>
      <c r="J155" s="188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 spans="1:26" x14ac:dyDescent="0.2">
      <c r="A156" s="144"/>
      <c r="B156" s="144"/>
      <c r="C156" s="117"/>
      <c r="D156" s="117"/>
      <c r="E156" s="117"/>
      <c r="F156" s="117"/>
      <c r="G156" s="117"/>
      <c r="H156" s="117"/>
      <c r="I156" s="188"/>
      <c r="J156" s="188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 spans="1:26" x14ac:dyDescent="0.2">
      <c r="A157" s="144"/>
      <c r="B157" s="144"/>
      <c r="C157" s="117"/>
      <c r="D157" s="117"/>
      <c r="E157" s="117"/>
      <c r="F157" s="117"/>
      <c r="G157" s="117"/>
      <c r="H157" s="117"/>
      <c r="I157" s="188"/>
      <c r="J157" s="188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 spans="1:26" x14ac:dyDescent="0.2">
      <c r="A158" s="144"/>
      <c r="B158" s="144"/>
      <c r="C158" s="117"/>
      <c r="D158" s="117"/>
      <c r="E158" s="117"/>
      <c r="F158" s="117"/>
      <c r="G158" s="117"/>
      <c r="H158" s="117"/>
      <c r="I158" s="186"/>
      <c r="J158" s="186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 spans="1:26" x14ac:dyDescent="0.2">
      <c r="A159" s="144"/>
      <c r="B159" s="144"/>
      <c r="C159" s="117"/>
      <c r="D159" s="117"/>
      <c r="E159" s="117"/>
      <c r="F159" s="117"/>
      <c r="G159" s="117"/>
      <c r="H159" s="117"/>
      <c r="I159" s="186"/>
      <c r="J159" s="186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 spans="1:26" x14ac:dyDescent="0.2">
      <c r="A160" s="144"/>
      <c r="B160" s="144"/>
      <c r="C160" s="117"/>
      <c r="D160" s="117"/>
      <c r="E160" s="117"/>
      <c r="F160" s="117"/>
      <c r="G160" s="117"/>
      <c r="H160" s="117"/>
      <c r="I160" s="184"/>
      <c r="J160" s="184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 spans="1:26" x14ac:dyDescent="0.2">
      <c r="A161" s="144"/>
      <c r="B161" s="144"/>
      <c r="C161" s="117"/>
      <c r="D161" s="117"/>
      <c r="E161" s="117"/>
      <c r="F161" s="117"/>
      <c r="G161" s="117"/>
      <c r="H161" s="117"/>
      <c r="I161" s="166"/>
      <c r="J161" s="166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 spans="1:26" x14ac:dyDescent="0.2">
      <c r="A162" s="144"/>
      <c r="B162" s="144"/>
      <c r="C162" s="117"/>
      <c r="D162" s="117"/>
      <c r="E162" s="117"/>
      <c r="F162" s="117"/>
      <c r="G162" s="117"/>
      <c r="H162" s="117"/>
      <c r="I162" s="187"/>
      <c r="J162" s="18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 spans="1:26" x14ac:dyDescent="0.2">
      <c r="A163" s="144"/>
      <c r="B163" s="144"/>
      <c r="C163" s="117"/>
      <c r="D163" s="117"/>
      <c r="E163" s="117"/>
      <c r="F163" s="117"/>
      <c r="G163" s="117"/>
      <c r="H163" s="117"/>
      <c r="I163" s="188"/>
      <c r="J163" s="188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 spans="1:26" x14ac:dyDescent="0.2">
      <c r="A164" s="144"/>
      <c r="B164" s="144"/>
      <c r="C164" s="117"/>
      <c r="D164" s="117"/>
      <c r="E164" s="117"/>
      <c r="F164" s="117"/>
      <c r="G164" s="117"/>
      <c r="H164" s="117"/>
      <c r="I164" s="188"/>
      <c r="J164" s="188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 spans="1:26" x14ac:dyDescent="0.2">
      <c r="A165" s="144"/>
      <c r="B165" s="144"/>
      <c r="C165" s="117"/>
      <c r="D165" s="117"/>
      <c r="E165" s="117"/>
      <c r="F165" s="117"/>
      <c r="G165" s="117"/>
      <c r="H165" s="117"/>
      <c r="I165" s="188"/>
      <c r="J165" s="188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 spans="1:26" x14ac:dyDescent="0.2">
      <c r="A166" s="144"/>
      <c r="B166" s="144"/>
      <c r="C166" s="117"/>
      <c r="D166" s="117"/>
      <c r="E166" s="117"/>
      <c r="F166" s="117"/>
      <c r="G166" s="117"/>
      <c r="H166" s="117"/>
      <c r="I166" s="188"/>
      <c r="J166" s="188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 spans="1:26" x14ac:dyDescent="0.2">
      <c r="A167" s="144"/>
      <c r="B167" s="144"/>
      <c r="C167" s="117"/>
      <c r="D167" s="117"/>
      <c r="E167" s="117"/>
      <c r="F167" s="117"/>
      <c r="G167" s="117"/>
      <c r="H167" s="117"/>
      <c r="I167" s="188"/>
      <c r="J167" s="188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 spans="1:26" x14ac:dyDescent="0.2">
      <c r="A168" s="144"/>
      <c r="B168" s="144"/>
      <c r="C168" s="117"/>
      <c r="D168" s="117"/>
      <c r="E168" s="117"/>
      <c r="F168" s="117"/>
      <c r="G168" s="117"/>
      <c r="H168" s="117"/>
      <c r="I168" s="188"/>
      <c r="J168" s="188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 spans="1:26" x14ac:dyDescent="0.2">
      <c r="A169" s="144"/>
      <c r="B169" s="144"/>
      <c r="C169" s="117"/>
      <c r="D169" s="117"/>
      <c r="E169" s="117"/>
      <c r="F169" s="117"/>
      <c r="G169" s="117"/>
      <c r="H169" s="117"/>
      <c r="I169" s="186"/>
      <c r="J169" s="186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 spans="1:26" x14ac:dyDescent="0.2">
      <c r="A170" s="144"/>
      <c r="B170" s="144"/>
      <c r="C170" s="117"/>
      <c r="D170" s="117"/>
      <c r="E170" s="117"/>
      <c r="F170" s="117"/>
      <c r="G170" s="117"/>
      <c r="H170" s="117"/>
      <c r="I170" s="186"/>
      <c r="J170" s="186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 spans="1:26" x14ac:dyDescent="0.2">
      <c r="A171" s="144"/>
      <c r="B171" s="144"/>
      <c r="C171" s="117"/>
      <c r="D171" s="117"/>
      <c r="E171" s="117"/>
      <c r="F171" s="117"/>
      <c r="G171" s="117"/>
      <c r="H171" s="117"/>
      <c r="I171" s="145"/>
      <c r="J171" s="145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 spans="1:26" x14ac:dyDescent="0.2">
      <c r="A172" s="144"/>
      <c r="B172" s="144"/>
      <c r="C172" s="117"/>
      <c r="D172" s="117"/>
      <c r="E172" s="117"/>
      <c r="F172" s="117"/>
      <c r="G172" s="117"/>
      <c r="H172" s="117"/>
      <c r="I172" s="189"/>
      <c r="J172" s="189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 spans="1:26" x14ac:dyDescent="0.2">
      <c r="A173" s="144"/>
      <c r="B173" s="144"/>
      <c r="C173" s="117"/>
      <c r="D173" s="117"/>
      <c r="E173" s="117"/>
      <c r="F173" s="117"/>
      <c r="G173" s="117"/>
      <c r="H173" s="117"/>
      <c r="I173" s="189"/>
      <c r="J173" s="189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 spans="1:26" x14ac:dyDescent="0.2">
      <c r="A174" s="144"/>
      <c r="B174" s="144"/>
      <c r="C174" s="117"/>
      <c r="D174" s="117"/>
      <c r="E174" s="117"/>
      <c r="F174" s="117"/>
      <c r="G174" s="117"/>
      <c r="H174" s="117"/>
      <c r="I174" s="190"/>
      <c r="J174" s="190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 spans="1:26" x14ac:dyDescent="0.2">
      <c r="A175" s="144"/>
      <c r="B175" s="144"/>
      <c r="C175" s="117"/>
      <c r="D175" s="117"/>
      <c r="E175" s="117"/>
      <c r="F175" s="117"/>
      <c r="G175" s="117"/>
      <c r="H175" s="117"/>
      <c r="I175" s="145"/>
      <c r="J175" s="145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spans="1:26" x14ac:dyDescent="0.2">
      <c r="A176" s="144"/>
      <c r="B176" s="144"/>
      <c r="C176" s="117"/>
      <c r="D176" s="117"/>
      <c r="E176" s="117"/>
      <c r="F176" s="117"/>
      <c r="G176" s="117"/>
      <c r="H176" s="117"/>
      <c r="I176" s="145"/>
      <c r="J176" s="145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spans="1:26" x14ac:dyDescent="0.2">
      <c r="A177" s="144"/>
      <c r="B177" s="144"/>
      <c r="C177" s="117"/>
      <c r="D177" s="117"/>
      <c r="E177" s="117"/>
      <c r="F177" s="117"/>
      <c r="G177" s="117"/>
      <c r="H177" s="117"/>
      <c r="I177" s="145"/>
      <c r="J177" s="145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spans="1:26" x14ac:dyDescent="0.2">
      <c r="A178" s="144"/>
      <c r="B178" s="144"/>
      <c r="C178" s="117"/>
      <c r="D178" s="117"/>
      <c r="E178" s="117"/>
      <c r="F178" s="117"/>
      <c r="G178" s="117"/>
      <c r="H178" s="117"/>
      <c r="I178" s="145"/>
      <c r="J178" s="145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 spans="1:26" x14ac:dyDescent="0.2">
      <c r="A179" s="144"/>
      <c r="B179" s="144"/>
      <c r="C179" s="117"/>
      <c r="D179" s="117"/>
      <c r="E179" s="117"/>
      <c r="F179" s="117"/>
      <c r="G179" s="117"/>
      <c r="H179" s="117"/>
      <c r="I179" s="145"/>
      <c r="J179" s="145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 spans="1:26" x14ac:dyDescent="0.2">
      <c r="A180" s="144"/>
      <c r="B180" s="144"/>
      <c r="C180" s="117"/>
      <c r="D180" s="117"/>
      <c r="E180" s="117"/>
      <c r="F180" s="117"/>
      <c r="G180" s="117"/>
      <c r="H180" s="117"/>
      <c r="I180" s="145"/>
      <c r="J180" s="145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 spans="1:26" x14ac:dyDescent="0.2">
      <c r="A181" s="144"/>
      <c r="B181" s="144"/>
      <c r="C181" s="117"/>
      <c r="D181" s="117"/>
      <c r="E181" s="117"/>
      <c r="F181" s="117"/>
      <c r="G181" s="117"/>
      <c r="H181" s="117"/>
      <c r="I181" s="145"/>
      <c r="J181" s="145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 spans="1:26" x14ac:dyDescent="0.2">
      <c r="A182" s="144"/>
      <c r="B182" s="144"/>
      <c r="C182" s="117"/>
      <c r="D182" s="117"/>
      <c r="E182" s="117"/>
      <c r="F182" s="117"/>
      <c r="G182" s="117"/>
      <c r="H182" s="117"/>
      <c r="I182" s="145"/>
      <c r="J182" s="145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 spans="1:26" x14ac:dyDescent="0.2">
      <c r="A183" s="144"/>
      <c r="B183" s="144"/>
      <c r="C183" s="117"/>
      <c r="D183" s="117"/>
      <c r="E183" s="117"/>
      <c r="F183" s="117"/>
      <c r="G183" s="117"/>
      <c r="H183" s="117"/>
      <c r="I183" s="145"/>
      <c r="J183" s="145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 spans="1:26" x14ac:dyDescent="0.2">
      <c r="A184" s="144"/>
      <c r="B184" s="144"/>
      <c r="C184" s="117"/>
      <c r="D184" s="117"/>
      <c r="E184" s="117"/>
      <c r="F184" s="117"/>
      <c r="G184" s="117"/>
      <c r="H184" s="117"/>
      <c r="I184" s="145"/>
      <c r="J184" s="145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 spans="1:26" x14ac:dyDescent="0.2">
      <c r="A185" s="144"/>
      <c r="B185" s="144"/>
      <c r="C185" s="117"/>
      <c r="D185" s="117"/>
      <c r="E185" s="117"/>
      <c r="F185" s="117"/>
      <c r="G185" s="117"/>
      <c r="H185" s="117"/>
      <c r="I185" s="145"/>
      <c r="J185" s="145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 spans="1:26" x14ac:dyDescent="0.2">
      <c r="A186" s="144"/>
      <c r="B186" s="144"/>
      <c r="C186" s="117"/>
      <c r="D186" s="117"/>
      <c r="E186" s="117"/>
      <c r="F186" s="117"/>
      <c r="G186" s="117"/>
      <c r="H186" s="117"/>
      <c r="I186" s="145"/>
      <c r="J186" s="145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 spans="1:26" x14ac:dyDescent="0.2">
      <c r="A187" s="144"/>
      <c r="B187" s="144"/>
      <c r="C187" s="117"/>
      <c r="D187" s="117"/>
      <c r="E187" s="117"/>
      <c r="F187" s="117"/>
      <c r="G187" s="117"/>
      <c r="H187" s="117"/>
      <c r="I187" s="145"/>
      <c r="J187" s="145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 spans="1:26" x14ac:dyDescent="0.2">
      <c r="A188" s="144"/>
      <c r="B188" s="144"/>
      <c r="C188" s="117"/>
      <c r="D188" s="117"/>
      <c r="E188" s="117"/>
      <c r="F188" s="117"/>
      <c r="G188" s="117"/>
      <c r="H188" s="117"/>
      <c r="I188" s="145"/>
      <c r="J188" s="145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 spans="1:26" x14ac:dyDescent="0.2">
      <c r="A189" s="144"/>
      <c r="B189" s="144"/>
      <c r="C189" s="117"/>
      <c r="D189" s="117"/>
      <c r="E189" s="117"/>
      <c r="F189" s="117"/>
      <c r="G189" s="117"/>
      <c r="H189" s="117"/>
      <c r="I189" s="145"/>
      <c r="J189" s="145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spans="1:26" x14ac:dyDescent="0.2">
      <c r="A190" s="144"/>
      <c r="B190" s="144"/>
      <c r="C190" s="117"/>
      <c r="D190" s="117"/>
      <c r="E190" s="117"/>
      <c r="F190" s="117"/>
      <c r="G190" s="117"/>
      <c r="H190" s="117"/>
      <c r="I190" s="145"/>
      <c r="J190" s="145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 spans="1:26" x14ac:dyDescent="0.2">
      <c r="A191" s="144"/>
      <c r="B191" s="144"/>
      <c r="C191" s="117"/>
      <c r="D191" s="117"/>
      <c r="E191" s="117"/>
      <c r="F191" s="117"/>
      <c r="G191" s="117"/>
      <c r="H191" s="117"/>
      <c r="I191" s="145"/>
      <c r="J191" s="145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 spans="1:26" x14ac:dyDescent="0.2">
      <c r="A192" s="144"/>
      <c r="B192" s="144"/>
      <c r="C192" s="117"/>
      <c r="D192" s="117"/>
      <c r="E192" s="117"/>
      <c r="F192" s="117"/>
      <c r="G192" s="117"/>
      <c r="H192" s="117"/>
      <c r="I192" s="145"/>
      <c r="J192" s="145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 spans="1:26" x14ac:dyDescent="0.2">
      <c r="A193" s="144"/>
      <c r="B193" s="144"/>
      <c r="C193" s="117"/>
      <c r="D193" s="117"/>
      <c r="E193" s="117"/>
      <c r="F193" s="117"/>
      <c r="G193" s="117"/>
      <c r="H193" s="117"/>
      <c r="I193" s="145"/>
      <c r="J193" s="145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 spans="1:26" x14ac:dyDescent="0.2">
      <c r="A194" s="144"/>
      <c r="B194" s="144"/>
      <c r="C194" s="117"/>
      <c r="D194" s="117"/>
      <c r="E194" s="117"/>
      <c r="F194" s="117"/>
      <c r="G194" s="117"/>
      <c r="H194" s="117"/>
      <c r="I194" s="145"/>
      <c r="J194" s="145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 spans="1:26" x14ac:dyDescent="0.2">
      <c r="A195" s="144"/>
      <c r="B195" s="144"/>
      <c r="C195" s="117"/>
      <c r="D195" s="117"/>
      <c r="E195" s="117"/>
      <c r="F195" s="117"/>
      <c r="G195" s="117"/>
      <c r="H195" s="117"/>
      <c r="I195" s="145"/>
      <c r="J195" s="145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 spans="1:26" x14ac:dyDescent="0.2">
      <c r="A196" s="144"/>
      <c r="B196" s="144"/>
      <c r="C196" s="117"/>
      <c r="D196" s="117"/>
      <c r="E196" s="117"/>
      <c r="F196" s="117"/>
      <c r="G196" s="117"/>
      <c r="H196" s="117"/>
      <c r="I196" s="145"/>
      <c r="J196" s="145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 spans="1:26" x14ac:dyDescent="0.2">
      <c r="A197" s="144"/>
      <c r="B197" s="144"/>
      <c r="C197" s="117"/>
      <c r="D197" s="117"/>
      <c r="E197" s="117"/>
      <c r="F197" s="117"/>
      <c r="G197" s="117"/>
      <c r="H197" s="117"/>
      <c r="I197" s="145"/>
      <c r="J197" s="145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 spans="1:26" x14ac:dyDescent="0.2">
      <c r="A198" s="144"/>
      <c r="B198" s="144"/>
      <c r="C198" s="117"/>
      <c r="D198" s="117"/>
      <c r="E198" s="117"/>
      <c r="F198" s="117"/>
      <c r="G198" s="117"/>
      <c r="H198" s="117"/>
      <c r="I198" s="145"/>
      <c r="J198" s="145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 spans="1:26" x14ac:dyDescent="0.2">
      <c r="A199" s="144"/>
      <c r="B199" s="144"/>
      <c r="C199" s="117"/>
      <c r="D199" s="117"/>
      <c r="E199" s="117"/>
      <c r="F199" s="117"/>
      <c r="G199" s="117"/>
      <c r="H199" s="117"/>
      <c r="I199" s="145"/>
      <c r="J199" s="145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 spans="1:26" x14ac:dyDescent="0.2">
      <c r="A200" s="144"/>
      <c r="B200" s="144"/>
      <c r="C200" s="117"/>
      <c r="D200" s="117"/>
      <c r="E200" s="117"/>
      <c r="F200" s="117"/>
      <c r="G200" s="117"/>
      <c r="H200" s="117"/>
      <c r="I200" s="145"/>
      <c r="J200" s="145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 spans="1:26" x14ac:dyDescent="0.2">
      <c r="A201" s="144"/>
      <c r="B201" s="144"/>
      <c r="C201" s="117"/>
      <c r="D201" s="117"/>
      <c r="E201" s="117"/>
      <c r="F201" s="117"/>
      <c r="G201" s="117"/>
      <c r="H201" s="117"/>
      <c r="I201" s="191"/>
      <c r="J201" s="191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 spans="1:26" x14ac:dyDescent="0.2">
      <c r="A202" s="144"/>
      <c r="B202" s="144"/>
      <c r="C202" s="117"/>
      <c r="D202" s="117"/>
      <c r="E202" s="117"/>
      <c r="F202" s="117"/>
      <c r="G202" s="117"/>
      <c r="H202" s="117"/>
      <c r="I202" s="192"/>
      <c r="J202" s="192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 spans="1:26" x14ac:dyDescent="0.2">
      <c r="A203" s="144"/>
      <c r="B203" s="144"/>
      <c r="C203" s="117"/>
      <c r="D203" s="117"/>
      <c r="E203" s="117"/>
      <c r="F203" s="117"/>
      <c r="G203" s="117"/>
      <c r="H203" s="117"/>
      <c r="I203" s="192"/>
      <c r="J203" s="192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 spans="1:26" x14ac:dyDescent="0.2">
      <c r="A204" s="144"/>
      <c r="B204" s="144"/>
      <c r="C204" s="117"/>
      <c r="D204" s="117"/>
      <c r="E204" s="117"/>
      <c r="F204" s="117"/>
      <c r="G204" s="117"/>
      <c r="H204" s="117"/>
      <c r="I204" s="192"/>
      <c r="J204" s="192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 spans="1:26" x14ac:dyDescent="0.2">
      <c r="A205" s="144"/>
      <c r="B205" s="144"/>
      <c r="C205" s="117"/>
      <c r="D205" s="117"/>
      <c r="E205" s="117"/>
      <c r="F205" s="117"/>
      <c r="G205" s="117"/>
      <c r="H205" s="117"/>
      <c r="I205" s="159"/>
      <c r="J205" s="159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 spans="1:26" x14ac:dyDescent="0.2">
      <c r="A206" s="144"/>
      <c r="B206" s="144"/>
      <c r="C206" s="117"/>
      <c r="D206" s="117"/>
      <c r="E206" s="117"/>
      <c r="F206" s="117"/>
      <c r="G206" s="117"/>
      <c r="H206" s="117"/>
      <c r="I206" s="192"/>
      <c r="J206" s="192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 spans="1:26" x14ac:dyDescent="0.2">
      <c r="A207" s="144"/>
      <c r="B207" s="144"/>
      <c r="C207" s="117"/>
      <c r="D207" s="117"/>
      <c r="E207" s="117"/>
      <c r="F207" s="117"/>
      <c r="G207" s="117"/>
      <c r="H207" s="117"/>
      <c r="I207" s="189"/>
      <c r="J207" s="189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 spans="1:26" x14ac:dyDescent="0.2">
      <c r="A208" s="144"/>
      <c r="B208" s="144"/>
      <c r="C208" s="117"/>
      <c r="D208" s="117"/>
      <c r="E208" s="117"/>
      <c r="F208" s="117"/>
      <c r="G208" s="117"/>
      <c r="H208" s="117"/>
      <c r="I208" s="189"/>
      <c r="J208" s="189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 spans="1:26" x14ac:dyDescent="0.2">
      <c r="A209" s="144"/>
      <c r="B209" s="144"/>
      <c r="C209" s="117"/>
      <c r="D209" s="117"/>
      <c r="E209" s="117"/>
      <c r="F209" s="117"/>
      <c r="G209" s="117"/>
      <c r="H209" s="117"/>
      <c r="I209" s="193"/>
      <c r="J209" s="193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 spans="1:26" x14ac:dyDescent="0.2">
      <c r="A210" s="144"/>
      <c r="B210" s="144"/>
      <c r="C210" s="117"/>
      <c r="D210" s="117"/>
      <c r="E210" s="117"/>
      <c r="F210" s="117"/>
      <c r="G210" s="117"/>
      <c r="H210" s="117"/>
      <c r="I210" s="189"/>
      <c r="J210" s="189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 spans="1:26" x14ac:dyDescent="0.2">
      <c r="A211" s="144"/>
      <c r="B211" s="144"/>
      <c r="C211" s="117"/>
      <c r="D211" s="117"/>
      <c r="E211" s="117"/>
      <c r="F211" s="117"/>
      <c r="G211" s="117"/>
      <c r="H211" s="117"/>
      <c r="I211" s="190"/>
      <c r="J211" s="190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 spans="1:26" x14ac:dyDescent="0.2">
      <c r="A212" s="144"/>
      <c r="B212" s="144"/>
      <c r="C212" s="117"/>
      <c r="D212" s="117"/>
      <c r="E212" s="117"/>
      <c r="F212" s="117"/>
      <c r="G212" s="117"/>
      <c r="H212" s="117"/>
      <c r="I212" s="194"/>
      <c r="J212" s="194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 spans="1:26" x14ac:dyDescent="0.2">
      <c r="A213" s="144"/>
      <c r="B213" s="144"/>
      <c r="C213" s="117"/>
      <c r="D213" s="117"/>
      <c r="E213" s="117"/>
      <c r="F213" s="117"/>
      <c r="G213" s="117"/>
      <c r="H213" s="117"/>
      <c r="I213" s="194"/>
      <c r="J213" s="194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 spans="1:26" x14ac:dyDescent="0.2">
      <c r="A214" s="144"/>
      <c r="B214" s="144"/>
      <c r="C214" s="117"/>
      <c r="D214" s="117"/>
      <c r="E214" s="117"/>
      <c r="F214" s="117"/>
      <c r="G214" s="117"/>
      <c r="H214" s="117"/>
      <c r="I214" s="194"/>
      <c r="J214" s="194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 spans="1:26" x14ac:dyDescent="0.2">
      <c r="A215" s="144"/>
      <c r="B215" s="144"/>
      <c r="C215" s="117"/>
      <c r="D215" s="117"/>
      <c r="E215" s="117"/>
      <c r="F215" s="117"/>
      <c r="G215" s="117"/>
      <c r="H215" s="117"/>
      <c r="I215" s="194"/>
      <c r="J215" s="194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spans="1:26" x14ac:dyDescent="0.2">
      <c r="A216" s="144"/>
      <c r="B216" s="144"/>
      <c r="C216" s="117"/>
      <c r="D216" s="117"/>
      <c r="E216" s="117"/>
      <c r="F216" s="117"/>
      <c r="G216" s="117"/>
      <c r="H216" s="117"/>
      <c r="I216" s="145"/>
      <c r="J216" s="145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 spans="1:26" x14ac:dyDescent="0.2">
      <c r="A217" s="144"/>
      <c r="B217" s="144"/>
      <c r="C217" s="117"/>
      <c r="D217" s="117"/>
      <c r="E217" s="117"/>
      <c r="F217" s="117"/>
      <c r="G217" s="117"/>
      <c r="H217" s="117"/>
      <c r="I217" s="145"/>
      <c r="J217" s="145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 spans="1:26" x14ac:dyDescent="0.2">
      <c r="A218" s="144"/>
      <c r="B218" s="144"/>
      <c r="C218" s="117"/>
      <c r="D218" s="117"/>
      <c r="E218" s="117"/>
      <c r="F218" s="117"/>
      <c r="G218" s="117"/>
      <c r="H218" s="117"/>
      <c r="I218" s="145"/>
      <c r="J218" s="145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 spans="1:26" x14ac:dyDescent="0.2">
      <c r="A219" s="144"/>
      <c r="B219" s="144"/>
      <c r="C219" s="117"/>
      <c r="D219" s="117"/>
      <c r="E219" s="117"/>
      <c r="F219" s="117"/>
      <c r="G219" s="117"/>
      <c r="H219" s="117"/>
      <c r="I219" s="145"/>
      <c r="J219" s="145"/>
      <c r="K219" s="117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 spans="1:26" x14ac:dyDescent="0.2">
      <c r="A220" s="144"/>
      <c r="B220" s="144"/>
      <c r="C220" s="117"/>
      <c r="D220" s="117"/>
      <c r="E220" s="117"/>
      <c r="F220" s="117"/>
      <c r="G220" s="117"/>
      <c r="H220" s="117"/>
      <c r="I220" s="145"/>
      <c r="J220" s="145"/>
      <c r="K220" s="117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 spans="1:26" x14ac:dyDescent="0.2">
      <c r="A221" s="144"/>
      <c r="B221" s="144"/>
      <c r="C221" s="117"/>
      <c r="D221" s="117"/>
      <c r="E221" s="117"/>
      <c r="F221" s="117"/>
      <c r="G221" s="117"/>
      <c r="H221" s="117"/>
      <c r="I221" s="145"/>
      <c r="J221" s="145"/>
      <c r="K221" s="117"/>
      <c r="L221" s="117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</row>
    <row r="222" spans="1:26" x14ac:dyDescent="0.2">
      <c r="A222" s="144"/>
      <c r="B222" s="144"/>
      <c r="C222" s="117"/>
      <c r="D222" s="117"/>
      <c r="E222" s="117"/>
      <c r="F222" s="117"/>
      <c r="G222" s="117"/>
      <c r="H222" s="117"/>
      <c r="I222" s="145"/>
      <c r="J222" s="145"/>
      <c r="K222" s="117"/>
      <c r="L222" s="117"/>
      <c r="M222" s="117"/>
      <c r="N222" s="117"/>
      <c r="O222" s="117"/>
      <c r="P222" s="117"/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</row>
    <row r="223" spans="1:26" x14ac:dyDescent="0.2">
      <c r="A223" s="144"/>
      <c r="B223" s="144"/>
      <c r="C223" s="117"/>
      <c r="D223" s="117"/>
      <c r="E223" s="117"/>
      <c r="F223" s="117"/>
      <c r="G223" s="117"/>
      <c r="H223" s="117"/>
      <c r="I223" s="145"/>
      <c r="J223" s="145"/>
      <c r="K223" s="117"/>
      <c r="L223" s="117"/>
      <c r="M223" s="117"/>
      <c r="N223" s="117"/>
      <c r="O223" s="117"/>
      <c r="P223" s="117"/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</row>
    <row r="224" spans="1:26" x14ac:dyDescent="0.2">
      <c r="A224" s="144"/>
      <c r="B224" s="144"/>
      <c r="C224" s="117"/>
      <c r="D224" s="117"/>
      <c r="E224" s="117"/>
      <c r="F224" s="117"/>
      <c r="G224" s="117"/>
      <c r="H224" s="117"/>
      <c r="I224" s="145"/>
      <c r="J224" s="145"/>
      <c r="K224" s="117"/>
      <c r="L224" s="117"/>
      <c r="M224" s="117"/>
      <c r="N224" s="117"/>
      <c r="O224" s="117"/>
      <c r="P224" s="117"/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</row>
    <row r="225" spans="1:26" x14ac:dyDescent="0.2">
      <c r="A225" s="144"/>
      <c r="B225" s="144"/>
      <c r="C225" s="117"/>
      <c r="D225" s="117"/>
      <c r="E225" s="117"/>
      <c r="F225" s="117"/>
      <c r="G225" s="117"/>
      <c r="H225" s="117"/>
      <c r="I225" s="145"/>
      <c r="J225" s="145"/>
      <c r="K225" s="117"/>
      <c r="L225" s="117"/>
      <c r="M225" s="117"/>
      <c r="N225" s="117"/>
      <c r="O225" s="117"/>
      <c r="P225" s="117"/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</row>
    <row r="226" spans="1:26" x14ac:dyDescent="0.2">
      <c r="A226" s="144"/>
      <c r="B226" s="144"/>
      <c r="C226" s="117"/>
      <c r="D226" s="117"/>
      <c r="E226" s="117"/>
      <c r="F226" s="117"/>
      <c r="G226" s="117"/>
      <c r="H226" s="117"/>
      <c r="I226" s="145"/>
      <c r="J226" s="145"/>
      <c r="K226" s="117"/>
      <c r="L226" s="117"/>
      <c r="M226" s="117"/>
      <c r="N226" s="117"/>
      <c r="O226" s="117"/>
      <c r="P226" s="117"/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</row>
    <row r="227" spans="1:26" x14ac:dyDescent="0.2">
      <c r="A227" s="144"/>
      <c r="B227" s="144"/>
      <c r="C227" s="117"/>
      <c r="D227" s="117"/>
      <c r="E227" s="117"/>
      <c r="F227" s="117"/>
      <c r="G227" s="117"/>
      <c r="H227" s="117"/>
      <c r="I227" s="145"/>
      <c r="J227" s="145"/>
      <c r="K227" s="117"/>
      <c r="L227" s="117"/>
      <c r="M227" s="117"/>
      <c r="N227" s="117"/>
      <c r="O227" s="117"/>
      <c r="P227" s="117"/>
      <c r="Q227" s="117"/>
    </row>
    <row r="228" spans="1:26" x14ac:dyDescent="0.2">
      <c r="A228" s="144"/>
      <c r="B228" s="144"/>
      <c r="C228" s="117"/>
      <c r="D228" s="117"/>
      <c r="E228" s="117"/>
      <c r="F228" s="117"/>
      <c r="G228" s="117"/>
      <c r="H228" s="117"/>
      <c r="I228" s="145"/>
      <c r="J228" s="145"/>
      <c r="K228" s="117"/>
      <c r="L228" s="117"/>
      <c r="M228" s="117"/>
      <c r="N228" s="117"/>
      <c r="O228" s="117"/>
      <c r="P228" s="117"/>
      <c r="Q228" s="117"/>
    </row>
    <row r="229" spans="1:26" x14ac:dyDescent="0.2">
      <c r="A229" s="144"/>
      <c r="B229" s="144"/>
      <c r="C229" s="117"/>
      <c r="D229" s="117"/>
      <c r="E229" s="117"/>
      <c r="F229" s="117"/>
      <c r="G229" s="117"/>
      <c r="H229" s="117"/>
      <c r="I229" s="145"/>
      <c r="J229" s="145"/>
      <c r="K229" s="117"/>
      <c r="L229" s="117"/>
      <c r="M229" s="117"/>
      <c r="N229" s="117"/>
      <c r="O229" s="117"/>
      <c r="P229" s="117"/>
      <c r="Q229" s="117"/>
    </row>
    <row r="230" spans="1:26" x14ac:dyDescent="0.2">
      <c r="A230" s="144"/>
      <c r="B230" s="144"/>
      <c r="C230" s="117"/>
      <c r="D230" s="117"/>
      <c r="E230" s="117"/>
      <c r="F230" s="117"/>
      <c r="G230" s="117"/>
      <c r="H230" s="117"/>
      <c r="I230" s="145"/>
      <c r="J230" s="145"/>
      <c r="K230" s="117"/>
      <c r="L230" s="117"/>
      <c r="M230" s="117"/>
      <c r="N230" s="117"/>
      <c r="O230" s="117"/>
      <c r="P230" s="117"/>
      <c r="Q230" s="117"/>
    </row>
    <row r="231" spans="1:26" x14ac:dyDescent="0.2">
      <c r="A231" s="144"/>
      <c r="B231" s="144"/>
      <c r="C231" s="117"/>
      <c r="D231" s="117"/>
      <c r="E231" s="117"/>
      <c r="F231" s="117"/>
      <c r="G231" s="117"/>
      <c r="H231" s="117"/>
      <c r="I231" s="145"/>
      <c r="J231" s="145"/>
      <c r="K231" s="117"/>
      <c r="L231" s="117"/>
      <c r="M231" s="117"/>
      <c r="N231" s="117"/>
      <c r="O231" s="117"/>
      <c r="P231" s="117"/>
      <c r="Q231" s="117"/>
    </row>
    <row r="232" spans="1:26" x14ac:dyDescent="0.2">
      <c r="A232" s="144"/>
      <c r="B232" s="144"/>
      <c r="C232" s="117"/>
      <c r="D232" s="117"/>
      <c r="E232" s="117"/>
      <c r="F232" s="117"/>
      <c r="G232" s="117"/>
      <c r="H232" s="117"/>
      <c r="I232" s="145"/>
      <c r="J232" s="145"/>
      <c r="K232" s="117"/>
      <c r="L232" s="117"/>
      <c r="M232" s="117"/>
      <c r="N232" s="117"/>
      <c r="O232" s="117"/>
      <c r="P232" s="117"/>
      <c r="Q232" s="117"/>
    </row>
    <row r="233" spans="1:26" x14ac:dyDescent="0.2">
      <c r="A233" s="144"/>
      <c r="B233" s="144"/>
      <c r="C233" s="117"/>
      <c r="D233" s="117"/>
      <c r="E233" s="117"/>
      <c r="F233" s="117"/>
      <c r="G233" s="117"/>
      <c r="H233" s="117"/>
      <c r="I233" s="145"/>
      <c r="J233" s="145"/>
      <c r="K233" s="117"/>
      <c r="L233" s="117"/>
      <c r="M233" s="117"/>
      <c r="N233" s="117"/>
      <c r="O233" s="117"/>
      <c r="P233" s="117"/>
      <c r="Q233" s="117"/>
    </row>
    <row r="234" spans="1:26" x14ac:dyDescent="0.2">
      <c r="A234" s="144"/>
      <c r="B234" s="144"/>
      <c r="C234" s="117"/>
      <c r="D234" s="117"/>
      <c r="E234" s="117"/>
      <c r="F234" s="117"/>
      <c r="G234" s="117"/>
      <c r="H234" s="117"/>
      <c r="I234" s="145"/>
      <c r="J234" s="145"/>
      <c r="K234" s="117"/>
      <c r="L234" s="117"/>
      <c r="M234" s="117"/>
      <c r="N234" s="117"/>
      <c r="O234" s="117"/>
      <c r="P234" s="117"/>
      <c r="Q234" s="117"/>
    </row>
    <row r="235" spans="1:26" x14ac:dyDescent="0.2">
      <c r="A235" s="144"/>
      <c r="B235" s="144"/>
      <c r="C235" s="117"/>
      <c r="D235" s="117"/>
      <c r="E235" s="117"/>
      <c r="F235" s="117"/>
      <c r="G235" s="117"/>
      <c r="H235" s="117"/>
      <c r="I235" s="145"/>
      <c r="J235" s="145"/>
      <c r="K235" s="117"/>
      <c r="L235" s="117"/>
      <c r="M235" s="117"/>
      <c r="N235" s="117"/>
      <c r="O235" s="117"/>
      <c r="P235" s="117"/>
      <c r="Q235" s="117"/>
    </row>
    <row r="236" spans="1:26" x14ac:dyDescent="0.2">
      <c r="A236" s="144"/>
      <c r="B236" s="144"/>
      <c r="C236" s="117"/>
      <c r="D236" s="117"/>
      <c r="E236" s="117"/>
      <c r="F236" s="117"/>
      <c r="G236" s="117"/>
      <c r="H236" s="117"/>
      <c r="I236" s="145"/>
      <c r="J236" s="145"/>
      <c r="K236" s="117"/>
      <c r="L236" s="117"/>
      <c r="M236" s="117"/>
      <c r="N236" s="117"/>
      <c r="O236" s="117"/>
      <c r="P236" s="117"/>
      <c r="Q236" s="117"/>
    </row>
    <row r="237" spans="1:26" x14ac:dyDescent="0.2">
      <c r="A237" s="144"/>
      <c r="B237" s="144"/>
      <c r="C237" s="117"/>
      <c r="D237" s="117"/>
      <c r="E237" s="117"/>
      <c r="F237" s="117"/>
      <c r="G237" s="117"/>
      <c r="H237" s="117"/>
      <c r="I237" s="145"/>
      <c r="J237" s="145"/>
      <c r="K237" s="117"/>
      <c r="L237" s="117"/>
      <c r="M237" s="117"/>
      <c r="N237" s="117"/>
      <c r="O237" s="117"/>
      <c r="P237" s="117"/>
      <c r="Q237" s="117"/>
    </row>
    <row r="238" spans="1:26" x14ac:dyDescent="0.2">
      <c r="A238" s="144"/>
      <c r="B238" s="144"/>
      <c r="C238" s="117"/>
      <c r="D238" s="117"/>
      <c r="E238" s="117"/>
      <c r="F238" s="117"/>
      <c r="G238" s="117"/>
      <c r="H238" s="117"/>
      <c r="I238" s="145"/>
      <c r="J238" s="145"/>
      <c r="K238" s="117"/>
      <c r="L238" s="117"/>
      <c r="M238" s="117"/>
      <c r="N238" s="117"/>
      <c r="O238" s="117"/>
      <c r="P238" s="117"/>
      <c r="Q238" s="117"/>
    </row>
    <row r="239" spans="1:26" x14ac:dyDescent="0.2">
      <c r="A239" s="144"/>
      <c r="B239" s="144"/>
      <c r="C239" s="117"/>
      <c r="D239" s="117"/>
      <c r="E239" s="117"/>
      <c r="F239" s="117"/>
      <c r="G239" s="117"/>
      <c r="H239" s="117"/>
      <c r="I239" s="192"/>
      <c r="J239" s="192"/>
      <c r="K239" s="117"/>
      <c r="L239" s="117"/>
      <c r="M239" s="117"/>
      <c r="N239" s="117"/>
      <c r="O239" s="117"/>
      <c r="P239" s="117"/>
      <c r="Q239" s="117"/>
    </row>
    <row r="240" spans="1:26" x14ac:dyDescent="0.2">
      <c r="A240" s="144"/>
      <c r="B240" s="144"/>
      <c r="C240" s="117"/>
      <c r="D240" s="117"/>
      <c r="E240" s="117"/>
      <c r="F240" s="117"/>
      <c r="G240" s="117"/>
      <c r="H240" s="117"/>
      <c r="I240" s="192"/>
      <c r="J240" s="192"/>
      <c r="K240" s="117"/>
      <c r="L240" s="117"/>
      <c r="M240" s="117"/>
      <c r="N240" s="117"/>
      <c r="O240" s="117"/>
      <c r="P240" s="117"/>
      <c r="Q240" s="117"/>
    </row>
    <row r="241" spans="1:17" x14ac:dyDescent="0.2">
      <c r="A241" s="144"/>
      <c r="B241" s="144"/>
      <c r="C241" s="117"/>
      <c r="D241" s="117"/>
      <c r="E241" s="117"/>
      <c r="F241" s="117"/>
      <c r="G241" s="117"/>
      <c r="H241" s="117"/>
      <c r="I241" s="189"/>
      <c r="J241" s="189"/>
      <c r="K241" s="117"/>
      <c r="L241" s="117"/>
      <c r="M241" s="117"/>
      <c r="N241" s="117"/>
      <c r="O241" s="117"/>
      <c r="P241" s="117"/>
      <c r="Q241" s="117"/>
    </row>
    <row r="242" spans="1:17" x14ac:dyDescent="0.2">
      <c r="A242" s="144"/>
      <c r="B242" s="144"/>
      <c r="C242" s="117"/>
      <c r="D242" s="117"/>
      <c r="E242" s="117"/>
      <c r="F242" s="117"/>
      <c r="G242" s="117"/>
      <c r="H242" s="117"/>
      <c r="I242" s="189"/>
      <c r="J242" s="189"/>
      <c r="K242" s="117"/>
      <c r="L242" s="117"/>
      <c r="M242" s="117"/>
      <c r="N242" s="117"/>
      <c r="O242" s="117"/>
      <c r="P242" s="117"/>
      <c r="Q242" s="117"/>
    </row>
    <row r="243" spans="1:17" x14ac:dyDescent="0.2">
      <c r="A243" s="144"/>
      <c r="B243" s="144"/>
      <c r="C243" s="117"/>
      <c r="D243" s="117"/>
      <c r="E243" s="117"/>
      <c r="F243" s="117"/>
      <c r="G243" s="117"/>
      <c r="H243" s="117"/>
      <c r="I243" s="193"/>
      <c r="J243" s="193"/>
      <c r="K243" s="117"/>
      <c r="L243" s="117"/>
      <c r="M243" s="117"/>
      <c r="N243" s="117"/>
      <c r="O243" s="117"/>
      <c r="P243" s="117"/>
      <c r="Q243" s="117"/>
    </row>
    <row r="244" spans="1:17" x14ac:dyDescent="0.2">
      <c r="A244" s="144"/>
      <c r="B244" s="144"/>
      <c r="C244" s="117"/>
      <c r="D244" s="117"/>
      <c r="E244" s="117"/>
      <c r="F244" s="117"/>
      <c r="G244" s="117"/>
      <c r="H244" s="117"/>
      <c r="I244" s="189"/>
      <c r="J244" s="189"/>
      <c r="K244" s="117"/>
      <c r="L244" s="117"/>
      <c r="M244" s="117"/>
      <c r="N244" s="117"/>
      <c r="O244" s="117"/>
      <c r="P244" s="117"/>
      <c r="Q244" s="117"/>
    </row>
    <row r="245" spans="1:17" x14ac:dyDescent="0.2">
      <c r="A245" s="144"/>
      <c r="B245" s="144"/>
      <c r="C245" s="117"/>
      <c r="D245" s="117"/>
      <c r="E245" s="117"/>
      <c r="F245" s="117"/>
      <c r="G245" s="117"/>
      <c r="H245" s="117"/>
      <c r="I245" s="190"/>
      <c r="J245" s="190"/>
      <c r="K245" s="117"/>
      <c r="L245" s="117"/>
      <c r="M245" s="117"/>
      <c r="N245" s="117"/>
      <c r="O245" s="117"/>
      <c r="P245" s="117"/>
      <c r="Q245" s="117"/>
    </row>
    <row r="246" spans="1:17" x14ac:dyDescent="0.2">
      <c r="A246" s="144"/>
      <c r="B246" s="144"/>
      <c r="C246" s="117"/>
      <c r="D246" s="117"/>
      <c r="E246" s="117"/>
      <c r="F246" s="117"/>
      <c r="G246" s="117"/>
      <c r="H246" s="117"/>
      <c r="I246" s="194"/>
      <c r="J246" s="194"/>
      <c r="K246" s="117"/>
      <c r="L246" s="117"/>
      <c r="M246" s="117"/>
      <c r="N246" s="117"/>
      <c r="O246" s="117"/>
      <c r="P246" s="117"/>
      <c r="Q246" s="117"/>
    </row>
    <row r="247" spans="1:17" x14ac:dyDescent="0.2">
      <c r="A247" s="144"/>
      <c r="B247" s="144"/>
      <c r="C247" s="117"/>
      <c r="D247" s="117"/>
      <c r="E247" s="117"/>
      <c r="F247" s="117"/>
      <c r="G247" s="117"/>
      <c r="H247" s="117"/>
      <c r="I247" s="194"/>
      <c r="J247" s="194"/>
      <c r="K247" s="117"/>
      <c r="L247" s="117"/>
      <c r="M247" s="117"/>
      <c r="N247" s="117"/>
      <c r="O247" s="117"/>
      <c r="P247" s="117"/>
      <c r="Q247" s="117"/>
    </row>
    <row r="248" spans="1:17" x14ac:dyDescent="0.2">
      <c r="I248" s="43"/>
      <c r="J248" s="115"/>
    </row>
    <row r="249" spans="1:17" x14ac:dyDescent="0.2">
      <c r="I249" s="43"/>
      <c r="J249" s="115"/>
    </row>
    <row r="250" spans="1:17" x14ac:dyDescent="0.2">
      <c r="I250" s="25"/>
      <c r="J250" s="60"/>
    </row>
    <row r="251" spans="1:17" x14ac:dyDescent="0.2">
      <c r="I251" s="25"/>
      <c r="J251" s="60"/>
    </row>
    <row r="252" spans="1:17" x14ac:dyDescent="0.2">
      <c r="I252" s="25"/>
      <c r="J252" s="60"/>
    </row>
    <row r="253" spans="1:17" x14ac:dyDescent="0.2">
      <c r="I253" s="25"/>
      <c r="J253" s="60"/>
    </row>
    <row r="254" spans="1:17" x14ac:dyDescent="0.2">
      <c r="I254" s="25"/>
      <c r="J254" s="60"/>
    </row>
    <row r="255" spans="1:17" x14ac:dyDescent="0.2">
      <c r="I255" s="25"/>
      <c r="J255" s="60"/>
    </row>
    <row r="256" spans="1:17" x14ac:dyDescent="0.2">
      <c r="I256" s="25"/>
      <c r="J256" s="60"/>
    </row>
    <row r="257" spans="9:10" x14ac:dyDescent="0.2">
      <c r="I257" s="25"/>
      <c r="J257" s="60"/>
    </row>
    <row r="258" spans="9:10" x14ac:dyDescent="0.2">
      <c r="I258" s="25"/>
      <c r="J258" s="60"/>
    </row>
    <row r="259" spans="9:10" x14ac:dyDescent="0.2">
      <c r="I259" s="25"/>
      <c r="J259" s="60"/>
    </row>
    <row r="260" spans="9:10" x14ac:dyDescent="0.2">
      <c r="I260" s="25"/>
      <c r="J260" s="60"/>
    </row>
    <row r="261" spans="9:10" x14ac:dyDescent="0.2">
      <c r="I261" s="25"/>
      <c r="J261" s="60"/>
    </row>
    <row r="262" spans="9:10" x14ac:dyDescent="0.2">
      <c r="I262" s="25"/>
      <c r="J262" s="60"/>
    </row>
    <row r="263" spans="9:10" x14ac:dyDescent="0.2">
      <c r="I263" s="25"/>
      <c r="J263" s="60"/>
    </row>
    <row r="264" spans="9:10" x14ac:dyDescent="0.2">
      <c r="I264" s="25"/>
      <c r="J264" s="60"/>
    </row>
    <row r="265" spans="9:10" x14ac:dyDescent="0.2">
      <c r="I265" s="25"/>
      <c r="J265" s="60"/>
    </row>
    <row r="266" spans="9:10" x14ac:dyDescent="0.2">
      <c r="I266" s="25"/>
      <c r="J266" s="60"/>
    </row>
    <row r="267" spans="9:10" x14ac:dyDescent="0.2">
      <c r="I267" s="25"/>
      <c r="J267" s="60"/>
    </row>
    <row r="268" spans="9:10" x14ac:dyDescent="0.2">
      <c r="I268" s="25"/>
      <c r="J268" s="60"/>
    </row>
    <row r="269" spans="9:10" x14ac:dyDescent="0.2">
      <c r="I269" s="25"/>
      <c r="J269" s="60"/>
    </row>
    <row r="270" spans="9:10" x14ac:dyDescent="0.2">
      <c r="I270" s="25"/>
      <c r="J270" s="60"/>
    </row>
    <row r="271" spans="9:10" x14ac:dyDescent="0.2">
      <c r="I271" s="25"/>
      <c r="J271" s="60"/>
    </row>
    <row r="272" spans="9:10" x14ac:dyDescent="0.2">
      <c r="I272" s="25"/>
      <c r="J272" s="60"/>
    </row>
    <row r="274" spans="9:10" x14ac:dyDescent="0.2">
      <c r="I274" s="39"/>
      <c r="J274" s="109"/>
    </row>
    <row r="275" spans="9:10" x14ac:dyDescent="0.2">
      <c r="I275" s="39"/>
      <c r="J275" s="109"/>
    </row>
    <row r="276" spans="9:10" x14ac:dyDescent="0.2">
      <c r="I276" s="42"/>
      <c r="J276" s="114"/>
    </row>
    <row r="277" spans="9:10" x14ac:dyDescent="0.2">
      <c r="I277" s="39"/>
      <c r="J277" s="109"/>
    </row>
    <row r="278" spans="9:10" x14ac:dyDescent="0.2">
      <c r="I278" s="40"/>
      <c r="J278" s="112"/>
    </row>
    <row r="279" spans="9:10" x14ac:dyDescent="0.2">
      <c r="I279" s="43"/>
      <c r="J279" s="115"/>
    </row>
    <row r="280" spans="9:10" x14ac:dyDescent="0.2">
      <c r="I280" s="43"/>
      <c r="J280" s="115"/>
    </row>
    <row r="281" spans="9:10" x14ac:dyDescent="0.2">
      <c r="I281" s="43"/>
      <c r="J281" s="115"/>
    </row>
    <row r="282" spans="9:10" x14ac:dyDescent="0.2">
      <c r="I282" s="43"/>
      <c r="J282" s="115"/>
    </row>
    <row r="283" spans="9:10" x14ac:dyDescent="0.2">
      <c r="I283" s="25"/>
      <c r="J283" s="60"/>
    </row>
    <row r="284" spans="9:10" x14ac:dyDescent="0.2">
      <c r="I284" s="25"/>
      <c r="J284" s="60"/>
    </row>
    <row r="285" spans="9:10" x14ac:dyDescent="0.2">
      <c r="I285" s="25"/>
      <c r="J285" s="60"/>
    </row>
    <row r="286" spans="9:10" x14ac:dyDescent="0.2">
      <c r="I286" s="25"/>
      <c r="J286" s="60"/>
    </row>
    <row r="287" spans="9:10" x14ac:dyDescent="0.2">
      <c r="I287" s="25"/>
      <c r="J287" s="60"/>
    </row>
    <row r="288" spans="9:10" x14ac:dyDescent="0.2">
      <c r="I288" s="25"/>
      <c r="J288" s="60"/>
    </row>
    <row r="289" spans="9:10" x14ac:dyDescent="0.2">
      <c r="I289" s="25"/>
      <c r="J289" s="60"/>
    </row>
    <row r="290" spans="9:10" x14ac:dyDescent="0.2">
      <c r="I290" s="25"/>
      <c r="J290" s="60"/>
    </row>
    <row r="291" spans="9:10" x14ac:dyDescent="0.2">
      <c r="I291" s="25"/>
      <c r="J291" s="60"/>
    </row>
    <row r="292" spans="9:10" x14ac:dyDescent="0.2">
      <c r="I292" s="25"/>
      <c r="J292" s="60"/>
    </row>
    <row r="293" spans="9:10" x14ac:dyDescent="0.2">
      <c r="I293" s="25"/>
      <c r="J293" s="60"/>
    </row>
    <row r="294" spans="9:10" x14ac:dyDescent="0.2">
      <c r="I294" s="25"/>
      <c r="J294" s="60"/>
    </row>
    <row r="295" spans="9:10" x14ac:dyDescent="0.2">
      <c r="I295" s="25"/>
      <c r="J295" s="60"/>
    </row>
    <row r="296" spans="9:10" x14ac:dyDescent="0.2">
      <c r="I296" s="25"/>
      <c r="J296" s="60"/>
    </row>
    <row r="297" spans="9:10" x14ac:dyDescent="0.2">
      <c r="I297" s="25"/>
      <c r="J297" s="60"/>
    </row>
    <row r="298" spans="9:10" x14ac:dyDescent="0.2">
      <c r="I298" s="25"/>
      <c r="J298" s="60"/>
    </row>
    <row r="299" spans="9:10" x14ac:dyDescent="0.2">
      <c r="I299" s="25"/>
      <c r="J299" s="60"/>
    </row>
    <row r="300" spans="9:10" x14ac:dyDescent="0.2">
      <c r="I300" s="25"/>
      <c r="J300" s="60"/>
    </row>
    <row r="301" spans="9:10" x14ac:dyDescent="0.2">
      <c r="I301" s="25"/>
      <c r="J301" s="60"/>
    </row>
    <row r="302" spans="9:10" x14ac:dyDescent="0.2">
      <c r="I302" s="25"/>
      <c r="J302" s="60"/>
    </row>
    <row r="303" spans="9:10" x14ac:dyDescent="0.2">
      <c r="I303" s="25"/>
      <c r="J303" s="60"/>
    </row>
    <row r="304" spans="9:10" x14ac:dyDescent="0.2">
      <c r="I304" s="25"/>
      <c r="J304" s="60"/>
    </row>
    <row r="305" spans="9:10" x14ac:dyDescent="0.2">
      <c r="I305" s="25"/>
      <c r="J305" s="60"/>
    </row>
    <row r="307" spans="9:10" x14ac:dyDescent="0.2">
      <c r="I307" s="25"/>
      <c r="J307" s="60"/>
    </row>
    <row r="308" spans="9:10" x14ac:dyDescent="0.2">
      <c r="I308" s="25"/>
      <c r="J308" s="60"/>
    </row>
    <row r="309" spans="9:10" x14ac:dyDescent="0.2">
      <c r="I309" s="32"/>
      <c r="J309" s="17"/>
    </row>
    <row r="310" spans="9:10" x14ac:dyDescent="0.2">
      <c r="I310" s="32"/>
      <c r="J310" s="17"/>
    </row>
    <row r="311" spans="9:10" x14ac:dyDescent="0.2">
      <c r="I311" s="32"/>
      <c r="J311" s="17"/>
    </row>
    <row r="312" spans="9:10" x14ac:dyDescent="0.2">
      <c r="I312" s="32"/>
      <c r="J312" s="17"/>
    </row>
    <row r="313" spans="9:10" x14ac:dyDescent="0.2">
      <c r="I313" s="32"/>
      <c r="J313" s="17"/>
    </row>
    <row r="314" spans="9:10" x14ac:dyDescent="0.2">
      <c r="I314" s="32"/>
      <c r="J314" s="17"/>
    </row>
    <row r="315" spans="9:10" x14ac:dyDescent="0.2">
      <c r="I315" s="25"/>
      <c r="J315" s="60"/>
    </row>
    <row r="316" spans="9:10" x14ac:dyDescent="0.2">
      <c r="I316" s="23"/>
      <c r="J316" s="22"/>
    </row>
    <row r="317" spans="9:10" x14ac:dyDescent="0.2">
      <c r="I317" s="24"/>
      <c r="J317" s="18"/>
    </row>
    <row r="318" spans="9:10" x14ac:dyDescent="0.2">
      <c r="I318" s="24"/>
      <c r="J318" s="18"/>
    </row>
    <row r="319" spans="9:10" x14ac:dyDescent="0.2">
      <c r="I319" s="24"/>
      <c r="J319" s="18"/>
    </row>
    <row r="320" spans="9:10" x14ac:dyDescent="0.2">
      <c r="I320" s="24"/>
      <c r="J320" s="18"/>
    </row>
    <row r="321" spans="9:10" x14ac:dyDescent="0.2">
      <c r="I321" s="35"/>
      <c r="J321" s="111"/>
    </row>
    <row r="322" spans="9:10" x14ac:dyDescent="0.2">
      <c r="I322" s="35"/>
      <c r="J322" s="111"/>
    </row>
    <row r="323" spans="9:10" x14ac:dyDescent="0.2">
      <c r="I323" s="35"/>
      <c r="J323" s="111"/>
    </row>
    <row r="324" spans="9:10" x14ac:dyDescent="0.2">
      <c r="I324" s="35"/>
      <c r="J324" s="111"/>
    </row>
    <row r="325" spans="9:10" x14ac:dyDescent="0.2">
      <c r="I325" s="35"/>
      <c r="J325" s="111"/>
    </row>
    <row r="326" spans="9:10" x14ac:dyDescent="0.2">
      <c r="I326" s="35"/>
      <c r="J326" s="111"/>
    </row>
    <row r="327" spans="9:10" x14ac:dyDescent="0.2">
      <c r="I327" s="24"/>
      <c r="J327" s="18"/>
    </row>
    <row r="328" spans="9:10" x14ac:dyDescent="0.2">
      <c r="I328" s="35"/>
      <c r="J328" s="111"/>
    </row>
    <row r="329" spans="9:10" x14ac:dyDescent="0.2">
      <c r="I329" s="24"/>
      <c r="J329" s="18"/>
    </row>
    <row r="330" spans="9:10" x14ac:dyDescent="0.2">
      <c r="I330" s="24"/>
      <c r="J330" s="18"/>
    </row>
    <row r="331" spans="9:10" x14ac:dyDescent="0.2">
      <c r="I331" s="24"/>
      <c r="J331" s="18"/>
    </row>
    <row r="332" spans="9:10" x14ac:dyDescent="0.2">
      <c r="I332" s="24"/>
      <c r="J332" s="18"/>
    </row>
    <row r="333" spans="9:10" x14ac:dyDescent="0.2">
      <c r="I333" s="36"/>
      <c r="J333" s="108"/>
    </row>
    <row r="334" spans="9:10" x14ac:dyDescent="0.2">
      <c r="I334" s="36"/>
      <c r="J334" s="108"/>
    </row>
    <row r="335" spans="9:10" x14ac:dyDescent="0.2">
      <c r="I335" s="23"/>
      <c r="J335" s="22"/>
    </row>
    <row r="336" spans="9:10" x14ac:dyDescent="0.2">
      <c r="I336" s="24"/>
      <c r="J336" s="18"/>
    </row>
    <row r="337" spans="9:10" x14ac:dyDescent="0.2">
      <c r="I337" s="37"/>
      <c r="J337" s="106"/>
    </row>
    <row r="338" spans="9:10" x14ac:dyDescent="0.2">
      <c r="I338" s="38"/>
      <c r="J338" s="107"/>
    </row>
    <row r="339" spans="9:10" x14ac:dyDescent="0.2">
      <c r="I339" s="38"/>
      <c r="J339" s="107"/>
    </row>
    <row r="340" spans="9:10" x14ac:dyDescent="0.2">
      <c r="I340" s="38"/>
      <c r="J340" s="107"/>
    </row>
    <row r="341" spans="9:10" x14ac:dyDescent="0.2">
      <c r="I341" s="38"/>
      <c r="J341" s="107"/>
    </row>
    <row r="342" spans="9:10" x14ac:dyDescent="0.2">
      <c r="I342" s="38"/>
      <c r="J342" s="107"/>
    </row>
    <row r="343" spans="9:10" x14ac:dyDescent="0.2">
      <c r="I343" s="38"/>
      <c r="J343" s="107"/>
    </row>
    <row r="344" spans="9:10" x14ac:dyDescent="0.2">
      <c r="I344" s="38"/>
      <c r="J344" s="107"/>
    </row>
    <row r="345" spans="9:10" x14ac:dyDescent="0.2">
      <c r="I345" s="36"/>
      <c r="J345" s="108"/>
    </row>
    <row r="346" spans="9:10" x14ac:dyDescent="0.2">
      <c r="I346" s="36"/>
      <c r="J346" s="108"/>
    </row>
    <row r="347" spans="9:10" x14ac:dyDescent="0.2">
      <c r="I347" s="23"/>
      <c r="J347" s="22"/>
    </row>
    <row r="348" spans="9:10" x14ac:dyDescent="0.2">
      <c r="I348" s="24"/>
      <c r="J348" s="18"/>
    </row>
    <row r="349" spans="9:10" x14ac:dyDescent="0.2">
      <c r="I349" s="37"/>
      <c r="J349" s="106"/>
    </row>
    <row r="350" spans="9:10" x14ac:dyDescent="0.2">
      <c r="I350" s="38"/>
      <c r="J350" s="107"/>
    </row>
    <row r="351" spans="9:10" x14ac:dyDescent="0.2">
      <c r="I351" s="38"/>
      <c r="J351" s="107"/>
    </row>
    <row r="352" spans="9:10" x14ac:dyDescent="0.2">
      <c r="I352" s="38"/>
      <c r="J352" s="107"/>
    </row>
    <row r="353" spans="9:10" x14ac:dyDescent="0.2">
      <c r="I353" s="38"/>
      <c r="J353" s="107"/>
    </row>
    <row r="354" spans="9:10" x14ac:dyDescent="0.2">
      <c r="I354" s="38"/>
      <c r="J354" s="107"/>
    </row>
    <row r="355" spans="9:10" x14ac:dyDescent="0.2">
      <c r="I355" s="38"/>
      <c r="J355" s="107"/>
    </row>
    <row r="356" spans="9:10" x14ac:dyDescent="0.2">
      <c r="I356" s="36"/>
      <c r="J356" s="108"/>
    </row>
    <row r="357" spans="9:10" x14ac:dyDescent="0.2">
      <c r="I357" s="36"/>
      <c r="J357" s="108"/>
    </row>
    <row r="358" spans="9:10" x14ac:dyDescent="0.2">
      <c r="I358" s="25"/>
      <c r="J358" s="60"/>
    </row>
    <row r="359" spans="9:10" x14ac:dyDescent="0.2">
      <c r="I359" s="39"/>
      <c r="J359" s="109"/>
    </row>
    <row r="360" spans="9:10" x14ac:dyDescent="0.2">
      <c r="I360" s="39"/>
      <c r="J360" s="109"/>
    </row>
    <row r="361" spans="9:10" x14ac:dyDescent="0.2">
      <c r="I361" s="40"/>
      <c r="J361" s="112"/>
    </row>
    <row r="362" spans="9:10" x14ac:dyDescent="0.2">
      <c r="I362" s="25"/>
      <c r="J362" s="60"/>
    </row>
    <row r="363" spans="9:10" x14ac:dyDescent="0.2">
      <c r="I363" s="25"/>
      <c r="J363" s="60"/>
    </row>
    <row r="364" spans="9:10" x14ac:dyDescent="0.2">
      <c r="I364" s="25"/>
      <c r="J364" s="60"/>
    </row>
    <row r="365" spans="9:10" x14ac:dyDescent="0.2">
      <c r="I365" s="25"/>
      <c r="J365" s="60"/>
    </row>
    <row r="366" spans="9:10" x14ac:dyDescent="0.2">
      <c r="I366" s="25"/>
      <c r="J366" s="60"/>
    </row>
    <row r="367" spans="9:10" x14ac:dyDescent="0.2">
      <c r="I367" s="25"/>
      <c r="J367" s="60"/>
    </row>
    <row r="368" spans="9:10" x14ac:dyDescent="0.2">
      <c r="I368" s="25"/>
      <c r="J368" s="60"/>
    </row>
    <row r="369" spans="9:10" x14ac:dyDescent="0.2">
      <c r="I369" s="25"/>
      <c r="J369" s="60"/>
    </row>
    <row r="370" spans="9:10" x14ac:dyDescent="0.2">
      <c r="I370" s="25"/>
      <c r="J370" s="60"/>
    </row>
    <row r="371" spans="9:10" x14ac:dyDescent="0.2">
      <c r="I371" s="25"/>
      <c r="J371" s="60"/>
    </row>
    <row r="372" spans="9:10" x14ac:dyDescent="0.2">
      <c r="I372" s="25"/>
      <c r="J372" s="60"/>
    </row>
    <row r="373" spans="9:10" x14ac:dyDescent="0.2">
      <c r="I373" s="25"/>
      <c r="J373" s="60"/>
    </row>
    <row r="374" spans="9:10" x14ac:dyDescent="0.2">
      <c r="I374" s="25"/>
      <c r="J374" s="60"/>
    </row>
    <row r="375" spans="9:10" x14ac:dyDescent="0.2">
      <c r="I375" s="25"/>
      <c r="J375" s="60"/>
    </row>
    <row r="376" spans="9:10" x14ac:dyDescent="0.2">
      <c r="I376" s="25"/>
      <c r="J376" s="60"/>
    </row>
    <row r="377" spans="9:10" x14ac:dyDescent="0.2">
      <c r="I377" s="25"/>
      <c r="J377" s="60"/>
    </row>
    <row r="378" spans="9:10" x14ac:dyDescent="0.2">
      <c r="I378" s="25"/>
      <c r="J378" s="60"/>
    </row>
    <row r="379" spans="9:10" x14ac:dyDescent="0.2">
      <c r="I379" s="25"/>
      <c r="J379" s="60"/>
    </row>
    <row r="380" spans="9:10" x14ac:dyDescent="0.2">
      <c r="I380" s="25"/>
      <c r="J380" s="60"/>
    </row>
    <row r="381" spans="9:10" x14ac:dyDescent="0.2">
      <c r="I381" s="25"/>
      <c r="J381" s="60"/>
    </row>
    <row r="382" spans="9:10" x14ac:dyDescent="0.2">
      <c r="I382" s="25"/>
      <c r="J382" s="60"/>
    </row>
    <row r="383" spans="9:10" x14ac:dyDescent="0.2">
      <c r="I383" s="25"/>
      <c r="J383" s="60"/>
    </row>
    <row r="384" spans="9:10" x14ac:dyDescent="0.2">
      <c r="I384" s="25"/>
      <c r="J384" s="60"/>
    </row>
    <row r="385" spans="9:10" x14ac:dyDescent="0.2">
      <c r="I385" s="25"/>
      <c r="J385" s="60"/>
    </row>
    <row r="386" spans="9:10" x14ac:dyDescent="0.2">
      <c r="I386" s="25"/>
      <c r="J386" s="60"/>
    </row>
    <row r="387" spans="9:10" x14ac:dyDescent="0.2">
      <c r="I387" s="25"/>
      <c r="J387" s="60"/>
    </row>
    <row r="388" spans="9:10" x14ac:dyDescent="0.2">
      <c r="I388" s="44"/>
      <c r="J388" s="113"/>
    </row>
    <row r="392" spans="9:10" x14ac:dyDescent="0.2">
      <c r="I392" s="33"/>
      <c r="J392" s="58"/>
    </row>
    <row r="394" spans="9:10" x14ac:dyDescent="0.2">
      <c r="I394" s="39"/>
      <c r="J394" s="109"/>
    </row>
    <row r="395" spans="9:10" x14ac:dyDescent="0.2">
      <c r="I395" s="39"/>
      <c r="J395" s="109"/>
    </row>
    <row r="396" spans="9:10" x14ac:dyDescent="0.2">
      <c r="I396" s="42"/>
      <c r="J396" s="114"/>
    </row>
    <row r="397" spans="9:10" x14ac:dyDescent="0.2">
      <c r="I397" s="39"/>
      <c r="J397" s="109"/>
    </row>
    <row r="398" spans="9:10" x14ac:dyDescent="0.2">
      <c r="I398" s="40"/>
      <c r="J398" s="112"/>
    </row>
    <row r="399" spans="9:10" x14ac:dyDescent="0.2">
      <c r="I399" s="43"/>
      <c r="J399" s="115"/>
    </row>
    <row r="400" spans="9:10" x14ac:dyDescent="0.2">
      <c r="I400" s="43"/>
      <c r="J400" s="115"/>
    </row>
    <row r="401" spans="9:10" x14ac:dyDescent="0.2">
      <c r="I401" s="43"/>
      <c r="J401" s="115"/>
    </row>
    <row r="402" spans="9:10" x14ac:dyDescent="0.2">
      <c r="I402" s="43"/>
      <c r="J402" s="115"/>
    </row>
    <row r="403" spans="9:10" x14ac:dyDescent="0.2">
      <c r="I403" s="25"/>
      <c r="J403" s="60"/>
    </row>
    <row r="404" spans="9:10" x14ac:dyDescent="0.2">
      <c r="I404" s="25"/>
      <c r="J404" s="60"/>
    </row>
    <row r="405" spans="9:10" x14ac:dyDescent="0.2">
      <c r="I405" s="25"/>
      <c r="J405" s="60"/>
    </row>
    <row r="406" spans="9:10" x14ac:dyDescent="0.2">
      <c r="I406" s="25"/>
      <c r="J406" s="60"/>
    </row>
    <row r="407" spans="9:10" x14ac:dyDescent="0.2">
      <c r="I407" s="25"/>
      <c r="J407" s="60"/>
    </row>
    <row r="408" spans="9:10" x14ac:dyDescent="0.2">
      <c r="I408" s="25"/>
      <c r="J408" s="60"/>
    </row>
    <row r="409" spans="9:10" x14ac:dyDescent="0.2">
      <c r="I409" s="25"/>
      <c r="J409" s="60"/>
    </row>
    <row r="410" spans="9:10" x14ac:dyDescent="0.2">
      <c r="I410" s="25"/>
      <c r="J410" s="60"/>
    </row>
    <row r="411" spans="9:10" x14ac:dyDescent="0.2">
      <c r="I411" s="25"/>
      <c r="J411" s="60"/>
    </row>
    <row r="412" spans="9:10" x14ac:dyDescent="0.2">
      <c r="I412" s="25"/>
      <c r="J412" s="60"/>
    </row>
    <row r="413" spans="9:10" x14ac:dyDescent="0.2">
      <c r="I413" s="25"/>
      <c r="J413" s="60"/>
    </row>
    <row r="414" spans="9:10" x14ac:dyDescent="0.2">
      <c r="I414" s="25"/>
      <c r="J414" s="60"/>
    </row>
    <row r="415" spans="9:10" x14ac:dyDescent="0.2">
      <c r="I415" s="25"/>
      <c r="J415" s="60"/>
    </row>
    <row r="416" spans="9:10" x14ac:dyDescent="0.2">
      <c r="I416" s="25"/>
      <c r="J416" s="60"/>
    </row>
    <row r="417" spans="9:10" x14ac:dyDescent="0.2">
      <c r="I417" s="25"/>
      <c r="J417" s="60"/>
    </row>
    <row r="418" spans="9:10" x14ac:dyDescent="0.2">
      <c r="I418" s="25"/>
      <c r="J418" s="60"/>
    </row>
    <row r="419" spans="9:10" x14ac:dyDescent="0.2">
      <c r="I419" s="25"/>
      <c r="J419" s="60"/>
    </row>
    <row r="420" spans="9:10" x14ac:dyDescent="0.2">
      <c r="I420" s="25"/>
      <c r="J420" s="60"/>
    </row>
    <row r="421" spans="9:10" x14ac:dyDescent="0.2">
      <c r="I421" s="25"/>
      <c r="J421" s="60"/>
    </row>
    <row r="422" spans="9:10" x14ac:dyDescent="0.2">
      <c r="I422" s="25"/>
      <c r="J422" s="60"/>
    </row>
    <row r="423" spans="9:10" x14ac:dyDescent="0.2">
      <c r="I423" s="25"/>
      <c r="J423" s="60"/>
    </row>
    <row r="424" spans="9:10" x14ac:dyDescent="0.2">
      <c r="I424" s="25"/>
      <c r="J424" s="60"/>
    </row>
    <row r="425" spans="9:10" x14ac:dyDescent="0.2">
      <c r="I425" s="25"/>
      <c r="J425" s="60"/>
    </row>
    <row r="428" spans="9:10" x14ac:dyDescent="0.2">
      <c r="I428" s="39"/>
      <c r="J428" s="109"/>
    </row>
    <row r="429" spans="9:10" x14ac:dyDescent="0.2">
      <c r="I429" s="39"/>
      <c r="J429" s="109"/>
    </row>
    <row r="430" spans="9:10" x14ac:dyDescent="0.2">
      <c r="I430" s="42"/>
      <c r="J430" s="114"/>
    </row>
    <row r="431" spans="9:10" x14ac:dyDescent="0.2">
      <c r="I431" s="39"/>
      <c r="J431" s="109"/>
    </row>
    <row r="432" spans="9:10" x14ac:dyDescent="0.2">
      <c r="I432" s="40"/>
      <c r="J432" s="112"/>
    </row>
    <row r="433" spans="9:10" x14ac:dyDescent="0.2">
      <c r="I433" s="43"/>
      <c r="J433" s="115"/>
    </row>
    <row r="434" spans="9:10" x14ac:dyDescent="0.2">
      <c r="I434" s="43"/>
      <c r="J434" s="115"/>
    </row>
    <row r="435" spans="9:10" x14ac:dyDescent="0.2">
      <c r="I435" s="43"/>
      <c r="J435" s="115"/>
    </row>
    <row r="436" spans="9:10" x14ac:dyDescent="0.2">
      <c r="I436" s="43"/>
      <c r="J436" s="115"/>
    </row>
    <row r="437" spans="9:10" x14ac:dyDescent="0.2">
      <c r="I437" s="25"/>
      <c r="J437" s="60"/>
    </row>
    <row r="438" spans="9:10" x14ac:dyDescent="0.2">
      <c r="I438" s="25"/>
      <c r="J438" s="60"/>
    </row>
    <row r="439" spans="9:10" x14ac:dyDescent="0.2">
      <c r="I439" s="25"/>
      <c r="J439" s="60"/>
    </row>
    <row r="440" spans="9:10" x14ac:dyDescent="0.2">
      <c r="I440" s="25"/>
      <c r="J440" s="60"/>
    </row>
    <row r="441" spans="9:10" x14ac:dyDescent="0.2">
      <c r="I441" s="25"/>
      <c r="J441" s="60"/>
    </row>
    <row r="442" spans="9:10" x14ac:dyDescent="0.2">
      <c r="I442" s="25"/>
      <c r="J442" s="60"/>
    </row>
    <row r="443" spans="9:10" x14ac:dyDescent="0.2">
      <c r="I443" s="25"/>
      <c r="J443" s="60"/>
    </row>
    <row r="444" spans="9:10" x14ac:dyDescent="0.2">
      <c r="I444" s="25"/>
      <c r="J444" s="60"/>
    </row>
    <row r="445" spans="9:10" x14ac:dyDescent="0.2">
      <c r="I445" s="25"/>
      <c r="J445" s="60"/>
    </row>
    <row r="446" spans="9:10" x14ac:dyDescent="0.2">
      <c r="I446" s="25"/>
      <c r="J446" s="60"/>
    </row>
    <row r="447" spans="9:10" x14ac:dyDescent="0.2">
      <c r="I447" s="25"/>
      <c r="J447" s="60"/>
    </row>
    <row r="448" spans="9:10" x14ac:dyDescent="0.2">
      <c r="I448" s="25"/>
      <c r="J448" s="60"/>
    </row>
    <row r="449" spans="9:10" x14ac:dyDescent="0.2">
      <c r="I449" s="25"/>
      <c r="J449" s="60"/>
    </row>
    <row r="450" spans="9:10" x14ac:dyDescent="0.2">
      <c r="I450" s="25"/>
      <c r="J450" s="60"/>
    </row>
    <row r="451" spans="9:10" x14ac:dyDescent="0.2">
      <c r="I451" s="25"/>
      <c r="J451" s="60"/>
    </row>
    <row r="452" spans="9:10" x14ac:dyDescent="0.2">
      <c r="I452" s="25"/>
      <c r="J452" s="60"/>
    </row>
    <row r="453" spans="9:10" x14ac:dyDescent="0.2">
      <c r="I453" s="25"/>
      <c r="J453" s="60"/>
    </row>
    <row r="454" spans="9:10" x14ac:dyDescent="0.2">
      <c r="I454" s="25"/>
      <c r="J454" s="60"/>
    </row>
    <row r="455" spans="9:10" x14ac:dyDescent="0.2">
      <c r="I455" s="25"/>
      <c r="J455" s="60"/>
    </row>
    <row r="456" spans="9:10" x14ac:dyDescent="0.2">
      <c r="I456" s="25"/>
      <c r="J456" s="60"/>
    </row>
    <row r="457" spans="9:10" x14ac:dyDescent="0.2">
      <c r="I457" s="25"/>
      <c r="J457" s="60"/>
    </row>
    <row r="458" spans="9:10" x14ac:dyDescent="0.2">
      <c r="I458" s="25"/>
      <c r="J458" s="60"/>
    </row>
    <row r="459" spans="9:10" x14ac:dyDescent="0.2">
      <c r="I459" s="25"/>
      <c r="J459" s="60"/>
    </row>
    <row r="461" spans="9:10" x14ac:dyDescent="0.2">
      <c r="I461" s="39"/>
      <c r="J461" s="109"/>
    </row>
    <row r="462" spans="9:10" x14ac:dyDescent="0.2">
      <c r="I462" s="39"/>
      <c r="J462" s="109"/>
    </row>
    <row r="463" spans="9:10" x14ac:dyDescent="0.2">
      <c r="I463" s="42"/>
      <c r="J463" s="114"/>
    </row>
    <row r="464" spans="9:10" x14ac:dyDescent="0.2">
      <c r="I464" s="39"/>
      <c r="J464" s="109"/>
    </row>
    <row r="465" spans="9:10" x14ac:dyDescent="0.2">
      <c r="I465" s="40"/>
      <c r="J465" s="112"/>
    </row>
    <row r="466" spans="9:10" x14ac:dyDescent="0.2">
      <c r="I466" s="43"/>
      <c r="J466" s="115"/>
    </row>
    <row r="467" spans="9:10" x14ac:dyDescent="0.2">
      <c r="I467" s="43"/>
      <c r="J467" s="115"/>
    </row>
    <row r="468" spans="9:10" x14ac:dyDescent="0.2">
      <c r="I468" s="43"/>
      <c r="J468" s="115"/>
    </row>
    <row r="469" spans="9:10" x14ac:dyDescent="0.2">
      <c r="I469" s="43"/>
      <c r="J469" s="115"/>
    </row>
    <row r="470" spans="9:10" x14ac:dyDescent="0.2">
      <c r="I470" s="25"/>
      <c r="J470" s="60"/>
    </row>
    <row r="471" spans="9:10" x14ac:dyDescent="0.2">
      <c r="I471" s="25"/>
      <c r="J471" s="60"/>
    </row>
    <row r="472" spans="9:10" x14ac:dyDescent="0.2">
      <c r="I472" s="25"/>
      <c r="J472" s="60"/>
    </row>
    <row r="473" spans="9:10" x14ac:dyDescent="0.2">
      <c r="I473" s="25"/>
      <c r="J473" s="60"/>
    </row>
    <row r="474" spans="9:10" x14ac:dyDescent="0.2">
      <c r="I474" s="25"/>
      <c r="J474" s="60"/>
    </row>
    <row r="475" spans="9:10" x14ac:dyDescent="0.2">
      <c r="I475" s="25"/>
      <c r="J475" s="60"/>
    </row>
    <row r="476" spans="9:10" x14ac:dyDescent="0.2">
      <c r="I476" s="25"/>
      <c r="J476" s="60"/>
    </row>
    <row r="477" spans="9:10" x14ac:dyDescent="0.2">
      <c r="I477" s="25"/>
      <c r="J477" s="60"/>
    </row>
    <row r="478" spans="9:10" x14ac:dyDescent="0.2">
      <c r="I478" s="25"/>
      <c r="J478" s="60"/>
    </row>
    <row r="479" spans="9:10" x14ac:dyDescent="0.2">
      <c r="I479" s="25"/>
      <c r="J479" s="60"/>
    </row>
    <row r="480" spans="9:10" x14ac:dyDescent="0.2">
      <c r="I480" s="25"/>
      <c r="J480" s="60"/>
    </row>
    <row r="481" spans="9:10" x14ac:dyDescent="0.2">
      <c r="I481" s="25"/>
      <c r="J481" s="60"/>
    </row>
    <row r="482" spans="9:10" x14ac:dyDescent="0.2">
      <c r="I482" s="25"/>
      <c r="J482" s="60"/>
    </row>
    <row r="483" spans="9:10" x14ac:dyDescent="0.2">
      <c r="I483" s="25"/>
      <c r="J483" s="60"/>
    </row>
    <row r="484" spans="9:10" x14ac:dyDescent="0.2">
      <c r="I484" s="25"/>
      <c r="J484" s="60"/>
    </row>
    <row r="485" spans="9:10" x14ac:dyDescent="0.2">
      <c r="I485" s="25"/>
      <c r="J485" s="60"/>
    </row>
    <row r="486" spans="9:10" x14ac:dyDescent="0.2">
      <c r="I486" s="25"/>
      <c r="J486" s="60"/>
    </row>
    <row r="487" spans="9:10" x14ac:dyDescent="0.2">
      <c r="I487" s="25"/>
      <c r="J487" s="60"/>
    </row>
    <row r="488" spans="9:10" x14ac:dyDescent="0.2">
      <c r="I488" s="25"/>
      <c r="J488" s="60"/>
    </row>
    <row r="489" spans="9:10" x14ac:dyDescent="0.2">
      <c r="I489" s="25"/>
      <c r="J489" s="60"/>
    </row>
    <row r="490" spans="9:10" x14ac:dyDescent="0.2">
      <c r="I490" s="25"/>
      <c r="J490" s="60"/>
    </row>
    <row r="491" spans="9:10" x14ac:dyDescent="0.2">
      <c r="I491" s="25"/>
      <c r="J491" s="60"/>
    </row>
    <row r="492" spans="9:10" x14ac:dyDescent="0.2">
      <c r="I492" s="25"/>
      <c r="J492" s="60"/>
    </row>
    <row r="494" spans="9:10" x14ac:dyDescent="0.2">
      <c r="I494" s="24"/>
      <c r="J494" s="18"/>
    </row>
    <row r="495" spans="9:10" x14ac:dyDescent="0.2">
      <c r="I495" s="25"/>
      <c r="J495" s="60"/>
    </row>
    <row r="496" spans="9:10" x14ac:dyDescent="0.2">
      <c r="I496" s="24"/>
      <c r="J496" s="18"/>
    </row>
    <row r="497" spans="9:10" x14ac:dyDescent="0.2">
      <c r="I497" s="24"/>
      <c r="J497" s="18"/>
    </row>
    <row r="498" spans="9:10" x14ac:dyDescent="0.2">
      <c r="I498" s="25"/>
      <c r="J498" s="60"/>
    </row>
    <row r="499" spans="9:10" x14ac:dyDescent="0.2">
      <c r="I499" s="26"/>
      <c r="J499" s="105"/>
    </row>
    <row r="500" spans="9:10" x14ac:dyDescent="0.2">
      <c r="I500" s="34"/>
      <c r="J500" s="59"/>
    </row>
    <row r="504" spans="9:10" x14ac:dyDescent="0.2">
      <c r="I504" s="45"/>
      <c r="J504" s="116"/>
    </row>
    <row r="506" spans="9:10" x14ac:dyDescent="0.2">
      <c r="I506" s="45"/>
      <c r="J506" s="116"/>
    </row>
  </sheetData>
  <phoneticPr fontId="0" type="noConversion"/>
  <printOptions horizontalCentered="1"/>
  <pageMargins left="0" right="0" top="0.38" bottom="0.35" header="0" footer="0"/>
  <pageSetup scale="80" firstPageNumber="2" fitToHeight="17" orientation="landscape" useFirstPageNumber="1" r:id="rId1"/>
  <headerFooter alignWithMargins="0">
    <oddHeader xml:space="preserve">&amp;CPricq Quotation
</oddHeader>
  </headerFooter>
  <drawing r:id="rId2"/>
</worksheet>
</file>

<file path=docMetadata/LabelInfo.xml><?xml version="1.0" encoding="utf-8"?>
<clbl:labelList xmlns:clbl="http://schemas.microsoft.com/office/2020/mipLabelMetadata">
  <clbl:label id="{554eecc5-e26c-4620-b240-5a8bb326c33d}" enabled="1" method="Privileged" siteId="{fae6d70f-954b-4811-92b6-0530d6f84c43}" removed="0"/>
  <clbl:label id="{b3ad07bd-5479-469a-8847-74050df9f39a}" enabled="1" method="Privileged" siteId="{72b17115-9915-42c0-9f1b-4f98e5a4bcd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26QA014</vt:lpstr>
      <vt:lpstr>'26QA014'!Print_Area</vt:lpstr>
      <vt:lpstr>'26QA014'!Print_Titles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2017-05-11T16:16:59Z</dcterms:created>
  <dcterms:modified xsi:type="dcterms:W3CDTF">2026-03-31T16:16:47Z</dcterms:modified>
</cp:coreProperties>
</file>