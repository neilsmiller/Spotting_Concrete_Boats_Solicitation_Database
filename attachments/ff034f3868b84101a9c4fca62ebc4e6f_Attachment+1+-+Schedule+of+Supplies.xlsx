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am Files\Distribution Support West\Tom S\FY 2026\SP3300-26-Q-0147 - Shipping Boxes - DDJC\"/>
    </mc:Choice>
  </mc:AlternateContent>
  <xr:revisionPtr revIDLastSave="0" documentId="13_ncr:1_{AEB6591C-F32F-4B57-BA75-45AFFB4DC188}" xr6:coauthVersionLast="47" xr6:coauthVersionMax="47" xr10:uidLastSave="{00000000-0000-0000-0000-000000000000}"/>
  <bookViews>
    <workbookView xWindow="-120" yWindow="90" windowWidth="29040" windowHeight="15510" firstSheet="1" activeTab="1" xr2:uid="{00000000-000D-0000-FFFF-FFFF00000000}"/>
  </bookViews>
  <sheets>
    <sheet name="Sheet2" sheetId="2" state="hidden" r:id="rId1"/>
    <sheet name="Quote" sheetId="3" r:id="rId2"/>
    <sheet name="SA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G5" i="3"/>
  <c r="G4" i="3"/>
  <c r="G7" i="3" l="1"/>
</calcChain>
</file>

<file path=xl/sharedStrings.xml><?xml version="1.0" encoding="utf-8"?>
<sst xmlns="http://schemas.openxmlformats.org/spreadsheetml/2006/main" count="81" uniqueCount="72">
  <si>
    <t xml:space="preserve">1 ro = 32 bgs x 16 ro per  pallet </t>
  </si>
  <si>
    <t>8115 00 L07 0015</t>
  </si>
  <si>
    <t>50 x 42 x 59</t>
  </si>
  <si>
    <t>3.00 ea</t>
  </si>
  <si>
    <t>Tunnel Bags E - Ration</t>
  </si>
  <si>
    <t>20 bd x 15 per = 300 per pallet</t>
  </si>
  <si>
    <t>1.37 ea</t>
  </si>
  <si>
    <t>8115 00 L07 0005</t>
  </si>
  <si>
    <t xml:space="preserve">19 5/8 x 15  5/8 x 9 11/16 </t>
  </si>
  <si>
    <t>8115 00 L07 0016</t>
  </si>
  <si>
    <t xml:space="preserve">15.15 x 11.06 x 9 10 </t>
  </si>
  <si>
    <t>.90 ea</t>
  </si>
  <si>
    <t>8115 00 L07 0006</t>
  </si>
  <si>
    <t>.14 ea</t>
  </si>
  <si>
    <t xml:space="preserve">Boxes E- Ration Fiberboard Pad </t>
  </si>
  <si>
    <t>2880 per pallet</t>
  </si>
  <si>
    <t xml:space="preserve">250 ea per pallet </t>
  </si>
  <si>
    <t>569 rolls</t>
  </si>
  <si>
    <t>24,300 ea</t>
  </si>
  <si>
    <t>32,000 ea</t>
  </si>
  <si>
    <t>55,700 ea</t>
  </si>
  <si>
    <t>last week</t>
  </si>
  <si>
    <t>573 rolls</t>
  </si>
  <si>
    <t>This week</t>
  </si>
  <si>
    <t>27,600ea</t>
  </si>
  <si>
    <t>32,000ea</t>
  </si>
  <si>
    <t>50,700ea</t>
  </si>
  <si>
    <t>Boxes E-Ration Heater Module</t>
  </si>
  <si>
    <t>Boxes E-Rations (Shipping)</t>
  </si>
  <si>
    <t xml:space="preserve">Order 167plts*300ea=50,100      </t>
  </si>
  <si>
    <t>Order 98 Pallets* 32 Bgs ro x 16 ro per Pallet = 50,176</t>
  </si>
  <si>
    <t>Order 200plts*250ea=32,000</t>
  </si>
  <si>
    <t>Order 35plts*2880ea= 100,800</t>
  </si>
  <si>
    <t>16.25 x 10.75</t>
  </si>
  <si>
    <t>Number</t>
  </si>
  <si>
    <t>Unit of</t>
  </si>
  <si>
    <t>Issue</t>
  </si>
  <si>
    <t>Quantity</t>
  </si>
  <si>
    <t>Material</t>
  </si>
  <si>
    <t xml:space="preserve">Description </t>
  </si>
  <si>
    <t>CLIN</t>
  </si>
  <si>
    <t>0001</t>
  </si>
  <si>
    <t>Unit</t>
  </si>
  <si>
    <t>Price</t>
  </si>
  <si>
    <t>Amount</t>
  </si>
  <si>
    <t>Total Amount</t>
  </si>
  <si>
    <t>Controlled by:</t>
  </si>
  <si>
    <t>POC:</t>
  </si>
  <si>
    <t>CUI Category:</t>
  </si>
  <si>
    <t>Distribution Control:</t>
  </si>
  <si>
    <t>Company Name</t>
  </si>
  <si>
    <t>FED ONLY</t>
  </si>
  <si>
    <t>SSEL</t>
  </si>
  <si>
    <t>0002</t>
  </si>
  <si>
    <t>0003</t>
  </si>
  <si>
    <t>EA</t>
  </si>
  <si>
    <t>BOX (Variation), 16" x 16" x 16" Variation 2 Shipper Kit, UN Rating 4GV/X27.3/S, 275#DW; sold in Kits of 15; Uline Model No. S-20405 or equivalent. Material Number: N00004230. PSC: 8115</t>
  </si>
  <si>
    <t>N00002487</t>
  </si>
  <si>
    <t>N00004230</t>
  </si>
  <si>
    <t>N00002488</t>
  </si>
  <si>
    <t>SYSTEM FOR AWARD MANAGEMENT</t>
  </si>
  <si>
    <t>Company Address</t>
  </si>
  <si>
    <t>Point of Contact</t>
  </si>
  <si>
    <t>Telephone</t>
  </si>
  <si>
    <t>Email</t>
  </si>
  <si>
    <t>CAGE Code</t>
  </si>
  <si>
    <t>Manufacturer</t>
  </si>
  <si>
    <t>Note:</t>
  </si>
  <si>
    <t>Complete Highlighted Cells</t>
  </si>
  <si>
    <t>Attachment 1 - Schedule of Supplies or Services and Prices</t>
  </si>
  <si>
    <t>Shipper Kit, 20" x 20" x 20"; variation 2; test 350 lb test; double wall; UN#4GV/X39.4/S; meets ASTM D5118; meets ISTA 1A Standards; UN Rated for Packaging Groups I, II, &amp; III; includes carton liner and ties; Assembly and closure instructions are printed on the box; Uline S-14957 or equivalent. Material Number: N00002488. PSC: 8115</t>
  </si>
  <si>
    <t>Shipper Kit, 12" x 12" x 12"; variation 2; test 275 lb test; double wall; UN#4GV/X13/S; meets ASTM D5118; meets ISTA 1A Standards; UN Rated for Packaging Groups I, II, &amp; III; includes carton liner and ties; Assembly and closure instructions are printed on the box; Uline S-14955 or equivalent. Material Number: N00002487. PSC: 8115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</si>
</sst>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1" applyFont="1" applyFill="1" applyBorder="1"/>
    <xf numFmtId="0" fontId="1" fillId="2" borderId="1" xfId="1" applyFill="1" applyBorder="1" applyAlignment="1">
      <alignment horizontal="left"/>
    </xf>
    <xf numFmtId="0" fontId="1" fillId="2" borderId="2" xfId="1" applyFill="1" applyBorder="1" applyAlignment="1">
      <alignment horizontal="center"/>
    </xf>
    <xf numFmtId="0" fontId="2" fillId="2" borderId="2" xfId="1" applyFont="1" applyFill="1" applyBorder="1"/>
    <xf numFmtId="0" fontId="1" fillId="2" borderId="1" xfId="1" applyFill="1" applyBorder="1"/>
    <xf numFmtId="0" fontId="1" fillId="2" borderId="1" xfId="1" applyFill="1" applyBorder="1" applyAlignment="1">
      <alignment horizontal="center"/>
    </xf>
    <xf numFmtId="3" fontId="1" fillId="2" borderId="1" xfId="1" applyNumberForma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3" fontId="1" fillId="0" borderId="1" xfId="1" applyNumberFormat="1" applyBorder="1" applyAlignment="1">
      <alignment horizontal="center" vertical="center" wrapText="1"/>
    </xf>
    <xf numFmtId="49" fontId="1" fillId="0" borderId="9" xfId="1" applyNumberFormat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164" fontId="5" fillId="0" borderId="11" xfId="0" applyNumberFormat="1" applyFont="1" applyBorder="1" applyAlignment="1">
      <alignment vertical="center"/>
    </xf>
    <xf numFmtId="49" fontId="1" fillId="0" borderId="15" xfId="1" applyNumberFormat="1" applyBorder="1" applyAlignment="1">
      <alignment horizontal="left" vertical="center"/>
    </xf>
    <xf numFmtId="164" fontId="5" fillId="0" borderId="16" xfId="0" applyNumberFormat="1" applyFont="1" applyBorder="1" applyAlignment="1">
      <alignment vertical="center"/>
    </xf>
    <xf numFmtId="3" fontId="1" fillId="0" borderId="13" xfId="1" applyNumberFormat="1" applyBorder="1" applyAlignment="1">
      <alignment horizontal="center" vertical="center" wrapText="1" shrinkToFit="1"/>
    </xf>
    <xf numFmtId="164" fontId="5" fillId="0" borderId="14" xfId="0" applyNumberFormat="1" applyFont="1" applyBorder="1" applyAlignment="1">
      <alignment vertical="center"/>
    </xf>
    <xf numFmtId="164" fontId="5" fillId="4" borderId="10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4" fontId="5" fillId="4" borderId="13" xfId="0" applyNumberFormat="1" applyFont="1" applyFill="1" applyBorder="1" applyAlignment="1">
      <alignment vertical="center"/>
    </xf>
    <xf numFmtId="0" fontId="6" fillId="5" borderId="9" xfId="0" applyFont="1" applyFill="1" applyBorder="1"/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164" fontId="7" fillId="0" borderId="19" xfId="0" applyNumberFormat="1" applyFont="1" applyBorder="1"/>
    <xf numFmtId="49" fontId="4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wrapText="1"/>
    </xf>
    <xf numFmtId="49" fontId="1" fillId="0" borderId="12" xfId="1" applyNumberForma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wrapText="1"/>
    </xf>
    <xf numFmtId="3" fontId="1" fillId="0" borderId="10" xfId="1" applyNumberFormat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10" fillId="0" borderId="0" xfId="0" applyFont="1"/>
    <xf numFmtId="0" fontId="10" fillId="0" borderId="22" xfId="0" applyFont="1" applyBorder="1"/>
    <xf numFmtId="0" fontId="10" fillId="4" borderId="23" xfId="0" applyFont="1" applyFill="1" applyBorder="1"/>
    <xf numFmtId="0" fontId="10" fillId="0" borderId="15" xfId="0" applyFont="1" applyBorder="1"/>
    <xf numFmtId="0" fontId="10" fillId="4" borderId="16" xfId="0" applyFont="1" applyFill="1" applyBorder="1"/>
    <xf numFmtId="0" fontId="10" fillId="0" borderId="12" xfId="0" applyFont="1" applyBorder="1"/>
    <xf numFmtId="0" fontId="10" fillId="4" borderId="14" xfId="0" applyFont="1" applyFill="1" applyBorder="1"/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sqref="A1:XFD1048576"/>
    </sheetView>
  </sheetViews>
  <sheetFormatPr defaultRowHeight="15" x14ac:dyDescent="0.25"/>
  <cols>
    <col min="1" max="1" width="20" bestFit="1" customWidth="1"/>
    <col min="2" max="2" width="23.28515625" bestFit="1" customWidth="1"/>
    <col min="3" max="3" width="8.140625" bestFit="1" customWidth="1"/>
    <col min="4" max="4" width="35.85546875" bestFit="1" customWidth="1"/>
    <col min="5" max="5" width="28.140625" bestFit="1" customWidth="1"/>
  </cols>
  <sheetData>
    <row r="1" spans="1:7" x14ac:dyDescent="0.25">
      <c r="F1" t="s">
        <v>21</v>
      </c>
      <c r="G1" t="s">
        <v>23</v>
      </c>
    </row>
    <row r="2" spans="1:7" ht="15.75" x14ac:dyDescent="0.25">
      <c r="A2" s="1" t="s">
        <v>1</v>
      </c>
      <c r="B2" s="2" t="s">
        <v>2</v>
      </c>
      <c r="C2" s="3" t="s">
        <v>3</v>
      </c>
      <c r="D2" s="4" t="s">
        <v>4</v>
      </c>
      <c r="E2" s="5" t="s">
        <v>0</v>
      </c>
      <c r="F2" s="6" t="s">
        <v>17</v>
      </c>
      <c r="G2" s="8" t="s">
        <v>22</v>
      </c>
    </row>
    <row r="3" spans="1:7" ht="15.75" x14ac:dyDescent="0.25">
      <c r="A3" s="1" t="s">
        <v>7</v>
      </c>
      <c r="B3" s="2" t="s">
        <v>8</v>
      </c>
      <c r="C3" s="3" t="s">
        <v>6</v>
      </c>
      <c r="D3" s="4" t="s">
        <v>28</v>
      </c>
      <c r="E3" s="5" t="s">
        <v>5</v>
      </c>
      <c r="F3" s="6" t="s">
        <v>18</v>
      </c>
      <c r="G3" s="8" t="s">
        <v>24</v>
      </c>
    </row>
    <row r="4" spans="1:7" ht="15.75" x14ac:dyDescent="0.25">
      <c r="A4" s="1" t="s">
        <v>9</v>
      </c>
      <c r="B4" s="2" t="s">
        <v>10</v>
      </c>
      <c r="C4" s="3" t="s">
        <v>11</v>
      </c>
      <c r="D4" s="4" t="s">
        <v>27</v>
      </c>
      <c r="E4" s="5" t="s">
        <v>16</v>
      </c>
      <c r="F4" s="7" t="s">
        <v>19</v>
      </c>
      <c r="G4" s="8" t="s">
        <v>25</v>
      </c>
    </row>
    <row r="5" spans="1:7" ht="15.75" x14ac:dyDescent="0.25">
      <c r="A5" s="1" t="s">
        <v>12</v>
      </c>
      <c r="B5" s="2" t="s">
        <v>33</v>
      </c>
      <c r="C5" s="3" t="s">
        <v>13</v>
      </c>
      <c r="D5" s="4" t="s">
        <v>14</v>
      </c>
      <c r="E5" s="5" t="s">
        <v>15</v>
      </c>
      <c r="F5" s="6" t="s">
        <v>20</v>
      </c>
      <c r="G5" s="8" t="s">
        <v>26</v>
      </c>
    </row>
    <row r="10" spans="1:7" ht="32.25" customHeight="1" x14ac:dyDescent="0.25">
      <c r="A10" s="1" t="s">
        <v>1</v>
      </c>
      <c r="B10" s="48" t="s">
        <v>30</v>
      </c>
      <c r="C10" s="49"/>
      <c r="D10" s="49"/>
      <c r="E10" s="49"/>
      <c r="F10" s="49"/>
      <c r="G10" s="50"/>
    </row>
    <row r="11" spans="1:7" ht="32.25" customHeight="1" x14ac:dyDescent="0.25">
      <c r="A11" s="1" t="s">
        <v>7</v>
      </c>
      <c r="B11" s="48" t="s">
        <v>29</v>
      </c>
      <c r="C11" s="49"/>
      <c r="D11" s="49"/>
      <c r="E11" s="49"/>
      <c r="F11" s="49"/>
      <c r="G11" s="50"/>
    </row>
    <row r="12" spans="1:7" ht="32.25" customHeight="1" x14ac:dyDescent="0.25">
      <c r="A12" s="1" t="s">
        <v>9</v>
      </c>
      <c r="B12" s="48" t="s">
        <v>31</v>
      </c>
      <c r="C12" s="49"/>
      <c r="D12" s="49"/>
      <c r="E12" s="49"/>
      <c r="F12" s="49"/>
      <c r="G12" s="50"/>
    </row>
    <row r="13" spans="1:7" ht="32.25" customHeight="1" x14ac:dyDescent="0.25">
      <c r="A13" s="1" t="s">
        <v>12</v>
      </c>
      <c r="B13" s="48" t="s">
        <v>32</v>
      </c>
      <c r="C13" s="49"/>
      <c r="D13" s="49"/>
      <c r="E13" s="49"/>
      <c r="F13" s="49"/>
      <c r="G13" s="50"/>
    </row>
  </sheetData>
  <mergeCells count="4">
    <mergeCell ref="B11:G11"/>
    <mergeCell ref="B12:G12"/>
    <mergeCell ref="B13:G13"/>
    <mergeCell ref="B10:G10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42A5-E65A-4932-9230-2C592CC91695}">
  <dimension ref="A1:G17"/>
  <sheetViews>
    <sheetView tabSelected="1" zoomScaleNormal="100" workbookViewId="0">
      <selection activeCell="C7" sqref="C7"/>
    </sheetView>
  </sheetViews>
  <sheetFormatPr defaultColWidth="9.140625" defaultRowHeight="12.75" x14ac:dyDescent="0.2"/>
  <cols>
    <col min="1" max="1" width="5.7109375" style="9" customWidth="1"/>
    <col min="2" max="2" width="10.7109375" style="9" customWidth="1"/>
    <col min="3" max="3" width="51.5703125" style="9" customWidth="1"/>
    <col min="4" max="4" width="7.5703125" style="9" customWidth="1"/>
    <col min="5" max="5" width="9.140625" style="9" customWidth="1"/>
    <col min="6" max="6" width="9.140625" style="9"/>
    <col min="7" max="7" width="10.7109375" style="9" customWidth="1"/>
    <col min="8" max="16384" width="9.140625" style="9"/>
  </cols>
  <sheetData>
    <row r="1" spans="1:7" ht="13.5" thickBot="1" x14ac:dyDescent="0.25">
      <c r="A1" s="39" t="s">
        <v>69</v>
      </c>
      <c r="B1" s="40"/>
      <c r="C1" s="40"/>
      <c r="D1" s="40"/>
      <c r="E1" s="40"/>
      <c r="F1" s="40"/>
      <c r="G1" s="41"/>
    </row>
    <row r="2" spans="1:7" x14ac:dyDescent="0.2">
      <c r="A2" s="24"/>
      <c r="B2" s="25" t="s">
        <v>38</v>
      </c>
      <c r="C2" s="25"/>
      <c r="D2" s="25" t="s">
        <v>35</v>
      </c>
      <c r="E2" s="25"/>
      <c r="F2" s="25" t="s">
        <v>42</v>
      </c>
      <c r="G2" s="26"/>
    </row>
    <row r="3" spans="1:7" ht="13.5" thickBot="1" x14ac:dyDescent="0.25">
      <c r="A3" s="27" t="s">
        <v>40</v>
      </c>
      <c r="B3" s="28" t="s">
        <v>34</v>
      </c>
      <c r="C3" s="28" t="s">
        <v>39</v>
      </c>
      <c r="D3" s="28" t="s">
        <v>36</v>
      </c>
      <c r="E3" s="28" t="s">
        <v>37</v>
      </c>
      <c r="F3" s="28" t="s">
        <v>43</v>
      </c>
      <c r="G3" s="29" t="s">
        <v>44</v>
      </c>
    </row>
    <row r="4" spans="1:7" ht="76.5" x14ac:dyDescent="0.2">
      <c r="A4" s="14" t="s">
        <v>41</v>
      </c>
      <c r="B4" s="33" t="s">
        <v>57</v>
      </c>
      <c r="C4" s="34" t="s">
        <v>71</v>
      </c>
      <c r="D4" s="15" t="s">
        <v>55</v>
      </c>
      <c r="E4" s="38">
        <v>3150</v>
      </c>
      <c r="F4" s="21">
        <v>0</v>
      </c>
      <c r="G4" s="16">
        <f>ROUND(E4*F4,2)</f>
        <v>0</v>
      </c>
    </row>
    <row r="5" spans="1:7" ht="50.1" customHeight="1" x14ac:dyDescent="0.2">
      <c r="A5" s="17" t="s">
        <v>53</v>
      </c>
      <c r="B5" s="11" t="s">
        <v>58</v>
      </c>
      <c r="C5" s="31" t="s">
        <v>56</v>
      </c>
      <c r="D5" s="12" t="s">
        <v>55</v>
      </c>
      <c r="E5" s="13">
        <v>1260</v>
      </c>
      <c r="F5" s="22">
        <v>0</v>
      </c>
      <c r="G5" s="18">
        <f>ROUND(E5*F5,2)</f>
        <v>0</v>
      </c>
    </row>
    <row r="6" spans="1:7" ht="77.25" thickBot="1" x14ac:dyDescent="0.25">
      <c r="A6" s="35" t="s">
        <v>54</v>
      </c>
      <c r="B6" s="36" t="s">
        <v>59</v>
      </c>
      <c r="C6" s="37" t="s">
        <v>70</v>
      </c>
      <c r="D6" s="19" t="s">
        <v>55</v>
      </c>
      <c r="E6" s="19">
        <v>500</v>
      </c>
      <c r="F6" s="23">
        <v>0</v>
      </c>
      <c r="G6" s="20">
        <f>ROUND(E6*F6,2)</f>
        <v>0</v>
      </c>
    </row>
    <row r="7" spans="1:7" ht="13.5" thickBot="1" x14ac:dyDescent="0.25">
      <c r="A7" s="10"/>
      <c r="B7" s="10"/>
      <c r="C7" s="30"/>
      <c r="D7" s="10"/>
      <c r="E7" s="42" t="s">
        <v>45</v>
      </c>
      <c r="F7" s="43"/>
      <c r="G7" s="32">
        <f>SUM(G4:G6)</f>
        <v>0</v>
      </c>
    </row>
    <row r="13" spans="1:7" x14ac:dyDescent="0.2">
      <c r="D13" s="44" t="s">
        <v>46</v>
      </c>
      <c r="E13" s="44"/>
      <c r="F13" s="47" t="s">
        <v>50</v>
      </c>
      <c r="G13" s="47"/>
    </row>
    <row r="14" spans="1:7" x14ac:dyDescent="0.2">
      <c r="D14" s="44" t="s">
        <v>46</v>
      </c>
      <c r="E14" s="44"/>
      <c r="F14" s="47" t="s">
        <v>50</v>
      </c>
      <c r="G14" s="47"/>
    </row>
    <row r="15" spans="1:7" x14ac:dyDescent="0.2">
      <c r="D15" s="44" t="s">
        <v>48</v>
      </c>
      <c r="E15" s="44"/>
      <c r="F15" s="44" t="s">
        <v>52</v>
      </c>
      <c r="G15" s="44"/>
    </row>
    <row r="16" spans="1:7" x14ac:dyDescent="0.2">
      <c r="D16" s="45" t="s">
        <v>49</v>
      </c>
      <c r="E16" s="45"/>
      <c r="F16" s="44" t="s">
        <v>51</v>
      </c>
      <c r="G16" s="44"/>
    </row>
    <row r="17" spans="4:7" x14ac:dyDescent="0.2">
      <c r="D17" s="46" t="s">
        <v>47</v>
      </c>
      <c r="E17" s="46"/>
      <c r="F17" s="47"/>
      <c r="G17" s="47"/>
    </row>
  </sheetData>
  <mergeCells count="12">
    <mergeCell ref="D16:E16"/>
    <mergeCell ref="D17:E17"/>
    <mergeCell ref="F13:G13"/>
    <mergeCell ref="F14:G14"/>
    <mergeCell ref="F15:G15"/>
    <mergeCell ref="F16:G16"/>
    <mergeCell ref="F17:G17"/>
    <mergeCell ref="A1:G1"/>
    <mergeCell ref="E7:F7"/>
    <mergeCell ref="D13:E13"/>
    <mergeCell ref="D14:E14"/>
    <mergeCell ref="D15:E15"/>
  </mergeCells>
  <printOptions horizontalCentered="1"/>
  <pageMargins left="1" right="1" top="1" bottom="1" header="0.3" footer="0.3"/>
  <pageSetup orientation="landscape" horizontalDpi="4294967292" verticalDpi="200" r:id="rId1"/>
  <headerFooter>
    <oddHeader>&amp;LFile III&amp;C&amp;"-,Bold"CUI&amp;R&amp;"-,Bold"SP3300-26-Q-0147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1117-E63D-48BB-9E71-E15B96F30BF2}">
  <dimension ref="A1:B11"/>
  <sheetViews>
    <sheetView workbookViewId="0">
      <selection activeCell="B31" sqref="B31"/>
    </sheetView>
  </sheetViews>
  <sheetFormatPr defaultColWidth="8.7109375" defaultRowHeight="15.75" x14ac:dyDescent="0.25"/>
  <cols>
    <col min="1" max="1" width="17.140625" style="53" bestFit="1" customWidth="1"/>
    <col min="2" max="2" width="35.42578125" style="53" customWidth="1"/>
    <col min="3" max="16384" width="8.7109375" style="53"/>
  </cols>
  <sheetData>
    <row r="1" spans="1:2" ht="16.5" thickBot="1" x14ac:dyDescent="0.3">
      <c r="A1" s="51" t="s">
        <v>60</v>
      </c>
      <c r="B1" s="52"/>
    </row>
    <row r="2" spans="1:2" x14ac:dyDescent="0.25">
      <c r="A2" s="54" t="s">
        <v>50</v>
      </c>
      <c r="B2" s="55"/>
    </row>
    <row r="3" spans="1:2" x14ac:dyDescent="0.25">
      <c r="A3" s="56" t="s">
        <v>61</v>
      </c>
      <c r="B3" s="57"/>
    </row>
    <row r="4" spans="1:2" x14ac:dyDescent="0.25">
      <c r="A4" s="56"/>
      <c r="B4" s="57"/>
    </row>
    <row r="5" spans="1:2" x14ac:dyDescent="0.25">
      <c r="A5" s="56" t="s">
        <v>62</v>
      </c>
      <c r="B5" s="57"/>
    </row>
    <row r="6" spans="1:2" x14ac:dyDescent="0.25">
      <c r="A6" s="56" t="s">
        <v>63</v>
      </c>
      <c r="B6" s="57"/>
    </row>
    <row r="7" spans="1:2" x14ac:dyDescent="0.25">
      <c r="A7" s="56" t="s">
        <v>64</v>
      </c>
      <c r="B7" s="57"/>
    </row>
    <row r="8" spans="1:2" x14ac:dyDescent="0.25">
      <c r="A8" s="56" t="s">
        <v>65</v>
      </c>
      <c r="B8" s="57"/>
    </row>
    <row r="9" spans="1:2" ht="16.5" thickBot="1" x14ac:dyDescent="0.3">
      <c r="A9" s="58" t="s">
        <v>66</v>
      </c>
      <c r="B9" s="59"/>
    </row>
    <row r="11" spans="1:2" x14ac:dyDescent="0.25">
      <c r="A11" s="53" t="s">
        <v>67</v>
      </c>
      <c r="B11" s="53" t="s">
        <v>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Quote</vt:lpstr>
      <vt:lpstr>SAM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DDC</dc:creator>
  <cp:lastModifiedBy>Semones, Thomas M CIV DLA DISTRIBUTION (USA)</cp:lastModifiedBy>
  <cp:lastPrinted>2026-05-06T15:07:17Z</cp:lastPrinted>
  <dcterms:created xsi:type="dcterms:W3CDTF">2011-12-20T16:32:55Z</dcterms:created>
  <dcterms:modified xsi:type="dcterms:W3CDTF">2026-05-06T15:26:12Z</dcterms:modified>
</cp:coreProperties>
</file>