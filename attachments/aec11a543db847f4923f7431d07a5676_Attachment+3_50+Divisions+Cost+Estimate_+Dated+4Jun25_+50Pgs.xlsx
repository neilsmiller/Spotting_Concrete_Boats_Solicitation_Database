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defaultThemeVersion="124226"/>
  <mc:AlternateContent xmlns:mc="http://schemas.openxmlformats.org/markup-compatibility/2006">
    <mc:Choice Requires="x15">
      <x15ac:absPath xmlns:x15ac="http://schemas.microsoft.com/office/spreadsheetml/2010/11/ac" url="https://usaf-my.dps.mil/personal/francisco_arredondo_4_us_af_mil/Documents/Desktop/GWEF/SOW's/"/>
    </mc:Choice>
  </mc:AlternateContent>
  <xr:revisionPtr revIDLastSave="1" documentId="8_{534BE92E-CA15-42C6-8AC5-92C22AFC9F52}" xr6:coauthVersionLast="47" xr6:coauthVersionMax="47" xr10:uidLastSave="{F8F68E0A-56B1-43E7-A6C7-E9A7337C5A8E}"/>
  <bookViews>
    <workbookView xWindow="2660" yWindow="2800" windowWidth="28800" windowHeight="15260" tabRatio="715" firstSheet="2" activeTab="2" xr2:uid="{00000000-000D-0000-FFFF-FFFF00000000}"/>
  </bookViews>
  <sheets>
    <sheet name="Instructions" sheetId="85" r:id="rId1"/>
    <sheet name="CLIN Structure" sheetId="86" r:id="rId2"/>
    <sheet name="Summary" sheetId="1" r:id="rId3"/>
    <sheet name="Div1" sheetId="3" r:id="rId4"/>
    <sheet name="Div2" sheetId="4" r:id="rId5"/>
    <sheet name="Div3" sheetId="5" r:id="rId6"/>
    <sheet name="Div4" sheetId="6" r:id="rId7"/>
    <sheet name="Div5" sheetId="43" r:id="rId8"/>
    <sheet name="Div6" sheetId="44" r:id="rId9"/>
    <sheet name="Div7" sheetId="45" r:id="rId10"/>
    <sheet name="Div8" sheetId="46" r:id="rId11"/>
    <sheet name="Div9" sheetId="47" r:id="rId12"/>
    <sheet name="Div10" sheetId="48" r:id="rId13"/>
    <sheet name="Div11" sheetId="49" r:id="rId14"/>
    <sheet name="Div12" sheetId="50" r:id="rId15"/>
    <sheet name="Div13" sheetId="51" r:id="rId16"/>
    <sheet name="Div14" sheetId="52" r:id="rId17"/>
    <sheet name="Div21" sheetId="56" r:id="rId18"/>
    <sheet name="Div22" sheetId="57" r:id="rId19"/>
    <sheet name="Div23" sheetId="58" r:id="rId20"/>
    <sheet name="Div25" sheetId="60" r:id="rId21"/>
    <sheet name="Div26" sheetId="61" r:id="rId22"/>
    <sheet name="Div27" sheetId="62" r:id="rId23"/>
    <sheet name="Div28" sheetId="63" r:id="rId24"/>
    <sheet name="Div31" sheetId="66" r:id="rId25"/>
    <sheet name="Div32" sheetId="67" r:id="rId26"/>
    <sheet name="Div33" sheetId="68" r:id="rId27"/>
    <sheet name="Div34" sheetId="69" r:id="rId28"/>
    <sheet name="Div35" sheetId="70" r:id="rId29"/>
    <sheet name="Div40" sheetId="75" r:id="rId30"/>
    <sheet name="Div41" sheetId="76" r:id="rId31"/>
    <sheet name="Div42" sheetId="77" r:id="rId32"/>
    <sheet name="Div43" sheetId="78" r:id="rId33"/>
    <sheet name="Div44" sheetId="79" r:id="rId34"/>
    <sheet name="Div45" sheetId="80" r:id="rId35"/>
    <sheet name="Div48" sheetId="83" r:id="rId36"/>
  </sheets>
  <definedNames>
    <definedName name="_xlnm.Print_Area" localSheetId="3">'Div1'!$A$1:$H$42</definedName>
    <definedName name="_xlnm.Print_Area" localSheetId="12">'Div10'!$A$1:$H$42</definedName>
    <definedName name="_xlnm.Print_Area" localSheetId="13">'Div11'!$A$1:$H$42</definedName>
    <definedName name="_xlnm.Print_Area" localSheetId="14">'Div12'!$A$1:$H$43</definedName>
    <definedName name="_xlnm.Print_Area" localSheetId="15">'Div13'!$A$1:$H$41</definedName>
    <definedName name="_xlnm.Print_Area" localSheetId="16">'Div14'!$A$1:$H$41</definedName>
    <definedName name="_xlnm.Print_Area" localSheetId="4">'Div2'!$A$1:$H$50</definedName>
    <definedName name="_xlnm.Print_Area" localSheetId="17">'Div21'!$A$1:$H$40</definedName>
    <definedName name="_xlnm.Print_Area" localSheetId="18">'Div22'!$A$1:$H$50</definedName>
    <definedName name="_xlnm.Print_Area" localSheetId="19">'Div23'!$A$1:$H$37</definedName>
    <definedName name="_xlnm.Print_Area" localSheetId="20">'Div25'!$A$1:$H$37</definedName>
    <definedName name="_xlnm.Print_Area" localSheetId="21">'Div26'!$A$1:$H$56</definedName>
    <definedName name="_xlnm.Print_Area" localSheetId="22">'Div27'!$A$1:$H$39</definedName>
    <definedName name="_xlnm.Print_Area" localSheetId="23">'Div28'!$A$1:$H$38</definedName>
    <definedName name="_xlnm.Print_Area" localSheetId="5">'Div3'!$A$1:$H$42</definedName>
    <definedName name="_xlnm.Print_Area" localSheetId="24">'Div31'!$A$1:$H$61</definedName>
    <definedName name="_xlnm.Print_Area" localSheetId="25">'Div32'!$A$1:$H$35</definedName>
    <definedName name="_xlnm.Print_Area" localSheetId="26">'Div33'!$A$1:$H$31</definedName>
    <definedName name="_xlnm.Print_Area" localSheetId="27">'Div34'!$A$1:$H$38</definedName>
    <definedName name="_xlnm.Print_Area" localSheetId="28">'Div35'!$A$1:$H$38</definedName>
    <definedName name="_xlnm.Print_Area" localSheetId="6">'Div4'!$A$1:$H$43</definedName>
    <definedName name="_xlnm.Print_Area" localSheetId="29">'Div40'!$A$1:$H$36</definedName>
    <definedName name="_xlnm.Print_Area" localSheetId="30">'Div41'!$A$1:$H$39</definedName>
    <definedName name="_xlnm.Print_Area" localSheetId="31">'Div42'!$A$1:$H$36</definedName>
    <definedName name="_xlnm.Print_Area" localSheetId="32">'Div43'!$A$1:$H$37</definedName>
    <definedName name="_xlnm.Print_Area" localSheetId="33">'Div44'!$A$1:$H$36</definedName>
    <definedName name="_xlnm.Print_Area" localSheetId="34">'Div45'!$A$1:$H$31</definedName>
    <definedName name="_xlnm.Print_Area" localSheetId="35">'Div48'!$A$1:$H$36</definedName>
    <definedName name="_xlnm.Print_Area" localSheetId="7">'Div5'!$A$1:$H$43</definedName>
    <definedName name="_xlnm.Print_Area" localSheetId="8">'Div6'!$A$1:$H$47</definedName>
    <definedName name="_xlnm.Print_Area" localSheetId="9">'Div7'!$A$1:$H$43</definedName>
    <definedName name="_xlnm.Print_Area" localSheetId="11">'Div9'!$A$1:$H$43</definedName>
    <definedName name="_xlnm.Print_Area" localSheetId="0">Instructions!$A$1:$B$2</definedName>
    <definedName name="_xlnm.Print_Area" localSheetId="2">Summary!$A$1:$G$55</definedName>
    <definedName name="_xlnm.Print_Titles" localSheetId="3">'Div1'!$1:$12</definedName>
    <definedName name="_xlnm.Print_Titles" localSheetId="12">'Div10'!$1:$12</definedName>
    <definedName name="_xlnm.Print_Titles" localSheetId="13">'Div11'!$1:$12</definedName>
    <definedName name="_xlnm.Print_Titles" localSheetId="14">'Div12'!$1:$12</definedName>
    <definedName name="_xlnm.Print_Titles" localSheetId="15">'Div13'!$1:$12</definedName>
    <definedName name="_xlnm.Print_Titles" localSheetId="16">'Div14'!$1:$12</definedName>
    <definedName name="_xlnm.Print_Titles" localSheetId="4">'Div2'!$1:$12</definedName>
    <definedName name="_xlnm.Print_Titles" localSheetId="17">'Div21'!$1:$12</definedName>
    <definedName name="_xlnm.Print_Titles" localSheetId="18">'Div22'!$1:$12</definedName>
    <definedName name="_xlnm.Print_Titles" localSheetId="19">'Div23'!$1:$12</definedName>
    <definedName name="_xlnm.Print_Titles" localSheetId="20">'Div25'!$1:$12</definedName>
    <definedName name="_xlnm.Print_Titles" localSheetId="21">'Div26'!$1:$12</definedName>
    <definedName name="_xlnm.Print_Titles" localSheetId="22">'Div27'!$1:$12</definedName>
    <definedName name="_xlnm.Print_Titles" localSheetId="23">'Div28'!$1:$12</definedName>
    <definedName name="_xlnm.Print_Titles" localSheetId="5">'Div3'!$1:$12</definedName>
    <definedName name="_xlnm.Print_Titles" localSheetId="24">'Div31'!$1:$12</definedName>
    <definedName name="_xlnm.Print_Titles" localSheetId="25">'Div32'!$1:$12</definedName>
    <definedName name="_xlnm.Print_Titles" localSheetId="26">'Div33'!$1:$12</definedName>
    <definedName name="_xlnm.Print_Titles" localSheetId="27">'Div34'!$1:$12</definedName>
    <definedName name="_xlnm.Print_Titles" localSheetId="28">'Div35'!$1:$12</definedName>
    <definedName name="_xlnm.Print_Titles" localSheetId="6">'Div4'!$1:$12</definedName>
    <definedName name="_xlnm.Print_Titles" localSheetId="29">'Div40'!$1:$12</definedName>
    <definedName name="_xlnm.Print_Titles" localSheetId="30">'Div41'!$1:$12</definedName>
    <definedName name="_xlnm.Print_Titles" localSheetId="31">'Div42'!$1:$12</definedName>
    <definedName name="_xlnm.Print_Titles" localSheetId="32">'Div43'!$1:$12</definedName>
    <definedName name="_xlnm.Print_Titles" localSheetId="33">'Div44'!$1:$12</definedName>
    <definedName name="_xlnm.Print_Titles" localSheetId="34">'Div45'!$1:$12</definedName>
    <definedName name="_xlnm.Print_Titles" localSheetId="35">'Div48'!$1:$12</definedName>
    <definedName name="_xlnm.Print_Titles" localSheetId="7">'Div5'!$1:$12</definedName>
    <definedName name="_xlnm.Print_Titles" localSheetId="8">'Div6'!$1:$12</definedName>
    <definedName name="_xlnm.Print_Titles" localSheetId="9">'Div7'!$1:$12</definedName>
    <definedName name="_xlnm.Print_Titles" localSheetId="10">'Div8'!$1:$12</definedName>
    <definedName name="_xlnm.Print_Titles" localSheetId="11">'Div9'!$1:$12</definedName>
    <definedName name="_xlnm.Print_Titles" localSheetId="2">Summary!$1:$12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3" i="1" l="1"/>
  <c r="C51" i="1"/>
  <c r="C49" i="1"/>
  <c r="E16" i="60"/>
  <c r="G16" i="60"/>
  <c r="H16" i="60"/>
  <c r="E17" i="60"/>
  <c r="G17" i="60"/>
  <c r="H17" i="60"/>
  <c r="E18" i="60"/>
  <c r="G18" i="60"/>
  <c r="H18" i="60"/>
  <c r="E19" i="60"/>
  <c r="G19" i="60"/>
  <c r="H19" i="60"/>
  <c r="E20" i="60"/>
  <c r="G20" i="60"/>
  <c r="H20" i="60"/>
  <c r="E21" i="60"/>
  <c r="G21" i="60"/>
  <c r="H21" i="60"/>
  <c r="E22" i="60"/>
  <c r="G22" i="60"/>
  <c r="H22" i="60"/>
  <c r="E23" i="60"/>
  <c r="G23" i="60"/>
  <c r="H23" i="60"/>
  <c r="E24" i="60"/>
  <c r="G24" i="60"/>
  <c r="H24" i="60"/>
  <c r="E25" i="60"/>
  <c r="G25" i="60"/>
  <c r="H25" i="60"/>
  <c r="E26" i="60"/>
  <c r="G26" i="60"/>
  <c r="H26" i="60"/>
  <c r="E27" i="60"/>
  <c r="G27" i="60"/>
  <c r="H27" i="60"/>
  <c r="E28" i="60"/>
  <c r="G28" i="60"/>
  <c r="H28" i="60"/>
  <c r="E29" i="60"/>
  <c r="G29" i="60"/>
  <c r="H29" i="60"/>
  <c r="E30" i="60"/>
  <c r="G30" i="60"/>
  <c r="H30" i="60"/>
  <c r="A13" i="56"/>
  <c r="A13" i="57"/>
  <c r="A13" i="58"/>
  <c r="A13" i="60"/>
  <c r="A13" i="61"/>
  <c r="A13" i="62"/>
  <c r="A13" i="63"/>
  <c r="A13" i="66"/>
  <c r="A13" i="67"/>
  <c r="A13" i="68"/>
  <c r="A13" i="69"/>
  <c r="A13" i="70"/>
  <c r="A13" i="83"/>
  <c r="A13" i="80"/>
  <c r="A13" i="79"/>
  <c r="A13" i="78"/>
  <c r="A13" i="77"/>
  <c r="A13" i="76"/>
  <c r="A13" i="75"/>
  <c r="G25" i="61"/>
  <c r="G26" i="61"/>
  <c r="G27" i="61"/>
  <c r="G28" i="61"/>
  <c r="G29" i="61"/>
  <c r="G30" i="61"/>
  <c r="G31" i="61"/>
  <c r="G32" i="61"/>
  <c r="G33" i="61"/>
  <c r="G34" i="61"/>
  <c r="G35" i="61"/>
  <c r="G36" i="61"/>
  <c r="G37" i="61"/>
  <c r="G38" i="61"/>
  <c r="G39" i="61"/>
  <c r="G40" i="61"/>
  <c r="G41" i="61"/>
  <c r="G42" i="61"/>
  <c r="G43" i="61"/>
  <c r="G44" i="61"/>
  <c r="G45" i="61"/>
  <c r="G46" i="61"/>
  <c r="G47" i="61"/>
  <c r="G48" i="61"/>
  <c r="G49" i="61"/>
  <c r="G50" i="61"/>
  <c r="E15" i="61"/>
  <c r="E16" i="61"/>
  <c r="E17" i="61"/>
  <c r="E18" i="61"/>
  <c r="E19" i="61"/>
  <c r="E20" i="61"/>
  <c r="E21" i="61"/>
  <c r="E22" i="61"/>
  <c r="E23" i="61"/>
  <c r="E24" i="61"/>
  <c r="E25" i="61"/>
  <c r="H25" i="61" s="1"/>
  <c r="E26" i="61"/>
  <c r="H26" i="61" s="1"/>
  <c r="E27" i="61"/>
  <c r="E28" i="61"/>
  <c r="E29" i="61"/>
  <c r="E30" i="61"/>
  <c r="E31" i="61"/>
  <c r="H31" i="61" s="1"/>
  <c r="E32" i="61"/>
  <c r="H32" i="61" s="1"/>
  <c r="E33" i="61"/>
  <c r="H33" i="61" s="1"/>
  <c r="E34" i="61"/>
  <c r="H34" i="61" s="1"/>
  <c r="E35" i="61"/>
  <c r="E36" i="61"/>
  <c r="E37" i="61"/>
  <c r="E38" i="61"/>
  <c r="E39" i="61"/>
  <c r="H39" i="61" s="1"/>
  <c r="E40" i="61"/>
  <c r="H40" i="61" s="1"/>
  <c r="E41" i="61"/>
  <c r="H41" i="61" s="1"/>
  <c r="E42" i="61"/>
  <c r="H42" i="61" s="1"/>
  <c r="E43" i="61"/>
  <c r="E44" i="61"/>
  <c r="E45" i="61"/>
  <c r="E46" i="61"/>
  <c r="E47" i="61"/>
  <c r="H47" i="61" s="1"/>
  <c r="E48" i="61"/>
  <c r="H48" i="61" s="1"/>
  <c r="E49" i="61"/>
  <c r="H49" i="61" s="1"/>
  <c r="E50" i="61"/>
  <c r="H50" i="61" s="1"/>
  <c r="G32" i="57"/>
  <c r="G33" i="57"/>
  <c r="G34" i="57"/>
  <c r="G35" i="57"/>
  <c r="G36" i="57"/>
  <c r="G37" i="57"/>
  <c r="G38" i="57"/>
  <c r="G39" i="57"/>
  <c r="G40" i="57"/>
  <c r="G41" i="57"/>
  <c r="G42" i="57"/>
  <c r="E32" i="57"/>
  <c r="H32" i="57" s="1"/>
  <c r="E33" i="57"/>
  <c r="H33" i="57" s="1"/>
  <c r="E34" i="57"/>
  <c r="H34" i="57" s="1"/>
  <c r="E35" i="57"/>
  <c r="H35" i="57" s="1"/>
  <c r="E36" i="57"/>
  <c r="H36" i="57" s="1"/>
  <c r="E37" i="57"/>
  <c r="H37" i="57" s="1"/>
  <c r="E38" i="57"/>
  <c r="H38" i="57" s="1"/>
  <c r="E39" i="57"/>
  <c r="E40" i="57"/>
  <c r="H40" i="57" s="1"/>
  <c r="E41" i="57"/>
  <c r="H41" i="57" s="1"/>
  <c r="E42" i="57"/>
  <c r="H42" i="57" s="1"/>
  <c r="E37" i="4"/>
  <c r="E38" i="4"/>
  <c r="E39" i="4"/>
  <c r="E40" i="4"/>
  <c r="E41" i="4"/>
  <c r="E42" i="4"/>
  <c r="E43" i="4"/>
  <c r="E44" i="4"/>
  <c r="G37" i="4"/>
  <c r="G38" i="4"/>
  <c r="G39" i="4"/>
  <c r="H39" i="4" s="1"/>
  <c r="G40" i="4"/>
  <c r="G41" i="4"/>
  <c r="G42" i="4"/>
  <c r="G43" i="4"/>
  <c r="G44" i="4"/>
  <c r="H44" i="4" s="1"/>
  <c r="G45" i="4"/>
  <c r="H37" i="4"/>
  <c r="H38" i="4"/>
  <c r="H40" i="4"/>
  <c r="H41" i="4"/>
  <c r="H43" i="4"/>
  <c r="H42" i="4" l="1"/>
  <c r="H39" i="57"/>
  <c r="H46" i="61"/>
  <c r="H45" i="61"/>
  <c r="H44" i="61"/>
  <c r="H43" i="61"/>
  <c r="H38" i="61"/>
  <c r="H37" i="61"/>
  <c r="H36" i="61"/>
  <c r="H35" i="61"/>
  <c r="H30" i="61"/>
  <c r="H29" i="61"/>
  <c r="H28" i="61"/>
  <c r="H27" i="61"/>
  <c r="G36" i="5"/>
  <c r="G37" i="6"/>
  <c r="G37" i="43"/>
  <c r="G41" i="44"/>
  <c r="G37" i="45"/>
  <c r="G41" i="46"/>
  <c r="G37" i="47"/>
  <c r="G36" i="48"/>
  <c r="G36" i="49"/>
  <c r="G37" i="50"/>
  <c r="G35" i="51"/>
  <c r="G35" i="52"/>
  <c r="G34" i="56"/>
  <c r="G44" i="57"/>
  <c r="G31" i="58"/>
  <c r="G31" i="60"/>
  <c r="G33" i="62"/>
  <c r="G32" i="63"/>
  <c r="G55" i="66"/>
  <c r="G29" i="67"/>
  <c r="G25" i="68"/>
  <c r="G32" i="69"/>
  <c r="G32" i="70"/>
  <c r="G30" i="75"/>
  <c r="G33" i="76"/>
  <c r="G30" i="77"/>
  <c r="G31" i="78"/>
  <c r="G30" i="79"/>
  <c r="G25" i="80"/>
  <c r="G30" i="83"/>
  <c r="G36" i="3"/>
  <c r="E36" i="5"/>
  <c r="E37" i="6"/>
  <c r="H37" i="6" s="1"/>
  <c r="E37" i="43"/>
  <c r="H37" i="43" s="1"/>
  <c r="E41" i="44"/>
  <c r="H41" i="44"/>
  <c r="E37" i="45"/>
  <c r="H37" i="45" s="1"/>
  <c r="E41" i="46"/>
  <c r="H41" i="46"/>
  <c r="E37" i="47"/>
  <c r="H37" i="47"/>
  <c r="E36" i="48"/>
  <c r="E36" i="49"/>
  <c r="H36" i="49" s="1"/>
  <c r="E37" i="50"/>
  <c r="E35" i="51"/>
  <c r="H35" i="51"/>
  <c r="E35" i="52"/>
  <c r="H35" i="52"/>
  <c r="E34" i="56"/>
  <c r="H34" i="56"/>
  <c r="E44" i="57"/>
  <c r="H44" i="57" s="1"/>
  <c r="E31" i="58"/>
  <c r="H31" i="58" s="1"/>
  <c r="E31" i="60"/>
  <c r="E33" i="62"/>
  <c r="E32" i="63"/>
  <c r="H32" i="63"/>
  <c r="E55" i="66"/>
  <c r="E29" i="67"/>
  <c r="H29" i="67"/>
  <c r="E25" i="68"/>
  <c r="H25" i="68"/>
  <c r="E32" i="69"/>
  <c r="E32" i="70"/>
  <c r="E30" i="75"/>
  <c r="E33" i="76"/>
  <c r="H33" i="76"/>
  <c r="E30" i="77"/>
  <c r="H30" i="77"/>
  <c r="E31" i="78"/>
  <c r="H31" i="78"/>
  <c r="E30" i="79"/>
  <c r="H30" i="79"/>
  <c r="E25" i="80"/>
  <c r="H25" i="80"/>
  <c r="E30" i="83"/>
  <c r="H30" i="83" s="1"/>
  <c r="E36" i="3"/>
  <c r="H36" i="3"/>
  <c r="G41" i="3"/>
  <c r="G49" i="4"/>
  <c r="H49" i="4" s="1"/>
  <c r="G41" i="5"/>
  <c r="G42" i="6"/>
  <c r="G42" i="43"/>
  <c r="G46" i="44"/>
  <c r="G42" i="45"/>
  <c r="G46" i="46"/>
  <c r="G42" i="47"/>
  <c r="G41" i="48"/>
  <c r="G41" i="49"/>
  <c r="G42" i="50"/>
  <c r="G40" i="51"/>
  <c r="G40" i="52"/>
  <c r="G39" i="56"/>
  <c r="G49" i="57"/>
  <c r="G36" i="58"/>
  <c r="G36" i="60"/>
  <c r="G55" i="61"/>
  <c r="G38" i="62"/>
  <c r="G37" i="63"/>
  <c r="G60" i="66"/>
  <c r="G34" i="67"/>
  <c r="G30" i="68"/>
  <c r="G37" i="69"/>
  <c r="G37" i="70"/>
  <c r="G35" i="75"/>
  <c r="G38" i="76"/>
  <c r="G35" i="77"/>
  <c r="G36" i="78"/>
  <c r="G35" i="79"/>
  <c r="G30" i="80"/>
  <c r="G35" i="83"/>
  <c r="G40" i="3"/>
  <c r="G48" i="4"/>
  <c r="G40" i="5"/>
  <c r="G41" i="6"/>
  <c r="G41" i="43"/>
  <c r="G45" i="44"/>
  <c r="G41" i="45"/>
  <c r="G45" i="46"/>
  <c r="G41" i="47"/>
  <c r="G40" i="48"/>
  <c r="G40" i="49"/>
  <c r="G41" i="50"/>
  <c r="G39" i="51"/>
  <c r="G39" i="52"/>
  <c r="G38" i="56"/>
  <c r="G48" i="57"/>
  <c r="G35" i="58"/>
  <c r="G35" i="60"/>
  <c r="G54" i="61"/>
  <c r="G37" i="62"/>
  <c r="G36" i="63"/>
  <c r="G59" i="66"/>
  <c r="G33" i="67"/>
  <c r="G29" i="68"/>
  <c r="G36" i="69"/>
  <c r="G36" i="70"/>
  <c r="G34" i="75"/>
  <c r="G37" i="76"/>
  <c r="G34" i="77"/>
  <c r="G35" i="78"/>
  <c r="G34" i="79"/>
  <c r="G29" i="80"/>
  <c r="G34" i="83"/>
  <c r="G39" i="3"/>
  <c r="G47" i="4"/>
  <c r="G39" i="5"/>
  <c r="G40" i="6"/>
  <c r="G40" i="43"/>
  <c r="G44" i="44"/>
  <c r="G40" i="45"/>
  <c r="G44" i="46"/>
  <c r="G40" i="47"/>
  <c r="G39" i="48"/>
  <c r="G39" i="49"/>
  <c r="G40" i="50"/>
  <c r="G38" i="51"/>
  <c r="G38" i="52"/>
  <c r="G37" i="56"/>
  <c r="G47" i="57"/>
  <c r="G34" i="58"/>
  <c r="G34" i="60"/>
  <c r="G53" i="61"/>
  <c r="G36" i="62"/>
  <c r="G35" i="63"/>
  <c r="G58" i="66"/>
  <c r="G32" i="67"/>
  <c r="G28" i="68"/>
  <c r="G35" i="69"/>
  <c r="G35" i="70"/>
  <c r="G33" i="75"/>
  <c r="G36" i="76"/>
  <c r="G33" i="77"/>
  <c r="G34" i="78"/>
  <c r="G33" i="79"/>
  <c r="G28" i="80"/>
  <c r="G33" i="83"/>
  <c r="G21" i="80"/>
  <c r="E21" i="80"/>
  <c r="H21" i="80"/>
  <c r="G23" i="79"/>
  <c r="E23" i="79"/>
  <c r="G24" i="76"/>
  <c r="E24" i="76"/>
  <c r="H24" i="76" s="1"/>
  <c r="G21" i="75"/>
  <c r="E21" i="75"/>
  <c r="H21" i="75"/>
  <c r="G18" i="68"/>
  <c r="E18" i="68"/>
  <c r="G19" i="67"/>
  <c r="E19" i="67"/>
  <c r="H19" i="67"/>
  <c r="G21" i="66"/>
  <c r="E21" i="66"/>
  <c r="G22" i="63"/>
  <c r="E22" i="63"/>
  <c r="H22" i="63" s="1"/>
  <c r="G25" i="62"/>
  <c r="E25" i="62"/>
  <c r="G27" i="56"/>
  <c r="E27" i="56"/>
  <c r="H27" i="56"/>
  <c r="E29" i="51"/>
  <c r="E30" i="51"/>
  <c r="G32" i="50"/>
  <c r="E32" i="50"/>
  <c r="G30" i="49"/>
  <c r="E30" i="49"/>
  <c r="G35" i="46"/>
  <c r="E35" i="46"/>
  <c r="G28" i="45"/>
  <c r="E28" i="45"/>
  <c r="H28" i="45"/>
  <c r="G35" i="44"/>
  <c r="E35" i="44"/>
  <c r="H35" i="44" s="1"/>
  <c r="D2" i="4"/>
  <c r="D2" i="5"/>
  <c r="D2" i="6"/>
  <c r="D2" i="43"/>
  <c r="D2" i="44"/>
  <c r="D2" i="45"/>
  <c r="D2" i="46"/>
  <c r="D2" i="47"/>
  <c r="D2" i="48"/>
  <c r="D2" i="49"/>
  <c r="D2" i="50"/>
  <c r="D2" i="51"/>
  <c r="D2" i="52"/>
  <c r="D2" i="56"/>
  <c r="D2" i="57"/>
  <c r="D2" i="58"/>
  <c r="D2" i="60"/>
  <c r="D2" i="61"/>
  <c r="D2" i="62"/>
  <c r="D2" i="63"/>
  <c r="D2" i="66"/>
  <c r="D2" i="67"/>
  <c r="D2" i="68"/>
  <c r="D2" i="69"/>
  <c r="D2" i="70"/>
  <c r="D2" i="75"/>
  <c r="D2" i="76"/>
  <c r="D2" i="77"/>
  <c r="D2" i="78"/>
  <c r="D2" i="79"/>
  <c r="D2" i="80"/>
  <c r="D2" i="83"/>
  <c r="D2" i="3"/>
  <c r="C8" i="52"/>
  <c r="C8" i="48"/>
  <c r="C8" i="47"/>
  <c r="C8" i="43"/>
  <c r="A8" i="4"/>
  <c r="A8" i="5"/>
  <c r="A8" i="6"/>
  <c r="A8" i="43"/>
  <c r="A8" i="44"/>
  <c r="A8" i="45"/>
  <c r="A8" i="46"/>
  <c r="A8" i="47"/>
  <c r="A8" i="48"/>
  <c r="A8" i="49"/>
  <c r="A8" i="50"/>
  <c r="A8" i="51"/>
  <c r="A8" i="52"/>
  <c r="A8" i="56"/>
  <c r="A8" i="57"/>
  <c r="A8" i="58"/>
  <c r="A8" i="60"/>
  <c r="A8" i="61"/>
  <c r="A8" i="62"/>
  <c r="A8" i="63"/>
  <c r="A8" i="66"/>
  <c r="A8" i="67"/>
  <c r="A8" i="68"/>
  <c r="A8" i="69"/>
  <c r="A8" i="70"/>
  <c r="A8" i="75"/>
  <c r="A8" i="76"/>
  <c r="A8" i="77"/>
  <c r="A8" i="78"/>
  <c r="A8" i="79"/>
  <c r="A8" i="80"/>
  <c r="A8" i="83"/>
  <c r="A8" i="3"/>
  <c r="D8" i="4"/>
  <c r="D8" i="5"/>
  <c r="D8" i="6"/>
  <c r="D8" i="44"/>
  <c r="D8" i="45"/>
  <c r="D8" i="46"/>
  <c r="D8" i="49"/>
  <c r="D8" i="50"/>
  <c r="D8" i="51"/>
  <c r="D8" i="56"/>
  <c r="D8" i="61"/>
  <c r="D8" i="62"/>
  <c r="D8" i="63"/>
  <c r="D8" i="66"/>
  <c r="D8" i="67"/>
  <c r="D8" i="68"/>
  <c r="D8" i="75"/>
  <c r="D8" i="76"/>
  <c r="D8" i="79"/>
  <c r="D8" i="80"/>
  <c r="D8" i="3"/>
  <c r="A4" i="4"/>
  <c r="A4" i="5"/>
  <c r="A4" i="6"/>
  <c r="A4" i="43"/>
  <c r="A4" i="44"/>
  <c r="A4" i="45"/>
  <c r="A4" i="46"/>
  <c r="A4" i="47"/>
  <c r="A4" i="48"/>
  <c r="A4" i="49"/>
  <c r="A4" i="50"/>
  <c r="A4" i="51"/>
  <c r="A4" i="52"/>
  <c r="A4" i="56"/>
  <c r="A4" i="57"/>
  <c r="A4" i="58"/>
  <c r="A4" i="60"/>
  <c r="A4" i="61"/>
  <c r="A4" i="62"/>
  <c r="A4" i="63"/>
  <c r="A4" i="66"/>
  <c r="A4" i="67"/>
  <c r="A4" i="68"/>
  <c r="A4" i="69"/>
  <c r="A4" i="70"/>
  <c r="A4" i="75"/>
  <c r="A4" i="76"/>
  <c r="A4" i="77"/>
  <c r="A4" i="78"/>
  <c r="A4" i="79"/>
  <c r="A4" i="80"/>
  <c r="A4" i="83"/>
  <c r="A4" i="3"/>
  <c r="G19" i="5"/>
  <c r="E19" i="5"/>
  <c r="G31" i="3"/>
  <c r="E31" i="3"/>
  <c r="G29" i="83"/>
  <c r="E29" i="83"/>
  <c r="H29" i="83"/>
  <c r="G28" i="83"/>
  <c r="E28" i="83"/>
  <c r="G27" i="83"/>
  <c r="E27" i="83"/>
  <c r="G26" i="83"/>
  <c r="E26" i="83"/>
  <c r="H26" i="83" s="1"/>
  <c r="G25" i="83"/>
  <c r="E25" i="83"/>
  <c r="G24" i="83"/>
  <c r="E24" i="83"/>
  <c r="G23" i="83"/>
  <c r="E23" i="83"/>
  <c r="G22" i="83"/>
  <c r="E22" i="83"/>
  <c r="H22" i="83" s="1"/>
  <c r="G21" i="83"/>
  <c r="E21" i="83"/>
  <c r="H21" i="83"/>
  <c r="G20" i="83"/>
  <c r="E20" i="83"/>
  <c r="G19" i="83"/>
  <c r="E19" i="83"/>
  <c r="H19" i="83"/>
  <c r="G18" i="83"/>
  <c r="E18" i="83"/>
  <c r="G17" i="83"/>
  <c r="E17" i="83"/>
  <c r="G16" i="83"/>
  <c r="E16" i="83"/>
  <c r="H16" i="83"/>
  <c r="G15" i="83"/>
  <c r="E15" i="83"/>
  <c r="G14" i="83"/>
  <c r="E14" i="83"/>
  <c r="G24" i="80"/>
  <c r="E24" i="80"/>
  <c r="G23" i="80"/>
  <c r="E23" i="80"/>
  <c r="G22" i="80"/>
  <c r="E22" i="80"/>
  <c r="H22" i="80"/>
  <c r="G20" i="80"/>
  <c r="E20" i="80"/>
  <c r="G19" i="80"/>
  <c r="E19" i="80"/>
  <c r="G18" i="80"/>
  <c r="E18" i="80"/>
  <c r="G17" i="80"/>
  <c r="E17" i="80"/>
  <c r="H17" i="80" s="1"/>
  <c r="G16" i="80"/>
  <c r="E16" i="80"/>
  <c r="G15" i="80"/>
  <c r="E15" i="80"/>
  <c r="H15" i="80"/>
  <c r="G14" i="80"/>
  <c r="E14" i="80"/>
  <c r="G29" i="79"/>
  <c r="E29" i="79"/>
  <c r="G28" i="79"/>
  <c r="E28" i="79"/>
  <c r="H28" i="79" s="1"/>
  <c r="G27" i="79"/>
  <c r="E27" i="79"/>
  <c r="H27" i="79"/>
  <c r="G26" i="79"/>
  <c r="E26" i="79"/>
  <c r="G25" i="79"/>
  <c r="E25" i="79"/>
  <c r="H25" i="79" s="1"/>
  <c r="G24" i="79"/>
  <c r="E24" i="79"/>
  <c r="H24" i="79"/>
  <c r="G22" i="79"/>
  <c r="E22" i="79"/>
  <c r="H22" i="79"/>
  <c r="G21" i="79"/>
  <c r="E21" i="79"/>
  <c r="H21" i="79"/>
  <c r="G20" i="79"/>
  <c r="E20" i="79"/>
  <c r="H20" i="79" s="1"/>
  <c r="G19" i="79"/>
  <c r="E19" i="79"/>
  <c r="H19" i="79"/>
  <c r="G18" i="79"/>
  <c r="E18" i="79"/>
  <c r="H18" i="79"/>
  <c r="G17" i="79"/>
  <c r="E17" i="79"/>
  <c r="G16" i="79"/>
  <c r="E16" i="79"/>
  <c r="G15" i="79"/>
  <c r="E15" i="79"/>
  <c r="G14" i="79"/>
  <c r="E14" i="79"/>
  <c r="G30" i="78"/>
  <c r="E30" i="78"/>
  <c r="H30" i="78"/>
  <c r="G29" i="78"/>
  <c r="E29" i="78"/>
  <c r="G28" i="78"/>
  <c r="E28" i="78"/>
  <c r="H28" i="78" s="1"/>
  <c r="G27" i="78"/>
  <c r="E27" i="78"/>
  <c r="G26" i="78"/>
  <c r="E26" i="78"/>
  <c r="H26" i="78"/>
  <c r="G25" i="78"/>
  <c r="E25" i="78"/>
  <c r="H25" i="78" s="1"/>
  <c r="G24" i="78"/>
  <c r="E24" i="78"/>
  <c r="G23" i="78"/>
  <c r="E23" i="78"/>
  <c r="H23" i="78"/>
  <c r="G22" i="78"/>
  <c r="E22" i="78"/>
  <c r="G21" i="78"/>
  <c r="E21" i="78"/>
  <c r="G20" i="78"/>
  <c r="E20" i="78"/>
  <c r="H20" i="78"/>
  <c r="G19" i="78"/>
  <c r="E19" i="78"/>
  <c r="H19" i="78"/>
  <c r="G18" i="78"/>
  <c r="E18" i="78"/>
  <c r="G17" i="78"/>
  <c r="E17" i="78"/>
  <c r="G16" i="78"/>
  <c r="E16" i="78"/>
  <c r="H16" i="78" s="1"/>
  <c r="G15" i="78"/>
  <c r="E15" i="78"/>
  <c r="H15" i="78" s="1"/>
  <c r="G14" i="78"/>
  <c r="E14" i="78"/>
  <c r="H14" i="78"/>
  <c r="G29" i="77"/>
  <c r="E29" i="77"/>
  <c r="G28" i="77"/>
  <c r="E28" i="77"/>
  <c r="H28" i="77" s="1"/>
  <c r="G27" i="77"/>
  <c r="E27" i="77"/>
  <c r="H27" i="77"/>
  <c r="G26" i="77"/>
  <c r="E26" i="77"/>
  <c r="G25" i="77"/>
  <c r="E25" i="77"/>
  <c r="H25" i="77"/>
  <c r="G24" i="77"/>
  <c r="E24" i="77"/>
  <c r="G23" i="77"/>
  <c r="E23" i="77"/>
  <c r="G22" i="77"/>
  <c r="E22" i="77"/>
  <c r="G21" i="77"/>
  <c r="E21" i="77"/>
  <c r="H21" i="77"/>
  <c r="G20" i="77"/>
  <c r="E20" i="77"/>
  <c r="H20" i="77"/>
  <c r="G19" i="77"/>
  <c r="E19" i="77"/>
  <c r="H19" i="77"/>
  <c r="G18" i="77"/>
  <c r="E18" i="77"/>
  <c r="H18" i="77"/>
  <c r="G17" i="77"/>
  <c r="E17" i="77"/>
  <c r="H17" i="77" s="1"/>
  <c r="G16" i="77"/>
  <c r="E16" i="77"/>
  <c r="H16" i="77"/>
  <c r="G15" i="77"/>
  <c r="E15" i="77"/>
  <c r="G14" i="77"/>
  <c r="E14" i="77"/>
  <c r="H14" i="77" s="1"/>
  <c r="G32" i="76"/>
  <c r="E32" i="76"/>
  <c r="H32" i="76"/>
  <c r="G31" i="76"/>
  <c r="E31" i="76"/>
  <c r="G30" i="76"/>
  <c r="E30" i="76"/>
  <c r="H30" i="76" s="1"/>
  <c r="G29" i="76"/>
  <c r="E29" i="76"/>
  <c r="G28" i="76"/>
  <c r="E28" i="76"/>
  <c r="G27" i="76"/>
  <c r="E27" i="76"/>
  <c r="G26" i="76"/>
  <c r="E26" i="76"/>
  <c r="G25" i="76"/>
  <c r="E25" i="76"/>
  <c r="H25" i="76" s="1"/>
  <c r="G23" i="76"/>
  <c r="E23" i="76"/>
  <c r="H23" i="76"/>
  <c r="G22" i="76"/>
  <c r="E22" i="76"/>
  <c r="G21" i="76"/>
  <c r="E21" i="76"/>
  <c r="G20" i="76"/>
  <c r="E20" i="76"/>
  <c r="H20" i="76"/>
  <c r="G19" i="76"/>
  <c r="E19" i="76"/>
  <c r="G18" i="76"/>
  <c r="E18" i="76"/>
  <c r="G17" i="76"/>
  <c r="E17" i="76"/>
  <c r="H17" i="76" s="1"/>
  <c r="G16" i="76"/>
  <c r="E16" i="76"/>
  <c r="H16" i="76" s="1"/>
  <c r="G15" i="76"/>
  <c r="E15" i="76"/>
  <c r="H15" i="76"/>
  <c r="G14" i="76"/>
  <c r="E14" i="76"/>
  <c r="H14" i="76" s="1"/>
  <c r="G29" i="75"/>
  <c r="E29" i="75"/>
  <c r="G28" i="75"/>
  <c r="E28" i="75"/>
  <c r="H28" i="75"/>
  <c r="G27" i="75"/>
  <c r="E27" i="75"/>
  <c r="G26" i="75"/>
  <c r="E26" i="75"/>
  <c r="G25" i="75"/>
  <c r="E25" i="75"/>
  <c r="H25" i="75" s="1"/>
  <c r="G24" i="75"/>
  <c r="E24" i="75"/>
  <c r="H24" i="75"/>
  <c r="G23" i="75"/>
  <c r="E23" i="75"/>
  <c r="G22" i="75"/>
  <c r="E22" i="75"/>
  <c r="H22" i="75"/>
  <c r="G20" i="75"/>
  <c r="E20" i="75"/>
  <c r="G19" i="75"/>
  <c r="E19" i="75"/>
  <c r="G18" i="75"/>
  <c r="E18" i="75"/>
  <c r="G17" i="75"/>
  <c r="E17" i="75"/>
  <c r="G16" i="75"/>
  <c r="E16" i="75"/>
  <c r="G15" i="75"/>
  <c r="E15" i="75"/>
  <c r="H15" i="75"/>
  <c r="G14" i="75"/>
  <c r="E14" i="75"/>
  <c r="G31" i="70"/>
  <c r="E31" i="70"/>
  <c r="H31" i="70"/>
  <c r="G30" i="70"/>
  <c r="E30" i="70"/>
  <c r="G29" i="70"/>
  <c r="E29" i="70"/>
  <c r="G28" i="70"/>
  <c r="E28" i="70"/>
  <c r="G27" i="70"/>
  <c r="E27" i="70"/>
  <c r="H27" i="70"/>
  <c r="G26" i="70"/>
  <c r="E26" i="70"/>
  <c r="H26" i="70" s="1"/>
  <c r="G25" i="70"/>
  <c r="E25" i="70"/>
  <c r="H25" i="70" s="1"/>
  <c r="G24" i="70"/>
  <c r="E24" i="70"/>
  <c r="H24" i="70"/>
  <c r="G23" i="70"/>
  <c r="E23" i="70"/>
  <c r="G22" i="70"/>
  <c r="E22" i="70"/>
  <c r="H22" i="70"/>
  <c r="G21" i="70"/>
  <c r="E21" i="70"/>
  <c r="G20" i="70"/>
  <c r="E20" i="70"/>
  <c r="H20" i="70" s="1"/>
  <c r="G19" i="70"/>
  <c r="E19" i="70"/>
  <c r="H19" i="70"/>
  <c r="G18" i="70"/>
  <c r="E18" i="70"/>
  <c r="G17" i="70"/>
  <c r="E17" i="70"/>
  <c r="H17" i="70"/>
  <c r="G16" i="70"/>
  <c r="E16" i="70"/>
  <c r="G15" i="70"/>
  <c r="E15" i="70"/>
  <c r="H15" i="70" s="1"/>
  <c r="G14" i="70"/>
  <c r="E14" i="70"/>
  <c r="G31" i="69"/>
  <c r="E31" i="69"/>
  <c r="G30" i="69"/>
  <c r="E30" i="69"/>
  <c r="H30" i="69" s="1"/>
  <c r="G29" i="69"/>
  <c r="E29" i="69"/>
  <c r="G28" i="69"/>
  <c r="E28" i="69"/>
  <c r="G27" i="69"/>
  <c r="E27" i="69"/>
  <c r="G26" i="69"/>
  <c r="E26" i="69"/>
  <c r="G25" i="69"/>
  <c r="E25" i="69"/>
  <c r="G24" i="69"/>
  <c r="E24" i="69"/>
  <c r="H24" i="69"/>
  <c r="G23" i="69"/>
  <c r="E23" i="69"/>
  <c r="G22" i="69"/>
  <c r="E22" i="69"/>
  <c r="H22" i="69"/>
  <c r="G21" i="69"/>
  <c r="E21" i="69"/>
  <c r="G20" i="69"/>
  <c r="E20" i="69"/>
  <c r="G19" i="69"/>
  <c r="E19" i="69"/>
  <c r="H19" i="69"/>
  <c r="G18" i="69"/>
  <c r="E18" i="69"/>
  <c r="G17" i="69"/>
  <c r="E17" i="69"/>
  <c r="G16" i="69"/>
  <c r="E16" i="69"/>
  <c r="G15" i="69"/>
  <c r="E15" i="69"/>
  <c r="G14" i="69"/>
  <c r="E14" i="69"/>
  <c r="G24" i="68"/>
  <c r="E24" i="68"/>
  <c r="G23" i="68"/>
  <c r="E23" i="68"/>
  <c r="G22" i="68"/>
  <c r="E22" i="68"/>
  <c r="G21" i="68"/>
  <c r="E21" i="68"/>
  <c r="G20" i="68"/>
  <c r="E20" i="68"/>
  <c r="G19" i="68"/>
  <c r="E19" i="68"/>
  <c r="G17" i="68"/>
  <c r="E17" i="68"/>
  <c r="G16" i="68"/>
  <c r="E16" i="68"/>
  <c r="G15" i="68"/>
  <c r="E15" i="68"/>
  <c r="H15" i="68"/>
  <c r="G14" i="68"/>
  <c r="E14" i="68"/>
  <c r="H14" i="68" s="1"/>
  <c r="G28" i="67"/>
  <c r="E28" i="67"/>
  <c r="G27" i="67"/>
  <c r="E27" i="67"/>
  <c r="H27" i="67"/>
  <c r="G26" i="67"/>
  <c r="E26" i="67"/>
  <c r="G25" i="67"/>
  <c r="E25" i="67"/>
  <c r="H25" i="67"/>
  <c r="G24" i="67"/>
  <c r="E24" i="67"/>
  <c r="G23" i="67"/>
  <c r="E23" i="67"/>
  <c r="G22" i="67"/>
  <c r="E22" i="67"/>
  <c r="G21" i="67"/>
  <c r="E21" i="67"/>
  <c r="H21" i="67"/>
  <c r="G20" i="67"/>
  <c r="E20" i="67"/>
  <c r="G18" i="67"/>
  <c r="E18" i="67"/>
  <c r="G17" i="67"/>
  <c r="E17" i="67"/>
  <c r="G16" i="67"/>
  <c r="E16" i="67"/>
  <c r="H16" i="67"/>
  <c r="G15" i="67"/>
  <c r="E15" i="67"/>
  <c r="G14" i="67"/>
  <c r="G30" i="67" s="1"/>
  <c r="E14" i="67"/>
  <c r="H14" i="67"/>
  <c r="G29" i="66"/>
  <c r="E29" i="66"/>
  <c r="G28" i="66"/>
  <c r="E28" i="66"/>
  <c r="H28" i="66" s="1"/>
  <c r="G27" i="66"/>
  <c r="E27" i="66"/>
  <c r="H27" i="66"/>
  <c r="G26" i="66"/>
  <c r="E26" i="66"/>
  <c r="H26" i="66" s="1"/>
  <c r="G25" i="66"/>
  <c r="E25" i="66"/>
  <c r="H25" i="66" s="1"/>
  <c r="G24" i="66"/>
  <c r="E24" i="66"/>
  <c r="G23" i="66"/>
  <c r="E23" i="66"/>
  <c r="G22" i="66"/>
  <c r="E22" i="66"/>
  <c r="H22" i="66" s="1"/>
  <c r="G20" i="66"/>
  <c r="E20" i="66"/>
  <c r="H20" i="66"/>
  <c r="G19" i="66"/>
  <c r="E19" i="66"/>
  <c r="H19" i="66" s="1"/>
  <c r="G18" i="66"/>
  <c r="E18" i="66"/>
  <c r="H18" i="66" s="1"/>
  <c r="G17" i="66"/>
  <c r="E17" i="66"/>
  <c r="H17" i="66" s="1"/>
  <c r="G16" i="66"/>
  <c r="E16" i="66"/>
  <c r="G15" i="66"/>
  <c r="E15" i="66"/>
  <c r="H15" i="66" s="1"/>
  <c r="G14" i="66"/>
  <c r="E14" i="66"/>
  <c r="H14" i="66" s="1"/>
  <c r="E56" i="66"/>
  <c r="G31" i="63"/>
  <c r="E31" i="63"/>
  <c r="H31" i="63" s="1"/>
  <c r="G30" i="63"/>
  <c r="E30" i="63"/>
  <c r="G29" i="63"/>
  <c r="E29" i="63"/>
  <c r="H29" i="63" s="1"/>
  <c r="G28" i="63"/>
  <c r="E28" i="63"/>
  <c r="H28" i="63"/>
  <c r="G27" i="63"/>
  <c r="E27" i="63"/>
  <c r="G26" i="63"/>
  <c r="E26" i="63"/>
  <c r="H26" i="63"/>
  <c r="G25" i="63"/>
  <c r="E25" i="63"/>
  <c r="G24" i="63"/>
  <c r="E24" i="63"/>
  <c r="H24" i="63"/>
  <c r="G23" i="63"/>
  <c r="E23" i="63"/>
  <c r="G21" i="63"/>
  <c r="E21" i="63"/>
  <c r="G20" i="63"/>
  <c r="E20" i="63"/>
  <c r="G19" i="63"/>
  <c r="E19" i="63"/>
  <c r="G18" i="63"/>
  <c r="E18" i="63"/>
  <c r="H18" i="63" s="1"/>
  <c r="G17" i="63"/>
  <c r="E17" i="63"/>
  <c r="G16" i="63"/>
  <c r="E16" i="63"/>
  <c r="H16" i="63"/>
  <c r="G15" i="63"/>
  <c r="E15" i="63"/>
  <c r="G14" i="63"/>
  <c r="E14" i="63"/>
  <c r="H14" i="63"/>
  <c r="G32" i="62"/>
  <c r="E32" i="62"/>
  <c r="G31" i="62"/>
  <c r="E31" i="62"/>
  <c r="H31" i="62"/>
  <c r="G30" i="62"/>
  <c r="E30" i="62"/>
  <c r="G29" i="62"/>
  <c r="E29" i="62"/>
  <c r="G28" i="62"/>
  <c r="E28" i="62"/>
  <c r="G27" i="62"/>
  <c r="E27" i="62"/>
  <c r="H27" i="62" s="1"/>
  <c r="G26" i="62"/>
  <c r="E26" i="62"/>
  <c r="H26" i="62"/>
  <c r="G24" i="62"/>
  <c r="E24" i="62"/>
  <c r="H24" i="62"/>
  <c r="G23" i="62"/>
  <c r="E23" i="62"/>
  <c r="G22" i="62"/>
  <c r="E22" i="62"/>
  <c r="H22" i="62"/>
  <c r="G21" i="62"/>
  <c r="E21" i="62"/>
  <c r="H21" i="62"/>
  <c r="G20" i="62"/>
  <c r="E20" i="62"/>
  <c r="H20" i="62"/>
  <c r="G19" i="62"/>
  <c r="E19" i="62"/>
  <c r="H19" i="62"/>
  <c r="G18" i="62"/>
  <c r="E18" i="62"/>
  <c r="G17" i="62"/>
  <c r="E17" i="62"/>
  <c r="H17" i="62"/>
  <c r="G16" i="62"/>
  <c r="E16" i="62"/>
  <c r="H16" i="62"/>
  <c r="G15" i="62"/>
  <c r="E15" i="62"/>
  <c r="G14" i="62"/>
  <c r="E14" i="62"/>
  <c r="H14" i="62"/>
  <c r="G24" i="61"/>
  <c r="G23" i="61"/>
  <c r="H23" i="61" s="1"/>
  <c r="G22" i="61"/>
  <c r="G21" i="61"/>
  <c r="G20" i="61"/>
  <c r="H20" i="61" s="1"/>
  <c r="G19" i="61"/>
  <c r="G18" i="61"/>
  <c r="G17" i="61"/>
  <c r="H17" i="61"/>
  <c r="G16" i="61"/>
  <c r="H16" i="61" s="1"/>
  <c r="G15" i="61"/>
  <c r="H15" i="61" s="1"/>
  <c r="G14" i="61"/>
  <c r="E14" i="61"/>
  <c r="G15" i="60"/>
  <c r="E15" i="60"/>
  <c r="H15" i="60" s="1"/>
  <c r="G14" i="60"/>
  <c r="E14" i="60"/>
  <c r="A13" i="52"/>
  <c r="A13" i="51"/>
  <c r="A13" i="50"/>
  <c r="A13" i="49"/>
  <c r="A13" i="48"/>
  <c r="A13" i="47"/>
  <c r="A13" i="46"/>
  <c r="A13" i="45"/>
  <c r="A13" i="44"/>
  <c r="A13" i="43"/>
  <c r="G30" i="58"/>
  <c r="E30" i="58"/>
  <c r="G29" i="58"/>
  <c r="E29" i="58"/>
  <c r="H29" i="58"/>
  <c r="G28" i="58"/>
  <c r="E28" i="58"/>
  <c r="G27" i="58"/>
  <c r="E27" i="58"/>
  <c r="H27" i="58"/>
  <c r="G26" i="58"/>
  <c r="E26" i="58"/>
  <c r="G25" i="58"/>
  <c r="E25" i="58"/>
  <c r="G24" i="58"/>
  <c r="E24" i="58"/>
  <c r="H24" i="58" s="1"/>
  <c r="G23" i="58"/>
  <c r="E23" i="58"/>
  <c r="H23" i="58" s="1"/>
  <c r="G22" i="58"/>
  <c r="E22" i="58"/>
  <c r="H22" i="58" s="1"/>
  <c r="G21" i="58"/>
  <c r="E21" i="58"/>
  <c r="H21" i="58" s="1"/>
  <c r="G20" i="58"/>
  <c r="E20" i="58"/>
  <c r="H20" i="58"/>
  <c r="G19" i="58"/>
  <c r="E19" i="58"/>
  <c r="H19" i="58"/>
  <c r="G18" i="58"/>
  <c r="E18" i="58"/>
  <c r="G17" i="58"/>
  <c r="E17" i="58"/>
  <c r="H17" i="58" s="1"/>
  <c r="G16" i="58"/>
  <c r="E16" i="58"/>
  <c r="H16" i="58" s="1"/>
  <c r="G15" i="58"/>
  <c r="E15" i="58"/>
  <c r="H15" i="58" s="1"/>
  <c r="G14" i="58"/>
  <c r="E14" i="58"/>
  <c r="H14" i="58" s="1"/>
  <c r="G43" i="57"/>
  <c r="E43" i="57"/>
  <c r="G31" i="57"/>
  <c r="E31" i="57"/>
  <c r="H31" i="57" s="1"/>
  <c r="G30" i="57"/>
  <c r="E30" i="57"/>
  <c r="G29" i="57"/>
  <c r="E29" i="57"/>
  <c r="H29" i="57" s="1"/>
  <c r="G28" i="57"/>
  <c r="E28" i="57"/>
  <c r="G27" i="57"/>
  <c r="E27" i="57"/>
  <c r="H27" i="57" s="1"/>
  <c r="G26" i="57"/>
  <c r="E26" i="57"/>
  <c r="H26" i="57" s="1"/>
  <c r="G25" i="57"/>
  <c r="E25" i="57"/>
  <c r="H25" i="57" s="1"/>
  <c r="G24" i="57"/>
  <c r="E24" i="57"/>
  <c r="H24" i="57"/>
  <c r="G23" i="57"/>
  <c r="E23" i="57"/>
  <c r="H23" i="57" s="1"/>
  <c r="G22" i="57"/>
  <c r="E22" i="57"/>
  <c r="H22" i="57"/>
  <c r="G21" i="57"/>
  <c r="E21" i="57"/>
  <c r="H21" i="57" s="1"/>
  <c r="G20" i="57"/>
  <c r="E20" i="57"/>
  <c r="G19" i="57"/>
  <c r="E19" i="57"/>
  <c r="G18" i="57"/>
  <c r="E18" i="57"/>
  <c r="H18" i="57"/>
  <c r="G17" i="57"/>
  <c r="E17" i="57"/>
  <c r="G16" i="57"/>
  <c r="E16" i="57"/>
  <c r="G15" i="57"/>
  <c r="E15" i="57"/>
  <c r="H15" i="57"/>
  <c r="G14" i="57"/>
  <c r="G45" i="57" s="1"/>
  <c r="E14" i="57"/>
  <c r="G33" i="56"/>
  <c r="E33" i="56"/>
  <c r="H33" i="56" s="1"/>
  <c r="G32" i="56"/>
  <c r="E32" i="56"/>
  <c r="G31" i="56"/>
  <c r="E31" i="56"/>
  <c r="H31" i="56" s="1"/>
  <c r="G30" i="56"/>
  <c r="E30" i="56"/>
  <c r="H30" i="56"/>
  <c r="G29" i="56"/>
  <c r="E29" i="56"/>
  <c r="H29" i="56" s="1"/>
  <c r="G28" i="56"/>
  <c r="E28" i="56"/>
  <c r="H28" i="56" s="1"/>
  <c r="G26" i="56"/>
  <c r="E26" i="56"/>
  <c r="H26" i="56"/>
  <c r="G25" i="56"/>
  <c r="E25" i="56"/>
  <c r="H25" i="56"/>
  <c r="G24" i="56"/>
  <c r="E24" i="56"/>
  <c r="G23" i="56"/>
  <c r="E23" i="56"/>
  <c r="G22" i="56"/>
  <c r="E22" i="56"/>
  <c r="G21" i="56"/>
  <c r="E21" i="56"/>
  <c r="H21" i="56" s="1"/>
  <c r="G20" i="56"/>
  <c r="E20" i="56"/>
  <c r="H20" i="56"/>
  <c r="G19" i="56"/>
  <c r="E19" i="56"/>
  <c r="H19" i="56" s="1"/>
  <c r="G18" i="56"/>
  <c r="E18" i="56"/>
  <c r="G17" i="56"/>
  <c r="E17" i="56"/>
  <c r="H17" i="56"/>
  <c r="G16" i="56"/>
  <c r="E16" i="56"/>
  <c r="G15" i="56"/>
  <c r="E15" i="56"/>
  <c r="G14" i="56"/>
  <c r="E14" i="56"/>
  <c r="H14" i="56"/>
  <c r="G34" i="52"/>
  <c r="E34" i="52"/>
  <c r="G33" i="52"/>
  <c r="E33" i="52"/>
  <c r="G32" i="52"/>
  <c r="E32" i="52"/>
  <c r="H32" i="52"/>
  <c r="G31" i="52"/>
  <c r="E31" i="52"/>
  <c r="H31" i="52" s="1"/>
  <c r="G30" i="52"/>
  <c r="E30" i="52"/>
  <c r="G29" i="52"/>
  <c r="E29" i="52"/>
  <c r="H29" i="52"/>
  <c r="G28" i="52"/>
  <c r="E28" i="52"/>
  <c r="H28" i="52"/>
  <c r="G27" i="52"/>
  <c r="E27" i="52"/>
  <c r="H27" i="52" s="1"/>
  <c r="G26" i="52"/>
  <c r="E26" i="52"/>
  <c r="G25" i="52"/>
  <c r="E25" i="52"/>
  <c r="H25" i="52"/>
  <c r="G24" i="52"/>
  <c r="E24" i="52"/>
  <c r="H24" i="52" s="1"/>
  <c r="G23" i="52"/>
  <c r="E23" i="52"/>
  <c r="H23" i="52"/>
  <c r="G22" i="52"/>
  <c r="E22" i="52"/>
  <c r="H22" i="52" s="1"/>
  <c r="G21" i="52"/>
  <c r="E21" i="52"/>
  <c r="H21" i="52"/>
  <c r="G20" i="52"/>
  <c r="E20" i="52"/>
  <c r="G19" i="52"/>
  <c r="E19" i="52"/>
  <c r="H19" i="52" s="1"/>
  <c r="G18" i="52"/>
  <c r="E18" i="52"/>
  <c r="H18" i="52"/>
  <c r="G17" i="52"/>
  <c r="E17" i="52"/>
  <c r="H17" i="52" s="1"/>
  <c r="G16" i="52"/>
  <c r="E16" i="52"/>
  <c r="G15" i="52"/>
  <c r="E15" i="52"/>
  <c r="G14" i="52"/>
  <c r="E14" i="52"/>
  <c r="G34" i="51"/>
  <c r="E34" i="51"/>
  <c r="G33" i="51"/>
  <c r="E33" i="51"/>
  <c r="G32" i="51"/>
  <c r="E32" i="51"/>
  <c r="H32" i="51" s="1"/>
  <c r="G31" i="51"/>
  <c r="E31" i="51"/>
  <c r="H31" i="51"/>
  <c r="G29" i="51"/>
  <c r="G28" i="51"/>
  <c r="E28" i="51"/>
  <c r="H28" i="51"/>
  <c r="G27" i="51"/>
  <c r="E27" i="51"/>
  <c r="H27" i="51" s="1"/>
  <c r="G26" i="51"/>
  <c r="E26" i="51"/>
  <c r="G25" i="51"/>
  <c r="E25" i="51"/>
  <c r="G24" i="51"/>
  <c r="E24" i="51"/>
  <c r="H24" i="51" s="1"/>
  <c r="G23" i="51"/>
  <c r="E23" i="51"/>
  <c r="H23" i="51" s="1"/>
  <c r="G22" i="51"/>
  <c r="E22" i="51"/>
  <c r="G21" i="51"/>
  <c r="E21" i="51"/>
  <c r="H21" i="51"/>
  <c r="G20" i="51"/>
  <c r="E20" i="51"/>
  <c r="H20" i="51" s="1"/>
  <c r="G19" i="51"/>
  <c r="E19" i="51"/>
  <c r="H19" i="51"/>
  <c r="G18" i="51"/>
  <c r="E18" i="51"/>
  <c r="H18" i="51"/>
  <c r="G17" i="51"/>
  <c r="E17" i="51"/>
  <c r="H17" i="51" s="1"/>
  <c r="G16" i="51"/>
  <c r="E16" i="51"/>
  <c r="G15" i="51"/>
  <c r="E15" i="51"/>
  <c r="G14" i="51"/>
  <c r="E14" i="51"/>
  <c r="G36" i="50"/>
  <c r="E36" i="50"/>
  <c r="G35" i="50"/>
  <c r="E35" i="50"/>
  <c r="G34" i="50"/>
  <c r="E34" i="50"/>
  <c r="H34" i="50"/>
  <c r="G33" i="50"/>
  <c r="E33" i="50"/>
  <c r="G31" i="50"/>
  <c r="E31" i="50"/>
  <c r="H31" i="50"/>
  <c r="G30" i="50"/>
  <c r="E30" i="50"/>
  <c r="H30" i="50" s="1"/>
  <c r="G29" i="50"/>
  <c r="E29" i="50"/>
  <c r="G28" i="50"/>
  <c r="E28" i="50"/>
  <c r="G27" i="50"/>
  <c r="E27" i="50"/>
  <c r="G26" i="50"/>
  <c r="E26" i="50"/>
  <c r="H26" i="50" s="1"/>
  <c r="G25" i="50"/>
  <c r="E25" i="50"/>
  <c r="H25" i="50"/>
  <c r="G24" i="50"/>
  <c r="E24" i="50"/>
  <c r="H24" i="50"/>
  <c r="G23" i="50"/>
  <c r="E23" i="50"/>
  <c r="G22" i="50"/>
  <c r="E22" i="50"/>
  <c r="H22" i="50"/>
  <c r="G21" i="50"/>
  <c r="E21" i="50"/>
  <c r="G20" i="50"/>
  <c r="E20" i="50"/>
  <c r="H20" i="50" s="1"/>
  <c r="G19" i="50"/>
  <c r="E19" i="50"/>
  <c r="H19" i="50" s="1"/>
  <c r="G18" i="50"/>
  <c r="E18" i="50"/>
  <c r="H18" i="50" s="1"/>
  <c r="G17" i="50"/>
  <c r="E17" i="50"/>
  <c r="G16" i="50"/>
  <c r="E16" i="50"/>
  <c r="G15" i="50"/>
  <c r="E15" i="50"/>
  <c r="G14" i="50"/>
  <c r="E14" i="50"/>
  <c r="H14" i="50" s="1"/>
  <c r="G35" i="49"/>
  <c r="E35" i="49"/>
  <c r="G34" i="49"/>
  <c r="E34" i="49"/>
  <c r="G33" i="49"/>
  <c r="E33" i="49"/>
  <c r="H33" i="49"/>
  <c r="G32" i="49"/>
  <c r="E32" i="49"/>
  <c r="G31" i="49"/>
  <c r="E31" i="49"/>
  <c r="G29" i="49"/>
  <c r="E29" i="49"/>
  <c r="H29" i="49"/>
  <c r="G28" i="49"/>
  <c r="E28" i="49"/>
  <c r="H28" i="49" s="1"/>
  <c r="G27" i="49"/>
  <c r="E27" i="49"/>
  <c r="H27" i="49"/>
  <c r="G26" i="49"/>
  <c r="E26" i="49"/>
  <c r="H26" i="49"/>
  <c r="G25" i="49"/>
  <c r="E25" i="49"/>
  <c r="G24" i="49"/>
  <c r="E24" i="49"/>
  <c r="H24" i="49"/>
  <c r="G23" i="49"/>
  <c r="E23" i="49"/>
  <c r="H23" i="49"/>
  <c r="G22" i="49"/>
  <c r="E22" i="49"/>
  <c r="G21" i="49"/>
  <c r="E21" i="49"/>
  <c r="H21" i="49" s="1"/>
  <c r="G20" i="49"/>
  <c r="E20" i="49"/>
  <c r="H20" i="49"/>
  <c r="G19" i="49"/>
  <c r="E19" i="49"/>
  <c r="H19" i="49" s="1"/>
  <c r="G18" i="49"/>
  <c r="E18" i="49"/>
  <c r="H18" i="49"/>
  <c r="G17" i="49"/>
  <c r="E17" i="49"/>
  <c r="G16" i="49"/>
  <c r="E16" i="49"/>
  <c r="H16" i="49"/>
  <c r="G15" i="49"/>
  <c r="E15" i="49"/>
  <c r="H15" i="49" s="1"/>
  <c r="G14" i="49"/>
  <c r="E14" i="49"/>
  <c r="H14" i="49" s="1"/>
  <c r="G35" i="48"/>
  <c r="E35" i="48"/>
  <c r="H35" i="48"/>
  <c r="G34" i="48"/>
  <c r="E34" i="48"/>
  <c r="H34" i="48"/>
  <c r="G33" i="48"/>
  <c r="E33" i="48"/>
  <c r="G32" i="48"/>
  <c r="E32" i="48"/>
  <c r="H32" i="48"/>
  <c r="G31" i="48"/>
  <c r="E31" i="48"/>
  <c r="H31" i="48" s="1"/>
  <c r="G30" i="48"/>
  <c r="E30" i="48"/>
  <c r="H30" i="48"/>
  <c r="G29" i="48"/>
  <c r="E29" i="48"/>
  <c r="H29" i="48"/>
  <c r="G28" i="48"/>
  <c r="E28" i="48"/>
  <c r="G27" i="48"/>
  <c r="E27" i="48"/>
  <c r="H27" i="48"/>
  <c r="G26" i="48"/>
  <c r="E26" i="48"/>
  <c r="H26" i="48"/>
  <c r="G25" i="48"/>
  <c r="E25" i="48"/>
  <c r="H25" i="48" s="1"/>
  <c r="G24" i="48"/>
  <c r="E24" i="48"/>
  <c r="G23" i="48"/>
  <c r="E23" i="48"/>
  <c r="H23" i="48" s="1"/>
  <c r="G22" i="48"/>
  <c r="E22" i="48"/>
  <c r="H22" i="48" s="1"/>
  <c r="G21" i="48"/>
  <c r="E21" i="48"/>
  <c r="H21" i="48"/>
  <c r="G20" i="48"/>
  <c r="E20" i="48"/>
  <c r="H20" i="48"/>
  <c r="G19" i="48"/>
  <c r="E19" i="48"/>
  <c r="G18" i="48"/>
  <c r="E18" i="48"/>
  <c r="H18" i="48"/>
  <c r="G17" i="48"/>
  <c r="E17" i="48"/>
  <c r="H17" i="48"/>
  <c r="G16" i="48"/>
  <c r="E16" i="48"/>
  <c r="G15" i="48"/>
  <c r="E15" i="48"/>
  <c r="H15" i="48" s="1"/>
  <c r="G14" i="48"/>
  <c r="E14" i="48"/>
  <c r="H14" i="48"/>
  <c r="G36" i="47"/>
  <c r="E36" i="47"/>
  <c r="H36" i="47" s="1"/>
  <c r="G35" i="47"/>
  <c r="E35" i="47"/>
  <c r="G34" i="47"/>
  <c r="E34" i="47"/>
  <c r="G33" i="47"/>
  <c r="E33" i="47"/>
  <c r="G32" i="47"/>
  <c r="E32" i="47"/>
  <c r="H32" i="47"/>
  <c r="G31" i="47"/>
  <c r="E31" i="47"/>
  <c r="H31" i="47"/>
  <c r="G30" i="47"/>
  <c r="E30" i="47"/>
  <c r="G29" i="47"/>
  <c r="E29" i="47"/>
  <c r="G28" i="47"/>
  <c r="E28" i="47"/>
  <c r="H28" i="47"/>
  <c r="G27" i="47"/>
  <c r="E27" i="47"/>
  <c r="G26" i="47"/>
  <c r="E26" i="47"/>
  <c r="G25" i="47"/>
  <c r="E25" i="47"/>
  <c r="H25" i="47" s="1"/>
  <c r="G24" i="47"/>
  <c r="E24" i="47"/>
  <c r="G23" i="47"/>
  <c r="E23" i="47"/>
  <c r="H23" i="47"/>
  <c r="G22" i="47"/>
  <c r="E22" i="47"/>
  <c r="G21" i="47"/>
  <c r="E21" i="47"/>
  <c r="G20" i="47"/>
  <c r="E20" i="47"/>
  <c r="G19" i="47"/>
  <c r="E19" i="47"/>
  <c r="G18" i="47"/>
  <c r="E18" i="47"/>
  <c r="H18" i="47" s="1"/>
  <c r="G17" i="47"/>
  <c r="E17" i="47"/>
  <c r="G16" i="47"/>
  <c r="E16" i="47"/>
  <c r="G15" i="47"/>
  <c r="E15" i="47"/>
  <c r="H15" i="47"/>
  <c r="G14" i="47"/>
  <c r="E14" i="47"/>
  <c r="G40" i="46"/>
  <c r="E40" i="46"/>
  <c r="H40" i="46"/>
  <c r="G39" i="46"/>
  <c r="E39" i="46"/>
  <c r="G38" i="46"/>
  <c r="E38" i="46"/>
  <c r="G37" i="46"/>
  <c r="E37" i="46"/>
  <c r="H37" i="46"/>
  <c r="G36" i="46"/>
  <c r="E36" i="46"/>
  <c r="G34" i="46"/>
  <c r="E34" i="46"/>
  <c r="H34" i="46" s="1"/>
  <c r="G33" i="46"/>
  <c r="E33" i="46"/>
  <c r="H33" i="46"/>
  <c r="G32" i="46"/>
  <c r="E32" i="46"/>
  <c r="G31" i="46"/>
  <c r="E31" i="46"/>
  <c r="H31" i="46" s="1"/>
  <c r="G30" i="46"/>
  <c r="E30" i="46"/>
  <c r="H30" i="46"/>
  <c r="G29" i="46"/>
  <c r="E29" i="46"/>
  <c r="H29" i="46"/>
  <c r="G28" i="46"/>
  <c r="E28" i="46"/>
  <c r="H28" i="46" s="1"/>
  <c r="G27" i="46"/>
  <c r="E27" i="46"/>
  <c r="H27" i="46" s="1"/>
  <c r="G26" i="46"/>
  <c r="E26" i="46"/>
  <c r="H26" i="46"/>
  <c r="G25" i="46"/>
  <c r="E25" i="46"/>
  <c r="H25" i="46" s="1"/>
  <c r="G24" i="46"/>
  <c r="E24" i="46"/>
  <c r="G23" i="46"/>
  <c r="E23" i="46"/>
  <c r="G22" i="46"/>
  <c r="E22" i="46"/>
  <c r="H22" i="46"/>
  <c r="G21" i="46"/>
  <c r="E21" i="46"/>
  <c r="G20" i="46"/>
  <c r="E20" i="46"/>
  <c r="H20" i="46"/>
  <c r="G19" i="46"/>
  <c r="E19" i="46"/>
  <c r="H19" i="46" s="1"/>
  <c r="G18" i="46"/>
  <c r="E18" i="46"/>
  <c r="H18" i="46" s="1"/>
  <c r="G17" i="46"/>
  <c r="E17" i="46"/>
  <c r="H17" i="46" s="1"/>
  <c r="G16" i="46"/>
  <c r="E16" i="46"/>
  <c r="H16" i="46" s="1"/>
  <c r="G15" i="46"/>
  <c r="E15" i="46"/>
  <c r="H15" i="46" s="1"/>
  <c r="G14" i="46"/>
  <c r="E14" i="46"/>
  <c r="G36" i="45"/>
  <c r="E36" i="45"/>
  <c r="H36" i="45" s="1"/>
  <c r="G35" i="45"/>
  <c r="E35" i="45"/>
  <c r="G34" i="45"/>
  <c r="E34" i="45"/>
  <c r="G33" i="45"/>
  <c r="E33" i="45"/>
  <c r="G32" i="45"/>
  <c r="E32" i="45"/>
  <c r="G31" i="45"/>
  <c r="E31" i="45"/>
  <c r="G30" i="45"/>
  <c r="E30" i="45"/>
  <c r="H30" i="45"/>
  <c r="G29" i="45"/>
  <c r="E29" i="45"/>
  <c r="H29" i="45" s="1"/>
  <c r="G27" i="45"/>
  <c r="E27" i="45"/>
  <c r="H27" i="45" s="1"/>
  <c r="G26" i="45"/>
  <c r="E26" i="45"/>
  <c r="G25" i="45"/>
  <c r="E25" i="45"/>
  <c r="H25" i="45" s="1"/>
  <c r="G24" i="45"/>
  <c r="E24" i="45"/>
  <c r="H24" i="45"/>
  <c r="G23" i="45"/>
  <c r="E23" i="45"/>
  <c r="G22" i="45"/>
  <c r="E22" i="45"/>
  <c r="H22" i="45" s="1"/>
  <c r="G21" i="45"/>
  <c r="E21" i="45"/>
  <c r="H21" i="45"/>
  <c r="G20" i="45"/>
  <c r="E20" i="45"/>
  <c r="G19" i="45"/>
  <c r="E19" i="45"/>
  <c r="H19" i="45" s="1"/>
  <c r="G18" i="45"/>
  <c r="E18" i="45"/>
  <c r="G17" i="45"/>
  <c r="E17" i="45"/>
  <c r="G16" i="45"/>
  <c r="E16" i="45"/>
  <c r="G15" i="45"/>
  <c r="E15" i="45"/>
  <c r="G14" i="45"/>
  <c r="E14" i="45"/>
  <c r="H14" i="45"/>
  <c r="G40" i="44"/>
  <c r="E40" i="44"/>
  <c r="G39" i="44"/>
  <c r="E39" i="44"/>
  <c r="H39" i="44" s="1"/>
  <c r="G38" i="44"/>
  <c r="E38" i="44"/>
  <c r="H38" i="44"/>
  <c r="G37" i="44"/>
  <c r="E37" i="44"/>
  <c r="H37" i="44"/>
  <c r="G36" i="44"/>
  <c r="E36" i="44"/>
  <c r="G34" i="44"/>
  <c r="E34" i="44"/>
  <c r="H34" i="44"/>
  <c r="G33" i="44"/>
  <c r="E33" i="44"/>
  <c r="H33" i="44"/>
  <c r="G32" i="44"/>
  <c r="E32" i="44"/>
  <c r="H32" i="44"/>
  <c r="G31" i="44"/>
  <c r="E31" i="44"/>
  <c r="H31" i="44" s="1"/>
  <c r="G30" i="44"/>
  <c r="E30" i="44"/>
  <c r="H30" i="44" s="1"/>
  <c r="G29" i="44"/>
  <c r="E29" i="44"/>
  <c r="H29" i="44"/>
  <c r="G28" i="44"/>
  <c r="E28" i="44"/>
  <c r="H28" i="44" s="1"/>
  <c r="G27" i="44"/>
  <c r="E27" i="44"/>
  <c r="H27" i="44" s="1"/>
  <c r="G26" i="44"/>
  <c r="E26" i="44"/>
  <c r="G25" i="44"/>
  <c r="E25" i="44"/>
  <c r="H25" i="44" s="1"/>
  <c r="G24" i="44"/>
  <c r="E24" i="44"/>
  <c r="H24" i="44" s="1"/>
  <c r="G23" i="44"/>
  <c r="E23" i="44"/>
  <c r="G22" i="44"/>
  <c r="E22" i="44"/>
  <c r="H22" i="44"/>
  <c r="G21" i="44"/>
  <c r="E21" i="44"/>
  <c r="G20" i="44"/>
  <c r="E20" i="44"/>
  <c r="G19" i="44"/>
  <c r="E19" i="44"/>
  <c r="H19" i="44"/>
  <c r="G18" i="44"/>
  <c r="E18" i="44"/>
  <c r="G17" i="44"/>
  <c r="E17" i="44"/>
  <c r="H17" i="44" s="1"/>
  <c r="G16" i="44"/>
  <c r="E16" i="44"/>
  <c r="H16" i="44" s="1"/>
  <c r="G15" i="44"/>
  <c r="E15" i="44"/>
  <c r="H15" i="44" s="1"/>
  <c r="G14" i="44"/>
  <c r="E14" i="44"/>
  <c r="E42" i="44" s="1"/>
  <c r="G36" i="43"/>
  <c r="E36" i="43"/>
  <c r="H36" i="43"/>
  <c r="G35" i="43"/>
  <c r="E35" i="43"/>
  <c r="G34" i="43"/>
  <c r="E34" i="43"/>
  <c r="H34" i="43" s="1"/>
  <c r="G33" i="43"/>
  <c r="E33" i="43"/>
  <c r="H33" i="43"/>
  <c r="G32" i="43"/>
  <c r="E32" i="43"/>
  <c r="H32" i="43"/>
  <c r="G31" i="43"/>
  <c r="E31" i="43"/>
  <c r="G30" i="43"/>
  <c r="E30" i="43"/>
  <c r="G29" i="43"/>
  <c r="E29" i="43"/>
  <c r="H29" i="43"/>
  <c r="G28" i="43"/>
  <c r="E28" i="43"/>
  <c r="H28" i="43" s="1"/>
  <c r="G27" i="43"/>
  <c r="E27" i="43"/>
  <c r="H27" i="43" s="1"/>
  <c r="G26" i="43"/>
  <c r="E26" i="43"/>
  <c r="G25" i="43"/>
  <c r="E25" i="43"/>
  <c r="G24" i="43"/>
  <c r="E24" i="43"/>
  <c r="G23" i="43"/>
  <c r="E23" i="43"/>
  <c r="H23" i="43" s="1"/>
  <c r="G22" i="43"/>
  <c r="E22" i="43"/>
  <c r="G21" i="43"/>
  <c r="E21" i="43"/>
  <c r="G20" i="43"/>
  <c r="E20" i="43"/>
  <c r="G19" i="43"/>
  <c r="E19" i="43"/>
  <c r="G18" i="43"/>
  <c r="E18" i="43"/>
  <c r="G17" i="43"/>
  <c r="E17" i="43"/>
  <c r="H17" i="43" s="1"/>
  <c r="G16" i="43"/>
  <c r="E16" i="43"/>
  <c r="H16" i="43" s="1"/>
  <c r="G15" i="43"/>
  <c r="E15" i="43"/>
  <c r="G14" i="43"/>
  <c r="E14" i="43"/>
  <c r="H14" i="43" s="1"/>
  <c r="G14" i="6"/>
  <c r="G15" i="6"/>
  <c r="G16" i="6"/>
  <c r="G17" i="6"/>
  <c r="G18" i="6"/>
  <c r="G19" i="6"/>
  <c r="E14" i="6"/>
  <c r="H14" i="6"/>
  <c r="E15" i="6"/>
  <c r="E16" i="6"/>
  <c r="E17" i="6"/>
  <c r="H17" i="6"/>
  <c r="E18" i="6"/>
  <c r="H18" i="6"/>
  <c r="E19" i="6"/>
  <c r="H19" i="6" s="1"/>
  <c r="A13" i="6"/>
  <c r="G14" i="5"/>
  <c r="G15" i="5"/>
  <c r="G16" i="5"/>
  <c r="G17" i="5"/>
  <c r="G18" i="5"/>
  <c r="G20" i="5"/>
  <c r="G21" i="5"/>
  <c r="G22" i="5"/>
  <c r="G23" i="5"/>
  <c r="E14" i="5"/>
  <c r="H14" i="5"/>
  <c r="E15" i="5"/>
  <c r="E16" i="5"/>
  <c r="E17" i="5"/>
  <c r="H17" i="5" s="1"/>
  <c r="E18" i="5"/>
  <c r="H18" i="5" s="1"/>
  <c r="E20" i="5"/>
  <c r="E21" i="5"/>
  <c r="E22" i="5"/>
  <c r="H22" i="5"/>
  <c r="E23" i="5"/>
  <c r="A13" i="5"/>
  <c r="G14" i="4"/>
  <c r="E14" i="4"/>
  <c r="E15" i="4"/>
  <c r="G15" i="4"/>
  <c r="G16" i="4"/>
  <c r="G17" i="4"/>
  <c r="G18" i="4"/>
  <c r="G19" i="4"/>
  <c r="E16" i="4"/>
  <c r="H16" i="4" s="1"/>
  <c r="E17" i="4"/>
  <c r="H17" i="4"/>
  <c r="E18" i="4"/>
  <c r="H18" i="4"/>
  <c r="E19" i="4"/>
  <c r="H19" i="4"/>
  <c r="A13" i="4"/>
  <c r="G24" i="3"/>
  <c r="G15" i="3"/>
  <c r="G16" i="3"/>
  <c r="G17" i="3"/>
  <c r="G18" i="3"/>
  <c r="G19" i="3"/>
  <c r="G20" i="3"/>
  <c r="G21" i="3"/>
  <c r="G22" i="3"/>
  <c r="G23" i="3"/>
  <c r="E15" i="3"/>
  <c r="H15" i="3"/>
  <c r="E16" i="3"/>
  <c r="E17" i="3"/>
  <c r="H17" i="3"/>
  <c r="E18" i="3"/>
  <c r="E19" i="3"/>
  <c r="H19" i="3"/>
  <c r="E20" i="3"/>
  <c r="E21" i="3"/>
  <c r="E22" i="3"/>
  <c r="H22" i="3"/>
  <c r="E23" i="3"/>
  <c r="H23" i="3" s="1"/>
  <c r="E24" i="3"/>
  <c r="G14" i="3"/>
  <c r="G34" i="5"/>
  <c r="E34" i="5"/>
  <c r="E14" i="3"/>
  <c r="A13" i="3"/>
  <c r="E24" i="5"/>
  <c r="E25" i="5"/>
  <c r="E26" i="5"/>
  <c r="E27" i="5"/>
  <c r="E28" i="5"/>
  <c r="E29" i="5"/>
  <c r="E30" i="5"/>
  <c r="E31" i="5"/>
  <c r="E32" i="5"/>
  <c r="E33" i="5"/>
  <c r="E35" i="5"/>
  <c r="G24" i="5"/>
  <c r="G25" i="5"/>
  <c r="G26" i="5"/>
  <c r="G27" i="5"/>
  <c r="G28" i="5"/>
  <c r="H28" i="5" s="1"/>
  <c r="G29" i="5"/>
  <c r="H29" i="5" s="1"/>
  <c r="G30" i="5"/>
  <c r="G31" i="5"/>
  <c r="G32" i="5"/>
  <c r="G33" i="5"/>
  <c r="H33" i="5" s="1"/>
  <c r="G35" i="5"/>
  <c r="H35" i="5" s="1"/>
  <c r="E25" i="3"/>
  <c r="E26" i="3"/>
  <c r="E27" i="3"/>
  <c r="E28" i="3"/>
  <c r="E29" i="3"/>
  <c r="E30" i="3"/>
  <c r="E32" i="3"/>
  <c r="E33" i="3"/>
  <c r="E34" i="3"/>
  <c r="E35" i="3"/>
  <c r="G25" i="3"/>
  <c r="G26" i="3"/>
  <c r="G27" i="3"/>
  <c r="H27" i="3"/>
  <c r="G28" i="3"/>
  <c r="H28" i="3" s="1"/>
  <c r="G29" i="3"/>
  <c r="H29" i="3"/>
  <c r="G30" i="3"/>
  <c r="G32" i="3"/>
  <c r="G33" i="3"/>
  <c r="G34" i="3"/>
  <c r="H34" i="3"/>
  <c r="G35" i="3"/>
  <c r="H35" i="3" s="1"/>
  <c r="E36" i="4"/>
  <c r="G36" i="4"/>
  <c r="H36" i="4"/>
  <c r="E35" i="4"/>
  <c r="G35" i="4"/>
  <c r="E34" i="4"/>
  <c r="G34" i="4"/>
  <c r="E33" i="4"/>
  <c r="G33" i="4"/>
  <c r="E32" i="4"/>
  <c r="G32" i="4"/>
  <c r="H32" i="4"/>
  <c r="E31" i="4"/>
  <c r="G31" i="4"/>
  <c r="H31" i="4" s="1"/>
  <c r="E30" i="4"/>
  <c r="G30" i="4"/>
  <c r="E29" i="4"/>
  <c r="G29" i="4"/>
  <c r="E28" i="4"/>
  <c r="G28" i="4"/>
  <c r="E27" i="4"/>
  <c r="G27" i="4"/>
  <c r="H27" i="4" s="1"/>
  <c r="E26" i="4"/>
  <c r="G26" i="4"/>
  <c r="E25" i="4"/>
  <c r="G25" i="4"/>
  <c r="E24" i="4"/>
  <c r="G24" i="4"/>
  <c r="H24" i="4" s="1"/>
  <c r="E23" i="4"/>
  <c r="G23" i="4"/>
  <c r="E22" i="4"/>
  <c r="G22" i="4"/>
  <c r="E21" i="4"/>
  <c r="G21" i="4"/>
  <c r="E20" i="4"/>
  <c r="G20" i="4"/>
  <c r="E36" i="6"/>
  <c r="G36" i="6"/>
  <c r="E35" i="6"/>
  <c r="G35" i="6"/>
  <c r="H35" i="6"/>
  <c r="E34" i="6"/>
  <c r="G34" i="6"/>
  <c r="E33" i="6"/>
  <c r="G33" i="6"/>
  <c r="E32" i="6"/>
  <c r="G32" i="6"/>
  <c r="E31" i="6"/>
  <c r="G31" i="6"/>
  <c r="E30" i="6"/>
  <c r="G30" i="6"/>
  <c r="E29" i="6"/>
  <c r="G29" i="6"/>
  <c r="E28" i="6"/>
  <c r="G28" i="6"/>
  <c r="H28" i="6" s="1"/>
  <c r="E27" i="6"/>
  <c r="G27" i="6"/>
  <c r="E25" i="6"/>
  <c r="G25" i="6"/>
  <c r="E24" i="6"/>
  <c r="G24" i="6"/>
  <c r="H24" i="6"/>
  <c r="E23" i="6"/>
  <c r="G23" i="6"/>
  <c r="H23" i="6" s="1"/>
  <c r="E22" i="6"/>
  <c r="G22" i="6"/>
  <c r="H22" i="6" s="1"/>
  <c r="E21" i="6"/>
  <c r="G21" i="6"/>
  <c r="H21" i="6" s="1"/>
  <c r="E20" i="6"/>
  <c r="G20" i="6"/>
  <c r="H20" i="6" s="1"/>
  <c r="E26" i="6"/>
  <c r="G26" i="6"/>
  <c r="H26" i="6" s="1"/>
  <c r="H14" i="83"/>
  <c r="H14" i="60"/>
  <c r="H14" i="69"/>
  <c r="H14" i="70"/>
  <c r="H14" i="47"/>
  <c r="H17" i="47"/>
  <c r="H29" i="47"/>
  <c r="H14" i="51"/>
  <c r="H25" i="51"/>
  <c r="H29" i="51"/>
  <c r="H19" i="57"/>
  <c r="H26" i="58"/>
  <c r="H30" i="58"/>
  <c r="H29" i="62"/>
  <c r="H17" i="63"/>
  <c r="H30" i="63"/>
  <c r="H24" i="66"/>
  <c r="H18" i="67"/>
  <c r="H23" i="67"/>
  <c r="H21" i="69"/>
  <c r="H29" i="69"/>
  <c r="H30" i="70"/>
  <c r="H14" i="75"/>
  <c r="H17" i="75"/>
  <c r="H22" i="76"/>
  <c r="H15" i="79"/>
  <c r="H29" i="79"/>
  <c r="H20" i="83"/>
  <c r="H24" i="83"/>
  <c r="H16" i="47"/>
  <c r="H20" i="52"/>
  <c r="H22" i="4"/>
  <c r="H26" i="44"/>
  <c r="H33" i="6"/>
  <c r="H31" i="43"/>
  <c r="H20" i="47"/>
  <c r="H15" i="50"/>
  <c r="G33" i="63"/>
  <c r="H37" i="63" s="1"/>
  <c r="H28" i="69"/>
  <c r="H16" i="79"/>
  <c r="H28" i="58"/>
  <c r="H21" i="61"/>
  <c r="H21" i="70"/>
  <c r="H14" i="52"/>
  <c r="H30" i="3"/>
  <c r="H24" i="3"/>
  <c r="H24" i="5"/>
  <c r="H23" i="4"/>
  <c r="H31" i="6"/>
  <c r="H34" i="5"/>
  <c r="H34" i="52"/>
  <c r="H22" i="77"/>
  <c r="H15" i="4"/>
  <c r="H38" i="46"/>
  <c r="H28" i="57"/>
  <c r="H23" i="45"/>
  <c r="H32" i="46"/>
  <c r="H17" i="49"/>
  <c r="H35" i="47"/>
  <c r="H21" i="76"/>
  <c r="H16" i="70"/>
  <c r="H28" i="70"/>
  <c r="H24" i="77"/>
  <c r="H23" i="83"/>
  <c r="H27" i="83"/>
  <c r="H18" i="83"/>
  <c r="H16" i="80"/>
  <c r="H19" i="80"/>
  <c r="H23" i="80"/>
  <c r="H17" i="79"/>
  <c r="G31" i="79"/>
  <c r="H24" i="78"/>
  <c r="H17" i="78"/>
  <c r="H22" i="78"/>
  <c r="H27" i="78"/>
  <c r="H29" i="78"/>
  <c r="E31" i="77"/>
  <c r="H23" i="77"/>
  <c r="H31" i="76"/>
  <c r="H18" i="76"/>
  <c r="H18" i="75"/>
  <c r="H20" i="75"/>
  <c r="H27" i="75"/>
  <c r="H32" i="70"/>
  <c r="H25" i="69"/>
  <c r="H31" i="69"/>
  <c r="H15" i="69"/>
  <c r="H16" i="69"/>
  <c r="H18" i="69"/>
  <c r="H32" i="69"/>
  <c r="E26" i="68"/>
  <c r="H21" i="68"/>
  <c r="H23" i="68"/>
  <c r="H16" i="68"/>
  <c r="H19" i="68"/>
  <c r="H20" i="68"/>
  <c r="H24" i="68"/>
  <c r="H18" i="68"/>
  <c r="H15" i="67"/>
  <c r="H17" i="67"/>
  <c r="H20" i="67"/>
  <c r="H24" i="67"/>
  <c r="H26" i="67"/>
  <c r="H28" i="67"/>
  <c r="H55" i="66"/>
  <c r="H21" i="66"/>
  <c r="H20" i="63"/>
  <c r="H23" i="63"/>
  <c r="H25" i="63"/>
  <c r="H27" i="63"/>
  <c r="H28" i="62"/>
  <c r="H30" i="62"/>
  <c r="H32" i="62"/>
  <c r="H25" i="62"/>
  <c r="H33" i="62"/>
  <c r="H18" i="61"/>
  <c r="H22" i="61"/>
  <c r="H24" i="61"/>
  <c r="H16" i="57"/>
  <c r="H43" i="57"/>
  <c r="H32" i="56"/>
  <c r="H16" i="56"/>
  <c r="H23" i="56"/>
  <c r="H26" i="52"/>
  <c r="H30" i="52"/>
  <c r="H33" i="52"/>
  <c r="H15" i="52"/>
  <c r="H15" i="51"/>
  <c r="H22" i="51"/>
  <c r="H34" i="51"/>
  <c r="H27" i="50"/>
  <c r="H37" i="50"/>
  <c r="H21" i="50"/>
  <c r="H28" i="50"/>
  <c r="H35" i="50"/>
  <c r="H16" i="50"/>
  <c r="H34" i="49"/>
  <c r="H31" i="49"/>
  <c r="H30" i="49"/>
  <c r="H28" i="48"/>
  <c r="H16" i="48"/>
  <c r="H24" i="48"/>
  <c r="H36" i="48"/>
  <c r="H19" i="47"/>
  <c r="H26" i="47"/>
  <c r="H34" i="47"/>
  <c r="H17" i="45"/>
  <c r="H18" i="45"/>
  <c r="H32" i="45"/>
  <c r="H31" i="45"/>
  <c r="H33" i="45"/>
  <c r="H35" i="45"/>
  <c r="H26" i="43"/>
  <c r="H35" i="43"/>
  <c r="G38" i="6"/>
  <c r="H27" i="6"/>
  <c r="H25" i="6"/>
  <c r="H30" i="6"/>
  <c r="H32" i="6"/>
  <c r="H34" i="6"/>
  <c r="H15" i="5"/>
  <c r="H30" i="5"/>
  <c r="H31" i="5"/>
  <c r="H23" i="5"/>
  <c r="H36" i="5"/>
  <c r="H21" i="4"/>
  <c r="H25" i="4"/>
  <c r="H29" i="4"/>
  <c r="H34" i="4"/>
  <c r="H28" i="4"/>
  <c r="H30" i="4"/>
  <c r="H20" i="4"/>
  <c r="H32" i="3"/>
  <c r="H18" i="3"/>
  <c r="H26" i="3"/>
  <c r="H20" i="3"/>
  <c r="H31" i="3"/>
  <c r="H35" i="79"/>
  <c r="H14" i="80"/>
  <c r="H26" i="5"/>
  <c r="E38" i="6"/>
  <c r="H15" i="6"/>
  <c r="E37" i="48"/>
  <c r="H25" i="49"/>
  <c r="H33" i="50"/>
  <c r="H14" i="4"/>
  <c r="H14" i="61"/>
  <c r="H28" i="76"/>
  <c r="E34" i="76"/>
  <c r="H18" i="78"/>
  <c r="E35" i="56"/>
  <c r="E26" i="80"/>
  <c r="H36" i="6"/>
  <c r="H26" i="4"/>
  <c r="H35" i="4"/>
  <c r="H14" i="3"/>
  <c r="E37" i="3"/>
  <c r="H16" i="3"/>
  <c r="H16" i="45"/>
  <c r="E38" i="45"/>
  <c r="H23" i="46"/>
  <c r="E38" i="47"/>
  <c r="G36" i="51"/>
  <c r="E37" i="5"/>
  <c r="E36" i="51"/>
  <c r="H16" i="52"/>
  <c r="G34" i="76"/>
  <c r="H38" i="76"/>
  <c r="H17" i="83"/>
  <c r="E31" i="75"/>
  <c r="E51" i="61"/>
  <c r="H16" i="6"/>
  <c r="H32" i="5"/>
  <c r="H30" i="43"/>
  <c r="H40" i="44"/>
  <c r="H26" i="45"/>
  <c r="H22" i="47"/>
  <c r="H16" i="51"/>
  <c r="G37" i="48"/>
  <c r="H41" i="48" s="1"/>
  <c r="H20" i="45"/>
  <c r="H34" i="45"/>
  <c r="H22" i="56"/>
  <c r="H19" i="61"/>
  <c r="H15" i="63"/>
  <c r="H19" i="63"/>
  <c r="H23" i="75"/>
  <c r="H15" i="77"/>
  <c r="H27" i="69"/>
  <c r="H27" i="76"/>
  <c r="H29" i="76"/>
  <c r="H18" i="80"/>
  <c r="H32" i="50"/>
  <c r="H23" i="79"/>
  <c r="H35" i="76"/>
  <c r="H36" i="76"/>
  <c r="H37" i="51" l="1"/>
  <c r="H29" i="6"/>
  <c r="H39" i="6" s="1"/>
  <c r="H33" i="4"/>
  <c r="H33" i="3"/>
  <c r="H25" i="3"/>
  <c r="H25" i="5"/>
  <c r="H21" i="5"/>
  <c r="H20" i="5"/>
  <c r="H16" i="5"/>
  <c r="H15" i="43"/>
  <c r="H20" i="43"/>
  <c r="H20" i="44"/>
  <c r="H21" i="44"/>
  <c r="H23" i="44"/>
  <c r="H36" i="44"/>
  <c r="H14" i="46"/>
  <c r="H21" i="46"/>
  <c r="H24" i="46"/>
  <c r="H36" i="46"/>
  <c r="H39" i="46"/>
  <c r="H24" i="47"/>
  <c r="H27" i="47"/>
  <c r="H30" i="47"/>
  <c r="H33" i="47"/>
  <c r="H19" i="48"/>
  <c r="H33" i="48"/>
  <c r="E37" i="49"/>
  <c r="H32" i="49"/>
  <c r="H35" i="49"/>
  <c r="H23" i="50"/>
  <c r="H29" i="50"/>
  <c r="H36" i="50"/>
  <c r="H26" i="51"/>
  <c r="H33" i="51"/>
  <c r="G36" i="52"/>
  <c r="H40" i="52" s="1"/>
  <c r="H37" i="52"/>
  <c r="H18" i="56"/>
  <c r="H24" i="56"/>
  <c r="E45" i="57"/>
  <c r="H17" i="57"/>
  <c r="H20" i="57"/>
  <c r="H30" i="57"/>
  <c r="H18" i="58"/>
  <c r="G51" i="61"/>
  <c r="H23" i="62"/>
  <c r="H21" i="63"/>
  <c r="H23" i="66"/>
  <c r="H29" i="66"/>
  <c r="H22" i="67"/>
  <c r="E30" i="67"/>
  <c r="H31" i="67" s="1"/>
  <c r="H32" i="67" s="1"/>
  <c r="H22" i="68"/>
  <c r="H17" i="69"/>
  <c r="H20" i="69"/>
  <c r="H23" i="69"/>
  <c r="H26" i="69"/>
  <c r="H23" i="70"/>
  <c r="H29" i="70"/>
  <c r="H16" i="75"/>
  <c r="H19" i="75"/>
  <c r="H26" i="75"/>
  <c r="H29" i="75"/>
  <c r="H19" i="76"/>
  <c r="H26" i="76"/>
  <c r="H29" i="77"/>
  <c r="H21" i="78"/>
  <c r="H33" i="78" s="1"/>
  <c r="H14" i="79"/>
  <c r="E31" i="79"/>
  <c r="H32" i="79" s="1"/>
  <c r="H26" i="79"/>
  <c r="H24" i="80"/>
  <c r="H25" i="83"/>
  <c r="H28" i="83"/>
  <c r="H19" i="5"/>
  <c r="H35" i="46"/>
  <c r="H40" i="51"/>
  <c r="H30" i="75"/>
  <c r="H31" i="60"/>
  <c r="H52" i="61"/>
  <c r="H55" i="61"/>
  <c r="H14" i="57"/>
  <c r="H46" i="57" s="1"/>
  <c r="H47" i="57" s="1"/>
  <c r="E38" i="50"/>
  <c r="E42" i="46"/>
  <c r="H14" i="44"/>
  <c r="H18" i="44"/>
  <c r="H21" i="43"/>
  <c r="H25" i="43"/>
  <c r="H22" i="43"/>
  <c r="G38" i="43"/>
  <c r="H18" i="43"/>
  <c r="H24" i="43"/>
  <c r="H42" i="43"/>
  <c r="H19" i="43"/>
  <c r="H39" i="43" s="1"/>
  <c r="H40" i="43" s="1"/>
  <c r="H27" i="5"/>
  <c r="H34" i="67"/>
  <c r="H33" i="79"/>
  <c r="H42" i="6"/>
  <c r="H49" i="57"/>
  <c r="H34" i="78"/>
  <c r="H35" i="78" s="1"/>
  <c r="H40" i="6"/>
  <c r="H41" i="6" s="1"/>
  <c r="H43" i="6" s="1"/>
  <c r="D16" i="1" s="1"/>
  <c r="H53" i="61"/>
  <c r="H54" i="61" s="1"/>
  <c r="H56" i="61" s="1"/>
  <c r="D31" i="1" s="1"/>
  <c r="H38" i="51"/>
  <c r="H39" i="51" s="1"/>
  <c r="H38" i="52"/>
  <c r="H37" i="76"/>
  <c r="H39" i="76" s="1"/>
  <c r="D40" i="1" s="1"/>
  <c r="H15" i="56"/>
  <c r="G35" i="56"/>
  <c r="H39" i="56" s="1"/>
  <c r="H16" i="66"/>
  <c r="G56" i="66"/>
  <c r="G38" i="45"/>
  <c r="H42" i="45" s="1"/>
  <c r="H15" i="45"/>
  <c r="H33" i="67"/>
  <c r="G42" i="46"/>
  <c r="H17" i="50"/>
  <c r="E36" i="52"/>
  <c r="E45" i="4"/>
  <c r="H46" i="4" s="1"/>
  <c r="H33" i="60"/>
  <c r="G32" i="60"/>
  <c r="H36" i="60" s="1"/>
  <c r="G42" i="44"/>
  <c r="H34" i="79"/>
  <c r="H36" i="79" s="1"/>
  <c r="D43" i="1" s="1"/>
  <c r="E38" i="43"/>
  <c r="G37" i="5"/>
  <c r="E33" i="63"/>
  <c r="H34" i="63" s="1"/>
  <c r="H22" i="49"/>
  <c r="G37" i="49"/>
  <c r="H41" i="49" s="1"/>
  <c r="G33" i="69"/>
  <c r="H37" i="69" s="1"/>
  <c r="G31" i="75"/>
  <c r="G31" i="77"/>
  <c r="H35" i="77" s="1"/>
  <c r="H26" i="77"/>
  <c r="H32" i="77" s="1"/>
  <c r="H15" i="83"/>
  <c r="H32" i="83" s="1"/>
  <c r="G31" i="83"/>
  <c r="H35" i="83" s="1"/>
  <c r="E31" i="83"/>
  <c r="E32" i="58"/>
  <c r="G38" i="50"/>
  <c r="H42" i="50" s="1"/>
  <c r="H34" i="69"/>
  <c r="H21" i="47"/>
  <c r="H39" i="47" s="1"/>
  <c r="G38" i="47"/>
  <c r="H42" i="47" s="1"/>
  <c r="E33" i="69"/>
  <c r="H18" i="70"/>
  <c r="H34" i="70" s="1"/>
  <c r="E33" i="70"/>
  <c r="G32" i="78"/>
  <c r="H36" i="78" s="1"/>
  <c r="G26" i="80"/>
  <c r="H30" i="80" s="1"/>
  <c r="H20" i="80"/>
  <c r="H25" i="58"/>
  <c r="H33" i="58" s="1"/>
  <c r="G32" i="58"/>
  <c r="H36" i="58" s="1"/>
  <c r="E32" i="60"/>
  <c r="H18" i="62"/>
  <c r="E34" i="62"/>
  <c r="G26" i="68"/>
  <c r="H30" i="68" s="1"/>
  <c r="H17" i="68"/>
  <c r="E32" i="78"/>
  <c r="G37" i="3"/>
  <c r="H41" i="3" s="1"/>
  <c r="H21" i="3"/>
  <c r="H15" i="62"/>
  <c r="G34" i="62"/>
  <c r="H38" i="62" s="1"/>
  <c r="G33" i="70"/>
  <c r="H37" i="70" s="1"/>
  <c r="H35" i="75" l="1"/>
  <c r="H32" i="75"/>
  <c r="H38" i="48"/>
  <c r="H39" i="48" s="1"/>
  <c r="H40" i="48" s="1"/>
  <c r="H42" i="48" s="1"/>
  <c r="D22" i="1" s="1"/>
  <c r="H35" i="67"/>
  <c r="D35" i="1" s="1"/>
  <c r="H41" i="43"/>
  <c r="H43" i="43" s="1"/>
  <c r="D17" i="1" s="1"/>
  <c r="H41" i="51"/>
  <c r="D25" i="1" s="1"/>
  <c r="H48" i="57"/>
  <c r="H50" i="57" s="1"/>
  <c r="D28" i="1" s="1"/>
  <c r="H39" i="52"/>
  <c r="H41" i="52" s="1"/>
  <c r="D26" i="1" s="1"/>
  <c r="H34" i="60"/>
  <c r="H35" i="60" s="1"/>
  <c r="H37" i="60" s="1"/>
  <c r="D30" i="1" s="1"/>
  <c r="H35" i="70"/>
  <c r="H36" i="70" s="1"/>
  <c r="H38" i="70" s="1"/>
  <c r="D38" i="1" s="1"/>
  <c r="H34" i="58"/>
  <c r="H40" i="47"/>
  <c r="H41" i="47" s="1"/>
  <c r="H43" i="47" s="1"/>
  <c r="D21" i="1" s="1"/>
  <c r="H33" i="77"/>
  <c r="H34" i="77" s="1"/>
  <c r="H36" i="77" s="1"/>
  <c r="D41" i="1" s="1"/>
  <c r="H27" i="68"/>
  <c r="H33" i="75"/>
  <c r="H34" i="75" s="1"/>
  <c r="H36" i="75" s="1"/>
  <c r="D39" i="1" s="1"/>
  <c r="H43" i="44"/>
  <c r="H46" i="44"/>
  <c r="H47" i="4"/>
  <c r="H60" i="66"/>
  <c r="H57" i="66"/>
  <c r="H33" i="83"/>
  <c r="H34" i="83"/>
  <c r="H36" i="83" s="1"/>
  <c r="D45" i="1" s="1"/>
  <c r="H37" i="78"/>
  <c r="D42" i="1" s="1"/>
  <c r="H39" i="45"/>
  <c r="H35" i="63"/>
  <c r="H46" i="46"/>
  <c r="H43" i="46"/>
  <c r="H35" i="69"/>
  <c r="H36" i="69" s="1"/>
  <c r="H38" i="69" s="1"/>
  <c r="D37" i="1" s="1"/>
  <c r="H38" i="5"/>
  <c r="H41" i="5"/>
  <c r="H38" i="49"/>
  <c r="H36" i="56"/>
  <c r="H27" i="80"/>
  <c r="H35" i="62"/>
  <c r="H38" i="3"/>
  <c r="H39" i="50"/>
  <c r="H48" i="4" l="1"/>
  <c r="H50" i="4" s="1"/>
  <c r="D14" i="1" s="1"/>
  <c r="H28" i="80"/>
  <c r="H44" i="46"/>
  <c r="H45" i="46" s="1"/>
  <c r="H37" i="56"/>
  <c r="H38" i="56" s="1"/>
  <c r="H40" i="56" s="1"/>
  <c r="D27" i="1" s="1"/>
  <c r="H39" i="49"/>
  <c r="H40" i="49" s="1"/>
  <c r="H42" i="49" s="1"/>
  <c r="D23" i="1" s="1"/>
  <c r="H35" i="58"/>
  <c r="H37" i="58" s="1"/>
  <c r="D29" i="1" s="1"/>
  <c r="H39" i="3"/>
  <c r="H40" i="3" s="1"/>
  <c r="H42" i="3" s="1"/>
  <c r="D13" i="1" s="1"/>
  <c r="H40" i="45"/>
  <c r="H41" i="45" s="1"/>
  <c r="H43" i="45" s="1"/>
  <c r="D19" i="1" s="1"/>
  <c r="H58" i="66"/>
  <c r="H59" i="66" s="1"/>
  <c r="H40" i="50"/>
  <c r="H41" i="50"/>
  <c r="H28" i="68"/>
  <c r="H39" i="5"/>
  <c r="H40" i="5" s="1"/>
  <c r="H42" i="5" s="1"/>
  <c r="D15" i="1" s="1"/>
  <c r="H44" i="44"/>
  <c r="H36" i="63"/>
  <c r="H38" i="63" s="1"/>
  <c r="D33" i="1" s="1"/>
  <c r="H36" i="62"/>
  <c r="H37" i="62" s="1"/>
  <c r="H39" i="62" s="1"/>
  <c r="D32" i="1" s="1"/>
  <c r="H61" i="66" l="1"/>
  <c r="D34" i="1" s="1"/>
  <c r="H43" i="50"/>
  <c r="D24" i="1" s="1"/>
  <c r="H29" i="80"/>
  <c r="H31" i="80" s="1"/>
  <c r="D44" i="1" s="1"/>
  <c r="H47" i="46"/>
  <c r="D20" i="1" s="1"/>
  <c r="H29" i="68"/>
  <c r="H31" i="68" s="1"/>
  <c r="D36" i="1" s="1"/>
  <c r="H45" i="44"/>
  <c r="H47" i="44" s="1"/>
  <c r="D18" i="1" s="1"/>
  <c r="D46" i="1" l="1"/>
  <c r="C43" i="1" l="1"/>
  <c r="C40" i="1"/>
  <c r="C31" i="1"/>
  <c r="C16" i="1"/>
  <c r="C37" i="1"/>
  <c r="C42" i="1"/>
  <c r="C45" i="1"/>
  <c r="C39" i="1"/>
  <c r="C41" i="1"/>
  <c r="C21" i="1"/>
  <c r="C38" i="1"/>
  <c r="C30" i="1"/>
  <c r="C26" i="1"/>
  <c r="C28" i="1"/>
  <c r="C25" i="1"/>
  <c r="C17" i="1"/>
  <c r="C35" i="1"/>
  <c r="C22" i="1"/>
  <c r="C32" i="1"/>
  <c r="C33" i="1"/>
  <c r="C15" i="1"/>
  <c r="C19" i="1"/>
  <c r="C13" i="1"/>
  <c r="C29" i="1"/>
  <c r="C23" i="1"/>
  <c r="C27" i="1"/>
  <c r="C14" i="1"/>
  <c r="C18" i="1"/>
  <c r="C36" i="1"/>
  <c r="C20" i="1"/>
  <c r="C44" i="1"/>
  <c r="C24" i="1"/>
  <c r="C34" i="1"/>
  <c r="D49" i="1"/>
  <c r="C46" i="1"/>
  <c r="D50" i="1" l="1"/>
  <c r="D51" i="1" l="1"/>
  <c r="D52" i="1" l="1"/>
  <c r="D53" i="1" l="1"/>
  <c r="D5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davisjam</author>
  </authors>
  <commentList>
    <comment ref="F15" authorId="0" shapeId="0" xr:uid="{00000000-0006-0000-0100-000001000000}">
      <text>
        <r>
          <rPr>
            <b/>
            <sz val="9"/>
            <color indexed="81"/>
            <rFont val="Tahoma"/>
            <family val="2"/>
          </rPr>
          <t>davisjam:</t>
        </r>
        <r>
          <rPr>
            <sz val="9"/>
            <color indexed="81"/>
            <rFont val="Tahoma"/>
            <family val="2"/>
          </rPr>
          <t xml:space="preserve">
Percentages listed are place fillers. Please complete as required</t>
        </r>
      </text>
    </comment>
  </commentList>
</comments>
</file>

<file path=xl/sharedStrings.xml><?xml version="1.0" encoding="utf-8"?>
<sst xmlns="http://schemas.openxmlformats.org/spreadsheetml/2006/main" count="1171" uniqueCount="134">
  <si>
    <t xml:space="preserve">Use the information from the provided prefilled division sheets to fill in the 50 Divisions Cost Estimate CSI Format tool to build your proposal. The information from the prefilled division sheets may not be all inclusive. The contractor is allowed to include any missing items from each division and is allowed to fill in other divisions that are not listed in the prefilled division sheets. If there is a disagreement with the prefilled division sheets, the contractor should not delete the element(s), but instead leave it blank and then include their suggested element(s) at the bottom of that division tab. </t>
  </si>
  <si>
    <r>
      <t>The ktr is required to complete the areas marked "</t>
    </r>
    <r>
      <rPr>
        <sz val="10"/>
        <color indexed="10"/>
        <rFont val="MS Sans Serif"/>
        <family val="2"/>
      </rPr>
      <t>Fill Here"</t>
    </r>
    <r>
      <rPr>
        <sz val="10"/>
        <rFont val="MS Sans Serif"/>
      </rPr>
      <t xml:space="preserve">  in the summary tab. The rest of the information in the summary tab will automatically tabulate from the individual division tabs. </t>
    </r>
  </si>
  <si>
    <t>CLIN STRUCTURE</t>
  </si>
  <si>
    <t>CLIN</t>
  </si>
  <si>
    <t>Description</t>
  </si>
  <si>
    <t>Unit of Issue</t>
  </si>
  <si>
    <t>Unit Price</t>
  </si>
  <si>
    <t>Total Amount</t>
  </si>
  <si>
    <t>Anticipated PoP</t>
  </si>
  <si>
    <t>0001</t>
  </si>
  <si>
    <t>Design – All design costs shall be included on this CLIN and represent 100% design submittal</t>
  </si>
  <si>
    <t>Job</t>
  </si>
  <si>
    <t>119 DAYS</t>
  </si>
  <si>
    <t>0002</t>
  </si>
  <si>
    <t>Build – All construction costs shall be included on this CLIN</t>
  </si>
  <si>
    <t>272 DAYS</t>
  </si>
  <si>
    <t>CONSTRUCTION COST ESTIMATE</t>
  </si>
  <si>
    <t>Date:</t>
  </si>
  <si>
    <t>Fill Here</t>
  </si>
  <si>
    <t>COMPANY</t>
  </si>
  <si>
    <t>PROJECT</t>
  </si>
  <si>
    <t>LOCATION</t>
  </si>
  <si>
    <t>PROJECT NO.</t>
  </si>
  <si>
    <t>EGLIN AIR FORCE BASE, FLORIDA</t>
  </si>
  <si>
    <t>DIVISION</t>
  </si>
  <si>
    <t>DESCRIPTION</t>
  </si>
  <si>
    <t>% by
Division</t>
  </si>
  <si>
    <t>Division Total</t>
  </si>
  <si>
    <t>DIVISION 01</t>
  </si>
  <si>
    <t>GENERAL REQUIREMENTS</t>
  </si>
  <si>
    <t>DIVISION 02</t>
  </si>
  <si>
    <t>EXISTING CONDITIONS</t>
  </si>
  <si>
    <t>DIVISION 03</t>
  </si>
  <si>
    <t>CONCRETE WORK</t>
  </si>
  <si>
    <r>
      <rPr>
        <b/>
        <u/>
        <sz val="12"/>
        <color indexed="10"/>
        <rFont val="Arial"/>
        <family val="2"/>
      </rPr>
      <t xml:space="preserve">FILL IN AS REQUIRED </t>
    </r>
    <r>
      <rPr>
        <b/>
        <sz val="12"/>
        <color indexed="10"/>
        <rFont val="Arial"/>
        <family val="2"/>
      </rPr>
      <t>(this will link to the entire document)</t>
    </r>
  </si>
  <si>
    <t>DIVISION 04</t>
  </si>
  <si>
    <t>MASONRY</t>
  </si>
  <si>
    <t>DIVISION 05</t>
  </si>
  <si>
    <t>METALS</t>
  </si>
  <si>
    <t>DIVISION 06</t>
  </si>
  <si>
    <t>WOOD, PLASTICS AND COMPOSITES</t>
  </si>
  <si>
    <t>GC Overhead</t>
  </si>
  <si>
    <t>DIVISION 07</t>
  </si>
  <si>
    <t>THERMAL AND MOISTURE PROTECTION</t>
  </si>
  <si>
    <t>GC Protit</t>
  </si>
  <si>
    <t>DIVISION 08</t>
  </si>
  <si>
    <t>OPENINGS</t>
  </si>
  <si>
    <t>Sub Overhead</t>
  </si>
  <si>
    <t>DIVISION 09</t>
  </si>
  <si>
    <t>FINISHES</t>
  </si>
  <si>
    <t>Sub Profit</t>
  </si>
  <si>
    <t>DIVISION 10</t>
  </si>
  <si>
    <t>SPECIALTIES</t>
  </si>
  <si>
    <t>Sales Tax</t>
  </si>
  <si>
    <t>DIVISION 11</t>
  </si>
  <si>
    <t>EQUIPMENT</t>
  </si>
  <si>
    <t>Risk/Bonding</t>
  </si>
  <si>
    <t>DIVISION 12</t>
  </si>
  <si>
    <t>FURNISHINGS</t>
  </si>
  <si>
    <t>DIVISION 13</t>
  </si>
  <si>
    <t>SPECIAL CONSTRUCTION</t>
  </si>
  <si>
    <t>This spreadsheet contains many formulas, please save a copy prior to editting in case you make a mistake. All shaded areas are either linked or contain formulas</t>
  </si>
  <si>
    <t>DIVISION 14</t>
  </si>
  <si>
    <t>CONVEYING EQUIPMENT</t>
  </si>
  <si>
    <t>DIVISION 21</t>
  </si>
  <si>
    <t>FIRE SUPRESSION</t>
  </si>
  <si>
    <t>DIVISION 22</t>
  </si>
  <si>
    <t>PLUMBING</t>
  </si>
  <si>
    <t>DIVISION 23</t>
  </si>
  <si>
    <t>HEATING, VENTILATING AND A/C</t>
  </si>
  <si>
    <t>DIVISION 25</t>
  </si>
  <si>
    <t>INTEGRATED AUTOMATION</t>
  </si>
  <si>
    <t>DIVISION 26</t>
  </si>
  <si>
    <t>ELECTRICAL</t>
  </si>
  <si>
    <t>DIVISION 27</t>
  </si>
  <si>
    <t>COMMUNICATIONS</t>
  </si>
  <si>
    <t>DIVISION 28</t>
  </si>
  <si>
    <t>ELECTRONIC SAFETY AND SECURITY</t>
  </si>
  <si>
    <t>DIVISION 31</t>
  </si>
  <si>
    <t>EARTHWORK</t>
  </si>
  <si>
    <t>DIVISION 32</t>
  </si>
  <si>
    <t>EXTERIOR IMPROVEMENTS</t>
  </si>
  <si>
    <t>DIVISION 33</t>
  </si>
  <si>
    <t>UTILITIES</t>
  </si>
  <si>
    <t>DIVISION 34</t>
  </si>
  <si>
    <t>TRANSPORTATION</t>
  </si>
  <si>
    <t>DIVISION 35</t>
  </si>
  <si>
    <t>WATERWAYS AND MARINE CONSTRUCTION</t>
  </si>
  <si>
    <t>DIVISION 40</t>
  </si>
  <si>
    <t>PROCESS INTEGRATION</t>
  </si>
  <si>
    <t>DIVISION 41</t>
  </si>
  <si>
    <t>MATERIAL PROCESING AND HANDLING EQUIPMENT</t>
  </si>
  <si>
    <t>DIVISION 42</t>
  </si>
  <si>
    <t>PROCESS HEATING, COOLING AND DRYING EQUIPMENT</t>
  </si>
  <si>
    <t>DIVISION 43</t>
  </si>
  <si>
    <t>PROCESS GAS &amp; LIQUID HANDLING, PURIFICATION AND STORAGE EQUIPMENT</t>
  </si>
  <si>
    <t>DIVISION 44</t>
  </si>
  <si>
    <t>POLLUTION CONTROL EQUIPMENT</t>
  </si>
  <si>
    <t>DIVISION 45</t>
  </si>
  <si>
    <t>INDUSTRY-SPECIFIC MANUFACTURING EQUIPMENT</t>
  </si>
  <si>
    <t>DIVISION 48</t>
  </si>
  <si>
    <t>ELECTRICAL POWER GENERATION</t>
  </si>
  <si>
    <t>HARD COST TOTAL</t>
  </si>
  <si>
    <t>GENERAL CONTRACT OFFICE OVERHEAD (Fill in%)</t>
  </si>
  <si>
    <t>SUBTOTAL</t>
  </si>
  <si>
    <t>GENERAL CONTRACTOR'S PROFIT(Fill in%)</t>
  </si>
  <si>
    <t>BUILDER'S RISK / PERFORMANCE BONDS (Fill in%)</t>
  </si>
  <si>
    <t>CONTRACT TOTAL</t>
  </si>
  <si>
    <t>DATE</t>
  </si>
  <si>
    <t>BASIS FOR ESTIMATE</t>
  </si>
  <si>
    <t xml:space="preserve">     CODE A (No design completed)</t>
  </si>
  <si>
    <t xml:space="preserve">     CODE B (Preliminary design)</t>
  </si>
  <si>
    <t xml:space="preserve">     CODE C (Final design)</t>
  </si>
  <si>
    <t xml:space="preserve">     OTHER (Specify)</t>
  </si>
  <si>
    <t>DRAWING NO.</t>
  </si>
  <si>
    <t>ESTIMATOR</t>
  </si>
  <si>
    <t>CHECKED BY</t>
  </si>
  <si>
    <t>QUANTITY</t>
  </si>
  <si>
    <t>LABOR</t>
  </si>
  <si>
    <t>MATERIAL</t>
  </si>
  <si>
    <t>ITEM DESCRIPTION</t>
  </si>
  <si>
    <t>NO. UNITS</t>
  </si>
  <si>
    <t>UNIT MEAS.</t>
  </si>
  <si>
    <t>PER UNIT</t>
  </si>
  <si>
    <t>TOTAL</t>
  </si>
  <si>
    <t>TOTAL COST</t>
  </si>
  <si>
    <t xml:space="preserve"> </t>
  </si>
  <si>
    <t>TOTAL LABOR/MATERIALS</t>
  </si>
  <si>
    <t>Sub-Contractor's Overhead</t>
  </si>
  <si>
    <t>Sub-Contractor's Profit</t>
  </si>
  <si>
    <t>FL State Sales Tax</t>
  </si>
  <si>
    <t>FTFA 23VH26</t>
  </si>
  <si>
    <t>Upgrade HVAC B8640</t>
  </si>
  <si>
    <t>FA282325R0012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</si>
</sst>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quot;$&quot;#,##0.00"/>
  </numFmts>
  <fonts count="18" x14ac:knownFonts="1">
    <font>
      <sz val="10"/>
      <name val="MS Sans Serif"/>
    </font>
    <font>
      <b/>
      <sz val="10"/>
      <name val="MS Sans Serif"/>
    </font>
    <font>
      <sz val="10"/>
      <name val="MS Sans Serif"/>
      <family val="2"/>
    </font>
    <font>
      <b/>
      <sz val="8"/>
      <name val="Arial"/>
      <family val="2"/>
    </font>
    <font>
      <sz val="8"/>
      <name val="Arial"/>
      <family val="2"/>
    </font>
    <font>
      <b/>
      <sz val="10"/>
      <name val="Arial"/>
      <family val="2"/>
    </font>
    <font>
      <sz val="10"/>
      <name val="Arial"/>
      <family val="2"/>
    </font>
    <font>
      <sz val="12"/>
      <name val="Arial"/>
      <family val="2"/>
    </font>
    <font>
      <i/>
      <sz val="10"/>
      <name val="Arial"/>
      <family val="2"/>
    </font>
    <font>
      <b/>
      <sz val="12"/>
      <color indexed="10"/>
      <name val="Arial"/>
      <family val="2"/>
    </font>
    <font>
      <b/>
      <u/>
      <sz val="12"/>
      <color indexed="10"/>
      <name val="Arial"/>
      <family val="2"/>
    </font>
    <font>
      <b/>
      <sz val="9"/>
      <color indexed="81"/>
      <name val="Tahoma"/>
      <family val="2"/>
    </font>
    <font>
      <sz val="9"/>
      <color indexed="81"/>
      <name val="Tahoma"/>
      <family val="2"/>
    </font>
    <font>
      <sz val="10"/>
      <color indexed="10"/>
      <name val="MS Sans Serif"/>
      <family val="2"/>
    </font>
    <font>
      <b/>
      <sz val="8"/>
      <color rgb="FFFF0000"/>
      <name val="Arial"/>
      <family val="2"/>
    </font>
    <font>
      <b/>
      <sz val="10"/>
      <color rgb="FFFF0000"/>
      <name val="MS Sans Serif"/>
      <family val="2"/>
    </font>
    <font>
      <b/>
      <sz val="12"/>
      <color rgb="FFFF0000"/>
      <name val="Arial"/>
      <family val="2"/>
    </font>
    <font>
      <sz val="14"/>
      <name val="Arial"/>
      <family val="2"/>
    </font>
  </fonts>
  <fills count="5">
    <fill>
      <patternFill patternType="none"/>
    </fill>
    <fill>
      <patternFill patternType="gray125"/>
    </fill>
    <fill>
      <patternFill patternType="gray0625"/>
    </fill>
    <fill>
      <patternFill patternType="solid">
        <fgColor indexed="65"/>
        <bgColor indexed="64"/>
      </patternFill>
    </fill>
    <fill>
      <patternFill patternType="solid">
        <fgColor theme="0" tint="-0.14999847407452621"/>
        <bgColor indexed="64"/>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s>
  <cellStyleXfs count="1">
    <xf numFmtId="0" fontId="0" fillId="0" borderId="0"/>
  </cellStyleXfs>
  <cellXfs count="149">
    <xf numFmtId="0" fontId="0" fillId="0" borderId="0" xfId="0"/>
    <xf numFmtId="43" fontId="4" fillId="0" borderId="1" xfId="0" applyNumberFormat="1" applyFont="1" applyBorder="1"/>
    <xf numFmtId="43" fontId="3" fillId="0" borderId="2" xfId="0" applyNumberFormat="1" applyFont="1" applyBorder="1"/>
    <xf numFmtId="43" fontId="3" fillId="0" borderId="3" xfId="0" applyNumberFormat="1" applyFont="1" applyBorder="1"/>
    <xf numFmtId="43" fontId="4" fillId="0" borderId="2" xfId="0" applyNumberFormat="1" applyFont="1" applyBorder="1"/>
    <xf numFmtId="0" fontId="4" fillId="0" borderId="0" xfId="0" applyFont="1" applyBorder="1"/>
    <xf numFmtId="0" fontId="4" fillId="0" borderId="0" xfId="0" applyFont="1"/>
    <xf numFmtId="43" fontId="4" fillId="0" borderId="4" xfId="0" applyNumberFormat="1" applyFont="1" applyBorder="1"/>
    <xf numFmtId="43" fontId="4" fillId="0" borderId="5" xfId="0" applyNumberFormat="1" applyFont="1" applyBorder="1"/>
    <xf numFmtId="0" fontId="4" fillId="0" borderId="6" xfId="0" applyFont="1" applyBorder="1"/>
    <xf numFmtId="43" fontId="4" fillId="0" borderId="0" xfId="0" applyNumberFormat="1" applyFont="1"/>
    <xf numFmtId="43" fontId="4" fillId="0" borderId="0" xfId="0" applyNumberFormat="1" applyFont="1" applyBorder="1"/>
    <xf numFmtId="43" fontId="3" fillId="0" borderId="6" xfId="0" applyNumberFormat="1" applyFont="1" applyBorder="1"/>
    <xf numFmtId="43" fontId="4" fillId="0" borderId="7" xfId="0" applyNumberFormat="1" applyFont="1" applyBorder="1"/>
    <xf numFmtId="0" fontId="3" fillId="0" borderId="8" xfId="0" applyFont="1" applyBorder="1"/>
    <xf numFmtId="0" fontId="4" fillId="0" borderId="5" xfId="0" applyFont="1" applyBorder="1"/>
    <xf numFmtId="43" fontId="4" fillId="0" borderId="6" xfId="0" applyNumberFormat="1" applyFont="1" applyBorder="1"/>
    <xf numFmtId="43" fontId="4" fillId="0" borderId="3" xfId="0" applyNumberFormat="1" applyFont="1" applyBorder="1"/>
    <xf numFmtId="0" fontId="4" fillId="0" borderId="9" xfId="0" applyFont="1" applyBorder="1" applyAlignment="1">
      <alignment horizontal="centerContinuous" vertical="center"/>
    </xf>
    <xf numFmtId="0" fontId="4" fillId="0" borderId="5" xfId="0" applyFont="1" applyBorder="1" applyAlignment="1">
      <alignment horizontal="centerContinuous"/>
    </xf>
    <xf numFmtId="43" fontId="4" fillId="0" borderId="5" xfId="0" applyNumberFormat="1" applyFont="1" applyBorder="1" applyAlignment="1">
      <alignment horizontal="centerContinuous"/>
    </xf>
    <xf numFmtId="43" fontId="4" fillId="0" borderId="8" xfId="0" applyNumberFormat="1" applyFont="1" applyBorder="1" applyAlignment="1">
      <alignment horizontal="centerContinuous"/>
    </xf>
    <xf numFmtId="43" fontId="4" fillId="0" borderId="9" xfId="0" applyNumberFormat="1" applyFont="1" applyBorder="1" applyAlignment="1">
      <alignment horizontal="center" vertical="top"/>
    </xf>
    <xf numFmtId="0" fontId="4" fillId="0" borderId="10" xfId="0" applyFont="1" applyBorder="1" applyAlignment="1">
      <alignment horizontal="centerContinuous" vertical="center"/>
    </xf>
    <xf numFmtId="0" fontId="4" fillId="0" borderId="4" xfId="0" applyFont="1" applyBorder="1" applyAlignment="1">
      <alignment vertical="top" wrapText="1"/>
    </xf>
    <xf numFmtId="43" fontId="4" fillId="0" borderId="4" xfId="0" applyNumberFormat="1" applyFont="1" applyBorder="1" applyAlignment="1">
      <alignment vertical="top" wrapText="1"/>
    </xf>
    <xf numFmtId="43" fontId="4" fillId="0" borderId="4" xfId="0" applyNumberFormat="1" applyFont="1" applyBorder="1" applyAlignment="1">
      <alignment horizontal="center"/>
    </xf>
    <xf numFmtId="43" fontId="4" fillId="0" borderId="4" xfId="0" applyNumberFormat="1" applyFont="1" applyBorder="1" applyAlignment="1">
      <alignment horizontal="centerContinuous"/>
    </xf>
    <xf numFmtId="43" fontId="4" fillId="0" borderId="4" xfId="0" applyNumberFormat="1" applyFont="1" applyBorder="1" applyAlignment="1">
      <alignment horizontal="center" vertical="top"/>
    </xf>
    <xf numFmtId="0" fontId="5" fillId="0" borderId="10" xfId="0" applyFont="1" applyBorder="1"/>
    <xf numFmtId="0" fontId="6" fillId="0" borderId="10" xfId="0" applyFont="1" applyBorder="1"/>
    <xf numFmtId="43" fontId="6" fillId="0" borderId="10" xfId="0" applyNumberFormat="1" applyFont="1" applyBorder="1"/>
    <xf numFmtId="0" fontId="6" fillId="0" borderId="11" xfId="0" applyFont="1" applyBorder="1"/>
    <xf numFmtId="43" fontId="6" fillId="0" borderId="11" xfId="0" applyNumberFormat="1" applyFont="1" applyBorder="1"/>
    <xf numFmtId="0" fontId="5" fillId="0" borderId="11" xfId="0" applyFont="1" applyBorder="1"/>
    <xf numFmtId="0" fontId="6" fillId="0" borderId="0" xfId="0" applyFont="1"/>
    <xf numFmtId="43" fontId="6" fillId="0" borderId="0" xfId="0" applyNumberFormat="1" applyFont="1"/>
    <xf numFmtId="43" fontId="3" fillId="0" borderId="0" xfId="0" applyNumberFormat="1" applyFont="1" applyBorder="1"/>
    <xf numFmtId="43" fontId="3" fillId="0" borderId="7" xfId="0" applyNumberFormat="1" applyFont="1" applyBorder="1"/>
    <xf numFmtId="0" fontId="6" fillId="0" borderId="10" xfId="0" applyFont="1" applyFill="1" applyBorder="1"/>
    <xf numFmtId="43" fontId="6" fillId="0" borderId="10" xfId="0" applyNumberFormat="1" applyFont="1" applyFill="1" applyBorder="1"/>
    <xf numFmtId="0" fontId="4" fillId="0" borderId="12" xfId="0" applyFont="1" applyBorder="1"/>
    <xf numFmtId="9" fontId="6" fillId="0" borderId="10" xfId="0" applyNumberFormat="1" applyFont="1" applyBorder="1"/>
    <xf numFmtId="43" fontId="5" fillId="0" borderId="11" xfId="0" applyNumberFormat="1" applyFont="1" applyBorder="1"/>
    <xf numFmtId="0" fontId="6" fillId="0" borderId="12" xfId="0" applyFont="1" applyBorder="1"/>
    <xf numFmtId="43" fontId="6" fillId="0" borderId="12" xfId="0" applyNumberFormat="1" applyFont="1" applyBorder="1"/>
    <xf numFmtId="0" fontId="6" fillId="0" borderId="10" xfId="0" applyFont="1" applyBorder="1" applyAlignment="1">
      <alignment horizontal="center"/>
    </xf>
    <xf numFmtId="43" fontId="6" fillId="0" borderId="10" xfId="0" applyNumberFormat="1" applyFont="1" applyBorder="1" applyAlignment="1">
      <alignment horizontal="center"/>
    </xf>
    <xf numFmtId="0" fontId="4" fillId="0" borderId="6" xfId="0" applyFont="1" applyBorder="1" applyAlignment="1"/>
    <xf numFmtId="0" fontId="4" fillId="0" borderId="0" xfId="0" applyFont="1" applyBorder="1" applyAlignment="1"/>
    <xf numFmtId="0" fontId="4" fillId="0" borderId="7" xfId="0" applyFont="1" applyBorder="1" applyAlignment="1"/>
    <xf numFmtId="0" fontId="4" fillId="0" borderId="0" xfId="0" applyFont="1" applyFill="1"/>
    <xf numFmtId="0" fontId="6" fillId="0" borderId="10" xfId="0" applyFont="1" applyBorder="1" applyAlignment="1">
      <alignment wrapText="1"/>
    </xf>
    <xf numFmtId="43" fontId="4" fillId="0" borderId="12" xfId="0" applyNumberFormat="1" applyFont="1" applyBorder="1"/>
    <xf numFmtId="39" fontId="4" fillId="0" borderId="0" xfId="0" applyNumberFormat="1" applyFont="1"/>
    <xf numFmtId="2" fontId="4" fillId="0" borderId="0" xfId="0" applyNumberFormat="1" applyFont="1"/>
    <xf numFmtId="2" fontId="7" fillId="0" borderId="0" xfId="0" applyNumberFormat="1" applyFont="1"/>
    <xf numFmtId="0" fontId="7" fillId="0" borderId="0" xfId="0" applyFont="1"/>
    <xf numFmtId="43" fontId="7" fillId="0" borderId="0" xfId="0" applyNumberFormat="1" applyFont="1"/>
    <xf numFmtId="43" fontId="4" fillId="0" borderId="8" xfId="0" applyNumberFormat="1" applyFont="1" applyBorder="1" applyAlignment="1">
      <alignment horizontal="center"/>
    </xf>
    <xf numFmtId="10" fontId="6" fillId="0" borderId="10" xfId="0" applyNumberFormat="1" applyFont="1" applyBorder="1"/>
    <xf numFmtId="0" fontId="0" fillId="0" borderId="2" xfId="0" applyBorder="1" applyAlignment="1"/>
    <xf numFmtId="39" fontId="4" fillId="0" borderId="12" xfId="0" applyNumberFormat="1" applyFont="1" applyBorder="1"/>
    <xf numFmtId="2" fontId="7" fillId="0" borderId="0" xfId="0" applyNumberFormat="1" applyFont="1" applyBorder="1"/>
    <xf numFmtId="43" fontId="7" fillId="0" borderId="0" xfId="0" applyNumberFormat="1" applyFont="1" applyBorder="1"/>
    <xf numFmtId="10" fontId="7" fillId="0" borderId="12" xfId="0" applyNumberFormat="1" applyFont="1" applyBorder="1"/>
    <xf numFmtId="10" fontId="6" fillId="0" borderId="11" xfId="0" applyNumberFormat="1" applyFont="1" applyBorder="1"/>
    <xf numFmtId="0" fontId="14" fillId="0" borderId="8" xfId="0" applyFont="1" applyBorder="1"/>
    <xf numFmtId="15" fontId="3" fillId="0" borderId="5" xfId="0" applyNumberFormat="1" applyFont="1" applyBorder="1"/>
    <xf numFmtId="0" fontId="15" fillId="0" borderId="4" xfId="0" applyFont="1" applyBorder="1" applyAlignment="1"/>
    <xf numFmtId="164" fontId="6" fillId="2" borderId="10" xfId="0" applyNumberFormat="1" applyFont="1" applyFill="1" applyBorder="1"/>
    <xf numFmtId="43" fontId="6" fillId="3" borderId="10" xfId="0" applyNumberFormat="1" applyFont="1" applyFill="1" applyBorder="1"/>
    <xf numFmtId="9" fontId="6" fillId="2" borderId="10" xfId="0" applyNumberFormat="1" applyFont="1" applyFill="1" applyBorder="1"/>
    <xf numFmtId="43" fontId="4" fillId="3" borderId="0" xfId="0" applyNumberFormat="1" applyFont="1" applyFill="1" applyBorder="1"/>
    <xf numFmtId="43" fontId="6" fillId="2" borderId="10" xfId="0" applyNumberFormat="1" applyFont="1" applyFill="1" applyBorder="1"/>
    <xf numFmtId="44" fontId="5" fillId="2" borderId="11" xfId="0" applyNumberFormat="1" applyFont="1" applyFill="1" applyBorder="1"/>
    <xf numFmtId="43" fontId="4" fillId="2" borderId="12" xfId="0" applyNumberFormat="1" applyFont="1" applyFill="1" applyBorder="1"/>
    <xf numFmtId="43" fontId="4" fillId="2" borderId="12" xfId="0" applyNumberFormat="1" applyFont="1" applyFill="1" applyBorder="1" applyAlignment="1">
      <alignment horizontal="centerContinuous" vertical="center"/>
    </xf>
    <xf numFmtId="0" fontId="4" fillId="2" borderId="6" xfId="0" applyFont="1" applyFill="1" applyBorder="1"/>
    <xf numFmtId="0" fontId="4" fillId="2" borderId="0" xfId="0" applyFont="1" applyFill="1"/>
    <xf numFmtId="43" fontId="4" fillId="2" borderId="0" xfId="0" applyNumberFormat="1" applyFont="1" applyFill="1"/>
    <xf numFmtId="43" fontId="4" fillId="2" borderId="0" xfId="0" applyNumberFormat="1" applyFont="1" applyFill="1" applyBorder="1"/>
    <xf numFmtId="43" fontId="3" fillId="2" borderId="0" xfId="0" applyNumberFormat="1" applyFont="1" applyFill="1"/>
    <xf numFmtId="0" fontId="3" fillId="2" borderId="8" xfId="0" applyFont="1" applyFill="1" applyBorder="1"/>
    <xf numFmtId="0" fontId="4" fillId="2" borderId="5" xfId="0" applyFont="1" applyFill="1" applyBorder="1"/>
    <xf numFmtId="43" fontId="4" fillId="2" borderId="5" xfId="0" applyNumberFormat="1" applyFont="1" applyFill="1" applyBorder="1"/>
    <xf numFmtId="43" fontId="4" fillId="2" borderId="6" xfId="0" applyNumberFormat="1" applyFont="1" applyFill="1" applyBorder="1"/>
    <xf numFmtId="43" fontId="3" fillId="2" borderId="8" xfId="0" applyNumberFormat="1" applyFont="1" applyFill="1" applyBorder="1"/>
    <xf numFmtId="0" fontId="5" fillId="2" borderId="10" xfId="0" applyFont="1" applyFill="1" applyBorder="1"/>
    <xf numFmtId="43" fontId="6" fillId="2" borderId="12" xfId="0" applyNumberFormat="1" applyFont="1" applyFill="1" applyBorder="1"/>
    <xf numFmtId="43" fontId="3" fillId="2" borderId="8" xfId="0" applyNumberFormat="1" applyFont="1" applyFill="1" applyBorder="1" applyAlignment="1"/>
    <xf numFmtId="43" fontId="3" fillId="2" borderId="5" xfId="0" applyNumberFormat="1" applyFont="1" applyFill="1" applyBorder="1" applyAlignment="1"/>
    <xf numFmtId="43" fontId="3" fillId="2" borderId="4" xfId="0" applyNumberFormat="1" applyFont="1" applyFill="1" applyBorder="1" applyAlignment="1"/>
    <xf numFmtId="10" fontId="7" fillId="2" borderId="12" xfId="0" applyNumberFormat="1" applyFont="1" applyFill="1" applyBorder="1"/>
    <xf numFmtId="44" fontId="6" fillId="2" borderId="10" xfId="0" applyNumberFormat="1" applyFont="1" applyFill="1" applyBorder="1"/>
    <xf numFmtId="10" fontId="6" fillId="2" borderId="10" xfId="0" applyNumberFormat="1" applyFont="1" applyFill="1" applyBorder="1"/>
    <xf numFmtId="0" fontId="2" fillId="0" borderId="0" xfId="0" applyFont="1" applyAlignment="1">
      <alignment vertical="top" wrapText="1"/>
    </xf>
    <xf numFmtId="0" fontId="5" fillId="0" borderId="10" xfId="0" applyFont="1" applyBorder="1" applyAlignment="1">
      <alignment horizontal="center"/>
    </xf>
    <xf numFmtId="0" fontId="6" fillId="0" borderId="10" xfId="0" applyFont="1" applyBorder="1" applyAlignment="1">
      <alignment horizontal="left"/>
    </xf>
    <xf numFmtId="0" fontId="5" fillId="0" borderId="10" xfId="0" applyFont="1" applyFill="1" applyBorder="1" applyAlignment="1">
      <alignment horizontal="center"/>
    </xf>
    <xf numFmtId="43" fontId="6" fillId="0" borderId="12" xfId="0" applyNumberFormat="1" applyFont="1" applyBorder="1" applyAlignment="1">
      <alignment horizontal="center"/>
    </xf>
    <xf numFmtId="0" fontId="5" fillId="0" borderId="10" xfId="0" applyFont="1" applyBorder="1" applyAlignment="1">
      <alignment horizontal="center" vertical="center"/>
    </xf>
    <xf numFmtId="0" fontId="6" fillId="0" borderId="10" xfId="0" applyFont="1" applyBorder="1" applyAlignment="1">
      <alignment horizontal="left" vertical="center"/>
    </xf>
    <xf numFmtId="0" fontId="6" fillId="0" borderId="10" xfId="0" applyFont="1" applyBorder="1" applyAlignment="1">
      <alignment horizontal="right"/>
    </xf>
    <xf numFmtId="43" fontId="6" fillId="0" borderId="10" xfId="0" applyNumberFormat="1" applyFont="1" applyFill="1" applyBorder="1" applyAlignment="1">
      <alignment horizontal="center"/>
    </xf>
    <xf numFmtId="43" fontId="6" fillId="0" borderId="10" xfId="0" applyNumberFormat="1" applyFont="1" applyBorder="1" applyAlignment="1">
      <alignment horizontal="left"/>
    </xf>
    <xf numFmtId="0" fontId="6" fillId="0" borderId="10" xfId="0" applyFont="1" applyFill="1" applyBorder="1" applyAlignment="1">
      <alignment horizontal="center"/>
    </xf>
    <xf numFmtId="0" fontId="0" fillId="0" borderId="0" xfId="0" applyAlignment="1">
      <alignment horizontal="center" vertical="center" wrapText="1"/>
    </xf>
    <xf numFmtId="49" fontId="0" fillId="0" borderId="0" xfId="0" applyNumberFormat="1" applyAlignment="1">
      <alignment horizontal="center" vertical="center" wrapText="1"/>
    </xf>
    <xf numFmtId="49" fontId="17" fillId="0" borderId="12" xfId="0" applyNumberFormat="1" applyFont="1" applyBorder="1" applyAlignment="1">
      <alignment horizontal="center" vertical="center" wrapText="1"/>
    </xf>
    <xf numFmtId="0" fontId="17" fillId="0" borderId="12" xfId="0" applyFont="1" applyBorder="1" applyAlignment="1">
      <alignment horizontal="center" vertical="center" wrapText="1"/>
    </xf>
    <xf numFmtId="0" fontId="8" fillId="0" borderId="10" xfId="0" applyFont="1" applyFill="1" applyBorder="1"/>
    <xf numFmtId="0" fontId="5" fillId="0" borderId="13" xfId="0" applyFont="1" applyBorder="1" applyAlignment="1"/>
    <xf numFmtId="0" fontId="0" fillId="0" borderId="14" xfId="0" applyBorder="1" applyAlignment="1"/>
    <xf numFmtId="165" fontId="6" fillId="2" borderId="10" xfId="0" applyNumberFormat="1" applyFont="1" applyFill="1" applyBorder="1"/>
    <xf numFmtId="165" fontId="5" fillId="2" borderId="10" xfId="0" applyNumberFormat="1" applyFont="1" applyFill="1" applyBorder="1"/>
    <xf numFmtId="49" fontId="17" fillId="4" borderId="5" xfId="0" applyNumberFormat="1" applyFont="1" applyFill="1" applyBorder="1" applyAlignment="1">
      <alignment horizontal="center" vertical="center" wrapText="1"/>
    </xf>
    <xf numFmtId="0" fontId="5" fillId="0" borderId="15" xfId="0" applyFont="1" applyBorder="1" applyAlignment="1"/>
    <xf numFmtId="0" fontId="5" fillId="0" borderId="16" xfId="0" applyFont="1" applyBorder="1" applyAlignment="1"/>
    <xf numFmtId="0" fontId="9" fillId="0" borderId="0" xfId="0" applyFont="1" applyBorder="1" applyAlignment="1">
      <alignment horizontal="center" wrapText="1"/>
    </xf>
    <xf numFmtId="0" fontId="16" fillId="0" borderId="0" xfId="0" applyFont="1" applyBorder="1" applyAlignment="1">
      <alignment horizontal="center" wrapText="1"/>
    </xf>
    <xf numFmtId="0" fontId="16" fillId="0" borderId="5" xfId="0" applyFont="1" applyBorder="1" applyAlignment="1">
      <alignment horizontal="center" wrapText="1"/>
    </xf>
    <xf numFmtId="43" fontId="14" fillId="0" borderId="2" xfId="0" applyNumberFormat="1" applyFont="1" applyBorder="1" applyAlignment="1">
      <alignment horizontal="center" vertical="center"/>
    </xf>
    <xf numFmtId="43" fontId="4" fillId="0" borderId="4" xfId="0" applyNumberFormat="1" applyFont="1" applyBorder="1" applyAlignment="1">
      <alignment horizontal="center" vertical="center"/>
    </xf>
    <xf numFmtId="0" fontId="1" fillId="0" borderId="12" xfId="0" applyFont="1" applyBorder="1" applyAlignment="1">
      <alignment horizontal="center" vertical="center"/>
    </xf>
    <xf numFmtId="0" fontId="14" fillId="0" borderId="6" xfId="0" applyFont="1" applyBorder="1" applyAlignment="1">
      <alignment horizontal="left" vertical="center"/>
    </xf>
    <xf numFmtId="0" fontId="3" fillId="0" borderId="0" xfId="0" applyFont="1" applyBorder="1" applyAlignment="1">
      <alignment horizontal="left" vertical="center"/>
    </xf>
    <xf numFmtId="0" fontId="3" fillId="0" borderId="7" xfId="0" applyFont="1" applyBorder="1" applyAlignment="1">
      <alignment horizontal="left" vertical="center"/>
    </xf>
    <xf numFmtId="0" fontId="3" fillId="0" borderId="6" xfId="0" applyFont="1" applyBorder="1" applyAlignment="1">
      <alignment horizontal="left" vertical="center"/>
    </xf>
    <xf numFmtId="0" fontId="3" fillId="0" borderId="8" xfId="0" applyFont="1" applyBorder="1" applyAlignment="1">
      <alignment horizontal="left" vertical="center"/>
    </xf>
    <xf numFmtId="0" fontId="3" fillId="0" borderId="5" xfId="0" applyFont="1" applyBorder="1" applyAlignment="1">
      <alignment horizontal="left" vertical="center"/>
    </xf>
    <xf numFmtId="0" fontId="3" fillId="0" borderId="4" xfId="0" applyFont="1" applyBorder="1" applyAlignment="1">
      <alignment horizontal="left" vertical="center"/>
    </xf>
    <xf numFmtId="0" fontId="1" fillId="0" borderId="17" xfId="0" applyFont="1" applyBorder="1" applyAlignment="1">
      <alignment horizontal="center" wrapText="1"/>
    </xf>
    <xf numFmtId="0" fontId="1" fillId="0" borderId="10" xfId="0" applyFont="1" applyBorder="1" applyAlignment="1">
      <alignment horizont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5" fillId="0" borderId="12" xfId="0" applyFont="1" applyBorder="1" applyAlignment="1">
      <alignment horizontal="center" vertical="center"/>
    </xf>
    <xf numFmtId="0" fontId="14" fillId="0" borderId="0" xfId="0" applyFont="1" applyAlignment="1">
      <alignment horizontal="center" vertical="top" wrapText="1"/>
    </xf>
    <xf numFmtId="0" fontId="5" fillId="0" borderId="13" xfId="0" applyFont="1" applyBorder="1" applyAlignment="1"/>
    <xf numFmtId="0" fontId="0" fillId="0" borderId="14" xfId="0" applyBorder="1" applyAlignment="1"/>
    <xf numFmtId="0" fontId="2" fillId="0" borderId="1" xfId="0" applyFont="1" applyBorder="1" applyAlignment="1">
      <alignment horizontal="center"/>
    </xf>
    <xf numFmtId="0" fontId="0" fillId="0" borderId="8" xfId="0" applyBorder="1" applyAlignment="1">
      <alignment horizontal="center"/>
    </xf>
    <xf numFmtId="43" fontId="4" fillId="2" borderId="5" xfId="0" applyNumberFormat="1" applyFont="1" applyFill="1" applyBorder="1" applyAlignment="1">
      <alignment horizontal="center"/>
    </xf>
    <xf numFmtId="43" fontId="4" fillId="2" borderId="4" xfId="0" applyNumberFormat="1" applyFont="1" applyFill="1" applyBorder="1" applyAlignment="1">
      <alignment horizontal="center"/>
    </xf>
    <xf numFmtId="0" fontId="3" fillId="2" borderId="8" xfId="0" applyFont="1" applyFill="1" applyBorder="1" applyAlignment="1">
      <alignment horizontal="center"/>
    </xf>
    <xf numFmtId="0" fontId="3" fillId="2" borderId="4" xfId="0" applyFont="1" applyFill="1" applyBorder="1" applyAlignment="1">
      <alignment horizontal="center"/>
    </xf>
    <xf numFmtId="43" fontId="3" fillId="2" borderId="8" xfId="0" applyNumberFormat="1" applyFont="1" applyFill="1" applyBorder="1" applyAlignment="1">
      <alignment horizontal="center"/>
    </xf>
    <xf numFmtId="43" fontId="3" fillId="2" borderId="5" xfId="0" applyNumberFormat="1" applyFont="1" applyFill="1" applyBorder="1" applyAlignment="1">
      <alignment horizontal="center"/>
    </xf>
    <xf numFmtId="43" fontId="3" fillId="2"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2"/>
  <sheetViews>
    <sheetView workbookViewId="0">
      <selection activeCell="B2" sqref="A1:B2"/>
    </sheetView>
  </sheetViews>
  <sheetFormatPr defaultRowHeight="13" x14ac:dyDescent="0.3"/>
  <cols>
    <col min="1" max="1" width="98" customWidth="1"/>
  </cols>
  <sheetData>
    <row r="1" spans="1:1" ht="75.650000000000006" customHeight="1" x14ac:dyDescent="0.3">
      <c r="A1" s="96" t="s">
        <v>0</v>
      </c>
    </row>
    <row r="2" spans="1:1" ht="61.9" customHeight="1" x14ac:dyDescent="0.3">
      <c r="A2" s="96" t="s">
        <v>1</v>
      </c>
    </row>
  </sheetData>
  <printOptions horizontalCentered="1"/>
  <pageMargins left="0.25" right="0.25" top="0.75" bottom="0.75" header="0.3" footer="0.3"/>
  <pageSetup scale="9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election activeCell="E14" sqref="E14"/>
    </sheetView>
  </sheetViews>
  <sheetFormatPr defaultColWidth="8.7265625" defaultRowHeight="13" x14ac:dyDescent="0.3"/>
  <cols>
    <col min="1" max="1" width="8.7265625" style="108"/>
    <col min="2" max="2" width="24.453125" style="107" customWidth="1"/>
    <col min="3" max="3" width="13.7265625" style="107" customWidth="1"/>
    <col min="4" max="4" width="10.54296875" style="107" customWidth="1"/>
    <col min="5" max="5" width="14.26953125" style="107" customWidth="1"/>
    <col min="6" max="6" width="15.453125" style="107" customWidth="1"/>
    <col min="7" max="16384" width="8.7265625" style="107"/>
  </cols>
  <sheetData>
    <row r="1" spans="1:6" ht="17.5" x14ac:dyDescent="0.3">
      <c r="A1" s="116" t="s">
        <v>2</v>
      </c>
      <c r="B1" s="116"/>
      <c r="C1" s="116"/>
      <c r="D1" s="116"/>
      <c r="E1" s="116"/>
      <c r="F1" s="116"/>
    </row>
    <row r="2" spans="1:6" ht="35" x14ac:dyDescent="0.3">
      <c r="A2" s="109" t="s">
        <v>3</v>
      </c>
      <c r="B2" s="110" t="s">
        <v>4</v>
      </c>
      <c r="C2" s="110" t="s">
        <v>5</v>
      </c>
      <c r="D2" s="110" t="s">
        <v>6</v>
      </c>
      <c r="E2" s="110" t="s">
        <v>7</v>
      </c>
      <c r="F2" s="110" t="s">
        <v>8</v>
      </c>
    </row>
    <row r="3" spans="1:6" ht="105" x14ac:dyDescent="0.3">
      <c r="A3" s="109" t="s">
        <v>9</v>
      </c>
      <c r="B3" s="110" t="s">
        <v>10</v>
      </c>
      <c r="C3" s="110" t="s">
        <v>11</v>
      </c>
      <c r="D3" s="110"/>
      <c r="E3" s="110"/>
      <c r="F3" s="110" t="s">
        <v>12</v>
      </c>
    </row>
    <row r="4" spans="1:6" ht="70" x14ac:dyDescent="0.3">
      <c r="A4" s="109" t="s">
        <v>13</v>
      </c>
      <c r="B4" s="110" t="s">
        <v>14</v>
      </c>
      <c r="C4" s="110" t="s">
        <v>11</v>
      </c>
      <c r="D4" s="110"/>
      <c r="E4" s="110"/>
      <c r="F4" s="110" t="s">
        <v>15</v>
      </c>
    </row>
  </sheetData>
  <mergeCells count="1">
    <mergeCell ref="A1:F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223"/>
  <sheetViews>
    <sheetView showGridLines="0" showZeros="0" tabSelected="1" zoomScaleNormal="100" workbookViewId="0">
      <pane ySplit="12" topLeftCell="A13" activePane="bottomLeft" state="frozen"/>
      <selection pane="bottomLeft" activeCell="B8" sqref="B8"/>
    </sheetView>
  </sheetViews>
  <sheetFormatPr defaultColWidth="9.1796875" defaultRowHeight="10" x14ac:dyDescent="0.2"/>
  <cols>
    <col min="1" max="1" width="18.81640625" style="6" customWidth="1"/>
    <col min="2" max="2" width="55" style="6" customWidth="1"/>
    <col min="3" max="3" width="14.7265625" style="10" customWidth="1"/>
    <col min="4" max="4" width="18.7265625" style="10" customWidth="1"/>
    <col min="5" max="5" width="9.1796875" style="6"/>
    <col min="6" max="6" width="12.1796875" style="6" bestFit="1" customWidth="1"/>
    <col min="7" max="7" width="14.26953125" style="6" bestFit="1" customWidth="1"/>
    <col min="8" max="8" width="12.81640625" style="6" bestFit="1" customWidth="1"/>
    <col min="9" max="16384" width="9.1796875" style="6"/>
  </cols>
  <sheetData>
    <row r="1" spans="1:7" ht="10" customHeight="1" x14ac:dyDescent="0.3">
      <c r="A1" s="136" t="s">
        <v>16</v>
      </c>
      <c r="B1" s="136"/>
      <c r="C1" s="140" t="s">
        <v>17</v>
      </c>
      <c r="D1" s="61"/>
      <c r="E1" s="5"/>
    </row>
    <row r="2" spans="1:7" ht="14.15" customHeight="1" x14ac:dyDescent="0.3">
      <c r="A2" s="136"/>
      <c r="B2" s="136"/>
      <c r="C2" s="141"/>
      <c r="D2" s="69" t="s">
        <v>18</v>
      </c>
      <c r="E2" s="5"/>
    </row>
    <row r="3" spans="1:7" ht="14.15" customHeight="1" x14ac:dyDescent="0.2">
      <c r="A3" s="48" t="s">
        <v>19</v>
      </c>
      <c r="B3" s="49"/>
      <c r="C3" s="49"/>
      <c r="D3" s="50"/>
      <c r="E3" s="5"/>
    </row>
    <row r="4" spans="1:7" ht="14.15" customHeight="1" x14ac:dyDescent="0.2">
      <c r="A4" s="125" t="s">
        <v>18</v>
      </c>
      <c r="B4" s="126"/>
      <c r="C4" s="126"/>
      <c r="D4" s="127"/>
      <c r="E4" s="5"/>
    </row>
    <row r="5" spans="1:7" ht="14.15" customHeight="1" x14ac:dyDescent="0.2">
      <c r="A5" s="128"/>
      <c r="B5" s="126"/>
      <c r="C5" s="126"/>
      <c r="D5" s="127"/>
      <c r="E5" s="5"/>
    </row>
    <row r="6" spans="1:7" ht="14.15" customHeight="1" x14ac:dyDescent="0.2">
      <c r="A6" s="129"/>
      <c r="B6" s="130"/>
      <c r="C6" s="130"/>
      <c r="D6" s="131"/>
      <c r="E6" s="5"/>
    </row>
    <row r="7" spans="1:7" ht="11.25" customHeight="1" x14ac:dyDescent="0.2">
      <c r="A7" s="9" t="s">
        <v>20</v>
      </c>
      <c r="B7" s="5"/>
      <c r="C7" s="11"/>
      <c r="D7" s="13"/>
      <c r="E7" s="5"/>
    </row>
    <row r="8" spans="1:7" ht="11.25" customHeight="1" x14ac:dyDescent="0.25">
      <c r="A8" s="67" t="s">
        <v>132</v>
      </c>
      <c r="B8" s="15" t="s">
        <v>133</v>
      </c>
      <c r="C8" s="11"/>
      <c r="D8" s="7"/>
      <c r="E8" s="5"/>
    </row>
    <row r="9" spans="1:7" x14ac:dyDescent="0.2">
      <c r="A9" s="9" t="s">
        <v>21</v>
      </c>
      <c r="B9" s="5"/>
      <c r="C9" s="1" t="s">
        <v>22</v>
      </c>
      <c r="D9" s="122" t="s">
        <v>131</v>
      </c>
    </row>
    <row r="10" spans="1:7" ht="10.5" x14ac:dyDescent="0.25">
      <c r="A10" s="14" t="s">
        <v>23</v>
      </c>
      <c r="B10" s="15"/>
      <c r="C10" s="59"/>
      <c r="D10" s="123"/>
    </row>
    <row r="11" spans="1:7" s="5" customFormat="1" ht="12.75" customHeight="1" x14ac:dyDescent="0.2">
      <c r="A11" s="136" t="s">
        <v>24</v>
      </c>
      <c r="B11" s="134" t="s">
        <v>25</v>
      </c>
      <c r="C11" s="132" t="s">
        <v>26</v>
      </c>
      <c r="D11" s="124" t="s">
        <v>27</v>
      </c>
    </row>
    <row r="12" spans="1:7" s="5" customFormat="1" x14ac:dyDescent="0.2">
      <c r="A12" s="136"/>
      <c r="B12" s="135"/>
      <c r="C12" s="133"/>
      <c r="D12" s="124"/>
    </row>
    <row r="13" spans="1:7" ht="20.149999999999999" customHeight="1" x14ac:dyDescent="0.25">
      <c r="A13" s="30" t="s">
        <v>28</v>
      </c>
      <c r="B13" s="30" t="s">
        <v>29</v>
      </c>
      <c r="C13" s="70" t="e">
        <f>SUM(D13/D46)</f>
        <v>#DIV/0!</v>
      </c>
      <c r="D13" s="114">
        <f>'Div1'!H$42</f>
        <v>0</v>
      </c>
    </row>
    <row r="14" spans="1:7" ht="20.149999999999999" customHeight="1" x14ac:dyDescent="0.25">
      <c r="A14" s="30" t="s">
        <v>30</v>
      </c>
      <c r="B14" s="30" t="s">
        <v>31</v>
      </c>
      <c r="C14" s="70" t="e">
        <f>SUM(D14/D46)</f>
        <v>#DIV/0!</v>
      </c>
      <c r="D14" s="114">
        <f>'Div2'!H50</f>
        <v>0</v>
      </c>
    </row>
    <row r="15" spans="1:7" ht="20.149999999999999" customHeight="1" x14ac:dyDescent="0.25">
      <c r="A15" s="30" t="s">
        <v>32</v>
      </c>
      <c r="B15" s="30" t="s">
        <v>33</v>
      </c>
      <c r="C15" s="70" t="e">
        <f>SUM(D15/D46)</f>
        <v>#DIV/0!</v>
      </c>
      <c r="D15" s="114">
        <f>'Div3'!H$42</f>
        <v>0</v>
      </c>
      <c r="F15" s="119" t="s">
        <v>34</v>
      </c>
      <c r="G15" s="120"/>
    </row>
    <row r="16" spans="1:7" ht="20.149999999999999" customHeight="1" x14ac:dyDescent="0.25">
      <c r="A16" s="30" t="s">
        <v>35</v>
      </c>
      <c r="B16" s="30" t="s">
        <v>36</v>
      </c>
      <c r="C16" s="70" t="e">
        <f>SUM(D16/D46)</f>
        <v>#DIV/0!</v>
      </c>
      <c r="D16" s="114">
        <f>'Div4'!H43</f>
        <v>0</v>
      </c>
      <c r="F16" s="120"/>
      <c r="G16" s="120"/>
    </row>
    <row r="17" spans="1:7" ht="20.149999999999999" customHeight="1" x14ac:dyDescent="0.25">
      <c r="A17" s="30" t="s">
        <v>37</v>
      </c>
      <c r="B17" s="30" t="s">
        <v>38</v>
      </c>
      <c r="C17" s="70" t="e">
        <f>SUM(D17/D46)</f>
        <v>#DIV/0!</v>
      </c>
      <c r="D17" s="114">
        <f>'Div5'!H$43</f>
        <v>0</v>
      </c>
      <c r="F17" s="121"/>
      <c r="G17" s="121"/>
    </row>
    <row r="18" spans="1:7" ht="20.149999999999999" customHeight="1" x14ac:dyDescent="0.35">
      <c r="A18" s="30" t="s">
        <v>39</v>
      </c>
      <c r="B18" s="30" t="s">
        <v>40</v>
      </c>
      <c r="C18" s="70" t="e">
        <f>SUM(D18/D46)</f>
        <v>#DIV/0!</v>
      </c>
      <c r="D18" s="114">
        <f>'Div6'!H$47</f>
        <v>0</v>
      </c>
      <c r="F18" s="41" t="s">
        <v>41</v>
      </c>
      <c r="G18" s="65">
        <v>0</v>
      </c>
    </row>
    <row r="19" spans="1:7" ht="20.149999999999999" customHeight="1" x14ac:dyDescent="0.35">
      <c r="A19" s="30" t="s">
        <v>42</v>
      </c>
      <c r="B19" s="30" t="s">
        <v>43</v>
      </c>
      <c r="C19" s="70" t="e">
        <f>SUM(D19/D46)</f>
        <v>#DIV/0!</v>
      </c>
      <c r="D19" s="114">
        <f>'Div7'!H43</f>
        <v>0</v>
      </c>
      <c r="F19" s="41" t="s">
        <v>44</v>
      </c>
      <c r="G19" s="65">
        <v>0</v>
      </c>
    </row>
    <row r="20" spans="1:7" ht="20.149999999999999" customHeight="1" x14ac:dyDescent="0.35">
      <c r="A20" s="30" t="s">
        <v>45</v>
      </c>
      <c r="B20" s="30" t="s">
        <v>46</v>
      </c>
      <c r="C20" s="70" t="e">
        <f>SUM(D20/D46)</f>
        <v>#DIV/0!</v>
      </c>
      <c r="D20" s="114">
        <f>'Div8'!H$47</f>
        <v>0</v>
      </c>
      <c r="F20" s="41" t="s">
        <v>47</v>
      </c>
      <c r="G20" s="65">
        <v>0</v>
      </c>
    </row>
    <row r="21" spans="1:7" ht="20.149999999999999" customHeight="1" x14ac:dyDescent="0.35">
      <c r="A21" s="30" t="s">
        <v>48</v>
      </c>
      <c r="B21" s="30" t="s">
        <v>49</v>
      </c>
      <c r="C21" s="70" t="e">
        <f>SUM(D21/D46)</f>
        <v>#DIV/0!</v>
      </c>
      <c r="D21" s="114">
        <f>'Div9'!H43</f>
        <v>0</v>
      </c>
      <c r="F21" s="41" t="s">
        <v>50</v>
      </c>
      <c r="G21" s="65">
        <v>0</v>
      </c>
    </row>
    <row r="22" spans="1:7" ht="20.149999999999999" customHeight="1" x14ac:dyDescent="0.35">
      <c r="A22" s="30" t="s">
        <v>51</v>
      </c>
      <c r="B22" s="30" t="s">
        <v>52</v>
      </c>
      <c r="C22" s="70" t="e">
        <f>SUM(D22/D46)</f>
        <v>#DIV/0!</v>
      </c>
      <c r="D22" s="114">
        <f>'Div10'!H42</f>
        <v>0</v>
      </c>
      <c r="F22" s="62" t="s">
        <v>53</v>
      </c>
      <c r="G22" s="65">
        <v>0</v>
      </c>
    </row>
    <row r="23" spans="1:7" ht="20.149999999999999" customHeight="1" x14ac:dyDescent="0.35">
      <c r="A23" s="30" t="s">
        <v>54</v>
      </c>
      <c r="B23" s="30" t="s">
        <v>55</v>
      </c>
      <c r="C23" s="70" t="e">
        <f>SUM(D23/D46)</f>
        <v>#DIV/0!</v>
      </c>
      <c r="D23" s="114">
        <f>'Div11'!H42</f>
        <v>0</v>
      </c>
      <c r="F23" s="41" t="s">
        <v>56</v>
      </c>
      <c r="G23" s="65">
        <v>0</v>
      </c>
    </row>
    <row r="24" spans="1:7" ht="20.149999999999999" customHeight="1" x14ac:dyDescent="0.25">
      <c r="A24" s="30" t="s">
        <v>57</v>
      </c>
      <c r="B24" s="30" t="s">
        <v>58</v>
      </c>
      <c r="C24" s="70" t="e">
        <f>SUM(D24/D46)</f>
        <v>#DIV/0!</v>
      </c>
      <c r="D24" s="114">
        <f>'Div12'!H43</f>
        <v>0</v>
      </c>
    </row>
    <row r="25" spans="1:7" ht="20.149999999999999" customHeight="1" x14ac:dyDescent="0.25">
      <c r="A25" s="30" t="s">
        <v>59</v>
      </c>
      <c r="B25" s="30" t="s">
        <v>60</v>
      </c>
      <c r="C25" s="70" t="e">
        <f>SUM(D25/D46)</f>
        <v>#DIV/0!</v>
      </c>
      <c r="D25" s="114">
        <f>'Div13'!H41</f>
        <v>0</v>
      </c>
      <c r="F25" s="137" t="s">
        <v>61</v>
      </c>
      <c r="G25" s="137"/>
    </row>
    <row r="26" spans="1:7" ht="20.149999999999999" customHeight="1" x14ac:dyDescent="0.25">
      <c r="A26" s="30" t="s">
        <v>62</v>
      </c>
      <c r="B26" s="30" t="s">
        <v>63</v>
      </c>
      <c r="C26" s="70" t="e">
        <f>SUM(D26/D46)</f>
        <v>#DIV/0!</v>
      </c>
      <c r="D26" s="114">
        <f>'Div14'!H41</f>
        <v>0</v>
      </c>
      <c r="F26" s="137"/>
      <c r="G26" s="137"/>
    </row>
    <row r="27" spans="1:7" ht="12.75" customHeight="1" x14ac:dyDescent="0.3">
      <c r="A27" s="30" t="s">
        <v>64</v>
      </c>
      <c r="B27" s="111" t="s">
        <v>65</v>
      </c>
      <c r="C27" s="70" t="e">
        <f>SUM(D27/D46)</f>
        <v>#DIV/0!</v>
      </c>
      <c r="D27" s="114">
        <f>'Div21'!H40</f>
        <v>0</v>
      </c>
      <c r="F27" s="137"/>
      <c r="G27" s="137"/>
    </row>
    <row r="28" spans="1:7" ht="12.75" customHeight="1" x14ac:dyDescent="0.3">
      <c r="A28" s="30" t="s">
        <v>66</v>
      </c>
      <c r="B28" s="111" t="s">
        <v>67</v>
      </c>
      <c r="C28" s="70" t="e">
        <f>SUM(D28/D46)</f>
        <v>#DIV/0!</v>
      </c>
      <c r="D28" s="114">
        <f>'Div22'!H50</f>
        <v>0</v>
      </c>
      <c r="F28" s="137"/>
      <c r="G28" s="137"/>
    </row>
    <row r="29" spans="1:7" ht="12.75" customHeight="1" x14ac:dyDescent="0.3">
      <c r="A29" s="30" t="s">
        <v>68</v>
      </c>
      <c r="B29" s="111" t="s">
        <v>69</v>
      </c>
      <c r="C29" s="70" t="e">
        <f>SUM(D29/D46)</f>
        <v>#DIV/0!</v>
      </c>
      <c r="D29" s="114">
        <f>'Div23'!H37</f>
        <v>0</v>
      </c>
      <c r="F29" s="137"/>
      <c r="G29" s="137"/>
    </row>
    <row r="30" spans="1:7" ht="20.149999999999999" customHeight="1" x14ac:dyDescent="0.25">
      <c r="A30" s="30" t="s">
        <v>70</v>
      </c>
      <c r="B30" s="39" t="s">
        <v>71</v>
      </c>
      <c r="C30" s="70" t="e">
        <f>SUM(D30/D46)</f>
        <v>#DIV/0!</v>
      </c>
      <c r="D30" s="114">
        <f>'Div25'!H37</f>
        <v>0</v>
      </c>
      <c r="F30" s="137"/>
      <c r="G30" s="137"/>
    </row>
    <row r="31" spans="1:7" ht="20.149999999999999" customHeight="1" x14ac:dyDescent="0.25">
      <c r="A31" s="30" t="s">
        <v>72</v>
      </c>
      <c r="B31" s="39" t="s">
        <v>73</v>
      </c>
      <c r="C31" s="70" t="e">
        <f>SUM(D31/D46)</f>
        <v>#DIV/0!</v>
      </c>
      <c r="D31" s="114">
        <f>'Div26'!H56</f>
        <v>0</v>
      </c>
      <c r="F31" s="137"/>
      <c r="G31" s="137"/>
    </row>
    <row r="32" spans="1:7" ht="20.149999999999999" customHeight="1" x14ac:dyDescent="0.25">
      <c r="A32" s="30" t="s">
        <v>74</v>
      </c>
      <c r="B32" s="39" t="s">
        <v>75</v>
      </c>
      <c r="C32" s="70" t="e">
        <f>SUM(D32/D46)</f>
        <v>#DIV/0!</v>
      </c>
      <c r="D32" s="114">
        <f>'Div27'!H39</f>
        <v>0</v>
      </c>
    </row>
    <row r="33" spans="1:17" ht="13" x14ac:dyDescent="0.3">
      <c r="A33" s="30" t="s">
        <v>76</v>
      </c>
      <c r="B33" s="111" t="s">
        <v>77</v>
      </c>
      <c r="C33" s="70" t="e">
        <f>SUM(D33/D46)</f>
        <v>#DIV/0!</v>
      </c>
      <c r="D33" s="114">
        <f>'Div28'!H38</f>
        <v>0</v>
      </c>
    </row>
    <row r="34" spans="1:17" ht="20.149999999999999" customHeight="1" x14ac:dyDescent="0.25">
      <c r="A34" s="30" t="s">
        <v>78</v>
      </c>
      <c r="B34" s="39" t="s">
        <v>79</v>
      </c>
      <c r="C34" s="70" t="e">
        <f>SUM(D34/D46)</f>
        <v>#DIV/0!</v>
      </c>
      <c r="D34" s="114">
        <f>'Div31'!H61</f>
        <v>0</v>
      </c>
    </row>
    <row r="35" spans="1:17" ht="20.149999999999999" customHeight="1" x14ac:dyDescent="0.25">
      <c r="A35" s="30" t="s">
        <v>80</v>
      </c>
      <c r="B35" s="39" t="s">
        <v>81</v>
      </c>
      <c r="C35" s="70" t="e">
        <f>SUM(D35/D46)</f>
        <v>#DIV/0!</v>
      </c>
      <c r="D35" s="114">
        <f>'Div32'!H35</f>
        <v>0</v>
      </c>
    </row>
    <row r="36" spans="1:17" ht="20.149999999999999" customHeight="1" x14ac:dyDescent="0.25">
      <c r="A36" s="30" t="s">
        <v>82</v>
      </c>
      <c r="B36" s="39" t="s">
        <v>83</v>
      </c>
      <c r="C36" s="70" t="e">
        <f>SUM(D36/D46)</f>
        <v>#DIV/0!</v>
      </c>
      <c r="D36" s="114">
        <f>'Div33'!H31</f>
        <v>0</v>
      </c>
    </row>
    <row r="37" spans="1:17" ht="20.149999999999999" customHeight="1" x14ac:dyDescent="0.25">
      <c r="A37" s="30" t="s">
        <v>84</v>
      </c>
      <c r="B37" s="39" t="s">
        <v>85</v>
      </c>
      <c r="C37" s="70" t="e">
        <f>SUM(D37/D46)</f>
        <v>#DIV/0!</v>
      </c>
      <c r="D37" s="114">
        <f>'Div34'!H38</f>
        <v>0</v>
      </c>
    </row>
    <row r="38" spans="1:17" ht="13" x14ac:dyDescent="0.3">
      <c r="A38" s="30" t="s">
        <v>86</v>
      </c>
      <c r="B38" s="111" t="s">
        <v>87</v>
      </c>
      <c r="C38" s="70" t="e">
        <f>SUM(D38/D46)</f>
        <v>#DIV/0!</v>
      </c>
      <c r="D38" s="114">
        <f>'Div35'!H38</f>
        <v>0</v>
      </c>
    </row>
    <row r="39" spans="1:17" ht="13" x14ac:dyDescent="0.3">
      <c r="A39" s="30" t="s">
        <v>88</v>
      </c>
      <c r="B39" s="111" t="s">
        <v>89</v>
      </c>
      <c r="C39" s="70" t="e">
        <f>SUM(D39/D46)</f>
        <v>#DIV/0!</v>
      </c>
      <c r="D39" s="114">
        <f>'Div40'!H36</f>
        <v>0</v>
      </c>
    </row>
    <row r="40" spans="1:17" ht="20.149999999999999" customHeight="1" x14ac:dyDescent="0.25">
      <c r="A40" s="30" t="s">
        <v>90</v>
      </c>
      <c r="B40" s="39" t="s">
        <v>91</v>
      </c>
      <c r="C40" s="70" t="e">
        <f>SUM(D40/D46)</f>
        <v>#DIV/0!</v>
      </c>
      <c r="D40" s="114">
        <f>'Div41'!H39</f>
        <v>0</v>
      </c>
    </row>
    <row r="41" spans="1:17" ht="20.149999999999999" customHeight="1" x14ac:dyDescent="0.25">
      <c r="A41" s="30" t="s">
        <v>92</v>
      </c>
      <c r="B41" s="39" t="s">
        <v>93</v>
      </c>
      <c r="C41" s="70" t="e">
        <f>SUM(D41/D46)</f>
        <v>#DIV/0!</v>
      </c>
      <c r="D41" s="114">
        <f>'Div42'!H36</f>
        <v>0</v>
      </c>
    </row>
    <row r="42" spans="1:17" ht="20.149999999999999" customHeight="1" x14ac:dyDescent="0.35">
      <c r="A42" s="30" t="s">
        <v>94</v>
      </c>
      <c r="B42" s="39" t="s">
        <v>95</v>
      </c>
      <c r="C42" s="70" t="e">
        <f>SUM(D42/D46)</f>
        <v>#DIV/0!</v>
      </c>
      <c r="D42" s="114">
        <f>'Div43'!H37</f>
        <v>0</v>
      </c>
      <c r="G42" s="58"/>
      <c r="H42" s="58"/>
      <c r="I42" s="58"/>
      <c r="J42" s="58"/>
      <c r="K42" s="58"/>
      <c r="L42" s="58"/>
      <c r="M42" s="58"/>
      <c r="N42" s="58"/>
      <c r="O42" s="58"/>
      <c r="P42" s="57"/>
      <c r="Q42" s="57"/>
    </row>
    <row r="43" spans="1:17" ht="20.149999999999999" customHeight="1" x14ac:dyDescent="0.35">
      <c r="A43" s="30" t="s">
        <v>96</v>
      </c>
      <c r="B43" s="39" t="s">
        <v>97</v>
      </c>
      <c r="C43" s="70" t="e">
        <f>SUM(D43/D46)</f>
        <v>#DIV/0!</v>
      </c>
      <c r="D43" s="114">
        <f>'Div44'!H36</f>
        <v>0</v>
      </c>
      <c r="G43" s="58"/>
      <c r="H43" s="58"/>
      <c r="I43" s="58"/>
      <c r="J43" s="58"/>
      <c r="K43" s="58"/>
      <c r="L43" s="58"/>
      <c r="M43" s="58"/>
      <c r="N43" s="58"/>
      <c r="O43" s="58"/>
      <c r="P43" s="57"/>
      <c r="Q43" s="57"/>
    </row>
    <row r="44" spans="1:17" ht="20.149999999999999" customHeight="1" x14ac:dyDescent="0.35">
      <c r="A44" s="30" t="s">
        <v>98</v>
      </c>
      <c r="B44" s="39" t="s">
        <v>99</v>
      </c>
      <c r="C44" s="70" t="e">
        <f>SUM(D44/D46)</f>
        <v>#DIV/0!</v>
      </c>
      <c r="D44" s="114">
        <f>'Div45'!H31</f>
        <v>0</v>
      </c>
      <c r="G44" s="58"/>
      <c r="H44" s="58"/>
      <c r="I44" s="58"/>
      <c r="J44" s="58"/>
      <c r="K44" s="58"/>
      <c r="L44" s="58"/>
      <c r="M44" s="58"/>
      <c r="N44" s="58"/>
      <c r="O44" s="58"/>
      <c r="P44" s="57"/>
      <c r="Q44" s="57"/>
    </row>
    <row r="45" spans="1:17" ht="15.5" x14ac:dyDescent="0.35">
      <c r="A45" s="30" t="s">
        <v>100</v>
      </c>
      <c r="B45" s="111" t="s">
        <v>101</v>
      </c>
      <c r="C45" s="70" t="e">
        <f>SUM(D45/D46)</f>
        <v>#DIV/0!</v>
      </c>
      <c r="D45" s="114">
        <f>'Div48'!H36</f>
        <v>0</v>
      </c>
      <c r="G45" s="58"/>
      <c r="H45" s="58"/>
      <c r="I45" s="58"/>
      <c r="J45" s="58"/>
      <c r="K45" s="58"/>
      <c r="L45" s="58"/>
      <c r="M45" s="58"/>
      <c r="N45" s="58"/>
      <c r="O45" s="58"/>
      <c r="P45" s="57"/>
      <c r="Q45" s="57"/>
    </row>
    <row r="46" spans="1:17" ht="20.149999999999999" customHeight="1" x14ac:dyDescent="0.35">
      <c r="A46" s="138" t="s">
        <v>102</v>
      </c>
      <c r="B46" s="139"/>
      <c r="C46" s="70" t="e">
        <f>SUM(C13:C45)</f>
        <v>#DIV/0!</v>
      </c>
      <c r="D46" s="115">
        <f>SUM(D13:D45)</f>
        <v>0</v>
      </c>
      <c r="H46" s="58"/>
      <c r="I46" s="58"/>
      <c r="J46" s="58"/>
      <c r="K46" s="58"/>
      <c r="L46" s="58"/>
      <c r="M46" s="58"/>
      <c r="N46" s="58"/>
      <c r="O46" s="58"/>
      <c r="P46" s="57"/>
      <c r="Q46" s="57"/>
    </row>
    <row r="47" spans="1:17" ht="20.149999999999999" customHeight="1" x14ac:dyDescent="0.35">
      <c r="A47" s="138"/>
      <c r="B47" s="139"/>
      <c r="C47" s="42"/>
      <c r="D47" s="31"/>
      <c r="H47" s="58"/>
      <c r="I47" s="58"/>
      <c r="J47" s="58"/>
      <c r="K47" s="58"/>
      <c r="L47" s="58"/>
      <c r="M47" s="58"/>
      <c r="N47" s="58"/>
      <c r="O47" s="58"/>
      <c r="P47" s="57"/>
      <c r="Q47" s="57"/>
    </row>
    <row r="48" spans="1:17" ht="20.149999999999999" customHeight="1" x14ac:dyDescent="0.35">
      <c r="A48" s="138"/>
      <c r="B48" s="139"/>
      <c r="C48" s="42"/>
      <c r="D48" s="31"/>
      <c r="H48" s="58"/>
      <c r="I48" s="58"/>
      <c r="J48" s="58"/>
      <c r="K48" s="58"/>
      <c r="L48" s="58"/>
      <c r="M48" s="58"/>
      <c r="N48" s="58"/>
      <c r="O48" s="58"/>
      <c r="P48" s="57"/>
      <c r="Q48" s="57"/>
    </row>
    <row r="49" spans="1:17" ht="20.149999999999999" customHeight="1" x14ac:dyDescent="0.35">
      <c r="A49" s="138" t="s">
        <v>103</v>
      </c>
      <c r="B49" s="139"/>
      <c r="C49" s="72">
        <f>G18</f>
        <v>0</v>
      </c>
      <c r="D49" s="74">
        <f>C49*D46</f>
        <v>0</v>
      </c>
      <c r="H49" s="58"/>
      <c r="I49" s="58"/>
      <c r="J49" s="58"/>
      <c r="K49" s="58"/>
      <c r="L49" s="58"/>
      <c r="M49" s="58"/>
      <c r="N49" s="58"/>
      <c r="O49" s="58"/>
      <c r="P49" s="57"/>
      <c r="Q49" s="57"/>
    </row>
    <row r="50" spans="1:17" ht="20.149999999999999" customHeight="1" x14ac:dyDescent="0.35">
      <c r="A50" s="112" t="s">
        <v>104</v>
      </c>
      <c r="B50" s="113"/>
      <c r="C50" s="60"/>
      <c r="D50" s="74">
        <f>D49+D46</f>
        <v>0</v>
      </c>
      <c r="H50" s="58"/>
      <c r="I50" s="58"/>
      <c r="J50" s="58"/>
      <c r="K50" s="58"/>
      <c r="L50" s="58"/>
      <c r="M50" s="58"/>
      <c r="N50" s="58"/>
      <c r="O50" s="58"/>
      <c r="P50" s="57"/>
      <c r="Q50" s="57"/>
    </row>
    <row r="51" spans="1:17" ht="20.149999999999999" customHeight="1" x14ac:dyDescent="0.35">
      <c r="A51" s="138" t="s">
        <v>105</v>
      </c>
      <c r="B51" s="139"/>
      <c r="C51" s="72">
        <f>G19</f>
        <v>0</v>
      </c>
      <c r="D51" s="74">
        <f>C51*D50</f>
        <v>0</v>
      </c>
      <c r="H51" s="58"/>
      <c r="I51" s="58"/>
      <c r="J51" s="58"/>
      <c r="K51" s="58"/>
      <c r="L51" s="58"/>
      <c r="M51" s="58"/>
      <c r="N51" s="58"/>
      <c r="O51" s="58"/>
      <c r="P51" s="57"/>
      <c r="Q51" s="57"/>
    </row>
    <row r="52" spans="1:17" ht="20.149999999999999" customHeight="1" x14ac:dyDescent="0.35">
      <c r="A52" s="112" t="s">
        <v>104</v>
      </c>
      <c r="B52" s="113"/>
      <c r="C52" s="71"/>
      <c r="D52" s="74">
        <f>D51+D50</f>
        <v>0</v>
      </c>
      <c r="H52" s="58"/>
      <c r="I52" s="58"/>
      <c r="J52" s="58"/>
      <c r="K52" s="58"/>
      <c r="L52" s="58"/>
      <c r="M52" s="58"/>
      <c r="N52" s="58"/>
      <c r="O52" s="58"/>
      <c r="P52" s="57"/>
      <c r="Q52" s="57"/>
    </row>
    <row r="53" spans="1:17" ht="20.149999999999999" customHeight="1" x14ac:dyDescent="0.35">
      <c r="A53" s="138" t="s">
        <v>106</v>
      </c>
      <c r="B53" s="139"/>
      <c r="C53" s="72">
        <f>G23</f>
        <v>0</v>
      </c>
      <c r="D53" s="74">
        <f>(D52*C53)</f>
        <v>0</v>
      </c>
      <c r="H53" s="55"/>
      <c r="I53" s="58"/>
      <c r="J53" s="58"/>
      <c r="K53" s="58"/>
      <c r="L53" s="58"/>
      <c r="M53" s="58"/>
      <c r="N53" s="58"/>
      <c r="O53" s="58"/>
      <c r="P53" s="57"/>
      <c r="Q53" s="57"/>
    </row>
    <row r="54" spans="1:17" ht="20.149999999999999" customHeight="1" thickBot="1" x14ac:dyDescent="0.4">
      <c r="A54" s="117" t="s">
        <v>107</v>
      </c>
      <c r="B54" s="118"/>
      <c r="C54" s="43"/>
      <c r="D54" s="75">
        <f>D52+D53</f>
        <v>0</v>
      </c>
      <c r="H54" s="58"/>
      <c r="I54" s="58"/>
      <c r="J54" s="58"/>
      <c r="K54" s="58"/>
      <c r="L54" s="58"/>
      <c r="M54" s="58"/>
      <c r="N54" s="58"/>
      <c r="O54" s="58"/>
      <c r="P54" s="57"/>
      <c r="Q54" s="57"/>
    </row>
    <row r="55" spans="1:17" ht="20.149999999999999" customHeight="1" thickTop="1" x14ac:dyDescent="0.35">
      <c r="F55" s="63"/>
      <c r="G55" s="64"/>
      <c r="H55" s="58"/>
      <c r="I55" s="58"/>
      <c r="J55" s="58"/>
      <c r="K55" s="58"/>
      <c r="L55" s="58"/>
      <c r="M55" s="58"/>
      <c r="N55" s="58"/>
      <c r="O55" s="58"/>
      <c r="P55" s="57"/>
      <c r="Q55" s="57"/>
    </row>
    <row r="56" spans="1:17" ht="20.149999999999999" customHeight="1" x14ac:dyDescent="0.35">
      <c r="H56" s="56"/>
      <c r="I56" s="56"/>
      <c r="J56" s="56"/>
      <c r="K56" s="56"/>
      <c r="L56" s="56"/>
      <c r="M56" s="56"/>
      <c r="N56" s="57"/>
      <c r="O56" s="57"/>
      <c r="P56" s="57"/>
      <c r="Q56" s="57"/>
    </row>
    <row r="57" spans="1:17" ht="12.75" customHeight="1" x14ac:dyDescent="0.35">
      <c r="A57" s="35"/>
      <c r="B57" s="35"/>
      <c r="C57" s="36"/>
      <c r="D57" s="36"/>
      <c r="E57" s="35"/>
      <c r="H57" s="57"/>
      <c r="I57" s="57"/>
      <c r="J57" s="57"/>
      <c r="K57" s="57"/>
      <c r="L57" s="57"/>
      <c r="M57" s="57"/>
      <c r="N57" s="57"/>
      <c r="O57" s="57"/>
      <c r="P57" s="57"/>
      <c r="Q57" s="57"/>
    </row>
    <row r="58" spans="1:17" ht="12.75" customHeight="1" x14ac:dyDescent="0.35">
      <c r="A58" s="35"/>
      <c r="B58" s="35"/>
      <c r="C58" s="36"/>
      <c r="D58" s="36"/>
      <c r="E58" s="35"/>
      <c r="H58" s="57"/>
      <c r="I58" s="57"/>
      <c r="J58" s="57"/>
      <c r="K58" s="57"/>
      <c r="L58" s="57"/>
      <c r="M58" s="57"/>
      <c r="N58" s="57"/>
      <c r="O58" s="57"/>
      <c r="P58" s="57"/>
      <c r="Q58" s="57"/>
    </row>
    <row r="59" spans="1:17" ht="12.75" customHeight="1" x14ac:dyDescent="0.35">
      <c r="A59" s="35"/>
      <c r="B59" s="35"/>
      <c r="C59" s="36"/>
      <c r="E59" s="35"/>
      <c r="G59" s="57"/>
      <c r="H59" s="57"/>
      <c r="I59" s="57"/>
      <c r="J59" s="57"/>
      <c r="K59" s="57"/>
      <c r="L59" s="57"/>
      <c r="M59" s="57"/>
      <c r="N59" s="57"/>
      <c r="O59" s="57"/>
      <c r="P59" s="57"/>
      <c r="Q59" s="57"/>
    </row>
    <row r="60" spans="1:17" ht="12.75" customHeight="1" x14ac:dyDescent="0.35">
      <c r="A60" s="35"/>
      <c r="B60" s="35"/>
      <c r="C60" s="36"/>
      <c r="D60" s="36"/>
      <c r="E60" s="35"/>
      <c r="F60" s="54"/>
      <c r="G60" s="57"/>
      <c r="H60" s="57"/>
      <c r="I60" s="57"/>
      <c r="J60" s="57"/>
      <c r="K60" s="57"/>
      <c r="L60" s="57"/>
      <c r="M60" s="57"/>
      <c r="N60" s="57"/>
      <c r="O60" s="57"/>
      <c r="P60" s="57"/>
      <c r="Q60" s="57"/>
    </row>
    <row r="61" spans="1:17" ht="12.75" customHeight="1" x14ac:dyDescent="0.35">
      <c r="A61" s="35"/>
      <c r="B61" s="35"/>
      <c r="C61" s="36"/>
      <c r="D61" s="36"/>
      <c r="E61" s="35"/>
      <c r="G61" s="57"/>
      <c r="H61" s="57"/>
      <c r="I61" s="57"/>
      <c r="J61" s="57"/>
      <c r="K61" s="57"/>
      <c r="L61" s="57"/>
      <c r="M61" s="57"/>
      <c r="N61" s="57"/>
      <c r="O61" s="57"/>
      <c r="P61" s="57"/>
      <c r="Q61" s="57"/>
    </row>
    <row r="62" spans="1:17" ht="12.75" customHeight="1" x14ac:dyDescent="0.25">
      <c r="A62" s="35"/>
      <c r="B62" s="35"/>
      <c r="C62" s="36"/>
      <c r="D62" s="36"/>
      <c r="E62" s="35"/>
    </row>
    <row r="63" spans="1:17" ht="12.75" customHeight="1" x14ac:dyDescent="0.25">
      <c r="A63" s="35"/>
      <c r="B63" s="35"/>
      <c r="C63" s="36"/>
      <c r="D63" s="36"/>
      <c r="E63" s="35"/>
    </row>
    <row r="64" spans="1:17" ht="12.75" customHeight="1" x14ac:dyDescent="0.25">
      <c r="A64" s="35"/>
      <c r="B64" s="35"/>
      <c r="C64" s="36"/>
      <c r="D64" s="36"/>
      <c r="E64" s="35"/>
    </row>
    <row r="65" spans="1:5" ht="12.75" customHeight="1" x14ac:dyDescent="0.25">
      <c r="A65" s="35"/>
      <c r="B65" s="35"/>
      <c r="C65" s="36"/>
      <c r="D65" s="36"/>
      <c r="E65" s="35"/>
    </row>
    <row r="66" spans="1:5" ht="12.75" customHeight="1" x14ac:dyDescent="0.25">
      <c r="A66" s="35"/>
      <c r="B66" s="35"/>
      <c r="C66" s="36"/>
      <c r="D66" s="36"/>
      <c r="E66" s="35"/>
    </row>
    <row r="67" spans="1:5" ht="12.75" customHeight="1" x14ac:dyDescent="0.25">
      <c r="A67" s="35"/>
      <c r="B67" s="35"/>
      <c r="C67" s="36"/>
      <c r="D67" s="36"/>
      <c r="E67" s="35"/>
    </row>
    <row r="68" spans="1:5" ht="12.75" customHeight="1" x14ac:dyDescent="0.25">
      <c r="A68" s="35"/>
      <c r="B68" s="35"/>
      <c r="C68" s="36"/>
      <c r="D68" s="36"/>
      <c r="E68" s="35"/>
    </row>
    <row r="69" spans="1:5" ht="12.75" customHeight="1" x14ac:dyDescent="0.25">
      <c r="A69" s="35"/>
      <c r="B69" s="35"/>
      <c r="C69" s="36"/>
      <c r="D69" s="36"/>
      <c r="E69" s="35"/>
    </row>
    <row r="70" spans="1:5" ht="12.75" customHeight="1" x14ac:dyDescent="0.25">
      <c r="A70" s="35"/>
      <c r="B70" s="35"/>
      <c r="C70" s="36"/>
      <c r="D70" s="36"/>
      <c r="E70" s="35"/>
    </row>
    <row r="71" spans="1:5" ht="12.75" customHeight="1" x14ac:dyDescent="0.25">
      <c r="A71" s="35"/>
      <c r="B71" s="35"/>
      <c r="C71" s="36"/>
      <c r="D71" s="36"/>
      <c r="E71" s="35"/>
    </row>
    <row r="72" spans="1:5" ht="12.75" customHeight="1" x14ac:dyDescent="0.25">
      <c r="A72" s="35"/>
      <c r="B72" s="35"/>
      <c r="C72" s="36"/>
      <c r="D72" s="36"/>
      <c r="E72" s="35"/>
    </row>
    <row r="73" spans="1:5" ht="12.75" customHeight="1" x14ac:dyDescent="0.25">
      <c r="A73" s="35"/>
      <c r="B73" s="35"/>
      <c r="C73" s="36"/>
      <c r="D73" s="36"/>
      <c r="E73" s="35"/>
    </row>
    <row r="74" spans="1:5" ht="12.75" customHeight="1" x14ac:dyDescent="0.25">
      <c r="A74" s="35"/>
      <c r="B74" s="35"/>
      <c r="C74" s="36"/>
      <c r="D74" s="36"/>
      <c r="E74" s="35"/>
    </row>
    <row r="75" spans="1:5" ht="12.75" customHeight="1" x14ac:dyDescent="0.25">
      <c r="A75" s="35"/>
      <c r="B75" s="35"/>
      <c r="C75" s="36"/>
      <c r="D75" s="36"/>
      <c r="E75" s="35"/>
    </row>
    <row r="76" spans="1:5" ht="12.75" customHeight="1" x14ac:dyDescent="0.25">
      <c r="A76" s="35"/>
      <c r="B76" s="35"/>
      <c r="C76" s="36"/>
      <c r="D76" s="36"/>
      <c r="E76" s="35"/>
    </row>
    <row r="77" spans="1:5" ht="12.75" customHeight="1" x14ac:dyDescent="0.25">
      <c r="A77" s="35"/>
      <c r="B77" s="35"/>
      <c r="C77" s="36"/>
      <c r="D77" s="36"/>
      <c r="E77" s="35"/>
    </row>
    <row r="78" spans="1:5" ht="12.75" customHeight="1" x14ac:dyDescent="0.25">
      <c r="A78" s="35"/>
      <c r="B78" s="35"/>
      <c r="C78" s="36"/>
      <c r="D78" s="36"/>
      <c r="E78" s="35"/>
    </row>
    <row r="79" spans="1:5" ht="12.75" customHeight="1" x14ac:dyDescent="0.25">
      <c r="A79" s="35"/>
      <c r="B79" s="35"/>
      <c r="C79" s="36"/>
      <c r="D79" s="36"/>
      <c r="E79" s="35"/>
    </row>
    <row r="80" spans="1:5" ht="12.75" customHeight="1" x14ac:dyDescent="0.25">
      <c r="A80" s="35"/>
      <c r="B80" s="35"/>
      <c r="C80" s="36"/>
      <c r="D80" s="36"/>
      <c r="E80" s="35"/>
    </row>
    <row r="81" spans="1:5" ht="12.75" customHeight="1" x14ac:dyDescent="0.25">
      <c r="A81" s="35"/>
      <c r="B81" s="35"/>
      <c r="C81" s="36"/>
      <c r="D81" s="36"/>
      <c r="E81" s="35"/>
    </row>
    <row r="82" spans="1:5" ht="12.75" customHeight="1" x14ac:dyDescent="0.25">
      <c r="A82" s="35"/>
      <c r="B82" s="35"/>
      <c r="C82" s="36"/>
      <c r="D82" s="36"/>
      <c r="E82" s="35"/>
    </row>
    <row r="83" spans="1:5" ht="12.75" customHeight="1" x14ac:dyDescent="0.25">
      <c r="A83" s="35"/>
      <c r="B83" s="35"/>
      <c r="C83" s="36"/>
      <c r="D83" s="36"/>
      <c r="E83" s="35"/>
    </row>
    <row r="84" spans="1:5" ht="12.75" customHeight="1" x14ac:dyDescent="0.25">
      <c r="A84" s="35"/>
      <c r="B84" s="35"/>
      <c r="C84" s="36"/>
      <c r="D84" s="36"/>
      <c r="E84" s="35"/>
    </row>
    <row r="85" spans="1:5" ht="12.75" customHeight="1" x14ac:dyDescent="0.25">
      <c r="A85" s="35"/>
      <c r="B85" s="35"/>
      <c r="C85" s="36"/>
      <c r="D85" s="36"/>
      <c r="E85" s="35"/>
    </row>
    <row r="86" spans="1:5" ht="20.149999999999999" customHeight="1" x14ac:dyDescent="0.25">
      <c r="A86" s="35"/>
      <c r="B86" s="35"/>
      <c r="C86" s="36"/>
      <c r="D86" s="36"/>
      <c r="E86" s="35"/>
    </row>
    <row r="87" spans="1:5" ht="20.149999999999999" customHeight="1" x14ac:dyDescent="0.25">
      <c r="A87" s="35"/>
      <c r="B87" s="35"/>
      <c r="C87" s="36"/>
      <c r="D87" s="36"/>
      <c r="E87" s="35"/>
    </row>
    <row r="88" spans="1:5" ht="20.149999999999999" customHeight="1" x14ac:dyDescent="0.25">
      <c r="A88" s="35"/>
      <c r="B88" s="35"/>
      <c r="C88" s="36"/>
      <c r="D88" s="36"/>
      <c r="E88" s="35"/>
    </row>
    <row r="89" spans="1:5" ht="20.149999999999999" customHeight="1" x14ac:dyDescent="0.25">
      <c r="A89" s="35"/>
      <c r="B89" s="35"/>
      <c r="C89" s="36"/>
      <c r="D89" s="36"/>
      <c r="E89" s="35"/>
    </row>
    <row r="90" spans="1:5" ht="20.149999999999999" customHeight="1" x14ac:dyDescent="0.25">
      <c r="A90" s="35"/>
      <c r="B90" s="35"/>
      <c r="C90" s="36"/>
      <c r="D90" s="36"/>
      <c r="E90" s="35"/>
    </row>
    <row r="91" spans="1:5" ht="20.149999999999999" customHeight="1" x14ac:dyDescent="0.25">
      <c r="A91" s="35"/>
      <c r="B91" s="35"/>
      <c r="C91" s="36"/>
      <c r="D91" s="36"/>
      <c r="E91" s="35"/>
    </row>
    <row r="92" spans="1:5" ht="20.149999999999999" customHeight="1" x14ac:dyDescent="0.25">
      <c r="A92" s="35"/>
      <c r="B92" s="35"/>
      <c r="C92" s="36"/>
      <c r="D92" s="36"/>
      <c r="E92" s="35"/>
    </row>
    <row r="93" spans="1:5" ht="20.149999999999999" customHeight="1" x14ac:dyDescent="0.25">
      <c r="A93" s="35"/>
      <c r="B93" s="35"/>
      <c r="C93" s="36"/>
      <c r="D93" s="36"/>
      <c r="E93" s="35"/>
    </row>
    <row r="94" spans="1:5" ht="20.149999999999999" customHeight="1" x14ac:dyDescent="0.25">
      <c r="A94" s="35"/>
      <c r="B94" s="35"/>
      <c r="C94" s="36"/>
      <c r="D94" s="36"/>
      <c r="E94" s="35"/>
    </row>
    <row r="95" spans="1:5" ht="20.149999999999999" customHeight="1" x14ac:dyDescent="0.25">
      <c r="A95" s="35"/>
      <c r="B95" s="35"/>
      <c r="C95" s="36"/>
      <c r="D95" s="36"/>
      <c r="E95" s="35"/>
    </row>
    <row r="96" spans="1:5" ht="20.149999999999999" customHeight="1" x14ac:dyDescent="0.25">
      <c r="A96" s="35"/>
      <c r="B96" s="35"/>
      <c r="C96" s="36"/>
      <c r="D96" s="36"/>
      <c r="E96" s="35"/>
    </row>
    <row r="97" spans="1:5" ht="20.149999999999999" customHeight="1" x14ac:dyDescent="0.25">
      <c r="A97" s="35"/>
      <c r="B97" s="35"/>
      <c r="C97" s="36"/>
      <c r="D97" s="36"/>
      <c r="E97" s="35"/>
    </row>
    <row r="98" spans="1:5" ht="20.149999999999999" customHeight="1" x14ac:dyDescent="0.25">
      <c r="A98" s="35"/>
      <c r="B98" s="35"/>
      <c r="C98" s="36"/>
      <c r="D98" s="36"/>
      <c r="E98" s="35"/>
    </row>
    <row r="99" spans="1:5" ht="20.149999999999999" customHeight="1" x14ac:dyDescent="0.25">
      <c r="A99" s="35"/>
      <c r="B99" s="35"/>
      <c r="C99" s="36"/>
      <c r="D99" s="36"/>
      <c r="E99" s="35"/>
    </row>
    <row r="100" spans="1:5" ht="20.149999999999999" customHeight="1" x14ac:dyDescent="0.25">
      <c r="A100" s="35"/>
      <c r="B100" s="35"/>
      <c r="C100" s="36"/>
      <c r="D100" s="36"/>
      <c r="E100" s="35"/>
    </row>
    <row r="101" spans="1:5" ht="20.149999999999999" customHeight="1" x14ac:dyDescent="0.25">
      <c r="A101" s="35"/>
      <c r="B101" s="35"/>
      <c r="C101" s="36"/>
      <c r="D101" s="36"/>
      <c r="E101" s="35"/>
    </row>
    <row r="102" spans="1:5" ht="20.149999999999999" customHeight="1" x14ac:dyDescent="0.25">
      <c r="A102" s="35"/>
      <c r="B102" s="35"/>
      <c r="C102" s="36"/>
      <c r="D102" s="36"/>
      <c r="E102" s="35"/>
    </row>
    <row r="103" spans="1:5" ht="20.149999999999999" customHeight="1" x14ac:dyDescent="0.25">
      <c r="A103" s="35"/>
      <c r="B103" s="35"/>
      <c r="C103" s="36"/>
      <c r="D103" s="36"/>
      <c r="E103" s="35"/>
    </row>
    <row r="104" spans="1:5" ht="20.149999999999999" customHeight="1" x14ac:dyDescent="0.25">
      <c r="A104" s="35"/>
      <c r="B104" s="35"/>
      <c r="C104" s="36"/>
      <c r="D104" s="36"/>
      <c r="E104" s="35"/>
    </row>
    <row r="105" spans="1:5" ht="20.149999999999999" customHeight="1" x14ac:dyDescent="0.25">
      <c r="A105" s="35"/>
      <c r="B105" s="35"/>
      <c r="C105" s="36"/>
      <c r="D105" s="36"/>
      <c r="E105" s="35"/>
    </row>
    <row r="106" spans="1:5" ht="20.149999999999999" customHeight="1" x14ac:dyDescent="0.25">
      <c r="A106" s="35"/>
      <c r="B106" s="35"/>
      <c r="C106" s="36"/>
      <c r="D106" s="36"/>
      <c r="E106" s="35"/>
    </row>
    <row r="107" spans="1:5" ht="20.149999999999999" customHeight="1" x14ac:dyDescent="0.25">
      <c r="A107" s="35"/>
      <c r="B107" s="35"/>
      <c r="C107" s="36"/>
      <c r="D107" s="36"/>
      <c r="E107" s="35"/>
    </row>
    <row r="108" spans="1:5" ht="20.149999999999999" customHeight="1" x14ac:dyDescent="0.25">
      <c r="A108" s="35"/>
      <c r="B108" s="35"/>
      <c r="C108" s="36"/>
      <c r="D108" s="36"/>
      <c r="E108" s="35"/>
    </row>
    <row r="109" spans="1:5" ht="20.149999999999999" customHeight="1" x14ac:dyDescent="0.25">
      <c r="A109" s="35"/>
      <c r="B109" s="35"/>
      <c r="C109" s="36"/>
      <c r="D109" s="36"/>
      <c r="E109" s="35"/>
    </row>
    <row r="110" spans="1:5" ht="20.149999999999999" customHeight="1" x14ac:dyDescent="0.25">
      <c r="A110" s="35"/>
      <c r="B110" s="35"/>
      <c r="C110" s="36"/>
      <c r="D110" s="36"/>
      <c r="E110" s="35"/>
    </row>
    <row r="111" spans="1:5" ht="20.149999999999999" customHeight="1" x14ac:dyDescent="0.25">
      <c r="A111" s="35"/>
      <c r="B111" s="35"/>
      <c r="C111" s="36"/>
      <c r="D111" s="36"/>
      <c r="E111" s="35"/>
    </row>
    <row r="112" spans="1:5" ht="20.149999999999999" customHeight="1" x14ac:dyDescent="0.25">
      <c r="A112" s="35"/>
      <c r="B112" s="35"/>
      <c r="C112" s="36"/>
      <c r="D112" s="36"/>
      <c r="E112" s="35"/>
    </row>
    <row r="113" spans="1:5" ht="20.149999999999999" customHeight="1" x14ac:dyDescent="0.25">
      <c r="A113" s="35"/>
      <c r="B113" s="35"/>
      <c r="C113" s="36"/>
      <c r="D113" s="36"/>
      <c r="E113" s="35"/>
    </row>
    <row r="114" spans="1:5" ht="20.149999999999999" customHeight="1" x14ac:dyDescent="0.25">
      <c r="A114" s="35"/>
      <c r="B114" s="35"/>
      <c r="C114" s="36"/>
      <c r="D114" s="36"/>
      <c r="E114" s="35"/>
    </row>
    <row r="115" spans="1:5" ht="20.149999999999999" customHeight="1" x14ac:dyDescent="0.25">
      <c r="A115" s="35"/>
      <c r="B115" s="35"/>
      <c r="C115" s="36"/>
      <c r="D115" s="36"/>
      <c r="E115" s="35"/>
    </row>
    <row r="116" spans="1:5" ht="20.149999999999999" customHeight="1" x14ac:dyDescent="0.25">
      <c r="A116" s="35"/>
      <c r="B116" s="35"/>
      <c r="C116" s="36"/>
      <c r="D116" s="36"/>
      <c r="E116" s="35"/>
    </row>
    <row r="117" spans="1:5" ht="20.149999999999999" customHeight="1" x14ac:dyDescent="0.25">
      <c r="A117" s="35"/>
      <c r="B117" s="35"/>
      <c r="C117" s="36"/>
      <c r="D117" s="36"/>
      <c r="E117" s="35"/>
    </row>
    <row r="118" spans="1:5" ht="20.149999999999999" customHeight="1" x14ac:dyDescent="0.25">
      <c r="A118" s="35"/>
      <c r="B118" s="35"/>
      <c r="C118" s="36"/>
      <c r="D118" s="36"/>
      <c r="E118" s="35"/>
    </row>
    <row r="119" spans="1:5" ht="20.149999999999999" customHeight="1" x14ac:dyDescent="0.25">
      <c r="A119" s="35"/>
      <c r="B119" s="35"/>
      <c r="C119" s="36"/>
      <c r="D119" s="36"/>
      <c r="E119" s="35"/>
    </row>
    <row r="120" spans="1:5" ht="20.149999999999999" customHeight="1" x14ac:dyDescent="0.25">
      <c r="A120" s="35"/>
      <c r="B120" s="35"/>
      <c r="C120" s="36"/>
      <c r="D120" s="36"/>
      <c r="E120" s="35"/>
    </row>
    <row r="121" spans="1:5" ht="20.149999999999999" customHeight="1" x14ac:dyDescent="0.25">
      <c r="A121" s="35"/>
      <c r="B121" s="35"/>
      <c r="C121" s="36"/>
      <c r="D121" s="36"/>
      <c r="E121" s="35"/>
    </row>
    <row r="122" spans="1:5" ht="20.149999999999999" customHeight="1" x14ac:dyDescent="0.25">
      <c r="A122" s="35"/>
      <c r="B122" s="35"/>
      <c r="C122" s="36"/>
      <c r="D122" s="36"/>
      <c r="E122" s="35"/>
    </row>
    <row r="123" spans="1:5" ht="20.149999999999999" customHeight="1" x14ac:dyDescent="0.25">
      <c r="A123" s="35"/>
      <c r="B123" s="35"/>
      <c r="C123" s="36"/>
      <c r="D123" s="36"/>
      <c r="E123" s="35"/>
    </row>
    <row r="124" spans="1:5" ht="20.149999999999999" customHeight="1" x14ac:dyDescent="0.25">
      <c r="A124" s="35"/>
      <c r="B124" s="35"/>
      <c r="C124" s="36"/>
      <c r="D124" s="36"/>
      <c r="E124" s="35"/>
    </row>
    <row r="125" spans="1:5" ht="20.149999999999999" customHeight="1" x14ac:dyDescent="0.25">
      <c r="A125" s="35"/>
      <c r="B125" s="35"/>
      <c r="C125" s="36"/>
      <c r="D125" s="36"/>
      <c r="E125" s="35"/>
    </row>
    <row r="126" spans="1:5" ht="20.149999999999999" customHeight="1" x14ac:dyDescent="0.25">
      <c r="A126" s="35"/>
      <c r="B126" s="35"/>
      <c r="C126" s="36"/>
      <c r="D126" s="36"/>
      <c r="E126" s="35"/>
    </row>
    <row r="127" spans="1:5" ht="20.149999999999999" customHeight="1" x14ac:dyDescent="0.25">
      <c r="A127" s="35"/>
      <c r="B127" s="35"/>
      <c r="C127" s="36"/>
      <c r="D127" s="36"/>
      <c r="E127" s="35"/>
    </row>
    <row r="128" spans="1:5" ht="20.149999999999999" customHeight="1" x14ac:dyDescent="0.25">
      <c r="A128" s="35"/>
      <c r="B128" s="35"/>
      <c r="C128" s="36"/>
      <c r="D128" s="36"/>
      <c r="E128" s="35"/>
    </row>
    <row r="129" spans="1:5" ht="20.149999999999999" customHeight="1" x14ac:dyDescent="0.25">
      <c r="A129" s="35"/>
      <c r="B129" s="35"/>
      <c r="C129" s="36"/>
      <c r="D129" s="36"/>
      <c r="E129" s="35"/>
    </row>
    <row r="130" spans="1:5" ht="20.149999999999999" customHeight="1" x14ac:dyDescent="0.25">
      <c r="A130" s="35"/>
      <c r="B130" s="35"/>
      <c r="C130" s="36"/>
      <c r="D130" s="36"/>
      <c r="E130" s="35"/>
    </row>
    <row r="131" spans="1:5" ht="20.149999999999999" customHeight="1" x14ac:dyDescent="0.25">
      <c r="A131" s="35"/>
      <c r="B131" s="35"/>
      <c r="C131" s="36"/>
      <c r="D131" s="36"/>
      <c r="E131" s="35"/>
    </row>
    <row r="132" spans="1:5" ht="20.149999999999999" customHeight="1" x14ac:dyDescent="0.25">
      <c r="A132" s="35"/>
      <c r="B132" s="35"/>
      <c r="C132" s="36"/>
      <c r="D132" s="36"/>
      <c r="E132" s="35"/>
    </row>
    <row r="133" spans="1:5" ht="20.149999999999999" customHeight="1" x14ac:dyDescent="0.25">
      <c r="A133" s="35"/>
      <c r="B133" s="35"/>
      <c r="C133" s="36"/>
      <c r="D133" s="36"/>
      <c r="E133" s="35"/>
    </row>
    <row r="134" spans="1:5" ht="20.149999999999999" customHeight="1" x14ac:dyDescent="0.25">
      <c r="A134" s="35"/>
      <c r="B134" s="35"/>
      <c r="C134" s="36"/>
      <c r="D134" s="36"/>
      <c r="E134" s="35"/>
    </row>
    <row r="135" spans="1:5" ht="20.149999999999999" customHeight="1" x14ac:dyDescent="0.25">
      <c r="A135" s="35"/>
      <c r="B135" s="35"/>
      <c r="C135" s="36"/>
      <c r="D135" s="36"/>
      <c r="E135" s="35"/>
    </row>
    <row r="136" spans="1:5" ht="20.149999999999999" customHeight="1" x14ac:dyDescent="0.25">
      <c r="A136" s="35"/>
      <c r="B136" s="35"/>
      <c r="C136" s="36"/>
      <c r="D136" s="36"/>
      <c r="E136" s="35"/>
    </row>
    <row r="137" spans="1:5" ht="12.5" x14ac:dyDescent="0.25">
      <c r="A137" s="35"/>
      <c r="B137" s="35"/>
      <c r="C137" s="36"/>
      <c r="D137" s="36"/>
      <c r="E137" s="35"/>
    </row>
    <row r="138" spans="1:5" ht="12.5" x14ac:dyDescent="0.25">
      <c r="A138" s="35"/>
      <c r="B138" s="35"/>
      <c r="C138" s="36"/>
      <c r="D138" s="36"/>
      <c r="E138" s="35"/>
    </row>
    <row r="139" spans="1:5" ht="12.5" x14ac:dyDescent="0.25">
      <c r="A139" s="35"/>
      <c r="B139" s="35"/>
      <c r="C139" s="36"/>
      <c r="D139" s="36"/>
      <c r="E139" s="35"/>
    </row>
    <row r="140" spans="1:5" ht="12.5" x14ac:dyDescent="0.25">
      <c r="A140" s="35"/>
      <c r="B140" s="35"/>
      <c r="C140" s="36"/>
      <c r="D140" s="36"/>
      <c r="E140" s="35"/>
    </row>
    <row r="141" spans="1:5" ht="12.5" x14ac:dyDescent="0.25">
      <c r="A141" s="35"/>
      <c r="B141" s="35"/>
      <c r="C141" s="36"/>
      <c r="D141" s="36"/>
      <c r="E141" s="35"/>
    </row>
    <row r="142" spans="1:5" ht="12.5" x14ac:dyDescent="0.25">
      <c r="A142" s="35"/>
      <c r="B142" s="35"/>
      <c r="C142" s="36"/>
      <c r="D142" s="36"/>
      <c r="E142" s="35"/>
    </row>
    <row r="143" spans="1:5" ht="12.5" x14ac:dyDescent="0.25">
      <c r="A143" s="35"/>
      <c r="B143" s="35"/>
      <c r="C143" s="36"/>
      <c r="D143" s="36"/>
      <c r="E143" s="35"/>
    </row>
    <row r="144" spans="1:5" ht="12.5" x14ac:dyDescent="0.25">
      <c r="A144" s="35"/>
      <c r="B144" s="35"/>
      <c r="C144" s="36"/>
      <c r="D144" s="36"/>
      <c r="E144" s="35"/>
    </row>
    <row r="145" spans="1:5" ht="12.5" x14ac:dyDescent="0.25">
      <c r="A145" s="35"/>
      <c r="B145" s="35"/>
      <c r="C145" s="36"/>
      <c r="D145" s="36"/>
      <c r="E145" s="35"/>
    </row>
    <row r="146" spans="1:5" ht="12.5" x14ac:dyDescent="0.25">
      <c r="A146" s="35"/>
      <c r="B146" s="35"/>
      <c r="C146" s="36"/>
      <c r="D146" s="36"/>
      <c r="E146" s="35"/>
    </row>
    <row r="147" spans="1:5" ht="12.5" x14ac:dyDescent="0.25">
      <c r="A147" s="35"/>
      <c r="B147" s="35"/>
      <c r="C147" s="36"/>
      <c r="D147" s="36"/>
      <c r="E147" s="35"/>
    </row>
    <row r="148" spans="1:5" ht="12.5" x14ac:dyDescent="0.25">
      <c r="A148" s="35"/>
      <c r="B148" s="35"/>
      <c r="C148" s="36"/>
      <c r="D148" s="36"/>
      <c r="E148" s="35"/>
    </row>
    <row r="149" spans="1:5" ht="12.5" x14ac:dyDescent="0.25">
      <c r="A149" s="35"/>
      <c r="B149" s="35"/>
      <c r="C149" s="36"/>
      <c r="D149" s="36"/>
      <c r="E149" s="35"/>
    </row>
    <row r="150" spans="1:5" ht="12.5" x14ac:dyDescent="0.25">
      <c r="A150" s="35"/>
      <c r="B150" s="35"/>
      <c r="C150" s="36"/>
      <c r="D150" s="36"/>
      <c r="E150" s="35"/>
    </row>
    <row r="151" spans="1:5" ht="12.5" x14ac:dyDescent="0.25">
      <c r="A151" s="35"/>
      <c r="B151" s="35"/>
      <c r="C151" s="36"/>
      <c r="D151" s="36"/>
      <c r="E151" s="35"/>
    </row>
    <row r="152" spans="1:5" ht="12.5" x14ac:dyDescent="0.25">
      <c r="A152" s="35"/>
      <c r="B152" s="35"/>
      <c r="C152" s="36"/>
      <c r="D152" s="36"/>
      <c r="E152" s="35"/>
    </row>
    <row r="153" spans="1:5" ht="12.5" x14ac:dyDescent="0.25">
      <c r="A153" s="35"/>
      <c r="B153" s="35"/>
      <c r="C153" s="36"/>
      <c r="D153" s="36"/>
      <c r="E153" s="35"/>
    </row>
    <row r="154" spans="1:5" ht="12.5" x14ac:dyDescent="0.25">
      <c r="A154" s="35"/>
      <c r="B154" s="35"/>
      <c r="C154" s="36"/>
      <c r="D154" s="36"/>
      <c r="E154" s="35"/>
    </row>
    <row r="155" spans="1:5" ht="12.5" x14ac:dyDescent="0.25">
      <c r="A155" s="35"/>
      <c r="B155" s="35"/>
      <c r="C155" s="36"/>
      <c r="D155" s="36"/>
      <c r="E155" s="35"/>
    </row>
    <row r="156" spans="1:5" ht="12.5" x14ac:dyDescent="0.25">
      <c r="A156" s="35"/>
      <c r="B156" s="35"/>
      <c r="C156" s="36"/>
      <c r="D156" s="36"/>
      <c r="E156" s="35"/>
    </row>
    <row r="157" spans="1:5" ht="12.5" x14ac:dyDescent="0.25">
      <c r="A157" s="35"/>
      <c r="B157" s="35"/>
      <c r="C157" s="36"/>
      <c r="D157" s="36"/>
      <c r="E157" s="35"/>
    </row>
    <row r="158" spans="1:5" ht="12.5" x14ac:dyDescent="0.25">
      <c r="A158" s="35"/>
      <c r="B158" s="35"/>
      <c r="C158" s="36"/>
      <c r="D158" s="36"/>
      <c r="E158" s="35"/>
    </row>
    <row r="159" spans="1:5" ht="12.5" x14ac:dyDescent="0.25">
      <c r="A159" s="35"/>
      <c r="B159" s="35"/>
      <c r="C159" s="36"/>
      <c r="D159" s="36"/>
      <c r="E159" s="35"/>
    </row>
    <row r="160" spans="1:5" ht="12.5" x14ac:dyDescent="0.25">
      <c r="A160" s="35"/>
      <c r="B160" s="35"/>
      <c r="C160" s="36"/>
      <c r="D160" s="36"/>
      <c r="E160" s="35"/>
    </row>
    <row r="161" spans="1:5" ht="12.5" x14ac:dyDescent="0.25">
      <c r="A161" s="35"/>
      <c r="B161" s="35"/>
      <c r="C161" s="36"/>
      <c r="D161" s="36"/>
      <c r="E161" s="35"/>
    </row>
    <row r="162" spans="1:5" ht="12.5" x14ac:dyDescent="0.25">
      <c r="A162" s="35"/>
      <c r="B162" s="35"/>
      <c r="C162" s="36"/>
      <c r="D162" s="36"/>
      <c r="E162" s="35"/>
    </row>
    <row r="163" spans="1:5" ht="12.5" x14ac:dyDescent="0.25">
      <c r="A163" s="35"/>
      <c r="B163" s="35"/>
      <c r="C163" s="36"/>
      <c r="D163" s="36"/>
      <c r="E163" s="35"/>
    </row>
    <row r="164" spans="1:5" ht="12.5" x14ac:dyDescent="0.25">
      <c r="A164" s="35"/>
      <c r="B164" s="35"/>
      <c r="C164" s="36"/>
      <c r="D164" s="36"/>
      <c r="E164" s="35"/>
    </row>
    <row r="165" spans="1:5" ht="12.5" x14ac:dyDescent="0.25">
      <c r="A165" s="35"/>
      <c r="B165" s="35"/>
      <c r="C165" s="36"/>
      <c r="D165" s="36"/>
      <c r="E165" s="35"/>
    </row>
    <row r="166" spans="1:5" ht="12.5" x14ac:dyDescent="0.25">
      <c r="A166" s="35"/>
      <c r="B166" s="35"/>
      <c r="C166" s="36"/>
      <c r="D166" s="36"/>
      <c r="E166" s="35"/>
    </row>
    <row r="167" spans="1:5" ht="12.5" x14ac:dyDescent="0.25">
      <c r="A167" s="35"/>
      <c r="B167" s="35"/>
      <c r="C167" s="36"/>
      <c r="D167" s="36"/>
      <c r="E167" s="35"/>
    </row>
    <row r="168" spans="1:5" ht="12.5" x14ac:dyDescent="0.25">
      <c r="A168" s="35"/>
      <c r="B168" s="35"/>
      <c r="C168" s="36"/>
      <c r="D168" s="36"/>
      <c r="E168" s="35"/>
    </row>
    <row r="169" spans="1:5" ht="12.5" x14ac:dyDescent="0.25">
      <c r="A169" s="35"/>
      <c r="B169" s="35"/>
      <c r="C169" s="36"/>
      <c r="D169" s="36"/>
      <c r="E169" s="35"/>
    </row>
    <row r="170" spans="1:5" ht="12.5" x14ac:dyDescent="0.25">
      <c r="A170" s="35"/>
      <c r="B170" s="35"/>
      <c r="C170" s="36"/>
      <c r="D170" s="36"/>
      <c r="E170" s="35"/>
    </row>
    <row r="171" spans="1:5" ht="12.5" x14ac:dyDescent="0.25">
      <c r="A171" s="35"/>
      <c r="B171" s="35"/>
      <c r="C171" s="36"/>
      <c r="D171" s="36"/>
      <c r="E171" s="35"/>
    </row>
    <row r="172" spans="1:5" ht="12.5" x14ac:dyDescent="0.25">
      <c r="A172" s="35"/>
      <c r="B172" s="35"/>
      <c r="C172" s="36"/>
      <c r="D172" s="36"/>
      <c r="E172" s="35"/>
    </row>
    <row r="173" spans="1:5" ht="12.5" x14ac:dyDescent="0.25">
      <c r="A173" s="35"/>
      <c r="B173" s="35"/>
      <c r="C173" s="36"/>
      <c r="D173" s="36"/>
      <c r="E173" s="35"/>
    </row>
    <row r="174" spans="1:5" ht="12.5" x14ac:dyDescent="0.25">
      <c r="A174" s="35"/>
      <c r="B174" s="35"/>
      <c r="C174" s="36"/>
      <c r="D174" s="36"/>
      <c r="E174" s="35"/>
    </row>
    <row r="175" spans="1:5" ht="12.5" x14ac:dyDescent="0.25">
      <c r="A175" s="35"/>
      <c r="B175" s="35"/>
      <c r="C175" s="36"/>
      <c r="D175" s="36"/>
      <c r="E175" s="35"/>
    </row>
    <row r="176" spans="1:5" ht="12.5" x14ac:dyDescent="0.25">
      <c r="A176" s="35"/>
      <c r="B176" s="35"/>
      <c r="C176" s="36"/>
      <c r="D176" s="36"/>
      <c r="E176" s="35"/>
    </row>
    <row r="177" spans="1:5" ht="12.5" x14ac:dyDescent="0.25">
      <c r="A177" s="35"/>
      <c r="B177" s="35"/>
      <c r="C177" s="36"/>
      <c r="D177" s="36"/>
      <c r="E177" s="35"/>
    </row>
    <row r="178" spans="1:5" ht="12.5" x14ac:dyDescent="0.25">
      <c r="A178" s="35"/>
      <c r="B178" s="35"/>
      <c r="C178" s="36"/>
      <c r="D178" s="36"/>
      <c r="E178" s="35"/>
    </row>
    <row r="179" spans="1:5" ht="12.5" x14ac:dyDescent="0.25">
      <c r="A179" s="35"/>
      <c r="B179" s="35"/>
      <c r="C179" s="36"/>
      <c r="D179" s="36"/>
      <c r="E179" s="35"/>
    </row>
    <row r="180" spans="1:5" ht="12.5" x14ac:dyDescent="0.25">
      <c r="A180" s="35"/>
      <c r="B180" s="35"/>
      <c r="C180" s="36"/>
      <c r="D180" s="36"/>
      <c r="E180" s="35"/>
    </row>
    <row r="181" spans="1:5" ht="12.5" x14ac:dyDescent="0.25">
      <c r="A181" s="35"/>
      <c r="B181" s="35"/>
      <c r="C181" s="36"/>
      <c r="D181" s="36"/>
      <c r="E181" s="35"/>
    </row>
    <row r="182" spans="1:5" ht="12.5" x14ac:dyDescent="0.25">
      <c r="A182" s="35"/>
      <c r="B182" s="35"/>
      <c r="C182" s="36"/>
      <c r="D182" s="36"/>
      <c r="E182" s="35"/>
    </row>
    <row r="183" spans="1:5" ht="12.5" x14ac:dyDescent="0.25">
      <c r="A183" s="35"/>
      <c r="B183" s="35"/>
      <c r="C183" s="36"/>
      <c r="D183" s="36"/>
      <c r="E183" s="35"/>
    </row>
    <row r="184" spans="1:5" ht="12.5" x14ac:dyDescent="0.25">
      <c r="A184" s="35"/>
      <c r="B184" s="35"/>
      <c r="C184" s="36"/>
      <c r="D184" s="36"/>
      <c r="E184" s="35"/>
    </row>
    <row r="185" spans="1:5" ht="12.5" x14ac:dyDescent="0.25">
      <c r="A185" s="35"/>
      <c r="B185" s="35"/>
      <c r="C185" s="36"/>
      <c r="D185" s="36"/>
      <c r="E185" s="35"/>
    </row>
    <row r="186" spans="1:5" ht="12.5" x14ac:dyDescent="0.25">
      <c r="A186" s="35"/>
      <c r="B186" s="35"/>
      <c r="C186" s="36"/>
      <c r="D186" s="36"/>
      <c r="E186" s="35"/>
    </row>
    <row r="187" spans="1:5" ht="12.5" x14ac:dyDescent="0.25">
      <c r="A187" s="35"/>
      <c r="B187" s="35"/>
      <c r="C187" s="36"/>
      <c r="D187" s="36"/>
      <c r="E187" s="35"/>
    </row>
    <row r="188" spans="1:5" ht="12.5" x14ac:dyDescent="0.25">
      <c r="A188" s="35"/>
      <c r="B188" s="35"/>
      <c r="C188" s="36"/>
      <c r="D188" s="36"/>
      <c r="E188" s="35"/>
    </row>
    <row r="189" spans="1:5" ht="12.5" x14ac:dyDescent="0.25">
      <c r="A189" s="35"/>
      <c r="B189" s="35"/>
      <c r="C189" s="36"/>
      <c r="D189" s="36"/>
      <c r="E189" s="35"/>
    </row>
    <row r="190" spans="1:5" ht="12.5" x14ac:dyDescent="0.25">
      <c r="A190" s="35"/>
      <c r="B190" s="35"/>
      <c r="C190" s="36"/>
      <c r="D190" s="36"/>
      <c r="E190" s="35"/>
    </row>
    <row r="191" spans="1:5" ht="12.5" x14ac:dyDescent="0.25">
      <c r="A191" s="35"/>
      <c r="B191" s="35"/>
      <c r="C191" s="36"/>
      <c r="D191" s="36"/>
      <c r="E191" s="35"/>
    </row>
    <row r="192" spans="1:5" ht="12.5" x14ac:dyDescent="0.25">
      <c r="A192" s="35"/>
      <c r="B192" s="35"/>
      <c r="C192" s="36"/>
      <c r="D192" s="36"/>
      <c r="E192" s="35"/>
    </row>
    <row r="193" spans="1:5" ht="12.5" x14ac:dyDescent="0.25">
      <c r="A193" s="35"/>
      <c r="B193" s="35"/>
      <c r="C193" s="36"/>
      <c r="D193" s="36"/>
      <c r="E193" s="35"/>
    </row>
    <row r="194" spans="1:5" ht="12.5" x14ac:dyDescent="0.25">
      <c r="A194" s="35"/>
      <c r="B194" s="35"/>
      <c r="C194" s="36"/>
      <c r="D194" s="36"/>
      <c r="E194" s="35"/>
    </row>
    <row r="195" spans="1:5" ht="12.5" x14ac:dyDescent="0.25">
      <c r="A195" s="35"/>
      <c r="B195" s="35"/>
      <c r="C195" s="36"/>
      <c r="D195" s="36"/>
      <c r="E195" s="35"/>
    </row>
    <row r="196" spans="1:5" ht="12.5" x14ac:dyDescent="0.25">
      <c r="A196" s="35"/>
      <c r="B196" s="35"/>
      <c r="C196" s="36"/>
      <c r="D196" s="36"/>
      <c r="E196" s="35"/>
    </row>
    <row r="197" spans="1:5" ht="12.5" x14ac:dyDescent="0.25">
      <c r="A197" s="35"/>
      <c r="B197" s="35"/>
      <c r="C197" s="36"/>
      <c r="D197" s="36"/>
      <c r="E197" s="35"/>
    </row>
    <row r="198" spans="1:5" ht="12.5" x14ac:dyDescent="0.25">
      <c r="A198" s="35"/>
      <c r="B198" s="35"/>
      <c r="C198" s="36"/>
      <c r="D198" s="36"/>
      <c r="E198" s="35"/>
    </row>
    <row r="199" spans="1:5" ht="12.5" x14ac:dyDescent="0.25">
      <c r="A199" s="35"/>
      <c r="B199" s="35"/>
      <c r="C199" s="36"/>
      <c r="D199" s="36"/>
      <c r="E199" s="35"/>
    </row>
    <row r="200" spans="1:5" ht="12.5" x14ac:dyDescent="0.25">
      <c r="A200" s="35"/>
      <c r="B200" s="35"/>
      <c r="C200" s="36"/>
      <c r="D200" s="36"/>
      <c r="E200" s="35"/>
    </row>
    <row r="201" spans="1:5" ht="12.5" x14ac:dyDescent="0.25">
      <c r="A201" s="35"/>
      <c r="B201" s="35"/>
      <c r="C201" s="36"/>
      <c r="D201" s="36"/>
      <c r="E201" s="35"/>
    </row>
    <row r="202" spans="1:5" ht="12.5" x14ac:dyDescent="0.25">
      <c r="A202" s="35"/>
      <c r="B202" s="35"/>
      <c r="C202" s="36"/>
      <c r="D202" s="36"/>
      <c r="E202" s="35"/>
    </row>
    <row r="203" spans="1:5" ht="12.5" x14ac:dyDescent="0.25">
      <c r="A203" s="35"/>
      <c r="B203" s="35"/>
      <c r="C203" s="36"/>
      <c r="D203" s="36"/>
      <c r="E203" s="35"/>
    </row>
    <row r="204" spans="1:5" ht="12.5" x14ac:dyDescent="0.25">
      <c r="A204" s="35"/>
      <c r="B204" s="35"/>
      <c r="C204" s="36"/>
      <c r="D204" s="36"/>
      <c r="E204" s="35"/>
    </row>
    <row r="205" spans="1:5" ht="12.5" x14ac:dyDescent="0.25">
      <c r="A205" s="35"/>
      <c r="B205" s="35"/>
      <c r="C205" s="36"/>
      <c r="D205" s="36"/>
      <c r="E205" s="35"/>
    </row>
    <row r="206" spans="1:5" ht="12.5" x14ac:dyDescent="0.25">
      <c r="A206" s="35"/>
      <c r="B206" s="35"/>
      <c r="C206" s="36"/>
      <c r="D206" s="36"/>
      <c r="E206" s="35"/>
    </row>
    <row r="207" spans="1:5" ht="12.5" x14ac:dyDescent="0.25">
      <c r="A207" s="35"/>
      <c r="B207" s="35"/>
      <c r="C207" s="36"/>
      <c r="D207" s="36"/>
      <c r="E207" s="35"/>
    </row>
    <row r="208" spans="1:5" ht="12.5" x14ac:dyDescent="0.25">
      <c r="A208" s="35"/>
      <c r="B208" s="35"/>
      <c r="C208" s="36"/>
      <c r="D208" s="36"/>
      <c r="E208" s="35"/>
    </row>
    <row r="209" spans="1:5" ht="12.5" x14ac:dyDescent="0.25">
      <c r="A209" s="35"/>
      <c r="B209" s="35"/>
      <c r="C209" s="36"/>
      <c r="D209" s="36"/>
      <c r="E209" s="35"/>
    </row>
    <row r="210" spans="1:5" ht="12.5" x14ac:dyDescent="0.25">
      <c r="A210" s="35"/>
      <c r="B210" s="35"/>
      <c r="C210" s="36"/>
      <c r="D210" s="36"/>
      <c r="E210" s="35"/>
    </row>
    <row r="211" spans="1:5" ht="12.5" x14ac:dyDescent="0.25">
      <c r="A211" s="35"/>
      <c r="B211" s="35"/>
      <c r="C211" s="36"/>
      <c r="D211" s="36"/>
      <c r="E211" s="35"/>
    </row>
    <row r="212" spans="1:5" ht="12.5" x14ac:dyDescent="0.25">
      <c r="A212" s="35"/>
      <c r="B212" s="35"/>
      <c r="C212" s="36"/>
      <c r="D212" s="36"/>
      <c r="E212" s="35"/>
    </row>
    <row r="213" spans="1:5" ht="12.5" x14ac:dyDescent="0.25">
      <c r="A213" s="35"/>
      <c r="B213" s="35"/>
      <c r="C213" s="36"/>
      <c r="D213" s="36"/>
      <c r="E213" s="35"/>
    </row>
    <row r="214" spans="1:5" ht="12.5" x14ac:dyDescent="0.25">
      <c r="A214" s="35"/>
      <c r="B214" s="35"/>
      <c r="C214" s="36"/>
      <c r="D214" s="36"/>
      <c r="E214" s="35"/>
    </row>
    <row r="215" spans="1:5" ht="12.5" x14ac:dyDescent="0.25">
      <c r="A215" s="35"/>
      <c r="B215" s="35"/>
      <c r="C215" s="36"/>
      <c r="D215" s="36"/>
      <c r="E215" s="35"/>
    </row>
    <row r="216" spans="1:5" ht="12.5" x14ac:dyDescent="0.25">
      <c r="A216" s="35"/>
      <c r="B216" s="35"/>
      <c r="C216" s="36"/>
      <c r="D216" s="36"/>
      <c r="E216" s="35"/>
    </row>
    <row r="217" spans="1:5" ht="12.5" x14ac:dyDescent="0.25">
      <c r="A217" s="35"/>
      <c r="B217" s="35"/>
      <c r="C217" s="36"/>
      <c r="D217" s="36"/>
      <c r="E217" s="35"/>
    </row>
    <row r="218" spans="1:5" ht="12.5" x14ac:dyDescent="0.25">
      <c r="A218" s="35"/>
      <c r="B218" s="35"/>
      <c r="C218" s="36"/>
      <c r="D218" s="36"/>
      <c r="E218" s="35"/>
    </row>
    <row r="219" spans="1:5" ht="12.5" x14ac:dyDescent="0.25">
      <c r="A219" s="35"/>
      <c r="B219" s="35"/>
      <c r="C219" s="36"/>
      <c r="D219" s="36"/>
      <c r="E219" s="35"/>
    </row>
    <row r="220" spans="1:5" ht="12.5" x14ac:dyDescent="0.25">
      <c r="A220" s="35"/>
      <c r="B220" s="35"/>
      <c r="C220" s="36"/>
      <c r="D220" s="36"/>
      <c r="E220" s="35"/>
    </row>
    <row r="221" spans="1:5" ht="12.5" x14ac:dyDescent="0.25">
      <c r="A221" s="35"/>
      <c r="B221" s="35"/>
      <c r="C221" s="36"/>
      <c r="D221" s="36"/>
      <c r="E221" s="35"/>
    </row>
    <row r="222" spans="1:5" ht="12.5" x14ac:dyDescent="0.25">
      <c r="A222" s="35"/>
      <c r="B222" s="35"/>
      <c r="C222" s="36"/>
      <c r="D222" s="36"/>
      <c r="E222" s="35"/>
    </row>
    <row r="223" spans="1:5" ht="12.5" x14ac:dyDescent="0.25">
      <c r="A223" s="35"/>
      <c r="B223" s="35"/>
      <c r="C223" s="36"/>
      <c r="D223" s="36"/>
      <c r="E223" s="35"/>
    </row>
  </sheetData>
  <mergeCells count="17">
    <mergeCell ref="A1:B2"/>
    <mergeCell ref="C1:C2"/>
    <mergeCell ref="A46:B46"/>
    <mergeCell ref="A49:B49"/>
    <mergeCell ref="A51:B51"/>
    <mergeCell ref="A47:B47"/>
    <mergeCell ref="A48:B48"/>
    <mergeCell ref="A54:B54"/>
    <mergeCell ref="F15:G17"/>
    <mergeCell ref="D9:D10"/>
    <mergeCell ref="D11:D12"/>
    <mergeCell ref="A4:D6"/>
    <mergeCell ref="C11:C12"/>
    <mergeCell ref="B11:B12"/>
    <mergeCell ref="A11:A12"/>
    <mergeCell ref="F25:G31"/>
    <mergeCell ref="A53:B53"/>
  </mergeCells>
  <phoneticPr fontId="0" type="noConversion"/>
  <printOptions horizontalCentered="1" verticalCentered="1" gridLinesSet="0"/>
  <pageMargins left="0.25" right="0.25" top="0.75" bottom="0.75" header="0.3" footer="0.3"/>
  <pageSetup scale="59" orientation="portrait" horizontalDpi="1200" verticalDpi="1200" r:id="rId1"/>
  <headerFooter alignWithMargins="0">
    <oddHeader>&amp;R&amp;"Arial"&amp;8&amp;B SHEET &amp;P OF &amp;N</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214"/>
  <sheetViews>
    <sheetView showGridLines="0" showZeros="0" zoomScaleNormal="100" workbookViewId="0">
      <pane ySplit="12" topLeftCell="A13" activePane="bottomLeft" state="frozen"/>
      <selection activeCell="H45" sqref="H45"/>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9" width="9.81640625" style="6" bestFit="1" customWidth="1"/>
    <col min="10" max="10" width="12" style="6" bestFit="1" customWidth="1"/>
    <col min="11"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0"/>
      <c r="E7" s="80"/>
      <c r="F7" s="16" t="s">
        <v>113</v>
      </c>
      <c r="G7" s="11"/>
      <c r="H7" s="13"/>
    </row>
    <row r="8" spans="1:9" ht="10.5" x14ac:dyDescent="0.25">
      <c r="A8" s="83" t="str">
        <f>Summary!A4</f>
        <v>Fill Here</v>
      </c>
      <c r="B8" s="84"/>
      <c r="C8" s="87"/>
      <c r="D8" s="142" t="str">
        <f>Summary!D9</f>
        <v>FTFA 23VH26</v>
      </c>
      <c r="E8" s="143"/>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Summary!B13</f>
        <v>GENERAL REQUIREMENTS</v>
      </c>
      <c r="B13" s="30"/>
      <c r="C13" s="31"/>
      <c r="D13" s="31"/>
      <c r="E13" s="31"/>
      <c r="F13" s="31"/>
      <c r="G13" s="31"/>
      <c r="H13" s="31"/>
    </row>
    <row r="14" spans="1:9" ht="19.5" customHeight="1" x14ac:dyDescent="0.25">
      <c r="A14" s="30"/>
      <c r="B14" s="39"/>
      <c r="C14" s="40"/>
      <c r="D14" s="40"/>
      <c r="E14" s="74">
        <f>B14*D14</f>
        <v>0</v>
      </c>
      <c r="F14" s="40"/>
      <c r="G14" s="74">
        <f>B14*F14</f>
        <v>0</v>
      </c>
      <c r="H14" s="74">
        <f>E14+G14</f>
        <v>0</v>
      </c>
    </row>
    <row r="15" spans="1:9" ht="19.5" customHeight="1" x14ac:dyDescent="0.25">
      <c r="A15" s="30"/>
      <c r="B15" s="30"/>
      <c r="C15" s="31"/>
      <c r="D15" s="31"/>
      <c r="E15" s="74">
        <f t="shared" ref="E15:E24" si="0">B15*D15</f>
        <v>0</v>
      </c>
      <c r="F15" s="31"/>
      <c r="G15" s="74">
        <f t="shared" ref="G15:G23" si="1">B15*F15</f>
        <v>0</v>
      </c>
      <c r="H15" s="74">
        <f t="shared" ref="H15:H22" si="2">E15+G15</f>
        <v>0</v>
      </c>
    </row>
    <row r="16" spans="1:9" ht="19.5" customHeight="1" x14ac:dyDescent="0.25">
      <c r="A16" s="30"/>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25">
      <c r="A18" s="30"/>
      <c r="B18" s="30"/>
      <c r="C18" s="31"/>
      <c r="D18" s="31"/>
      <c r="E18" s="74">
        <f t="shared" si="0"/>
        <v>0</v>
      </c>
      <c r="F18" s="31"/>
      <c r="G18" s="74">
        <f t="shared" si="1"/>
        <v>0</v>
      </c>
      <c r="H18" s="74">
        <f t="shared" si="2"/>
        <v>0</v>
      </c>
    </row>
    <row r="19" spans="1:8" ht="19.5" customHeight="1" x14ac:dyDescent="0.25">
      <c r="A19" s="30"/>
      <c r="B19" s="30"/>
      <c r="C19" s="31"/>
      <c r="D19" s="31"/>
      <c r="E19" s="74">
        <f t="shared" si="0"/>
        <v>0</v>
      </c>
      <c r="F19" s="31"/>
      <c r="G19" s="74">
        <f t="shared" si="1"/>
        <v>0</v>
      </c>
      <c r="H19" s="74">
        <f t="shared" si="2"/>
        <v>0</v>
      </c>
    </row>
    <row r="20" spans="1:8" ht="19.5" customHeight="1" x14ac:dyDescent="0.25">
      <c r="A20" s="30"/>
      <c r="B20" s="30"/>
      <c r="C20" s="31"/>
      <c r="D20" s="31"/>
      <c r="E20" s="74">
        <f t="shared" si="0"/>
        <v>0</v>
      </c>
      <c r="F20" s="31"/>
      <c r="G20" s="74">
        <f t="shared" si="1"/>
        <v>0</v>
      </c>
      <c r="H20" s="74">
        <f t="shared" si="2"/>
        <v>0</v>
      </c>
    </row>
    <row r="21" spans="1:8" ht="19.5" customHeight="1" x14ac:dyDescent="0.25">
      <c r="A21" s="39"/>
      <c r="B21" s="39"/>
      <c r="C21" s="40"/>
      <c r="D21" s="40"/>
      <c r="E21" s="74">
        <f t="shared" si="0"/>
        <v>0</v>
      </c>
      <c r="F21" s="40"/>
      <c r="G21" s="74">
        <f t="shared" si="1"/>
        <v>0</v>
      </c>
      <c r="H21" s="74">
        <f t="shared" si="2"/>
        <v>0</v>
      </c>
    </row>
    <row r="22" spans="1:8" ht="19.5" customHeight="1" x14ac:dyDescent="0.25">
      <c r="A22" s="30"/>
      <c r="B22" s="30"/>
      <c r="C22" s="31"/>
      <c r="D22" s="31"/>
      <c r="E22" s="74">
        <f t="shared" si="0"/>
        <v>0</v>
      </c>
      <c r="F22" s="31"/>
      <c r="G22" s="74">
        <f t="shared" si="1"/>
        <v>0</v>
      </c>
      <c r="H22" s="74">
        <f t="shared" si="2"/>
        <v>0</v>
      </c>
    </row>
    <row r="23" spans="1:8" ht="19.5" customHeight="1" x14ac:dyDescent="0.25">
      <c r="A23" s="30"/>
      <c r="B23" s="30"/>
      <c r="C23" s="31"/>
      <c r="D23" s="31"/>
      <c r="E23" s="74">
        <f t="shared" si="0"/>
        <v>0</v>
      </c>
      <c r="F23" s="31"/>
      <c r="G23" s="74">
        <f t="shared" si="1"/>
        <v>0</v>
      </c>
      <c r="H23" s="74">
        <f t="shared" ref="H23:H28" si="3">E23+G23</f>
        <v>0</v>
      </c>
    </row>
    <row r="24" spans="1:8" ht="19.5" customHeight="1" x14ac:dyDescent="0.25">
      <c r="A24" s="30"/>
      <c r="B24" s="30"/>
      <c r="C24" s="31"/>
      <c r="D24" s="31"/>
      <c r="E24" s="74">
        <f t="shared" si="0"/>
        <v>0</v>
      </c>
      <c r="F24" s="31"/>
      <c r="G24" s="74">
        <f>B24*F24</f>
        <v>0</v>
      </c>
      <c r="H24" s="74">
        <f t="shared" si="3"/>
        <v>0</v>
      </c>
    </row>
    <row r="25" spans="1:8" ht="19.5" customHeight="1" x14ac:dyDescent="0.25">
      <c r="A25" s="30"/>
      <c r="B25" s="30"/>
      <c r="C25" s="31"/>
      <c r="D25" s="31"/>
      <c r="E25" s="74">
        <f>B25*D25</f>
        <v>0</v>
      </c>
      <c r="F25" s="31"/>
      <c r="G25" s="74">
        <f>B25*F25</f>
        <v>0</v>
      </c>
      <c r="H25" s="74">
        <f t="shared" si="3"/>
        <v>0</v>
      </c>
    </row>
    <row r="26" spans="1:8" ht="19.5" customHeight="1" x14ac:dyDescent="0.25">
      <c r="A26" s="30" t="s">
        <v>126</v>
      </c>
      <c r="B26" s="30"/>
      <c r="C26" s="31"/>
      <c r="D26" s="31"/>
      <c r="E26" s="74">
        <f>B26*D26</f>
        <v>0</v>
      </c>
      <c r="F26" s="31"/>
      <c r="G26" s="74">
        <f>B26*F26</f>
        <v>0</v>
      </c>
      <c r="H26" s="74">
        <f t="shared" si="3"/>
        <v>0</v>
      </c>
    </row>
    <row r="27" spans="1:8" ht="19.5" customHeight="1" x14ac:dyDescent="0.25">
      <c r="A27" s="30"/>
      <c r="B27" s="30"/>
      <c r="C27" s="31"/>
      <c r="D27" s="31"/>
      <c r="E27" s="74">
        <f>B27*D27</f>
        <v>0</v>
      </c>
      <c r="F27" s="31"/>
      <c r="G27" s="74">
        <f>B27*F27</f>
        <v>0</v>
      </c>
      <c r="H27" s="74">
        <f t="shared" si="3"/>
        <v>0</v>
      </c>
    </row>
    <row r="28" spans="1:8" ht="19.5" customHeight="1" x14ac:dyDescent="0.25">
      <c r="A28" s="30"/>
      <c r="B28" s="30"/>
      <c r="C28" s="31"/>
      <c r="D28" s="31"/>
      <c r="E28" s="74">
        <f>B28*D28</f>
        <v>0</v>
      </c>
      <c r="F28" s="31"/>
      <c r="G28" s="74">
        <f>B28*F28</f>
        <v>0</v>
      </c>
      <c r="H28" s="74">
        <f t="shared" si="3"/>
        <v>0</v>
      </c>
    </row>
    <row r="29" spans="1:8" ht="19.5" customHeight="1" x14ac:dyDescent="0.25">
      <c r="A29" s="30"/>
      <c r="B29" s="30"/>
      <c r="C29" s="31"/>
      <c r="D29" s="31"/>
      <c r="E29" s="74">
        <f t="shared" ref="E29:E36" si="4">B29*D29</f>
        <v>0</v>
      </c>
      <c r="F29" s="31"/>
      <c r="G29" s="74">
        <f t="shared" ref="G29:G36" si="5">B29*F29</f>
        <v>0</v>
      </c>
      <c r="H29" s="74">
        <f t="shared" ref="H29:H36" si="6">E29+G29</f>
        <v>0</v>
      </c>
    </row>
    <row r="30" spans="1:8" ht="19.5" customHeight="1" x14ac:dyDescent="0.25">
      <c r="A30" s="30"/>
      <c r="B30" s="30"/>
      <c r="C30" s="31"/>
      <c r="D30" s="31"/>
      <c r="E30" s="74">
        <f t="shared" si="4"/>
        <v>0</v>
      </c>
      <c r="F30" s="31"/>
      <c r="G30" s="74">
        <f t="shared" si="5"/>
        <v>0</v>
      </c>
      <c r="H30" s="74">
        <f t="shared" si="6"/>
        <v>0</v>
      </c>
    </row>
    <row r="31" spans="1:8" ht="19.5" customHeight="1" x14ac:dyDescent="0.25">
      <c r="A31" s="30"/>
      <c r="B31" s="30"/>
      <c r="C31" s="31"/>
      <c r="D31" s="31"/>
      <c r="E31" s="74">
        <f t="shared" si="4"/>
        <v>0</v>
      </c>
      <c r="F31" s="31"/>
      <c r="G31" s="74">
        <f t="shared" si="5"/>
        <v>0</v>
      </c>
      <c r="H31" s="74">
        <f t="shared" si="6"/>
        <v>0</v>
      </c>
    </row>
    <row r="32" spans="1:8" ht="19.5" customHeight="1" x14ac:dyDescent="0.25">
      <c r="A32" s="30"/>
      <c r="B32" s="30"/>
      <c r="C32" s="31"/>
      <c r="D32" s="31"/>
      <c r="E32" s="74">
        <f t="shared" si="4"/>
        <v>0</v>
      </c>
      <c r="F32" s="31"/>
      <c r="G32" s="74">
        <f t="shared" si="5"/>
        <v>0</v>
      </c>
      <c r="H32" s="74">
        <f t="shared" si="6"/>
        <v>0</v>
      </c>
    </row>
    <row r="33" spans="1:10" ht="19.5" customHeight="1" x14ac:dyDescent="0.25">
      <c r="A33" s="30"/>
      <c r="B33" s="30"/>
      <c r="C33" s="31"/>
      <c r="D33" s="31"/>
      <c r="E33" s="74">
        <f t="shared" si="4"/>
        <v>0</v>
      </c>
      <c r="F33" s="31"/>
      <c r="G33" s="74">
        <f t="shared" si="5"/>
        <v>0</v>
      </c>
      <c r="H33" s="74">
        <f t="shared" si="6"/>
        <v>0</v>
      </c>
    </row>
    <row r="34" spans="1:10" ht="19.5" customHeight="1" x14ac:dyDescent="0.25">
      <c r="A34" s="30"/>
      <c r="B34" s="30"/>
      <c r="C34" s="31"/>
      <c r="D34" s="31"/>
      <c r="E34" s="74">
        <f t="shared" si="4"/>
        <v>0</v>
      </c>
      <c r="F34" s="31"/>
      <c r="G34" s="74">
        <f t="shared" si="5"/>
        <v>0</v>
      </c>
      <c r="H34" s="74">
        <f t="shared" si="6"/>
        <v>0</v>
      </c>
    </row>
    <row r="35" spans="1:10" ht="19.5" customHeight="1" x14ac:dyDescent="0.25">
      <c r="A35" s="30"/>
      <c r="B35" s="30"/>
      <c r="C35" s="31"/>
      <c r="D35" s="31"/>
      <c r="E35" s="74">
        <f t="shared" si="4"/>
        <v>0</v>
      </c>
      <c r="F35" s="31"/>
      <c r="G35" s="74">
        <f t="shared" si="5"/>
        <v>0</v>
      </c>
      <c r="H35" s="74">
        <f t="shared" si="6"/>
        <v>0</v>
      </c>
    </row>
    <row r="36" spans="1:10" ht="19.5" customHeight="1" x14ac:dyDescent="0.25">
      <c r="A36" s="30"/>
      <c r="B36" s="30"/>
      <c r="C36" s="31"/>
      <c r="D36" s="31"/>
      <c r="E36" s="74">
        <f t="shared" si="4"/>
        <v>0</v>
      </c>
      <c r="F36" s="31"/>
      <c r="G36" s="74">
        <f t="shared" si="5"/>
        <v>0</v>
      </c>
      <c r="H36" s="74">
        <f t="shared" si="6"/>
        <v>0</v>
      </c>
    </row>
    <row r="37" spans="1:10" ht="19.5" customHeight="1" x14ac:dyDescent="0.3">
      <c r="A37" s="29" t="s">
        <v>127</v>
      </c>
      <c r="B37" s="30"/>
      <c r="C37" s="31"/>
      <c r="D37" s="31"/>
      <c r="E37" s="74">
        <f>SUM(E14:E35)</f>
        <v>0</v>
      </c>
      <c r="F37" s="31"/>
      <c r="G37" s="74">
        <f>SUM(G14:G35)</f>
        <v>0</v>
      </c>
      <c r="H37" s="45"/>
      <c r="I37" s="10"/>
      <c r="J37" s="10"/>
    </row>
    <row r="38" spans="1:10" ht="19.5" customHeight="1" x14ac:dyDescent="0.3">
      <c r="A38" s="29" t="s">
        <v>104</v>
      </c>
      <c r="B38" s="30"/>
      <c r="C38" s="31"/>
      <c r="D38" s="31"/>
      <c r="E38" s="41"/>
      <c r="F38" s="31"/>
      <c r="G38" s="41"/>
      <c r="H38" s="74">
        <f>SUM(E37:G37)</f>
        <v>0</v>
      </c>
      <c r="J38" s="10"/>
    </row>
    <row r="39" spans="1:10" ht="19.5" customHeight="1" x14ac:dyDescent="0.35">
      <c r="A39" s="29" t="s">
        <v>128</v>
      </c>
      <c r="B39" s="30"/>
      <c r="C39" s="31"/>
      <c r="D39" s="31"/>
      <c r="E39" s="31"/>
      <c r="F39" s="31"/>
      <c r="G39" s="93">
        <f>Summary!G20</f>
        <v>0</v>
      </c>
      <c r="H39" s="74">
        <f>SUM(H38*G39)</f>
        <v>0</v>
      </c>
    </row>
    <row r="40" spans="1:10" ht="19.5" customHeight="1" x14ac:dyDescent="0.35">
      <c r="A40" s="29" t="s">
        <v>129</v>
      </c>
      <c r="B40" s="30"/>
      <c r="C40" s="31"/>
      <c r="D40" s="31"/>
      <c r="E40" s="31"/>
      <c r="F40" s="31"/>
      <c r="G40" s="93">
        <f>Summary!G21</f>
        <v>0</v>
      </c>
      <c r="H40" s="74">
        <f>SUM(H38+H39)*G40</f>
        <v>0</v>
      </c>
      <c r="J40" s="10"/>
    </row>
    <row r="41" spans="1:10" ht="19.5" customHeight="1" x14ac:dyDescent="0.35">
      <c r="A41" s="29" t="s">
        <v>130</v>
      </c>
      <c r="B41" s="30"/>
      <c r="C41" s="31"/>
      <c r="D41" s="31"/>
      <c r="E41" s="31"/>
      <c r="F41" s="31"/>
      <c r="G41" s="93">
        <f>Summary!G22</f>
        <v>0</v>
      </c>
      <c r="H41" s="74">
        <f>SUM(G37*G41)</f>
        <v>0</v>
      </c>
      <c r="J41" s="10"/>
    </row>
    <row r="42" spans="1:10" ht="19.5" customHeight="1" thickBot="1" x14ac:dyDescent="0.35">
      <c r="A42" s="34" t="s">
        <v>124</v>
      </c>
      <c r="B42" s="32"/>
      <c r="C42" s="33"/>
      <c r="D42" s="33"/>
      <c r="E42" s="33"/>
      <c r="F42" s="33"/>
      <c r="G42" s="33"/>
      <c r="H42" s="75">
        <f>SUM(H38:H41)</f>
        <v>0</v>
      </c>
      <c r="J42" s="10"/>
    </row>
    <row r="43" spans="1:10" ht="19.5" customHeight="1" thickTop="1" x14ac:dyDescent="0.25">
      <c r="A43" s="35"/>
      <c r="B43" s="35"/>
      <c r="C43" s="36"/>
      <c r="D43" s="36"/>
      <c r="E43" s="36"/>
      <c r="F43" s="36"/>
      <c r="G43" s="36"/>
      <c r="H43" s="36"/>
      <c r="J43" s="10"/>
    </row>
    <row r="44" spans="1:10" ht="19.5" customHeight="1" x14ac:dyDescent="0.25">
      <c r="A44" s="35"/>
      <c r="B44" s="35"/>
      <c r="C44" s="36"/>
      <c r="D44" s="36"/>
      <c r="E44" s="36"/>
      <c r="F44" s="36"/>
      <c r="G44" s="36"/>
      <c r="H44" s="36"/>
    </row>
    <row r="45" spans="1:10" ht="19.5" customHeight="1" x14ac:dyDescent="0.25">
      <c r="A45" s="35"/>
      <c r="B45" s="35"/>
      <c r="C45" s="36"/>
      <c r="D45" s="36"/>
      <c r="E45" s="36"/>
      <c r="F45" s="36"/>
      <c r="G45" s="36"/>
      <c r="H45" s="36"/>
    </row>
    <row r="46" spans="1:10" ht="19.5" customHeight="1" x14ac:dyDescent="0.25">
      <c r="A46" s="35"/>
      <c r="B46" s="35"/>
      <c r="C46" s="36"/>
      <c r="D46" s="36"/>
      <c r="E46" s="36"/>
      <c r="F46" s="36"/>
      <c r="G46" s="36"/>
      <c r="H46" s="36"/>
    </row>
    <row r="47" spans="1:10" ht="19.5" customHeight="1" x14ac:dyDescent="0.25">
      <c r="A47" s="35"/>
      <c r="B47" s="35"/>
      <c r="C47" s="36"/>
      <c r="D47" s="36"/>
      <c r="E47" s="36"/>
      <c r="F47" s="36"/>
      <c r="G47" s="36"/>
      <c r="H47" s="36"/>
    </row>
    <row r="48" spans="1:10" ht="19.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12.75" customHeight="1" x14ac:dyDescent="0.25">
      <c r="A73" s="35"/>
      <c r="B73" s="35"/>
      <c r="C73" s="36"/>
      <c r="D73" s="36"/>
      <c r="E73" s="36"/>
      <c r="F73" s="36"/>
      <c r="G73" s="36"/>
      <c r="H73" s="36"/>
      <c r="I73" s="35"/>
    </row>
    <row r="74" spans="1:9" ht="12.75" customHeight="1" x14ac:dyDescent="0.25">
      <c r="A74" s="35"/>
      <c r="B74" s="35"/>
      <c r="C74" s="36"/>
      <c r="D74" s="36"/>
      <c r="E74" s="36"/>
      <c r="F74" s="36"/>
      <c r="G74" s="36"/>
      <c r="H74" s="36"/>
      <c r="I74" s="35"/>
    </row>
    <row r="75" spans="1:9" ht="12.75" customHeight="1" x14ac:dyDescent="0.25">
      <c r="A75" s="35"/>
      <c r="B75" s="35"/>
      <c r="C75" s="36"/>
      <c r="D75" s="36"/>
      <c r="E75" s="36"/>
      <c r="F75" s="36"/>
      <c r="G75" s="36"/>
      <c r="H75" s="36"/>
      <c r="I75" s="35"/>
    </row>
    <row r="76" spans="1:9" ht="12.75"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20.149999999999999" customHeight="1" x14ac:dyDescent="0.25">
      <c r="A124" s="35"/>
      <c r="B124" s="35"/>
      <c r="C124" s="36"/>
      <c r="D124" s="36"/>
      <c r="E124" s="36"/>
      <c r="F124" s="36"/>
      <c r="G124" s="36"/>
      <c r="H124" s="36"/>
      <c r="I124" s="35"/>
    </row>
    <row r="125" spans="1:9" ht="20.149999999999999" customHeight="1" x14ac:dyDescent="0.25">
      <c r="A125" s="35"/>
      <c r="B125" s="35"/>
      <c r="C125" s="36"/>
      <c r="D125" s="36"/>
      <c r="E125" s="36"/>
      <c r="F125" s="36"/>
      <c r="G125" s="36"/>
      <c r="H125" s="36"/>
      <c r="I125" s="35"/>
    </row>
    <row r="126" spans="1:9" ht="20.149999999999999" customHeight="1" x14ac:dyDescent="0.25">
      <c r="A126" s="35"/>
      <c r="B126" s="35"/>
      <c r="C126" s="36"/>
      <c r="D126" s="36"/>
      <c r="E126" s="36"/>
      <c r="F126" s="36"/>
      <c r="G126" s="36"/>
      <c r="H126" s="36"/>
      <c r="I126" s="35"/>
    </row>
    <row r="127" spans="1:9" ht="20.149999999999999" customHeight="1"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I210" s="35"/>
    </row>
    <row r="211" spans="1:9" ht="12.5" x14ac:dyDescent="0.25">
      <c r="I211" s="35"/>
    </row>
    <row r="212" spans="1:9" ht="12.5" x14ac:dyDescent="0.25">
      <c r="I212" s="35"/>
    </row>
    <row r="213" spans="1:9" ht="12.5" x14ac:dyDescent="0.25">
      <c r="I213" s="35"/>
    </row>
    <row r="214" spans="1:9" ht="12.5" x14ac:dyDescent="0.25">
      <c r="I214" s="35"/>
    </row>
  </sheetData>
  <mergeCells count="2">
    <mergeCell ref="D8:E8"/>
    <mergeCell ref="A1:C2"/>
  </mergeCells>
  <phoneticPr fontId="0" type="noConversion"/>
  <printOptions horizontalCentered="1" verticalCentered="1" gridLinesSet="0"/>
  <pageMargins left="0.25" right="0.25" top="0.75" bottom="0.75" header="0.3" footer="0.3"/>
  <pageSetup scale="79"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17"/>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57.5429687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142" t="str">
        <f>Summary!D9</f>
        <v>FTFA 23VH26</v>
      </c>
      <c r="E8" s="143"/>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Summary!B14</f>
        <v>EXISTING CONDITIONS</v>
      </c>
      <c r="B13" s="41"/>
      <c r="C13" s="45"/>
      <c r="D13" s="53"/>
      <c r="E13" s="45"/>
      <c r="F13" s="53"/>
      <c r="G13" s="45"/>
      <c r="H13" s="45"/>
    </row>
    <row r="14" spans="1:9" ht="19.5" customHeight="1" x14ac:dyDescent="0.3">
      <c r="A14" s="97"/>
      <c r="B14" s="44"/>
      <c r="C14" s="100"/>
      <c r="D14" s="45"/>
      <c r="E14" s="89">
        <f t="shared" ref="E14:E19" si="0">B14*D14</f>
        <v>0</v>
      </c>
      <c r="F14" s="45"/>
      <c r="G14" s="89">
        <f t="shared" ref="G14:G19" si="1">B14*F14</f>
        <v>0</v>
      </c>
      <c r="H14" s="89">
        <f t="shared" ref="H14:H19" si="2">E14+G14</f>
        <v>0</v>
      </c>
    </row>
    <row r="15" spans="1:9" ht="19.5" customHeight="1" x14ac:dyDescent="0.25">
      <c r="A15" s="30"/>
      <c r="B15" s="30"/>
      <c r="C15" s="47"/>
      <c r="D15" s="31"/>
      <c r="E15" s="74">
        <f t="shared" si="0"/>
        <v>0</v>
      </c>
      <c r="F15" s="31"/>
      <c r="G15" s="74">
        <f t="shared" si="1"/>
        <v>0</v>
      </c>
      <c r="H15" s="74">
        <f t="shared" si="2"/>
        <v>0</v>
      </c>
    </row>
    <row r="16" spans="1:9" ht="19.5" customHeight="1" x14ac:dyDescent="0.3">
      <c r="A16" s="97"/>
      <c r="B16" s="30"/>
      <c r="C16" s="47"/>
      <c r="D16" s="31"/>
      <c r="E16" s="74">
        <f t="shared" si="0"/>
        <v>0</v>
      </c>
      <c r="F16" s="31"/>
      <c r="G16" s="74">
        <f t="shared" si="1"/>
        <v>0</v>
      </c>
      <c r="H16" s="74">
        <f t="shared" si="2"/>
        <v>0</v>
      </c>
    </row>
    <row r="17" spans="1:8" ht="19.5" customHeight="1" x14ac:dyDescent="0.25">
      <c r="A17" s="98"/>
      <c r="B17" s="30"/>
      <c r="C17" s="47"/>
      <c r="D17" s="31"/>
      <c r="E17" s="74">
        <f t="shared" si="0"/>
        <v>0</v>
      </c>
      <c r="F17" s="31"/>
      <c r="G17" s="74">
        <f t="shared" si="1"/>
        <v>0</v>
      </c>
      <c r="H17" s="74">
        <f t="shared" si="2"/>
        <v>0</v>
      </c>
    </row>
    <row r="18" spans="1:8" ht="19.5" customHeight="1" x14ac:dyDescent="0.25">
      <c r="A18" s="98"/>
      <c r="B18" s="30"/>
      <c r="C18" s="47"/>
      <c r="D18" s="31"/>
      <c r="E18" s="74">
        <f t="shared" si="0"/>
        <v>0</v>
      </c>
      <c r="F18" s="31"/>
      <c r="G18" s="74">
        <f t="shared" si="1"/>
        <v>0</v>
      </c>
      <c r="H18" s="74">
        <f t="shared" si="2"/>
        <v>0</v>
      </c>
    </row>
    <row r="19" spans="1:8" ht="19.5" customHeight="1" x14ac:dyDescent="0.3">
      <c r="A19" s="97"/>
      <c r="B19" s="30"/>
      <c r="C19" s="47"/>
      <c r="D19" s="31"/>
      <c r="E19" s="74">
        <f t="shared" si="0"/>
        <v>0</v>
      </c>
      <c r="F19" s="31"/>
      <c r="G19" s="74">
        <f t="shared" si="1"/>
        <v>0</v>
      </c>
      <c r="H19" s="74">
        <f t="shared" si="2"/>
        <v>0</v>
      </c>
    </row>
    <row r="20" spans="1:8" s="51" customFormat="1" ht="19.5" customHeight="1" x14ac:dyDescent="0.25">
      <c r="A20" s="98"/>
      <c r="B20" s="30"/>
      <c r="C20" s="47"/>
      <c r="D20" s="31"/>
      <c r="E20" s="74">
        <f t="shared" ref="E20:E44" si="3">B20*D20</f>
        <v>0</v>
      </c>
      <c r="F20" s="31"/>
      <c r="G20" s="74">
        <f t="shared" ref="G20:G45" si="4">B20*F20</f>
        <v>0</v>
      </c>
      <c r="H20" s="74">
        <f t="shared" ref="H20:H44" si="5">E20+G20</f>
        <v>0</v>
      </c>
    </row>
    <row r="21" spans="1:8" s="51" customFormat="1" ht="19.5" customHeight="1" x14ac:dyDescent="0.3">
      <c r="A21" s="97"/>
      <c r="B21" s="30"/>
      <c r="C21" s="47"/>
      <c r="D21" s="31"/>
      <c r="E21" s="74">
        <f t="shared" si="3"/>
        <v>0</v>
      </c>
      <c r="F21" s="31"/>
      <c r="G21" s="74">
        <f t="shared" si="4"/>
        <v>0</v>
      </c>
      <c r="H21" s="74">
        <f t="shared" si="5"/>
        <v>0</v>
      </c>
    </row>
    <row r="22" spans="1:8" ht="19.5" customHeight="1" x14ac:dyDescent="0.25">
      <c r="A22" s="98"/>
      <c r="B22" s="30"/>
      <c r="C22" s="47"/>
      <c r="D22" s="31"/>
      <c r="E22" s="74">
        <f t="shared" si="3"/>
        <v>0</v>
      </c>
      <c r="F22" s="31"/>
      <c r="G22" s="74">
        <f t="shared" si="4"/>
        <v>0</v>
      </c>
      <c r="H22" s="74">
        <f t="shared" si="5"/>
        <v>0</v>
      </c>
    </row>
    <row r="23" spans="1:8" ht="19.5" customHeight="1" x14ac:dyDescent="0.25">
      <c r="A23" s="98"/>
      <c r="B23" s="30"/>
      <c r="C23" s="47"/>
      <c r="D23" s="31"/>
      <c r="E23" s="74">
        <f t="shared" si="3"/>
        <v>0</v>
      </c>
      <c r="F23" s="31"/>
      <c r="G23" s="74">
        <f t="shared" si="4"/>
        <v>0</v>
      </c>
      <c r="H23" s="74">
        <f t="shared" si="5"/>
        <v>0</v>
      </c>
    </row>
    <row r="24" spans="1:8" ht="19.5" customHeight="1" x14ac:dyDescent="0.25">
      <c r="A24" s="98"/>
      <c r="B24" s="30"/>
      <c r="C24" s="47"/>
      <c r="D24" s="31"/>
      <c r="E24" s="74">
        <f t="shared" si="3"/>
        <v>0</v>
      </c>
      <c r="F24" s="31"/>
      <c r="G24" s="74">
        <f t="shared" si="4"/>
        <v>0</v>
      </c>
      <c r="H24" s="74">
        <f t="shared" si="5"/>
        <v>0</v>
      </c>
    </row>
    <row r="25" spans="1:8" ht="19.5" customHeight="1" x14ac:dyDescent="0.3">
      <c r="A25" s="97"/>
      <c r="B25" s="30"/>
      <c r="C25" s="47"/>
      <c r="D25" s="31"/>
      <c r="E25" s="74">
        <f t="shared" si="3"/>
        <v>0</v>
      </c>
      <c r="F25" s="31"/>
      <c r="G25" s="74">
        <f t="shared" si="4"/>
        <v>0</v>
      </c>
      <c r="H25" s="74">
        <f t="shared" si="5"/>
        <v>0</v>
      </c>
    </row>
    <row r="26" spans="1:8" ht="19.5" customHeight="1" x14ac:dyDescent="0.25">
      <c r="A26" s="98"/>
      <c r="B26" s="30"/>
      <c r="C26" s="47"/>
      <c r="D26" s="31"/>
      <c r="E26" s="74">
        <f t="shared" si="3"/>
        <v>0</v>
      </c>
      <c r="F26" s="31"/>
      <c r="G26" s="74">
        <f t="shared" si="4"/>
        <v>0</v>
      </c>
      <c r="H26" s="74">
        <f t="shared" si="5"/>
        <v>0</v>
      </c>
    </row>
    <row r="27" spans="1:8" ht="19.5" customHeight="1" x14ac:dyDescent="0.25">
      <c r="A27" s="98"/>
      <c r="B27" s="30"/>
      <c r="C27" s="47"/>
      <c r="D27" s="31"/>
      <c r="E27" s="74">
        <f t="shared" si="3"/>
        <v>0</v>
      </c>
      <c r="F27" s="31"/>
      <c r="G27" s="74">
        <f t="shared" si="4"/>
        <v>0</v>
      </c>
      <c r="H27" s="74">
        <f t="shared" si="5"/>
        <v>0</v>
      </c>
    </row>
    <row r="28" spans="1:8" ht="19.5" customHeight="1" x14ac:dyDescent="0.25">
      <c r="A28" s="98"/>
      <c r="B28" s="30"/>
      <c r="C28" s="47"/>
      <c r="D28" s="31"/>
      <c r="E28" s="74">
        <f t="shared" si="3"/>
        <v>0</v>
      </c>
      <c r="F28" s="31"/>
      <c r="G28" s="74">
        <f t="shared" si="4"/>
        <v>0</v>
      </c>
      <c r="H28" s="74">
        <f t="shared" si="5"/>
        <v>0</v>
      </c>
    </row>
    <row r="29" spans="1:8" ht="19.5" customHeight="1" x14ac:dyDescent="0.25">
      <c r="A29" s="98"/>
      <c r="B29" s="30"/>
      <c r="C29" s="47"/>
      <c r="D29" s="31"/>
      <c r="E29" s="74">
        <f t="shared" si="3"/>
        <v>0</v>
      </c>
      <c r="F29" s="31"/>
      <c r="G29" s="74">
        <f t="shared" si="4"/>
        <v>0</v>
      </c>
      <c r="H29" s="74">
        <f t="shared" si="5"/>
        <v>0</v>
      </c>
    </row>
    <row r="30" spans="1:8" ht="19.5" customHeight="1" x14ac:dyDescent="0.3">
      <c r="A30" s="97"/>
      <c r="B30" s="30"/>
      <c r="C30" s="47"/>
      <c r="D30" s="31"/>
      <c r="E30" s="74">
        <f t="shared" si="3"/>
        <v>0</v>
      </c>
      <c r="F30" s="31"/>
      <c r="G30" s="74">
        <f t="shared" si="4"/>
        <v>0</v>
      </c>
      <c r="H30" s="74">
        <f t="shared" si="5"/>
        <v>0</v>
      </c>
    </row>
    <row r="31" spans="1:8" ht="19.5" customHeight="1" x14ac:dyDescent="0.25">
      <c r="A31" s="98"/>
      <c r="B31" s="30"/>
      <c r="C31" s="47"/>
      <c r="D31" s="31"/>
      <c r="E31" s="74">
        <f t="shared" si="3"/>
        <v>0</v>
      </c>
      <c r="F31" s="31"/>
      <c r="G31" s="74">
        <f t="shared" si="4"/>
        <v>0</v>
      </c>
      <c r="H31" s="74">
        <f t="shared" si="5"/>
        <v>0</v>
      </c>
    </row>
    <row r="32" spans="1:8" ht="19.5" customHeight="1" x14ac:dyDescent="0.3">
      <c r="A32" s="99"/>
      <c r="B32" s="30"/>
      <c r="C32" s="47"/>
      <c r="D32" s="31"/>
      <c r="E32" s="74">
        <f t="shared" si="3"/>
        <v>0</v>
      </c>
      <c r="F32" s="31"/>
      <c r="G32" s="74">
        <f t="shared" si="4"/>
        <v>0</v>
      </c>
      <c r="H32" s="74">
        <f t="shared" si="5"/>
        <v>0</v>
      </c>
    </row>
    <row r="33" spans="1:10" ht="19.5" customHeight="1" x14ac:dyDescent="0.25">
      <c r="A33" s="98"/>
      <c r="B33" s="30"/>
      <c r="C33" s="47"/>
      <c r="D33" s="31"/>
      <c r="E33" s="74">
        <f t="shared" si="3"/>
        <v>0</v>
      </c>
      <c r="F33" s="31"/>
      <c r="G33" s="74">
        <f t="shared" si="4"/>
        <v>0</v>
      </c>
      <c r="H33" s="74">
        <f t="shared" si="5"/>
        <v>0</v>
      </c>
    </row>
    <row r="34" spans="1:10" ht="19.5" customHeight="1" x14ac:dyDescent="0.25">
      <c r="A34" s="30"/>
      <c r="B34" s="30"/>
      <c r="C34" s="47"/>
      <c r="D34" s="31"/>
      <c r="E34" s="74">
        <f t="shared" si="3"/>
        <v>0</v>
      </c>
      <c r="F34" s="31"/>
      <c r="G34" s="74">
        <f t="shared" si="4"/>
        <v>0</v>
      </c>
      <c r="H34" s="74">
        <f t="shared" si="5"/>
        <v>0</v>
      </c>
    </row>
    <row r="35" spans="1:10" ht="19.5" customHeight="1" x14ac:dyDescent="0.25">
      <c r="A35" s="30"/>
      <c r="B35" s="30"/>
      <c r="C35" s="47"/>
      <c r="D35" s="31"/>
      <c r="E35" s="74">
        <f t="shared" si="3"/>
        <v>0</v>
      </c>
      <c r="F35" s="31"/>
      <c r="G35" s="74">
        <f t="shared" si="4"/>
        <v>0</v>
      </c>
      <c r="H35" s="74">
        <f t="shared" si="5"/>
        <v>0</v>
      </c>
    </row>
    <row r="36" spans="1:10" ht="19.5" customHeight="1" x14ac:dyDescent="0.25">
      <c r="A36" s="30"/>
      <c r="B36" s="30"/>
      <c r="C36" s="47"/>
      <c r="D36" s="31"/>
      <c r="E36" s="74">
        <f t="shared" si="3"/>
        <v>0</v>
      </c>
      <c r="F36" s="31"/>
      <c r="G36" s="74">
        <f t="shared" si="4"/>
        <v>0</v>
      </c>
      <c r="H36" s="74">
        <f t="shared" si="5"/>
        <v>0</v>
      </c>
    </row>
    <row r="37" spans="1:10" ht="19.5" customHeight="1" x14ac:dyDescent="0.25">
      <c r="A37" s="30"/>
      <c r="B37" s="30"/>
      <c r="C37" s="47"/>
      <c r="D37" s="31"/>
      <c r="E37" s="74">
        <f t="shared" si="3"/>
        <v>0</v>
      </c>
      <c r="F37" s="31"/>
      <c r="G37" s="74">
        <f t="shared" si="4"/>
        <v>0</v>
      </c>
      <c r="H37" s="74">
        <f t="shared" si="5"/>
        <v>0</v>
      </c>
    </row>
    <row r="38" spans="1:10" ht="19.5" customHeight="1" x14ac:dyDescent="0.25">
      <c r="A38" s="30"/>
      <c r="B38" s="30"/>
      <c r="C38" s="47"/>
      <c r="D38" s="31"/>
      <c r="E38" s="74">
        <f t="shared" si="3"/>
        <v>0</v>
      </c>
      <c r="F38" s="31"/>
      <c r="G38" s="74">
        <f t="shared" si="4"/>
        <v>0</v>
      </c>
      <c r="H38" s="74">
        <f t="shared" si="5"/>
        <v>0</v>
      </c>
    </row>
    <row r="39" spans="1:10" ht="19.5" customHeight="1" x14ac:dyDescent="0.25">
      <c r="A39" s="30"/>
      <c r="B39" s="30"/>
      <c r="C39" s="47"/>
      <c r="D39" s="31"/>
      <c r="E39" s="74">
        <f t="shared" si="3"/>
        <v>0</v>
      </c>
      <c r="F39" s="31"/>
      <c r="G39" s="74">
        <f t="shared" si="4"/>
        <v>0</v>
      </c>
      <c r="H39" s="74">
        <f t="shared" si="5"/>
        <v>0</v>
      </c>
    </row>
    <row r="40" spans="1:10" ht="19.5" customHeight="1" x14ac:dyDescent="0.25">
      <c r="A40" s="30"/>
      <c r="B40" s="30"/>
      <c r="C40" s="47"/>
      <c r="D40" s="31"/>
      <c r="E40" s="74">
        <f t="shared" si="3"/>
        <v>0</v>
      </c>
      <c r="F40" s="31"/>
      <c r="G40" s="74">
        <f t="shared" si="4"/>
        <v>0</v>
      </c>
      <c r="H40" s="74">
        <f t="shared" si="5"/>
        <v>0</v>
      </c>
    </row>
    <row r="41" spans="1:10" ht="19.5" customHeight="1" x14ac:dyDescent="0.25">
      <c r="A41" s="30"/>
      <c r="B41" s="30"/>
      <c r="C41" s="47"/>
      <c r="D41" s="31"/>
      <c r="E41" s="74">
        <f t="shared" si="3"/>
        <v>0</v>
      </c>
      <c r="F41" s="31"/>
      <c r="G41" s="74">
        <f t="shared" si="4"/>
        <v>0</v>
      </c>
      <c r="H41" s="74">
        <f t="shared" si="5"/>
        <v>0</v>
      </c>
    </row>
    <row r="42" spans="1:10" ht="19.5" customHeight="1" x14ac:dyDescent="0.25">
      <c r="A42" s="30"/>
      <c r="B42" s="30"/>
      <c r="C42" s="47"/>
      <c r="D42" s="31"/>
      <c r="E42" s="74">
        <f t="shared" si="3"/>
        <v>0</v>
      </c>
      <c r="F42" s="31"/>
      <c r="G42" s="74">
        <f t="shared" si="4"/>
        <v>0</v>
      </c>
      <c r="H42" s="74">
        <f t="shared" si="5"/>
        <v>0</v>
      </c>
    </row>
    <row r="43" spans="1:10" ht="19.5" customHeight="1" x14ac:dyDescent="0.25">
      <c r="A43" s="30"/>
      <c r="B43" s="30"/>
      <c r="C43" s="47"/>
      <c r="D43" s="31"/>
      <c r="E43" s="74">
        <f t="shared" si="3"/>
        <v>0</v>
      </c>
      <c r="F43" s="31"/>
      <c r="G43" s="74">
        <f t="shared" si="4"/>
        <v>0</v>
      </c>
      <c r="H43" s="74">
        <f t="shared" si="5"/>
        <v>0</v>
      </c>
    </row>
    <row r="44" spans="1:10" ht="19.5" customHeight="1" x14ac:dyDescent="0.25">
      <c r="A44" s="30"/>
      <c r="B44" s="30"/>
      <c r="C44" s="31"/>
      <c r="D44" s="31"/>
      <c r="E44" s="74">
        <f t="shared" si="3"/>
        <v>0</v>
      </c>
      <c r="F44" s="31"/>
      <c r="G44" s="74">
        <f t="shared" si="4"/>
        <v>0</v>
      </c>
      <c r="H44" s="74">
        <f t="shared" si="5"/>
        <v>0</v>
      </c>
    </row>
    <row r="45" spans="1:10" ht="19.5" customHeight="1" x14ac:dyDescent="0.3">
      <c r="A45" s="29" t="s">
        <v>127</v>
      </c>
      <c r="B45" s="30"/>
      <c r="C45" s="31"/>
      <c r="D45" s="31"/>
      <c r="E45" s="74">
        <f>SUM(E14:E44)</f>
        <v>0</v>
      </c>
      <c r="F45" s="31"/>
      <c r="G45" s="74">
        <f t="shared" si="4"/>
        <v>0</v>
      </c>
      <c r="H45" s="53"/>
    </row>
    <row r="46" spans="1:10" ht="19.5" customHeight="1" x14ac:dyDescent="0.3">
      <c r="A46" s="29" t="s">
        <v>104</v>
      </c>
      <c r="B46" s="30"/>
      <c r="C46" s="31"/>
      <c r="D46" s="31"/>
      <c r="E46" s="41"/>
      <c r="F46" s="31"/>
      <c r="G46" s="41"/>
      <c r="H46" s="74">
        <f>E45+G45</f>
        <v>0</v>
      </c>
      <c r="J46" s="10"/>
    </row>
    <row r="47" spans="1:10" ht="19.5" customHeight="1" x14ac:dyDescent="0.35">
      <c r="A47" s="29" t="s">
        <v>128</v>
      </c>
      <c r="B47" s="30"/>
      <c r="C47" s="31"/>
      <c r="D47" s="31"/>
      <c r="E47" s="31"/>
      <c r="F47" s="31"/>
      <c r="G47" s="93">
        <f>Summary!G20</f>
        <v>0</v>
      </c>
      <c r="H47" s="74">
        <f>SUM(H46*G47)</f>
        <v>0</v>
      </c>
    </row>
    <row r="48" spans="1:10" ht="19.5" customHeight="1" x14ac:dyDescent="0.35">
      <c r="A48" s="29" t="s">
        <v>129</v>
      </c>
      <c r="B48" s="30"/>
      <c r="C48" s="31"/>
      <c r="D48" s="31"/>
      <c r="E48" s="31"/>
      <c r="F48" s="31"/>
      <c r="G48" s="93">
        <f>Summary!G21</f>
        <v>0</v>
      </c>
      <c r="H48" s="74">
        <f>SUM(H46+H47)*G48</f>
        <v>0</v>
      </c>
    </row>
    <row r="49" spans="1:9" ht="19.5" customHeight="1" x14ac:dyDescent="0.35">
      <c r="A49" s="29" t="s">
        <v>130</v>
      </c>
      <c r="B49" s="30"/>
      <c r="C49" s="31"/>
      <c r="D49" s="31"/>
      <c r="E49" s="31"/>
      <c r="F49" s="31"/>
      <c r="G49" s="93">
        <f>Summary!G22</f>
        <v>0</v>
      </c>
      <c r="H49" s="74">
        <f>SUM(G45*G49)</f>
        <v>0</v>
      </c>
    </row>
    <row r="50" spans="1:9" ht="19.5" customHeight="1" thickBot="1" x14ac:dyDescent="0.35">
      <c r="A50" s="34" t="s">
        <v>124</v>
      </c>
      <c r="B50" s="32"/>
      <c r="C50" s="33"/>
      <c r="D50" s="33"/>
      <c r="E50" s="33"/>
      <c r="F50" s="33"/>
      <c r="G50" s="33"/>
      <c r="H50" s="75">
        <f>SUM(H46:H49)</f>
        <v>0</v>
      </c>
    </row>
    <row r="51" spans="1:9" ht="12.75" customHeight="1" thickTop="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12.75" customHeight="1" x14ac:dyDescent="0.25">
      <c r="A73" s="35"/>
      <c r="B73" s="35"/>
      <c r="C73" s="36"/>
      <c r="D73" s="36"/>
      <c r="E73" s="36"/>
      <c r="F73" s="36"/>
      <c r="G73" s="36"/>
      <c r="H73" s="36"/>
      <c r="I73" s="35"/>
    </row>
    <row r="74" spans="1:9" ht="12.75" customHeight="1" x14ac:dyDescent="0.25">
      <c r="A74" s="35"/>
      <c r="B74" s="35"/>
      <c r="C74" s="36"/>
      <c r="D74" s="36"/>
      <c r="E74" s="36"/>
      <c r="F74" s="36"/>
      <c r="G74" s="36"/>
      <c r="H74" s="36"/>
      <c r="I74" s="35"/>
    </row>
    <row r="75" spans="1:9" ht="12.75" customHeight="1" x14ac:dyDescent="0.25">
      <c r="A75" s="35"/>
      <c r="B75" s="35"/>
      <c r="C75" s="36"/>
      <c r="D75" s="36"/>
      <c r="E75" s="36"/>
      <c r="F75" s="36"/>
      <c r="G75" s="36"/>
      <c r="H75" s="36"/>
      <c r="I75" s="35"/>
    </row>
    <row r="76" spans="1:9" ht="12.75" customHeight="1" x14ac:dyDescent="0.25">
      <c r="A76" s="35"/>
      <c r="B76" s="35"/>
      <c r="C76" s="36"/>
      <c r="D76" s="36"/>
      <c r="E76" s="36"/>
      <c r="F76" s="36"/>
      <c r="G76" s="36"/>
      <c r="H76" s="36"/>
      <c r="I76" s="35"/>
    </row>
    <row r="77" spans="1:9" ht="12.75" customHeight="1" x14ac:dyDescent="0.25">
      <c r="A77" s="35"/>
      <c r="B77" s="35"/>
      <c r="C77" s="36"/>
      <c r="D77" s="36"/>
      <c r="E77" s="36"/>
      <c r="F77" s="36"/>
      <c r="G77" s="36"/>
      <c r="H77" s="36"/>
      <c r="I77" s="35"/>
    </row>
    <row r="78" spans="1:9" ht="12.75" customHeight="1" x14ac:dyDescent="0.25">
      <c r="A78" s="35"/>
      <c r="B78" s="35"/>
      <c r="C78" s="36"/>
      <c r="D78" s="36"/>
      <c r="E78" s="36"/>
      <c r="F78" s="36"/>
      <c r="G78" s="36"/>
      <c r="H78" s="36"/>
      <c r="I78" s="35"/>
    </row>
    <row r="79" spans="1:9" ht="12.75"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20.149999999999999" customHeight="1" x14ac:dyDescent="0.25">
      <c r="A124" s="35"/>
      <c r="B124" s="35"/>
      <c r="C124" s="36"/>
      <c r="D124" s="36"/>
      <c r="E124" s="36"/>
      <c r="F124" s="36"/>
      <c r="G124" s="36"/>
      <c r="H124" s="36"/>
      <c r="I124" s="35"/>
    </row>
    <row r="125" spans="1:9" ht="20.149999999999999" customHeight="1" x14ac:dyDescent="0.25">
      <c r="A125" s="35"/>
      <c r="B125" s="35"/>
      <c r="C125" s="36"/>
      <c r="D125" s="36"/>
      <c r="E125" s="36"/>
      <c r="F125" s="36"/>
      <c r="G125" s="36"/>
      <c r="H125" s="36"/>
      <c r="I125" s="35"/>
    </row>
    <row r="126" spans="1:9" ht="20.149999999999999" customHeight="1" x14ac:dyDescent="0.25">
      <c r="A126" s="35"/>
      <c r="B126" s="35"/>
      <c r="C126" s="36"/>
      <c r="D126" s="36"/>
      <c r="E126" s="36"/>
      <c r="F126" s="36"/>
      <c r="G126" s="36"/>
      <c r="H126" s="36"/>
      <c r="I126" s="35"/>
    </row>
    <row r="127" spans="1:9" ht="20.149999999999999" customHeight="1" x14ac:dyDescent="0.25">
      <c r="A127" s="35"/>
      <c r="B127" s="35"/>
      <c r="C127" s="36"/>
      <c r="D127" s="36"/>
      <c r="E127" s="36"/>
      <c r="F127" s="36"/>
      <c r="G127" s="36"/>
      <c r="H127" s="36"/>
      <c r="I127" s="35"/>
    </row>
    <row r="128" spans="1:9" ht="20.149999999999999" customHeight="1" x14ac:dyDescent="0.25">
      <c r="A128" s="35"/>
      <c r="B128" s="35"/>
      <c r="C128" s="36"/>
      <c r="D128" s="36"/>
      <c r="E128" s="36"/>
      <c r="F128" s="36"/>
      <c r="G128" s="36"/>
      <c r="H128" s="36"/>
      <c r="I128" s="35"/>
    </row>
    <row r="129" spans="1:9" ht="20.149999999999999" customHeight="1" x14ac:dyDescent="0.25">
      <c r="A129" s="35"/>
      <c r="B129" s="35"/>
      <c r="C129" s="36"/>
      <c r="D129" s="36"/>
      <c r="E129" s="36"/>
      <c r="F129" s="36"/>
      <c r="G129" s="36"/>
      <c r="H129" s="36"/>
      <c r="I129" s="35"/>
    </row>
    <row r="130" spans="1:9" ht="20.149999999999999" customHeight="1"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A210" s="35"/>
      <c r="B210" s="35"/>
      <c r="C210" s="36"/>
      <c r="D210" s="36"/>
      <c r="E210" s="36"/>
      <c r="F210" s="36"/>
      <c r="G210" s="36"/>
      <c r="H210" s="36"/>
      <c r="I210" s="35"/>
    </row>
    <row r="211" spans="1:9" ht="12.5" x14ac:dyDescent="0.25">
      <c r="A211" s="35"/>
      <c r="B211" s="35"/>
      <c r="C211" s="36"/>
      <c r="D211" s="36"/>
      <c r="E211" s="36"/>
      <c r="F211" s="36"/>
      <c r="G211" s="36"/>
      <c r="H211" s="36"/>
      <c r="I211" s="35"/>
    </row>
    <row r="212" spans="1:9" ht="12.5" x14ac:dyDescent="0.25">
      <c r="A212" s="35"/>
      <c r="B212" s="35"/>
      <c r="C212" s="36"/>
      <c r="D212" s="36"/>
      <c r="E212" s="36"/>
      <c r="F212" s="36"/>
      <c r="G212" s="36"/>
      <c r="H212" s="36"/>
      <c r="I212" s="35"/>
    </row>
    <row r="213" spans="1:9" ht="12.5" x14ac:dyDescent="0.25">
      <c r="A213" s="35"/>
      <c r="B213" s="35"/>
      <c r="C213" s="36"/>
      <c r="D213" s="36"/>
      <c r="E213" s="36"/>
      <c r="F213" s="36"/>
      <c r="G213" s="36"/>
      <c r="H213" s="36"/>
      <c r="I213" s="35"/>
    </row>
    <row r="214" spans="1:9" ht="12.5" x14ac:dyDescent="0.25">
      <c r="A214" s="35"/>
      <c r="B214" s="35"/>
      <c r="C214" s="36"/>
      <c r="D214" s="36"/>
      <c r="E214" s="36"/>
      <c r="F214" s="36"/>
      <c r="G214" s="36"/>
      <c r="H214" s="36"/>
      <c r="I214" s="35"/>
    </row>
    <row r="215" spans="1:9" ht="12.5" x14ac:dyDescent="0.25">
      <c r="A215" s="35"/>
      <c r="B215" s="35"/>
      <c r="C215" s="36"/>
      <c r="D215" s="36"/>
      <c r="E215" s="36"/>
      <c r="F215" s="36"/>
      <c r="G215" s="36"/>
      <c r="H215" s="36"/>
      <c r="I215" s="35"/>
    </row>
    <row r="216" spans="1:9" ht="12.5" x14ac:dyDescent="0.25">
      <c r="A216" s="35"/>
      <c r="B216" s="35"/>
      <c r="C216" s="36"/>
      <c r="D216" s="36"/>
      <c r="E216" s="36"/>
      <c r="F216" s="36"/>
      <c r="G216" s="36"/>
      <c r="H216" s="36"/>
      <c r="I216" s="35"/>
    </row>
    <row r="217" spans="1:9" ht="12.5" x14ac:dyDescent="0.25">
      <c r="A217" s="35"/>
      <c r="B217" s="35"/>
      <c r="C217" s="36"/>
      <c r="D217" s="36"/>
      <c r="E217" s="36"/>
      <c r="F217" s="36"/>
      <c r="G217" s="36"/>
      <c r="H217" s="36"/>
      <c r="I217" s="35"/>
    </row>
  </sheetData>
  <mergeCells count="2">
    <mergeCell ref="D8:E8"/>
    <mergeCell ref="A1:C2"/>
  </mergeCells>
  <phoneticPr fontId="0" type="noConversion"/>
  <printOptions horizontalCentered="1" verticalCentered="1" gridLinesSet="0"/>
  <pageMargins left="0.25" right="0.25" top="0.75" bottom="0.75" header="0.3" footer="0.3"/>
  <pageSetup scale="77" orientation="portrait" horizontalDpi="1200" vertic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209"/>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48.179687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142" t="str">
        <f>Summary!D9</f>
        <v>FTFA 23VH26</v>
      </c>
      <c r="E8" s="143"/>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Summary!B15</f>
        <v>CONCRETE WORK</v>
      </c>
      <c r="B13" s="30"/>
      <c r="C13" s="31"/>
      <c r="D13" s="31"/>
      <c r="E13" s="31"/>
      <c r="F13" s="31"/>
      <c r="G13" s="31"/>
      <c r="H13" s="31"/>
    </row>
    <row r="14" spans="1:9" ht="19.5" customHeight="1" x14ac:dyDescent="0.3">
      <c r="A14" s="97"/>
      <c r="B14" s="30"/>
      <c r="C14" s="31"/>
      <c r="D14" s="31"/>
      <c r="E14" s="74">
        <f t="shared" ref="E14:E23" si="0">B14*D14</f>
        <v>0</v>
      </c>
      <c r="F14" s="31"/>
      <c r="G14" s="74">
        <f t="shared" ref="G14:G23" si="1">B14*F14</f>
        <v>0</v>
      </c>
      <c r="H14" s="74">
        <f t="shared" ref="H14:H23" si="2">E14+G14</f>
        <v>0</v>
      </c>
    </row>
    <row r="15" spans="1:9" ht="19.5" customHeight="1" x14ac:dyDescent="0.25">
      <c r="A15" s="30"/>
      <c r="B15" s="30"/>
      <c r="C15" s="31"/>
      <c r="D15" s="31"/>
      <c r="E15" s="74">
        <f t="shared" si="0"/>
        <v>0</v>
      </c>
      <c r="F15" s="31"/>
      <c r="G15" s="74">
        <f t="shared" si="1"/>
        <v>0</v>
      </c>
      <c r="H15" s="74">
        <f t="shared" si="2"/>
        <v>0</v>
      </c>
    </row>
    <row r="16" spans="1:9" ht="19.5" customHeight="1" x14ac:dyDescent="0.25">
      <c r="A16" s="52"/>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25">
      <c r="A18" s="30"/>
      <c r="B18" s="30"/>
      <c r="C18" s="31"/>
      <c r="D18" s="31"/>
      <c r="E18" s="74">
        <f t="shared" si="0"/>
        <v>0</v>
      </c>
      <c r="F18" s="31"/>
      <c r="G18" s="74">
        <f t="shared" si="1"/>
        <v>0</v>
      </c>
      <c r="H18" s="74">
        <f t="shared" si="2"/>
        <v>0</v>
      </c>
    </row>
    <row r="19" spans="1:8" ht="19.5" customHeight="1" x14ac:dyDescent="0.25">
      <c r="A19" s="30"/>
      <c r="B19" s="30"/>
      <c r="C19" s="31"/>
      <c r="D19" s="31"/>
      <c r="E19" s="74">
        <f t="shared" si="0"/>
        <v>0</v>
      </c>
      <c r="F19" s="31"/>
      <c r="G19" s="74">
        <f t="shared" si="1"/>
        <v>0</v>
      </c>
      <c r="H19" s="74">
        <f t="shared" si="2"/>
        <v>0</v>
      </c>
    </row>
    <row r="20" spans="1:8" ht="19.5" customHeight="1" x14ac:dyDescent="0.25">
      <c r="A20" s="30"/>
      <c r="B20" s="30"/>
      <c r="C20" s="31"/>
      <c r="D20" s="31"/>
      <c r="E20" s="74">
        <f t="shared" si="0"/>
        <v>0</v>
      </c>
      <c r="F20" s="31"/>
      <c r="G20" s="74">
        <f t="shared" si="1"/>
        <v>0</v>
      </c>
      <c r="H20" s="74">
        <f t="shared" si="2"/>
        <v>0</v>
      </c>
    </row>
    <row r="21" spans="1:8" ht="19.5" customHeight="1" x14ac:dyDescent="0.3">
      <c r="A21" s="97"/>
      <c r="B21" s="30"/>
      <c r="C21" s="31"/>
      <c r="D21" s="31"/>
      <c r="E21" s="74">
        <f t="shared" si="0"/>
        <v>0</v>
      </c>
      <c r="F21" s="31"/>
      <c r="G21" s="74">
        <f t="shared" si="1"/>
        <v>0</v>
      </c>
      <c r="H21" s="74">
        <f t="shared" si="2"/>
        <v>0</v>
      </c>
    </row>
    <row r="22" spans="1:8" ht="19.5" customHeight="1" x14ac:dyDescent="0.25">
      <c r="A22" s="30"/>
      <c r="B22" s="30"/>
      <c r="C22" s="31"/>
      <c r="D22" s="31"/>
      <c r="E22" s="74">
        <f t="shared" si="0"/>
        <v>0</v>
      </c>
      <c r="F22" s="31"/>
      <c r="G22" s="74">
        <f t="shared" si="1"/>
        <v>0</v>
      </c>
      <c r="H22" s="74">
        <f t="shared" si="2"/>
        <v>0</v>
      </c>
    </row>
    <row r="23" spans="1:8" ht="19.5" customHeight="1" x14ac:dyDescent="0.25">
      <c r="A23" s="30"/>
      <c r="B23" s="30"/>
      <c r="C23" s="31"/>
      <c r="D23" s="31"/>
      <c r="E23" s="74">
        <f t="shared" si="0"/>
        <v>0</v>
      </c>
      <c r="F23" s="31"/>
      <c r="G23" s="74">
        <f t="shared" si="1"/>
        <v>0</v>
      </c>
      <c r="H23" s="74">
        <f t="shared" si="2"/>
        <v>0</v>
      </c>
    </row>
    <row r="24" spans="1:8" ht="19.5" customHeight="1" x14ac:dyDescent="0.3">
      <c r="A24" s="97"/>
      <c r="B24" s="30"/>
      <c r="C24" s="31"/>
      <c r="D24" s="31"/>
      <c r="E24" s="74">
        <f t="shared" ref="E24:E30" si="3">B24*D24</f>
        <v>0</v>
      </c>
      <c r="F24" s="31"/>
      <c r="G24" s="74">
        <f t="shared" ref="G24:G30" si="4">B24*F24</f>
        <v>0</v>
      </c>
      <c r="H24" s="74">
        <f t="shared" ref="H24:H30" si="5">E24+G24</f>
        <v>0</v>
      </c>
    </row>
    <row r="25" spans="1:8" ht="19.5" customHeight="1" x14ac:dyDescent="0.25">
      <c r="A25" s="30"/>
      <c r="B25" s="30"/>
      <c r="C25" s="31"/>
      <c r="D25" s="31"/>
      <c r="E25" s="74">
        <f t="shared" si="3"/>
        <v>0</v>
      </c>
      <c r="F25" s="31"/>
      <c r="G25" s="74">
        <f t="shared" si="4"/>
        <v>0</v>
      </c>
      <c r="H25" s="74">
        <f t="shared" si="5"/>
        <v>0</v>
      </c>
    </row>
    <row r="26" spans="1:8" ht="19.5" customHeight="1" x14ac:dyDescent="0.25">
      <c r="A26" s="30"/>
      <c r="B26" s="30"/>
      <c r="C26" s="31"/>
      <c r="D26" s="31"/>
      <c r="E26" s="74">
        <f t="shared" si="3"/>
        <v>0</v>
      </c>
      <c r="F26" s="31"/>
      <c r="G26" s="74">
        <f t="shared" si="4"/>
        <v>0</v>
      </c>
      <c r="H26" s="74">
        <f t="shared" si="5"/>
        <v>0</v>
      </c>
    </row>
    <row r="27" spans="1:8" ht="19.5" customHeight="1" x14ac:dyDescent="0.25">
      <c r="A27" s="30"/>
      <c r="B27" s="30"/>
      <c r="C27" s="31"/>
      <c r="D27" s="31"/>
      <c r="E27" s="74">
        <f t="shared" si="3"/>
        <v>0</v>
      </c>
      <c r="F27" s="31"/>
      <c r="G27" s="74">
        <f t="shared" si="4"/>
        <v>0</v>
      </c>
      <c r="H27" s="74">
        <f t="shared" si="5"/>
        <v>0</v>
      </c>
    </row>
    <row r="28" spans="1:8" ht="19.5" customHeight="1" x14ac:dyDescent="0.3">
      <c r="A28" s="97"/>
      <c r="B28" s="30"/>
      <c r="C28" s="31"/>
      <c r="D28" s="31"/>
      <c r="E28" s="74">
        <f t="shared" si="3"/>
        <v>0</v>
      </c>
      <c r="F28" s="31"/>
      <c r="G28" s="74">
        <f t="shared" si="4"/>
        <v>0</v>
      </c>
      <c r="H28" s="74">
        <f t="shared" si="5"/>
        <v>0</v>
      </c>
    </row>
    <row r="29" spans="1:8" ht="19.5" customHeight="1" x14ac:dyDescent="0.25">
      <c r="A29" s="30"/>
      <c r="B29" s="30"/>
      <c r="C29" s="31"/>
      <c r="D29" s="31"/>
      <c r="E29" s="74">
        <f t="shared" si="3"/>
        <v>0</v>
      </c>
      <c r="F29" s="31"/>
      <c r="G29" s="74">
        <f t="shared" si="4"/>
        <v>0</v>
      </c>
      <c r="H29" s="74">
        <f t="shared" si="5"/>
        <v>0</v>
      </c>
    </row>
    <row r="30" spans="1:8" ht="19.5" customHeight="1" x14ac:dyDescent="0.25">
      <c r="A30" s="30"/>
      <c r="B30" s="30"/>
      <c r="C30" s="31"/>
      <c r="D30" s="31"/>
      <c r="E30" s="74">
        <f t="shared" si="3"/>
        <v>0</v>
      </c>
      <c r="F30" s="31"/>
      <c r="G30" s="74">
        <f t="shared" si="4"/>
        <v>0</v>
      </c>
      <c r="H30" s="74">
        <f t="shared" si="5"/>
        <v>0</v>
      </c>
    </row>
    <row r="31" spans="1:8" ht="19.5" customHeight="1" x14ac:dyDescent="0.25">
      <c r="A31" s="30"/>
      <c r="B31" s="30"/>
      <c r="C31" s="31"/>
      <c r="D31" s="31"/>
      <c r="E31" s="74">
        <f t="shared" ref="E31:E36" si="6">B31*D31</f>
        <v>0</v>
      </c>
      <c r="F31" s="31"/>
      <c r="G31" s="74">
        <f t="shared" ref="G31:G36" si="7">B31*F31</f>
        <v>0</v>
      </c>
      <c r="H31" s="74">
        <f t="shared" ref="H31:H36" si="8">E31+G31</f>
        <v>0</v>
      </c>
    </row>
    <row r="32" spans="1:8" ht="19.5" customHeight="1" x14ac:dyDescent="0.25">
      <c r="A32" s="30"/>
      <c r="B32" s="30"/>
      <c r="C32" s="31"/>
      <c r="D32" s="31"/>
      <c r="E32" s="74">
        <f t="shared" si="6"/>
        <v>0</v>
      </c>
      <c r="F32" s="31"/>
      <c r="G32" s="74">
        <f t="shared" si="7"/>
        <v>0</v>
      </c>
      <c r="H32" s="74">
        <f t="shared" si="8"/>
        <v>0</v>
      </c>
    </row>
    <row r="33" spans="1:10" ht="19.5" customHeight="1" x14ac:dyDescent="0.25">
      <c r="A33" s="30"/>
      <c r="B33" s="30"/>
      <c r="C33" s="31"/>
      <c r="D33" s="31"/>
      <c r="E33" s="74">
        <f t="shared" si="6"/>
        <v>0</v>
      </c>
      <c r="F33" s="31"/>
      <c r="G33" s="74">
        <f t="shared" si="7"/>
        <v>0</v>
      </c>
      <c r="H33" s="74">
        <f t="shared" si="8"/>
        <v>0</v>
      </c>
    </row>
    <row r="34" spans="1:10" ht="19.5" customHeight="1" x14ac:dyDescent="0.25">
      <c r="A34" s="30"/>
      <c r="B34" s="30"/>
      <c r="C34" s="31"/>
      <c r="D34" s="31"/>
      <c r="E34" s="74">
        <f>B34*D34</f>
        <v>0</v>
      </c>
      <c r="F34" s="31"/>
      <c r="G34" s="74">
        <f>B34*F34</f>
        <v>0</v>
      </c>
      <c r="H34" s="74">
        <f t="shared" si="8"/>
        <v>0</v>
      </c>
    </row>
    <row r="35" spans="1:10" ht="19.5" customHeight="1" x14ac:dyDescent="0.25">
      <c r="A35" s="30"/>
      <c r="B35" s="30"/>
      <c r="C35" s="31"/>
      <c r="D35" s="31"/>
      <c r="E35" s="74">
        <f t="shared" si="6"/>
        <v>0</v>
      </c>
      <c r="F35" s="31"/>
      <c r="G35" s="74">
        <f t="shared" si="7"/>
        <v>0</v>
      </c>
      <c r="H35" s="74">
        <f t="shared" si="8"/>
        <v>0</v>
      </c>
    </row>
    <row r="36" spans="1:10" ht="19.5" customHeight="1" x14ac:dyDescent="0.25">
      <c r="A36" s="30"/>
      <c r="B36" s="30"/>
      <c r="C36" s="31"/>
      <c r="D36" s="31"/>
      <c r="E36" s="74">
        <f t="shared" si="6"/>
        <v>0</v>
      </c>
      <c r="F36" s="31"/>
      <c r="G36" s="74">
        <f t="shared" si="7"/>
        <v>0</v>
      </c>
      <c r="H36" s="74">
        <f t="shared" si="8"/>
        <v>0</v>
      </c>
    </row>
    <row r="37" spans="1:10" ht="19.5" customHeight="1" x14ac:dyDescent="0.3">
      <c r="A37" s="29" t="s">
        <v>127</v>
      </c>
      <c r="B37" s="30"/>
      <c r="C37" s="31"/>
      <c r="D37" s="31"/>
      <c r="E37" s="74">
        <f>SUM(E14:E36)</f>
        <v>0</v>
      </c>
      <c r="F37" s="31"/>
      <c r="G37" s="74">
        <f>SUM(G14:G36)</f>
        <v>0</v>
      </c>
      <c r="H37" s="53"/>
      <c r="I37" s="10"/>
    </row>
    <row r="38" spans="1:10" ht="19.5" customHeight="1" x14ac:dyDescent="0.3">
      <c r="A38" s="29" t="s">
        <v>104</v>
      </c>
      <c r="B38" s="30"/>
      <c r="C38" s="31"/>
      <c r="D38" s="31"/>
      <c r="E38" s="41"/>
      <c r="F38" s="31"/>
      <c r="G38" s="41"/>
      <c r="H38" s="74">
        <f>E37+G37</f>
        <v>0</v>
      </c>
      <c r="J38" s="10"/>
    </row>
    <row r="39" spans="1:10" ht="19.5" customHeight="1" x14ac:dyDescent="0.35">
      <c r="A39" s="29" t="s">
        <v>128</v>
      </c>
      <c r="B39" s="30"/>
      <c r="C39" s="31"/>
      <c r="D39" s="31"/>
      <c r="E39" s="31"/>
      <c r="F39" s="31"/>
      <c r="G39" s="93">
        <f>Summary!G20</f>
        <v>0</v>
      </c>
      <c r="H39" s="74">
        <f>SUM(H38*G39)</f>
        <v>0</v>
      </c>
    </row>
    <row r="40" spans="1:10" ht="19.5" customHeight="1" x14ac:dyDescent="0.35">
      <c r="A40" s="29" t="s">
        <v>129</v>
      </c>
      <c r="B40" s="30"/>
      <c r="C40" s="31"/>
      <c r="D40" s="31"/>
      <c r="E40" s="31"/>
      <c r="F40" s="31"/>
      <c r="G40" s="93">
        <f>Summary!G21</f>
        <v>0</v>
      </c>
      <c r="H40" s="74">
        <f>SUM(H38+H39)*G40</f>
        <v>0</v>
      </c>
    </row>
    <row r="41" spans="1:10" ht="19.5" customHeight="1" x14ac:dyDescent="0.35">
      <c r="A41" s="29" t="s">
        <v>130</v>
      </c>
      <c r="B41" s="30"/>
      <c r="C41" s="31"/>
      <c r="D41" s="31"/>
      <c r="E41" s="31"/>
      <c r="F41" s="31"/>
      <c r="G41" s="93">
        <f>Summary!G22</f>
        <v>0</v>
      </c>
      <c r="H41" s="74">
        <f>SUM(G37*G41)</f>
        <v>0</v>
      </c>
    </row>
    <row r="42" spans="1:10" ht="19.5" customHeight="1" thickBot="1" x14ac:dyDescent="0.35">
      <c r="A42" s="34" t="s">
        <v>124</v>
      </c>
      <c r="B42" s="32"/>
      <c r="C42" s="33"/>
      <c r="D42" s="33"/>
      <c r="E42" s="33"/>
      <c r="F42" s="33"/>
      <c r="G42" s="33"/>
      <c r="H42" s="75">
        <f>SUM(H38:H41)</f>
        <v>0</v>
      </c>
    </row>
    <row r="43" spans="1:10" ht="12.75" customHeight="1" thickTop="1" x14ac:dyDescent="0.25">
      <c r="A43" s="35"/>
      <c r="B43" s="35"/>
      <c r="C43" s="36"/>
      <c r="D43" s="36"/>
      <c r="E43" s="36"/>
      <c r="F43" s="36"/>
      <c r="G43" s="36"/>
      <c r="H43" s="36"/>
      <c r="I43" s="35"/>
    </row>
    <row r="44" spans="1:10" ht="12.75" customHeight="1" x14ac:dyDescent="0.25">
      <c r="A44" s="35"/>
      <c r="B44" s="35"/>
      <c r="C44" s="36"/>
      <c r="D44" s="36"/>
      <c r="E44" s="36"/>
      <c r="F44" s="36"/>
      <c r="G44" s="36"/>
      <c r="H44" s="36"/>
      <c r="I44" s="35"/>
    </row>
    <row r="45" spans="1:10" ht="12.75" customHeight="1" x14ac:dyDescent="0.25">
      <c r="A45" s="35"/>
      <c r="B45" s="35"/>
      <c r="C45" s="36"/>
      <c r="D45" s="36"/>
      <c r="E45" s="36"/>
      <c r="F45" s="36"/>
      <c r="G45" s="36"/>
      <c r="H45" s="36"/>
      <c r="I45" s="35"/>
    </row>
    <row r="46" spans="1:10" ht="12.75" customHeight="1" x14ac:dyDescent="0.25">
      <c r="A46" s="35"/>
      <c r="B46" s="35"/>
      <c r="C46" s="36"/>
      <c r="D46" s="36"/>
      <c r="E46" s="36"/>
      <c r="F46" s="36"/>
      <c r="G46" s="36"/>
      <c r="H46" s="36"/>
      <c r="I46" s="35"/>
    </row>
    <row r="47" spans="1:10" ht="12.75" customHeight="1" x14ac:dyDescent="0.25">
      <c r="A47" s="35"/>
      <c r="B47" s="35"/>
      <c r="C47" s="36"/>
      <c r="D47" s="36"/>
      <c r="E47" s="36"/>
      <c r="F47" s="36"/>
      <c r="G47" s="36"/>
      <c r="H47" s="36"/>
      <c r="I47" s="35"/>
    </row>
    <row r="48" spans="1:10"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sheetData>
  <mergeCells count="2">
    <mergeCell ref="D8:E8"/>
    <mergeCell ref="A1:C2"/>
  </mergeCells>
  <phoneticPr fontId="0" type="noConversion"/>
  <printOptions horizontalCentered="1" verticalCentered="1" gridLinesSet="0"/>
  <pageMargins left="0.25" right="0.25" top="0.75" bottom="0.75" header="0.3" footer="0.3"/>
  <pageSetup scale="79" orientation="portrait" horizontalDpi="1200" vertic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210"/>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90"/>
      <c r="D8" s="91" t="str">
        <f>Summary!D9</f>
        <v>FTFA 23VH26</v>
      </c>
      <c r="E8" s="92"/>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Summary!B16</f>
        <v>MASONRY</v>
      </c>
      <c r="B13" s="30"/>
      <c r="C13" s="31"/>
      <c r="D13" s="31"/>
      <c r="E13" s="31"/>
      <c r="F13" s="31"/>
      <c r="G13" s="31"/>
      <c r="H13" s="31"/>
    </row>
    <row r="14" spans="1:9" ht="19.5" customHeight="1" x14ac:dyDescent="0.25">
      <c r="A14" s="30"/>
      <c r="B14" s="46"/>
      <c r="C14" s="47"/>
      <c r="D14" s="31"/>
      <c r="E14" s="74">
        <f t="shared" ref="E14:E19" si="0">B14*D14</f>
        <v>0</v>
      </c>
      <c r="F14" s="31"/>
      <c r="G14" s="74">
        <f t="shared" ref="G14:G19" si="1">B14*F14</f>
        <v>0</v>
      </c>
      <c r="H14" s="74">
        <f t="shared" ref="H14:H19" si="2">E14+G14</f>
        <v>0</v>
      </c>
    </row>
    <row r="15" spans="1:9" ht="19.5" customHeight="1" x14ac:dyDescent="0.25">
      <c r="A15" s="30"/>
      <c r="B15" s="46"/>
      <c r="C15" s="47"/>
      <c r="D15" s="31"/>
      <c r="E15" s="74">
        <f t="shared" si="0"/>
        <v>0</v>
      </c>
      <c r="F15" s="31"/>
      <c r="G15" s="74">
        <f t="shared" si="1"/>
        <v>0</v>
      </c>
      <c r="H15" s="74">
        <f t="shared" si="2"/>
        <v>0</v>
      </c>
    </row>
    <row r="16" spans="1:9" ht="19.5" customHeight="1" x14ac:dyDescent="0.25">
      <c r="A16" s="30"/>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25">
      <c r="A18" s="30"/>
      <c r="B18" s="30"/>
      <c r="C18" s="31"/>
      <c r="D18" s="31"/>
      <c r="E18" s="74">
        <f t="shared" si="0"/>
        <v>0</v>
      </c>
      <c r="F18" s="31"/>
      <c r="G18" s="74">
        <f t="shared" si="1"/>
        <v>0</v>
      </c>
      <c r="H18" s="74">
        <f t="shared" si="2"/>
        <v>0</v>
      </c>
    </row>
    <row r="19" spans="1:8" ht="19.5" customHeight="1" x14ac:dyDescent="0.25">
      <c r="A19" s="30"/>
      <c r="B19" s="30"/>
      <c r="C19" s="31"/>
      <c r="D19" s="31"/>
      <c r="E19" s="74">
        <f t="shared" si="0"/>
        <v>0</v>
      </c>
      <c r="F19" s="31"/>
      <c r="G19" s="74">
        <f t="shared" si="1"/>
        <v>0</v>
      </c>
      <c r="H19" s="74">
        <f t="shared" si="2"/>
        <v>0</v>
      </c>
    </row>
    <row r="20" spans="1:8" ht="19.5" customHeight="1" x14ac:dyDescent="0.25">
      <c r="A20" s="30"/>
      <c r="B20" s="30"/>
      <c r="C20" s="31"/>
      <c r="D20" s="31"/>
      <c r="E20" s="74">
        <f t="shared" ref="E20:E25" si="3">B20*D20</f>
        <v>0</v>
      </c>
      <c r="F20" s="31"/>
      <c r="G20" s="74">
        <f t="shared" ref="G20:G25" si="4">B20*F20</f>
        <v>0</v>
      </c>
      <c r="H20" s="74">
        <f t="shared" ref="H20:H25" si="5">E20+G20</f>
        <v>0</v>
      </c>
    </row>
    <row r="21" spans="1:8" ht="19.5" customHeight="1" x14ac:dyDescent="0.25">
      <c r="A21" s="30"/>
      <c r="B21" s="30"/>
      <c r="C21" s="31"/>
      <c r="D21" s="31"/>
      <c r="E21" s="74">
        <f t="shared" si="3"/>
        <v>0</v>
      </c>
      <c r="F21" s="31"/>
      <c r="G21" s="74">
        <f t="shared" si="4"/>
        <v>0</v>
      </c>
      <c r="H21" s="74">
        <f t="shared" si="5"/>
        <v>0</v>
      </c>
    </row>
    <row r="22" spans="1:8" ht="19.5" customHeight="1" x14ac:dyDescent="0.25">
      <c r="A22" s="30"/>
      <c r="B22" s="30"/>
      <c r="C22" s="31"/>
      <c r="D22" s="31"/>
      <c r="E22" s="74">
        <f t="shared" si="3"/>
        <v>0</v>
      </c>
      <c r="F22" s="31"/>
      <c r="G22" s="74">
        <f t="shared" si="4"/>
        <v>0</v>
      </c>
      <c r="H22" s="74">
        <f t="shared" si="5"/>
        <v>0</v>
      </c>
    </row>
    <row r="23" spans="1:8" ht="19.5" customHeight="1" x14ac:dyDescent="0.25">
      <c r="A23" s="30"/>
      <c r="B23" s="30"/>
      <c r="C23" s="31"/>
      <c r="D23" s="31"/>
      <c r="E23" s="74">
        <f t="shared" si="3"/>
        <v>0</v>
      </c>
      <c r="F23" s="31"/>
      <c r="G23" s="74">
        <f t="shared" si="4"/>
        <v>0</v>
      </c>
      <c r="H23" s="74">
        <f t="shared" si="5"/>
        <v>0</v>
      </c>
    </row>
    <row r="24" spans="1:8" ht="19.5" customHeight="1" x14ac:dyDescent="0.25">
      <c r="A24" s="30"/>
      <c r="B24" s="30"/>
      <c r="C24" s="31"/>
      <c r="D24" s="31"/>
      <c r="E24" s="74">
        <f t="shared" si="3"/>
        <v>0</v>
      </c>
      <c r="F24" s="31"/>
      <c r="G24" s="74">
        <f t="shared" si="4"/>
        <v>0</v>
      </c>
      <c r="H24" s="74">
        <f t="shared" si="5"/>
        <v>0</v>
      </c>
    </row>
    <row r="25" spans="1:8" ht="19.5" customHeight="1" x14ac:dyDescent="0.25">
      <c r="A25" s="30"/>
      <c r="B25" s="30"/>
      <c r="C25" s="31"/>
      <c r="D25" s="31"/>
      <c r="E25" s="74">
        <f t="shared" si="3"/>
        <v>0</v>
      </c>
      <c r="F25" s="31"/>
      <c r="G25" s="74">
        <f t="shared" si="4"/>
        <v>0</v>
      </c>
      <c r="H25" s="74">
        <f t="shared" si="5"/>
        <v>0</v>
      </c>
    </row>
    <row r="26" spans="1:8" ht="19.5" customHeight="1" x14ac:dyDescent="0.25">
      <c r="A26" s="30"/>
      <c r="B26" s="30"/>
      <c r="C26" s="31"/>
      <c r="D26" s="31"/>
      <c r="E26" s="74">
        <f>B26*D26</f>
        <v>0</v>
      </c>
      <c r="F26" s="31"/>
      <c r="G26" s="74">
        <f>B26*F26</f>
        <v>0</v>
      </c>
      <c r="H26" s="74">
        <f>E26+G26</f>
        <v>0</v>
      </c>
    </row>
    <row r="27" spans="1:8" ht="19.5" customHeight="1" x14ac:dyDescent="0.25">
      <c r="A27" s="30"/>
      <c r="B27" s="30"/>
      <c r="C27" s="31"/>
      <c r="D27" s="31"/>
      <c r="E27" s="74">
        <f t="shared" ref="E27:E37" si="6">B27*D27</f>
        <v>0</v>
      </c>
      <c r="F27" s="31"/>
      <c r="G27" s="74">
        <f t="shared" ref="G27:G37" si="7">B27*F27</f>
        <v>0</v>
      </c>
      <c r="H27" s="74">
        <f t="shared" ref="H27:H37" si="8">E27+G27</f>
        <v>0</v>
      </c>
    </row>
    <row r="28" spans="1:8" ht="19.5" customHeight="1" x14ac:dyDescent="0.25">
      <c r="A28" s="30"/>
      <c r="B28" s="30"/>
      <c r="C28" s="31"/>
      <c r="D28" s="31"/>
      <c r="E28" s="74">
        <f t="shared" si="6"/>
        <v>0</v>
      </c>
      <c r="F28" s="31"/>
      <c r="G28" s="74">
        <f t="shared" si="7"/>
        <v>0</v>
      </c>
      <c r="H28" s="74">
        <f t="shared" si="8"/>
        <v>0</v>
      </c>
    </row>
    <row r="29" spans="1:8" ht="19.5" customHeight="1" x14ac:dyDescent="0.25">
      <c r="A29" s="30"/>
      <c r="B29" s="30"/>
      <c r="C29" s="31"/>
      <c r="D29" s="31"/>
      <c r="E29" s="74">
        <f t="shared" si="6"/>
        <v>0</v>
      </c>
      <c r="F29" s="31"/>
      <c r="G29" s="74">
        <f t="shared" si="7"/>
        <v>0</v>
      </c>
      <c r="H29" s="74">
        <f t="shared" si="8"/>
        <v>0</v>
      </c>
    </row>
    <row r="30" spans="1:8" ht="19.5" customHeight="1" x14ac:dyDescent="0.25">
      <c r="A30" s="30"/>
      <c r="B30" s="30"/>
      <c r="C30" s="31"/>
      <c r="D30" s="31"/>
      <c r="E30" s="74">
        <f t="shared" si="6"/>
        <v>0</v>
      </c>
      <c r="F30" s="31"/>
      <c r="G30" s="74">
        <f t="shared" si="7"/>
        <v>0</v>
      </c>
      <c r="H30" s="74">
        <f t="shared" si="8"/>
        <v>0</v>
      </c>
    </row>
    <row r="31" spans="1:8" ht="19.5" customHeight="1" x14ac:dyDescent="0.25">
      <c r="A31" s="30"/>
      <c r="B31" s="30"/>
      <c r="C31" s="31"/>
      <c r="D31" s="31"/>
      <c r="E31" s="74">
        <f t="shared" si="6"/>
        <v>0</v>
      </c>
      <c r="F31" s="31"/>
      <c r="G31" s="74">
        <f t="shared" si="7"/>
        <v>0</v>
      </c>
      <c r="H31" s="74">
        <f t="shared" si="8"/>
        <v>0</v>
      </c>
    </row>
    <row r="32" spans="1:8" ht="19.5" customHeight="1" x14ac:dyDescent="0.25">
      <c r="A32" s="30"/>
      <c r="B32" s="30"/>
      <c r="C32" s="31"/>
      <c r="D32" s="31"/>
      <c r="E32" s="74">
        <f t="shared" si="6"/>
        <v>0</v>
      </c>
      <c r="F32" s="31"/>
      <c r="G32" s="74">
        <f t="shared" si="7"/>
        <v>0</v>
      </c>
      <c r="H32" s="74">
        <f t="shared" si="8"/>
        <v>0</v>
      </c>
    </row>
    <row r="33" spans="1:9" ht="19.5" customHeight="1" x14ac:dyDescent="0.25">
      <c r="A33" s="30"/>
      <c r="B33" s="30"/>
      <c r="C33" s="31"/>
      <c r="D33" s="31"/>
      <c r="E33" s="74">
        <f t="shared" si="6"/>
        <v>0</v>
      </c>
      <c r="F33" s="31"/>
      <c r="G33" s="74">
        <f t="shared" si="7"/>
        <v>0</v>
      </c>
      <c r="H33" s="74">
        <f t="shared" si="8"/>
        <v>0</v>
      </c>
    </row>
    <row r="34" spans="1:9" ht="19.5" customHeight="1" x14ac:dyDescent="0.25">
      <c r="A34" s="30"/>
      <c r="B34" s="30"/>
      <c r="C34" s="31"/>
      <c r="D34" s="31"/>
      <c r="E34" s="74">
        <f t="shared" si="6"/>
        <v>0</v>
      </c>
      <c r="F34" s="31"/>
      <c r="G34" s="74">
        <f t="shared" si="7"/>
        <v>0</v>
      </c>
      <c r="H34" s="74">
        <f t="shared" si="8"/>
        <v>0</v>
      </c>
    </row>
    <row r="35" spans="1:9" ht="19.5" customHeight="1" x14ac:dyDescent="0.25">
      <c r="A35" s="30"/>
      <c r="B35" s="30"/>
      <c r="C35" s="31"/>
      <c r="D35" s="31"/>
      <c r="E35" s="74">
        <f t="shared" si="6"/>
        <v>0</v>
      </c>
      <c r="F35" s="31"/>
      <c r="G35" s="74">
        <f t="shared" si="7"/>
        <v>0</v>
      </c>
      <c r="H35" s="74">
        <f t="shared" si="8"/>
        <v>0</v>
      </c>
    </row>
    <row r="36" spans="1:9" ht="19.5" customHeight="1" x14ac:dyDescent="0.25">
      <c r="A36" s="30"/>
      <c r="B36" s="30"/>
      <c r="C36" s="31"/>
      <c r="D36" s="31"/>
      <c r="E36" s="74">
        <f t="shared" si="6"/>
        <v>0</v>
      </c>
      <c r="F36" s="31"/>
      <c r="G36" s="74">
        <f t="shared" si="7"/>
        <v>0</v>
      </c>
      <c r="H36" s="74">
        <f t="shared" si="8"/>
        <v>0</v>
      </c>
    </row>
    <row r="37" spans="1:9" ht="19.5" customHeight="1" x14ac:dyDescent="0.25">
      <c r="A37" s="30"/>
      <c r="B37" s="30"/>
      <c r="C37" s="31"/>
      <c r="D37" s="31"/>
      <c r="E37" s="74">
        <f t="shared" si="6"/>
        <v>0</v>
      </c>
      <c r="F37" s="31"/>
      <c r="G37" s="74">
        <f t="shared" si="7"/>
        <v>0</v>
      </c>
      <c r="H37" s="74">
        <f t="shared" si="8"/>
        <v>0</v>
      </c>
    </row>
    <row r="38" spans="1:9" ht="19.5" customHeight="1" x14ac:dyDescent="0.3">
      <c r="A38" s="29" t="s">
        <v>127</v>
      </c>
      <c r="B38" s="30"/>
      <c r="C38" s="31"/>
      <c r="D38" s="31"/>
      <c r="E38" s="74">
        <f>SUM(E14:E37)</f>
        <v>0</v>
      </c>
      <c r="F38" s="31"/>
      <c r="G38" s="74">
        <f>SUM(G14:G37)</f>
        <v>0</v>
      </c>
      <c r="H38" s="31"/>
      <c r="I38" s="10"/>
    </row>
    <row r="39" spans="1:9" ht="19.5" customHeight="1" x14ac:dyDescent="0.3">
      <c r="A39" s="29" t="s">
        <v>104</v>
      </c>
      <c r="B39" s="30"/>
      <c r="C39" s="31"/>
      <c r="D39" s="31"/>
      <c r="E39" s="41"/>
      <c r="F39" s="31"/>
      <c r="G39" s="41"/>
      <c r="H39" s="94">
        <f>SUM(H14:H37)</f>
        <v>0</v>
      </c>
    </row>
    <row r="40" spans="1:9" ht="19.5" customHeight="1" x14ac:dyDescent="0.35">
      <c r="A40" s="29" t="s">
        <v>128</v>
      </c>
      <c r="B40" s="30"/>
      <c r="C40" s="31"/>
      <c r="D40" s="31"/>
      <c r="E40" s="31"/>
      <c r="F40" s="31"/>
      <c r="G40" s="93">
        <f>Summary!G20</f>
        <v>0</v>
      </c>
      <c r="H40" s="74">
        <f>SUM(H39*G40)</f>
        <v>0</v>
      </c>
    </row>
    <row r="41" spans="1:9" ht="19.5" customHeight="1" x14ac:dyDescent="0.35">
      <c r="A41" s="29" t="s">
        <v>129</v>
      </c>
      <c r="B41" s="30"/>
      <c r="C41" s="31"/>
      <c r="D41" s="31"/>
      <c r="E41" s="31"/>
      <c r="F41" s="31"/>
      <c r="G41" s="93">
        <f>Summary!G21</f>
        <v>0</v>
      </c>
      <c r="H41" s="74">
        <f>SUM(H39+H40)*G41</f>
        <v>0</v>
      </c>
    </row>
    <row r="42" spans="1:9" ht="19.5" customHeight="1" x14ac:dyDescent="0.35">
      <c r="A42" s="29" t="s">
        <v>130</v>
      </c>
      <c r="B42" s="30"/>
      <c r="C42" s="31"/>
      <c r="D42" s="31"/>
      <c r="E42" s="31"/>
      <c r="F42" s="31"/>
      <c r="G42" s="93">
        <f>Summary!G22</f>
        <v>0</v>
      </c>
      <c r="H42" s="74">
        <f>SUM(G38*G42)</f>
        <v>0</v>
      </c>
    </row>
    <row r="43" spans="1:9" ht="19.5" customHeight="1" thickBot="1" x14ac:dyDescent="0.35">
      <c r="A43" s="34" t="s">
        <v>124</v>
      </c>
      <c r="B43" s="32"/>
      <c r="C43" s="33"/>
      <c r="D43" s="33"/>
      <c r="E43" s="33"/>
      <c r="F43" s="33"/>
      <c r="G43" s="33"/>
      <c r="H43" s="75">
        <f>SUM(H39:H42)</f>
        <v>0</v>
      </c>
    </row>
    <row r="44" spans="1:9" ht="12.75" customHeight="1" thickTop="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A210" s="35"/>
      <c r="B210" s="35"/>
      <c r="C210" s="36"/>
      <c r="D210" s="36"/>
      <c r="E210" s="36"/>
      <c r="F210" s="36"/>
      <c r="G210" s="36"/>
      <c r="H210" s="36"/>
      <c r="I210" s="35"/>
    </row>
  </sheetData>
  <mergeCells count="2">
    <mergeCell ref="A8:B8"/>
    <mergeCell ref="A1:C2"/>
  </mergeCells>
  <phoneticPr fontId="0" type="noConversion"/>
  <printOptions horizontalCentered="1" verticalCentered="1" gridLinesSet="0"/>
  <pageMargins left="0.25" right="0.25" top="0.75" bottom="0.75" header="0.3" footer="0.3"/>
  <pageSetup scale="77" orientation="portrait" horizontalDpi="1200" vertic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210"/>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146" t="str">
        <f>Summary!D9</f>
        <v>FTFA 23VH26</v>
      </c>
      <c r="D8" s="147"/>
      <c r="E8" s="148"/>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Summary!B17</f>
        <v>METALS</v>
      </c>
      <c r="B13" s="30"/>
      <c r="C13" s="31"/>
      <c r="D13" s="31"/>
      <c r="E13" s="31"/>
      <c r="F13" s="31"/>
      <c r="G13" s="31"/>
      <c r="H13" s="31"/>
    </row>
    <row r="14" spans="1:9" ht="19.5" customHeight="1" x14ac:dyDescent="0.3">
      <c r="A14" s="97"/>
      <c r="B14" s="30"/>
      <c r="C14" s="31"/>
      <c r="D14" s="31"/>
      <c r="E14" s="74">
        <f t="shared" ref="E14:E25" si="0">B14*D14</f>
        <v>0</v>
      </c>
      <c r="F14" s="31"/>
      <c r="G14" s="74">
        <f t="shared" ref="G14:G25" si="1">B14*F14</f>
        <v>0</v>
      </c>
      <c r="H14" s="74">
        <f t="shared" ref="H14:H25" si="2">E14+G14</f>
        <v>0</v>
      </c>
    </row>
    <row r="15" spans="1:9" ht="19.5" customHeight="1" x14ac:dyDescent="0.25">
      <c r="A15" s="30"/>
      <c r="B15" s="30"/>
      <c r="C15" s="31"/>
      <c r="D15" s="31"/>
      <c r="E15" s="74">
        <f t="shared" si="0"/>
        <v>0</v>
      </c>
      <c r="F15" s="31"/>
      <c r="G15" s="74">
        <f t="shared" si="1"/>
        <v>0</v>
      </c>
      <c r="H15" s="74">
        <f t="shared" si="2"/>
        <v>0</v>
      </c>
    </row>
    <row r="16" spans="1:9" ht="19.5" customHeight="1" x14ac:dyDescent="0.25">
      <c r="A16" s="30"/>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3">
      <c r="A18" s="97"/>
      <c r="B18" s="30"/>
      <c r="C18" s="31"/>
      <c r="D18" s="31"/>
      <c r="E18" s="74">
        <f t="shared" si="0"/>
        <v>0</v>
      </c>
      <c r="F18" s="31"/>
      <c r="G18" s="74">
        <f t="shared" si="1"/>
        <v>0</v>
      </c>
      <c r="H18" s="74">
        <f t="shared" si="2"/>
        <v>0</v>
      </c>
    </row>
    <row r="19" spans="1:8" ht="19.5" customHeight="1" x14ac:dyDescent="0.25">
      <c r="A19" s="30"/>
      <c r="B19" s="30"/>
      <c r="C19" s="31"/>
      <c r="D19" s="31"/>
      <c r="E19" s="74">
        <f t="shared" si="0"/>
        <v>0</v>
      </c>
      <c r="F19" s="31"/>
      <c r="G19" s="74">
        <f t="shared" si="1"/>
        <v>0</v>
      </c>
      <c r="H19" s="74">
        <f t="shared" si="2"/>
        <v>0</v>
      </c>
    </row>
    <row r="20" spans="1:8" ht="19.5" customHeight="1" x14ac:dyDescent="0.25">
      <c r="A20" s="30"/>
      <c r="B20" s="30"/>
      <c r="C20" s="31"/>
      <c r="D20" s="31"/>
      <c r="E20" s="74">
        <f t="shared" si="0"/>
        <v>0</v>
      </c>
      <c r="F20" s="31"/>
      <c r="G20" s="74">
        <f t="shared" si="1"/>
        <v>0</v>
      </c>
      <c r="H20" s="74">
        <f t="shared" si="2"/>
        <v>0</v>
      </c>
    </row>
    <row r="21" spans="1:8" ht="19.5" customHeight="1" x14ac:dyDescent="0.25">
      <c r="A21" s="30"/>
      <c r="B21" s="30"/>
      <c r="C21" s="31"/>
      <c r="D21" s="31"/>
      <c r="E21" s="74">
        <f t="shared" si="0"/>
        <v>0</v>
      </c>
      <c r="F21" s="31"/>
      <c r="G21" s="74">
        <f t="shared" si="1"/>
        <v>0</v>
      </c>
      <c r="H21" s="74">
        <f t="shared" si="2"/>
        <v>0</v>
      </c>
    </row>
    <row r="22" spans="1:8" ht="19.5" customHeight="1" x14ac:dyDescent="0.3">
      <c r="A22" s="97"/>
      <c r="B22" s="30"/>
      <c r="C22" s="31"/>
      <c r="D22" s="31"/>
      <c r="E22" s="74">
        <f t="shared" si="0"/>
        <v>0</v>
      </c>
      <c r="F22" s="31"/>
      <c r="G22" s="74">
        <f t="shared" si="1"/>
        <v>0</v>
      </c>
      <c r="H22" s="74">
        <f t="shared" si="2"/>
        <v>0</v>
      </c>
    </row>
    <row r="23" spans="1:8" ht="19.5" customHeight="1" x14ac:dyDescent="0.25">
      <c r="A23" s="30"/>
      <c r="B23" s="30"/>
      <c r="C23" s="31"/>
      <c r="D23" s="31"/>
      <c r="E23" s="74">
        <f t="shared" si="0"/>
        <v>0</v>
      </c>
      <c r="F23" s="31"/>
      <c r="G23" s="74">
        <f t="shared" si="1"/>
        <v>0</v>
      </c>
      <c r="H23" s="74">
        <f t="shared" si="2"/>
        <v>0</v>
      </c>
    </row>
    <row r="24" spans="1:8" ht="19.5" customHeight="1" x14ac:dyDescent="0.25">
      <c r="A24" s="30"/>
      <c r="B24" s="30"/>
      <c r="C24" s="31"/>
      <c r="D24" s="31"/>
      <c r="E24" s="74">
        <f t="shared" si="0"/>
        <v>0</v>
      </c>
      <c r="F24" s="31"/>
      <c r="G24" s="74">
        <f t="shared" si="1"/>
        <v>0</v>
      </c>
      <c r="H24" s="74">
        <f t="shared" si="2"/>
        <v>0</v>
      </c>
    </row>
    <row r="25" spans="1:8" ht="19.5" customHeight="1" x14ac:dyDescent="0.3">
      <c r="A25" s="29"/>
      <c r="B25" s="30"/>
      <c r="C25" s="31"/>
      <c r="D25" s="31"/>
      <c r="E25" s="74">
        <f t="shared" si="0"/>
        <v>0</v>
      </c>
      <c r="F25" s="31"/>
      <c r="G25" s="74">
        <f t="shared" si="1"/>
        <v>0</v>
      </c>
      <c r="H25" s="74">
        <f t="shared" si="2"/>
        <v>0</v>
      </c>
    </row>
    <row r="26" spans="1:8" ht="19.5" customHeight="1" x14ac:dyDescent="0.25">
      <c r="A26" s="30"/>
      <c r="B26" s="30"/>
      <c r="C26" s="31"/>
      <c r="D26" s="31"/>
      <c r="E26" s="74">
        <f>B26*D26</f>
        <v>0</v>
      </c>
      <c r="F26" s="31"/>
      <c r="G26" s="74">
        <f>B26*F26</f>
        <v>0</v>
      </c>
      <c r="H26" s="74">
        <f>E26+G26</f>
        <v>0</v>
      </c>
    </row>
    <row r="27" spans="1:8" ht="19.5" customHeight="1" x14ac:dyDescent="0.25">
      <c r="A27" s="30"/>
      <c r="B27" s="30"/>
      <c r="C27" s="31"/>
      <c r="D27" s="31"/>
      <c r="E27" s="74">
        <f t="shared" ref="E27:E37" si="3">B27*D27</f>
        <v>0</v>
      </c>
      <c r="F27" s="31"/>
      <c r="G27" s="74">
        <f t="shared" ref="G27:G37" si="4">B27*F27</f>
        <v>0</v>
      </c>
      <c r="H27" s="74">
        <f t="shared" ref="H27:H37" si="5">E27+G27</f>
        <v>0</v>
      </c>
    </row>
    <row r="28" spans="1:8" ht="19.5" customHeight="1" x14ac:dyDescent="0.25">
      <c r="A28" s="30"/>
      <c r="B28" s="30"/>
      <c r="C28" s="31"/>
      <c r="D28" s="31"/>
      <c r="E28" s="74">
        <f t="shared" si="3"/>
        <v>0</v>
      </c>
      <c r="F28" s="31"/>
      <c r="G28" s="74">
        <f t="shared" si="4"/>
        <v>0</v>
      </c>
      <c r="H28" s="74">
        <f t="shared" si="5"/>
        <v>0</v>
      </c>
    </row>
    <row r="29" spans="1:8" ht="19.5" customHeight="1" x14ac:dyDescent="0.25">
      <c r="A29" s="30"/>
      <c r="B29" s="30"/>
      <c r="C29" s="31"/>
      <c r="D29" s="31"/>
      <c r="E29" s="74">
        <f t="shared" si="3"/>
        <v>0</v>
      </c>
      <c r="F29" s="31"/>
      <c r="G29" s="74">
        <f t="shared" si="4"/>
        <v>0</v>
      </c>
      <c r="H29" s="74">
        <f t="shared" si="5"/>
        <v>0</v>
      </c>
    </row>
    <row r="30" spans="1:8" ht="19.5" customHeight="1" x14ac:dyDescent="0.25">
      <c r="A30" s="30"/>
      <c r="B30" s="30"/>
      <c r="C30" s="31"/>
      <c r="D30" s="31"/>
      <c r="E30" s="74">
        <f t="shared" si="3"/>
        <v>0</v>
      </c>
      <c r="F30" s="31"/>
      <c r="G30" s="74">
        <f t="shared" si="4"/>
        <v>0</v>
      </c>
      <c r="H30" s="74">
        <f t="shared" si="5"/>
        <v>0</v>
      </c>
    </row>
    <row r="31" spans="1:8" ht="19.5" customHeight="1" x14ac:dyDescent="0.25">
      <c r="A31" s="30"/>
      <c r="B31" s="30"/>
      <c r="C31" s="31"/>
      <c r="D31" s="31"/>
      <c r="E31" s="74">
        <f t="shared" si="3"/>
        <v>0</v>
      </c>
      <c r="F31" s="31"/>
      <c r="G31" s="74">
        <f t="shared" si="4"/>
        <v>0</v>
      </c>
      <c r="H31" s="74">
        <f t="shared" si="5"/>
        <v>0</v>
      </c>
    </row>
    <row r="32" spans="1:8" ht="19.5" customHeight="1" x14ac:dyDescent="0.25">
      <c r="A32" s="30"/>
      <c r="B32" s="30"/>
      <c r="C32" s="31"/>
      <c r="D32" s="31"/>
      <c r="E32" s="74">
        <f t="shared" si="3"/>
        <v>0</v>
      </c>
      <c r="F32" s="31"/>
      <c r="G32" s="74">
        <f t="shared" si="4"/>
        <v>0</v>
      </c>
      <c r="H32" s="74">
        <f t="shared" si="5"/>
        <v>0</v>
      </c>
    </row>
    <row r="33" spans="1:9" ht="19.5" customHeight="1" x14ac:dyDescent="0.25">
      <c r="A33" s="30"/>
      <c r="B33" s="30"/>
      <c r="C33" s="31"/>
      <c r="D33" s="31"/>
      <c r="E33" s="74">
        <f t="shared" si="3"/>
        <v>0</v>
      </c>
      <c r="F33" s="31"/>
      <c r="G33" s="74">
        <f t="shared" si="4"/>
        <v>0</v>
      </c>
      <c r="H33" s="74">
        <f t="shared" si="5"/>
        <v>0</v>
      </c>
    </row>
    <row r="34" spans="1:9" ht="19.5" customHeight="1" x14ac:dyDescent="0.25">
      <c r="A34" s="30"/>
      <c r="B34" s="30"/>
      <c r="C34" s="31"/>
      <c r="D34" s="31"/>
      <c r="E34" s="74">
        <f t="shared" si="3"/>
        <v>0</v>
      </c>
      <c r="F34" s="31"/>
      <c r="G34" s="74">
        <f t="shared" si="4"/>
        <v>0</v>
      </c>
      <c r="H34" s="74">
        <f t="shared" si="5"/>
        <v>0</v>
      </c>
    </row>
    <row r="35" spans="1:9" ht="19.5" customHeight="1" x14ac:dyDescent="0.25">
      <c r="A35" s="30"/>
      <c r="B35" s="30"/>
      <c r="C35" s="31"/>
      <c r="D35" s="31"/>
      <c r="E35" s="74">
        <f t="shared" si="3"/>
        <v>0</v>
      </c>
      <c r="F35" s="31"/>
      <c r="G35" s="74">
        <f t="shared" si="4"/>
        <v>0</v>
      </c>
      <c r="H35" s="74">
        <f t="shared" si="5"/>
        <v>0</v>
      </c>
    </row>
    <row r="36" spans="1:9" ht="19.5" customHeight="1" x14ac:dyDescent="0.25">
      <c r="A36" s="30"/>
      <c r="B36" s="30"/>
      <c r="C36" s="31"/>
      <c r="D36" s="31"/>
      <c r="E36" s="74">
        <f t="shared" si="3"/>
        <v>0</v>
      </c>
      <c r="F36" s="31"/>
      <c r="G36" s="74">
        <f t="shared" si="4"/>
        <v>0</v>
      </c>
      <c r="H36" s="74">
        <f t="shared" si="5"/>
        <v>0</v>
      </c>
    </row>
    <row r="37" spans="1:9" ht="19.5" customHeight="1" x14ac:dyDescent="0.25">
      <c r="A37" s="30"/>
      <c r="B37" s="30"/>
      <c r="C37" s="31"/>
      <c r="D37" s="31"/>
      <c r="E37" s="74">
        <f t="shared" si="3"/>
        <v>0</v>
      </c>
      <c r="F37" s="31"/>
      <c r="G37" s="74">
        <f t="shared" si="4"/>
        <v>0</v>
      </c>
      <c r="H37" s="74">
        <f t="shared" si="5"/>
        <v>0</v>
      </c>
    </row>
    <row r="38" spans="1:9" ht="19.5" customHeight="1" x14ac:dyDescent="0.3">
      <c r="A38" s="29" t="s">
        <v>127</v>
      </c>
      <c r="B38" s="30"/>
      <c r="C38" s="31"/>
      <c r="D38" s="31"/>
      <c r="E38" s="74">
        <f>SUM(E14:E37)</f>
        <v>0</v>
      </c>
      <c r="F38" s="31"/>
      <c r="G38" s="74">
        <f>SUM(G14:G37)</f>
        <v>0</v>
      </c>
      <c r="H38" s="31"/>
      <c r="I38" s="10"/>
    </row>
    <row r="39" spans="1:9" ht="19.5" customHeight="1" x14ac:dyDescent="0.3">
      <c r="A39" s="29" t="s">
        <v>104</v>
      </c>
      <c r="B39" s="30"/>
      <c r="C39" s="31"/>
      <c r="D39" s="31"/>
      <c r="E39" s="41"/>
      <c r="F39" s="31"/>
      <c r="G39" s="41"/>
      <c r="H39" s="94">
        <f>SUM(H14:H37)</f>
        <v>0</v>
      </c>
    </row>
    <row r="40" spans="1:9" ht="19.5" customHeight="1" x14ac:dyDescent="0.35">
      <c r="A40" s="29" t="s">
        <v>128</v>
      </c>
      <c r="B40" s="30"/>
      <c r="C40" s="31"/>
      <c r="D40" s="31"/>
      <c r="E40" s="31"/>
      <c r="F40" s="31"/>
      <c r="G40" s="93">
        <f>Summary!G20</f>
        <v>0</v>
      </c>
      <c r="H40" s="74">
        <f>SUM(H39*G40)</f>
        <v>0</v>
      </c>
    </row>
    <row r="41" spans="1:9" ht="19.5" customHeight="1" x14ac:dyDescent="0.35">
      <c r="A41" s="29" t="s">
        <v>129</v>
      </c>
      <c r="B41" s="30"/>
      <c r="C41" s="31"/>
      <c r="D41" s="31"/>
      <c r="E41" s="31"/>
      <c r="F41" s="31"/>
      <c r="G41" s="93">
        <f>Summary!G21</f>
        <v>0</v>
      </c>
      <c r="H41" s="74">
        <f>SUM(H39+H40)*G41</f>
        <v>0</v>
      </c>
    </row>
    <row r="42" spans="1:9" ht="19.5" customHeight="1" x14ac:dyDescent="0.35">
      <c r="A42" s="29" t="s">
        <v>130</v>
      </c>
      <c r="B42" s="30"/>
      <c r="C42" s="31"/>
      <c r="D42" s="31"/>
      <c r="E42" s="31"/>
      <c r="F42" s="31"/>
      <c r="G42" s="93">
        <f>Summary!G22</f>
        <v>0</v>
      </c>
      <c r="H42" s="74">
        <f>SUM(G38*G42)</f>
        <v>0</v>
      </c>
    </row>
    <row r="43" spans="1:9" ht="19.5" customHeight="1" thickBot="1" x14ac:dyDescent="0.35">
      <c r="A43" s="34" t="s">
        <v>124</v>
      </c>
      <c r="B43" s="32"/>
      <c r="C43" s="33"/>
      <c r="D43" s="33"/>
      <c r="E43" s="33"/>
      <c r="F43" s="33"/>
      <c r="G43" s="33"/>
      <c r="H43" s="75">
        <f>SUM(H39:H42)</f>
        <v>0</v>
      </c>
    </row>
    <row r="44" spans="1:9" ht="12.75" customHeight="1" thickTop="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A210" s="35"/>
      <c r="B210" s="35"/>
      <c r="C210" s="36"/>
      <c r="D210" s="36"/>
      <c r="E210" s="36"/>
      <c r="F210" s="36"/>
      <c r="G210" s="36"/>
      <c r="H210" s="36"/>
      <c r="I210" s="35"/>
    </row>
  </sheetData>
  <mergeCells count="3">
    <mergeCell ref="A8:B8"/>
    <mergeCell ref="C8:E8"/>
    <mergeCell ref="A1:C2"/>
  </mergeCells>
  <printOptions horizontalCentered="1" verticalCentered="1" gridLinesSet="0"/>
  <pageMargins left="0.25" right="0.25" top="0.75" bottom="0.75" header="0.3" footer="0.3"/>
  <pageSetup scale="77" orientation="portrait" horizontalDpi="1200" vertic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219"/>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45.54296875" style="6" customWidth="1"/>
    <col min="2" max="2" width="5.7265625" style="6" customWidth="1"/>
    <col min="3" max="3" width="5.7265625" style="10" customWidth="1"/>
    <col min="4" max="8" width="12.7265625" style="10" customWidth="1"/>
    <col min="9" max="9" width="9.81640625" style="6" bestFit="1" customWidth="1"/>
    <col min="10" max="10" width="12" style="6" bestFit="1" customWidth="1"/>
    <col min="11"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Summary!B18</f>
        <v>WOOD, PLASTICS AND COMPOSITES</v>
      </c>
      <c r="B13" s="30"/>
      <c r="C13" s="31"/>
      <c r="D13" s="31"/>
      <c r="E13" s="31"/>
      <c r="F13" s="31"/>
      <c r="G13" s="31"/>
      <c r="H13" s="31"/>
    </row>
    <row r="14" spans="1:9" ht="19.5" customHeight="1" x14ac:dyDescent="0.3">
      <c r="A14" s="99"/>
      <c r="B14" s="39"/>
      <c r="C14" s="40"/>
      <c r="D14" s="40"/>
      <c r="E14" s="74">
        <f>B14*D14</f>
        <v>0</v>
      </c>
      <c r="F14" s="40"/>
      <c r="G14" s="74">
        <f>B14*F14</f>
        <v>0</v>
      </c>
      <c r="H14" s="74">
        <f>E14+G14</f>
        <v>0</v>
      </c>
    </row>
    <row r="15" spans="1:9" ht="19.5" customHeight="1" x14ac:dyDescent="0.25">
      <c r="A15" s="39"/>
      <c r="B15" s="39"/>
      <c r="C15" s="40"/>
      <c r="D15" s="31"/>
      <c r="E15" s="74">
        <f t="shared" ref="E15:E41" si="0">B15*D15</f>
        <v>0</v>
      </c>
      <c r="F15" s="31"/>
      <c r="G15" s="74">
        <f t="shared" ref="G15:G23" si="1">B15*F15</f>
        <v>0</v>
      </c>
      <c r="H15" s="74">
        <f t="shared" ref="H15:H22" si="2">E15+G15</f>
        <v>0</v>
      </c>
    </row>
    <row r="16" spans="1:9" ht="19.5" customHeight="1" x14ac:dyDescent="0.25">
      <c r="A16" s="39"/>
      <c r="B16" s="39"/>
      <c r="C16" s="40"/>
      <c r="D16" s="31"/>
      <c r="E16" s="74">
        <f t="shared" si="0"/>
        <v>0</v>
      </c>
      <c r="F16" s="31"/>
      <c r="G16" s="74">
        <f t="shared" si="1"/>
        <v>0</v>
      </c>
      <c r="H16" s="74">
        <f t="shared" si="2"/>
        <v>0</v>
      </c>
    </row>
    <row r="17" spans="1:8" ht="19.5" customHeight="1" x14ac:dyDescent="0.3">
      <c r="A17" s="97"/>
      <c r="B17" s="30"/>
      <c r="C17" s="31"/>
      <c r="D17" s="31"/>
      <c r="E17" s="74">
        <f t="shared" si="0"/>
        <v>0</v>
      </c>
      <c r="F17" s="31"/>
      <c r="G17" s="74">
        <f t="shared" si="1"/>
        <v>0</v>
      </c>
      <c r="H17" s="74">
        <f t="shared" si="2"/>
        <v>0</v>
      </c>
    </row>
    <row r="18" spans="1:8" ht="19.5" customHeight="1" x14ac:dyDescent="0.25">
      <c r="A18" s="30"/>
      <c r="B18" s="30"/>
      <c r="C18" s="31"/>
      <c r="D18" s="31"/>
      <c r="E18" s="74">
        <f t="shared" si="0"/>
        <v>0</v>
      </c>
      <c r="F18" s="31"/>
      <c r="G18" s="74">
        <f t="shared" si="1"/>
        <v>0</v>
      </c>
      <c r="H18" s="74">
        <f t="shared" si="2"/>
        <v>0</v>
      </c>
    </row>
    <row r="19" spans="1:8" ht="19.5" customHeight="1" x14ac:dyDescent="0.25">
      <c r="A19" s="39"/>
      <c r="B19" s="30"/>
      <c r="C19" s="31"/>
      <c r="D19" s="31"/>
      <c r="E19" s="74">
        <f t="shared" si="0"/>
        <v>0</v>
      </c>
      <c r="F19" s="31"/>
      <c r="G19" s="74">
        <f t="shared" si="1"/>
        <v>0</v>
      </c>
      <c r="H19" s="74">
        <f t="shared" si="2"/>
        <v>0</v>
      </c>
    </row>
    <row r="20" spans="1:8" ht="19.5" customHeight="1" x14ac:dyDescent="0.25">
      <c r="A20" s="39"/>
      <c r="B20" s="30"/>
      <c r="C20" s="31"/>
      <c r="D20" s="31"/>
      <c r="E20" s="74">
        <f t="shared" si="0"/>
        <v>0</v>
      </c>
      <c r="F20" s="31"/>
      <c r="G20" s="74">
        <f t="shared" si="1"/>
        <v>0</v>
      </c>
      <c r="H20" s="74">
        <f t="shared" si="2"/>
        <v>0</v>
      </c>
    </row>
    <row r="21" spans="1:8" ht="19.5" customHeight="1" x14ac:dyDescent="0.25">
      <c r="A21" s="30"/>
      <c r="B21" s="30"/>
      <c r="C21" s="31"/>
      <c r="D21" s="40"/>
      <c r="E21" s="74">
        <f t="shared" si="0"/>
        <v>0</v>
      </c>
      <c r="F21" s="40"/>
      <c r="G21" s="74">
        <f t="shared" si="1"/>
        <v>0</v>
      </c>
      <c r="H21" s="74">
        <f t="shared" si="2"/>
        <v>0</v>
      </c>
    </row>
    <row r="22" spans="1:8" ht="19.5" customHeight="1" x14ac:dyDescent="0.25">
      <c r="A22" s="30"/>
      <c r="B22" s="30"/>
      <c r="C22" s="31"/>
      <c r="D22" s="31"/>
      <c r="E22" s="74">
        <f t="shared" si="0"/>
        <v>0</v>
      </c>
      <c r="F22" s="31"/>
      <c r="G22" s="74">
        <f t="shared" si="1"/>
        <v>0</v>
      </c>
      <c r="H22" s="74">
        <f t="shared" si="2"/>
        <v>0</v>
      </c>
    </row>
    <row r="23" spans="1:8" ht="19.5" customHeight="1" x14ac:dyDescent="0.25">
      <c r="A23" s="30"/>
      <c r="B23" s="39"/>
      <c r="C23" s="31"/>
      <c r="D23" s="31"/>
      <c r="E23" s="74">
        <f t="shared" si="0"/>
        <v>0</v>
      </c>
      <c r="F23" s="31"/>
      <c r="G23" s="74">
        <f t="shared" si="1"/>
        <v>0</v>
      </c>
      <c r="H23" s="74">
        <f>E23+G23</f>
        <v>0</v>
      </c>
    </row>
    <row r="24" spans="1:8" ht="19.5" customHeight="1" x14ac:dyDescent="0.25">
      <c r="A24" s="30"/>
      <c r="B24" s="30"/>
      <c r="C24" s="31"/>
      <c r="D24" s="31"/>
      <c r="E24" s="74">
        <f t="shared" si="0"/>
        <v>0</v>
      </c>
      <c r="F24" s="31"/>
      <c r="G24" s="74">
        <f>B24*F24</f>
        <v>0</v>
      </c>
      <c r="H24" s="74">
        <f>E24+G24</f>
        <v>0</v>
      </c>
    </row>
    <row r="25" spans="1:8" ht="19.5" customHeight="1" x14ac:dyDescent="0.25">
      <c r="A25" s="30"/>
      <c r="B25" s="30"/>
      <c r="C25" s="31"/>
      <c r="D25" s="31"/>
      <c r="E25" s="74">
        <f t="shared" si="0"/>
        <v>0</v>
      </c>
      <c r="F25" s="31"/>
      <c r="G25" s="74">
        <f t="shared" ref="G25:G41" si="3">B25*F25</f>
        <v>0</v>
      </c>
      <c r="H25" s="74">
        <f t="shared" ref="H25:H41" si="4">E25+G25</f>
        <v>0</v>
      </c>
    </row>
    <row r="26" spans="1:8" ht="19.5" customHeight="1" x14ac:dyDescent="0.25">
      <c r="A26" s="30"/>
      <c r="B26" s="30"/>
      <c r="C26" s="31"/>
      <c r="D26" s="31"/>
      <c r="E26" s="74">
        <f t="shared" si="0"/>
        <v>0</v>
      </c>
      <c r="F26" s="31"/>
      <c r="G26" s="74">
        <f t="shared" si="3"/>
        <v>0</v>
      </c>
      <c r="H26" s="74">
        <f t="shared" si="4"/>
        <v>0</v>
      </c>
    </row>
    <row r="27" spans="1:8" ht="19.5" customHeight="1" x14ac:dyDescent="0.25">
      <c r="A27" s="30"/>
      <c r="B27" s="30"/>
      <c r="C27" s="31"/>
      <c r="D27" s="31"/>
      <c r="E27" s="74">
        <f t="shared" si="0"/>
        <v>0</v>
      </c>
      <c r="F27" s="31"/>
      <c r="G27" s="74">
        <f t="shared" si="3"/>
        <v>0</v>
      </c>
      <c r="H27" s="74">
        <f t="shared" si="4"/>
        <v>0</v>
      </c>
    </row>
    <row r="28" spans="1:8" ht="19.5" customHeight="1" x14ac:dyDescent="0.25">
      <c r="A28" s="30"/>
      <c r="B28" s="30"/>
      <c r="C28" s="31"/>
      <c r="D28" s="31"/>
      <c r="E28" s="74">
        <f t="shared" si="0"/>
        <v>0</v>
      </c>
      <c r="F28" s="31"/>
      <c r="G28" s="74">
        <f t="shared" si="3"/>
        <v>0</v>
      </c>
      <c r="H28" s="74">
        <f t="shared" si="4"/>
        <v>0</v>
      </c>
    </row>
    <row r="29" spans="1:8" ht="19.5" customHeight="1" x14ac:dyDescent="0.25">
      <c r="A29" s="30"/>
      <c r="B29" s="30"/>
      <c r="C29" s="31"/>
      <c r="D29" s="31"/>
      <c r="E29" s="74">
        <f t="shared" si="0"/>
        <v>0</v>
      </c>
      <c r="F29" s="31"/>
      <c r="G29" s="74">
        <f t="shared" si="3"/>
        <v>0</v>
      </c>
      <c r="H29" s="74">
        <f t="shared" si="4"/>
        <v>0</v>
      </c>
    </row>
    <row r="30" spans="1:8" ht="19.5" customHeight="1" x14ac:dyDescent="0.25">
      <c r="A30" s="30"/>
      <c r="B30" s="30"/>
      <c r="C30" s="31"/>
      <c r="D30" s="31"/>
      <c r="E30" s="74">
        <f>B30*D30</f>
        <v>0</v>
      </c>
      <c r="F30" s="31"/>
      <c r="G30" s="74">
        <f>B30*F30</f>
        <v>0</v>
      </c>
      <c r="H30" s="74">
        <f>E30+G30</f>
        <v>0</v>
      </c>
    </row>
    <row r="31" spans="1:8" ht="19.5" customHeight="1" x14ac:dyDescent="0.25">
      <c r="A31" s="30"/>
      <c r="B31" s="30"/>
      <c r="C31" s="31"/>
      <c r="D31" s="31"/>
      <c r="E31" s="74">
        <f>B31*D31</f>
        <v>0</v>
      </c>
      <c r="F31" s="31"/>
      <c r="G31" s="74">
        <f>B31*F31</f>
        <v>0</v>
      </c>
      <c r="H31" s="74">
        <f>E31+G31</f>
        <v>0</v>
      </c>
    </row>
    <row r="32" spans="1:8" ht="19.5" customHeight="1" x14ac:dyDescent="0.25">
      <c r="A32" s="30"/>
      <c r="B32" s="30"/>
      <c r="C32" s="31"/>
      <c r="D32" s="31"/>
      <c r="E32" s="74">
        <f>B32*D32</f>
        <v>0</v>
      </c>
      <c r="F32" s="31"/>
      <c r="G32" s="74">
        <f>B32*F32</f>
        <v>0</v>
      </c>
      <c r="H32" s="74">
        <f>E32+G32</f>
        <v>0</v>
      </c>
    </row>
    <row r="33" spans="1:10" ht="19.5" customHeight="1" x14ac:dyDescent="0.25">
      <c r="A33" s="30"/>
      <c r="B33" s="30"/>
      <c r="C33" s="31"/>
      <c r="D33" s="31"/>
      <c r="E33" s="74">
        <f>B33*D33</f>
        <v>0</v>
      </c>
      <c r="F33" s="31"/>
      <c r="G33" s="74">
        <f>B33*F33</f>
        <v>0</v>
      </c>
      <c r="H33" s="74">
        <f>E33+G33</f>
        <v>0</v>
      </c>
    </row>
    <row r="34" spans="1:10" ht="19.5" customHeight="1" x14ac:dyDescent="0.25">
      <c r="A34" s="30"/>
      <c r="B34" s="30"/>
      <c r="C34" s="31"/>
      <c r="D34" s="31"/>
      <c r="E34" s="74">
        <f t="shared" si="0"/>
        <v>0</v>
      </c>
      <c r="F34" s="31"/>
      <c r="G34" s="74">
        <f t="shared" si="3"/>
        <v>0</v>
      </c>
      <c r="H34" s="74">
        <f t="shared" si="4"/>
        <v>0</v>
      </c>
    </row>
    <row r="35" spans="1:10" ht="19.5" customHeight="1" x14ac:dyDescent="0.25">
      <c r="A35" s="30"/>
      <c r="B35" s="30"/>
      <c r="C35" s="31"/>
      <c r="D35" s="31"/>
      <c r="E35" s="74">
        <f t="shared" si="0"/>
        <v>0</v>
      </c>
      <c r="F35" s="31"/>
      <c r="G35" s="74">
        <f t="shared" si="3"/>
        <v>0</v>
      </c>
      <c r="H35" s="74">
        <f t="shared" si="4"/>
        <v>0</v>
      </c>
    </row>
    <row r="36" spans="1:10" ht="19.5" customHeight="1" x14ac:dyDescent="0.25">
      <c r="A36" s="30"/>
      <c r="B36" s="30"/>
      <c r="C36" s="31"/>
      <c r="D36" s="31"/>
      <c r="E36" s="74">
        <f t="shared" si="0"/>
        <v>0</v>
      </c>
      <c r="F36" s="31"/>
      <c r="G36" s="74">
        <f t="shared" si="3"/>
        <v>0</v>
      </c>
      <c r="H36" s="74">
        <f t="shared" si="4"/>
        <v>0</v>
      </c>
    </row>
    <row r="37" spans="1:10" ht="19.5" customHeight="1" x14ac:dyDescent="0.25">
      <c r="A37" s="30"/>
      <c r="B37" s="30"/>
      <c r="C37" s="31"/>
      <c r="D37" s="31"/>
      <c r="E37" s="74">
        <f t="shared" si="0"/>
        <v>0</v>
      </c>
      <c r="F37" s="31"/>
      <c r="G37" s="74">
        <f t="shared" si="3"/>
        <v>0</v>
      </c>
      <c r="H37" s="74">
        <f t="shared" si="4"/>
        <v>0</v>
      </c>
    </row>
    <row r="38" spans="1:10" ht="19.5" customHeight="1" x14ac:dyDescent="0.25">
      <c r="A38" s="30"/>
      <c r="B38" s="30"/>
      <c r="C38" s="31"/>
      <c r="D38" s="31"/>
      <c r="E38" s="74">
        <f t="shared" si="0"/>
        <v>0</v>
      </c>
      <c r="F38" s="31"/>
      <c r="G38" s="74">
        <f t="shared" si="3"/>
        <v>0</v>
      </c>
      <c r="H38" s="74">
        <f t="shared" si="4"/>
        <v>0</v>
      </c>
    </row>
    <row r="39" spans="1:10" ht="19.5" customHeight="1" x14ac:dyDescent="0.25">
      <c r="A39" s="30"/>
      <c r="B39" s="30"/>
      <c r="C39" s="31"/>
      <c r="D39" s="31"/>
      <c r="E39" s="74">
        <f t="shared" si="0"/>
        <v>0</v>
      </c>
      <c r="F39" s="31"/>
      <c r="G39" s="74">
        <f t="shared" si="3"/>
        <v>0</v>
      </c>
      <c r="H39" s="74">
        <f t="shared" si="4"/>
        <v>0</v>
      </c>
    </row>
    <row r="40" spans="1:10" ht="19.5" customHeight="1" x14ac:dyDescent="0.25">
      <c r="A40" s="30"/>
      <c r="B40" s="30"/>
      <c r="C40" s="31"/>
      <c r="D40" s="31"/>
      <c r="E40" s="74">
        <f t="shared" si="0"/>
        <v>0</v>
      </c>
      <c r="F40" s="31"/>
      <c r="G40" s="74">
        <f t="shared" si="3"/>
        <v>0</v>
      </c>
      <c r="H40" s="74">
        <f t="shared" si="4"/>
        <v>0</v>
      </c>
    </row>
    <row r="41" spans="1:10" ht="19.5" customHeight="1" x14ac:dyDescent="0.25">
      <c r="A41" s="30"/>
      <c r="B41" s="30"/>
      <c r="C41" s="31"/>
      <c r="D41" s="31"/>
      <c r="E41" s="74">
        <f t="shared" si="0"/>
        <v>0</v>
      </c>
      <c r="F41" s="31"/>
      <c r="G41" s="74">
        <f t="shared" si="3"/>
        <v>0</v>
      </c>
      <c r="H41" s="74">
        <f t="shared" si="4"/>
        <v>0</v>
      </c>
    </row>
    <row r="42" spans="1:10" ht="19.5" customHeight="1" x14ac:dyDescent="0.3">
      <c r="A42" s="29" t="s">
        <v>127</v>
      </c>
      <c r="B42" s="30"/>
      <c r="C42" s="31"/>
      <c r="D42" s="31"/>
      <c r="E42" s="74">
        <f>SUM(E14:E40)</f>
        <v>0</v>
      </c>
      <c r="F42" s="31"/>
      <c r="G42" s="74">
        <f>SUM(G14:G40)</f>
        <v>0</v>
      </c>
      <c r="H42" s="45"/>
      <c r="I42" s="10"/>
      <c r="J42" s="10"/>
    </row>
    <row r="43" spans="1:10" ht="19.5" customHeight="1" x14ac:dyDescent="0.3">
      <c r="A43" s="29" t="s">
        <v>104</v>
      </c>
      <c r="B43" s="30"/>
      <c r="C43" s="31"/>
      <c r="D43" s="31"/>
      <c r="E43" s="41"/>
      <c r="F43" s="31"/>
      <c r="G43" s="41"/>
      <c r="H43" s="74">
        <f>SUM(E42:G42)</f>
        <v>0</v>
      </c>
      <c r="J43" s="10"/>
    </row>
    <row r="44" spans="1:10" ht="19.5" customHeight="1" x14ac:dyDescent="0.35">
      <c r="A44" s="29" t="s">
        <v>128</v>
      </c>
      <c r="B44" s="30"/>
      <c r="C44" s="31"/>
      <c r="D44" s="31"/>
      <c r="E44" s="31"/>
      <c r="F44" s="31"/>
      <c r="G44" s="93">
        <f>Summary!G20</f>
        <v>0</v>
      </c>
      <c r="H44" s="74">
        <f>SUM(H43*G44)</f>
        <v>0</v>
      </c>
    </row>
    <row r="45" spans="1:10" ht="19.5" customHeight="1" x14ac:dyDescent="0.35">
      <c r="A45" s="29" t="s">
        <v>129</v>
      </c>
      <c r="B45" s="30"/>
      <c r="C45" s="31"/>
      <c r="D45" s="31"/>
      <c r="E45" s="31"/>
      <c r="F45" s="31"/>
      <c r="G45" s="93">
        <f>Summary!G21</f>
        <v>0</v>
      </c>
      <c r="H45" s="74">
        <f>SUM(H43+H44)*G45</f>
        <v>0</v>
      </c>
      <c r="J45" s="10"/>
    </row>
    <row r="46" spans="1:10" ht="19.5" customHeight="1" x14ac:dyDescent="0.35">
      <c r="A46" s="29" t="s">
        <v>130</v>
      </c>
      <c r="B46" s="30"/>
      <c r="C46" s="31"/>
      <c r="D46" s="31"/>
      <c r="E46" s="31"/>
      <c r="F46" s="31"/>
      <c r="G46" s="93">
        <f>Summary!G22</f>
        <v>0</v>
      </c>
      <c r="H46" s="74">
        <f>SUM(G42*G46)</f>
        <v>0</v>
      </c>
      <c r="J46" s="10"/>
    </row>
    <row r="47" spans="1:10" ht="19.5" customHeight="1" thickBot="1" x14ac:dyDescent="0.35">
      <c r="A47" s="34" t="s">
        <v>124</v>
      </c>
      <c r="B47" s="32"/>
      <c r="C47" s="33"/>
      <c r="D47" s="33"/>
      <c r="E47" s="33"/>
      <c r="F47" s="33"/>
      <c r="G47" s="66"/>
      <c r="H47" s="75">
        <f>SUM(H43:H46)</f>
        <v>0</v>
      </c>
      <c r="J47" s="10"/>
    </row>
    <row r="48" spans="1:10" ht="19.5" customHeight="1" thickTop="1" x14ac:dyDescent="0.25">
      <c r="A48" s="35"/>
      <c r="B48" s="35"/>
      <c r="C48" s="36"/>
      <c r="D48" s="36"/>
      <c r="E48" s="36"/>
      <c r="F48" s="36"/>
      <c r="G48" s="36"/>
      <c r="H48" s="36"/>
      <c r="J48" s="10"/>
    </row>
    <row r="49" spans="1:9" ht="19.5" customHeight="1" x14ac:dyDescent="0.25">
      <c r="A49" s="35"/>
      <c r="B49" s="35"/>
      <c r="C49" s="36"/>
      <c r="D49" s="36"/>
      <c r="E49" s="36"/>
      <c r="F49" s="36"/>
      <c r="G49" s="36"/>
      <c r="H49" s="36"/>
    </row>
    <row r="50" spans="1:9" ht="19.5" customHeight="1" x14ac:dyDescent="0.25">
      <c r="A50" s="35"/>
      <c r="B50" s="35"/>
      <c r="C50" s="36"/>
      <c r="D50" s="36"/>
      <c r="E50" s="36"/>
      <c r="F50" s="36"/>
      <c r="G50" s="36"/>
      <c r="H50" s="36"/>
    </row>
    <row r="51" spans="1:9" ht="19.5" customHeight="1" x14ac:dyDescent="0.25">
      <c r="A51" s="35"/>
      <c r="B51" s="35"/>
      <c r="C51" s="36"/>
      <c r="D51" s="36"/>
      <c r="E51" s="36"/>
      <c r="F51" s="36"/>
      <c r="G51" s="36"/>
      <c r="H51" s="36"/>
    </row>
    <row r="52" spans="1:9" ht="19.5" customHeight="1" x14ac:dyDescent="0.25">
      <c r="A52" s="35"/>
      <c r="B52" s="35"/>
      <c r="C52" s="36"/>
      <c r="D52" s="36"/>
      <c r="E52" s="36"/>
      <c r="F52" s="36"/>
      <c r="G52" s="36"/>
      <c r="H52" s="36"/>
    </row>
    <row r="53" spans="1:9" ht="19.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12.75" customHeight="1" x14ac:dyDescent="0.25">
      <c r="A73" s="35"/>
      <c r="B73" s="35"/>
      <c r="C73" s="36"/>
      <c r="D73" s="36"/>
      <c r="E73" s="36"/>
      <c r="F73" s="36"/>
      <c r="G73" s="36"/>
      <c r="H73" s="36"/>
      <c r="I73" s="35"/>
    </row>
    <row r="74" spans="1:9" ht="12.75" customHeight="1" x14ac:dyDescent="0.25">
      <c r="A74" s="35"/>
      <c r="B74" s="35"/>
      <c r="C74" s="36"/>
      <c r="D74" s="36"/>
      <c r="E74" s="36"/>
      <c r="F74" s="36"/>
      <c r="G74" s="36"/>
      <c r="H74" s="36"/>
      <c r="I74" s="35"/>
    </row>
    <row r="75" spans="1:9" ht="12.75" customHeight="1" x14ac:dyDescent="0.25">
      <c r="A75" s="35"/>
      <c r="B75" s="35"/>
      <c r="C75" s="36"/>
      <c r="D75" s="36"/>
      <c r="E75" s="36"/>
      <c r="F75" s="36"/>
      <c r="G75" s="36"/>
      <c r="H75" s="36"/>
      <c r="I75" s="35"/>
    </row>
    <row r="76" spans="1:9" ht="12.75" customHeight="1" x14ac:dyDescent="0.25">
      <c r="A76" s="35"/>
      <c r="B76" s="35"/>
      <c r="C76" s="36"/>
      <c r="D76" s="36"/>
      <c r="E76" s="36"/>
      <c r="F76" s="36"/>
      <c r="G76" s="36"/>
      <c r="H76" s="36"/>
      <c r="I76" s="35"/>
    </row>
    <row r="77" spans="1:9" ht="12.75" customHeight="1" x14ac:dyDescent="0.25">
      <c r="A77" s="35"/>
      <c r="B77" s="35"/>
      <c r="C77" s="36"/>
      <c r="D77" s="36"/>
      <c r="E77" s="36"/>
      <c r="F77" s="36"/>
      <c r="G77" s="36"/>
      <c r="H77" s="36"/>
      <c r="I77" s="35"/>
    </row>
    <row r="78" spans="1:9" ht="12.75" customHeight="1" x14ac:dyDescent="0.25">
      <c r="A78" s="35"/>
      <c r="B78" s="35"/>
      <c r="C78" s="36"/>
      <c r="D78" s="36"/>
      <c r="E78" s="36"/>
      <c r="F78" s="36"/>
      <c r="G78" s="36"/>
      <c r="H78" s="36"/>
      <c r="I78" s="35"/>
    </row>
    <row r="79" spans="1:9" ht="12.75" customHeight="1" x14ac:dyDescent="0.25">
      <c r="A79" s="35"/>
      <c r="B79" s="35"/>
      <c r="C79" s="36"/>
      <c r="D79" s="36"/>
      <c r="E79" s="36"/>
      <c r="F79" s="36"/>
      <c r="G79" s="36"/>
      <c r="H79" s="36"/>
      <c r="I79" s="35"/>
    </row>
    <row r="80" spans="1:9" ht="12.75" customHeight="1" x14ac:dyDescent="0.25">
      <c r="A80" s="35"/>
      <c r="B80" s="35"/>
      <c r="C80" s="36"/>
      <c r="D80" s="36"/>
      <c r="E80" s="36"/>
      <c r="F80" s="36"/>
      <c r="G80" s="36"/>
      <c r="H80" s="36"/>
      <c r="I80" s="35"/>
    </row>
    <row r="81" spans="1:9" ht="12.75"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20.149999999999999" customHeight="1" x14ac:dyDescent="0.25">
      <c r="A124" s="35"/>
      <c r="B124" s="35"/>
      <c r="C124" s="36"/>
      <c r="D124" s="36"/>
      <c r="E124" s="36"/>
      <c r="F124" s="36"/>
      <c r="G124" s="36"/>
      <c r="H124" s="36"/>
      <c r="I124" s="35"/>
    </row>
    <row r="125" spans="1:9" ht="20.149999999999999" customHeight="1" x14ac:dyDescent="0.25">
      <c r="A125" s="35"/>
      <c r="B125" s="35"/>
      <c r="C125" s="36"/>
      <c r="D125" s="36"/>
      <c r="E125" s="36"/>
      <c r="F125" s="36"/>
      <c r="G125" s="36"/>
      <c r="H125" s="36"/>
      <c r="I125" s="35"/>
    </row>
    <row r="126" spans="1:9" ht="20.149999999999999" customHeight="1" x14ac:dyDescent="0.25">
      <c r="A126" s="35"/>
      <c r="B126" s="35"/>
      <c r="C126" s="36"/>
      <c r="D126" s="36"/>
      <c r="E126" s="36"/>
      <c r="F126" s="36"/>
      <c r="G126" s="36"/>
      <c r="H126" s="36"/>
      <c r="I126" s="35"/>
    </row>
    <row r="127" spans="1:9" ht="20.149999999999999" customHeight="1" x14ac:dyDescent="0.25">
      <c r="A127" s="35"/>
      <c r="B127" s="35"/>
      <c r="C127" s="36"/>
      <c r="D127" s="36"/>
      <c r="E127" s="36"/>
      <c r="F127" s="36"/>
      <c r="G127" s="36"/>
      <c r="H127" s="36"/>
      <c r="I127" s="35"/>
    </row>
    <row r="128" spans="1:9" ht="20.149999999999999" customHeight="1" x14ac:dyDescent="0.25">
      <c r="A128" s="35"/>
      <c r="B128" s="35"/>
      <c r="C128" s="36"/>
      <c r="D128" s="36"/>
      <c r="E128" s="36"/>
      <c r="F128" s="36"/>
      <c r="G128" s="36"/>
      <c r="H128" s="36"/>
      <c r="I128" s="35"/>
    </row>
    <row r="129" spans="1:9" ht="20.149999999999999" customHeight="1" x14ac:dyDescent="0.25">
      <c r="A129" s="35"/>
      <c r="B129" s="35"/>
      <c r="C129" s="36"/>
      <c r="D129" s="36"/>
      <c r="E129" s="36"/>
      <c r="F129" s="36"/>
      <c r="G129" s="36"/>
      <c r="H129" s="36"/>
      <c r="I129" s="35"/>
    </row>
    <row r="130" spans="1:9" ht="20.149999999999999" customHeight="1" x14ac:dyDescent="0.25">
      <c r="A130" s="35"/>
      <c r="B130" s="35"/>
      <c r="C130" s="36"/>
      <c r="D130" s="36"/>
      <c r="E130" s="36"/>
      <c r="F130" s="36"/>
      <c r="G130" s="36"/>
      <c r="H130" s="36"/>
      <c r="I130" s="35"/>
    </row>
    <row r="131" spans="1:9" ht="20.149999999999999" customHeight="1" x14ac:dyDescent="0.25">
      <c r="A131" s="35"/>
      <c r="B131" s="35"/>
      <c r="C131" s="36"/>
      <c r="D131" s="36"/>
      <c r="E131" s="36"/>
      <c r="F131" s="36"/>
      <c r="G131" s="36"/>
      <c r="H131" s="36"/>
      <c r="I131" s="35"/>
    </row>
    <row r="132" spans="1:9" ht="20.149999999999999" customHeight="1"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A210" s="35"/>
      <c r="B210" s="35"/>
      <c r="C210" s="36"/>
      <c r="D210" s="36"/>
      <c r="E210" s="36"/>
      <c r="F210" s="36"/>
      <c r="G210" s="36"/>
      <c r="H210" s="36"/>
      <c r="I210" s="35"/>
    </row>
    <row r="211" spans="1:9" ht="12.5" x14ac:dyDescent="0.25">
      <c r="A211" s="35"/>
      <c r="B211" s="35"/>
      <c r="C211" s="36"/>
      <c r="D211" s="36"/>
      <c r="E211" s="36"/>
      <c r="F211" s="36"/>
      <c r="G211" s="36"/>
      <c r="H211" s="36"/>
      <c r="I211" s="35"/>
    </row>
    <row r="212" spans="1:9" ht="12.5" x14ac:dyDescent="0.25">
      <c r="A212" s="35"/>
      <c r="B212" s="35"/>
      <c r="C212" s="36"/>
      <c r="D212" s="36"/>
      <c r="E212" s="36"/>
      <c r="F212" s="36"/>
      <c r="G212" s="36"/>
      <c r="H212" s="36"/>
      <c r="I212" s="35"/>
    </row>
    <row r="213" spans="1:9" ht="12.5" x14ac:dyDescent="0.25">
      <c r="A213" s="35"/>
      <c r="B213" s="35"/>
      <c r="C213" s="36"/>
      <c r="D213" s="36"/>
      <c r="E213" s="36"/>
      <c r="F213" s="36"/>
      <c r="G213" s="36"/>
      <c r="H213" s="36"/>
      <c r="I213" s="35"/>
    </row>
    <row r="214" spans="1:9" ht="12.5" x14ac:dyDescent="0.25">
      <c r="A214" s="35"/>
      <c r="B214" s="35"/>
      <c r="C214" s="36"/>
      <c r="D214" s="36"/>
      <c r="E214" s="36"/>
      <c r="F214" s="36"/>
      <c r="G214" s="36"/>
      <c r="H214" s="36"/>
      <c r="I214" s="35"/>
    </row>
    <row r="215" spans="1:9" ht="12.5" x14ac:dyDescent="0.25">
      <c r="I215" s="35"/>
    </row>
    <row r="216" spans="1:9" ht="12.5" x14ac:dyDescent="0.25">
      <c r="I216" s="35"/>
    </row>
    <row r="217" spans="1:9" ht="12.5" x14ac:dyDescent="0.25">
      <c r="I217" s="35"/>
    </row>
    <row r="218" spans="1:9" ht="12.5" x14ac:dyDescent="0.25">
      <c r="I218" s="35"/>
    </row>
    <row r="219" spans="1:9" ht="12.5" x14ac:dyDescent="0.25">
      <c r="I219" s="35"/>
    </row>
  </sheetData>
  <mergeCells count="1">
    <mergeCell ref="A1:C2"/>
  </mergeCells>
  <printOptions horizontalCentered="1" verticalCentered="1" gridLinesSet="0"/>
  <pageMargins left="0.25" right="0.25" top="0.75" bottom="0.75" header="0.3" footer="0.3"/>
  <pageSetup scale="71" orientation="portrait" horizontalDpi="1200" vertic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210"/>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8.7265625" style="6" bestFit="1"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Summary!B19</f>
        <v>THERMAL AND MOISTURE PROTECTION</v>
      </c>
      <c r="B13" s="41"/>
      <c r="C13" s="45"/>
      <c r="D13" s="53"/>
      <c r="E13" s="45"/>
      <c r="F13" s="53"/>
      <c r="G13" s="45"/>
      <c r="H13" s="45"/>
    </row>
    <row r="14" spans="1:9" ht="19.5" customHeight="1" x14ac:dyDescent="0.25">
      <c r="A14" s="30"/>
      <c r="B14" s="44"/>
      <c r="C14" s="45"/>
      <c r="D14" s="45"/>
      <c r="E14" s="89">
        <f>B14*D14</f>
        <v>0</v>
      </c>
      <c r="F14" s="45"/>
      <c r="G14" s="89">
        <f t="shared" ref="G14:G37" si="0">B14*F14</f>
        <v>0</v>
      </c>
      <c r="H14" s="89">
        <f t="shared" ref="H14:H37" si="1">E14+G14</f>
        <v>0</v>
      </c>
    </row>
    <row r="15" spans="1:9" ht="19.5" customHeight="1" x14ac:dyDescent="0.25">
      <c r="A15" s="30"/>
      <c r="B15" s="30"/>
      <c r="C15" s="31"/>
      <c r="D15" s="31"/>
      <c r="E15" s="74">
        <f>B15*D15</f>
        <v>0</v>
      </c>
      <c r="F15" s="31"/>
      <c r="G15" s="74">
        <f t="shared" si="0"/>
        <v>0</v>
      </c>
      <c r="H15" s="74">
        <f t="shared" si="1"/>
        <v>0</v>
      </c>
    </row>
    <row r="16" spans="1:9" ht="19.5" customHeight="1" x14ac:dyDescent="0.25">
      <c r="A16" s="30"/>
      <c r="B16" s="30"/>
      <c r="C16" s="31"/>
      <c r="D16" s="31"/>
      <c r="E16" s="74">
        <f t="shared" ref="E16:E37" si="2">B16*D16</f>
        <v>0</v>
      </c>
      <c r="F16" s="31"/>
      <c r="G16" s="74">
        <f t="shared" si="0"/>
        <v>0</v>
      </c>
      <c r="H16" s="74">
        <f t="shared" si="1"/>
        <v>0</v>
      </c>
    </row>
    <row r="17" spans="1:8" ht="19.5" customHeight="1" x14ac:dyDescent="0.25">
      <c r="A17" s="30"/>
      <c r="B17" s="30"/>
      <c r="C17" s="31"/>
      <c r="D17" s="31"/>
      <c r="E17" s="74">
        <f t="shared" si="2"/>
        <v>0</v>
      </c>
      <c r="F17" s="31"/>
      <c r="G17" s="74">
        <f t="shared" si="0"/>
        <v>0</v>
      </c>
      <c r="H17" s="74">
        <f t="shared" si="1"/>
        <v>0</v>
      </c>
    </row>
    <row r="18" spans="1:8" ht="19.5" customHeight="1" x14ac:dyDescent="0.25">
      <c r="A18" s="30"/>
      <c r="B18" s="30"/>
      <c r="C18" s="31"/>
      <c r="D18" s="31"/>
      <c r="E18" s="74">
        <f t="shared" si="2"/>
        <v>0</v>
      </c>
      <c r="F18" s="31"/>
      <c r="G18" s="74">
        <f t="shared" si="0"/>
        <v>0</v>
      </c>
      <c r="H18" s="74">
        <f t="shared" si="1"/>
        <v>0</v>
      </c>
    </row>
    <row r="19" spans="1:8" ht="19.5" customHeight="1" x14ac:dyDescent="0.25">
      <c r="A19" s="30"/>
      <c r="B19" s="30"/>
      <c r="C19" s="31"/>
      <c r="D19" s="31"/>
      <c r="E19" s="74">
        <f t="shared" si="2"/>
        <v>0</v>
      </c>
      <c r="F19" s="31"/>
      <c r="G19" s="74">
        <f t="shared" si="0"/>
        <v>0</v>
      </c>
      <c r="H19" s="74">
        <f t="shared" si="1"/>
        <v>0</v>
      </c>
    </row>
    <row r="20" spans="1:8" ht="19.5" customHeight="1" x14ac:dyDescent="0.25">
      <c r="A20" s="30"/>
      <c r="B20" s="30"/>
      <c r="C20" s="31"/>
      <c r="D20" s="31"/>
      <c r="E20" s="74">
        <f t="shared" si="2"/>
        <v>0</v>
      </c>
      <c r="F20" s="31"/>
      <c r="G20" s="74">
        <f t="shared" si="0"/>
        <v>0</v>
      </c>
      <c r="H20" s="74">
        <f t="shared" si="1"/>
        <v>0</v>
      </c>
    </row>
    <row r="21" spans="1:8" ht="19.5" customHeight="1" x14ac:dyDescent="0.25">
      <c r="A21" s="30"/>
      <c r="B21" s="30"/>
      <c r="C21" s="31"/>
      <c r="D21" s="31"/>
      <c r="E21" s="74">
        <f t="shared" si="2"/>
        <v>0</v>
      </c>
      <c r="F21" s="31"/>
      <c r="G21" s="74">
        <f t="shared" si="0"/>
        <v>0</v>
      </c>
      <c r="H21" s="74">
        <f t="shared" si="1"/>
        <v>0</v>
      </c>
    </row>
    <row r="22" spans="1:8" ht="19.5" customHeight="1" x14ac:dyDescent="0.25">
      <c r="A22" s="30"/>
      <c r="B22" s="30"/>
      <c r="C22" s="31"/>
      <c r="D22" s="31"/>
      <c r="E22" s="74">
        <f t="shared" si="2"/>
        <v>0</v>
      </c>
      <c r="F22" s="31"/>
      <c r="G22" s="74">
        <f t="shared" si="0"/>
        <v>0</v>
      </c>
      <c r="H22" s="74">
        <f t="shared" si="1"/>
        <v>0</v>
      </c>
    </row>
    <row r="23" spans="1:8" ht="19.5" customHeight="1" x14ac:dyDescent="0.25">
      <c r="A23" s="30"/>
      <c r="B23" s="30"/>
      <c r="C23" s="31"/>
      <c r="D23" s="31"/>
      <c r="E23" s="74">
        <f t="shared" si="2"/>
        <v>0</v>
      </c>
      <c r="F23" s="31"/>
      <c r="G23" s="74">
        <f t="shared" si="0"/>
        <v>0</v>
      </c>
      <c r="H23" s="74">
        <f t="shared" si="1"/>
        <v>0</v>
      </c>
    </row>
    <row r="24" spans="1:8" ht="19.5" customHeight="1" x14ac:dyDescent="0.25">
      <c r="A24" s="30"/>
      <c r="B24" s="30"/>
      <c r="C24" s="31"/>
      <c r="D24" s="31"/>
      <c r="E24" s="74">
        <f t="shared" si="2"/>
        <v>0</v>
      </c>
      <c r="F24" s="31"/>
      <c r="G24" s="74">
        <f t="shared" si="0"/>
        <v>0</v>
      </c>
      <c r="H24" s="74">
        <f t="shared" si="1"/>
        <v>0</v>
      </c>
    </row>
    <row r="25" spans="1:8" ht="19.5" customHeight="1" x14ac:dyDescent="0.25">
      <c r="A25" s="30"/>
      <c r="B25" s="30"/>
      <c r="C25" s="31"/>
      <c r="D25" s="31"/>
      <c r="E25" s="74">
        <f t="shared" si="2"/>
        <v>0</v>
      </c>
      <c r="F25" s="31"/>
      <c r="G25" s="74">
        <f t="shared" si="0"/>
        <v>0</v>
      </c>
      <c r="H25" s="74">
        <f t="shared" si="1"/>
        <v>0</v>
      </c>
    </row>
    <row r="26" spans="1:8" ht="19.5" customHeight="1" x14ac:dyDescent="0.25">
      <c r="A26" s="30"/>
      <c r="B26" s="30"/>
      <c r="C26" s="31"/>
      <c r="D26" s="31"/>
      <c r="E26" s="74">
        <f t="shared" si="2"/>
        <v>0</v>
      </c>
      <c r="F26" s="31"/>
      <c r="G26" s="74">
        <f t="shared" si="0"/>
        <v>0</v>
      </c>
      <c r="H26" s="74">
        <f t="shared" si="1"/>
        <v>0</v>
      </c>
    </row>
    <row r="27" spans="1:8" ht="19.5" customHeight="1" x14ac:dyDescent="0.25">
      <c r="A27" s="30"/>
      <c r="B27" s="30"/>
      <c r="C27" s="31"/>
      <c r="D27" s="31"/>
      <c r="E27" s="74">
        <f t="shared" si="2"/>
        <v>0</v>
      </c>
      <c r="F27" s="31"/>
      <c r="G27" s="74">
        <f t="shared" si="0"/>
        <v>0</v>
      </c>
      <c r="H27" s="74">
        <f t="shared" si="1"/>
        <v>0</v>
      </c>
    </row>
    <row r="28" spans="1:8" ht="19.5" customHeight="1" x14ac:dyDescent="0.25">
      <c r="A28" s="30"/>
      <c r="B28" s="30"/>
      <c r="C28" s="31"/>
      <c r="D28" s="31"/>
      <c r="E28" s="74">
        <f t="shared" si="2"/>
        <v>0</v>
      </c>
      <c r="F28" s="31"/>
      <c r="G28" s="74">
        <f t="shared" si="0"/>
        <v>0</v>
      </c>
      <c r="H28" s="74">
        <f t="shared" si="1"/>
        <v>0</v>
      </c>
    </row>
    <row r="29" spans="1:8" ht="19.5" customHeight="1" x14ac:dyDescent="0.25">
      <c r="A29" s="30"/>
      <c r="B29" s="30"/>
      <c r="C29" s="31"/>
      <c r="D29" s="31"/>
      <c r="E29" s="74">
        <f t="shared" si="2"/>
        <v>0</v>
      </c>
      <c r="F29" s="31"/>
      <c r="G29" s="74">
        <f t="shared" si="0"/>
        <v>0</v>
      </c>
      <c r="H29" s="74">
        <f t="shared" si="1"/>
        <v>0</v>
      </c>
    </row>
    <row r="30" spans="1:8" ht="19.5" customHeight="1" x14ac:dyDescent="0.25">
      <c r="A30" s="30"/>
      <c r="B30" s="30"/>
      <c r="C30" s="31"/>
      <c r="D30" s="31"/>
      <c r="E30" s="74">
        <f t="shared" si="2"/>
        <v>0</v>
      </c>
      <c r="F30" s="31"/>
      <c r="G30" s="74">
        <f t="shared" si="0"/>
        <v>0</v>
      </c>
      <c r="H30" s="74">
        <f t="shared" si="1"/>
        <v>0</v>
      </c>
    </row>
    <row r="31" spans="1:8" ht="19.5" customHeight="1" x14ac:dyDescent="0.25">
      <c r="A31" s="30"/>
      <c r="B31" s="30"/>
      <c r="C31" s="31"/>
      <c r="D31" s="31"/>
      <c r="E31" s="74">
        <f t="shared" si="2"/>
        <v>0</v>
      </c>
      <c r="F31" s="31"/>
      <c r="G31" s="74">
        <f t="shared" si="0"/>
        <v>0</v>
      </c>
      <c r="H31" s="74">
        <f t="shared" si="1"/>
        <v>0</v>
      </c>
    </row>
    <row r="32" spans="1:8" ht="19.5" customHeight="1" x14ac:dyDescent="0.25">
      <c r="A32" s="30"/>
      <c r="B32" s="30"/>
      <c r="C32" s="31"/>
      <c r="D32" s="31"/>
      <c r="E32" s="74">
        <f t="shared" si="2"/>
        <v>0</v>
      </c>
      <c r="F32" s="31"/>
      <c r="G32" s="74">
        <f t="shared" si="0"/>
        <v>0</v>
      </c>
      <c r="H32" s="74">
        <f t="shared" si="1"/>
        <v>0</v>
      </c>
    </row>
    <row r="33" spans="1:10" ht="19.5" customHeight="1" x14ac:dyDescent="0.25">
      <c r="A33" s="30"/>
      <c r="B33" s="30"/>
      <c r="C33" s="31"/>
      <c r="D33" s="31"/>
      <c r="E33" s="74">
        <f t="shared" si="2"/>
        <v>0</v>
      </c>
      <c r="F33" s="31"/>
      <c r="G33" s="74">
        <f t="shared" si="0"/>
        <v>0</v>
      </c>
      <c r="H33" s="74">
        <f t="shared" si="1"/>
        <v>0</v>
      </c>
    </row>
    <row r="34" spans="1:10" ht="19.5" customHeight="1" x14ac:dyDescent="0.25">
      <c r="A34" s="30"/>
      <c r="B34" s="30"/>
      <c r="C34" s="31"/>
      <c r="D34" s="31"/>
      <c r="E34" s="74">
        <f t="shared" si="2"/>
        <v>0</v>
      </c>
      <c r="F34" s="31"/>
      <c r="G34" s="74">
        <f t="shared" si="0"/>
        <v>0</v>
      </c>
      <c r="H34" s="74">
        <f t="shared" si="1"/>
        <v>0</v>
      </c>
    </row>
    <row r="35" spans="1:10" ht="19.5" customHeight="1" x14ac:dyDescent="0.25">
      <c r="A35" s="30"/>
      <c r="B35" s="30"/>
      <c r="C35" s="31"/>
      <c r="D35" s="31"/>
      <c r="E35" s="74">
        <f t="shared" si="2"/>
        <v>0</v>
      </c>
      <c r="F35" s="31"/>
      <c r="G35" s="74">
        <f t="shared" si="0"/>
        <v>0</v>
      </c>
      <c r="H35" s="74">
        <f t="shared" si="1"/>
        <v>0</v>
      </c>
    </row>
    <row r="36" spans="1:10" ht="19.5" customHeight="1" x14ac:dyDescent="0.25">
      <c r="A36" s="30"/>
      <c r="B36" s="30"/>
      <c r="C36" s="31"/>
      <c r="D36" s="31"/>
      <c r="E36" s="74">
        <f t="shared" si="2"/>
        <v>0</v>
      </c>
      <c r="F36" s="31"/>
      <c r="G36" s="74">
        <f t="shared" si="0"/>
        <v>0</v>
      </c>
      <c r="H36" s="74">
        <f t="shared" si="1"/>
        <v>0</v>
      </c>
    </row>
    <row r="37" spans="1:10" ht="19.5" customHeight="1" x14ac:dyDescent="0.25">
      <c r="A37" s="30"/>
      <c r="B37" s="30"/>
      <c r="C37" s="31"/>
      <c r="D37" s="31"/>
      <c r="E37" s="74">
        <f t="shared" si="2"/>
        <v>0</v>
      </c>
      <c r="F37" s="31"/>
      <c r="G37" s="74">
        <f t="shared" si="0"/>
        <v>0</v>
      </c>
      <c r="H37" s="74">
        <f t="shared" si="1"/>
        <v>0</v>
      </c>
    </row>
    <row r="38" spans="1:10" ht="19.5" customHeight="1" x14ac:dyDescent="0.3">
      <c r="A38" s="29" t="s">
        <v>127</v>
      </c>
      <c r="B38" s="30"/>
      <c r="C38" s="31"/>
      <c r="D38" s="31"/>
      <c r="E38" s="74">
        <f>SUM(E14:E37)</f>
        <v>0</v>
      </c>
      <c r="F38" s="31"/>
      <c r="G38" s="74">
        <f>SUM(G14:G37)</f>
        <v>0</v>
      </c>
      <c r="H38" s="53"/>
    </row>
    <row r="39" spans="1:10" ht="19.5" customHeight="1" x14ac:dyDescent="0.3">
      <c r="A39" s="29" t="s">
        <v>104</v>
      </c>
      <c r="B39" s="30"/>
      <c r="C39" s="31"/>
      <c r="D39" s="31"/>
      <c r="E39" s="41"/>
      <c r="F39" s="31"/>
      <c r="G39" s="41"/>
      <c r="H39" s="74">
        <f>E38+G38</f>
        <v>0</v>
      </c>
      <c r="J39" s="10"/>
    </row>
    <row r="40" spans="1:10" ht="19.5" customHeight="1" x14ac:dyDescent="0.35">
      <c r="A40" s="29" t="s">
        <v>128</v>
      </c>
      <c r="B40" s="30"/>
      <c r="C40" s="31"/>
      <c r="D40" s="31"/>
      <c r="E40" s="31"/>
      <c r="F40" s="31"/>
      <c r="G40" s="93">
        <f>Summary!G20</f>
        <v>0</v>
      </c>
      <c r="H40" s="74">
        <f>SUM(H39*G40)</f>
        <v>0</v>
      </c>
    </row>
    <row r="41" spans="1:10" ht="19.5" customHeight="1" x14ac:dyDescent="0.35">
      <c r="A41" s="29" t="s">
        <v>129</v>
      </c>
      <c r="B41" s="30"/>
      <c r="C41" s="31"/>
      <c r="D41" s="31"/>
      <c r="E41" s="31"/>
      <c r="F41" s="31"/>
      <c r="G41" s="93">
        <f>Summary!G21</f>
        <v>0</v>
      </c>
      <c r="H41" s="74">
        <f>SUM(H39+H40)*G41</f>
        <v>0</v>
      </c>
    </row>
    <row r="42" spans="1:10" ht="19.5" customHeight="1" x14ac:dyDescent="0.35">
      <c r="A42" s="29" t="s">
        <v>130</v>
      </c>
      <c r="B42" s="30"/>
      <c r="C42" s="31"/>
      <c r="D42" s="31"/>
      <c r="E42" s="31"/>
      <c r="F42" s="31"/>
      <c r="G42" s="93">
        <f>Summary!G22</f>
        <v>0</v>
      </c>
      <c r="H42" s="74">
        <f>SUM(G38*G42)</f>
        <v>0</v>
      </c>
    </row>
    <row r="43" spans="1:10" ht="19.5" customHeight="1" thickBot="1" x14ac:dyDescent="0.35">
      <c r="A43" s="34" t="s">
        <v>124</v>
      </c>
      <c r="B43" s="32"/>
      <c r="C43" s="33"/>
      <c r="D43" s="33"/>
      <c r="E43" s="33"/>
      <c r="F43" s="33"/>
      <c r="G43" s="66"/>
      <c r="H43" s="75">
        <f>SUM(H39:H42)</f>
        <v>0</v>
      </c>
    </row>
    <row r="44" spans="1:10" ht="12.75" customHeight="1" thickTop="1" x14ac:dyDescent="0.25">
      <c r="A44" s="35"/>
      <c r="B44" s="35"/>
      <c r="C44" s="36"/>
      <c r="D44" s="36"/>
      <c r="E44" s="36"/>
      <c r="F44" s="36"/>
      <c r="G44" s="36"/>
      <c r="H44" s="36"/>
      <c r="I44" s="35"/>
    </row>
    <row r="45" spans="1:10" ht="12.75" customHeight="1" x14ac:dyDescent="0.25">
      <c r="A45" s="35"/>
      <c r="B45" s="35"/>
      <c r="C45" s="36"/>
      <c r="D45" s="36"/>
      <c r="E45" s="36"/>
      <c r="F45" s="36"/>
      <c r="G45" s="36"/>
      <c r="H45" s="36"/>
      <c r="I45" s="35"/>
    </row>
    <row r="46" spans="1:10" ht="12.75" customHeight="1" x14ac:dyDescent="0.25">
      <c r="A46" s="35"/>
      <c r="B46" s="35"/>
      <c r="C46" s="36"/>
      <c r="D46" s="36"/>
      <c r="E46" s="36"/>
      <c r="F46" s="36"/>
      <c r="G46" s="36"/>
      <c r="H46" s="36"/>
      <c r="I46" s="35"/>
    </row>
    <row r="47" spans="1:10" ht="12.75" customHeight="1" x14ac:dyDescent="0.25">
      <c r="A47" s="35"/>
      <c r="B47" s="35"/>
      <c r="C47" s="36"/>
      <c r="D47" s="36"/>
      <c r="E47" s="36"/>
      <c r="F47" s="36"/>
      <c r="G47" s="36"/>
      <c r="H47" s="36"/>
      <c r="I47" s="35"/>
    </row>
    <row r="48" spans="1:10"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A210" s="35"/>
      <c r="B210" s="35"/>
      <c r="C210" s="36"/>
      <c r="D210" s="36"/>
      <c r="E210" s="36"/>
      <c r="F210" s="36"/>
      <c r="G210" s="36"/>
      <c r="H210" s="36"/>
      <c r="I210" s="35"/>
    </row>
  </sheetData>
  <mergeCells count="1">
    <mergeCell ref="A1:C2"/>
  </mergeCells>
  <printOptions horizontalCentered="1" verticalCentered="1" gridLinesSet="0"/>
  <pageMargins left="0.25" right="0.25" top="0.75" bottom="0.75" header="0.3" footer="0.3"/>
  <pageSetup scale="77" orientation="portrait" horizontalDpi="1200" verticalDpi="1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14"/>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Summary!B20</f>
        <v>OPENINGS</v>
      </c>
      <c r="B13" s="30"/>
      <c r="C13" s="31"/>
      <c r="D13" s="31"/>
      <c r="E13" s="31"/>
      <c r="F13" s="31"/>
      <c r="G13" s="31"/>
      <c r="H13" s="31"/>
    </row>
    <row r="14" spans="1:9" ht="19.5" customHeight="1" x14ac:dyDescent="0.25">
      <c r="A14" s="101"/>
      <c r="B14" s="30"/>
      <c r="C14" s="31"/>
      <c r="D14" s="31"/>
      <c r="E14" s="74">
        <f t="shared" ref="E14:E41" si="0">B14*D14</f>
        <v>0</v>
      </c>
      <c r="F14" s="31"/>
      <c r="G14" s="74">
        <f t="shared" ref="G14:G41" si="1">B14*F14</f>
        <v>0</v>
      </c>
      <c r="H14" s="74">
        <f t="shared" ref="H14:H41" si="2">E14+G14</f>
        <v>0</v>
      </c>
    </row>
    <row r="15" spans="1:9" ht="19.5" customHeight="1" x14ac:dyDescent="0.25">
      <c r="A15" s="102"/>
      <c r="B15" s="30"/>
      <c r="C15" s="31"/>
      <c r="D15" s="31"/>
      <c r="E15" s="74">
        <f t="shared" si="0"/>
        <v>0</v>
      </c>
      <c r="F15" s="31"/>
      <c r="G15" s="74">
        <f t="shared" si="1"/>
        <v>0</v>
      </c>
      <c r="H15" s="74">
        <f t="shared" si="2"/>
        <v>0</v>
      </c>
    </row>
    <row r="16" spans="1:9" ht="19.5" customHeight="1" x14ac:dyDescent="0.25">
      <c r="A16" s="101"/>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25">
      <c r="A18" s="52"/>
      <c r="B18" s="30"/>
      <c r="C18" s="31"/>
      <c r="D18" s="31"/>
      <c r="E18" s="74">
        <f t="shared" si="0"/>
        <v>0</v>
      </c>
      <c r="F18" s="31"/>
      <c r="G18" s="74">
        <f t="shared" si="1"/>
        <v>0</v>
      </c>
      <c r="H18" s="74">
        <f t="shared" si="2"/>
        <v>0</v>
      </c>
    </row>
    <row r="19" spans="1:8" ht="19.5" customHeight="1" x14ac:dyDescent="0.25">
      <c r="A19" s="30"/>
      <c r="B19" s="30"/>
      <c r="C19" s="31"/>
      <c r="D19" s="31"/>
      <c r="E19" s="74">
        <f t="shared" si="0"/>
        <v>0</v>
      </c>
      <c r="F19" s="31"/>
      <c r="G19" s="74">
        <f t="shared" si="1"/>
        <v>0</v>
      </c>
      <c r="H19" s="74">
        <f t="shared" si="2"/>
        <v>0</v>
      </c>
    </row>
    <row r="20" spans="1:8" ht="19.5" customHeight="1" x14ac:dyDescent="0.25">
      <c r="A20" s="30"/>
      <c r="B20" s="30"/>
      <c r="C20" s="31"/>
      <c r="D20" s="31"/>
      <c r="E20" s="74">
        <f t="shared" si="0"/>
        <v>0</v>
      </c>
      <c r="F20" s="31"/>
      <c r="G20" s="74">
        <f t="shared" si="1"/>
        <v>0</v>
      </c>
      <c r="H20" s="74">
        <f t="shared" si="2"/>
        <v>0</v>
      </c>
    </row>
    <row r="21" spans="1:8" ht="19.5" customHeight="1" x14ac:dyDescent="0.25">
      <c r="A21" s="30"/>
      <c r="B21" s="30"/>
      <c r="C21" s="31"/>
      <c r="D21" s="31"/>
      <c r="E21" s="74">
        <f t="shared" si="0"/>
        <v>0</v>
      </c>
      <c r="F21" s="31"/>
      <c r="G21" s="74">
        <f t="shared" si="1"/>
        <v>0</v>
      </c>
      <c r="H21" s="74">
        <f t="shared" si="2"/>
        <v>0</v>
      </c>
    </row>
    <row r="22" spans="1:8" ht="19.5" customHeight="1" x14ac:dyDescent="0.25">
      <c r="A22" s="30"/>
      <c r="B22" s="30"/>
      <c r="C22" s="31"/>
      <c r="D22" s="31"/>
      <c r="E22" s="74">
        <f t="shared" si="0"/>
        <v>0</v>
      </c>
      <c r="F22" s="31"/>
      <c r="G22" s="74">
        <f t="shared" si="1"/>
        <v>0</v>
      </c>
      <c r="H22" s="74">
        <f t="shared" si="2"/>
        <v>0</v>
      </c>
    </row>
    <row r="23" spans="1:8" ht="19.5" customHeight="1" x14ac:dyDescent="0.25">
      <c r="A23" s="30"/>
      <c r="B23" s="30"/>
      <c r="C23" s="31"/>
      <c r="D23" s="31"/>
      <c r="E23" s="74">
        <f t="shared" si="0"/>
        <v>0</v>
      </c>
      <c r="F23" s="31"/>
      <c r="G23" s="74">
        <f t="shared" si="1"/>
        <v>0</v>
      </c>
      <c r="H23" s="74">
        <f t="shared" si="2"/>
        <v>0</v>
      </c>
    </row>
    <row r="24" spans="1:8" ht="19.5" customHeight="1" x14ac:dyDescent="0.3">
      <c r="A24" s="29"/>
      <c r="B24" s="30"/>
      <c r="C24" s="31"/>
      <c r="D24" s="31"/>
      <c r="E24" s="74">
        <f t="shared" si="0"/>
        <v>0</v>
      </c>
      <c r="F24" s="31"/>
      <c r="G24" s="74">
        <f t="shared" si="1"/>
        <v>0</v>
      </c>
      <c r="H24" s="74">
        <f t="shared" si="2"/>
        <v>0</v>
      </c>
    </row>
    <row r="25" spans="1:8" ht="19.5" customHeight="1" x14ac:dyDescent="0.25">
      <c r="A25" s="30"/>
      <c r="B25" s="30"/>
      <c r="C25" s="31"/>
      <c r="D25" s="31"/>
      <c r="E25" s="74">
        <f t="shared" si="0"/>
        <v>0</v>
      </c>
      <c r="F25" s="31"/>
      <c r="G25" s="74">
        <f t="shared" si="1"/>
        <v>0</v>
      </c>
      <c r="H25" s="74">
        <f t="shared" si="2"/>
        <v>0</v>
      </c>
    </row>
    <row r="26" spans="1:8" ht="19.5" customHeight="1" x14ac:dyDescent="0.25">
      <c r="A26" s="30"/>
      <c r="B26" s="30"/>
      <c r="C26" s="31"/>
      <c r="D26" s="31"/>
      <c r="E26" s="74">
        <f>B26*D26</f>
        <v>0</v>
      </c>
      <c r="F26" s="31"/>
      <c r="G26" s="74">
        <f>B26*F26</f>
        <v>0</v>
      </c>
      <c r="H26" s="74">
        <f>E26+G26</f>
        <v>0</v>
      </c>
    </row>
    <row r="27" spans="1:8" ht="19.5" customHeight="1" x14ac:dyDescent="0.25">
      <c r="A27" s="30"/>
      <c r="B27" s="30"/>
      <c r="C27" s="31"/>
      <c r="D27" s="31"/>
      <c r="E27" s="74">
        <f>B27*D27</f>
        <v>0</v>
      </c>
      <c r="F27" s="31"/>
      <c r="G27" s="74">
        <f>B27*F27</f>
        <v>0</v>
      </c>
      <c r="H27" s="74">
        <f>E27+G27</f>
        <v>0</v>
      </c>
    </row>
    <row r="28" spans="1:8" ht="19.5" customHeight="1" x14ac:dyDescent="0.25">
      <c r="A28" s="30"/>
      <c r="B28" s="30"/>
      <c r="C28" s="31"/>
      <c r="D28" s="31"/>
      <c r="E28" s="74">
        <f>B28*D28</f>
        <v>0</v>
      </c>
      <c r="F28" s="31"/>
      <c r="G28" s="74">
        <f>B28*F28</f>
        <v>0</v>
      </c>
      <c r="H28" s="74">
        <f>E28+G28</f>
        <v>0</v>
      </c>
    </row>
    <row r="29" spans="1:8" ht="19.5" customHeight="1" x14ac:dyDescent="0.25">
      <c r="A29" s="30"/>
      <c r="B29" s="30"/>
      <c r="C29" s="31"/>
      <c r="D29" s="31"/>
      <c r="E29" s="74">
        <f>B29*D29</f>
        <v>0</v>
      </c>
      <c r="F29" s="31"/>
      <c r="G29" s="74">
        <f>B29*F29</f>
        <v>0</v>
      </c>
      <c r="H29" s="74">
        <f>E29+G29</f>
        <v>0</v>
      </c>
    </row>
    <row r="30" spans="1:8" ht="19.5" customHeight="1" x14ac:dyDescent="0.25">
      <c r="A30" s="30"/>
      <c r="B30" s="30"/>
      <c r="C30" s="31"/>
      <c r="D30" s="31"/>
      <c r="E30" s="74">
        <f t="shared" si="0"/>
        <v>0</v>
      </c>
      <c r="F30" s="31"/>
      <c r="G30" s="74">
        <f t="shared" si="1"/>
        <v>0</v>
      </c>
      <c r="H30" s="74">
        <f t="shared" si="2"/>
        <v>0</v>
      </c>
    </row>
    <row r="31" spans="1:8" ht="19.5" customHeight="1" x14ac:dyDescent="0.25">
      <c r="A31" s="30"/>
      <c r="B31" s="30"/>
      <c r="C31" s="31"/>
      <c r="D31" s="31"/>
      <c r="E31" s="74">
        <f t="shared" si="0"/>
        <v>0</v>
      </c>
      <c r="F31" s="31"/>
      <c r="G31" s="74">
        <f t="shared" si="1"/>
        <v>0</v>
      </c>
      <c r="H31" s="74">
        <f t="shared" si="2"/>
        <v>0</v>
      </c>
    </row>
    <row r="32" spans="1:8" ht="19.5" customHeight="1" x14ac:dyDescent="0.25">
      <c r="A32" s="30"/>
      <c r="B32" s="30"/>
      <c r="C32" s="31"/>
      <c r="D32" s="31"/>
      <c r="E32" s="74">
        <f t="shared" si="0"/>
        <v>0</v>
      </c>
      <c r="F32" s="31"/>
      <c r="G32" s="74">
        <f t="shared" si="1"/>
        <v>0</v>
      </c>
      <c r="H32" s="74">
        <f t="shared" si="2"/>
        <v>0</v>
      </c>
    </row>
    <row r="33" spans="1:10" ht="19.5" customHeight="1" x14ac:dyDescent="0.25">
      <c r="A33" s="30"/>
      <c r="B33" s="30"/>
      <c r="C33" s="31"/>
      <c r="D33" s="31"/>
      <c r="E33" s="74">
        <f t="shared" si="0"/>
        <v>0</v>
      </c>
      <c r="F33" s="31"/>
      <c r="G33" s="74">
        <f t="shared" si="1"/>
        <v>0</v>
      </c>
      <c r="H33" s="74">
        <f t="shared" si="2"/>
        <v>0</v>
      </c>
    </row>
    <row r="34" spans="1:10" ht="19.5" customHeight="1" x14ac:dyDescent="0.25">
      <c r="A34" s="30"/>
      <c r="B34" s="30"/>
      <c r="C34" s="31"/>
      <c r="D34" s="31"/>
      <c r="E34" s="74">
        <f t="shared" si="0"/>
        <v>0</v>
      </c>
      <c r="F34" s="31"/>
      <c r="G34" s="74">
        <f t="shared" si="1"/>
        <v>0</v>
      </c>
      <c r="H34" s="74">
        <f t="shared" si="2"/>
        <v>0</v>
      </c>
    </row>
    <row r="35" spans="1:10" ht="19.5" customHeight="1" x14ac:dyDescent="0.25">
      <c r="A35" s="30"/>
      <c r="B35" s="30"/>
      <c r="C35" s="31"/>
      <c r="D35" s="31"/>
      <c r="E35" s="74">
        <f t="shared" si="0"/>
        <v>0</v>
      </c>
      <c r="F35" s="31"/>
      <c r="G35" s="74">
        <f t="shared" si="1"/>
        <v>0</v>
      </c>
      <c r="H35" s="74">
        <f t="shared" si="2"/>
        <v>0</v>
      </c>
    </row>
    <row r="36" spans="1:10" ht="19.5" customHeight="1" x14ac:dyDescent="0.25">
      <c r="A36" s="30"/>
      <c r="B36" s="30"/>
      <c r="C36" s="31"/>
      <c r="D36" s="31"/>
      <c r="E36" s="74">
        <f t="shared" si="0"/>
        <v>0</v>
      </c>
      <c r="F36" s="31"/>
      <c r="G36" s="74">
        <f t="shared" si="1"/>
        <v>0</v>
      </c>
      <c r="H36" s="74">
        <f t="shared" si="2"/>
        <v>0</v>
      </c>
    </row>
    <row r="37" spans="1:10" ht="19.5" customHeight="1" x14ac:dyDescent="0.25">
      <c r="A37" s="30"/>
      <c r="B37" s="30"/>
      <c r="C37" s="31"/>
      <c r="D37" s="31"/>
      <c r="E37" s="74">
        <f t="shared" si="0"/>
        <v>0</v>
      </c>
      <c r="F37" s="31"/>
      <c r="G37" s="74">
        <f t="shared" si="1"/>
        <v>0</v>
      </c>
      <c r="H37" s="74">
        <f t="shared" si="2"/>
        <v>0</v>
      </c>
    </row>
    <row r="38" spans="1:10" ht="19.5" customHeight="1" x14ac:dyDescent="0.25">
      <c r="A38" s="30"/>
      <c r="B38" s="30"/>
      <c r="C38" s="31"/>
      <c r="D38" s="31"/>
      <c r="E38" s="74">
        <f t="shared" si="0"/>
        <v>0</v>
      </c>
      <c r="F38" s="31"/>
      <c r="G38" s="74">
        <f t="shared" si="1"/>
        <v>0</v>
      </c>
      <c r="H38" s="74">
        <f t="shared" si="2"/>
        <v>0</v>
      </c>
    </row>
    <row r="39" spans="1:10" ht="19.5" customHeight="1" x14ac:dyDescent="0.25">
      <c r="A39" s="30"/>
      <c r="B39" s="30"/>
      <c r="C39" s="31"/>
      <c r="D39" s="31"/>
      <c r="E39" s="74">
        <f>B39*D39</f>
        <v>0</v>
      </c>
      <c r="F39" s="31"/>
      <c r="G39" s="74">
        <f>B39*F39</f>
        <v>0</v>
      </c>
      <c r="H39" s="74">
        <f t="shared" si="2"/>
        <v>0</v>
      </c>
    </row>
    <row r="40" spans="1:10" ht="19.5" customHeight="1" x14ac:dyDescent="0.25">
      <c r="A40" s="30"/>
      <c r="B40" s="30"/>
      <c r="C40" s="31"/>
      <c r="D40" s="31"/>
      <c r="E40" s="74">
        <f t="shared" si="0"/>
        <v>0</v>
      </c>
      <c r="F40" s="31"/>
      <c r="G40" s="74">
        <f t="shared" si="1"/>
        <v>0</v>
      </c>
      <c r="H40" s="74">
        <f t="shared" si="2"/>
        <v>0</v>
      </c>
    </row>
    <row r="41" spans="1:10" ht="19.5" customHeight="1" x14ac:dyDescent="0.25">
      <c r="A41" s="30"/>
      <c r="B41" s="30"/>
      <c r="C41" s="31"/>
      <c r="D41" s="31"/>
      <c r="E41" s="74">
        <f t="shared" si="0"/>
        <v>0</v>
      </c>
      <c r="F41" s="31"/>
      <c r="G41" s="74">
        <f t="shared" si="1"/>
        <v>0</v>
      </c>
      <c r="H41" s="74">
        <f t="shared" si="2"/>
        <v>0</v>
      </c>
    </row>
    <row r="42" spans="1:10" ht="19.5" customHeight="1" x14ac:dyDescent="0.3">
      <c r="A42" s="29" t="s">
        <v>127</v>
      </c>
      <c r="B42" s="30"/>
      <c r="C42" s="31"/>
      <c r="D42" s="31"/>
      <c r="E42" s="74">
        <f>SUM(E14:E41)</f>
        <v>0</v>
      </c>
      <c r="F42" s="31"/>
      <c r="G42" s="74">
        <f>SUM(G14:G41)</f>
        <v>0</v>
      </c>
      <c r="H42" s="53"/>
      <c r="I42" s="10"/>
    </row>
    <row r="43" spans="1:10" ht="19.5" customHeight="1" x14ac:dyDescent="0.3">
      <c r="A43" s="29" t="s">
        <v>104</v>
      </c>
      <c r="B43" s="30"/>
      <c r="C43" s="31"/>
      <c r="D43" s="31"/>
      <c r="E43" s="41"/>
      <c r="F43" s="31"/>
      <c r="G43" s="41"/>
      <c r="H43" s="74">
        <f>E42+G42</f>
        <v>0</v>
      </c>
      <c r="J43" s="10"/>
    </row>
    <row r="44" spans="1:10" ht="19.5" customHeight="1" x14ac:dyDescent="0.35">
      <c r="A44" s="29" t="s">
        <v>128</v>
      </c>
      <c r="B44" s="30"/>
      <c r="C44" s="31"/>
      <c r="D44" s="31"/>
      <c r="E44" s="31"/>
      <c r="F44" s="31"/>
      <c r="G44" s="93">
        <f>Summary!G20</f>
        <v>0</v>
      </c>
      <c r="H44" s="74">
        <f>SUM(H43*G44)</f>
        <v>0</v>
      </c>
    </row>
    <row r="45" spans="1:10" ht="19.5" customHeight="1" x14ac:dyDescent="0.35">
      <c r="A45" s="29" t="s">
        <v>129</v>
      </c>
      <c r="B45" s="30"/>
      <c r="C45" s="31"/>
      <c r="D45" s="31"/>
      <c r="E45" s="31"/>
      <c r="F45" s="31"/>
      <c r="G45" s="93">
        <f>Summary!G21</f>
        <v>0</v>
      </c>
      <c r="H45" s="74">
        <f>SUM(H43+H44)*G45</f>
        <v>0</v>
      </c>
    </row>
    <row r="46" spans="1:10" ht="19.5" customHeight="1" x14ac:dyDescent="0.35">
      <c r="A46" s="29" t="s">
        <v>130</v>
      </c>
      <c r="B46" s="30"/>
      <c r="C46" s="31"/>
      <c r="D46" s="31"/>
      <c r="E46" s="31"/>
      <c r="F46" s="31"/>
      <c r="G46" s="93">
        <f>Summary!G22</f>
        <v>0</v>
      </c>
      <c r="H46" s="74">
        <f>SUM(G42*G46)</f>
        <v>0</v>
      </c>
    </row>
    <row r="47" spans="1:10" ht="19.5" customHeight="1" thickBot="1" x14ac:dyDescent="0.35">
      <c r="A47" s="34" t="s">
        <v>124</v>
      </c>
      <c r="B47" s="32"/>
      <c r="C47" s="33"/>
      <c r="D47" s="33"/>
      <c r="E47" s="33"/>
      <c r="F47" s="33"/>
      <c r="G47" s="66"/>
      <c r="H47" s="75">
        <f>SUM(H43:H46)</f>
        <v>0</v>
      </c>
    </row>
    <row r="48" spans="1:10" ht="12.75" customHeight="1" thickTop="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12.75" customHeight="1" x14ac:dyDescent="0.25">
      <c r="A73" s="35"/>
      <c r="B73" s="35"/>
      <c r="C73" s="36"/>
      <c r="D73" s="36"/>
      <c r="E73" s="36"/>
      <c r="F73" s="36"/>
      <c r="G73" s="36"/>
      <c r="H73" s="36"/>
      <c r="I73" s="35"/>
    </row>
    <row r="74" spans="1:9" ht="12.75" customHeight="1" x14ac:dyDescent="0.25">
      <c r="A74" s="35"/>
      <c r="B74" s="35"/>
      <c r="C74" s="36"/>
      <c r="D74" s="36"/>
      <c r="E74" s="36"/>
      <c r="F74" s="36"/>
      <c r="G74" s="36"/>
      <c r="H74" s="36"/>
      <c r="I74" s="35"/>
    </row>
    <row r="75" spans="1:9" ht="12.75" customHeight="1" x14ac:dyDescent="0.25">
      <c r="A75" s="35"/>
      <c r="B75" s="35"/>
      <c r="C75" s="36"/>
      <c r="D75" s="36"/>
      <c r="E75" s="36"/>
      <c r="F75" s="36"/>
      <c r="G75" s="36"/>
      <c r="H75" s="36"/>
      <c r="I75" s="35"/>
    </row>
    <row r="76" spans="1:9" ht="12.75"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20.149999999999999" customHeight="1" x14ac:dyDescent="0.25">
      <c r="A124" s="35"/>
      <c r="B124" s="35"/>
      <c r="C124" s="36"/>
      <c r="D124" s="36"/>
      <c r="E124" s="36"/>
      <c r="F124" s="36"/>
      <c r="G124" s="36"/>
      <c r="H124" s="36"/>
      <c r="I124" s="35"/>
    </row>
    <row r="125" spans="1:9" ht="20.149999999999999" customHeight="1" x14ac:dyDescent="0.25">
      <c r="A125" s="35"/>
      <c r="B125" s="35"/>
      <c r="C125" s="36"/>
      <c r="D125" s="36"/>
      <c r="E125" s="36"/>
      <c r="F125" s="36"/>
      <c r="G125" s="36"/>
      <c r="H125" s="36"/>
      <c r="I125" s="35"/>
    </row>
    <row r="126" spans="1:9" ht="20.149999999999999" customHeight="1" x14ac:dyDescent="0.25">
      <c r="A126" s="35"/>
      <c r="B126" s="35"/>
      <c r="C126" s="36"/>
      <c r="D126" s="36"/>
      <c r="E126" s="36"/>
      <c r="F126" s="36"/>
      <c r="G126" s="36"/>
      <c r="H126" s="36"/>
      <c r="I126" s="35"/>
    </row>
    <row r="127" spans="1:9" ht="20.149999999999999" customHeight="1"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A210" s="35"/>
      <c r="B210" s="35"/>
      <c r="C210" s="36"/>
      <c r="D210" s="36"/>
      <c r="E210" s="36"/>
      <c r="F210" s="36"/>
      <c r="G210" s="36"/>
      <c r="H210" s="36"/>
      <c r="I210" s="35"/>
    </row>
    <row r="211" spans="1:9" ht="12.5" x14ac:dyDescent="0.25">
      <c r="A211" s="35"/>
      <c r="B211" s="35"/>
      <c r="C211" s="36"/>
      <c r="D211" s="36"/>
      <c r="E211" s="36"/>
      <c r="F211" s="36"/>
      <c r="G211" s="36"/>
      <c r="H211" s="36"/>
      <c r="I211" s="35"/>
    </row>
    <row r="212" spans="1:9" ht="12.5" x14ac:dyDescent="0.25">
      <c r="A212" s="35"/>
      <c r="B212" s="35"/>
      <c r="C212" s="36"/>
      <c r="D212" s="36"/>
      <c r="E212" s="36"/>
      <c r="F212" s="36"/>
      <c r="G212" s="36"/>
      <c r="H212" s="36"/>
      <c r="I212" s="35"/>
    </row>
    <row r="213" spans="1:9" ht="12.5" x14ac:dyDescent="0.25">
      <c r="A213" s="35"/>
      <c r="B213" s="35"/>
      <c r="C213" s="36"/>
      <c r="D213" s="36"/>
      <c r="E213" s="36"/>
      <c r="F213" s="36"/>
      <c r="G213" s="36"/>
      <c r="H213" s="36"/>
      <c r="I213" s="35"/>
    </row>
    <row r="214" spans="1:9" ht="12.5" x14ac:dyDescent="0.25">
      <c r="A214" s="35"/>
      <c r="B214" s="35"/>
      <c r="C214" s="36"/>
      <c r="D214" s="36"/>
      <c r="E214" s="36"/>
      <c r="F214" s="36"/>
      <c r="G214" s="36"/>
      <c r="H214" s="36"/>
      <c r="I214" s="35"/>
    </row>
  </sheetData>
  <mergeCells count="1">
    <mergeCell ref="A1:C2"/>
  </mergeCells>
  <printOptions horizontalCentered="1" verticalCentered="1" gridLinesSet="0"/>
  <pageMargins left="0.5" right="0.5" top="0.75" bottom="0.5" header="0.5" footer="0"/>
  <pageSetup scale="86" orientation="portrait" horizontalDpi="1200" vertic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210"/>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146" t="str">
        <f>Summary!D9</f>
        <v>FTFA 23VH26</v>
      </c>
      <c r="D8" s="147"/>
      <c r="E8" s="148"/>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Summary!B21</f>
        <v>FINISHES</v>
      </c>
      <c r="B13" s="30"/>
      <c r="C13" s="31"/>
      <c r="D13" s="31"/>
      <c r="E13" s="31"/>
      <c r="F13" s="31"/>
      <c r="G13" s="31"/>
      <c r="H13" s="31"/>
    </row>
    <row r="14" spans="1:9" ht="19.5" customHeight="1" x14ac:dyDescent="0.25">
      <c r="A14" s="30"/>
      <c r="B14" s="46"/>
      <c r="C14" s="47"/>
      <c r="D14" s="31"/>
      <c r="E14" s="74">
        <f t="shared" ref="E14:E25" si="0">B14*D14</f>
        <v>0</v>
      </c>
      <c r="F14" s="31"/>
      <c r="G14" s="74">
        <f t="shared" ref="G14:G25" si="1">B14*F14</f>
        <v>0</v>
      </c>
      <c r="H14" s="74">
        <f t="shared" ref="H14:H25" si="2">E14+G14</f>
        <v>0</v>
      </c>
    </row>
    <row r="15" spans="1:9" ht="19.5" customHeight="1" x14ac:dyDescent="0.25">
      <c r="A15" s="30"/>
      <c r="B15" s="46"/>
      <c r="C15" s="47"/>
      <c r="D15" s="31"/>
      <c r="E15" s="74">
        <f t="shared" si="0"/>
        <v>0</v>
      </c>
      <c r="F15" s="31"/>
      <c r="G15" s="74">
        <f t="shared" si="1"/>
        <v>0</v>
      </c>
      <c r="H15" s="74">
        <f t="shared" si="2"/>
        <v>0</v>
      </c>
    </row>
    <row r="16" spans="1:9" ht="19.5" customHeight="1" x14ac:dyDescent="0.25">
      <c r="A16" s="30"/>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25">
      <c r="A18" s="30"/>
      <c r="B18" s="30"/>
      <c r="C18" s="31"/>
      <c r="D18" s="31"/>
      <c r="E18" s="74">
        <f t="shared" si="0"/>
        <v>0</v>
      </c>
      <c r="F18" s="31"/>
      <c r="G18" s="74">
        <f t="shared" si="1"/>
        <v>0</v>
      </c>
      <c r="H18" s="74">
        <f t="shared" si="2"/>
        <v>0</v>
      </c>
    </row>
    <row r="19" spans="1:8" ht="19.5" customHeight="1" x14ac:dyDescent="0.25">
      <c r="A19" s="30"/>
      <c r="B19" s="30"/>
      <c r="C19" s="31"/>
      <c r="D19" s="31"/>
      <c r="E19" s="74">
        <f t="shared" si="0"/>
        <v>0</v>
      </c>
      <c r="F19" s="31"/>
      <c r="G19" s="74">
        <f t="shared" si="1"/>
        <v>0</v>
      </c>
      <c r="H19" s="74">
        <f t="shared" si="2"/>
        <v>0</v>
      </c>
    </row>
    <row r="20" spans="1:8" ht="19.5" customHeight="1" x14ac:dyDescent="0.25">
      <c r="A20" s="30"/>
      <c r="B20" s="30"/>
      <c r="C20" s="31"/>
      <c r="D20" s="31"/>
      <c r="E20" s="74">
        <f t="shared" si="0"/>
        <v>0</v>
      </c>
      <c r="F20" s="31"/>
      <c r="G20" s="74">
        <f t="shared" si="1"/>
        <v>0</v>
      </c>
      <c r="H20" s="74">
        <f t="shared" si="2"/>
        <v>0</v>
      </c>
    </row>
    <row r="21" spans="1:8" ht="19.5" customHeight="1" x14ac:dyDescent="0.25">
      <c r="A21" s="30"/>
      <c r="B21" s="30"/>
      <c r="C21" s="31"/>
      <c r="D21" s="31"/>
      <c r="E21" s="74">
        <f t="shared" si="0"/>
        <v>0</v>
      </c>
      <c r="F21" s="31"/>
      <c r="G21" s="74">
        <f t="shared" si="1"/>
        <v>0</v>
      </c>
      <c r="H21" s="74">
        <f t="shared" si="2"/>
        <v>0</v>
      </c>
    </row>
    <row r="22" spans="1:8" ht="19.5" customHeight="1" x14ac:dyDescent="0.25">
      <c r="A22" s="30"/>
      <c r="B22" s="30"/>
      <c r="C22" s="31"/>
      <c r="D22" s="31"/>
      <c r="E22" s="74">
        <f t="shared" si="0"/>
        <v>0</v>
      </c>
      <c r="F22" s="31"/>
      <c r="G22" s="74">
        <f t="shared" si="1"/>
        <v>0</v>
      </c>
      <c r="H22" s="74">
        <f t="shared" si="2"/>
        <v>0</v>
      </c>
    </row>
    <row r="23" spans="1:8" ht="19.5" customHeight="1" x14ac:dyDescent="0.25">
      <c r="A23" s="30"/>
      <c r="B23" s="30"/>
      <c r="C23" s="31"/>
      <c r="D23" s="31"/>
      <c r="E23" s="74">
        <f t="shared" si="0"/>
        <v>0</v>
      </c>
      <c r="F23" s="31"/>
      <c r="G23" s="74">
        <f t="shared" si="1"/>
        <v>0</v>
      </c>
      <c r="H23" s="74">
        <f t="shared" si="2"/>
        <v>0</v>
      </c>
    </row>
    <row r="24" spans="1:8" ht="19.5" customHeight="1" x14ac:dyDescent="0.25">
      <c r="A24" s="30"/>
      <c r="B24" s="30"/>
      <c r="C24" s="31"/>
      <c r="D24" s="31"/>
      <c r="E24" s="74">
        <f t="shared" si="0"/>
        <v>0</v>
      </c>
      <c r="F24" s="31"/>
      <c r="G24" s="74">
        <f t="shared" si="1"/>
        <v>0</v>
      </c>
      <c r="H24" s="74">
        <f t="shared" si="2"/>
        <v>0</v>
      </c>
    </row>
    <row r="25" spans="1:8" ht="19.5" customHeight="1" x14ac:dyDescent="0.25">
      <c r="A25" s="30"/>
      <c r="B25" s="30"/>
      <c r="C25" s="31"/>
      <c r="D25" s="31"/>
      <c r="E25" s="74">
        <f t="shared" si="0"/>
        <v>0</v>
      </c>
      <c r="F25" s="31"/>
      <c r="G25" s="74">
        <f t="shared" si="1"/>
        <v>0</v>
      </c>
      <c r="H25" s="74">
        <f t="shared" si="2"/>
        <v>0</v>
      </c>
    </row>
    <row r="26" spans="1:8" ht="19.5" customHeight="1" x14ac:dyDescent="0.25">
      <c r="A26" s="30"/>
      <c r="B26" s="30"/>
      <c r="C26" s="31"/>
      <c r="D26" s="31"/>
      <c r="E26" s="74">
        <f>B26*D26</f>
        <v>0</v>
      </c>
      <c r="F26" s="31"/>
      <c r="G26" s="74">
        <f>B26*F26</f>
        <v>0</v>
      </c>
      <c r="H26" s="74">
        <f>E26+G26</f>
        <v>0</v>
      </c>
    </row>
    <row r="27" spans="1:8" ht="19.5" customHeight="1" x14ac:dyDescent="0.25">
      <c r="A27" s="30"/>
      <c r="B27" s="30"/>
      <c r="C27" s="31"/>
      <c r="D27" s="31"/>
      <c r="E27" s="74">
        <f t="shared" ref="E27:E37" si="3">B27*D27</f>
        <v>0</v>
      </c>
      <c r="F27" s="31"/>
      <c r="G27" s="74">
        <f t="shared" ref="G27:G37" si="4">B27*F27</f>
        <v>0</v>
      </c>
      <c r="H27" s="74">
        <f t="shared" ref="H27:H37" si="5">E27+G27</f>
        <v>0</v>
      </c>
    </row>
    <row r="28" spans="1:8" ht="19.5" customHeight="1" x14ac:dyDescent="0.25">
      <c r="A28" s="30"/>
      <c r="B28" s="30"/>
      <c r="C28" s="31"/>
      <c r="D28" s="31"/>
      <c r="E28" s="74">
        <f t="shared" si="3"/>
        <v>0</v>
      </c>
      <c r="F28" s="31"/>
      <c r="G28" s="74">
        <f t="shared" si="4"/>
        <v>0</v>
      </c>
      <c r="H28" s="74">
        <f t="shared" si="5"/>
        <v>0</v>
      </c>
    </row>
    <row r="29" spans="1:8" ht="19.5" customHeight="1" x14ac:dyDescent="0.25">
      <c r="A29" s="30"/>
      <c r="B29" s="30"/>
      <c r="C29" s="31"/>
      <c r="D29" s="31"/>
      <c r="E29" s="74">
        <f t="shared" si="3"/>
        <v>0</v>
      </c>
      <c r="F29" s="31"/>
      <c r="G29" s="74">
        <f t="shared" si="4"/>
        <v>0</v>
      </c>
      <c r="H29" s="74">
        <f t="shared" si="5"/>
        <v>0</v>
      </c>
    </row>
    <row r="30" spans="1:8" ht="19.5" customHeight="1" x14ac:dyDescent="0.25">
      <c r="A30" s="30"/>
      <c r="B30" s="30"/>
      <c r="C30" s="31"/>
      <c r="D30" s="31"/>
      <c r="E30" s="74">
        <f t="shared" si="3"/>
        <v>0</v>
      </c>
      <c r="F30" s="31"/>
      <c r="G30" s="74">
        <f t="shared" si="4"/>
        <v>0</v>
      </c>
      <c r="H30" s="74">
        <f t="shared" si="5"/>
        <v>0</v>
      </c>
    </row>
    <row r="31" spans="1:8" ht="19.5" customHeight="1" x14ac:dyDescent="0.25">
      <c r="A31" s="30"/>
      <c r="B31" s="30"/>
      <c r="C31" s="31"/>
      <c r="D31" s="31"/>
      <c r="E31" s="74">
        <f t="shared" si="3"/>
        <v>0</v>
      </c>
      <c r="F31" s="31"/>
      <c r="G31" s="74">
        <f t="shared" si="4"/>
        <v>0</v>
      </c>
      <c r="H31" s="74">
        <f t="shared" si="5"/>
        <v>0</v>
      </c>
    </row>
    <row r="32" spans="1:8" ht="19.5" customHeight="1" x14ac:dyDescent="0.25">
      <c r="A32" s="30"/>
      <c r="B32" s="30"/>
      <c r="C32" s="31"/>
      <c r="D32" s="31"/>
      <c r="E32" s="74">
        <f t="shared" si="3"/>
        <v>0</v>
      </c>
      <c r="F32" s="31"/>
      <c r="G32" s="74">
        <f t="shared" si="4"/>
        <v>0</v>
      </c>
      <c r="H32" s="74">
        <f t="shared" si="5"/>
        <v>0</v>
      </c>
    </row>
    <row r="33" spans="1:9" ht="19.5" customHeight="1" x14ac:dyDescent="0.25">
      <c r="A33" s="30"/>
      <c r="B33" s="30"/>
      <c r="C33" s="31"/>
      <c r="D33" s="31"/>
      <c r="E33" s="74">
        <f t="shared" si="3"/>
        <v>0</v>
      </c>
      <c r="F33" s="31"/>
      <c r="G33" s="74">
        <f t="shared" si="4"/>
        <v>0</v>
      </c>
      <c r="H33" s="74">
        <f t="shared" si="5"/>
        <v>0</v>
      </c>
    </row>
    <row r="34" spans="1:9" ht="19.5" customHeight="1" x14ac:dyDescent="0.25">
      <c r="A34" s="30"/>
      <c r="B34" s="30"/>
      <c r="C34" s="31"/>
      <c r="D34" s="31"/>
      <c r="E34" s="74">
        <f t="shared" si="3"/>
        <v>0</v>
      </c>
      <c r="F34" s="31"/>
      <c r="G34" s="74">
        <f t="shared" si="4"/>
        <v>0</v>
      </c>
      <c r="H34" s="74">
        <f t="shared" si="5"/>
        <v>0</v>
      </c>
    </row>
    <row r="35" spans="1:9" ht="19.5" customHeight="1" x14ac:dyDescent="0.25">
      <c r="A35" s="30"/>
      <c r="B35" s="30"/>
      <c r="C35" s="31"/>
      <c r="D35" s="31"/>
      <c r="E35" s="74">
        <f t="shared" si="3"/>
        <v>0</v>
      </c>
      <c r="F35" s="31"/>
      <c r="G35" s="74">
        <f t="shared" si="4"/>
        <v>0</v>
      </c>
      <c r="H35" s="74">
        <f t="shared" si="5"/>
        <v>0</v>
      </c>
    </row>
    <row r="36" spans="1:9" ht="19.5" customHeight="1" x14ac:dyDescent="0.25">
      <c r="A36" s="30"/>
      <c r="B36" s="30"/>
      <c r="C36" s="31"/>
      <c r="D36" s="31"/>
      <c r="E36" s="74">
        <f t="shared" si="3"/>
        <v>0</v>
      </c>
      <c r="F36" s="31"/>
      <c r="G36" s="74">
        <f t="shared" si="4"/>
        <v>0</v>
      </c>
      <c r="H36" s="74">
        <f t="shared" si="5"/>
        <v>0</v>
      </c>
    </row>
    <row r="37" spans="1:9" ht="19.5" customHeight="1" x14ac:dyDescent="0.25">
      <c r="A37" s="30"/>
      <c r="B37" s="30"/>
      <c r="C37" s="31"/>
      <c r="D37" s="31"/>
      <c r="E37" s="74">
        <f t="shared" si="3"/>
        <v>0</v>
      </c>
      <c r="F37" s="31"/>
      <c r="G37" s="74">
        <f t="shared" si="4"/>
        <v>0</v>
      </c>
      <c r="H37" s="74">
        <f t="shared" si="5"/>
        <v>0</v>
      </c>
    </row>
    <row r="38" spans="1:9" ht="19.5" customHeight="1" x14ac:dyDescent="0.3">
      <c r="A38" s="29" t="s">
        <v>127</v>
      </c>
      <c r="B38" s="30"/>
      <c r="C38" s="31"/>
      <c r="D38" s="31"/>
      <c r="E38" s="74">
        <f>SUM(E14:E37)</f>
        <v>0</v>
      </c>
      <c r="F38" s="31"/>
      <c r="G38" s="74">
        <f>SUM(G14:G37)</f>
        <v>0</v>
      </c>
      <c r="H38" s="31"/>
      <c r="I38" s="10"/>
    </row>
    <row r="39" spans="1:9" ht="19.5" customHeight="1" x14ac:dyDescent="0.3">
      <c r="A39" s="29" t="s">
        <v>104</v>
      </c>
      <c r="B39" s="30"/>
      <c r="C39" s="31"/>
      <c r="D39" s="31"/>
      <c r="E39" s="41"/>
      <c r="F39" s="31"/>
      <c r="G39" s="41"/>
      <c r="H39" s="94">
        <f>SUM(H14:H37)</f>
        <v>0</v>
      </c>
    </row>
    <row r="40" spans="1:9" ht="19.5" customHeight="1" x14ac:dyDescent="0.3">
      <c r="A40" s="29" t="s">
        <v>128</v>
      </c>
      <c r="B40" s="30"/>
      <c r="C40" s="31"/>
      <c r="D40" s="31"/>
      <c r="E40" s="31"/>
      <c r="F40" s="31"/>
      <c r="G40" s="95">
        <f>Summary!G20</f>
        <v>0</v>
      </c>
      <c r="H40" s="74">
        <f>SUM(H39*G40)</f>
        <v>0</v>
      </c>
    </row>
    <row r="41" spans="1:9" ht="19.5" customHeight="1" x14ac:dyDescent="0.3">
      <c r="A41" s="29" t="s">
        <v>129</v>
      </c>
      <c r="B41" s="30"/>
      <c r="C41" s="31"/>
      <c r="D41" s="31"/>
      <c r="E41" s="31"/>
      <c r="F41" s="31"/>
      <c r="G41" s="95">
        <f>Summary!G21</f>
        <v>0</v>
      </c>
      <c r="H41" s="74">
        <f>SUM(H39+H40)*G41</f>
        <v>0</v>
      </c>
    </row>
    <row r="42" spans="1:9" ht="19.5" customHeight="1" x14ac:dyDescent="0.3">
      <c r="A42" s="29" t="s">
        <v>130</v>
      </c>
      <c r="B42" s="30"/>
      <c r="C42" s="31"/>
      <c r="D42" s="31"/>
      <c r="E42" s="31"/>
      <c r="F42" s="31"/>
      <c r="G42" s="95">
        <f>Summary!G22</f>
        <v>0</v>
      </c>
      <c r="H42" s="74">
        <f>SUM(G38*G42)</f>
        <v>0</v>
      </c>
    </row>
    <row r="43" spans="1:9" ht="19.5" customHeight="1" thickBot="1" x14ac:dyDescent="0.35">
      <c r="A43" s="34" t="s">
        <v>124</v>
      </c>
      <c r="B43" s="32"/>
      <c r="C43" s="33"/>
      <c r="D43" s="33"/>
      <c r="E43" s="33"/>
      <c r="F43" s="33"/>
      <c r="G43" s="33"/>
      <c r="H43" s="75">
        <f>SUM(H39:H42)</f>
        <v>0</v>
      </c>
    </row>
    <row r="44" spans="1:9" ht="12.75" customHeight="1" thickTop="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A210" s="35"/>
      <c r="B210" s="35"/>
      <c r="C210" s="36"/>
      <c r="D210" s="36"/>
      <c r="E210" s="36"/>
      <c r="F210" s="36"/>
      <c r="G210" s="36"/>
      <c r="H210" s="36"/>
      <c r="I210" s="35"/>
    </row>
  </sheetData>
  <mergeCells count="3">
    <mergeCell ref="A8:B8"/>
    <mergeCell ref="C8:E8"/>
    <mergeCell ref="A1:C2"/>
  </mergeCells>
  <printOptions horizontalCentered="1" verticalCentered="1" gridLinesSet="0"/>
  <pageMargins left="0.25" right="0.25" top="0.75" bottom="0.75" header="0.3" footer="0.3"/>
  <pageSetup scale="77" orientation="portrait" horizontalDpi="1200" verticalDpi="1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209"/>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146" t="str">
        <f>Summary!D9</f>
        <v>FTFA 23VH26</v>
      </c>
      <c r="D8" s="147"/>
      <c r="E8" s="148"/>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Summary!B22</f>
        <v>SPECIALTIES</v>
      </c>
      <c r="B13" s="30"/>
      <c r="C13" s="31"/>
      <c r="D13" s="31"/>
      <c r="E13" s="31"/>
      <c r="F13" s="31"/>
      <c r="G13" s="31"/>
      <c r="H13" s="31"/>
    </row>
    <row r="14" spans="1:9" ht="19.5" customHeight="1" x14ac:dyDescent="0.25">
      <c r="A14" s="30"/>
      <c r="B14" s="46"/>
      <c r="C14" s="47"/>
      <c r="D14" s="31"/>
      <c r="E14" s="74">
        <f t="shared" ref="E14:E24" si="0">B14*D14</f>
        <v>0</v>
      </c>
      <c r="F14" s="31"/>
      <c r="G14" s="74">
        <f t="shared" ref="G14:G24" si="1">B14*F14</f>
        <v>0</v>
      </c>
      <c r="H14" s="74">
        <f t="shared" ref="H14:H24" si="2">E14+G14</f>
        <v>0</v>
      </c>
    </row>
    <row r="15" spans="1:9" ht="19.5" customHeight="1" x14ac:dyDescent="0.25">
      <c r="A15" s="30"/>
      <c r="B15" s="46"/>
      <c r="C15" s="47"/>
      <c r="D15" s="31"/>
      <c r="E15" s="74">
        <f t="shared" si="0"/>
        <v>0</v>
      </c>
      <c r="F15" s="31"/>
      <c r="G15" s="74">
        <f t="shared" si="1"/>
        <v>0</v>
      </c>
      <c r="H15" s="74">
        <f t="shared" si="2"/>
        <v>0</v>
      </c>
    </row>
    <row r="16" spans="1:9" ht="19.5" customHeight="1" x14ac:dyDescent="0.25">
      <c r="A16" s="30"/>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25">
      <c r="A18" s="30"/>
      <c r="B18" s="30"/>
      <c r="C18" s="31"/>
      <c r="D18" s="31"/>
      <c r="E18" s="74">
        <f t="shared" si="0"/>
        <v>0</v>
      </c>
      <c r="F18" s="31"/>
      <c r="G18" s="74">
        <f t="shared" si="1"/>
        <v>0</v>
      </c>
      <c r="H18" s="74">
        <f t="shared" si="2"/>
        <v>0</v>
      </c>
    </row>
    <row r="19" spans="1:8" ht="19.5" customHeight="1" x14ac:dyDescent="0.25">
      <c r="A19" s="30"/>
      <c r="B19" s="30"/>
      <c r="C19" s="31"/>
      <c r="D19" s="31"/>
      <c r="E19" s="74">
        <f t="shared" si="0"/>
        <v>0</v>
      </c>
      <c r="F19" s="31"/>
      <c r="G19" s="74">
        <f t="shared" si="1"/>
        <v>0</v>
      </c>
      <c r="H19" s="74">
        <f t="shared" si="2"/>
        <v>0</v>
      </c>
    </row>
    <row r="20" spans="1:8" ht="19.5" customHeight="1" x14ac:dyDescent="0.25">
      <c r="A20" s="30"/>
      <c r="B20" s="30"/>
      <c r="C20" s="31"/>
      <c r="D20" s="31"/>
      <c r="E20" s="74">
        <f t="shared" si="0"/>
        <v>0</v>
      </c>
      <c r="F20" s="31"/>
      <c r="G20" s="74">
        <f t="shared" si="1"/>
        <v>0</v>
      </c>
      <c r="H20" s="74">
        <f t="shared" si="2"/>
        <v>0</v>
      </c>
    </row>
    <row r="21" spans="1:8" ht="19.5" customHeight="1" x14ac:dyDescent="0.25">
      <c r="A21" s="30"/>
      <c r="B21" s="30"/>
      <c r="C21" s="31"/>
      <c r="D21" s="31"/>
      <c r="E21" s="74">
        <f t="shared" si="0"/>
        <v>0</v>
      </c>
      <c r="F21" s="31"/>
      <c r="G21" s="74">
        <f t="shared" si="1"/>
        <v>0</v>
      </c>
      <c r="H21" s="74">
        <f t="shared" si="2"/>
        <v>0</v>
      </c>
    </row>
    <row r="22" spans="1:8" ht="19.5" customHeight="1" x14ac:dyDescent="0.25">
      <c r="A22" s="30"/>
      <c r="B22" s="30"/>
      <c r="C22" s="31"/>
      <c r="D22" s="31"/>
      <c r="E22" s="74">
        <f t="shared" si="0"/>
        <v>0</v>
      </c>
      <c r="F22" s="31"/>
      <c r="G22" s="74">
        <f t="shared" si="1"/>
        <v>0</v>
      </c>
      <c r="H22" s="74">
        <f t="shared" si="2"/>
        <v>0</v>
      </c>
    </row>
    <row r="23" spans="1:8" ht="19.5" customHeight="1" x14ac:dyDescent="0.25">
      <c r="A23" s="30"/>
      <c r="B23" s="30"/>
      <c r="C23" s="31"/>
      <c r="D23" s="31"/>
      <c r="E23" s="74">
        <f t="shared" si="0"/>
        <v>0</v>
      </c>
      <c r="F23" s="31"/>
      <c r="G23" s="74">
        <f t="shared" si="1"/>
        <v>0</v>
      </c>
      <c r="H23" s="74">
        <f t="shared" si="2"/>
        <v>0</v>
      </c>
    </row>
    <row r="24" spans="1:8" ht="19.5" customHeight="1" x14ac:dyDescent="0.25">
      <c r="A24" s="30"/>
      <c r="B24" s="30"/>
      <c r="C24" s="31"/>
      <c r="D24" s="31"/>
      <c r="E24" s="74">
        <f t="shared" si="0"/>
        <v>0</v>
      </c>
      <c r="F24" s="31"/>
      <c r="G24" s="74">
        <f t="shared" si="1"/>
        <v>0</v>
      </c>
      <c r="H24" s="74">
        <f t="shared" si="2"/>
        <v>0</v>
      </c>
    </row>
    <row r="25" spans="1:8" ht="19.5" customHeight="1" x14ac:dyDescent="0.25">
      <c r="A25" s="30"/>
      <c r="B25" s="30"/>
      <c r="C25" s="31"/>
      <c r="D25" s="31"/>
      <c r="E25" s="74">
        <f>B25*D25</f>
        <v>0</v>
      </c>
      <c r="F25" s="31"/>
      <c r="G25" s="74">
        <f>B25*F25</f>
        <v>0</v>
      </c>
      <c r="H25" s="74">
        <f>E25+G25</f>
        <v>0</v>
      </c>
    </row>
    <row r="26" spans="1:8" ht="19.5" customHeight="1" x14ac:dyDescent="0.25">
      <c r="A26" s="30"/>
      <c r="B26" s="30"/>
      <c r="C26" s="31"/>
      <c r="D26" s="31"/>
      <c r="E26" s="74">
        <f t="shared" ref="E26:E36" si="3">B26*D26</f>
        <v>0</v>
      </c>
      <c r="F26" s="31"/>
      <c r="G26" s="74">
        <f t="shared" ref="G26:G36" si="4">B26*F26</f>
        <v>0</v>
      </c>
      <c r="H26" s="74">
        <f t="shared" ref="H26:H36" si="5">E26+G26</f>
        <v>0</v>
      </c>
    </row>
    <row r="27" spans="1:8" ht="19.5" customHeight="1" x14ac:dyDescent="0.25">
      <c r="A27" s="30"/>
      <c r="B27" s="30"/>
      <c r="C27" s="31"/>
      <c r="D27" s="31"/>
      <c r="E27" s="74">
        <f t="shared" si="3"/>
        <v>0</v>
      </c>
      <c r="F27" s="31"/>
      <c r="G27" s="74">
        <f t="shared" si="4"/>
        <v>0</v>
      </c>
      <c r="H27" s="74">
        <f t="shared" si="5"/>
        <v>0</v>
      </c>
    </row>
    <row r="28" spans="1:8" ht="19.5" customHeight="1" x14ac:dyDescent="0.25">
      <c r="A28" s="30"/>
      <c r="B28" s="30"/>
      <c r="C28" s="31"/>
      <c r="D28" s="31"/>
      <c r="E28" s="74">
        <f t="shared" si="3"/>
        <v>0</v>
      </c>
      <c r="F28" s="31"/>
      <c r="G28" s="74">
        <f t="shared" si="4"/>
        <v>0</v>
      </c>
      <c r="H28" s="74">
        <f t="shared" si="5"/>
        <v>0</v>
      </c>
    </row>
    <row r="29" spans="1:8" ht="19.5" customHeight="1" x14ac:dyDescent="0.25">
      <c r="A29" s="30"/>
      <c r="B29" s="30"/>
      <c r="C29" s="31"/>
      <c r="D29" s="31"/>
      <c r="E29" s="74">
        <f t="shared" si="3"/>
        <v>0</v>
      </c>
      <c r="F29" s="31"/>
      <c r="G29" s="74">
        <f t="shared" si="4"/>
        <v>0</v>
      </c>
      <c r="H29" s="74">
        <f t="shared" si="5"/>
        <v>0</v>
      </c>
    </row>
    <row r="30" spans="1:8" ht="19.5" customHeight="1" x14ac:dyDescent="0.25">
      <c r="A30" s="30"/>
      <c r="B30" s="30"/>
      <c r="C30" s="31"/>
      <c r="D30" s="31"/>
      <c r="E30" s="74">
        <f t="shared" si="3"/>
        <v>0</v>
      </c>
      <c r="F30" s="31"/>
      <c r="G30" s="74">
        <f t="shared" si="4"/>
        <v>0</v>
      </c>
      <c r="H30" s="74">
        <f t="shared" si="5"/>
        <v>0</v>
      </c>
    </row>
    <row r="31" spans="1:8" ht="19.5" customHeight="1" x14ac:dyDescent="0.25">
      <c r="A31" s="30"/>
      <c r="B31" s="30"/>
      <c r="C31" s="31"/>
      <c r="D31" s="31"/>
      <c r="E31" s="74">
        <f t="shared" si="3"/>
        <v>0</v>
      </c>
      <c r="F31" s="31"/>
      <c r="G31" s="74">
        <f t="shared" si="4"/>
        <v>0</v>
      </c>
      <c r="H31" s="74">
        <f t="shared" si="5"/>
        <v>0</v>
      </c>
    </row>
    <row r="32" spans="1:8" ht="19.5" customHeight="1" x14ac:dyDescent="0.25">
      <c r="A32" s="30"/>
      <c r="B32" s="30"/>
      <c r="C32" s="31"/>
      <c r="D32" s="31"/>
      <c r="E32" s="74">
        <f t="shared" si="3"/>
        <v>0</v>
      </c>
      <c r="F32" s="31"/>
      <c r="G32" s="74">
        <f t="shared" si="4"/>
        <v>0</v>
      </c>
      <c r="H32" s="74">
        <f t="shared" si="5"/>
        <v>0</v>
      </c>
    </row>
    <row r="33" spans="1:9" ht="19.5" customHeight="1" x14ac:dyDescent="0.25">
      <c r="A33" s="30"/>
      <c r="B33" s="30"/>
      <c r="C33" s="31"/>
      <c r="D33" s="31"/>
      <c r="E33" s="74">
        <f t="shared" si="3"/>
        <v>0</v>
      </c>
      <c r="F33" s="31"/>
      <c r="G33" s="74">
        <f t="shared" si="4"/>
        <v>0</v>
      </c>
      <c r="H33" s="74">
        <f t="shared" si="5"/>
        <v>0</v>
      </c>
    </row>
    <row r="34" spans="1:9" ht="19.5" customHeight="1" x14ac:dyDescent="0.25">
      <c r="A34" s="30"/>
      <c r="B34" s="30"/>
      <c r="C34" s="31"/>
      <c r="D34" s="31"/>
      <c r="E34" s="74">
        <f t="shared" si="3"/>
        <v>0</v>
      </c>
      <c r="F34" s="31"/>
      <c r="G34" s="74">
        <f t="shared" si="4"/>
        <v>0</v>
      </c>
      <c r="H34" s="74">
        <f t="shared" si="5"/>
        <v>0</v>
      </c>
    </row>
    <row r="35" spans="1:9" ht="19.5" customHeight="1" x14ac:dyDescent="0.25">
      <c r="A35" s="30"/>
      <c r="B35" s="30"/>
      <c r="C35" s="31"/>
      <c r="D35" s="31"/>
      <c r="E35" s="74">
        <f t="shared" si="3"/>
        <v>0</v>
      </c>
      <c r="F35" s="31"/>
      <c r="G35" s="74">
        <f t="shared" si="4"/>
        <v>0</v>
      </c>
      <c r="H35" s="74">
        <f t="shared" si="5"/>
        <v>0</v>
      </c>
    </row>
    <row r="36" spans="1:9" ht="19.5" customHeight="1" x14ac:dyDescent="0.25">
      <c r="A36" s="30"/>
      <c r="B36" s="30"/>
      <c r="C36" s="31"/>
      <c r="D36" s="31"/>
      <c r="E36" s="74">
        <f t="shared" si="3"/>
        <v>0</v>
      </c>
      <c r="F36" s="31"/>
      <c r="G36" s="74">
        <f t="shared" si="4"/>
        <v>0</v>
      </c>
      <c r="H36" s="74">
        <f t="shared" si="5"/>
        <v>0</v>
      </c>
    </row>
    <row r="37" spans="1:9" ht="19.5" customHeight="1" x14ac:dyDescent="0.3">
      <c r="A37" s="29" t="s">
        <v>127</v>
      </c>
      <c r="B37" s="30"/>
      <c r="C37" s="31"/>
      <c r="D37" s="31"/>
      <c r="E37" s="74">
        <f>SUM(E14:E36)</f>
        <v>0</v>
      </c>
      <c r="F37" s="31"/>
      <c r="G37" s="74">
        <f>SUM(G14:G36)</f>
        <v>0</v>
      </c>
      <c r="H37" s="31"/>
      <c r="I37" s="10"/>
    </row>
    <row r="38" spans="1:9" ht="19.5" customHeight="1" x14ac:dyDescent="0.3">
      <c r="A38" s="29" t="s">
        <v>104</v>
      </c>
      <c r="B38" s="30"/>
      <c r="C38" s="31"/>
      <c r="D38" s="31"/>
      <c r="E38" s="41"/>
      <c r="F38" s="31"/>
      <c r="G38" s="41"/>
      <c r="H38" s="94">
        <f>SUM(H14:H36)</f>
        <v>0</v>
      </c>
    </row>
    <row r="39" spans="1:9" ht="19.5" customHeight="1" x14ac:dyDescent="0.3">
      <c r="A39" s="29" t="s">
        <v>128</v>
      </c>
      <c r="B39" s="30"/>
      <c r="C39" s="31"/>
      <c r="D39" s="31"/>
      <c r="E39" s="31"/>
      <c r="F39" s="31"/>
      <c r="G39" s="95">
        <f>Summary!G20</f>
        <v>0</v>
      </c>
      <c r="H39" s="74">
        <f>SUM(H38*G39)</f>
        <v>0</v>
      </c>
    </row>
    <row r="40" spans="1:9" ht="19.5" customHeight="1" x14ac:dyDescent="0.3">
      <c r="A40" s="29" t="s">
        <v>129</v>
      </c>
      <c r="B40" s="30"/>
      <c r="C40" s="31"/>
      <c r="D40" s="31"/>
      <c r="E40" s="31"/>
      <c r="F40" s="31"/>
      <c r="G40" s="95">
        <f>Summary!G21</f>
        <v>0</v>
      </c>
      <c r="H40" s="74">
        <f>SUM(H38+H39)*G40</f>
        <v>0</v>
      </c>
    </row>
    <row r="41" spans="1:9" ht="19.5" customHeight="1" x14ac:dyDescent="0.3">
      <c r="A41" s="29" t="s">
        <v>130</v>
      </c>
      <c r="B41" s="30"/>
      <c r="C41" s="31"/>
      <c r="D41" s="31"/>
      <c r="E41" s="31"/>
      <c r="F41" s="31"/>
      <c r="G41" s="95">
        <f>Summary!G22</f>
        <v>0</v>
      </c>
      <c r="H41" s="74">
        <f>SUM(G37*G41)</f>
        <v>0</v>
      </c>
    </row>
    <row r="42" spans="1:9" ht="19.5" customHeight="1" thickBot="1" x14ac:dyDescent="0.35">
      <c r="A42" s="34" t="s">
        <v>124</v>
      </c>
      <c r="B42" s="32"/>
      <c r="C42" s="33"/>
      <c r="D42" s="33"/>
      <c r="E42" s="33"/>
      <c r="F42" s="33"/>
      <c r="G42" s="33"/>
      <c r="H42" s="75">
        <f>SUM(H38:H41)</f>
        <v>0</v>
      </c>
    </row>
    <row r="43" spans="1:9" ht="12.75" customHeight="1" thickTop="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sheetData>
  <mergeCells count="3">
    <mergeCell ref="A8:B8"/>
    <mergeCell ref="C8:E8"/>
    <mergeCell ref="A1:C2"/>
  </mergeCells>
  <printOptions horizontalCentered="1" verticalCentered="1" gridLinesSet="0"/>
  <pageMargins left="0.25" right="0.25" top="0.75" bottom="0.75" header="0.3" footer="0.3"/>
  <pageSetup scale="79" orientation="portrait" horizontalDpi="1200" verticalDpi="1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214"/>
  <sheetViews>
    <sheetView showGridLines="0" showZeros="0" zoomScaleNormal="100" workbookViewId="0">
      <pane ySplit="12" topLeftCell="A13" activePane="bottomLeft" state="frozen"/>
      <selection activeCell="A47" sqref="A47"/>
      <selection pane="bottomLeft" activeCell="B14" sqref="B14:D15"/>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9" width="9.81640625" style="6" bestFit="1" customWidth="1"/>
    <col min="10" max="10" width="12" style="6" bestFit="1" customWidth="1"/>
    <col min="11"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Summary!B23</f>
        <v>EQUIPMENT</v>
      </c>
      <c r="B13" s="30"/>
      <c r="C13" s="31"/>
      <c r="D13" s="31"/>
      <c r="E13" s="31"/>
      <c r="F13" s="31"/>
      <c r="G13" s="31"/>
      <c r="H13" s="31"/>
    </row>
    <row r="14" spans="1:9" ht="19.5" customHeight="1" x14ac:dyDescent="0.3">
      <c r="A14" s="99"/>
      <c r="B14" s="39"/>
      <c r="C14" s="40"/>
      <c r="D14" s="40"/>
      <c r="E14" s="74">
        <f>B14*D14</f>
        <v>0</v>
      </c>
      <c r="F14" s="40"/>
      <c r="G14" s="74">
        <f>B14*F14</f>
        <v>0</v>
      </c>
      <c r="H14" s="74">
        <f>E14+G14</f>
        <v>0</v>
      </c>
    </row>
    <row r="15" spans="1:9" ht="19.5" customHeight="1" x14ac:dyDescent="0.25">
      <c r="A15" s="30"/>
      <c r="B15" s="30"/>
      <c r="C15" s="31"/>
      <c r="D15" s="31"/>
      <c r="E15" s="74">
        <f t="shared" ref="E15:E36" si="0">B15*D15</f>
        <v>0</v>
      </c>
      <c r="F15" s="31"/>
      <c r="G15" s="74">
        <f t="shared" ref="G15:G23" si="1">B15*F15</f>
        <v>0</v>
      </c>
      <c r="H15" s="74">
        <f t="shared" ref="H15:H22" si="2">E15+G15</f>
        <v>0</v>
      </c>
    </row>
    <row r="16" spans="1:9" ht="19.5" customHeight="1" x14ac:dyDescent="0.25">
      <c r="A16" s="30"/>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25">
      <c r="A18" s="30"/>
      <c r="B18" s="30"/>
      <c r="C18" s="31"/>
      <c r="D18" s="31"/>
      <c r="E18" s="74">
        <f t="shared" si="0"/>
        <v>0</v>
      </c>
      <c r="F18" s="31"/>
      <c r="G18" s="74">
        <f t="shared" si="1"/>
        <v>0</v>
      </c>
      <c r="H18" s="74">
        <f t="shared" si="2"/>
        <v>0</v>
      </c>
    </row>
    <row r="19" spans="1:8" ht="19.5" customHeight="1" x14ac:dyDescent="0.25">
      <c r="A19" s="30"/>
      <c r="B19" s="30"/>
      <c r="C19" s="31"/>
      <c r="D19" s="31"/>
      <c r="E19" s="74">
        <f t="shared" si="0"/>
        <v>0</v>
      </c>
      <c r="F19" s="31"/>
      <c r="G19" s="74">
        <f t="shared" si="1"/>
        <v>0</v>
      </c>
      <c r="H19" s="74">
        <f t="shared" si="2"/>
        <v>0</v>
      </c>
    </row>
    <row r="20" spans="1:8" ht="19.5" customHeight="1" x14ac:dyDescent="0.25">
      <c r="A20" s="30"/>
      <c r="B20" s="30"/>
      <c r="C20" s="31"/>
      <c r="D20" s="31"/>
      <c r="E20" s="74">
        <f t="shared" si="0"/>
        <v>0</v>
      </c>
      <c r="F20" s="31"/>
      <c r="G20" s="74">
        <f t="shared" si="1"/>
        <v>0</v>
      </c>
      <c r="H20" s="74">
        <f t="shared" si="2"/>
        <v>0</v>
      </c>
    </row>
    <row r="21" spans="1:8" ht="19.5" customHeight="1" x14ac:dyDescent="0.25">
      <c r="A21" s="39"/>
      <c r="B21" s="39"/>
      <c r="C21" s="40"/>
      <c r="D21" s="40"/>
      <c r="E21" s="74">
        <f t="shared" si="0"/>
        <v>0</v>
      </c>
      <c r="F21" s="40"/>
      <c r="G21" s="74">
        <f t="shared" si="1"/>
        <v>0</v>
      </c>
      <c r="H21" s="74">
        <f t="shared" si="2"/>
        <v>0</v>
      </c>
    </row>
    <row r="22" spans="1:8" ht="19.5" customHeight="1" x14ac:dyDescent="0.25">
      <c r="A22" s="30"/>
      <c r="B22" s="30"/>
      <c r="C22" s="31"/>
      <c r="D22" s="31"/>
      <c r="E22" s="74">
        <f t="shared" si="0"/>
        <v>0</v>
      </c>
      <c r="F22" s="31"/>
      <c r="G22" s="74">
        <f t="shared" si="1"/>
        <v>0</v>
      </c>
      <c r="H22" s="74">
        <f t="shared" si="2"/>
        <v>0</v>
      </c>
    </row>
    <row r="23" spans="1:8" ht="19.5" customHeight="1" x14ac:dyDescent="0.25">
      <c r="A23" s="30"/>
      <c r="B23" s="30"/>
      <c r="C23" s="31"/>
      <c r="D23" s="31"/>
      <c r="E23" s="74">
        <f t="shared" si="0"/>
        <v>0</v>
      </c>
      <c r="F23" s="31"/>
      <c r="G23" s="74">
        <f t="shared" si="1"/>
        <v>0</v>
      </c>
      <c r="H23" s="74">
        <f>E23+G23</f>
        <v>0</v>
      </c>
    </row>
    <row r="24" spans="1:8" ht="19.5" customHeight="1" x14ac:dyDescent="0.25">
      <c r="A24" s="30"/>
      <c r="B24" s="30"/>
      <c r="C24" s="31"/>
      <c r="D24" s="31"/>
      <c r="E24" s="74">
        <f t="shared" si="0"/>
        <v>0</v>
      </c>
      <c r="F24" s="31"/>
      <c r="G24" s="74">
        <f>B24*F24</f>
        <v>0</v>
      </c>
      <c r="H24" s="74">
        <f>E24+G24</f>
        <v>0</v>
      </c>
    </row>
    <row r="25" spans="1:8" ht="19.5" customHeight="1" x14ac:dyDescent="0.25">
      <c r="A25" s="30"/>
      <c r="B25" s="30"/>
      <c r="C25" s="31"/>
      <c r="D25" s="31"/>
      <c r="E25" s="74">
        <f t="shared" si="0"/>
        <v>0</v>
      </c>
      <c r="F25" s="31"/>
      <c r="G25" s="74">
        <f t="shared" ref="G25:G36" si="3">B25*F25</f>
        <v>0</v>
      </c>
      <c r="H25" s="74">
        <f t="shared" ref="H25:H36" si="4">E25+G25</f>
        <v>0</v>
      </c>
    </row>
    <row r="26" spans="1:8" ht="19.5" customHeight="1" x14ac:dyDescent="0.25">
      <c r="A26" s="30"/>
      <c r="B26" s="30"/>
      <c r="C26" s="31"/>
      <c r="D26" s="31"/>
      <c r="E26" s="74">
        <f>B26*D26</f>
        <v>0</v>
      </c>
      <c r="F26" s="31"/>
      <c r="G26" s="74">
        <f>B26*F26</f>
        <v>0</v>
      </c>
      <c r="H26" s="74">
        <f>E26+G26</f>
        <v>0</v>
      </c>
    </row>
    <row r="27" spans="1:8" ht="19.5" customHeight="1" x14ac:dyDescent="0.25">
      <c r="A27" s="30"/>
      <c r="B27" s="30"/>
      <c r="C27" s="31"/>
      <c r="D27" s="31"/>
      <c r="E27" s="74">
        <f>B27*D27</f>
        <v>0</v>
      </c>
      <c r="F27" s="31"/>
      <c r="G27" s="74">
        <f>B27*F27</f>
        <v>0</v>
      </c>
      <c r="H27" s="74">
        <f>E27+G27</f>
        <v>0</v>
      </c>
    </row>
    <row r="28" spans="1:8" ht="19.5" customHeight="1" x14ac:dyDescent="0.25">
      <c r="A28" s="30"/>
      <c r="B28" s="30"/>
      <c r="C28" s="31"/>
      <c r="D28" s="31"/>
      <c r="E28" s="74">
        <f>B28*D28</f>
        <v>0</v>
      </c>
      <c r="F28" s="31"/>
      <c r="G28" s="74">
        <f>B28*F28</f>
        <v>0</v>
      </c>
      <c r="H28" s="74">
        <f>E28+G28</f>
        <v>0</v>
      </c>
    </row>
    <row r="29" spans="1:8" ht="19.5" customHeight="1" x14ac:dyDescent="0.25">
      <c r="A29" s="30"/>
      <c r="B29" s="30"/>
      <c r="C29" s="31"/>
      <c r="D29" s="31"/>
      <c r="E29" s="74">
        <f t="shared" si="0"/>
        <v>0</v>
      </c>
      <c r="F29" s="31"/>
      <c r="G29" s="74">
        <f t="shared" si="3"/>
        <v>0</v>
      </c>
      <c r="H29" s="74">
        <f t="shared" si="4"/>
        <v>0</v>
      </c>
    </row>
    <row r="30" spans="1:8" ht="19.5" customHeight="1" x14ac:dyDescent="0.25">
      <c r="A30" s="30"/>
      <c r="B30" s="30"/>
      <c r="C30" s="31"/>
      <c r="D30" s="31"/>
      <c r="E30" s="74">
        <f t="shared" si="0"/>
        <v>0</v>
      </c>
      <c r="F30" s="31"/>
      <c r="G30" s="74">
        <f t="shared" si="3"/>
        <v>0</v>
      </c>
      <c r="H30" s="74">
        <f t="shared" si="4"/>
        <v>0</v>
      </c>
    </row>
    <row r="31" spans="1:8" ht="19.5" customHeight="1" x14ac:dyDescent="0.25">
      <c r="A31" s="30"/>
      <c r="B31" s="30"/>
      <c r="C31" s="31"/>
      <c r="D31" s="31"/>
      <c r="E31" s="74">
        <f t="shared" si="0"/>
        <v>0</v>
      </c>
      <c r="F31" s="31"/>
      <c r="G31" s="74">
        <f t="shared" si="3"/>
        <v>0</v>
      </c>
      <c r="H31" s="74">
        <f t="shared" si="4"/>
        <v>0</v>
      </c>
    </row>
    <row r="32" spans="1:8" ht="19.5" customHeight="1" x14ac:dyDescent="0.25">
      <c r="A32" s="30"/>
      <c r="B32" s="30"/>
      <c r="C32" s="31"/>
      <c r="D32" s="31"/>
      <c r="E32" s="74">
        <f t="shared" si="0"/>
        <v>0</v>
      </c>
      <c r="F32" s="31"/>
      <c r="G32" s="74">
        <f t="shared" si="3"/>
        <v>0</v>
      </c>
      <c r="H32" s="74">
        <f t="shared" si="4"/>
        <v>0</v>
      </c>
    </row>
    <row r="33" spans="1:10" ht="19.5" customHeight="1" x14ac:dyDescent="0.25">
      <c r="A33" s="30"/>
      <c r="B33" s="30"/>
      <c r="C33" s="31"/>
      <c r="D33" s="31"/>
      <c r="E33" s="74">
        <f t="shared" si="0"/>
        <v>0</v>
      </c>
      <c r="F33" s="31"/>
      <c r="G33" s="74">
        <f t="shared" si="3"/>
        <v>0</v>
      </c>
      <c r="H33" s="74">
        <f t="shared" si="4"/>
        <v>0</v>
      </c>
    </row>
    <row r="34" spans="1:10" ht="19.5" customHeight="1" x14ac:dyDescent="0.25">
      <c r="A34" s="30"/>
      <c r="B34" s="30"/>
      <c r="C34" s="31"/>
      <c r="D34" s="31"/>
      <c r="E34" s="74">
        <f t="shared" si="0"/>
        <v>0</v>
      </c>
      <c r="F34" s="31"/>
      <c r="G34" s="74">
        <f t="shared" si="3"/>
        <v>0</v>
      </c>
      <c r="H34" s="74">
        <f t="shared" si="4"/>
        <v>0</v>
      </c>
    </row>
    <row r="35" spans="1:10" ht="19.5" customHeight="1" x14ac:dyDescent="0.25">
      <c r="A35" s="30"/>
      <c r="B35" s="30"/>
      <c r="C35" s="31"/>
      <c r="D35" s="31"/>
      <c r="E35" s="74">
        <f t="shared" si="0"/>
        <v>0</v>
      </c>
      <c r="F35" s="31"/>
      <c r="G35" s="74">
        <f t="shared" si="3"/>
        <v>0</v>
      </c>
      <c r="H35" s="74">
        <f t="shared" si="4"/>
        <v>0</v>
      </c>
    </row>
    <row r="36" spans="1:10" ht="19.5" customHeight="1" x14ac:dyDescent="0.25">
      <c r="A36" s="30"/>
      <c r="B36" s="30"/>
      <c r="C36" s="31"/>
      <c r="D36" s="31"/>
      <c r="E36" s="74">
        <f t="shared" si="0"/>
        <v>0</v>
      </c>
      <c r="F36" s="31"/>
      <c r="G36" s="74">
        <f t="shared" si="3"/>
        <v>0</v>
      </c>
      <c r="H36" s="74">
        <f t="shared" si="4"/>
        <v>0</v>
      </c>
    </row>
    <row r="37" spans="1:10" ht="19.5" customHeight="1" x14ac:dyDescent="0.3">
      <c r="A37" s="29" t="s">
        <v>127</v>
      </c>
      <c r="B37" s="30"/>
      <c r="C37" s="31"/>
      <c r="D37" s="31"/>
      <c r="E37" s="74">
        <f>SUM(E14:E35)</f>
        <v>0</v>
      </c>
      <c r="F37" s="31"/>
      <c r="G37" s="74">
        <f>SUM(G14:G35)</f>
        <v>0</v>
      </c>
      <c r="H37" s="45"/>
      <c r="I37" s="10"/>
      <c r="J37" s="10"/>
    </row>
    <row r="38" spans="1:10" ht="19.5" customHeight="1" x14ac:dyDescent="0.3">
      <c r="A38" s="29" t="s">
        <v>104</v>
      </c>
      <c r="B38" s="30"/>
      <c r="C38" s="31"/>
      <c r="D38" s="31"/>
      <c r="E38" s="41"/>
      <c r="F38" s="31"/>
      <c r="G38" s="41"/>
      <c r="H38" s="74">
        <f>SUM(E37:G37)</f>
        <v>0</v>
      </c>
      <c r="J38" s="10"/>
    </row>
    <row r="39" spans="1:10" ht="19.5" customHeight="1" x14ac:dyDescent="0.3">
      <c r="A39" s="29" t="s">
        <v>128</v>
      </c>
      <c r="B39" s="30"/>
      <c r="C39" s="31"/>
      <c r="D39" s="31"/>
      <c r="E39" s="31"/>
      <c r="F39" s="31"/>
      <c r="G39" s="95">
        <f>Summary!G20</f>
        <v>0</v>
      </c>
      <c r="H39" s="74">
        <f>SUM(H38*G39)</f>
        <v>0</v>
      </c>
    </row>
    <row r="40" spans="1:10" ht="19.5" customHeight="1" x14ac:dyDescent="0.3">
      <c r="A40" s="29" t="s">
        <v>129</v>
      </c>
      <c r="B40" s="30"/>
      <c r="C40" s="31"/>
      <c r="D40" s="31"/>
      <c r="E40" s="31"/>
      <c r="F40" s="31"/>
      <c r="G40" s="95">
        <f>Summary!G21</f>
        <v>0</v>
      </c>
      <c r="H40" s="74">
        <f>SUM(H38+H39)*G40</f>
        <v>0</v>
      </c>
      <c r="J40" s="10"/>
    </row>
    <row r="41" spans="1:10" ht="19.5" customHeight="1" x14ac:dyDescent="0.3">
      <c r="A41" s="29" t="s">
        <v>130</v>
      </c>
      <c r="B41" s="30"/>
      <c r="C41" s="31"/>
      <c r="D41" s="31"/>
      <c r="E41" s="31"/>
      <c r="F41" s="31"/>
      <c r="G41" s="95">
        <f>Summary!G22</f>
        <v>0</v>
      </c>
      <c r="H41" s="74">
        <f>SUM(G37*G41)</f>
        <v>0</v>
      </c>
      <c r="J41" s="10"/>
    </row>
    <row r="42" spans="1:10" ht="19.5" customHeight="1" thickBot="1" x14ac:dyDescent="0.35">
      <c r="A42" s="34" t="s">
        <v>124</v>
      </c>
      <c r="B42" s="32"/>
      <c r="C42" s="33"/>
      <c r="D42" s="33"/>
      <c r="E42" s="33"/>
      <c r="F42" s="33"/>
      <c r="G42" s="66"/>
      <c r="H42" s="75">
        <f>SUM(H38:H41)</f>
        <v>0</v>
      </c>
      <c r="J42" s="10"/>
    </row>
    <row r="43" spans="1:10" ht="19.5" customHeight="1" thickTop="1" x14ac:dyDescent="0.25">
      <c r="A43" s="35"/>
      <c r="B43" s="35"/>
      <c r="C43" s="36"/>
      <c r="D43" s="36"/>
      <c r="E43" s="36"/>
      <c r="F43" s="36"/>
      <c r="G43" s="36"/>
      <c r="H43" s="36"/>
      <c r="J43" s="10"/>
    </row>
    <row r="44" spans="1:10" ht="19.5" customHeight="1" x14ac:dyDescent="0.25">
      <c r="A44" s="35"/>
      <c r="B44" s="35"/>
      <c r="C44" s="36"/>
      <c r="D44" s="36"/>
      <c r="E44" s="36"/>
      <c r="F44" s="36"/>
      <c r="G44" s="36"/>
      <c r="H44" s="36"/>
    </row>
    <row r="45" spans="1:10" ht="19.5" customHeight="1" x14ac:dyDescent="0.25">
      <c r="A45" s="35"/>
      <c r="B45" s="35"/>
      <c r="C45" s="36"/>
      <c r="D45" s="36"/>
      <c r="E45" s="36"/>
      <c r="F45" s="36"/>
      <c r="G45" s="36"/>
      <c r="H45" s="36"/>
    </row>
    <row r="46" spans="1:10" ht="19.5" customHeight="1" x14ac:dyDescent="0.25">
      <c r="A46" s="35"/>
      <c r="B46" s="35"/>
      <c r="C46" s="36"/>
      <c r="D46" s="36"/>
      <c r="E46" s="36"/>
      <c r="F46" s="36"/>
      <c r="G46" s="36"/>
      <c r="H46" s="36"/>
    </row>
    <row r="47" spans="1:10" ht="19.5" customHeight="1" x14ac:dyDescent="0.25">
      <c r="A47" s="35"/>
      <c r="B47" s="35"/>
      <c r="C47" s="36"/>
      <c r="D47" s="36"/>
      <c r="E47" s="36"/>
      <c r="F47" s="36"/>
      <c r="G47" s="36"/>
      <c r="H47" s="36"/>
    </row>
    <row r="48" spans="1:10" ht="19.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12.75" customHeight="1" x14ac:dyDescent="0.25">
      <c r="A73" s="35"/>
      <c r="B73" s="35"/>
      <c r="C73" s="36"/>
      <c r="D73" s="36"/>
      <c r="E73" s="36"/>
      <c r="F73" s="36"/>
      <c r="G73" s="36"/>
      <c r="H73" s="36"/>
      <c r="I73" s="35"/>
    </row>
    <row r="74" spans="1:9" ht="12.75" customHeight="1" x14ac:dyDescent="0.25">
      <c r="A74" s="35"/>
      <c r="B74" s="35"/>
      <c r="C74" s="36"/>
      <c r="D74" s="36"/>
      <c r="E74" s="36"/>
      <c r="F74" s="36"/>
      <c r="G74" s="36"/>
      <c r="H74" s="36"/>
      <c r="I74" s="35"/>
    </row>
    <row r="75" spans="1:9" ht="12.75" customHeight="1" x14ac:dyDescent="0.25">
      <c r="A75" s="35"/>
      <c r="B75" s="35"/>
      <c r="C75" s="36"/>
      <c r="D75" s="36"/>
      <c r="E75" s="36"/>
      <c r="F75" s="36"/>
      <c r="G75" s="36"/>
      <c r="H75" s="36"/>
      <c r="I75" s="35"/>
    </row>
    <row r="76" spans="1:9" ht="12.75"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20.149999999999999" customHeight="1" x14ac:dyDescent="0.25">
      <c r="A124" s="35"/>
      <c r="B124" s="35"/>
      <c r="C124" s="36"/>
      <c r="D124" s="36"/>
      <c r="E124" s="36"/>
      <c r="F124" s="36"/>
      <c r="G124" s="36"/>
      <c r="H124" s="36"/>
      <c r="I124" s="35"/>
    </row>
    <row r="125" spans="1:9" ht="20.149999999999999" customHeight="1" x14ac:dyDescent="0.25">
      <c r="A125" s="35"/>
      <c r="B125" s="35"/>
      <c r="C125" s="36"/>
      <c r="D125" s="36"/>
      <c r="E125" s="36"/>
      <c r="F125" s="36"/>
      <c r="G125" s="36"/>
      <c r="H125" s="36"/>
      <c r="I125" s="35"/>
    </row>
    <row r="126" spans="1:9" ht="20.149999999999999" customHeight="1" x14ac:dyDescent="0.25">
      <c r="A126" s="35"/>
      <c r="B126" s="35"/>
      <c r="C126" s="36"/>
      <c r="D126" s="36"/>
      <c r="E126" s="36"/>
      <c r="F126" s="36"/>
      <c r="G126" s="36"/>
      <c r="H126" s="36"/>
      <c r="I126" s="35"/>
    </row>
    <row r="127" spans="1:9" ht="20.149999999999999" customHeight="1"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I210" s="35"/>
    </row>
    <row r="211" spans="1:9" ht="12.5" x14ac:dyDescent="0.25">
      <c r="I211" s="35"/>
    </row>
    <row r="212" spans="1:9" ht="12.5" x14ac:dyDescent="0.25">
      <c r="I212" s="35"/>
    </row>
    <row r="213" spans="1:9" ht="12.5" x14ac:dyDescent="0.25">
      <c r="I213" s="35"/>
    </row>
    <row r="214" spans="1:9" ht="12.5" x14ac:dyDescent="0.25">
      <c r="I214" s="35"/>
    </row>
  </sheetData>
  <mergeCells count="1">
    <mergeCell ref="A1:C2"/>
  </mergeCells>
  <printOptions horizontalCentered="1" verticalCentered="1" gridLinesSet="0"/>
  <pageMargins left="0.25" right="0.25" top="0.75" bottom="0.75" header="0.3" footer="0.3"/>
  <pageSetup scale="79" orientation="portrait" horizontalDpi="1200" verticalDpi="12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210"/>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44.81640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Summary!B24</f>
        <v>FURNISHINGS</v>
      </c>
      <c r="B13" s="41"/>
      <c r="C13" s="45"/>
      <c r="D13" s="53"/>
      <c r="E13" s="45"/>
      <c r="F13" s="53"/>
      <c r="G13" s="45"/>
      <c r="H13" s="45"/>
    </row>
    <row r="14" spans="1:9" ht="19.5" customHeight="1" x14ac:dyDescent="0.3">
      <c r="A14" s="97"/>
      <c r="B14" s="44"/>
      <c r="C14" s="45"/>
      <c r="D14" s="45"/>
      <c r="E14" s="89">
        <f>B14*D14</f>
        <v>0</v>
      </c>
      <c r="F14" s="45"/>
      <c r="G14" s="89">
        <f t="shared" ref="G14:G37" si="0">B14*F14</f>
        <v>0</v>
      </c>
      <c r="H14" s="89">
        <f t="shared" ref="H14:H37" si="1">E14+G14</f>
        <v>0</v>
      </c>
    </row>
    <row r="15" spans="1:9" ht="19.5" customHeight="1" x14ac:dyDescent="0.25">
      <c r="A15" s="30"/>
      <c r="B15" s="30"/>
      <c r="C15" s="31"/>
      <c r="D15" s="31"/>
      <c r="E15" s="74">
        <f>B15*D15</f>
        <v>0</v>
      </c>
      <c r="F15" s="31"/>
      <c r="G15" s="74">
        <f t="shared" si="0"/>
        <v>0</v>
      </c>
      <c r="H15" s="74">
        <f t="shared" si="1"/>
        <v>0</v>
      </c>
    </row>
    <row r="16" spans="1:9" ht="19.5" customHeight="1" x14ac:dyDescent="0.25">
      <c r="A16" s="30"/>
      <c r="B16" s="30"/>
      <c r="C16" s="31"/>
      <c r="D16" s="31"/>
      <c r="E16" s="74">
        <f t="shared" ref="E16:E37" si="2">B16*D16</f>
        <v>0</v>
      </c>
      <c r="F16" s="31"/>
      <c r="G16" s="74">
        <f t="shared" si="0"/>
        <v>0</v>
      </c>
      <c r="H16" s="74">
        <f t="shared" si="1"/>
        <v>0</v>
      </c>
    </row>
    <row r="17" spans="1:8" ht="19.5" customHeight="1" x14ac:dyDescent="0.25">
      <c r="A17" s="30"/>
      <c r="B17" s="30"/>
      <c r="C17" s="31"/>
      <c r="D17" s="31"/>
      <c r="E17" s="74">
        <f t="shared" si="2"/>
        <v>0</v>
      </c>
      <c r="F17" s="31"/>
      <c r="G17" s="74">
        <f t="shared" si="0"/>
        <v>0</v>
      </c>
      <c r="H17" s="74">
        <f t="shared" si="1"/>
        <v>0</v>
      </c>
    </row>
    <row r="18" spans="1:8" ht="19.5" customHeight="1" x14ac:dyDescent="0.25">
      <c r="A18" s="30"/>
      <c r="B18" s="30"/>
      <c r="C18" s="31"/>
      <c r="D18" s="31"/>
      <c r="E18" s="74">
        <f t="shared" si="2"/>
        <v>0</v>
      </c>
      <c r="F18" s="31"/>
      <c r="G18" s="74">
        <f t="shared" si="0"/>
        <v>0</v>
      </c>
      <c r="H18" s="74">
        <f t="shared" si="1"/>
        <v>0</v>
      </c>
    </row>
    <row r="19" spans="1:8" ht="19.5" customHeight="1" x14ac:dyDescent="0.25">
      <c r="A19" s="30"/>
      <c r="B19" s="30"/>
      <c r="C19" s="31"/>
      <c r="D19" s="31"/>
      <c r="E19" s="74">
        <f t="shared" si="2"/>
        <v>0</v>
      </c>
      <c r="F19" s="31"/>
      <c r="G19" s="74">
        <f t="shared" si="0"/>
        <v>0</v>
      </c>
      <c r="H19" s="74">
        <f t="shared" si="1"/>
        <v>0</v>
      </c>
    </row>
    <row r="20" spans="1:8" s="51" customFormat="1" ht="19.5" customHeight="1" x14ac:dyDescent="0.25">
      <c r="A20" s="39"/>
      <c r="B20" s="30"/>
      <c r="C20" s="31"/>
      <c r="D20" s="31"/>
      <c r="E20" s="74">
        <f t="shared" si="2"/>
        <v>0</v>
      </c>
      <c r="F20" s="31"/>
      <c r="G20" s="74">
        <f t="shared" si="0"/>
        <v>0</v>
      </c>
      <c r="H20" s="74">
        <f t="shared" si="1"/>
        <v>0</v>
      </c>
    </row>
    <row r="21" spans="1:8" s="51" customFormat="1" ht="19.5" customHeight="1" x14ac:dyDescent="0.25">
      <c r="A21" s="39"/>
      <c r="B21" s="30"/>
      <c r="C21" s="31"/>
      <c r="D21" s="31"/>
      <c r="E21" s="74">
        <f t="shared" si="2"/>
        <v>0</v>
      </c>
      <c r="F21" s="31"/>
      <c r="G21" s="74">
        <f t="shared" si="0"/>
        <v>0</v>
      </c>
      <c r="H21" s="74">
        <f t="shared" si="1"/>
        <v>0</v>
      </c>
    </row>
    <row r="22" spans="1:8" ht="19.5" customHeight="1" x14ac:dyDescent="0.25">
      <c r="A22" s="30"/>
      <c r="B22" s="30"/>
      <c r="C22" s="31"/>
      <c r="D22" s="31"/>
      <c r="E22" s="74">
        <f t="shared" si="2"/>
        <v>0</v>
      </c>
      <c r="F22" s="31"/>
      <c r="G22" s="74">
        <f t="shared" si="0"/>
        <v>0</v>
      </c>
      <c r="H22" s="74">
        <f t="shared" si="1"/>
        <v>0</v>
      </c>
    </row>
    <row r="23" spans="1:8" ht="19.5" customHeight="1" x14ac:dyDescent="0.25">
      <c r="A23" s="30"/>
      <c r="B23" s="30"/>
      <c r="C23" s="31"/>
      <c r="D23" s="31"/>
      <c r="E23" s="74">
        <f t="shared" si="2"/>
        <v>0</v>
      </c>
      <c r="F23" s="31"/>
      <c r="G23" s="74">
        <f t="shared" si="0"/>
        <v>0</v>
      </c>
      <c r="H23" s="74">
        <f t="shared" si="1"/>
        <v>0</v>
      </c>
    </row>
    <row r="24" spans="1:8" ht="19.5" customHeight="1" x14ac:dyDescent="0.25">
      <c r="A24" s="30"/>
      <c r="B24" s="30"/>
      <c r="C24" s="31"/>
      <c r="D24" s="31"/>
      <c r="E24" s="74">
        <f t="shared" si="2"/>
        <v>0</v>
      </c>
      <c r="F24" s="31"/>
      <c r="G24" s="74">
        <f t="shared" si="0"/>
        <v>0</v>
      </c>
      <c r="H24" s="74">
        <f t="shared" si="1"/>
        <v>0</v>
      </c>
    </row>
    <row r="25" spans="1:8" ht="19.5" customHeight="1" x14ac:dyDescent="0.25">
      <c r="A25" s="30"/>
      <c r="B25" s="30"/>
      <c r="C25" s="31"/>
      <c r="D25" s="31"/>
      <c r="E25" s="74">
        <f t="shared" si="2"/>
        <v>0</v>
      </c>
      <c r="F25" s="31"/>
      <c r="G25" s="74">
        <f t="shared" si="0"/>
        <v>0</v>
      </c>
      <c r="H25" s="74">
        <f t="shared" si="1"/>
        <v>0</v>
      </c>
    </row>
    <row r="26" spans="1:8" ht="19.5" customHeight="1" x14ac:dyDescent="0.25">
      <c r="A26" s="30"/>
      <c r="B26" s="30"/>
      <c r="C26" s="31"/>
      <c r="D26" s="31"/>
      <c r="E26" s="74">
        <f t="shared" si="2"/>
        <v>0</v>
      </c>
      <c r="F26" s="31"/>
      <c r="G26" s="74">
        <f t="shared" si="0"/>
        <v>0</v>
      </c>
      <c r="H26" s="74">
        <f t="shared" si="1"/>
        <v>0</v>
      </c>
    </row>
    <row r="27" spans="1:8" ht="19.5" customHeight="1" x14ac:dyDescent="0.25">
      <c r="A27" s="30"/>
      <c r="B27" s="30"/>
      <c r="C27" s="31"/>
      <c r="D27" s="31"/>
      <c r="E27" s="74">
        <f t="shared" si="2"/>
        <v>0</v>
      </c>
      <c r="F27" s="31"/>
      <c r="G27" s="74">
        <f t="shared" si="0"/>
        <v>0</v>
      </c>
      <c r="H27" s="74">
        <f t="shared" si="1"/>
        <v>0</v>
      </c>
    </row>
    <row r="28" spans="1:8" ht="19.5" customHeight="1" x14ac:dyDescent="0.25">
      <c r="A28" s="30"/>
      <c r="B28" s="30"/>
      <c r="C28" s="31"/>
      <c r="D28" s="31"/>
      <c r="E28" s="74">
        <f t="shared" si="2"/>
        <v>0</v>
      </c>
      <c r="F28" s="31"/>
      <c r="G28" s="74">
        <f t="shared" si="0"/>
        <v>0</v>
      </c>
      <c r="H28" s="74">
        <f t="shared" si="1"/>
        <v>0</v>
      </c>
    </row>
    <row r="29" spans="1:8" ht="19.5" customHeight="1" x14ac:dyDescent="0.25">
      <c r="A29" s="30"/>
      <c r="B29" s="30"/>
      <c r="C29" s="31"/>
      <c r="D29" s="31"/>
      <c r="E29" s="74">
        <f t="shared" si="2"/>
        <v>0</v>
      </c>
      <c r="F29" s="31"/>
      <c r="G29" s="74">
        <f t="shared" si="0"/>
        <v>0</v>
      </c>
      <c r="H29" s="74">
        <f t="shared" si="1"/>
        <v>0</v>
      </c>
    </row>
    <row r="30" spans="1:8" ht="19.5" customHeight="1" x14ac:dyDescent="0.25">
      <c r="A30" s="30"/>
      <c r="B30" s="30"/>
      <c r="C30" s="31"/>
      <c r="D30" s="31"/>
      <c r="E30" s="74">
        <f t="shared" si="2"/>
        <v>0</v>
      </c>
      <c r="F30" s="31"/>
      <c r="G30" s="74">
        <f t="shared" si="0"/>
        <v>0</v>
      </c>
      <c r="H30" s="74">
        <f t="shared" si="1"/>
        <v>0</v>
      </c>
    </row>
    <row r="31" spans="1:8" ht="19.5" customHeight="1" x14ac:dyDescent="0.25">
      <c r="A31" s="30"/>
      <c r="B31" s="30"/>
      <c r="C31" s="31"/>
      <c r="D31" s="31"/>
      <c r="E31" s="74">
        <f t="shared" si="2"/>
        <v>0</v>
      </c>
      <c r="F31" s="31"/>
      <c r="G31" s="74">
        <f t="shared" si="0"/>
        <v>0</v>
      </c>
      <c r="H31" s="74">
        <f t="shared" si="1"/>
        <v>0</v>
      </c>
    </row>
    <row r="32" spans="1:8" ht="19.5" customHeight="1" x14ac:dyDescent="0.25">
      <c r="A32" s="30"/>
      <c r="B32" s="30"/>
      <c r="C32" s="31"/>
      <c r="D32" s="31"/>
      <c r="E32" s="74">
        <f t="shared" si="2"/>
        <v>0</v>
      </c>
      <c r="F32" s="31"/>
      <c r="G32" s="74">
        <f t="shared" si="0"/>
        <v>0</v>
      </c>
      <c r="H32" s="74">
        <f t="shared" si="1"/>
        <v>0</v>
      </c>
    </row>
    <row r="33" spans="1:10" ht="19.5" customHeight="1" x14ac:dyDescent="0.25">
      <c r="A33" s="30"/>
      <c r="B33" s="30"/>
      <c r="C33" s="31"/>
      <c r="D33" s="31"/>
      <c r="E33" s="74">
        <f t="shared" si="2"/>
        <v>0</v>
      </c>
      <c r="F33" s="31"/>
      <c r="G33" s="74">
        <f t="shared" si="0"/>
        <v>0</v>
      </c>
      <c r="H33" s="74">
        <f t="shared" si="1"/>
        <v>0</v>
      </c>
    </row>
    <row r="34" spans="1:10" ht="19.5" customHeight="1" x14ac:dyDescent="0.25">
      <c r="A34" s="30"/>
      <c r="B34" s="30"/>
      <c r="C34" s="31"/>
      <c r="D34" s="31"/>
      <c r="E34" s="74">
        <f t="shared" si="2"/>
        <v>0</v>
      </c>
      <c r="F34" s="31"/>
      <c r="G34" s="74">
        <f t="shared" si="0"/>
        <v>0</v>
      </c>
      <c r="H34" s="74">
        <f t="shared" si="1"/>
        <v>0</v>
      </c>
    </row>
    <row r="35" spans="1:10" ht="19.5" customHeight="1" x14ac:dyDescent="0.25">
      <c r="A35" s="30"/>
      <c r="B35" s="30"/>
      <c r="C35" s="31"/>
      <c r="D35" s="31"/>
      <c r="E35" s="74">
        <f t="shared" si="2"/>
        <v>0</v>
      </c>
      <c r="F35" s="31"/>
      <c r="G35" s="74">
        <f t="shared" si="0"/>
        <v>0</v>
      </c>
      <c r="H35" s="74">
        <f t="shared" si="1"/>
        <v>0</v>
      </c>
    </row>
    <row r="36" spans="1:10" ht="19.5" customHeight="1" x14ac:dyDescent="0.25">
      <c r="A36" s="30"/>
      <c r="B36" s="30"/>
      <c r="C36" s="31"/>
      <c r="D36" s="31"/>
      <c r="E36" s="74">
        <f t="shared" si="2"/>
        <v>0</v>
      </c>
      <c r="F36" s="31"/>
      <c r="G36" s="74">
        <f t="shared" si="0"/>
        <v>0</v>
      </c>
      <c r="H36" s="74">
        <f t="shared" si="1"/>
        <v>0</v>
      </c>
    </row>
    <row r="37" spans="1:10" ht="19.5" customHeight="1" x14ac:dyDescent="0.25">
      <c r="A37" s="30"/>
      <c r="B37" s="30"/>
      <c r="C37" s="31"/>
      <c r="D37" s="31"/>
      <c r="E37" s="74">
        <f t="shared" si="2"/>
        <v>0</v>
      </c>
      <c r="F37" s="31"/>
      <c r="G37" s="74">
        <f t="shared" si="0"/>
        <v>0</v>
      </c>
      <c r="H37" s="74">
        <f t="shared" si="1"/>
        <v>0</v>
      </c>
    </row>
    <row r="38" spans="1:10" ht="19.5" customHeight="1" x14ac:dyDescent="0.3">
      <c r="A38" s="29" t="s">
        <v>127</v>
      </c>
      <c r="B38" s="30"/>
      <c r="C38" s="31"/>
      <c r="D38" s="31"/>
      <c r="E38" s="74">
        <f>SUM(E14:E37)</f>
        <v>0</v>
      </c>
      <c r="F38" s="31"/>
      <c r="G38" s="74">
        <f>SUM(G14:G37)</f>
        <v>0</v>
      </c>
      <c r="H38" s="53"/>
    </row>
    <row r="39" spans="1:10" ht="19.5" customHeight="1" x14ac:dyDescent="0.3">
      <c r="A39" s="29" t="s">
        <v>104</v>
      </c>
      <c r="B39" s="30"/>
      <c r="C39" s="31"/>
      <c r="D39" s="31"/>
      <c r="E39" s="41"/>
      <c r="F39" s="31"/>
      <c r="G39" s="41"/>
      <c r="H39" s="74">
        <f>E38+G38</f>
        <v>0</v>
      </c>
      <c r="J39" s="10"/>
    </row>
    <row r="40" spans="1:10" ht="19.5" customHeight="1" x14ac:dyDescent="0.3">
      <c r="A40" s="29" t="s">
        <v>128</v>
      </c>
      <c r="B40" s="30"/>
      <c r="C40" s="31"/>
      <c r="D40" s="31"/>
      <c r="E40" s="31"/>
      <c r="F40" s="31"/>
      <c r="G40" s="95">
        <f>Summary!G20</f>
        <v>0</v>
      </c>
      <c r="H40" s="74">
        <f>SUM(H39*G40)</f>
        <v>0</v>
      </c>
    </row>
    <row r="41" spans="1:10" ht="19.5" customHeight="1" x14ac:dyDescent="0.3">
      <c r="A41" s="29" t="s">
        <v>129</v>
      </c>
      <c r="B41" s="30"/>
      <c r="C41" s="31"/>
      <c r="D41" s="31"/>
      <c r="E41" s="31"/>
      <c r="F41" s="31"/>
      <c r="G41" s="95">
        <f>Summary!G21</f>
        <v>0</v>
      </c>
      <c r="H41" s="74">
        <f>SUM(H39+H40)*G41</f>
        <v>0</v>
      </c>
    </row>
    <row r="42" spans="1:10" ht="19.5" customHeight="1" x14ac:dyDescent="0.3">
      <c r="A42" s="29" t="s">
        <v>130</v>
      </c>
      <c r="B42" s="30"/>
      <c r="C42" s="31"/>
      <c r="D42" s="31"/>
      <c r="E42" s="31"/>
      <c r="F42" s="31"/>
      <c r="G42" s="95">
        <f>Summary!G22</f>
        <v>0</v>
      </c>
      <c r="H42" s="74">
        <f>SUM(G38*G42)</f>
        <v>0</v>
      </c>
    </row>
    <row r="43" spans="1:10" ht="19.5" customHeight="1" thickBot="1" x14ac:dyDescent="0.35">
      <c r="A43" s="34" t="s">
        <v>124</v>
      </c>
      <c r="B43" s="32"/>
      <c r="C43" s="33"/>
      <c r="D43" s="33"/>
      <c r="E43" s="33"/>
      <c r="F43" s="33"/>
      <c r="G43" s="66"/>
      <c r="H43" s="75">
        <f>SUM(H39:H42)</f>
        <v>0</v>
      </c>
    </row>
    <row r="44" spans="1:10" ht="12.75" customHeight="1" thickTop="1" x14ac:dyDescent="0.25">
      <c r="A44" s="35"/>
      <c r="B44" s="35"/>
      <c r="C44" s="36"/>
      <c r="D44" s="36"/>
      <c r="E44" s="36"/>
      <c r="F44" s="36"/>
      <c r="G44" s="36"/>
      <c r="H44" s="36"/>
      <c r="I44" s="35"/>
    </row>
    <row r="45" spans="1:10" ht="12.75" customHeight="1" x14ac:dyDescent="0.25">
      <c r="A45" s="35"/>
      <c r="B45" s="35"/>
      <c r="C45" s="36"/>
      <c r="D45" s="36"/>
      <c r="E45" s="36"/>
      <c r="F45" s="36"/>
      <c r="G45" s="36"/>
      <c r="H45" s="36"/>
      <c r="I45" s="35"/>
    </row>
    <row r="46" spans="1:10" ht="12.75" customHeight="1" x14ac:dyDescent="0.25">
      <c r="A46" s="35"/>
      <c r="B46" s="35"/>
      <c r="C46" s="36"/>
      <c r="D46" s="36"/>
      <c r="E46" s="36"/>
      <c r="F46" s="36"/>
      <c r="G46" s="36"/>
      <c r="H46" s="36"/>
      <c r="I46" s="35"/>
    </row>
    <row r="47" spans="1:10" ht="12.75" customHeight="1" x14ac:dyDescent="0.25">
      <c r="A47" s="35"/>
      <c r="B47" s="35"/>
      <c r="C47" s="36"/>
      <c r="D47" s="36"/>
      <c r="E47" s="36"/>
      <c r="F47" s="36"/>
      <c r="G47" s="36"/>
      <c r="H47" s="36"/>
      <c r="I47" s="35"/>
    </row>
    <row r="48" spans="1:10"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A210" s="35"/>
      <c r="B210" s="35"/>
      <c r="C210" s="36"/>
      <c r="D210" s="36"/>
      <c r="E210" s="36"/>
      <c r="F210" s="36"/>
      <c r="G210" s="36"/>
      <c r="H210" s="36"/>
      <c r="I210" s="35"/>
    </row>
  </sheetData>
  <mergeCells count="1">
    <mergeCell ref="A1:C2"/>
  </mergeCells>
  <printOptions horizontalCentered="1" verticalCentered="1" gridLinesSet="0"/>
  <pageMargins left="0.25" right="0.25" top="0.75" bottom="0.75" header="0.3" footer="0.3"/>
  <pageSetup scale="77" orientation="portrait" horizontalDpi="1200" verticalDpi="12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J208"/>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Summary!B25</f>
        <v>SPECIAL CONSTRUCTION</v>
      </c>
      <c r="B13" s="30"/>
      <c r="C13" s="31"/>
      <c r="D13" s="31"/>
      <c r="E13" s="31"/>
      <c r="F13" s="31"/>
      <c r="G13" s="31"/>
      <c r="H13" s="31"/>
    </row>
    <row r="14" spans="1:9" ht="19.5" customHeight="1" x14ac:dyDescent="0.25">
      <c r="A14" s="30"/>
      <c r="B14" s="30"/>
      <c r="C14" s="31"/>
      <c r="D14" s="31"/>
      <c r="E14" s="74">
        <f t="shared" ref="E14:E35" si="0">B14*D14</f>
        <v>0</v>
      </c>
      <c r="F14" s="31"/>
      <c r="G14" s="74">
        <f t="shared" ref="G14:G35" si="1">B14*F14</f>
        <v>0</v>
      </c>
      <c r="H14" s="74">
        <f t="shared" ref="H14:H35" si="2">E14+G14</f>
        <v>0</v>
      </c>
    </row>
    <row r="15" spans="1:9" ht="19.5" customHeight="1" x14ac:dyDescent="0.25">
      <c r="A15" s="30"/>
      <c r="B15" s="30"/>
      <c r="C15" s="31"/>
      <c r="D15" s="31"/>
      <c r="E15" s="74">
        <f t="shared" si="0"/>
        <v>0</v>
      </c>
      <c r="F15" s="31"/>
      <c r="G15" s="74">
        <f t="shared" si="1"/>
        <v>0</v>
      </c>
      <c r="H15" s="74">
        <f t="shared" si="2"/>
        <v>0</v>
      </c>
    </row>
    <row r="16" spans="1:9" ht="19.5" customHeight="1" x14ac:dyDescent="0.25">
      <c r="A16" s="52"/>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25">
      <c r="A18" s="30"/>
      <c r="B18" s="30"/>
      <c r="C18" s="31"/>
      <c r="D18" s="31"/>
      <c r="E18" s="74">
        <f t="shared" si="0"/>
        <v>0</v>
      </c>
      <c r="F18" s="31"/>
      <c r="G18" s="74">
        <f t="shared" si="1"/>
        <v>0</v>
      </c>
      <c r="H18" s="74">
        <f t="shared" si="2"/>
        <v>0</v>
      </c>
    </row>
    <row r="19" spans="1:8" ht="19.5" customHeight="1" x14ac:dyDescent="0.25">
      <c r="A19" s="30"/>
      <c r="B19" s="30"/>
      <c r="C19" s="31"/>
      <c r="D19" s="31"/>
      <c r="E19" s="74">
        <f t="shared" si="0"/>
        <v>0</v>
      </c>
      <c r="F19" s="31"/>
      <c r="G19" s="74">
        <f t="shared" si="1"/>
        <v>0</v>
      </c>
      <c r="H19" s="74">
        <f t="shared" si="2"/>
        <v>0</v>
      </c>
    </row>
    <row r="20" spans="1:8" ht="19.5" customHeight="1" x14ac:dyDescent="0.25">
      <c r="A20" s="30"/>
      <c r="B20" s="30"/>
      <c r="C20" s="31"/>
      <c r="D20" s="31"/>
      <c r="E20" s="74">
        <f>B20*D20</f>
        <v>0</v>
      </c>
      <c r="F20" s="31"/>
      <c r="G20" s="74">
        <f>B20*F20</f>
        <v>0</v>
      </c>
      <c r="H20" s="74">
        <f>E20+G20</f>
        <v>0</v>
      </c>
    </row>
    <row r="21" spans="1:8" ht="19.5" customHeight="1" x14ac:dyDescent="0.25">
      <c r="A21" s="30"/>
      <c r="B21" s="30"/>
      <c r="C21" s="31"/>
      <c r="D21" s="31"/>
      <c r="E21" s="74">
        <f>B21*D21</f>
        <v>0</v>
      </c>
      <c r="F21" s="31"/>
      <c r="G21" s="74">
        <f>B21*F21</f>
        <v>0</v>
      </c>
      <c r="H21" s="74">
        <f>E21+G21</f>
        <v>0</v>
      </c>
    </row>
    <row r="22" spans="1:8" ht="19.5" customHeight="1" x14ac:dyDescent="0.25">
      <c r="A22" s="30"/>
      <c r="B22" s="30"/>
      <c r="C22" s="31"/>
      <c r="D22" s="31"/>
      <c r="E22" s="74">
        <f>B22*D22</f>
        <v>0</v>
      </c>
      <c r="F22" s="31"/>
      <c r="G22" s="74">
        <f>B22*F22</f>
        <v>0</v>
      </c>
      <c r="H22" s="74">
        <f>E22+G22</f>
        <v>0</v>
      </c>
    </row>
    <row r="23" spans="1:8" ht="19.5" customHeight="1" x14ac:dyDescent="0.25">
      <c r="A23" s="30"/>
      <c r="B23" s="30"/>
      <c r="C23" s="31"/>
      <c r="D23" s="31"/>
      <c r="E23" s="74">
        <f>B23*D23</f>
        <v>0</v>
      </c>
      <c r="F23" s="31"/>
      <c r="G23" s="74">
        <f>B23*F23</f>
        <v>0</v>
      </c>
      <c r="H23" s="74">
        <f>E23+G23</f>
        <v>0</v>
      </c>
    </row>
    <row r="24" spans="1:8" ht="19.5" customHeight="1" x14ac:dyDescent="0.25">
      <c r="A24" s="30"/>
      <c r="B24" s="30"/>
      <c r="C24" s="31"/>
      <c r="D24" s="31"/>
      <c r="E24" s="74">
        <f t="shared" si="0"/>
        <v>0</v>
      </c>
      <c r="F24" s="31"/>
      <c r="G24" s="74">
        <f t="shared" si="1"/>
        <v>0</v>
      </c>
      <c r="H24" s="74">
        <f t="shared" si="2"/>
        <v>0</v>
      </c>
    </row>
    <row r="25" spans="1:8" ht="19.5" customHeight="1" x14ac:dyDescent="0.25">
      <c r="A25" s="30"/>
      <c r="B25" s="30"/>
      <c r="C25" s="31"/>
      <c r="D25" s="31"/>
      <c r="E25" s="74">
        <f t="shared" si="0"/>
        <v>0</v>
      </c>
      <c r="F25" s="31"/>
      <c r="G25" s="74">
        <f t="shared" si="1"/>
        <v>0</v>
      </c>
      <c r="H25" s="74">
        <f t="shared" si="2"/>
        <v>0</v>
      </c>
    </row>
    <row r="26" spans="1:8" ht="19.5" customHeight="1" x14ac:dyDescent="0.25">
      <c r="A26" s="30"/>
      <c r="B26" s="30"/>
      <c r="C26" s="31"/>
      <c r="D26" s="31"/>
      <c r="E26" s="74">
        <f t="shared" si="0"/>
        <v>0</v>
      </c>
      <c r="F26" s="31"/>
      <c r="G26" s="74">
        <f t="shared" si="1"/>
        <v>0</v>
      </c>
      <c r="H26" s="74">
        <f t="shared" si="2"/>
        <v>0</v>
      </c>
    </row>
    <row r="27" spans="1:8" ht="19.5" customHeight="1" x14ac:dyDescent="0.25">
      <c r="A27" s="30"/>
      <c r="B27" s="30"/>
      <c r="C27" s="31"/>
      <c r="D27" s="31"/>
      <c r="E27" s="74">
        <f t="shared" si="0"/>
        <v>0</v>
      </c>
      <c r="F27" s="31"/>
      <c r="G27" s="74">
        <f t="shared" si="1"/>
        <v>0</v>
      </c>
      <c r="H27" s="74">
        <f t="shared" si="2"/>
        <v>0</v>
      </c>
    </row>
    <row r="28" spans="1:8" ht="19.5" customHeight="1" x14ac:dyDescent="0.25">
      <c r="A28" s="30"/>
      <c r="B28" s="30"/>
      <c r="C28" s="31"/>
      <c r="D28" s="31"/>
      <c r="E28" s="74">
        <f t="shared" si="0"/>
        <v>0</v>
      </c>
      <c r="F28" s="31"/>
      <c r="G28" s="74">
        <f t="shared" si="1"/>
        <v>0</v>
      </c>
      <c r="H28" s="74">
        <f t="shared" si="2"/>
        <v>0</v>
      </c>
    </row>
    <row r="29" spans="1:8" ht="19.5" customHeight="1" x14ac:dyDescent="0.25">
      <c r="A29" s="30"/>
      <c r="B29" s="30"/>
      <c r="C29" s="31"/>
      <c r="D29" s="31"/>
      <c r="E29" s="74">
        <f t="shared" si="0"/>
        <v>0</v>
      </c>
      <c r="F29" s="31"/>
      <c r="G29" s="74">
        <f t="shared" si="1"/>
        <v>0</v>
      </c>
      <c r="H29" s="74">
        <f>E30+G29</f>
        <v>0</v>
      </c>
    </row>
    <row r="30" spans="1:8" ht="19.5" customHeight="1" x14ac:dyDescent="0.25">
      <c r="A30" s="30"/>
      <c r="B30" s="30"/>
      <c r="C30" s="31"/>
      <c r="D30" s="31"/>
      <c r="E30" s="74">
        <f t="shared" si="0"/>
        <v>0</v>
      </c>
      <c r="F30" s="31"/>
      <c r="G30" s="74"/>
      <c r="H30" s="74"/>
    </row>
    <row r="31" spans="1:8" ht="19.5" customHeight="1" x14ac:dyDescent="0.25">
      <c r="A31" s="30"/>
      <c r="B31" s="30"/>
      <c r="C31" s="31"/>
      <c r="D31" s="31"/>
      <c r="E31" s="74">
        <f t="shared" si="0"/>
        <v>0</v>
      </c>
      <c r="F31" s="31"/>
      <c r="G31" s="74">
        <f t="shared" si="1"/>
        <v>0</v>
      </c>
      <c r="H31" s="74">
        <f t="shared" si="2"/>
        <v>0</v>
      </c>
    </row>
    <row r="32" spans="1:8" ht="19.5" customHeight="1" x14ac:dyDescent="0.25">
      <c r="A32" s="30"/>
      <c r="B32" s="30"/>
      <c r="C32" s="31"/>
      <c r="D32" s="31"/>
      <c r="E32" s="74">
        <f t="shared" si="0"/>
        <v>0</v>
      </c>
      <c r="F32" s="31"/>
      <c r="G32" s="74">
        <f t="shared" si="1"/>
        <v>0</v>
      </c>
      <c r="H32" s="74">
        <f t="shared" si="2"/>
        <v>0</v>
      </c>
    </row>
    <row r="33" spans="1:10" ht="19.5" customHeight="1" x14ac:dyDescent="0.25">
      <c r="A33" s="30"/>
      <c r="B33" s="30"/>
      <c r="C33" s="31"/>
      <c r="D33" s="31"/>
      <c r="E33" s="74">
        <f>B33*D33</f>
        <v>0</v>
      </c>
      <c r="F33" s="31"/>
      <c r="G33" s="74">
        <f>B33*F33</f>
        <v>0</v>
      </c>
      <c r="H33" s="74">
        <f t="shared" si="2"/>
        <v>0</v>
      </c>
    </row>
    <row r="34" spans="1:10" ht="19.5" customHeight="1" x14ac:dyDescent="0.25">
      <c r="A34" s="30"/>
      <c r="B34" s="30"/>
      <c r="C34" s="31"/>
      <c r="D34" s="31"/>
      <c r="E34" s="74">
        <f t="shared" si="0"/>
        <v>0</v>
      </c>
      <c r="F34" s="31"/>
      <c r="G34" s="74">
        <f t="shared" si="1"/>
        <v>0</v>
      </c>
      <c r="H34" s="74">
        <f t="shared" si="2"/>
        <v>0</v>
      </c>
    </row>
    <row r="35" spans="1:10" ht="19.5" customHeight="1" x14ac:dyDescent="0.25">
      <c r="A35" s="30"/>
      <c r="B35" s="30"/>
      <c r="C35" s="31"/>
      <c r="D35" s="31"/>
      <c r="E35" s="74">
        <f t="shared" si="0"/>
        <v>0</v>
      </c>
      <c r="F35" s="31"/>
      <c r="G35" s="74">
        <f t="shared" si="1"/>
        <v>0</v>
      </c>
      <c r="H35" s="74">
        <f t="shared" si="2"/>
        <v>0</v>
      </c>
    </row>
    <row r="36" spans="1:10" ht="19.5" customHeight="1" x14ac:dyDescent="0.3">
      <c r="A36" s="29" t="s">
        <v>127</v>
      </c>
      <c r="B36" s="30"/>
      <c r="C36" s="31"/>
      <c r="D36" s="31"/>
      <c r="E36" s="74">
        <f>SUM(E14:E35)</f>
        <v>0</v>
      </c>
      <c r="F36" s="31"/>
      <c r="G36" s="74">
        <f>SUM(G14:G35)</f>
        <v>0</v>
      </c>
      <c r="H36" s="53"/>
      <c r="I36" s="10"/>
    </row>
    <row r="37" spans="1:10" ht="19.5" customHeight="1" x14ac:dyDescent="0.3">
      <c r="A37" s="29" t="s">
        <v>104</v>
      </c>
      <c r="B37" s="30"/>
      <c r="C37" s="31"/>
      <c r="D37" s="31"/>
      <c r="E37" s="41"/>
      <c r="F37" s="31"/>
      <c r="G37" s="41"/>
      <c r="H37" s="74">
        <f>E36+G36</f>
        <v>0</v>
      </c>
      <c r="J37" s="10"/>
    </row>
    <row r="38" spans="1:10" ht="19.5" customHeight="1" x14ac:dyDescent="0.3">
      <c r="A38" s="29" t="s">
        <v>128</v>
      </c>
      <c r="B38" s="30"/>
      <c r="C38" s="31"/>
      <c r="D38" s="31"/>
      <c r="E38" s="31"/>
      <c r="F38" s="31"/>
      <c r="G38" s="95">
        <f>Summary!G20</f>
        <v>0</v>
      </c>
      <c r="H38" s="74">
        <f>SUM(H37*G38)</f>
        <v>0</v>
      </c>
    </row>
    <row r="39" spans="1:10" ht="19.5" customHeight="1" x14ac:dyDescent="0.3">
      <c r="A39" s="29" t="s">
        <v>129</v>
      </c>
      <c r="B39" s="30"/>
      <c r="C39" s="31"/>
      <c r="D39" s="31"/>
      <c r="E39" s="31"/>
      <c r="F39" s="31"/>
      <c r="G39" s="95">
        <f>Summary!G21</f>
        <v>0</v>
      </c>
      <c r="H39" s="74">
        <f>SUM(H37+H38)*G39</f>
        <v>0</v>
      </c>
    </row>
    <row r="40" spans="1:10" ht="19.5" customHeight="1" x14ac:dyDescent="0.3">
      <c r="A40" s="29" t="s">
        <v>130</v>
      </c>
      <c r="B40" s="30"/>
      <c r="C40" s="31"/>
      <c r="D40" s="31"/>
      <c r="E40" s="31"/>
      <c r="F40" s="31"/>
      <c r="G40" s="95">
        <f>Summary!G22</f>
        <v>0</v>
      </c>
      <c r="H40" s="74">
        <f>SUM(G36*G40)</f>
        <v>0</v>
      </c>
    </row>
    <row r="41" spans="1:10" ht="19.5" customHeight="1" thickBot="1" x14ac:dyDescent="0.35">
      <c r="A41" s="34" t="s">
        <v>124</v>
      </c>
      <c r="B41" s="32"/>
      <c r="C41" s="33"/>
      <c r="D41" s="33"/>
      <c r="E41" s="33"/>
      <c r="F41" s="33"/>
      <c r="G41" s="66"/>
      <c r="H41" s="75">
        <f>SUM(H37:H40)</f>
        <v>0</v>
      </c>
    </row>
    <row r="42" spans="1:10" ht="12.75" customHeight="1" thickTop="1" x14ac:dyDescent="0.25">
      <c r="A42" s="35"/>
      <c r="B42" s="35"/>
      <c r="C42" s="36"/>
      <c r="D42" s="36"/>
      <c r="E42" s="36"/>
      <c r="F42" s="36"/>
      <c r="G42" s="36"/>
      <c r="H42" s="36"/>
      <c r="I42" s="35"/>
    </row>
    <row r="43" spans="1:10" ht="12.75" customHeight="1" x14ac:dyDescent="0.25">
      <c r="A43" s="35"/>
      <c r="B43" s="35"/>
      <c r="C43" s="36"/>
      <c r="D43" s="36"/>
      <c r="E43" s="36"/>
      <c r="F43" s="36"/>
      <c r="G43" s="36"/>
      <c r="H43" s="36"/>
      <c r="I43" s="35"/>
    </row>
    <row r="44" spans="1:10" ht="12.75" customHeight="1" x14ac:dyDescent="0.25">
      <c r="A44" s="35"/>
      <c r="B44" s="35"/>
      <c r="C44" s="36"/>
      <c r="D44" s="36"/>
      <c r="E44" s="36"/>
      <c r="F44" s="36"/>
      <c r="G44" s="36"/>
      <c r="H44" s="36"/>
      <c r="I44" s="35"/>
    </row>
    <row r="45" spans="1:10" ht="12.75" customHeight="1" x14ac:dyDescent="0.25">
      <c r="A45" s="35"/>
      <c r="B45" s="35"/>
      <c r="C45" s="36"/>
      <c r="D45" s="36"/>
      <c r="E45" s="36"/>
      <c r="F45" s="36"/>
      <c r="G45" s="36"/>
      <c r="H45" s="36"/>
      <c r="I45" s="35"/>
    </row>
    <row r="46" spans="1:10" ht="12.75" customHeight="1" x14ac:dyDescent="0.25">
      <c r="A46" s="35"/>
      <c r="B46" s="35"/>
      <c r="C46" s="36"/>
      <c r="D46" s="36"/>
      <c r="E46" s="36"/>
      <c r="F46" s="36"/>
      <c r="G46" s="36"/>
      <c r="H46" s="36"/>
      <c r="I46" s="35"/>
    </row>
    <row r="47" spans="1:10" ht="12.75" customHeight="1" x14ac:dyDescent="0.25">
      <c r="A47" s="35"/>
      <c r="B47" s="35"/>
      <c r="C47" s="36"/>
      <c r="D47" s="36"/>
      <c r="E47" s="36"/>
      <c r="F47" s="36"/>
      <c r="G47" s="36"/>
      <c r="H47" s="36"/>
      <c r="I47" s="35"/>
    </row>
    <row r="48" spans="1:10"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sheetData>
  <mergeCells count="1">
    <mergeCell ref="A1:C2"/>
  </mergeCells>
  <printOptions horizontalCentered="1" verticalCentered="1" gridLinesSet="0"/>
  <pageMargins left="0.25" right="0.25" top="0.75" bottom="0.75" header="0.3" footer="0.3"/>
  <pageSetup scale="81" orientation="portrait" horizontalDpi="1200" verticalDpi="12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208"/>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146" t="str">
        <f>Summary!D9</f>
        <v>FTFA 23VH26</v>
      </c>
      <c r="D8" s="147"/>
      <c r="E8" s="148"/>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Summary!B26</f>
        <v>CONVEYING EQUIPMENT</v>
      </c>
      <c r="B13" s="30"/>
      <c r="C13" s="31"/>
      <c r="D13" s="31"/>
      <c r="E13" s="31"/>
      <c r="F13" s="31"/>
      <c r="G13" s="31"/>
      <c r="H13" s="31"/>
    </row>
    <row r="14" spans="1:9" ht="19.5" customHeight="1" x14ac:dyDescent="0.25">
      <c r="A14" s="30"/>
      <c r="B14" s="46"/>
      <c r="C14" s="47"/>
      <c r="D14" s="31"/>
      <c r="E14" s="74">
        <f t="shared" ref="E14:E23" si="0">B14*D14</f>
        <v>0</v>
      </c>
      <c r="F14" s="31"/>
      <c r="G14" s="74">
        <f t="shared" ref="G14:G23" si="1">B14*F14</f>
        <v>0</v>
      </c>
      <c r="H14" s="74">
        <f t="shared" ref="H14:H23" si="2">E14+G14</f>
        <v>0</v>
      </c>
    </row>
    <row r="15" spans="1:9" ht="19.5" customHeight="1" x14ac:dyDescent="0.25">
      <c r="A15" s="30"/>
      <c r="B15" s="46"/>
      <c r="C15" s="47"/>
      <c r="D15" s="31"/>
      <c r="E15" s="74">
        <f t="shared" si="0"/>
        <v>0</v>
      </c>
      <c r="F15" s="31"/>
      <c r="G15" s="74">
        <f t="shared" si="1"/>
        <v>0</v>
      </c>
      <c r="H15" s="74">
        <f t="shared" si="2"/>
        <v>0</v>
      </c>
    </row>
    <row r="16" spans="1:9" ht="19.5" customHeight="1" x14ac:dyDescent="0.25">
      <c r="A16" s="30"/>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25">
      <c r="A18" s="30"/>
      <c r="B18" s="30"/>
      <c r="C18" s="31"/>
      <c r="D18" s="31"/>
      <c r="E18" s="74">
        <f t="shared" si="0"/>
        <v>0</v>
      </c>
      <c r="F18" s="31"/>
      <c r="G18" s="74">
        <f t="shared" si="1"/>
        <v>0</v>
      </c>
      <c r="H18" s="74">
        <f t="shared" si="2"/>
        <v>0</v>
      </c>
    </row>
    <row r="19" spans="1:8" ht="19.5" customHeight="1" x14ac:dyDescent="0.25">
      <c r="A19" s="30"/>
      <c r="B19" s="30"/>
      <c r="C19" s="31"/>
      <c r="D19" s="31"/>
      <c r="E19" s="74">
        <f t="shared" si="0"/>
        <v>0</v>
      </c>
      <c r="F19" s="31"/>
      <c r="G19" s="74">
        <f t="shared" si="1"/>
        <v>0</v>
      </c>
      <c r="H19" s="74">
        <f t="shared" si="2"/>
        <v>0</v>
      </c>
    </row>
    <row r="20" spans="1:8" ht="19.5" customHeight="1" x14ac:dyDescent="0.25">
      <c r="A20" s="30"/>
      <c r="B20" s="30"/>
      <c r="C20" s="31"/>
      <c r="D20" s="31"/>
      <c r="E20" s="74">
        <f t="shared" si="0"/>
        <v>0</v>
      </c>
      <c r="F20" s="31"/>
      <c r="G20" s="74">
        <f t="shared" si="1"/>
        <v>0</v>
      </c>
      <c r="H20" s="74">
        <f t="shared" si="2"/>
        <v>0</v>
      </c>
    </row>
    <row r="21" spans="1:8" ht="19.5" customHeight="1" x14ac:dyDescent="0.25">
      <c r="A21" s="30"/>
      <c r="B21" s="30"/>
      <c r="C21" s="31"/>
      <c r="D21" s="31"/>
      <c r="E21" s="74">
        <f t="shared" si="0"/>
        <v>0</v>
      </c>
      <c r="F21" s="31"/>
      <c r="G21" s="74">
        <f t="shared" si="1"/>
        <v>0</v>
      </c>
      <c r="H21" s="74">
        <f t="shared" si="2"/>
        <v>0</v>
      </c>
    </row>
    <row r="22" spans="1:8" ht="19.5" customHeight="1" x14ac:dyDescent="0.25">
      <c r="A22" s="30"/>
      <c r="B22" s="30"/>
      <c r="C22" s="31"/>
      <c r="D22" s="31"/>
      <c r="E22" s="74">
        <f t="shared" si="0"/>
        <v>0</v>
      </c>
      <c r="F22" s="31"/>
      <c r="G22" s="74">
        <f t="shared" si="1"/>
        <v>0</v>
      </c>
      <c r="H22" s="74">
        <f t="shared" si="2"/>
        <v>0</v>
      </c>
    </row>
    <row r="23" spans="1:8" ht="19.5" customHeight="1" x14ac:dyDescent="0.25">
      <c r="A23" s="30"/>
      <c r="B23" s="30"/>
      <c r="C23" s="31"/>
      <c r="D23" s="31"/>
      <c r="E23" s="74">
        <f t="shared" si="0"/>
        <v>0</v>
      </c>
      <c r="F23" s="31"/>
      <c r="G23" s="74">
        <f t="shared" si="1"/>
        <v>0</v>
      </c>
      <c r="H23" s="74">
        <f t="shared" si="2"/>
        <v>0</v>
      </c>
    </row>
    <row r="24" spans="1:8" ht="19.5" customHeight="1" x14ac:dyDescent="0.25">
      <c r="A24" s="30"/>
      <c r="B24" s="30"/>
      <c r="C24" s="31"/>
      <c r="D24" s="31"/>
      <c r="E24" s="74">
        <f>B24*D24</f>
        <v>0</v>
      </c>
      <c r="F24" s="31"/>
      <c r="G24" s="74">
        <f>B24*F24</f>
        <v>0</v>
      </c>
      <c r="H24" s="74">
        <f>E24+G24</f>
        <v>0</v>
      </c>
    </row>
    <row r="25" spans="1:8" ht="19.5" customHeight="1" x14ac:dyDescent="0.25">
      <c r="A25" s="30"/>
      <c r="B25" s="30"/>
      <c r="C25" s="31"/>
      <c r="D25" s="31"/>
      <c r="E25" s="74">
        <f t="shared" ref="E25:E35" si="3">B25*D25</f>
        <v>0</v>
      </c>
      <c r="F25" s="31"/>
      <c r="G25" s="74">
        <f t="shared" ref="G25:G35" si="4">B25*F25</f>
        <v>0</v>
      </c>
      <c r="H25" s="74">
        <f t="shared" ref="H25:H35" si="5">E25+G25</f>
        <v>0</v>
      </c>
    </row>
    <row r="26" spans="1:8" ht="19.5" customHeight="1" x14ac:dyDescent="0.25">
      <c r="A26" s="30"/>
      <c r="B26" s="30"/>
      <c r="C26" s="31"/>
      <c r="D26" s="31"/>
      <c r="E26" s="74">
        <f t="shared" si="3"/>
        <v>0</v>
      </c>
      <c r="F26" s="31"/>
      <c r="G26" s="74">
        <f t="shared" si="4"/>
        <v>0</v>
      </c>
      <c r="H26" s="74">
        <f t="shared" si="5"/>
        <v>0</v>
      </c>
    </row>
    <row r="27" spans="1:8" ht="19.5" customHeight="1" x14ac:dyDescent="0.25">
      <c r="A27" s="30"/>
      <c r="B27" s="30"/>
      <c r="C27" s="31"/>
      <c r="D27" s="31"/>
      <c r="E27" s="74">
        <f t="shared" si="3"/>
        <v>0</v>
      </c>
      <c r="F27" s="31"/>
      <c r="G27" s="74">
        <f t="shared" si="4"/>
        <v>0</v>
      </c>
      <c r="H27" s="74">
        <f t="shared" si="5"/>
        <v>0</v>
      </c>
    </row>
    <row r="28" spans="1:8" ht="19.5" customHeight="1" x14ac:dyDescent="0.25">
      <c r="A28" s="30"/>
      <c r="B28" s="30"/>
      <c r="C28" s="31"/>
      <c r="D28" s="31"/>
      <c r="E28" s="74">
        <f t="shared" si="3"/>
        <v>0</v>
      </c>
      <c r="F28" s="31"/>
      <c r="G28" s="74">
        <f t="shared" si="4"/>
        <v>0</v>
      </c>
      <c r="H28" s="74">
        <f t="shared" si="5"/>
        <v>0</v>
      </c>
    </row>
    <row r="29" spans="1:8" ht="19.5" customHeight="1" x14ac:dyDescent="0.25">
      <c r="A29" s="30"/>
      <c r="B29" s="30"/>
      <c r="C29" s="31"/>
      <c r="D29" s="31"/>
      <c r="E29" s="74">
        <f t="shared" si="3"/>
        <v>0</v>
      </c>
      <c r="F29" s="31"/>
      <c r="G29" s="74">
        <f t="shared" si="4"/>
        <v>0</v>
      </c>
      <c r="H29" s="74">
        <f t="shared" si="5"/>
        <v>0</v>
      </c>
    </row>
    <row r="30" spans="1:8" ht="19.5" customHeight="1" x14ac:dyDescent="0.25">
      <c r="A30" s="30"/>
      <c r="B30" s="30"/>
      <c r="C30" s="31"/>
      <c r="D30" s="31"/>
      <c r="E30" s="74">
        <f t="shared" si="3"/>
        <v>0</v>
      </c>
      <c r="F30" s="31"/>
      <c r="G30" s="74">
        <f t="shared" si="4"/>
        <v>0</v>
      </c>
      <c r="H30" s="74">
        <f t="shared" si="5"/>
        <v>0</v>
      </c>
    </row>
    <row r="31" spans="1:8" ht="19.5" customHeight="1" x14ac:dyDescent="0.25">
      <c r="A31" s="30"/>
      <c r="B31" s="30"/>
      <c r="C31" s="31"/>
      <c r="D31" s="31"/>
      <c r="E31" s="74">
        <f t="shared" si="3"/>
        <v>0</v>
      </c>
      <c r="F31" s="31"/>
      <c r="G31" s="74">
        <f t="shared" si="4"/>
        <v>0</v>
      </c>
      <c r="H31" s="74">
        <f t="shared" si="5"/>
        <v>0</v>
      </c>
    </row>
    <row r="32" spans="1:8" ht="19.5" customHeight="1" x14ac:dyDescent="0.25">
      <c r="A32" s="30"/>
      <c r="B32" s="30"/>
      <c r="C32" s="31"/>
      <c r="D32" s="31"/>
      <c r="E32" s="74">
        <f t="shared" si="3"/>
        <v>0</v>
      </c>
      <c r="F32" s="31"/>
      <c r="G32" s="74">
        <f t="shared" si="4"/>
        <v>0</v>
      </c>
      <c r="H32" s="74">
        <f t="shared" si="5"/>
        <v>0</v>
      </c>
    </row>
    <row r="33" spans="1:9" ht="19.5" customHeight="1" x14ac:dyDescent="0.25">
      <c r="A33" s="30"/>
      <c r="B33" s="30"/>
      <c r="C33" s="31"/>
      <c r="D33" s="31"/>
      <c r="E33" s="74">
        <f t="shared" si="3"/>
        <v>0</v>
      </c>
      <c r="F33" s="31"/>
      <c r="G33" s="74">
        <f t="shared" si="4"/>
        <v>0</v>
      </c>
      <c r="H33" s="74">
        <f t="shared" si="5"/>
        <v>0</v>
      </c>
    </row>
    <row r="34" spans="1:9" ht="19.5" customHeight="1" x14ac:dyDescent="0.25">
      <c r="A34" s="30"/>
      <c r="B34" s="30"/>
      <c r="C34" s="31"/>
      <c r="D34" s="31"/>
      <c r="E34" s="74">
        <f t="shared" si="3"/>
        <v>0</v>
      </c>
      <c r="F34" s="31"/>
      <c r="G34" s="74">
        <f t="shared" si="4"/>
        <v>0</v>
      </c>
      <c r="H34" s="74">
        <f t="shared" si="5"/>
        <v>0</v>
      </c>
    </row>
    <row r="35" spans="1:9" ht="19.5" customHeight="1" x14ac:dyDescent="0.25">
      <c r="A35" s="30"/>
      <c r="B35" s="30"/>
      <c r="C35" s="31"/>
      <c r="D35" s="31"/>
      <c r="E35" s="74">
        <f t="shared" si="3"/>
        <v>0</v>
      </c>
      <c r="F35" s="31"/>
      <c r="G35" s="74">
        <f t="shared" si="4"/>
        <v>0</v>
      </c>
      <c r="H35" s="74">
        <f t="shared" si="5"/>
        <v>0</v>
      </c>
    </row>
    <row r="36" spans="1:9" ht="19.5" customHeight="1" x14ac:dyDescent="0.3">
      <c r="A36" s="29" t="s">
        <v>127</v>
      </c>
      <c r="B36" s="30"/>
      <c r="C36" s="31"/>
      <c r="D36" s="31"/>
      <c r="E36" s="74">
        <f>SUM(E14:E35)</f>
        <v>0</v>
      </c>
      <c r="F36" s="31"/>
      <c r="G36" s="74">
        <f>SUM(G14:G35)</f>
        <v>0</v>
      </c>
      <c r="H36" s="31"/>
      <c r="I36" s="10"/>
    </row>
    <row r="37" spans="1:9" ht="19.5" customHeight="1" x14ac:dyDescent="0.3">
      <c r="A37" s="29" t="s">
        <v>104</v>
      </c>
      <c r="B37" s="30"/>
      <c r="C37" s="31"/>
      <c r="D37" s="31"/>
      <c r="E37" s="41"/>
      <c r="F37" s="31"/>
      <c r="G37" s="41"/>
      <c r="H37" s="94">
        <f>SUM(H14:H35)</f>
        <v>0</v>
      </c>
    </row>
    <row r="38" spans="1:9" ht="19.5" customHeight="1" x14ac:dyDescent="0.3">
      <c r="A38" s="29" t="s">
        <v>128</v>
      </c>
      <c r="B38" s="30"/>
      <c r="C38" s="31"/>
      <c r="D38" s="31"/>
      <c r="E38" s="31"/>
      <c r="F38" s="31"/>
      <c r="G38" s="95">
        <f>Summary!G20</f>
        <v>0</v>
      </c>
      <c r="H38" s="74">
        <f>SUM(H37*G38)</f>
        <v>0</v>
      </c>
    </row>
    <row r="39" spans="1:9" ht="19.5" customHeight="1" x14ac:dyDescent="0.3">
      <c r="A39" s="29" t="s">
        <v>129</v>
      </c>
      <c r="B39" s="30"/>
      <c r="C39" s="31"/>
      <c r="D39" s="31"/>
      <c r="E39" s="31"/>
      <c r="F39" s="31"/>
      <c r="G39" s="95">
        <f>Summary!G21</f>
        <v>0</v>
      </c>
      <c r="H39" s="74">
        <f>SUM(H37+H38)*G39</f>
        <v>0</v>
      </c>
    </row>
    <row r="40" spans="1:9" ht="19.5" customHeight="1" x14ac:dyDescent="0.3">
      <c r="A40" s="29" t="s">
        <v>130</v>
      </c>
      <c r="B40" s="30"/>
      <c r="C40" s="31"/>
      <c r="D40" s="31"/>
      <c r="E40" s="31"/>
      <c r="F40" s="31"/>
      <c r="G40" s="95">
        <f>Summary!G22</f>
        <v>0</v>
      </c>
      <c r="H40" s="74">
        <f>SUM(G36*G40)</f>
        <v>0</v>
      </c>
    </row>
    <row r="41" spans="1:9" ht="19.5" customHeight="1" thickBot="1" x14ac:dyDescent="0.35">
      <c r="A41" s="34" t="s">
        <v>124</v>
      </c>
      <c r="B41" s="32"/>
      <c r="C41" s="33"/>
      <c r="D41" s="33"/>
      <c r="E41" s="33"/>
      <c r="F41" s="33"/>
      <c r="G41" s="33"/>
      <c r="H41" s="75">
        <f>SUM(H37:H40)</f>
        <v>0</v>
      </c>
    </row>
    <row r="42" spans="1:9" ht="12.75" customHeight="1" thickTop="1" x14ac:dyDescent="0.25">
      <c r="A42" s="35"/>
      <c r="B42" s="35"/>
      <c r="C42" s="36"/>
      <c r="D42" s="36"/>
      <c r="E42" s="36"/>
      <c r="F42" s="36"/>
      <c r="G42" s="36"/>
      <c r="H42" s="36"/>
      <c r="I42" s="35"/>
    </row>
    <row r="43" spans="1:9" ht="12.75" customHeight="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sheetData>
  <mergeCells count="3">
    <mergeCell ref="A8:B8"/>
    <mergeCell ref="C8:E8"/>
    <mergeCell ref="A1:C2"/>
  </mergeCells>
  <printOptions horizontalCentered="1" verticalCentered="1" gridLinesSet="0"/>
  <pageMargins left="0.25" right="0.25" top="0.75" bottom="0.75" header="0.3" footer="0.3"/>
  <pageSetup scale="81" orientation="portrait" horizontalDpi="1200" verticalDpi="12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207"/>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Summary!B27</f>
        <v>FIRE SUPRESSION</v>
      </c>
      <c r="B13" s="30"/>
      <c r="C13" s="31"/>
      <c r="D13" s="31"/>
      <c r="E13" s="31"/>
      <c r="F13" s="31"/>
      <c r="G13" s="31"/>
      <c r="H13" s="31"/>
    </row>
    <row r="14" spans="1:9" ht="19.5" customHeight="1" x14ac:dyDescent="0.25">
      <c r="A14" s="30"/>
      <c r="B14" s="30"/>
      <c r="C14" s="31"/>
      <c r="D14" s="31"/>
      <c r="E14" s="74">
        <f t="shared" ref="E14:E34" si="0">B14*D14</f>
        <v>0</v>
      </c>
      <c r="F14" s="31"/>
      <c r="G14" s="74">
        <f t="shared" ref="G14:G34" si="1">B14*F14</f>
        <v>0</v>
      </c>
      <c r="H14" s="74">
        <f t="shared" ref="H14:H34" si="2">E14+G14</f>
        <v>0</v>
      </c>
    </row>
    <row r="15" spans="1:9" ht="19.5" customHeight="1" x14ac:dyDescent="0.25">
      <c r="A15" s="30"/>
      <c r="B15" s="30"/>
      <c r="C15" s="31"/>
      <c r="D15" s="31"/>
      <c r="E15" s="74">
        <f t="shared" si="0"/>
        <v>0</v>
      </c>
      <c r="F15" s="31"/>
      <c r="G15" s="74">
        <f t="shared" si="1"/>
        <v>0</v>
      </c>
      <c r="H15" s="74">
        <f t="shared" si="2"/>
        <v>0</v>
      </c>
    </row>
    <row r="16" spans="1:9" ht="19.5" customHeight="1" x14ac:dyDescent="0.25">
      <c r="A16" s="52"/>
      <c r="B16" s="30"/>
      <c r="C16" s="31"/>
      <c r="D16" s="31"/>
      <c r="E16" s="74">
        <f t="shared" si="0"/>
        <v>0</v>
      </c>
      <c r="F16" s="31"/>
      <c r="G16" s="74">
        <f t="shared" si="1"/>
        <v>0</v>
      </c>
      <c r="H16" s="74">
        <f t="shared" si="2"/>
        <v>0</v>
      </c>
    </row>
    <row r="17" spans="1:8" ht="19.5" customHeight="1" x14ac:dyDescent="0.3">
      <c r="A17" s="29"/>
      <c r="B17" s="30"/>
      <c r="C17" s="31"/>
      <c r="D17" s="31"/>
      <c r="E17" s="74">
        <f t="shared" si="0"/>
        <v>0</v>
      </c>
      <c r="F17" s="31"/>
      <c r="G17" s="74">
        <f t="shared" si="1"/>
        <v>0</v>
      </c>
      <c r="H17" s="74">
        <f t="shared" si="2"/>
        <v>0</v>
      </c>
    </row>
    <row r="18" spans="1:8" ht="19.5" customHeight="1" x14ac:dyDescent="0.25">
      <c r="A18" s="30"/>
      <c r="B18" s="30"/>
      <c r="C18" s="31"/>
      <c r="D18" s="31"/>
      <c r="E18" s="74">
        <f t="shared" si="0"/>
        <v>0</v>
      </c>
      <c r="F18" s="31"/>
      <c r="G18" s="74">
        <f t="shared" si="1"/>
        <v>0</v>
      </c>
      <c r="H18" s="74">
        <f t="shared" si="2"/>
        <v>0</v>
      </c>
    </row>
    <row r="19" spans="1:8" ht="19.5" customHeight="1" x14ac:dyDescent="0.25">
      <c r="A19" s="30"/>
      <c r="B19" s="30"/>
      <c r="C19" s="31"/>
      <c r="D19" s="31"/>
      <c r="E19" s="74">
        <f>B19*D19</f>
        <v>0</v>
      </c>
      <c r="F19" s="31"/>
      <c r="G19" s="74">
        <f>B19*F19</f>
        <v>0</v>
      </c>
      <c r="H19" s="74">
        <f>E19+G19</f>
        <v>0</v>
      </c>
    </row>
    <row r="20" spans="1:8" ht="19.5" customHeight="1" x14ac:dyDescent="0.25">
      <c r="A20" s="30"/>
      <c r="B20" s="30"/>
      <c r="C20" s="31"/>
      <c r="D20" s="31"/>
      <c r="E20" s="74">
        <f>B20*D20</f>
        <v>0</v>
      </c>
      <c r="F20" s="31"/>
      <c r="G20" s="74">
        <f>B20*F20</f>
        <v>0</v>
      </c>
      <c r="H20" s="74">
        <f>E20+G20</f>
        <v>0</v>
      </c>
    </row>
    <row r="21" spans="1:8" ht="19.5" customHeight="1" x14ac:dyDescent="0.25">
      <c r="A21" s="30"/>
      <c r="B21" s="30"/>
      <c r="C21" s="31"/>
      <c r="D21" s="31"/>
      <c r="E21" s="74">
        <f>B21*D21</f>
        <v>0</v>
      </c>
      <c r="F21" s="31"/>
      <c r="G21" s="74">
        <f>B21*F21</f>
        <v>0</v>
      </c>
      <c r="H21" s="74">
        <f>E21+G21</f>
        <v>0</v>
      </c>
    </row>
    <row r="22" spans="1:8" ht="19.5" customHeight="1" x14ac:dyDescent="0.25">
      <c r="A22" s="30"/>
      <c r="B22" s="30"/>
      <c r="C22" s="31"/>
      <c r="D22" s="31"/>
      <c r="E22" s="74">
        <f>B22*D22</f>
        <v>0</v>
      </c>
      <c r="F22" s="31"/>
      <c r="G22" s="74">
        <f>B22*F22</f>
        <v>0</v>
      </c>
      <c r="H22" s="74">
        <f>E22+G22</f>
        <v>0</v>
      </c>
    </row>
    <row r="23" spans="1:8" ht="19.5" customHeight="1" x14ac:dyDescent="0.25">
      <c r="A23" s="30"/>
      <c r="B23" s="30"/>
      <c r="C23" s="31"/>
      <c r="D23" s="31"/>
      <c r="E23" s="74">
        <f t="shared" si="0"/>
        <v>0</v>
      </c>
      <c r="F23" s="31"/>
      <c r="G23" s="74">
        <f t="shared" si="1"/>
        <v>0</v>
      </c>
      <c r="H23" s="74">
        <f t="shared" si="2"/>
        <v>0</v>
      </c>
    </row>
    <row r="24" spans="1:8" ht="19.5" customHeight="1" x14ac:dyDescent="0.25">
      <c r="A24" s="30"/>
      <c r="B24" s="30"/>
      <c r="C24" s="31"/>
      <c r="D24" s="31"/>
      <c r="E24" s="74">
        <f t="shared" si="0"/>
        <v>0</v>
      </c>
      <c r="F24" s="31"/>
      <c r="G24" s="74">
        <f t="shared" si="1"/>
        <v>0</v>
      </c>
      <c r="H24" s="74">
        <f t="shared" si="2"/>
        <v>0</v>
      </c>
    </row>
    <row r="25" spans="1:8" ht="19.5" customHeight="1" x14ac:dyDescent="0.25">
      <c r="A25" s="30"/>
      <c r="B25" s="30"/>
      <c r="C25" s="31"/>
      <c r="D25" s="31"/>
      <c r="E25" s="74">
        <f t="shared" si="0"/>
        <v>0</v>
      </c>
      <c r="F25" s="31"/>
      <c r="G25" s="74">
        <f t="shared" si="1"/>
        <v>0</v>
      </c>
      <c r="H25" s="74">
        <f t="shared" si="2"/>
        <v>0</v>
      </c>
    </row>
    <row r="26" spans="1:8" ht="19.5" customHeight="1" x14ac:dyDescent="0.25">
      <c r="A26" s="30"/>
      <c r="B26" s="30"/>
      <c r="C26" s="31"/>
      <c r="D26" s="31"/>
      <c r="E26" s="74">
        <f t="shared" si="0"/>
        <v>0</v>
      </c>
      <c r="F26" s="31"/>
      <c r="G26" s="74">
        <f t="shared" si="1"/>
        <v>0</v>
      </c>
      <c r="H26" s="74">
        <f t="shared" si="2"/>
        <v>0</v>
      </c>
    </row>
    <row r="27" spans="1:8" ht="19.5" customHeight="1" x14ac:dyDescent="0.25">
      <c r="A27" s="30"/>
      <c r="B27" s="30"/>
      <c r="C27" s="31"/>
      <c r="D27" s="31"/>
      <c r="E27" s="74">
        <f t="shared" si="0"/>
        <v>0</v>
      </c>
      <c r="F27" s="31"/>
      <c r="G27" s="74">
        <f t="shared" si="1"/>
        <v>0</v>
      </c>
      <c r="H27" s="74">
        <f t="shared" si="2"/>
        <v>0</v>
      </c>
    </row>
    <row r="28" spans="1:8" ht="19.5" customHeight="1" x14ac:dyDescent="0.25">
      <c r="A28" s="30"/>
      <c r="B28" s="30"/>
      <c r="C28" s="31"/>
      <c r="D28" s="31"/>
      <c r="E28" s="74">
        <f t="shared" si="0"/>
        <v>0</v>
      </c>
      <c r="F28" s="31"/>
      <c r="G28" s="74">
        <f t="shared" si="1"/>
        <v>0</v>
      </c>
      <c r="H28" s="74">
        <f t="shared" si="2"/>
        <v>0</v>
      </c>
    </row>
    <row r="29" spans="1:8" ht="19.5" customHeight="1" x14ac:dyDescent="0.25">
      <c r="A29" s="30"/>
      <c r="B29" s="30"/>
      <c r="C29" s="31"/>
      <c r="D29" s="31"/>
      <c r="E29" s="74">
        <f t="shared" si="0"/>
        <v>0</v>
      </c>
      <c r="F29" s="31"/>
      <c r="G29" s="74">
        <f t="shared" si="1"/>
        <v>0</v>
      </c>
      <c r="H29" s="74">
        <f t="shared" si="2"/>
        <v>0</v>
      </c>
    </row>
    <row r="30" spans="1:8" ht="19.5" customHeight="1" x14ac:dyDescent="0.25">
      <c r="A30" s="30"/>
      <c r="B30" s="30"/>
      <c r="C30" s="31"/>
      <c r="D30" s="31"/>
      <c r="E30" s="74">
        <f t="shared" si="0"/>
        <v>0</v>
      </c>
      <c r="F30" s="31"/>
      <c r="G30" s="74">
        <f t="shared" si="1"/>
        <v>0</v>
      </c>
      <c r="H30" s="74">
        <f t="shared" si="2"/>
        <v>0</v>
      </c>
    </row>
    <row r="31" spans="1:8" ht="19.5" customHeight="1" x14ac:dyDescent="0.25">
      <c r="A31" s="30"/>
      <c r="B31" s="30"/>
      <c r="C31" s="31"/>
      <c r="D31" s="31"/>
      <c r="E31" s="74">
        <f t="shared" si="0"/>
        <v>0</v>
      </c>
      <c r="F31" s="31"/>
      <c r="G31" s="74">
        <f t="shared" si="1"/>
        <v>0</v>
      </c>
      <c r="H31" s="74">
        <f t="shared" si="2"/>
        <v>0</v>
      </c>
    </row>
    <row r="32" spans="1:8" ht="19.5" customHeight="1" x14ac:dyDescent="0.25">
      <c r="A32" s="30"/>
      <c r="B32" s="30"/>
      <c r="C32" s="31"/>
      <c r="D32" s="31"/>
      <c r="E32" s="74">
        <f>B32*D32</f>
        <v>0</v>
      </c>
      <c r="F32" s="31"/>
      <c r="G32" s="74">
        <f>B32*F32</f>
        <v>0</v>
      </c>
      <c r="H32" s="74">
        <f t="shared" si="2"/>
        <v>0</v>
      </c>
    </row>
    <row r="33" spans="1:10" ht="19.5" customHeight="1" x14ac:dyDescent="0.25">
      <c r="A33" s="30"/>
      <c r="B33" s="30"/>
      <c r="C33" s="31"/>
      <c r="D33" s="31"/>
      <c r="E33" s="74">
        <f t="shared" si="0"/>
        <v>0</v>
      </c>
      <c r="F33" s="31"/>
      <c r="G33" s="74">
        <f t="shared" si="1"/>
        <v>0</v>
      </c>
      <c r="H33" s="74">
        <f t="shared" si="2"/>
        <v>0</v>
      </c>
    </row>
    <row r="34" spans="1:10" ht="19.5" customHeight="1" x14ac:dyDescent="0.25">
      <c r="A34" s="30"/>
      <c r="B34" s="30"/>
      <c r="C34" s="31"/>
      <c r="D34" s="31"/>
      <c r="E34" s="74">
        <f t="shared" si="0"/>
        <v>0</v>
      </c>
      <c r="F34" s="31"/>
      <c r="G34" s="74">
        <f t="shared" si="1"/>
        <v>0</v>
      </c>
      <c r="H34" s="74">
        <f t="shared" si="2"/>
        <v>0</v>
      </c>
    </row>
    <row r="35" spans="1:10" ht="19.5" customHeight="1" x14ac:dyDescent="0.3">
      <c r="A35" s="29" t="s">
        <v>127</v>
      </c>
      <c r="B35" s="30"/>
      <c r="C35" s="31"/>
      <c r="D35" s="31"/>
      <c r="E35" s="74">
        <f>SUM(E14:E34)</f>
        <v>0</v>
      </c>
      <c r="F35" s="31"/>
      <c r="G35" s="74">
        <f>SUM(G14:G34)</f>
        <v>0</v>
      </c>
      <c r="H35" s="53"/>
      <c r="I35" s="10"/>
    </row>
    <row r="36" spans="1:10" ht="19.5" customHeight="1" x14ac:dyDescent="0.3">
      <c r="A36" s="29" t="s">
        <v>104</v>
      </c>
      <c r="B36" s="30"/>
      <c r="C36" s="31"/>
      <c r="D36" s="31"/>
      <c r="E36" s="41"/>
      <c r="F36" s="31"/>
      <c r="G36" s="41"/>
      <c r="H36" s="74">
        <f>E35+G35</f>
        <v>0</v>
      </c>
      <c r="J36" s="10"/>
    </row>
    <row r="37" spans="1:10" ht="19.5" customHeight="1" x14ac:dyDescent="0.3">
      <c r="A37" s="29" t="s">
        <v>128</v>
      </c>
      <c r="B37" s="30"/>
      <c r="C37" s="31"/>
      <c r="D37" s="31"/>
      <c r="E37" s="31"/>
      <c r="F37" s="31"/>
      <c r="G37" s="95">
        <f>Summary!G20</f>
        <v>0</v>
      </c>
      <c r="H37" s="74">
        <f>SUM(H36*G37)</f>
        <v>0</v>
      </c>
    </row>
    <row r="38" spans="1:10" ht="19.5" customHeight="1" x14ac:dyDescent="0.3">
      <c r="A38" s="29" t="s">
        <v>129</v>
      </c>
      <c r="B38" s="30"/>
      <c r="C38" s="31"/>
      <c r="D38" s="31"/>
      <c r="E38" s="31"/>
      <c r="F38" s="31"/>
      <c r="G38" s="95">
        <f>Summary!G21</f>
        <v>0</v>
      </c>
      <c r="H38" s="74">
        <f>SUM(H36+H37)*G38</f>
        <v>0</v>
      </c>
    </row>
    <row r="39" spans="1:10" ht="19.5" customHeight="1" x14ac:dyDescent="0.3">
      <c r="A39" s="29" t="s">
        <v>130</v>
      </c>
      <c r="B39" s="30"/>
      <c r="C39" s="31"/>
      <c r="D39" s="31"/>
      <c r="E39" s="31"/>
      <c r="F39" s="31"/>
      <c r="G39" s="95">
        <f>Summary!G22</f>
        <v>0</v>
      </c>
      <c r="H39" s="74">
        <f>SUM(G35*G39)</f>
        <v>0</v>
      </c>
    </row>
    <row r="40" spans="1:10" ht="19.5" customHeight="1" thickBot="1" x14ac:dyDescent="0.35">
      <c r="A40" s="34" t="s">
        <v>124</v>
      </c>
      <c r="B40" s="32"/>
      <c r="C40" s="33"/>
      <c r="D40" s="33"/>
      <c r="E40" s="33"/>
      <c r="F40" s="33"/>
      <c r="G40" s="66"/>
      <c r="H40" s="75">
        <f>SUM(H36:H39)</f>
        <v>0</v>
      </c>
    </row>
    <row r="41" spans="1:10" ht="12.75" customHeight="1" thickTop="1" x14ac:dyDescent="0.25">
      <c r="A41" s="35"/>
      <c r="B41" s="35"/>
      <c r="C41" s="36"/>
      <c r="D41" s="36"/>
      <c r="E41" s="36"/>
      <c r="F41" s="36"/>
      <c r="G41" s="36"/>
      <c r="H41" s="36"/>
      <c r="I41" s="35"/>
    </row>
    <row r="42" spans="1:10" ht="12.75" customHeight="1" x14ac:dyDescent="0.25">
      <c r="A42" s="35"/>
      <c r="B42" s="35"/>
      <c r="C42" s="36"/>
      <c r="D42" s="36"/>
      <c r="E42" s="36"/>
      <c r="F42" s="36"/>
      <c r="G42" s="36"/>
      <c r="H42" s="36"/>
      <c r="I42" s="35"/>
    </row>
    <row r="43" spans="1:10" ht="12.75" customHeight="1" x14ac:dyDescent="0.25">
      <c r="A43" s="35"/>
      <c r="B43" s="35"/>
      <c r="C43" s="36"/>
      <c r="D43" s="36"/>
      <c r="E43" s="36"/>
      <c r="F43" s="36"/>
      <c r="G43" s="36"/>
      <c r="H43" s="36"/>
      <c r="I43" s="35"/>
    </row>
    <row r="44" spans="1:10" ht="12.75" customHeight="1" x14ac:dyDescent="0.25">
      <c r="A44" s="35"/>
      <c r="B44" s="35"/>
      <c r="C44" s="36"/>
      <c r="D44" s="36"/>
      <c r="E44" s="36"/>
      <c r="F44" s="36"/>
      <c r="G44" s="36"/>
      <c r="H44" s="36"/>
      <c r="I44" s="35"/>
    </row>
    <row r="45" spans="1:10" ht="12.75" customHeight="1" x14ac:dyDescent="0.25">
      <c r="A45" s="35"/>
      <c r="B45" s="35"/>
      <c r="C45" s="36"/>
      <c r="D45" s="36"/>
      <c r="E45" s="36"/>
      <c r="F45" s="36"/>
      <c r="G45" s="36"/>
      <c r="H45" s="36"/>
      <c r="I45" s="35"/>
    </row>
    <row r="46" spans="1:10" ht="12.75" customHeight="1" x14ac:dyDescent="0.25">
      <c r="A46" s="35"/>
      <c r="B46" s="35"/>
      <c r="C46" s="36"/>
      <c r="D46" s="36"/>
      <c r="E46" s="36"/>
      <c r="F46" s="36"/>
      <c r="G46" s="36"/>
      <c r="H46" s="36"/>
      <c r="I46" s="35"/>
    </row>
    <row r="47" spans="1:10" ht="12.75" customHeight="1" x14ac:dyDescent="0.25">
      <c r="A47" s="35"/>
      <c r="B47" s="35"/>
      <c r="C47" s="36"/>
      <c r="D47" s="36"/>
      <c r="E47" s="36"/>
      <c r="F47" s="36"/>
      <c r="G47" s="36"/>
      <c r="H47" s="36"/>
      <c r="I47" s="35"/>
    </row>
    <row r="48" spans="1:10"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sheetData>
  <mergeCells count="1">
    <mergeCell ref="A1:C2"/>
  </mergeCells>
  <printOptions horizontalCentered="1" verticalCentered="1" gridLinesSet="0"/>
  <pageMargins left="0.25" right="0.25" top="0.75" bottom="0.75" header="0.3" footer="0.3"/>
  <pageSetup scale="83" orientation="portrait" horizontalDpi="1200" verticalDpi="12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I217"/>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41.81640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146"/>
      <c r="D8" s="147"/>
      <c r="E8" s="148"/>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Summary!B28</f>
        <v>PLUMBING</v>
      </c>
      <c r="B13" s="30"/>
      <c r="C13" s="31"/>
      <c r="D13" s="31"/>
      <c r="E13" s="31"/>
      <c r="F13" s="31"/>
      <c r="G13" s="31"/>
      <c r="H13" s="31"/>
    </row>
    <row r="14" spans="1:9" ht="19.5" customHeight="1" x14ac:dyDescent="0.3">
      <c r="A14" s="97"/>
      <c r="B14" s="46"/>
      <c r="C14" s="47"/>
      <c r="D14" s="31"/>
      <c r="E14" s="74">
        <f t="shared" ref="E14:E21" si="0">B14*D14</f>
        <v>0</v>
      </c>
      <c r="F14" s="31"/>
      <c r="G14" s="74">
        <f t="shared" ref="G14:G21" si="1">B14*F14</f>
        <v>0</v>
      </c>
      <c r="H14" s="74">
        <f t="shared" ref="H14:H21" si="2">E14+G14</f>
        <v>0</v>
      </c>
    </row>
    <row r="15" spans="1:9" ht="19.5" customHeight="1" x14ac:dyDescent="0.25">
      <c r="A15" s="30"/>
      <c r="B15" s="103"/>
      <c r="C15" s="47"/>
      <c r="D15" s="31"/>
      <c r="E15" s="74">
        <f t="shared" si="0"/>
        <v>0</v>
      </c>
      <c r="F15" s="31"/>
      <c r="G15" s="74">
        <f t="shared" si="1"/>
        <v>0</v>
      </c>
      <c r="H15" s="74">
        <f t="shared" si="2"/>
        <v>0</v>
      </c>
    </row>
    <row r="16" spans="1:9" ht="19.5" customHeight="1" x14ac:dyDescent="0.25">
      <c r="A16" s="30"/>
      <c r="B16" s="103"/>
      <c r="C16" s="47"/>
      <c r="D16" s="31"/>
      <c r="E16" s="74">
        <f t="shared" si="0"/>
        <v>0</v>
      </c>
      <c r="F16" s="31"/>
      <c r="G16" s="74">
        <f t="shared" si="1"/>
        <v>0</v>
      </c>
      <c r="H16" s="74">
        <f t="shared" si="2"/>
        <v>0</v>
      </c>
    </row>
    <row r="17" spans="1:8" ht="19.5" customHeight="1" x14ac:dyDescent="0.25">
      <c r="A17" s="30"/>
      <c r="B17" s="103"/>
      <c r="C17" s="47"/>
      <c r="D17" s="31"/>
      <c r="E17" s="74">
        <f t="shared" si="0"/>
        <v>0</v>
      </c>
      <c r="F17" s="31"/>
      <c r="G17" s="74">
        <f t="shared" si="1"/>
        <v>0</v>
      </c>
      <c r="H17" s="74">
        <f t="shared" si="2"/>
        <v>0</v>
      </c>
    </row>
    <row r="18" spans="1:8" ht="19.5" customHeight="1" x14ac:dyDescent="0.25">
      <c r="A18" s="30"/>
      <c r="B18" s="103"/>
      <c r="C18" s="47"/>
      <c r="D18" s="31"/>
      <c r="E18" s="74">
        <f t="shared" si="0"/>
        <v>0</v>
      </c>
      <c r="F18" s="31"/>
      <c r="G18" s="74">
        <f t="shared" si="1"/>
        <v>0</v>
      </c>
      <c r="H18" s="74">
        <f t="shared" si="2"/>
        <v>0</v>
      </c>
    </row>
    <row r="19" spans="1:8" ht="19.5" customHeight="1" x14ac:dyDescent="0.25">
      <c r="A19" s="30"/>
      <c r="B19" s="103"/>
      <c r="C19" s="47"/>
      <c r="D19" s="31"/>
      <c r="E19" s="74">
        <f t="shared" si="0"/>
        <v>0</v>
      </c>
      <c r="F19" s="31"/>
      <c r="G19" s="74">
        <f t="shared" si="1"/>
        <v>0</v>
      </c>
      <c r="H19" s="74">
        <f t="shared" si="2"/>
        <v>0</v>
      </c>
    </row>
    <row r="20" spans="1:8" ht="19.5" customHeight="1" x14ac:dyDescent="0.25">
      <c r="A20" s="30"/>
      <c r="B20" s="103"/>
      <c r="C20" s="47"/>
      <c r="D20" s="31"/>
      <c r="E20" s="74">
        <f t="shared" si="0"/>
        <v>0</v>
      </c>
      <c r="F20" s="31"/>
      <c r="G20" s="74">
        <f t="shared" si="1"/>
        <v>0</v>
      </c>
      <c r="H20" s="74">
        <f t="shared" si="2"/>
        <v>0</v>
      </c>
    </row>
    <row r="21" spans="1:8" ht="19.5" customHeight="1" x14ac:dyDescent="0.25">
      <c r="A21" s="30"/>
      <c r="B21" s="103"/>
      <c r="C21" s="47"/>
      <c r="D21" s="31"/>
      <c r="E21" s="74">
        <f t="shared" si="0"/>
        <v>0</v>
      </c>
      <c r="F21" s="31"/>
      <c r="G21" s="74">
        <f t="shared" si="1"/>
        <v>0</v>
      </c>
      <c r="H21" s="74">
        <f t="shared" si="2"/>
        <v>0</v>
      </c>
    </row>
    <row r="22" spans="1:8" ht="19.5" customHeight="1" x14ac:dyDescent="0.25">
      <c r="A22" s="30"/>
      <c r="B22" s="103"/>
      <c r="C22" s="47"/>
      <c r="D22" s="31"/>
      <c r="E22" s="74">
        <f>B22*D22</f>
        <v>0</v>
      </c>
      <c r="F22" s="31"/>
      <c r="G22" s="74">
        <f>B22*F22</f>
        <v>0</v>
      </c>
      <c r="H22" s="74">
        <f>E22+G22</f>
        <v>0</v>
      </c>
    </row>
    <row r="23" spans="1:8" ht="19.5" customHeight="1" x14ac:dyDescent="0.25">
      <c r="A23" s="30"/>
      <c r="B23" s="103"/>
      <c r="C23" s="47"/>
      <c r="D23" s="31"/>
      <c r="E23" s="74">
        <f t="shared" ref="E23:E44" si="3">B23*D23</f>
        <v>0</v>
      </c>
      <c r="F23" s="31"/>
      <c r="G23" s="74">
        <f t="shared" ref="G23:G44" si="4">B23*F23</f>
        <v>0</v>
      </c>
      <c r="H23" s="74">
        <f t="shared" ref="H23:H44" si="5">E23+G23</f>
        <v>0</v>
      </c>
    </row>
    <row r="24" spans="1:8" ht="19.5" customHeight="1" x14ac:dyDescent="0.25">
      <c r="A24" s="30"/>
      <c r="B24" s="103"/>
      <c r="C24" s="47"/>
      <c r="D24" s="31"/>
      <c r="E24" s="74">
        <f t="shared" si="3"/>
        <v>0</v>
      </c>
      <c r="F24" s="31"/>
      <c r="G24" s="74">
        <f t="shared" si="4"/>
        <v>0</v>
      </c>
      <c r="H24" s="74">
        <f t="shared" si="5"/>
        <v>0</v>
      </c>
    </row>
    <row r="25" spans="1:8" ht="19.5" customHeight="1" x14ac:dyDescent="0.25">
      <c r="A25" s="30"/>
      <c r="B25" s="103"/>
      <c r="C25" s="47"/>
      <c r="D25" s="31"/>
      <c r="E25" s="74">
        <f t="shared" si="3"/>
        <v>0</v>
      </c>
      <c r="F25" s="31"/>
      <c r="G25" s="74">
        <f t="shared" si="4"/>
        <v>0</v>
      </c>
      <c r="H25" s="74">
        <f t="shared" si="5"/>
        <v>0</v>
      </c>
    </row>
    <row r="26" spans="1:8" ht="19.5" customHeight="1" x14ac:dyDescent="0.25">
      <c r="A26" s="30"/>
      <c r="B26" s="103"/>
      <c r="C26" s="47"/>
      <c r="D26" s="31"/>
      <c r="E26" s="74">
        <f t="shared" si="3"/>
        <v>0</v>
      </c>
      <c r="F26" s="31"/>
      <c r="G26" s="74">
        <f t="shared" si="4"/>
        <v>0</v>
      </c>
      <c r="H26" s="74">
        <f t="shared" si="5"/>
        <v>0</v>
      </c>
    </row>
    <row r="27" spans="1:8" ht="19.5" customHeight="1" x14ac:dyDescent="0.25">
      <c r="A27" s="30"/>
      <c r="B27" s="103"/>
      <c r="C27" s="47"/>
      <c r="D27" s="31"/>
      <c r="E27" s="74">
        <f t="shared" si="3"/>
        <v>0</v>
      </c>
      <c r="F27" s="31"/>
      <c r="G27" s="74">
        <f t="shared" si="4"/>
        <v>0</v>
      </c>
      <c r="H27" s="74">
        <f t="shared" si="5"/>
        <v>0</v>
      </c>
    </row>
    <row r="28" spans="1:8" ht="19.5" customHeight="1" x14ac:dyDescent="0.3">
      <c r="A28" s="97"/>
      <c r="B28" s="46"/>
      <c r="C28" s="47"/>
      <c r="D28" s="31"/>
      <c r="E28" s="74">
        <f t="shared" si="3"/>
        <v>0</v>
      </c>
      <c r="F28" s="31"/>
      <c r="G28" s="74">
        <f t="shared" si="4"/>
        <v>0</v>
      </c>
      <c r="H28" s="74">
        <f t="shared" si="5"/>
        <v>0</v>
      </c>
    </row>
    <row r="29" spans="1:8" ht="19.5" customHeight="1" x14ac:dyDescent="0.25">
      <c r="A29" s="30"/>
      <c r="B29" s="46"/>
      <c r="C29" s="47"/>
      <c r="D29" s="31"/>
      <c r="E29" s="74">
        <f t="shared" si="3"/>
        <v>0</v>
      </c>
      <c r="F29" s="31"/>
      <c r="G29" s="74">
        <f t="shared" si="4"/>
        <v>0</v>
      </c>
      <c r="H29" s="74">
        <f t="shared" si="5"/>
        <v>0</v>
      </c>
    </row>
    <row r="30" spans="1:8" ht="19.5" customHeight="1" x14ac:dyDescent="0.25">
      <c r="A30" s="30"/>
      <c r="B30" s="46"/>
      <c r="C30" s="47"/>
      <c r="D30" s="31"/>
      <c r="E30" s="74">
        <f t="shared" si="3"/>
        <v>0</v>
      </c>
      <c r="F30" s="31"/>
      <c r="G30" s="74">
        <f t="shared" si="4"/>
        <v>0</v>
      </c>
      <c r="H30" s="74">
        <f t="shared" si="5"/>
        <v>0</v>
      </c>
    </row>
    <row r="31" spans="1:8" ht="19.5" customHeight="1" x14ac:dyDescent="0.25">
      <c r="A31" s="30"/>
      <c r="B31" s="46"/>
      <c r="C31" s="47"/>
      <c r="D31" s="31"/>
      <c r="E31" s="74">
        <f t="shared" si="3"/>
        <v>0</v>
      </c>
      <c r="F31" s="31"/>
      <c r="G31" s="74">
        <f t="shared" si="4"/>
        <v>0</v>
      </c>
      <c r="H31" s="74">
        <f t="shared" si="5"/>
        <v>0</v>
      </c>
    </row>
    <row r="32" spans="1:8" ht="19.5" customHeight="1" x14ac:dyDescent="0.25">
      <c r="A32" s="30"/>
      <c r="B32" s="46"/>
      <c r="C32" s="47"/>
      <c r="D32" s="31"/>
      <c r="E32" s="74">
        <f t="shared" si="3"/>
        <v>0</v>
      </c>
      <c r="F32" s="31"/>
      <c r="G32" s="74">
        <f t="shared" si="4"/>
        <v>0</v>
      </c>
      <c r="H32" s="74">
        <f t="shared" si="5"/>
        <v>0</v>
      </c>
    </row>
    <row r="33" spans="1:9" ht="19.5" customHeight="1" x14ac:dyDescent="0.25">
      <c r="A33" s="30"/>
      <c r="B33" s="46"/>
      <c r="C33" s="47"/>
      <c r="D33" s="31"/>
      <c r="E33" s="74">
        <f t="shared" si="3"/>
        <v>0</v>
      </c>
      <c r="F33" s="31"/>
      <c r="G33" s="74">
        <f t="shared" si="4"/>
        <v>0</v>
      </c>
      <c r="H33" s="74">
        <f t="shared" si="5"/>
        <v>0</v>
      </c>
    </row>
    <row r="34" spans="1:9" ht="19.5" customHeight="1" x14ac:dyDescent="0.25">
      <c r="A34" s="30"/>
      <c r="B34" s="46"/>
      <c r="C34" s="47"/>
      <c r="D34" s="31"/>
      <c r="E34" s="74">
        <f t="shared" si="3"/>
        <v>0</v>
      </c>
      <c r="F34" s="31"/>
      <c r="G34" s="74">
        <f t="shared" si="4"/>
        <v>0</v>
      </c>
      <c r="H34" s="74">
        <f t="shared" si="5"/>
        <v>0</v>
      </c>
    </row>
    <row r="35" spans="1:9" ht="19.5" customHeight="1" x14ac:dyDescent="0.25">
      <c r="A35" s="30"/>
      <c r="B35" s="46"/>
      <c r="C35" s="47"/>
      <c r="D35" s="31"/>
      <c r="E35" s="74">
        <f t="shared" si="3"/>
        <v>0</v>
      </c>
      <c r="F35" s="31"/>
      <c r="G35" s="74">
        <f t="shared" si="4"/>
        <v>0</v>
      </c>
      <c r="H35" s="74">
        <f t="shared" si="5"/>
        <v>0</v>
      </c>
    </row>
    <row r="36" spans="1:9" ht="19.5" customHeight="1" x14ac:dyDescent="0.3">
      <c r="A36" s="97"/>
      <c r="B36" s="46"/>
      <c r="C36" s="47"/>
      <c r="D36" s="31"/>
      <c r="E36" s="74">
        <f t="shared" si="3"/>
        <v>0</v>
      </c>
      <c r="F36" s="31"/>
      <c r="G36" s="74">
        <f t="shared" si="4"/>
        <v>0</v>
      </c>
      <c r="H36" s="74">
        <f t="shared" si="5"/>
        <v>0</v>
      </c>
    </row>
    <row r="37" spans="1:9" ht="19.5" customHeight="1" x14ac:dyDescent="0.25">
      <c r="A37" s="30"/>
      <c r="B37" s="46"/>
      <c r="C37" s="47"/>
      <c r="D37" s="31"/>
      <c r="E37" s="74">
        <f t="shared" si="3"/>
        <v>0</v>
      </c>
      <c r="F37" s="31"/>
      <c r="G37" s="74">
        <f t="shared" si="4"/>
        <v>0</v>
      </c>
      <c r="H37" s="74">
        <f t="shared" si="5"/>
        <v>0</v>
      </c>
    </row>
    <row r="38" spans="1:9" ht="19.5" customHeight="1" x14ac:dyDescent="0.25">
      <c r="A38" s="30"/>
      <c r="B38" s="46"/>
      <c r="C38" s="47"/>
      <c r="D38" s="31"/>
      <c r="E38" s="74">
        <f t="shared" si="3"/>
        <v>0</v>
      </c>
      <c r="F38" s="31"/>
      <c r="G38" s="74">
        <f t="shared" si="4"/>
        <v>0</v>
      </c>
      <c r="H38" s="74">
        <f t="shared" si="5"/>
        <v>0</v>
      </c>
    </row>
    <row r="39" spans="1:9" ht="19.5" customHeight="1" x14ac:dyDescent="0.25">
      <c r="A39" s="30"/>
      <c r="B39" s="46"/>
      <c r="C39" s="47"/>
      <c r="D39" s="31"/>
      <c r="E39" s="74">
        <f t="shared" si="3"/>
        <v>0</v>
      </c>
      <c r="F39" s="31"/>
      <c r="G39" s="74">
        <f t="shared" si="4"/>
        <v>0</v>
      </c>
      <c r="H39" s="74">
        <f t="shared" si="5"/>
        <v>0</v>
      </c>
    </row>
    <row r="40" spans="1:9" ht="19.5" customHeight="1" x14ac:dyDescent="0.25">
      <c r="A40" s="30"/>
      <c r="B40" s="46"/>
      <c r="C40" s="47"/>
      <c r="D40" s="31"/>
      <c r="E40" s="74">
        <f t="shared" si="3"/>
        <v>0</v>
      </c>
      <c r="F40" s="31"/>
      <c r="G40" s="74">
        <f t="shared" si="4"/>
        <v>0</v>
      </c>
      <c r="H40" s="74">
        <f t="shared" si="5"/>
        <v>0</v>
      </c>
    </row>
    <row r="41" spans="1:9" ht="19.5" customHeight="1" x14ac:dyDescent="0.25">
      <c r="A41" s="30"/>
      <c r="B41" s="46"/>
      <c r="C41" s="47"/>
      <c r="D41" s="31"/>
      <c r="E41" s="74">
        <f t="shared" si="3"/>
        <v>0</v>
      </c>
      <c r="F41" s="31"/>
      <c r="G41" s="74">
        <f t="shared" si="4"/>
        <v>0</v>
      </c>
      <c r="H41" s="74">
        <f t="shared" si="5"/>
        <v>0</v>
      </c>
    </row>
    <row r="42" spans="1:9" ht="19.5" customHeight="1" x14ac:dyDescent="0.25">
      <c r="A42" s="30"/>
      <c r="B42" s="46"/>
      <c r="C42" s="47"/>
      <c r="D42" s="31"/>
      <c r="E42" s="74">
        <f t="shared" si="3"/>
        <v>0</v>
      </c>
      <c r="F42" s="31"/>
      <c r="G42" s="74">
        <f t="shared" si="4"/>
        <v>0</v>
      </c>
      <c r="H42" s="74">
        <f t="shared" si="5"/>
        <v>0</v>
      </c>
    </row>
    <row r="43" spans="1:9" ht="19.5" customHeight="1" x14ac:dyDescent="0.25">
      <c r="A43" s="30"/>
      <c r="B43" s="46"/>
      <c r="C43" s="47"/>
      <c r="D43" s="31"/>
      <c r="E43" s="74">
        <f t="shared" si="3"/>
        <v>0</v>
      </c>
      <c r="F43" s="31"/>
      <c r="G43" s="74">
        <f t="shared" si="4"/>
        <v>0</v>
      </c>
      <c r="H43" s="74">
        <f t="shared" si="5"/>
        <v>0</v>
      </c>
    </row>
    <row r="44" spans="1:9" ht="19.5" customHeight="1" x14ac:dyDescent="0.25">
      <c r="A44" s="30"/>
      <c r="B44" s="30"/>
      <c r="C44" s="31"/>
      <c r="D44" s="31"/>
      <c r="E44" s="74">
        <f t="shared" si="3"/>
        <v>0</v>
      </c>
      <c r="F44" s="31"/>
      <c r="G44" s="74">
        <f t="shared" si="4"/>
        <v>0</v>
      </c>
      <c r="H44" s="74">
        <f t="shared" si="5"/>
        <v>0</v>
      </c>
    </row>
    <row r="45" spans="1:9" ht="19.5" customHeight="1" x14ac:dyDescent="0.3">
      <c r="A45" s="29" t="s">
        <v>127</v>
      </c>
      <c r="B45" s="30"/>
      <c r="C45" s="31"/>
      <c r="D45" s="31"/>
      <c r="E45" s="74">
        <f>SUM(E14:E44)</f>
        <v>0</v>
      </c>
      <c r="F45" s="31"/>
      <c r="G45" s="74">
        <f>SUM(G14:G44)</f>
        <v>0</v>
      </c>
      <c r="H45" s="31"/>
      <c r="I45" s="10"/>
    </row>
    <row r="46" spans="1:9" ht="19.5" customHeight="1" x14ac:dyDescent="0.3">
      <c r="A46" s="29" t="s">
        <v>104</v>
      </c>
      <c r="B46" s="30"/>
      <c r="C46" s="31"/>
      <c r="D46" s="31"/>
      <c r="E46" s="41"/>
      <c r="F46" s="31"/>
      <c r="G46" s="41"/>
      <c r="H46" s="94">
        <f>SUM(H14:H44)</f>
        <v>0</v>
      </c>
    </row>
    <row r="47" spans="1:9" ht="19.5" customHeight="1" x14ac:dyDescent="0.3">
      <c r="A47" s="29" t="s">
        <v>128</v>
      </c>
      <c r="B47" s="30"/>
      <c r="C47" s="31"/>
      <c r="D47" s="31"/>
      <c r="E47" s="31"/>
      <c r="F47" s="31"/>
      <c r="G47" s="95">
        <f>Summary!G20</f>
        <v>0</v>
      </c>
      <c r="H47" s="74">
        <f>SUM(H46*G47)</f>
        <v>0</v>
      </c>
    </row>
    <row r="48" spans="1:9" ht="19.5" customHeight="1" x14ac:dyDescent="0.3">
      <c r="A48" s="29" t="s">
        <v>129</v>
      </c>
      <c r="B48" s="30"/>
      <c r="C48" s="31"/>
      <c r="D48" s="31"/>
      <c r="E48" s="31"/>
      <c r="F48" s="31"/>
      <c r="G48" s="95">
        <f>Summary!G21</f>
        <v>0</v>
      </c>
      <c r="H48" s="74">
        <f>SUM(H46+H47)*G48</f>
        <v>0</v>
      </c>
    </row>
    <row r="49" spans="1:9" ht="19.5" customHeight="1" x14ac:dyDescent="0.3">
      <c r="A49" s="29" t="s">
        <v>130</v>
      </c>
      <c r="B49" s="30"/>
      <c r="C49" s="31"/>
      <c r="D49" s="31"/>
      <c r="E49" s="31"/>
      <c r="F49" s="31"/>
      <c r="G49" s="95">
        <f>Summary!G22</f>
        <v>0</v>
      </c>
      <c r="H49" s="74">
        <f>SUM(G45*G49)</f>
        <v>0</v>
      </c>
    </row>
    <row r="50" spans="1:9" ht="19.5" customHeight="1" thickBot="1" x14ac:dyDescent="0.35">
      <c r="A50" s="34" t="s">
        <v>124</v>
      </c>
      <c r="B50" s="32"/>
      <c r="C50" s="33"/>
      <c r="D50" s="33"/>
      <c r="E50" s="33"/>
      <c r="F50" s="33"/>
      <c r="G50" s="33"/>
      <c r="H50" s="75">
        <f>SUM(H46:H49)</f>
        <v>0</v>
      </c>
    </row>
    <row r="51" spans="1:9" ht="12.75" customHeight="1" thickTop="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12.75" customHeight="1" x14ac:dyDescent="0.25">
      <c r="A73" s="35"/>
      <c r="B73" s="35"/>
      <c r="C73" s="36"/>
      <c r="D73" s="36"/>
      <c r="E73" s="36"/>
      <c r="F73" s="36"/>
      <c r="G73" s="36"/>
      <c r="H73" s="36"/>
      <c r="I73" s="35"/>
    </row>
    <row r="74" spans="1:9" ht="12.75" customHeight="1" x14ac:dyDescent="0.25">
      <c r="A74" s="35"/>
      <c r="B74" s="35"/>
      <c r="C74" s="36"/>
      <c r="D74" s="36"/>
      <c r="E74" s="36"/>
      <c r="F74" s="36"/>
      <c r="G74" s="36"/>
      <c r="H74" s="36"/>
      <c r="I74" s="35"/>
    </row>
    <row r="75" spans="1:9" ht="12.75" customHeight="1" x14ac:dyDescent="0.25">
      <c r="A75" s="35"/>
      <c r="B75" s="35"/>
      <c r="C75" s="36"/>
      <c r="D75" s="36"/>
      <c r="E75" s="36"/>
      <c r="F75" s="36"/>
      <c r="G75" s="36"/>
      <c r="H75" s="36"/>
      <c r="I75" s="35"/>
    </row>
    <row r="76" spans="1:9" ht="12.75" customHeight="1" x14ac:dyDescent="0.25">
      <c r="A76" s="35"/>
      <c r="B76" s="35"/>
      <c r="C76" s="36"/>
      <c r="D76" s="36"/>
      <c r="E76" s="36"/>
      <c r="F76" s="36"/>
      <c r="G76" s="36"/>
      <c r="H76" s="36"/>
      <c r="I76" s="35"/>
    </row>
    <row r="77" spans="1:9" ht="12.75" customHeight="1" x14ac:dyDescent="0.25">
      <c r="A77" s="35"/>
      <c r="B77" s="35"/>
      <c r="C77" s="36"/>
      <c r="D77" s="36"/>
      <c r="E77" s="36"/>
      <c r="F77" s="36"/>
      <c r="G77" s="36"/>
      <c r="H77" s="36"/>
      <c r="I77" s="35"/>
    </row>
    <row r="78" spans="1:9" ht="12.75" customHeight="1" x14ac:dyDescent="0.25">
      <c r="A78" s="35"/>
      <c r="B78" s="35"/>
      <c r="C78" s="36"/>
      <c r="D78" s="36"/>
      <c r="E78" s="36"/>
      <c r="F78" s="36"/>
      <c r="G78" s="36"/>
      <c r="H78" s="36"/>
      <c r="I78" s="35"/>
    </row>
    <row r="79" spans="1:9" ht="12.75"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20.149999999999999" customHeight="1" x14ac:dyDescent="0.25">
      <c r="A124" s="35"/>
      <c r="B124" s="35"/>
      <c r="C124" s="36"/>
      <c r="D124" s="36"/>
      <c r="E124" s="36"/>
      <c r="F124" s="36"/>
      <c r="G124" s="36"/>
      <c r="H124" s="36"/>
      <c r="I124" s="35"/>
    </row>
    <row r="125" spans="1:9" ht="20.149999999999999" customHeight="1" x14ac:dyDescent="0.25">
      <c r="A125" s="35"/>
      <c r="B125" s="35"/>
      <c r="C125" s="36"/>
      <c r="D125" s="36"/>
      <c r="E125" s="36"/>
      <c r="F125" s="36"/>
      <c r="G125" s="36"/>
      <c r="H125" s="36"/>
      <c r="I125" s="35"/>
    </row>
    <row r="126" spans="1:9" ht="20.149999999999999" customHeight="1" x14ac:dyDescent="0.25">
      <c r="A126" s="35"/>
      <c r="B126" s="35"/>
      <c r="C126" s="36"/>
      <c r="D126" s="36"/>
      <c r="E126" s="36"/>
      <c r="F126" s="36"/>
      <c r="G126" s="36"/>
      <c r="H126" s="36"/>
      <c r="I126" s="35"/>
    </row>
    <row r="127" spans="1:9" ht="20.149999999999999" customHeight="1" x14ac:dyDescent="0.25">
      <c r="A127" s="35"/>
      <c r="B127" s="35"/>
      <c r="C127" s="36"/>
      <c r="D127" s="36"/>
      <c r="E127" s="36"/>
      <c r="F127" s="36"/>
      <c r="G127" s="36"/>
      <c r="H127" s="36"/>
      <c r="I127" s="35"/>
    </row>
    <row r="128" spans="1:9" ht="20.149999999999999" customHeight="1" x14ac:dyDescent="0.25">
      <c r="A128" s="35"/>
      <c r="B128" s="35"/>
      <c r="C128" s="36"/>
      <c r="D128" s="36"/>
      <c r="E128" s="36"/>
      <c r="F128" s="36"/>
      <c r="G128" s="36"/>
      <c r="H128" s="36"/>
      <c r="I128" s="35"/>
    </row>
    <row r="129" spans="1:9" ht="20.149999999999999" customHeight="1" x14ac:dyDescent="0.25">
      <c r="A129" s="35"/>
      <c r="B129" s="35"/>
      <c r="C129" s="36"/>
      <c r="D129" s="36"/>
      <c r="E129" s="36"/>
      <c r="F129" s="36"/>
      <c r="G129" s="36"/>
      <c r="H129" s="36"/>
      <c r="I129" s="35"/>
    </row>
    <row r="130" spans="1:9" ht="20.149999999999999" customHeight="1"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A210" s="35"/>
      <c r="B210" s="35"/>
      <c r="C210" s="36"/>
      <c r="D210" s="36"/>
      <c r="E210" s="36"/>
      <c r="F210" s="36"/>
      <c r="G210" s="36"/>
      <c r="H210" s="36"/>
      <c r="I210" s="35"/>
    </row>
    <row r="211" spans="1:9" ht="12.5" x14ac:dyDescent="0.25">
      <c r="A211" s="35"/>
      <c r="B211" s="35"/>
      <c r="C211" s="36"/>
      <c r="D211" s="36"/>
      <c r="E211" s="36"/>
      <c r="F211" s="36"/>
      <c r="G211" s="36"/>
      <c r="H211" s="36"/>
      <c r="I211" s="35"/>
    </row>
    <row r="212" spans="1:9" ht="12.5" x14ac:dyDescent="0.25">
      <c r="A212" s="35"/>
      <c r="B212" s="35"/>
      <c r="C212" s="36"/>
      <c r="D212" s="36"/>
      <c r="E212" s="36"/>
      <c r="F212" s="36"/>
      <c r="G212" s="36"/>
      <c r="H212" s="36"/>
      <c r="I212" s="35"/>
    </row>
    <row r="213" spans="1:9" ht="12.5" x14ac:dyDescent="0.25">
      <c r="A213" s="35"/>
      <c r="B213" s="35"/>
      <c r="C213" s="36"/>
      <c r="D213" s="36"/>
      <c r="E213" s="36"/>
      <c r="F213" s="36"/>
      <c r="G213" s="36"/>
      <c r="H213" s="36"/>
      <c r="I213" s="35"/>
    </row>
    <row r="214" spans="1:9" ht="12.5" x14ac:dyDescent="0.25">
      <c r="A214" s="35"/>
      <c r="B214" s="35"/>
      <c r="C214" s="36"/>
      <c r="D214" s="36"/>
      <c r="E214" s="36"/>
      <c r="F214" s="36"/>
      <c r="G214" s="36"/>
      <c r="H214" s="36"/>
      <c r="I214" s="35"/>
    </row>
    <row r="215" spans="1:9" ht="12.5" x14ac:dyDescent="0.25">
      <c r="A215" s="35"/>
      <c r="B215" s="35"/>
      <c r="C215" s="36"/>
      <c r="D215" s="36"/>
      <c r="E215" s="36"/>
      <c r="F215" s="36"/>
      <c r="G215" s="36"/>
      <c r="H215" s="36"/>
      <c r="I215" s="35"/>
    </row>
    <row r="216" spans="1:9" ht="12.5" x14ac:dyDescent="0.25">
      <c r="A216" s="35"/>
      <c r="B216" s="35"/>
      <c r="C216" s="36"/>
      <c r="D216" s="36"/>
      <c r="E216" s="36"/>
      <c r="F216" s="36"/>
      <c r="G216" s="36"/>
      <c r="H216" s="36"/>
      <c r="I216" s="35"/>
    </row>
    <row r="217" spans="1:9" ht="12.5" x14ac:dyDescent="0.25">
      <c r="A217" s="35"/>
      <c r="B217" s="35"/>
      <c r="C217" s="36"/>
      <c r="D217" s="36"/>
      <c r="E217" s="36"/>
      <c r="F217" s="36"/>
      <c r="G217" s="36"/>
      <c r="H217" s="36"/>
      <c r="I217" s="35"/>
    </row>
  </sheetData>
  <mergeCells count="3">
    <mergeCell ref="A8:B8"/>
    <mergeCell ref="C8:E8"/>
    <mergeCell ref="A1:C2"/>
  </mergeCells>
  <printOptions horizontalCentered="1" verticalCentered="1" gridLinesSet="0"/>
  <pageMargins left="0.25" right="0.25" top="0.75" bottom="0.75" header="0.3" footer="0.3"/>
  <pageSetup scale="84" orientation="portrait" horizontalDpi="1200" verticalDpi="12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I204"/>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41.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146"/>
      <c r="D8" s="147"/>
      <c r="E8" s="148"/>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Summary!B29</f>
        <v>HEATING, VENTILATING AND A/C</v>
      </c>
      <c r="B13" s="30"/>
      <c r="C13" s="31"/>
      <c r="D13" s="31"/>
      <c r="E13" s="31"/>
      <c r="F13" s="31"/>
      <c r="G13" s="31"/>
      <c r="H13" s="31"/>
    </row>
    <row r="14" spans="1:9" ht="19.5" customHeight="1" x14ac:dyDescent="0.3">
      <c r="A14" s="29"/>
      <c r="B14" s="46"/>
      <c r="C14" s="47"/>
      <c r="D14" s="31"/>
      <c r="E14" s="74">
        <f t="shared" ref="E14:E19" si="0">B14*D14</f>
        <v>0</v>
      </c>
      <c r="F14" s="31"/>
      <c r="G14" s="74">
        <f t="shared" ref="G14:G19" si="1">B14*F14</f>
        <v>0</v>
      </c>
      <c r="H14" s="74">
        <f t="shared" ref="H14:H19" si="2">E14+G14</f>
        <v>0</v>
      </c>
    </row>
    <row r="15" spans="1:9" ht="19.5" customHeight="1" x14ac:dyDescent="0.25">
      <c r="A15" s="30"/>
      <c r="B15" s="46"/>
      <c r="C15" s="47"/>
      <c r="D15" s="31"/>
      <c r="E15" s="74">
        <f t="shared" si="0"/>
        <v>0</v>
      </c>
      <c r="F15" s="31"/>
      <c r="G15" s="74">
        <f t="shared" si="1"/>
        <v>0</v>
      </c>
      <c r="H15" s="74">
        <f t="shared" si="2"/>
        <v>0</v>
      </c>
    </row>
    <row r="16" spans="1:9" ht="19.5" customHeight="1" x14ac:dyDescent="0.25">
      <c r="A16" s="30"/>
      <c r="B16" s="46"/>
      <c r="C16" s="47"/>
      <c r="D16" s="31"/>
      <c r="E16" s="74">
        <f t="shared" si="0"/>
        <v>0</v>
      </c>
      <c r="F16" s="31"/>
      <c r="G16" s="74">
        <f t="shared" si="1"/>
        <v>0</v>
      </c>
      <c r="H16" s="74">
        <f t="shared" si="2"/>
        <v>0</v>
      </c>
    </row>
    <row r="17" spans="1:9" ht="19.5" customHeight="1" x14ac:dyDescent="0.25">
      <c r="A17" s="30"/>
      <c r="B17" s="46"/>
      <c r="C17" s="47"/>
      <c r="D17" s="31"/>
      <c r="E17" s="74">
        <f t="shared" si="0"/>
        <v>0</v>
      </c>
      <c r="F17" s="31"/>
      <c r="G17" s="74">
        <f t="shared" si="1"/>
        <v>0</v>
      </c>
      <c r="H17" s="74">
        <f t="shared" si="2"/>
        <v>0</v>
      </c>
    </row>
    <row r="18" spans="1:9" ht="19.5" customHeight="1" x14ac:dyDescent="0.25">
      <c r="A18" s="30"/>
      <c r="B18" s="46"/>
      <c r="C18" s="47"/>
      <c r="D18" s="31"/>
      <c r="E18" s="74">
        <f t="shared" si="0"/>
        <v>0</v>
      </c>
      <c r="F18" s="31"/>
      <c r="G18" s="74">
        <f t="shared" si="1"/>
        <v>0</v>
      </c>
      <c r="H18" s="74">
        <f t="shared" si="2"/>
        <v>0</v>
      </c>
    </row>
    <row r="19" spans="1:9" ht="19.5" customHeight="1" x14ac:dyDescent="0.25">
      <c r="A19" s="30"/>
      <c r="B19" s="46"/>
      <c r="C19" s="47"/>
      <c r="D19" s="31"/>
      <c r="E19" s="74">
        <f t="shared" si="0"/>
        <v>0</v>
      </c>
      <c r="F19" s="31"/>
      <c r="G19" s="74">
        <f t="shared" si="1"/>
        <v>0</v>
      </c>
      <c r="H19" s="74">
        <f t="shared" si="2"/>
        <v>0</v>
      </c>
    </row>
    <row r="20" spans="1:9" ht="19.5" customHeight="1" x14ac:dyDescent="0.25">
      <c r="A20" s="30"/>
      <c r="B20" s="46"/>
      <c r="C20" s="47"/>
      <c r="D20" s="31"/>
      <c r="E20" s="74">
        <f>B20*D20</f>
        <v>0</v>
      </c>
      <c r="F20" s="31"/>
      <c r="G20" s="74">
        <f>B20*F20</f>
        <v>0</v>
      </c>
      <c r="H20" s="74">
        <f>E20+G20</f>
        <v>0</v>
      </c>
    </row>
    <row r="21" spans="1:9" ht="19.5" customHeight="1" x14ac:dyDescent="0.25">
      <c r="A21" s="30"/>
      <c r="B21" s="46"/>
      <c r="C21" s="47"/>
      <c r="D21" s="31"/>
      <c r="E21" s="74">
        <f t="shared" ref="E21:E31" si="3">B21*D21</f>
        <v>0</v>
      </c>
      <c r="F21" s="31"/>
      <c r="G21" s="74">
        <f t="shared" ref="G21:G31" si="4">B21*F21</f>
        <v>0</v>
      </c>
      <c r="H21" s="74">
        <f t="shared" ref="H21:H31" si="5">E21+G21</f>
        <v>0</v>
      </c>
    </row>
    <row r="22" spans="1:9" ht="19.5" customHeight="1" x14ac:dyDescent="0.25">
      <c r="A22" s="30"/>
      <c r="B22" s="46"/>
      <c r="C22" s="47"/>
      <c r="D22" s="31"/>
      <c r="E22" s="74">
        <f t="shared" si="3"/>
        <v>0</v>
      </c>
      <c r="F22" s="31"/>
      <c r="G22" s="74">
        <f t="shared" si="4"/>
        <v>0</v>
      </c>
      <c r="H22" s="74">
        <f t="shared" si="5"/>
        <v>0</v>
      </c>
    </row>
    <row r="23" spans="1:9" ht="19.5" customHeight="1" x14ac:dyDescent="0.25">
      <c r="A23" s="30"/>
      <c r="B23" s="46"/>
      <c r="C23" s="47"/>
      <c r="D23" s="31"/>
      <c r="E23" s="74">
        <f t="shared" si="3"/>
        <v>0</v>
      </c>
      <c r="F23" s="31"/>
      <c r="G23" s="74">
        <f t="shared" si="4"/>
        <v>0</v>
      </c>
      <c r="H23" s="74">
        <f t="shared" si="5"/>
        <v>0</v>
      </c>
    </row>
    <row r="24" spans="1:9" ht="19.5" customHeight="1" x14ac:dyDescent="0.25">
      <c r="A24" s="30"/>
      <c r="B24" s="46"/>
      <c r="C24" s="47"/>
      <c r="D24" s="31"/>
      <c r="E24" s="74">
        <f t="shared" si="3"/>
        <v>0</v>
      </c>
      <c r="F24" s="31"/>
      <c r="G24" s="74">
        <f t="shared" si="4"/>
        <v>0</v>
      </c>
      <c r="H24" s="74">
        <f t="shared" si="5"/>
        <v>0</v>
      </c>
    </row>
    <row r="25" spans="1:9" ht="19.5" customHeight="1" x14ac:dyDescent="0.25">
      <c r="A25" s="30"/>
      <c r="B25" s="30"/>
      <c r="C25" s="31"/>
      <c r="D25" s="31"/>
      <c r="E25" s="74">
        <f t="shared" si="3"/>
        <v>0</v>
      </c>
      <c r="F25" s="31"/>
      <c r="G25" s="74">
        <f t="shared" si="4"/>
        <v>0</v>
      </c>
      <c r="H25" s="74">
        <f t="shared" si="5"/>
        <v>0</v>
      </c>
    </row>
    <row r="26" spans="1:9" ht="19.5" customHeight="1" x14ac:dyDescent="0.25">
      <c r="A26" s="30"/>
      <c r="B26" s="30"/>
      <c r="C26" s="31"/>
      <c r="D26" s="31"/>
      <c r="E26" s="74">
        <f t="shared" si="3"/>
        <v>0</v>
      </c>
      <c r="F26" s="31"/>
      <c r="G26" s="74">
        <f t="shared" si="4"/>
        <v>0</v>
      </c>
      <c r="H26" s="74">
        <f t="shared" si="5"/>
        <v>0</v>
      </c>
    </row>
    <row r="27" spans="1:9" ht="19.5" customHeight="1" x14ac:dyDescent="0.25">
      <c r="A27" s="30"/>
      <c r="B27" s="30"/>
      <c r="C27" s="31"/>
      <c r="D27" s="31"/>
      <c r="E27" s="74">
        <f t="shared" si="3"/>
        <v>0</v>
      </c>
      <c r="F27" s="31"/>
      <c r="G27" s="74">
        <f t="shared" si="4"/>
        <v>0</v>
      </c>
      <c r="H27" s="74">
        <f t="shared" si="5"/>
        <v>0</v>
      </c>
    </row>
    <row r="28" spans="1:9" ht="19.5" customHeight="1" x14ac:dyDescent="0.25">
      <c r="A28" s="30"/>
      <c r="B28" s="30"/>
      <c r="C28" s="31"/>
      <c r="D28" s="31"/>
      <c r="E28" s="74">
        <f t="shared" si="3"/>
        <v>0</v>
      </c>
      <c r="F28" s="31"/>
      <c r="G28" s="74">
        <f t="shared" si="4"/>
        <v>0</v>
      </c>
      <c r="H28" s="74">
        <f t="shared" si="5"/>
        <v>0</v>
      </c>
    </row>
    <row r="29" spans="1:9" ht="19.5" customHeight="1" x14ac:dyDescent="0.25">
      <c r="A29" s="30"/>
      <c r="B29" s="30"/>
      <c r="C29" s="31"/>
      <c r="D29" s="31"/>
      <c r="E29" s="74">
        <f t="shared" si="3"/>
        <v>0</v>
      </c>
      <c r="F29" s="31"/>
      <c r="G29" s="74">
        <f t="shared" si="4"/>
        <v>0</v>
      </c>
      <c r="H29" s="74">
        <f t="shared" si="5"/>
        <v>0</v>
      </c>
    </row>
    <row r="30" spans="1:9" ht="19.5" customHeight="1" x14ac:dyDescent="0.25">
      <c r="A30" s="30"/>
      <c r="B30" s="30"/>
      <c r="C30" s="31"/>
      <c r="D30" s="31"/>
      <c r="E30" s="74">
        <f t="shared" si="3"/>
        <v>0</v>
      </c>
      <c r="F30" s="31"/>
      <c r="G30" s="74">
        <f t="shared" si="4"/>
        <v>0</v>
      </c>
      <c r="H30" s="74">
        <f t="shared" si="5"/>
        <v>0</v>
      </c>
    </row>
    <row r="31" spans="1:9" ht="19.5" customHeight="1" x14ac:dyDescent="0.25">
      <c r="A31" s="30"/>
      <c r="B31" s="30"/>
      <c r="C31" s="31"/>
      <c r="D31" s="31"/>
      <c r="E31" s="74">
        <f t="shared" si="3"/>
        <v>0</v>
      </c>
      <c r="F31" s="31"/>
      <c r="G31" s="74">
        <f t="shared" si="4"/>
        <v>0</v>
      </c>
      <c r="H31" s="74">
        <f t="shared" si="5"/>
        <v>0</v>
      </c>
    </row>
    <row r="32" spans="1:9" ht="19.5" customHeight="1" x14ac:dyDescent="0.3">
      <c r="A32" s="29" t="s">
        <v>127</v>
      </c>
      <c r="B32" s="30"/>
      <c r="C32" s="31"/>
      <c r="D32" s="31"/>
      <c r="E32" s="74">
        <f>SUM(E14:E31)</f>
        <v>0</v>
      </c>
      <c r="F32" s="31"/>
      <c r="G32" s="74">
        <f>SUM(G14:G31)</f>
        <v>0</v>
      </c>
      <c r="H32" s="31"/>
      <c r="I32" s="10"/>
    </row>
    <row r="33" spans="1:9" ht="19.5" customHeight="1" x14ac:dyDescent="0.3">
      <c r="A33" s="29" t="s">
        <v>104</v>
      </c>
      <c r="B33" s="30"/>
      <c r="C33" s="31"/>
      <c r="D33" s="31"/>
      <c r="E33" s="41"/>
      <c r="F33" s="31"/>
      <c r="G33" s="41"/>
      <c r="H33" s="94">
        <f>SUM(H14:H31)</f>
        <v>0</v>
      </c>
    </row>
    <row r="34" spans="1:9" ht="19.5" customHeight="1" x14ac:dyDescent="0.3">
      <c r="A34" s="29" t="s">
        <v>128</v>
      </c>
      <c r="B34" s="30"/>
      <c r="C34" s="31"/>
      <c r="D34" s="31"/>
      <c r="E34" s="31"/>
      <c r="F34" s="31"/>
      <c r="G34" s="95">
        <f>Summary!G20</f>
        <v>0</v>
      </c>
      <c r="H34" s="74">
        <f>SUM(H33*G34)</f>
        <v>0</v>
      </c>
    </row>
    <row r="35" spans="1:9" ht="19.5" customHeight="1" x14ac:dyDescent="0.3">
      <c r="A35" s="29" t="s">
        <v>129</v>
      </c>
      <c r="B35" s="30"/>
      <c r="C35" s="31"/>
      <c r="D35" s="31"/>
      <c r="E35" s="31"/>
      <c r="F35" s="31"/>
      <c r="G35" s="95">
        <f>Summary!G21</f>
        <v>0</v>
      </c>
      <c r="H35" s="74">
        <f>SUM(H33+H34)*G35</f>
        <v>0</v>
      </c>
    </row>
    <row r="36" spans="1:9" ht="19.5" customHeight="1" x14ac:dyDescent="0.3">
      <c r="A36" s="29" t="s">
        <v>130</v>
      </c>
      <c r="B36" s="30"/>
      <c r="C36" s="31"/>
      <c r="D36" s="31"/>
      <c r="E36" s="31"/>
      <c r="F36" s="31"/>
      <c r="G36" s="95">
        <f>Summary!G22</f>
        <v>0</v>
      </c>
      <c r="H36" s="74">
        <f>SUM(G32*G36)</f>
        <v>0</v>
      </c>
    </row>
    <row r="37" spans="1:9" ht="19.5" customHeight="1" thickBot="1" x14ac:dyDescent="0.35">
      <c r="A37" s="34" t="s">
        <v>124</v>
      </c>
      <c r="B37" s="32"/>
      <c r="C37" s="33"/>
      <c r="D37" s="33"/>
      <c r="E37" s="33"/>
      <c r="F37" s="33"/>
      <c r="G37" s="33"/>
      <c r="H37" s="75">
        <f>SUM(H33:H36)</f>
        <v>0</v>
      </c>
    </row>
    <row r="38" spans="1:9" ht="12.75" customHeight="1" thickTop="1" x14ac:dyDescent="0.25">
      <c r="A38" s="35"/>
      <c r="B38" s="35"/>
      <c r="C38" s="36"/>
      <c r="D38" s="36"/>
      <c r="E38" s="36"/>
      <c r="F38" s="36"/>
      <c r="G38" s="36"/>
      <c r="H38" s="36"/>
      <c r="I38" s="35"/>
    </row>
    <row r="39" spans="1:9" ht="12.75" customHeight="1" x14ac:dyDescent="0.25">
      <c r="A39" s="35"/>
      <c r="B39" s="35"/>
      <c r="C39" s="36"/>
      <c r="D39" s="36"/>
      <c r="E39" s="36"/>
      <c r="F39" s="36"/>
      <c r="G39" s="36"/>
      <c r="H39" s="36"/>
      <c r="I39" s="35"/>
    </row>
    <row r="40" spans="1:9" ht="12.75" customHeight="1" x14ac:dyDescent="0.25">
      <c r="A40" s="35"/>
      <c r="B40" s="35"/>
      <c r="C40" s="36"/>
      <c r="D40" s="36"/>
      <c r="E40" s="36"/>
      <c r="F40" s="36"/>
      <c r="G40" s="36"/>
      <c r="H40" s="36"/>
      <c r="I40" s="35"/>
    </row>
    <row r="41" spans="1:9" ht="12.75" customHeight="1" x14ac:dyDescent="0.25">
      <c r="A41" s="35"/>
      <c r="B41" s="35"/>
      <c r="C41" s="36"/>
      <c r="D41" s="36"/>
      <c r="E41" s="36"/>
      <c r="F41" s="36"/>
      <c r="G41" s="36"/>
      <c r="H41" s="36"/>
      <c r="I41" s="35"/>
    </row>
    <row r="42" spans="1:9" ht="12.75" customHeight="1" x14ac:dyDescent="0.25">
      <c r="A42" s="35"/>
      <c r="B42" s="35"/>
      <c r="C42" s="36"/>
      <c r="D42" s="36"/>
      <c r="E42" s="36"/>
      <c r="F42" s="36"/>
      <c r="G42" s="36"/>
      <c r="H42" s="36"/>
      <c r="I42" s="35"/>
    </row>
    <row r="43" spans="1:9" ht="12.75" customHeight="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20.149999999999999" customHeight="1" x14ac:dyDescent="0.25">
      <c r="A67" s="35"/>
      <c r="B67" s="35"/>
      <c r="C67" s="36"/>
      <c r="D67" s="36"/>
      <c r="E67" s="36"/>
      <c r="F67" s="36"/>
      <c r="G67" s="36"/>
      <c r="H67" s="36"/>
      <c r="I67" s="35"/>
    </row>
    <row r="68" spans="1:9" ht="20.149999999999999"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12.5" x14ac:dyDescent="0.25">
      <c r="A118" s="35"/>
      <c r="B118" s="35"/>
      <c r="C118" s="36"/>
      <c r="D118" s="36"/>
      <c r="E118" s="36"/>
      <c r="F118" s="36"/>
      <c r="G118" s="36"/>
      <c r="H118" s="36"/>
      <c r="I118" s="35"/>
    </row>
    <row r="119" spans="1:9" ht="12.5"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sheetData>
  <mergeCells count="3">
    <mergeCell ref="A8:B8"/>
    <mergeCell ref="C8:E8"/>
    <mergeCell ref="A1:C2"/>
  </mergeCells>
  <printOptions horizontalCentered="1" verticalCentered="1" gridLinesSet="0"/>
  <pageMargins left="0.25" right="0.25" top="0.75" bottom="0.75" header="0.3" footer="0.3"/>
  <pageSetup scale="89" orientation="portrait" horizontalDpi="1200" verticalDpi="12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204"/>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146"/>
      <c r="D8" s="147"/>
      <c r="E8" s="148"/>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Summary!B30</f>
        <v>INTEGRATED AUTOMATION</v>
      </c>
      <c r="B13" s="30"/>
      <c r="C13" s="31"/>
      <c r="D13" s="31"/>
      <c r="E13" s="31"/>
      <c r="F13" s="31"/>
      <c r="G13" s="31"/>
      <c r="H13" s="31"/>
    </row>
    <row r="14" spans="1:9" ht="19.5" customHeight="1" x14ac:dyDescent="0.25">
      <c r="A14" s="30"/>
      <c r="B14" s="46"/>
      <c r="C14" s="47"/>
      <c r="D14" s="31"/>
      <c r="E14" s="74">
        <f t="shared" ref="E14:E15" si="0">B14*D14</f>
        <v>0</v>
      </c>
      <c r="F14" s="31"/>
      <c r="G14" s="74">
        <f t="shared" ref="G14:G15" si="1">B14*F14</f>
        <v>0</v>
      </c>
      <c r="H14" s="74">
        <f t="shared" ref="H14:H15" si="2">E14+G14</f>
        <v>0</v>
      </c>
    </row>
    <row r="15" spans="1:9" ht="19.5" customHeight="1" x14ac:dyDescent="0.25">
      <c r="A15" s="30"/>
      <c r="B15" s="46"/>
      <c r="C15" s="47"/>
      <c r="D15" s="31"/>
      <c r="E15" s="74">
        <f t="shared" si="0"/>
        <v>0</v>
      </c>
      <c r="F15" s="31"/>
      <c r="G15" s="74">
        <f t="shared" si="1"/>
        <v>0</v>
      </c>
      <c r="H15" s="74">
        <f t="shared" si="2"/>
        <v>0</v>
      </c>
    </row>
    <row r="16" spans="1:9" ht="19.5" customHeight="1" x14ac:dyDescent="0.25">
      <c r="A16" s="30"/>
      <c r="B16" s="30"/>
      <c r="C16" s="31"/>
      <c r="D16" s="31"/>
      <c r="E16" s="74">
        <f t="shared" ref="E16:E30" si="3">B16*D16</f>
        <v>0</v>
      </c>
      <c r="F16" s="31"/>
      <c r="G16" s="74">
        <f t="shared" ref="G16:G30" si="4">B16*F16</f>
        <v>0</v>
      </c>
      <c r="H16" s="74">
        <f t="shared" ref="H16:H30" si="5">E16+G16</f>
        <v>0</v>
      </c>
    </row>
    <row r="17" spans="1:9" ht="19.5" customHeight="1" x14ac:dyDescent="0.25">
      <c r="A17" s="30"/>
      <c r="B17" s="30"/>
      <c r="C17" s="31"/>
      <c r="D17" s="31"/>
      <c r="E17" s="74">
        <f t="shared" si="3"/>
        <v>0</v>
      </c>
      <c r="F17" s="31"/>
      <c r="G17" s="74">
        <f t="shared" si="4"/>
        <v>0</v>
      </c>
      <c r="H17" s="74">
        <f t="shared" si="5"/>
        <v>0</v>
      </c>
    </row>
    <row r="18" spans="1:9" ht="19.5" customHeight="1" x14ac:dyDescent="0.25">
      <c r="A18" s="30"/>
      <c r="B18" s="30"/>
      <c r="C18" s="31"/>
      <c r="D18" s="31"/>
      <c r="E18" s="74">
        <f t="shared" si="3"/>
        <v>0</v>
      </c>
      <c r="F18" s="31"/>
      <c r="G18" s="74">
        <f t="shared" si="4"/>
        <v>0</v>
      </c>
      <c r="H18" s="74">
        <f t="shared" si="5"/>
        <v>0</v>
      </c>
    </row>
    <row r="19" spans="1:9" ht="19.5" customHeight="1" x14ac:dyDescent="0.25">
      <c r="A19" s="30"/>
      <c r="B19" s="30"/>
      <c r="C19" s="31"/>
      <c r="D19" s="31"/>
      <c r="E19" s="74">
        <f t="shared" si="3"/>
        <v>0</v>
      </c>
      <c r="F19" s="31"/>
      <c r="G19" s="74">
        <f t="shared" si="4"/>
        <v>0</v>
      </c>
      <c r="H19" s="74">
        <f t="shared" si="5"/>
        <v>0</v>
      </c>
    </row>
    <row r="20" spans="1:9" ht="19.5" customHeight="1" x14ac:dyDescent="0.25">
      <c r="A20" s="30"/>
      <c r="B20" s="30"/>
      <c r="C20" s="31"/>
      <c r="D20" s="31"/>
      <c r="E20" s="74">
        <f t="shared" si="3"/>
        <v>0</v>
      </c>
      <c r="F20" s="31"/>
      <c r="G20" s="74">
        <f t="shared" si="4"/>
        <v>0</v>
      </c>
      <c r="H20" s="74">
        <f t="shared" si="5"/>
        <v>0</v>
      </c>
    </row>
    <row r="21" spans="1:9" ht="19.5" customHeight="1" x14ac:dyDescent="0.25">
      <c r="A21" s="30"/>
      <c r="B21" s="30"/>
      <c r="C21" s="31"/>
      <c r="D21" s="31"/>
      <c r="E21" s="74">
        <f t="shared" si="3"/>
        <v>0</v>
      </c>
      <c r="F21" s="31"/>
      <c r="G21" s="74">
        <f t="shared" si="4"/>
        <v>0</v>
      </c>
      <c r="H21" s="74">
        <f t="shared" si="5"/>
        <v>0</v>
      </c>
    </row>
    <row r="22" spans="1:9" ht="19.5" customHeight="1" x14ac:dyDescent="0.25">
      <c r="A22" s="30"/>
      <c r="B22" s="30"/>
      <c r="C22" s="31"/>
      <c r="D22" s="31"/>
      <c r="E22" s="74">
        <f t="shared" si="3"/>
        <v>0</v>
      </c>
      <c r="F22" s="31"/>
      <c r="G22" s="74">
        <f t="shared" si="4"/>
        <v>0</v>
      </c>
      <c r="H22" s="74">
        <f t="shared" si="5"/>
        <v>0</v>
      </c>
    </row>
    <row r="23" spans="1:9" ht="19.5" customHeight="1" x14ac:dyDescent="0.25">
      <c r="A23" s="30"/>
      <c r="B23" s="30"/>
      <c r="C23" s="31"/>
      <c r="D23" s="31"/>
      <c r="E23" s="74">
        <f t="shared" si="3"/>
        <v>0</v>
      </c>
      <c r="F23" s="31"/>
      <c r="G23" s="74">
        <f t="shared" si="4"/>
        <v>0</v>
      </c>
      <c r="H23" s="74">
        <f t="shared" si="5"/>
        <v>0</v>
      </c>
    </row>
    <row r="24" spans="1:9" ht="19.5" customHeight="1" x14ac:dyDescent="0.25">
      <c r="A24" s="30"/>
      <c r="B24" s="30"/>
      <c r="C24" s="31"/>
      <c r="D24" s="31"/>
      <c r="E24" s="74">
        <f t="shared" si="3"/>
        <v>0</v>
      </c>
      <c r="F24" s="31"/>
      <c r="G24" s="74">
        <f t="shared" si="4"/>
        <v>0</v>
      </c>
      <c r="H24" s="74">
        <f t="shared" si="5"/>
        <v>0</v>
      </c>
    </row>
    <row r="25" spans="1:9" ht="19.5" customHeight="1" x14ac:dyDescent="0.25">
      <c r="A25" s="30"/>
      <c r="B25" s="30"/>
      <c r="C25" s="31"/>
      <c r="D25" s="31"/>
      <c r="E25" s="74">
        <f t="shared" si="3"/>
        <v>0</v>
      </c>
      <c r="F25" s="31"/>
      <c r="G25" s="74">
        <f t="shared" si="4"/>
        <v>0</v>
      </c>
      <c r="H25" s="74">
        <f t="shared" si="5"/>
        <v>0</v>
      </c>
    </row>
    <row r="26" spans="1:9" ht="19.5" customHeight="1" x14ac:dyDescent="0.25">
      <c r="A26" s="30"/>
      <c r="B26" s="30"/>
      <c r="C26" s="31"/>
      <c r="D26" s="31"/>
      <c r="E26" s="74">
        <f t="shared" si="3"/>
        <v>0</v>
      </c>
      <c r="F26" s="31"/>
      <c r="G26" s="74">
        <f t="shared" si="4"/>
        <v>0</v>
      </c>
      <c r="H26" s="74">
        <f t="shared" si="5"/>
        <v>0</v>
      </c>
    </row>
    <row r="27" spans="1:9" ht="19.5" customHeight="1" x14ac:dyDescent="0.25">
      <c r="A27" s="30"/>
      <c r="B27" s="30"/>
      <c r="C27" s="31"/>
      <c r="D27" s="31"/>
      <c r="E27" s="74">
        <f t="shared" si="3"/>
        <v>0</v>
      </c>
      <c r="F27" s="31"/>
      <c r="G27" s="74">
        <f t="shared" si="4"/>
        <v>0</v>
      </c>
      <c r="H27" s="74">
        <f t="shared" si="5"/>
        <v>0</v>
      </c>
    </row>
    <row r="28" spans="1:9" ht="19.5" customHeight="1" x14ac:dyDescent="0.25">
      <c r="A28" s="30"/>
      <c r="B28" s="30"/>
      <c r="C28" s="31"/>
      <c r="D28" s="31"/>
      <c r="E28" s="74">
        <f t="shared" si="3"/>
        <v>0</v>
      </c>
      <c r="F28" s="31"/>
      <c r="G28" s="74">
        <f t="shared" si="4"/>
        <v>0</v>
      </c>
      <c r="H28" s="74">
        <f t="shared" si="5"/>
        <v>0</v>
      </c>
    </row>
    <row r="29" spans="1:9" ht="19.5" customHeight="1" x14ac:dyDescent="0.25">
      <c r="A29" s="30"/>
      <c r="B29" s="30"/>
      <c r="C29" s="31"/>
      <c r="D29" s="31"/>
      <c r="E29" s="74">
        <f t="shared" si="3"/>
        <v>0</v>
      </c>
      <c r="F29" s="31"/>
      <c r="G29" s="74">
        <f t="shared" si="4"/>
        <v>0</v>
      </c>
      <c r="H29" s="74">
        <f t="shared" si="5"/>
        <v>0</v>
      </c>
    </row>
    <row r="30" spans="1:9" ht="19.5" customHeight="1" x14ac:dyDescent="0.25">
      <c r="A30" s="30"/>
      <c r="B30" s="30"/>
      <c r="C30" s="31"/>
      <c r="D30" s="31"/>
      <c r="E30" s="74">
        <f t="shared" si="3"/>
        <v>0</v>
      </c>
      <c r="F30" s="31"/>
      <c r="G30" s="74">
        <f t="shared" si="4"/>
        <v>0</v>
      </c>
      <c r="H30" s="74">
        <f t="shared" si="5"/>
        <v>0</v>
      </c>
    </row>
    <row r="31" spans="1:9" ht="19.5" customHeight="1" x14ac:dyDescent="0.25">
      <c r="A31" s="30"/>
      <c r="B31" s="30"/>
      <c r="C31" s="31"/>
      <c r="D31" s="31"/>
      <c r="E31" s="74">
        <f t="shared" ref="E31" si="6">B31*D31</f>
        <v>0</v>
      </c>
      <c r="F31" s="31"/>
      <c r="G31" s="74">
        <f t="shared" ref="G31" si="7">B31*F31</f>
        <v>0</v>
      </c>
      <c r="H31" s="74">
        <f t="shared" ref="H31" si="8">E31+G31</f>
        <v>0</v>
      </c>
    </row>
    <row r="32" spans="1:9" ht="19.5" customHeight="1" x14ac:dyDescent="0.3">
      <c r="A32" s="29" t="s">
        <v>127</v>
      </c>
      <c r="B32" s="30"/>
      <c r="C32" s="31"/>
      <c r="D32" s="31"/>
      <c r="E32" s="74">
        <f>SUM(E14:E31)</f>
        <v>0</v>
      </c>
      <c r="F32" s="31"/>
      <c r="G32" s="74">
        <f>SUM(G14:G31)</f>
        <v>0</v>
      </c>
      <c r="H32" s="31"/>
      <c r="I32" s="10"/>
    </row>
    <row r="33" spans="1:9" ht="19.5" customHeight="1" x14ac:dyDescent="0.3">
      <c r="A33" s="29" t="s">
        <v>104</v>
      </c>
      <c r="B33" s="30"/>
      <c r="C33" s="31"/>
      <c r="D33" s="31"/>
      <c r="E33" s="41"/>
      <c r="F33" s="31"/>
      <c r="G33" s="41"/>
      <c r="H33" s="94">
        <f>SUM(H14:H31)</f>
        <v>0</v>
      </c>
    </row>
    <row r="34" spans="1:9" ht="19.5" customHeight="1" x14ac:dyDescent="0.3">
      <c r="A34" s="29" t="s">
        <v>128</v>
      </c>
      <c r="B34" s="30"/>
      <c r="C34" s="31"/>
      <c r="D34" s="31"/>
      <c r="E34" s="31"/>
      <c r="F34" s="31"/>
      <c r="G34" s="95">
        <f>Summary!G20</f>
        <v>0</v>
      </c>
      <c r="H34" s="74">
        <f>SUM(H33*G34)</f>
        <v>0</v>
      </c>
    </row>
    <row r="35" spans="1:9" ht="19.5" customHeight="1" x14ac:dyDescent="0.3">
      <c r="A35" s="29" t="s">
        <v>129</v>
      </c>
      <c r="B35" s="30"/>
      <c r="C35" s="31"/>
      <c r="D35" s="31"/>
      <c r="E35" s="31"/>
      <c r="F35" s="31"/>
      <c r="G35" s="95">
        <f>Summary!G21</f>
        <v>0</v>
      </c>
      <c r="H35" s="74">
        <f>SUM(H33+H34)*G35</f>
        <v>0</v>
      </c>
    </row>
    <row r="36" spans="1:9" ht="19.5" customHeight="1" x14ac:dyDescent="0.3">
      <c r="A36" s="29" t="s">
        <v>130</v>
      </c>
      <c r="B36" s="30"/>
      <c r="C36" s="31"/>
      <c r="D36" s="31"/>
      <c r="E36" s="31"/>
      <c r="F36" s="31"/>
      <c r="G36" s="95">
        <f>Summary!G22</f>
        <v>0</v>
      </c>
      <c r="H36" s="74">
        <f>G36*G32</f>
        <v>0</v>
      </c>
    </row>
    <row r="37" spans="1:9" ht="19.5" customHeight="1" thickBot="1" x14ac:dyDescent="0.35">
      <c r="A37" s="34" t="s">
        <v>124</v>
      </c>
      <c r="B37" s="32"/>
      <c r="C37" s="33"/>
      <c r="D37" s="33"/>
      <c r="E37" s="33"/>
      <c r="F37" s="33"/>
      <c r="G37" s="33"/>
      <c r="H37" s="75">
        <f>SUM(H33:H36)</f>
        <v>0</v>
      </c>
    </row>
    <row r="38" spans="1:9" ht="12.75" customHeight="1" thickTop="1" x14ac:dyDescent="0.25">
      <c r="A38" s="35"/>
      <c r="B38" s="35"/>
      <c r="C38" s="36"/>
      <c r="D38" s="36"/>
      <c r="E38" s="36"/>
      <c r="F38" s="36"/>
      <c r="G38" s="36"/>
      <c r="H38" s="36"/>
      <c r="I38" s="35"/>
    </row>
    <row r="39" spans="1:9" ht="12.75" customHeight="1" x14ac:dyDescent="0.25">
      <c r="A39" s="35"/>
      <c r="B39" s="35"/>
      <c r="C39" s="36"/>
      <c r="D39" s="36"/>
      <c r="E39" s="36"/>
      <c r="F39" s="36"/>
      <c r="G39" s="36"/>
      <c r="H39" s="36"/>
      <c r="I39" s="35"/>
    </row>
    <row r="40" spans="1:9" ht="12.75" customHeight="1" x14ac:dyDescent="0.25">
      <c r="A40" s="35"/>
      <c r="B40" s="35"/>
      <c r="C40" s="36"/>
      <c r="D40" s="36"/>
      <c r="E40" s="36"/>
      <c r="F40" s="36"/>
      <c r="G40" s="36"/>
      <c r="H40" s="36"/>
      <c r="I40" s="35"/>
    </row>
    <row r="41" spans="1:9" ht="12.75" customHeight="1" x14ac:dyDescent="0.25">
      <c r="A41" s="35"/>
      <c r="B41" s="35"/>
      <c r="C41" s="36"/>
      <c r="D41" s="36"/>
      <c r="E41" s="36"/>
      <c r="F41" s="36"/>
      <c r="G41" s="36"/>
      <c r="H41" s="36"/>
      <c r="I41" s="35"/>
    </row>
    <row r="42" spans="1:9" ht="12.75" customHeight="1" x14ac:dyDescent="0.25">
      <c r="A42" s="35"/>
      <c r="B42" s="35"/>
      <c r="C42" s="36"/>
      <c r="D42" s="36"/>
      <c r="E42" s="36"/>
      <c r="F42" s="36"/>
      <c r="G42" s="36"/>
      <c r="H42" s="36"/>
      <c r="I42" s="35"/>
    </row>
    <row r="43" spans="1:9" ht="12.75" customHeight="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20.149999999999999" customHeight="1" x14ac:dyDescent="0.25">
      <c r="A67" s="35"/>
      <c r="B67" s="35"/>
      <c r="C67" s="36"/>
      <c r="D67" s="36"/>
      <c r="E67" s="36"/>
      <c r="F67" s="36"/>
      <c r="G67" s="36"/>
      <c r="H67" s="36"/>
      <c r="I67" s="35"/>
    </row>
    <row r="68" spans="1:9" ht="20.149999999999999"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12.5" x14ac:dyDescent="0.25">
      <c r="A118" s="35"/>
      <c r="B118" s="35"/>
      <c r="C118" s="36"/>
      <c r="D118" s="36"/>
      <c r="E118" s="36"/>
      <c r="F118" s="36"/>
      <c r="G118" s="36"/>
      <c r="H118" s="36"/>
      <c r="I118" s="35"/>
    </row>
    <row r="119" spans="1:9" ht="12.5"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sheetData>
  <mergeCells count="3">
    <mergeCell ref="A8:B8"/>
    <mergeCell ref="C8:E8"/>
    <mergeCell ref="A1:C2"/>
  </mergeCells>
  <printOptions horizontalCentered="1" verticalCentered="1" gridLinesSet="0"/>
  <pageMargins left="0.25" right="0.25" top="0.75" bottom="0.75" header="0.3" footer="0.3"/>
  <pageSetup scale="86" orientation="portrait" horizontalDpi="1200" verticalDpi="12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J228"/>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28.453125" style="6" bestFit="1" customWidth="1"/>
    <col min="2" max="2" width="5.7265625" style="6" customWidth="1"/>
    <col min="3" max="3" width="5.7265625" style="10" customWidth="1"/>
    <col min="4" max="8" width="12.7265625" style="10" customWidth="1"/>
    <col min="9" max="9" width="9.81640625" style="6" bestFit="1" customWidth="1"/>
    <col min="10" max="10" width="12" style="6" bestFit="1" customWidth="1"/>
    <col min="11"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Summary!B31</f>
        <v>ELECTRICAL</v>
      </c>
      <c r="B13" s="30"/>
      <c r="C13" s="31"/>
      <c r="D13" s="31"/>
      <c r="E13" s="31"/>
      <c r="F13" s="31"/>
      <c r="G13" s="31"/>
      <c r="H13" s="31"/>
    </row>
    <row r="14" spans="1:9" ht="19.5" customHeight="1" x14ac:dyDescent="0.3">
      <c r="A14" s="99"/>
      <c r="B14" s="39"/>
      <c r="C14" s="104"/>
      <c r="D14" s="40"/>
      <c r="E14" s="74">
        <f>B14*D14</f>
        <v>0</v>
      </c>
      <c r="F14" s="40"/>
      <c r="G14" s="74">
        <f>B14*F14</f>
        <v>0</v>
      </c>
      <c r="H14" s="74">
        <f>E14+G14</f>
        <v>0</v>
      </c>
    </row>
    <row r="15" spans="1:9" ht="19.5" customHeight="1" x14ac:dyDescent="0.25">
      <c r="A15" s="30"/>
      <c r="B15" s="30"/>
      <c r="C15" s="47"/>
      <c r="D15" s="31"/>
      <c r="E15" s="74">
        <f t="shared" ref="E15:E50" si="0">B15*D15</f>
        <v>0</v>
      </c>
      <c r="F15" s="31"/>
      <c r="G15" s="74">
        <f>B15*F15</f>
        <v>0</v>
      </c>
      <c r="H15" s="74">
        <f>E15+G15</f>
        <v>0</v>
      </c>
    </row>
    <row r="16" spans="1:9" ht="19.5" customHeight="1" x14ac:dyDescent="0.25">
      <c r="A16" s="30"/>
      <c r="B16" s="30"/>
      <c r="C16" s="47"/>
      <c r="D16" s="31"/>
      <c r="E16" s="74">
        <f t="shared" si="0"/>
        <v>0</v>
      </c>
      <c r="F16" s="31"/>
      <c r="G16" s="74">
        <f>B16*F16</f>
        <v>0</v>
      </c>
      <c r="H16" s="74">
        <f>E16+G16</f>
        <v>0</v>
      </c>
    </row>
    <row r="17" spans="1:8" ht="19.5" customHeight="1" x14ac:dyDescent="0.25">
      <c r="A17" s="30"/>
      <c r="B17" s="30"/>
      <c r="C17" s="104"/>
      <c r="D17" s="31"/>
      <c r="E17" s="74">
        <f t="shared" si="0"/>
        <v>0</v>
      </c>
      <c r="F17" s="31"/>
      <c r="G17" s="74">
        <f t="shared" ref="G17:G20" si="1">B17*F17</f>
        <v>0</v>
      </c>
      <c r="H17" s="74">
        <f t="shared" ref="H17:H20" si="2">E17+G17</f>
        <v>0</v>
      </c>
    </row>
    <row r="18" spans="1:8" ht="19.5" customHeight="1" x14ac:dyDescent="0.25">
      <c r="A18" s="30"/>
      <c r="B18" s="30"/>
      <c r="C18" s="47"/>
      <c r="D18" s="31"/>
      <c r="E18" s="74">
        <f t="shared" si="0"/>
        <v>0</v>
      </c>
      <c r="F18" s="31"/>
      <c r="G18" s="74">
        <f t="shared" si="1"/>
        <v>0</v>
      </c>
      <c r="H18" s="74">
        <f t="shared" si="2"/>
        <v>0</v>
      </c>
    </row>
    <row r="19" spans="1:8" ht="19.5" customHeight="1" x14ac:dyDescent="0.25">
      <c r="A19" s="30"/>
      <c r="B19" s="30"/>
      <c r="C19" s="47"/>
      <c r="D19" s="31"/>
      <c r="E19" s="74">
        <f t="shared" si="0"/>
        <v>0</v>
      </c>
      <c r="F19" s="31"/>
      <c r="G19" s="74">
        <f t="shared" si="1"/>
        <v>0</v>
      </c>
      <c r="H19" s="74">
        <f t="shared" si="2"/>
        <v>0</v>
      </c>
    </row>
    <row r="20" spans="1:8" ht="19.5" customHeight="1" x14ac:dyDescent="0.25">
      <c r="A20" s="30"/>
      <c r="B20" s="30"/>
      <c r="C20" s="104"/>
      <c r="D20" s="31"/>
      <c r="E20" s="74">
        <f t="shared" si="0"/>
        <v>0</v>
      </c>
      <c r="F20" s="31"/>
      <c r="G20" s="74">
        <f t="shared" si="1"/>
        <v>0</v>
      </c>
      <c r="H20" s="74">
        <f t="shared" si="2"/>
        <v>0</v>
      </c>
    </row>
    <row r="21" spans="1:8" ht="19.5" customHeight="1" x14ac:dyDescent="0.25">
      <c r="A21" s="30"/>
      <c r="B21" s="30"/>
      <c r="C21" s="47"/>
      <c r="D21" s="31"/>
      <c r="E21" s="74">
        <f t="shared" si="0"/>
        <v>0</v>
      </c>
      <c r="F21" s="31"/>
      <c r="G21" s="74">
        <f>B21*F21</f>
        <v>0</v>
      </c>
      <c r="H21" s="74">
        <f>E21+G21</f>
        <v>0</v>
      </c>
    </row>
    <row r="22" spans="1:8" ht="19.5" customHeight="1" x14ac:dyDescent="0.25">
      <c r="A22" s="30"/>
      <c r="B22" s="30"/>
      <c r="C22" s="47"/>
      <c r="D22" s="31"/>
      <c r="E22" s="74">
        <f t="shared" si="0"/>
        <v>0</v>
      </c>
      <c r="F22" s="31"/>
      <c r="G22" s="74">
        <f>B22*F22</f>
        <v>0</v>
      </c>
      <c r="H22" s="74">
        <f>E22+G22</f>
        <v>0</v>
      </c>
    </row>
    <row r="23" spans="1:8" ht="19.5" customHeight="1" x14ac:dyDescent="0.25">
      <c r="A23" s="30"/>
      <c r="B23" s="30"/>
      <c r="C23" s="104"/>
      <c r="D23" s="31"/>
      <c r="E23" s="74">
        <f t="shared" si="0"/>
        <v>0</v>
      </c>
      <c r="F23" s="31"/>
      <c r="G23" s="74">
        <f>B23*F23</f>
        <v>0</v>
      </c>
      <c r="H23" s="74">
        <f>E23+G23</f>
        <v>0</v>
      </c>
    </row>
    <row r="24" spans="1:8" ht="19.5" customHeight="1" x14ac:dyDescent="0.25">
      <c r="A24" s="30"/>
      <c r="B24" s="30"/>
      <c r="C24" s="47"/>
      <c r="D24" s="31"/>
      <c r="E24" s="74">
        <f t="shared" si="0"/>
        <v>0</v>
      </c>
      <c r="F24" s="31"/>
      <c r="G24" s="74">
        <f>B24*F24</f>
        <v>0</v>
      </c>
      <c r="H24" s="74">
        <f>E24+G24</f>
        <v>0</v>
      </c>
    </row>
    <row r="25" spans="1:8" ht="19.5" customHeight="1" x14ac:dyDescent="0.25">
      <c r="A25" s="30"/>
      <c r="B25" s="30"/>
      <c r="C25" s="47"/>
      <c r="D25" s="31"/>
      <c r="E25" s="74">
        <f t="shared" si="0"/>
        <v>0</v>
      </c>
      <c r="F25" s="31"/>
      <c r="G25" s="74">
        <f t="shared" ref="G25:G50" si="3">B25*F25</f>
        <v>0</v>
      </c>
      <c r="H25" s="74">
        <f t="shared" ref="H25:H50" si="4">E25+G25</f>
        <v>0</v>
      </c>
    </row>
    <row r="26" spans="1:8" ht="19.5" customHeight="1" x14ac:dyDescent="0.25">
      <c r="A26" s="30"/>
      <c r="B26" s="30"/>
      <c r="C26" s="104"/>
      <c r="D26" s="31"/>
      <c r="E26" s="74">
        <f t="shared" si="0"/>
        <v>0</v>
      </c>
      <c r="F26" s="31"/>
      <c r="G26" s="74">
        <f t="shared" si="3"/>
        <v>0</v>
      </c>
      <c r="H26" s="74">
        <f t="shared" si="4"/>
        <v>0</v>
      </c>
    </row>
    <row r="27" spans="1:8" ht="19.5" customHeight="1" x14ac:dyDescent="0.25">
      <c r="A27" s="30"/>
      <c r="B27" s="30"/>
      <c r="C27" s="47"/>
      <c r="D27" s="31"/>
      <c r="E27" s="74">
        <f t="shared" si="0"/>
        <v>0</v>
      </c>
      <c r="F27" s="31"/>
      <c r="G27" s="74">
        <f t="shared" si="3"/>
        <v>0</v>
      </c>
      <c r="H27" s="74">
        <f t="shared" si="4"/>
        <v>0</v>
      </c>
    </row>
    <row r="28" spans="1:8" ht="19.5" customHeight="1" x14ac:dyDescent="0.25">
      <c r="A28" s="30"/>
      <c r="B28" s="30"/>
      <c r="C28" s="47"/>
      <c r="D28" s="31"/>
      <c r="E28" s="74">
        <f t="shared" si="0"/>
        <v>0</v>
      </c>
      <c r="F28" s="31"/>
      <c r="G28" s="74">
        <f t="shared" si="3"/>
        <v>0</v>
      </c>
      <c r="H28" s="74">
        <f t="shared" si="4"/>
        <v>0</v>
      </c>
    </row>
    <row r="29" spans="1:8" ht="19.5" customHeight="1" x14ac:dyDescent="0.25">
      <c r="A29" s="30"/>
      <c r="B29" s="30"/>
      <c r="C29" s="104"/>
      <c r="D29" s="31"/>
      <c r="E29" s="74">
        <f t="shared" si="0"/>
        <v>0</v>
      </c>
      <c r="F29" s="31"/>
      <c r="G29" s="74">
        <f t="shared" si="3"/>
        <v>0</v>
      </c>
      <c r="H29" s="74">
        <f t="shared" si="4"/>
        <v>0</v>
      </c>
    </row>
    <row r="30" spans="1:8" ht="19.5" customHeight="1" x14ac:dyDescent="0.25">
      <c r="A30" s="30"/>
      <c r="B30" s="30"/>
      <c r="C30" s="47"/>
      <c r="D30" s="31"/>
      <c r="E30" s="74">
        <f t="shared" si="0"/>
        <v>0</v>
      </c>
      <c r="F30" s="31"/>
      <c r="G30" s="74">
        <f t="shared" si="3"/>
        <v>0</v>
      </c>
      <c r="H30" s="74">
        <f t="shared" si="4"/>
        <v>0</v>
      </c>
    </row>
    <row r="31" spans="1:8" ht="19.5" customHeight="1" x14ac:dyDescent="0.25">
      <c r="A31" s="30"/>
      <c r="B31" s="30"/>
      <c r="C31" s="47"/>
      <c r="D31" s="31"/>
      <c r="E31" s="74">
        <f t="shared" si="0"/>
        <v>0</v>
      </c>
      <c r="F31" s="31"/>
      <c r="G31" s="74">
        <f t="shared" si="3"/>
        <v>0</v>
      </c>
      <c r="H31" s="74">
        <f t="shared" si="4"/>
        <v>0</v>
      </c>
    </row>
    <row r="32" spans="1:8" ht="19.5" customHeight="1" x14ac:dyDescent="0.25">
      <c r="A32" s="30"/>
      <c r="B32" s="30"/>
      <c r="C32" s="104"/>
      <c r="D32" s="31"/>
      <c r="E32" s="74">
        <f t="shared" si="0"/>
        <v>0</v>
      </c>
      <c r="F32" s="31"/>
      <c r="G32" s="74">
        <f t="shared" si="3"/>
        <v>0</v>
      </c>
      <c r="H32" s="74">
        <f t="shared" si="4"/>
        <v>0</v>
      </c>
    </row>
    <row r="33" spans="1:8" ht="19.5" customHeight="1" x14ac:dyDescent="0.25">
      <c r="A33" s="30"/>
      <c r="B33" s="30"/>
      <c r="C33" s="47"/>
      <c r="D33" s="31"/>
      <c r="E33" s="74">
        <f t="shared" si="0"/>
        <v>0</v>
      </c>
      <c r="F33" s="31"/>
      <c r="G33" s="74">
        <f t="shared" si="3"/>
        <v>0</v>
      </c>
      <c r="H33" s="74">
        <f t="shared" si="4"/>
        <v>0</v>
      </c>
    </row>
    <row r="34" spans="1:8" ht="19.5" customHeight="1" x14ac:dyDescent="0.25">
      <c r="A34" s="30"/>
      <c r="B34" s="30"/>
      <c r="C34" s="47"/>
      <c r="D34" s="31"/>
      <c r="E34" s="74">
        <f t="shared" si="0"/>
        <v>0</v>
      </c>
      <c r="F34" s="31"/>
      <c r="G34" s="74">
        <f t="shared" si="3"/>
        <v>0</v>
      </c>
      <c r="H34" s="74">
        <f t="shared" si="4"/>
        <v>0</v>
      </c>
    </row>
    <row r="35" spans="1:8" ht="19.5" customHeight="1" x14ac:dyDescent="0.25">
      <c r="A35" s="30"/>
      <c r="B35" s="30"/>
      <c r="C35" s="47"/>
      <c r="D35" s="31"/>
      <c r="E35" s="74">
        <f t="shared" si="0"/>
        <v>0</v>
      </c>
      <c r="F35" s="31"/>
      <c r="G35" s="74">
        <f t="shared" si="3"/>
        <v>0</v>
      </c>
      <c r="H35" s="74">
        <f t="shared" si="4"/>
        <v>0</v>
      </c>
    </row>
    <row r="36" spans="1:8" ht="19.5" customHeight="1" x14ac:dyDescent="0.25">
      <c r="A36" s="30"/>
      <c r="B36" s="30"/>
      <c r="C36" s="47"/>
      <c r="D36" s="31"/>
      <c r="E36" s="74">
        <f t="shared" si="0"/>
        <v>0</v>
      </c>
      <c r="F36" s="31"/>
      <c r="G36" s="74">
        <f t="shared" si="3"/>
        <v>0</v>
      </c>
      <c r="H36" s="74">
        <f t="shared" si="4"/>
        <v>0</v>
      </c>
    </row>
    <row r="37" spans="1:8" ht="19.5" customHeight="1" x14ac:dyDescent="0.25">
      <c r="A37" s="30"/>
      <c r="B37" s="30"/>
      <c r="C37" s="47"/>
      <c r="D37" s="31"/>
      <c r="E37" s="74">
        <f t="shared" si="0"/>
        <v>0</v>
      </c>
      <c r="F37" s="31"/>
      <c r="G37" s="74">
        <f t="shared" si="3"/>
        <v>0</v>
      </c>
      <c r="H37" s="74">
        <f t="shared" si="4"/>
        <v>0</v>
      </c>
    </row>
    <row r="38" spans="1:8" ht="19.5" customHeight="1" x14ac:dyDescent="0.25">
      <c r="A38" s="30"/>
      <c r="B38" s="30"/>
      <c r="C38" s="47"/>
      <c r="D38" s="31"/>
      <c r="E38" s="74">
        <f t="shared" si="0"/>
        <v>0</v>
      </c>
      <c r="F38" s="31"/>
      <c r="G38" s="74">
        <f t="shared" si="3"/>
        <v>0</v>
      </c>
      <c r="H38" s="74">
        <f t="shared" si="4"/>
        <v>0</v>
      </c>
    </row>
    <row r="39" spans="1:8" ht="19.5" customHeight="1" x14ac:dyDescent="0.25">
      <c r="A39" s="30"/>
      <c r="B39" s="30"/>
      <c r="C39" s="47"/>
      <c r="D39" s="31"/>
      <c r="E39" s="74">
        <f t="shared" si="0"/>
        <v>0</v>
      </c>
      <c r="F39" s="31"/>
      <c r="G39" s="74">
        <f t="shared" si="3"/>
        <v>0</v>
      </c>
      <c r="H39" s="74">
        <f t="shared" si="4"/>
        <v>0</v>
      </c>
    </row>
    <row r="40" spans="1:8" ht="19.5" customHeight="1" x14ac:dyDescent="0.3">
      <c r="A40" s="97"/>
      <c r="B40" s="30"/>
      <c r="C40" s="47"/>
      <c r="D40" s="31"/>
      <c r="E40" s="74">
        <f t="shared" si="0"/>
        <v>0</v>
      </c>
      <c r="F40" s="31"/>
      <c r="G40" s="74">
        <f t="shared" si="3"/>
        <v>0</v>
      </c>
      <c r="H40" s="74">
        <f t="shared" si="4"/>
        <v>0</v>
      </c>
    </row>
    <row r="41" spans="1:8" ht="19.5" customHeight="1" x14ac:dyDescent="0.25">
      <c r="A41" s="30"/>
      <c r="B41" s="30"/>
      <c r="C41" s="47"/>
      <c r="D41" s="31"/>
      <c r="E41" s="74">
        <f t="shared" si="0"/>
        <v>0</v>
      </c>
      <c r="F41" s="31"/>
      <c r="G41" s="74">
        <f t="shared" si="3"/>
        <v>0</v>
      </c>
      <c r="H41" s="74">
        <f t="shared" si="4"/>
        <v>0</v>
      </c>
    </row>
    <row r="42" spans="1:8" ht="19.5" customHeight="1" x14ac:dyDescent="0.25">
      <c r="A42" s="30"/>
      <c r="B42" s="30"/>
      <c r="C42" s="47"/>
      <c r="D42" s="31"/>
      <c r="E42" s="74">
        <f t="shared" si="0"/>
        <v>0</v>
      </c>
      <c r="F42" s="31"/>
      <c r="G42" s="74">
        <f t="shared" si="3"/>
        <v>0</v>
      </c>
      <c r="H42" s="74">
        <f t="shared" si="4"/>
        <v>0</v>
      </c>
    </row>
    <row r="43" spans="1:8" ht="19.5" customHeight="1" x14ac:dyDescent="0.3">
      <c r="A43" s="97"/>
      <c r="B43" s="30"/>
      <c r="C43" s="47"/>
      <c r="D43" s="31"/>
      <c r="E43" s="74">
        <f t="shared" si="0"/>
        <v>0</v>
      </c>
      <c r="F43" s="31"/>
      <c r="G43" s="74">
        <f t="shared" si="3"/>
        <v>0</v>
      </c>
      <c r="H43" s="74">
        <f t="shared" si="4"/>
        <v>0</v>
      </c>
    </row>
    <row r="44" spans="1:8" ht="19.5" customHeight="1" x14ac:dyDescent="0.25">
      <c r="A44" s="30"/>
      <c r="B44" s="30"/>
      <c r="C44" s="47"/>
      <c r="D44" s="31"/>
      <c r="E44" s="74">
        <f t="shared" si="0"/>
        <v>0</v>
      </c>
      <c r="F44" s="31"/>
      <c r="G44" s="74">
        <f t="shared" si="3"/>
        <v>0</v>
      </c>
      <c r="H44" s="74">
        <f t="shared" si="4"/>
        <v>0</v>
      </c>
    </row>
    <row r="45" spans="1:8" ht="19.5" customHeight="1" x14ac:dyDescent="0.25">
      <c r="A45" s="30"/>
      <c r="B45" s="30"/>
      <c r="C45" s="47"/>
      <c r="D45" s="31"/>
      <c r="E45" s="74">
        <f t="shared" si="0"/>
        <v>0</v>
      </c>
      <c r="F45" s="31"/>
      <c r="G45" s="74">
        <f t="shared" si="3"/>
        <v>0</v>
      </c>
      <c r="H45" s="74">
        <f t="shared" si="4"/>
        <v>0</v>
      </c>
    </row>
    <row r="46" spans="1:8" ht="19.5" customHeight="1" x14ac:dyDescent="0.25">
      <c r="A46" s="30"/>
      <c r="B46" s="30"/>
      <c r="C46" s="47"/>
      <c r="D46" s="31"/>
      <c r="E46" s="74">
        <f t="shared" si="0"/>
        <v>0</v>
      </c>
      <c r="F46" s="31"/>
      <c r="G46" s="74">
        <f t="shared" si="3"/>
        <v>0</v>
      </c>
      <c r="H46" s="74">
        <f t="shared" si="4"/>
        <v>0</v>
      </c>
    </row>
    <row r="47" spans="1:8" ht="19.5" customHeight="1" x14ac:dyDescent="0.25">
      <c r="A47" s="30"/>
      <c r="B47" s="30"/>
      <c r="C47" s="47"/>
      <c r="D47" s="31"/>
      <c r="E47" s="74">
        <f t="shared" si="0"/>
        <v>0</v>
      </c>
      <c r="F47" s="31"/>
      <c r="G47" s="74">
        <f t="shared" si="3"/>
        <v>0</v>
      </c>
      <c r="H47" s="74">
        <f t="shared" si="4"/>
        <v>0</v>
      </c>
    </row>
    <row r="48" spans="1:8" ht="19.5" customHeight="1" x14ac:dyDescent="0.25">
      <c r="A48" s="30"/>
      <c r="B48" s="30"/>
      <c r="C48" s="47"/>
      <c r="D48" s="31"/>
      <c r="E48" s="74">
        <f t="shared" si="0"/>
        <v>0</v>
      </c>
      <c r="F48" s="31"/>
      <c r="G48" s="74">
        <f t="shared" si="3"/>
        <v>0</v>
      </c>
      <c r="H48" s="74">
        <f t="shared" si="4"/>
        <v>0</v>
      </c>
    </row>
    <row r="49" spans="1:10" ht="19.5" customHeight="1" x14ac:dyDescent="0.25">
      <c r="A49" s="30"/>
      <c r="B49" s="30"/>
      <c r="C49" s="47"/>
      <c r="D49" s="31"/>
      <c r="E49" s="74">
        <f t="shared" si="0"/>
        <v>0</v>
      </c>
      <c r="F49" s="31"/>
      <c r="G49" s="74">
        <f t="shared" si="3"/>
        <v>0</v>
      </c>
      <c r="H49" s="74">
        <f t="shared" si="4"/>
        <v>0</v>
      </c>
    </row>
    <row r="50" spans="1:10" ht="19.5" customHeight="1" x14ac:dyDescent="0.25">
      <c r="A50" s="30"/>
      <c r="B50" s="30"/>
      <c r="C50" s="31"/>
      <c r="D50" s="31"/>
      <c r="E50" s="74">
        <f t="shared" si="0"/>
        <v>0</v>
      </c>
      <c r="F50" s="31"/>
      <c r="G50" s="74">
        <f t="shared" si="3"/>
        <v>0</v>
      </c>
      <c r="H50" s="74">
        <f t="shared" si="4"/>
        <v>0</v>
      </c>
    </row>
    <row r="51" spans="1:10" ht="19.5" customHeight="1" x14ac:dyDescent="0.3">
      <c r="A51" s="29" t="s">
        <v>127</v>
      </c>
      <c r="B51" s="30"/>
      <c r="C51" s="31"/>
      <c r="D51" s="31"/>
      <c r="E51" s="74">
        <f>SUM(E14:E36)</f>
        <v>0</v>
      </c>
      <c r="F51" s="31"/>
      <c r="G51" s="74">
        <f>SUM(G14:G36)</f>
        <v>0</v>
      </c>
      <c r="H51" s="45"/>
      <c r="I51" s="10"/>
      <c r="J51" s="10"/>
    </row>
    <row r="52" spans="1:10" ht="19.5" customHeight="1" x14ac:dyDescent="0.3">
      <c r="A52" s="29" t="s">
        <v>104</v>
      </c>
      <c r="B52" s="30"/>
      <c r="C52" s="31"/>
      <c r="D52" s="31"/>
      <c r="E52" s="41"/>
      <c r="F52" s="31"/>
      <c r="G52" s="41"/>
      <c r="H52" s="74">
        <f>SUM(E51:G51)</f>
        <v>0</v>
      </c>
      <c r="J52" s="10"/>
    </row>
    <row r="53" spans="1:10" ht="19.5" customHeight="1" x14ac:dyDescent="0.3">
      <c r="A53" s="29" t="s">
        <v>128</v>
      </c>
      <c r="B53" s="30"/>
      <c r="C53" s="31"/>
      <c r="D53" s="31"/>
      <c r="E53" s="31"/>
      <c r="F53" s="31"/>
      <c r="G53" s="95">
        <f>Summary!G20</f>
        <v>0</v>
      </c>
      <c r="H53" s="74">
        <f>SUM(H52*G53)</f>
        <v>0</v>
      </c>
    </row>
    <row r="54" spans="1:10" ht="19.5" customHeight="1" x14ac:dyDescent="0.3">
      <c r="A54" s="29" t="s">
        <v>129</v>
      </c>
      <c r="B54" s="30"/>
      <c r="C54" s="31"/>
      <c r="D54" s="31"/>
      <c r="E54" s="31"/>
      <c r="F54" s="31"/>
      <c r="G54" s="95">
        <f>Summary!G21</f>
        <v>0</v>
      </c>
      <c r="H54" s="74">
        <f>SUM(H52+H53)*G54</f>
        <v>0</v>
      </c>
      <c r="J54" s="10"/>
    </row>
    <row r="55" spans="1:10" ht="19.5" customHeight="1" x14ac:dyDescent="0.3">
      <c r="A55" s="29" t="s">
        <v>130</v>
      </c>
      <c r="B55" s="30"/>
      <c r="C55" s="31"/>
      <c r="D55" s="31"/>
      <c r="E55" s="31"/>
      <c r="F55" s="31"/>
      <c r="G55" s="95">
        <f>Summary!G22</f>
        <v>0</v>
      </c>
      <c r="H55" s="74">
        <f>SUM(G51*G55)</f>
        <v>0</v>
      </c>
      <c r="J55" s="10"/>
    </row>
    <row r="56" spans="1:10" ht="19.5" customHeight="1" thickBot="1" x14ac:dyDescent="0.35">
      <c r="A56" s="34" t="s">
        <v>124</v>
      </c>
      <c r="B56" s="32"/>
      <c r="C56" s="33"/>
      <c r="D56" s="33"/>
      <c r="E56" s="33"/>
      <c r="F56" s="33"/>
      <c r="G56" s="66"/>
      <c r="H56" s="75">
        <f>SUM(H52:H55)</f>
        <v>0</v>
      </c>
      <c r="J56" s="10"/>
    </row>
    <row r="57" spans="1:10" ht="19.5" customHeight="1" thickTop="1" x14ac:dyDescent="0.25">
      <c r="A57" s="35"/>
      <c r="B57" s="35"/>
      <c r="C57" s="36"/>
      <c r="D57" s="36"/>
      <c r="E57" s="36"/>
      <c r="F57" s="36"/>
      <c r="G57" s="36"/>
      <c r="H57" s="36"/>
      <c r="J57" s="10"/>
    </row>
    <row r="58" spans="1:10" ht="19.5" customHeight="1" x14ac:dyDescent="0.25">
      <c r="A58" s="35"/>
      <c r="B58" s="35"/>
      <c r="C58" s="36"/>
      <c r="D58" s="36"/>
      <c r="E58" s="36"/>
      <c r="F58" s="36"/>
      <c r="G58" s="36"/>
      <c r="H58" s="36"/>
    </row>
    <row r="59" spans="1:10" ht="19.5" customHeight="1" x14ac:dyDescent="0.25">
      <c r="A59" s="35"/>
      <c r="B59" s="35"/>
      <c r="C59" s="36"/>
      <c r="D59" s="36"/>
      <c r="E59" s="36"/>
      <c r="F59" s="36"/>
      <c r="G59" s="36"/>
      <c r="H59" s="36"/>
    </row>
    <row r="60" spans="1:10" ht="19.5" customHeight="1" x14ac:dyDescent="0.25">
      <c r="A60" s="35"/>
      <c r="B60" s="35"/>
      <c r="C60" s="36"/>
      <c r="D60" s="36"/>
      <c r="E60" s="36"/>
      <c r="F60" s="36"/>
      <c r="G60" s="36"/>
      <c r="H60" s="36"/>
    </row>
    <row r="61" spans="1:10" ht="19.5" customHeight="1" x14ac:dyDescent="0.25">
      <c r="A61" s="35"/>
      <c r="B61" s="35"/>
      <c r="C61" s="36"/>
      <c r="D61" s="36"/>
      <c r="E61" s="36"/>
      <c r="F61" s="36"/>
      <c r="G61" s="36"/>
      <c r="H61" s="36"/>
    </row>
    <row r="62" spans="1:10" ht="19.5" customHeight="1" x14ac:dyDescent="0.25">
      <c r="A62" s="35"/>
      <c r="B62" s="35"/>
      <c r="C62" s="36"/>
      <c r="D62" s="36"/>
      <c r="E62" s="36"/>
      <c r="F62" s="36"/>
      <c r="G62" s="36"/>
      <c r="H62" s="36"/>
      <c r="I62" s="35"/>
    </row>
    <row r="63" spans="1:10" ht="12.75" customHeight="1" x14ac:dyDescent="0.25">
      <c r="A63" s="35"/>
      <c r="B63" s="35"/>
      <c r="C63" s="36"/>
      <c r="D63" s="36"/>
      <c r="E63" s="36"/>
      <c r="F63" s="36"/>
      <c r="G63" s="36"/>
      <c r="H63" s="36"/>
      <c r="I63" s="35"/>
    </row>
    <row r="64" spans="1:10"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12.75" customHeight="1" x14ac:dyDescent="0.25">
      <c r="A73" s="35"/>
      <c r="B73" s="35"/>
      <c r="C73" s="36"/>
      <c r="D73" s="36"/>
      <c r="E73" s="36"/>
      <c r="F73" s="36"/>
      <c r="G73" s="36"/>
      <c r="H73" s="36"/>
      <c r="I73" s="35"/>
    </row>
    <row r="74" spans="1:9" ht="12.75" customHeight="1" x14ac:dyDescent="0.25">
      <c r="A74" s="35"/>
      <c r="B74" s="35"/>
      <c r="C74" s="36"/>
      <c r="D74" s="36"/>
      <c r="E74" s="36"/>
      <c r="F74" s="36"/>
      <c r="G74" s="36"/>
      <c r="H74" s="36"/>
      <c r="I74" s="35"/>
    </row>
    <row r="75" spans="1:9" ht="12.75" customHeight="1" x14ac:dyDescent="0.25">
      <c r="A75" s="35"/>
      <c r="B75" s="35"/>
      <c r="C75" s="36"/>
      <c r="D75" s="36"/>
      <c r="E75" s="36"/>
      <c r="F75" s="36"/>
      <c r="G75" s="36"/>
      <c r="H75" s="36"/>
      <c r="I75" s="35"/>
    </row>
    <row r="76" spans="1:9" ht="12.75" customHeight="1" x14ac:dyDescent="0.25">
      <c r="A76" s="35"/>
      <c r="B76" s="35"/>
      <c r="C76" s="36"/>
      <c r="D76" s="36"/>
      <c r="E76" s="36"/>
      <c r="F76" s="36"/>
      <c r="G76" s="36"/>
      <c r="H76" s="36"/>
      <c r="I76" s="35"/>
    </row>
    <row r="77" spans="1:9" ht="12.75" customHeight="1" x14ac:dyDescent="0.25">
      <c r="A77" s="35"/>
      <c r="B77" s="35"/>
      <c r="C77" s="36"/>
      <c r="D77" s="36"/>
      <c r="E77" s="36"/>
      <c r="F77" s="36"/>
      <c r="G77" s="36"/>
      <c r="H77" s="36"/>
      <c r="I77" s="35"/>
    </row>
    <row r="78" spans="1:9" ht="12.75" customHeight="1" x14ac:dyDescent="0.25">
      <c r="A78" s="35"/>
      <c r="B78" s="35"/>
      <c r="C78" s="36"/>
      <c r="D78" s="36"/>
      <c r="E78" s="36"/>
      <c r="F78" s="36"/>
      <c r="G78" s="36"/>
      <c r="H78" s="36"/>
      <c r="I78" s="35"/>
    </row>
    <row r="79" spans="1:9" ht="12.75" customHeight="1" x14ac:dyDescent="0.25">
      <c r="A79" s="35"/>
      <c r="B79" s="35"/>
      <c r="C79" s="36"/>
      <c r="D79" s="36"/>
      <c r="E79" s="36"/>
      <c r="F79" s="36"/>
      <c r="G79" s="36"/>
      <c r="H79" s="36"/>
      <c r="I79" s="35"/>
    </row>
    <row r="80" spans="1:9" ht="12.75" customHeight="1" x14ac:dyDescent="0.25">
      <c r="A80" s="35"/>
      <c r="B80" s="35"/>
      <c r="C80" s="36"/>
      <c r="D80" s="36"/>
      <c r="E80" s="36"/>
      <c r="F80" s="36"/>
      <c r="G80" s="36"/>
      <c r="H80" s="36"/>
      <c r="I80" s="35"/>
    </row>
    <row r="81" spans="1:9" ht="12.75" customHeight="1" x14ac:dyDescent="0.25">
      <c r="A81" s="35"/>
      <c r="B81" s="35"/>
      <c r="C81" s="36"/>
      <c r="D81" s="36"/>
      <c r="E81" s="36"/>
      <c r="F81" s="36"/>
      <c r="G81" s="36"/>
      <c r="H81" s="36"/>
      <c r="I81" s="35"/>
    </row>
    <row r="82" spans="1:9" ht="12.75" customHeight="1" x14ac:dyDescent="0.25">
      <c r="A82" s="35"/>
      <c r="B82" s="35"/>
      <c r="C82" s="36"/>
      <c r="D82" s="36"/>
      <c r="E82" s="36"/>
      <c r="F82" s="36"/>
      <c r="G82" s="36"/>
      <c r="H82" s="36"/>
      <c r="I82" s="35"/>
    </row>
    <row r="83" spans="1:9" ht="12.75" customHeight="1" x14ac:dyDescent="0.25">
      <c r="A83" s="35"/>
      <c r="B83" s="35"/>
      <c r="C83" s="36"/>
      <c r="D83" s="36"/>
      <c r="E83" s="36"/>
      <c r="F83" s="36"/>
      <c r="G83" s="36"/>
      <c r="H83" s="36"/>
      <c r="I83" s="35"/>
    </row>
    <row r="84" spans="1:9" ht="12.75" customHeight="1" x14ac:dyDescent="0.25">
      <c r="A84" s="35"/>
      <c r="B84" s="35"/>
      <c r="C84" s="36"/>
      <c r="D84" s="36"/>
      <c r="E84" s="36"/>
      <c r="F84" s="36"/>
      <c r="G84" s="36"/>
      <c r="H84" s="36"/>
      <c r="I84" s="35"/>
    </row>
    <row r="85" spans="1:9" ht="12.75" customHeight="1" x14ac:dyDescent="0.25">
      <c r="A85" s="35"/>
      <c r="B85" s="35"/>
      <c r="C85" s="36"/>
      <c r="D85" s="36"/>
      <c r="E85" s="36"/>
      <c r="F85" s="36"/>
      <c r="G85" s="36"/>
      <c r="H85" s="36"/>
      <c r="I85" s="35"/>
    </row>
    <row r="86" spans="1:9" ht="12.75" customHeight="1" x14ac:dyDescent="0.25">
      <c r="A86" s="35"/>
      <c r="B86" s="35"/>
      <c r="C86" s="36"/>
      <c r="D86" s="36"/>
      <c r="E86" s="36"/>
      <c r="F86" s="36"/>
      <c r="G86" s="36"/>
      <c r="H86" s="36"/>
      <c r="I86" s="35"/>
    </row>
    <row r="87" spans="1:9" ht="12.75" customHeight="1" x14ac:dyDescent="0.25">
      <c r="A87" s="35"/>
      <c r="B87" s="35"/>
      <c r="C87" s="36"/>
      <c r="D87" s="36"/>
      <c r="E87" s="36"/>
      <c r="F87" s="36"/>
      <c r="G87" s="36"/>
      <c r="H87" s="36"/>
      <c r="I87" s="35"/>
    </row>
    <row r="88" spans="1:9" ht="12.75" customHeight="1" x14ac:dyDescent="0.25">
      <c r="A88" s="35"/>
      <c r="B88" s="35"/>
      <c r="C88" s="36"/>
      <c r="D88" s="36"/>
      <c r="E88" s="36"/>
      <c r="F88" s="36"/>
      <c r="G88" s="36"/>
      <c r="H88" s="36"/>
      <c r="I88" s="35"/>
    </row>
    <row r="89" spans="1:9" ht="12.75" customHeight="1" x14ac:dyDescent="0.25">
      <c r="A89" s="35"/>
      <c r="B89" s="35"/>
      <c r="C89" s="36"/>
      <c r="D89" s="36"/>
      <c r="E89" s="36"/>
      <c r="F89" s="36"/>
      <c r="G89" s="36"/>
      <c r="H89" s="36"/>
      <c r="I89" s="35"/>
    </row>
    <row r="90" spans="1:9" ht="12.75"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20.149999999999999" customHeight="1" x14ac:dyDescent="0.25">
      <c r="A124" s="35"/>
      <c r="B124" s="35"/>
      <c r="C124" s="36"/>
      <c r="D124" s="36"/>
      <c r="E124" s="36"/>
      <c r="F124" s="36"/>
      <c r="G124" s="36"/>
      <c r="H124" s="36"/>
      <c r="I124" s="35"/>
    </row>
    <row r="125" spans="1:9" ht="20.149999999999999" customHeight="1" x14ac:dyDescent="0.25">
      <c r="A125" s="35"/>
      <c r="B125" s="35"/>
      <c r="C125" s="36"/>
      <c r="D125" s="36"/>
      <c r="E125" s="36"/>
      <c r="F125" s="36"/>
      <c r="G125" s="36"/>
      <c r="H125" s="36"/>
      <c r="I125" s="35"/>
    </row>
    <row r="126" spans="1:9" ht="20.149999999999999" customHeight="1" x14ac:dyDescent="0.25">
      <c r="A126" s="35"/>
      <c r="B126" s="35"/>
      <c r="C126" s="36"/>
      <c r="D126" s="36"/>
      <c r="E126" s="36"/>
      <c r="F126" s="36"/>
      <c r="G126" s="36"/>
      <c r="H126" s="36"/>
      <c r="I126" s="35"/>
    </row>
    <row r="127" spans="1:9" ht="20.149999999999999" customHeight="1" x14ac:dyDescent="0.25">
      <c r="A127" s="35"/>
      <c r="B127" s="35"/>
      <c r="C127" s="36"/>
      <c r="D127" s="36"/>
      <c r="E127" s="36"/>
      <c r="F127" s="36"/>
      <c r="G127" s="36"/>
      <c r="H127" s="36"/>
      <c r="I127" s="35"/>
    </row>
    <row r="128" spans="1:9" ht="20.149999999999999" customHeight="1" x14ac:dyDescent="0.25">
      <c r="A128" s="35"/>
      <c r="B128" s="35"/>
      <c r="C128" s="36"/>
      <c r="D128" s="36"/>
      <c r="E128" s="36"/>
      <c r="F128" s="36"/>
      <c r="G128" s="36"/>
      <c r="H128" s="36"/>
      <c r="I128" s="35"/>
    </row>
    <row r="129" spans="1:9" ht="20.149999999999999" customHeight="1" x14ac:dyDescent="0.25">
      <c r="A129" s="35"/>
      <c r="B129" s="35"/>
      <c r="C129" s="36"/>
      <c r="D129" s="36"/>
      <c r="E129" s="36"/>
      <c r="F129" s="36"/>
      <c r="G129" s="36"/>
      <c r="H129" s="36"/>
      <c r="I129" s="35"/>
    </row>
    <row r="130" spans="1:9" ht="20.149999999999999" customHeight="1" x14ac:dyDescent="0.25">
      <c r="A130" s="35"/>
      <c r="B130" s="35"/>
      <c r="C130" s="36"/>
      <c r="D130" s="36"/>
      <c r="E130" s="36"/>
      <c r="F130" s="36"/>
      <c r="G130" s="36"/>
      <c r="H130" s="36"/>
      <c r="I130" s="35"/>
    </row>
    <row r="131" spans="1:9" ht="20.149999999999999" customHeight="1" x14ac:dyDescent="0.25">
      <c r="A131" s="35"/>
      <c r="B131" s="35"/>
      <c r="C131" s="36"/>
      <c r="D131" s="36"/>
      <c r="E131" s="36"/>
      <c r="F131" s="36"/>
      <c r="G131" s="36"/>
      <c r="H131" s="36"/>
      <c r="I131" s="35"/>
    </row>
    <row r="132" spans="1:9" ht="20.149999999999999" customHeight="1" x14ac:dyDescent="0.25">
      <c r="A132" s="35"/>
      <c r="B132" s="35"/>
      <c r="C132" s="36"/>
      <c r="D132" s="36"/>
      <c r="E132" s="36"/>
      <c r="F132" s="36"/>
      <c r="G132" s="36"/>
      <c r="H132" s="36"/>
      <c r="I132" s="35"/>
    </row>
    <row r="133" spans="1:9" ht="20.149999999999999" customHeight="1" x14ac:dyDescent="0.25">
      <c r="A133" s="35"/>
      <c r="B133" s="35"/>
      <c r="C133" s="36"/>
      <c r="D133" s="36"/>
      <c r="E133" s="36"/>
      <c r="F133" s="36"/>
      <c r="G133" s="36"/>
      <c r="H133" s="36"/>
      <c r="I133" s="35"/>
    </row>
    <row r="134" spans="1:9" ht="20.149999999999999" customHeight="1" x14ac:dyDescent="0.25">
      <c r="A134" s="35"/>
      <c r="B134" s="35"/>
      <c r="C134" s="36"/>
      <c r="D134" s="36"/>
      <c r="E134" s="36"/>
      <c r="F134" s="36"/>
      <c r="G134" s="36"/>
      <c r="H134" s="36"/>
      <c r="I134" s="35"/>
    </row>
    <row r="135" spans="1:9" ht="20.149999999999999" customHeight="1" x14ac:dyDescent="0.25">
      <c r="A135" s="35"/>
      <c r="B135" s="35"/>
      <c r="C135" s="36"/>
      <c r="D135" s="36"/>
      <c r="E135" s="36"/>
      <c r="F135" s="36"/>
      <c r="G135" s="36"/>
      <c r="H135" s="36"/>
      <c r="I135" s="35"/>
    </row>
    <row r="136" spans="1:9" ht="20.149999999999999" customHeight="1" x14ac:dyDescent="0.25">
      <c r="A136" s="35"/>
      <c r="B136" s="35"/>
      <c r="C136" s="36"/>
      <c r="D136" s="36"/>
      <c r="E136" s="36"/>
      <c r="F136" s="36"/>
      <c r="G136" s="36"/>
      <c r="H136" s="36"/>
      <c r="I136" s="35"/>
    </row>
    <row r="137" spans="1:9" ht="20.149999999999999" customHeight="1" x14ac:dyDescent="0.25">
      <c r="A137" s="35"/>
      <c r="B137" s="35"/>
      <c r="C137" s="36"/>
      <c r="D137" s="36"/>
      <c r="E137" s="36"/>
      <c r="F137" s="36"/>
      <c r="G137" s="36"/>
      <c r="H137" s="36"/>
      <c r="I137" s="35"/>
    </row>
    <row r="138" spans="1:9" ht="20.149999999999999" customHeight="1" x14ac:dyDescent="0.25">
      <c r="A138" s="35"/>
      <c r="B138" s="35"/>
      <c r="C138" s="36"/>
      <c r="D138" s="36"/>
      <c r="E138" s="36"/>
      <c r="F138" s="36"/>
      <c r="G138" s="36"/>
      <c r="H138" s="36"/>
      <c r="I138" s="35"/>
    </row>
    <row r="139" spans="1:9" ht="20.149999999999999" customHeight="1" x14ac:dyDescent="0.25">
      <c r="A139" s="35"/>
      <c r="B139" s="35"/>
      <c r="C139" s="36"/>
      <c r="D139" s="36"/>
      <c r="E139" s="36"/>
      <c r="F139" s="36"/>
      <c r="G139" s="36"/>
      <c r="H139" s="36"/>
      <c r="I139" s="35"/>
    </row>
    <row r="140" spans="1:9" ht="20.149999999999999" customHeight="1" x14ac:dyDescent="0.25">
      <c r="A140" s="35"/>
      <c r="B140" s="35"/>
      <c r="C140" s="36"/>
      <c r="D140" s="36"/>
      <c r="E140" s="36"/>
      <c r="F140" s="36"/>
      <c r="G140" s="36"/>
      <c r="H140" s="36"/>
      <c r="I140" s="35"/>
    </row>
    <row r="141" spans="1:9" ht="20.149999999999999" customHeight="1"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A210" s="35"/>
      <c r="B210" s="35"/>
      <c r="C210" s="36"/>
      <c r="D210" s="36"/>
      <c r="E210" s="36"/>
      <c r="F210" s="36"/>
      <c r="G210" s="36"/>
      <c r="H210" s="36"/>
      <c r="I210" s="35"/>
    </row>
    <row r="211" spans="1:9" ht="12.5" x14ac:dyDescent="0.25">
      <c r="A211" s="35"/>
      <c r="B211" s="35"/>
      <c r="C211" s="36"/>
      <c r="D211" s="36"/>
      <c r="E211" s="36"/>
      <c r="F211" s="36"/>
      <c r="G211" s="36"/>
      <c r="H211" s="36"/>
      <c r="I211" s="35"/>
    </row>
    <row r="212" spans="1:9" ht="12.5" x14ac:dyDescent="0.25">
      <c r="A212" s="35"/>
      <c r="B212" s="35"/>
      <c r="C212" s="36"/>
      <c r="D212" s="36"/>
      <c r="E212" s="36"/>
      <c r="F212" s="36"/>
      <c r="G212" s="36"/>
      <c r="H212" s="36"/>
      <c r="I212" s="35"/>
    </row>
    <row r="213" spans="1:9" ht="12.5" x14ac:dyDescent="0.25">
      <c r="A213" s="35"/>
      <c r="B213" s="35"/>
      <c r="C213" s="36"/>
      <c r="D213" s="36"/>
      <c r="E213" s="36"/>
      <c r="F213" s="36"/>
      <c r="G213" s="36"/>
      <c r="H213" s="36"/>
      <c r="I213" s="35"/>
    </row>
    <row r="214" spans="1:9" ht="12.5" x14ac:dyDescent="0.25">
      <c r="A214" s="35"/>
      <c r="B214" s="35"/>
      <c r="C214" s="36"/>
      <c r="D214" s="36"/>
      <c r="E214" s="36"/>
      <c r="F214" s="36"/>
      <c r="G214" s="36"/>
      <c r="H214" s="36"/>
      <c r="I214" s="35"/>
    </row>
    <row r="215" spans="1:9" ht="12.5" x14ac:dyDescent="0.25">
      <c r="A215" s="35"/>
      <c r="B215" s="35"/>
      <c r="C215" s="36"/>
      <c r="D215" s="36"/>
      <c r="E215" s="36"/>
      <c r="F215" s="36"/>
      <c r="G215" s="36"/>
      <c r="H215" s="36"/>
      <c r="I215" s="35"/>
    </row>
    <row r="216" spans="1:9" ht="12.5" x14ac:dyDescent="0.25">
      <c r="A216" s="35"/>
      <c r="B216" s="35"/>
      <c r="C216" s="36"/>
      <c r="D216" s="36"/>
      <c r="E216" s="36"/>
      <c r="F216" s="36"/>
      <c r="G216" s="36"/>
      <c r="H216" s="36"/>
      <c r="I216" s="35"/>
    </row>
    <row r="217" spans="1:9" ht="12.5" x14ac:dyDescent="0.25">
      <c r="A217" s="35"/>
      <c r="B217" s="35"/>
      <c r="C217" s="36"/>
      <c r="D217" s="36"/>
      <c r="E217" s="36"/>
      <c r="F217" s="36"/>
      <c r="G217" s="36"/>
      <c r="H217" s="36"/>
      <c r="I217" s="35"/>
    </row>
    <row r="218" spans="1:9" ht="12.5" x14ac:dyDescent="0.25">
      <c r="A218" s="35"/>
      <c r="B218" s="35"/>
      <c r="C218" s="36"/>
      <c r="D218" s="36"/>
      <c r="E218" s="36"/>
      <c r="F218" s="36"/>
      <c r="G218" s="36"/>
      <c r="H218" s="36"/>
      <c r="I218" s="35"/>
    </row>
    <row r="219" spans="1:9" ht="12.5" x14ac:dyDescent="0.25">
      <c r="A219" s="35"/>
      <c r="B219" s="35"/>
      <c r="C219" s="36"/>
      <c r="D219" s="36"/>
      <c r="E219" s="36"/>
      <c r="F219" s="36"/>
      <c r="G219" s="36"/>
      <c r="H219" s="36"/>
      <c r="I219" s="35"/>
    </row>
    <row r="220" spans="1:9" ht="12.5" x14ac:dyDescent="0.25">
      <c r="A220" s="35"/>
      <c r="B220" s="35"/>
      <c r="C220" s="36"/>
      <c r="D220" s="36"/>
      <c r="E220" s="36"/>
      <c r="F220" s="36"/>
      <c r="G220" s="36"/>
      <c r="H220" s="36"/>
      <c r="I220" s="35"/>
    </row>
    <row r="221" spans="1:9" ht="12.5" x14ac:dyDescent="0.25">
      <c r="A221" s="35"/>
      <c r="B221" s="35"/>
      <c r="C221" s="36"/>
      <c r="D221" s="36"/>
      <c r="E221" s="36"/>
      <c r="F221" s="36"/>
      <c r="G221" s="36"/>
      <c r="H221" s="36"/>
      <c r="I221" s="35"/>
    </row>
    <row r="222" spans="1:9" ht="12.5" x14ac:dyDescent="0.25">
      <c r="A222" s="35"/>
      <c r="B222" s="35"/>
      <c r="C222" s="36"/>
      <c r="D222" s="36"/>
      <c r="E222" s="36"/>
      <c r="F222" s="36"/>
      <c r="G222" s="36"/>
      <c r="H222" s="36"/>
      <c r="I222" s="35"/>
    </row>
    <row r="223" spans="1:9" ht="12.5" x14ac:dyDescent="0.25">
      <c r="A223" s="35"/>
      <c r="B223" s="35"/>
      <c r="C223" s="36"/>
      <c r="D223" s="36"/>
      <c r="E223" s="36"/>
      <c r="F223" s="36"/>
      <c r="G223" s="36"/>
      <c r="H223" s="36"/>
      <c r="I223" s="35"/>
    </row>
    <row r="224" spans="1:9" ht="12.5" x14ac:dyDescent="0.25">
      <c r="I224" s="35"/>
    </row>
    <row r="225" spans="9:9" ht="12.5" x14ac:dyDescent="0.25">
      <c r="I225" s="35"/>
    </row>
    <row r="226" spans="9:9" ht="12.5" x14ac:dyDescent="0.25">
      <c r="I226" s="35"/>
    </row>
    <row r="227" spans="9:9" ht="12.5" x14ac:dyDescent="0.25">
      <c r="I227" s="35"/>
    </row>
    <row r="228" spans="9:9" ht="12.5" x14ac:dyDescent="0.25">
      <c r="I228" s="35"/>
    </row>
  </sheetData>
  <mergeCells count="1">
    <mergeCell ref="A1:C2"/>
  </mergeCells>
  <printOptions horizontalCentered="1" verticalCentered="1" gridLinesSet="0"/>
  <pageMargins left="0.25" right="0.25" top="0.75" bottom="0.75" header="0.3" footer="0.3"/>
  <pageSetup scale="87" orientation="portrait" horizontalDpi="1200" verticalDpi="12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J206"/>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Summary!B32</f>
        <v>COMMUNICATIONS</v>
      </c>
      <c r="B13" s="41"/>
      <c r="C13" s="45"/>
      <c r="D13" s="53"/>
      <c r="E13" s="45"/>
      <c r="F13" s="53"/>
      <c r="G13" s="45"/>
      <c r="H13" s="45"/>
    </row>
    <row r="14" spans="1:9" ht="19.5" customHeight="1" x14ac:dyDescent="0.25">
      <c r="A14" s="30"/>
      <c r="B14" s="44"/>
      <c r="C14" s="45"/>
      <c r="D14" s="45"/>
      <c r="E14" s="89">
        <f>B14*D14</f>
        <v>0</v>
      </c>
      <c r="F14" s="45"/>
      <c r="G14" s="89">
        <f t="shared" ref="G14:G33" si="0">B14*F14</f>
        <v>0</v>
      </c>
      <c r="H14" s="89">
        <f t="shared" ref="H14:H33" si="1">E14+G14</f>
        <v>0</v>
      </c>
    </row>
    <row r="15" spans="1:9" ht="19.5" customHeight="1" x14ac:dyDescent="0.25">
      <c r="A15" s="30"/>
      <c r="B15" s="30"/>
      <c r="C15" s="31"/>
      <c r="D15" s="31"/>
      <c r="E15" s="74">
        <f>B15*D15</f>
        <v>0</v>
      </c>
      <c r="F15" s="31"/>
      <c r="G15" s="74">
        <f t="shared" si="0"/>
        <v>0</v>
      </c>
      <c r="H15" s="74">
        <f t="shared" si="1"/>
        <v>0</v>
      </c>
    </row>
    <row r="16" spans="1:9" ht="19.5" customHeight="1" x14ac:dyDescent="0.25">
      <c r="A16" s="30"/>
      <c r="B16" s="30"/>
      <c r="C16" s="31"/>
      <c r="D16" s="31"/>
      <c r="E16" s="74">
        <f t="shared" ref="E16:E33" si="2">B16*D16</f>
        <v>0</v>
      </c>
      <c r="F16" s="31"/>
      <c r="G16" s="74">
        <f t="shared" si="0"/>
        <v>0</v>
      </c>
      <c r="H16" s="74">
        <f t="shared" si="1"/>
        <v>0</v>
      </c>
    </row>
    <row r="17" spans="1:8" ht="19.5" customHeight="1" x14ac:dyDescent="0.25">
      <c r="A17" s="30"/>
      <c r="B17" s="30"/>
      <c r="C17" s="31"/>
      <c r="D17" s="31"/>
      <c r="E17" s="74">
        <f t="shared" si="2"/>
        <v>0</v>
      </c>
      <c r="F17" s="31"/>
      <c r="G17" s="74">
        <f t="shared" si="0"/>
        <v>0</v>
      </c>
      <c r="H17" s="74">
        <f t="shared" si="1"/>
        <v>0</v>
      </c>
    </row>
    <row r="18" spans="1:8" ht="19.5" customHeight="1" x14ac:dyDescent="0.25">
      <c r="A18" s="30"/>
      <c r="B18" s="30"/>
      <c r="C18" s="31"/>
      <c r="D18" s="31"/>
      <c r="E18" s="74">
        <f t="shared" si="2"/>
        <v>0</v>
      </c>
      <c r="F18" s="31"/>
      <c r="G18" s="74">
        <f t="shared" si="0"/>
        <v>0</v>
      </c>
      <c r="H18" s="74">
        <f t="shared" si="1"/>
        <v>0</v>
      </c>
    </row>
    <row r="19" spans="1:8" ht="19.5" customHeight="1" x14ac:dyDescent="0.25">
      <c r="A19" s="30"/>
      <c r="B19" s="30"/>
      <c r="C19" s="31"/>
      <c r="D19" s="31"/>
      <c r="E19" s="74">
        <f t="shared" si="2"/>
        <v>0</v>
      </c>
      <c r="F19" s="31"/>
      <c r="G19" s="74">
        <f t="shared" si="0"/>
        <v>0</v>
      </c>
      <c r="H19" s="74">
        <f t="shared" si="1"/>
        <v>0</v>
      </c>
    </row>
    <row r="20" spans="1:8" ht="19.5" customHeight="1" x14ac:dyDescent="0.25">
      <c r="A20" s="30"/>
      <c r="B20" s="30"/>
      <c r="C20" s="31"/>
      <c r="D20" s="31"/>
      <c r="E20" s="74">
        <f t="shared" si="2"/>
        <v>0</v>
      </c>
      <c r="F20" s="31"/>
      <c r="G20" s="74">
        <f t="shared" si="0"/>
        <v>0</v>
      </c>
      <c r="H20" s="74">
        <f t="shared" si="1"/>
        <v>0</v>
      </c>
    </row>
    <row r="21" spans="1:8" ht="19.5" customHeight="1" x14ac:dyDescent="0.25">
      <c r="A21" s="30"/>
      <c r="B21" s="30"/>
      <c r="C21" s="31"/>
      <c r="D21" s="31"/>
      <c r="E21" s="74">
        <f t="shared" si="2"/>
        <v>0</v>
      </c>
      <c r="F21" s="31"/>
      <c r="G21" s="74">
        <f t="shared" si="0"/>
        <v>0</v>
      </c>
      <c r="H21" s="74">
        <f t="shared" si="1"/>
        <v>0</v>
      </c>
    </row>
    <row r="22" spans="1:8" ht="19.5" customHeight="1" x14ac:dyDescent="0.25">
      <c r="A22" s="30"/>
      <c r="B22" s="30"/>
      <c r="C22" s="31"/>
      <c r="D22" s="31"/>
      <c r="E22" s="74">
        <f t="shared" si="2"/>
        <v>0</v>
      </c>
      <c r="F22" s="31"/>
      <c r="G22" s="74">
        <f t="shared" si="0"/>
        <v>0</v>
      </c>
      <c r="H22" s="74">
        <f t="shared" si="1"/>
        <v>0</v>
      </c>
    </row>
    <row r="23" spans="1:8" ht="19.5" customHeight="1" x14ac:dyDescent="0.25">
      <c r="A23" s="30"/>
      <c r="B23" s="30"/>
      <c r="C23" s="31"/>
      <c r="D23" s="31"/>
      <c r="E23" s="74">
        <f t="shared" si="2"/>
        <v>0</v>
      </c>
      <c r="F23" s="31"/>
      <c r="G23" s="74">
        <f t="shared" si="0"/>
        <v>0</v>
      </c>
      <c r="H23" s="74">
        <f t="shared" si="1"/>
        <v>0</v>
      </c>
    </row>
    <row r="24" spans="1:8" ht="19.5" customHeight="1" x14ac:dyDescent="0.25">
      <c r="A24" s="30"/>
      <c r="B24" s="30"/>
      <c r="C24" s="31"/>
      <c r="D24" s="31"/>
      <c r="E24" s="74">
        <f t="shared" si="2"/>
        <v>0</v>
      </c>
      <c r="F24" s="31"/>
      <c r="G24" s="74">
        <f t="shared" si="0"/>
        <v>0</v>
      </c>
      <c r="H24" s="74">
        <f t="shared" si="1"/>
        <v>0</v>
      </c>
    </row>
    <row r="25" spans="1:8" ht="19.5" customHeight="1" x14ac:dyDescent="0.25">
      <c r="A25" s="30"/>
      <c r="B25" s="30"/>
      <c r="C25" s="31"/>
      <c r="D25" s="31"/>
      <c r="E25" s="74">
        <f t="shared" si="2"/>
        <v>0</v>
      </c>
      <c r="F25" s="31"/>
      <c r="G25" s="74">
        <f t="shared" si="0"/>
        <v>0</v>
      </c>
      <c r="H25" s="74">
        <f t="shared" si="1"/>
        <v>0</v>
      </c>
    </row>
    <row r="26" spans="1:8" ht="19.5" customHeight="1" x14ac:dyDescent="0.25">
      <c r="A26" s="30"/>
      <c r="B26" s="30"/>
      <c r="C26" s="31"/>
      <c r="D26" s="31"/>
      <c r="E26" s="74">
        <f t="shared" si="2"/>
        <v>0</v>
      </c>
      <c r="F26" s="31"/>
      <c r="G26" s="74">
        <f t="shared" si="0"/>
        <v>0</v>
      </c>
      <c r="H26" s="74">
        <f t="shared" si="1"/>
        <v>0</v>
      </c>
    </row>
    <row r="27" spans="1:8" ht="19.5" customHeight="1" x14ac:dyDescent="0.25">
      <c r="A27" s="30"/>
      <c r="B27" s="30"/>
      <c r="C27" s="31"/>
      <c r="D27" s="31"/>
      <c r="E27" s="74">
        <f t="shared" si="2"/>
        <v>0</v>
      </c>
      <c r="F27" s="31"/>
      <c r="G27" s="74">
        <f t="shared" si="0"/>
        <v>0</v>
      </c>
      <c r="H27" s="74">
        <f t="shared" si="1"/>
        <v>0</v>
      </c>
    </row>
    <row r="28" spans="1:8" ht="19.5" customHeight="1" x14ac:dyDescent="0.25">
      <c r="A28" s="30"/>
      <c r="B28" s="30"/>
      <c r="C28" s="31"/>
      <c r="D28" s="31"/>
      <c r="E28" s="74">
        <f t="shared" si="2"/>
        <v>0</v>
      </c>
      <c r="F28" s="31"/>
      <c r="G28" s="74">
        <f t="shared" si="0"/>
        <v>0</v>
      </c>
      <c r="H28" s="74">
        <f t="shared" si="1"/>
        <v>0</v>
      </c>
    </row>
    <row r="29" spans="1:8" ht="19.5" customHeight="1" x14ac:dyDescent="0.25">
      <c r="A29" s="30"/>
      <c r="B29" s="30"/>
      <c r="C29" s="31"/>
      <c r="D29" s="31"/>
      <c r="E29" s="74">
        <f t="shared" si="2"/>
        <v>0</v>
      </c>
      <c r="F29" s="31"/>
      <c r="G29" s="74">
        <f t="shared" si="0"/>
        <v>0</v>
      </c>
      <c r="H29" s="74">
        <f t="shared" si="1"/>
        <v>0</v>
      </c>
    </row>
    <row r="30" spans="1:8" ht="19.5" customHeight="1" x14ac:dyDescent="0.25">
      <c r="A30" s="30"/>
      <c r="B30" s="30"/>
      <c r="C30" s="31"/>
      <c r="D30" s="31"/>
      <c r="E30" s="74">
        <f t="shared" si="2"/>
        <v>0</v>
      </c>
      <c r="F30" s="31"/>
      <c r="G30" s="74">
        <f t="shared" si="0"/>
        <v>0</v>
      </c>
      <c r="H30" s="74">
        <f t="shared" si="1"/>
        <v>0</v>
      </c>
    </row>
    <row r="31" spans="1:8" ht="19.5" customHeight="1" x14ac:dyDescent="0.25">
      <c r="A31" s="30"/>
      <c r="B31" s="30"/>
      <c r="C31" s="31"/>
      <c r="D31" s="31"/>
      <c r="E31" s="74">
        <f t="shared" si="2"/>
        <v>0</v>
      </c>
      <c r="F31" s="31"/>
      <c r="G31" s="74">
        <f t="shared" si="0"/>
        <v>0</v>
      </c>
      <c r="H31" s="74">
        <f t="shared" si="1"/>
        <v>0</v>
      </c>
    </row>
    <row r="32" spans="1:8" ht="19.5" customHeight="1" x14ac:dyDescent="0.25">
      <c r="A32" s="30"/>
      <c r="B32" s="30"/>
      <c r="C32" s="31"/>
      <c r="D32" s="31"/>
      <c r="E32" s="74">
        <f t="shared" si="2"/>
        <v>0</v>
      </c>
      <c r="F32" s="31"/>
      <c r="G32" s="74">
        <f t="shared" si="0"/>
        <v>0</v>
      </c>
      <c r="H32" s="74">
        <f t="shared" si="1"/>
        <v>0</v>
      </c>
    </row>
    <row r="33" spans="1:10" ht="19.5" customHeight="1" x14ac:dyDescent="0.25">
      <c r="A33" s="30"/>
      <c r="B33" s="30"/>
      <c r="C33" s="31"/>
      <c r="D33" s="31"/>
      <c r="E33" s="74">
        <f t="shared" si="2"/>
        <v>0</v>
      </c>
      <c r="F33" s="31"/>
      <c r="G33" s="74">
        <f t="shared" si="0"/>
        <v>0</v>
      </c>
      <c r="H33" s="74">
        <f t="shared" si="1"/>
        <v>0</v>
      </c>
    </row>
    <row r="34" spans="1:10" ht="19.5" customHeight="1" x14ac:dyDescent="0.3">
      <c r="A34" s="29" t="s">
        <v>127</v>
      </c>
      <c r="B34" s="30"/>
      <c r="C34" s="31"/>
      <c r="D34" s="31"/>
      <c r="E34" s="74">
        <f>SUM(E14:E33)</f>
        <v>0</v>
      </c>
      <c r="F34" s="31"/>
      <c r="G34" s="74">
        <f>SUM(G14:G33)</f>
        <v>0</v>
      </c>
      <c r="H34" s="53"/>
    </row>
    <row r="35" spans="1:10" ht="19.5" customHeight="1" x14ac:dyDescent="0.3">
      <c r="A35" s="29" t="s">
        <v>104</v>
      </c>
      <c r="B35" s="30"/>
      <c r="C35" s="31"/>
      <c r="D35" s="31"/>
      <c r="E35" s="41"/>
      <c r="F35" s="31"/>
      <c r="G35" s="41"/>
      <c r="H35" s="74">
        <f>E34+G34</f>
        <v>0</v>
      </c>
      <c r="J35" s="10"/>
    </row>
    <row r="36" spans="1:10" ht="19.5" customHeight="1" x14ac:dyDescent="0.3">
      <c r="A36" s="29" t="s">
        <v>128</v>
      </c>
      <c r="B36" s="30"/>
      <c r="C36" s="31"/>
      <c r="D36" s="31"/>
      <c r="E36" s="31"/>
      <c r="F36" s="31"/>
      <c r="G36" s="95">
        <f>Summary!G20</f>
        <v>0</v>
      </c>
      <c r="H36" s="74">
        <f>SUM(H35*G36)</f>
        <v>0</v>
      </c>
    </row>
    <row r="37" spans="1:10" ht="19.5" customHeight="1" x14ac:dyDescent="0.3">
      <c r="A37" s="29" t="s">
        <v>129</v>
      </c>
      <c r="B37" s="30"/>
      <c r="C37" s="31"/>
      <c r="D37" s="31"/>
      <c r="E37" s="31"/>
      <c r="F37" s="31"/>
      <c r="G37" s="95">
        <f>Summary!G21</f>
        <v>0</v>
      </c>
      <c r="H37" s="74">
        <f>SUM(H35+H36)*G37</f>
        <v>0</v>
      </c>
    </row>
    <row r="38" spans="1:10" ht="19.5" customHeight="1" x14ac:dyDescent="0.3">
      <c r="A38" s="29" t="s">
        <v>130</v>
      </c>
      <c r="B38" s="30"/>
      <c r="C38" s="31"/>
      <c r="D38" s="31"/>
      <c r="E38" s="31"/>
      <c r="F38" s="31"/>
      <c r="G38" s="95">
        <f>Summary!G22</f>
        <v>0</v>
      </c>
      <c r="H38" s="74">
        <f>SUM(G34*G38)</f>
        <v>0</v>
      </c>
    </row>
    <row r="39" spans="1:10" ht="19.5" customHeight="1" thickBot="1" x14ac:dyDescent="0.35">
      <c r="A39" s="34" t="s">
        <v>124</v>
      </c>
      <c r="B39" s="32"/>
      <c r="C39" s="33"/>
      <c r="D39" s="33"/>
      <c r="E39" s="33"/>
      <c r="F39" s="33"/>
      <c r="G39" s="66"/>
      <c r="H39" s="75">
        <f>SUM(H35:H38)</f>
        <v>0</v>
      </c>
    </row>
    <row r="40" spans="1:10" ht="12.75" customHeight="1" thickTop="1" x14ac:dyDescent="0.25">
      <c r="A40" s="35"/>
      <c r="B40" s="35"/>
      <c r="C40" s="36"/>
      <c r="D40" s="36"/>
      <c r="E40" s="36"/>
      <c r="F40" s="36"/>
      <c r="G40" s="36"/>
      <c r="H40" s="36"/>
      <c r="I40" s="35"/>
    </row>
    <row r="41" spans="1:10" ht="12.75" customHeight="1" x14ac:dyDescent="0.25">
      <c r="A41" s="35"/>
      <c r="B41" s="35"/>
      <c r="C41" s="36"/>
      <c r="D41" s="36"/>
      <c r="E41" s="36"/>
      <c r="F41" s="36"/>
      <c r="G41" s="36"/>
      <c r="H41" s="36"/>
      <c r="I41" s="35"/>
    </row>
    <row r="42" spans="1:10" ht="12.75" customHeight="1" x14ac:dyDescent="0.25">
      <c r="A42" s="35"/>
      <c r="B42" s="35"/>
      <c r="C42" s="36"/>
      <c r="D42" s="36"/>
      <c r="E42" s="36"/>
      <c r="F42" s="36"/>
      <c r="G42" s="36"/>
      <c r="H42" s="36"/>
      <c r="I42" s="35"/>
    </row>
    <row r="43" spans="1:10" ht="12.75" customHeight="1" x14ac:dyDescent="0.25">
      <c r="A43" s="35"/>
      <c r="B43" s="35"/>
      <c r="C43" s="36"/>
      <c r="D43" s="36"/>
      <c r="E43" s="36"/>
      <c r="F43" s="36"/>
      <c r="G43" s="36"/>
      <c r="H43" s="36"/>
      <c r="I43" s="35"/>
    </row>
    <row r="44" spans="1:10" ht="12.75" customHeight="1" x14ac:dyDescent="0.25">
      <c r="A44" s="35"/>
      <c r="B44" s="35"/>
      <c r="C44" s="36"/>
      <c r="D44" s="36"/>
      <c r="E44" s="36"/>
      <c r="F44" s="36"/>
      <c r="G44" s="36"/>
      <c r="H44" s="36"/>
      <c r="I44" s="35"/>
    </row>
    <row r="45" spans="1:10" ht="12.75" customHeight="1" x14ac:dyDescent="0.25">
      <c r="A45" s="35"/>
      <c r="B45" s="35"/>
      <c r="C45" s="36"/>
      <c r="D45" s="36"/>
      <c r="E45" s="36"/>
      <c r="F45" s="36"/>
      <c r="G45" s="36"/>
      <c r="H45" s="36"/>
      <c r="I45" s="35"/>
    </row>
    <row r="46" spans="1:10" ht="12.75" customHeight="1" x14ac:dyDescent="0.25">
      <c r="A46" s="35"/>
      <c r="B46" s="35"/>
      <c r="C46" s="36"/>
      <c r="D46" s="36"/>
      <c r="E46" s="36"/>
      <c r="F46" s="36"/>
      <c r="G46" s="36"/>
      <c r="H46" s="36"/>
      <c r="I46" s="35"/>
    </row>
    <row r="47" spans="1:10" ht="12.75" customHeight="1" x14ac:dyDescent="0.25">
      <c r="A47" s="35"/>
      <c r="B47" s="35"/>
      <c r="C47" s="36"/>
      <c r="D47" s="36"/>
      <c r="E47" s="36"/>
      <c r="F47" s="36"/>
      <c r="G47" s="36"/>
      <c r="H47" s="36"/>
      <c r="I47" s="35"/>
    </row>
    <row r="48" spans="1:10"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sheetData>
  <mergeCells count="1">
    <mergeCell ref="A1:C2"/>
  </mergeCells>
  <printOptions horizontalCentered="1" verticalCentered="1" gridLinesSet="0"/>
  <pageMargins left="0.25" right="0.25" top="0.75" bottom="0.75" header="0.3" footer="0.3"/>
  <pageSetup scale="84" orientation="portrait" horizontalDpi="1200" verticalDpi="12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J205"/>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Summary!B33</f>
        <v>ELECTRONIC SAFETY AND SECURITY</v>
      </c>
      <c r="B13" s="30"/>
      <c r="C13" s="31"/>
      <c r="D13" s="31"/>
      <c r="E13" s="31"/>
      <c r="F13" s="31"/>
      <c r="G13" s="31"/>
      <c r="H13" s="31"/>
    </row>
    <row r="14" spans="1:9" ht="19.5" customHeight="1" x14ac:dyDescent="0.25">
      <c r="A14" s="30"/>
      <c r="B14" s="30"/>
      <c r="C14" s="31"/>
      <c r="D14" s="31"/>
      <c r="E14" s="74">
        <f t="shared" ref="E14:E32" si="0">B14*D14</f>
        <v>0</v>
      </c>
      <c r="F14" s="31"/>
      <c r="G14" s="74">
        <f t="shared" ref="G14:G32" si="1">B14*F14</f>
        <v>0</v>
      </c>
      <c r="H14" s="74">
        <f t="shared" ref="H14:H32" si="2">E14+G14</f>
        <v>0</v>
      </c>
    </row>
    <row r="15" spans="1:9" ht="19.5" customHeight="1" x14ac:dyDescent="0.25">
      <c r="A15" s="30"/>
      <c r="B15" s="30"/>
      <c r="C15" s="31"/>
      <c r="D15" s="31"/>
      <c r="E15" s="74">
        <f t="shared" si="0"/>
        <v>0</v>
      </c>
      <c r="F15" s="31"/>
      <c r="G15" s="74">
        <f t="shared" si="1"/>
        <v>0</v>
      </c>
      <c r="H15" s="74">
        <f t="shared" si="2"/>
        <v>0</v>
      </c>
    </row>
    <row r="16" spans="1:9" ht="19.5" customHeight="1" x14ac:dyDescent="0.25">
      <c r="A16" s="52"/>
      <c r="B16" s="30"/>
      <c r="C16" s="31"/>
      <c r="D16" s="31"/>
      <c r="E16" s="74">
        <f t="shared" si="0"/>
        <v>0</v>
      </c>
      <c r="F16" s="31"/>
      <c r="G16" s="74">
        <f t="shared" si="1"/>
        <v>0</v>
      </c>
      <c r="H16" s="74">
        <f t="shared" si="2"/>
        <v>0</v>
      </c>
    </row>
    <row r="17" spans="1:8" ht="19.5" customHeight="1" x14ac:dyDescent="0.25">
      <c r="A17" s="30"/>
      <c r="B17" s="30"/>
      <c r="C17" s="31"/>
      <c r="D17" s="31"/>
      <c r="E17" s="74">
        <f>B17*D17</f>
        <v>0</v>
      </c>
      <c r="F17" s="31"/>
      <c r="G17" s="74">
        <f>B17*F17</f>
        <v>0</v>
      </c>
      <c r="H17" s="74">
        <f>E17+G17</f>
        <v>0</v>
      </c>
    </row>
    <row r="18" spans="1:8" ht="19.5" customHeight="1" x14ac:dyDescent="0.25">
      <c r="A18" s="30"/>
      <c r="B18" s="30"/>
      <c r="C18" s="31"/>
      <c r="D18" s="31"/>
      <c r="E18" s="74">
        <f>B18*D18</f>
        <v>0</v>
      </c>
      <c r="F18" s="31"/>
      <c r="G18" s="74">
        <f>B18*F18</f>
        <v>0</v>
      </c>
      <c r="H18" s="74">
        <f>E18+G18</f>
        <v>0</v>
      </c>
    </row>
    <row r="19" spans="1:8" ht="19.5" customHeight="1" x14ac:dyDescent="0.25">
      <c r="A19" s="30"/>
      <c r="B19" s="30"/>
      <c r="C19" s="31"/>
      <c r="D19" s="31"/>
      <c r="E19" s="74">
        <f>B19*D19</f>
        <v>0</v>
      </c>
      <c r="F19" s="31"/>
      <c r="G19" s="74">
        <f>B19*F19</f>
        <v>0</v>
      </c>
      <c r="H19" s="74">
        <f>E19+G19</f>
        <v>0</v>
      </c>
    </row>
    <row r="20" spans="1:8" ht="19.5" customHeight="1" x14ac:dyDescent="0.25">
      <c r="A20" s="30"/>
      <c r="B20" s="30"/>
      <c r="C20" s="31"/>
      <c r="D20" s="31"/>
      <c r="E20" s="74">
        <f>B20*D20</f>
        <v>0</v>
      </c>
      <c r="F20" s="31"/>
      <c r="G20" s="74">
        <f>B20*F20</f>
        <v>0</v>
      </c>
      <c r="H20" s="74">
        <f>E20+G20</f>
        <v>0</v>
      </c>
    </row>
    <row r="21" spans="1:8" ht="19.5" customHeight="1" x14ac:dyDescent="0.25">
      <c r="A21" s="30"/>
      <c r="B21" s="30"/>
      <c r="C21" s="31"/>
      <c r="D21" s="31"/>
      <c r="E21" s="74">
        <f t="shared" si="0"/>
        <v>0</v>
      </c>
      <c r="F21" s="31"/>
      <c r="G21" s="74">
        <f t="shared" si="1"/>
        <v>0</v>
      </c>
      <c r="H21" s="74">
        <f t="shared" si="2"/>
        <v>0</v>
      </c>
    </row>
    <row r="22" spans="1:8" ht="19.5" customHeight="1" x14ac:dyDescent="0.25">
      <c r="A22" s="30"/>
      <c r="B22" s="30"/>
      <c r="C22" s="31"/>
      <c r="D22" s="31"/>
      <c r="E22" s="74">
        <f t="shared" si="0"/>
        <v>0</v>
      </c>
      <c r="F22" s="31"/>
      <c r="G22" s="74">
        <f t="shared" si="1"/>
        <v>0</v>
      </c>
      <c r="H22" s="74">
        <f t="shared" si="2"/>
        <v>0</v>
      </c>
    </row>
    <row r="23" spans="1:8" ht="19.5" customHeight="1" x14ac:dyDescent="0.25">
      <c r="A23" s="30"/>
      <c r="B23" s="30"/>
      <c r="C23" s="31"/>
      <c r="D23" s="31"/>
      <c r="E23" s="74">
        <f t="shared" si="0"/>
        <v>0</v>
      </c>
      <c r="F23" s="31"/>
      <c r="G23" s="74">
        <f t="shared" si="1"/>
        <v>0</v>
      </c>
      <c r="H23" s="74">
        <f t="shared" si="2"/>
        <v>0</v>
      </c>
    </row>
    <row r="24" spans="1:8" ht="19.5" customHeight="1" x14ac:dyDescent="0.25">
      <c r="A24" s="30"/>
      <c r="B24" s="30"/>
      <c r="C24" s="31"/>
      <c r="D24" s="31"/>
      <c r="E24" s="74">
        <f t="shared" si="0"/>
        <v>0</v>
      </c>
      <c r="F24" s="31"/>
      <c r="G24" s="74">
        <f t="shared" si="1"/>
        <v>0</v>
      </c>
      <c r="H24" s="74">
        <f t="shared" si="2"/>
        <v>0</v>
      </c>
    </row>
    <row r="25" spans="1:8" ht="19.5" customHeight="1" x14ac:dyDescent="0.25">
      <c r="A25" s="30"/>
      <c r="B25" s="30"/>
      <c r="C25" s="31"/>
      <c r="D25" s="31"/>
      <c r="E25" s="74">
        <f t="shared" si="0"/>
        <v>0</v>
      </c>
      <c r="F25" s="31"/>
      <c r="G25" s="74">
        <f t="shared" si="1"/>
        <v>0</v>
      </c>
      <c r="H25" s="74">
        <f t="shared" si="2"/>
        <v>0</v>
      </c>
    </row>
    <row r="26" spans="1:8" ht="19.5" customHeight="1" x14ac:dyDescent="0.25">
      <c r="A26" s="30"/>
      <c r="B26" s="30"/>
      <c r="C26" s="31"/>
      <c r="D26" s="31"/>
      <c r="E26" s="74">
        <f t="shared" si="0"/>
        <v>0</v>
      </c>
      <c r="F26" s="31"/>
      <c r="G26" s="74">
        <f t="shared" si="1"/>
        <v>0</v>
      </c>
      <c r="H26" s="74">
        <f t="shared" si="2"/>
        <v>0</v>
      </c>
    </row>
    <row r="27" spans="1:8" ht="19.5" customHeight="1" x14ac:dyDescent="0.25">
      <c r="A27" s="30"/>
      <c r="B27" s="30"/>
      <c r="C27" s="31"/>
      <c r="D27" s="31"/>
      <c r="E27" s="74">
        <f t="shared" si="0"/>
        <v>0</v>
      </c>
      <c r="F27" s="31"/>
      <c r="G27" s="74">
        <f t="shared" si="1"/>
        <v>0</v>
      </c>
      <c r="H27" s="74">
        <f t="shared" si="2"/>
        <v>0</v>
      </c>
    </row>
    <row r="28" spans="1:8" ht="19.5" customHeight="1" x14ac:dyDescent="0.25">
      <c r="A28" s="30"/>
      <c r="B28" s="30"/>
      <c r="C28" s="31"/>
      <c r="D28" s="31"/>
      <c r="E28" s="74">
        <f t="shared" si="0"/>
        <v>0</v>
      </c>
      <c r="F28" s="31"/>
      <c r="G28" s="74">
        <f t="shared" si="1"/>
        <v>0</v>
      </c>
      <c r="H28" s="74">
        <f t="shared" si="2"/>
        <v>0</v>
      </c>
    </row>
    <row r="29" spans="1:8" ht="19.5" customHeight="1" x14ac:dyDescent="0.25">
      <c r="A29" s="30"/>
      <c r="B29" s="30"/>
      <c r="C29" s="31"/>
      <c r="D29" s="31"/>
      <c r="E29" s="74">
        <f t="shared" si="0"/>
        <v>0</v>
      </c>
      <c r="F29" s="31"/>
      <c r="G29" s="74">
        <f t="shared" si="1"/>
        <v>0</v>
      </c>
      <c r="H29" s="74">
        <f t="shared" si="2"/>
        <v>0</v>
      </c>
    </row>
    <row r="30" spans="1:8" ht="19.5" customHeight="1" x14ac:dyDescent="0.25">
      <c r="A30" s="30"/>
      <c r="B30" s="30"/>
      <c r="C30" s="31"/>
      <c r="D30" s="31"/>
      <c r="E30" s="74">
        <f>B30*D30</f>
        <v>0</v>
      </c>
      <c r="F30" s="31"/>
      <c r="G30" s="74">
        <f>B30*F30</f>
        <v>0</v>
      </c>
      <c r="H30" s="74">
        <f t="shared" si="2"/>
        <v>0</v>
      </c>
    </row>
    <row r="31" spans="1:8" ht="19.5" customHeight="1" x14ac:dyDescent="0.25">
      <c r="A31" s="30"/>
      <c r="B31" s="30"/>
      <c r="C31" s="31"/>
      <c r="D31" s="31"/>
      <c r="E31" s="74">
        <f t="shared" si="0"/>
        <v>0</v>
      </c>
      <c r="F31" s="31"/>
      <c r="G31" s="74">
        <f t="shared" si="1"/>
        <v>0</v>
      </c>
      <c r="H31" s="74">
        <f t="shared" si="2"/>
        <v>0</v>
      </c>
    </row>
    <row r="32" spans="1:8" ht="19.5" customHeight="1" x14ac:dyDescent="0.25">
      <c r="A32" s="30"/>
      <c r="B32" s="30"/>
      <c r="C32" s="31"/>
      <c r="D32" s="31"/>
      <c r="E32" s="74">
        <f t="shared" si="0"/>
        <v>0</v>
      </c>
      <c r="F32" s="31"/>
      <c r="G32" s="74">
        <f t="shared" si="1"/>
        <v>0</v>
      </c>
      <c r="H32" s="74">
        <f t="shared" si="2"/>
        <v>0</v>
      </c>
    </row>
    <row r="33" spans="1:10" ht="19.5" customHeight="1" x14ac:dyDescent="0.3">
      <c r="A33" s="29" t="s">
        <v>127</v>
      </c>
      <c r="B33" s="30"/>
      <c r="C33" s="31"/>
      <c r="D33" s="31"/>
      <c r="E33" s="74">
        <f>SUM(E14:E32)</f>
        <v>0</v>
      </c>
      <c r="F33" s="31"/>
      <c r="G33" s="74">
        <f>SUM(G14:G32)</f>
        <v>0</v>
      </c>
      <c r="H33" s="53"/>
      <c r="I33" s="10"/>
    </row>
    <row r="34" spans="1:10" ht="19.5" customHeight="1" x14ac:dyDescent="0.3">
      <c r="A34" s="29" t="s">
        <v>104</v>
      </c>
      <c r="B34" s="30"/>
      <c r="C34" s="31"/>
      <c r="D34" s="31"/>
      <c r="E34" s="41"/>
      <c r="F34" s="31"/>
      <c r="G34" s="41"/>
      <c r="H34" s="74">
        <f>E33+G33</f>
        <v>0</v>
      </c>
      <c r="J34" s="10"/>
    </row>
    <row r="35" spans="1:10" ht="19.5" customHeight="1" x14ac:dyDescent="0.3">
      <c r="A35" s="29" t="s">
        <v>128</v>
      </c>
      <c r="B35" s="30"/>
      <c r="C35" s="31"/>
      <c r="D35" s="31"/>
      <c r="E35" s="31"/>
      <c r="F35" s="31"/>
      <c r="G35" s="95">
        <f>Summary!G20</f>
        <v>0</v>
      </c>
      <c r="H35" s="74">
        <f>SUM(H34*G35)</f>
        <v>0</v>
      </c>
    </row>
    <row r="36" spans="1:10" ht="19.5" customHeight="1" x14ac:dyDescent="0.3">
      <c r="A36" s="29" t="s">
        <v>129</v>
      </c>
      <c r="B36" s="30"/>
      <c r="C36" s="31"/>
      <c r="D36" s="31"/>
      <c r="E36" s="31"/>
      <c r="F36" s="31"/>
      <c r="G36" s="95">
        <f>Summary!G21</f>
        <v>0</v>
      </c>
      <c r="H36" s="74">
        <f>SUM(H34+H35)*G36</f>
        <v>0</v>
      </c>
    </row>
    <row r="37" spans="1:10" ht="19.5" customHeight="1" x14ac:dyDescent="0.3">
      <c r="A37" s="29" t="s">
        <v>130</v>
      </c>
      <c r="B37" s="30"/>
      <c r="C37" s="31"/>
      <c r="D37" s="31"/>
      <c r="E37" s="31"/>
      <c r="F37" s="31"/>
      <c r="G37" s="95">
        <f>Summary!G22</f>
        <v>0</v>
      </c>
      <c r="H37" s="74">
        <f>SUM(G33*G37)</f>
        <v>0</v>
      </c>
    </row>
    <row r="38" spans="1:10" ht="19.5" customHeight="1" thickBot="1" x14ac:dyDescent="0.35">
      <c r="A38" s="34" t="s">
        <v>124</v>
      </c>
      <c r="B38" s="32"/>
      <c r="C38" s="33"/>
      <c r="D38" s="33"/>
      <c r="E38" s="33"/>
      <c r="F38" s="33"/>
      <c r="G38" s="66"/>
      <c r="H38" s="75">
        <f>SUM(H34:H37)</f>
        <v>0</v>
      </c>
    </row>
    <row r="39" spans="1:10" ht="12.75" customHeight="1" thickTop="1" x14ac:dyDescent="0.25">
      <c r="A39" s="35"/>
      <c r="B39" s="35"/>
      <c r="C39" s="36"/>
      <c r="D39" s="36"/>
      <c r="E39" s="36"/>
      <c r="F39" s="36"/>
      <c r="G39" s="36"/>
      <c r="H39" s="36"/>
      <c r="I39" s="35"/>
    </row>
    <row r="40" spans="1:10" ht="12.75" customHeight="1" x14ac:dyDescent="0.25">
      <c r="A40" s="35"/>
      <c r="B40" s="35"/>
      <c r="C40" s="36"/>
      <c r="D40" s="36"/>
      <c r="E40" s="36"/>
      <c r="F40" s="36"/>
      <c r="G40" s="36"/>
      <c r="H40" s="36"/>
      <c r="I40" s="35"/>
    </row>
    <row r="41" spans="1:10" ht="12.75" customHeight="1" x14ac:dyDescent="0.25">
      <c r="A41" s="35"/>
      <c r="B41" s="35"/>
      <c r="C41" s="36"/>
      <c r="D41" s="36"/>
      <c r="E41" s="36"/>
      <c r="F41" s="36"/>
      <c r="G41" s="36"/>
      <c r="H41" s="36"/>
      <c r="I41" s="35"/>
    </row>
    <row r="42" spans="1:10" ht="12.75" customHeight="1" x14ac:dyDescent="0.25">
      <c r="A42" s="35"/>
      <c r="B42" s="35"/>
      <c r="C42" s="36"/>
      <c r="D42" s="36"/>
      <c r="E42" s="36"/>
      <c r="F42" s="36"/>
      <c r="G42" s="36"/>
      <c r="H42" s="36"/>
      <c r="I42" s="35"/>
    </row>
    <row r="43" spans="1:10" ht="12.75" customHeight="1" x14ac:dyDescent="0.25">
      <c r="A43" s="35"/>
      <c r="B43" s="35"/>
      <c r="C43" s="36"/>
      <c r="D43" s="36"/>
      <c r="E43" s="36"/>
      <c r="F43" s="36"/>
      <c r="G43" s="36"/>
      <c r="H43" s="36"/>
      <c r="I43" s="35"/>
    </row>
    <row r="44" spans="1:10" ht="12.75" customHeight="1" x14ac:dyDescent="0.25">
      <c r="A44" s="35"/>
      <c r="B44" s="35"/>
      <c r="C44" s="36"/>
      <c r="D44" s="36"/>
      <c r="E44" s="36"/>
      <c r="F44" s="36"/>
      <c r="G44" s="36"/>
      <c r="H44" s="36"/>
      <c r="I44" s="35"/>
    </row>
    <row r="45" spans="1:10" ht="12.75" customHeight="1" x14ac:dyDescent="0.25">
      <c r="A45" s="35"/>
      <c r="B45" s="35"/>
      <c r="C45" s="36"/>
      <c r="D45" s="36"/>
      <c r="E45" s="36"/>
      <c r="F45" s="36"/>
      <c r="G45" s="36"/>
      <c r="H45" s="36"/>
      <c r="I45" s="35"/>
    </row>
    <row r="46" spans="1:10" ht="12.75" customHeight="1" x14ac:dyDescent="0.25">
      <c r="A46" s="35"/>
      <c r="B46" s="35"/>
      <c r="C46" s="36"/>
      <c r="D46" s="36"/>
      <c r="E46" s="36"/>
      <c r="F46" s="36"/>
      <c r="G46" s="36"/>
      <c r="H46" s="36"/>
      <c r="I46" s="35"/>
    </row>
    <row r="47" spans="1:10" ht="12.75" customHeight="1" x14ac:dyDescent="0.25">
      <c r="A47" s="35"/>
      <c r="B47" s="35"/>
      <c r="C47" s="36"/>
      <c r="D47" s="36"/>
      <c r="E47" s="36"/>
      <c r="F47" s="36"/>
      <c r="G47" s="36"/>
      <c r="H47" s="36"/>
      <c r="I47" s="35"/>
    </row>
    <row r="48" spans="1:10"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20.149999999999999"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12.5"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sheetData>
  <mergeCells count="1">
    <mergeCell ref="A1:C2"/>
  </mergeCells>
  <printOptions horizontalCentered="1" verticalCentered="1" gridLinesSet="0"/>
  <pageMargins left="0.25" right="0.25" top="0.75" bottom="0.75" header="0.3" footer="0.3"/>
  <pageSetup scale="87" orientation="portrait" horizontalDpi="1200" verticalDpi="12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J233"/>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8.453125" style="6" customWidth="1"/>
    <col min="2" max="2" width="5.7265625" style="6" customWidth="1"/>
    <col min="3" max="3" width="5.7265625" style="10" customWidth="1"/>
    <col min="4" max="8" width="12.7265625" style="10" customWidth="1"/>
    <col min="9" max="9" width="9.81640625" style="6" bestFit="1" customWidth="1"/>
    <col min="10" max="10" width="12" style="6" bestFit="1" customWidth="1"/>
    <col min="11"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Summary!B34</f>
        <v>EARTHWORK</v>
      </c>
      <c r="B13" s="30"/>
      <c r="C13" s="31"/>
      <c r="D13" s="31"/>
      <c r="E13" s="31"/>
      <c r="F13" s="31"/>
      <c r="G13" s="31"/>
      <c r="H13" s="31"/>
    </row>
    <row r="14" spans="1:9" ht="19.5" customHeight="1" x14ac:dyDescent="0.3">
      <c r="A14" s="99"/>
      <c r="B14" s="39"/>
      <c r="C14" s="40"/>
      <c r="D14" s="40"/>
      <c r="E14" s="74">
        <f>B14*D14</f>
        <v>0</v>
      </c>
      <c r="F14" s="40"/>
      <c r="G14" s="74">
        <f>B14*F14</f>
        <v>0</v>
      </c>
      <c r="H14" s="74">
        <f>E14+G14</f>
        <v>0</v>
      </c>
    </row>
    <row r="15" spans="1:9" ht="19.5" customHeight="1" x14ac:dyDescent="0.25">
      <c r="A15" s="30"/>
      <c r="B15" s="46"/>
      <c r="C15" s="47"/>
      <c r="D15" s="31"/>
      <c r="E15" s="74">
        <f t="shared" ref="E15:E55" si="0">B15*D15</f>
        <v>0</v>
      </c>
      <c r="F15" s="31"/>
      <c r="G15" s="74">
        <f>B15*F15</f>
        <v>0</v>
      </c>
      <c r="H15" s="74">
        <f>E15+G15</f>
        <v>0</v>
      </c>
    </row>
    <row r="16" spans="1:9" ht="19.5" customHeight="1" x14ac:dyDescent="0.25">
      <c r="A16" s="30"/>
      <c r="B16" s="46"/>
      <c r="C16" s="47"/>
      <c r="D16" s="31"/>
      <c r="E16" s="74">
        <f t="shared" si="0"/>
        <v>0</v>
      </c>
      <c r="F16" s="31"/>
      <c r="G16" s="74">
        <f t="shared" ref="G16:G55" si="1">B16*F16</f>
        <v>0</v>
      </c>
      <c r="H16" s="74">
        <f t="shared" ref="H16:H55" si="2">E16+G16</f>
        <v>0</v>
      </c>
    </row>
    <row r="17" spans="1:8" ht="19.5" customHeight="1" x14ac:dyDescent="0.25">
      <c r="A17" s="30"/>
      <c r="B17" s="46"/>
      <c r="C17" s="47"/>
      <c r="D17" s="31"/>
      <c r="E17" s="74">
        <f t="shared" si="0"/>
        <v>0</v>
      </c>
      <c r="F17" s="31"/>
      <c r="G17" s="74">
        <f t="shared" si="1"/>
        <v>0</v>
      </c>
      <c r="H17" s="74">
        <f t="shared" si="2"/>
        <v>0</v>
      </c>
    </row>
    <row r="18" spans="1:8" ht="19.5" customHeight="1" x14ac:dyDescent="0.25">
      <c r="A18" s="30"/>
      <c r="B18" s="46"/>
      <c r="C18" s="47"/>
      <c r="D18" s="31"/>
      <c r="E18" s="74">
        <f t="shared" si="0"/>
        <v>0</v>
      </c>
      <c r="F18" s="31"/>
      <c r="G18" s="74">
        <f t="shared" si="1"/>
        <v>0</v>
      </c>
      <c r="H18" s="74">
        <f t="shared" si="2"/>
        <v>0</v>
      </c>
    </row>
    <row r="19" spans="1:8" ht="19.5" customHeight="1" x14ac:dyDescent="0.25">
      <c r="A19" s="30"/>
      <c r="B19" s="46"/>
      <c r="C19" s="47"/>
      <c r="D19" s="31"/>
      <c r="E19" s="74">
        <f>B19*D19</f>
        <v>0</v>
      </c>
      <c r="F19" s="31"/>
      <c r="G19" s="74">
        <f>B19*F19</f>
        <v>0</v>
      </c>
      <c r="H19" s="74">
        <f>E19+G19</f>
        <v>0</v>
      </c>
    </row>
    <row r="20" spans="1:8" ht="19.5" customHeight="1" x14ac:dyDescent="0.25">
      <c r="A20" s="30"/>
      <c r="B20" s="46"/>
      <c r="C20" s="47"/>
      <c r="D20" s="31"/>
      <c r="E20" s="74">
        <f>B20*D20</f>
        <v>0</v>
      </c>
      <c r="F20" s="31"/>
      <c r="G20" s="74">
        <f>B20*F20</f>
        <v>0</v>
      </c>
      <c r="H20" s="74">
        <f>E20+G20</f>
        <v>0</v>
      </c>
    </row>
    <row r="21" spans="1:8" ht="19.5" customHeight="1" x14ac:dyDescent="0.25">
      <c r="A21" s="30"/>
      <c r="B21" s="46"/>
      <c r="C21" s="47"/>
      <c r="D21" s="31"/>
      <c r="E21" s="74">
        <f>B21*D21</f>
        <v>0</v>
      </c>
      <c r="F21" s="31"/>
      <c r="G21" s="74">
        <f>B21*F21</f>
        <v>0</v>
      </c>
      <c r="H21" s="74">
        <f>E21+G21</f>
        <v>0</v>
      </c>
    </row>
    <row r="22" spans="1:8" ht="19.5" customHeight="1" x14ac:dyDescent="0.25">
      <c r="A22" s="30"/>
      <c r="B22" s="46"/>
      <c r="C22" s="47"/>
      <c r="D22" s="31"/>
      <c r="E22" s="74">
        <f>B22*D22</f>
        <v>0</v>
      </c>
      <c r="F22" s="31"/>
      <c r="G22" s="74">
        <f>B22*F22</f>
        <v>0</v>
      </c>
      <c r="H22" s="74">
        <f>E22+G22</f>
        <v>0</v>
      </c>
    </row>
    <row r="23" spans="1:8" ht="19.5" customHeight="1" x14ac:dyDescent="0.25">
      <c r="A23" s="30"/>
      <c r="B23" s="46"/>
      <c r="C23" s="47"/>
      <c r="D23" s="31"/>
      <c r="E23" s="74">
        <f>B23*D23</f>
        <v>0</v>
      </c>
      <c r="F23" s="31"/>
      <c r="G23" s="74">
        <f>B23*F23</f>
        <v>0</v>
      </c>
      <c r="H23" s="74">
        <f>E23+G23</f>
        <v>0</v>
      </c>
    </row>
    <row r="24" spans="1:8" ht="19.5" customHeight="1" x14ac:dyDescent="0.3">
      <c r="A24" s="97"/>
      <c r="B24" s="46"/>
      <c r="C24" s="47"/>
      <c r="D24" s="31"/>
      <c r="E24" s="74">
        <f t="shared" si="0"/>
        <v>0</v>
      </c>
      <c r="F24" s="31"/>
      <c r="G24" s="74">
        <f t="shared" si="1"/>
        <v>0</v>
      </c>
      <c r="H24" s="74">
        <f t="shared" si="2"/>
        <v>0</v>
      </c>
    </row>
    <row r="25" spans="1:8" ht="19.5" customHeight="1" x14ac:dyDescent="0.25">
      <c r="A25" s="30"/>
      <c r="B25" s="30"/>
      <c r="C25" s="31"/>
      <c r="D25" s="31"/>
      <c r="E25" s="74">
        <f t="shared" si="0"/>
        <v>0</v>
      </c>
      <c r="F25" s="31"/>
      <c r="G25" s="74">
        <f t="shared" si="1"/>
        <v>0</v>
      </c>
      <c r="H25" s="74">
        <f t="shared" si="2"/>
        <v>0</v>
      </c>
    </row>
    <row r="26" spans="1:8" ht="19.5" customHeight="1" x14ac:dyDescent="0.25">
      <c r="A26" s="30"/>
      <c r="B26" s="30"/>
      <c r="C26" s="31"/>
      <c r="D26" s="31"/>
      <c r="E26" s="74">
        <f t="shared" si="0"/>
        <v>0</v>
      </c>
      <c r="F26" s="31"/>
      <c r="G26" s="74">
        <f t="shared" si="1"/>
        <v>0</v>
      </c>
      <c r="H26" s="74">
        <f t="shared" si="2"/>
        <v>0</v>
      </c>
    </row>
    <row r="27" spans="1:8" ht="19.5" customHeight="1" x14ac:dyDescent="0.25">
      <c r="A27" s="30"/>
      <c r="B27" s="30"/>
      <c r="C27" s="31"/>
      <c r="D27" s="31"/>
      <c r="E27" s="74">
        <f t="shared" si="0"/>
        <v>0</v>
      </c>
      <c r="F27" s="31"/>
      <c r="G27" s="74">
        <f t="shared" si="1"/>
        <v>0</v>
      </c>
      <c r="H27" s="74">
        <f t="shared" si="2"/>
        <v>0</v>
      </c>
    </row>
    <row r="28" spans="1:8" ht="19.5" customHeight="1" x14ac:dyDescent="0.25">
      <c r="A28" s="30"/>
      <c r="B28" s="30"/>
      <c r="C28" s="31"/>
      <c r="D28" s="31"/>
      <c r="E28" s="74">
        <f t="shared" si="0"/>
        <v>0</v>
      </c>
      <c r="F28" s="31"/>
      <c r="G28" s="74">
        <f t="shared" si="1"/>
        <v>0</v>
      </c>
      <c r="H28" s="74">
        <f t="shared" si="2"/>
        <v>0</v>
      </c>
    </row>
    <row r="29" spans="1:8" ht="19.5" customHeight="1" x14ac:dyDescent="0.25">
      <c r="A29" s="30"/>
      <c r="B29" s="30"/>
      <c r="C29" s="31"/>
      <c r="D29" s="31"/>
      <c r="E29" s="74">
        <f t="shared" si="0"/>
        <v>0</v>
      </c>
      <c r="F29" s="31"/>
      <c r="G29" s="74">
        <f t="shared" si="1"/>
        <v>0</v>
      </c>
      <c r="H29" s="74">
        <f t="shared" si="2"/>
        <v>0</v>
      </c>
    </row>
    <row r="30" spans="1:8" ht="19.5" customHeight="1" x14ac:dyDescent="0.25">
      <c r="A30" s="30"/>
      <c r="B30" s="30"/>
      <c r="C30" s="31"/>
      <c r="D30" s="31"/>
      <c r="E30" s="74"/>
      <c r="F30" s="31"/>
      <c r="G30" s="74"/>
      <c r="H30" s="74"/>
    </row>
    <row r="31" spans="1:8" ht="19.5" customHeight="1" x14ac:dyDescent="0.25">
      <c r="A31" s="30"/>
      <c r="B31" s="30"/>
      <c r="C31" s="31"/>
      <c r="D31" s="31"/>
      <c r="E31" s="74"/>
      <c r="F31" s="31"/>
      <c r="G31" s="74"/>
      <c r="H31" s="74"/>
    </row>
    <row r="32" spans="1:8" ht="19.5" customHeight="1" x14ac:dyDescent="0.3">
      <c r="A32" s="97"/>
      <c r="B32" s="30"/>
      <c r="C32" s="31"/>
      <c r="D32" s="31"/>
      <c r="E32" s="74"/>
      <c r="F32" s="31"/>
      <c r="G32" s="74"/>
      <c r="H32" s="74"/>
    </row>
    <row r="33" spans="1:8" ht="19.5" customHeight="1" x14ac:dyDescent="0.25">
      <c r="A33" s="98"/>
      <c r="B33" s="30"/>
      <c r="C33" s="31"/>
      <c r="D33" s="31"/>
      <c r="E33" s="74"/>
      <c r="F33" s="31"/>
      <c r="G33" s="74"/>
      <c r="H33" s="74"/>
    </row>
    <row r="34" spans="1:8" ht="19.5" customHeight="1" x14ac:dyDescent="0.25">
      <c r="A34" s="30"/>
      <c r="B34" s="30"/>
      <c r="C34" s="31"/>
      <c r="D34" s="31"/>
      <c r="E34" s="74"/>
      <c r="F34" s="31"/>
      <c r="G34" s="74"/>
      <c r="H34" s="74"/>
    </row>
    <row r="35" spans="1:8" ht="19.5" customHeight="1" x14ac:dyDescent="0.25">
      <c r="A35" s="30"/>
      <c r="B35" s="30"/>
      <c r="C35" s="31"/>
      <c r="D35" s="31"/>
      <c r="E35" s="74"/>
      <c r="F35" s="31"/>
      <c r="G35" s="74"/>
      <c r="H35" s="74"/>
    </row>
    <row r="36" spans="1:8" ht="19.5" customHeight="1" x14ac:dyDescent="0.25">
      <c r="A36" s="30"/>
      <c r="B36" s="30"/>
      <c r="C36" s="31"/>
      <c r="D36" s="31"/>
      <c r="E36" s="74"/>
      <c r="F36" s="31"/>
      <c r="G36" s="74"/>
      <c r="H36" s="74"/>
    </row>
    <row r="37" spans="1:8" ht="19.5" customHeight="1" x14ac:dyDescent="0.25">
      <c r="A37" s="30"/>
      <c r="B37" s="30"/>
      <c r="C37" s="31"/>
      <c r="D37" s="31"/>
      <c r="E37" s="74"/>
      <c r="F37" s="31"/>
      <c r="G37" s="74"/>
      <c r="H37" s="74"/>
    </row>
    <row r="38" spans="1:8" ht="19.5" customHeight="1" x14ac:dyDescent="0.25">
      <c r="A38" s="30"/>
      <c r="B38" s="30"/>
      <c r="C38" s="31"/>
      <c r="D38" s="31"/>
      <c r="E38" s="74"/>
      <c r="F38" s="31"/>
      <c r="G38" s="74"/>
      <c r="H38" s="74"/>
    </row>
    <row r="39" spans="1:8" ht="19.5" customHeight="1" x14ac:dyDescent="0.25">
      <c r="A39" s="98"/>
      <c r="B39" s="98"/>
      <c r="C39" s="105"/>
      <c r="D39" s="31"/>
      <c r="E39" s="74"/>
      <c r="F39" s="31"/>
      <c r="G39" s="74"/>
      <c r="H39" s="74"/>
    </row>
    <row r="40" spans="1:8" ht="19.5" customHeight="1" x14ac:dyDescent="0.3">
      <c r="A40" s="97"/>
      <c r="B40" s="46"/>
      <c r="C40" s="47"/>
      <c r="D40" s="31"/>
      <c r="E40" s="74"/>
      <c r="F40" s="31"/>
      <c r="G40" s="74"/>
      <c r="H40" s="74"/>
    </row>
    <row r="41" spans="1:8" ht="19.5" customHeight="1" x14ac:dyDescent="0.25">
      <c r="A41" s="98"/>
      <c r="B41" s="98"/>
      <c r="C41" s="105"/>
      <c r="D41" s="31"/>
      <c r="E41" s="74"/>
      <c r="F41" s="31"/>
      <c r="G41" s="74"/>
      <c r="H41" s="74"/>
    </row>
    <row r="42" spans="1:8" ht="19.5" customHeight="1" x14ac:dyDescent="0.25">
      <c r="A42" s="98"/>
      <c r="B42" s="98"/>
      <c r="C42" s="105"/>
      <c r="D42" s="31"/>
      <c r="E42" s="74"/>
      <c r="F42" s="31"/>
      <c r="G42" s="74"/>
      <c r="H42" s="74"/>
    </row>
    <row r="43" spans="1:8" ht="19.5" customHeight="1" x14ac:dyDescent="0.25">
      <c r="A43" s="98"/>
      <c r="B43" s="98"/>
      <c r="C43" s="105"/>
      <c r="D43" s="31"/>
      <c r="E43" s="74"/>
      <c r="F43" s="31"/>
      <c r="G43" s="74"/>
      <c r="H43" s="74"/>
    </row>
    <row r="44" spans="1:8" ht="19.5" customHeight="1" x14ac:dyDescent="0.25">
      <c r="A44" s="98"/>
      <c r="B44" s="98"/>
      <c r="C44" s="105"/>
      <c r="D44" s="31"/>
      <c r="E44" s="74"/>
      <c r="F44" s="31"/>
      <c r="G44" s="74"/>
      <c r="H44" s="74"/>
    </row>
    <row r="45" spans="1:8" ht="19.5" customHeight="1" x14ac:dyDescent="0.3">
      <c r="A45" s="99"/>
      <c r="B45" s="106"/>
      <c r="C45" s="104"/>
      <c r="D45" s="31"/>
      <c r="E45" s="74"/>
      <c r="F45" s="31"/>
      <c r="G45" s="74"/>
      <c r="H45" s="74"/>
    </row>
    <row r="46" spans="1:8" ht="19.5" customHeight="1" x14ac:dyDescent="0.25">
      <c r="A46" s="30"/>
      <c r="B46" s="46"/>
      <c r="C46" s="47"/>
      <c r="D46" s="31"/>
      <c r="E46" s="74"/>
      <c r="F46" s="31"/>
      <c r="G46" s="74"/>
      <c r="H46" s="74"/>
    </row>
    <row r="47" spans="1:8" ht="19.5" customHeight="1" x14ac:dyDescent="0.25">
      <c r="A47" s="30"/>
      <c r="B47" s="46"/>
      <c r="C47" s="47"/>
      <c r="D47" s="31"/>
      <c r="E47" s="74"/>
      <c r="F47" s="31"/>
      <c r="G47" s="74"/>
      <c r="H47" s="74"/>
    </row>
    <row r="48" spans="1:8" ht="19.5" customHeight="1" x14ac:dyDescent="0.25">
      <c r="A48" s="30"/>
      <c r="B48" s="46"/>
      <c r="C48" s="47"/>
      <c r="D48" s="31"/>
      <c r="E48" s="74"/>
      <c r="F48" s="31"/>
      <c r="G48" s="74"/>
      <c r="H48" s="74"/>
    </row>
    <row r="49" spans="1:10" ht="19.5" customHeight="1" x14ac:dyDescent="0.25">
      <c r="A49" s="30"/>
      <c r="B49" s="46"/>
      <c r="C49" s="47"/>
      <c r="D49" s="31"/>
      <c r="E49" s="74"/>
      <c r="F49" s="31"/>
      <c r="G49" s="74"/>
      <c r="H49" s="74"/>
    </row>
    <row r="50" spans="1:10" ht="19.5" customHeight="1" x14ac:dyDescent="0.25">
      <c r="A50" s="30"/>
      <c r="B50" s="46"/>
      <c r="C50" s="47"/>
      <c r="D50" s="31"/>
      <c r="E50" s="74"/>
      <c r="F50" s="31"/>
      <c r="G50" s="74"/>
      <c r="H50" s="74"/>
    </row>
    <row r="51" spans="1:10" ht="19.5" customHeight="1" x14ac:dyDescent="0.25">
      <c r="A51" s="30"/>
      <c r="B51" s="46"/>
      <c r="C51" s="47"/>
      <c r="D51" s="31"/>
      <c r="E51" s="74"/>
      <c r="F51" s="31"/>
      <c r="G51" s="74"/>
      <c r="H51" s="74"/>
    </row>
    <row r="52" spans="1:10" ht="19.5" customHeight="1" x14ac:dyDescent="0.25">
      <c r="A52" s="39"/>
      <c r="B52" s="106"/>
      <c r="C52" s="104"/>
      <c r="D52" s="31"/>
      <c r="E52" s="74"/>
      <c r="F52" s="31"/>
      <c r="G52" s="74"/>
      <c r="H52" s="74"/>
    </row>
    <row r="53" spans="1:10" ht="19.5" customHeight="1" x14ac:dyDescent="0.3">
      <c r="A53" s="97"/>
      <c r="B53" s="46"/>
      <c r="C53" s="47"/>
      <c r="D53" s="31"/>
      <c r="E53" s="74"/>
      <c r="F53" s="31"/>
      <c r="G53" s="74"/>
      <c r="H53" s="74"/>
    </row>
    <row r="54" spans="1:10" ht="19.5" customHeight="1" x14ac:dyDescent="0.25">
      <c r="A54" s="30"/>
      <c r="B54" s="46"/>
      <c r="C54" s="47"/>
      <c r="D54" s="31"/>
      <c r="E54" s="74"/>
      <c r="F54" s="31"/>
      <c r="G54" s="74"/>
      <c r="H54" s="74"/>
    </row>
    <row r="55" spans="1:10" ht="19.5" customHeight="1" x14ac:dyDescent="0.25">
      <c r="A55" s="30"/>
      <c r="B55" s="30"/>
      <c r="C55" s="31"/>
      <c r="D55" s="31"/>
      <c r="E55" s="74">
        <f t="shared" si="0"/>
        <v>0</v>
      </c>
      <c r="F55" s="31"/>
      <c r="G55" s="74">
        <f t="shared" si="1"/>
        <v>0</v>
      </c>
      <c r="H55" s="74">
        <f t="shared" si="2"/>
        <v>0</v>
      </c>
    </row>
    <row r="56" spans="1:10" ht="19.5" customHeight="1" x14ac:dyDescent="0.3">
      <c r="A56" s="29" t="s">
        <v>127</v>
      </c>
      <c r="B56" s="30"/>
      <c r="C56" s="31"/>
      <c r="D56" s="31"/>
      <c r="E56" s="74">
        <f>SUM(E14:E29)</f>
        <v>0</v>
      </c>
      <c r="F56" s="31"/>
      <c r="G56" s="74">
        <f>SUM(G14:G29)</f>
        <v>0</v>
      </c>
      <c r="H56" s="45"/>
      <c r="I56" s="10"/>
      <c r="J56" s="10"/>
    </row>
    <row r="57" spans="1:10" ht="19.5" customHeight="1" x14ac:dyDescent="0.3">
      <c r="A57" s="29" t="s">
        <v>104</v>
      </c>
      <c r="B57" s="30"/>
      <c r="C57" s="31"/>
      <c r="D57" s="31"/>
      <c r="E57" s="41"/>
      <c r="F57" s="31"/>
      <c r="G57" s="41"/>
      <c r="H57" s="74">
        <f>SUM(E56:G56)</f>
        <v>0</v>
      </c>
      <c r="J57" s="10"/>
    </row>
    <row r="58" spans="1:10" ht="19.5" customHeight="1" x14ac:dyDescent="0.3">
      <c r="A58" s="29" t="s">
        <v>128</v>
      </c>
      <c r="B58" s="30"/>
      <c r="C58" s="31"/>
      <c r="D58" s="31"/>
      <c r="E58" s="31"/>
      <c r="F58" s="31"/>
      <c r="G58" s="95">
        <f>Summary!G20</f>
        <v>0</v>
      </c>
      <c r="H58" s="74">
        <f>SUM(H57*G58)</f>
        <v>0</v>
      </c>
    </row>
    <row r="59" spans="1:10" ht="19.5" customHeight="1" x14ac:dyDescent="0.3">
      <c r="A59" s="29" t="s">
        <v>129</v>
      </c>
      <c r="B59" s="30"/>
      <c r="C59" s="31"/>
      <c r="D59" s="31"/>
      <c r="E59" s="31"/>
      <c r="F59" s="31"/>
      <c r="G59" s="95">
        <f>Summary!G21</f>
        <v>0</v>
      </c>
      <c r="H59" s="74">
        <f>SUM(H57+H58)*G59</f>
        <v>0</v>
      </c>
      <c r="J59" s="10"/>
    </row>
    <row r="60" spans="1:10" ht="19.5" customHeight="1" x14ac:dyDescent="0.3">
      <c r="A60" s="29" t="s">
        <v>130</v>
      </c>
      <c r="B60" s="30"/>
      <c r="C60" s="31"/>
      <c r="D60" s="31"/>
      <c r="E60" s="31"/>
      <c r="F60" s="31"/>
      <c r="G60" s="95">
        <f>Summary!G22</f>
        <v>0</v>
      </c>
      <c r="H60" s="74">
        <f>SUM(G56*G60)</f>
        <v>0</v>
      </c>
      <c r="J60" s="10"/>
    </row>
    <row r="61" spans="1:10" ht="19.5" customHeight="1" thickBot="1" x14ac:dyDescent="0.35">
      <c r="A61" s="34" t="s">
        <v>124</v>
      </c>
      <c r="B61" s="32"/>
      <c r="C61" s="33"/>
      <c r="D61" s="33"/>
      <c r="E61" s="33"/>
      <c r="F61" s="33"/>
      <c r="G61" s="66"/>
      <c r="H61" s="75">
        <f>SUM(H57:H60)</f>
        <v>0</v>
      </c>
      <c r="J61" s="10"/>
    </row>
    <row r="62" spans="1:10" ht="19.5" customHeight="1" thickTop="1" x14ac:dyDescent="0.25">
      <c r="A62" s="35"/>
      <c r="B62" s="35"/>
      <c r="C62" s="36"/>
      <c r="D62" s="36"/>
      <c r="E62" s="36"/>
      <c r="F62" s="36"/>
      <c r="G62" s="36"/>
      <c r="H62" s="36"/>
      <c r="J62" s="10"/>
    </row>
    <row r="63" spans="1:10" ht="19.5" customHeight="1" x14ac:dyDescent="0.25">
      <c r="A63" s="35"/>
      <c r="B63" s="35"/>
      <c r="C63" s="36"/>
      <c r="D63" s="36"/>
      <c r="E63" s="36"/>
      <c r="F63" s="36"/>
      <c r="G63" s="36"/>
      <c r="H63" s="36"/>
    </row>
    <row r="64" spans="1:10" ht="19.5" customHeight="1" x14ac:dyDescent="0.25">
      <c r="A64" s="35"/>
      <c r="B64" s="35"/>
      <c r="C64" s="36"/>
      <c r="D64" s="36"/>
      <c r="E64" s="36"/>
      <c r="F64" s="36"/>
      <c r="G64" s="36"/>
      <c r="H64" s="36"/>
    </row>
    <row r="65" spans="1:9" ht="19.5" customHeight="1" x14ac:dyDescent="0.25">
      <c r="A65" s="35"/>
      <c r="B65" s="35"/>
      <c r="C65" s="36"/>
      <c r="D65" s="36"/>
      <c r="E65" s="36"/>
      <c r="F65" s="36"/>
      <c r="G65" s="36"/>
      <c r="H65" s="36"/>
    </row>
    <row r="66" spans="1:9" ht="19.5" customHeight="1" x14ac:dyDescent="0.25">
      <c r="A66" s="35"/>
      <c r="B66" s="35"/>
      <c r="C66" s="36"/>
      <c r="D66" s="36"/>
      <c r="E66" s="36"/>
      <c r="F66" s="36"/>
      <c r="G66" s="36"/>
      <c r="H66" s="36"/>
    </row>
    <row r="67" spans="1:9" ht="19.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12.75" customHeight="1" x14ac:dyDescent="0.25">
      <c r="A71" s="35"/>
      <c r="B71" s="35"/>
      <c r="C71" s="36"/>
      <c r="D71" s="36"/>
      <c r="E71" s="36"/>
      <c r="F71" s="36"/>
      <c r="G71" s="36"/>
      <c r="H71" s="36"/>
      <c r="I71" s="35"/>
    </row>
    <row r="72" spans="1:9" ht="12.75" customHeight="1" x14ac:dyDescent="0.25">
      <c r="A72" s="35"/>
      <c r="B72" s="35"/>
      <c r="C72" s="36"/>
      <c r="D72" s="36"/>
      <c r="E72" s="36"/>
      <c r="F72" s="36"/>
      <c r="G72" s="36"/>
      <c r="H72" s="36"/>
      <c r="I72" s="35"/>
    </row>
    <row r="73" spans="1:9" ht="12.75" customHeight="1" x14ac:dyDescent="0.25">
      <c r="A73" s="35"/>
      <c r="B73" s="35"/>
      <c r="C73" s="36"/>
      <c r="D73" s="36"/>
      <c r="E73" s="36"/>
      <c r="F73" s="36"/>
      <c r="G73" s="36"/>
      <c r="H73" s="36"/>
      <c r="I73" s="35"/>
    </row>
    <row r="74" spans="1:9" ht="12.75" customHeight="1" x14ac:dyDescent="0.25">
      <c r="A74" s="35"/>
      <c r="B74" s="35"/>
      <c r="C74" s="36"/>
      <c r="D74" s="36"/>
      <c r="E74" s="36"/>
      <c r="F74" s="36"/>
      <c r="G74" s="36"/>
      <c r="H74" s="36"/>
      <c r="I74" s="35"/>
    </row>
    <row r="75" spans="1:9" ht="12.75" customHeight="1" x14ac:dyDescent="0.25">
      <c r="A75" s="35"/>
      <c r="B75" s="35"/>
      <c r="C75" s="36"/>
      <c r="D75" s="36"/>
      <c r="E75" s="36"/>
      <c r="F75" s="36"/>
      <c r="G75" s="36"/>
      <c r="H75" s="36"/>
      <c r="I75" s="35"/>
    </row>
    <row r="76" spans="1:9" ht="12.75" customHeight="1" x14ac:dyDescent="0.25">
      <c r="A76" s="35"/>
      <c r="B76" s="35"/>
      <c r="C76" s="36"/>
      <c r="D76" s="36"/>
      <c r="E76" s="36"/>
      <c r="F76" s="36"/>
      <c r="G76" s="36"/>
      <c r="H76" s="36"/>
      <c r="I76" s="35"/>
    </row>
    <row r="77" spans="1:9" ht="12.75" customHeight="1" x14ac:dyDescent="0.25">
      <c r="A77" s="35"/>
      <c r="B77" s="35"/>
      <c r="C77" s="36"/>
      <c r="D77" s="36"/>
      <c r="E77" s="36"/>
      <c r="F77" s="36"/>
      <c r="G77" s="36"/>
      <c r="H77" s="36"/>
      <c r="I77" s="35"/>
    </row>
    <row r="78" spans="1:9" ht="12.75" customHeight="1" x14ac:dyDescent="0.25">
      <c r="A78" s="35"/>
      <c r="B78" s="35"/>
      <c r="C78" s="36"/>
      <c r="D78" s="36"/>
      <c r="E78" s="36"/>
      <c r="F78" s="36"/>
      <c r="G78" s="36"/>
      <c r="H78" s="36"/>
      <c r="I78" s="35"/>
    </row>
    <row r="79" spans="1:9" ht="12.75" customHeight="1" x14ac:dyDescent="0.25">
      <c r="A79" s="35"/>
      <c r="B79" s="35"/>
      <c r="C79" s="36"/>
      <c r="D79" s="36"/>
      <c r="E79" s="36"/>
      <c r="F79" s="36"/>
      <c r="G79" s="36"/>
      <c r="H79" s="36"/>
      <c r="I79" s="35"/>
    </row>
    <row r="80" spans="1:9" ht="12.75" customHeight="1" x14ac:dyDescent="0.25">
      <c r="A80" s="35"/>
      <c r="B80" s="35"/>
      <c r="C80" s="36"/>
      <c r="D80" s="36"/>
      <c r="E80" s="36"/>
      <c r="F80" s="36"/>
      <c r="G80" s="36"/>
      <c r="H80" s="36"/>
      <c r="I80" s="35"/>
    </row>
    <row r="81" spans="1:9" ht="12.75" customHeight="1" x14ac:dyDescent="0.25">
      <c r="A81" s="35"/>
      <c r="B81" s="35"/>
      <c r="C81" s="36"/>
      <c r="D81" s="36"/>
      <c r="E81" s="36"/>
      <c r="F81" s="36"/>
      <c r="G81" s="36"/>
      <c r="H81" s="36"/>
      <c r="I81" s="35"/>
    </row>
    <row r="82" spans="1:9" ht="12.75" customHeight="1" x14ac:dyDescent="0.25">
      <c r="A82" s="35"/>
      <c r="B82" s="35"/>
      <c r="C82" s="36"/>
      <c r="D82" s="36"/>
      <c r="E82" s="36"/>
      <c r="F82" s="36"/>
      <c r="G82" s="36"/>
      <c r="H82" s="36"/>
      <c r="I82" s="35"/>
    </row>
    <row r="83" spans="1:9" ht="12.75" customHeight="1" x14ac:dyDescent="0.25">
      <c r="A83" s="35"/>
      <c r="B83" s="35"/>
      <c r="C83" s="36"/>
      <c r="D83" s="36"/>
      <c r="E83" s="36"/>
      <c r="F83" s="36"/>
      <c r="G83" s="36"/>
      <c r="H83" s="36"/>
      <c r="I83" s="35"/>
    </row>
    <row r="84" spans="1:9" ht="12.75" customHeight="1" x14ac:dyDescent="0.25">
      <c r="A84" s="35"/>
      <c r="B84" s="35"/>
      <c r="C84" s="36"/>
      <c r="D84" s="36"/>
      <c r="E84" s="36"/>
      <c r="F84" s="36"/>
      <c r="G84" s="36"/>
      <c r="H84" s="36"/>
      <c r="I84" s="35"/>
    </row>
    <row r="85" spans="1:9" ht="12.75" customHeight="1" x14ac:dyDescent="0.25">
      <c r="A85" s="35"/>
      <c r="B85" s="35"/>
      <c r="C85" s="36"/>
      <c r="D85" s="36"/>
      <c r="E85" s="36"/>
      <c r="F85" s="36"/>
      <c r="G85" s="36"/>
      <c r="H85" s="36"/>
      <c r="I85" s="35"/>
    </row>
    <row r="86" spans="1:9" ht="12.75" customHeight="1" x14ac:dyDescent="0.25">
      <c r="A86" s="35"/>
      <c r="B86" s="35"/>
      <c r="C86" s="36"/>
      <c r="D86" s="36"/>
      <c r="E86" s="36"/>
      <c r="F86" s="36"/>
      <c r="G86" s="36"/>
      <c r="H86" s="36"/>
      <c r="I86" s="35"/>
    </row>
    <row r="87" spans="1:9" ht="12.75" customHeight="1" x14ac:dyDescent="0.25">
      <c r="A87" s="35"/>
      <c r="B87" s="35"/>
      <c r="C87" s="36"/>
      <c r="D87" s="36"/>
      <c r="E87" s="36"/>
      <c r="F87" s="36"/>
      <c r="G87" s="36"/>
      <c r="H87" s="36"/>
      <c r="I87" s="35"/>
    </row>
    <row r="88" spans="1:9" ht="12.75" customHeight="1" x14ac:dyDescent="0.25">
      <c r="A88" s="35"/>
      <c r="B88" s="35"/>
      <c r="C88" s="36"/>
      <c r="D88" s="36"/>
      <c r="E88" s="36"/>
      <c r="F88" s="36"/>
      <c r="G88" s="36"/>
      <c r="H88" s="36"/>
      <c r="I88" s="35"/>
    </row>
    <row r="89" spans="1:9" ht="12.75" customHeight="1" x14ac:dyDescent="0.25">
      <c r="A89" s="35"/>
      <c r="B89" s="35"/>
      <c r="C89" s="36"/>
      <c r="D89" s="36"/>
      <c r="E89" s="36"/>
      <c r="F89" s="36"/>
      <c r="G89" s="36"/>
      <c r="H89" s="36"/>
      <c r="I89" s="35"/>
    </row>
    <row r="90" spans="1:9" ht="12.75" customHeight="1" x14ac:dyDescent="0.25">
      <c r="A90" s="35"/>
      <c r="B90" s="35"/>
      <c r="C90" s="36"/>
      <c r="D90" s="36"/>
      <c r="E90" s="36"/>
      <c r="F90" s="36"/>
      <c r="G90" s="36"/>
      <c r="H90" s="36"/>
      <c r="I90" s="35"/>
    </row>
    <row r="91" spans="1:9" ht="12.75" customHeight="1" x14ac:dyDescent="0.25">
      <c r="A91" s="35"/>
      <c r="B91" s="35"/>
      <c r="C91" s="36"/>
      <c r="D91" s="36"/>
      <c r="E91" s="36"/>
      <c r="F91" s="36"/>
      <c r="G91" s="36"/>
      <c r="H91" s="36"/>
      <c r="I91" s="35"/>
    </row>
    <row r="92" spans="1:9" ht="12.75" customHeight="1" x14ac:dyDescent="0.25">
      <c r="A92" s="35"/>
      <c r="B92" s="35"/>
      <c r="C92" s="36"/>
      <c r="D92" s="36"/>
      <c r="E92" s="36"/>
      <c r="F92" s="36"/>
      <c r="G92" s="36"/>
      <c r="H92" s="36"/>
      <c r="I92" s="35"/>
    </row>
    <row r="93" spans="1:9" ht="12.75" customHeight="1" x14ac:dyDescent="0.25">
      <c r="A93" s="35"/>
      <c r="B93" s="35"/>
      <c r="C93" s="36"/>
      <c r="D93" s="36"/>
      <c r="E93" s="36"/>
      <c r="F93" s="36"/>
      <c r="G93" s="36"/>
      <c r="H93" s="36"/>
      <c r="I93" s="35"/>
    </row>
    <row r="94" spans="1:9" ht="12.75" customHeight="1" x14ac:dyDescent="0.25">
      <c r="A94" s="35"/>
      <c r="B94" s="35"/>
      <c r="C94" s="36"/>
      <c r="D94" s="36"/>
      <c r="E94" s="36"/>
      <c r="F94" s="36"/>
      <c r="G94" s="36"/>
      <c r="H94" s="36"/>
      <c r="I94" s="35"/>
    </row>
    <row r="95" spans="1:9" ht="12.75"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20.149999999999999" customHeight="1" x14ac:dyDescent="0.25">
      <c r="A122" s="35"/>
      <c r="B122" s="35"/>
      <c r="C122" s="36"/>
      <c r="D122" s="36"/>
      <c r="E122" s="36"/>
      <c r="F122" s="36"/>
      <c r="G122" s="36"/>
      <c r="H122" s="36"/>
      <c r="I122" s="35"/>
    </row>
    <row r="123" spans="1:9" ht="20.149999999999999" customHeight="1" x14ac:dyDescent="0.25">
      <c r="A123" s="35"/>
      <c r="B123" s="35"/>
      <c r="C123" s="36"/>
      <c r="D123" s="36"/>
      <c r="E123" s="36"/>
      <c r="F123" s="36"/>
      <c r="G123" s="36"/>
      <c r="H123" s="36"/>
      <c r="I123" s="35"/>
    </row>
    <row r="124" spans="1:9" ht="20.149999999999999" customHeight="1" x14ac:dyDescent="0.25">
      <c r="A124" s="35"/>
      <c r="B124" s="35"/>
      <c r="C124" s="36"/>
      <c r="D124" s="36"/>
      <c r="E124" s="36"/>
      <c r="F124" s="36"/>
      <c r="G124" s="36"/>
      <c r="H124" s="36"/>
      <c r="I124" s="35"/>
    </row>
    <row r="125" spans="1:9" ht="20.149999999999999" customHeight="1" x14ac:dyDescent="0.25">
      <c r="A125" s="35"/>
      <c r="B125" s="35"/>
      <c r="C125" s="36"/>
      <c r="D125" s="36"/>
      <c r="E125" s="36"/>
      <c r="F125" s="36"/>
      <c r="G125" s="36"/>
      <c r="H125" s="36"/>
      <c r="I125" s="35"/>
    </row>
    <row r="126" spans="1:9" ht="20.149999999999999" customHeight="1" x14ac:dyDescent="0.25">
      <c r="A126" s="35"/>
      <c r="B126" s="35"/>
      <c r="C126" s="36"/>
      <c r="D126" s="36"/>
      <c r="E126" s="36"/>
      <c r="F126" s="36"/>
      <c r="G126" s="36"/>
      <c r="H126" s="36"/>
      <c r="I126" s="35"/>
    </row>
    <row r="127" spans="1:9" ht="20.149999999999999" customHeight="1" x14ac:dyDescent="0.25">
      <c r="A127" s="35"/>
      <c r="B127" s="35"/>
      <c r="C127" s="36"/>
      <c r="D127" s="36"/>
      <c r="E127" s="36"/>
      <c r="F127" s="36"/>
      <c r="G127" s="36"/>
      <c r="H127" s="36"/>
      <c r="I127" s="35"/>
    </row>
    <row r="128" spans="1:9" ht="20.149999999999999" customHeight="1" x14ac:dyDescent="0.25">
      <c r="A128" s="35"/>
      <c r="B128" s="35"/>
      <c r="C128" s="36"/>
      <c r="D128" s="36"/>
      <c r="E128" s="36"/>
      <c r="F128" s="36"/>
      <c r="G128" s="36"/>
      <c r="H128" s="36"/>
      <c r="I128" s="35"/>
    </row>
    <row r="129" spans="1:9" ht="20.149999999999999" customHeight="1" x14ac:dyDescent="0.25">
      <c r="A129" s="35"/>
      <c r="B129" s="35"/>
      <c r="C129" s="36"/>
      <c r="D129" s="36"/>
      <c r="E129" s="36"/>
      <c r="F129" s="36"/>
      <c r="G129" s="36"/>
      <c r="H129" s="36"/>
      <c r="I129" s="35"/>
    </row>
    <row r="130" spans="1:9" ht="20.149999999999999" customHeight="1" x14ac:dyDescent="0.25">
      <c r="A130" s="35"/>
      <c r="B130" s="35"/>
      <c r="C130" s="36"/>
      <c r="D130" s="36"/>
      <c r="E130" s="36"/>
      <c r="F130" s="36"/>
      <c r="G130" s="36"/>
      <c r="H130" s="36"/>
      <c r="I130" s="35"/>
    </row>
    <row r="131" spans="1:9" ht="20.149999999999999" customHeight="1" x14ac:dyDescent="0.25">
      <c r="A131" s="35"/>
      <c r="B131" s="35"/>
      <c r="C131" s="36"/>
      <c r="D131" s="36"/>
      <c r="E131" s="36"/>
      <c r="F131" s="36"/>
      <c r="G131" s="36"/>
      <c r="H131" s="36"/>
      <c r="I131" s="35"/>
    </row>
    <row r="132" spans="1:9" ht="20.149999999999999" customHeight="1" x14ac:dyDescent="0.25">
      <c r="A132" s="35"/>
      <c r="B132" s="35"/>
      <c r="C132" s="36"/>
      <c r="D132" s="36"/>
      <c r="E132" s="36"/>
      <c r="F132" s="36"/>
      <c r="G132" s="36"/>
      <c r="H132" s="36"/>
      <c r="I132" s="35"/>
    </row>
    <row r="133" spans="1:9" ht="20.149999999999999" customHeight="1" x14ac:dyDescent="0.25">
      <c r="A133" s="35"/>
      <c r="B133" s="35"/>
      <c r="C133" s="36"/>
      <c r="D133" s="36"/>
      <c r="E133" s="36"/>
      <c r="F133" s="36"/>
      <c r="G133" s="36"/>
      <c r="H133" s="36"/>
      <c r="I133" s="35"/>
    </row>
    <row r="134" spans="1:9" ht="20.149999999999999" customHeight="1" x14ac:dyDescent="0.25">
      <c r="A134" s="35"/>
      <c r="B134" s="35"/>
      <c r="C134" s="36"/>
      <c r="D134" s="36"/>
      <c r="E134" s="36"/>
      <c r="F134" s="36"/>
      <c r="G134" s="36"/>
      <c r="H134" s="36"/>
      <c r="I134" s="35"/>
    </row>
    <row r="135" spans="1:9" ht="20.149999999999999" customHeight="1" x14ac:dyDescent="0.25">
      <c r="A135" s="35"/>
      <c r="B135" s="35"/>
      <c r="C135" s="36"/>
      <c r="D135" s="36"/>
      <c r="E135" s="36"/>
      <c r="F135" s="36"/>
      <c r="G135" s="36"/>
      <c r="H135" s="36"/>
      <c r="I135" s="35"/>
    </row>
    <row r="136" spans="1:9" ht="20.149999999999999" customHeight="1" x14ac:dyDescent="0.25">
      <c r="A136" s="35"/>
      <c r="B136" s="35"/>
      <c r="C136" s="36"/>
      <c r="D136" s="36"/>
      <c r="E136" s="36"/>
      <c r="F136" s="36"/>
      <c r="G136" s="36"/>
      <c r="H136" s="36"/>
      <c r="I136" s="35"/>
    </row>
    <row r="137" spans="1:9" ht="20.149999999999999" customHeight="1" x14ac:dyDescent="0.25">
      <c r="A137" s="35"/>
      <c r="B137" s="35"/>
      <c r="C137" s="36"/>
      <c r="D137" s="36"/>
      <c r="E137" s="36"/>
      <c r="F137" s="36"/>
      <c r="G137" s="36"/>
      <c r="H137" s="36"/>
      <c r="I137" s="35"/>
    </row>
    <row r="138" spans="1:9" ht="20.149999999999999" customHeight="1" x14ac:dyDescent="0.25">
      <c r="A138" s="35"/>
      <c r="B138" s="35"/>
      <c r="C138" s="36"/>
      <c r="D138" s="36"/>
      <c r="E138" s="36"/>
      <c r="F138" s="36"/>
      <c r="G138" s="36"/>
      <c r="H138" s="36"/>
      <c r="I138" s="35"/>
    </row>
    <row r="139" spans="1:9" ht="20.149999999999999" customHeight="1" x14ac:dyDescent="0.25">
      <c r="A139" s="35"/>
      <c r="B139" s="35"/>
      <c r="C139" s="36"/>
      <c r="D139" s="36"/>
      <c r="E139" s="36"/>
      <c r="F139" s="36"/>
      <c r="G139" s="36"/>
      <c r="H139" s="36"/>
      <c r="I139" s="35"/>
    </row>
    <row r="140" spans="1:9" ht="20.149999999999999" customHeight="1" x14ac:dyDescent="0.25">
      <c r="A140" s="35"/>
      <c r="B140" s="35"/>
      <c r="C140" s="36"/>
      <c r="D140" s="36"/>
      <c r="E140" s="36"/>
      <c r="F140" s="36"/>
      <c r="G140" s="36"/>
      <c r="H140" s="36"/>
      <c r="I140" s="35"/>
    </row>
    <row r="141" spans="1:9" ht="20.149999999999999" customHeight="1" x14ac:dyDescent="0.25">
      <c r="A141" s="35"/>
      <c r="B141" s="35"/>
      <c r="C141" s="36"/>
      <c r="D141" s="36"/>
      <c r="E141" s="36"/>
      <c r="F141" s="36"/>
      <c r="G141" s="36"/>
      <c r="H141" s="36"/>
      <c r="I141" s="35"/>
    </row>
    <row r="142" spans="1:9" ht="20.149999999999999" customHeight="1" x14ac:dyDescent="0.25">
      <c r="A142" s="35"/>
      <c r="B142" s="35"/>
      <c r="C142" s="36"/>
      <c r="D142" s="36"/>
      <c r="E142" s="36"/>
      <c r="F142" s="36"/>
      <c r="G142" s="36"/>
      <c r="H142" s="36"/>
      <c r="I142" s="35"/>
    </row>
    <row r="143" spans="1:9" ht="20.149999999999999" customHeight="1" x14ac:dyDescent="0.25">
      <c r="A143" s="35"/>
      <c r="B143" s="35"/>
      <c r="C143" s="36"/>
      <c r="D143" s="36"/>
      <c r="E143" s="36"/>
      <c r="F143" s="36"/>
      <c r="G143" s="36"/>
      <c r="H143" s="36"/>
      <c r="I143" s="35"/>
    </row>
    <row r="144" spans="1:9" ht="20.149999999999999" customHeight="1" x14ac:dyDescent="0.25">
      <c r="A144" s="35"/>
      <c r="B144" s="35"/>
      <c r="C144" s="36"/>
      <c r="D144" s="36"/>
      <c r="E144" s="36"/>
      <c r="F144" s="36"/>
      <c r="G144" s="36"/>
      <c r="H144" s="36"/>
      <c r="I144" s="35"/>
    </row>
    <row r="145" spans="1:9" ht="20.149999999999999" customHeight="1" x14ac:dyDescent="0.25">
      <c r="A145" s="35"/>
      <c r="B145" s="35"/>
      <c r="C145" s="36"/>
      <c r="D145" s="36"/>
      <c r="E145" s="36"/>
      <c r="F145" s="36"/>
      <c r="G145" s="36"/>
      <c r="H145" s="36"/>
      <c r="I145" s="35"/>
    </row>
    <row r="146" spans="1:9" ht="20.149999999999999" customHeight="1"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row r="207" spans="1:9" ht="12.5" x14ac:dyDescent="0.25">
      <c r="A207" s="35"/>
      <c r="B207" s="35"/>
      <c r="C207" s="36"/>
      <c r="D207" s="36"/>
      <c r="E207" s="36"/>
      <c r="F207" s="36"/>
      <c r="G207" s="36"/>
      <c r="H207" s="36"/>
      <c r="I207" s="35"/>
    </row>
    <row r="208" spans="1:9" ht="12.5" x14ac:dyDescent="0.25">
      <c r="A208" s="35"/>
      <c r="B208" s="35"/>
      <c r="C208" s="36"/>
      <c r="D208" s="36"/>
      <c r="E208" s="36"/>
      <c r="F208" s="36"/>
      <c r="G208" s="36"/>
      <c r="H208" s="36"/>
      <c r="I208" s="35"/>
    </row>
    <row r="209" spans="1:9" ht="12.5" x14ac:dyDescent="0.25">
      <c r="A209" s="35"/>
      <c r="B209" s="35"/>
      <c r="C209" s="36"/>
      <c r="D209" s="36"/>
      <c r="E209" s="36"/>
      <c r="F209" s="36"/>
      <c r="G209" s="36"/>
      <c r="H209" s="36"/>
      <c r="I209" s="35"/>
    </row>
    <row r="210" spans="1:9" ht="12.5" x14ac:dyDescent="0.25">
      <c r="A210" s="35"/>
      <c r="B210" s="35"/>
      <c r="C210" s="36"/>
      <c r="D210" s="36"/>
      <c r="E210" s="36"/>
      <c r="F210" s="36"/>
      <c r="G210" s="36"/>
      <c r="H210" s="36"/>
      <c r="I210" s="35"/>
    </row>
    <row r="211" spans="1:9" ht="12.5" x14ac:dyDescent="0.25">
      <c r="A211" s="35"/>
      <c r="B211" s="35"/>
      <c r="C211" s="36"/>
      <c r="D211" s="36"/>
      <c r="E211" s="36"/>
      <c r="F211" s="36"/>
      <c r="G211" s="36"/>
      <c r="H211" s="36"/>
      <c r="I211" s="35"/>
    </row>
    <row r="212" spans="1:9" ht="12.5" x14ac:dyDescent="0.25">
      <c r="A212" s="35"/>
      <c r="B212" s="35"/>
      <c r="C212" s="36"/>
      <c r="D212" s="36"/>
      <c r="E212" s="36"/>
      <c r="F212" s="36"/>
      <c r="G212" s="36"/>
      <c r="H212" s="36"/>
      <c r="I212" s="35"/>
    </row>
    <row r="213" spans="1:9" ht="12.5" x14ac:dyDescent="0.25">
      <c r="A213" s="35"/>
      <c r="B213" s="35"/>
      <c r="C213" s="36"/>
      <c r="D213" s="36"/>
      <c r="E213" s="36"/>
      <c r="F213" s="36"/>
      <c r="G213" s="36"/>
      <c r="H213" s="36"/>
      <c r="I213" s="35"/>
    </row>
    <row r="214" spans="1:9" ht="12.5" x14ac:dyDescent="0.25">
      <c r="A214" s="35"/>
      <c r="B214" s="35"/>
      <c r="C214" s="36"/>
      <c r="D214" s="36"/>
      <c r="E214" s="36"/>
      <c r="F214" s="36"/>
      <c r="G214" s="36"/>
      <c r="H214" s="36"/>
      <c r="I214" s="35"/>
    </row>
    <row r="215" spans="1:9" ht="12.5" x14ac:dyDescent="0.25">
      <c r="A215" s="35"/>
      <c r="B215" s="35"/>
      <c r="C215" s="36"/>
      <c r="D215" s="36"/>
      <c r="E215" s="36"/>
      <c r="F215" s="36"/>
      <c r="G215" s="36"/>
      <c r="H215" s="36"/>
      <c r="I215" s="35"/>
    </row>
    <row r="216" spans="1:9" ht="12.5" x14ac:dyDescent="0.25">
      <c r="A216" s="35"/>
      <c r="B216" s="35"/>
      <c r="C216" s="36"/>
      <c r="D216" s="36"/>
      <c r="E216" s="36"/>
      <c r="F216" s="36"/>
      <c r="G216" s="36"/>
      <c r="H216" s="36"/>
      <c r="I216" s="35"/>
    </row>
    <row r="217" spans="1:9" ht="12.5" x14ac:dyDescent="0.25">
      <c r="A217" s="35"/>
      <c r="B217" s="35"/>
      <c r="C217" s="36"/>
      <c r="D217" s="36"/>
      <c r="E217" s="36"/>
      <c r="F217" s="36"/>
      <c r="G217" s="36"/>
      <c r="H217" s="36"/>
      <c r="I217" s="35"/>
    </row>
    <row r="218" spans="1:9" ht="12.5" x14ac:dyDescent="0.25">
      <c r="A218" s="35"/>
      <c r="B218" s="35"/>
      <c r="C218" s="36"/>
      <c r="D218" s="36"/>
      <c r="E218" s="36"/>
      <c r="F218" s="36"/>
      <c r="G218" s="36"/>
      <c r="H218" s="36"/>
      <c r="I218" s="35"/>
    </row>
    <row r="219" spans="1:9" ht="12.5" x14ac:dyDescent="0.25">
      <c r="A219" s="35"/>
      <c r="B219" s="35"/>
      <c r="C219" s="36"/>
      <c r="D219" s="36"/>
      <c r="E219" s="36"/>
      <c r="F219" s="36"/>
      <c r="G219" s="36"/>
      <c r="H219" s="36"/>
      <c r="I219" s="35"/>
    </row>
    <row r="220" spans="1:9" ht="12.5" x14ac:dyDescent="0.25">
      <c r="A220" s="35"/>
      <c r="B220" s="35"/>
      <c r="C220" s="36"/>
      <c r="D220" s="36"/>
      <c r="E220" s="36"/>
      <c r="F220" s="36"/>
      <c r="G220" s="36"/>
      <c r="H220" s="36"/>
      <c r="I220" s="35"/>
    </row>
    <row r="221" spans="1:9" ht="12.5" x14ac:dyDescent="0.25">
      <c r="A221" s="35"/>
      <c r="B221" s="35"/>
      <c r="C221" s="36"/>
      <c r="D221" s="36"/>
      <c r="E221" s="36"/>
      <c r="F221" s="36"/>
      <c r="G221" s="36"/>
      <c r="H221" s="36"/>
      <c r="I221" s="35"/>
    </row>
    <row r="222" spans="1:9" ht="12.5" x14ac:dyDescent="0.25">
      <c r="A222" s="35"/>
      <c r="B222" s="35"/>
      <c r="C222" s="36"/>
      <c r="D222" s="36"/>
      <c r="E222" s="36"/>
      <c r="F222" s="36"/>
      <c r="G222" s="36"/>
      <c r="H222" s="36"/>
      <c r="I222" s="35"/>
    </row>
    <row r="223" spans="1:9" ht="12.5" x14ac:dyDescent="0.25">
      <c r="A223" s="35"/>
      <c r="B223" s="35"/>
      <c r="C223" s="36"/>
      <c r="D223" s="36"/>
      <c r="E223" s="36"/>
      <c r="F223" s="36"/>
      <c r="G223" s="36"/>
      <c r="H223" s="36"/>
      <c r="I223" s="35"/>
    </row>
    <row r="224" spans="1:9" ht="12.5" x14ac:dyDescent="0.25">
      <c r="A224" s="35"/>
      <c r="B224" s="35"/>
      <c r="C224" s="36"/>
      <c r="D224" s="36"/>
      <c r="E224" s="36"/>
      <c r="F224" s="36"/>
      <c r="G224" s="36"/>
      <c r="H224" s="36"/>
      <c r="I224" s="35"/>
    </row>
    <row r="225" spans="1:9" ht="12.5" x14ac:dyDescent="0.25">
      <c r="A225" s="35"/>
      <c r="B225" s="35"/>
      <c r="C225" s="36"/>
      <c r="D225" s="36"/>
      <c r="E225" s="36"/>
      <c r="F225" s="36"/>
      <c r="G225" s="36"/>
      <c r="H225" s="36"/>
      <c r="I225" s="35"/>
    </row>
    <row r="226" spans="1:9" ht="12.5" x14ac:dyDescent="0.25">
      <c r="A226" s="35"/>
      <c r="B226" s="35"/>
      <c r="C226" s="36"/>
      <c r="D226" s="36"/>
      <c r="E226" s="36"/>
      <c r="F226" s="36"/>
      <c r="G226" s="36"/>
      <c r="H226" s="36"/>
      <c r="I226" s="35"/>
    </row>
    <row r="227" spans="1:9" ht="12.5" x14ac:dyDescent="0.25">
      <c r="A227" s="35"/>
      <c r="B227" s="35"/>
      <c r="C227" s="36"/>
      <c r="D227" s="36"/>
      <c r="E227" s="36"/>
      <c r="F227" s="36"/>
      <c r="G227" s="36"/>
      <c r="H227" s="36"/>
      <c r="I227" s="35"/>
    </row>
    <row r="228" spans="1:9" ht="12.5" x14ac:dyDescent="0.25">
      <c r="A228" s="35"/>
      <c r="B228" s="35"/>
      <c r="C228" s="36"/>
      <c r="D228" s="36"/>
      <c r="E228" s="36"/>
      <c r="F228" s="36"/>
      <c r="G228" s="36"/>
      <c r="H228" s="36"/>
      <c r="I228" s="35"/>
    </row>
    <row r="229" spans="1:9" ht="12.5" x14ac:dyDescent="0.25">
      <c r="I229" s="35"/>
    </row>
    <row r="230" spans="1:9" ht="12.5" x14ac:dyDescent="0.25">
      <c r="I230" s="35"/>
    </row>
    <row r="231" spans="1:9" ht="12.5" x14ac:dyDescent="0.25">
      <c r="I231" s="35"/>
    </row>
    <row r="232" spans="1:9" ht="12.5" x14ac:dyDescent="0.25">
      <c r="I232" s="35"/>
    </row>
    <row r="233" spans="1:9" ht="12.5" x14ac:dyDescent="0.25">
      <c r="I233" s="35"/>
    </row>
  </sheetData>
  <mergeCells count="1">
    <mergeCell ref="A1:C2"/>
  </mergeCells>
  <printOptions horizontalCentered="1" verticalCentered="1" gridLinesSet="0"/>
  <pageMargins left="0.25" right="0.25" top="0.75" bottom="0.75" header="0.3" footer="0.3"/>
  <pageSetup scale="91" orientation="portrait" horizontalDpi="1200" verticalDpi="12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J202"/>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Summary!B35</f>
        <v>EXTERIOR IMPROVEMENTS</v>
      </c>
      <c r="B13" s="41"/>
      <c r="C13" s="45"/>
      <c r="D13" s="53"/>
      <c r="E13" s="45"/>
      <c r="F13" s="53"/>
      <c r="G13" s="45"/>
      <c r="H13" s="45"/>
    </row>
    <row r="14" spans="1:9" ht="19.5" customHeight="1" x14ac:dyDescent="0.25">
      <c r="A14" s="30"/>
      <c r="B14" s="44"/>
      <c r="C14" s="45"/>
      <c r="D14" s="45"/>
      <c r="E14" s="89">
        <f>B14*D14</f>
        <v>0</v>
      </c>
      <c r="F14" s="45"/>
      <c r="G14" s="89">
        <f t="shared" ref="G14:G29" si="0">B14*F14</f>
        <v>0</v>
      </c>
      <c r="H14" s="89">
        <f t="shared" ref="H14:H29" si="1">E14+G14</f>
        <v>0</v>
      </c>
    </row>
    <row r="15" spans="1:9" ht="19.5" customHeight="1" x14ac:dyDescent="0.25">
      <c r="A15" s="30"/>
      <c r="B15" s="30"/>
      <c r="C15" s="31"/>
      <c r="D15" s="31"/>
      <c r="E15" s="74">
        <f>B15*D15</f>
        <v>0</v>
      </c>
      <c r="F15" s="31"/>
      <c r="G15" s="74">
        <f t="shared" si="0"/>
        <v>0</v>
      </c>
      <c r="H15" s="74">
        <f t="shared" si="1"/>
        <v>0</v>
      </c>
    </row>
    <row r="16" spans="1:9" ht="19.5" customHeight="1" x14ac:dyDescent="0.25">
      <c r="A16" s="30"/>
      <c r="B16" s="30"/>
      <c r="C16" s="31"/>
      <c r="D16" s="31"/>
      <c r="E16" s="74">
        <f t="shared" ref="E16:E29" si="2">B16*D16</f>
        <v>0</v>
      </c>
      <c r="F16" s="31"/>
      <c r="G16" s="74">
        <f t="shared" si="0"/>
        <v>0</v>
      </c>
      <c r="H16" s="74">
        <f t="shared" si="1"/>
        <v>0</v>
      </c>
    </row>
    <row r="17" spans="1:10" ht="19.5" customHeight="1" x14ac:dyDescent="0.25">
      <c r="A17" s="30"/>
      <c r="B17" s="30"/>
      <c r="C17" s="31"/>
      <c r="D17" s="31"/>
      <c r="E17" s="74">
        <f t="shared" si="2"/>
        <v>0</v>
      </c>
      <c r="F17" s="31"/>
      <c r="G17" s="74">
        <f t="shared" si="0"/>
        <v>0</v>
      </c>
      <c r="H17" s="74">
        <f t="shared" si="1"/>
        <v>0</v>
      </c>
    </row>
    <row r="18" spans="1:10" ht="19.5" customHeight="1" x14ac:dyDescent="0.25">
      <c r="A18" s="30"/>
      <c r="B18" s="30"/>
      <c r="C18" s="31"/>
      <c r="D18" s="31"/>
      <c r="E18" s="74">
        <f t="shared" si="2"/>
        <v>0</v>
      </c>
      <c r="F18" s="31"/>
      <c r="G18" s="74">
        <f t="shared" si="0"/>
        <v>0</v>
      </c>
      <c r="H18" s="74">
        <f t="shared" si="1"/>
        <v>0</v>
      </c>
    </row>
    <row r="19" spans="1:10" ht="19.5" customHeight="1" x14ac:dyDescent="0.25">
      <c r="A19" s="30"/>
      <c r="B19" s="30"/>
      <c r="C19" s="31"/>
      <c r="D19" s="31"/>
      <c r="E19" s="74">
        <f t="shared" si="2"/>
        <v>0</v>
      </c>
      <c r="F19" s="31"/>
      <c r="G19" s="74">
        <f t="shared" si="0"/>
        <v>0</v>
      </c>
      <c r="H19" s="74">
        <f t="shared" si="1"/>
        <v>0</v>
      </c>
    </row>
    <row r="20" spans="1:10" ht="19.5" customHeight="1" x14ac:dyDescent="0.25">
      <c r="A20" s="30"/>
      <c r="B20" s="30"/>
      <c r="C20" s="31"/>
      <c r="D20" s="31"/>
      <c r="E20" s="74">
        <f t="shared" si="2"/>
        <v>0</v>
      </c>
      <c r="F20" s="31"/>
      <c r="G20" s="74">
        <f t="shared" si="0"/>
        <v>0</v>
      </c>
      <c r="H20" s="74">
        <f t="shared" si="1"/>
        <v>0</v>
      </c>
    </row>
    <row r="21" spans="1:10" ht="19.5" customHeight="1" x14ac:dyDescent="0.25">
      <c r="A21" s="30"/>
      <c r="B21" s="30"/>
      <c r="C21" s="31"/>
      <c r="D21" s="31"/>
      <c r="E21" s="74">
        <f t="shared" si="2"/>
        <v>0</v>
      </c>
      <c r="F21" s="31"/>
      <c r="G21" s="74">
        <f t="shared" si="0"/>
        <v>0</v>
      </c>
      <c r="H21" s="74">
        <f t="shared" si="1"/>
        <v>0</v>
      </c>
    </row>
    <row r="22" spans="1:10" ht="19.5" customHeight="1" x14ac:dyDescent="0.25">
      <c r="A22" s="30"/>
      <c r="B22" s="30"/>
      <c r="C22" s="31"/>
      <c r="D22" s="31"/>
      <c r="E22" s="74">
        <f t="shared" si="2"/>
        <v>0</v>
      </c>
      <c r="F22" s="31"/>
      <c r="G22" s="74">
        <f t="shared" si="0"/>
        <v>0</v>
      </c>
      <c r="H22" s="74">
        <f t="shared" si="1"/>
        <v>0</v>
      </c>
    </row>
    <row r="23" spans="1:10" ht="19.5" customHeight="1" x14ac:dyDescent="0.25">
      <c r="A23" s="30"/>
      <c r="B23" s="30"/>
      <c r="C23" s="31"/>
      <c r="D23" s="31"/>
      <c r="E23" s="74">
        <f t="shared" si="2"/>
        <v>0</v>
      </c>
      <c r="F23" s="31"/>
      <c r="G23" s="74">
        <f t="shared" si="0"/>
        <v>0</v>
      </c>
      <c r="H23" s="74">
        <f t="shared" si="1"/>
        <v>0</v>
      </c>
    </row>
    <row r="24" spans="1:10" ht="19.5" customHeight="1" x14ac:dyDescent="0.25">
      <c r="A24" s="30"/>
      <c r="B24" s="30"/>
      <c r="C24" s="31"/>
      <c r="D24" s="31"/>
      <c r="E24" s="74">
        <f t="shared" si="2"/>
        <v>0</v>
      </c>
      <c r="F24" s="31"/>
      <c r="G24" s="74">
        <f t="shared" si="0"/>
        <v>0</v>
      </c>
      <c r="H24" s="74">
        <f t="shared" si="1"/>
        <v>0</v>
      </c>
    </row>
    <row r="25" spans="1:10" ht="19.5" customHeight="1" x14ac:dyDescent="0.25">
      <c r="A25" s="30"/>
      <c r="B25" s="30"/>
      <c r="C25" s="31"/>
      <c r="D25" s="31"/>
      <c r="E25" s="74">
        <f t="shared" si="2"/>
        <v>0</v>
      </c>
      <c r="F25" s="31"/>
      <c r="G25" s="74">
        <f t="shared" si="0"/>
        <v>0</v>
      </c>
      <c r="H25" s="74">
        <f t="shared" si="1"/>
        <v>0</v>
      </c>
    </row>
    <row r="26" spans="1:10" ht="19.5" customHeight="1" x14ac:dyDescent="0.25">
      <c r="A26" s="30"/>
      <c r="B26" s="30"/>
      <c r="C26" s="31"/>
      <c r="D26" s="31"/>
      <c r="E26" s="74">
        <f t="shared" si="2"/>
        <v>0</v>
      </c>
      <c r="F26" s="31"/>
      <c r="G26" s="74">
        <f t="shared" si="0"/>
        <v>0</v>
      </c>
      <c r="H26" s="74">
        <f t="shared" si="1"/>
        <v>0</v>
      </c>
    </row>
    <row r="27" spans="1:10" ht="19.5" customHeight="1" x14ac:dyDescent="0.25">
      <c r="A27" s="30"/>
      <c r="B27" s="30"/>
      <c r="C27" s="31"/>
      <c r="D27" s="31"/>
      <c r="E27" s="74">
        <f t="shared" si="2"/>
        <v>0</v>
      </c>
      <c r="F27" s="31"/>
      <c r="G27" s="74">
        <f t="shared" si="0"/>
        <v>0</v>
      </c>
      <c r="H27" s="74">
        <f t="shared" si="1"/>
        <v>0</v>
      </c>
    </row>
    <row r="28" spans="1:10" ht="19.5" customHeight="1" x14ac:dyDescent="0.25">
      <c r="A28" s="30"/>
      <c r="B28" s="30"/>
      <c r="C28" s="31"/>
      <c r="D28" s="31"/>
      <c r="E28" s="74">
        <f t="shared" si="2"/>
        <v>0</v>
      </c>
      <c r="F28" s="31"/>
      <c r="G28" s="74">
        <f t="shared" si="0"/>
        <v>0</v>
      </c>
      <c r="H28" s="74">
        <f t="shared" si="1"/>
        <v>0</v>
      </c>
    </row>
    <row r="29" spans="1:10" ht="19.5" customHeight="1" x14ac:dyDescent="0.25">
      <c r="A29" s="30"/>
      <c r="B29" s="30"/>
      <c r="C29" s="31"/>
      <c r="D29" s="31"/>
      <c r="E29" s="74">
        <f t="shared" si="2"/>
        <v>0</v>
      </c>
      <c r="F29" s="31"/>
      <c r="G29" s="74">
        <f t="shared" si="0"/>
        <v>0</v>
      </c>
      <c r="H29" s="74">
        <f t="shared" si="1"/>
        <v>0</v>
      </c>
    </row>
    <row r="30" spans="1:10" ht="19.5" customHeight="1" x14ac:dyDescent="0.3">
      <c r="A30" s="29" t="s">
        <v>127</v>
      </c>
      <c r="B30" s="30"/>
      <c r="C30" s="31"/>
      <c r="D30" s="31"/>
      <c r="E30" s="74">
        <f>SUM(E14:E29)</f>
        <v>0</v>
      </c>
      <c r="F30" s="31"/>
      <c r="G30" s="74">
        <f>SUM(G14:G29)</f>
        <v>0</v>
      </c>
      <c r="H30" s="53"/>
    </row>
    <row r="31" spans="1:10" ht="19.5" customHeight="1" x14ac:dyDescent="0.3">
      <c r="A31" s="29" t="s">
        <v>104</v>
      </c>
      <c r="B31" s="30"/>
      <c r="C31" s="31"/>
      <c r="D31" s="31"/>
      <c r="E31" s="41"/>
      <c r="F31" s="31"/>
      <c r="G31" s="41"/>
      <c r="H31" s="74">
        <f>E30+G30</f>
        <v>0</v>
      </c>
      <c r="J31" s="10"/>
    </row>
    <row r="32" spans="1:10" ht="19.5" customHeight="1" x14ac:dyDescent="0.3">
      <c r="A32" s="29" t="s">
        <v>128</v>
      </c>
      <c r="B32" s="30"/>
      <c r="C32" s="31"/>
      <c r="D32" s="31"/>
      <c r="E32" s="31"/>
      <c r="F32" s="31"/>
      <c r="G32" s="95">
        <f>Summary!G20</f>
        <v>0</v>
      </c>
      <c r="H32" s="74">
        <f>SUM(H31*G32)</f>
        <v>0</v>
      </c>
    </row>
    <row r="33" spans="1:9" ht="19.5" customHeight="1" x14ac:dyDescent="0.3">
      <c r="A33" s="29" t="s">
        <v>129</v>
      </c>
      <c r="B33" s="30"/>
      <c r="C33" s="31"/>
      <c r="D33" s="31"/>
      <c r="E33" s="31"/>
      <c r="F33" s="31"/>
      <c r="G33" s="95">
        <f>Summary!G21</f>
        <v>0</v>
      </c>
      <c r="H33" s="74">
        <f>SUM(H31+H32)*G33</f>
        <v>0</v>
      </c>
    </row>
    <row r="34" spans="1:9" ht="19.5" customHeight="1" x14ac:dyDescent="0.3">
      <c r="A34" s="29" t="s">
        <v>130</v>
      </c>
      <c r="B34" s="30"/>
      <c r="C34" s="31"/>
      <c r="D34" s="31"/>
      <c r="E34" s="31"/>
      <c r="F34" s="31"/>
      <c r="G34" s="95">
        <f>Summary!G22</f>
        <v>0</v>
      </c>
      <c r="H34" s="74">
        <f>SUM(G30*G34)</f>
        <v>0</v>
      </c>
    </row>
    <row r="35" spans="1:9" ht="19.5" customHeight="1" thickBot="1" x14ac:dyDescent="0.35">
      <c r="A35" s="34" t="s">
        <v>124</v>
      </c>
      <c r="B35" s="32"/>
      <c r="C35" s="33"/>
      <c r="D35" s="33"/>
      <c r="E35" s="33"/>
      <c r="F35" s="33"/>
      <c r="G35" s="66"/>
      <c r="H35" s="75">
        <f>SUM(H31:H34)</f>
        <v>0</v>
      </c>
    </row>
    <row r="36" spans="1:9" ht="12.75" customHeight="1" thickTop="1" x14ac:dyDescent="0.25">
      <c r="A36" s="35"/>
      <c r="B36" s="35"/>
      <c r="C36" s="36"/>
      <c r="D36" s="36"/>
      <c r="E36" s="36"/>
      <c r="F36" s="36"/>
      <c r="G36" s="36"/>
      <c r="H36" s="36"/>
      <c r="I36" s="35"/>
    </row>
    <row r="37" spans="1:9" ht="12.75" customHeight="1" x14ac:dyDescent="0.25">
      <c r="A37" s="35"/>
      <c r="B37" s="35"/>
      <c r="C37" s="36"/>
      <c r="D37" s="36"/>
      <c r="E37" s="36"/>
      <c r="F37" s="36"/>
      <c r="G37" s="36"/>
      <c r="H37" s="36"/>
      <c r="I37" s="35"/>
    </row>
    <row r="38" spans="1:9" ht="12.75" customHeight="1" x14ac:dyDescent="0.25">
      <c r="A38" s="35"/>
      <c r="B38" s="35"/>
      <c r="C38" s="36"/>
      <c r="D38" s="36"/>
      <c r="E38" s="36"/>
      <c r="F38" s="36"/>
      <c r="G38" s="36"/>
      <c r="H38" s="36"/>
      <c r="I38" s="35"/>
    </row>
    <row r="39" spans="1:9" ht="12.75" customHeight="1" x14ac:dyDescent="0.25">
      <c r="A39" s="35"/>
      <c r="B39" s="35"/>
      <c r="C39" s="36"/>
      <c r="D39" s="36"/>
      <c r="E39" s="36"/>
      <c r="F39" s="36"/>
      <c r="G39" s="36"/>
      <c r="H39" s="36"/>
      <c r="I39" s="35"/>
    </row>
    <row r="40" spans="1:9" ht="12.75" customHeight="1" x14ac:dyDescent="0.25">
      <c r="A40" s="35"/>
      <c r="B40" s="35"/>
      <c r="C40" s="36"/>
      <c r="D40" s="36"/>
      <c r="E40" s="36"/>
      <c r="F40" s="36"/>
      <c r="G40" s="36"/>
      <c r="H40" s="36"/>
      <c r="I40" s="35"/>
    </row>
    <row r="41" spans="1:9" ht="12.75" customHeight="1" x14ac:dyDescent="0.25">
      <c r="A41" s="35"/>
      <c r="B41" s="35"/>
      <c r="C41" s="36"/>
      <c r="D41" s="36"/>
      <c r="E41" s="36"/>
      <c r="F41" s="36"/>
      <c r="G41" s="36"/>
      <c r="H41" s="36"/>
      <c r="I41" s="35"/>
    </row>
    <row r="42" spans="1:9" ht="12.75" customHeight="1" x14ac:dyDescent="0.25">
      <c r="A42" s="35"/>
      <c r="B42" s="35"/>
      <c r="C42" s="36"/>
      <c r="D42" s="36"/>
      <c r="E42" s="36"/>
      <c r="F42" s="36"/>
      <c r="G42" s="36"/>
      <c r="H42" s="36"/>
      <c r="I42" s="35"/>
    </row>
    <row r="43" spans="1:9" ht="12.75" customHeight="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20.149999999999999" customHeight="1" x14ac:dyDescent="0.25">
      <c r="A65" s="35"/>
      <c r="B65" s="35"/>
      <c r="C65" s="36"/>
      <c r="D65" s="36"/>
      <c r="E65" s="36"/>
      <c r="F65" s="36"/>
      <c r="G65" s="36"/>
      <c r="H65" s="36"/>
      <c r="I65" s="35"/>
    </row>
    <row r="66" spans="1:9" ht="20.149999999999999" customHeight="1" x14ac:dyDescent="0.25">
      <c r="A66" s="35"/>
      <c r="B66" s="35"/>
      <c r="C66" s="36"/>
      <c r="D66" s="36"/>
      <c r="E66" s="36"/>
      <c r="F66" s="36"/>
      <c r="G66" s="36"/>
      <c r="H66" s="36"/>
      <c r="I66" s="35"/>
    </row>
    <row r="67" spans="1:9" ht="20.149999999999999" customHeight="1" x14ac:dyDescent="0.25">
      <c r="A67" s="35"/>
      <c r="B67" s="35"/>
      <c r="C67" s="36"/>
      <c r="D67" s="36"/>
      <c r="E67" s="36"/>
      <c r="F67" s="36"/>
      <c r="G67" s="36"/>
      <c r="H67" s="36"/>
      <c r="I67" s="35"/>
    </row>
    <row r="68" spans="1:9" ht="20.149999999999999"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12.5" x14ac:dyDescent="0.25">
      <c r="A116" s="35"/>
      <c r="B116" s="35"/>
      <c r="C116" s="36"/>
      <c r="D116" s="36"/>
      <c r="E116" s="36"/>
      <c r="F116" s="36"/>
      <c r="G116" s="36"/>
      <c r="H116" s="36"/>
      <c r="I116" s="35"/>
    </row>
    <row r="117" spans="1:9" ht="12.5" x14ac:dyDescent="0.25">
      <c r="A117" s="35"/>
      <c r="B117" s="35"/>
      <c r="C117" s="36"/>
      <c r="D117" s="36"/>
      <c r="E117" s="36"/>
      <c r="F117" s="36"/>
      <c r="G117" s="36"/>
      <c r="H117" s="36"/>
      <c r="I117" s="35"/>
    </row>
    <row r="118" spans="1:9" ht="12.5" x14ac:dyDescent="0.25">
      <c r="A118" s="35"/>
      <c r="B118" s="35"/>
      <c r="C118" s="36"/>
      <c r="D118" s="36"/>
      <c r="E118" s="36"/>
      <c r="F118" s="36"/>
      <c r="G118" s="36"/>
      <c r="H118" s="36"/>
      <c r="I118" s="35"/>
    </row>
    <row r="119" spans="1:9" ht="12.5"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sheetData>
  <mergeCells count="1">
    <mergeCell ref="A1:C2"/>
  </mergeCells>
  <printOptions horizontalCentered="1" verticalCentered="1" gridLinesSet="0"/>
  <pageMargins left="0.25" right="0.25" top="0.75" bottom="0.75" header="0.3" footer="0.3"/>
  <pageSetup scale="93" orientation="portrait" horizontalDpi="1200" verticalDpi="120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J198"/>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Summary!B36</f>
        <v>UTILITIES</v>
      </c>
      <c r="B13" s="30"/>
      <c r="C13" s="31"/>
      <c r="D13" s="31"/>
      <c r="E13" s="31"/>
      <c r="F13" s="31"/>
      <c r="G13" s="31"/>
      <c r="H13" s="31"/>
    </row>
    <row r="14" spans="1:9" ht="19.5" customHeight="1" x14ac:dyDescent="0.25">
      <c r="A14" s="30"/>
      <c r="B14" s="30"/>
      <c r="C14" s="31"/>
      <c r="D14" s="31"/>
      <c r="E14" s="74">
        <f t="shared" ref="E14:E25" si="0">B14*D14</f>
        <v>0</v>
      </c>
      <c r="F14" s="31"/>
      <c r="G14" s="74">
        <f t="shared" ref="G14:G25" si="1">B14*F14</f>
        <v>0</v>
      </c>
      <c r="H14" s="74">
        <f t="shared" ref="H14:H25" si="2">E14+G14</f>
        <v>0</v>
      </c>
    </row>
    <row r="15" spans="1:9" ht="19.5" customHeight="1" x14ac:dyDescent="0.25">
      <c r="A15" s="30"/>
      <c r="B15" s="30"/>
      <c r="C15" s="31"/>
      <c r="D15" s="31"/>
      <c r="E15" s="74">
        <f t="shared" si="0"/>
        <v>0</v>
      </c>
      <c r="F15" s="31"/>
      <c r="G15" s="74">
        <f t="shared" si="1"/>
        <v>0</v>
      </c>
      <c r="H15" s="74">
        <f t="shared" si="2"/>
        <v>0</v>
      </c>
    </row>
    <row r="16" spans="1:9" ht="19.5" customHeight="1" x14ac:dyDescent="0.25">
      <c r="A16" s="52"/>
      <c r="B16" s="30"/>
      <c r="C16" s="31"/>
      <c r="D16" s="31"/>
      <c r="E16" s="74">
        <f t="shared" si="0"/>
        <v>0</v>
      </c>
      <c r="F16" s="31"/>
      <c r="G16" s="74">
        <f t="shared" si="1"/>
        <v>0</v>
      </c>
      <c r="H16" s="74">
        <f t="shared" si="2"/>
        <v>0</v>
      </c>
    </row>
    <row r="17" spans="1:10" ht="19.5" customHeight="1" x14ac:dyDescent="0.25">
      <c r="A17" s="30"/>
      <c r="B17" s="30"/>
      <c r="C17" s="31"/>
      <c r="D17" s="31"/>
      <c r="E17" s="74">
        <f t="shared" si="0"/>
        <v>0</v>
      </c>
      <c r="F17" s="31"/>
      <c r="G17" s="74">
        <f t="shared" si="1"/>
        <v>0</v>
      </c>
      <c r="H17" s="74">
        <f t="shared" si="2"/>
        <v>0</v>
      </c>
    </row>
    <row r="18" spans="1:10" ht="19.5" customHeight="1" x14ac:dyDescent="0.25">
      <c r="A18" s="30"/>
      <c r="B18" s="30"/>
      <c r="C18" s="31"/>
      <c r="D18" s="31"/>
      <c r="E18" s="74">
        <f t="shared" si="0"/>
        <v>0</v>
      </c>
      <c r="F18" s="31"/>
      <c r="G18" s="74">
        <f t="shared" si="1"/>
        <v>0</v>
      </c>
      <c r="H18" s="74">
        <f t="shared" si="2"/>
        <v>0</v>
      </c>
    </row>
    <row r="19" spans="1:10" ht="19.5" customHeight="1" x14ac:dyDescent="0.25">
      <c r="A19" s="30"/>
      <c r="B19" s="30"/>
      <c r="C19" s="31"/>
      <c r="D19" s="31"/>
      <c r="E19" s="74">
        <f t="shared" si="0"/>
        <v>0</v>
      </c>
      <c r="F19" s="31"/>
      <c r="G19" s="74">
        <f t="shared" si="1"/>
        <v>0</v>
      </c>
      <c r="H19" s="74">
        <f t="shared" si="2"/>
        <v>0</v>
      </c>
    </row>
    <row r="20" spans="1:10" ht="19.5" customHeight="1" x14ac:dyDescent="0.25">
      <c r="A20" s="30"/>
      <c r="B20" s="30"/>
      <c r="C20" s="31"/>
      <c r="D20" s="31"/>
      <c r="E20" s="74">
        <f t="shared" si="0"/>
        <v>0</v>
      </c>
      <c r="F20" s="31"/>
      <c r="G20" s="74">
        <f t="shared" si="1"/>
        <v>0</v>
      </c>
      <c r="H20" s="74">
        <f t="shared" si="2"/>
        <v>0</v>
      </c>
    </row>
    <row r="21" spans="1:10" ht="19.5" customHeight="1" x14ac:dyDescent="0.25">
      <c r="A21" s="30"/>
      <c r="B21" s="30"/>
      <c r="C21" s="31"/>
      <c r="D21" s="31"/>
      <c r="E21" s="74">
        <f t="shared" si="0"/>
        <v>0</v>
      </c>
      <c r="F21" s="31"/>
      <c r="G21" s="74">
        <f t="shared" si="1"/>
        <v>0</v>
      </c>
      <c r="H21" s="74">
        <f t="shared" si="2"/>
        <v>0</v>
      </c>
    </row>
    <row r="22" spans="1:10" ht="19.5" customHeight="1" x14ac:dyDescent="0.25">
      <c r="A22" s="30"/>
      <c r="B22" s="30"/>
      <c r="C22" s="31"/>
      <c r="D22" s="31"/>
      <c r="E22" s="74">
        <f t="shared" si="0"/>
        <v>0</v>
      </c>
      <c r="F22" s="31"/>
      <c r="G22" s="74">
        <f t="shared" si="1"/>
        <v>0</v>
      </c>
      <c r="H22" s="74">
        <f t="shared" si="2"/>
        <v>0</v>
      </c>
    </row>
    <row r="23" spans="1:10" ht="19.5" customHeight="1" x14ac:dyDescent="0.25">
      <c r="A23" s="30"/>
      <c r="B23" s="30"/>
      <c r="C23" s="31"/>
      <c r="D23" s="31"/>
      <c r="E23" s="74">
        <f>B23*D23</f>
        <v>0</v>
      </c>
      <c r="F23" s="31"/>
      <c r="G23" s="74">
        <f>B23*F23</f>
        <v>0</v>
      </c>
      <c r="H23" s="74">
        <f t="shared" si="2"/>
        <v>0</v>
      </c>
    </row>
    <row r="24" spans="1:10" ht="19.5" customHeight="1" x14ac:dyDescent="0.25">
      <c r="A24" s="30"/>
      <c r="B24" s="30"/>
      <c r="C24" s="31"/>
      <c r="D24" s="31"/>
      <c r="E24" s="74">
        <f t="shared" si="0"/>
        <v>0</v>
      </c>
      <c r="F24" s="31"/>
      <c r="G24" s="74">
        <f t="shared" si="1"/>
        <v>0</v>
      </c>
      <c r="H24" s="74">
        <f t="shared" si="2"/>
        <v>0</v>
      </c>
    </row>
    <row r="25" spans="1:10" ht="19.5" customHeight="1" x14ac:dyDescent="0.25">
      <c r="A25" s="30"/>
      <c r="B25" s="30"/>
      <c r="C25" s="31"/>
      <c r="D25" s="31"/>
      <c r="E25" s="74">
        <f t="shared" si="0"/>
        <v>0</v>
      </c>
      <c r="F25" s="31"/>
      <c r="G25" s="74">
        <f t="shared" si="1"/>
        <v>0</v>
      </c>
      <c r="H25" s="74">
        <f t="shared" si="2"/>
        <v>0</v>
      </c>
    </row>
    <row r="26" spans="1:10" ht="19.5" customHeight="1" x14ac:dyDescent="0.3">
      <c r="A26" s="29" t="s">
        <v>127</v>
      </c>
      <c r="B26" s="30"/>
      <c r="C26" s="31"/>
      <c r="D26" s="31"/>
      <c r="E26" s="74">
        <f>SUM(E14:E25)</f>
        <v>0</v>
      </c>
      <c r="F26" s="31"/>
      <c r="G26" s="74">
        <f>SUM(G14:G25)</f>
        <v>0</v>
      </c>
      <c r="H26" s="53"/>
      <c r="I26" s="10"/>
    </row>
    <row r="27" spans="1:10" ht="19.5" customHeight="1" x14ac:dyDescent="0.3">
      <c r="A27" s="29" t="s">
        <v>104</v>
      </c>
      <c r="B27" s="30"/>
      <c r="C27" s="31"/>
      <c r="D27" s="31"/>
      <c r="E27" s="41"/>
      <c r="F27" s="31"/>
      <c r="G27" s="41"/>
      <c r="H27" s="74">
        <f>E26+G26</f>
        <v>0</v>
      </c>
      <c r="J27" s="10"/>
    </row>
    <row r="28" spans="1:10" ht="19.5" customHeight="1" x14ac:dyDescent="0.3">
      <c r="A28" s="29" t="s">
        <v>128</v>
      </c>
      <c r="B28" s="30"/>
      <c r="C28" s="31"/>
      <c r="D28" s="31"/>
      <c r="E28" s="31"/>
      <c r="F28" s="31"/>
      <c r="G28" s="95">
        <f>Summary!G20</f>
        <v>0</v>
      </c>
      <c r="H28" s="74">
        <f>SUM(H27*G28)</f>
        <v>0</v>
      </c>
    </row>
    <row r="29" spans="1:10" ht="19.5" customHeight="1" x14ac:dyDescent="0.3">
      <c r="A29" s="29" t="s">
        <v>129</v>
      </c>
      <c r="B29" s="30"/>
      <c r="C29" s="31"/>
      <c r="D29" s="31"/>
      <c r="E29" s="31"/>
      <c r="F29" s="31"/>
      <c r="G29" s="95">
        <f>Summary!G21</f>
        <v>0</v>
      </c>
      <c r="H29" s="74">
        <f>SUM(H27+H28)*G29</f>
        <v>0</v>
      </c>
    </row>
    <row r="30" spans="1:10" ht="19.5" customHeight="1" x14ac:dyDescent="0.3">
      <c r="A30" s="29" t="s">
        <v>130</v>
      </c>
      <c r="B30" s="30"/>
      <c r="C30" s="31"/>
      <c r="D30" s="31"/>
      <c r="E30" s="31"/>
      <c r="F30" s="31"/>
      <c r="G30" s="95">
        <f>Summary!G22</f>
        <v>0</v>
      </c>
      <c r="H30" s="74">
        <f>SUM(G26*G30)</f>
        <v>0</v>
      </c>
    </row>
    <row r="31" spans="1:10" ht="19.5" customHeight="1" thickBot="1" x14ac:dyDescent="0.35">
      <c r="A31" s="34" t="s">
        <v>124</v>
      </c>
      <c r="B31" s="32"/>
      <c r="C31" s="33"/>
      <c r="D31" s="33"/>
      <c r="E31" s="33"/>
      <c r="F31" s="33"/>
      <c r="G31" s="66"/>
      <c r="H31" s="75">
        <f>SUM(H27:H30)</f>
        <v>0</v>
      </c>
    </row>
    <row r="32" spans="1:10" ht="12.75" customHeight="1" thickTop="1" x14ac:dyDescent="0.25">
      <c r="A32" s="35"/>
      <c r="B32" s="35"/>
      <c r="C32" s="36"/>
      <c r="D32" s="36"/>
      <c r="E32" s="36"/>
      <c r="F32" s="36"/>
      <c r="G32" s="36"/>
      <c r="H32" s="36"/>
      <c r="I32" s="35"/>
    </row>
    <row r="33" spans="1:9" ht="12.75" customHeight="1" x14ac:dyDescent="0.25">
      <c r="A33" s="35"/>
      <c r="B33" s="35"/>
      <c r="C33" s="36"/>
      <c r="D33" s="36"/>
      <c r="E33" s="36"/>
      <c r="F33" s="36"/>
      <c r="G33" s="36"/>
      <c r="H33" s="36"/>
      <c r="I33" s="35"/>
    </row>
    <row r="34" spans="1:9" ht="12.75" customHeight="1" x14ac:dyDescent="0.25">
      <c r="A34" s="35"/>
      <c r="B34" s="35"/>
      <c r="C34" s="36"/>
      <c r="D34" s="36"/>
      <c r="E34" s="36"/>
      <c r="F34" s="36"/>
      <c r="G34" s="36"/>
      <c r="H34" s="36"/>
      <c r="I34" s="35"/>
    </row>
    <row r="35" spans="1:9" ht="12.75" customHeight="1" x14ac:dyDescent="0.25">
      <c r="A35" s="35"/>
      <c r="B35" s="35"/>
      <c r="C35" s="36"/>
      <c r="D35" s="36"/>
      <c r="E35" s="36"/>
      <c r="F35" s="36"/>
      <c r="G35" s="36"/>
      <c r="H35" s="36"/>
      <c r="I35" s="35"/>
    </row>
    <row r="36" spans="1:9" ht="12.75" customHeight="1" x14ac:dyDescent="0.25">
      <c r="A36" s="35"/>
      <c r="B36" s="35"/>
      <c r="C36" s="36"/>
      <c r="D36" s="36"/>
      <c r="E36" s="36"/>
      <c r="F36" s="36"/>
      <c r="G36" s="36"/>
      <c r="H36" s="36"/>
      <c r="I36" s="35"/>
    </row>
    <row r="37" spans="1:9" ht="12.75" customHeight="1" x14ac:dyDescent="0.25">
      <c r="A37" s="35"/>
      <c r="B37" s="35"/>
      <c r="C37" s="36"/>
      <c r="D37" s="36"/>
      <c r="E37" s="36"/>
      <c r="F37" s="36"/>
      <c r="G37" s="36"/>
      <c r="H37" s="36"/>
      <c r="I37" s="35"/>
    </row>
    <row r="38" spans="1:9" ht="12.75" customHeight="1" x14ac:dyDescent="0.25">
      <c r="A38" s="35"/>
      <c r="B38" s="35"/>
      <c r="C38" s="36"/>
      <c r="D38" s="36"/>
      <c r="E38" s="36"/>
      <c r="F38" s="36"/>
      <c r="G38" s="36"/>
      <c r="H38" s="36"/>
      <c r="I38" s="35"/>
    </row>
    <row r="39" spans="1:9" ht="12.75" customHeight="1" x14ac:dyDescent="0.25">
      <c r="A39" s="35"/>
      <c r="B39" s="35"/>
      <c r="C39" s="36"/>
      <c r="D39" s="36"/>
      <c r="E39" s="36"/>
      <c r="F39" s="36"/>
      <c r="G39" s="36"/>
      <c r="H39" s="36"/>
      <c r="I39" s="35"/>
    </row>
    <row r="40" spans="1:9" ht="12.75" customHeight="1" x14ac:dyDescent="0.25">
      <c r="A40" s="35"/>
      <c r="B40" s="35"/>
      <c r="C40" s="36"/>
      <c r="D40" s="36"/>
      <c r="E40" s="36"/>
      <c r="F40" s="36"/>
      <c r="G40" s="36"/>
      <c r="H40" s="36"/>
      <c r="I40" s="35"/>
    </row>
    <row r="41" spans="1:9" ht="12.75" customHeight="1" x14ac:dyDescent="0.25">
      <c r="A41" s="35"/>
      <c r="B41" s="35"/>
      <c r="C41" s="36"/>
      <c r="D41" s="36"/>
      <c r="E41" s="36"/>
      <c r="F41" s="36"/>
      <c r="G41" s="36"/>
      <c r="H41" s="36"/>
      <c r="I41" s="35"/>
    </row>
    <row r="42" spans="1:9" ht="12.75" customHeight="1" x14ac:dyDescent="0.25">
      <c r="A42" s="35"/>
      <c r="B42" s="35"/>
      <c r="C42" s="36"/>
      <c r="D42" s="36"/>
      <c r="E42" s="36"/>
      <c r="F42" s="36"/>
      <c r="G42" s="36"/>
      <c r="H42" s="36"/>
      <c r="I42" s="35"/>
    </row>
    <row r="43" spans="1:9" ht="12.75" customHeight="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20.149999999999999" customHeight="1" x14ac:dyDescent="0.25">
      <c r="A61" s="35"/>
      <c r="B61" s="35"/>
      <c r="C61" s="36"/>
      <c r="D61" s="36"/>
      <c r="E61" s="36"/>
      <c r="F61" s="36"/>
      <c r="G61" s="36"/>
      <c r="H61" s="36"/>
      <c r="I61" s="35"/>
    </row>
    <row r="62" spans="1:9" ht="20.149999999999999" customHeight="1" x14ac:dyDescent="0.25">
      <c r="A62" s="35"/>
      <c r="B62" s="35"/>
      <c r="C62" s="36"/>
      <c r="D62" s="36"/>
      <c r="E62" s="36"/>
      <c r="F62" s="36"/>
      <c r="G62" s="36"/>
      <c r="H62" s="36"/>
      <c r="I62" s="35"/>
    </row>
    <row r="63" spans="1:9" ht="20.149999999999999" customHeight="1" x14ac:dyDescent="0.25">
      <c r="A63" s="35"/>
      <c r="B63" s="35"/>
      <c r="C63" s="36"/>
      <c r="D63" s="36"/>
      <c r="E63" s="36"/>
      <c r="F63" s="36"/>
      <c r="G63" s="36"/>
      <c r="H63" s="36"/>
      <c r="I63" s="35"/>
    </row>
    <row r="64" spans="1:9" ht="20.149999999999999" customHeight="1" x14ac:dyDescent="0.25">
      <c r="A64" s="35"/>
      <c r="B64" s="35"/>
      <c r="C64" s="36"/>
      <c r="D64" s="36"/>
      <c r="E64" s="36"/>
      <c r="F64" s="36"/>
      <c r="G64" s="36"/>
      <c r="H64" s="36"/>
      <c r="I64" s="35"/>
    </row>
    <row r="65" spans="1:9" ht="20.149999999999999" customHeight="1" x14ac:dyDescent="0.25">
      <c r="A65" s="35"/>
      <c r="B65" s="35"/>
      <c r="C65" s="36"/>
      <c r="D65" s="36"/>
      <c r="E65" s="36"/>
      <c r="F65" s="36"/>
      <c r="G65" s="36"/>
      <c r="H65" s="36"/>
      <c r="I65" s="35"/>
    </row>
    <row r="66" spans="1:9" ht="20.149999999999999" customHeight="1" x14ac:dyDescent="0.25">
      <c r="A66" s="35"/>
      <c r="B66" s="35"/>
      <c r="C66" s="36"/>
      <c r="D66" s="36"/>
      <c r="E66" s="36"/>
      <c r="F66" s="36"/>
      <c r="G66" s="36"/>
      <c r="H66" s="36"/>
      <c r="I66" s="35"/>
    </row>
    <row r="67" spans="1:9" ht="20.149999999999999" customHeight="1" x14ac:dyDescent="0.25">
      <c r="A67" s="35"/>
      <c r="B67" s="35"/>
      <c r="C67" s="36"/>
      <c r="D67" s="36"/>
      <c r="E67" s="36"/>
      <c r="F67" s="36"/>
      <c r="G67" s="36"/>
      <c r="H67" s="36"/>
      <c r="I67" s="35"/>
    </row>
    <row r="68" spans="1:9" ht="20.149999999999999"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12.5" x14ac:dyDescent="0.25">
      <c r="A112" s="35"/>
      <c r="B112" s="35"/>
      <c r="C112" s="36"/>
      <c r="D112" s="36"/>
      <c r="E112" s="36"/>
      <c r="F112" s="36"/>
      <c r="G112" s="36"/>
      <c r="H112" s="36"/>
      <c r="I112" s="35"/>
    </row>
    <row r="113" spans="1:9" ht="12.5" x14ac:dyDescent="0.25">
      <c r="A113" s="35"/>
      <c r="B113" s="35"/>
      <c r="C113" s="36"/>
      <c r="D113" s="36"/>
      <c r="E113" s="36"/>
      <c r="F113" s="36"/>
      <c r="G113" s="36"/>
      <c r="H113" s="36"/>
      <c r="I113" s="35"/>
    </row>
    <row r="114" spans="1:9" ht="12.5" x14ac:dyDescent="0.25">
      <c r="A114" s="35"/>
      <c r="B114" s="35"/>
      <c r="C114" s="36"/>
      <c r="D114" s="36"/>
      <c r="E114" s="36"/>
      <c r="F114" s="36"/>
      <c r="G114" s="36"/>
      <c r="H114" s="36"/>
      <c r="I114" s="35"/>
    </row>
    <row r="115" spans="1:9" ht="12.5" x14ac:dyDescent="0.25">
      <c r="A115" s="35"/>
      <c r="B115" s="35"/>
      <c r="C115" s="36"/>
      <c r="D115" s="36"/>
      <c r="E115" s="36"/>
      <c r="F115" s="36"/>
      <c r="G115" s="36"/>
      <c r="H115" s="36"/>
      <c r="I115" s="35"/>
    </row>
    <row r="116" spans="1:9" ht="12.5" x14ac:dyDescent="0.25">
      <c r="A116" s="35"/>
      <c r="B116" s="35"/>
      <c r="C116" s="36"/>
      <c r="D116" s="36"/>
      <c r="E116" s="36"/>
      <c r="F116" s="36"/>
      <c r="G116" s="36"/>
      <c r="H116" s="36"/>
      <c r="I116" s="35"/>
    </row>
    <row r="117" spans="1:9" ht="12.5" x14ac:dyDescent="0.25">
      <c r="A117" s="35"/>
      <c r="B117" s="35"/>
      <c r="C117" s="36"/>
      <c r="D117" s="36"/>
      <c r="E117" s="36"/>
      <c r="F117" s="36"/>
      <c r="G117" s="36"/>
      <c r="H117" s="36"/>
      <c r="I117" s="35"/>
    </row>
    <row r="118" spans="1:9" ht="12.5" x14ac:dyDescent="0.25">
      <c r="A118" s="35"/>
      <c r="B118" s="35"/>
      <c r="C118" s="36"/>
      <c r="D118" s="36"/>
      <c r="E118" s="36"/>
      <c r="F118" s="36"/>
      <c r="G118" s="36"/>
      <c r="H118" s="36"/>
      <c r="I118" s="35"/>
    </row>
    <row r="119" spans="1:9" ht="12.5"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sheetData>
  <mergeCells count="1">
    <mergeCell ref="A1:C2"/>
  </mergeCells>
  <printOptions horizontalCentered="1" verticalCentered="1" gridLinesSet="0"/>
  <pageMargins left="0.25" right="0.25" top="0.75" bottom="0.75" header="0.3" footer="0.3"/>
  <pageSetup scale="93" orientation="portrait" horizontalDpi="1200" verticalDpi="12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I205"/>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146"/>
      <c r="D8" s="147"/>
      <c r="E8" s="148"/>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Summary!B37</f>
        <v>TRANSPORTATION</v>
      </c>
      <c r="B13" s="30"/>
      <c r="C13" s="31"/>
      <c r="D13" s="31"/>
      <c r="E13" s="31"/>
      <c r="F13" s="31"/>
      <c r="G13" s="31"/>
      <c r="H13" s="31"/>
    </row>
    <row r="14" spans="1:9" ht="19.5" customHeight="1" x14ac:dyDescent="0.25">
      <c r="A14" s="30"/>
      <c r="B14" s="46"/>
      <c r="C14" s="47"/>
      <c r="D14" s="31"/>
      <c r="E14" s="74">
        <f t="shared" ref="E14:E20" si="0">B14*D14</f>
        <v>0</v>
      </c>
      <c r="F14" s="31"/>
      <c r="G14" s="74">
        <f t="shared" ref="G14:G20" si="1">B14*F14</f>
        <v>0</v>
      </c>
      <c r="H14" s="74">
        <f t="shared" ref="H14:H20" si="2">E14+G14</f>
        <v>0</v>
      </c>
    </row>
    <row r="15" spans="1:9" ht="19.5" customHeight="1" x14ac:dyDescent="0.25">
      <c r="A15" s="30"/>
      <c r="B15" s="46"/>
      <c r="C15" s="47"/>
      <c r="D15" s="31"/>
      <c r="E15" s="74">
        <f t="shared" si="0"/>
        <v>0</v>
      </c>
      <c r="F15" s="31"/>
      <c r="G15" s="74">
        <f t="shared" si="1"/>
        <v>0</v>
      </c>
      <c r="H15" s="74">
        <f t="shared" si="2"/>
        <v>0</v>
      </c>
    </row>
    <row r="16" spans="1:9" ht="19.5" customHeight="1" x14ac:dyDescent="0.25">
      <c r="A16" s="30"/>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25">
      <c r="A18" s="30"/>
      <c r="B18" s="30"/>
      <c r="C18" s="31"/>
      <c r="D18" s="31"/>
      <c r="E18" s="74">
        <f t="shared" si="0"/>
        <v>0</v>
      </c>
      <c r="F18" s="31"/>
      <c r="G18" s="74">
        <f t="shared" si="1"/>
        <v>0</v>
      </c>
      <c r="H18" s="74">
        <f t="shared" si="2"/>
        <v>0</v>
      </c>
    </row>
    <row r="19" spans="1:8" ht="19.5" customHeight="1" x14ac:dyDescent="0.25">
      <c r="A19" s="30"/>
      <c r="B19" s="30"/>
      <c r="C19" s="31"/>
      <c r="D19" s="31"/>
      <c r="E19" s="74">
        <f t="shared" si="0"/>
        <v>0</v>
      </c>
      <c r="F19" s="31"/>
      <c r="G19" s="74">
        <f t="shared" si="1"/>
        <v>0</v>
      </c>
      <c r="H19" s="74">
        <f t="shared" si="2"/>
        <v>0</v>
      </c>
    </row>
    <row r="20" spans="1:8" ht="19.5" customHeight="1" x14ac:dyDescent="0.25">
      <c r="A20" s="30"/>
      <c r="B20" s="30"/>
      <c r="C20" s="31"/>
      <c r="D20" s="31"/>
      <c r="E20" s="74">
        <f t="shared" si="0"/>
        <v>0</v>
      </c>
      <c r="F20" s="31"/>
      <c r="G20" s="74">
        <f t="shared" si="1"/>
        <v>0</v>
      </c>
      <c r="H20" s="74">
        <f t="shared" si="2"/>
        <v>0</v>
      </c>
    </row>
    <row r="21" spans="1:8" ht="19.5" customHeight="1" x14ac:dyDescent="0.25">
      <c r="A21" s="30"/>
      <c r="B21" s="30"/>
      <c r="C21" s="31"/>
      <c r="D21" s="31"/>
      <c r="E21" s="74">
        <f>B21*D21</f>
        <v>0</v>
      </c>
      <c r="F21" s="31"/>
      <c r="G21" s="74">
        <f>B21*F21</f>
        <v>0</v>
      </c>
      <c r="H21" s="74">
        <f>E21+G21</f>
        <v>0</v>
      </c>
    </row>
    <row r="22" spans="1:8" ht="19.5" customHeight="1" x14ac:dyDescent="0.25">
      <c r="A22" s="30"/>
      <c r="B22" s="30"/>
      <c r="C22" s="31"/>
      <c r="D22" s="31"/>
      <c r="E22" s="74">
        <f t="shared" ref="E22:E32" si="3">B22*D22</f>
        <v>0</v>
      </c>
      <c r="F22" s="31"/>
      <c r="G22" s="74">
        <f t="shared" ref="G22:G32" si="4">B22*F22</f>
        <v>0</v>
      </c>
      <c r="H22" s="74">
        <f t="shared" ref="H22:H32" si="5">E22+G22</f>
        <v>0</v>
      </c>
    </row>
    <row r="23" spans="1:8" ht="19.5" customHeight="1" x14ac:dyDescent="0.25">
      <c r="A23" s="30"/>
      <c r="B23" s="30"/>
      <c r="C23" s="31"/>
      <c r="D23" s="31"/>
      <c r="E23" s="74">
        <f t="shared" si="3"/>
        <v>0</v>
      </c>
      <c r="F23" s="31"/>
      <c r="G23" s="74">
        <f t="shared" si="4"/>
        <v>0</v>
      </c>
      <c r="H23" s="74">
        <f t="shared" si="5"/>
        <v>0</v>
      </c>
    </row>
    <row r="24" spans="1:8" ht="19.5" customHeight="1" x14ac:dyDescent="0.25">
      <c r="A24" s="30"/>
      <c r="B24" s="30"/>
      <c r="C24" s="31"/>
      <c r="D24" s="31"/>
      <c r="E24" s="74">
        <f t="shared" si="3"/>
        <v>0</v>
      </c>
      <c r="F24" s="31"/>
      <c r="G24" s="74">
        <f t="shared" si="4"/>
        <v>0</v>
      </c>
      <c r="H24" s="74">
        <f t="shared" si="5"/>
        <v>0</v>
      </c>
    </row>
    <row r="25" spans="1:8" ht="19.5" customHeight="1" x14ac:dyDescent="0.25">
      <c r="A25" s="30"/>
      <c r="B25" s="30"/>
      <c r="C25" s="31"/>
      <c r="D25" s="31"/>
      <c r="E25" s="74">
        <f t="shared" si="3"/>
        <v>0</v>
      </c>
      <c r="F25" s="31"/>
      <c r="G25" s="74">
        <f t="shared" si="4"/>
        <v>0</v>
      </c>
      <c r="H25" s="74">
        <f t="shared" si="5"/>
        <v>0</v>
      </c>
    </row>
    <row r="26" spans="1:8" ht="19.5" customHeight="1" x14ac:dyDescent="0.25">
      <c r="A26" s="30"/>
      <c r="B26" s="30"/>
      <c r="C26" s="31"/>
      <c r="D26" s="31"/>
      <c r="E26" s="74">
        <f t="shared" si="3"/>
        <v>0</v>
      </c>
      <c r="F26" s="31"/>
      <c r="G26" s="74">
        <f t="shared" si="4"/>
        <v>0</v>
      </c>
      <c r="H26" s="74">
        <f t="shared" si="5"/>
        <v>0</v>
      </c>
    </row>
    <row r="27" spans="1:8" ht="19.5" customHeight="1" x14ac:dyDescent="0.25">
      <c r="A27" s="30"/>
      <c r="B27" s="30"/>
      <c r="C27" s="31"/>
      <c r="D27" s="31"/>
      <c r="E27" s="74">
        <f t="shared" si="3"/>
        <v>0</v>
      </c>
      <c r="F27" s="31"/>
      <c r="G27" s="74">
        <f t="shared" si="4"/>
        <v>0</v>
      </c>
      <c r="H27" s="74">
        <f t="shared" si="5"/>
        <v>0</v>
      </c>
    </row>
    <row r="28" spans="1:8" ht="19.5" customHeight="1" x14ac:dyDescent="0.25">
      <c r="A28" s="30"/>
      <c r="B28" s="30"/>
      <c r="C28" s="31"/>
      <c r="D28" s="31"/>
      <c r="E28" s="74">
        <f t="shared" si="3"/>
        <v>0</v>
      </c>
      <c r="F28" s="31"/>
      <c r="G28" s="74">
        <f t="shared" si="4"/>
        <v>0</v>
      </c>
      <c r="H28" s="74">
        <f t="shared" si="5"/>
        <v>0</v>
      </c>
    </row>
    <row r="29" spans="1:8" ht="19.5" customHeight="1" x14ac:dyDescent="0.25">
      <c r="A29" s="30"/>
      <c r="B29" s="30"/>
      <c r="C29" s="31"/>
      <c r="D29" s="31"/>
      <c r="E29" s="74">
        <f t="shared" si="3"/>
        <v>0</v>
      </c>
      <c r="F29" s="31"/>
      <c r="G29" s="74">
        <f t="shared" si="4"/>
        <v>0</v>
      </c>
      <c r="H29" s="74">
        <f t="shared" si="5"/>
        <v>0</v>
      </c>
    </row>
    <row r="30" spans="1:8" ht="19.5" customHeight="1" x14ac:dyDescent="0.25">
      <c r="A30" s="30"/>
      <c r="B30" s="30"/>
      <c r="C30" s="31"/>
      <c r="D30" s="31"/>
      <c r="E30" s="74">
        <f t="shared" si="3"/>
        <v>0</v>
      </c>
      <c r="F30" s="31"/>
      <c r="G30" s="74">
        <f t="shared" si="4"/>
        <v>0</v>
      </c>
      <c r="H30" s="74">
        <f t="shared" si="5"/>
        <v>0</v>
      </c>
    </row>
    <row r="31" spans="1:8" ht="19.5" customHeight="1" x14ac:dyDescent="0.25">
      <c r="A31" s="30"/>
      <c r="B31" s="30"/>
      <c r="C31" s="31"/>
      <c r="D31" s="31"/>
      <c r="E31" s="74">
        <f t="shared" si="3"/>
        <v>0</v>
      </c>
      <c r="F31" s="31"/>
      <c r="G31" s="74">
        <f t="shared" si="4"/>
        <v>0</v>
      </c>
      <c r="H31" s="74">
        <f t="shared" si="5"/>
        <v>0</v>
      </c>
    </row>
    <row r="32" spans="1:8" ht="19.5" customHeight="1" x14ac:dyDescent="0.25">
      <c r="A32" s="30"/>
      <c r="B32" s="30"/>
      <c r="C32" s="31"/>
      <c r="D32" s="31"/>
      <c r="E32" s="74">
        <f t="shared" si="3"/>
        <v>0</v>
      </c>
      <c r="F32" s="31"/>
      <c r="G32" s="74">
        <f t="shared" si="4"/>
        <v>0</v>
      </c>
      <c r="H32" s="74">
        <f t="shared" si="5"/>
        <v>0</v>
      </c>
    </row>
    <row r="33" spans="1:9" ht="19.5" customHeight="1" x14ac:dyDescent="0.3">
      <c r="A33" s="29" t="s">
        <v>127</v>
      </c>
      <c r="B33" s="30"/>
      <c r="C33" s="31"/>
      <c r="D33" s="31"/>
      <c r="E33" s="74">
        <f>SUM(E14:E32)</f>
        <v>0</v>
      </c>
      <c r="F33" s="31"/>
      <c r="G33" s="74">
        <f>SUM(G14:G32)</f>
        <v>0</v>
      </c>
      <c r="H33" s="31"/>
      <c r="I33" s="10"/>
    </row>
    <row r="34" spans="1:9" ht="19.5" customHeight="1" x14ac:dyDescent="0.3">
      <c r="A34" s="29" t="s">
        <v>104</v>
      </c>
      <c r="B34" s="30"/>
      <c r="C34" s="31"/>
      <c r="D34" s="31"/>
      <c r="E34" s="41"/>
      <c r="F34" s="31"/>
      <c r="G34" s="41"/>
      <c r="H34" s="94">
        <f>SUM(H14:H32)</f>
        <v>0</v>
      </c>
    </row>
    <row r="35" spans="1:9" ht="19.5" customHeight="1" x14ac:dyDescent="0.3">
      <c r="A35" s="29" t="s">
        <v>128</v>
      </c>
      <c r="B35" s="30"/>
      <c r="C35" s="31"/>
      <c r="D35" s="31"/>
      <c r="E35" s="31"/>
      <c r="F35" s="31"/>
      <c r="G35" s="95">
        <f>Summary!G20</f>
        <v>0</v>
      </c>
      <c r="H35" s="74">
        <f>SUM(H34*G35)</f>
        <v>0</v>
      </c>
    </row>
    <row r="36" spans="1:9" ht="19.5" customHeight="1" x14ac:dyDescent="0.3">
      <c r="A36" s="29" t="s">
        <v>129</v>
      </c>
      <c r="B36" s="30"/>
      <c r="C36" s="31"/>
      <c r="D36" s="31"/>
      <c r="E36" s="31"/>
      <c r="F36" s="31"/>
      <c r="G36" s="95">
        <f>Summary!G21</f>
        <v>0</v>
      </c>
      <c r="H36" s="74">
        <f>SUM(H34+H35)*G36</f>
        <v>0</v>
      </c>
    </row>
    <row r="37" spans="1:9" ht="19.5" customHeight="1" x14ac:dyDescent="0.3">
      <c r="A37" s="29" t="s">
        <v>130</v>
      </c>
      <c r="B37" s="30"/>
      <c r="C37" s="31"/>
      <c r="D37" s="31"/>
      <c r="E37" s="31"/>
      <c r="F37" s="31"/>
      <c r="G37" s="95">
        <f>Summary!G22</f>
        <v>0</v>
      </c>
      <c r="H37" s="74">
        <f>SUM(G33*G37)</f>
        <v>0</v>
      </c>
    </row>
    <row r="38" spans="1:9" ht="19.5" customHeight="1" thickBot="1" x14ac:dyDescent="0.35">
      <c r="A38" s="34" t="s">
        <v>124</v>
      </c>
      <c r="B38" s="32"/>
      <c r="C38" s="33"/>
      <c r="D38" s="33"/>
      <c r="E38" s="33"/>
      <c r="F38" s="33"/>
      <c r="G38" s="33"/>
      <c r="H38" s="75">
        <f>SUM(H34:H37)</f>
        <v>0</v>
      </c>
    </row>
    <row r="39" spans="1:9" ht="12.75" customHeight="1" thickTop="1" x14ac:dyDescent="0.25">
      <c r="A39" s="35"/>
      <c r="B39" s="35"/>
      <c r="C39" s="36"/>
      <c r="D39" s="36"/>
      <c r="E39" s="36"/>
      <c r="F39" s="36"/>
      <c r="G39" s="36"/>
      <c r="H39" s="36"/>
      <c r="I39" s="35"/>
    </row>
    <row r="40" spans="1:9" ht="12.75" customHeight="1" x14ac:dyDescent="0.25">
      <c r="A40" s="35"/>
      <c r="B40" s="35"/>
      <c r="C40" s="36"/>
      <c r="D40" s="36"/>
      <c r="E40" s="36"/>
      <c r="F40" s="36"/>
      <c r="G40" s="36"/>
      <c r="H40" s="36"/>
      <c r="I40" s="35"/>
    </row>
    <row r="41" spans="1:9" ht="12.75" customHeight="1" x14ac:dyDescent="0.25">
      <c r="A41" s="35"/>
      <c r="B41" s="35"/>
      <c r="C41" s="36"/>
      <c r="D41" s="36"/>
      <c r="E41" s="36"/>
      <c r="F41" s="36"/>
      <c r="G41" s="36"/>
      <c r="H41" s="36"/>
      <c r="I41" s="35"/>
    </row>
    <row r="42" spans="1:9" ht="12.75" customHeight="1" x14ac:dyDescent="0.25">
      <c r="A42" s="35"/>
      <c r="B42" s="35"/>
      <c r="C42" s="36"/>
      <c r="D42" s="36"/>
      <c r="E42" s="36"/>
      <c r="F42" s="36"/>
      <c r="G42" s="36"/>
      <c r="H42" s="36"/>
      <c r="I42" s="35"/>
    </row>
    <row r="43" spans="1:9" ht="12.75" customHeight="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20.149999999999999"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12.5"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sheetData>
  <mergeCells count="3">
    <mergeCell ref="A8:B8"/>
    <mergeCell ref="C8:E8"/>
    <mergeCell ref="A1:C2"/>
  </mergeCells>
  <printOptions horizontalCentered="1" verticalCentered="1" gridLinesSet="0"/>
  <pageMargins left="0.25" right="0.25" top="0.75" bottom="0.75" header="0.3" footer="0.3"/>
  <pageSetup scale="87" orientation="portrait" horizontalDpi="1200" verticalDpi="120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I205"/>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146"/>
      <c r="D8" s="147"/>
      <c r="E8" s="148"/>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Summary!B38</f>
        <v>WATERWAYS AND MARINE CONSTRUCTION</v>
      </c>
      <c r="B13" s="30"/>
      <c r="C13" s="31"/>
      <c r="D13" s="31"/>
      <c r="E13" s="31"/>
      <c r="F13" s="31"/>
      <c r="G13" s="31"/>
      <c r="H13" s="31"/>
    </row>
    <row r="14" spans="1:9" ht="19.5" customHeight="1" x14ac:dyDescent="0.25">
      <c r="A14" s="30"/>
      <c r="B14" s="46"/>
      <c r="C14" s="47"/>
      <c r="D14" s="31"/>
      <c r="E14" s="74">
        <f t="shared" ref="E14:E20" si="0">B14*D14</f>
        <v>0</v>
      </c>
      <c r="F14" s="31"/>
      <c r="G14" s="74">
        <f t="shared" ref="G14:G20" si="1">B14*F14</f>
        <v>0</v>
      </c>
      <c r="H14" s="74">
        <f t="shared" ref="H14:H20" si="2">E14+G14</f>
        <v>0</v>
      </c>
    </row>
    <row r="15" spans="1:9" ht="19.5" customHeight="1" x14ac:dyDescent="0.25">
      <c r="A15" s="30"/>
      <c r="B15" s="46"/>
      <c r="C15" s="47"/>
      <c r="D15" s="31"/>
      <c r="E15" s="74">
        <f t="shared" si="0"/>
        <v>0</v>
      </c>
      <c r="F15" s="31"/>
      <c r="G15" s="74">
        <f t="shared" si="1"/>
        <v>0</v>
      </c>
      <c r="H15" s="74">
        <f t="shared" si="2"/>
        <v>0</v>
      </c>
    </row>
    <row r="16" spans="1:9" ht="19.5" customHeight="1" x14ac:dyDescent="0.25">
      <c r="A16" s="30"/>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25">
      <c r="A18" s="30"/>
      <c r="B18" s="30"/>
      <c r="C18" s="31"/>
      <c r="D18" s="31"/>
      <c r="E18" s="74">
        <f t="shared" si="0"/>
        <v>0</v>
      </c>
      <c r="F18" s="31"/>
      <c r="G18" s="74">
        <f t="shared" si="1"/>
        <v>0</v>
      </c>
      <c r="H18" s="74">
        <f t="shared" si="2"/>
        <v>0</v>
      </c>
    </row>
    <row r="19" spans="1:8" ht="19.5" customHeight="1" x14ac:dyDescent="0.25">
      <c r="A19" s="30"/>
      <c r="B19" s="30"/>
      <c r="C19" s="31"/>
      <c r="D19" s="31"/>
      <c r="E19" s="74">
        <f t="shared" si="0"/>
        <v>0</v>
      </c>
      <c r="F19" s="31"/>
      <c r="G19" s="74">
        <f t="shared" si="1"/>
        <v>0</v>
      </c>
      <c r="H19" s="74">
        <f t="shared" si="2"/>
        <v>0</v>
      </c>
    </row>
    <row r="20" spans="1:8" ht="19.5" customHeight="1" x14ac:dyDescent="0.25">
      <c r="A20" s="30"/>
      <c r="B20" s="30"/>
      <c r="C20" s="31"/>
      <c r="D20" s="31"/>
      <c r="E20" s="74">
        <f t="shared" si="0"/>
        <v>0</v>
      </c>
      <c r="F20" s="31"/>
      <c r="G20" s="74">
        <f t="shared" si="1"/>
        <v>0</v>
      </c>
      <c r="H20" s="74">
        <f t="shared" si="2"/>
        <v>0</v>
      </c>
    </row>
    <row r="21" spans="1:8" ht="19.5" customHeight="1" x14ac:dyDescent="0.25">
      <c r="A21" s="30"/>
      <c r="B21" s="30"/>
      <c r="C21" s="31"/>
      <c r="D21" s="31"/>
      <c r="E21" s="74">
        <f>B21*D21</f>
        <v>0</v>
      </c>
      <c r="F21" s="31"/>
      <c r="G21" s="74">
        <f>B21*F21</f>
        <v>0</v>
      </c>
      <c r="H21" s="74">
        <f>E21+G21</f>
        <v>0</v>
      </c>
    </row>
    <row r="22" spans="1:8" ht="19.5" customHeight="1" x14ac:dyDescent="0.25">
      <c r="A22" s="30"/>
      <c r="B22" s="30"/>
      <c r="C22" s="31"/>
      <c r="D22" s="31"/>
      <c r="E22" s="74">
        <f t="shared" ref="E22:E32" si="3">B22*D22</f>
        <v>0</v>
      </c>
      <c r="F22" s="31"/>
      <c r="G22" s="74">
        <f t="shared" ref="G22:G32" si="4">B22*F22</f>
        <v>0</v>
      </c>
      <c r="H22" s="74">
        <f t="shared" ref="H22:H32" si="5">E22+G22</f>
        <v>0</v>
      </c>
    </row>
    <row r="23" spans="1:8" ht="19.5" customHeight="1" x14ac:dyDescent="0.25">
      <c r="A23" s="30"/>
      <c r="B23" s="30"/>
      <c r="C23" s="31"/>
      <c r="D23" s="31"/>
      <c r="E23" s="74">
        <f t="shared" si="3"/>
        <v>0</v>
      </c>
      <c r="F23" s="31"/>
      <c r="G23" s="74">
        <f t="shared" si="4"/>
        <v>0</v>
      </c>
      <c r="H23" s="74">
        <f t="shared" si="5"/>
        <v>0</v>
      </c>
    </row>
    <row r="24" spans="1:8" ht="19.5" customHeight="1" x14ac:dyDescent="0.25">
      <c r="A24" s="30"/>
      <c r="B24" s="30"/>
      <c r="C24" s="31"/>
      <c r="D24" s="31"/>
      <c r="E24" s="74">
        <f t="shared" si="3"/>
        <v>0</v>
      </c>
      <c r="F24" s="31"/>
      <c r="G24" s="74">
        <f t="shared" si="4"/>
        <v>0</v>
      </c>
      <c r="H24" s="74">
        <f t="shared" si="5"/>
        <v>0</v>
      </c>
    </row>
    <row r="25" spans="1:8" ht="19.5" customHeight="1" x14ac:dyDescent="0.25">
      <c r="A25" s="30"/>
      <c r="B25" s="30"/>
      <c r="C25" s="31"/>
      <c r="D25" s="31"/>
      <c r="E25" s="74">
        <f t="shared" si="3"/>
        <v>0</v>
      </c>
      <c r="F25" s="31"/>
      <c r="G25" s="74">
        <f t="shared" si="4"/>
        <v>0</v>
      </c>
      <c r="H25" s="74">
        <f t="shared" si="5"/>
        <v>0</v>
      </c>
    </row>
    <row r="26" spans="1:8" ht="19.5" customHeight="1" x14ac:dyDescent="0.25">
      <c r="A26" s="30"/>
      <c r="B26" s="30"/>
      <c r="C26" s="31"/>
      <c r="D26" s="31"/>
      <c r="E26" s="74">
        <f t="shared" si="3"/>
        <v>0</v>
      </c>
      <c r="F26" s="31"/>
      <c r="G26" s="74">
        <f t="shared" si="4"/>
        <v>0</v>
      </c>
      <c r="H26" s="74">
        <f t="shared" si="5"/>
        <v>0</v>
      </c>
    </row>
    <row r="27" spans="1:8" ht="19.5" customHeight="1" x14ac:dyDescent="0.25">
      <c r="A27" s="30"/>
      <c r="B27" s="30"/>
      <c r="C27" s="31"/>
      <c r="D27" s="31"/>
      <c r="E27" s="74">
        <f t="shared" si="3"/>
        <v>0</v>
      </c>
      <c r="F27" s="31"/>
      <c r="G27" s="74">
        <f t="shared" si="4"/>
        <v>0</v>
      </c>
      <c r="H27" s="74">
        <f t="shared" si="5"/>
        <v>0</v>
      </c>
    </row>
    <row r="28" spans="1:8" ht="19.5" customHeight="1" x14ac:dyDescent="0.25">
      <c r="A28" s="30"/>
      <c r="B28" s="30"/>
      <c r="C28" s="31"/>
      <c r="D28" s="31"/>
      <c r="E28" s="74">
        <f t="shared" si="3"/>
        <v>0</v>
      </c>
      <c r="F28" s="31"/>
      <c r="G28" s="74">
        <f t="shared" si="4"/>
        <v>0</v>
      </c>
      <c r="H28" s="74">
        <f t="shared" si="5"/>
        <v>0</v>
      </c>
    </row>
    <row r="29" spans="1:8" ht="19.5" customHeight="1" x14ac:dyDescent="0.25">
      <c r="A29" s="30"/>
      <c r="B29" s="30"/>
      <c r="C29" s="31"/>
      <c r="D29" s="31"/>
      <c r="E29" s="74">
        <f t="shared" si="3"/>
        <v>0</v>
      </c>
      <c r="F29" s="31"/>
      <c r="G29" s="74">
        <f t="shared" si="4"/>
        <v>0</v>
      </c>
      <c r="H29" s="74">
        <f t="shared" si="5"/>
        <v>0</v>
      </c>
    </row>
    <row r="30" spans="1:8" ht="19.5" customHeight="1" x14ac:dyDescent="0.25">
      <c r="A30" s="30"/>
      <c r="B30" s="30"/>
      <c r="C30" s="31"/>
      <c r="D30" s="31"/>
      <c r="E30" s="74">
        <f t="shared" si="3"/>
        <v>0</v>
      </c>
      <c r="F30" s="31"/>
      <c r="G30" s="74">
        <f t="shared" si="4"/>
        <v>0</v>
      </c>
      <c r="H30" s="74">
        <f t="shared" si="5"/>
        <v>0</v>
      </c>
    </row>
    <row r="31" spans="1:8" ht="19.5" customHeight="1" x14ac:dyDescent="0.25">
      <c r="A31" s="30"/>
      <c r="B31" s="30"/>
      <c r="C31" s="31"/>
      <c r="D31" s="31"/>
      <c r="E31" s="74">
        <f t="shared" si="3"/>
        <v>0</v>
      </c>
      <c r="F31" s="31"/>
      <c r="G31" s="74">
        <f t="shared" si="4"/>
        <v>0</v>
      </c>
      <c r="H31" s="74">
        <f t="shared" si="5"/>
        <v>0</v>
      </c>
    </row>
    <row r="32" spans="1:8" ht="19.5" customHeight="1" x14ac:dyDescent="0.25">
      <c r="A32" s="30"/>
      <c r="B32" s="30"/>
      <c r="C32" s="31"/>
      <c r="D32" s="31"/>
      <c r="E32" s="74">
        <f t="shared" si="3"/>
        <v>0</v>
      </c>
      <c r="F32" s="31"/>
      <c r="G32" s="74">
        <f t="shared" si="4"/>
        <v>0</v>
      </c>
      <c r="H32" s="74">
        <f t="shared" si="5"/>
        <v>0</v>
      </c>
    </row>
    <row r="33" spans="1:9" ht="19.5" customHeight="1" x14ac:dyDescent="0.3">
      <c r="A33" s="29" t="s">
        <v>127</v>
      </c>
      <c r="B33" s="30"/>
      <c r="C33" s="31"/>
      <c r="D33" s="31"/>
      <c r="E33" s="74">
        <f>SUM(E14:E32)</f>
        <v>0</v>
      </c>
      <c r="F33" s="31"/>
      <c r="G33" s="74">
        <f>SUM(G14:G32)</f>
        <v>0</v>
      </c>
      <c r="H33" s="31"/>
      <c r="I33" s="10"/>
    </row>
    <row r="34" spans="1:9" ht="19.5" customHeight="1" x14ac:dyDescent="0.3">
      <c r="A34" s="29" t="s">
        <v>104</v>
      </c>
      <c r="B34" s="30"/>
      <c r="C34" s="31"/>
      <c r="D34" s="31"/>
      <c r="E34" s="41"/>
      <c r="F34" s="31"/>
      <c r="G34" s="41"/>
      <c r="H34" s="94">
        <f>SUM(H14:H32)</f>
        <v>0</v>
      </c>
    </row>
    <row r="35" spans="1:9" ht="19.5" customHeight="1" x14ac:dyDescent="0.3">
      <c r="A35" s="29" t="s">
        <v>128</v>
      </c>
      <c r="B35" s="30"/>
      <c r="C35" s="31"/>
      <c r="D35" s="31"/>
      <c r="E35" s="31"/>
      <c r="F35" s="31"/>
      <c r="G35" s="95">
        <f>Summary!G20</f>
        <v>0</v>
      </c>
      <c r="H35" s="74">
        <f>SUM(H34*G35)</f>
        <v>0</v>
      </c>
    </row>
    <row r="36" spans="1:9" ht="19.5" customHeight="1" x14ac:dyDescent="0.3">
      <c r="A36" s="29" t="s">
        <v>129</v>
      </c>
      <c r="B36" s="30"/>
      <c r="C36" s="31"/>
      <c r="D36" s="31"/>
      <c r="E36" s="31"/>
      <c r="F36" s="31"/>
      <c r="G36" s="95">
        <f>Summary!G21</f>
        <v>0</v>
      </c>
      <c r="H36" s="74">
        <f>SUM(H34+H35)*G36</f>
        <v>0</v>
      </c>
    </row>
    <row r="37" spans="1:9" ht="19.5" customHeight="1" x14ac:dyDescent="0.3">
      <c r="A37" s="29" t="s">
        <v>130</v>
      </c>
      <c r="B37" s="30"/>
      <c r="C37" s="31"/>
      <c r="D37" s="31"/>
      <c r="E37" s="31"/>
      <c r="F37" s="31"/>
      <c r="G37" s="95">
        <f>Summary!G22</f>
        <v>0</v>
      </c>
      <c r="H37" s="74">
        <f>SUM(G33*G37)</f>
        <v>0</v>
      </c>
    </row>
    <row r="38" spans="1:9" ht="19.5" customHeight="1" thickBot="1" x14ac:dyDescent="0.35">
      <c r="A38" s="34" t="s">
        <v>124</v>
      </c>
      <c r="B38" s="32"/>
      <c r="C38" s="33"/>
      <c r="D38" s="33"/>
      <c r="E38" s="33"/>
      <c r="F38" s="33"/>
      <c r="G38" s="33"/>
      <c r="H38" s="75">
        <f>SUM(H34:H37)</f>
        <v>0</v>
      </c>
    </row>
    <row r="39" spans="1:9" ht="12.75" customHeight="1" thickTop="1" x14ac:dyDescent="0.25">
      <c r="A39" s="35"/>
      <c r="B39" s="35"/>
      <c r="C39" s="36"/>
      <c r="D39" s="36"/>
      <c r="E39" s="36"/>
      <c r="F39" s="36"/>
      <c r="G39" s="36"/>
      <c r="H39" s="36"/>
      <c r="I39" s="35"/>
    </row>
    <row r="40" spans="1:9" ht="12.75" customHeight="1" x14ac:dyDescent="0.25">
      <c r="A40" s="35"/>
      <c r="B40" s="35"/>
      <c r="C40" s="36"/>
      <c r="D40" s="36"/>
      <c r="E40" s="36"/>
      <c r="F40" s="36"/>
      <c r="G40" s="36"/>
      <c r="H40" s="36"/>
      <c r="I40" s="35"/>
    </row>
    <row r="41" spans="1:9" ht="12.75" customHeight="1" x14ac:dyDescent="0.25">
      <c r="A41" s="35"/>
      <c r="B41" s="35"/>
      <c r="C41" s="36"/>
      <c r="D41" s="36"/>
      <c r="E41" s="36"/>
      <c r="F41" s="36"/>
      <c r="G41" s="36"/>
      <c r="H41" s="36"/>
      <c r="I41" s="35"/>
    </row>
    <row r="42" spans="1:9" ht="12.75" customHeight="1" x14ac:dyDescent="0.25">
      <c r="A42" s="35"/>
      <c r="B42" s="35"/>
      <c r="C42" s="36"/>
      <c r="D42" s="36"/>
      <c r="E42" s="36"/>
      <c r="F42" s="36"/>
      <c r="G42" s="36"/>
      <c r="H42" s="36"/>
      <c r="I42" s="35"/>
    </row>
    <row r="43" spans="1:9" ht="12.75" customHeight="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20.149999999999999"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12.5"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sheetData>
  <mergeCells count="3">
    <mergeCell ref="A8:B8"/>
    <mergeCell ref="C8:E8"/>
    <mergeCell ref="A1:C2"/>
  </mergeCells>
  <printOptions horizontalCentered="1" verticalCentered="1" gridLinesSet="0"/>
  <pageMargins left="0.25" right="0.25" top="0.75" bottom="0.75" header="0.3" footer="0.3"/>
  <pageSetup scale="87" orientation="portrait" horizontalDpi="1200" verticalDpi="12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J203"/>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Summary!B40</f>
        <v>MATERIAL PROCESING AND HANDLING EQUIPMENT</v>
      </c>
      <c r="B13" s="41"/>
      <c r="C13" s="45"/>
      <c r="D13" s="53"/>
      <c r="E13" s="45"/>
      <c r="F13" s="53"/>
      <c r="G13" s="45"/>
      <c r="H13" s="45"/>
    </row>
    <row r="14" spans="1:9" ht="19.5" customHeight="1" x14ac:dyDescent="0.25">
      <c r="A14" s="30"/>
      <c r="B14" s="44"/>
      <c r="C14" s="45"/>
      <c r="D14" s="45"/>
      <c r="E14" s="89">
        <f>B14*D14</f>
        <v>0</v>
      </c>
      <c r="F14" s="45"/>
      <c r="G14" s="89">
        <f t="shared" ref="G14:G30" si="0">B14*F14</f>
        <v>0</v>
      </c>
      <c r="H14" s="89">
        <f t="shared" ref="H14:H30" si="1">E14+G14</f>
        <v>0</v>
      </c>
    </row>
    <row r="15" spans="1:9" ht="19.5" customHeight="1" x14ac:dyDescent="0.25">
      <c r="A15" s="30"/>
      <c r="B15" s="30"/>
      <c r="C15" s="31"/>
      <c r="D15" s="31"/>
      <c r="E15" s="74">
        <f>B15*D15</f>
        <v>0</v>
      </c>
      <c r="F15" s="31"/>
      <c r="G15" s="74">
        <f t="shared" si="0"/>
        <v>0</v>
      </c>
      <c r="H15" s="74">
        <f t="shared" si="1"/>
        <v>0</v>
      </c>
    </row>
    <row r="16" spans="1:9" ht="19.5" customHeight="1" x14ac:dyDescent="0.25">
      <c r="A16" s="30"/>
      <c r="B16" s="30"/>
      <c r="C16" s="31"/>
      <c r="D16" s="31"/>
      <c r="E16" s="74">
        <f t="shared" ref="E16:E30" si="2">B16*D16</f>
        <v>0</v>
      </c>
      <c r="F16" s="31"/>
      <c r="G16" s="74">
        <f t="shared" si="0"/>
        <v>0</v>
      </c>
      <c r="H16" s="74">
        <f t="shared" si="1"/>
        <v>0</v>
      </c>
    </row>
    <row r="17" spans="1:10" ht="19.5" customHeight="1" x14ac:dyDescent="0.25">
      <c r="A17" s="30"/>
      <c r="B17" s="30"/>
      <c r="C17" s="31"/>
      <c r="D17" s="31"/>
      <c r="E17" s="74">
        <f t="shared" si="2"/>
        <v>0</v>
      </c>
      <c r="F17" s="31"/>
      <c r="G17" s="74">
        <f t="shared" si="0"/>
        <v>0</v>
      </c>
      <c r="H17" s="74">
        <f t="shared" si="1"/>
        <v>0</v>
      </c>
    </row>
    <row r="18" spans="1:10" ht="19.5" customHeight="1" x14ac:dyDescent="0.25">
      <c r="A18" s="30"/>
      <c r="B18" s="30"/>
      <c r="C18" s="31"/>
      <c r="D18" s="31"/>
      <c r="E18" s="74">
        <f t="shared" si="2"/>
        <v>0</v>
      </c>
      <c r="F18" s="31"/>
      <c r="G18" s="74">
        <f t="shared" si="0"/>
        <v>0</v>
      </c>
      <c r="H18" s="74">
        <f t="shared" si="1"/>
        <v>0</v>
      </c>
    </row>
    <row r="19" spans="1:10" ht="19.5" customHeight="1" x14ac:dyDescent="0.25">
      <c r="A19" s="30"/>
      <c r="B19" s="30"/>
      <c r="C19" s="31"/>
      <c r="D19" s="31"/>
      <c r="E19" s="74">
        <f t="shared" si="2"/>
        <v>0</v>
      </c>
      <c r="F19" s="31"/>
      <c r="G19" s="74">
        <f t="shared" si="0"/>
        <v>0</v>
      </c>
      <c r="H19" s="74">
        <f t="shared" si="1"/>
        <v>0</v>
      </c>
    </row>
    <row r="20" spans="1:10" ht="19.5" customHeight="1" x14ac:dyDescent="0.25">
      <c r="A20" s="30"/>
      <c r="B20" s="30"/>
      <c r="C20" s="31"/>
      <c r="D20" s="31"/>
      <c r="E20" s="74">
        <f t="shared" si="2"/>
        <v>0</v>
      </c>
      <c r="F20" s="31"/>
      <c r="G20" s="74">
        <f t="shared" si="0"/>
        <v>0</v>
      </c>
      <c r="H20" s="74">
        <f t="shared" si="1"/>
        <v>0</v>
      </c>
    </row>
    <row r="21" spans="1:10" ht="19.5" customHeight="1" x14ac:dyDescent="0.25">
      <c r="A21" s="30"/>
      <c r="B21" s="30"/>
      <c r="C21" s="31"/>
      <c r="D21" s="31"/>
      <c r="E21" s="74">
        <f t="shared" si="2"/>
        <v>0</v>
      </c>
      <c r="F21" s="31"/>
      <c r="G21" s="74">
        <f t="shared" si="0"/>
        <v>0</v>
      </c>
      <c r="H21" s="74">
        <f t="shared" si="1"/>
        <v>0</v>
      </c>
    </row>
    <row r="22" spans="1:10" ht="19.5" customHeight="1" x14ac:dyDescent="0.25">
      <c r="A22" s="30"/>
      <c r="B22" s="30"/>
      <c r="C22" s="31"/>
      <c r="D22" s="31"/>
      <c r="E22" s="74">
        <f t="shared" si="2"/>
        <v>0</v>
      </c>
      <c r="F22" s="31"/>
      <c r="G22" s="74">
        <f t="shared" si="0"/>
        <v>0</v>
      </c>
      <c r="H22" s="74">
        <f t="shared" si="1"/>
        <v>0</v>
      </c>
    </row>
    <row r="23" spans="1:10" ht="19.5" customHeight="1" x14ac:dyDescent="0.25">
      <c r="A23" s="30"/>
      <c r="B23" s="30"/>
      <c r="C23" s="31"/>
      <c r="D23" s="31"/>
      <c r="E23" s="74">
        <f t="shared" si="2"/>
        <v>0</v>
      </c>
      <c r="F23" s="31"/>
      <c r="G23" s="74">
        <f t="shared" si="0"/>
        <v>0</v>
      </c>
      <c r="H23" s="74">
        <f t="shared" si="1"/>
        <v>0</v>
      </c>
    </row>
    <row r="24" spans="1:10" ht="19.5" customHeight="1" x14ac:dyDescent="0.25">
      <c r="A24" s="30"/>
      <c r="B24" s="30"/>
      <c r="C24" s="31"/>
      <c r="D24" s="31"/>
      <c r="E24" s="74">
        <f t="shared" si="2"/>
        <v>0</v>
      </c>
      <c r="F24" s="31"/>
      <c r="G24" s="74">
        <f t="shared" si="0"/>
        <v>0</v>
      </c>
      <c r="H24" s="74">
        <f t="shared" si="1"/>
        <v>0</v>
      </c>
    </row>
    <row r="25" spans="1:10" ht="19.5" customHeight="1" x14ac:dyDescent="0.25">
      <c r="A25" s="30"/>
      <c r="B25" s="30"/>
      <c r="C25" s="31"/>
      <c r="D25" s="31"/>
      <c r="E25" s="74">
        <f t="shared" si="2"/>
        <v>0</v>
      </c>
      <c r="F25" s="31"/>
      <c r="G25" s="74">
        <f t="shared" si="0"/>
        <v>0</v>
      </c>
      <c r="H25" s="74">
        <f t="shared" si="1"/>
        <v>0</v>
      </c>
    </row>
    <row r="26" spans="1:10" ht="19.5" customHeight="1" x14ac:dyDescent="0.25">
      <c r="A26" s="30"/>
      <c r="B26" s="30"/>
      <c r="C26" s="31"/>
      <c r="D26" s="31"/>
      <c r="E26" s="74">
        <f t="shared" si="2"/>
        <v>0</v>
      </c>
      <c r="F26" s="31"/>
      <c r="G26" s="74">
        <f t="shared" si="0"/>
        <v>0</v>
      </c>
      <c r="H26" s="74">
        <f t="shared" si="1"/>
        <v>0</v>
      </c>
    </row>
    <row r="27" spans="1:10" ht="19.5" customHeight="1" x14ac:dyDescent="0.25">
      <c r="A27" s="30"/>
      <c r="B27" s="30"/>
      <c r="C27" s="31"/>
      <c r="D27" s="31"/>
      <c r="E27" s="74">
        <f t="shared" si="2"/>
        <v>0</v>
      </c>
      <c r="F27" s="31"/>
      <c r="G27" s="74">
        <f t="shared" si="0"/>
        <v>0</v>
      </c>
      <c r="H27" s="74">
        <f t="shared" si="1"/>
        <v>0</v>
      </c>
    </row>
    <row r="28" spans="1:10" ht="19.5" customHeight="1" x14ac:dyDescent="0.25">
      <c r="A28" s="30"/>
      <c r="B28" s="30"/>
      <c r="C28" s="31"/>
      <c r="D28" s="31"/>
      <c r="E28" s="74">
        <f t="shared" si="2"/>
        <v>0</v>
      </c>
      <c r="F28" s="31"/>
      <c r="G28" s="74">
        <f t="shared" si="0"/>
        <v>0</v>
      </c>
      <c r="H28" s="74">
        <f t="shared" si="1"/>
        <v>0</v>
      </c>
    </row>
    <row r="29" spans="1:10" ht="19.5" customHeight="1" x14ac:dyDescent="0.25">
      <c r="A29" s="30"/>
      <c r="B29" s="30"/>
      <c r="C29" s="31"/>
      <c r="D29" s="31"/>
      <c r="E29" s="74">
        <f t="shared" si="2"/>
        <v>0</v>
      </c>
      <c r="F29" s="31"/>
      <c r="G29" s="74">
        <f t="shared" si="0"/>
        <v>0</v>
      </c>
      <c r="H29" s="74">
        <f t="shared" si="1"/>
        <v>0</v>
      </c>
    </row>
    <row r="30" spans="1:10" ht="19.5" customHeight="1" x14ac:dyDescent="0.25">
      <c r="A30" s="30"/>
      <c r="B30" s="30"/>
      <c r="C30" s="31"/>
      <c r="D30" s="31"/>
      <c r="E30" s="74">
        <f t="shared" si="2"/>
        <v>0</v>
      </c>
      <c r="F30" s="31"/>
      <c r="G30" s="74">
        <f t="shared" si="0"/>
        <v>0</v>
      </c>
      <c r="H30" s="74">
        <f t="shared" si="1"/>
        <v>0</v>
      </c>
    </row>
    <row r="31" spans="1:10" ht="19.5" customHeight="1" x14ac:dyDescent="0.3">
      <c r="A31" s="29" t="s">
        <v>127</v>
      </c>
      <c r="B31" s="30"/>
      <c r="C31" s="31"/>
      <c r="D31" s="31"/>
      <c r="E31" s="74">
        <f>SUM(E14:E30)</f>
        <v>0</v>
      </c>
      <c r="F31" s="31"/>
      <c r="G31" s="74">
        <f>SUM(G14:G30)</f>
        <v>0</v>
      </c>
      <c r="H31" s="53"/>
    </row>
    <row r="32" spans="1:10" ht="19.5" customHeight="1" x14ac:dyDescent="0.3">
      <c r="A32" s="29" t="s">
        <v>104</v>
      </c>
      <c r="B32" s="30"/>
      <c r="C32" s="31"/>
      <c r="D32" s="31"/>
      <c r="E32" s="41"/>
      <c r="F32" s="31"/>
      <c r="G32" s="41"/>
      <c r="H32" s="74">
        <f>E31+G31</f>
        <v>0</v>
      </c>
      <c r="J32" s="10"/>
    </row>
    <row r="33" spans="1:9" ht="19.5" customHeight="1" x14ac:dyDescent="0.3">
      <c r="A33" s="29" t="s">
        <v>128</v>
      </c>
      <c r="B33" s="30"/>
      <c r="C33" s="31"/>
      <c r="D33" s="31"/>
      <c r="E33" s="31"/>
      <c r="F33" s="31"/>
      <c r="G33" s="95">
        <f>Summary!G20</f>
        <v>0</v>
      </c>
      <c r="H33" s="74">
        <f>SUM(H32*G33)</f>
        <v>0</v>
      </c>
    </row>
    <row r="34" spans="1:9" ht="19.5" customHeight="1" x14ac:dyDescent="0.3">
      <c r="A34" s="29" t="s">
        <v>129</v>
      </c>
      <c r="B34" s="30"/>
      <c r="C34" s="31"/>
      <c r="D34" s="31"/>
      <c r="E34" s="31"/>
      <c r="F34" s="31"/>
      <c r="G34" s="95">
        <f>Summary!G21</f>
        <v>0</v>
      </c>
      <c r="H34" s="74">
        <f>SUM(H32+H33)*G34</f>
        <v>0</v>
      </c>
    </row>
    <row r="35" spans="1:9" ht="19.5" customHeight="1" x14ac:dyDescent="0.3">
      <c r="A35" s="29" t="s">
        <v>130</v>
      </c>
      <c r="B35" s="30"/>
      <c r="C35" s="31"/>
      <c r="D35" s="31"/>
      <c r="E35" s="31"/>
      <c r="F35" s="31"/>
      <c r="G35" s="95">
        <f>Summary!G22</f>
        <v>0</v>
      </c>
      <c r="H35" s="74">
        <f>SUM(G31*G35)</f>
        <v>0</v>
      </c>
    </row>
    <row r="36" spans="1:9" ht="19.5" customHeight="1" thickBot="1" x14ac:dyDescent="0.35">
      <c r="A36" s="34" t="s">
        <v>124</v>
      </c>
      <c r="B36" s="32"/>
      <c r="C36" s="33"/>
      <c r="D36" s="33"/>
      <c r="E36" s="33"/>
      <c r="F36" s="33"/>
      <c r="G36" s="66"/>
      <c r="H36" s="75">
        <f>SUM(H32:H35)</f>
        <v>0</v>
      </c>
    </row>
    <row r="37" spans="1:9" ht="12.75" customHeight="1" thickTop="1" x14ac:dyDescent="0.25">
      <c r="A37" s="35"/>
      <c r="B37" s="35"/>
      <c r="C37" s="36"/>
      <c r="D37" s="36"/>
      <c r="E37" s="36"/>
      <c r="F37" s="36"/>
      <c r="G37" s="36"/>
      <c r="H37" s="36"/>
      <c r="I37" s="35"/>
    </row>
    <row r="38" spans="1:9" ht="12.75" customHeight="1" x14ac:dyDescent="0.25">
      <c r="A38" s="35"/>
      <c r="B38" s="35"/>
      <c r="C38" s="36"/>
      <c r="D38" s="36"/>
      <c r="E38" s="36"/>
      <c r="F38" s="36"/>
      <c r="G38" s="36"/>
      <c r="H38" s="36"/>
      <c r="I38" s="35"/>
    </row>
    <row r="39" spans="1:9" ht="12.75" customHeight="1" x14ac:dyDescent="0.25">
      <c r="A39" s="35"/>
      <c r="B39" s="35"/>
      <c r="C39" s="36"/>
      <c r="D39" s="36"/>
      <c r="E39" s="36"/>
      <c r="F39" s="36"/>
      <c r="G39" s="36"/>
      <c r="H39" s="36"/>
      <c r="I39" s="35"/>
    </row>
    <row r="40" spans="1:9" ht="12.75" customHeight="1" x14ac:dyDescent="0.25">
      <c r="A40" s="35"/>
      <c r="B40" s="35"/>
      <c r="C40" s="36"/>
      <c r="D40" s="36"/>
      <c r="E40" s="36"/>
      <c r="F40" s="36"/>
      <c r="G40" s="36"/>
      <c r="H40" s="36"/>
      <c r="I40" s="35"/>
    </row>
    <row r="41" spans="1:9" ht="12.75" customHeight="1" x14ac:dyDescent="0.25">
      <c r="A41" s="35"/>
      <c r="B41" s="35"/>
      <c r="C41" s="36"/>
      <c r="D41" s="36"/>
      <c r="E41" s="36"/>
      <c r="F41" s="36"/>
      <c r="G41" s="36"/>
      <c r="H41" s="36"/>
      <c r="I41" s="35"/>
    </row>
    <row r="42" spans="1:9" ht="12.75" customHeight="1" x14ac:dyDescent="0.25">
      <c r="A42" s="35"/>
      <c r="B42" s="35"/>
      <c r="C42" s="36"/>
      <c r="D42" s="36"/>
      <c r="E42" s="36"/>
      <c r="F42" s="36"/>
      <c r="G42" s="36"/>
      <c r="H42" s="36"/>
      <c r="I42" s="35"/>
    </row>
    <row r="43" spans="1:9" ht="12.75" customHeight="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20.149999999999999" customHeight="1" x14ac:dyDescent="0.25">
      <c r="A66" s="35"/>
      <c r="B66" s="35"/>
      <c r="C66" s="36"/>
      <c r="D66" s="36"/>
      <c r="E66" s="36"/>
      <c r="F66" s="36"/>
      <c r="G66" s="36"/>
      <c r="H66" s="36"/>
      <c r="I66" s="35"/>
    </row>
    <row r="67" spans="1:9" ht="20.149999999999999" customHeight="1" x14ac:dyDescent="0.25">
      <c r="A67" s="35"/>
      <c r="B67" s="35"/>
      <c r="C67" s="36"/>
      <c r="D67" s="36"/>
      <c r="E67" s="36"/>
      <c r="F67" s="36"/>
      <c r="G67" s="36"/>
      <c r="H67" s="36"/>
      <c r="I67" s="35"/>
    </row>
    <row r="68" spans="1:9" ht="20.149999999999999"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12.5" x14ac:dyDescent="0.25">
      <c r="A117" s="35"/>
      <c r="B117" s="35"/>
      <c r="C117" s="36"/>
      <c r="D117" s="36"/>
      <c r="E117" s="36"/>
      <c r="F117" s="36"/>
      <c r="G117" s="36"/>
      <c r="H117" s="36"/>
      <c r="I117" s="35"/>
    </row>
    <row r="118" spans="1:9" ht="12.5" x14ac:dyDescent="0.25">
      <c r="A118" s="35"/>
      <c r="B118" s="35"/>
      <c r="C118" s="36"/>
      <c r="D118" s="36"/>
      <c r="E118" s="36"/>
      <c r="F118" s="36"/>
      <c r="G118" s="36"/>
      <c r="H118" s="36"/>
      <c r="I118" s="35"/>
    </row>
    <row r="119" spans="1:9" ht="12.5"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sheetData>
  <mergeCells count="1">
    <mergeCell ref="A1:C2"/>
  </mergeCells>
  <printOptions horizontalCentered="1" verticalCentered="1" gridLinesSet="0"/>
  <pageMargins left="0.25" right="0.25" top="0.75" bottom="0.75" header="0.3" footer="0.3"/>
  <pageSetup scale="91" orientation="portrait" horizontalDpi="1200" verticalDpi="1200"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J206"/>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Summary!B40</f>
        <v>MATERIAL PROCESING AND HANDLING EQUIPMENT</v>
      </c>
      <c r="B13" s="30"/>
      <c r="C13" s="31"/>
      <c r="D13" s="31"/>
      <c r="E13" s="31"/>
      <c r="F13" s="31"/>
      <c r="G13" s="31"/>
      <c r="H13" s="31"/>
    </row>
    <row r="14" spans="1:9" ht="19.5" customHeight="1" x14ac:dyDescent="0.25">
      <c r="A14" s="30"/>
      <c r="B14" s="30"/>
      <c r="C14" s="31"/>
      <c r="D14" s="31"/>
      <c r="E14" s="74">
        <f t="shared" ref="E14:E33" si="0">B14*D14</f>
        <v>0</v>
      </c>
      <c r="F14" s="31"/>
      <c r="G14" s="74">
        <f t="shared" ref="G14:G33" si="1">B14*F14</f>
        <v>0</v>
      </c>
      <c r="H14" s="74">
        <f t="shared" ref="H14:H33" si="2">E14+G14</f>
        <v>0</v>
      </c>
    </row>
    <row r="15" spans="1:9" ht="19.5" customHeight="1" x14ac:dyDescent="0.25">
      <c r="A15" s="30"/>
      <c r="B15" s="30"/>
      <c r="C15" s="31"/>
      <c r="D15" s="31"/>
      <c r="E15" s="74">
        <f t="shared" si="0"/>
        <v>0</v>
      </c>
      <c r="F15" s="31"/>
      <c r="G15" s="74">
        <f t="shared" si="1"/>
        <v>0</v>
      </c>
      <c r="H15" s="74">
        <f t="shared" si="2"/>
        <v>0</v>
      </c>
    </row>
    <row r="16" spans="1:9" ht="19.5" customHeight="1" x14ac:dyDescent="0.25">
      <c r="A16" s="52"/>
      <c r="B16" s="30"/>
      <c r="C16" s="31"/>
      <c r="D16" s="31"/>
      <c r="E16" s="74">
        <f t="shared" si="0"/>
        <v>0</v>
      </c>
      <c r="F16" s="31"/>
      <c r="G16" s="74">
        <f t="shared" si="1"/>
        <v>0</v>
      </c>
      <c r="H16" s="74">
        <f t="shared" si="2"/>
        <v>0</v>
      </c>
    </row>
    <row r="17" spans="1:8" ht="19.5" customHeight="1" x14ac:dyDescent="0.25">
      <c r="A17" s="30"/>
      <c r="B17" s="30"/>
      <c r="C17" s="31"/>
      <c r="D17" s="31"/>
      <c r="E17" s="74">
        <f t="shared" si="0"/>
        <v>0</v>
      </c>
      <c r="F17" s="31"/>
      <c r="G17" s="74">
        <f t="shared" si="1"/>
        <v>0</v>
      </c>
      <c r="H17" s="74">
        <f t="shared" si="2"/>
        <v>0</v>
      </c>
    </row>
    <row r="18" spans="1:8" ht="19.5" customHeight="1" x14ac:dyDescent="0.25">
      <c r="A18" s="30"/>
      <c r="B18" s="30"/>
      <c r="C18" s="31"/>
      <c r="D18" s="31"/>
      <c r="E18" s="74">
        <f>B18*D18</f>
        <v>0</v>
      </c>
      <c r="F18" s="31"/>
      <c r="G18" s="74">
        <f>B18*F18</f>
        <v>0</v>
      </c>
      <c r="H18" s="74">
        <f>E18+G18</f>
        <v>0</v>
      </c>
    </row>
    <row r="19" spans="1:8" ht="19.5" customHeight="1" x14ac:dyDescent="0.25">
      <c r="A19" s="30"/>
      <c r="B19" s="30"/>
      <c r="C19" s="31"/>
      <c r="D19" s="31"/>
      <c r="E19" s="74">
        <f>B19*D19</f>
        <v>0</v>
      </c>
      <c r="F19" s="31"/>
      <c r="G19" s="74">
        <f>B19*F19</f>
        <v>0</v>
      </c>
      <c r="H19" s="74">
        <f>E19+G19</f>
        <v>0</v>
      </c>
    </row>
    <row r="20" spans="1:8" ht="19.5" customHeight="1" x14ac:dyDescent="0.25">
      <c r="A20" s="30"/>
      <c r="B20" s="30"/>
      <c r="C20" s="31"/>
      <c r="D20" s="31"/>
      <c r="E20" s="74">
        <f>B20*D20</f>
        <v>0</v>
      </c>
      <c r="F20" s="31"/>
      <c r="G20" s="74">
        <f>B20*F20</f>
        <v>0</v>
      </c>
      <c r="H20" s="74">
        <f>E20+G20</f>
        <v>0</v>
      </c>
    </row>
    <row r="21" spans="1:8" ht="19.5" customHeight="1" x14ac:dyDescent="0.25">
      <c r="A21" s="30"/>
      <c r="B21" s="30"/>
      <c r="C21" s="31"/>
      <c r="D21" s="31"/>
      <c r="E21" s="74">
        <f>B21*D21</f>
        <v>0</v>
      </c>
      <c r="F21" s="31"/>
      <c r="G21" s="74">
        <f>B21*F21</f>
        <v>0</v>
      </c>
      <c r="H21" s="74">
        <f>E21+G21</f>
        <v>0</v>
      </c>
    </row>
    <row r="22" spans="1:8" ht="19.5" customHeight="1" x14ac:dyDescent="0.25">
      <c r="A22" s="30"/>
      <c r="B22" s="30"/>
      <c r="C22" s="31"/>
      <c r="D22" s="31"/>
      <c r="E22" s="74">
        <f t="shared" si="0"/>
        <v>0</v>
      </c>
      <c r="F22" s="31"/>
      <c r="G22" s="74">
        <f t="shared" si="1"/>
        <v>0</v>
      </c>
      <c r="H22" s="74">
        <f t="shared" si="2"/>
        <v>0</v>
      </c>
    </row>
    <row r="23" spans="1:8" ht="19.5" customHeight="1" x14ac:dyDescent="0.25">
      <c r="A23" s="30"/>
      <c r="B23" s="30"/>
      <c r="C23" s="31"/>
      <c r="D23" s="31"/>
      <c r="E23" s="74">
        <f t="shared" si="0"/>
        <v>0</v>
      </c>
      <c r="F23" s="31"/>
      <c r="G23" s="74">
        <f t="shared" si="1"/>
        <v>0</v>
      </c>
      <c r="H23" s="74">
        <f t="shared" si="2"/>
        <v>0</v>
      </c>
    </row>
    <row r="24" spans="1:8" ht="19.5" customHeight="1" x14ac:dyDescent="0.25">
      <c r="A24" s="30"/>
      <c r="B24" s="30"/>
      <c r="C24" s="31"/>
      <c r="D24" s="31"/>
      <c r="E24" s="74">
        <f t="shared" si="0"/>
        <v>0</v>
      </c>
      <c r="F24" s="31"/>
      <c r="G24" s="74">
        <f t="shared" si="1"/>
        <v>0</v>
      </c>
      <c r="H24" s="74">
        <f t="shared" si="2"/>
        <v>0</v>
      </c>
    </row>
    <row r="25" spans="1:8" ht="19.5" customHeight="1" x14ac:dyDescent="0.25">
      <c r="A25" s="30"/>
      <c r="B25" s="30"/>
      <c r="C25" s="31"/>
      <c r="D25" s="31"/>
      <c r="E25" s="74">
        <f t="shared" si="0"/>
        <v>0</v>
      </c>
      <c r="F25" s="31"/>
      <c r="G25" s="74">
        <f t="shared" si="1"/>
        <v>0</v>
      </c>
      <c r="H25" s="74">
        <f t="shared" si="2"/>
        <v>0</v>
      </c>
    </row>
    <row r="26" spans="1:8" ht="19.5" customHeight="1" x14ac:dyDescent="0.25">
      <c r="A26" s="30"/>
      <c r="B26" s="30"/>
      <c r="C26" s="31"/>
      <c r="D26" s="31"/>
      <c r="E26" s="74">
        <f t="shared" si="0"/>
        <v>0</v>
      </c>
      <c r="F26" s="31"/>
      <c r="G26" s="74">
        <f t="shared" si="1"/>
        <v>0</v>
      </c>
      <c r="H26" s="74">
        <f t="shared" si="2"/>
        <v>0</v>
      </c>
    </row>
    <row r="27" spans="1:8" ht="19.5" customHeight="1" x14ac:dyDescent="0.25">
      <c r="A27" s="30"/>
      <c r="B27" s="30"/>
      <c r="C27" s="31"/>
      <c r="D27" s="31"/>
      <c r="E27" s="74">
        <f t="shared" si="0"/>
        <v>0</v>
      </c>
      <c r="F27" s="31"/>
      <c r="G27" s="74">
        <f t="shared" si="1"/>
        <v>0</v>
      </c>
      <c r="H27" s="74">
        <f t="shared" si="2"/>
        <v>0</v>
      </c>
    </row>
    <row r="28" spans="1:8" ht="19.5" customHeight="1" x14ac:dyDescent="0.25">
      <c r="A28" s="30"/>
      <c r="B28" s="30"/>
      <c r="C28" s="31"/>
      <c r="D28" s="31"/>
      <c r="E28" s="74">
        <f t="shared" si="0"/>
        <v>0</v>
      </c>
      <c r="F28" s="31"/>
      <c r="G28" s="74">
        <f t="shared" si="1"/>
        <v>0</v>
      </c>
      <c r="H28" s="74">
        <f t="shared" si="2"/>
        <v>0</v>
      </c>
    </row>
    <row r="29" spans="1:8" ht="19.5" customHeight="1" x14ac:dyDescent="0.25">
      <c r="A29" s="30"/>
      <c r="B29" s="30"/>
      <c r="C29" s="31"/>
      <c r="D29" s="31"/>
      <c r="E29" s="74">
        <f t="shared" si="0"/>
        <v>0</v>
      </c>
      <c r="F29" s="31"/>
      <c r="G29" s="74">
        <f t="shared" si="1"/>
        <v>0</v>
      </c>
      <c r="H29" s="74">
        <f t="shared" si="2"/>
        <v>0</v>
      </c>
    </row>
    <row r="30" spans="1:8" ht="19.5" customHeight="1" x14ac:dyDescent="0.25">
      <c r="A30" s="30"/>
      <c r="B30" s="30"/>
      <c r="C30" s="31"/>
      <c r="D30" s="31"/>
      <c r="E30" s="74">
        <f t="shared" si="0"/>
        <v>0</v>
      </c>
      <c r="F30" s="31"/>
      <c r="G30" s="74">
        <f t="shared" si="1"/>
        <v>0</v>
      </c>
      <c r="H30" s="74">
        <f t="shared" si="2"/>
        <v>0</v>
      </c>
    </row>
    <row r="31" spans="1:8" ht="19.5" customHeight="1" x14ac:dyDescent="0.25">
      <c r="A31" s="30"/>
      <c r="B31" s="30"/>
      <c r="C31" s="31"/>
      <c r="D31" s="31"/>
      <c r="E31" s="74">
        <f>B31*D31</f>
        <v>0</v>
      </c>
      <c r="F31" s="31"/>
      <c r="G31" s="74">
        <f>B31*F31</f>
        <v>0</v>
      </c>
      <c r="H31" s="74">
        <f t="shared" si="2"/>
        <v>0</v>
      </c>
    </row>
    <row r="32" spans="1:8" ht="19.5" customHeight="1" x14ac:dyDescent="0.25">
      <c r="A32" s="30"/>
      <c r="B32" s="30"/>
      <c r="C32" s="31"/>
      <c r="D32" s="31"/>
      <c r="E32" s="74">
        <f t="shared" si="0"/>
        <v>0</v>
      </c>
      <c r="F32" s="31"/>
      <c r="G32" s="74">
        <f t="shared" si="1"/>
        <v>0</v>
      </c>
      <c r="H32" s="74">
        <f t="shared" si="2"/>
        <v>0</v>
      </c>
    </row>
    <row r="33" spans="1:10" ht="19.5" customHeight="1" x14ac:dyDescent="0.25">
      <c r="A33" s="30"/>
      <c r="B33" s="30"/>
      <c r="C33" s="31"/>
      <c r="D33" s="31"/>
      <c r="E33" s="74">
        <f t="shared" si="0"/>
        <v>0</v>
      </c>
      <c r="F33" s="31"/>
      <c r="G33" s="74">
        <f t="shared" si="1"/>
        <v>0</v>
      </c>
      <c r="H33" s="74">
        <f t="shared" si="2"/>
        <v>0</v>
      </c>
    </row>
    <row r="34" spans="1:10" ht="19.5" customHeight="1" x14ac:dyDescent="0.3">
      <c r="A34" s="29" t="s">
        <v>127</v>
      </c>
      <c r="B34" s="30"/>
      <c r="C34" s="31"/>
      <c r="D34" s="31"/>
      <c r="E34" s="74">
        <f>SUM(E14:E33)</f>
        <v>0</v>
      </c>
      <c r="F34" s="31"/>
      <c r="G34" s="74">
        <f>SUM(G14:G33)</f>
        <v>0</v>
      </c>
      <c r="H34" s="53"/>
      <c r="I34" s="10"/>
    </row>
    <row r="35" spans="1:10" ht="19.5" customHeight="1" x14ac:dyDescent="0.3">
      <c r="A35" s="29" t="s">
        <v>104</v>
      </c>
      <c r="B35" s="30"/>
      <c r="C35" s="31"/>
      <c r="D35" s="31"/>
      <c r="E35" s="41"/>
      <c r="F35" s="31"/>
      <c r="G35" s="41"/>
      <c r="H35" s="74">
        <f>E34+G34</f>
        <v>0</v>
      </c>
      <c r="J35" s="10"/>
    </row>
    <row r="36" spans="1:10" ht="19.5" customHeight="1" x14ac:dyDescent="0.3">
      <c r="A36" s="29" t="s">
        <v>128</v>
      </c>
      <c r="B36" s="30"/>
      <c r="C36" s="31"/>
      <c r="D36" s="31"/>
      <c r="E36" s="31"/>
      <c r="F36" s="31"/>
      <c r="G36" s="95">
        <f>Summary!G20</f>
        <v>0</v>
      </c>
      <c r="H36" s="74">
        <f>SUM(H35*G36)</f>
        <v>0</v>
      </c>
    </row>
    <row r="37" spans="1:10" ht="19.5" customHeight="1" x14ac:dyDescent="0.3">
      <c r="A37" s="29" t="s">
        <v>129</v>
      </c>
      <c r="B37" s="30"/>
      <c r="C37" s="31"/>
      <c r="D37" s="31"/>
      <c r="E37" s="31"/>
      <c r="F37" s="31"/>
      <c r="G37" s="95">
        <f>Summary!G21</f>
        <v>0</v>
      </c>
      <c r="H37" s="74">
        <f>SUM(H35+H36)*G37</f>
        <v>0</v>
      </c>
    </row>
    <row r="38" spans="1:10" ht="19.5" customHeight="1" x14ac:dyDescent="0.3">
      <c r="A38" s="29" t="s">
        <v>130</v>
      </c>
      <c r="B38" s="30"/>
      <c r="C38" s="31"/>
      <c r="D38" s="31"/>
      <c r="E38" s="31"/>
      <c r="F38" s="31"/>
      <c r="G38" s="95">
        <f>Summary!G22</f>
        <v>0</v>
      </c>
      <c r="H38" s="74">
        <f>SUM(G34*G38)</f>
        <v>0</v>
      </c>
    </row>
    <row r="39" spans="1:10" ht="19.5" customHeight="1" thickBot="1" x14ac:dyDescent="0.35">
      <c r="A39" s="34" t="s">
        <v>124</v>
      </c>
      <c r="B39" s="32"/>
      <c r="C39" s="33"/>
      <c r="D39" s="33"/>
      <c r="E39" s="33"/>
      <c r="F39" s="33"/>
      <c r="G39" s="66"/>
      <c r="H39" s="75">
        <f>SUM(H35:H38)</f>
        <v>0</v>
      </c>
    </row>
    <row r="40" spans="1:10" ht="12.75" customHeight="1" thickTop="1" x14ac:dyDescent="0.25">
      <c r="A40" s="35"/>
      <c r="B40" s="35"/>
      <c r="C40" s="36"/>
      <c r="D40" s="36"/>
      <c r="E40" s="36"/>
      <c r="F40" s="36"/>
      <c r="G40" s="36"/>
      <c r="H40" s="36"/>
      <c r="I40" s="35"/>
    </row>
    <row r="41" spans="1:10" ht="12.75" customHeight="1" x14ac:dyDescent="0.25">
      <c r="A41" s="35"/>
      <c r="B41" s="35"/>
      <c r="C41" s="36"/>
      <c r="D41" s="36"/>
      <c r="E41" s="36"/>
      <c r="F41" s="36"/>
      <c r="G41" s="36"/>
      <c r="H41" s="36"/>
      <c r="I41" s="35"/>
    </row>
    <row r="42" spans="1:10" ht="12.75" customHeight="1" x14ac:dyDescent="0.25">
      <c r="A42" s="35"/>
      <c r="B42" s="35"/>
      <c r="C42" s="36"/>
      <c r="D42" s="36"/>
      <c r="E42" s="36"/>
      <c r="F42" s="36"/>
      <c r="G42" s="36"/>
      <c r="H42" s="36"/>
      <c r="I42" s="35"/>
    </row>
    <row r="43" spans="1:10" ht="12.75" customHeight="1" x14ac:dyDescent="0.25">
      <c r="A43" s="35"/>
      <c r="B43" s="35"/>
      <c r="C43" s="36"/>
      <c r="D43" s="36"/>
      <c r="E43" s="36"/>
      <c r="F43" s="36"/>
      <c r="G43" s="36"/>
      <c r="H43" s="36"/>
      <c r="I43" s="35"/>
    </row>
    <row r="44" spans="1:10" ht="12.75" customHeight="1" x14ac:dyDescent="0.25">
      <c r="A44" s="35"/>
      <c r="B44" s="35"/>
      <c r="C44" s="36"/>
      <c r="D44" s="36"/>
      <c r="E44" s="36"/>
      <c r="F44" s="36"/>
      <c r="G44" s="36"/>
      <c r="H44" s="36"/>
      <c r="I44" s="35"/>
    </row>
    <row r="45" spans="1:10" ht="12.75" customHeight="1" x14ac:dyDescent="0.25">
      <c r="A45" s="35"/>
      <c r="B45" s="35"/>
      <c r="C45" s="36"/>
      <c r="D45" s="36"/>
      <c r="E45" s="36"/>
      <c r="F45" s="36"/>
      <c r="G45" s="36"/>
      <c r="H45" s="36"/>
      <c r="I45" s="35"/>
    </row>
    <row r="46" spans="1:10" ht="12.75" customHeight="1" x14ac:dyDescent="0.25">
      <c r="A46" s="35"/>
      <c r="B46" s="35"/>
      <c r="C46" s="36"/>
      <c r="D46" s="36"/>
      <c r="E46" s="36"/>
      <c r="F46" s="36"/>
      <c r="G46" s="36"/>
      <c r="H46" s="36"/>
      <c r="I46" s="35"/>
    </row>
    <row r="47" spans="1:10" ht="12.75" customHeight="1" x14ac:dyDescent="0.25">
      <c r="A47" s="35"/>
      <c r="B47" s="35"/>
      <c r="C47" s="36"/>
      <c r="D47" s="36"/>
      <c r="E47" s="36"/>
      <c r="F47" s="36"/>
      <c r="G47" s="36"/>
      <c r="H47" s="36"/>
      <c r="I47" s="35"/>
    </row>
    <row r="48" spans="1:10"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row r="205" spans="1:9" ht="12.5" x14ac:dyDescent="0.25">
      <c r="A205" s="35"/>
      <c r="B205" s="35"/>
      <c r="C205" s="36"/>
      <c r="D205" s="36"/>
      <c r="E205" s="36"/>
      <c r="F205" s="36"/>
      <c r="G205" s="36"/>
      <c r="H205" s="36"/>
      <c r="I205" s="35"/>
    </row>
    <row r="206" spans="1:9" ht="12.5" x14ac:dyDescent="0.25">
      <c r="A206" s="35"/>
      <c r="B206" s="35"/>
      <c r="C206" s="36"/>
      <c r="D206" s="36"/>
      <c r="E206" s="36"/>
      <c r="F206" s="36"/>
      <c r="G206" s="36"/>
      <c r="H206" s="36"/>
      <c r="I206" s="35"/>
    </row>
  </sheetData>
  <mergeCells count="1">
    <mergeCell ref="A1:C2"/>
  </mergeCells>
  <printOptions horizontalCentered="1" verticalCentered="1" gridLinesSet="0"/>
  <pageMargins left="0.25" right="0.25" top="0.75" bottom="0.75" header="0.3" footer="0.3"/>
  <pageSetup scale="84" orientation="portrait" horizontalDpi="1200" verticalDpi="120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I203"/>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146"/>
      <c r="D8" s="147"/>
      <c r="E8" s="148"/>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Summary!B41</f>
        <v>PROCESS HEATING, COOLING AND DRYING EQUIPMENT</v>
      </c>
      <c r="B13" s="30"/>
      <c r="C13" s="31"/>
      <c r="D13" s="31"/>
      <c r="E13" s="31"/>
      <c r="F13" s="31"/>
      <c r="G13" s="31"/>
      <c r="H13" s="31"/>
    </row>
    <row r="14" spans="1:9" ht="19.5" customHeight="1" x14ac:dyDescent="0.25">
      <c r="A14" s="30"/>
      <c r="B14" s="46"/>
      <c r="C14" s="47"/>
      <c r="D14" s="31"/>
      <c r="E14" s="74">
        <f t="shared" ref="E14:E19" si="0">B14*D14</f>
        <v>0</v>
      </c>
      <c r="F14" s="31"/>
      <c r="G14" s="74">
        <f t="shared" ref="G14:G19" si="1">B14*F14</f>
        <v>0</v>
      </c>
      <c r="H14" s="74">
        <f t="shared" ref="H14:H19" si="2">E14+G14</f>
        <v>0</v>
      </c>
    </row>
    <row r="15" spans="1:9" ht="19.5" customHeight="1" x14ac:dyDescent="0.25">
      <c r="A15" s="30"/>
      <c r="B15" s="46"/>
      <c r="C15" s="47"/>
      <c r="D15" s="31"/>
      <c r="E15" s="74">
        <f t="shared" si="0"/>
        <v>0</v>
      </c>
      <c r="F15" s="31"/>
      <c r="G15" s="74">
        <f t="shared" si="1"/>
        <v>0</v>
      </c>
      <c r="H15" s="74">
        <f t="shared" si="2"/>
        <v>0</v>
      </c>
    </row>
    <row r="16" spans="1:9" ht="19.5" customHeight="1" x14ac:dyDescent="0.25">
      <c r="A16" s="30"/>
      <c r="B16" s="30"/>
      <c r="C16" s="31"/>
      <c r="D16" s="31"/>
      <c r="E16" s="74">
        <f t="shared" si="0"/>
        <v>0</v>
      </c>
      <c r="F16" s="31"/>
      <c r="G16" s="74">
        <f t="shared" si="1"/>
        <v>0</v>
      </c>
      <c r="H16" s="74">
        <f t="shared" si="2"/>
        <v>0</v>
      </c>
    </row>
    <row r="17" spans="1:9" ht="19.5" customHeight="1" x14ac:dyDescent="0.25">
      <c r="A17" s="30"/>
      <c r="B17" s="30"/>
      <c r="C17" s="31"/>
      <c r="D17" s="31"/>
      <c r="E17" s="74">
        <f t="shared" si="0"/>
        <v>0</v>
      </c>
      <c r="F17" s="31"/>
      <c r="G17" s="74">
        <f t="shared" si="1"/>
        <v>0</v>
      </c>
      <c r="H17" s="74">
        <f t="shared" si="2"/>
        <v>0</v>
      </c>
    </row>
    <row r="18" spans="1:9" ht="19.5" customHeight="1" x14ac:dyDescent="0.25">
      <c r="A18" s="30"/>
      <c r="B18" s="30"/>
      <c r="C18" s="31"/>
      <c r="D18" s="31"/>
      <c r="E18" s="74">
        <f t="shared" si="0"/>
        <v>0</v>
      </c>
      <c r="F18" s="31"/>
      <c r="G18" s="74">
        <f t="shared" si="1"/>
        <v>0</v>
      </c>
      <c r="H18" s="74">
        <f t="shared" si="2"/>
        <v>0</v>
      </c>
    </row>
    <row r="19" spans="1:9" ht="19.5" customHeight="1" x14ac:dyDescent="0.25">
      <c r="A19" s="30"/>
      <c r="B19" s="30"/>
      <c r="C19" s="31"/>
      <c r="D19" s="31"/>
      <c r="E19" s="74">
        <f t="shared" si="0"/>
        <v>0</v>
      </c>
      <c r="F19" s="31"/>
      <c r="G19" s="74">
        <f t="shared" si="1"/>
        <v>0</v>
      </c>
      <c r="H19" s="74">
        <f t="shared" si="2"/>
        <v>0</v>
      </c>
    </row>
    <row r="20" spans="1:9" ht="19.5" customHeight="1" x14ac:dyDescent="0.25">
      <c r="A20" s="30"/>
      <c r="B20" s="30"/>
      <c r="C20" s="31"/>
      <c r="D20" s="31"/>
      <c r="E20" s="74">
        <f t="shared" ref="E20:E30" si="3">B20*D20</f>
        <v>0</v>
      </c>
      <c r="F20" s="31"/>
      <c r="G20" s="74">
        <f t="shared" ref="G20:G30" si="4">B20*F20</f>
        <v>0</v>
      </c>
      <c r="H20" s="74">
        <f t="shared" ref="H20:H30" si="5">E20+G20</f>
        <v>0</v>
      </c>
    </row>
    <row r="21" spans="1:9" ht="19.5" customHeight="1" x14ac:dyDescent="0.25">
      <c r="A21" s="30"/>
      <c r="B21" s="30"/>
      <c r="C21" s="31"/>
      <c r="D21" s="31"/>
      <c r="E21" s="74">
        <f t="shared" si="3"/>
        <v>0</v>
      </c>
      <c r="F21" s="31"/>
      <c r="G21" s="74">
        <f t="shared" si="4"/>
        <v>0</v>
      </c>
      <c r="H21" s="74">
        <f t="shared" si="5"/>
        <v>0</v>
      </c>
    </row>
    <row r="22" spans="1:9" ht="19.5" customHeight="1" x14ac:dyDescent="0.25">
      <c r="A22" s="30"/>
      <c r="B22" s="30"/>
      <c r="C22" s="31"/>
      <c r="D22" s="31"/>
      <c r="E22" s="74">
        <f t="shared" si="3"/>
        <v>0</v>
      </c>
      <c r="F22" s="31"/>
      <c r="G22" s="74">
        <f t="shared" si="4"/>
        <v>0</v>
      </c>
      <c r="H22" s="74">
        <f t="shared" si="5"/>
        <v>0</v>
      </c>
    </row>
    <row r="23" spans="1:9" ht="19.5" customHeight="1" x14ac:dyDescent="0.25">
      <c r="A23" s="30"/>
      <c r="B23" s="30"/>
      <c r="C23" s="31"/>
      <c r="D23" s="31"/>
      <c r="E23" s="74">
        <f t="shared" si="3"/>
        <v>0</v>
      </c>
      <c r="F23" s="31"/>
      <c r="G23" s="74">
        <f t="shared" si="4"/>
        <v>0</v>
      </c>
      <c r="H23" s="74">
        <f t="shared" si="5"/>
        <v>0</v>
      </c>
    </row>
    <row r="24" spans="1:9" ht="19.5" customHeight="1" x14ac:dyDescent="0.25">
      <c r="A24" s="30"/>
      <c r="B24" s="30"/>
      <c r="C24" s="31"/>
      <c r="D24" s="31"/>
      <c r="E24" s="74">
        <f t="shared" si="3"/>
        <v>0</v>
      </c>
      <c r="F24" s="31"/>
      <c r="G24" s="74">
        <f t="shared" si="4"/>
        <v>0</v>
      </c>
      <c r="H24" s="74">
        <f t="shared" si="5"/>
        <v>0</v>
      </c>
    </row>
    <row r="25" spans="1:9" ht="19.5" customHeight="1" x14ac:dyDescent="0.25">
      <c r="A25" s="30"/>
      <c r="B25" s="30"/>
      <c r="C25" s="31"/>
      <c r="D25" s="31"/>
      <c r="E25" s="74">
        <f t="shared" si="3"/>
        <v>0</v>
      </c>
      <c r="F25" s="31"/>
      <c r="G25" s="74">
        <f t="shared" si="4"/>
        <v>0</v>
      </c>
      <c r="H25" s="74">
        <f t="shared" si="5"/>
        <v>0</v>
      </c>
    </row>
    <row r="26" spans="1:9" ht="19.5" customHeight="1" x14ac:dyDescent="0.25">
      <c r="A26" s="30"/>
      <c r="B26" s="30"/>
      <c r="C26" s="31"/>
      <c r="D26" s="31"/>
      <c r="E26" s="74">
        <f t="shared" si="3"/>
        <v>0</v>
      </c>
      <c r="F26" s="31"/>
      <c r="G26" s="74">
        <f t="shared" si="4"/>
        <v>0</v>
      </c>
      <c r="H26" s="74">
        <f t="shared" si="5"/>
        <v>0</v>
      </c>
    </row>
    <row r="27" spans="1:9" ht="19.5" customHeight="1" x14ac:dyDescent="0.25">
      <c r="A27" s="30"/>
      <c r="B27" s="30"/>
      <c r="C27" s="31"/>
      <c r="D27" s="31"/>
      <c r="E27" s="74">
        <f t="shared" si="3"/>
        <v>0</v>
      </c>
      <c r="F27" s="31"/>
      <c r="G27" s="74">
        <f t="shared" si="4"/>
        <v>0</v>
      </c>
      <c r="H27" s="74">
        <f t="shared" si="5"/>
        <v>0</v>
      </c>
    </row>
    <row r="28" spans="1:9" ht="19.5" customHeight="1" x14ac:dyDescent="0.25">
      <c r="A28" s="30"/>
      <c r="B28" s="30"/>
      <c r="C28" s="31"/>
      <c r="D28" s="31"/>
      <c r="E28" s="74">
        <f t="shared" si="3"/>
        <v>0</v>
      </c>
      <c r="F28" s="31"/>
      <c r="G28" s="74">
        <f t="shared" si="4"/>
        <v>0</v>
      </c>
      <c r="H28" s="74">
        <f t="shared" si="5"/>
        <v>0</v>
      </c>
    </row>
    <row r="29" spans="1:9" ht="19.5" customHeight="1" x14ac:dyDescent="0.25">
      <c r="A29" s="30"/>
      <c r="B29" s="30"/>
      <c r="C29" s="31"/>
      <c r="D29" s="31"/>
      <c r="E29" s="74">
        <f t="shared" si="3"/>
        <v>0</v>
      </c>
      <c r="F29" s="31"/>
      <c r="G29" s="74">
        <f t="shared" si="4"/>
        <v>0</v>
      </c>
      <c r="H29" s="74">
        <f t="shared" si="5"/>
        <v>0</v>
      </c>
    </row>
    <row r="30" spans="1:9" ht="19.5" customHeight="1" x14ac:dyDescent="0.25">
      <c r="A30" s="30"/>
      <c r="B30" s="30"/>
      <c r="C30" s="31"/>
      <c r="D30" s="31"/>
      <c r="E30" s="74">
        <f t="shared" si="3"/>
        <v>0</v>
      </c>
      <c r="F30" s="31"/>
      <c r="G30" s="74">
        <f t="shared" si="4"/>
        <v>0</v>
      </c>
      <c r="H30" s="74">
        <f t="shared" si="5"/>
        <v>0</v>
      </c>
    </row>
    <row r="31" spans="1:9" ht="19.5" customHeight="1" x14ac:dyDescent="0.3">
      <c r="A31" s="29" t="s">
        <v>127</v>
      </c>
      <c r="B31" s="30"/>
      <c r="C31" s="31"/>
      <c r="D31" s="31"/>
      <c r="E31" s="74">
        <f>SUM(E14:E30)</f>
        <v>0</v>
      </c>
      <c r="F31" s="31"/>
      <c r="G31" s="74">
        <f>SUM(G14:G30)</f>
        <v>0</v>
      </c>
      <c r="H31" s="31"/>
      <c r="I31" s="10"/>
    </row>
    <row r="32" spans="1:9" ht="19.5" customHeight="1" x14ac:dyDescent="0.3">
      <c r="A32" s="29" t="s">
        <v>104</v>
      </c>
      <c r="B32" s="30"/>
      <c r="C32" s="31"/>
      <c r="D32" s="31"/>
      <c r="E32" s="41"/>
      <c r="F32" s="31"/>
      <c r="G32" s="41"/>
      <c r="H32" s="94">
        <f>SUM(H14:H30)</f>
        <v>0</v>
      </c>
    </row>
    <row r="33" spans="1:9" ht="19.5" customHeight="1" x14ac:dyDescent="0.3">
      <c r="A33" s="29" t="s">
        <v>128</v>
      </c>
      <c r="B33" s="30"/>
      <c r="C33" s="31"/>
      <c r="D33" s="31"/>
      <c r="E33" s="31"/>
      <c r="F33" s="31"/>
      <c r="G33" s="95">
        <f>Summary!G20</f>
        <v>0</v>
      </c>
      <c r="H33" s="74">
        <f>SUM(H32*G33)</f>
        <v>0</v>
      </c>
    </row>
    <row r="34" spans="1:9" ht="19.5" customHeight="1" x14ac:dyDescent="0.3">
      <c r="A34" s="29" t="s">
        <v>129</v>
      </c>
      <c r="B34" s="30"/>
      <c r="C34" s="31"/>
      <c r="D34" s="31"/>
      <c r="E34" s="31"/>
      <c r="F34" s="31"/>
      <c r="G34" s="95">
        <f>Summary!G21</f>
        <v>0</v>
      </c>
      <c r="H34" s="74">
        <f>SUM(H32+H33)*G34</f>
        <v>0</v>
      </c>
    </row>
    <row r="35" spans="1:9" ht="19.5" customHeight="1" x14ac:dyDescent="0.3">
      <c r="A35" s="29" t="s">
        <v>130</v>
      </c>
      <c r="B35" s="30"/>
      <c r="C35" s="31"/>
      <c r="D35" s="31"/>
      <c r="E35" s="31"/>
      <c r="F35" s="31"/>
      <c r="G35" s="95">
        <f>Summary!G22</f>
        <v>0</v>
      </c>
      <c r="H35" s="74">
        <f>SUM(G31*G35)</f>
        <v>0</v>
      </c>
    </row>
    <row r="36" spans="1:9" ht="19.5" customHeight="1" thickBot="1" x14ac:dyDescent="0.35">
      <c r="A36" s="34" t="s">
        <v>124</v>
      </c>
      <c r="B36" s="32"/>
      <c r="C36" s="33"/>
      <c r="D36" s="33"/>
      <c r="E36" s="33"/>
      <c r="F36" s="33"/>
      <c r="G36" s="33"/>
      <c r="H36" s="75">
        <f>SUM(H32:H35)</f>
        <v>0</v>
      </c>
    </row>
    <row r="37" spans="1:9" ht="12.75" customHeight="1" thickTop="1" x14ac:dyDescent="0.25">
      <c r="A37" s="35"/>
      <c r="B37" s="35"/>
      <c r="C37" s="36"/>
      <c r="D37" s="36"/>
      <c r="E37" s="36"/>
      <c r="F37" s="36"/>
      <c r="G37" s="36"/>
      <c r="H37" s="36"/>
      <c r="I37" s="35"/>
    </row>
    <row r="38" spans="1:9" ht="12.75" customHeight="1" x14ac:dyDescent="0.25">
      <c r="A38" s="35"/>
      <c r="B38" s="35"/>
      <c r="C38" s="36"/>
      <c r="D38" s="36"/>
      <c r="E38" s="36"/>
      <c r="F38" s="36"/>
      <c r="G38" s="36"/>
      <c r="H38" s="36"/>
      <c r="I38" s="35"/>
    </row>
    <row r="39" spans="1:9" ht="12.75" customHeight="1" x14ac:dyDescent="0.25">
      <c r="A39" s="35"/>
      <c r="B39" s="35"/>
      <c r="C39" s="36"/>
      <c r="D39" s="36"/>
      <c r="E39" s="36"/>
      <c r="F39" s="36"/>
      <c r="G39" s="36"/>
      <c r="H39" s="36"/>
      <c r="I39" s="35"/>
    </row>
    <row r="40" spans="1:9" ht="12.75" customHeight="1" x14ac:dyDescent="0.25">
      <c r="A40" s="35"/>
      <c r="B40" s="35"/>
      <c r="C40" s="36"/>
      <c r="D40" s="36"/>
      <c r="E40" s="36"/>
      <c r="F40" s="36"/>
      <c r="G40" s="36"/>
      <c r="H40" s="36"/>
      <c r="I40" s="35"/>
    </row>
    <row r="41" spans="1:9" ht="12.75" customHeight="1" x14ac:dyDescent="0.25">
      <c r="A41" s="35"/>
      <c r="B41" s="35"/>
      <c r="C41" s="36"/>
      <c r="D41" s="36"/>
      <c r="E41" s="36"/>
      <c r="F41" s="36"/>
      <c r="G41" s="36"/>
      <c r="H41" s="36"/>
      <c r="I41" s="35"/>
    </row>
    <row r="42" spans="1:9" ht="12.75" customHeight="1" x14ac:dyDescent="0.25">
      <c r="A42" s="35"/>
      <c r="B42" s="35"/>
      <c r="C42" s="36"/>
      <c r="D42" s="36"/>
      <c r="E42" s="36"/>
      <c r="F42" s="36"/>
      <c r="G42" s="36"/>
      <c r="H42" s="36"/>
      <c r="I42" s="35"/>
    </row>
    <row r="43" spans="1:9" ht="12.75" customHeight="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20.149999999999999" customHeight="1" x14ac:dyDescent="0.25">
      <c r="A66" s="35"/>
      <c r="B66" s="35"/>
      <c r="C66" s="36"/>
      <c r="D66" s="36"/>
      <c r="E66" s="36"/>
      <c r="F66" s="36"/>
      <c r="G66" s="36"/>
      <c r="H66" s="36"/>
      <c r="I66" s="35"/>
    </row>
    <row r="67" spans="1:9" ht="20.149999999999999" customHeight="1" x14ac:dyDescent="0.25">
      <c r="A67" s="35"/>
      <c r="B67" s="35"/>
      <c r="C67" s="36"/>
      <c r="D67" s="36"/>
      <c r="E67" s="36"/>
      <c r="F67" s="36"/>
      <c r="G67" s="36"/>
      <c r="H67" s="36"/>
      <c r="I67" s="35"/>
    </row>
    <row r="68" spans="1:9" ht="20.149999999999999"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12.5" x14ac:dyDescent="0.25">
      <c r="A117" s="35"/>
      <c r="B117" s="35"/>
      <c r="C117" s="36"/>
      <c r="D117" s="36"/>
      <c r="E117" s="36"/>
      <c r="F117" s="36"/>
      <c r="G117" s="36"/>
      <c r="H117" s="36"/>
      <c r="I117" s="35"/>
    </row>
    <row r="118" spans="1:9" ht="12.5" x14ac:dyDescent="0.25">
      <c r="A118" s="35"/>
      <c r="B118" s="35"/>
      <c r="C118" s="36"/>
      <c r="D118" s="36"/>
      <c r="E118" s="36"/>
      <c r="F118" s="36"/>
      <c r="G118" s="36"/>
      <c r="H118" s="36"/>
      <c r="I118" s="35"/>
    </row>
    <row r="119" spans="1:9" ht="12.5"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sheetData>
  <mergeCells count="3">
    <mergeCell ref="A8:B8"/>
    <mergeCell ref="C8:E8"/>
    <mergeCell ref="A1:C2"/>
  </mergeCells>
  <printOptions horizontalCentered="1" verticalCentered="1" gridLinesSet="0"/>
  <pageMargins left="0.25" right="0.25" top="0.75" bottom="0.75" header="0.3" footer="0.3"/>
  <pageSetup scale="91" orientation="portrait" horizontalDpi="1200" verticalDpi="1200"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I204"/>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146"/>
      <c r="D8" s="147"/>
      <c r="E8" s="148"/>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Summary!B42</f>
        <v>PROCESS GAS &amp; LIQUID HANDLING, PURIFICATION AND STORAGE EQUIPMENT</v>
      </c>
      <c r="B13" s="30"/>
      <c r="C13" s="31"/>
      <c r="D13" s="31"/>
      <c r="E13" s="31"/>
      <c r="F13" s="31"/>
      <c r="G13" s="31"/>
      <c r="H13" s="31"/>
    </row>
    <row r="14" spans="1:9" ht="19.5" customHeight="1" x14ac:dyDescent="0.25">
      <c r="A14" s="30"/>
      <c r="B14" s="46"/>
      <c r="C14" s="47"/>
      <c r="D14" s="31"/>
      <c r="E14" s="74">
        <f t="shared" ref="E14:E19" si="0">B14*D14</f>
        <v>0</v>
      </c>
      <c r="F14" s="31"/>
      <c r="G14" s="74">
        <f t="shared" ref="G14:G19" si="1">B14*F14</f>
        <v>0</v>
      </c>
      <c r="H14" s="74">
        <f t="shared" ref="H14:H19" si="2">E14+G14</f>
        <v>0</v>
      </c>
    </row>
    <row r="15" spans="1:9" ht="19.5" customHeight="1" x14ac:dyDescent="0.25">
      <c r="A15" s="30"/>
      <c r="B15" s="46"/>
      <c r="C15" s="47"/>
      <c r="D15" s="31"/>
      <c r="E15" s="74">
        <f t="shared" si="0"/>
        <v>0</v>
      </c>
      <c r="F15" s="31"/>
      <c r="G15" s="74">
        <f t="shared" si="1"/>
        <v>0</v>
      </c>
      <c r="H15" s="74">
        <f t="shared" si="2"/>
        <v>0</v>
      </c>
    </row>
    <row r="16" spans="1:9" ht="19.5" customHeight="1" x14ac:dyDescent="0.25">
      <c r="A16" s="30"/>
      <c r="B16" s="30"/>
      <c r="C16" s="31"/>
      <c r="D16" s="31"/>
      <c r="E16" s="74">
        <f t="shared" si="0"/>
        <v>0</v>
      </c>
      <c r="F16" s="31"/>
      <c r="G16" s="74">
        <f t="shared" si="1"/>
        <v>0</v>
      </c>
      <c r="H16" s="74">
        <f t="shared" si="2"/>
        <v>0</v>
      </c>
    </row>
    <row r="17" spans="1:9" ht="19.5" customHeight="1" x14ac:dyDescent="0.25">
      <c r="A17" s="30"/>
      <c r="B17" s="30"/>
      <c r="C17" s="31"/>
      <c r="D17" s="31"/>
      <c r="E17" s="74">
        <f t="shared" si="0"/>
        <v>0</v>
      </c>
      <c r="F17" s="31"/>
      <c r="G17" s="74">
        <f t="shared" si="1"/>
        <v>0</v>
      </c>
      <c r="H17" s="74">
        <f t="shared" si="2"/>
        <v>0</v>
      </c>
    </row>
    <row r="18" spans="1:9" ht="19.5" customHeight="1" x14ac:dyDescent="0.25">
      <c r="A18" s="30"/>
      <c r="B18" s="30"/>
      <c r="C18" s="31"/>
      <c r="D18" s="31"/>
      <c r="E18" s="74">
        <f t="shared" si="0"/>
        <v>0</v>
      </c>
      <c r="F18" s="31"/>
      <c r="G18" s="74">
        <f t="shared" si="1"/>
        <v>0</v>
      </c>
      <c r="H18" s="74">
        <f t="shared" si="2"/>
        <v>0</v>
      </c>
    </row>
    <row r="19" spans="1:9" ht="19.5" customHeight="1" x14ac:dyDescent="0.25">
      <c r="A19" s="30"/>
      <c r="B19" s="30"/>
      <c r="C19" s="31"/>
      <c r="D19" s="31"/>
      <c r="E19" s="74">
        <f t="shared" si="0"/>
        <v>0</v>
      </c>
      <c r="F19" s="31"/>
      <c r="G19" s="74">
        <f t="shared" si="1"/>
        <v>0</v>
      </c>
      <c r="H19" s="74">
        <f t="shared" si="2"/>
        <v>0</v>
      </c>
    </row>
    <row r="20" spans="1:9" ht="19.5" customHeight="1" x14ac:dyDescent="0.25">
      <c r="A20" s="30"/>
      <c r="B20" s="30"/>
      <c r="C20" s="31"/>
      <c r="D20" s="31"/>
      <c r="E20" s="74">
        <f>B20*D20</f>
        <v>0</v>
      </c>
      <c r="F20" s="31"/>
      <c r="G20" s="74">
        <f>B20*F20</f>
        <v>0</v>
      </c>
      <c r="H20" s="74">
        <f>E20+G20</f>
        <v>0</v>
      </c>
    </row>
    <row r="21" spans="1:9" ht="19.5" customHeight="1" x14ac:dyDescent="0.25">
      <c r="A21" s="30"/>
      <c r="B21" s="30"/>
      <c r="C21" s="31"/>
      <c r="D21" s="31"/>
      <c r="E21" s="74">
        <f t="shared" ref="E21:E31" si="3">B21*D21</f>
        <v>0</v>
      </c>
      <c r="F21" s="31"/>
      <c r="G21" s="74">
        <f t="shared" ref="G21:G31" si="4">B21*F21</f>
        <v>0</v>
      </c>
      <c r="H21" s="74">
        <f t="shared" ref="H21:H31" si="5">E21+G21</f>
        <v>0</v>
      </c>
    </row>
    <row r="22" spans="1:9" ht="19.5" customHeight="1" x14ac:dyDescent="0.25">
      <c r="A22" s="30"/>
      <c r="B22" s="30"/>
      <c r="C22" s="31"/>
      <c r="D22" s="31"/>
      <c r="E22" s="74">
        <f t="shared" si="3"/>
        <v>0</v>
      </c>
      <c r="F22" s="31"/>
      <c r="G22" s="74">
        <f t="shared" si="4"/>
        <v>0</v>
      </c>
      <c r="H22" s="74">
        <f t="shared" si="5"/>
        <v>0</v>
      </c>
    </row>
    <row r="23" spans="1:9" ht="19.5" customHeight="1" x14ac:dyDescent="0.25">
      <c r="A23" s="30"/>
      <c r="B23" s="30"/>
      <c r="C23" s="31"/>
      <c r="D23" s="31"/>
      <c r="E23" s="74">
        <f t="shared" si="3"/>
        <v>0</v>
      </c>
      <c r="F23" s="31"/>
      <c r="G23" s="74">
        <f t="shared" si="4"/>
        <v>0</v>
      </c>
      <c r="H23" s="74">
        <f t="shared" si="5"/>
        <v>0</v>
      </c>
    </row>
    <row r="24" spans="1:9" ht="19.5" customHeight="1" x14ac:dyDescent="0.25">
      <c r="A24" s="30"/>
      <c r="B24" s="30"/>
      <c r="C24" s="31"/>
      <c r="D24" s="31"/>
      <c r="E24" s="74">
        <f t="shared" si="3"/>
        <v>0</v>
      </c>
      <c r="F24" s="31"/>
      <c r="G24" s="74">
        <f t="shared" si="4"/>
        <v>0</v>
      </c>
      <c r="H24" s="74">
        <f t="shared" si="5"/>
        <v>0</v>
      </c>
    </row>
    <row r="25" spans="1:9" ht="19.5" customHeight="1" x14ac:dyDescent="0.25">
      <c r="A25" s="30"/>
      <c r="B25" s="30"/>
      <c r="C25" s="31"/>
      <c r="D25" s="31"/>
      <c r="E25" s="74">
        <f t="shared" si="3"/>
        <v>0</v>
      </c>
      <c r="F25" s="31"/>
      <c r="G25" s="74">
        <f t="shared" si="4"/>
        <v>0</v>
      </c>
      <c r="H25" s="74">
        <f t="shared" si="5"/>
        <v>0</v>
      </c>
    </row>
    <row r="26" spans="1:9" ht="19.5" customHeight="1" x14ac:dyDescent="0.25">
      <c r="A26" s="30"/>
      <c r="B26" s="30"/>
      <c r="C26" s="31"/>
      <c r="D26" s="31"/>
      <c r="E26" s="74">
        <f t="shared" si="3"/>
        <v>0</v>
      </c>
      <c r="F26" s="31"/>
      <c r="G26" s="74">
        <f t="shared" si="4"/>
        <v>0</v>
      </c>
      <c r="H26" s="74">
        <f t="shared" si="5"/>
        <v>0</v>
      </c>
    </row>
    <row r="27" spans="1:9" ht="19.5" customHeight="1" x14ac:dyDescent="0.25">
      <c r="A27" s="30"/>
      <c r="B27" s="30"/>
      <c r="C27" s="31"/>
      <c r="D27" s="31"/>
      <c r="E27" s="74">
        <f t="shared" si="3"/>
        <v>0</v>
      </c>
      <c r="F27" s="31"/>
      <c r="G27" s="74">
        <f t="shared" si="4"/>
        <v>0</v>
      </c>
      <c r="H27" s="74">
        <f t="shared" si="5"/>
        <v>0</v>
      </c>
    </row>
    <row r="28" spans="1:9" ht="19.5" customHeight="1" x14ac:dyDescent="0.25">
      <c r="A28" s="30"/>
      <c r="B28" s="30"/>
      <c r="C28" s="31"/>
      <c r="D28" s="31"/>
      <c r="E28" s="74">
        <f t="shared" si="3"/>
        <v>0</v>
      </c>
      <c r="F28" s="31"/>
      <c r="G28" s="74">
        <f t="shared" si="4"/>
        <v>0</v>
      </c>
      <c r="H28" s="74">
        <f t="shared" si="5"/>
        <v>0</v>
      </c>
    </row>
    <row r="29" spans="1:9" ht="19.5" customHeight="1" x14ac:dyDescent="0.25">
      <c r="A29" s="30"/>
      <c r="B29" s="30"/>
      <c r="C29" s="31"/>
      <c r="D29" s="31"/>
      <c r="E29" s="74">
        <f t="shared" si="3"/>
        <v>0</v>
      </c>
      <c r="F29" s="31"/>
      <c r="G29" s="74">
        <f t="shared" si="4"/>
        <v>0</v>
      </c>
      <c r="H29" s="74">
        <f t="shared" si="5"/>
        <v>0</v>
      </c>
    </row>
    <row r="30" spans="1:9" ht="19.5" customHeight="1" x14ac:dyDescent="0.25">
      <c r="A30" s="30"/>
      <c r="B30" s="30"/>
      <c r="C30" s="31"/>
      <c r="D30" s="31"/>
      <c r="E30" s="74">
        <f t="shared" si="3"/>
        <v>0</v>
      </c>
      <c r="F30" s="31"/>
      <c r="G30" s="74">
        <f t="shared" si="4"/>
        <v>0</v>
      </c>
      <c r="H30" s="74">
        <f t="shared" si="5"/>
        <v>0</v>
      </c>
    </row>
    <row r="31" spans="1:9" ht="19.5" customHeight="1" x14ac:dyDescent="0.25">
      <c r="A31" s="30"/>
      <c r="B31" s="30"/>
      <c r="C31" s="31"/>
      <c r="D31" s="31"/>
      <c r="E31" s="74">
        <f t="shared" si="3"/>
        <v>0</v>
      </c>
      <c r="F31" s="31"/>
      <c r="G31" s="74">
        <f t="shared" si="4"/>
        <v>0</v>
      </c>
      <c r="H31" s="74">
        <f t="shared" si="5"/>
        <v>0</v>
      </c>
    </row>
    <row r="32" spans="1:9" ht="19.5" customHeight="1" x14ac:dyDescent="0.3">
      <c r="A32" s="29" t="s">
        <v>127</v>
      </c>
      <c r="B32" s="30"/>
      <c r="C32" s="31"/>
      <c r="D32" s="31"/>
      <c r="E32" s="74">
        <f>SUM(E14:E31)</f>
        <v>0</v>
      </c>
      <c r="F32" s="31"/>
      <c r="G32" s="74">
        <f>SUM(G14:G31)</f>
        <v>0</v>
      </c>
      <c r="H32" s="31"/>
      <c r="I32" s="10"/>
    </row>
    <row r="33" spans="1:9" ht="19.5" customHeight="1" x14ac:dyDescent="0.3">
      <c r="A33" s="29" t="s">
        <v>104</v>
      </c>
      <c r="B33" s="30"/>
      <c r="C33" s="31"/>
      <c r="D33" s="31"/>
      <c r="E33" s="41"/>
      <c r="F33" s="31"/>
      <c r="G33" s="41"/>
      <c r="H33" s="94">
        <f>SUM(H14:H31)</f>
        <v>0</v>
      </c>
    </row>
    <row r="34" spans="1:9" ht="19.5" customHeight="1" x14ac:dyDescent="0.3">
      <c r="A34" s="29" t="s">
        <v>128</v>
      </c>
      <c r="B34" s="30"/>
      <c r="C34" s="31"/>
      <c r="D34" s="31"/>
      <c r="E34" s="31"/>
      <c r="F34" s="31"/>
      <c r="G34" s="95">
        <f>Summary!G20</f>
        <v>0</v>
      </c>
      <c r="H34" s="74">
        <f>SUM(H33*G34)</f>
        <v>0</v>
      </c>
    </row>
    <row r="35" spans="1:9" ht="19.5" customHeight="1" x14ac:dyDescent="0.3">
      <c r="A35" s="29" t="s">
        <v>129</v>
      </c>
      <c r="B35" s="30"/>
      <c r="C35" s="31"/>
      <c r="D35" s="31"/>
      <c r="E35" s="31"/>
      <c r="F35" s="31"/>
      <c r="G35" s="95">
        <f>Summary!G21</f>
        <v>0</v>
      </c>
      <c r="H35" s="74">
        <f>SUM(H33+H34)*G35</f>
        <v>0</v>
      </c>
    </row>
    <row r="36" spans="1:9" ht="19.5" customHeight="1" x14ac:dyDescent="0.3">
      <c r="A36" s="29" t="s">
        <v>130</v>
      </c>
      <c r="B36" s="30"/>
      <c r="C36" s="31"/>
      <c r="D36" s="31"/>
      <c r="E36" s="31"/>
      <c r="F36" s="31"/>
      <c r="G36" s="95">
        <f>Summary!G22</f>
        <v>0</v>
      </c>
      <c r="H36" s="74">
        <f>SUM(G32*G36)</f>
        <v>0</v>
      </c>
    </row>
    <row r="37" spans="1:9" ht="19.5" customHeight="1" thickBot="1" x14ac:dyDescent="0.35">
      <c r="A37" s="34" t="s">
        <v>124</v>
      </c>
      <c r="B37" s="32"/>
      <c r="C37" s="33"/>
      <c r="D37" s="33"/>
      <c r="E37" s="33"/>
      <c r="F37" s="33"/>
      <c r="G37" s="33"/>
      <c r="H37" s="75">
        <f>SUM(H33:H36)</f>
        <v>0</v>
      </c>
    </row>
    <row r="38" spans="1:9" ht="12.75" customHeight="1" thickTop="1" x14ac:dyDescent="0.25">
      <c r="A38" s="35"/>
      <c r="B38" s="35"/>
      <c r="C38" s="36"/>
      <c r="D38" s="36"/>
      <c r="E38" s="36"/>
      <c r="F38" s="36"/>
      <c r="G38" s="36"/>
      <c r="H38" s="36"/>
      <c r="I38" s="35"/>
    </row>
    <row r="39" spans="1:9" ht="12.75" customHeight="1" x14ac:dyDescent="0.25">
      <c r="A39" s="35"/>
      <c r="B39" s="35"/>
      <c r="C39" s="36"/>
      <c r="D39" s="36"/>
      <c r="E39" s="36"/>
      <c r="F39" s="36"/>
      <c r="G39" s="36"/>
      <c r="H39" s="36"/>
      <c r="I39" s="35"/>
    </row>
    <row r="40" spans="1:9" ht="12.75" customHeight="1" x14ac:dyDescent="0.25">
      <c r="A40" s="35"/>
      <c r="B40" s="35"/>
      <c r="C40" s="36"/>
      <c r="D40" s="36"/>
      <c r="E40" s="36"/>
      <c r="F40" s="36"/>
      <c r="G40" s="36"/>
      <c r="H40" s="36"/>
      <c r="I40" s="35"/>
    </row>
    <row r="41" spans="1:9" ht="12.75" customHeight="1" x14ac:dyDescent="0.25">
      <c r="A41" s="35"/>
      <c r="B41" s="35"/>
      <c r="C41" s="36"/>
      <c r="D41" s="36"/>
      <c r="E41" s="36"/>
      <c r="F41" s="36"/>
      <c r="G41" s="36"/>
      <c r="H41" s="36"/>
      <c r="I41" s="35"/>
    </row>
    <row r="42" spans="1:9" ht="12.75" customHeight="1" x14ac:dyDescent="0.25">
      <c r="A42" s="35"/>
      <c r="B42" s="35"/>
      <c r="C42" s="36"/>
      <c r="D42" s="36"/>
      <c r="E42" s="36"/>
      <c r="F42" s="36"/>
      <c r="G42" s="36"/>
      <c r="H42" s="36"/>
      <c r="I42" s="35"/>
    </row>
    <row r="43" spans="1:9" ht="12.75" customHeight="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20.149999999999999" customHeight="1" x14ac:dyDescent="0.25">
      <c r="A67" s="35"/>
      <c r="B67" s="35"/>
      <c r="C67" s="36"/>
      <c r="D67" s="36"/>
      <c r="E67" s="36"/>
      <c r="F67" s="36"/>
      <c r="G67" s="36"/>
      <c r="H67" s="36"/>
      <c r="I67" s="35"/>
    </row>
    <row r="68" spans="1:9" ht="20.149999999999999"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12.5" x14ac:dyDescent="0.25">
      <c r="A118" s="35"/>
      <c r="B118" s="35"/>
      <c r="C118" s="36"/>
      <c r="D118" s="36"/>
      <c r="E118" s="36"/>
      <c r="F118" s="36"/>
      <c r="G118" s="36"/>
      <c r="H118" s="36"/>
      <c r="I118" s="35"/>
    </row>
    <row r="119" spans="1:9" ht="12.5"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A204" s="35"/>
      <c r="B204" s="35"/>
      <c r="C204" s="36"/>
      <c r="D204" s="36"/>
      <c r="E204" s="36"/>
      <c r="F204" s="36"/>
      <c r="G204" s="36"/>
      <c r="H204" s="36"/>
      <c r="I204" s="35"/>
    </row>
  </sheetData>
  <mergeCells count="3">
    <mergeCell ref="A8:B8"/>
    <mergeCell ref="C8:E8"/>
    <mergeCell ref="A1:C2"/>
  </mergeCells>
  <printOptions horizontalCentered="1" verticalCentered="1" gridLinesSet="0"/>
  <pageMargins left="0.25" right="0.25" top="0.75" bottom="0.75" header="0.3" footer="0.3"/>
  <pageSetup scale="89" orientation="portrait" horizontalDpi="1200" verticalDpi="12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J208"/>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9" width="9.81640625" style="6" bestFit="1" customWidth="1"/>
    <col min="10" max="10" width="12" style="6" bestFit="1" customWidth="1"/>
    <col min="11"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Summary!B43</f>
        <v>POLLUTION CONTROL EQUIPMENT</v>
      </c>
      <c r="B13" s="30"/>
      <c r="C13" s="31"/>
      <c r="D13" s="31"/>
      <c r="E13" s="31"/>
      <c r="F13" s="31"/>
      <c r="G13" s="31"/>
      <c r="H13" s="31"/>
    </row>
    <row r="14" spans="1:9" ht="19.5" customHeight="1" x14ac:dyDescent="0.25">
      <c r="A14" s="39"/>
      <c r="B14" s="39"/>
      <c r="C14" s="40"/>
      <c r="D14" s="40"/>
      <c r="E14" s="74">
        <f>B14*D14</f>
        <v>0</v>
      </c>
      <c r="F14" s="40"/>
      <c r="G14" s="74">
        <f>B14*F14</f>
        <v>0</v>
      </c>
      <c r="H14" s="74">
        <f>E14+G14</f>
        <v>0</v>
      </c>
    </row>
    <row r="15" spans="1:9" ht="19.5" customHeight="1" x14ac:dyDescent="0.25">
      <c r="A15" s="30"/>
      <c r="B15" s="30"/>
      <c r="C15" s="31"/>
      <c r="D15" s="31"/>
      <c r="E15" s="74">
        <f t="shared" ref="E15:E30" si="0">B15*D15</f>
        <v>0</v>
      </c>
      <c r="F15" s="31"/>
      <c r="G15" s="74">
        <f>B15*F15</f>
        <v>0</v>
      </c>
      <c r="H15" s="74">
        <f>E15+G15</f>
        <v>0</v>
      </c>
    </row>
    <row r="16" spans="1:9" ht="19.5" customHeight="1" x14ac:dyDescent="0.25">
      <c r="A16" s="30"/>
      <c r="B16" s="30"/>
      <c r="C16" s="31"/>
      <c r="D16" s="31"/>
      <c r="E16" s="74">
        <f t="shared" si="0"/>
        <v>0</v>
      </c>
      <c r="F16" s="31"/>
      <c r="G16" s="74">
        <f>B16*F16</f>
        <v>0</v>
      </c>
      <c r="H16" s="74">
        <f>E16+G16</f>
        <v>0</v>
      </c>
    </row>
    <row r="17" spans="1:10" ht="19.5" customHeight="1" x14ac:dyDescent="0.25">
      <c r="A17" s="30"/>
      <c r="B17" s="30"/>
      <c r="C17" s="31"/>
      <c r="D17" s="31"/>
      <c r="E17" s="74">
        <f t="shared" si="0"/>
        <v>0</v>
      </c>
      <c r="F17" s="31"/>
      <c r="G17" s="74">
        <f t="shared" ref="G17:G30" si="1">B17*F17</f>
        <v>0</v>
      </c>
      <c r="H17" s="74">
        <f t="shared" ref="H17:H30" si="2">E17+G17</f>
        <v>0</v>
      </c>
    </row>
    <row r="18" spans="1:10" ht="19.5" customHeight="1" x14ac:dyDescent="0.25">
      <c r="A18" s="30"/>
      <c r="B18" s="30"/>
      <c r="C18" s="31"/>
      <c r="D18" s="31"/>
      <c r="E18" s="74">
        <f t="shared" si="0"/>
        <v>0</v>
      </c>
      <c r="F18" s="31"/>
      <c r="G18" s="74">
        <f t="shared" si="1"/>
        <v>0</v>
      </c>
      <c r="H18" s="74">
        <f t="shared" si="2"/>
        <v>0</v>
      </c>
    </row>
    <row r="19" spans="1:10" ht="19.5" customHeight="1" x14ac:dyDescent="0.25">
      <c r="A19" s="30"/>
      <c r="B19" s="30"/>
      <c r="C19" s="31"/>
      <c r="D19" s="31"/>
      <c r="E19" s="74">
        <f>B19*D19</f>
        <v>0</v>
      </c>
      <c r="F19" s="31"/>
      <c r="G19" s="74">
        <f>B19*F19</f>
        <v>0</v>
      </c>
      <c r="H19" s="74">
        <f>E19+G19</f>
        <v>0</v>
      </c>
    </row>
    <row r="20" spans="1:10" ht="19.5" customHeight="1" x14ac:dyDescent="0.25">
      <c r="A20" s="30"/>
      <c r="B20" s="30"/>
      <c r="C20" s="31"/>
      <c r="D20" s="31"/>
      <c r="E20" s="74">
        <f>B20*D20</f>
        <v>0</v>
      </c>
      <c r="F20" s="31"/>
      <c r="G20" s="74">
        <f>B20*F20</f>
        <v>0</v>
      </c>
      <c r="H20" s="74">
        <f>E20+G20</f>
        <v>0</v>
      </c>
    </row>
    <row r="21" spans="1:10" ht="19.5" customHeight="1" x14ac:dyDescent="0.25">
      <c r="A21" s="30"/>
      <c r="B21" s="30"/>
      <c r="C21" s="31"/>
      <c r="D21" s="31"/>
      <c r="E21" s="74">
        <f>B21*D21</f>
        <v>0</v>
      </c>
      <c r="F21" s="31"/>
      <c r="G21" s="74">
        <f>B21*F21</f>
        <v>0</v>
      </c>
      <c r="H21" s="74">
        <f>E21+G21</f>
        <v>0</v>
      </c>
    </row>
    <row r="22" spans="1:10" ht="19.5" customHeight="1" x14ac:dyDescent="0.25">
      <c r="A22" s="30"/>
      <c r="B22" s="30"/>
      <c r="C22" s="31"/>
      <c r="D22" s="31"/>
      <c r="E22" s="74">
        <f>B22*D22</f>
        <v>0</v>
      </c>
      <c r="F22" s="31"/>
      <c r="G22" s="74">
        <f>B22*F22</f>
        <v>0</v>
      </c>
      <c r="H22" s="74">
        <f>E22+G22</f>
        <v>0</v>
      </c>
    </row>
    <row r="23" spans="1:10" ht="19.5" customHeight="1" x14ac:dyDescent="0.25">
      <c r="A23" s="30"/>
      <c r="B23" s="30"/>
      <c r="C23" s="31"/>
      <c r="D23" s="31"/>
      <c r="E23" s="74">
        <f>B23*D23</f>
        <v>0</v>
      </c>
      <c r="F23" s="31"/>
      <c r="G23" s="74">
        <f>B23*F23</f>
        <v>0</v>
      </c>
      <c r="H23" s="74">
        <f>E23+G23</f>
        <v>0</v>
      </c>
    </row>
    <row r="24" spans="1:10" ht="19.5" customHeight="1" x14ac:dyDescent="0.25">
      <c r="A24" s="30"/>
      <c r="B24" s="30"/>
      <c r="C24" s="31"/>
      <c r="D24" s="31"/>
      <c r="E24" s="74">
        <f t="shared" si="0"/>
        <v>0</v>
      </c>
      <c r="F24" s="31"/>
      <c r="G24" s="74">
        <f t="shared" si="1"/>
        <v>0</v>
      </c>
      <c r="H24" s="74">
        <f t="shared" si="2"/>
        <v>0</v>
      </c>
    </row>
    <row r="25" spans="1:10" ht="19.5" customHeight="1" x14ac:dyDescent="0.25">
      <c r="A25" s="30"/>
      <c r="B25" s="30"/>
      <c r="C25" s="31"/>
      <c r="D25" s="31"/>
      <c r="E25" s="74">
        <f t="shared" si="0"/>
        <v>0</v>
      </c>
      <c r="F25" s="31"/>
      <c r="G25" s="74">
        <f t="shared" si="1"/>
        <v>0</v>
      </c>
      <c r="H25" s="74">
        <f t="shared" si="2"/>
        <v>0</v>
      </c>
    </row>
    <row r="26" spans="1:10" ht="19.5" customHeight="1" x14ac:dyDescent="0.25">
      <c r="A26" s="30"/>
      <c r="B26" s="30"/>
      <c r="C26" s="31"/>
      <c r="D26" s="31"/>
      <c r="E26" s="74">
        <f t="shared" si="0"/>
        <v>0</v>
      </c>
      <c r="F26" s="31"/>
      <c r="G26" s="74">
        <f t="shared" si="1"/>
        <v>0</v>
      </c>
      <c r="H26" s="74">
        <f t="shared" si="2"/>
        <v>0</v>
      </c>
    </row>
    <row r="27" spans="1:10" ht="19.5" customHeight="1" x14ac:dyDescent="0.25">
      <c r="A27" s="30"/>
      <c r="B27" s="30"/>
      <c r="C27" s="31"/>
      <c r="D27" s="31"/>
      <c r="E27" s="74">
        <f t="shared" si="0"/>
        <v>0</v>
      </c>
      <c r="F27" s="31"/>
      <c r="G27" s="74">
        <f t="shared" si="1"/>
        <v>0</v>
      </c>
      <c r="H27" s="74">
        <f t="shared" si="2"/>
        <v>0</v>
      </c>
    </row>
    <row r="28" spans="1:10" ht="19.5" customHeight="1" x14ac:dyDescent="0.25">
      <c r="A28" s="30"/>
      <c r="B28" s="30"/>
      <c r="C28" s="31"/>
      <c r="D28" s="31"/>
      <c r="E28" s="74">
        <f t="shared" si="0"/>
        <v>0</v>
      </c>
      <c r="F28" s="31"/>
      <c r="G28" s="74">
        <f t="shared" si="1"/>
        <v>0</v>
      </c>
      <c r="H28" s="74">
        <f t="shared" si="2"/>
        <v>0</v>
      </c>
    </row>
    <row r="29" spans="1:10" ht="19.5" customHeight="1" x14ac:dyDescent="0.25">
      <c r="A29" s="30"/>
      <c r="B29" s="30"/>
      <c r="C29" s="31"/>
      <c r="D29" s="31"/>
      <c r="E29" s="74">
        <f t="shared" si="0"/>
        <v>0</v>
      </c>
      <c r="F29" s="31"/>
      <c r="G29" s="74">
        <f t="shared" si="1"/>
        <v>0</v>
      </c>
      <c r="H29" s="74">
        <f t="shared" si="2"/>
        <v>0</v>
      </c>
    </row>
    <row r="30" spans="1:10" ht="19.5" customHeight="1" x14ac:dyDescent="0.25">
      <c r="A30" s="30"/>
      <c r="B30" s="30"/>
      <c r="C30" s="31"/>
      <c r="D30" s="31"/>
      <c r="E30" s="74">
        <f t="shared" si="0"/>
        <v>0</v>
      </c>
      <c r="F30" s="31"/>
      <c r="G30" s="74">
        <f t="shared" si="1"/>
        <v>0</v>
      </c>
      <c r="H30" s="74">
        <f t="shared" si="2"/>
        <v>0</v>
      </c>
    </row>
    <row r="31" spans="1:10" ht="19.5" customHeight="1" x14ac:dyDescent="0.3">
      <c r="A31" s="29" t="s">
        <v>127</v>
      </c>
      <c r="B31" s="30"/>
      <c r="C31" s="31"/>
      <c r="D31" s="31"/>
      <c r="E31" s="74">
        <f>SUM(E14:E29)</f>
        <v>0</v>
      </c>
      <c r="F31" s="31"/>
      <c r="G31" s="74">
        <f>SUM(G14:G29)</f>
        <v>0</v>
      </c>
      <c r="H31" s="45"/>
      <c r="I31" s="10"/>
      <c r="J31" s="10"/>
    </row>
    <row r="32" spans="1:10" ht="19.5" customHeight="1" x14ac:dyDescent="0.3">
      <c r="A32" s="29" t="s">
        <v>104</v>
      </c>
      <c r="B32" s="30"/>
      <c r="C32" s="31"/>
      <c r="D32" s="31"/>
      <c r="E32" s="41"/>
      <c r="F32" s="31"/>
      <c r="G32" s="41"/>
      <c r="H32" s="74">
        <f>SUM(E31:G31)</f>
        <v>0</v>
      </c>
      <c r="J32" s="10"/>
    </row>
    <row r="33" spans="1:10" ht="19.5" customHeight="1" x14ac:dyDescent="0.3">
      <c r="A33" s="29" t="s">
        <v>128</v>
      </c>
      <c r="B33" s="30"/>
      <c r="C33" s="31"/>
      <c r="D33" s="31"/>
      <c r="E33" s="31"/>
      <c r="F33" s="31"/>
      <c r="G33" s="95">
        <f>Summary!G20</f>
        <v>0</v>
      </c>
      <c r="H33" s="74">
        <f>SUM(H32*G33)</f>
        <v>0</v>
      </c>
    </row>
    <row r="34" spans="1:10" ht="19.5" customHeight="1" x14ac:dyDescent="0.3">
      <c r="A34" s="29" t="s">
        <v>129</v>
      </c>
      <c r="B34" s="30"/>
      <c r="C34" s="31"/>
      <c r="D34" s="31"/>
      <c r="E34" s="31"/>
      <c r="F34" s="31"/>
      <c r="G34" s="95">
        <f>Summary!G21</f>
        <v>0</v>
      </c>
      <c r="H34" s="74">
        <f>SUM(H32+H33)*G34</f>
        <v>0</v>
      </c>
      <c r="J34" s="10"/>
    </row>
    <row r="35" spans="1:10" ht="19.5" customHeight="1" x14ac:dyDescent="0.3">
      <c r="A35" s="29" t="s">
        <v>130</v>
      </c>
      <c r="B35" s="30"/>
      <c r="C35" s="31"/>
      <c r="D35" s="31"/>
      <c r="E35" s="31"/>
      <c r="F35" s="31"/>
      <c r="G35" s="95">
        <f>Summary!G22</f>
        <v>0</v>
      </c>
      <c r="H35" s="74">
        <f>SUM(G31*G35)</f>
        <v>0</v>
      </c>
      <c r="J35" s="10"/>
    </row>
    <row r="36" spans="1:10" ht="19.5" customHeight="1" thickBot="1" x14ac:dyDescent="0.35">
      <c r="A36" s="34" t="s">
        <v>124</v>
      </c>
      <c r="B36" s="32"/>
      <c r="C36" s="33"/>
      <c r="D36" s="33"/>
      <c r="E36" s="33"/>
      <c r="F36" s="33"/>
      <c r="G36" s="66"/>
      <c r="H36" s="75">
        <f>SUM(H32:H35)</f>
        <v>0</v>
      </c>
      <c r="J36" s="10"/>
    </row>
    <row r="37" spans="1:10" ht="19.5" customHeight="1" thickTop="1" x14ac:dyDescent="0.25">
      <c r="A37" s="35"/>
      <c r="B37" s="35"/>
      <c r="C37" s="36"/>
      <c r="D37" s="36"/>
      <c r="E37" s="36"/>
      <c r="F37" s="36"/>
      <c r="G37" s="36"/>
      <c r="H37" s="36"/>
      <c r="J37" s="10"/>
    </row>
    <row r="38" spans="1:10" ht="19.5" customHeight="1" x14ac:dyDescent="0.25">
      <c r="A38" s="35"/>
      <c r="B38" s="35"/>
      <c r="C38" s="36"/>
      <c r="D38" s="36"/>
      <c r="E38" s="36"/>
      <c r="F38" s="36"/>
      <c r="G38" s="36"/>
      <c r="H38" s="36"/>
    </row>
    <row r="39" spans="1:10" ht="19.5" customHeight="1" x14ac:dyDescent="0.25">
      <c r="A39" s="35"/>
      <c r="B39" s="35"/>
      <c r="C39" s="36"/>
      <c r="D39" s="36"/>
      <c r="E39" s="36"/>
      <c r="F39" s="36"/>
      <c r="G39" s="36"/>
      <c r="H39" s="36"/>
    </row>
    <row r="40" spans="1:10" ht="19.5" customHeight="1" x14ac:dyDescent="0.25">
      <c r="A40" s="35"/>
      <c r="B40" s="35"/>
      <c r="C40" s="36"/>
      <c r="D40" s="36"/>
      <c r="E40" s="36"/>
      <c r="F40" s="36"/>
      <c r="G40" s="36"/>
      <c r="H40" s="36"/>
    </row>
    <row r="41" spans="1:10" ht="19.5" customHeight="1" x14ac:dyDescent="0.25">
      <c r="A41" s="35"/>
      <c r="B41" s="35"/>
      <c r="C41" s="36"/>
      <c r="D41" s="36"/>
      <c r="E41" s="36"/>
      <c r="F41" s="36"/>
      <c r="G41" s="36"/>
      <c r="H41" s="36"/>
    </row>
    <row r="42" spans="1:10" ht="19.5" customHeight="1" x14ac:dyDescent="0.25">
      <c r="A42" s="35"/>
      <c r="B42" s="35"/>
      <c r="C42" s="36"/>
      <c r="D42" s="36"/>
      <c r="E42" s="36"/>
      <c r="F42" s="36"/>
      <c r="G42" s="36"/>
      <c r="H42" s="36"/>
      <c r="I42" s="35"/>
    </row>
    <row r="43" spans="1:10" ht="12.75" customHeight="1" x14ac:dyDescent="0.25">
      <c r="A43" s="35"/>
      <c r="B43" s="35"/>
      <c r="C43" s="36"/>
      <c r="D43" s="36"/>
      <c r="E43" s="36"/>
      <c r="F43" s="36"/>
      <c r="G43" s="36"/>
      <c r="H43" s="36"/>
      <c r="I43" s="35"/>
    </row>
    <row r="44" spans="1:10" ht="12.75" customHeight="1" x14ac:dyDescent="0.25">
      <c r="A44" s="35"/>
      <c r="B44" s="35"/>
      <c r="C44" s="36"/>
      <c r="D44" s="36"/>
      <c r="E44" s="36"/>
      <c r="F44" s="36"/>
      <c r="G44" s="36"/>
      <c r="H44" s="36"/>
      <c r="I44" s="35"/>
    </row>
    <row r="45" spans="1:10" ht="12.75" customHeight="1" x14ac:dyDescent="0.25">
      <c r="A45" s="35"/>
      <c r="B45" s="35"/>
      <c r="C45" s="36"/>
      <c r="D45" s="36"/>
      <c r="E45" s="36"/>
      <c r="F45" s="36"/>
      <c r="G45" s="36"/>
      <c r="H45" s="36"/>
      <c r="I45" s="35"/>
    </row>
    <row r="46" spans="1:10" ht="12.75" customHeight="1" x14ac:dyDescent="0.25">
      <c r="A46" s="35"/>
      <c r="B46" s="35"/>
      <c r="C46" s="36"/>
      <c r="D46" s="36"/>
      <c r="E46" s="36"/>
      <c r="F46" s="36"/>
      <c r="G46" s="36"/>
      <c r="H46" s="36"/>
      <c r="I46" s="35"/>
    </row>
    <row r="47" spans="1:10" ht="12.75" customHeight="1" x14ac:dyDescent="0.25">
      <c r="A47" s="35"/>
      <c r="B47" s="35"/>
      <c r="C47" s="36"/>
      <c r="D47" s="36"/>
      <c r="E47" s="36"/>
      <c r="F47" s="36"/>
      <c r="G47" s="36"/>
      <c r="H47" s="36"/>
      <c r="I47" s="35"/>
    </row>
    <row r="48" spans="1:10"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12.75" customHeight="1" x14ac:dyDescent="0.25">
      <c r="A66" s="35"/>
      <c r="B66" s="35"/>
      <c r="C66" s="36"/>
      <c r="D66" s="36"/>
      <c r="E66" s="36"/>
      <c r="F66" s="36"/>
      <c r="G66" s="36"/>
      <c r="H66" s="36"/>
      <c r="I66" s="35"/>
    </row>
    <row r="67" spans="1:9" ht="12.75" customHeight="1" x14ac:dyDescent="0.25">
      <c r="A67" s="35"/>
      <c r="B67" s="35"/>
      <c r="C67" s="36"/>
      <c r="D67" s="36"/>
      <c r="E67" s="36"/>
      <c r="F67" s="36"/>
      <c r="G67" s="36"/>
      <c r="H67" s="36"/>
      <c r="I67" s="35"/>
    </row>
    <row r="68" spans="1:9" ht="12.75" customHeight="1" x14ac:dyDescent="0.25">
      <c r="A68" s="35"/>
      <c r="B68" s="35"/>
      <c r="C68" s="36"/>
      <c r="D68" s="36"/>
      <c r="E68" s="36"/>
      <c r="F68" s="36"/>
      <c r="G68" s="36"/>
      <c r="H68" s="36"/>
      <c r="I68" s="35"/>
    </row>
    <row r="69" spans="1:9" ht="12.75" customHeight="1" x14ac:dyDescent="0.25">
      <c r="A69" s="35"/>
      <c r="B69" s="35"/>
      <c r="C69" s="36"/>
      <c r="D69" s="36"/>
      <c r="E69" s="36"/>
      <c r="F69" s="36"/>
      <c r="G69" s="36"/>
      <c r="H69" s="36"/>
      <c r="I69" s="35"/>
    </row>
    <row r="70" spans="1:9" ht="12.75"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20.149999999999999" customHeight="1" x14ac:dyDescent="0.25">
      <c r="A117" s="35"/>
      <c r="B117" s="35"/>
      <c r="C117" s="36"/>
      <c r="D117" s="36"/>
      <c r="E117" s="36"/>
      <c r="F117" s="36"/>
      <c r="G117" s="36"/>
      <c r="H117" s="36"/>
      <c r="I117" s="35"/>
    </row>
    <row r="118" spans="1:9" ht="20.149999999999999" customHeight="1" x14ac:dyDescent="0.25">
      <c r="A118" s="35"/>
      <c r="B118" s="35"/>
      <c r="C118" s="36"/>
      <c r="D118" s="36"/>
      <c r="E118" s="36"/>
      <c r="F118" s="36"/>
      <c r="G118" s="36"/>
      <c r="H118" s="36"/>
      <c r="I118" s="35"/>
    </row>
    <row r="119" spans="1:9" ht="20.149999999999999" customHeight="1" x14ac:dyDescent="0.25">
      <c r="A119" s="35"/>
      <c r="B119" s="35"/>
      <c r="C119" s="36"/>
      <c r="D119" s="36"/>
      <c r="E119" s="36"/>
      <c r="F119" s="36"/>
      <c r="G119" s="36"/>
      <c r="H119" s="36"/>
      <c r="I119" s="35"/>
    </row>
    <row r="120" spans="1:9" ht="20.149999999999999" customHeight="1" x14ac:dyDescent="0.25">
      <c r="A120" s="35"/>
      <c r="B120" s="35"/>
      <c r="C120" s="36"/>
      <c r="D120" s="36"/>
      <c r="E120" s="36"/>
      <c r="F120" s="36"/>
      <c r="G120" s="36"/>
      <c r="H120" s="36"/>
      <c r="I120" s="35"/>
    </row>
    <row r="121" spans="1:9" ht="20.149999999999999" customHeight="1"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row r="204" spans="1:9" ht="12.5" x14ac:dyDescent="0.25">
      <c r="I204" s="35"/>
    </row>
    <row r="205" spans="1:9" ht="12.5" x14ac:dyDescent="0.25">
      <c r="I205" s="35"/>
    </row>
    <row r="206" spans="1:9" ht="12.5" x14ac:dyDescent="0.25">
      <c r="I206" s="35"/>
    </row>
    <row r="207" spans="1:9" ht="12.5" x14ac:dyDescent="0.25">
      <c r="I207" s="35"/>
    </row>
    <row r="208" spans="1:9" ht="12.5" x14ac:dyDescent="0.25">
      <c r="I208" s="35"/>
    </row>
  </sheetData>
  <mergeCells count="1">
    <mergeCell ref="A1:C2"/>
  </mergeCells>
  <printOptions horizontalCentered="1" verticalCentered="1" gridLinesSet="0"/>
  <pageMargins left="0.25" right="0.25" top="0.75" bottom="0.75" header="0.3" footer="0.3"/>
  <pageSetup scale="91" orientation="portrait" horizontalDpi="1200" verticalDpi="1200"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J198"/>
  <sheetViews>
    <sheetView showGridLines="0" showZeros="0" zoomScaleNormal="100" workbookViewId="0">
      <pane ySplit="12" topLeftCell="A13" activePane="bottomLeft" state="frozen"/>
      <selection activeCell="A47" sqref="A47"/>
      <selection pane="bottomLeft" activeCell="B14" sqref="B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83" t="str">
        <f>Summary!A4</f>
        <v>Fill Here</v>
      </c>
      <c r="B8" s="84"/>
      <c r="C8" s="87"/>
      <c r="D8" s="85" t="str">
        <f>Summary!D9</f>
        <v>FTFA 23VH26</v>
      </c>
      <c r="E8" s="80"/>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19.5" customHeight="1" x14ac:dyDescent="0.3">
      <c r="A13" s="88" t="str">
        <f>Summary!B44</f>
        <v>INDUSTRY-SPECIFIC MANUFACTURING EQUIPMENT</v>
      </c>
      <c r="B13" s="41"/>
      <c r="C13" s="45"/>
      <c r="D13" s="53"/>
      <c r="E13" s="45"/>
      <c r="F13" s="53"/>
      <c r="G13" s="45"/>
      <c r="H13" s="45"/>
    </row>
    <row r="14" spans="1:9" ht="19.5" customHeight="1" x14ac:dyDescent="0.25">
      <c r="A14" s="30"/>
      <c r="B14" s="44"/>
      <c r="C14" s="45"/>
      <c r="D14" s="45"/>
      <c r="E14" s="89">
        <f>B14*D14</f>
        <v>0</v>
      </c>
      <c r="F14" s="45"/>
      <c r="G14" s="89">
        <f t="shared" ref="G14:G25" si="0">B14*F14</f>
        <v>0</v>
      </c>
      <c r="H14" s="89">
        <f t="shared" ref="H14:H25" si="1">E14+G14</f>
        <v>0</v>
      </c>
    </row>
    <row r="15" spans="1:9" ht="19.5" customHeight="1" x14ac:dyDescent="0.25">
      <c r="A15" s="30"/>
      <c r="B15" s="30"/>
      <c r="C15" s="31"/>
      <c r="D15" s="31"/>
      <c r="E15" s="74">
        <f>B15*D15</f>
        <v>0</v>
      </c>
      <c r="F15" s="31"/>
      <c r="G15" s="74">
        <f t="shared" si="0"/>
        <v>0</v>
      </c>
      <c r="H15" s="74">
        <f t="shared" si="1"/>
        <v>0</v>
      </c>
    </row>
    <row r="16" spans="1:9" ht="19.5" customHeight="1" x14ac:dyDescent="0.25">
      <c r="A16" s="30"/>
      <c r="B16" s="30"/>
      <c r="C16" s="31"/>
      <c r="D16" s="31"/>
      <c r="E16" s="74">
        <f t="shared" ref="E16:E25" si="2">B16*D16</f>
        <v>0</v>
      </c>
      <c r="F16" s="31"/>
      <c r="G16" s="74">
        <f t="shared" si="0"/>
        <v>0</v>
      </c>
      <c r="H16" s="74">
        <f t="shared" si="1"/>
        <v>0</v>
      </c>
    </row>
    <row r="17" spans="1:10" ht="19.5" customHeight="1" x14ac:dyDescent="0.25">
      <c r="A17" s="30"/>
      <c r="B17" s="30"/>
      <c r="C17" s="31"/>
      <c r="D17" s="31"/>
      <c r="E17" s="74">
        <f t="shared" si="2"/>
        <v>0</v>
      </c>
      <c r="F17" s="31"/>
      <c r="G17" s="74">
        <f t="shared" si="0"/>
        <v>0</v>
      </c>
      <c r="H17" s="74">
        <f t="shared" si="1"/>
        <v>0</v>
      </c>
    </row>
    <row r="18" spans="1:10" ht="19.5" customHeight="1" x14ac:dyDescent="0.25">
      <c r="A18" s="30"/>
      <c r="B18" s="30"/>
      <c r="C18" s="31"/>
      <c r="D18" s="31"/>
      <c r="E18" s="74">
        <f t="shared" si="2"/>
        <v>0</v>
      </c>
      <c r="F18" s="31"/>
      <c r="G18" s="74">
        <f t="shared" si="0"/>
        <v>0</v>
      </c>
      <c r="H18" s="74">
        <f t="shared" si="1"/>
        <v>0</v>
      </c>
    </row>
    <row r="19" spans="1:10" ht="19.5" customHeight="1" x14ac:dyDescent="0.25">
      <c r="A19" s="30"/>
      <c r="B19" s="30"/>
      <c r="C19" s="31"/>
      <c r="D19" s="31"/>
      <c r="E19" s="74">
        <f t="shared" si="2"/>
        <v>0</v>
      </c>
      <c r="F19" s="31"/>
      <c r="G19" s="74">
        <f t="shared" si="0"/>
        <v>0</v>
      </c>
      <c r="H19" s="74">
        <f t="shared" si="1"/>
        <v>0</v>
      </c>
    </row>
    <row r="20" spans="1:10" ht="19.5" customHeight="1" x14ac:dyDescent="0.25">
      <c r="A20" s="30"/>
      <c r="B20" s="30"/>
      <c r="C20" s="31"/>
      <c r="D20" s="31"/>
      <c r="E20" s="74">
        <f t="shared" si="2"/>
        <v>0</v>
      </c>
      <c r="F20" s="31"/>
      <c r="G20" s="74">
        <f t="shared" si="0"/>
        <v>0</v>
      </c>
      <c r="H20" s="74">
        <f t="shared" si="1"/>
        <v>0</v>
      </c>
    </row>
    <row r="21" spans="1:10" ht="19.5" customHeight="1" x14ac:dyDescent="0.25">
      <c r="A21" s="30"/>
      <c r="B21" s="30"/>
      <c r="C21" s="31"/>
      <c r="D21" s="31"/>
      <c r="E21" s="74">
        <f t="shared" si="2"/>
        <v>0</v>
      </c>
      <c r="F21" s="31"/>
      <c r="G21" s="74">
        <f t="shared" si="0"/>
        <v>0</v>
      </c>
      <c r="H21" s="74">
        <f t="shared" si="1"/>
        <v>0</v>
      </c>
    </row>
    <row r="22" spans="1:10" ht="19.5" customHeight="1" x14ac:dyDescent="0.25">
      <c r="A22" s="30"/>
      <c r="B22" s="30"/>
      <c r="C22" s="31"/>
      <c r="D22" s="31"/>
      <c r="E22" s="74">
        <f t="shared" si="2"/>
        <v>0</v>
      </c>
      <c r="F22" s="31"/>
      <c r="G22" s="74">
        <f t="shared" si="0"/>
        <v>0</v>
      </c>
      <c r="H22" s="74">
        <f t="shared" si="1"/>
        <v>0</v>
      </c>
    </row>
    <row r="23" spans="1:10" ht="19.5" customHeight="1" x14ac:dyDescent="0.25">
      <c r="A23" s="30"/>
      <c r="B23" s="30"/>
      <c r="C23" s="31"/>
      <c r="D23" s="31"/>
      <c r="E23" s="74">
        <f t="shared" si="2"/>
        <v>0</v>
      </c>
      <c r="F23" s="31"/>
      <c r="G23" s="74">
        <f t="shared" si="0"/>
        <v>0</v>
      </c>
      <c r="H23" s="74">
        <f t="shared" si="1"/>
        <v>0</v>
      </c>
    </row>
    <row r="24" spans="1:10" ht="19.5" customHeight="1" x14ac:dyDescent="0.25">
      <c r="A24" s="30"/>
      <c r="B24" s="30"/>
      <c r="C24" s="31"/>
      <c r="D24" s="31"/>
      <c r="E24" s="74">
        <f t="shared" si="2"/>
        <v>0</v>
      </c>
      <c r="F24" s="31"/>
      <c r="G24" s="74">
        <f t="shared" si="0"/>
        <v>0</v>
      </c>
      <c r="H24" s="74">
        <f t="shared" si="1"/>
        <v>0</v>
      </c>
    </row>
    <row r="25" spans="1:10" ht="19.5" customHeight="1" x14ac:dyDescent="0.25">
      <c r="A25" s="30"/>
      <c r="B25" s="30"/>
      <c r="C25" s="31"/>
      <c r="D25" s="31"/>
      <c r="E25" s="74">
        <f t="shared" si="2"/>
        <v>0</v>
      </c>
      <c r="F25" s="31"/>
      <c r="G25" s="74">
        <f t="shared" si="0"/>
        <v>0</v>
      </c>
      <c r="H25" s="74">
        <f t="shared" si="1"/>
        <v>0</v>
      </c>
    </row>
    <row r="26" spans="1:10" ht="19.5" customHeight="1" x14ac:dyDescent="0.3">
      <c r="A26" s="29" t="s">
        <v>127</v>
      </c>
      <c r="B26" s="30"/>
      <c r="C26" s="31"/>
      <c r="D26" s="31"/>
      <c r="E26" s="74">
        <f>SUM(E14:E25)</f>
        <v>0</v>
      </c>
      <c r="F26" s="31"/>
      <c r="G26" s="74">
        <f>SUM(G14:G25)</f>
        <v>0</v>
      </c>
      <c r="H26" s="53"/>
    </row>
    <row r="27" spans="1:10" ht="19.5" customHeight="1" x14ac:dyDescent="0.3">
      <c r="A27" s="29" t="s">
        <v>104</v>
      </c>
      <c r="B27" s="30"/>
      <c r="C27" s="31"/>
      <c r="D27" s="31"/>
      <c r="E27" s="41"/>
      <c r="F27" s="31"/>
      <c r="G27" s="41"/>
      <c r="H27" s="74">
        <f>E26+G26</f>
        <v>0</v>
      </c>
      <c r="J27" s="10"/>
    </row>
    <row r="28" spans="1:10" ht="19.5" customHeight="1" x14ac:dyDescent="0.3">
      <c r="A28" s="29" t="s">
        <v>128</v>
      </c>
      <c r="B28" s="30"/>
      <c r="C28" s="31"/>
      <c r="D28" s="31"/>
      <c r="E28" s="31"/>
      <c r="F28" s="31"/>
      <c r="G28" s="95">
        <f>Summary!G20</f>
        <v>0</v>
      </c>
      <c r="H28" s="74">
        <f>SUM(H27*G28)</f>
        <v>0</v>
      </c>
    </row>
    <row r="29" spans="1:10" ht="19.5" customHeight="1" x14ac:dyDescent="0.3">
      <c r="A29" s="29" t="s">
        <v>129</v>
      </c>
      <c r="B29" s="30"/>
      <c r="C29" s="31"/>
      <c r="D29" s="31"/>
      <c r="E29" s="31"/>
      <c r="F29" s="31"/>
      <c r="G29" s="95">
        <f>Summary!G21</f>
        <v>0</v>
      </c>
      <c r="H29" s="74">
        <f>SUM(H27+H28)*G29</f>
        <v>0</v>
      </c>
    </row>
    <row r="30" spans="1:10" ht="19.5" customHeight="1" x14ac:dyDescent="0.3">
      <c r="A30" s="29" t="s">
        <v>130</v>
      </c>
      <c r="B30" s="30"/>
      <c r="C30" s="31"/>
      <c r="D30" s="31"/>
      <c r="E30" s="31"/>
      <c r="F30" s="31"/>
      <c r="G30" s="95">
        <f>Summary!G22</f>
        <v>0</v>
      </c>
      <c r="H30" s="74">
        <f>SUM(G26*G30)</f>
        <v>0</v>
      </c>
    </row>
    <row r="31" spans="1:10" ht="19.5" customHeight="1" thickBot="1" x14ac:dyDescent="0.35">
      <c r="A31" s="34" t="s">
        <v>124</v>
      </c>
      <c r="B31" s="32"/>
      <c r="C31" s="33"/>
      <c r="D31" s="33"/>
      <c r="E31" s="33"/>
      <c r="F31" s="33"/>
      <c r="G31" s="66"/>
      <c r="H31" s="75">
        <f>SUM(H27:H30)</f>
        <v>0</v>
      </c>
    </row>
    <row r="32" spans="1:10" ht="12.75" customHeight="1" thickTop="1" x14ac:dyDescent="0.25">
      <c r="A32" s="35"/>
      <c r="B32" s="35"/>
      <c r="C32" s="36"/>
      <c r="D32" s="36"/>
      <c r="E32" s="36"/>
      <c r="F32" s="36"/>
      <c r="G32" s="36"/>
      <c r="H32" s="36"/>
      <c r="I32" s="35"/>
    </row>
    <row r="33" spans="1:9" ht="12.75" customHeight="1" x14ac:dyDescent="0.25">
      <c r="A33" s="35"/>
      <c r="B33" s="35"/>
      <c r="C33" s="36"/>
      <c r="D33" s="36"/>
      <c r="E33" s="36"/>
      <c r="F33" s="36"/>
      <c r="G33" s="36"/>
      <c r="H33" s="36"/>
      <c r="I33" s="35"/>
    </row>
    <row r="34" spans="1:9" ht="12.75" customHeight="1" x14ac:dyDescent="0.25">
      <c r="A34" s="35"/>
      <c r="B34" s="35"/>
      <c r="C34" s="36"/>
      <c r="D34" s="36"/>
      <c r="E34" s="36"/>
      <c r="F34" s="36"/>
      <c r="G34" s="36"/>
      <c r="H34" s="36"/>
      <c r="I34" s="35"/>
    </row>
    <row r="35" spans="1:9" ht="12.75" customHeight="1" x14ac:dyDescent="0.25">
      <c r="A35" s="35"/>
      <c r="B35" s="35"/>
      <c r="C35" s="36"/>
      <c r="D35" s="36"/>
      <c r="E35" s="36"/>
      <c r="F35" s="36"/>
      <c r="G35" s="36"/>
      <c r="H35" s="36"/>
      <c r="I35" s="35"/>
    </row>
    <row r="36" spans="1:9" ht="12.75" customHeight="1" x14ac:dyDescent="0.25">
      <c r="A36" s="35"/>
      <c r="B36" s="35"/>
      <c r="C36" s="36"/>
      <c r="D36" s="36"/>
      <c r="E36" s="36"/>
      <c r="F36" s="36"/>
      <c r="G36" s="36"/>
      <c r="H36" s="36"/>
      <c r="I36" s="35"/>
    </row>
    <row r="37" spans="1:9" ht="12.75" customHeight="1" x14ac:dyDescent="0.25">
      <c r="A37" s="35"/>
      <c r="B37" s="35"/>
      <c r="C37" s="36"/>
      <c r="D37" s="36"/>
      <c r="E37" s="36"/>
      <c r="F37" s="36"/>
      <c r="G37" s="36"/>
      <c r="H37" s="36"/>
      <c r="I37" s="35"/>
    </row>
    <row r="38" spans="1:9" ht="12.75" customHeight="1" x14ac:dyDescent="0.25">
      <c r="A38" s="35"/>
      <c r="B38" s="35"/>
      <c r="C38" s="36"/>
      <c r="D38" s="36"/>
      <c r="E38" s="36"/>
      <c r="F38" s="36"/>
      <c r="G38" s="36"/>
      <c r="H38" s="36"/>
      <c r="I38" s="35"/>
    </row>
    <row r="39" spans="1:9" ht="12.75" customHeight="1" x14ac:dyDescent="0.25">
      <c r="A39" s="35"/>
      <c r="B39" s="35"/>
      <c r="C39" s="36"/>
      <c r="D39" s="36"/>
      <c r="E39" s="36"/>
      <c r="F39" s="36"/>
      <c r="G39" s="36"/>
      <c r="H39" s="36"/>
      <c r="I39" s="35"/>
    </row>
    <row r="40" spans="1:9" ht="12.75" customHeight="1" x14ac:dyDescent="0.25">
      <c r="A40" s="35"/>
      <c r="B40" s="35"/>
      <c r="C40" s="36"/>
      <c r="D40" s="36"/>
      <c r="E40" s="36"/>
      <c r="F40" s="36"/>
      <c r="G40" s="36"/>
      <c r="H40" s="36"/>
      <c r="I40" s="35"/>
    </row>
    <row r="41" spans="1:9" ht="12.75" customHeight="1" x14ac:dyDescent="0.25">
      <c r="A41" s="35"/>
      <c r="B41" s="35"/>
      <c r="C41" s="36"/>
      <c r="D41" s="36"/>
      <c r="E41" s="36"/>
      <c r="F41" s="36"/>
      <c r="G41" s="36"/>
      <c r="H41" s="36"/>
      <c r="I41" s="35"/>
    </row>
    <row r="42" spans="1:9" ht="12.75" customHeight="1" x14ac:dyDescent="0.25">
      <c r="A42" s="35"/>
      <c r="B42" s="35"/>
      <c r="C42" s="36"/>
      <c r="D42" s="36"/>
      <c r="E42" s="36"/>
      <c r="F42" s="36"/>
      <c r="G42" s="36"/>
      <c r="H42" s="36"/>
      <c r="I42" s="35"/>
    </row>
    <row r="43" spans="1:9" ht="12.75" customHeight="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20.149999999999999" customHeight="1" x14ac:dyDescent="0.25">
      <c r="A61" s="35"/>
      <c r="B61" s="35"/>
      <c r="C61" s="36"/>
      <c r="D61" s="36"/>
      <c r="E61" s="36"/>
      <c r="F61" s="36"/>
      <c r="G61" s="36"/>
      <c r="H61" s="36"/>
      <c r="I61" s="35"/>
    </row>
    <row r="62" spans="1:9" ht="20.149999999999999" customHeight="1" x14ac:dyDescent="0.25">
      <c r="A62" s="35"/>
      <c r="B62" s="35"/>
      <c r="C62" s="36"/>
      <c r="D62" s="36"/>
      <c r="E62" s="36"/>
      <c r="F62" s="36"/>
      <c r="G62" s="36"/>
      <c r="H62" s="36"/>
      <c r="I62" s="35"/>
    </row>
    <row r="63" spans="1:9" ht="20.149999999999999" customHeight="1" x14ac:dyDescent="0.25">
      <c r="A63" s="35"/>
      <c r="B63" s="35"/>
      <c r="C63" s="36"/>
      <c r="D63" s="36"/>
      <c r="E63" s="36"/>
      <c r="F63" s="36"/>
      <c r="G63" s="36"/>
      <c r="H63" s="36"/>
      <c r="I63" s="35"/>
    </row>
    <row r="64" spans="1:9" ht="20.149999999999999" customHeight="1" x14ac:dyDescent="0.25">
      <c r="A64" s="35"/>
      <c r="B64" s="35"/>
      <c r="C64" s="36"/>
      <c r="D64" s="36"/>
      <c r="E64" s="36"/>
      <c r="F64" s="36"/>
      <c r="G64" s="36"/>
      <c r="H64" s="36"/>
      <c r="I64" s="35"/>
    </row>
    <row r="65" spans="1:9" ht="20.149999999999999" customHeight="1" x14ac:dyDescent="0.25">
      <c r="A65" s="35"/>
      <c r="B65" s="35"/>
      <c r="C65" s="36"/>
      <c r="D65" s="36"/>
      <c r="E65" s="36"/>
      <c r="F65" s="36"/>
      <c r="G65" s="36"/>
      <c r="H65" s="36"/>
      <c r="I65" s="35"/>
    </row>
    <row r="66" spans="1:9" ht="20.149999999999999" customHeight="1" x14ac:dyDescent="0.25">
      <c r="A66" s="35"/>
      <c r="B66" s="35"/>
      <c r="C66" s="36"/>
      <c r="D66" s="36"/>
      <c r="E66" s="36"/>
      <c r="F66" s="36"/>
      <c r="G66" s="36"/>
      <c r="H66" s="36"/>
      <c r="I66" s="35"/>
    </row>
    <row r="67" spans="1:9" ht="20.149999999999999" customHeight="1" x14ac:dyDescent="0.25">
      <c r="A67" s="35"/>
      <c r="B67" s="35"/>
      <c r="C67" s="36"/>
      <c r="D67" s="36"/>
      <c r="E67" s="36"/>
      <c r="F67" s="36"/>
      <c r="G67" s="36"/>
      <c r="H67" s="36"/>
      <c r="I67" s="35"/>
    </row>
    <row r="68" spans="1:9" ht="20.149999999999999"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12.5" x14ac:dyDescent="0.25">
      <c r="A112" s="35"/>
      <c r="B112" s="35"/>
      <c r="C112" s="36"/>
      <c r="D112" s="36"/>
      <c r="E112" s="36"/>
      <c r="F112" s="36"/>
      <c r="G112" s="36"/>
      <c r="H112" s="36"/>
      <c r="I112" s="35"/>
    </row>
    <row r="113" spans="1:9" ht="12.5" x14ac:dyDescent="0.25">
      <c r="A113" s="35"/>
      <c r="B113" s="35"/>
      <c r="C113" s="36"/>
      <c r="D113" s="36"/>
      <c r="E113" s="36"/>
      <c r="F113" s="36"/>
      <c r="G113" s="36"/>
      <c r="H113" s="36"/>
      <c r="I113" s="35"/>
    </row>
    <row r="114" spans="1:9" ht="12.5" x14ac:dyDescent="0.25">
      <c r="A114" s="35"/>
      <c r="B114" s="35"/>
      <c r="C114" s="36"/>
      <c r="D114" s="36"/>
      <c r="E114" s="36"/>
      <c r="F114" s="36"/>
      <c r="G114" s="36"/>
      <c r="H114" s="36"/>
      <c r="I114" s="35"/>
    </row>
    <row r="115" spans="1:9" ht="12.5" x14ac:dyDescent="0.25">
      <c r="A115" s="35"/>
      <c r="B115" s="35"/>
      <c r="C115" s="36"/>
      <c r="D115" s="36"/>
      <c r="E115" s="36"/>
      <c r="F115" s="36"/>
      <c r="G115" s="36"/>
      <c r="H115" s="36"/>
      <c r="I115" s="35"/>
    </row>
    <row r="116" spans="1:9" ht="12.5" x14ac:dyDescent="0.25">
      <c r="A116" s="35"/>
      <c r="B116" s="35"/>
      <c r="C116" s="36"/>
      <c r="D116" s="36"/>
      <c r="E116" s="36"/>
      <c r="F116" s="36"/>
      <c r="G116" s="36"/>
      <c r="H116" s="36"/>
      <c r="I116" s="35"/>
    </row>
    <row r="117" spans="1:9" ht="12.5" x14ac:dyDescent="0.25">
      <c r="A117" s="35"/>
      <c r="B117" s="35"/>
      <c r="C117" s="36"/>
      <c r="D117" s="36"/>
      <c r="E117" s="36"/>
      <c r="F117" s="36"/>
      <c r="G117" s="36"/>
      <c r="H117" s="36"/>
      <c r="I117" s="35"/>
    </row>
    <row r="118" spans="1:9" ht="12.5" x14ac:dyDescent="0.25">
      <c r="A118" s="35"/>
      <c r="B118" s="35"/>
      <c r="C118" s="36"/>
      <c r="D118" s="36"/>
      <c r="E118" s="36"/>
      <c r="F118" s="36"/>
      <c r="G118" s="36"/>
      <c r="H118" s="36"/>
      <c r="I118" s="35"/>
    </row>
    <row r="119" spans="1:9" ht="12.5"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sheetData>
  <mergeCells count="1">
    <mergeCell ref="A1:C2"/>
  </mergeCells>
  <printOptions horizontalCentered="1" verticalCentered="1" gridLinesSet="0"/>
  <pageMargins left="0.25" right="0.25" top="0.75" bottom="0.75" header="0.3" footer="0.3"/>
  <pageSetup scale="93" orientation="portrait" horizontalDpi="1200" verticalDpi="1200"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I203"/>
  <sheetViews>
    <sheetView showGridLines="0" showZeros="0" zoomScaleNormal="100" workbookViewId="0">
      <pane ySplit="12" topLeftCell="A13" activePane="bottomLeft" state="frozen"/>
      <selection activeCell="A47" sqref="A47"/>
      <selection pane="bottomLeft" activeCell="A14" sqref="A14:D14"/>
    </sheetView>
  </sheetViews>
  <sheetFormatPr defaultColWidth="9.1796875" defaultRowHeight="10" x14ac:dyDescent="0.2"/>
  <cols>
    <col min="1" max="1" width="35.7265625" style="6" customWidth="1"/>
    <col min="2" max="2" width="5.7265625" style="6" customWidth="1"/>
    <col min="3" max="3" width="5.7265625" style="10" customWidth="1"/>
    <col min="4" max="8" width="12.7265625" style="10" customWidth="1"/>
    <col min="9" max="16384" width="9.1796875" style="6"/>
  </cols>
  <sheetData>
    <row r="1" spans="1:9" ht="10" customHeight="1" x14ac:dyDescent="0.25">
      <c r="A1" s="136" t="s">
        <v>16</v>
      </c>
      <c r="B1" s="136"/>
      <c r="C1" s="136"/>
      <c r="D1" s="76" t="s">
        <v>108</v>
      </c>
      <c r="F1" s="2"/>
      <c r="G1" s="3"/>
      <c r="H1" s="4"/>
      <c r="I1" s="5"/>
    </row>
    <row r="2" spans="1:9" ht="14.15" customHeight="1" x14ac:dyDescent="0.25">
      <c r="A2" s="136"/>
      <c r="B2" s="136"/>
      <c r="C2" s="136"/>
      <c r="D2" s="77" t="str">
        <f>Summary!D2</f>
        <v>Fill Here</v>
      </c>
      <c r="E2" s="68"/>
      <c r="F2" s="7"/>
      <c r="G2" s="8"/>
      <c r="H2" s="7"/>
      <c r="I2" s="5"/>
    </row>
    <row r="3" spans="1:9" ht="11.25" customHeight="1" x14ac:dyDescent="0.25">
      <c r="A3" s="78" t="s">
        <v>20</v>
      </c>
      <c r="B3" s="79"/>
      <c r="C3" s="80"/>
      <c r="D3" s="81"/>
      <c r="E3" s="82"/>
      <c r="F3" s="12" t="s">
        <v>109</v>
      </c>
      <c r="G3" s="11"/>
      <c r="H3" s="13"/>
      <c r="I3" s="5"/>
    </row>
    <row r="4" spans="1:9" ht="10.5" x14ac:dyDescent="0.25">
      <c r="A4" s="83" t="str">
        <f>Summary!A8</f>
        <v>Upgrade HVAC B8640</v>
      </c>
      <c r="B4" s="84"/>
      <c r="C4" s="85"/>
      <c r="D4" s="85"/>
      <c r="E4" s="85"/>
      <c r="F4" s="16" t="s">
        <v>110</v>
      </c>
      <c r="G4" s="11"/>
      <c r="H4" s="13"/>
      <c r="I4" s="5"/>
    </row>
    <row r="5" spans="1:9" ht="10.5" x14ac:dyDescent="0.25">
      <c r="A5" s="9" t="s">
        <v>21</v>
      </c>
      <c r="D5" s="73"/>
      <c r="E5" s="11"/>
      <c r="F5" s="16" t="s">
        <v>111</v>
      </c>
      <c r="G5" s="37"/>
      <c r="H5" s="38"/>
    </row>
    <row r="6" spans="1:9" ht="10.5" x14ac:dyDescent="0.25">
      <c r="A6" s="14" t="s">
        <v>23</v>
      </c>
      <c r="B6" s="15"/>
      <c r="C6" s="8"/>
      <c r="D6" s="8"/>
      <c r="E6" s="8"/>
      <c r="F6" s="16" t="s">
        <v>112</v>
      </c>
      <c r="G6" s="11"/>
      <c r="H6" s="13"/>
    </row>
    <row r="7" spans="1:9" x14ac:dyDescent="0.2">
      <c r="A7" s="78" t="s">
        <v>19</v>
      </c>
      <c r="B7" s="79"/>
      <c r="C7" s="86" t="s">
        <v>22</v>
      </c>
      <c r="D7" s="81"/>
      <c r="E7" s="80"/>
      <c r="F7" s="16" t="s">
        <v>113</v>
      </c>
      <c r="G7" s="11"/>
      <c r="H7" s="13"/>
    </row>
    <row r="8" spans="1:9" ht="10.5" x14ac:dyDescent="0.25">
      <c r="A8" s="144" t="str">
        <f>Summary!A4</f>
        <v>Fill Here</v>
      </c>
      <c r="B8" s="145"/>
      <c r="C8" s="146"/>
      <c r="D8" s="147"/>
      <c r="E8" s="148"/>
      <c r="F8" s="16"/>
      <c r="G8" s="11"/>
      <c r="H8" s="13"/>
    </row>
    <row r="9" spans="1:9" x14ac:dyDescent="0.2">
      <c r="A9" s="9" t="s">
        <v>114</v>
      </c>
      <c r="B9" s="9" t="s">
        <v>115</v>
      </c>
      <c r="C9" s="11"/>
      <c r="D9" s="11"/>
      <c r="E9" s="4"/>
      <c r="F9" s="17" t="s">
        <v>116</v>
      </c>
      <c r="G9" s="4"/>
      <c r="H9" s="4"/>
    </row>
    <row r="10" spans="1:9" ht="10.5" x14ac:dyDescent="0.25">
      <c r="A10" s="14"/>
      <c r="B10" s="14"/>
      <c r="C10" s="8"/>
      <c r="D10" s="8"/>
      <c r="E10" s="7"/>
      <c r="F10" s="8"/>
      <c r="G10" s="7"/>
      <c r="H10" s="7"/>
    </row>
    <row r="11" spans="1:9" x14ac:dyDescent="0.2">
      <c r="A11" s="18"/>
      <c r="B11" s="19" t="s">
        <v>117</v>
      </c>
      <c r="C11" s="20"/>
      <c r="D11" s="21" t="s">
        <v>118</v>
      </c>
      <c r="E11" s="20"/>
      <c r="F11" s="21" t="s">
        <v>119</v>
      </c>
      <c r="G11" s="20"/>
      <c r="H11" s="22"/>
    </row>
    <row r="12" spans="1:9" ht="22.5" customHeight="1" x14ac:dyDescent="0.2">
      <c r="A12" s="23" t="s">
        <v>120</v>
      </c>
      <c r="B12" s="24" t="s">
        <v>121</v>
      </c>
      <c r="C12" s="25" t="s">
        <v>122</v>
      </c>
      <c r="D12" s="26" t="s">
        <v>123</v>
      </c>
      <c r="E12" s="26" t="s">
        <v>124</v>
      </c>
      <c r="F12" s="27" t="s">
        <v>123</v>
      </c>
      <c r="G12" s="27" t="s">
        <v>124</v>
      </c>
      <c r="H12" s="28" t="s">
        <v>125</v>
      </c>
    </row>
    <row r="13" spans="1:9" ht="20.149999999999999" customHeight="1" x14ac:dyDescent="0.3">
      <c r="A13" s="88" t="str">
        <f>Summary!B45</f>
        <v>ELECTRICAL POWER GENERATION</v>
      </c>
      <c r="B13" s="30"/>
      <c r="C13" s="31"/>
      <c r="D13" s="31"/>
      <c r="E13" s="31"/>
      <c r="F13" s="31"/>
      <c r="G13" s="31"/>
      <c r="H13" s="31"/>
    </row>
    <row r="14" spans="1:9" ht="19.5" customHeight="1" x14ac:dyDescent="0.25">
      <c r="A14" s="30"/>
      <c r="B14" s="46"/>
      <c r="C14" s="47"/>
      <c r="D14" s="31"/>
      <c r="E14" s="74">
        <f t="shared" ref="E14:E19" si="0">B14*D14</f>
        <v>0</v>
      </c>
      <c r="F14" s="31"/>
      <c r="G14" s="74">
        <f t="shared" ref="G14:G19" si="1">B14*F14</f>
        <v>0</v>
      </c>
      <c r="H14" s="74">
        <f t="shared" ref="H14:H19" si="2">E14+G14</f>
        <v>0</v>
      </c>
    </row>
    <row r="15" spans="1:9" ht="19.5" customHeight="1" x14ac:dyDescent="0.25">
      <c r="A15" s="30"/>
      <c r="B15" s="46"/>
      <c r="C15" s="47"/>
      <c r="D15" s="31"/>
      <c r="E15" s="74">
        <f t="shared" si="0"/>
        <v>0</v>
      </c>
      <c r="F15" s="31"/>
      <c r="G15" s="74">
        <f t="shared" si="1"/>
        <v>0</v>
      </c>
      <c r="H15" s="74">
        <f t="shared" si="2"/>
        <v>0</v>
      </c>
    </row>
    <row r="16" spans="1:9" ht="19.5" customHeight="1" x14ac:dyDescent="0.25">
      <c r="A16" s="30"/>
      <c r="B16" s="30"/>
      <c r="C16" s="31"/>
      <c r="D16" s="31"/>
      <c r="E16" s="74">
        <f t="shared" si="0"/>
        <v>0</v>
      </c>
      <c r="F16" s="31"/>
      <c r="G16" s="74">
        <f t="shared" si="1"/>
        <v>0</v>
      </c>
      <c r="H16" s="74">
        <f t="shared" si="2"/>
        <v>0</v>
      </c>
    </row>
    <row r="17" spans="1:9" ht="19.5" customHeight="1" x14ac:dyDescent="0.25">
      <c r="A17" s="30"/>
      <c r="B17" s="30"/>
      <c r="C17" s="31"/>
      <c r="D17" s="31"/>
      <c r="E17" s="74">
        <f t="shared" si="0"/>
        <v>0</v>
      </c>
      <c r="F17" s="31"/>
      <c r="G17" s="74">
        <f t="shared" si="1"/>
        <v>0</v>
      </c>
      <c r="H17" s="74">
        <f t="shared" si="2"/>
        <v>0</v>
      </c>
    </row>
    <row r="18" spans="1:9" ht="19.5" customHeight="1" x14ac:dyDescent="0.25">
      <c r="A18" s="30"/>
      <c r="B18" s="30"/>
      <c r="C18" s="31"/>
      <c r="D18" s="31"/>
      <c r="E18" s="74">
        <f t="shared" si="0"/>
        <v>0</v>
      </c>
      <c r="F18" s="31"/>
      <c r="G18" s="74">
        <f t="shared" si="1"/>
        <v>0</v>
      </c>
      <c r="H18" s="74">
        <f t="shared" si="2"/>
        <v>0</v>
      </c>
    </row>
    <row r="19" spans="1:9" ht="19.5" customHeight="1" x14ac:dyDescent="0.25">
      <c r="A19" s="30"/>
      <c r="B19" s="30"/>
      <c r="C19" s="31"/>
      <c r="D19" s="31"/>
      <c r="E19" s="74">
        <f t="shared" si="0"/>
        <v>0</v>
      </c>
      <c r="F19" s="31"/>
      <c r="G19" s="74">
        <f t="shared" si="1"/>
        <v>0</v>
      </c>
      <c r="H19" s="74">
        <f t="shared" si="2"/>
        <v>0</v>
      </c>
    </row>
    <row r="20" spans="1:9" ht="19.5" customHeight="1" x14ac:dyDescent="0.25">
      <c r="A20" s="30"/>
      <c r="B20" s="30"/>
      <c r="C20" s="31"/>
      <c r="D20" s="31"/>
      <c r="E20" s="74">
        <f t="shared" ref="E20:E30" si="3">B20*D20</f>
        <v>0</v>
      </c>
      <c r="F20" s="31"/>
      <c r="G20" s="74">
        <f t="shared" ref="G20:G30" si="4">B20*F20</f>
        <v>0</v>
      </c>
      <c r="H20" s="74">
        <f t="shared" ref="H20:H30" si="5">E20+G20</f>
        <v>0</v>
      </c>
    </row>
    <row r="21" spans="1:9" ht="19.5" customHeight="1" x14ac:dyDescent="0.25">
      <c r="A21" s="30"/>
      <c r="B21" s="30"/>
      <c r="C21" s="31"/>
      <c r="D21" s="31"/>
      <c r="E21" s="74">
        <f t="shared" si="3"/>
        <v>0</v>
      </c>
      <c r="F21" s="31"/>
      <c r="G21" s="74">
        <f t="shared" si="4"/>
        <v>0</v>
      </c>
      <c r="H21" s="74">
        <f t="shared" si="5"/>
        <v>0</v>
      </c>
    </row>
    <row r="22" spans="1:9" ht="19.5" customHeight="1" x14ac:dyDescent="0.25">
      <c r="A22" s="30"/>
      <c r="B22" s="30"/>
      <c r="C22" s="31"/>
      <c r="D22" s="31"/>
      <c r="E22" s="74">
        <f t="shared" si="3"/>
        <v>0</v>
      </c>
      <c r="F22" s="31"/>
      <c r="G22" s="74">
        <f t="shared" si="4"/>
        <v>0</v>
      </c>
      <c r="H22" s="74">
        <f t="shared" si="5"/>
        <v>0</v>
      </c>
    </row>
    <row r="23" spans="1:9" ht="19.5" customHeight="1" x14ac:dyDescent="0.25">
      <c r="A23" s="30"/>
      <c r="B23" s="30"/>
      <c r="C23" s="31"/>
      <c r="D23" s="31"/>
      <c r="E23" s="74">
        <f t="shared" si="3"/>
        <v>0</v>
      </c>
      <c r="F23" s="31"/>
      <c r="G23" s="74">
        <f t="shared" si="4"/>
        <v>0</v>
      </c>
      <c r="H23" s="74">
        <f t="shared" si="5"/>
        <v>0</v>
      </c>
    </row>
    <row r="24" spans="1:9" ht="19.5" customHeight="1" x14ac:dyDescent="0.25">
      <c r="A24" s="30"/>
      <c r="B24" s="30"/>
      <c r="C24" s="31"/>
      <c r="D24" s="31"/>
      <c r="E24" s="74">
        <f t="shared" si="3"/>
        <v>0</v>
      </c>
      <c r="F24" s="31"/>
      <c r="G24" s="74">
        <f t="shared" si="4"/>
        <v>0</v>
      </c>
      <c r="H24" s="74">
        <f t="shared" si="5"/>
        <v>0</v>
      </c>
    </row>
    <row r="25" spans="1:9" ht="19.5" customHeight="1" x14ac:dyDescent="0.25">
      <c r="A25" s="30"/>
      <c r="B25" s="30"/>
      <c r="C25" s="31"/>
      <c r="D25" s="31"/>
      <c r="E25" s="74">
        <f t="shared" si="3"/>
        <v>0</v>
      </c>
      <c r="F25" s="31"/>
      <c r="G25" s="74">
        <f t="shared" si="4"/>
        <v>0</v>
      </c>
      <c r="H25" s="74">
        <f t="shared" si="5"/>
        <v>0</v>
      </c>
    </row>
    <row r="26" spans="1:9" ht="19.5" customHeight="1" x14ac:dyDescent="0.25">
      <c r="A26" s="30"/>
      <c r="B26" s="30"/>
      <c r="C26" s="31"/>
      <c r="D26" s="31"/>
      <c r="E26" s="74">
        <f t="shared" si="3"/>
        <v>0</v>
      </c>
      <c r="F26" s="31"/>
      <c r="G26" s="74">
        <f t="shared" si="4"/>
        <v>0</v>
      </c>
      <c r="H26" s="74">
        <f t="shared" si="5"/>
        <v>0</v>
      </c>
    </row>
    <row r="27" spans="1:9" ht="19.5" customHeight="1" x14ac:dyDescent="0.25">
      <c r="A27" s="30"/>
      <c r="B27" s="30"/>
      <c r="C27" s="31"/>
      <c r="D27" s="31"/>
      <c r="E27" s="74">
        <f t="shared" si="3"/>
        <v>0</v>
      </c>
      <c r="F27" s="31"/>
      <c r="G27" s="74">
        <f t="shared" si="4"/>
        <v>0</v>
      </c>
      <c r="H27" s="74">
        <f t="shared" si="5"/>
        <v>0</v>
      </c>
    </row>
    <row r="28" spans="1:9" ht="19.5" customHeight="1" x14ac:dyDescent="0.25">
      <c r="A28" s="30"/>
      <c r="B28" s="30"/>
      <c r="C28" s="31"/>
      <c r="D28" s="31"/>
      <c r="E28" s="74">
        <f t="shared" si="3"/>
        <v>0</v>
      </c>
      <c r="F28" s="31"/>
      <c r="G28" s="74">
        <f t="shared" si="4"/>
        <v>0</v>
      </c>
      <c r="H28" s="74">
        <f t="shared" si="5"/>
        <v>0</v>
      </c>
    </row>
    <row r="29" spans="1:9" ht="19.5" customHeight="1" x14ac:dyDescent="0.25">
      <c r="A29" s="30"/>
      <c r="B29" s="30"/>
      <c r="C29" s="31"/>
      <c r="D29" s="31"/>
      <c r="E29" s="74">
        <f t="shared" si="3"/>
        <v>0</v>
      </c>
      <c r="F29" s="31"/>
      <c r="G29" s="74">
        <f t="shared" si="4"/>
        <v>0</v>
      </c>
      <c r="H29" s="74">
        <f t="shared" si="5"/>
        <v>0</v>
      </c>
    </row>
    <row r="30" spans="1:9" ht="19.5" customHeight="1" x14ac:dyDescent="0.25">
      <c r="A30" s="30"/>
      <c r="B30" s="30"/>
      <c r="C30" s="31"/>
      <c r="D30" s="31"/>
      <c r="E30" s="74">
        <f t="shared" si="3"/>
        <v>0</v>
      </c>
      <c r="F30" s="31"/>
      <c r="G30" s="74">
        <f t="shared" si="4"/>
        <v>0</v>
      </c>
      <c r="H30" s="74">
        <f t="shared" si="5"/>
        <v>0</v>
      </c>
    </row>
    <row r="31" spans="1:9" ht="19.5" customHeight="1" x14ac:dyDescent="0.3">
      <c r="A31" s="29" t="s">
        <v>127</v>
      </c>
      <c r="B31" s="30"/>
      <c r="C31" s="31"/>
      <c r="D31" s="31"/>
      <c r="E31" s="74">
        <f>SUM(E14:E30)</f>
        <v>0</v>
      </c>
      <c r="F31" s="31"/>
      <c r="G31" s="74">
        <f>SUM(G14:G30)</f>
        <v>0</v>
      </c>
      <c r="H31" s="31"/>
      <c r="I31" s="10"/>
    </row>
    <row r="32" spans="1:9" ht="19.5" customHeight="1" x14ac:dyDescent="0.3">
      <c r="A32" s="29" t="s">
        <v>104</v>
      </c>
      <c r="B32" s="30"/>
      <c r="C32" s="31"/>
      <c r="D32" s="31"/>
      <c r="E32" s="41"/>
      <c r="F32" s="31"/>
      <c r="G32" s="41"/>
      <c r="H32" s="94">
        <f>SUM(H14:H30)</f>
        <v>0</v>
      </c>
    </row>
    <row r="33" spans="1:9" ht="19.5" customHeight="1" x14ac:dyDescent="0.3">
      <c r="A33" s="29" t="s">
        <v>128</v>
      </c>
      <c r="B33" s="30"/>
      <c r="C33" s="31"/>
      <c r="D33" s="31"/>
      <c r="E33" s="31"/>
      <c r="F33" s="31"/>
      <c r="G33" s="95">
        <f>Summary!G20</f>
        <v>0</v>
      </c>
      <c r="H33" s="74">
        <f>SUM(H32*G33)</f>
        <v>0</v>
      </c>
    </row>
    <row r="34" spans="1:9" ht="19.5" customHeight="1" x14ac:dyDescent="0.3">
      <c r="A34" s="29" t="s">
        <v>129</v>
      </c>
      <c r="B34" s="30"/>
      <c r="C34" s="31"/>
      <c r="D34" s="31"/>
      <c r="E34" s="31"/>
      <c r="F34" s="31"/>
      <c r="G34" s="95">
        <f>Summary!G21</f>
        <v>0</v>
      </c>
      <c r="H34" s="74">
        <f>SUM(H32+H33)*G34</f>
        <v>0</v>
      </c>
    </row>
    <row r="35" spans="1:9" ht="19.5" customHeight="1" x14ac:dyDescent="0.3">
      <c r="A35" s="29" t="s">
        <v>130</v>
      </c>
      <c r="B35" s="30"/>
      <c r="C35" s="31"/>
      <c r="D35" s="31"/>
      <c r="E35" s="31"/>
      <c r="F35" s="31"/>
      <c r="G35" s="95">
        <f>Summary!G22</f>
        <v>0</v>
      </c>
      <c r="H35" s="74">
        <f>SUM(G31*G35)</f>
        <v>0</v>
      </c>
    </row>
    <row r="36" spans="1:9" ht="19.5" customHeight="1" thickBot="1" x14ac:dyDescent="0.35">
      <c r="A36" s="34" t="s">
        <v>124</v>
      </c>
      <c r="B36" s="32"/>
      <c r="C36" s="33"/>
      <c r="D36" s="33"/>
      <c r="E36" s="33"/>
      <c r="F36" s="33"/>
      <c r="G36" s="33"/>
      <c r="H36" s="75">
        <f>SUM(H32:H35)</f>
        <v>0</v>
      </c>
    </row>
    <row r="37" spans="1:9" ht="12.75" customHeight="1" thickTop="1" x14ac:dyDescent="0.25">
      <c r="A37" s="35"/>
      <c r="B37" s="35"/>
      <c r="C37" s="36"/>
      <c r="D37" s="36"/>
      <c r="E37" s="36"/>
      <c r="F37" s="36"/>
      <c r="G37" s="36"/>
      <c r="H37" s="36"/>
      <c r="I37" s="35"/>
    </row>
    <row r="38" spans="1:9" ht="12.75" customHeight="1" x14ac:dyDescent="0.25">
      <c r="A38" s="35"/>
      <c r="B38" s="35"/>
      <c r="C38" s="36"/>
      <c r="D38" s="36"/>
      <c r="E38" s="36"/>
      <c r="F38" s="36"/>
      <c r="G38" s="36"/>
      <c r="H38" s="36"/>
      <c r="I38" s="35"/>
    </row>
    <row r="39" spans="1:9" ht="12.75" customHeight="1" x14ac:dyDescent="0.25">
      <c r="A39" s="35"/>
      <c r="B39" s="35"/>
      <c r="C39" s="36"/>
      <c r="D39" s="36"/>
      <c r="E39" s="36"/>
      <c r="F39" s="36"/>
      <c r="G39" s="36"/>
      <c r="H39" s="36"/>
      <c r="I39" s="35"/>
    </row>
    <row r="40" spans="1:9" ht="12.75" customHeight="1" x14ac:dyDescent="0.25">
      <c r="A40" s="35"/>
      <c r="B40" s="35"/>
      <c r="C40" s="36"/>
      <c r="D40" s="36"/>
      <c r="E40" s="36"/>
      <c r="F40" s="36"/>
      <c r="G40" s="36"/>
      <c r="H40" s="36"/>
      <c r="I40" s="35"/>
    </row>
    <row r="41" spans="1:9" ht="12.75" customHeight="1" x14ac:dyDescent="0.25">
      <c r="A41" s="35"/>
      <c r="B41" s="35"/>
      <c r="C41" s="36"/>
      <c r="D41" s="36"/>
      <c r="E41" s="36"/>
      <c r="F41" s="36"/>
      <c r="G41" s="36"/>
      <c r="H41" s="36"/>
      <c r="I41" s="35"/>
    </row>
    <row r="42" spans="1:9" ht="12.75" customHeight="1" x14ac:dyDescent="0.25">
      <c r="A42" s="35"/>
      <c r="B42" s="35"/>
      <c r="C42" s="36"/>
      <c r="D42" s="36"/>
      <c r="E42" s="36"/>
      <c r="F42" s="36"/>
      <c r="G42" s="36"/>
      <c r="H42" s="36"/>
      <c r="I42" s="35"/>
    </row>
    <row r="43" spans="1:9" ht="12.75" customHeight="1" x14ac:dyDescent="0.25">
      <c r="A43" s="35"/>
      <c r="B43" s="35"/>
      <c r="C43" s="36"/>
      <c r="D43" s="36"/>
      <c r="E43" s="36"/>
      <c r="F43" s="36"/>
      <c r="G43" s="36"/>
      <c r="H43" s="36"/>
      <c r="I43" s="35"/>
    </row>
    <row r="44" spans="1:9" ht="12.75" customHeight="1" x14ac:dyDescent="0.25">
      <c r="A44" s="35"/>
      <c r="B44" s="35"/>
      <c r="C44" s="36"/>
      <c r="D44" s="36"/>
      <c r="E44" s="36"/>
      <c r="F44" s="36"/>
      <c r="G44" s="36"/>
      <c r="H44" s="36"/>
      <c r="I44" s="35"/>
    </row>
    <row r="45" spans="1:9" ht="12.75" customHeight="1" x14ac:dyDescent="0.25">
      <c r="A45" s="35"/>
      <c r="B45" s="35"/>
      <c r="C45" s="36"/>
      <c r="D45" s="36"/>
      <c r="E45" s="36"/>
      <c r="F45" s="36"/>
      <c r="G45" s="36"/>
      <c r="H45" s="36"/>
      <c r="I45" s="35"/>
    </row>
    <row r="46" spans="1:9" ht="12.75" customHeight="1" x14ac:dyDescent="0.25">
      <c r="A46" s="35"/>
      <c r="B46" s="35"/>
      <c r="C46" s="36"/>
      <c r="D46" s="36"/>
      <c r="E46" s="36"/>
      <c r="F46" s="36"/>
      <c r="G46" s="36"/>
      <c r="H46" s="36"/>
      <c r="I46" s="35"/>
    </row>
    <row r="47" spans="1:9" ht="12.75" customHeight="1" x14ac:dyDescent="0.25">
      <c r="A47" s="35"/>
      <c r="B47" s="35"/>
      <c r="C47" s="36"/>
      <c r="D47" s="36"/>
      <c r="E47" s="36"/>
      <c r="F47" s="36"/>
      <c r="G47" s="36"/>
      <c r="H47" s="36"/>
      <c r="I47" s="35"/>
    </row>
    <row r="48" spans="1:9" ht="12.75" customHeight="1" x14ac:dyDescent="0.25">
      <c r="A48" s="35"/>
      <c r="B48" s="35"/>
      <c r="C48" s="36"/>
      <c r="D48" s="36"/>
      <c r="E48" s="36"/>
      <c r="F48" s="36"/>
      <c r="G48" s="36"/>
      <c r="H48" s="36"/>
      <c r="I48" s="35"/>
    </row>
    <row r="49" spans="1:9" ht="12.75" customHeight="1" x14ac:dyDescent="0.25">
      <c r="A49" s="35"/>
      <c r="B49" s="35"/>
      <c r="C49" s="36"/>
      <c r="D49" s="36"/>
      <c r="E49" s="36"/>
      <c r="F49" s="36"/>
      <c r="G49" s="36"/>
      <c r="H49" s="36"/>
      <c r="I49" s="35"/>
    </row>
    <row r="50" spans="1:9" ht="12.75" customHeight="1" x14ac:dyDescent="0.25">
      <c r="A50" s="35"/>
      <c r="B50" s="35"/>
      <c r="C50" s="36"/>
      <c r="D50" s="36"/>
      <c r="E50" s="36"/>
      <c r="F50" s="36"/>
      <c r="G50" s="36"/>
      <c r="H50" s="36"/>
      <c r="I50" s="35"/>
    </row>
    <row r="51" spans="1:9" ht="12.75" customHeight="1" x14ac:dyDescent="0.25">
      <c r="A51" s="35"/>
      <c r="B51" s="35"/>
      <c r="C51" s="36"/>
      <c r="D51" s="36"/>
      <c r="E51" s="36"/>
      <c r="F51" s="36"/>
      <c r="G51" s="36"/>
      <c r="H51" s="36"/>
      <c r="I51" s="35"/>
    </row>
    <row r="52" spans="1:9" ht="12.75" customHeight="1" x14ac:dyDescent="0.25">
      <c r="A52" s="35"/>
      <c r="B52" s="35"/>
      <c r="C52" s="36"/>
      <c r="D52" s="36"/>
      <c r="E52" s="36"/>
      <c r="F52" s="36"/>
      <c r="G52" s="36"/>
      <c r="H52" s="36"/>
      <c r="I52" s="35"/>
    </row>
    <row r="53" spans="1:9" ht="12.75" customHeight="1" x14ac:dyDescent="0.25">
      <c r="A53" s="35"/>
      <c r="B53" s="35"/>
      <c r="C53" s="36"/>
      <c r="D53" s="36"/>
      <c r="E53" s="36"/>
      <c r="F53" s="36"/>
      <c r="G53" s="36"/>
      <c r="H53" s="36"/>
      <c r="I53" s="35"/>
    </row>
    <row r="54" spans="1:9" ht="12.75" customHeight="1" x14ac:dyDescent="0.25">
      <c r="A54" s="35"/>
      <c r="B54" s="35"/>
      <c r="C54" s="36"/>
      <c r="D54" s="36"/>
      <c r="E54" s="36"/>
      <c r="F54" s="36"/>
      <c r="G54" s="36"/>
      <c r="H54" s="36"/>
      <c r="I54" s="35"/>
    </row>
    <row r="55" spans="1:9" ht="12.75" customHeight="1" x14ac:dyDescent="0.25">
      <c r="A55" s="35"/>
      <c r="B55" s="35"/>
      <c r="C55" s="36"/>
      <c r="D55" s="36"/>
      <c r="E55" s="36"/>
      <c r="F55" s="36"/>
      <c r="G55" s="36"/>
      <c r="H55" s="36"/>
      <c r="I55" s="35"/>
    </row>
    <row r="56" spans="1:9" ht="12.75" customHeight="1" x14ac:dyDescent="0.25">
      <c r="A56" s="35"/>
      <c r="B56" s="35"/>
      <c r="C56" s="36"/>
      <c r="D56" s="36"/>
      <c r="E56" s="36"/>
      <c r="F56" s="36"/>
      <c r="G56" s="36"/>
      <c r="H56" s="36"/>
      <c r="I56" s="35"/>
    </row>
    <row r="57" spans="1:9" ht="12.75" customHeight="1" x14ac:dyDescent="0.25">
      <c r="A57" s="35"/>
      <c r="B57" s="35"/>
      <c r="C57" s="36"/>
      <c r="D57" s="36"/>
      <c r="E57" s="36"/>
      <c r="F57" s="36"/>
      <c r="G57" s="36"/>
      <c r="H57" s="36"/>
      <c r="I57" s="35"/>
    </row>
    <row r="58" spans="1:9" ht="12.75" customHeight="1" x14ac:dyDescent="0.25">
      <c r="A58" s="35"/>
      <c r="B58" s="35"/>
      <c r="C58" s="36"/>
      <c r="D58" s="36"/>
      <c r="E58" s="36"/>
      <c r="F58" s="36"/>
      <c r="G58" s="36"/>
      <c r="H58" s="36"/>
      <c r="I58" s="35"/>
    </row>
    <row r="59" spans="1:9" ht="12.75" customHeight="1" x14ac:dyDescent="0.25">
      <c r="A59" s="35"/>
      <c r="B59" s="35"/>
      <c r="C59" s="36"/>
      <c r="D59" s="36"/>
      <c r="E59" s="36"/>
      <c r="F59" s="36"/>
      <c r="G59" s="36"/>
      <c r="H59" s="36"/>
      <c r="I59" s="35"/>
    </row>
    <row r="60" spans="1:9" ht="12.75" customHeight="1" x14ac:dyDescent="0.25">
      <c r="A60" s="35"/>
      <c r="B60" s="35"/>
      <c r="C60" s="36"/>
      <c r="D60" s="36"/>
      <c r="E60" s="36"/>
      <c r="F60" s="36"/>
      <c r="G60" s="36"/>
      <c r="H60" s="36"/>
      <c r="I60" s="35"/>
    </row>
    <row r="61" spans="1:9" ht="12.75" customHeight="1" x14ac:dyDescent="0.25">
      <c r="A61" s="35"/>
      <c r="B61" s="35"/>
      <c r="C61" s="36"/>
      <c r="D61" s="36"/>
      <c r="E61" s="36"/>
      <c r="F61" s="36"/>
      <c r="G61" s="36"/>
      <c r="H61" s="36"/>
      <c r="I61" s="35"/>
    </row>
    <row r="62" spans="1:9" ht="12.75" customHeight="1" x14ac:dyDescent="0.25">
      <c r="A62" s="35"/>
      <c r="B62" s="35"/>
      <c r="C62" s="36"/>
      <c r="D62" s="36"/>
      <c r="E62" s="36"/>
      <c r="F62" s="36"/>
      <c r="G62" s="36"/>
      <c r="H62" s="36"/>
      <c r="I62" s="35"/>
    </row>
    <row r="63" spans="1:9" ht="12.75" customHeight="1" x14ac:dyDescent="0.25">
      <c r="A63" s="35"/>
      <c r="B63" s="35"/>
      <c r="C63" s="36"/>
      <c r="D63" s="36"/>
      <c r="E63" s="36"/>
      <c r="F63" s="36"/>
      <c r="G63" s="36"/>
      <c r="H63" s="36"/>
      <c r="I63" s="35"/>
    </row>
    <row r="64" spans="1:9" ht="12.75" customHeight="1" x14ac:dyDescent="0.25">
      <c r="A64" s="35"/>
      <c r="B64" s="35"/>
      <c r="C64" s="36"/>
      <c r="D64" s="36"/>
      <c r="E64" s="36"/>
      <c r="F64" s="36"/>
      <c r="G64" s="36"/>
      <c r="H64" s="36"/>
      <c r="I64" s="35"/>
    </row>
    <row r="65" spans="1:9" ht="12.75" customHeight="1" x14ac:dyDescent="0.25">
      <c r="A65" s="35"/>
      <c r="B65" s="35"/>
      <c r="C65" s="36"/>
      <c r="D65" s="36"/>
      <c r="E65" s="36"/>
      <c r="F65" s="36"/>
      <c r="G65" s="36"/>
      <c r="H65" s="36"/>
      <c r="I65" s="35"/>
    </row>
    <row r="66" spans="1:9" ht="20.149999999999999" customHeight="1" x14ac:dyDescent="0.25">
      <c r="A66" s="35"/>
      <c r="B66" s="35"/>
      <c r="C66" s="36"/>
      <c r="D66" s="36"/>
      <c r="E66" s="36"/>
      <c r="F66" s="36"/>
      <c r="G66" s="36"/>
      <c r="H66" s="36"/>
      <c r="I66" s="35"/>
    </row>
    <row r="67" spans="1:9" ht="20.149999999999999" customHeight="1" x14ac:dyDescent="0.25">
      <c r="A67" s="35"/>
      <c r="B67" s="35"/>
      <c r="C67" s="36"/>
      <c r="D67" s="36"/>
      <c r="E67" s="36"/>
      <c r="F67" s="36"/>
      <c r="G67" s="36"/>
      <c r="H67" s="36"/>
      <c r="I67" s="35"/>
    </row>
    <row r="68" spans="1:9" ht="20.149999999999999" customHeight="1" x14ac:dyDescent="0.25">
      <c r="A68" s="35"/>
      <c r="B68" s="35"/>
      <c r="C68" s="36"/>
      <c r="D68" s="36"/>
      <c r="E68" s="36"/>
      <c r="F68" s="36"/>
      <c r="G68" s="36"/>
      <c r="H68" s="36"/>
      <c r="I68" s="35"/>
    </row>
    <row r="69" spans="1:9" ht="20.149999999999999" customHeight="1" x14ac:dyDescent="0.25">
      <c r="A69" s="35"/>
      <c r="B69" s="35"/>
      <c r="C69" s="36"/>
      <c r="D69" s="36"/>
      <c r="E69" s="36"/>
      <c r="F69" s="36"/>
      <c r="G69" s="36"/>
      <c r="H69" s="36"/>
      <c r="I69" s="35"/>
    </row>
    <row r="70" spans="1:9" ht="20.149999999999999" customHeight="1" x14ac:dyDescent="0.25">
      <c r="A70" s="35"/>
      <c r="B70" s="35"/>
      <c r="C70" s="36"/>
      <c r="D70" s="36"/>
      <c r="E70" s="36"/>
      <c r="F70" s="36"/>
      <c r="G70" s="36"/>
      <c r="H70" s="36"/>
      <c r="I70" s="35"/>
    </row>
    <row r="71" spans="1:9" ht="20.149999999999999" customHeight="1" x14ac:dyDescent="0.25">
      <c r="A71" s="35"/>
      <c r="B71" s="35"/>
      <c r="C71" s="36"/>
      <c r="D71" s="36"/>
      <c r="E71" s="36"/>
      <c r="F71" s="36"/>
      <c r="G71" s="36"/>
      <c r="H71" s="36"/>
      <c r="I71" s="35"/>
    </row>
    <row r="72" spans="1:9" ht="20.149999999999999" customHeight="1" x14ac:dyDescent="0.25">
      <c r="A72" s="35"/>
      <c r="B72" s="35"/>
      <c r="C72" s="36"/>
      <c r="D72" s="36"/>
      <c r="E72" s="36"/>
      <c r="F72" s="36"/>
      <c r="G72" s="36"/>
      <c r="H72" s="36"/>
      <c r="I72" s="35"/>
    </row>
    <row r="73" spans="1:9" ht="20.149999999999999" customHeight="1" x14ac:dyDescent="0.25">
      <c r="A73" s="35"/>
      <c r="B73" s="35"/>
      <c r="C73" s="36"/>
      <c r="D73" s="36"/>
      <c r="E73" s="36"/>
      <c r="F73" s="36"/>
      <c r="G73" s="36"/>
      <c r="H73" s="36"/>
      <c r="I73" s="35"/>
    </row>
    <row r="74" spans="1:9" ht="20.149999999999999" customHeight="1" x14ac:dyDescent="0.25">
      <c r="A74" s="35"/>
      <c r="B74" s="35"/>
      <c r="C74" s="36"/>
      <c r="D74" s="36"/>
      <c r="E74" s="36"/>
      <c r="F74" s="36"/>
      <c r="G74" s="36"/>
      <c r="H74" s="36"/>
      <c r="I74" s="35"/>
    </row>
    <row r="75" spans="1:9" ht="20.149999999999999" customHeight="1" x14ac:dyDescent="0.25">
      <c r="A75" s="35"/>
      <c r="B75" s="35"/>
      <c r="C75" s="36"/>
      <c r="D75" s="36"/>
      <c r="E75" s="36"/>
      <c r="F75" s="36"/>
      <c r="G75" s="36"/>
      <c r="H75" s="36"/>
      <c r="I75" s="35"/>
    </row>
    <row r="76" spans="1:9" ht="20.149999999999999" customHeight="1" x14ac:dyDescent="0.25">
      <c r="A76" s="35"/>
      <c r="B76" s="35"/>
      <c r="C76" s="36"/>
      <c r="D76" s="36"/>
      <c r="E76" s="36"/>
      <c r="F76" s="36"/>
      <c r="G76" s="36"/>
      <c r="H76" s="36"/>
      <c r="I76" s="35"/>
    </row>
    <row r="77" spans="1:9" ht="20.149999999999999" customHeight="1" x14ac:dyDescent="0.25">
      <c r="A77" s="35"/>
      <c r="B77" s="35"/>
      <c r="C77" s="36"/>
      <c r="D77" s="36"/>
      <c r="E77" s="36"/>
      <c r="F77" s="36"/>
      <c r="G77" s="36"/>
      <c r="H77" s="36"/>
      <c r="I77" s="35"/>
    </row>
    <row r="78" spans="1:9" ht="20.149999999999999" customHeight="1" x14ac:dyDescent="0.25">
      <c r="A78" s="35"/>
      <c r="B78" s="35"/>
      <c r="C78" s="36"/>
      <c r="D78" s="36"/>
      <c r="E78" s="36"/>
      <c r="F78" s="36"/>
      <c r="G78" s="36"/>
      <c r="H78" s="36"/>
      <c r="I78" s="35"/>
    </row>
    <row r="79" spans="1:9" ht="20.149999999999999" customHeight="1" x14ac:dyDescent="0.25">
      <c r="A79" s="35"/>
      <c r="B79" s="35"/>
      <c r="C79" s="36"/>
      <c r="D79" s="36"/>
      <c r="E79" s="36"/>
      <c r="F79" s="36"/>
      <c r="G79" s="36"/>
      <c r="H79" s="36"/>
      <c r="I79" s="35"/>
    </row>
    <row r="80" spans="1:9" ht="20.149999999999999" customHeight="1" x14ac:dyDescent="0.25">
      <c r="A80" s="35"/>
      <c r="B80" s="35"/>
      <c r="C80" s="36"/>
      <c r="D80" s="36"/>
      <c r="E80" s="36"/>
      <c r="F80" s="36"/>
      <c r="G80" s="36"/>
      <c r="H80" s="36"/>
      <c r="I80" s="35"/>
    </row>
    <row r="81" spans="1:9" ht="20.149999999999999" customHeight="1" x14ac:dyDescent="0.25">
      <c r="A81" s="35"/>
      <c r="B81" s="35"/>
      <c r="C81" s="36"/>
      <c r="D81" s="36"/>
      <c r="E81" s="36"/>
      <c r="F81" s="36"/>
      <c r="G81" s="36"/>
      <c r="H81" s="36"/>
      <c r="I81" s="35"/>
    </row>
    <row r="82" spans="1:9" ht="20.149999999999999" customHeight="1" x14ac:dyDescent="0.25">
      <c r="A82" s="35"/>
      <c r="B82" s="35"/>
      <c r="C82" s="36"/>
      <c r="D82" s="36"/>
      <c r="E82" s="36"/>
      <c r="F82" s="36"/>
      <c r="G82" s="36"/>
      <c r="H82" s="36"/>
      <c r="I82" s="35"/>
    </row>
    <row r="83" spans="1:9" ht="20.149999999999999" customHeight="1" x14ac:dyDescent="0.25">
      <c r="A83" s="35"/>
      <c r="B83" s="35"/>
      <c r="C83" s="36"/>
      <c r="D83" s="36"/>
      <c r="E83" s="36"/>
      <c r="F83" s="36"/>
      <c r="G83" s="36"/>
      <c r="H83" s="36"/>
      <c r="I83" s="35"/>
    </row>
    <row r="84" spans="1:9" ht="20.149999999999999" customHeight="1" x14ac:dyDescent="0.25">
      <c r="A84" s="35"/>
      <c r="B84" s="35"/>
      <c r="C84" s="36"/>
      <c r="D84" s="36"/>
      <c r="E84" s="36"/>
      <c r="F84" s="36"/>
      <c r="G84" s="36"/>
      <c r="H84" s="36"/>
      <c r="I84" s="35"/>
    </row>
    <row r="85" spans="1:9" ht="20.149999999999999" customHeight="1" x14ac:dyDescent="0.25">
      <c r="A85" s="35"/>
      <c r="B85" s="35"/>
      <c r="C85" s="36"/>
      <c r="D85" s="36"/>
      <c r="E85" s="36"/>
      <c r="F85" s="36"/>
      <c r="G85" s="36"/>
      <c r="H85" s="36"/>
      <c r="I85" s="35"/>
    </row>
    <row r="86" spans="1:9" ht="20.149999999999999" customHeight="1" x14ac:dyDescent="0.25">
      <c r="A86" s="35"/>
      <c r="B86" s="35"/>
      <c r="C86" s="36"/>
      <c r="D86" s="36"/>
      <c r="E86" s="36"/>
      <c r="F86" s="36"/>
      <c r="G86" s="36"/>
      <c r="H86" s="36"/>
      <c r="I86" s="35"/>
    </row>
    <row r="87" spans="1:9" ht="20.149999999999999" customHeight="1" x14ac:dyDescent="0.25">
      <c r="A87" s="35"/>
      <c r="B87" s="35"/>
      <c r="C87" s="36"/>
      <c r="D87" s="36"/>
      <c r="E87" s="36"/>
      <c r="F87" s="36"/>
      <c r="G87" s="36"/>
      <c r="H87" s="36"/>
      <c r="I87" s="35"/>
    </row>
    <row r="88" spans="1:9" ht="20.149999999999999" customHeight="1" x14ac:dyDescent="0.25">
      <c r="A88" s="35"/>
      <c r="B88" s="35"/>
      <c r="C88" s="36"/>
      <c r="D88" s="36"/>
      <c r="E88" s="36"/>
      <c r="F88" s="36"/>
      <c r="G88" s="36"/>
      <c r="H88" s="36"/>
      <c r="I88" s="35"/>
    </row>
    <row r="89" spans="1:9" ht="20.149999999999999" customHeight="1" x14ac:dyDescent="0.25">
      <c r="A89" s="35"/>
      <c r="B89" s="35"/>
      <c r="C89" s="36"/>
      <c r="D89" s="36"/>
      <c r="E89" s="36"/>
      <c r="F89" s="36"/>
      <c r="G89" s="36"/>
      <c r="H89" s="36"/>
      <c r="I89" s="35"/>
    </row>
    <row r="90" spans="1:9" ht="20.149999999999999" customHeight="1" x14ac:dyDescent="0.25">
      <c r="A90" s="35"/>
      <c r="B90" s="35"/>
      <c r="C90" s="36"/>
      <c r="D90" s="36"/>
      <c r="E90" s="36"/>
      <c r="F90" s="36"/>
      <c r="G90" s="36"/>
      <c r="H90" s="36"/>
      <c r="I90" s="35"/>
    </row>
    <row r="91" spans="1:9" ht="20.149999999999999" customHeight="1" x14ac:dyDescent="0.25">
      <c r="A91" s="35"/>
      <c r="B91" s="35"/>
      <c r="C91" s="36"/>
      <c r="D91" s="36"/>
      <c r="E91" s="36"/>
      <c r="F91" s="36"/>
      <c r="G91" s="36"/>
      <c r="H91" s="36"/>
      <c r="I91" s="35"/>
    </row>
    <row r="92" spans="1:9" ht="20.149999999999999" customHeight="1" x14ac:dyDescent="0.25">
      <c r="A92" s="35"/>
      <c r="B92" s="35"/>
      <c r="C92" s="36"/>
      <c r="D92" s="36"/>
      <c r="E92" s="36"/>
      <c r="F92" s="36"/>
      <c r="G92" s="36"/>
      <c r="H92" s="36"/>
      <c r="I92" s="35"/>
    </row>
    <row r="93" spans="1:9" ht="20.149999999999999" customHeight="1" x14ac:dyDescent="0.25">
      <c r="A93" s="35"/>
      <c r="B93" s="35"/>
      <c r="C93" s="36"/>
      <c r="D93" s="36"/>
      <c r="E93" s="36"/>
      <c r="F93" s="36"/>
      <c r="G93" s="36"/>
      <c r="H93" s="36"/>
      <c r="I93" s="35"/>
    </row>
    <row r="94" spans="1:9" ht="20.149999999999999" customHeight="1" x14ac:dyDescent="0.25">
      <c r="A94" s="35"/>
      <c r="B94" s="35"/>
      <c r="C94" s="36"/>
      <c r="D94" s="36"/>
      <c r="E94" s="36"/>
      <c r="F94" s="36"/>
      <c r="G94" s="36"/>
      <c r="H94" s="36"/>
      <c r="I94" s="35"/>
    </row>
    <row r="95" spans="1:9" ht="20.149999999999999" customHeight="1" x14ac:dyDescent="0.25">
      <c r="A95" s="35"/>
      <c r="B95" s="35"/>
      <c r="C95" s="36"/>
      <c r="D95" s="36"/>
      <c r="E95" s="36"/>
      <c r="F95" s="36"/>
      <c r="G95" s="36"/>
      <c r="H95" s="36"/>
      <c r="I95" s="35"/>
    </row>
    <row r="96" spans="1:9" ht="20.149999999999999" customHeight="1" x14ac:dyDescent="0.25">
      <c r="A96" s="35"/>
      <c r="B96" s="35"/>
      <c r="C96" s="36"/>
      <c r="D96" s="36"/>
      <c r="E96" s="36"/>
      <c r="F96" s="36"/>
      <c r="G96" s="36"/>
      <c r="H96" s="36"/>
      <c r="I96" s="35"/>
    </row>
    <row r="97" spans="1:9" ht="20.149999999999999" customHeight="1" x14ac:dyDescent="0.25">
      <c r="A97" s="35"/>
      <c r="B97" s="35"/>
      <c r="C97" s="36"/>
      <c r="D97" s="36"/>
      <c r="E97" s="36"/>
      <c r="F97" s="36"/>
      <c r="G97" s="36"/>
      <c r="H97" s="36"/>
      <c r="I97" s="35"/>
    </row>
    <row r="98" spans="1:9" ht="20.149999999999999" customHeight="1" x14ac:dyDescent="0.25">
      <c r="A98" s="35"/>
      <c r="B98" s="35"/>
      <c r="C98" s="36"/>
      <c r="D98" s="36"/>
      <c r="E98" s="36"/>
      <c r="F98" s="36"/>
      <c r="G98" s="36"/>
      <c r="H98" s="36"/>
      <c r="I98" s="35"/>
    </row>
    <row r="99" spans="1:9" ht="20.149999999999999" customHeight="1" x14ac:dyDescent="0.25">
      <c r="A99" s="35"/>
      <c r="B99" s="35"/>
      <c r="C99" s="36"/>
      <c r="D99" s="36"/>
      <c r="E99" s="36"/>
      <c r="F99" s="36"/>
      <c r="G99" s="36"/>
      <c r="H99" s="36"/>
      <c r="I99" s="35"/>
    </row>
    <row r="100" spans="1:9" ht="20.149999999999999" customHeight="1" x14ac:dyDescent="0.25">
      <c r="A100" s="35"/>
      <c r="B100" s="35"/>
      <c r="C100" s="36"/>
      <c r="D100" s="36"/>
      <c r="E100" s="36"/>
      <c r="F100" s="36"/>
      <c r="G100" s="36"/>
      <c r="H100" s="36"/>
      <c r="I100" s="35"/>
    </row>
    <row r="101" spans="1:9" ht="20.149999999999999" customHeight="1" x14ac:dyDescent="0.25">
      <c r="A101" s="35"/>
      <c r="B101" s="35"/>
      <c r="C101" s="36"/>
      <c r="D101" s="36"/>
      <c r="E101" s="36"/>
      <c r="F101" s="36"/>
      <c r="G101" s="36"/>
      <c r="H101" s="36"/>
      <c r="I101" s="35"/>
    </row>
    <row r="102" spans="1:9" ht="20.149999999999999" customHeight="1" x14ac:dyDescent="0.25">
      <c r="A102" s="35"/>
      <c r="B102" s="35"/>
      <c r="C102" s="36"/>
      <c r="D102" s="36"/>
      <c r="E102" s="36"/>
      <c r="F102" s="36"/>
      <c r="G102" s="36"/>
      <c r="H102" s="36"/>
      <c r="I102" s="35"/>
    </row>
    <row r="103" spans="1:9" ht="20.149999999999999" customHeight="1" x14ac:dyDescent="0.25">
      <c r="A103" s="35"/>
      <c r="B103" s="35"/>
      <c r="C103" s="36"/>
      <c r="D103" s="36"/>
      <c r="E103" s="36"/>
      <c r="F103" s="36"/>
      <c r="G103" s="36"/>
      <c r="H103" s="36"/>
      <c r="I103" s="35"/>
    </row>
    <row r="104" spans="1:9" ht="20.149999999999999" customHeight="1" x14ac:dyDescent="0.25">
      <c r="A104" s="35"/>
      <c r="B104" s="35"/>
      <c r="C104" s="36"/>
      <c r="D104" s="36"/>
      <c r="E104" s="36"/>
      <c r="F104" s="36"/>
      <c r="G104" s="36"/>
      <c r="H104" s="36"/>
      <c r="I104" s="35"/>
    </row>
    <row r="105" spans="1:9" ht="20.149999999999999" customHeight="1" x14ac:dyDescent="0.25">
      <c r="A105" s="35"/>
      <c r="B105" s="35"/>
      <c r="C105" s="36"/>
      <c r="D105" s="36"/>
      <c r="E105" s="36"/>
      <c r="F105" s="36"/>
      <c r="G105" s="36"/>
      <c r="H105" s="36"/>
      <c r="I105" s="35"/>
    </row>
    <row r="106" spans="1:9" ht="20.149999999999999" customHeight="1" x14ac:dyDescent="0.25">
      <c r="A106" s="35"/>
      <c r="B106" s="35"/>
      <c r="C106" s="36"/>
      <c r="D106" s="36"/>
      <c r="E106" s="36"/>
      <c r="F106" s="36"/>
      <c r="G106" s="36"/>
      <c r="H106" s="36"/>
      <c r="I106" s="35"/>
    </row>
    <row r="107" spans="1:9" ht="20.149999999999999" customHeight="1" x14ac:dyDescent="0.25">
      <c r="A107" s="35"/>
      <c r="B107" s="35"/>
      <c r="C107" s="36"/>
      <c r="D107" s="36"/>
      <c r="E107" s="36"/>
      <c r="F107" s="36"/>
      <c r="G107" s="36"/>
      <c r="H107" s="36"/>
      <c r="I107" s="35"/>
    </row>
    <row r="108" spans="1:9" ht="20.149999999999999" customHeight="1" x14ac:dyDescent="0.25">
      <c r="A108" s="35"/>
      <c r="B108" s="35"/>
      <c r="C108" s="36"/>
      <c r="D108" s="36"/>
      <c r="E108" s="36"/>
      <c r="F108" s="36"/>
      <c r="G108" s="36"/>
      <c r="H108" s="36"/>
      <c r="I108" s="35"/>
    </row>
    <row r="109" spans="1:9" ht="20.149999999999999" customHeight="1" x14ac:dyDescent="0.25">
      <c r="A109" s="35"/>
      <c r="B109" s="35"/>
      <c r="C109" s="36"/>
      <c r="D109" s="36"/>
      <c r="E109" s="36"/>
      <c r="F109" s="36"/>
      <c r="G109" s="36"/>
      <c r="H109" s="36"/>
      <c r="I109" s="35"/>
    </row>
    <row r="110" spans="1:9" ht="20.149999999999999" customHeight="1" x14ac:dyDescent="0.25">
      <c r="A110" s="35"/>
      <c r="B110" s="35"/>
      <c r="C110" s="36"/>
      <c r="D110" s="36"/>
      <c r="E110" s="36"/>
      <c r="F110" s="36"/>
      <c r="G110" s="36"/>
      <c r="H110" s="36"/>
      <c r="I110" s="35"/>
    </row>
    <row r="111" spans="1:9" ht="20.149999999999999" customHeight="1" x14ac:dyDescent="0.25">
      <c r="A111" s="35"/>
      <c r="B111" s="35"/>
      <c r="C111" s="36"/>
      <c r="D111" s="36"/>
      <c r="E111" s="36"/>
      <c r="F111" s="36"/>
      <c r="G111" s="36"/>
      <c r="H111" s="36"/>
      <c r="I111" s="35"/>
    </row>
    <row r="112" spans="1:9" ht="20.149999999999999" customHeight="1" x14ac:dyDescent="0.25">
      <c r="A112" s="35"/>
      <c r="B112" s="35"/>
      <c r="C112" s="36"/>
      <c r="D112" s="36"/>
      <c r="E112" s="36"/>
      <c r="F112" s="36"/>
      <c r="G112" s="36"/>
      <c r="H112" s="36"/>
      <c r="I112" s="35"/>
    </row>
    <row r="113" spans="1:9" ht="20.149999999999999" customHeight="1" x14ac:dyDescent="0.25">
      <c r="A113" s="35"/>
      <c r="B113" s="35"/>
      <c r="C113" s="36"/>
      <c r="D113" s="36"/>
      <c r="E113" s="36"/>
      <c r="F113" s="36"/>
      <c r="G113" s="36"/>
      <c r="H113" s="36"/>
      <c r="I113" s="35"/>
    </row>
    <row r="114" spans="1:9" ht="20.149999999999999" customHeight="1" x14ac:dyDescent="0.25">
      <c r="A114" s="35"/>
      <c r="B114" s="35"/>
      <c r="C114" s="36"/>
      <c r="D114" s="36"/>
      <c r="E114" s="36"/>
      <c r="F114" s="36"/>
      <c r="G114" s="36"/>
      <c r="H114" s="36"/>
      <c r="I114" s="35"/>
    </row>
    <row r="115" spans="1:9" ht="20.149999999999999" customHeight="1" x14ac:dyDescent="0.25">
      <c r="A115" s="35"/>
      <c r="B115" s="35"/>
      <c r="C115" s="36"/>
      <c r="D115" s="36"/>
      <c r="E115" s="36"/>
      <c r="F115" s="36"/>
      <c r="G115" s="36"/>
      <c r="H115" s="36"/>
      <c r="I115" s="35"/>
    </row>
    <row r="116" spans="1:9" ht="20.149999999999999" customHeight="1" x14ac:dyDescent="0.25">
      <c r="A116" s="35"/>
      <c r="B116" s="35"/>
      <c r="C116" s="36"/>
      <c r="D116" s="36"/>
      <c r="E116" s="36"/>
      <c r="F116" s="36"/>
      <c r="G116" s="36"/>
      <c r="H116" s="36"/>
      <c r="I116" s="35"/>
    </row>
    <row r="117" spans="1:9" ht="12.5" x14ac:dyDescent="0.25">
      <c r="A117" s="35"/>
      <c r="B117" s="35"/>
      <c r="C117" s="36"/>
      <c r="D117" s="36"/>
      <c r="E117" s="36"/>
      <c r="F117" s="36"/>
      <c r="G117" s="36"/>
      <c r="H117" s="36"/>
      <c r="I117" s="35"/>
    </row>
    <row r="118" spans="1:9" ht="12.5" x14ac:dyDescent="0.25">
      <c r="A118" s="35"/>
      <c r="B118" s="35"/>
      <c r="C118" s="36"/>
      <c r="D118" s="36"/>
      <c r="E118" s="36"/>
      <c r="F118" s="36"/>
      <c r="G118" s="36"/>
      <c r="H118" s="36"/>
      <c r="I118" s="35"/>
    </row>
    <row r="119" spans="1:9" ht="12.5" x14ac:dyDescent="0.25">
      <c r="A119" s="35"/>
      <c r="B119" s="35"/>
      <c r="C119" s="36"/>
      <c r="D119" s="36"/>
      <c r="E119" s="36"/>
      <c r="F119" s="36"/>
      <c r="G119" s="36"/>
      <c r="H119" s="36"/>
      <c r="I119" s="35"/>
    </row>
    <row r="120" spans="1:9" ht="12.5" x14ac:dyDescent="0.25">
      <c r="A120" s="35"/>
      <c r="B120" s="35"/>
      <c r="C120" s="36"/>
      <c r="D120" s="36"/>
      <c r="E120" s="36"/>
      <c r="F120" s="36"/>
      <c r="G120" s="36"/>
      <c r="H120" s="36"/>
      <c r="I120" s="35"/>
    </row>
    <row r="121" spans="1:9" ht="12.5" x14ac:dyDescent="0.25">
      <c r="A121" s="35"/>
      <c r="B121" s="35"/>
      <c r="C121" s="36"/>
      <c r="D121" s="36"/>
      <c r="E121" s="36"/>
      <c r="F121" s="36"/>
      <c r="G121" s="36"/>
      <c r="H121" s="36"/>
      <c r="I121" s="35"/>
    </row>
    <row r="122" spans="1:9" ht="12.5" x14ac:dyDescent="0.25">
      <c r="A122" s="35"/>
      <c r="B122" s="35"/>
      <c r="C122" s="36"/>
      <c r="D122" s="36"/>
      <c r="E122" s="36"/>
      <c r="F122" s="36"/>
      <c r="G122" s="36"/>
      <c r="H122" s="36"/>
      <c r="I122" s="35"/>
    </row>
    <row r="123" spans="1:9" ht="12.5" x14ac:dyDescent="0.25">
      <c r="A123" s="35"/>
      <c r="B123" s="35"/>
      <c r="C123" s="36"/>
      <c r="D123" s="36"/>
      <c r="E123" s="36"/>
      <c r="F123" s="36"/>
      <c r="G123" s="36"/>
      <c r="H123" s="36"/>
      <c r="I123" s="35"/>
    </row>
    <row r="124" spans="1:9" ht="12.5" x14ac:dyDescent="0.25">
      <c r="A124" s="35"/>
      <c r="B124" s="35"/>
      <c r="C124" s="36"/>
      <c r="D124" s="36"/>
      <c r="E124" s="36"/>
      <c r="F124" s="36"/>
      <c r="G124" s="36"/>
      <c r="H124" s="36"/>
      <c r="I124" s="35"/>
    </row>
    <row r="125" spans="1:9" ht="12.5" x14ac:dyDescent="0.25">
      <c r="A125" s="35"/>
      <c r="B125" s="35"/>
      <c r="C125" s="36"/>
      <c r="D125" s="36"/>
      <c r="E125" s="36"/>
      <c r="F125" s="36"/>
      <c r="G125" s="36"/>
      <c r="H125" s="36"/>
      <c r="I125" s="35"/>
    </row>
    <row r="126" spans="1:9" ht="12.5" x14ac:dyDescent="0.25">
      <c r="A126" s="35"/>
      <c r="B126" s="35"/>
      <c r="C126" s="36"/>
      <c r="D126" s="36"/>
      <c r="E126" s="36"/>
      <c r="F126" s="36"/>
      <c r="G126" s="36"/>
      <c r="H126" s="36"/>
      <c r="I126" s="35"/>
    </row>
    <row r="127" spans="1:9" ht="12.5" x14ac:dyDescent="0.25">
      <c r="A127" s="35"/>
      <c r="B127" s="35"/>
      <c r="C127" s="36"/>
      <c r="D127" s="36"/>
      <c r="E127" s="36"/>
      <c r="F127" s="36"/>
      <c r="G127" s="36"/>
      <c r="H127" s="36"/>
      <c r="I127" s="35"/>
    </row>
    <row r="128" spans="1:9" ht="12.5" x14ac:dyDescent="0.25">
      <c r="A128" s="35"/>
      <c r="B128" s="35"/>
      <c r="C128" s="36"/>
      <c r="D128" s="36"/>
      <c r="E128" s="36"/>
      <c r="F128" s="36"/>
      <c r="G128" s="36"/>
      <c r="H128" s="36"/>
      <c r="I128" s="35"/>
    </row>
    <row r="129" spans="1:9" ht="12.5" x14ac:dyDescent="0.25">
      <c r="A129" s="35"/>
      <c r="B129" s="35"/>
      <c r="C129" s="36"/>
      <c r="D129" s="36"/>
      <c r="E129" s="36"/>
      <c r="F129" s="36"/>
      <c r="G129" s="36"/>
      <c r="H129" s="36"/>
      <c r="I129" s="35"/>
    </row>
    <row r="130" spans="1:9" ht="12.5" x14ac:dyDescent="0.25">
      <c r="A130" s="35"/>
      <c r="B130" s="35"/>
      <c r="C130" s="36"/>
      <c r="D130" s="36"/>
      <c r="E130" s="36"/>
      <c r="F130" s="36"/>
      <c r="G130" s="36"/>
      <c r="H130" s="36"/>
      <c r="I130" s="35"/>
    </row>
    <row r="131" spans="1:9" ht="12.5" x14ac:dyDescent="0.25">
      <c r="A131" s="35"/>
      <c r="B131" s="35"/>
      <c r="C131" s="36"/>
      <c r="D131" s="36"/>
      <c r="E131" s="36"/>
      <c r="F131" s="36"/>
      <c r="G131" s="36"/>
      <c r="H131" s="36"/>
      <c r="I131" s="35"/>
    </row>
    <row r="132" spans="1:9" ht="12.5" x14ac:dyDescent="0.25">
      <c r="A132" s="35"/>
      <c r="B132" s="35"/>
      <c r="C132" s="36"/>
      <c r="D132" s="36"/>
      <c r="E132" s="36"/>
      <c r="F132" s="36"/>
      <c r="G132" s="36"/>
      <c r="H132" s="36"/>
      <c r="I132" s="35"/>
    </row>
    <row r="133" spans="1:9" ht="12.5" x14ac:dyDescent="0.25">
      <c r="A133" s="35"/>
      <c r="B133" s="35"/>
      <c r="C133" s="36"/>
      <c r="D133" s="36"/>
      <c r="E133" s="36"/>
      <c r="F133" s="36"/>
      <c r="G133" s="36"/>
      <c r="H133" s="36"/>
      <c r="I133" s="35"/>
    </row>
    <row r="134" spans="1:9" ht="12.5" x14ac:dyDescent="0.25">
      <c r="A134" s="35"/>
      <c r="B134" s="35"/>
      <c r="C134" s="36"/>
      <c r="D134" s="36"/>
      <c r="E134" s="36"/>
      <c r="F134" s="36"/>
      <c r="G134" s="36"/>
      <c r="H134" s="36"/>
      <c r="I134" s="35"/>
    </row>
    <row r="135" spans="1:9" ht="12.5" x14ac:dyDescent="0.25">
      <c r="A135" s="35"/>
      <c r="B135" s="35"/>
      <c r="C135" s="36"/>
      <c r="D135" s="36"/>
      <c r="E135" s="36"/>
      <c r="F135" s="36"/>
      <c r="G135" s="36"/>
      <c r="H135" s="36"/>
      <c r="I135" s="35"/>
    </row>
    <row r="136" spans="1:9" ht="12.5" x14ac:dyDescent="0.25">
      <c r="A136" s="35"/>
      <c r="B136" s="35"/>
      <c r="C136" s="36"/>
      <c r="D136" s="36"/>
      <c r="E136" s="36"/>
      <c r="F136" s="36"/>
      <c r="G136" s="36"/>
      <c r="H136" s="36"/>
      <c r="I136" s="35"/>
    </row>
    <row r="137" spans="1:9" ht="12.5" x14ac:dyDescent="0.25">
      <c r="A137" s="35"/>
      <c r="B137" s="35"/>
      <c r="C137" s="36"/>
      <c r="D137" s="36"/>
      <c r="E137" s="36"/>
      <c r="F137" s="36"/>
      <c r="G137" s="36"/>
      <c r="H137" s="36"/>
      <c r="I137" s="35"/>
    </row>
    <row r="138" spans="1:9" ht="12.5" x14ac:dyDescent="0.25">
      <c r="A138" s="35"/>
      <c r="B138" s="35"/>
      <c r="C138" s="36"/>
      <c r="D138" s="36"/>
      <c r="E138" s="36"/>
      <c r="F138" s="36"/>
      <c r="G138" s="36"/>
      <c r="H138" s="36"/>
      <c r="I138" s="35"/>
    </row>
    <row r="139" spans="1:9" ht="12.5" x14ac:dyDescent="0.25">
      <c r="A139" s="35"/>
      <c r="B139" s="35"/>
      <c r="C139" s="36"/>
      <c r="D139" s="36"/>
      <c r="E139" s="36"/>
      <c r="F139" s="36"/>
      <c r="G139" s="36"/>
      <c r="H139" s="36"/>
      <c r="I139" s="35"/>
    </row>
    <row r="140" spans="1:9" ht="12.5" x14ac:dyDescent="0.25">
      <c r="A140" s="35"/>
      <c r="B140" s="35"/>
      <c r="C140" s="36"/>
      <c r="D140" s="36"/>
      <c r="E140" s="36"/>
      <c r="F140" s="36"/>
      <c r="G140" s="36"/>
      <c r="H140" s="36"/>
      <c r="I140" s="35"/>
    </row>
    <row r="141" spans="1:9" ht="12.5" x14ac:dyDescent="0.25">
      <c r="A141" s="35"/>
      <c r="B141" s="35"/>
      <c r="C141" s="36"/>
      <c r="D141" s="36"/>
      <c r="E141" s="36"/>
      <c r="F141" s="36"/>
      <c r="G141" s="36"/>
      <c r="H141" s="36"/>
      <c r="I141" s="35"/>
    </row>
    <row r="142" spans="1:9" ht="12.5" x14ac:dyDescent="0.25">
      <c r="A142" s="35"/>
      <c r="B142" s="35"/>
      <c r="C142" s="36"/>
      <c r="D142" s="36"/>
      <c r="E142" s="36"/>
      <c r="F142" s="36"/>
      <c r="G142" s="36"/>
      <c r="H142" s="36"/>
      <c r="I142" s="35"/>
    </row>
    <row r="143" spans="1:9" ht="12.5" x14ac:dyDescent="0.25">
      <c r="A143" s="35"/>
      <c r="B143" s="35"/>
      <c r="C143" s="36"/>
      <c r="D143" s="36"/>
      <c r="E143" s="36"/>
      <c r="F143" s="36"/>
      <c r="G143" s="36"/>
      <c r="H143" s="36"/>
      <c r="I143" s="35"/>
    </row>
    <row r="144" spans="1:9" ht="12.5" x14ac:dyDescent="0.25">
      <c r="A144" s="35"/>
      <c r="B144" s="35"/>
      <c r="C144" s="36"/>
      <c r="D144" s="36"/>
      <c r="E144" s="36"/>
      <c r="F144" s="36"/>
      <c r="G144" s="36"/>
      <c r="H144" s="36"/>
      <c r="I144" s="35"/>
    </row>
    <row r="145" spans="1:9" ht="12.5" x14ac:dyDescent="0.25">
      <c r="A145" s="35"/>
      <c r="B145" s="35"/>
      <c r="C145" s="36"/>
      <c r="D145" s="36"/>
      <c r="E145" s="36"/>
      <c r="F145" s="36"/>
      <c r="G145" s="36"/>
      <c r="H145" s="36"/>
      <c r="I145" s="35"/>
    </row>
    <row r="146" spans="1:9" ht="12.5" x14ac:dyDescent="0.25">
      <c r="A146" s="35"/>
      <c r="B146" s="35"/>
      <c r="C146" s="36"/>
      <c r="D146" s="36"/>
      <c r="E146" s="36"/>
      <c r="F146" s="36"/>
      <c r="G146" s="36"/>
      <c r="H146" s="36"/>
      <c r="I146" s="35"/>
    </row>
    <row r="147" spans="1:9" ht="12.5" x14ac:dyDescent="0.25">
      <c r="A147" s="35"/>
      <c r="B147" s="35"/>
      <c r="C147" s="36"/>
      <c r="D147" s="36"/>
      <c r="E147" s="36"/>
      <c r="F147" s="36"/>
      <c r="G147" s="36"/>
      <c r="H147" s="36"/>
      <c r="I147" s="35"/>
    </row>
    <row r="148" spans="1:9" ht="12.5" x14ac:dyDescent="0.25">
      <c r="A148" s="35"/>
      <c r="B148" s="35"/>
      <c r="C148" s="36"/>
      <c r="D148" s="36"/>
      <c r="E148" s="36"/>
      <c r="F148" s="36"/>
      <c r="G148" s="36"/>
      <c r="H148" s="36"/>
      <c r="I148" s="35"/>
    </row>
    <row r="149" spans="1:9" ht="12.5" x14ac:dyDescent="0.25">
      <c r="A149" s="35"/>
      <c r="B149" s="35"/>
      <c r="C149" s="36"/>
      <c r="D149" s="36"/>
      <c r="E149" s="36"/>
      <c r="F149" s="36"/>
      <c r="G149" s="36"/>
      <c r="H149" s="36"/>
      <c r="I149" s="35"/>
    </row>
    <row r="150" spans="1:9" ht="12.5" x14ac:dyDescent="0.25">
      <c r="A150" s="35"/>
      <c r="B150" s="35"/>
      <c r="C150" s="36"/>
      <c r="D150" s="36"/>
      <c r="E150" s="36"/>
      <c r="F150" s="36"/>
      <c r="G150" s="36"/>
      <c r="H150" s="36"/>
      <c r="I150" s="35"/>
    </row>
    <row r="151" spans="1:9" ht="12.5" x14ac:dyDescent="0.25">
      <c r="A151" s="35"/>
      <c r="B151" s="35"/>
      <c r="C151" s="36"/>
      <c r="D151" s="36"/>
      <c r="E151" s="36"/>
      <c r="F151" s="36"/>
      <c r="G151" s="36"/>
      <c r="H151" s="36"/>
      <c r="I151" s="35"/>
    </row>
    <row r="152" spans="1:9" ht="12.5" x14ac:dyDescent="0.25">
      <c r="A152" s="35"/>
      <c r="B152" s="35"/>
      <c r="C152" s="36"/>
      <c r="D152" s="36"/>
      <c r="E152" s="36"/>
      <c r="F152" s="36"/>
      <c r="G152" s="36"/>
      <c r="H152" s="36"/>
      <c r="I152" s="35"/>
    </row>
    <row r="153" spans="1:9" ht="12.5" x14ac:dyDescent="0.25">
      <c r="A153" s="35"/>
      <c r="B153" s="35"/>
      <c r="C153" s="36"/>
      <c r="D153" s="36"/>
      <c r="E153" s="36"/>
      <c r="F153" s="36"/>
      <c r="G153" s="36"/>
      <c r="H153" s="36"/>
      <c r="I153" s="35"/>
    </row>
    <row r="154" spans="1:9" ht="12.5" x14ac:dyDescent="0.25">
      <c r="A154" s="35"/>
      <c r="B154" s="35"/>
      <c r="C154" s="36"/>
      <c r="D154" s="36"/>
      <c r="E154" s="36"/>
      <c r="F154" s="36"/>
      <c r="G154" s="36"/>
      <c r="H154" s="36"/>
      <c r="I154" s="35"/>
    </row>
    <row r="155" spans="1:9" ht="12.5" x14ac:dyDescent="0.25">
      <c r="A155" s="35"/>
      <c r="B155" s="35"/>
      <c r="C155" s="36"/>
      <c r="D155" s="36"/>
      <c r="E155" s="36"/>
      <c r="F155" s="36"/>
      <c r="G155" s="36"/>
      <c r="H155" s="36"/>
      <c r="I155" s="35"/>
    </row>
    <row r="156" spans="1:9" ht="12.5" x14ac:dyDescent="0.25">
      <c r="A156" s="35"/>
      <c r="B156" s="35"/>
      <c r="C156" s="36"/>
      <c r="D156" s="36"/>
      <c r="E156" s="36"/>
      <c r="F156" s="36"/>
      <c r="G156" s="36"/>
      <c r="H156" s="36"/>
      <c r="I156" s="35"/>
    </row>
    <row r="157" spans="1:9" ht="12.5" x14ac:dyDescent="0.25">
      <c r="A157" s="35"/>
      <c r="B157" s="35"/>
      <c r="C157" s="36"/>
      <c r="D157" s="36"/>
      <c r="E157" s="36"/>
      <c r="F157" s="36"/>
      <c r="G157" s="36"/>
      <c r="H157" s="36"/>
      <c r="I157" s="35"/>
    </row>
    <row r="158" spans="1:9" ht="12.5" x14ac:dyDescent="0.25">
      <c r="A158" s="35"/>
      <c r="B158" s="35"/>
      <c r="C158" s="36"/>
      <c r="D158" s="36"/>
      <c r="E158" s="36"/>
      <c r="F158" s="36"/>
      <c r="G158" s="36"/>
      <c r="H158" s="36"/>
      <c r="I158" s="35"/>
    </row>
    <row r="159" spans="1:9" ht="12.5" x14ac:dyDescent="0.25">
      <c r="A159" s="35"/>
      <c r="B159" s="35"/>
      <c r="C159" s="36"/>
      <c r="D159" s="36"/>
      <c r="E159" s="36"/>
      <c r="F159" s="36"/>
      <c r="G159" s="36"/>
      <c r="H159" s="36"/>
      <c r="I159" s="35"/>
    </row>
    <row r="160" spans="1:9" ht="12.5" x14ac:dyDescent="0.25">
      <c r="A160" s="35"/>
      <c r="B160" s="35"/>
      <c r="C160" s="36"/>
      <c r="D160" s="36"/>
      <c r="E160" s="36"/>
      <c r="F160" s="36"/>
      <c r="G160" s="36"/>
      <c r="H160" s="36"/>
      <c r="I160" s="35"/>
    </row>
    <row r="161" spans="1:9" ht="12.5" x14ac:dyDescent="0.25">
      <c r="A161" s="35"/>
      <c r="B161" s="35"/>
      <c r="C161" s="36"/>
      <c r="D161" s="36"/>
      <c r="E161" s="36"/>
      <c r="F161" s="36"/>
      <c r="G161" s="36"/>
      <c r="H161" s="36"/>
      <c r="I161" s="35"/>
    </row>
    <row r="162" spans="1:9" ht="12.5" x14ac:dyDescent="0.25">
      <c r="A162" s="35"/>
      <c r="B162" s="35"/>
      <c r="C162" s="36"/>
      <c r="D162" s="36"/>
      <c r="E162" s="36"/>
      <c r="F162" s="36"/>
      <c r="G162" s="36"/>
      <c r="H162" s="36"/>
      <c r="I162" s="35"/>
    </row>
    <row r="163" spans="1:9" ht="12.5" x14ac:dyDescent="0.25">
      <c r="A163" s="35"/>
      <c r="B163" s="35"/>
      <c r="C163" s="36"/>
      <c r="D163" s="36"/>
      <c r="E163" s="36"/>
      <c r="F163" s="36"/>
      <c r="G163" s="36"/>
      <c r="H163" s="36"/>
      <c r="I163" s="35"/>
    </row>
    <row r="164" spans="1:9" ht="12.5" x14ac:dyDescent="0.25">
      <c r="A164" s="35"/>
      <c r="B164" s="35"/>
      <c r="C164" s="36"/>
      <c r="D164" s="36"/>
      <c r="E164" s="36"/>
      <c r="F164" s="36"/>
      <c r="G164" s="36"/>
      <c r="H164" s="36"/>
      <c r="I164" s="35"/>
    </row>
    <row r="165" spans="1:9" ht="12.5" x14ac:dyDescent="0.25">
      <c r="A165" s="35"/>
      <c r="B165" s="35"/>
      <c r="C165" s="36"/>
      <c r="D165" s="36"/>
      <c r="E165" s="36"/>
      <c r="F165" s="36"/>
      <c r="G165" s="36"/>
      <c r="H165" s="36"/>
      <c r="I165" s="35"/>
    </row>
    <row r="166" spans="1:9" ht="12.5" x14ac:dyDescent="0.25">
      <c r="A166" s="35"/>
      <c r="B166" s="35"/>
      <c r="C166" s="36"/>
      <c r="D166" s="36"/>
      <c r="E166" s="36"/>
      <c r="F166" s="36"/>
      <c r="G166" s="36"/>
      <c r="H166" s="36"/>
      <c r="I166" s="35"/>
    </row>
    <row r="167" spans="1:9" ht="12.5" x14ac:dyDescent="0.25">
      <c r="A167" s="35"/>
      <c r="B167" s="35"/>
      <c r="C167" s="36"/>
      <c r="D167" s="36"/>
      <c r="E167" s="36"/>
      <c r="F167" s="36"/>
      <c r="G167" s="36"/>
      <c r="H167" s="36"/>
      <c r="I167" s="35"/>
    </row>
    <row r="168" spans="1:9" ht="12.5" x14ac:dyDescent="0.25">
      <c r="A168" s="35"/>
      <c r="B168" s="35"/>
      <c r="C168" s="36"/>
      <c r="D168" s="36"/>
      <c r="E168" s="36"/>
      <c r="F168" s="36"/>
      <c r="G168" s="36"/>
      <c r="H168" s="36"/>
      <c r="I168" s="35"/>
    </row>
    <row r="169" spans="1:9" ht="12.5" x14ac:dyDescent="0.25">
      <c r="A169" s="35"/>
      <c r="B169" s="35"/>
      <c r="C169" s="36"/>
      <c r="D169" s="36"/>
      <c r="E169" s="36"/>
      <c r="F169" s="36"/>
      <c r="G169" s="36"/>
      <c r="H169" s="36"/>
      <c r="I169" s="35"/>
    </row>
    <row r="170" spans="1:9" ht="12.5" x14ac:dyDescent="0.25">
      <c r="A170" s="35"/>
      <c r="B170" s="35"/>
      <c r="C170" s="36"/>
      <c r="D170" s="36"/>
      <c r="E170" s="36"/>
      <c r="F170" s="36"/>
      <c r="G170" s="36"/>
      <c r="H170" s="36"/>
      <c r="I170" s="35"/>
    </row>
    <row r="171" spans="1:9" ht="12.5" x14ac:dyDescent="0.25">
      <c r="A171" s="35"/>
      <c r="B171" s="35"/>
      <c r="C171" s="36"/>
      <c r="D171" s="36"/>
      <c r="E171" s="36"/>
      <c r="F171" s="36"/>
      <c r="G171" s="36"/>
      <c r="H171" s="36"/>
      <c r="I171" s="35"/>
    </row>
    <row r="172" spans="1:9" ht="12.5" x14ac:dyDescent="0.25">
      <c r="A172" s="35"/>
      <c r="B172" s="35"/>
      <c r="C172" s="36"/>
      <c r="D172" s="36"/>
      <c r="E172" s="36"/>
      <c r="F172" s="36"/>
      <c r="G172" s="36"/>
      <c r="H172" s="36"/>
      <c r="I172" s="35"/>
    </row>
    <row r="173" spans="1:9" ht="12.5" x14ac:dyDescent="0.25">
      <c r="A173" s="35"/>
      <c r="B173" s="35"/>
      <c r="C173" s="36"/>
      <c r="D173" s="36"/>
      <c r="E173" s="36"/>
      <c r="F173" s="36"/>
      <c r="G173" s="36"/>
      <c r="H173" s="36"/>
      <c r="I173" s="35"/>
    </row>
    <row r="174" spans="1:9" ht="12.5" x14ac:dyDescent="0.25">
      <c r="A174" s="35"/>
      <c r="B174" s="35"/>
      <c r="C174" s="36"/>
      <c r="D174" s="36"/>
      <c r="E174" s="36"/>
      <c r="F174" s="36"/>
      <c r="G174" s="36"/>
      <c r="H174" s="36"/>
      <c r="I174" s="35"/>
    </row>
    <row r="175" spans="1:9" ht="12.5" x14ac:dyDescent="0.25">
      <c r="A175" s="35"/>
      <c r="B175" s="35"/>
      <c r="C175" s="36"/>
      <c r="D175" s="36"/>
      <c r="E175" s="36"/>
      <c r="F175" s="36"/>
      <c r="G175" s="36"/>
      <c r="H175" s="36"/>
      <c r="I175" s="35"/>
    </row>
    <row r="176" spans="1:9" ht="12.5" x14ac:dyDescent="0.25">
      <c r="A176" s="35"/>
      <c r="B176" s="35"/>
      <c r="C176" s="36"/>
      <c r="D176" s="36"/>
      <c r="E176" s="36"/>
      <c r="F176" s="36"/>
      <c r="G176" s="36"/>
      <c r="H176" s="36"/>
      <c r="I176" s="35"/>
    </row>
    <row r="177" spans="1:9" ht="12.5" x14ac:dyDescent="0.25">
      <c r="A177" s="35"/>
      <c r="B177" s="35"/>
      <c r="C177" s="36"/>
      <c r="D177" s="36"/>
      <c r="E177" s="36"/>
      <c r="F177" s="36"/>
      <c r="G177" s="36"/>
      <c r="H177" s="36"/>
      <c r="I177" s="35"/>
    </row>
    <row r="178" spans="1:9" ht="12.5" x14ac:dyDescent="0.25">
      <c r="A178" s="35"/>
      <c r="B178" s="35"/>
      <c r="C178" s="36"/>
      <c r="D178" s="36"/>
      <c r="E178" s="36"/>
      <c r="F178" s="36"/>
      <c r="G178" s="36"/>
      <c r="H178" s="36"/>
      <c r="I178" s="35"/>
    </row>
    <row r="179" spans="1:9" ht="12.5" x14ac:dyDescent="0.25">
      <c r="A179" s="35"/>
      <c r="B179" s="35"/>
      <c r="C179" s="36"/>
      <c r="D179" s="36"/>
      <c r="E179" s="36"/>
      <c r="F179" s="36"/>
      <c r="G179" s="36"/>
      <c r="H179" s="36"/>
      <c r="I179" s="35"/>
    </row>
    <row r="180" spans="1:9" ht="12.5" x14ac:dyDescent="0.25">
      <c r="A180" s="35"/>
      <c r="B180" s="35"/>
      <c r="C180" s="36"/>
      <c r="D180" s="36"/>
      <c r="E180" s="36"/>
      <c r="F180" s="36"/>
      <c r="G180" s="36"/>
      <c r="H180" s="36"/>
      <c r="I180" s="35"/>
    </row>
    <row r="181" spans="1:9" ht="12.5" x14ac:dyDescent="0.25">
      <c r="A181" s="35"/>
      <c r="B181" s="35"/>
      <c r="C181" s="36"/>
      <c r="D181" s="36"/>
      <c r="E181" s="36"/>
      <c r="F181" s="36"/>
      <c r="G181" s="36"/>
      <c r="H181" s="36"/>
      <c r="I181" s="35"/>
    </row>
    <row r="182" spans="1:9" ht="12.5" x14ac:dyDescent="0.25">
      <c r="A182" s="35"/>
      <c r="B182" s="35"/>
      <c r="C182" s="36"/>
      <c r="D182" s="36"/>
      <c r="E182" s="36"/>
      <c r="F182" s="36"/>
      <c r="G182" s="36"/>
      <c r="H182" s="36"/>
      <c r="I182" s="35"/>
    </row>
    <row r="183" spans="1:9" ht="12.5" x14ac:dyDescent="0.25">
      <c r="A183" s="35"/>
      <c r="B183" s="35"/>
      <c r="C183" s="36"/>
      <c r="D183" s="36"/>
      <c r="E183" s="36"/>
      <c r="F183" s="36"/>
      <c r="G183" s="36"/>
      <c r="H183" s="36"/>
      <c r="I183" s="35"/>
    </row>
    <row r="184" spans="1:9" ht="12.5" x14ac:dyDescent="0.25">
      <c r="A184" s="35"/>
      <c r="B184" s="35"/>
      <c r="C184" s="36"/>
      <c r="D184" s="36"/>
      <c r="E184" s="36"/>
      <c r="F184" s="36"/>
      <c r="G184" s="36"/>
      <c r="H184" s="36"/>
      <c r="I184" s="35"/>
    </row>
    <row r="185" spans="1:9" ht="12.5" x14ac:dyDescent="0.25">
      <c r="A185" s="35"/>
      <c r="B185" s="35"/>
      <c r="C185" s="36"/>
      <c r="D185" s="36"/>
      <c r="E185" s="36"/>
      <c r="F185" s="36"/>
      <c r="G185" s="36"/>
      <c r="H185" s="36"/>
      <c r="I185" s="35"/>
    </row>
    <row r="186" spans="1:9" ht="12.5" x14ac:dyDescent="0.25">
      <c r="A186" s="35"/>
      <c r="B186" s="35"/>
      <c r="C186" s="36"/>
      <c r="D186" s="36"/>
      <c r="E186" s="36"/>
      <c r="F186" s="36"/>
      <c r="G186" s="36"/>
      <c r="H186" s="36"/>
      <c r="I186" s="35"/>
    </row>
    <row r="187" spans="1:9" ht="12.5" x14ac:dyDescent="0.25">
      <c r="A187" s="35"/>
      <c r="B187" s="35"/>
      <c r="C187" s="36"/>
      <c r="D187" s="36"/>
      <c r="E187" s="36"/>
      <c r="F187" s="36"/>
      <c r="G187" s="36"/>
      <c r="H187" s="36"/>
      <c r="I187" s="35"/>
    </row>
    <row r="188" spans="1:9" ht="12.5" x14ac:dyDescent="0.25">
      <c r="A188" s="35"/>
      <c r="B188" s="35"/>
      <c r="C188" s="36"/>
      <c r="D188" s="36"/>
      <c r="E188" s="36"/>
      <c r="F188" s="36"/>
      <c r="G188" s="36"/>
      <c r="H188" s="36"/>
      <c r="I188" s="35"/>
    </row>
    <row r="189" spans="1:9" ht="12.5" x14ac:dyDescent="0.25">
      <c r="A189" s="35"/>
      <c r="B189" s="35"/>
      <c r="C189" s="36"/>
      <c r="D189" s="36"/>
      <c r="E189" s="36"/>
      <c r="F189" s="36"/>
      <c r="G189" s="36"/>
      <c r="H189" s="36"/>
      <c r="I189" s="35"/>
    </row>
    <row r="190" spans="1:9" ht="12.5" x14ac:dyDescent="0.25">
      <c r="A190" s="35"/>
      <c r="B190" s="35"/>
      <c r="C190" s="36"/>
      <c r="D190" s="36"/>
      <c r="E190" s="36"/>
      <c r="F190" s="36"/>
      <c r="G190" s="36"/>
      <c r="H190" s="36"/>
      <c r="I190" s="35"/>
    </row>
    <row r="191" spans="1:9" ht="12.5" x14ac:dyDescent="0.25">
      <c r="A191" s="35"/>
      <c r="B191" s="35"/>
      <c r="C191" s="36"/>
      <c r="D191" s="36"/>
      <c r="E191" s="36"/>
      <c r="F191" s="36"/>
      <c r="G191" s="36"/>
      <c r="H191" s="36"/>
      <c r="I191" s="35"/>
    </row>
    <row r="192" spans="1:9" ht="12.5" x14ac:dyDescent="0.25">
      <c r="A192" s="35"/>
      <c r="B192" s="35"/>
      <c r="C192" s="36"/>
      <c r="D192" s="36"/>
      <c r="E192" s="36"/>
      <c r="F192" s="36"/>
      <c r="G192" s="36"/>
      <c r="H192" s="36"/>
      <c r="I192" s="35"/>
    </row>
    <row r="193" spans="1:9" ht="12.5" x14ac:dyDescent="0.25">
      <c r="A193" s="35"/>
      <c r="B193" s="35"/>
      <c r="C193" s="36"/>
      <c r="D193" s="36"/>
      <c r="E193" s="36"/>
      <c r="F193" s="36"/>
      <c r="G193" s="36"/>
      <c r="H193" s="36"/>
      <c r="I193" s="35"/>
    </row>
    <row r="194" spans="1:9" ht="12.5" x14ac:dyDescent="0.25">
      <c r="A194" s="35"/>
      <c r="B194" s="35"/>
      <c r="C194" s="36"/>
      <c r="D194" s="36"/>
      <c r="E194" s="36"/>
      <c r="F194" s="36"/>
      <c r="G194" s="36"/>
      <c r="H194" s="36"/>
      <c r="I194" s="35"/>
    </row>
    <row r="195" spans="1:9" ht="12.5" x14ac:dyDescent="0.25">
      <c r="A195" s="35"/>
      <c r="B195" s="35"/>
      <c r="C195" s="36"/>
      <c r="D195" s="36"/>
      <c r="E195" s="36"/>
      <c r="F195" s="36"/>
      <c r="G195" s="36"/>
      <c r="H195" s="36"/>
      <c r="I195" s="35"/>
    </row>
    <row r="196" spans="1:9" ht="12.5" x14ac:dyDescent="0.25">
      <c r="A196" s="35"/>
      <c r="B196" s="35"/>
      <c r="C196" s="36"/>
      <c r="D196" s="36"/>
      <c r="E196" s="36"/>
      <c r="F196" s="36"/>
      <c r="G196" s="36"/>
      <c r="H196" s="36"/>
      <c r="I196" s="35"/>
    </row>
    <row r="197" spans="1:9" ht="12.5" x14ac:dyDescent="0.25">
      <c r="A197" s="35"/>
      <c r="B197" s="35"/>
      <c r="C197" s="36"/>
      <c r="D197" s="36"/>
      <c r="E197" s="36"/>
      <c r="F197" s="36"/>
      <c r="G197" s="36"/>
      <c r="H197" s="36"/>
      <c r="I197" s="35"/>
    </row>
    <row r="198" spans="1:9" ht="12.5" x14ac:dyDescent="0.25">
      <c r="A198" s="35"/>
      <c r="B198" s="35"/>
      <c r="C198" s="36"/>
      <c r="D198" s="36"/>
      <c r="E198" s="36"/>
      <c r="F198" s="36"/>
      <c r="G198" s="36"/>
      <c r="H198" s="36"/>
      <c r="I198" s="35"/>
    </row>
    <row r="199" spans="1:9" ht="12.5" x14ac:dyDescent="0.25">
      <c r="A199" s="35"/>
      <c r="B199" s="35"/>
      <c r="C199" s="36"/>
      <c r="D199" s="36"/>
      <c r="E199" s="36"/>
      <c r="F199" s="36"/>
      <c r="G199" s="36"/>
      <c r="H199" s="36"/>
      <c r="I199" s="35"/>
    </row>
    <row r="200" spans="1:9" ht="12.5" x14ac:dyDescent="0.25">
      <c r="A200" s="35"/>
      <c r="B200" s="35"/>
      <c r="C200" s="36"/>
      <c r="D200" s="36"/>
      <c r="E200" s="36"/>
      <c r="F200" s="36"/>
      <c r="G200" s="36"/>
      <c r="H200" s="36"/>
      <c r="I200" s="35"/>
    </row>
    <row r="201" spans="1:9" ht="12.5" x14ac:dyDescent="0.25">
      <c r="A201" s="35"/>
      <c r="B201" s="35"/>
      <c r="C201" s="36"/>
      <c r="D201" s="36"/>
      <c r="E201" s="36"/>
      <c r="F201" s="36"/>
      <c r="G201" s="36"/>
      <c r="H201" s="36"/>
      <c r="I201" s="35"/>
    </row>
    <row r="202" spans="1:9" ht="12.5" x14ac:dyDescent="0.25">
      <c r="A202" s="35"/>
      <c r="B202" s="35"/>
      <c r="C202" s="36"/>
      <c r="D202" s="36"/>
      <c r="E202" s="36"/>
      <c r="F202" s="36"/>
      <c r="G202" s="36"/>
      <c r="H202" s="36"/>
      <c r="I202" s="35"/>
    </row>
    <row r="203" spans="1:9" ht="12.5" x14ac:dyDescent="0.25">
      <c r="A203" s="35"/>
      <c r="B203" s="35"/>
      <c r="C203" s="36"/>
      <c r="D203" s="36"/>
      <c r="E203" s="36"/>
      <c r="F203" s="36"/>
      <c r="G203" s="36"/>
      <c r="H203" s="36"/>
      <c r="I203" s="35"/>
    </row>
  </sheetData>
  <mergeCells count="3">
    <mergeCell ref="A8:B8"/>
    <mergeCell ref="C8:E8"/>
    <mergeCell ref="A1:C2"/>
  </mergeCells>
  <printOptions horizontalCentered="1" verticalCentered="1" gridLinesSet="0"/>
  <pageMargins left="0.25" right="0.25" top="0.75" bottom="0.75" header="0.3" footer="0.3"/>
  <pageSetup scale="91" orientation="portrait" horizontalDpi="1200" verticalDpi="12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CD723A023D42241BFC1035E312C38F5" ma:contentTypeVersion="10" ma:contentTypeDescription="Create a new document." ma:contentTypeScope="" ma:versionID="20da22587e6314af94705a04b60a5cc3">
  <xsd:schema xmlns:xsd="http://www.w3.org/2001/XMLSchema" xmlns:xs="http://www.w3.org/2001/XMLSchema" xmlns:p="http://schemas.microsoft.com/office/2006/metadata/properties" xmlns:ns2="c7717190-492d-453d-96f7-8c5bd03c0ea6" xmlns:ns3="cca64dc4-44b9-4b72-9334-0a6cfc06f1dc" targetNamespace="http://schemas.microsoft.com/office/2006/metadata/properties" ma:root="true" ma:fieldsID="0dd3cabb8c45a0606655911753f80e6c" ns2:_="" ns3:_="">
    <xsd:import namespace="c7717190-492d-453d-96f7-8c5bd03c0ea6"/>
    <xsd:import namespace="cca64dc4-44b9-4b72-9334-0a6cfc06f1d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717190-492d-453d-96f7-8c5bd03c0e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ca64dc4-44b9-4b72-9334-0a6cfc06f1d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B2B9B22-1CF4-43AE-AA11-8ABBB115413C}">
  <ds:schemaRefs>
    <ds:schemaRef ds:uri="http://schemas.microsoft.com/sharepoint/v3/contenttype/forms"/>
  </ds:schemaRefs>
</ds:datastoreItem>
</file>

<file path=customXml/itemProps2.xml><?xml version="1.0" encoding="utf-8"?>
<ds:datastoreItem xmlns:ds="http://schemas.openxmlformats.org/officeDocument/2006/customXml" ds:itemID="{A2C3D8C5-ECAE-4FC4-8E9D-E29D54A12C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717190-492d-453d-96f7-8c5bd03c0ea6"/>
    <ds:schemaRef ds:uri="cca64dc4-44b9-4b72-9334-0a6cfc06f1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9E9F7A-4643-4470-99C5-ACDE78299AB4}">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68</vt:i4>
      </vt:variant>
    </vt:vector>
  </HeadingPairs>
  <TitlesOfParts>
    <vt:vector size="104" baseType="lpstr">
      <vt:lpstr>Instructions</vt:lpstr>
      <vt:lpstr>CLIN Structure</vt:lpstr>
      <vt:lpstr>Summary</vt:lpstr>
      <vt:lpstr>Div1</vt:lpstr>
      <vt:lpstr>Div2</vt:lpstr>
      <vt:lpstr>Div3</vt:lpstr>
      <vt:lpstr>Div4</vt:lpstr>
      <vt:lpstr>Div5</vt:lpstr>
      <vt:lpstr>Div6</vt:lpstr>
      <vt:lpstr>Div7</vt:lpstr>
      <vt:lpstr>Div8</vt:lpstr>
      <vt:lpstr>Div9</vt:lpstr>
      <vt:lpstr>Div10</vt:lpstr>
      <vt:lpstr>Div11</vt:lpstr>
      <vt:lpstr>Div12</vt:lpstr>
      <vt:lpstr>Div13</vt:lpstr>
      <vt:lpstr>Div14</vt:lpstr>
      <vt:lpstr>Div21</vt:lpstr>
      <vt:lpstr>Div22</vt:lpstr>
      <vt:lpstr>Div23</vt:lpstr>
      <vt:lpstr>Div25</vt:lpstr>
      <vt:lpstr>Div26</vt:lpstr>
      <vt:lpstr>Div27</vt:lpstr>
      <vt:lpstr>Div28</vt:lpstr>
      <vt:lpstr>Div31</vt:lpstr>
      <vt:lpstr>Div32</vt:lpstr>
      <vt:lpstr>Div33</vt:lpstr>
      <vt:lpstr>Div34</vt:lpstr>
      <vt:lpstr>Div35</vt:lpstr>
      <vt:lpstr>Div40</vt:lpstr>
      <vt:lpstr>Div41</vt:lpstr>
      <vt:lpstr>Div42</vt:lpstr>
      <vt:lpstr>Div43</vt:lpstr>
      <vt:lpstr>Div44</vt:lpstr>
      <vt:lpstr>Div45</vt:lpstr>
      <vt:lpstr>Div48</vt:lpstr>
      <vt:lpstr>'Div1'!Print_Area</vt:lpstr>
      <vt:lpstr>'Div10'!Print_Area</vt:lpstr>
      <vt:lpstr>'Div11'!Print_Area</vt:lpstr>
      <vt:lpstr>'Div12'!Print_Area</vt:lpstr>
      <vt:lpstr>'Div13'!Print_Area</vt:lpstr>
      <vt:lpstr>'Div14'!Print_Area</vt:lpstr>
      <vt:lpstr>'Div2'!Print_Area</vt:lpstr>
      <vt:lpstr>'Div21'!Print_Area</vt:lpstr>
      <vt:lpstr>'Div22'!Print_Area</vt:lpstr>
      <vt:lpstr>'Div23'!Print_Area</vt:lpstr>
      <vt:lpstr>'Div25'!Print_Area</vt:lpstr>
      <vt:lpstr>'Div26'!Print_Area</vt:lpstr>
      <vt:lpstr>'Div27'!Print_Area</vt:lpstr>
      <vt:lpstr>'Div28'!Print_Area</vt:lpstr>
      <vt:lpstr>'Div3'!Print_Area</vt:lpstr>
      <vt:lpstr>'Div31'!Print_Area</vt:lpstr>
      <vt:lpstr>'Div32'!Print_Area</vt:lpstr>
      <vt:lpstr>'Div33'!Print_Area</vt:lpstr>
      <vt:lpstr>'Div34'!Print_Area</vt:lpstr>
      <vt:lpstr>'Div35'!Print_Area</vt:lpstr>
      <vt:lpstr>'Div4'!Print_Area</vt:lpstr>
      <vt:lpstr>'Div40'!Print_Area</vt:lpstr>
      <vt:lpstr>'Div41'!Print_Area</vt:lpstr>
      <vt:lpstr>'Div42'!Print_Area</vt:lpstr>
      <vt:lpstr>'Div43'!Print_Area</vt:lpstr>
      <vt:lpstr>'Div44'!Print_Area</vt:lpstr>
      <vt:lpstr>'Div45'!Print_Area</vt:lpstr>
      <vt:lpstr>'Div48'!Print_Area</vt:lpstr>
      <vt:lpstr>'Div5'!Print_Area</vt:lpstr>
      <vt:lpstr>'Div6'!Print_Area</vt:lpstr>
      <vt:lpstr>'Div7'!Print_Area</vt:lpstr>
      <vt:lpstr>'Div9'!Print_Area</vt:lpstr>
      <vt:lpstr>Instructions!Print_Area</vt:lpstr>
      <vt:lpstr>Summary!Print_Area</vt:lpstr>
      <vt:lpstr>'Div1'!Print_Titles</vt:lpstr>
      <vt:lpstr>'Div10'!Print_Titles</vt:lpstr>
      <vt:lpstr>'Div11'!Print_Titles</vt:lpstr>
      <vt:lpstr>'Div12'!Print_Titles</vt:lpstr>
      <vt:lpstr>'Div13'!Print_Titles</vt:lpstr>
      <vt:lpstr>'Div14'!Print_Titles</vt:lpstr>
      <vt:lpstr>'Div2'!Print_Titles</vt:lpstr>
      <vt:lpstr>'Div21'!Print_Titles</vt:lpstr>
      <vt:lpstr>'Div22'!Print_Titles</vt:lpstr>
      <vt:lpstr>'Div23'!Print_Titles</vt:lpstr>
      <vt:lpstr>'Div25'!Print_Titles</vt:lpstr>
      <vt:lpstr>'Div26'!Print_Titles</vt:lpstr>
      <vt:lpstr>'Div27'!Print_Titles</vt:lpstr>
      <vt:lpstr>'Div28'!Print_Titles</vt:lpstr>
      <vt:lpstr>'Div3'!Print_Titles</vt:lpstr>
      <vt:lpstr>'Div31'!Print_Titles</vt:lpstr>
      <vt:lpstr>'Div32'!Print_Titles</vt:lpstr>
      <vt:lpstr>'Div33'!Print_Titles</vt:lpstr>
      <vt:lpstr>'Div34'!Print_Titles</vt:lpstr>
      <vt:lpstr>'Div35'!Print_Titles</vt:lpstr>
      <vt:lpstr>'Div4'!Print_Titles</vt:lpstr>
      <vt:lpstr>'Div40'!Print_Titles</vt:lpstr>
      <vt:lpstr>'Div41'!Print_Titles</vt:lpstr>
      <vt:lpstr>'Div42'!Print_Titles</vt:lpstr>
      <vt:lpstr>'Div43'!Print_Titles</vt:lpstr>
      <vt:lpstr>'Div44'!Print_Titles</vt:lpstr>
      <vt:lpstr>'Div45'!Print_Titles</vt:lpstr>
      <vt:lpstr>'Div48'!Print_Titles</vt:lpstr>
      <vt:lpstr>'Div5'!Print_Titles</vt:lpstr>
      <vt:lpstr>'Div6'!Print_Titles</vt:lpstr>
      <vt:lpstr>'Div7'!Print_Titles</vt:lpstr>
      <vt:lpstr>'Div8'!Print_Titles</vt:lpstr>
      <vt:lpstr>'Div9'!Print_Titles</vt:lpstr>
      <vt:lpstr>Summary!Print_Titles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EGL CST EST TEMPLATE</dc:title>
  <dc:subject/>
  <dc:creator>IT</dc:creator>
  <cp:keywords/>
  <dc:description/>
  <cp:lastModifiedBy>ARREDONDO, FRANCISCO A CIV USAF AFMC AFTC/PZIOA</cp:lastModifiedBy>
  <cp:revision/>
  <dcterms:created xsi:type="dcterms:W3CDTF">2009-03-11T21:05:22Z</dcterms:created>
  <dcterms:modified xsi:type="dcterms:W3CDTF">2025-06-04T19:22:46Z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0x0101005CD723A023D42241BFC1035E312C38F5</vt:lpwstr>
  </property>
</Properties>
</file>