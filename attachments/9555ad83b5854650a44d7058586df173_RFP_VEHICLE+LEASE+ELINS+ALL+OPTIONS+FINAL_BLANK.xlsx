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alice_g_ofeciar_civ_us_navy_mil/Documents/_CON2a_FSC/WON 1850367_Commercial Vehicle Lease/01 - Purchase Request/"/>
    </mc:Choice>
  </mc:AlternateContent>
  <bookViews>
    <workbookView xWindow="0" yWindow="2520" windowWidth="15240" windowHeight="6750"/>
  </bookViews>
  <sheets>
    <sheet name="CLIN" sheetId="1" r:id="rId1"/>
    <sheet name="EXHIBIT A" sheetId="2" r:id="rId2"/>
    <sheet name="EXHIBIT B" sheetId="3" r:id="rId3"/>
    <sheet name="EXHIBIT C" sheetId="4" r:id="rId4"/>
    <sheet name="EXHIBIT D" sheetId="5" r:id="rId5"/>
    <sheet name="EXHIBIT E" sheetId="6" r:id="rId6"/>
    <sheet name="EXHIBIT F" sheetId="8" r:id="rId7"/>
    <sheet name="EXHIBIT G" sheetId="9" r:id="rId8"/>
  </sheets>
  <calcPr calcId="162913"/>
  <customWorkbookViews>
    <customWorkbookView name="Castaneda, Robert C CIV USN NAVFAC - Personal View" guid="{2D404EF0-4242-4E21-9E14-302FC000D517}" mergeInterval="0" personalView="1" maximized="1" xWindow="2869" yWindow="-11" windowWidth="2902" windowHeight="1570" activeSheetId="7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1" i="1" l="1"/>
  <c r="C42" i="9" l="1"/>
  <c r="C37" i="9"/>
  <c r="E37" i="9" s="1"/>
  <c r="C32" i="9"/>
  <c r="C27" i="9"/>
  <c r="C22" i="9"/>
  <c r="C17" i="9"/>
  <c r="E17" i="9" s="1"/>
  <c r="E42" i="9"/>
  <c r="E32" i="9"/>
  <c r="E27" i="9"/>
  <c r="E22" i="9"/>
  <c r="E47" i="9" l="1"/>
  <c r="C42" i="2"/>
  <c r="C37" i="2"/>
  <c r="C32" i="2"/>
  <c r="C27" i="2"/>
  <c r="C17" i="2"/>
  <c r="E42" i="2" l="1"/>
  <c r="E37" i="2"/>
  <c r="E32" i="2"/>
  <c r="E27" i="2"/>
  <c r="E22" i="2"/>
  <c r="E17" i="2"/>
  <c r="E42" i="8" l="1"/>
  <c r="E37" i="8"/>
  <c r="E32" i="8"/>
  <c r="E27" i="8"/>
  <c r="E22" i="8"/>
  <c r="E17" i="8"/>
  <c r="E47" i="8" l="1"/>
  <c r="E42" i="4" l="1"/>
  <c r="E37" i="4"/>
  <c r="E32" i="4"/>
  <c r="E27" i="4"/>
  <c r="E22" i="4"/>
  <c r="E17" i="4"/>
  <c r="E47" i="4" l="1"/>
  <c r="E42" i="3"/>
  <c r="E37" i="3"/>
  <c r="E17" i="3" l="1"/>
  <c r="E32" i="3"/>
  <c r="E37" i="5" l="1"/>
  <c r="E37" i="6"/>
  <c r="E42" i="5"/>
  <c r="E42" i="6"/>
  <c r="E47" i="2"/>
  <c r="E27" i="3"/>
  <c r="E27" i="5" l="1"/>
  <c r="E27" i="6"/>
  <c r="E22" i="3"/>
  <c r="E47" i="3" s="1"/>
  <c r="E22" i="6"/>
  <c r="E32" i="5" l="1"/>
  <c r="E32" i="6"/>
  <c r="E17" i="5"/>
  <c r="E17" i="6"/>
  <c r="E22" i="5"/>
  <c r="E47" i="6" l="1"/>
  <c r="E47" i="5"/>
</calcChain>
</file>

<file path=xl/sharedStrings.xml><?xml version="1.0" encoding="utf-8"?>
<sst xmlns="http://schemas.openxmlformats.org/spreadsheetml/2006/main" count="401" uniqueCount="173">
  <si>
    <t>CLIN 0001</t>
  </si>
  <si>
    <t xml:space="preserve"> </t>
  </si>
  <si>
    <t>A001</t>
  </si>
  <si>
    <t>Total Amount for Base Period</t>
  </si>
  <si>
    <t>A002</t>
  </si>
  <si>
    <t>A003</t>
  </si>
  <si>
    <t>EXHIBIT C</t>
  </si>
  <si>
    <t>ITEM NO</t>
  </si>
  <si>
    <t>UNIT PRICE</t>
  </si>
  <si>
    <t>AMOUNT</t>
  </si>
  <si>
    <t>EXHIBIT A</t>
  </si>
  <si>
    <t>ESTIMATED</t>
  </si>
  <si>
    <t>0001</t>
  </si>
  <si>
    <t>Vehicle Lease IDIQ - Base Period</t>
  </si>
  <si>
    <t>FOB: Destination</t>
  </si>
  <si>
    <t>Option</t>
  </si>
  <si>
    <t>MAX 
QUANTITY</t>
  </si>
  <si>
    <t>ESTIMATED 
AMOUNT</t>
  </si>
  <si>
    <t>UNIT 
PRICE</t>
  </si>
  <si>
    <t xml:space="preserve">UNIT
</t>
  </si>
  <si>
    <t xml:space="preserve">SUPPLIES/SERVICES
</t>
  </si>
  <si>
    <t xml:space="preserve">ITEM NO
</t>
  </si>
  <si>
    <t>BASE PERIOD</t>
  </si>
  <si>
    <t>See EXHIBIT A</t>
  </si>
  <si>
    <t>SCHEDULE OF WORK - BASE PERIOD</t>
  </si>
  <si>
    <t xml:space="preserve">SCHEDULE OF INDEFINITE QUANTITY ITEMS </t>
  </si>
  <si>
    <t>A004</t>
  </si>
  <si>
    <t>See EXHIBIT C</t>
  </si>
  <si>
    <t>See EXHIBIT B</t>
  </si>
  <si>
    <t>B001</t>
  </si>
  <si>
    <t>B002</t>
  </si>
  <si>
    <t>B003</t>
  </si>
  <si>
    <t>B004</t>
  </si>
  <si>
    <t>EXHIBIT B</t>
  </si>
  <si>
    <t xml:space="preserve">Price to perform work in accordance with all the terms of this contract.  </t>
  </si>
  <si>
    <t>QTY</t>
  </si>
  <si>
    <t>C003</t>
  </si>
  <si>
    <t>FIRST OPTION PERIOD</t>
  </si>
  <si>
    <t>A005</t>
  </si>
  <si>
    <t>B005</t>
  </si>
  <si>
    <t>C005</t>
  </si>
  <si>
    <t>TOTAL EST.</t>
  </si>
  <si>
    <t>Mini Van</t>
  </si>
  <si>
    <t>A006</t>
  </si>
  <si>
    <t>Van, 15 Passenger</t>
  </si>
  <si>
    <t>V8 engine, Automatic Transmission, Keyless entry system, Power Door Lock and Power Windows can be operated and controlled by the driver of the vehicle</t>
  </si>
  <si>
    <t>Pickup Truck, 4 Doors</t>
  </si>
  <si>
    <t>B006</t>
  </si>
  <si>
    <t>TOTAL PRICE FOR CONTRACT LINE ITEM  NO. A001 TO A006</t>
  </si>
  <si>
    <t>The contract price is the sum of Contract Subline Items A001 through A006.</t>
  </si>
  <si>
    <t>TOTAL PRICE FOR CONTRACT LINE ITEM  NO. B001 TO B006</t>
  </si>
  <si>
    <t>The contract price is the sum of Contract Subline Items B001 through B006.</t>
  </si>
  <si>
    <t>The contract price is the sum of Contract Subline Items C001 through C006.</t>
  </si>
  <si>
    <t>SUPPLIES / SERVICES</t>
  </si>
  <si>
    <t>See EXHIBIT D</t>
  </si>
  <si>
    <t>See EXHIBIT E</t>
  </si>
  <si>
    <t>EXHIBIT D</t>
  </si>
  <si>
    <t>EXHIBIT E</t>
  </si>
  <si>
    <t>D001</t>
  </si>
  <si>
    <t>D002</t>
  </si>
  <si>
    <t>D003</t>
  </si>
  <si>
    <t>D004</t>
  </si>
  <si>
    <t>D005</t>
  </si>
  <si>
    <t>D006</t>
  </si>
  <si>
    <t>THIRD OPTION PERIOD</t>
  </si>
  <si>
    <t>FOURTH OPTION PERIOD</t>
  </si>
  <si>
    <t>TOTAL PRICE FOR CONTRACT LINE ITEM  NO. D001 TO D006</t>
  </si>
  <si>
    <t>The contract price is the sum of Contract Subline Items D001 through D006.</t>
  </si>
  <si>
    <t>The contract price is the sum of Contract Subline Items E001 through E006.</t>
  </si>
  <si>
    <t>E001</t>
  </si>
  <si>
    <t>E002</t>
  </si>
  <si>
    <t>E003</t>
  </si>
  <si>
    <t>E004</t>
  </si>
  <si>
    <t>E005</t>
  </si>
  <si>
    <t>E006</t>
  </si>
  <si>
    <t>TOTAL PRICE FOR CONTRACT LINE ITEM  NO. E001 TO E006</t>
  </si>
  <si>
    <t>Estimated QTY: 10 Sedans X 12 MOS = 120</t>
  </si>
  <si>
    <t>0002</t>
  </si>
  <si>
    <t>0003</t>
  </si>
  <si>
    <t>0004</t>
  </si>
  <si>
    <t>0005</t>
  </si>
  <si>
    <t>SCHEDULE OF WORK - FIRST OPTION PERIOD</t>
  </si>
  <si>
    <t>SCHEDULE OF WORK - SECOND OPTION PERIOD</t>
  </si>
  <si>
    <t>SCHEDULE OF WORK - THIRD OPTION PERIOD</t>
  </si>
  <si>
    <t>SCHEDULE OF WORK - FOURTH OPTION PERIOD</t>
  </si>
  <si>
    <t>Vehicle Lease IDIQ - First Option Period</t>
  </si>
  <si>
    <t>Vehicle Lease IDIQ - Second Option Period</t>
  </si>
  <si>
    <t>Vehicle Lease IDIQ - Third Option Period</t>
  </si>
  <si>
    <t>Vehicle Lease IDIQ - Fourth Option Period</t>
  </si>
  <si>
    <t>Estimated QTY: 14 SUVs X 12 MOS = 168</t>
  </si>
  <si>
    <t>Second Option Period</t>
  </si>
  <si>
    <t>CLIN 0002</t>
  </si>
  <si>
    <t>CLIN 0004</t>
  </si>
  <si>
    <t>CLIN 0003</t>
  </si>
  <si>
    <t>CLIN 0005</t>
  </si>
  <si>
    <t xml:space="preserve">Commercial Vehicle Lease </t>
  </si>
  <si>
    <t xml:space="preserve">CLIN 0001 Base Period </t>
  </si>
  <si>
    <t xml:space="preserve">CLIN 0002 First Option Period </t>
  </si>
  <si>
    <t xml:space="preserve">CLIN 0003 Second Option Period </t>
  </si>
  <si>
    <t xml:space="preserve">CLIN 0004 Third Option Period </t>
  </si>
  <si>
    <t xml:space="preserve">CLIN 0005 Fourth Option Period </t>
  </si>
  <si>
    <t>TOTAL BASE PERIOD</t>
  </si>
  <si>
    <t>TOTAL FIRST OPTION PERIOD</t>
  </si>
  <si>
    <t>TOTAL SECOND OPTION PERIOD</t>
  </si>
  <si>
    <t>TOTAL FOURTH OPTION PERIOD</t>
  </si>
  <si>
    <t>TOTAL THIRD OPTION PERIOD</t>
  </si>
  <si>
    <t>C001</t>
  </si>
  <si>
    <t>C002</t>
  </si>
  <si>
    <t>C004</t>
  </si>
  <si>
    <t>C006</t>
  </si>
  <si>
    <t>TOTAL PRICE FOR CONTRACT LINE ITEM  NO C001 TO C006</t>
  </si>
  <si>
    <t>Sport Utility Vehicle - Suv</t>
  </si>
  <si>
    <t>Estimated QTY: 12 VAN X 12 MOS = 144</t>
  </si>
  <si>
    <t>Estimated QTY: 7 PICKUP X 12 MOS = 84</t>
  </si>
  <si>
    <t>Estimated QTY: 9 VAN X 12 MOS = 108</t>
  </si>
  <si>
    <t>TOTAL EXTENSION OPTION PERIOD</t>
  </si>
  <si>
    <t>See EXHIBIT F</t>
  </si>
  <si>
    <t>0006</t>
  </si>
  <si>
    <t>1 Apr 2026 through 31 Mar 2027</t>
  </si>
  <si>
    <t>1 Apr 2027 through 31 Mar 2028</t>
  </si>
  <si>
    <t>1 Apr 2028 through 31 Mar 2029</t>
  </si>
  <si>
    <t>1 Apr 2029 through 31 Mar 2030</t>
  </si>
  <si>
    <t>1 Apr 2030 through 31 Mar 2031</t>
  </si>
  <si>
    <t>Vehicle Lease IDIQ - Fifth Option Period</t>
  </si>
  <si>
    <t>The contract price is the sum of Contract Subline Items F001 through F006.</t>
  </si>
  <si>
    <t>F001</t>
  </si>
  <si>
    <t>F002</t>
  </si>
  <si>
    <t>F003</t>
  </si>
  <si>
    <t>F004</t>
  </si>
  <si>
    <t>F005</t>
  </si>
  <si>
    <t>F006</t>
  </si>
  <si>
    <t>TOTAL PRICE FOR CONTRACT LINE ITEM  NO. F001 TO F006</t>
  </si>
  <si>
    <t>SCHEDULE OF WORK - FIFTH OPTION PERIOD</t>
  </si>
  <si>
    <t>EXHIBIT F</t>
  </si>
  <si>
    <t xml:space="preserve">CLIN 0006 Fifth Option Period </t>
  </si>
  <si>
    <t>FIFTH OPTION PERIOD</t>
  </si>
  <si>
    <t>CLIN 0006</t>
  </si>
  <si>
    <t>Estimated QTY: 14 SUVs X 6 MOS = 84</t>
  </si>
  <si>
    <t>Estimated QTY: 10 Sedans X 6 MOS = 60</t>
  </si>
  <si>
    <t>Estimated QTY: 12 VAN X 6 MOS = 72</t>
  </si>
  <si>
    <t>Estimated QTY: 7 PICKUP X 6 MOS = 42</t>
  </si>
  <si>
    <t>Estimated QTY: 9 VAN X 6 MOS = 54</t>
  </si>
  <si>
    <t>CLIN 0007 Option to Extend Services</t>
  </si>
  <si>
    <t>1 Apr 2031 through 30 September 2031</t>
  </si>
  <si>
    <t>PAGE  7   OF  7</t>
  </si>
  <si>
    <t>G001</t>
  </si>
  <si>
    <t>G002</t>
  </si>
  <si>
    <t>G003</t>
  </si>
  <si>
    <t>G004</t>
  </si>
  <si>
    <t>G005</t>
  </si>
  <si>
    <t>G006</t>
  </si>
  <si>
    <t>EXHIBIT G</t>
  </si>
  <si>
    <t>CLIN 0007</t>
  </si>
  <si>
    <t>PAGE  1   OF  7</t>
  </si>
  <si>
    <t>PAGE  2   OF  7</t>
  </si>
  <si>
    <t>PAGE  3   OF  7</t>
  </si>
  <si>
    <t>PAGE  4   OF  7</t>
  </si>
  <si>
    <t>PAGE  5   OF  7</t>
  </si>
  <si>
    <t>PAGE  6   OF  7</t>
  </si>
  <si>
    <t>OPTION TO EXTEND SERVICES</t>
  </si>
  <si>
    <t>TOTAL PRICE FOR CONTRACT LINE ITEM  NO. G001 TO G006</t>
  </si>
  <si>
    <t>0007</t>
  </si>
  <si>
    <t>Vehicle Lease IDIQ - Option to Extend Services</t>
  </si>
  <si>
    <t>See EXHIBIT G</t>
  </si>
  <si>
    <t>TOTAL FIFTH OPTION PERIOD</t>
  </si>
  <si>
    <t>15 Sep 2025 through 31 Mar 2026</t>
  </si>
  <si>
    <t>V6 engine, 7 Passenger, 4 X 4, Automatic Transmission, Keyless entry system, Power Door Lock and Power Windows can be operated and controlled by the driver of the vehicle</t>
  </si>
  <si>
    <t>V6 or V8 engine, 4 Passenger, 4 Doors, Automatic Transmission, Keyless entry system, Power Door Lock and Power Windows can be operated and controlled by the driver of the vehicle</t>
  </si>
  <si>
    <t>V6 engine, 7 passenger, Automatic Transmission, Keyless entry system, Power Door Lock and Power Windows can be operated and controlled by the driver of the vehicle</t>
  </si>
  <si>
    <t>V6 or V8 engine, Automatic Transmission, Keyless entry system, Power Door Lock and Power Windows can be operated and controlled by the driver of the vehicle</t>
  </si>
  <si>
    <t>V6 or V8 engine, 4 X 4, Automatic Transmission, Keyless entry system, Power Door Lock and Power Windows can be operated and controlled by the driver of the vehicle</t>
  </si>
  <si>
    <t>Mid-size Sedans</t>
  </si>
  <si>
    <t>Contract No. N40192-25-R-9003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</si>
</sst>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$&quot;#,##0.00_);\(&quot;$&quot;#,##0.00\)"/>
    <numFmt numFmtId="44" formatCode="_(&quot;$&quot;* #,##0.00_);_(&quot;$&quot;* \(#,##0.00\);_(&quot;$&quot;* &quot;-&quot;??_);_(@_)"/>
  </numFmts>
  <fonts count="17" x14ac:knownFonts="1">
    <font>
      <sz val="10"/>
      <name val="Arial"/>
    </font>
    <font>
      <sz val="10"/>
      <name val="Arial"/>
      <family val="2"/>
    </font>
    <font>
      <b/>
      <sz val="10"/>
      <name val="Times New Roman"/>
      <family val="1"/>
    </font>
    <font>
      <sz val="12"/>
      <name val="Helv"/>
    </font>
    <font>
      <sz val="10"/>
      <name val="Times New Roman"/>
      <family val="1"/>
    </font>
    <font>
      <sz val="8"/>
      <name val="Arial"/>
      <family val="2"/>
    </font>
    <font>
      <u val="singleAccounting"/>
      <sz val="10"/>
      <name val="Times New Roman"/>
      <family val="1"/>
    </font>
    <font>
      <sz val="10"/>
      <name val="Arial"/>
      <family val="2"/>
    </font>
    <font>
      <i/>
      <sz val="10"/>
      <name val="Arial"/>
      <family val="2"/>
    </font>
    <font>
      <b/>
      <u val="singleAccounting"/>
      <sz val="10"/>
      <name val="Times New Roman"/>
      <family val="1"/>
    </font>
    <font>
      <b/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u val="singleAccounting"/>
      <sz val="11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3" fillId="0" borderId="0"/>
    <xf numFmtId="0" fontId="1" fillId="0" borderId="0"/>
    <xf numFmtId="44" fontId="1" fillId="0" borderId="0" applyFont="0" applyFill="0" applyBorder="0" applyAlignment="0" applyProtection="0"/>
  </cellStyleXfs>
  <cellXfs count="110">
    <xf numFmtId="0" fontId="0" fillId="0" borderId="0" xfId="0"/>
    <xf numFmtId="0" fontId="4" fillId="0" borderId="0" xfId="2" applyFont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4" fillId="0" borderId="0" xfId="2" applyFont="1" applyBorder="1"/>
    <xf numFmtId="0" fontId="2" fillId="0" borderId="2" xfId="2" applyFont="1" applyBorder="1"/>
    <xf numFmtId="0" fontId="4" fillId="0" borderId="3" xfId="2" applyFont="1" applyBorder="1"/>
    <xf numFmtId="44" fontId="4" fillId="0" borderId="0" xfId="1" applyFont="1"/>
    <xf numFmtId="0" fontId="2" fillId="0" borderId="0" xfId="2" applyFont="1" applyBorder="1"/>
    <xf numFmtId="0" fontId="4" fillId="0" borderId="4" xfId="2" applyFont="1" applyBorder="1"/>
    <xf numFmtId="0" fontId="4" fillId="0" borderId="5" xfId="2" applyFont="1" applyBorder="1"/>
    <xf numFmtId="0" fontId="2" fillId="0" borderId="5" xfId="2" applyFont="1" applyBorder="1"/>
    <xf numFmtId="7" fontId="4" fillId="0" borderId="3" xfId="2" applyNumberFormat="1" applyFont="1" applyBorder="1" applyProtection="1"/>
    <xf numFmtId="0" fontId="4" fillId="0" borderId="0" xfId="0" applyFont="1" applyAlignment="1">
      <alignment horizontal="center"/>
    </xf>
    <xf numFmtId="49" fontId="4" fillId="0" borderId="0" xfId="0" applyNumberFormat="1" applyFont="1"/>
    <xf numFmtId="0" fontId="4" fillId="0" borderId="0" xfId="0" applyFont="1"/>
    <xf numFmtId="0" fontId="4" fillId="0" borderId="6" xfId="2" applyFont="1" applyBorder="1"/>
    <xf numFmtId="0" fontId="4" fillId="0" borderId="8" xfId="2" applyFont="1" applyBorder="1"/>
    <xf numFmtId="0" fontId="4" fillId="0" borderId="8" xfId="2" applyFont="1" applyBorder="1" applyAlignment="1">
      <alignment horizontal="center"/>
    </xf>
    <xf numFmtId="0" fontId="2" fillId="0" borderId="8" xfId="2" applyFont="1" applyBorder="1" applyAlignment="1">
      <alignment horizontal="center"/>
    </xf>
    <xf numFmtId="0" fontId="0" fillId="0" borderId="1" xfId="0" applyBorder="1"/>
    <xf numFmtId="0" fontId="4" fillId="0" borderId="0" xfId="2" applyFont="1" applyBorder="1" applyAlignment="1"/>
    <xf numFmtId="0" fontId="4" fillId="0" borderId="8" xfId="2" quotePrefix="1" applyFont="1" applyBorder="1" applyAlignment="1">
      <alignment horizontal="center"/>
    </xf>
    <xf numFmtId="0" fontId="2" fillId="0" borderId="8" xfId="2" quotePrefix="1" applyFont="1" applyBorder="1" applyAlignment="1">
      <alignment horizontal="center"/>
    </xf>
    <xf numFmtId="0" fontId="0" fillId="0" borderId="5" xfId="0" applyBorder="1"/>
    <xf numFmtId="0" fontId="4" fillId="0" borderId="9" xfId="2" applyFont="1" applyBorder="1"/>
    <xf numFmtId="0" fontId="2" fillId="0" borderId="10" xfId="2" applyFont="1" applyBorder="1"/>
    <xf numFmtId="0" fontId="4" fillId="0" borderId="11" xfId="2" applyFont="1" applyBorder="1"/>
    <xf numFmtId="0" fontId="0" fillId="0" borderId="12" xfId="0" applyBorder="1"/>
    <xf numFmtId="0" fontId="4" fillId="0" borderId="0" xfId="2" applyFont="1" applyBorder="1" applyAlignment="1">
      <alignment horizontal="left" wrapText="1"/>
    </xf>
    <xf numFmtId="0" fontId="4" fillId="0" borderId="0" xfId="0" applyFont="1" applyBorder="1"/>
    <xf numFmtId="0" fontId="2" fillId="0" borderId="9" xfId="2" applyFont="1" applyBorder="1"/>
    <xf numFmtId="0" fontId="4" fillId="0" borderId="10" xfId="2" applyFont="1" applyBorder="1"/>
    <xf numFmtId="0" fontId="4" fillId="0" borderId="13" xfId="2" applyFont="1" applyBorder="1"/>
    <xf numFmtId="44" fontId="6" fillId="0" borderId="3" xfId="1" applyFont="1" applyBorder="1" applyProtection="1"/>
    <xf numFmtId="44" fontId="4" fillId="0" borderId="3" xfId="1" quotePrefix="1" applyFont="1" applyBorder="1" applyProtection="1"/>
    <xf numFmtId="0" fontId="4" fillId="0" borderId="14" xfId="1" applyNumberFormat="1" applyFont="1" applyBorder="1" applyAlignment="1">
      <alignment horizontal="center"/>
    </xf>
    <xf numFmtId="0" fontId="4" fillId="0" borderId="0" xfId="1" applyNumberFormat="1" applyFont="1" applyBorder="1" applyAlignment="1">
      <alignment horizontal="center"/>
    </xf>
    <xf numFmtId="0" fontId="4" fillId="0" borderId="5" xfId="1" applyNumberFormat="1" applyFont="1" applyBorder="1" applyAlignment="1">
      <alignment horizontal="center"/>
    </xf>
    <xf numFmtId="0" fontId="4" fillId="0" borderId="3" xfId="1" applyNumberFormat="1" applyFont="1" applyBorder="1" applyAlignment="1">
      <alignment horizontal="center"/>
    </xf>
    <xf numFmtId="0" fontId="4" fillId="0" borderId="3" xfId="1" applyNumberFormat="1" applyFont="1" applyBorder="1" applyAlignment="1" applyProtection="1">
      <alignment horizontal="center"/>
    </xf>
    <xf numFmtId="0" fontId="7" fillId="0" borderId="12" xfId="1" applyNumberFormat="1" applyFont="1" applyBorder="1" applyAlignment="1">
      <alignment horizontal="center"/>
    </xf>
    <xf numFmtId="0" fontId="7" fillId="0" borderId="0" xfId="1" applyNumberFormat="1" applyFont="1" applyAlignment="1">
      <alignment horizontal="center"/>
    </xf>
    <xf numFmtId="0" fontId="4" fillId="0" borderId="13" xfId="1" applyNumberFormat="1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0" borderId="12" xfId="2" applyFont="1" applyBorder="1" applyAlignment="1">
      <alignment horizontal="center"/>
    </xf>
    <xf numFmtId="0" fontId="8" fillId="0" borderId="0" xfId="0" applyFont="1"/>
    <xf numFmtId="44" fontId="4" fillId="0" borderId="0" xfId="0" applyNumberFormat="1" applyFont="1"/>
    <xf numFmtId="0" fontId="4" fillId="0" borderId="15" xfId="2" applyFont="1" applyBorder="1" applyAlignment="1">
      <alignment wrapText="1"/>
    </xf>
    <xf numFmtId="44" fontId="9" fillId="0" borderId="3" xfId="1" applyFont="1" applyBorder="1" applyProtection="1"/>
    <xf numFmtId="44" fontId="10" fillId="0" borderId="12" xfId="0" applyNumberFormat="1" applyFont="1" applyBorder="1"/>
    <xf numFmtId="0" fontId="2" fillId="0" borderId="3" xfId="1" applyNumberFormat="1" applyFont="1" applyBorder="1" applyAlignment="1" applyProtection="1">
      <alignment horizontal="center"/>
    </xf>
    <xf numFmtId="44" fontId="2" fillId="0" borderId="3" xfId="1" quotePrefix="1" applyFont="1" applyBorder="1" applyProtection="1"/>
    <xf numFmtId="0" fontId="2" fillId="0" borderId="14" xfId="1" applyNumberFormat="1" applyFont="1" applyBorder="1" applyAlignment="1">
      <alignment horizontal="center"/>
    </xf>
    <xf numFmtId="0" fontId="2" fillId="0" borderId="0" xfId="2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0" fontId="2" fillId="0" borderId="12" xfId="2" applyFont="1" applyBorder="1" applyAlignment="1">
      <alignment horizontal="center"/>
    </xf>
    <xf numFmtId="0" fontId="4" fillId="0" borderId="0" xfId="2" applyFont="1" applyBorder="1" applyAlignment="1">
      <alignment wrapText="1"/>
    </xf>
    <xf numFmtId="0" fontId="4" fillId="0" borderId="16" xfId="2" applyFont="1" applyBorder="1"/>
    <xf numFmtId="0" fontId="11" fillId="0" borderId="17" xfId="2" applyFont="1" applyBorder="1" applyAlignment="1">
      <alignment horizontal="center"/>
    </xf>
    <xf numFmtId="0" fontId="12" fillId="0" borderId="7" xfId="2" applyFont="1" applyBorder="1" applyAlignment="1">
      <alignment horizontal="center"/>
    </xf>
    <xf numFmtId="0" fontId="11" fillId="0" borderId="7" xfId="2" applyFont="1" applyBorder="1" applyAlignment="1">
      <alignment horizontal="center"/>
    </xf>
    <xf numFmtId="0" fontId="7" fillId="0" borderId="10" xfId="1" applyNumberFormat="1" applyFont="1" applyBorder="1" applyAlignment="1">
      <alignment horizontal="center"/>
    </xf>
    <xf numFmtId="0" fontId="2" fillId="2" borderId="0" xfId="2" applyFont="1" applyFill="1" applyBorder="1"/>
    <xf numFmtId="0" fontId="1" fillId="0" borderId="0" xfId="3"/>
    <xf numFmtId="0" fontId="1" fillId="0" borderId="1" xfId="3" applyBorder="1"/>
    <xf numFmtId="0" fontId="1" fillId="0" borderId="12" xfId="3" applyBorder="1"/>
    <xf numFmtId="0" fontId="1" fillId="0" borderId="5" xfId="3" applyBorder="1"/>
    <xf numFmtId="0" fontId="1" fillId="0" borderId="12" xfId="1" applyNumberFormat="1" applyFont="1" applyBorder="1" applyAlignment="1">
      <alignment horizontal="center"/>
    </xf>
    <xf numFmtId="44" fontId="10" fillId="0" borderId="12" xfId="3" applyNumberFormat="1" applyFont="1" applyBorder="1"/>
    <xf numFmtId="0" fontId="8" fillId="0" borderId="0" xfId="3" applyFont="1"/>
    <xf numFmtId="0" fontId="1" fillId="0" borderId="0" xfId="1" applyNumberFormat="1" applyFont="1" applyAlignment="1">
      <alignment horizontal="center"/>
    </xf>
    <xf numFmtId="0" fontId="1" fillId="0" borderId="0" xfId="0" applyFont="1"/>
    <xf numFmtId="49" fontId="13" fillId="0" borderId="0" xfId="0" applyNumberFormat="1" applyFont="1"/>
    <xf numFmtId="0" fontId="13" fillId="0" borderId="0" xfId="0" applyFont="1" applyBorder="1"/>
    <xf numFmtId="0" fontId="13" fillId="0" borderId="0" xfId="0" applyFont="1" applyBorder="1" applyAlignment="1">
      <alignment horizontal="center"/>
    </xf>
    <xf numFmtId="0" fontId="13" fillId="0" borderId="0" xfId="0" applyFont="1"/>
    <xf numFmtId="44" fontId="13" fillId="0" borderId="0" xfId="1" applyFont="1"/>
    <xf numFmtId="0" fontId="14" fillId="0" borderId="0" xfId="2" applyFont="1" applyBorder="1"/>
    <xf numFmtId="0" fontId="13" fillId="0" borderId="0" xfId="0" applyFont="1" applyAlignment="1">
      <alignment horizontal="center"/>
    </xf>
    <xf numFmtId="49" fontId="13" fillId="0" borderId="0" xfId="0" applyNumberFormat="1" applyFont="1" applyAlignment="1">
      <alignment horizontal="center" wrapText="1"/>
    </xf>
    <xf numFmtId="0" fontId="13" fillId="0" borderId="0" xfId="0" applyFont="1" applyAlignment="1">
      <alignment horizontal="center" wrapText="1"/>
    </xf>
    <xf numFmtId="44" fontId="13" fillId="0" borderId="0" xfId="1" applyFont="1" applyAlignment="1">
      <alignment horizontal="center" wrapText="1"/>
    </xf>
    <xf numFmtId="44" fontId="13" fillId="0" borderId="0" xfId="1" applyFont="1" applyAlignment="1">
      <alignment horizontal="right"/>
    </xf>
    <xf numFmtId="44" fontId="15" fillId="0" borderId="0" xfId="1" applyFont="1" applyBorder="1"/>
    <xf numFmtId="44" fontId="13" fillId="0" borderId="0" xfId="1" applyFont="1" applyBorder="1"/>
    <xf numFmtId="49" fontId="13" fillId="0" borderId="0" xfId="0" quotePrefix="1" applyNumberFormat="1" applyFont="1"/>
    <xf numFmtId="0" fontId="14" fillId="0" borderId="0" xfId="0" applyFont="1"/>
    <xf numFmtId="44" fontId="14" fillId="0" borderId="0" xfId="1" applyFont="1"/>
    <xf numFmtId="44" fontId="16" fillId="0" borderId="0" xfId="1" applyFont="1"/>
    <xf numFmtId="0" fontId="1" fillId="0" borderId="1" xfId="0" applyFont="1" applyBorder="1"/>
    <xf numFmtId="44" fontId="1" fillId="0" borderId="0" xfId="0" applyNumberFormat="1" applyFont="1"/>
    <xf numFmtId="0" fontId="1" fillId="0" borderId="0" xfId="0" applyNumberFormat="1" applyFont="1"/>
    <xf numFmtId="0" fontId="1" fillId="0" borderId="12" xfId="0" applyFont="1" applyBorder="1"/>
    <xf numFmtId="0" fontId="1" fillId="0" borderId="5" xfId="0" applyFont="1" applyBorder="1"/>
    <xf numFmtId="44" fontId="14" fillId="0" borderId="5" xfId="1" applyFont="1" applyBorder="1"/>
    <xf numFmtId="44" fontId="0" fillId="0" borderId="0" xfId="0" applyNumberFormat="1"/>
    <xf numFmtId="0" fontId="4" fillId="0" borderId="6" xfId="2" applyFont="1" applyFill="1" applyBorder="1"/>
    <xf numFmtId="0" fontId="0" fillId="0" borderId="1" xfId="0" applyFill="1" applyBorder="1"/>
    <xf numFmtId="0" fontId="4" fillId="0" borderId="11" xfId="2" applyFont="1" applyFill="1" applyBorder="1"/>
    <xf numFmtId="0" fontId="4" fillId="0" borderId="0" xfId="2" applyFont="1" applyFill="1" applyBorder="1"/>
    <xf numFmtId="0" fontId="4" fillId="0" borderId="5" xfId="2" applyFont="1" applyFill="1" applyBorder="1"/>
    <xf numFmtId="0" fontId="4" fillId="0" borderId="0" xfId="2" applyFont="1" applyFill="1" applyBorder="1" applyAlignment="1">
      <alignment horizontal="center"/>
    </xf>
    <xf numFmtId="0" fontId="4" fillId="0" borderId="13" xfId="2" applyFont="1" applyFill="1" applyBorder="1"/>
    <xf numFmtId="0" fontId="4" fillId="0" borderId="3" xfId="2" applyFont="1" applyFill="1" applyBorder="1"/>
    <xf numFmtId="44" fontId="6" fillId="0" borderId="3" xfId="1" applyFont="1" applyFill="1" applyBorder="1" applyProtection="1"/>
    <xf numFmtId="44" fontId="4" fillId="0" borderId="3" xfId="1" quotePrefix="1" applyFont="1" applyFill="1" applyBorder="1" applyProtection="1"/>
    <xf numFmtId="7" fontId="4" fillId="0" borderId="3" xfId="2" applyNumberFormat="1" applyFont="1" applyFill="1" applyBorder="1" applyProtection="1"/>
    <xf numFmtId="0" fontId="0" fillId="0" borderId="12" xfId="0" applyFill="1" applyBorder="1"/>
    <xf numFmtId="0" fontId="0" fillId="0" borderId="0" xfId="0" applyFill="1"/>
    <xf numFmtId="44" fontId="15" fillId="0" borderId="0" xfId="1" applyFont="1" applyFill="1" applyBorder="1"/>
  </cellXfs>
  <cellStyles count="5">
    <cellStyle name="Currency" xfId="1" builtinId="4"/>
    <cellStyle name="Currency 2" xfId="4"/>
    <cellStyle name="Normal" xfId="0" builtinId="0"/>
    <cellStyle name="Normal 2" xfId="3"/>
    <cellStyle name="Normal_336 9042" xfId="2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view="pageBreakPreview" zoomScale="60" zoomScaleNormal="110" workbookViewId="0">
      <selection activeCell="N12" sqref="N11:N12"/>
    </sheetView>
  </sheetViews>
  <sheetFormatPr defaultColWidth="9.140625" defaultRowHeight="12.75" x14ac:dyDescent="0.2"/>
  <cols>
    <col min="1" max="1" width="8.5703125" style="13" bestFit="1" customWidth="1"/>
    <col min="2" max="2" width="32.5703125" style="14" customWidth="1"/>
    <col min="3" max="3" width="14.5703125" style="12" bestFit="1" customWidth="1"/>
    <col min="4" max="4" width="8.140625" style="14" customWidth="1"/>
    <col min="5" max="5" width="21.140625" style="6" customWidth="1"/>
    <col min="6" max="6" width="17.85546875" style="6" bestFit="1" customWidth="1"/>
    <col min="7" max="7" width="10.7109375" style="14" bestFit="1" customWidth="1"/>
    <col min="8" max="16384" width="9.140625" style="14"/>
  </cols>
  <sheetData>
    <row r="1" spans="1:7" ht="15" x14ac:dyDescent="0.25">
      <c r="A1" s="72" t="s">
        <v>172</v>
      </c>
      <c r="B1" s="73"/>
      <c r="C1" s="74"/>
      <c r="D1" s="75"/>
      <c r="E1" s="76"/>
      <c r="F1" s="76"/>
    </row>
    <row r="2" spans="1:7" ht="15" x14ac:dyDescent="0.25">
      <c r="A2" s="72" t="s">
        <v>95</v>
      </c>
      <c r="B2" s="73"/>
      <c r="C2" s="74"/>
      <c r="D2" s="75"/>
      <c r="E2" s="76"/>
      <c r="F2" s="76"/>
    </row>
    <row r="3" spans="1:7" ht="15" x14ac:dyDescent="0.25">
      <c r="A3" s="77"/>
      <c r="B3" s="75"/>
      <c r="C3" s="78"/>
      <c r="D3" s="75"/>
      <c r="E3" s="76"/>
      <c r="F3" s="76"/>
    </row>
    <row r="4" spans="1:7" s="12" customFormat="1" ht="45" x14ac:dyDescent="0.25">
      <c r="A4" s="79" t="s">
        <v>21</v>
      </c>
      <c r="B4" s="80" t="s">
        <v>20</v>
      </c>
      <c r="C4" s="80" t="s">
        <v>16</v>
      </c>
      <c r="D4" s="80" t="s">
        <v>19</v>
      </c>
      <c r="E4" s="81" t="s">
        <v>18</v>
      </c>
      <c r="F4" s="81" t="s">
        <v>17</v>
      </c>
    </row>
    <row r="5" spans="1:7" ht="15" x14ac:dyDescent="0.25">
      <c r="A5" s="72"/>
      <c r="B5" s="75"/>
      <c r="C5" s="78"/>
      <c r="D5" s="75"/>
      <c r="E5" s="76"/>
      <c r="F5" s="76"/>
    </row>
    <row r="6" spans="1:7" ht="15" x14ac:dyDescent="0.25">
      <c r="A6" s="72" t="s">
        <v>12</v>
      </c>
      <c r="B6" s="75" t="s">
        <v>13</v>
      </c>
      <c r="C6" s="78"/>
      <c r="D6" s="75"/>
      <c r="E6" s="76"/>
      <c r="F6" s="76"/>
    </row>
    <row r="7" spans="1:7" ht="15" x14ac:dyDescent="0.25">
      <c r="A7" s="72"/>
      <c r="B7" s="75" t="s">
        <v>23</v>
      </c>
      <c r="C7" s="78"/>
      <c r="D7" s="75"/>
      <c r="E7" s="76"/>
      <c r="F7" s="76"/>
      <c r="G7" s="29"/>
    </row>
    <row r="8" spans="1:7" ht="17.25" x14ac:dyDescent="0.4">
      <c r="A8" s="72"/>
      <c r="B8" s="75" t="s">
        <v>14</v>
      </c>
      <c r="C8" s="75" t="s">
        <v>101</v>
      </c>
      <c r="D8" s="75"/>
      <c r="E8" s="82"/>
      <c r="F8" s="83">
        <v>0</v>
      </c>
      <c r="G8" s="29"/>
    </row>
    <row r="9" spans="1:7" ht="15" x14ac:dyDescent="0.25">
      <c r="A9" s="72"/>
      <c r="B9" s="75"/>
      <c r="C9" s="78"/>
      <c r="D9" s="75"/>
      <c r="E9" s="82"/>
      <c r="F9" s="84"/>
    </row>
    <row r="10" spans="1:7" ht="15" x14ac:dyDescent="0.25">
      <c r="A10" s="72"/>
      <c r="B10" s="75"/>
      <c r="C10" s="78"/>
      <c r="D10" s="75"/>
      <c r="E10" s="76"/>
      <c r="F10" s="84"/>
      <c r="G10" s="46"/>
    </row>
    <row r="11" spans="1:7" ht="15" x14ac:dyDescent="0.25">
      <c r="A11" s="85" t="s">
        <v>77</v>
      </c>
      <c r="B11" s="75" t="s">
        <v>85</v>
      </c>
      <c r="C11" s="78"/>
      <c r="D11" s="75"/>
      <c r="E11" s="76"/>
      <c r="F11" s="84"/>
      <c r="G11" s="29"/>
    </row>
    <row r="12" spans="1:7" ht="15" x14ac:dyDescent="0.25">
      <c r="A12" s="72" t="s">
        <v>15</v>
      </c>
      <c r="B12" s="72" t="s">
        <v>28</v>
      </c>
      <c r="C12" s="78"/>
      <c r="D12" s="75"/>
      <c r="E12" s="76"/>
      <c r="F12" s="84"/>
      <c r="G12" s="29"/>
    </row>
    <row r="13" spans="1:7" ht="17.25" x14ac:dyDescent="0.4">
      <c r="A13" s="72"/>
      <c r="B13" s="75" t="s">
        <v>14</v>
      </c>
      <c r="C13" s="75" t="s">
        <v>102</v>
      </c>
      <c r="D13" s="75"/>
      <c r="E13" s="82"/>
      <c r="F13" s="83">
        <v>0</v>
      </c>
      <c r="G13" s="29"/>
    </row>
    <row r="14" spans="1:7" ht="15" x14ac:dyDescent="0.25">
      <c r="A14" s="72"/>
      <c r="B14" s="75"/>
      <c r="C14" s="78"/>
      <c r="D14" s="75"/>
      <c r="E14" s="82"/>
      <c r="F14" s="84"/>
      <c r="G14" s="29"/>
    </row>
    <row r="15" spans="1:7" ht="15" x14ac:dyDescent="0.25">
      <c r="A15" s="72"/>
      <c r="B15" s="75"/>
      <c r="C15" s="78"/>
      <c r="D15" s="75"/>
      <c r="E15" s="76"/>
      <c r="F15" s="84"/>
      <c r="G15" s="29"/>
    </row>
    <row r="16" spans="1:7" ht="15" x14ac:dyDescent="0.25">
      <c r="A16" s="85" t="s">
        <v>78</v>
      </c>
      <c r="B16" s="75"/>
      <c r="C16" s="78"/>
      <c r="D16" s="75"/>
      <c r="E16" s="76"/>
      <c r="F16" s="84"/>
      <c r="G16" s="29"/>
    </row>
    <row r="17" spans="1:7" ht="15" x14ac:dyDescent="0.25">
      <c r="A17" s="72" t="s">
        <v>15</v>
      </c>
      <c r="B17" s="75" t="s">
        <v>86</v>
      </c>
      <c r="C17" s="78"/>
      <c r="D17" s="75"/>
      <c r="E17" s="76"/>
      <c r="F17" s="84"/>
      <c r="G17" s="29"/>
    </row>
    <row r="18" spans="1:7" ht="15" x14ac:dyDescent="0.25">
      <c r="A18" s="72"/>
      <c r="B18" s="75" t="s">
        <v>27</v>
      </c>
      <c r="C18" s="78"/>
      <c r="D18" s="75"/>
      <c r="E18" s="76"/>
      <c r="F18" s="84"/>
      <c r="G18" s="29"/>
    </row>
    <row r="19" spans="1:7" ht="17.25" x14ac:dyDescent="0.4">
      <c r="A19" s="72"/>
      <c r="B19" s="75" t="s">
        <v>14</v>
      </c>
      <c r="C19" s="75" t="s">
        <v>103</v>
      </c>
      <c r="D19" s="75"/>
      <c r="E19" s="82"/>
      <c r="F19" s="83">
        <v>0</v>
      </c>
      <c r="G19" s="29"/>
    </row>
    <row r="20" spans="1:7" ht="15" x14ac:dyDescent="0.25">
      <c r="A20" s="72"/>
      <c r="B20" s="75"/>
      <c r="C20" s="78"/>
      <c r="D20" s="75"/>
      <c r="E20" s="82"/>
      <c r="F20" s="84"/>
      <c r="G20" s="29"/>
    </row>
    <row r="21" spans="1:7" ht="15" x14ac:dyDescent="0.25">
      <c r="A21" s="72"/>
      <c r="B21" s="75"/>
      <c r="C21" s="78"/>
      <c r="D21" s="75"/>
      <c r="E21" s="82"/>
      <c r="F21" s="84"/>
    </row>
    <row r="22" spans="1:7" ht="15" x14ac:dyDescent="0.25">
      <c r="A22" s="85" t="s">
        <v>79</v>
      </c>
      <c r="B22" s="75" t="s">
        <v>87</v>
      </c>
      <c r="C22" s="78"/>
      <c r="D22" s="75"/>
      <c r="E22" s="82"/>
      <c r="F22" s="84"/>
    </row>
    <row r="23" spans="1:7" ht="15" x14ac:dyDescent="0.25">
      <c r="A23" s="72" t="s">
        <v>15</v>
      </c>
      <c r="B23" s="75" t="s">
        <v>54</v>
      </c>
      <c r="C23" s="78"/>
      <c r="D23" s="75"/>
      <c r="E23" s="82"/>
      <c r="F23" s="84"/>
    </row>
    <row r="24" spans="1:7" ht="17.25" x14ac:dyDescent="0.4">
      <c r="A24" s="72"/>
      <c r="B24" s="75" t="s">
        <v>14</v>
      </c>
      <c r="C24" s="75" t="s">
        <v>105</v>
      </c>
      <c r="D24" s="75"/>
      <c r="E24" s="82"/>
      <c r="F24" s="83">
        <v>0</v>
      </c>
    </row>
    <row r="25" spans="1:7" ht="15" x14ac:dyDescent="0.25">
      <c r="A25" s="72"/>
      <c r="B25" s="75"/>
      <c r="C25" s="78"/>
      <c r="D25" s="75"/>
      <c r="E25" s="82"/>
      <c r="F25" s="84"/>
    </row>
    <row r="26" spans="1:7" ht="15" x14ac:dyDescent="0.25">
      <c r="A26" s="72"/>
      <c r="B26" s="75"/>
      <c r="C26" s="78"/>
      <c r="D26" s="75"/>
      <c r="E26" s="82"/>
      <c r="F26" s="84"/>
    </row>
    <row r="27" spans="1:7" ht="15" x14ac:dyDescent="0.25">
      <c r="A27" s="85" t="s">
        <v>80</v>
      </c>
      <c r="B27" s="75" t="s">
        <v>88</v>
      </c>
      <c r="C27" s="78"/>
      <c r="D27" s="75"/>
      <c r="E27" s="82"/>
      <c r="F27" s="84"/>
    </row>
    <row r="28" spans="1:7" ht="15" x14ac:dyDescent="0.25">
      <c r="A28" s="72" t="s">
        <v>15</v>
      </c>
      <c r="B28" s="75" t="s">
        <v>55</v>
      </c>
      <c r="C28" s="78"/>
      <c r="D28" s="75"/>
      <c r="E28" s="82"/>
      <c r="F28" s="84"/>
    </row>
    <row r="29" spans="1:7" ht="17.25" x14ac:dyDescent="0.4">
      <c r="A29" s="72"/>
      <c r="B29" s="75" t="s">
        <v>14</v>
      </c>
      <c r="C29" s="75" t="s">
        <v>104</v>
      </c>
      <c r="D29" s="75"/>
      <c r="E29" s="82"/>
      <c r="F29" s="83">
        <v>0</v>
      </c>
    </row>
    <row r="30" spans="1:7" ht="15" x14ac:dyDescent="0.25">
      <c r="A30" s="72"/>
      <c r="B30" s="75"/>
      <c r="C30" s="78"/>
      <c r="D30" s="75"/>
      <c r="E30" s="82"/>
      <c r="F30" s="84"/>
    </row>
    <row r="31" spans="1:7" ht="15" x14ac:dyDescent="0.25">
      <c r="A31" s="72"/>
      <c r="B31" s="75"/>
      <c r="C31" s="78"/>
      <c r="D31" s="75"/>
      <c r="E31" s="82"/>
      <c r="F31" s="84"/>
    </row>
    <row r="32" spans="1:7" ht="15" x14ac:dyDescent="0.25">
      <c r="A32" s="85" t="s">
        <v>117</v>
      </c>
      <c r="B32" s="75" t="s">
        <v>123</v>
      </c>
      <c r="C32" s="78"/>
      <c r="D32" s="75"/>
      <c r="E32" s="82"/>
      <c r="F32" s="84"/>
    </row>
    <row r="33" spans="1:6" ht="15" x14ac:dyDescent="0.25">
      <c r="A33" s="72" t="s">
        <v>15</v>
      </c>
      <c r="B33" s="75" t="s">
        <v>116</v>
      </c>
      <c r="C33" s="78"/>
      <c r="D33" s="75"/>
      <c r="E33" s="82"/>
      <c r="F33" s="84"/>
    </row>
    <row r="34" spans="1:6" ht="17.25" x14ac:dyDescent="0.4">
      <c r="A34" s="72"/>
      <c r="B34" s="75" t="s">
        <v>14</v>
      </c>
      <c r="C34" s="75" t="s">
        <v>164</v>
      </c>
      <c r="D34" s="75"/>
      <c r="E34" s="82"/>
      <c r="F34" s="83">
        <v>0</v>
      </c>
    </row>
    <row r="35" spans="1:6" ht="17.25" x14ac:dyDescent="0.4">
      <c r="A35" s="72"/>
      <c r="B35" s="75"/>
      <c r="C35" s="75"/>
      <c r="D35" s="75"/>
      <c r="E35" s="82"/>
      <c r="F35" s="83"/>
    </row>
    <row r="36" spans="1:6" ht="17.25" x14ac:dyDescent="0.4">
      <c r="A36" s="72"/>
      <c r="B36" s="75"/>
      <c r="C36" s="75"/>
      <c r="D36" s="75"/>
      <c r="E36" s="82"/>
      <c r="F36" s="83"/>
    </row>
    <row r="37" spans="1:6" ht="15" x14ac:dyDescent="0.25">
      <c r="A37" s="85" t="s">
        <v>161</v>
      </c>
      <c r="B37" s="75" t="s">
        <v>162</v>
      </c>
      <c r="C37" s="78"/>
      <c r="D37" s="75"/>
      <c r="E37" s="82"/>
      <c r="F37" s="84"/>
    </row>
    <row r="38" spans="1:6" ht="15" x14ac:dyDescent="0.25">
      <c r="A38" s="72" t="s">
        <v>15</v>
      </c>
      <c r="B38" s="75" t="s">
        <v>163</v>
      </c>
      <c r="C38" s="78"/>
      <c r="D38" s="75"/>
      <c r="E38" s="82"/>
      <c r="F38" s="84"/>
    </row>
    <row r="39" spans="1:6" ht="17.25" x14ac:dyDescent="0.4">
      <c r="A39" s="72"/>
      <c r="B39" s="75" t="s">
        <v>14</v>
      </c>
      <c r="C39" s="75" t="s">
        <v>115</v>
      </c>
      <c r="D39" s="75"/>
      <c r="E39" s="82"/>
      <c r="F39" s="109">
        <v>0</v>
      </c>
    </row>
    <row r="40" spans="1:6" ht="15" x14ac:dyDescent="0.25">
      <c r="A40" s="72"/>
      <c r="B40" s="75"/>
      <c r="C40" s="78"/>
      <c r="D40" s="75"/>
      <c r="E40" s="76"/>
      <c r="F40" s="76"/>
    </row>
    <row r="41" spans="1:6" ht="15" x14ac:dyDescent="0.25">
      <c r="A41" s="72"/>
      <c r="B41" s="75"/>
      <c r="C41" s="78"/>
      <c r="D41" s="86" t="s">
        <v>41</v>
      </c>
      <c r="E41" s="87"/>
      <c r="F41" s="94">
        <f>SUM(F8:F40)</f>
        <v>0</v>
      </c>
    </row>
    <row r="42" spans="1:6" x14ac:dyDescent="0.2">
      <c r="F42" s="88"/>
    </row>
    <row r="43" spans="1:6" x14ac:dyDescent="0.2">
      <c r="F43" s="45"/>
    </row>
  </sheetData>
  <customSheetViews>
    <customSheetView guid="{2D404EF0-4242-4E21-9E14-302FC000D517}" topLeftCell="A19">
      <selection activeCell="F32" sqref="F32"/>
      <pageMargins left="0.5" right="0.5" top="1" bottom="1" header="0.5" footer="0.25"/>
      <printOptions horizontalCentered="1"/>
      <pageSetup scale="91" orientation="portrait" r:id="rId1"/>
      <headerFooter alignWithMargins="0">
        <oddFooter>&amp;A</oddFooter>
      </headerFooter>
    </customSheetView>
  </customSheetViews>
  <phoneticPr fontId="5" type="noConversion"/>
  <printOptions horizontalCentered="1"/>
  <pageMargins left="0.5" right="0.5" top="1" bottom="1" header="0.5" footer="0.25"/>
  <pageSetup scale="75" orientation="portrait" r:id="rId2"/>
  <headerFooter alignWithMargins="0">
    <oddFooter>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view="pageBreakPreview" zoomScale="60" zoomScaleNormal="130" workbookViewId="0">
      <selection activeCell="A2" sqref="A2"/>
    </sheetView>
  </sheetViews>
  <sheetFormatPr defaultColWidth="8.7109375" defaultRowHeight="12.75" x14ac:dyDescent="0.2"/>
  <cols>
    <col min="1" max="1" width="10.85546875" style="71" customWidth="1"/>
    <col min="2" max="2" width="66.140625" style="71" customWidth="1"/>
    <col min="3" max="3" width="12.140625" style="70" customWidth="1"/>
    <col min="4" max="4" width="13.28515625" style="71" customWidth="1"/>
    <col min="5" max="5" width="19.85546875" style="71" customWidth="1"/>
    <col min="6" max="6" width="8.7109375" style="71"/>
    <col min="7" max="11" width="10.140625" style="71" bestFit="1" customWidth="1"/>
    <col min="12" max="16384" width="8.7109375" style="71"/>
  </cols>
  <sheetData>
    <row r="1" spans="1:5" ht="16.5" customHeight="1" x14ac:dyDescent="0.2">
      <c r="A1" s="4" t="s">
        <v>172</v>
      </c>
      <c r="B1" s="8"/>
      <c r="C1" s="24"/>
      <c r="D1" s="15"/>
      <c r="E1" s="15"/>
    </row>
    <row r="2" spans="1:5" ht="17.25" customHeight="1" x14ac:dyDescent="0.2">
      <c r="A2" s="4" t="s">
        <v>10</v>
      </c>
      <c r="B2" s="1"/>
      <c r="C2" s="4"/>
      <c r="D2" s="89"/>
      <c r="E2" s="2" t="s">
        <v>153</v>
      </c>
    </row>
    <row r="3" spans="1:5" x14ac:dyDescent="0.2">
      <c r="A3" s="31"/>
      <c r="B3" s="26"/>
      <c r="C3" s="37"/>
      <c r="D3" s="26"/>
      <c r="E3" s="26"/>
    </row>
    <row r="4" spans="1:5" ht="17.25" customHeight="1" x14ac:dyDescent="0.2">
      <c r="A4" s="30" t="s">
        <v>96</v>
      </c>
      <c r="B4" s="8"/>
      <c r="C4" s="36"/>
      <c r="D4" s="3"/>
      <c r="E4" s="15"/>
    </row>
    <row r="5" spans="1:5" ht="6.75" customHeight="1" x14ac:dyDescent="0.2">
      <c r="A5" s="25"/>
      <c r="B5" s="10"/>
      <c r="C5" s="37"/>
      <c r="D5" s="9"/>
      <c r="E5" s="26"/>
    </row>
    <row r="6" spans="1:5" x14ac:dyDescent="0.2">
      <c r="A6" s="16"/>
      <c r="B6" s="57"/>
      <c r="C6" s="52" t="s">
        <v>11</v>
      </c>
      <c r="D6" s="53"/>
      <c r="E6" s="54" t="s">
        <v>11</v>
      </c>
    </row>
    <row r="7" spans="1:5" ht="15.75" customHeight="1" x14ac:dyDescent="0.25">
      <c r="A7" s="59" t="s">
        <v>7</v>
      </c>
      <c r="B7" s="58" t="s">
        <v>53</v>
      </c>
      <c r="C7" s="52" t="s">
        <v>35</v>
      </c>
      <c r="D7" s="53" t="s">
        <v>8</v>
      </c>
      <c r="E7" s="55" t="s">
        <v>9</v>
      </c>
    </row>
    <row r="8" spans="1:5" x14ac:dyDescent="0.2">
      <c r="A8" s="16"/>
      <c r="B8" s="7" t="s">
        <v>24</v>
      </c>
      <c r="C8" s="42"/>
      <c r="D8" s="32"/>
      <c r="E8" s="32"/>
    </row>
    <row r="9" spans="1:5" x14ac:dyDescent="0.2">
      <c r="A9" s="16"/>
      <c r="B9" s="7" t="s">
        <v>165</v>
      </c>
      <c r="C9" s="38"/>
      <c r="D9" s="5"/>
      <c r="E9" s="5"/>
    </row>
    <row r="10" spans="1:5" x14ac:dyDescent="0.2">
      <c r="A10" s="16"/>
      <c r="B10" s="3" t="s">
        <v>1</v>
      </c>
      <c r="C10" s="38"/>
      <c r="D10" s="5"/>
      <c r="E10" s="5"/>
    </row>
    <row r="11" spans="1:5" x14ac:dyDescent="0.2">
      <c r="A11" s="16"/>
      <c r="B11" s="7" t="s">
        <v>25</v>
      </c>
      <c r="C11" s="38"/>
      <c r="D11" s="5"/>
      <c r="E11" s="5"/>
    </row>
    <row r="12" spans="1:5" ht="12.75" customHeight="1" x14ac:dyDescent="0.2">
      <c r="A12" s="17"/>
      <c r="B12" s="47" t="s">
        <v>34</v>
      </c>
      <c r="C12" s="38"/>
      <c r="D12" s="5"/>
      <c r="E12" s="5"/>
    </row>
    <row r="13" spans="1:5" x14ac:dyDescent="0.2">
      <c r="A13" s="17"/>
      <c r="B13" s="28" t="s">
        <v>49</v>
      </c>
      <c r="C13" s="38"/>
      <c r="D13" s="5"/>
      <c r="E13" s="5"/>
    </row>
    <row r="14" spans="1:5" x14ac:dyDescent="0.2">
      <c r="A14" s="17"/>
      <c r="B14" s="7"/>
      <c r="C14" s="38"/>
      <c r="D14" s="5"/>
      <c r="E14" s="5"/>
    </row>
    <row r="15" spans="1:5" x14ac:dyDescent="0.2">
      <c r="A15" s="18" t="s">
        <v>0</v>
      </c>
      <c r="B15" s="7" t="s">
        <v>22</v>
      </c>
      <c r="C15" s="38"/>
      <c r="D15" s="5"/>
      <c r="E15" s="5"/>
    </row>
    <row r="16" spans="1:5" x14ac:dyDescent="0.2">
      <c r="A16" s="17"/>
      <c r="B16" s="7"/>
      <c r="C16" s="38"/>
      <c r="D16" s="5"/>
      <c r="E16" s="5"/>
    </row>
    <row r="17" spans="1:11" ht="15" x14ac:dyDescent="0.35">
      <c r="A17" s="17" t="s">
        <v>2</v>
      </c>
      <c r="B17" s="3" t="s">
        <v>111</v>
      </c>
      <c r="C17" s="50">
        <f>14*6</f>
        <v>84</v>
      </c>
      <c r="D17" s="33"/>
      <c r="E17" s="48">
        <f>SUM(D17*C17)</f>
        <v>0</v>
      </c>
      <c r="G17" s="90"/>
      <c r="H17" s="90"/>
      <c r="I17" s="91"/>
      <c r="J17" s="90"/>
      <c r="K17" s="90"/>
    </row>
    <row r="18" spans="1:11" ht="46.5" customHeight="1" x14ac:dyDescent="0.35">
      <c r="A18" s="17"/>
      <c r="B18" s="56" t="s">
        <v>166</v>
      </c>
      <c r="C18" s="50"/>
      <c r="D18" s="34"/>
      <c r="E18" s="48"/>
      <c r="G18" s="90"/>
      <c r="H18" s="90"/>
      <c r="I18" s="91"/>
      <c r="J18" s="90"/>
      <c r="K18" s="90"/>
    </row>
    <row r="19" spans="1:11" ht="15" x14ac:dyDescent="0.35">
      <c r="A19" s="17"/>
      <c r="B19" s="3" t="s">
        <v>3</v>
      </c>
      <c r="C19" s="50"/>
      <c r="D19" s="34"/>
      <c r="E19" s="48"/>
      <c r="G19" s="90"/>
      <c r="H19" s="90"/>
      <c r="I19" s="90"/>
      <c r="J19" s="90"/>
      <c r="K19" s="90"/>
    </row>
    <row r="20" spans="1:11" ht="15" x14ac:dyDescent="0.35">
      <c r="A20" s="17"/>
      <c r="B20" s="62" t="s">
        <v>137</v>
      </c>
      <c r="C20" s="50"/>
      <c r="D20" s="34"/>
      <c r="E20" s="48"/>
      <c r="G20" s="90"/>
      <c r="H20" s="90"/>
      <c r="I20" s="90"/>
      <c r="J20" s="90"/>
      <c r="K20" s="90"/>
    </row>
    <row r="21" spans="1:11" ht="15" x14ac:dyDescent="0.35">
      <c r="A21" s="17"/>
      <c r="B21" s="3"/>
      <c r="C21" s="50"/>
      <c r="D21" s="34"/>
      <c r="E21" s="48"/>
      <c r="G21" s="90"/>
      <c r="H21" s="90"/>
      <c r="I21" s="90"/>
      <c r="J21" s="90"/>
      <c r="K21" s="90"/>
    </row>
    <row r="22" spans="1:11" ht="15" x14ac:dyDescent="0.35">
      <c r="A22" s="17" t="s">
        <v>4</v>
      </c>
      <c r="B22" s="3" t="s">
        <v>171</v>
      </c>
      <c r="C22" s="50">
        <v>60</v>
      </c>
      <c r="D22" s="33"/>
      <c r="E22" s="48">
        <f>SUM(D22*C22)</f>
        <v>0</v>
      </c>
      <c r="G22" s="90"/>
      <c r="H22" s="90"/>
      <c r="I22" s="91"/>
      <c r="J22" s="90"/>
      <c r="K22" s="90"/>
    </row>
    <row r="23" spans="1:11" ht="60.6" customHeight="1" x14ac:dyDescent="0.35">
      <c r="A23" s="17"/>
      <c r="B23" s="56" t="s">
        <v>167</v>
      </c>
      <c r="C23" s="50"/>
      <c r="D23" s="34"/>
      <c r="E23" s="48"/>
      <c r="G23" s="90"/>
      <c r="H23" s="90"/>
      <c r="I23" s="91"/>
      <c r="J23" s="90"/>
      <c r="K23" s="90"/>
    </row>
    <row r="24" spans="1:11" ht="15" x14ac:dyDescent="0.35">
      <c r="A24" s="17"/>
      <c r="B24" s="3" t="s">
        <v>3</v>
      </c>
      <c r="C24" s="50"/>
      <c r="D24" s="34"/>
      <c r="E24" s="48"/>
      <c r="G24" s="90"/>
      <c r="H24" s="90"/>
      <c r="I24" s="90"/>
      <c r="J24" s="90"/>
      <c r="K24" s="90"/>
    </row>
    <row r="25" spans="1:11" ht="15" x14ac:dyDescent="0.35">
      <c r="A25" s="17"/>
      <c r="B25" s="7" t="s">
        <v>138</v>
      </c>
      <c r="C25" s="50"/>
      <c r="D25" s="34"/>
      <c r="E25" s="48"/>
      <c r="G25" s="90"/>
      <c r="H25" s="90"/>
      <c r="I25" s="90"/>
      <c r="J25" s="90"/>
      <c r="K25" s="90"/>
    </row>
    <row r="26" spans="1:11" ht="10.5" customHeight="1" x14ac:dyDescent="0.35">
      <c r="A26" s="17"/>
      <c r="B26" s="3"/>
      <c r="C26" s="50"/>
      <c r="D26" s="34"/>
      <c r="E26" s="48"/>
      <c r="G26" s="90"/>
      <c r="H26" s="90"/>
      <c r="I26" s="90"/>
      <c r="J26" s="90"/>
      <c r="K26" s="90"/>
    </row>
    <row r="27" spans="1:11" ht="15" x14ac:dyDescent="0.35">
      <c r="A27" s="17" t="s">
        <v>5</v>
      </c>
      <c r="B27" s="20" t="s">
        <v>42</v>
      </c>
      <c r="C27" s="50">
        <f>12*6</f>
        <v>72</v>
      </c>
      <c r="D27" s="33"/>
      <c r="E27" s="48">
        <f>SUM(D27*C27)</f>
        <v>0</v>
      </c>
      <c r="G27" s="90"/>
      <c r="H27" s="90"/>
      <c r="I27" s="91"/>
      <c r="J27" s="90"/>
      <c r="K27" s="90"/>
    </row>
    <row r="28" spans="1:11" ht="47.45" customHeight="1" x14ac:dyDescent="0.2">
      <c r="A28" s="21"/>
      <c r="B28" s="56" t="s">
        <v>168</v>
      </c>
      <c r="C28" s="50"/>
      <c r="D28" s="34"/>
      <c r="E28" s="51"/>
      <c r="G28" s="90"/>
      <c r="H28" s="90"/>
      <c r="I28" s="91"/>
      <c r="J28" s="90"/>
      <c r="K28" s="90"/>
    </row>
    <row r="29" spans="1:11" x14ac:dyDescent="0.2">
      <c r="A29" s="22"/>
      <c r="B29" s="3" t="s">
        <v>3</v>
      </c>
      <c r="C29" s="50"/>
      <c r="D29" s="34"/>
      <c r="E29" s="51"/>
      <c r="G29" s="90"/>
      <c r="H29" s="90"/>
      <c r="I29" s="90"/>
      <c r="J29" s="90"/>
      <c r="K29" s="90"/>
    </row>
    <row r="30" spans="1:11" x14ac:dyDescent="0.2">
      <c r="A30" s="22"/>
      <c r="B30" s="7" t="s">
        <v>139</v>
      </c>
      <c r="C30" s="50"/>
      <c r="D30" s="34"/>
      <c r="E30" s="51"/>
      <c r="G30" s="90"/>
      <c r="H30" s="90"/>
      <c r="I30" s="90"/>
      <c r="J30" s="90"/>
      <c r="K30" s="90"/>
    </row>
    <row r="31" spans="1:11" ht="9.75" customHeight="1" x14ac:dyDescent="0.2">
      <c r="A31" s="17"/>
      <c r="B31" s="3"/>
      <c r="C31" s="50"/>
      <c r="D31" s="34"/>
      <c r="E31" s="51"/>
      <c r="G31" s="90"/>
      <c r="H31" s="90"/>
      <c r="I31" s="90"/>
      <c r="J31" s="90"/>
      <c r="K31" s="90"/>
    </row>
    <row r="32" spans="1:11" ht="15" x14ac:dyDescent="0.35">
      <c r="A32" s="17" t="s">
        <v>26</v>
      </c>
      <c r="B32" s="20" t="s">
        <v>46</v>
      </c>
      <c r="C32" s="50">
        <f>7*6</f>
        <v>42</v>
      </c>
      <c r="D32" s="33"/>
      <c r="E32" s="48">
        <f>SUM(D32*C32)</f>
        <v>0</v>
      </c>
      <c r="G32" s="90"/>
      <c r="H32" s="90"/>
      <c r="I32" s="91"/>
      <c r="J32" s="90"/>
      <c r="K32" s="90"/>
    </row>
    <row r="33" spans="1:11" ht="25.5" customHeight="1" x14ac:dyDescent="0.2">
      <c r="A33" s="21"/>
      <c r="B33" s="56" t="s">
        <v>169</v>
      </c>
      <c r="C33" s="50"/>
      <c r="D33" s="34"/>
      <c r="E33" s="51"/>
      <c r="G33" s="90"/>
      <c r="H33" s="90"/>
      <c r="I33" s="91"/>
      <c r="J33" s="90"/>
      <c r="K33" s="90"/>
    </row>
    <row r="34" spans="1:11" x14ac:dyDescent="0.2">
      <c r="A34" s="22"/>
      <c r="B34" s="3" t="s">
        <v>3</v>
      </c>
      <c r="C34" s="50"/>
      <c r="D34" s="34"/>
      <c r="E34" s="51"/>
      <c r="G34" s="90"/>
      <c r="H34" s="90"/>
      <c r="I34" s="90"/>
      <c r="J34" s="90"/>
      <c r="K34" s="90"/>
    </row>
    <row r="35" spans="1:11" x14ac:dyDescent="0.2">
      <c r="A35" s="22"/>
      <c r="B35" s="7" t="s">
        <v>140</v>
      </c>
      <c r="C35" s="50"/>
      <c r="D35" s="34"/>
      <c r="E35" s="51"/>
      <c r="G35" s="90"/>
      <c r="H35" s="90"/>
      <c r="I35" s="90"/>
      <c r="J35" s="90"/>
      <c r="K35" s="90"/>
    </row>
    <row r="36" spans="1:11" x14ac:dyDescent="0.2">
      <c r="A36" s="22"/>
      <c r="B36" s="3"/>
      <c r="C36" s="50"/>
      <c r="D36" s="11"/>
      <c r="E36" s="51"/>
      <c r="G36" s="90"/>
      <c r="H36" s="90"/>
      <c r="I36" s="90"/>
      <c r="J36" s="90"/>
      <c r="K36" s="90"/>
    </row>
    <row r="37" spans="1:11" ht="15" x14ac:dyDescent="0.35">
      <c r="A37" s="17" t="s">
        <v>38</v>
      </c>
      <c r="B37" s="3" t="s">
        <v>46</v>
      </c>
      <c r="C37" s="50">
        <f>7*6</f>
        <v>42</v>
      </c>
      <c r="D37" s="33"/>
      <c r="E37" s="48">
        <f>SUM(D37*C37)</f>
        <v>0</v>
      </c>
      <c r="G37" s="90"/>
      <c r="H37" s="90"/>
      <c r="I37" s="91"/>
      <c r="J37" s="90"/>
      <c r="K37" s="90"/>
    </row>
    <row r="38" spans="1:11" ht="38.25" x14ac:dyDescent="0.2">
      <c r="A38" s="17"/>
      <c r="B38" s="56" t="s">
        <v>170</v>
      </c>
      <c r="C38" s="39"/>
      <c r="D38" s="11"/>
      <c r="E38" s="11"/>
      <c r="G38" s="90"/>
      <c r="H38" s="90"/>
      <c r="I38" s="91"/>
      <c r="J38" s="90"/>
      <c r="K38" s="90"/>
    </row>
    <row r="39" spans="1:11" x14ac:dyDescent="0.2">
      <c r="A39" s="17"/>
      <c r="B39" s="3" t="s">
        <v>3</v>
      </c>
      <c r="C39" s="39"/>
      <c r="D39" s="11"/>
      <c r="E39" s="11"/>
      <c r="G39" s="90"/>
      <c r="H39" s="90"/>
      <c r="I39" s="90"/>
      <c r="J39" s="90"/>
      <c r="K39" s="90"/>
    </row>
    <row r="40" spans="1:11" x14ac:dyDescent="0.2">
      <c r="A40" s="17"/>
      <c r="B40" s="7" t="s">
        <v>140</v>
      </c>
      <c r="C40" s="39"/>
      <c r="D40" s="11"/>
      <c r="E40" s="11"/>
      <c r="G40" s="90"/>
      <c r="H40" s="90"/>
      <c r="I40" s="90"/>
      <c r="J40" s="90"/>
      <c r="K40" s="90"/>
    </row>
    <row r="41" spans="1:11" x14ac:dyDescent="0.2">
      <c r="A41" s="17"/>
      <c r="B41" s="7"/>
      <c r="C41" s="50"/>
      <c r="D41" s="11"/>
      <c r="E41" s="11"/>
      <c r="G41" s="90"/>
      <c r="H41" s="90"/>
      <c r="I41" s="90"/>
      <c r="J41" s="90"/>
      <c r="K41" s="90"/>
    </row>
    <row r="42" spans="1:11" ht="15" x14ac:dyDescent="0.35">
      <c r="A42" s="17" t="s">
        <v>43</v>
      </c>
      <c r="B42" s="3" t="s">
        <v>44</v>
      </c>
      <c r="C42" s="50">
        <f>9*6</f>
        <v>54</v>
      </c>
      <c r="D42" s="33"/>
      <c r="E42" s="48">
        <f>SUM(D42*C42)</f>
        <v>0</v>
      </c>
      <c r="G42" s="90"/>
      <c r="H42" s="90"/>
      <c r="I42" s="91"/>
      <c r="J42" s="90"/>
      <c r="K42" s="90"/>
    </row>
    <row r="43" spans="1:11" ht="27" customHeight="1" x14ac:dyDescent="0.2">
      <c r="A43" s="17"/>
      <c r="B43" s="56" t="s">
        <v>45</v>
      </c>
      <c r="C43" s="39"/>
      <c r="D43" s="11"/>
      <c r="E43" s="11"/>
      <c r="I43" s="91"/>
    </row>
    <row r="44" spans="1:11" x14ac:dyDescent="0.2">
      <c r="A44" s="17"/>
      <c r="B44" s="3" t="s">
        <v>3</v>
      </c>
      <c r="C44" s="39"/>
      <c r="D44" s="11"/>
      <c r="E44" s="11"/>
    </row>
    <row r="45" spans="1:11" x14ac:dyDescent="0.2">
      <c r="A45" s="17"/>
      <c r="B45" s="7" t="s">
        <v>141</v>
      </c>
      <c r="C45" s="39"/>
      <c r="D45" s="11"/>
      <c r="E45" s="11"/>
    </row>
    <row r="46" spans="1:11" x14ac:dyDescent="0.2">
      <c r="A46" s="17"/>
      <c r="B46" s="3"/>
      <c r="C46" s="39"/>
      <c r="D46" s="11"/>
      <c r="E46" s="11"/>
    </row>
    <row r="47" spans="1:11" ht="15" x14ac:dyDescent="0.35">
      <c r="A47" s="17"/>
      <c r="B47" s="7" t="s">
        <v>48</v>
      </c>
      <c r="C47" s="38"/>
      <c r="D47" s="11"/>
      <c r="E47" s="48">
        <f>SUM(E17:E46)</f>
        <v>0</v>
      </c>
    </row>
    <row r="48" spans="1:11" x14ac:dyDescent="0.2">
      <c r="A48" s="92"/>
      <c r="B48" s="93"/>
      <c r="C48" s="67"/>
      <c r="D48" s="92"/>
      <c r="E48" s="92"/>
    </row>
  </sheetData>
  <customSheetViews>
    <customSheetView guid="{2D404EF0-4242-4E21-9E14-302FC000D517}" topLeftCell="A13">
      <selection activeCell="L22" sqref="L22"/>
      <pageMargins left="0.25" right="0.25" top="0.75" bottom="0.75" header="0.5" footer="0.5"/>
      <printOptions horizontalCentered="1"/>
      <pageSetup scale="85" orientation="portrait" r:id="rId1"/>
      <headerFooter alignWithMargins="0">
        <oddFooter>&amp;A</oddFooter>
      </headerFooter>
    </customSheetView>
  </customSheetViews>
  <phoneticPr fontId="5" type="noConversion"/>
  <printOptions horizontalCentered="1"/>
  <pageMargins left="0.25" right="0.25" top="0.75" bottom="0.75" header="0.5" footer="0.5"/>
  <pageSetup scale="80" orientation="portrait" r:id="rId2"/>
  <headerFooter alignWithMargins="0">
    <oddFooter>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view="pageBreakPreview" zoomScale="60" zoomScaleNormal="130" workbookViewId="0">
      <selection activeCell="A2" sqref="A2"/>
    </sheetView>
  </sheetViews>
  <sheetFormatPr defaultRowHeight="12.75" x14ac:dyDescent="0.2"/>
  <cols>
    <col min="1" max="1" width="11" customWidth="1"/>
    <col min="2" max="2" width="67.85546875" customWidth="1"/>
    <col min="3" max="3" width="14.5703125" style="41" customWidth="1"/>
    <col min="4" max="4" width="14.7109375" customWidth="1"/>
    <col min="5" max="5" width="17.85546875" customWidth="1"/>
    <col min="6" max="6" width="11.85546875" customWidth="1"/>
  </cols>
  <sheetData>
    <row r="1" spans="1:5" x14ac:dyDescent="0.2">
      <c r="A1" s="4" t="s">
        <v>172</v>
      </c>
      <c r="B1" s="8"/>
      <c r="C1" s="24"/>
      <c r="D1" s="15"/>
      <c r="E1" s="15"/>
    </row>
    <row r="2" spans="1:5" x14ac:dyDescent="0.2">
      <c r="A2" s="4" t="s">
        <v>33</v>
      </c>
      <c r="B2" s="1"/>
      <c r="C2" s="4"/>
      <c r="D2" s="19"/>
      <c r="E2" s="2" t="s">
        <v>154</v>
      </c>
    </row>
    <row r="3" spans="1:5" x14ac:dyDescent="0.2">
      <c r="A3" s="31"/>
      <c r="B3" s="26"/>
      <c r="C3" s="61"/>
      <c r="D3" s="26"/>
      <c r="E3" s="26"/>
    </row>
    <row r="4" spans="1:5" ht="19.5" customHeight="1" x14ac:dyDescent="0.2">
      <c r="A4" s="30" t="s">
        <v>97</v>
      </c>
      <c r="B4" s="8"/>
      <c r="C4" s="36"/>
      <c r="D4" s="3"/>
      <c r="E4" s="15"/>
    </row>
    <row r="5" spans="1:5" ht="7.5" customHeight="1" x14ac:dyDescent="0.2">
      <c r="A5" s="25"/>
      <c r="B5" s="10"/>
      <c r="C5" s="37"/>
      <c r="D5" s="9"/>
      <c r="E5" s="26"/>
    </row>
    <row r="6" spans="1:5" x14ac:dyDescent="0.2">
      <c r="A6" s="16"/>
      <c r="B6" s="57"/>
      <c r="C6" s="35" t="s">
        <v>11</v>
      </c>
      <c r="D6" s="1"/>
      <c r="E6" s="43" t="s">
        <v>11</v>
      </c>
    </row>
    <row r="7" spans="1:5" ht="15.75" x14ac:dyDescent="0.25">
      <c r="A7" s="60" t="s">
        <v>7</v>
      </c>
      <c r="B7" s="58" t="s">
        <v>53</v>
      </c>
      <c r="C7" s="35" t="s">
        <v>35</v>
      </c>
      <c r="D7" s="1" t="s">
        <v>8</v>
      </c>
      <c r="E7" s="44" t="s">
        <v>9</v>
      </c>
    </row>
    <row r="8" spans="1:5" x14ac:dyDescent="0.2">
      <c r="A8" s="16"/>
      <c r="B8" s="7" t="s">
        <v>81</v>
      </c>
      <c r="C8" s="42"/>
      <c r="D8" s="32"/>
      <c r="E8" s="32"/>
    </row>
    <row r="9" spans="1:5" x14ac:dyDescent="0.2">
      <c r="A9" s="16"/>
      <c r="B9" s="7" t="s">
        <v>118</v>
      </c>
      <c r="C9" s="38"/>
      <c r="D9" s="5"/>
      <c r="E9" s="5"/>
    </row>
    <row r="10" spans="1:5" x14ac:dyDescent="0.2">
      <c r="A10" s="16"/>
      <c r="B10" s="3" t="s">
        <v>1</v>
      </c>
      <c r="C10" s="38"/>
      <c r="D10" s="5"/>
      <c r="E10" s="5"/>
    </row>
    <row r="11" spans="1:5" x14ac:dyDescent="0.2">
      <c r="A11" s="16"/>
      <c r="B11" s="7" t="s">
        <v>25</v>
      </c>
      <c r="C11" s="38"/>
      <c r="D11" s="5"/>
      <c r="E11" s="5"/>
    </row>
    <row r="12" spans="1:5" ht="12.75" customHeight="1" x14ac:dyDescent="0.2">
      <c r="A12" s="17"/>
      <c r="B12" s="47" t="s">
        <v>34</v>
      </c>
      <c r="C12" s="38"/>
      <c r="D12" s="5"/>
      <c r="E12" s="5"/>
    </row>
    <row r="13" spans="1:5" ht="17.25" customHeight="1" x14ac:dyDescent="0.2">
      <c r="A13" s="17"/>
      <c r="B13" s="28" t="s">
        <v>51</v>
      </c>
      <c r="C13" s="38"/>
      <c r="D13" s="5"/>
      <c r="E13" s="5"/>
    </row>
    <row r="14" spans="1:5" ht="9" customHeight="1" x14ac:dyDescent="0.2">
      <c r="A14" s="17"/>
      <c r="B14" s="7"/>
      <c r="C14" s="38"/>
      <c r="D14" s="5"/>
      <c r="E14" s="5"/>
    </row>
    <row r="15" spans="1:5" x14ac:dyDescent="0.2">
      <c r="A15" s="18" t="s">
        <v>91</v>
      </c>
      <c r="B15" s="7" t="s">
        <v>37</v>
      </c>
      <c r="C15" s="38"/>
      <c r="D15" s="5"/>
      <c r="E15" s="5"/>
    </row>
    <row r="16" spans="1:5" ht="9.75" customHeight="1" x14ac:dyDescent="0.2">
      <c r="A16" s="17"/>
      <c r="B16" s="7"/>
      <c r="C16" s="38"/>
      <c r="D16" s="5"/>
      <c r="E16" s="5"/>
    </row>
    <row r="17" spans="1:5" ht="15" x14ac:dyDescent="0.35">
      <c r="A17" s="17" t="s">
        <v>29</v>
      </c>
      <c r="B17" s="3" t="s">
        <v>111</v>
      </c>
      <c r="C17" s="50">
        <v>168</v>
      </c>
      <c r="D17" s="33"/>
      <c r="E17" s="48">
        <f>SUM(D17*C17)</f>
        <v>0</v>
      </c>
    </row>
    <row r="18" spans="1:5" ht="29.25" customHeight="1" x14ac:dyDescent="0.35">
      <c r="A18" s="17"/>
      <c r="B18" s="56" t="s">
        <v>166</v>
      </c>
      <c r="C18" s="50"/>
      <c r="D18" s="34"/>
      <c r="E18" s="33"/>
    </row>
    <row r="19" spans="1:5" ht="15" x14ac:dyDescent="0.35">
      <c r="A19" s="17"/>
      <c r="B19" s="3" t="s">
        <v>3</v>
      </c>
      <c r="C19" s="50"/>
      <c r="D19" s="34"/>
      <c r="E19" s="33"/>
    </row>
    <row r="20" spans="1:5" ht="15" x14ac:dyDescent="0.35">
      <c r="A20" s="17"/>
      <c r="B20" s="62" t="s">
        <v>89</v>
      </c>
      <c r="C20" s="50"/>
      <c r="D20" s="34"/>
      <c r="E20" s="33"/>
    </row>
    <row r="21" spans="1:5" ht="11.25" customHeight="1" x14ac:dyDescent="0.35">
      <c r="A21" s="17"/>
      <c r="B21" s="3"/>
      <c r="C21" s="50"/>
      <c r="D21" s="34"/>
      <c r="E21" s="33"/>
    </row>
    <row r="22" spans="1:5" ht="15" x14ac:dyDescent="0.35">
      <c r="A22" s="17" t="s">
        <v>30</v>
      </c>
      <c r="B22" s="3" t="s">
        <v>171</v>
      </c>
      <c r="C22" s="50">
        <v>120</v>
      </c>
      <c r="D22" s="33"/>
      <c r="E22" s="48">
        <f>SUM(D22*C22)</f>
        <v>0</v>
      </c>
    </row>
    <row r="23" spans="1:5" ht="42.75" customHeight="1" x14ac:dyDescent="0.35">
      <c r="A23" s="17"/>
      <c r="B23" s="56" t="s">
        <v>167</v>
      </c>
      <c r="C23" s="50"/>
      <c r="D23" s="34"/>
      <c r="E23" s="33"/>
    </row>
    <row r="24" spans="1:5" ht="15" x14ac:dyDescent="0.35">
      <c r="A24" s="17"/>
      <c r="B24" s="3" t="s">
        <v>3</v>
      </c>
      <c r="C24" s="50"/>
      <c r="D24" s="34"/>
      <c r="E24" s="33"/>
    </row>
    <row r="25" spans="1:5" ht="15" x14ac:dyDescent="0.35">
      <c r="A25" s="17"/>
      <c r="B25" s="7" t="s">
        <v>76</v>
      </c>
      <c r="C25" s="50"/>
      <c r="D25" s="34"/>
      <c r="E25" s="33"/>
    </row>
    <row r="26" spans="1:5" ht="10.5" customHeight="1" x14ac:dyDescent="0.35">
      <c r="A26" s="17"/>
      <c r="B26" s="3"/>
      <c r="C26" s="50"/>
      <c r="D26" s="34"/>
      <c r="E26" s="33"/>
    </row>
    <row r="27" spans="1:5" ht="15" x14ac:dyDescent="0.35">
      <c r="A27" s="17" t="s">
        <v>31</v>
      </c>
      <c r="B27" s="20" t="s">
        <v>42</v>
      </c>
      <c r="C27" s="50">
        <v>144</v>
      </c>
      <c r="D27" s="33"/>
      <c r="E27" s="48">
        <f>SUM(D27*C27)</f>
        <v>0</v>
      </c>
    </row>
    <row r="28" spans="1:5" ht="42.75" customHeight="1" x14ac:dyDescent="0.35">
      <c r="A28" s="21"/>
      <c r="B28" s="56" t="s">
        <v>168</v>
      </c>
      <c r="C28" s="50"/>
      <c r="D28" s="34"/>
      <c r="E28" s="33"/>
    </row>
    <row r="29" spans="1:5" ht="15" x14ac:dyDescent="0.35">
      <c r="A29" s="22"/>
      <c r="B29" s="3" t="s">
        <v>3</v>
      </c>
      <c r="C29" s="50"/>
      <c r="D29" s="34"/>
      <c r="E29" s="33"/>
    </row>
    <row r="30" spans="1:5" ht="15" x14ac:dyDescent="0.35">
      <c r="A30" s="22"/>
      <c r="B30" s="7" t="s">
        <v>112</v>
      </c>
      <c r="C30" s="50"/>
      <c r="D30" s="34"/>
      <c r="E30" s="33"/>
    </row>
    <row r="31" spans="1:5" ht="11.25" customHeight="1" x14ac:dyDescent="0.35">
      <c r="A31" s="17"/>
      <c r="B31" s="3"/>
      <c r="C31" s="50"/>
      <c r="D31" s="34"/>
      <c r="E31" s="33"/>
    </row>
    <row r="32" spans="1:5" ht="15" x14ac:dyDescent="0.35">
      <c r="A32" s="17" t="s">
        <v>32</v>
      </c>
      <c r="B32" s="20" t="s">
        <v>46</v>
      </c>
      <c r="C32" s="50">
        <v>84</v>
      </c>
      <c r="D32" s="33"/>
      <c r="E32" s="48">
        <f>SUM(D32*C32)</f>
        <v>0</v>
      </c>
    </row>
    <row r="33" spans="1:5" ht="30.75" customHeight="1" x14ac:dyDescent="0.35">
      <c r="A33" s="21"/>
      <c r="B33" s="56" t="s">
        <v>169</v>
      </c>
      <c r="C33" s="50"/>
      <c r="D33" s="34"/>
      <c r="E33" s="33"/>
    </row>
    <row r="34" spans="1:5" ht="15" x14ac:dyDescent="0.35">
      <c r="A34" s="22"/>
      <c r="B34" s="3" t="s">
        <v>3</v>
      </c>
      <c r="C34" s="50"/>
      <c r="D34" s="34"/>
      <c r="E34" s="33"/>
    </row>
    <row r="35" spans="1:5" ht="15" x14ac:dyDescent="0.35">
      <c r="A35" s="22"/>
      <c r="B35" s="7" t="s">
        <v>113</v>
      </c>
      <c r="C35" s="50"/>
      <c r="D35" s="34"/>
      <c r="E35" s="33"/>
    </row>
    <row r="36" spans="1:5" ht="9.75" customHeight="1" x14ac:dyDescent="0.2">
      <c r="A36" s="17"/>
      <c r="B36" s="3"/>
      <c r="C36" s="39"/>
      <c r="D36" s="11"/>
      <c r="E36" s="11"/>
    </row>
    <row r="37" spans="1:5" ht="15" x14ac:dyDescent="0.35">
      <c r="A37" s="17" t="s">
        <v>39</v>
      </c>
      <c r="B37" s="3" t="s">
        <v>46</v>
      </c>
      <c r="C37" s="50">
        <v>84</v>
      </c>
      <c r="D37" s="33"/>
      <c r="E37" s="48">
        <f>SUM(D37*C37)</f>
        <v>0</v>
      </c>
    </row>
    <row r="38" spans="1:5" ht="24.75" customHeight="1" x14ac:dyDescent="0.2">
      <c r="A38" s="17"/>
      <c r="B38" s="56" t="s">
        <v>170</v>
      </c>
      <c r="C38" s="39"/>
      <c r="D38" s="11"/>
      <c r="E38" s="11"/>
    </row>
    <row r="39" spans="1:5" x14ac:dyDescent="0.2">
      <c r="A39" s="17"/>
      <c r="B39" s="3" t="s">
        <v>3</v>
      </c>
      <c r="C39" s="39"/>
      <c r="D39" s="11"/>
      <c r="E39" s="11"/>
    </row>
    <row r="40" spans="1:5" x14ac:dyDescent="0.2">
      <c r="A40" s="17"/>
      <c r="B40" s="7" t="s">
        <v>113</v>
      </c>
      <c r="C40" s="39"/>
      <c r="D40" s="11"/>
      <c r="E40" s="11"/>
    </row>
    <row r="41" spans="1:5" ht="12" customHeight="1" x14ac:dyDescent="0.2">
      <c r="A41" s="17"/>
      <c r="B41" s="7"/>
      <c r="C41" s="39"/>
      <c r="D41" s="11"/>
      <c r="E41" s="11"/>
    </row>
    <row r="42" spans="1:5" ht="15" x14ac:dyDescent="0.35">
      <c r="A42" s="17" t="s">
        <v>47</v>
      </c>
      <c r="B42" s="3" t="s">
        <v>44</v>
      </c>
      <c r="C42" s="50">
        <v>108</v>
      </c>
      <c r="D42" s="33"/>
      <c r="E42" s="48">
        <f>SUM(D42*C42)</f>
        <v>0</v>
      </c>
    </row>
    <row r="43" spans="1:5" ht="24.75" customHeight="1" x14ac:dyDescent="0.2">
      <c r="A43" s="17"/>
      <c r="B43" s="56" t="s">
        <v>45</v>
      </c>
      <c r="C43" s="39" t="s">
        <v>1</v>
      </c>
      <c r="D43" s="11"/>
      <c r="E43" s="11"/>
    </row>
    <row r="44" spans="1:5" x14ac:dyDescent="0.2">
      <c r="A44" s="17"/>
      <c r="B44" s="3" t="s">
        <v>3</v>
      </c>
      <c r="C44" s="39"/>
      <c r="D44" s="11"/>
      <c r="E44" s="11"/>
    </row>
    <row r="45" spans="1:5" x14ac:dyDescent="0.2">
      <c r="A45" s="17"/>
      <c r="B45" s="7" t="s">
        <v>114</v>
      </c>
      <c r="C45" s="39"/>
      <c r="D45" s="11"/>
      <c r="E45" s="11"/>
    </row>
    <row r="46" spans="1:5" x14ac:dyDescent="0.2">
      <c r="A46" s="17"/>
      <c r="B46" s="3"/>
      <c r="C46" s="39"/>
      <c r="D46" s="11"/>
      <c r="E46" s="11"/>
    </row>
    <row r="47" spans="1:5" ht="15" x14ac:dyDescent="0.35">
      <c r="A47" s="17"/>
      <c r="B47" s="7" t="s">
        <v>50</v>
      </c>
      <c r="C47" s="39"/>
      <c r="D47" s="11"/>
      <c r="E47" s="48">
        <f>SUM(E17:E46)</f>
        <v>0</v>
      </c>
    </row>
    <row r="48" spans="1:5" x14ac:dyDescent="0.2">
      <c r="A48" s="27"/>
      <c r="B48" s="23"/>
      <c r="C48" s="40"/>
      <c r="D48" s="27"/>
      <c r="E48" s="27"/>
    </row>
  </sheetData>
  <customSheetViews>
    <customSheetView guid="{2D404EF0-4242-4E21-9E14-302FC000D517}">
      <selection activeCell="A4" sqref="A4"/>
      <pageMargins left="0.25" right="0.25" top="0.75" bottom="0.75" header="0.5" footer="0.5"/>
      <printOptions horizontalCentered="1"/>
      <pageSetup scale="80" orientation="portrait" r:id="rId1"/>
      <headerFooter alignWithMargins="0">
        <oddFooter>&amp;A</oddFooter>
      </headerFooter>
    </customSheetView>
  </customSheetViews>
  <phoneticPr fontId="5" type="noConversion"/>
  <printOptions horizontalCentered="1"/>
  <pageMargins left="0.25" right="0.25" top="0.75" bottom="0.75" header="0.5" footer="0.5"/>
  <pageSetup scale="80" orientation="portrait" r:id="rId2"/>
  <headerFooter alignWithMargins="0">
    <oddFooter>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view="pageBreakPreview" zoomScale="60" zoomScaleNormal="130" workbookViewId="0">
      <selection activeCell="A2" sqref="A2"/>
    </sheetView>
  </sheetViews>
  <sheetFormatPr defaultColWidth="9.140625" defaultRowHeight="12.75" x14ac:dyDescent="0.2"/>
  <cols>
    <col min="1" max="1" width="12.5703125" style="63" customWidth="1"/>
    <col min="2" max="2" width="68" style="63" customWidth="1"/>
    <col min="3" max="3" width="13.5703125" style="70" customWidth="1"/>
    <col min="4" max="4" width="15.140625" style="63" customWidth="1"/>
    <col min="5" max="5" width="17.5703125" style="63" customWidth="1"/>
    <col min="6" max="16384" width="9.140625" style="63"/>
  </cols>
  <sheetData>
    <row r="1" spans="1:5" x14ac:dyDescent="0.2">
      <c r="A1" s="4" t="s">
        <v>172</v>
      </c>
      <c r="B1" s="8"/>
      <c r="C1" s="24"/>
      <c r="D1" s="15"/>
      <c r="E1" s="15"/>
    </row>
    <row r="2" spans="1:5" x14ac:dyDescent="0.2">
      <c r="A2" s="4" t="s">
        <v>6</v>
      </c>
      <c r="B2" s="1"/>
      <c r="C2" s="4"/>
      <c r="D2" s="64"/>
      <c r="E2" s="2" t="s">
        <v>155</v>
      </c>
    </row>
    <row r="3" spans="1:5" x14ac:dyDescent="0.2">
      <c r="A3" s="31"/>
      <c r="B3" s="26"/>
      <c r="C3" s="37"/>
      <c r="D3" s="26"/>
      <c r="E3" s="26"/>
    </row>
    <row r="4" spans="1:5" ht="18.75" customHeight="1" x14ac:dyDescent="0.2">
      <c r="A4" s="30" t="s">
        <v>98</v>
      </c>
      <c r="B4" s="8"/>
      <c r="C4" s="36"/>
      <c r="D4" s="3"/>
      <c r="E4" s="15"/>
    </row>
    <row r="5" spans="1:5" ht="7.5" customHeight="1" x14ac:dyDescent="0.2">
      <c r="A5" s="25"/>
      <c r="B5" s="10"/>
      <c r="C5" s="37"/>
      <c r="D5" s="9"/>
      <c r="E5" s="26"/>
    </row>
    <row r="6" spans="1:5" x14ac:dyDescent="0.2">
      <c r="A6" s="16"/>
      <c r="B6" s="57"/>
      <c r="C6" s="35" t="s">
        <v>11</v>
      </c>
      <c r="D6" s="1"/>
      <c r="E6" s="43" t="s">
        <v>11</v>
      </c>
    </row>
    <row r="7" spans="1:5" ht="15.75" x14ac:dyDescent="0.25">
      <c r="A7" s="60" t="s">
        <v>7</v>
      </c>
      <c r="B7" s="58" t="s">
        <v>53</v>
      </c>
      <c r="C7" s="35" t="s">
        <v>35</v>
      </c>
      <c r="D7" s="1" t="s">
        <v>8</v>
      </c>
      <c r="E7" s="44" t="s">
        <v>9</v>
      </c>
    </row>
    <row r="8" spans="1:5" x14ac:dyDescent="0.2">
      <c r="A8" s="16"/>
      <c r="B8" s="7" t="s">
        <v>82</v>
      </c>
      <c r="C8" s="42"/>
      <c r="D8" s="32"/>
      <c r="E8" s="32"/>
    </row>
    <row r="9" spans="1:5" x14ac:dyDescent="0.2">
      <c r="A9" s="16"/>
      <c r="B9" s="7" t="s">
        <v>119</v>
      </c>
      <c r="C9" s="38"/>
      <c r="D9" s="5"/>
      <c r="E9" s="5"/>
    </row>
    <row r="10" spans="1:5" x14ac:dyDescent="0.2">
      <c r="A10" s="16"/>
      <c r="B10" s="3" t="s">
        <v>1</v>
      </c>
      <c r="C10" s="38"/>
      <c r="D10" s="5"/>
      <c r="E10" s="5"/>
    </row>
    <row r="11" spans="1:5" x14ac:dyDescent="0.2">
      <c r="A11" s="16"/>
      <c r="B11" s="7" t="s">
        <v>25</v>
      </c>
      <c r="C11" s="38"/>
      <c r="D11" s="5"/>
      <c r="E11" s="5"/>
    </row>
    <row r="12" spans="1:5" ht="12.75" customHeight="1" x14ac:dyDescent="0.2">
      <c r="A12" s="17"/>
      <c r="B12" s="47" t="s">
        <v>34</v>
      </c>
      <c r="C12" s="38"/>
      <c r="D12" s="5"/>
      <c r="E12" s="5"/>
    </row>
    <row r="13" spans="1:5" x14ac:dyDescent="0.2">
      <c r="A13" s="17"/>
      <c r="B13" s="28" t="s">
        <v>52</v>
      </c>
      <c r="C13" s="38"/>
      <c r="D13" s="5"/>
      <c r="E13" s="5"/>
    </row>
    <row r="14" spans="1:5" x14ac:dyDescent="0.2">
      <c r="A14" s="17"/>
      <c r="B14" s="7"/>
      <c r="C14" s="38"/>
      <c r="D14" s="5"/>
      <c r="E14" s="5"/>
    </row>
    <row r="15" spans="1:5" x14ac:dyDescent="0.2">
      <c r="A15" s="18" t="s">
        <v>93</v>
      </c>
      <c r="B15" s="7" t="s">
        <v>90</v>
      </c>
      <c r="C15" s="38"/>
      <c r="D15" s="5"/>
      <c r="E15" s="5"/>
    </row>
    <row r="16" spans="1:5" x14ac:dyDescent="0.2">
      <c r="A16" s="17"/>
      <c r="B16" s="7"/>
      <c r="C16" s="38"/>
      <c r="D16" s="5"/>
      <c r="E16" s="5"/>
    </row>
    <row r="17" spans="1:5" ht="15" x14ac:dyDescent="0.35">
      <c r="A17" s="17" t="s">
        <v>106</v>
      </c>
      <c r="B17" s="3" t="s">
        <v>111</v>
      </c>
      <c r="C17" s="50">
        <v>168</v>
      </c>
      <c r="D17" s="33"/>
      <c r="E17" s="48">
        <f>SUM(D17*C17)</f>
        <v>0</v>
      </c>
    </row>
    <row r="18" spans="1:5" ht="26.25" customHeight="1" x14ac:dyDescent="0.2">
      <c r="A18" s="17"/>
      <c r="B18" s="56" t="s">
        <v>166</v>
      </c>
      <c r="C18" s="50"/>
      <c r="D18" s="34"/>
      <c r="E18" s="34"/>
    </row>
    <row r="19" spans="1:5" x14ac:dyDescent="0.2">
      <c r="A19" s="17"/>
      <c r="B19" s="3" t="s">
        <v>3</v>
      </c>
      <c r="C19" s="50"/>
      <c r="D19" s="34"/>
      <c r="E19" s="34"/>
    </row>
    <row r="20" spans="1:5" x14ac:dyDescent="0.2">
      <c r="A20" s="17"/>
      <c r="B20" s="7" t="s">
        <v>89</v>
      </c>
      <c r="C20" s="50"/>
      <c r="D20" s="34"/>
      <c r="E20" s="34"/>
    </row>
    <row r="21" spans="1:5" ht="10.5" customHeight="1" x14ac:dyDescent="0.2">
      <c r="A21" s="17"/>
      <c r="B21" s="3"/>
      <c r="C21" s="50"/>
      <c r="D21" s="34"/>
      <c r="E21" s="34"/>
    </row>
    <row r="22" spans="1:5" ht="15" x14ac:dyDescent="0.35">
      <c r="A22" s="17" t="s">
        <v>107</v>
      </c>
      <c r="B22" s="3" t="s">
        <v>171</v>
      </c>
      <c r="C22" s="50">
        <v>120</v>
      </c>
      <c r="D22" s="33"/>
      <c r="E22" s="48">
        <f>SUM(D22*C22)</f>
        <v>0</v>
      </c>
    </row>
    <row r="23" spans="1:5" ht="38.25" customHeight="1" x14ac:dyDescent="0.2">
      <c r="A23" s="17"/>
      <c r="B23" s="56" t="s">
        <v>167</v>
      </c>
      <c r="C23" s="50"/>
      <c r="D23" s="34"/>
      <c r="E23" s="34"/>
    </row>
    <row r="24" spans="1:5" x14ac:dyDescent="0.2">
      <c r="A24" s="17"/>
      <c r="B24" s="3" t="s">
        <v>3</v>
      </c>
      <c r="C24" s="50"/>
      <c r="D24" s="34"/>
      <c r="E24" s="34"/>
    </row>
    <row r="25" spans="1:5" x14ac:dyDescent="0.2">
      <c r="A25" s="17"/>
      <c r="B25" s="7" t="s">
        <v>76</v>
      </c>
      <c r="C25" s="50"/>
      <c r="D25" s="34"/>
      <c r="E25" s="34"/>
    </row>
    <row r="26" spans="1:5" ht="10.5" customHeight="1" x14ac:dyDescent="0.2">
      <c r="A26" s="17"/>
      <c r="B26" s="3"/>
      <c r="C26" s="50"/>
      <c r="D26" s="34"/>
      <c r="E26" s="34"/>
    </row>
    <row r="27" spans="1:5" ht="15" x14ac:dyDescent="0.35">
      <c r="A27" s="17" t="s">
        <v>36</v>
      </c>
      <c r="B27" s="20" t="s">
        <v>42</v>
      </c>
      <c r="C27" s="50">
        <v>144</v>
      </c>
      <c r="D27" s="33"/>
      <c r="E27" s="48">
        <f>SUM(D27*C27)</f>
        <v>0</v>
      </c>
    </row>
    <row r="28" spans="1:5" ht="38.25" customHeight="1" x14ac:dyDescent="0.2">
      <c r="A28" s="21"/>
      <c r="B28" s="56" t="s">
        <v>168</v>
      </c>
      <c r="C28" s="50"/>
      <c r="D28" s="34"/>
      <c r="E28" s="34"/>
    </row>
    <row r="29" spans="1:5" x14ac:dyDescent="0.2">
      <c r="A29" s="22"/>
      <c r="B29" s="3" t="s">
        <v>3</v>
      </c>
      <c r="C29" s="50"/>
      <c r="D29" s="34"/>
      <c r="E29" s="34"/>
    </row>
    <row r="30" spans="1:5" x14ac:dyDescent="0.2">
      <c r="A30" s="22"/>
      <c r="B30" s="7" t="s">
        <v>112</v>
      </c>
      <c r="C30" s="50"/>
      <c r="D30" s="34"/>
      <c r="E30" s="34"/>
    </row>
    <row r="31" spans="1:5" x14ac:dyDescent="0.2">
      <c r="A31" s="17"/>
      <c r="B31" s="3"/>
      <c r="C31" s="50"/>
      <c r="D31" s="34"/>
      <c r="E31" s="34"/>
    </row>
    <row r="32" spans="1:5" ht="15" x14ac:dyDescent="0.35">
      <c r="A32" s="17" t="s">
        <v>108</v>
      </c>
      <c r="B32" s="20" t="s">
        <v>46</v>
      </c>
      <c r="C32" s="50">
        <v>84</v>
      </c>
      <c r="D32" s="33"/>
      <c r="E32" s="48">
        <f>SUM(D32*C32)</f>
        <v>0</v>
      </c>
    </row>
    <row r="33" spans="1:5" ht="27.75" customHeight="1" x14ac:dyDescent="0.2">
      <c r="A33" s="21"/>
      <c r="B33" s="56" t="s">
        <v>169</v>
      </c>
      <c r="C33" s="50"/>
      <c r="D33" s="34"/>
      <c r="E33" s="34"/>
    </row>
    <row r="34" spans="1:5" x14ac:dyDescent="0.2">
      <c r="A34" s="22"/>
      <c r="B34" s="3" t="s">
        <v>3</v>
      </c>
      <c r="C34" s="50"/>
      <c r="D34" s="34"/>
      <c r="E34" s="34"/>
    </row>
    <row r="35" spans="1:5" x14ac:dyDescent="0.2">
      <c r="A35" s="22"/>
      <c r="B35" s="7" t="s">
        <v>113</v>
      </c>
      <c r="C35" s="50"/>
      <c r="D35" s="34"/>
      <c r="E35" s="34"/>
    </row>
    <row r="36" spans="1:5" ht="10.5" customHeight="1" x14ac:dyDescent="0.2">
      <c r="A36" s="17"/>
      <c r="B36" s="7"/>
      <c r="C36" s="39"/>
      <c r="D36" s="11"/>
      <c r="E36" s="11"/>
    </row>
    <row r="37" spans="1:5" ht="15" x14ac:dyDescent="0.35">
      <c r="A37" s="17" t="s">
        <v>40</v>
      </c>
      <c r="B37" s="3" t="s">
        <v>46</v>
      </c>
      <c r="C37" s="50">
        <v>84</v>
      </c>
      <c r="D37" s="33"/>
      <c r="E37" s="48">
        <f>SUM(D37*C37)</f>
        <v>0</v>
      </c>
    </row>
    <row r="38" spans="1:5" ht="26.25" customHeight="1" x14ac:dyDescent="0.2">
      <c r="A38" s="17"/>
      <c r="B38" s="56" t="s">
        <v>170</v>
      </c>
      <c r="C38" s="39"/>
      <c r="D38" s="11"/>
      <c r="E38" s="11"/>
    </row>
    <row r="39" spans="1:5" x14ac:dyDescent="0.2">
      <c r="A39" s="17"/>
      <c r="B39" s="3" t="s">
        <v>3</v>
      </c>
      <c r="C39" s="39"/>
      <c r="D39" s="11"/>
      <c r="E39" s="11"/>
    </row>
    <row r="40" spans="1:5" x14ac:dyDescent="0.2">
      <c r="A40" s="17"/>
      <c r="B40" s="7" t="s">
        <v>113</v>
      </c>
      <c r="C40" s="39"/>
      <c r="D40" s="11"/>
      <c r="E40" s="11"/>
    </row>
    <row r="41" spans="1:5" ht="10.5" customHeight="1" x14ac:dyDescent="0.2">
      <c r="A41" s="17"/>
      <c r="B41" s="7"/>
      <c r="C41" s="39"/>
      <c r="D41" s="11"/>
      <c r="E41" s="11"/>
    </row>
    <row r="42" spans="1:5" ht="15" x14ac:dyDescent="0.35">
      <c r="A42" s="17" t="s">
        <v>109</v>
      </c>
      <c r="B42" s="3" t="s">
        <v>44</v>
      </c>
      <c r="C42" s="50">
        <v>108</v>
      </c>
      <c r="D42" s="33"/>
      <c r="E42" s="48">
        <f>SUM(D42*C42)</f>
        <v>0</v>
      </c>
    </row>
    <row r="43" spans="1:5" ht="25.5" customHeight="1" x14ac:dyDescent="0.2">
      <c r="A43" s="17"/>
      <c r="B43" s="56" t="s">
        <v>45</v>
      </c>
      <c r="C43" s="39"/>
      <c r="D43" s="11"/>
      <c r="E43" s="11"/>
    </row>
    <row r="44" spans="1:5" x14ac:dyDescent="0.2">
      <c r="A44" s="17"/>
      <c r="B44" s="3" t="s">
        <v>3</v>
      </c>
      <c r="C44" s="39"/>
      <c r="D44" s="11"/>
      <c r="E44" s="11"/>
    </row>
    <row r="45" spans="1:5" x14ac:dyDescent="0.2">
      <c r="A45" s="17"/>
      <c r="B45" s="7" t="s">
        <v>114</v>
      </c>
      <c r="C45" s="39"/>
      <c r="D45" s="11"/>
      <c r="E45" s="11"/>
    </row>
    <row r="46" spans="1:5" x14ac:dyDescent="0.2">
      <c r="A46" s="17"/>
      <c r="B46" s="3"/>
      <c r="C46" s="39"/>
      <c r="D46" s="11"/>
      <c r="E46" s="11"/>
    </row>
    <row r="47" spans="1:5" ht="15" x14ac:dyDescent="0.35">
      <c r="A47" s="17"/>
      <c r="B47" s="7" t="s">
        <v>110</v>
      </c>
      <c r="C47" s="38"/>
      <c r="D47" s="11"/>
      <c r="E47" s="48">
        <f>SUM(E17:E43)</f>
        <v>0</v>
      </c>
    </row>
    <row r="48" spans="1:5" ht="11.25" customHeight="1" x14ac:dyDescent="0.2">
      <c r="A48" s="65"/>
      <c r="B48" s="66"/>
      <c r="C48" s="67"/>
      <c r="D48" s="65"/>
      <c r="E48" s="68"/>
    </row>
    <row r="49" spans="5:5" ht="17.25" customHeight="1" x14ac:dyDescent="0.2"/>
    <row r="50" spans="5:5" x14ac:dyDescent="0.2">
      <c r="E50" s="69"/>
    </row>
  </sheetData>
  <customSheetViews>
    <customSheetView guid="{2D404EF0-4242-4E21-9E14-302FC000D517}" topLeftCell="A37">
      <selection activeCell="D42" sqref="D42"/>
      <pageMargins left="0.25" right="0.25" top="0.75" bottom="0.75" header="0.5" footer="0.5"/>
      <printOptions horizontalCentered="1"/>
      <pageSetup scale="80" orientation="portrait" r:id="rId1"/>
      <headerFooter alignWithMargins="0">
        <oddFooter>&amp;A</oddFooter>
      </headerFooter>
    </customSheetView>
  </customSheetViews>
  <printOptions horizontalCentered="1"/>
  <pageMargins left="0.25" right="0.25" top="0.75" bottom="0.75" header="0.5" footer="0.5"/>
  <pageSetup scale="80" orientation="portrait" r:id="rId2"/>
  <headerFooter alignWithMargins="0">
    <oddFooter>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view="pageBreakPreview" zoomScale="60" zoomScaleNormal="130" workbookViewId="0">
      <selection activeCell="A2" sqref="A2"/>
    </sheetView>
  </sheetViews>
  <sheetFormatPr defaultRowHeight="12.75" x14ac:dyDescent="0.2"/>
  <cols>
    <col min="1" max="1" width="12.5703125" customWidth="1"/>
    <col min="2" max="2" width="68" customWidth="1"/>
    <col min="3" max="3" width="13.5703125" style="41" customWidth="1"/>
    <col min="4" max="4" width="15.140625" customWidth="1"/>
    <col min="5" max="5" width="17.5703125" customWidth="1"/>
  </cols>
  <sheetData>
    <row r="1" spans="1:5" x14ac:dyDescent="0.2">
      <c r="A1" s="4" t="s">
        <v>172</v>
      </c>
      <c r="B1" s="8"/>
      <c r="C1" s="24"/>
      <c r="D1" s="15"/>
      <c r="E1" s="15"/>
    </row>
    <row r="2" spans="1:5" x14ac:dyDescent="0.2">
      <c r="A2" s="4" t="s">
        <v>56</v>
      </c>
      <c r="B2" s="1"/>
      <c r="C2" s="4"/>
      <c r="D2" s="19"/>
      <c r="E2" s="2" t="s">
        <v>156</v>
      </c>
    </row>
    <row r="3" spans="1:5" x14ac:dyDescent="0.2">
      <c r="A3" s="31"/>
      <c r="B3" s="26"/>
      <c r="C3" s="37"/>
      <c r="D3" s="26"/>
      <c r="E3" s="26"/>
    </row>
    <row r="4" spans="1:5" ht="18.75" customHeight="1" x14ac:dyDescent="0.2">
      <c r="A4" s="30" t="s">
        <v>99</v>
      </c>
      <c r="B4" s="8"/>
      <c r="C4" s="36"/>
      <c r="D4" s="3"/>
      <c r="E4" s="15"/>
    </row>
    <row r="5" spans="1:5" ht="7.5" customHeight="1" x14ac:dyDescent="0.2">
      <c r="A5" s="25"/>
      <c r="B5" s="10"/>
      <c r="C5" s="37"/>
      <c r="D5" s="9"/>
      <c r="E5" s="26"/>
    </row>
    <row r="6" spans="1:5" x14ac:dyDescent="0.2">
      <c r="A6" s="16"/>
      <c r="B6" s="57"/>
      <c r="C6" s="35" t="s">
        <v>11</v>
      </c>
      <c r="D6" s="1"/>
      <c r="E6" s="43" t="s">
        <v>11</v>
      </c>
    </row>
    <row r="7" spans="1:5" ht="15.75" x14ac:dyDescent="0.25">
      <c r="A7" s="60" t="s">
        <v>7</v>
      </c>
      <c r="B7" s="58" t="s">
        <v>53</v>
      </c>
      <c r="C7" s="35" t="s">
        <v>35</v>
      </c>
      <c r="D7" s="1" t="s">
        <v>8</v>
      </c>
      <c r="E7" s="44" t="s">
        <v>9</v>
      </c>
    </row>
    <row r="8" spans="1:5" x14ac:dyDescent="0.2">
      <c r="A8" s="16"/>
      <c r="B8" s="7" t="s">
        <v>83</v>
      </c>
      <c r="C8" s="42"/>
      <c r="D8" s="32"/>
      <c r="E8" s="32"/>
    </row>
    <row r="9" spans="1:5" x14ac:dyDescent="0.2">
      <c r="A9" s="16"/>
      <c r="B9" s="7" t="s">
        <v>120</v>
      </c>
      <c r="C9" s="38"/>
      <c r="D9" s="5"/>
      <c r="E9" s="5"/>
    </row>
    <row r="10" spans="1:5" x14ac:dyDescent="0.2">
      <c r="A10" s="16"/>
      <c r="B10" s="3" t="s">
        <v>1</v>
      </c>
      <c r="C10" s="38"/>
      <c r="D10" s="5"/>
      <c r="E10" s="5"/>
    </row>
    <row r="11" spans="1:5" x14ac:dyDescent="0.2">
      <c r="A11" s="16"/>
      <c r="B11" s="7" t="s">
        <v>25</v>
      </c>
      <c r="C11" s="38"/>
      <c r="D11" s="5"/>
      <c r="E11" s="5"/>
    </row>
    <row r="12" spans="1:5" ht="12.75" customHeight="1" x14ac:dyDescent="0.2">
      <c r="A12" s="17"/>
      <c r="B12" s="47" t="s">
        <v>34</v>
      </c>
      <c r="C12" s="38"/>
      <c r="D12" s="5"/>
      <c r="E12" s="5"/>
    </row>
    <row r="13" spans="1:5" x14ac:dyDescent="0.2">
      <c r="A13" s="17"/>
      <c r="B13" s="28" t="s">
        <v>67</v>
      </c>
      <c r="C13" s="38"/>
      <c r="D13" s="5"/>
      <c r="E13" s="5"/>
    </row>
    <row r="14" spans="1:5" x14ac:dyDescent="0.2">
      <c r="A14" s="17"/>
      <c r="B14" s="7"/>
      <c r="C14" s="38"/>
      <c r="D14" s="5"/>
      <c r="E14" s="5"/>
    </row>
    <row r="15" spans="1:5" x14ac:dyDescent="0.2">
      <c r="A15" s="18" t="s">
        <v>92</v>
      </c>
      <c r="B15" s="7" t="s">
        <v>64</v>
      </c>
      <c r="C15" s="38"/>
      <c r="D15" s="5"/>
      <c r="E15" s="5"/>
    </row>
    <row r="16" spans="1:5" x14ac:dyDescent="0.2">
      <c r="A16" s="17"/>
      <c r="B16" s="7"/>
      <c r="C16" s="38"/>
      <c r="D16" s="5"/>
      <c r="E16" s="5"/>
    </row>
    <row r="17" spans="1:5" ht="15" x14ac:dyDescent="0.35">
      <c r="A17" s="17" t="s">
        <v>58</v>
      </c>
      <c r="B17" s="3" t="s">
        <v>111</v>
      </c>
      <c r="C17" s="50">
        <v>168</v>
      </c>
      <c r="D17" s="33"/>
      <c r="E17" s="48">
        <f>SUM(D17*C17)</f>
        <v>0</v>
      </c>
    </row>
    <row r="18" spans="1:5" ht="26.25" customHeight="1" x14ac:dyDescent="0.2">
      <c r="A18" s="17"/>
      <c r="B18" s="56" t="s">
        <v>166</v>
      </c>
      <c r="C18" s="50"/>
      <c r="D18" s="34"/>
      <c r="E18" s="34"/>
    </row>
    <row r="19" spans="1:5" x14ac:dyDescent="0.2">
      <c r="A19" s="17"/>
      <c r="B19" s="3" t="s">
        <v>3</v>
      </c>
      <c r="C19" s="50"/>
      <c r="D19" s="34"/>
      <c r="E19" s="34"/>
    </row>
    <row r="20" spans="1:5" x14ac:dyDescent="0.2">
      <c r="A20" s="17"/>
      <c r="B20" s="7" t="s">
        <v>89</v>
      </c>
      <c r="C20" s="50"/>
      <c r="D20" s="34"/>
      <c r="E20" s="34"/>
    </row>
    <row r="21" spans="1:5" ht="10.5" customHeight="1" x14ac:dyDescent="0.2">
      <c r="A21" s="17"/>
      <c r="B21" s="3"/>
      <c r="C21" s="50"/>
      <c r="D21" s="34"/>
      <c r="E21" s="34"/>
    </row>
    <row r="22" spans="1:5" ht="15" x14ac:dyDescent="0.35">
      <c r="A22" s="17" t="s">
        <v>59</v>
      </c>
      <c r="B22" s="3" t="s">
        <v>171</v>
      </c>
      <c r="C22" s="50">
        <v>120</v>
      </c>
      <c r="D22" s="33"/>
      <c r="E22" s="48">
        <f>SUM(D22*C22)</f>
        <v>0</v>
      </c>
    </row>
    <row r="23" spans="1:5" ht="38.25" customHeight="1" x14ac:dyDescent="0.2">
      <c r="A23" s="17"/>
      <c r="B23" s="56" t="s">
        <v>167</v>
      </c>
      <c r="C23" s="50"/>
      <c r="D23" s="34"/>
      <c r="E23" s="34"/>
    </row>
    <row r="24" spans="1:5" x14ac:dyDescent="0.2">
      <c r="A24" s="17"/>
      <c r="B24" s="3" t="s">
        <v>3</v>
      </c>
      <c r="C24" s="50"/>
      <c r="D24" s="34"/>
      <c r="E24" s="34"/>
    </row>
    <row r="25" spans="1:5" x14ac:dyDescent="0.2">
      <c r="A25" s="17"/>
      <c r="B25" s="7" t="s">
        <v>76</v>
      </c>
      <c r="C25" s="50"/>
      <c r="D25" s="34"/>
      <c r="E25" s="34"/>
    </row>
    <row r="26" spans="1:5" ht="10.5" customHeight="1" x14ac:dyDescent="0.2">
      <c r="A26" s="17"/>
      <c r="B26" s="3"/>
      <c r="C26" s="50"/>
      <c r="D26" s="34"/>
      <c r="E26" s="34"/>
    </row>
    <row r="27" spans="1:5" ht="15" x14ac:dyDescent="0.35">
      <c r="A27" s="17" t="s">
        <v>60</v>
      </c>
      <c r="B27" s="20" t="s">
        <v>42</v>
      </c>
      <c r="C27" s="50">
        <v>144</v>
      </c>
      <c r="D27" s="33"/>
      <c r="E27" s="48">
        <f>SUM(D27*C27)</f>
        <v>0</v>
      </c>
    </row>
    <row r="28" spans="1:5" ht="38.25" customHeight="1" x14ac:dyDescent="0.2">
      <c r="A28" s="21"/>
      <c r="B28" s="56" t="s">
        <v>168</v>
      </c>
      <c r="C28" s="50"/>
      <c r="D28" s="34"/>
      <c r="E28" s="34"/>
    </row>
    <row r="29" spans="1:5" x14ac:dyDescent="0.2">
      <c r="A29" s="22"/>
      <c r="B29" s="3" t="s">
        <v>3</v>
      </c>
      <c r="C29" s="50"/>
      <c r="D29" s="34"/>
      <c r="E29" s="34"/>
    </row>
    <row r="30" spans="1:5" x14ac:dyDescent="0.2">
      <c r="A30" s="22"/>
      <c r="B30" s="7" t="s">
        <v>112</v>
      </c>
      <c r="C30" s="50"/>
      <c r="D30" s="34"/>
      <c r="E30" s="34"/>
    </row>
    <row r="31" spans="1:5" x14ac:dyDescent="0.2">
      <c r="A31" s="17"/>
      <c r="B31" s="3"/>
      <c r="C31" s="50"/>
      <c r="D31" s="34"/>
      <c r="E31" s="34"/>
    </row>
    <row r="32" spans="1:5" ht="15" x14ac:dyDescent="0.35">
      <c r="A32" s="17" t="s">
        <v>61</v>
      </c>
      <c r="B32" s="20" t="s">
        <v>46</v>
      </c>
      <c r="C32" s="50">
        <v>84</v>
      </c>
      <c r="D32" s="33"/>
      <c r="E32" s="48">
        <f>SUM(D32*C32)</f>
        <v>0</v>
      </c>
    </row>
    <row r="33" spans="1:5" ht="27.75" customHeight="1" x14ac:dyDescent="0.2">
      <c r="A33" s="21"/>
      <c r="B33" s="56" t="s">
        <v>169</v>
      </c>
      <c r="C33" s="50"/>
      <c r="D33" s="34"/>
      <c r="E33" s="34"/>
    </row>
    <row r="34" spans="1:5" x14ac:dyDescent="0.2">
      <c r="A34" s="22"/>
      <c r="B34" s="3" t="s">
        <v>3</v>
      </c>
      <c r="C34" s="50"/>
      <c r="D34" s="34"/>
      <c r="E34" s="34"/>
    </row>
    <row r="35" spans="1:5" x14ac:dyDescent="0.2">
      <c r="A35" s="22"/>
      <c r="B35" s="7" t="s">
        <v>113</v>
      </c>
      <c r="C35" s="50"/>
      <c r="D35" s="34"/>
      <c r="E35" s="34"/>
    </row>
    <row r="36" spans="1:5" ht="10.5" customHeight="1" x14ac:dyDescent="0.2">
      <c r="A36" s="17"/>
      <c r="B36" s="7"/>
      <c r="C36" s="39"/>
      <c r="D36" s="11"/>
      <c r="E36" s="11"/>
    </row>
    <row r="37" spans="1:5" ht="15" x14ac:dyDescent="0.35">
      <c r="A37" s="17" t="s">
        <v>62</v>
      </c>
      <c r="B37" s="3" t="s">
        <v>46</v>
      </c>
      <c r="C37" s="50">
        <v>84</v>
      </c>
      <c r="D37" s="33"/>
      <c r="E37" s="48">
        <f>SUM(D37*C37)</f>
        <v>0</v>
      </c>
    </row>
    <row r="38" spans="1:5" ht="26.25" customHeight="1" x14ac:dyDescent="0.2">
      <c r="A38" s="17"/>
      <c r="B38" s="56" t="s">
        <v>170</v>
      </c>
      <c r="C38" s="39"/>
      <c r="D38" s="11"/>
      <c r="E38" s="11"/>
    </row>
    <row r="39" spans="1:5" x14ac:dyDescent="0.2">
      <c r="A39" s="17"/>
      <c r="B39" s="3" t="s">
        <v>3</v>
      </c>
      <c r="C39" s="39"/>
      <c r="D39" s="11"/>
      <c r="E39" s="11"/>
    </row>
    <row r="40" spans="1:5" x14ac:dyDescent="0.2">
      <c r="A40" s="17"/>
      <c r="B40" s="7" t="s">
        <v>113</v>
      </c>
      <c r="C40" s="39"/>
      <c r="D40" s="11"/>
      <c r="E40" s="11"/>
    </row>
    <row r="41" spans="1:5" ht="10.5" customHeight="1" x14ac:dyDescent="0.2">
      <c r="A41" s="17"/>
      <c r="B41" s="7"/>
      <c r="C41" s="39"/>
      <c r="D41" s="11"/>
      <c r="E41" s="11"/>
    </row>
    <row r="42" spans="1:5" ht="15" x14ac:dyDescent="0.35">
      <c r="A42" s="17" t="s">
        <v>63</v>
      </c>
      <c r="B42" s="3" t="s">
        <v>44</v>
      </c>
      <c r="C42" s="50">
        <v>108</v>
      </c>
      <c r="D42" s="33"/>
      <c r="E42" s="48">
        <f>SUM(D42*C42)</f>
        <v>0</v>
      </c>
    </row>
    <row r="43" spans="1:5" ht="25.5" customHeight="1" x14ac:dyDescent="0.2">
      <c r="A43" s="17"/>
      <c r="B43" s="56" t="s">
        <v>45</v>
      </c>
      <c r="C43" s="39"/>
      <c r="D43" s="11"/>
      <c r="E43" s="11"/>
    </row>
    <row r="44" spans="1:5" x14ac:dyDescent="0.2">
      <c r="A44" s="17"/>
      <c r="B44" s="3" t="s">
        <v>3</v>
      </c>
      <c r="C44" s="39"/>
      <c r="D44" s="11"/>
      <c r="E44" s="11"/>
    </row>
    <row r="45" spans="1:5" x14ac:dyDescent="0.2">
      <c r="A45" s="17"/>
      <c r="B45" s="7" t="s">
        <v>114</v>
      </c>
      <c r="C45" s="39"/>
      <c r="D45" s="11"/>
      <c r="E45" s="11"/>
    </row>
    <row r="46" spans="1:5" x14ac:dyDescent="0.2">
      <c r="A46" s="17"/>
      <c r="B46" s="3"/>
      <c r="C46" s="39"/>
      <c r="D46" s="11"/>
      <c r="E46" s="11"/>
    </row>
    <row r="47" spans="1:5" ht="15" x14ac:dyDescent="0.35">
      <c r="A47" s="17"/>
      <c r="B47" s="7" t="s">
        <v>66</v>
      </c>
      <c r="C47" s="38"/>
      <c r="D47" s="11"/>
      <c r="E47" s="48">
        <f>SUM(E17:E43)</f>
        <v>0</v>
      </c>
    </row>
    <row r="48" spans="1:5" ht="11.25" customHeight="1" x14ac:dyDescent="0.2">
      <c r="A48" s="27"/>
      <c r="B48" s="23"/>
      <c r="C48" s="40"/>
      <c r="D48" s="27"/>
      <c r="E48" s="49"/>
    </row>
    <row r="49" spans="5:5" ht="17.25" customHeight="1" x14ac:dyDescent="0.2"/>
    <row r="50" spans="5:5" x14ac:dyDescent="0.2">
      <c r="E50" s="45"/>
    </row>
  </sheetData>
  <customSheetViews>
    <customSheetView guid="{2D404EF0-4242-4E21-9E14-302FC000D517}">
      <selection activeCell="A4" sqref="A4"/>
      <pageMargins left="0.25" right="0.25" top="0.75" bottom="0.75" header="0.5" footer="0.5"/>
      <printOptions horizontalCentered="1"/>
      <pageSetup scale="80" orientation="portrait" r:id="rId1"/>
      <headerFooter alignWithMargins="0">
        <oddFooter>&amp;A</oddFooter>
      </headerFooter>
    </customSheetView>
  </customSheetViews>
  <printOptions horizontalCentered="1"/>
  <pageMargins left="0.25" right="0.25" top="0.75" bottom="0.75" header="0.5" footer="0.5"/>
  <pageSetup scale="80" orientation="portrait" r:id="rId2"/>
  <headerFooter alignWithMargins="0">
    <oddFooter>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view="pageBreakPreview" zoomScale="60" zoomScaleNormal="130" workbookViewId="0">
      <selection activeCell="A2" sqref="A2"/>
    </sheetView>
  </sheetViews>
  <sheetFormatPr defaultRowHeight="12.75" x14ac:dyDescent="0.2"/>
  <cols>
    <col min="1" max="1" width="12.5703125" customWidth="1"/>
    <col min="2" max="2" width="68" customWidth="1"/>
    <col min="3" max="3" width="13.5703125" style="41" customWidth="1"/>
    <col min="4" max="4" width="15.140625" customWidth="1"/>
    <col min="5" max="5" width="17.5703125" customWidth="1"/>
  </cols>
  <sheetData>
    <row r="1" spans="1:5" x14ac:dyDescent="0.2">
      <c r="A1" s="4" t="s">
        <v>172</v>
      </c>
      <c r="B1" s="8"/>
      <c r="C1" s="24"/>
      <c r="D1" s="15"/>
      <c r="E1" s="15"/>
    </row>
    <row r="2" spans="1:5" x14ac:dyDescent="0.2">
      <c r="A2" s="4" t="s">
        <v>57</v>
      </c>
      <c r="B2" s="1"/>
      <c r="C2" s="4"/>
      <c r="D2" s="19"/>
      <c r="E2" s="2" t="s">
        <v>157</v>
      </c>
    </row>
    <row r="3" spans="1:5" x14ac:dyDescent="0.2">
      <c r="A3" s="31"/>
      <c r="B3" s="26"/>
      <c r="C3" s="37"/>
      <c r="D3" s="26"/>
      <c r="E3" s="26"/>
    </row>
    <row r="4" spans="1:5" ht="18.75" customHeight="1" x14ac:dyDescent="0.2">
      <c r="A4" s="30" t="s">
        <v>100</v>
      </c>
      <c r="B4" s="8"/>
      <c r="C4" s="36"/>
      <c r="D4" s="3"/>
      <c r="E4" s="15"/>
    </row>
    <row r="5" spans="1:5" ht="7.5" customHeight="1" x14ac:dyDescent="0.2">
      <c r="A5" s="25"/>
      <c r="B5" s="10"/>
      <c r="C5" s="37"/>
      <c r="D5" s="9"/>
      <c r="E5" s="26"/>
    </row>
    <row r="6" spans="1:5" x14ac:dyDescent="0.2">
      <c r="A6" s="16"/>
      <c r="B6" s="57"/>
      <c r="C6" s="35" t="s">
        <v>11</v>
      </c>
      <c r="D6" s="1"/>
      <c r="E6" s="43" t="s">
        <v>11</v>
      </c>
    </row>
    <row r="7" spans="1:5" ht="15.75" x14ac:dyDescent="0.25">
      <c r="A7" s="60" t="s">
        <v>7</v>
      </c>
      <c r="B7" s="58" t="s">
        <v>53</v>
      </c>
      <c r="C7" s="35" t="s">
        <v>35</v>
      </c>
      <c r="D7" s="1" t="s">
        <v>8</v>
      </c>
      <c r="E7" s="44" t="s">
        <v>9</v>
      </c>
    </row>
    <row r="8" spans="1:5" x14ac:dyDescent="0.2">
      <c r="A8" s="16"/>
      <c r="B8" s="7" t="s">
        <v>84</v>
      </c>
      <c r="C8" s="42"/>
      <c r="D8" s="32"/>
      <c r="E8" s="32"/>
    </row>
    <row r="9" spans="1:5" x14ac:dyDescent="0.2">
      <c r="A9" s="16"/>
      <c r="B9" s="7" t="s">
        <v>121</v>
      </c>
      <c r="C9" s="38"/>
      <c r="D9" s="5"/>
      <c r="E9" s="5"/>
    </row>
    <row r="10" spans="1:5" x14ac:dyDescent="0.2">
      <c r="A10" s="16"/>
      <c r="B10" s="3" t="s">
        <v>1</v>
      </c>
      <c r="C10" s="38"/>
      <c r="D10" s="5"/>
      <c r="E10" s="5"/>
    </row>
    <row r="11" spans="1:5" x14ac:dyDescent="0.2">
      <c r="A11" s="16"/>
      <c r="B11" s="7" t="s">
        <v>25</v>
      </c>
      <c r="C11" s="38"/>
      <c r="D11" s="5"/>
      <c r="E11" s="5"/>
    </row>
    <row r="12" spans="1:5" ht="12.75" customHeight="1" x14ac:dyDescent="0.2">
      <c r="A12" s="17"/>
      <c r="B12" s="47" t="s">
        <v>34</v>
      </c>
      <c r="C12" s="38"/>
      <c r="D12" s="5"/>
      <c r="E12" s="5"/>
    </row>
    <row r="13" spans="1:5" x14ac:dyDescent="0.2">
      <c r="A13" s="17"/>
      <c r="B13" s="28" t="s">
        <v>68</v>
      </c>
      <c r="C13" s="38"/>
      <c r="D13" s="5"/>
      <c r="E13" s="5"/>
    </row>
    <row r="14" spans="1:5" x14ac:dyDescent="0.2">
      <c r="A14" s="17"/>
      <c r="B14" s="7"/>
      <c r="C14" s="38"/>
      <c r="D14" s="5"/>
      <c r="E14" s="5"/>
    </row>
    <row r="15" spans="1:5" x14ac:dyDescent="0.2">
      <c r="A15" s="18" t="s">
        <v>94</v>
      </c>
      <c r="B15" s="7" t="s">
        <v>65</v>
      </c>
      <c r="C15" s="38"/>
      <c r="D15" s="5"/>
      <c r="E15" s="5"/>
    </row>
    <row r="16" spans="1:5" x14ac:dyDescent="0.2">
      <c r="A16" s="17"/>
      <c r="B16" s="7"/>
      <c r="C16" s="38"/>
      <c r="D16" s="5"/>
      <c r="E16" s="5"/>
    </row>
    <row r="17" spans="1:5" ht="15" x14ac:dyDescent="0.35">
      <c r="A17" s="17" t="s">
        <v>69</v>
      </c>
      <c r="B17" s="3" t="s">
        <v>111</v>
      </c>
      <c r="C17" s="50">
        <v>168</v>
      </c>
      <c r="D17" s="33"/>
      <c r="E17" s="48">
        <f>SUM(D17*C17)</f>
        <v>0</v>
      </c>
    </row>
    <row r="18" spans="1:5" ht="26.25" customHeight="1" x14ac:dyDescent="0.2">
      <c r="A18" s="17"/>
      <c r="B18" s="56" t="s">
        <v>166</v>
      </c>
      <c r="C18" s="50"/>
      <c r="D18" s="34"/>
      <c r="E18" s="34"/>
    </row>
    <row r="19" spans="1:5" x14ac:dyDescent="0.2">
      <c r="A19" s="17"/>
      <c r="B19" s="3" t="s">
        <v>3</v>
      </c>
      <c r="C19" s="50"/>
      <c r="D19" s="34"/>
      <c r="E19" s="34"/>
    </row>
    <row r="20" spans="1:5" x14ac:dyDescent="0.2">
      <c r="A20" s="17"/>
      <c r="B20" s="7" t="s">
        <v>89</v>
      </c>
      <c r="C20" s="50"/>
      <c r="D20" s="34"/>
      <c r="E20" s="34"/>
    </row>
    <row r="21" spans="1:5" ht="10.5" customHeight="1" x14ac:dyDescent="0.2">
      <c r="A21" s="17"/>
      <c r="B21" s="3"/>
      <c r="C21" s="50"/>
      <c r="D21" s="34"/>
      <c r="E21" s="34"/>
    </row>
    <row r="22" spans="1:5" ht="15" x14ac:dyDescent="0.35">
      <c r="A22" s="17" t="s">
        <v>70</v>
      </c>
      <c r="B22" s="3" t="s">
        <v>171</v>
      </c>
      <c r="C22" s="50">
        <v>120</v>
      </c>
      <c r="D22" s="33"/>
      <c r="E22" s="48">
        <f>SUM(D22*C22)</f>
        <v>0</v>
      </c>
    </row>
    <row r="23" spans="1:5" ht="38.25" customHeight="1" x14ac:dyDescent="0.2">
      <c r="A23" s="17"/>
      <c r="B23" s="56" t="s">
        <v>167</v>
      </c>
      <c r="C23" s="50"/>
      <c r="D23" s="34"/>
      <c r="E23" s="34"/>
    </row>
    <row r="24" spans="1:5" x14ac:dyDescent="0.2">
      <c r="A24" s="17"/>
      <c r="B24" s="3" t="s">
        <v>3</v>
      </c>
      <c r="C24" s="50"/>
      <c r="D24" s="34"/>
      <c r="E24" s="34"/>
    </row>
    <row r="25" spans="1:5" x14ac:dyDescent="0.2">
      <c r="A25" s="17"/>
      <c r="B25" s="7" t="s">
        <v>76</v>
      </c>
      <c r="C25" s="50"/>
      <c r="D25" s="34"/>
      <c r="E25" s="34"/>
    </row>
    <row r="26" spans="1:5" ht="10.5" customHeight="1" x14ac:dyDescent="0.2">
      <c r="A26" s="17"/>
      <c r="B26" s="3"/>
      <c r="C26" s="50"/>
      <c r="D26" s="34"/>
      <c r="E26" s="34"/>
    </row>
    <row r="27" spans="1:5" ht="15" x14ac:dyDescent="0.35">
      <c r="A27" s="17" t="s">
        <v>71</v>
      </c>
      <c r="B27" s="20" t="s">
        <v>42</v>
      </c>
      <c r="C27" s="50">
        <v>144</v>
      </c>
      <c r="D27" s="33"/>
      <c r="E27" s="48">
        <f>SUM(D27*C27)</f>
        <v>0</v>
      </c>
    </row>
    <row r="28" spans="1:5" ht="38.25" customHeight="1" x14ac:dyDescent="0.2">
      <c r="A28" s="21"/>
      <c r="B28" s="56" t="s">
        <v>168</v>
      </c>
      <c r="C28" s="50"/>
      <c r="D28" s="34"/>
      <c r="E28" s="34"/>
    </row>
    <row r="29" spans="1:5" x14ac:dyDescent="0.2">
      <c r="A29" s="22"/>
      <c r="B29" s="3" t="s">
        <v>3</v>
      </c>
      <c r="C29" s="50"/>
      <c r="D29" s="34"/>
      <c r="E29" s="34"/>
    </row>
    <row r="30" spans="1:5" x14ac:dyDescent="0.2">
      <c r="A30" s="22"/>
      <c r="B30" s="7" t="s">
        <v>112</v>
      </c>
      <c r="C30" s="50"/>
      <c r="D30" s="34"/>
      <c r="E30" s="34"/>
    </row>
    <row r="31" spans="1:5" x14ac:dyDescent="0.2">
      <c r="A31" s="17"/>
      <c r="B31" s="3"/>
      <c r="C31" s="50"/>
      <c r="D31" s="34"/>
      <c r="E31" s="34"/>
    </row>
    <row r="32" spans="1:5" ht="15" x14ac:dyDescent="0.35">
      <c r="A32" s="17" t="s">
        <v>72</v>
      </c>
      <c r="B32" s="20" t="s">
        <v>46</v>
      </c>
      <c r="C32" s="50">
        <v>84</v>
      </c>
      <c r="D32" s="33"/>
      <c r="E32" s="48">
        <f>SUM(D32*C32)</f>
        <v>0</v>
      </c>
    </row>
    <row r="33" spans="1:5" ht="27.75" customHeight="1" x14ac:dyDescent="0.2">
      <c r="A33" s="21"/>
      <c r="B33" s="56" t="s">
        <v>169</v>
      </c>
      <c r="C33" s="50"/>
      <c r="D33" s="34"/>
      <c r="E33" s="34"/>
    </row>
    <row r="34" spans="1:5" x14ac:dyDescent="0.2">
      <c r="A34" s="22"/>
      <c r="B34" s="3" t="s">
        <v>3</v>
      </c>
      <c r="C34" s="50"/>
      <c r="D34" s="34"/>
      <c r="E34" s="34"/>
    </row>
    <row r="35" spans="1:5" x14ac:dyDescent="0.2">
      <c r="A35" s="22"/>
      <c r="B35" s="7" t="s">
        <v>113</v>
      </c>
      <c r="C35" s="50"/>
      <c r="D35" s="34"/>
      <c r="E35" s="34"/>
    </row>
    <row r="36" spans="1:5" ht="10.5" customHeight="1" x14ac:dyDescent="0.2">
      <c r="A36" s="17"/>
      <c r="B36" s="7"/>
      <c r="C36" s="39"/>
      <c r="D36" s="11"/>
      <c r="E36" s="11"/>
    </row>
    <row r="37" spans="1:5" ht="15" x14ac:dyDescent="0.35">
      <c r="A37" s="17" t="s">
        <v>73</v>
      </c>
      <c r="B37" s="3" t="s">
        <v>46</v>
      </c>
      <c r="C37" s="50">
        <v>84</v>
      </c>
      <c r="D37" s="33"/>
      <c r="E37" s="48">
        <f>SUM(D37*C37)</f>
        <v>0</v>
      </c>
    </row>
    <row r="38" spans="1:5" ht="26.25" customHeight="1" x14ac:dyDescent="0.2">
      <c r="A38" s="17"/>
      <c r="B38" s="56" t="s">
        <v>170</v>
      </c>
      <c r="C38" s="39"/>
      <c r="D38" s="11"/>
      <c r="E38" s="11"/>
    </row>
    <row r="39" spans="1:5" x14ac:dyDescent="0.2">
      <c r="A39" s="17"/>
      <c r="B39" s="3" t="s">
        <v>3</v>
      </c>
      <c r="C39" s="39"/>
      <c r="D39" s="11"/>
      <c r="E39" s="11"/>
    </row>
    <row r="40" spans="1:5" x14ac:dyDescent="0.2">
      <c r="A40" s="17"/>
      <c r="B40" s="7" t="s">
        <v>113</v>
      </c>
      <c r="C40" s="39"/>
      <c r="D40" s="11"/>
      <c r="E40" s="11"/>
    </row>
    <row r="41" spans="1:5" ht="10.5" customHeight="1" x14ac:dyDescent="0.2">
      <c r="A41" s="17"/>
      <c r="B41" s="7"/>
      <c r="C41" s="39"/>
      <c r="D41" s="11"/>
      <c r="E41" s="11"/>
    </row>
    <row r="42" spans="1:5" ht="15" x14ac:dyDescent="0.35">
      <c r="A42" s="17" t="s">
        <v>74</v>
      </c>
      <c r="B42" s="3" t="s">
        <v>44</v>
      </c>
      <c r="C42" s="50">
        <v>108</v>
      </c>
      <c r="D42" s="33"/>
      <c r="E42" s="48">
        <f>SUM(D42*C42)</f>
        <v>0</v>
      </c>
    </row>
    <row r="43" spans="1:5" ht="25.5" customHeight="1" x14ac:dyDescent="0.2">
      <c r="A43" s="17"/>
      <c r="B43" s="56" t="s">
        <v>45</v>
      </c>
      <c r="C43" s="39"/>
      <c r="D43" s="11"/>
      <c r="E43" s="11"/>
    </row>
    <row r="44" spans="1:5" x14ac:dyDescent="0.2">
      <c r="A44" s="17"/>
      <c r="B44" s="3" t="s">
        <v>3</v>
      </c>
      <c r="C44" s="39"/>
      <c r="D44" s="11"/>
      <c r="E44" s="11"/>
    </row>
    <row r="45" spans="1:5" x14ac:dyDescent="0.2">
      <c r="A45" s="17"/>
      <c r="B45" s="7" t="s">
        <v>114</v>
      </c>
      <c r="C45" s="39"/>
      <c r="D45" s="11"/>
      <c r="E45" s="11"/>
    </row>
    <row r="46" spans="1:5" x14ac:dyDescent="0.2">
      <c r="A46" s="17"/>
      <c r="B46" s="3"/>
      <c r="C46" s="39"/>
      <c r="D46" s="11"/>
      <c r="E46" s="11"/>
    </row>
    <row r="47" spans="1:5" ht="15" x14ac:dyDescent="0.35">
      <c r="A47" s="17"/>
      <c r="B47" s="7" t="s">
        <v>75</v>
      </c>
      <c r="C47" s="38"/>
      <c r="D47" s="11"/>
      <c r="E47" s="48">
        <f>SUM(E17:E43)</f>
        <v>0</v>
      </c>
    </row>
    <row r="48" spans="1:5" ht="11.25" customHeight="1" x14ac:dyDescent="0.2">
      <c r="A48" s="27"/>
      <c r="B48" s="23"/>
      <c r="C48" s="40"/>
      <c r="D48" s="27"/>
      <c r="E48" s="49"/>
    </row>
    <row r="49" spans="5:5" ht="17.25" customHeight="1" x14ac:dyDescent="0.2"/>
    <row r="50" spans="5:5" x14ac:dyDescent="0.2">
      <c r="E50" s="45"/>
    </row>
  </sheetData>
  <customSheetViews>
    <customSheetView guid="{2D404EF0-4242-4E21-9E14-302FC000D517}">
      <selection activeCell="A4" sqref="A4"/>
      <pageMargins left="0.25" right="0.25" top="0.75" bottom="0.75" header="0.5" footer="0.5"/>
      <printOptions horizontalCentered="1"/>
      <pageSetup scale="80" orientation="portrait" r:id="rId1"/>
      <headerFooter alignWithMargins="0">
        <oddFooter>&amp;A</oddFooter>
      </headerFooter>
    </customSheetView>
  </customSheetViews>
  <printOptions horizontalCentered="1"/>
  <pageMargins left="0.25" right="0.25" top="0.75" bottom="0.75" header="0.5" footer="0.5"/>
  <pageSetup scale="80" orientation="portrait" r:id="rId2"/>
  <headerFooter alignWithMargins="0">
    <oddFooter>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view="pageBreakPreview" zoomScale="60" zoomScaleNormal="130" workbookViewId="0">
      <selection activeCell="A2" sqref="A2"/>
    </sheetView>
  </sheetViews>
  <sheetFormatPr defaultRowHeight="12.75" x14ac:dyDescent="0.2"/>
  <cols>
    <col min="1" max="1" width="12.5703125" customWidth="1"/>
    <col min="2" max="2" width="68" customWidth="1"/>
    <col min="3" max="3" width="13.5703125" style="41" customWidth="1"/>
    <col min="4" max="4" width="15.140625" customWidth="1"/>
    <col min="5" max="5" width="17.5703125" customWidth="1"/>
    <col min="7" max="7" width="10.140625" bestFit="1" customWidth="1"/>
  </cols>
  <sheetData>
    <row r="1" spans="1:5" x14ac:dyDescent="0.2">
      <c r="A1" s="4" t="s">
        <v>172</v>
      </c>
      <c r="B1" s="8"/>
      <c r="C1" s="24"/>
      <c r="D1" s="15"/>
      <c r="E1" s="15"/>
    </row>
    <row r="2" spans="1:5" x14ac:dyDescent="0.2">
      <c r="A2" s="4" t="s">
        <v>133</v>
      </c>
      <c r="B2" s="1"/>
      <c r="C2" s="4"/>
      <c r="D2" s="19"/>
      <c r="E2" s="2" t="s">
        <v>158</v>
      </c>
    </row>
    <row r="3" spans="1:5" x14ac:dyDescent="0.2">
      <c r="A3" s="31"/>
      <c r="B3" s="26"/>
      <c r="C3" s="37"/>
      <c r="D3" s="26"/>
      <c r="E3" s="26"/>
    </row>
    <row r="4" spans="1:5" ht="18.75" customHeight="1" x14ac:dyDescent="0.2">
      <c r="A4" s="30" t="s">
        <v>134</v>
      </c>
      <c r="B4" s="8"/>
      <c r="C4" s="36"/>
      <c r="D4" s="3"/>
      <c r="E4" s="15"/>
    </row>
    <row r="5" spans="1:5" ht="7.5" customHeight="1" x14ac:dyDescent="0.2">
      <c r="A5" s="25"/>
      <c r="B5" s="10"/>
      <c r="C5" s="37"/>
      <c r="D5" s="9"/>
      <c r="E5" s="26"/>
    </row>
    <row r="6" spans="1:5" x14ac:dyDescent="0.2">
      <c r="A6" s="16"/>
      <c r="B6" s="57"/>
      <c r="C6" s="35" t="s">
        <v>11</v>
      </c>
      <c r="D6" s="1"/>
      <c r="E6" s="43" t="s">
        <v>11</v>
      </c>
    </row>
    <row r="7" spans="1:5" ht="15.75" x14ac:dyDescent="0.25">
      <c r="A7" s="60" t="s">
        <v>7</v>
      </c>
      <c r="B7" s="58" t="s">
        <v>53</v>
      </c>
      <c r="C7" s="35" t="s">
        <v>35</v>
      </c>
      <c r="D7" s="1" t="s">
        <v>8</v>
      </c>
      <c r="E7" s="44" t="s">
        <v>9</v>
      </c>
    </row>
    <row r="8" spans="1:5" x14ac:dyDescent="0.2">
      <c r="A8" s="16"/>
      <c r="B8" s="7" t="s">
        <v>132</v>
      </c>
      <c r="C8" s="42"/>
      <c r="D8" s="32"/>
      <c r="E8" s="32"/>
    </row>
    <row r="9" spans="1:5" x14ac:dyDescent="0.2">
      <c r="A9" s="16"/>
      <c r="B9" s="7" t="s">
        <v>122</v>
      </c>
      <c r="C9" s="38"/>
      <c r="D9" s="5"/>
      <c r="E9" s="5"/>
    </row>
    <row r="10" spans="1:5" x14ac:dyDescent="0.2">
      <c r="A10" s="16"/>
      <c r="B10" s="3" t="s">
        <v>1</v>
      </c>
      <c r="C10" s="38"/>
      <c r="D10" s="5"/>
      <c r="E10" s="5"/>
    </row>
    <row r="11" spans="1:5" x14ac:dyDescent="0.2">
      <c r="A11" s="16"/>
      <c r="B11" s="7" t="s">
        <v>25</v>
      </c>
      <c r="C11" s="38"/>
      <c r="D11" s="5"/>
      <c r="E11" s="5"/>
    </row>
    <row r="12" spans="1:5" ht="12.75" customHeight="1" x14ac:dyDescent="0.2">
      <c r="A12" s="17"/>
      <c r="B12" s="47" t="s">
        <v>34</v>
      </c>
      <c r="C12" s="38"/>
      <c r="D12" s="5"/>
      <c r="E12" s="5"/>
    </row>
    <row r="13" spans="1:5" x14ac:dyDescent="0.2">
      <c r="A13" s="17"/>
      <c r="B13" s="28" t="s">
        <v>124</v>
      </c>
      <c r="C13" s="38"/>
      <c r="D13" s="5"/>
      <c r="E13" s="5"/>
    </row>
    <row r="14" spans="1:5" x14ac:dyDescent="0.2">
      <c r="A14" s="17"/>
      <c r="B14" s="7"/>
      <c r="C14" s="38"/>
      <c r="D14" s="5"/>
      <c r="E14" s="5"/>
    </row>
    <row r="15" spans="1:5" x14ac:dyDescent="0.2">
      <c r="A15" s="18" t="s">
        <v>136</v>
      </c>
      <c r="B15" s="7" t="s">
        <v>135</v>
      </c>
      <c r="C15" s="38"/>
      <c r="D15" s="5"/>
      <c r="E15" s="5"/>
    </row>
    <row r="16" spans="1:5" x14ac:dyDescent="0.2">
      <c r="A16" s="17"/>
      <c r="B16" s="7"/>
      <c r="C16" s="38"/>
      <c r="D16" s="5"/>
      <c r="E16" s="5"/>
    </row>
    <row r="17" spans="1:7" ht="15" x14ac:dyDescent="0.35">
      <c r="A17" s="17" t="s">
        <v>125</v>
      </c>
      <c r="B17" s="3" t="s">
        <v>111</v>
      </c>
      <c r="C17" s="50">
        <v>168</v>
      </c>
      <c r="D17" s="33"/>
      <c r="E17" s="48">
        <f>SUM(D17*C17)</f>
        <v>0</v>
      </c>
      <c r="G17" s="95"/>
    </row>
    <row r="18" spans="1:7" ht="26.25" customHeight="1" x14ac:dyDescent="0.2">
      <c r="A18" s="17"/>
      <c r="B18" s="56" t="s">
        <v>166</v>
      </c>
      <c r="C18" s="50"/>
      <c r="D18" s="34"/>
      <c r="E18" s="34"/>
      <c r="G18" s="95"/>
    </row>
    <row r="19" spans="1:7" x14ac:dyDescent="0.2">
      <c r="A19" s="17"/>
      <c r="B19" s="3" t="s">
        <v>3</v>
      </c>
      <c r="C19" s="50"/>
      <c r="D19" s="34"/>
      <c r="E19" s="34"/>
      <c r="G19" s="95"/>
    </row>
    <row r="20" spans="1:7" x14ac:dyDescent="0.2">
      <c r="A20" s="17"/>
      <c r="B20" s="7" t="s">
        <v>89</v>
      </c>
      <c r="C20" s="50"/>
      <c r="D20" s="34"/>
      <c r="E20" s="34"/>
      <c r="G20" s="95"/>
    </row>
    <row r="21" spans="1:7" ht="10.5" customHeight="1" x14ac:dyDescent="0.2">
      <c r="A21" s="17"/>
      <c r="B21" s="3"/>
      <c r="C21" s="50"/>
      <c r="D21" s="34"/>
      <c r="E21" s="34"/>
      <c r="G21" s="95"/>
    </row>
    <row r="22" spans="1:7" ht="15" x14ac:dyDescent="0.35">
      <c r="A22" s="17" t="s">
        <v>126</v>
      </c>
      <c r="B22" s="3" t="s">
        <v>171</v>
      </c>
      <c r="C22" s="50">
        <v>120</v>
      </c>
      <c r="D22" s="33"/>
      <c r="E22" s="48">
        <f>SUM(D22*C22)</f>
        <v>0</v>
      </c>
      <c r="G22" s="95"/>
    </row>
    <row r="23" spans="1:7" ht="38.25" customHeight="1" x14ac:dyDescent="0.2">
      <c r="A23" s="17"/>
      <c r="B23" s="56" t="s">
        <v>167</v>
      </c>
      <c r="C23" s="50"/>
      <c r="D23" s="34"/>
      <c r="E23" s="34"/>
      <c r="G23" s="95"/>
    </row>
    <row r="24" spans="1:7" x14ac:dyDescent="0.2">
      <c r="A24" s="17"/>
      <c r="B24" s="3" t="s">
        <v>3</v>
      </c>
      <c r="C24" s="50"/>
      <c r="D24" s="34"/>
      <c r="E24" s="34"/>
      <c r="G24" s="95"/>
    </row>
    <row r="25" spans="1:7" x14ac:dyDescent="0.2">
      <c r="A25" s="17"/>
      <c r="B25" s="7" t="s">
        <v>76</v>
      </c>
      <c r="C25" s="50"/>
      <c r="D25" s="34"/>
      <c r="E25" s="34"/>
      <c r="G25" s="95"/>
    </row>
    <row r="26" spans="1:7" ht="10.5" customHeight="1" x14ac:dyDescent="0.2">
      <c r="A26" s="17"/>
      <c r="B26" s="3"/>
      <c r="C26" s="50"/>
      <c r="D26" s="34"/>
      <c r="E26" s="34"/>
      <c r="G26" s="95"/>
    </row>
    <row r="27" spans="1:7" ht="15" x14ac:dyDescent="0.35">
      <c r="A27" s="17" t="s">
        <v>127</v>
      </c>
      <c r="B27" s="20" t="s">
        <v>42</v>
      </c>
      <c r="C27" s="50">
        <v>144</v>
      </c>
      <c r="D27" s="33"/>
      <c r="E27" s="48">
        <f>SUM(D27*C27)</f>
        <v>0</v>
      </c>
      <c r="G27" s="95"/>
    </row>
    <row r="28" spans="1:7" ht="38.25" customHeight="1" x14ac:dyDescent="0.2">
      <c r="A28" s="21"/>
      <c r="B28" s="56" t="s">
        <v>168</v>
      </c>
      <c r="C28" s="50"/>
      <c r="D28" s="34"/>
      <c r="E28" s="34"/>
      <c r="G28" s="95"/>
    </row>
    <row r="29" spans="1:7" x14ac:dyDescent="0.2">
      <c r="A29" s="22"/>
      <c r="B29" s="3" t="s">
        <v>3</v>
      </c>
      <c r="C29" s="50"/>
      <c r="D29" s="34"/>
      <c r="E29" s="34"/>
      <c r="G29" s="95"/>
    </row>
    <row r="30" spans="1:7" x14ac:dyDescent="0.2">
      <c r="A30" s="22"/>
      <c r="B30" s="7" t="s">
        <v>112</v>
      </c>
      <c r="C30" s="50"/>
      <c r="D30" s="34"/>
      <c r="E30" s="34"/>
      <c r="G30" s="95"/>
    </row>
    <row r="31" spans="1:7" x14ac:dyDescent="0.2">
      <c r="A31" s="17"/>
      <c r="B31" s="3"/>
      <c r="C31" s="50"/>
      <c r="D31" s="34"/>
      <c r="E31" s="34"/>
      <c r="G31" s="95"/>
    </row>
    <row r="32" spans="1:7" ht="15" x14ac:dyDescent="0.35">
      <c r="A32" s="17" t="s">
        <v>128</v>
      </c>
      <c r="B32" s="20" t="s">
        <v>46</v>
      </c>
      <c r="C32" s="50">
        <v>84</v>
      </c>
      <c r="D32" s="33"/>
      <c r="E32" s="48">
        <f>SUM(D32*C32)</f>
        <v>0</v>
      </c>
      <c r="G32" s="95"/>
    </row>
    <row r="33" spans="1:7" ht="27.75" customHeight="1" x14ac:dyDescent="0.2">
      <c r="A33" s="21"/>
      <c r="B33" s="56" t="s">
        <v>169</v>
      </c>
      <c r="C33" s="50"/>
      <c r="D33" s="34"/>
      <c r="E33" s="34"/>
      <c r="G33" s="95"/>
    </row>
    <row r="34" spans="1:7" x14ac:dyDescent="0.2">
      <c r="A34" s="22"/>
      <c r="B34" s="3" t="s">
        <v>3</v>
      </c>
      <c r="C34" s="50"/>
      <c r="D34" s="34"/>
      <c r="E34" s="34"/>
      <c r="G34" s="95"/>
    </row>
    <row r="35" spans="1:7" x14ac:dyDescent="0.2">
      <c r="A35" s="22"/>
      <c r="B35" s="7" t="s">
        <v>113</v>
      </c>
      <c r="C35" s="50"/>
      <c r="D35" s="34"/>
      <c r="E35" s="34"/>
      <c r="G35" s="95"/>
    </row>
    <row r="36" spans="1:7" ht="10.5" customHeight="1" x14ac:dyDescent="0.2">
      <c r="A36" s="17"/>
      <c r="B36" s="7"/>
      <c r="C36" s="39"/>
      <c r="D36" s="11"/>
      <c r="E36" s="11"/>
      <c r="G36" s="95"/>
    </row>
    <row r="37" spans="1:7" ht="15" x14ac:dyDescent="0.35">
      <c r="A37" s="17" t="s">
        <v>129</v>
      </c>
      <c r="B37" s="3" t="s">
        <v>46</v>
      </c>
      <c r="C37" s="50">
        <v>84</v>
      </c>
      <c r="D37" s="33"/>
      <c r="E37" s="48">
        <f>SUM(D37*C37)</f>
        <v>0</v>
      </c>
      <c r="G37" s="95"/>
    </row>
    <row r="38" spans="1:7" ht="26.25" customHeight="1" x14ac:dyDescent="0.2">
      <c r="A38" s="17"/>
      <c r="B38" s="56" t="s">
        <v>170</v>
      </c>
      <c r="C38" s="39"/>
      <c r="D38" s="11"/>
      <c r="E38" s="11"/>
      <c r="G38" s="95"/>
    </row>
    <row r="39" spans="1:7" x14ac:dyDescent="0.2">
      <c r="A39" s="17"/>
      <c r="B39" s="3" t="s">
        <v>3</v>
      </c>
      <c r="C39" s="39"/>
      <c r="D39" s="11"/>
      <c r="E39" s="11"/>
      <c r="G39" s="95"/>
    </row>
    <row r="40" spans="1:7" x14ac:dyDescent="0.2">
      <c r="A40" s="17"/>
      <c r="B40" s="7" t="s">
        <v>113</v>
      </c>
      <c r="C40" s="39"/>
      <c r="D40" s="11"/>
      <c r="E40" s="11"/>
      <c r="G40" s="95"/>
    </row>
    <row r="41" spans="1:7" ht="10.5" customHeight="1" x14ac:dyDescent="0.2">
      <c r="A41" s="17"/>
      <c r="B41" s="7"/>
      <c r="C41" s="39"/>
      <c r="D41" s="11"/>
      <c r="E41" s="11"/>
      <c r="G41" s="95"/>
    </row>
    <row r="42" spans="1:7" ht="15" x14ac:dyDescent="0.35">
      <c r="A42" s="17" t="s">
        <v>130</v>
      </c>
      <c r="B42" s="3" t="s">
        <v>44</v>
      </c>
      <c r="C42" s="50">
        <v>108</v>
      </c>
      <c r="D42" s="33"/>
      <c r="E42" s="48">
        <f>SUM(D42*C42)</f>
        <v>0</v>
      </c>
      <c r="G42" s="95"/>
    </row>
    <row r="43" spans="1:7" ht="25.5" customHeight="1" x14ac:dyDescent="0.2">
      <c r="A43" s="17"/>
      <c r="B43" s="56" t="s">
        <v>45</v>
      </c>
      <c r="C43" s="39"/>
      <c r="D43" s="11"/>
      <c r="E43" s="11"/>
    </row>
    <row r="44" spans="1:7" x14ac:dyDescent="0.2">
      <c r="A44" s="17"/>
      <c r="B44" s="3" t="s">
        <v>3</v>
      </c>
      <c r="C44" s="39"/>
      <c r="D44" s="11"/>
      <c r="E44" s="11"/>
    </row>
    <row r="45" spans="1:7" x14ac:dyDescent="0.2">
      <c r="A45" s="17"/>
      <c r="B45" s="7" t="s">
        <v>114</v>
      </c>
      <c r="C45" s="39"/>
      <c r="D45" s="11"/>
      <c r="E45" s="11"/>
    </row>
    <row r="46" spans="1:7" x14ac:dyDescent="0.2">
      <c r="A46" s="17"/>
      <c r="B46" s="3"/>
      <c r="C46" s="39"/>
      <c r="D46" s="11"/>
      <c r="E46" s="11"/>
    </row>
    <row r="47" spans="1:7" ht="15" x14ac:dyDescent="0.35">
      <c r="A47" s="17"/>
      <c r="B47" s="7" t="s">
        <v>131</v>
      </c>
      <c r="C47" s="38"/>
      <c r="D47" s="11"/>
      <c r="E47" s="48">
        <f>SUM(E17:E43)</f>
        <v>0</v>
      </c>
    </row>
    <row r="48" spans="1:7" ht="11.25" customHeight="1" x14ac:dyDescent="0.2">
      <c r="A48" s="27"/>
      <c r="B48" s="23"/>
      <c r="C48" s="40"/>
      <c r="D48" s="27"/>
      <c r="E48" s="49"/>
    </row>
    <row r="49" spans="5:5" ht="17.25" customHeight="1" x14ac:dyDescent="0.2"/>
    <row r="50" spans="5:5" x14ac:dyDescent="0.2">
      <c r="E50" s="45"/>
    </row>
  </sheetData>
  <printOptions horizontalCentered="1"/>
  <pageMargins left="0.25" right="0.25" top="0.75" bottom="0.75" header="0.5" footer="0.5"/>
  <pageSetup scale="80" orientation="portrait" r:id="rId1"/>
  <headerFooter alignWithMargins="0">
    <oddFooter>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view="pageBreakPreview" zoomScale="60" zoomScaleNormal="115" workbookViewId="0">
      <selection activeCell="A2" sqref="A2"/>
    </sheetView>
  </sheetViews>
  <sheetFormatPr defaultRowHeight="12.75" x14ac:dyDescent="0.2"/>
  <cols>
    <col min="1" max="1" width="12.5703125" customWidth="1"/>
    <col min="2" max="2" width="68" customWidth="1"/>
    <col min="3" max="3" width="13.5703125" style="41" customWidth="1"/>
    <col min="4" max="4" width="15.140625" style="108" customWidth="1"/>
    <col min="5" max="5" width="17.5703125" customWidth="1"/>
  </cols>
  <sheetData>
    <row r="1" spans="1:5" x14ac:dyDescent="0.2">
      <c r="A1" s="4" t="s">
        <v>172</v>
      </c>
      <c r="B1" s="8"/>
      <c r="C1" s="24"/>
      <c r="D1" s="96"/>
      <c r="E1" s="15"/>
    </row>
    <row r="2" spans="1:5" x14ac:dyDescent="0.2">
      <c r="A2" s="4" t="s">
        <v>151</v>
      </c>
      <c r="B2" s="1"/>
      <c r="C2" s="4"/>
      <c r="D2" s="97"/>
      <c r="E2" s="2" t="s">
        <v>144</v>
      </c>
    </row>
    <row r="3" spans="1:5" x14ac:dyDescent="0.2">
      <c r="A3" s="31"/>
      <c r="B3" s="26"/>
      <c r="C3" s="37"/>
      <c r="D3" s="98"/>
      <c r="E3" s="26"/>
    </row>
    <row r="4" spans="1:5" ht="18.75" customHeight="1" x14ac:dyDescent="0.2">
      <c r="A4" s="30" t="s">
        <v>142</v>
      </c>
      <c r="B4" s="8"/>
      <c r="C4" s="36"/>
      <c r="D4" s="99"/>
      <c r="E4" s="15"/>
    </row>
    <row r="5" spans="1:5" ht="7.5" customHeight="1" x14ac:dyDescent="0.2">
      <c r="A5" s="25"/>
      <c r="B5" s="10"/>
      <c r="C5" s="37"/>
      <c r="D5" s="100"/>
      <c r="E5" s="26"/>
    </row>
    <row r="6" spans="1:5" x14ac:dyDescent="0.2">
      <c r="A6" s="16"/>
      <c r="B6" s="57"/>
      <c r="C6" s="35" t="s">
        <v>11</v>
      </c>
      <c r="D6" s="101"/>
      <c r="E6" s="43" t="s">
        <v>11</v>
      </c>
    </row>
    <row r="7" spans="1:5" ht="15.75" x14ac:dyDescent="0.25">
      <c r="A7" s="60" t="s">
        <v>7</v>
      </c>
      <c r="B7" s="58" t="s">
        <v>53</v>
      </c>
      <c r="C7" s="35" t="s">
        <v>35</v>
      </c>
      <c r="D7" s="101" t="s">
        <v>8</v>
      </c>
      <c r="E7" s="44" t="s">
        <v>9</v>
      </c>
    </row>
    <row r="8" spans="1:5" x14ac:dyDescent="0.2">
      <c r="A8" s="16"/>
      <c r="B8" s="7" t="s">
        <v>132</v>
      </c>
      <c r="C8" s="42"/>
      <c r="D8" s="102"/>
      <c r="E8" s="32"/>
    </row>
    <row r="9" spans="1:5" x14ac:dyDescent="0.2">
      <c r="A9" s="16"/>
      <c r="B9" s="7" t="s">
        <v>143</v>
      </c>
      <c r="C9" s="38"/>
      <c r="D9" s="103"/>
      <c r="E9" s="5"/>
    </row>
    <row r="10" spans="1:5" x14ac:dyDescent="0.2">
      <c r="A10" s="16"/>
      <c r="B10" s="3" t="s">
        <v>1</v>
      </c>
      <c r="C10" s="38"/>
      <c r="D10" s="103"/>
      <c r="E10" s="5"/>
    </row>
    <row r="11" spans="1:5" x14ac:dyDescent="0.2">
      <c r="A11" s="16"/>
      <c r="B11" s="7" t="s">
        <v>25</v>
      </c>
      <c r="C11" s="38"/>
      <c r="D11" s="103"/>
      <c r="E11" s="5"/>
    </row>
    <row r="12" spans="1:5" ht="12.75" customHeight="1" x14ac:dyDescent="0.2">
      <c r="A12" s="17"/>
      <c r="B12" s="47" t="s">
        <v>34</v>
      </c>
      <c r="C12" s="38"/>
      <c r="D12" s="103"/>
      <c r="E12" s="5"/>
    </row>
    <row r="13" spans="1:5" x14ac:dyDescent="0.2">
      <c r="A13" s="17"/>
      <c r="B13" s="28" t="s">
        <v>124</v>
      </c>
      <c r="C13" s="38"/>
      <c r="D13" s="103"/>
      <c r="E13" s="5"/>
    </row>
    <row r="14" spans="1:5" x14ac:dyDescent="0.2">
      <c r="A14" s="17"/>
      <c r="B14" s="7"/>
      <c r="C14" s="38"/>
      <c r="D14" s="103"/>
      <c r="E14" s="5"/>
    </row>
    <row r="15" spans="1:5" x14ac:dyDescent="0.2">
      <c r="A15" s="18" t="s">
        <v>152</v>
      </c>
      <c r="B15" s="7" t="s">
        <v>159</v>
      </c>
      <c r="C15" s="38"/>
      <c r="D15" s="103"/>
      <c r="E15" s="5"/>
    </row>
    <row r="16" spans="1:5" x14ac:dyDescent="0.2">
      <c r="A16" s="17"/>
      <c r="B16" s="7"/>
      <c r="C16" s="38"/>
      <c r="D16" s="103"/>
      <c r="E16" s="5"/>
    </row>
    <row r="17" spans="1:5" ht="15" x14ac:dyDescent="0.35">
      <c r="A17" s="17" t="s">
        <v>145</v>
      </c>
      <c r="B17" s="3" t="s">
        <v>111</v>
      </c>
      <c r="C17" s="50">
        <f>14*6</f>
        <v>84</v>
      </c>
      <c r="D17" s="104"/>
      <c r="E17" s="48">
        <f>SUM(D17*C17)</f>
        <v>0</v>
      </c>
    </row>
    <row r="18" spans="1:5" ht="44.25" customHeight="1" x14ac:dyDescent="0.2">
      <c r="A18" s="17"/>
      <c r="B18" s="56" t="s">
        <v>166</v>
      </c>
      <c r="C18" s="50"/>
      <c r="D18" s="105"/>
      <c r="E18" s="34"/>
    </row>
    <row r="19" spans="1:5" x14ac:dyDescent="0.2">
      <c r="A19" s="17"/>
      <c r="B19" s="3" t="s">
        <v>3</v>
      </c>
      <c r="C19" s="50"/>
      <c r="D19" s="105"/>
      <c r="E19" s="34"/>
    </row>
    <row r="20" spans="1:5" x14ac:dyDescent="0.2">
      <c r="A20" s="17"/>
      <c r="B20" s="62" t="s">
        <v>137</v>
      </c>
      <c r="C20" s="50"/>
      <c r="D20" s="105"/>
      <c r="E20" s="34"/>
    </row>
    <row r="21" spans="1:5" ht="10.5" customHeight="1" x14ac:dyDescent="0.2">
      <c r="A21" s="17"/>
      <c r="B21" s="3"/>
      <c r="C21" s="50"/>
      <c r="D21" s="105"/>
      <c r="E21" s="34"/>
    </row>
    <row r="22" spans="1:5" ht="15" x14ac:dyDescent="0.35">
      <c r="A22" s="17" t="s">
        <v>146</v>
      </c>
      <c r="B22" s="3" t="s">
        <v>171</v>
      </c>
      <c r="C22" s="50">
        <f>10*6</f>
        <v>60</v>
      </c>
      <c r="D22" s="104"/>
      <c r="E22" s="48">
        <f>SUM(D22*C22)</f>
        <v>0</v>
      </c>
    </row>
    <row r="23" spans="1:5" ht="38.25" customHeight="1" x14ac:dyDescent="0.2">
      <c r="A23" s="17"/>
      <c r="B23" s="56" t="s">
        <v>167</v>
      </c>
      <c r="C23" s="50"/>
      <c r="D23" s="105"/>
      <c r="E23" s="34"/>
    </row>
    <row r="24" spans="1:5" x14ac:dyDescent="0.2">
      <c r="A24" s="17"/>
      <c r="B24" s="3" t="s">
        <v>3</v>
      </c>
      <c r="C24" s="50"/>
      <c r="D24" s="105"/>
      <c r="E24" s="34"/>
    </row>
    <row r="25" spans="1:5" x14ac:dyDescent="0.2">
      <c r="A25" s="17"/>
      <c r="B25" s="7" t="s">
        <v>138</v>
      </c>
      <c r="C25" s="50"/>
      <c r="D25" s="105"/>
      <c r="E25" s="34"/>
    </row>
    <row r="26" spans="1:5" ht="10.5" customHeight="1" x14ac:dyDescent="0.2">
      <c r="A26" s="17"/>
      <c r="B26" s="3"/>
      <c r="C26" s="50"/>
      <c r="D26" s="105"/>
      <c r="E26" s="34"/>
    </row>
    <row r="27" spans="1:5" ht="15" x14ac:dyDescent="0.35">
      <c r="A27" s="17" t="s">
        <v>147</v>
      </c>
      <c r="B27" s="20" t="s">
        <v>42</v>
      </c>
      <c r="C27" s="50">
        <f>12*6</f>
        <v>72</v>
      </c>
      <c r="D27" s="104"/>
      <c r="E27" s="48">
        <f>SUM(D27*C27)</f>
        <v>0</v>
      </c>
    </row>
    <row r="28" spans="1:5" ht="38.25" customHeight="1" x14ac:dyDescent="0.2">
      <c r="A28" s="21"/>
      <c r="B28" s="56" t="s">
        <v>168</v>
      </c>
      <c r="C28" s="50"/>
      <c r="D28" s="105"/>
      <c r="E28" s="34"/>
    </row>
    <row r="29" spans="1:5" x14ac:dyDescent="0.2">
      <c r="A29" s="22"/>
      <c r="B29" s="3" t="s">
        <v>3</v>
      </c>
      <c r="C29" s="50"/>
      <c r="D29" s="105"/>
      <c r="E29" s="34"/>
    </row>
    <row r="30" spans="1:5" x14ac:dyDescent="0.2">
      <c r="A30" s="22"/>
      <c r="B30" s="7" t="s">
        <v>139</v>
      </c>
      <c r="C30" s="50"/>
      <c r="D30" s="105"/>
      <c r="E30" s="34"/>
    </row>
    <row r="31" spans="1:5" x14ac:dyDescent="0.2">
      <c r="A31" s="17"/>
      <c r="B31" s="3"/>
      <c r="C31" s="50"/>
      <c r="D31" s="105"/>
      <c r="E31" s="34"/>
    </row>
    <row r="32" spans="1:5" ht="15" x14ac:dyDescent="0.35">
      <c r="A32" s="17" t="s">
        <v>148</v>
      </c>
      <c r="B32" s="20" t="s">
        <v>46</v>
      </c>
      <c r="C32" s="50">
        <f>7*6</f>
        <v>42</v>
      </c>
      <c r="D32" s="104"/>
      <c r="E32" s="48">
        <f>SUM(D32*C32)</f>
        <v>0</v>
      </c>
    </row>
    <row r="33" spans="1:5" ht="27.75" customHeight="1" x14ac:dyDescent="0.2">
      <c r="A33" s="21"/>
      <c r="B33" s="56" t="s">
        <v>169</v>
      </c>
      <c r="C33" s="50"/>
      <c r="D33" s="105"/>
      <c r="E33" s="34"/>
    </row>
    <row r="34" spans="1:5" x14ac:dyDescent="0.2">
      <c r="A34" s="22"/>
      <c r="B34" s="3" t="s">
        <v>3</v>
      </c>
      <c r="C34" s="50"/>
      <c r="D34" s="105"/>
      <c r="E34" s="34"/>
    </row>
    <row r="35" spans="1:5" x14ac:dyDescent="0.2">
      <c r="A35" s="22"/>
      <c r="B35" s="7" t="s">
        <v>140</v>
      </c>
      <c r="C35" s="50"/>
      <c r="D35" s="105"/>
      <c r="E35" s="34"/>
    </row>
    <row r="36" spans="1:5" ht="10.5" customHeight="1" x14ac:dyDescent="0.2">
      <c r="A36" s="17"/>
      <c r="B36" s="7"/>
      <c r="C36" s="39"/>
      <c r="D36" s="106"/>
      <c r="E36" s="11"/>
    </row>
    <row r="37" spans="1:5" ht="15" x14ac:dyDescent="0.35">
      <c r="A37" s="17" t="s">
        <v>149</v>
      </c>
      <c r="B37" s="3" t="s">
        <v>46</v>
      </c>
      <c r="C37" s="50">
        <f>7*6</f>
        <v>42</v>
      </c>
      <c r="D37" s="104"/>
      <c r="E37" s="48">
        <f>SUM(D37*C37)</f>
        <v>0</v>
      </c>
    </row>
    <row r="38" spans="1:5" ht="26.25" customHeight="1" x14ac:dyDescent="0.2">
      <c r="A38" s="17"/>
      <c r="B38" s="56" t="s">
        <v>170</v>
      </c>
      <c r="C38" s="39"/>
      <c r="D38" s="106"/>
      <c r="E38" s="11"/>
    </row>
    <row r="39" spans="1:5" x14ac:dyDescent="0.2">
      <c r="A39" s="17"/>
      <c r="B39" s="3" t="s">
        <v>3</v>
      </c>
      <c r="C39" s="39"/>
      <c r="D39" s="106"/>
      <c r="E39" s="11"/>
    </row>
    <row r="40" spans="1:5" x14ac:dyDescent="0.2">
      <c r="A40" s="17"/>
      <c r="B40" s="7" t="s">
        <v>140</v>
      </c>
      <c r="C40" s="39"/>
      <c r="D40" s="106"/>
      <c r="E40" s="11"/>
    </row>
    <row r="41" spans="1:5" ht="10.5" customHeight="1" x14ac:dyDescent="0.2">
      <c r="A41" s="17"/>
      <c r="B41" s="7"/>
      <c r="C41" s="39"/>
      <c r="D41" s="106"/>
      <c r="E41" s="11"/>
    </row>
    <row r="42" spans="1:5" ht="15" x14ac:dyDescent="0.35">
      <c r="A42" s="17" t="s">
        <v>150</v>
      </c>
      <c r="B42" s="3" t="s">
        <v>44</v>
      </c>
      <c r="C42" s="50">
        <f>9*6</f>
        <v>54</v>
      </c>
      <c r="D42" s="104"/>
      <c r="E42" s="48">
        <f>SUM(D42*C42)</f>
        <v>0</v>
      </c>
    </row>
    <row r="43" spans="1:5" ht="25.5" customHeight="1" x14ac:dyDescent="0.2">
      <c r="A43" s="17"/>
      <c r="B43" s="56" t="s">
        <v>45</v>
      </c>
      <c r="C43" s="39"/>
      <c r="D43" s="106"/>
      <c r="E43" s="11"/>
    </row>
    <row r="44" spans="1:5" x14ac:dyDescent="0.2">
      <c r="A44" s="17"/>
      <c r="B44" s="3" t="s">
        <v>3</v>
      </c>
      <c r="C44" s="39"/>
      <c r="D44" s="106"/>
      <c r="E44" s="11"/>
    </row>
    <row r="45" spans="1:5" x14ac:dyDescent="0.2">
      <c r="A45" s="17"/>
      <c r="B45" s="7" t="s">
        <v>141</v>
      </c>
      <c r="C45" s="39"/>
      <c r="D45" s="106"/>
      <c r="E45" s="11"/>
    </row>
    <row r="46" spans="1:5" x14ac:dyDescent="0.2">
      <c r="A46" s="17"/>
      <c r="B46" s="3"/>
      <c r="C46" s="39"/>
      <c r="D46" s="106"/>
      <c r="E46" s="11"/>
    </row>
    <row r="47" spans="1:5" ht="15" x14ac:dyDescent="0.35">
      <c r="A47" s="17"/>
      <c r="B47" s="7" t="s">
        <v>160</v>
      </c>
      <c r="C47" s="38"/>
      <c r="D47" s="106"/>
      <c r="E47" s="48">
        <f>SUM(E17:E43)</f>
        <v>0</v>
      </c>
    </row>
    <row r="48" spans="1:5" ht="11.25" customHeight="1" x14ac:dyDescent="0.2">
      <c r="A48" s="27"/>
      <c r="B48" s="23"/>
      <c r="C48" s="40"/>
      <c r="D48" s="107"/>
      <c r="E48" s="49"/>
    </row>
    <row r="49" spans="5:5" ht="17.25" customHeight="1" x14ac:dyDescent="0.2"/>
    <row r="50" spans="5:5" x14ac:dyDescent="0.2">
      <c r="E50" s="45"/>
    </row>
  </sheetData>
  <printOptions horizontalCentered="1"/>
  <pageMargins left="0.25" right="0.25" top="0.75" bottom="0.75" header="0.5" footer="0.5"/>
  <pageSetup scale="80" orientation="portrait" r:id="rId1"/>
  <headerFooter alignWithMargins="0">
    <oddFooter>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be412c3-f1c4-4849-b4db-81eaed90e32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2F4D9A47D6564BBCF398892DDF2581" ma:contentTypeVersion="14" ma:contentTypeDescription="Create a new document." ma:contentTypeScope="" ma:versionID="2c5f84a2ffbfbbc4c751242e60d8a37d">
  <xsd:schema xmlns:xsd="http://www.w3.org/2001/XMLSchema" xmlns:xs="http://www.w3.org/2001/XMLSchema" xmlns:p="http://schemas.microsoft.com/office/2006/metadata/properties" xmlns:ns3="5be412c3-f1c4-4849-b4db-81eaed90e32f" xmlns:ns4="1b520a96-7523-4fec-a359-c72c5c45bc90" targetNamespace="http://schemas.microsoft.com/office/2006/metadata/properties" ma:root="true" ma:fieldsID="62ee1fe03e5ba6b9c4a878ebab8818be" ns3:_="" ns4:_="">
    <xsd:import namespace="5be412c3-f1c4-4849-b4db-81eaed90e32f"/>
    <xsd:import namespace="1b520a96-7523-4fec-a359-c72c5c45bc9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e412c3-f1c4-4849-b4db-81eaed90e3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20a96-7523-4fec-a359-c72c5c45b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C41269-9C23-4DFE-90A5-7E97DA2062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8795EE-2324-4919-8A4B-4728646FD824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b520a96-7523-4fec-a359-c72c5c45bc90"/>
    <ds:schemaRef ds:uri="5be412c3-f1c4-4849-b4db-81eaed90e32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0920275-AD54-4824-A2C8-74A38EDE72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e412c3-f1c4-4849-b4db-81eaed90e32f"/>
    <ds:schemaRef ds:uri="1b520a96-7523-4fec-a359-c72c5c45bc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CLIN</vt:lpstr>
      <vt:lpstr>EXHIBIT A</vt:lpstr>
      <vt:lpstr>EXHIBIT B</vt:lpstr>
      <vt:lpstr>EXHIBIT C</vt:lpstr>
      <vt:lpstr>EXHIBIT D</vt:lpstr>
      <vt:lpstr>EXHIBIT E</vt:lpstr>
      <vt:lpstr>EXHIBIT F</vt:lpstr>
      <vt:lpstr>EXHIBIT G</vt:lpstr>
    </vt:vector>
  </TitlesOfParts>
  <Company>NAVFACMARIANAS, GUAM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jeeeun.park</dc:creator>
  <cp:lastModifiedBy>Ofeciar, Alice G CIV USN NAVFAC</cp:lastModifiedBy>
  <cp:lastPrinted>2025-03-18T06:22:57Z</cp:lastPrinted>
  <dcterms:created xsi:type="dcterms:W3CDTF">2008-04-08T00:25:05Z</dcterms:created>
  <dcterms:modified xsi:type="dcterms:W3CDTF">2025-03-27T00:47:59Z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0x010100DF2F4D9A47D6564BBCF398892DDF2581</vt:lpwstr>
  </property>
</Properties>
</file>