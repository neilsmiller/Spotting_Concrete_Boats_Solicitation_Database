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af-my.dps.mil/personal/cole_jones_6_us_af_mil/Documents/Desktop/2 - Service Contracts - Open/1 - FY26 KE/"/>
    </mc:Choice>
  </mc:AlternateContent>
  <xr:revisionPtr revIDLastSave="0" documentId="8_{ADAD6A7F-44FA-4C04-BC30-0B9F613CF34A}" xr6:coauthVersionLast="47" xr6:coauthVersionMax="47" xr10:uidLastSave="{00000000-0000-0000-0000-000000000000}"/>
  <bookViews>
    <workbookView xWindow="-28920" yWindow="120" windowWidth="29040" windowHeight="15510" xr2:uid="{00000000-000D-0000-FFFF-FFFF00000000}"/>
  </bookViews>
  <sheets>
    <sheet name="Summary" sheetId="29" r:id="rId1"/>
    <sheet name="FY27" sheetId="28" r:id="rId2"/>
    <sheet name="FY28" sheetId="31" r:id="rId3"/>
    <sheet name="FY29" sheetId="34" r:id="rId4"/>
    <sheet name="FY30" sheetId="33" r:id="rId5"/>
    <sheet name="FY31" sheetId="32" r:id="rId6"/>
  </sheets>
  <definedNames>
    <definedName name="_xlnm.Print_Area" localSheetId="1">'FY27'!$A$1:$I$65</definedName>
    <definedName name="_xlnm.Print_Area" localSheetId="2">'FY28'!$A$1:$I$65</definedName>
    <definedName name="_xlnm.Print_Area" localSheetId="3">'FY29'!$A$1:$I$65</definedName>
    <definedName name="_xlnm.Print_Area" localSheetId="4">'FY30'!$A$1:$I$65</definedName>
    <definedName name="_xlnm.Print_Area" localSheetId="5">'FY31'!$A$1:$I$65</definedName>
    <definedName name="_xlnm.Print_Area" localSheetId="0">Summary!$A$1:$H$21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4" i="34" l="1"/>
  <c r="G61" i="34"/>
  <c r="I58" i="34"/>
  <c r="I56" i="34"/>
  <c r="I53" i="34"/>
  <c r="I49" i="34"/>
  <c r="I48" i="34"/>
  <c r="I47" i="34"/>
  <c r="I46" i="34"/>
  <c r="I45" i="34"/>
  <c r="I44" i="34"/>
  <c r="I43" i="34"/>
  <c r="I42" i="34"/>
  <c r="I41" i="34"/>
  <c r="I39" i="34"/>
  <c r="I38" i="34"/>
  <c r="I37" i="34"/>
  <c r="I36" i="34"/>
  <c r="I35" i="34"/>
  <c r="I34" i="34"/>
  <c r="I32" i="34"/>
  <c r="I30" i="34"/>
  <c r="I29" i="34"/>
  <c r="I28" i="34"/>
  <c r="I27" i="34"/>
  <c r="I26" i="34"/>
  <c r="I25" i="34"/>
  <c r="I22" i="34"/>
  <c r="I21" i="34"/>
  <c r="I20" i="34"/>
  <c r="I19" i="34"/>
  <c r="I16" i="34"/>
  <c r="I9" i="34"/>
  <c r="I7" i="34"/>
  <c r="I6" i="34"/>
  <c r="I5" i="34"/>
  <c r="I4" i="34"/>
  <c r="A64" i="33"/>
  <c r="G61" i="33"/>
  <c r="I58" i="33"/>
  <c r="I56" i="33"/>
  <c r="I53" i="33"/>
  <c r="I49" i="33"/>
  <c r="I48" i="33"/>
  <c r="I47" i="33"/>
  <c r="I46" i="33"/>
  <c r="I45" i="33"/>
  <c r="I44" i="33"/>
  <c r="I43" i="33"/>
  <c r="I42" i="33"/>
  <c r="I41" i="33"/>
  <c r="I39" i="33"/>
  <c r="I38" i="33"/>
  <c r="I37" i="33"/>
  <c r="I36" i="33"/>
  <c r="I35" i="33"/>
  <c r="I34" i="33"/>
  <c r="I32" i="33"/>
  <c r="I30" i="33"/>
  <c r="I29" i="33"/>
  <c r="I28" i="33"/>
  <c r="I27" i="33"/>
  <c r="I26" i="33"/>
  <c r="I25" i="33"/>
  <c r="I22" i="33"/>
  <c r="I21" i="33"/>
  <c r="I20" i="33"/>
  <c r="I19" i="33"/>
  <c r="I16" i="33"/>
  <c r="I9" i="33"/>
  <c r="I7" i="33"/>
  <c r="I6" i="33"/>
  <c r="I5" i="33"/>
  <c r="I4" i="33"/>
  <c r="A64" i="32"/>
  <c r="G61" i="32"/>
  <c r="I58" i="32"/>
  <c r="I56" i="32"/>
  <c r="I53" i="32"/>
  <c r="I49" i="32"/>
  <c r="I48" i="32"/>
  <c r="I47" i="32"/>
  <c r="I46" i="32"/>
  <c r="I45" i="32"/>
  <c r="I44" i="32"/>
  <c r="I43" i="32"/>
  <c r="I42" i="32"/>
  <c r="I41" i="32"/>
  <c r="I39" i="32"/>
  <c r="I38" i="32"/>
  <c r="I37" i="32"/>
  <c r="I36" i="32"/>
  <c r="I35" i="32"/>
  <c r="I34" i="32"/>
  <c r="I32" i="32"/>
  <c r="I30" i="32"/>
  <c r="I29" i="32"/>
  <c r="I28" i="32"/>
  <c r="I27" i="32"/>
  <c r="I26" i="32"/>
  <c r="I25" i="32"/>
  <c r="I22" i="32"/>
  <c r="I21" i="32"/>
  <c r="I20" i="32"/>
  <c r="I19" i="32"/>
  <c r="I16" i="32"/>
  <c r="I9" i="32"/>
  <c r="I7" i="32"/>
  <c r="I6" i="32"/>
  <c r="I5" i="32"/>
  <c r="I4" i="32"/>
  <c r="A64" i="31"/>
  <c r="G61" i="31"/>
  <c r="I58" i="31"/>
  <c r="I56" i="31"/>
  <c r="I53" i="31"/>
  <c r="I49" i="31"/>
  <c r="I48" i="31"/>
  <c r="I47" i="31"/>
  <c r="I46" i="31"/>
  <c r="I45" i="31"/>
  <c r="I44" i="31"/>
  <c r="I43" i="31"/>
  <c r="I42" i="31"/>
  <c r="I41" i="31"/>
  <c r="I39" i="31"/>
  <c r="I38" i="31"/>
  <c r="I37" i="31"/>
  <c r="I36" i="31"/>
  <c r="I35" i="31"/>
  <c r="I34" i="31"/>
  <c r="I32" i="31"/>
  <c r="I30" i="31"/>
  <c r="I29" i="31"/>
  <c r="I28" i="31"/>
  <c r="I27" i="31"/>
  <c r="I26" i="31"/>
  <c r="I25" i="31"/>
  <c r="I22" i="31"/>
  <c r="I21" i="31"/>
  <c r="I20" i="31"/>
  <c r="I19" i="31"/>
  <c r="I16" i="31"/>
  <c r="I9" i="31"/>
  <c r="I7" i="31"/>
  <c r="I6" i="31"/>
  <c r="I5" i="31"/>
  <c r="I4" i="31"/>
  <c r="I61" i="32" l="1"/>
  <c r="F9" i="29" s="1"/>
  <c r="I61" i="33"/>
  <c r="F8" i="29" s="1"/>
  <c r="I61" i="34"/>
  <c r="F7" i="29" s="1"/>
  <c r="I61" i="31"/>
  <c r="F6" i="29" s="1"/>
  <c r="I53" i="28" l="1"/>
  <c r="I58" i="28"/>
  <c r="I19" i="28"/>
  <c r="I20" i="28"/>
  <c r="I21" i="28"/>
  <c r="I22" i="28"/>
  <c r="I9" i="28" l="1"/>
  <c r="A64" i="28" l="1"/>
  <c r="G61" i="28"/>
  <c r="I56" i="28"/>
  <c r="I49" i="28"/>
  <c r="I48" i="28"/>
  <c r="I47" i="28"/>
  <c r="I46" i="28"/>
  <c r="I45" i="28"/>
  <c r="I44" i="28"/>
  <c r="I43" i="28"/>
  <c r="I42" i="28"/>
  <c r="I41" i="28"/>
  <c r="I39" i="28"/>
  <c r="I38" i="28"/>
  <c r="I37" i="28"/>
  <c r="I36" i="28"/>
  <c r="I35" i="28"/>
  <c r="I34" i="28"/>
  <c r="I32" i="28"/>
  <c r="I30" i="28"/>
  <c r="I29" i="28"/>
  <c r="I28" i="28"/>
  <c r="I27" i="28"/>
  <c r="I26" i="28"/>
  <c r="I25" i="28"/>
  <c r="I16" i="28"/>
  <c r="I7" i="28"/>
  <c r="I6" i="28"/>
  <c r="I5" i="28"/>
  <c r="I4" i="28"/>
  <c r="I61" i="28" l="1"/>
  <c r="F5" i="29" l="1"/>
  <c r="F11" i="29" s="1"/>
</calcChain>
</file>

<file path=xl/sharedStrings.xml><?xml version="1.0" encoding="utf-8"?>
<sst xmlns="http://schemas.openxmlformats.org/spreadsheetml/2006/main" count="1031" uniqueCount="283">
  <si>
    <t xml:space="preserve">Kitchen Exhaust Hood Cleaning </t>
  </si>
  <si>
    <t>FY27 Ordering Period 1 Oct 26 - 30 Sep 27</t>
  </si>
  <si>
    <t>FY28 Ordering Period 1 Oct 27 - 30 Sep 28</t>
  </si>
  <si>
    <t>FY29 Ordering Period 1 Oct 28 - 30 Sep 29</t>
  </si>
  <si>
    <t>FY30 Ordering Period 1 Oct 29 - 30 Sep 30</t>
  </si>
  <si>
    <t>FY31 Ordering Period 1 Oct 30 - 30 Sep 31</t>
  </si>
  <si>
    <t xml:space="preserve"> </t>
  </si>
  <si>
    <t>Item #</t>
  </si>
  <si>
    <t>Bldg</t>
  </si>
  <si>
    <t>Hood label #</t>
  </si>
  <si>
    <t>Description</t>
  </si>
  <si>
    <t>months</t>
  </si>
  <si>
    <t>Frequency</t>
  </si>
  <si>
    <t>Annual # of Cleanings</t>
  </si>
  <si>
    <t>Unit Price</t>
  </si>
  <si>
    <t>Total cost</t>
  </si>
  <si>
    <t>Food Service</t>
  </si>
  <si>
    <t>A001</t>
  </si>
  <si>
    <r>
      <t xml:space="preserve">Steam kettle area 
L 9' x W 6' x H 2' 
</t>
    </r>
    <r>
      <rPr>
        <sz val="10"/>
        <color rgb="FFFF0000"/>
        <rFont val="Arial"/>
        <family val="2"/>
      </rPr>
      <t>(2 throats</t>
    </r>
    <r>
      <rPr>
        <sz val="10"/>
        <rFont val="Arial"/>
        <family val="2"/>
      </rPr>
      <t>)
Self washing unit</t>
    </r>
  </si>
  <si>
    <t>May</t>
  </si>
  <si>
    <t>Annual</t>
  </si>
  <si>
    <t>A002</t>
  </si>
  <si>
    <r>
      <t xml:space="preserve">Steam kettle area 
L 9' x W 6' x H 2' 
</t>
    </r>
    <r>
      <rPr>
        <sz val="10"/>
        <color rgb="FFFF0000"/>
        <rFont val="Arial"/>
        <family val="2"/>
      </rPr>
      <t>(2 throats)</t>
    </r>
    <r>
      <rPr>
        <sz val="10"/>
        <rFont val="Arial"/>
        <family val="2"/>
      </rPr>
      <t xml:space="preserve">
Self washing unit</t>
    </r>
  </si>
  <si>
    <t>A003</t>
  </si>
  <si>
    <r>
      <t xml:space="preserve">Bakery (fryer - donuts)
L 9' X W 5' X H 3'
</t>
    </r>
    <r>
      <rPr>
        <sz val="10"/>
        <color rgb="FFFF0000"/>
        <rFont val="Arial"/>
        <family val="2"/>
      </rPr>
      <t>(2 throats)</t>
    </r>
    <r>
      <rPr>
        <sz val="10"/>
        <rFont val="Arial"/>
        <family val="2"/>
      </rPr>
      <t xml:space="preserve">
Self washing unit</t>
    </r>
  </si>
  <si>
    <t>A004</t>
  </si>
  <si>
    <t>Oven in Bakery
L 4' x W 2'4" x H 2'5"
(1 throat)</t>
  </si>
  <si>
    <t>Child Dev Center</t>
  </si>
  <si>
    <t>A005</t>
  </si>
  <si>
    <t>Kitchen Stove top/Oven
L 8' x W4' x H2'
(1 throat)</t>
  </si>
  <si>
    <t>Dec</t>
  </si>
  <si>
    <t>TBD</t>
  </si>
  <si>
    <t>A006</t>
  </si>
  <si>
    <t>A007</t>
  </si>
  <si>
    <t>A008</t>
  </si>
  <si>
    <t>S. Bowling Lane</t>
  </si>
  <si>
    <t>A009</t>
  </si>
  <si>
    <t>Fryer/Grill combo
L 6' x W 4' x H 3'
(1 throat)</t>
  </si>
  <si>
    <t>Jan/Apr/         Jul/Oct</t>
  </si>
  <si>
    <t>Every 3 months</t>
  </si>
  <si>
    <t>Lift Rental</t>
  </si>
  <si>
    <t>MiniMall Food Court</t>
  </si>
  <si>
    <t>A010</t>
  </si>
  <si>
    <t>Taco Bell Steamer
L 3' x W 3' x H 1'4"
(1 throat)</t>
  </si>
  <si>
    <t>Feb/May/              Aug/Nov</t>
  </si>
  <si>
    <t>Monthly</t>
  </si>
  <si>
    <t>A011</t>
  </si>
  <si>
    <t>Panda Express 
L 21' x W 5' x H2'
(1 Throat)</t>
  </si>
  <si>
    <t>A012</t>
  </si>
  <si>
    <t>A013</t>
  </si>
  <si>
    <t>Popeye Chicken      L 11' x W 2' x H 1'  (1 throat)</t>
  </si>
  <si>
    <t>Jan through Dec</t>
  </si>
  <si>
    <t>A014</t>
  </si>
  <si>
    <t>Dining Hall</t>
  </si>
  <si>
    <t>A016</t>
  </si>
  <si>
    <t>Serving Line Grill
L 9 x W 5' x H 4'
(1 throat)
Water wash system</t>
  </si>
  <si>
    <t>Mar/Jun/         Sep/Dec</t>
  </si>
  <si>
    <t xml:space="preserve">Every 3 months </t>
  </si>
  <si>
    <t>A017</t>
  </si>
  <si>
    <t>A018</t>
  </si>
  <si>
    <t>Serving Line 
Fryer/grill/B-B-Q combo
L 10' x W 5' x H 4'
(1 throat)
Water wash system</t>
  </si>
  <si>
    <t>monthly</t>
  </si>
  <si>
    <t>A019</t>
  </si>
  <si>
    <t>A020</t>
  </si>
  <si>
    <r>
      <t xml:space="preserve">Kitchen Ovens/Till grill/Fryer
L 26' x W 5' x H 4'
</t>
    </r>
    <r>
      <rPr>
        <sz val="10"/>
        <color rgb="FFFF0000"/>
        <rFont val="Arial"/>
        <family val="2"/>
      </rPr>
      <t>(2 throats with 2 turbines)</t>
    </r>
    <r>
      <rPr>
        <sz val="10"/>
        <color theme="1"/>
        <rFont val="Arial"/>
        <family val="2"/>
      </rPr>
      <t xml:space="preserve">
Water wash system</t>
    </r>
  </si>
  <si>
    <t>A021</t>
  </si>
  <si>
    <r>
      <t xml:space="preserve">Kitchen Kettle pots
L 20' x W 5' x H 4'
</t>
    </r>
    <r>
      <rPr>
        <sz val="10"/>
        <color rgb="FFFF0000"/>
        <rFont val="Arial"/>
        <family val="2"/>
      </rPr>
      <t>(2 throats)</t>
    </r>
    <r>
      <rPr>
        <sz val="10"/>
        <color theme="1"/>
        <rFont val="Arial"/>
        <family val="2"/>
      </rPr>
      <t xml:space="preserve">
Water wash system</t>
    </r>
  </si>
  <si>
    <t>Jun/Dec</t>
  </si>
  <si>
    <t>Every 6 months</t>
  </si>
  <si>
    <t>N. Bowling Lane</t>
  </si>
  <si>
    <t>A022</t>
  </si>
  <si>
    <t xml:space="preserve">Grill/Fryer Combo
L 10' x W 3' x H 2'
(1 throat) </t>
  </si>
  <si>
    <t>Jan/Jul</t>
  </si>
  <si>
    <t>A023</t>
  </si>
  <si>
    <t>A024</t>
  </si>
  <si>
    <t>A025</t>
  </si>
  <si>
    <t>A026</t>
  </si>
  <si>
    <t>A027</t>
  </si>
  <si>
    <t>A028</t>
  </si>
  <si>
    <r>
      <t xml:space="preserve">Kitchen Kettle pots
L 20' x W 5' x H 4'
</t>
    </r>
    <r>
      <rPr>
        <sz val="10"/>
        <color rgb="FFFF0000"/>
        <rFont val="Arial"/>
        <family val="2"/>
      </rPr>
      <t xml:space="preserve">(2 throats)
</t>
    </r>
    <r>
      <rPr>
        <sz val="10"/>
        <rFont val="Arial"/>
        <family val="2"/>
      </rPr>
      <t>Water wash system</t>
    </r>
  </si>
  <si>
    <t>A029</t>
  </si>
  <si>
    <t>Serving Line
Prep area/ Sandwhich
L 11' x W 5' x H 2'
(1 throat)
Water wash system
Double sided</t>
  </si>
  <si>
    <t>Feb/Aug</t>
  </si>
  <si>
    <t>A030</t>
  </si>
  <si>
    <t>Serving Line -Grill
L 8' x W 5' x H 2'
(1 throat)
Water wash system
Double sided</t>
  </si>
  <si>
    <t>Feb/May/        Aug/Nov</t>
  </si>
  <si>
    <t>A031</t>
  </si>
  <si>
    <t>A032</t>
  </si>
  <si>
    <t>Serving Line Fryer/Grill combo
L 11' x W 5' x H 4'
(1 throat)
Water wash system
Double sided</t>
  </si>
  <si>
    <t>A033</t>
  </si>
  <si>
    <t>Kitchen Till Grill 
L 9' x W 5' X H 3'
(1 throat)
Water wash system
Double sided</t>
  </si>
  <si>
    <t>A034</t>
  </si>
  <si>
    <t>Kitchen Fryer 
L 6' x W 5' X H 3'
(1 throat)
Water wash system
Double sided</t>
  </si>
  <si>
    <t>A035</t>
  </si>
  <si>
    <t>Kitchen Ovens 
L 9' x W 5' X H 3'
(1 throat)
Water wash system
Double sided</t>
  </si>
  <si>
    <t>A036</t>
  </si>
  <si>
    <t>Kitchen Steamer 
L 4' x W 5' X H 3'
(1 throat)
Water wash system
Double sided</t>
  </si>
  <si>
    <t>A037</t>
  </si>
  <si>
    <t>Kitchen Kettle pots 
L 11' x W 5' X H 3'
(1 throat)
Water wash system
Double sided</t>
  </si>
  <si>
    <t>Speed Brake Snack Bar</t>
  </si>
  <si>
    <t>A038</t>
  </si>
  <si>
    <t>SAFB Club</t>
  </si>
  <si>
    <t>A039</t>
  </si>
  <si>
    <t>Front Grill/Fryer Combo
L 8' x W 50.5' x H 4'
(1 throat)</t>
  </si>
  <si>
    <t>Texoma</t>
  </si>
  <si>
    <t>Lake Texoma Grill</t>
  </si>
  <si>
    <t>A040</t>
  </si>
  <si>
    <t xml:space="preserve">ANNEX </t>
  </si>
  <si>
    <t>Food Place
L 8' 7" x W 4' 6" x H 1 
(1 throat)</t>
  </si>
  <si>
    <t xml:space="preserve">Annually </t>
  </si>
  <si>
    <t>A041</t>
  </si>
  <si>
    <t>Emergency Service</t>
  </si>
  <si>
    <t>As required</t>
  </si>
  <si>
    <t>Ordering Period - FY27     TOTAL</t>
  </si>
  <si>
    <t>Buildings</t>
  </si>
  <si>
    <t>Hoods</t>
  </si>
  <si>
    <t>Cleaning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</si>
  <si>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</si>
  <si>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</si>
  <si>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</si>
  <si>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</si>
  <si>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</si>
  <si>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</si>
  <si>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</si>
  <si>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</si>
  <si>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</si>
  <si>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</si>
  <si>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</si>
  <si>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Every 3 Months</t>
  </si>
  <si>
    <t>B012</t>
  </si>
  <si>
    <t>B013</t>
  </si>
  <si>
    <t>B014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</si>
  <si>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</si>
  <si>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</si>
  <si>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</si>
  <si>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</si>
  <si>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</si>
  <si>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</si>
  <si>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</si>
  <si>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</si>
  <si>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</si>
  <si>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</si>
  <si>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</si>
  <si>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</si>
  <si>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</si>
  <si>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</si>
  <si>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</si>
  <si>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</si>
  <si>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</si>
  <si>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</si>
  <si>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</si>
  <si>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B035</t>
  </si>
  <si>
    <t>B036</t>
  </si>
  <si>
    <t>B037</t>
  </si>
  <si>
    <t>B038</t>
  </si>
  <si>
    <t>B039</t>
  </si>
  <si>
    <t>B040</t>
  </si>
  <si>
    <t>B041</t>
  </si>
  <si>
    <t>Ordering Period - FY28     TOTAL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</si>
  <si>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</si>
  <si>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</si>
  <si>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</si>
  <si>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</si>
  <si>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</si>
  <si>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</si>
  <si>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</si>
  <si>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</si>
  <si>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</si>
  <si>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</si>
  <si>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</si>
  <si>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</si>
  <si>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</si>
  <si>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</si>
  <si>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</si>
  <si>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</si>
  <si>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</si>
  <si>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</si>
  <si>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</si>
  <si>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</si>
  <si>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</si>
  <si>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</si>
  <si>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</si>
  <si>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</si>
  <si>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</si>
  <si>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</si>
  <si>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</si>
  <si>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</si>
  <si>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</si>
  <si>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</si>
  <si>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</si>
  <si>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</si>
  <si>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</si>
  <si>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</si>
  <si>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</si>
  <si>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</si>
  <si>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</si>
  <si>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</si>
  <si>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</si>
  <si>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</si>
  <si>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Ordering Period - FY29     TOTAL</t>
  </si>
  <si>
    <t>D001</t>
  </si>
  <si>
    <t>D002</t>
  </si>
  <si>
    <t>D003</t>
  </si>
  <si>
    <t>D004</t>
  </si>
  <si>
    <t>D005</t>
  </si>
  <si>
    <t>D006</t>
  </si>
  <si>
    <t>D007</t>
  </si>
  <si>
    <t>D008</t>
  </si>
  <si>
    <t>D009</t>
  </si>
  <si>
    <t>D010</t>
  </si>
  <si>
    <t>D011</t>
  </si>
  <si>
    <t>D012</t>
  </si>
  <si>
    <t>D013</t>
  </si>
  <si>
    <t>D014</t>
  </si>
  <si>
    <t>D016</t>
  </si>
  <si>
    <t>D017</t>
  </si>
  <si>
    <t>D018</t>
  </si>
  <si>
    <t>D019</t>
  </si>
  <si>
    <t>D020</t>
  </si>
  <si>
    <t>D021</t>
  </si>
  <si>
    <t>D022</t>
  </si>
  <si>
    <t>D023</t>
  </si>
  <si>
    <t>D024</t>
  </si>
  <si>
    <t>D025</t>
  </si>
  <si>
    <t>D026</t>
  </si>
  <si>
    <t>D027</t>
  </si>
  <si>
    <t>D028</t>
  </si>
  <si>
    <t>D029</t>
  </si>
  <si>
    <t>D030</t>
  </si>
  <si>
    <t>D031</t>
  </si>
  <si>
    <t>D032</t>
  </si>
  <si>
    <t>D033</t>
  </si>
  <si>
    <t>D034</t>
  </si>
  <si>
    <t>D035</t>
  </si>
  <si>
    <t>D036</t>
  </si>
  <si>
    <t>D037</t>
  </si>
  <si>
    <t>D038</t>
  </si>
  <si>
    <t>D039</t>
  </si>
  <si>
    <t>D040</t>
  </si>
  <si>
    <t>D041</t>
  </si>
  <si>
    <t>Ordering Period - FY30     TOTAL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</si>
  <si>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</si>
  <si>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</si>
  <si>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</si>
  <si>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</si>
  <si>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</si>
  <si>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</si>
  <si>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</si>
  <si>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</si>
  <si>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</si>
  <si>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</si>
  <si>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</si>
  <si>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</si>
  <si>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</si>
  <si>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</si>
  <si>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</si>
  <si>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</si>
  <si>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</si>
  <si>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</si>
  <si>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</si>
  <si>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</si>
  <si>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</si>
  <si>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</si>
  <si>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</si>
  <si>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</si>
  <si>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</si>
  <si>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</si>
  <si>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</si>
  <si>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</si>
  <si>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</si>
  <si>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</si>
  <si>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</si>
  <si>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</si>
  <si>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</si>
  <si>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</si>
  <si>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</si>
  <si>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</si>
  <si>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</si>
  <si>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</si>
  <si>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</si>
  <si>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</si>
  <si>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Ordering Period - FY31     TOTAL</t>
  </si>
  <si>
    <t>Price Exhibit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</si>
</sst>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mmm\-yy"/>
    <numFmt numFmtId="165" formatCode="&quot;$&quot;#,##0.00"/>
  </numFmts>
  <fonts count="11" x14ac:knownFonts="1">
    <font>
      <sz val="10"/>
      <name val="Arial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color rgb="FFFF0000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0"/>
      <color theme="1"/>
      <name val="Arial"/>
      <family val="2"/>
    </font>
    <font>
      <sz val="8"/>
      <name val="Arial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3399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165" fontId="1" fillId="0" borderId="1" xfId="0" applyNumberFormat="1" applyFont="1" applyBorder="1" applyAlignment="1">
      <alignment horizontal="center" wrapText="1"/>
    </xf>
    <xf numFmtId="165" fontId="1" fillId="0" borderId="1" xfId="0" applyNumberFormat="1" applyFont="1" applyBorder="1" applyAlignment="1">
      <alignment horizontal="center"/>
    </xf>
    <xf numFmtId="0" fontId="4" fillId="0" borderId="0" xfId="0" applyFont="1"/>
    <xf numFmtId="165" fontId="1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1" fillId="0" borderId="0" xfId="0" applyFont="1"/>
    <xf numFmtId="165" fontId="1" fillId="0" borderId="0" xfId="0" applyNumberFormat="1" applyFont="1" applyAlignment="1">
      <alignment horizontal="right"/>
    </xf>
    <xf numFmtId="165" fontId="1" fillId="0" borderId="0" xfId="0" applyNumberFormat="1" applyFont="1"/>
    <xf numFmtId="0" fontId="4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5" fontId="0" fillId="0" borderId="0" xfId="0" applyNumberFormat="1"/>
    <xf numFmtId="0" fontId="0" fillId="0" borderId="6" xfId="0" applyBorder="1"/>
    <xf numFmtId="164" fontId="4" fillId="3" borderId="1" xfId="0" applyNumberFormat="1" applyFont="1" applyFill="1" applyBorder="1" applyAlignment="1">
      <alignment horizontal="center" vertical="center" wrapText="1"/>
    </xf>
    <xf numFmtId="165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165" fontId="4" fillId="4" borderId="1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0" fillId="0" borderId="0" xfId="0" applyAlignment="1">
      <alignment horizontal="left"/>
    </xf>
    <xf numFmtId="0" fontId="4" fillId="2" borderId="1" xfId="0" applyFont="1" applyFill="1" applyBorder="1" applyAlignment="1">
      <alignment vertical="center" wrapText="1"/>
    </xf>
    <xf numFmtId="0" fontId="3" fillId="0" borderId="5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165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/>
    </xf>
    <xf numFmtId="164" fontId="4" fillId="6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165" fontId="4" fillId="6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wrapText="1"/>
    </xf>
    <xf numFmtId="0" fontId="3" fillId="6" borderId="2" xfId="0" applyFont="1" applyFill="1" applyBorder="1" applyAlignment="1">
      <alignment horizontal="left" vertical="center"/>
    </xf>
    <xf numFmtId="0" fontId="3" fillId="6" borderId="3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/>
    </xf>
    <xf numFmtId="164" fontId="3" fillId="6" borderId="1" xfId="0" applyNumberFormat="1" applyFont="1" applyFill="1" applyBorder="1" applyAlignment="1">
      <alignment horizontal="center" vertical="center" wrapText="1"/>
    </xf>
    <xf numFmtId="165" fontId="3" fillId="6" borderId="1" xfId="0" applyNumberFormat="1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wrapText="1"/>
    </xf>
    <xf numFmtId="0" fontId="1" fillId="6" borderId="5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49" fontId="1" fillId="0" borderId="1" xfId="0" applyNumberFormat="1" applyFont="1" applyBorder="1" applyAlignment="1">
      <alignment horizontal="left"/>
    </xf>
    <xf numFmtId="49" fontId="1" fillId="6" borderId="1" xfId="0" applyNumberFormat="1" applyFont="1" applyFill="1" applyBorder="1" applyAlignment="1">
      <alignment horizontal="left"/>
    </xf>
    <xf numFmtId="49" fontId="1" fillId="5" borderId="1" xfId="0" applyNumberFormat="1" applyFont="1" applyFill="1" applyBorder="1" applyAlignment="1">
      <alignment horizontal="left"/>
    </xf>
    <xf numFmtId="49" fontId="1" fillId="4" borderId="1" xfId="0" applyNumberFormat="1" applyFont="1" applyFill="1" applyBorder="1" applyAlignment="1">
      <alignment horizontal="left"/>
    </xf>
    <xf numFmtId="0" fontId="1" fillId="0" borderId="0" xfId="0" applyFont="1" applyAlignment="1">
      <alignment horizontal="left"/>
    </xf>
    <xf numFmtId="49" fontId="1" fillId="6" borderId="2" xfId="0" applyNumberFormat="1" applyFont="1" applyFill="1" applyBorder="1" applyAlignment="1">
      <alignment horizontal="left"/>
    </xf>
    <xf numFmtId="49" fontId="1" fillId="0" borderId="2" xfId="0" applyNumberFormat="1" applyFont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165" fontId="1" fillId="0" borderId="13" xfId="0" applyNumberFormat="1" applyFont="1" applyBorder="1" applyAlignment="1">
      <alignment horizontal="right"/>
    </xf>
    <xf numFmtId="165" fontId="1" fillId="0" borderId="14" xfId="0" applyNumberFormat="1" applyFont="1" applyBorder="1"/>
    <xf numFmtId="0" fontId="0" fillId="0" borderId="15" xfId="0" applyBorder="1"/>
    <xf numFmtId="0" fontId="0" fillId="0" borderId="16" xfId="0" applyBorder="1"/>
    <xf numFmtId="0" fontId="1" fillId="10" borderId="12" xfId="0" applyFont="1" applyFill="1" applyBorder="1" applyAlignment="1">
      <alignment horizontal="center"/>
    </xf>
    <xf numFmtId="0" fontId="1" fillId="10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0" fontId="8" fillId="0" borderId="10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3" borderId="12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7" borderId="12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12" xfId="0" applyFont="1" applyFill="1" applyBorder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12" xfId="0" applyFont="1" applyFill="1" applyBorder="1" applyAlignment="1">
      <alignment horizontal="center"/>
    </xf>
    <xf numFmtId="0" fontId="1" fillId="9" borderId="0" xfId="0" applyFont="1" applyFill="1" applyAlignment="1">
      <alignment horizontal="center"/>
    </xf>
    <xf numFmtId="0" fontId="6" fillId="0" borderId="4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49" fontId="1" fillId="0" borderId="7" xfId="0" applyNumberFormat="1" applyFont="1" applyBorder="1" applyAlignment="1">
      <alignment horizontal="left"/>
    </xf>
    <xf numFmtId="49" fontId="1" fillId="0" borderId="8" xfId="0" applyNumberFormat="1" applyFont="1" applyBorder="1" applyAlignment="1">
      <alignment horizontal="left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49" fontId="1" fillId="0" borderId="2" xfId="0" applyNumberFormat="1" applyFont="1" applyBorder="1"/>
    <xf numFmtId="49" fontId="1" fillId="0" borderId="5" xfId="0" applyNumberFormat="1" applyFont="1" applyBorder="1"/>
    <xf numFmtId="49" fontId="1" fillId="0" borderId="3" xfId="0" applyNumberFormat="1" applyFont="1" applyBorder="1"/>
    <xf numFmtId="0" fontId="1" fillId="0" borderId="1" xfId="0" applyFont="1" applyBorder="1" applyAlignment="1">
      <alignment horizontal="center" vertical="center"/>
    </xf>
    <xf numFmtId="0" fontId="1" fillId="7" borderId="2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9" borderId="5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1" fillId="10" borderId="2" xfId="0" applyFont="1" applyFill="1" applyBorder="1" applyAlignment="1">
      <alignment horizontal="center"/>
    </xf>
    <xf numFmtId="0" fontId="1" fillId="10" borderId="5" xfId="0" applyFont="1" applyFill="1" applyBorder="1" applyAlignment="1">
      <alignment horizontal="center"/>
    </xf>
    <xf numFmtId="0" fontId="1" fillId="10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8581EC57-4651-4CFB-89C3-2F051907081A}"/>
  </tableStyles>
  <colors>
    <mruColors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tabSelected="1" zoomScale="82" workbookViewId="0">
      <selection activeCell="I15" sqref="I15"/>
    </sheetView>
  </sheetViews>
  <sheetFormatPr defaultRowHeight="12.75" x14ac:dyDescent="0.2"/>
  <cols>
    <col min="5" max="5" width="17.42578125" customWidth="1"/>
    <col min="6" max="6" width="10.85546875" bestFit="1" customWidth="1"/>
    <col min="7" max="7" width="10.140625" bestFit="1" customWidth="1"/>
  </cols>
  <sheetData>
    <row r="1" spans="1:9" x14ac:dyDescent="0.2">
      <c r="A1" s="87" t="s">
        <v>0</v>
      </c>
      <c r="B1" s="88"/>
      <c r="C1" s="88"/>
      <c r="D1" s="88"/>
      <c r="E1" s="88"/>
      <c r="F1" s="89"/>
    </row>
    <row r="2" spans="1:9" x14ac:dyDescent="0.2">
      <c r="A2" s="90"/>
      <c r="B2" s="91"/>
      <c r="C2" s="91"/>
      <c r="D2" s="91"/>
      <c r="E2" s="91"/>
      <c r="F2" s="92"/>
    </row>
    <row r="3" spans="1:9" ht="20.25" x14ac:dyDescent="0.3">
      <c r="A3" s="78"/>
      <c r="B3" s="93" t="s">
        <v>282</v>
      </c>
      <c r="C3" s="93"/>
      <c r="D3" s="93"/>
      <c r="E3" s="93"/>
      <c r="F3" s="79"/>
    </row>
    <row r="4" spans="1:9" x14ac:dyDescent="0.2">
      <c r="A4" s="78"/>
      <c r="B4" s="94"/>
      <c r="C4" s="94"/>
      <c r="D4" s="94"/>
      <c r="E4" s="94"/>
      <c r="F4" s="80"/>
      <c r="G4" s="13"/>
    </row>
    <row r="5" spans="1:9" x14ac:dyDescent="0.2">
      <c r="A5" s="95" t="s">
        <v>1</v>
      </c>
      <c r="B5" s="96"/>
      <c r="C5" s="96"/>
      <c r="D5" s="96"/>
      <c r="E5" s="96"/>
      <c r="F5" s="80">
        <f>'FY27'!I61</f>
        <v>0</v>
      </c>
      <c r="G5" s="21"/>
      <c r="H5" s="21"/>
      <c r="I5" s="15"/>
    </row>
    <row r="6" spans="1:9" x14ac:dyDescent="0.2">
      <c r="A6" s="97" t="s">
        <v>2</v>
      </c>
      <c r="B6" s="98"/>
      <c r="C6" s="98"/>
      <c r="D6" s="98"/>
      <c r="E6" s="98"/>
      <c r="F6" s="80">
        <f>'FY28'!I61</f>
        <v>0</v>
      </c>
      <c r="G6" s="21"/>
      <c r="H6" s="21"/>
      <c r="I6" s="15"/>
    </row>
    <row r="7" spans="1:9" x14ac:dyDescent="0.2">
      <c r="A7" s="99" t="s">
        <v>3</v>
      </c>
      <c r="B7" s="100"/>
      <c r="C7" s="100"/>
      <c r="D7" s="100"/>
      <c r="E7" s="100"/>
      <c r="F7" s="80">
        <f>'FY29'!I61</f>
        <v>0</v>
      </c>
      <c r="G7" s="21"/>
      <c r="I7" s="15"/>
    </row>
    <row r="8" spans="1:9" x14ac:dyDescent="0.2">
      <c r="A8" s="101" t="s">
        <v>4</v>
      </c>
      <c r="B8" s="102"/>
      <c r="C8" s="102"/>
      <c r="D8" s="102"/>
      <c r="E8" s="102"/>
      <c r="F8" s="80">
        <f>'FY30'!I61</f>
        <v>0</v>
      </c>
      <c r="G8" s="21"/>
    </row>
    <row r="9" spans="1:9" x14ac:dyDescent="0.2">
      <c r="A9" s="84" t="s">
        <v>5</v>
      </c>
      <c r="B9" s="85"/>
      <c r="C9" s="85"/>
      <c r="D9" s="85"/>
      <c r="E9" s="85"/>
      <c r="F9" s="80">
        <f>'FY31'!I61</f>
        <v>0</v>
      </c>
      <c r="G9" s="21"/>
    </row>
    <row r="10" spans="1:9" x14ac:dyDescent="0.2">
      <c r="A10" s="78"/>
      <c r="F10" s="79"/>
    </row>
    <row r="11" spans="1:9" ht="13.5" thickBot="1" x14ac:dyDescent="0.25">
      <c r="A11" s="78"/>
      <c r="F11" s="81">
        <f>SUM(F5:F10)</f>
        <v>0</v>
      </c>
    </row>
    <row r="12" spans="1:9" ht="14.25" thickTop="1" thickBot="1" x14ac:dyDescent="0.25">
      <c r="A12" s="82"/>
      <c r="B12" s="22"/>
      <c r="C12" s="22"/>
      <c r="D12" s="22"/>
      <c r="E12" s="22"/>
      <c r="F12" s="83"/>
    </row>
    <row r="15" spans="1:9" x14ac:dyDescent="0.2">
      <c r="A15" s="86"/>
      <c r="B15" s="86"/>
    </row>
    <row r="16" spans="1:9" x14ac:dyDescent="0.2">
      <c r="A16" s="86"/>
      <c r="B16" s="86"/>
    </row>
    <row r="17" spans="1:2" x14ac:dyDescent="0.2">
      <c r="A17" s="86"/>
      <c r="B17" s="86"/>
    </row>
    <row r="18" spans="1:2" x14ac:dyDescent="0.2">
      <c r="A18" s="11"/>
    </row>
    <row r="19" spans="1:2" x14ac:dyDescent="0.2">
      <c r="A19" s="11"/>
    </row>
    <row r="34" spans="6:6" x14ac:dyDescent="0.2">
      <c r="F34" s="38"/>
    </row>
  </sheetData>
  <mergeCells count="11">
    <mergeCell ref="A9:E9"/>
    <mergeCell ref="A15:B15"/>
    <mergeCell ref="A16:B16"/>
    <mergeCell ref="A17:B17"/>
    <mergeCell ref="A1:F2"/>
    <mergeCell ref="B3:E3"/>
    <mergeCell ref="B4:E4"/>
    <mergeCell ref="A5:E5"/>
    <mergeCell ref="A6:E6"/>
    <mergeCell ref="A7:E7"/>
    <mergeCell ref="A8:E8"/>
  </mergeCells>
  <pageMargins left="0.25" right="0.25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71"/>
  <sheetViews>
    <sheetView zoomScale="80" zoomScaleNormal="80" workbookViewId="0">
      <selection sqref="A1:I1"/>
    </sheetView>
  </sheetViews>
  <sheetFormatPr defaultRowHeight="12.75" x14ac:dyDescent="0.2"/>
  <cols>
    <col min="1" max="1" width="6.85546875" style="38" customWidth="1"/>
    <col min="2" max="2" width="7" customWidth="1"/>
    <col min="3" max="3" width="7.140625" customWidth="1"/>
    <col min="4" max="4" width="17.42578125" customWidth="1"/>
    <col min="5" max="5" width="10" customWidth="1"/>
    <col min="6" max="6" width="13.42578125" customWidth="1"/>
    <col min="7" max="7" width="9.140625" customWidth="1"/>
    <col min="8" max="8" width="8.140625" customWidth="1"/>
    <col min="9" max="9" width="12.5703125" customWidth="1"/>
  </cols>
  <sheetData>
    <row r="1" spans="1:14" ht="20.100000000000001" customHeight="1" x14ac:dyDescent="0.2">
      <c r="A1" s="111" t="s">
        <v>1</v>
      </c>
      <c r="B1" s="112"/>
      <c r="C1" s="112"/>
      <c r="D1" s="112"/>
      <c r="E1" s="112"/>
      <c r="F1" s="112"/>
      <c r="G1" s="112"/>
      <c r="H1" s="112"/>
      <c r="I1" s="113"/>
    </row>
    <row r="2" spans="1:14" ht="33.75" x14ac:dyDescent="0.2">
      <c r="A2" s="67" t="s">
        <v>7</v>
      </c>
      <c r="B2" s="75" t="s">
        <v>8</v>
      </c>
      <c r="C2" s="6" t="s">
        <v>9</v>
      </c>
      <c r="D2" s="75" t="s">
        <v>10</v>
      </c>
      <c r="E2" s="7" t="s">
        <v>11</v>
      </c>
      <c r="F2" s="6" t="s">
        <v>12</v>
      </c>
      <c r="G2" s="8" t="s">
        <v>13</v>
      </c>
      <c r="H2" s="9" t="s">
        <v>14</v>
      </c>
      <c r="I2" s="10" t="s">
        <v>15</v>
      </c>
    </row>
    <row r="3" spans="1:14" ht="15.75" x14ac:dyDescent="0.2">
      <c r="A3" s="68"/>
      <c r="B3" s="76">
        <v>61</v>
      </c>
      <c r="C3" s="49"/>
      <c r="D3" s="50" t="s">
        <v>16</v>
      </c>
      <c r="E3" s="51"/>
      <c r="F3" s="52"/>
      <c r="G3" s="53"/>
      <c r="H3" s="54"/>
      <c r="I3" s="54"/>
    </row>
    <row r="4" spans="1:14" ht="51" x14ac:dyDescent="0.2">
      <c r="A4" s="67" t="s">
        <v>17</v>
      </c>
      <c r="B4" s="28">
        <v>61</v>
      </c>
      <c r="C4" s="1">
        <v>1</v>
      </c>
      <c r="D4" s="5" t="s">
        <v>18</v>
      </c>
      <c r="E4" s="3" t="s">
        <v>19</v>
      </c>
      <c r="F4" s="1" t="s">
        <v>20</v>
      </c>
      <c r="G4" s="2">
        <v>1</v>
      </c>
      <c r="H4" s="4"/>
      <c r="I4" s="4">
        <f>SUM(G4*H4)</f>
        <v>0</v>
      </c>
    </row>
    <row r="5" spans="1:14" ht="51" x14ac:dyDescent="0.2">
      <c r="A5" s="67" t="s">
        <v>21</v>
      </c>
      <c r="B5" s="28">
        <v>61</v>
      </c>
      <c r="C5" s="1">
        <v>2</v>
      </c>
      <c r="D5" s="5" t="s">
        <v>22</v>
      </c>
      <c r="E5" s="3" t="s">
        <v>19</v>
      </c>
      <c r="F5" s="1" t="s">
        <v>20</v>
      </c>
      <c r="G5" s="2">
        <v>1</v>
      </c>
      <c r="H5" s="4"/>
      <c r="I5" s="4">
        <f>SUM(G5*H5)</f>
        <v>0</v>
      </c>
    </row>
    <row r="6" spans="1:14" ht="63.75" x14ac:dyDescent="0.2">
      <c r="A6" s="67" t="s">
        <v>23</v>
      </c>
      <c r="B6" s="28">
        <v>61</v>
      </c>
      <c r="C6" s="1">
        <v>3</v>
      </c>
      <c r="D6" s="5" t="s">
        <v>24</v>
      </c>
      <c r="E6" s="3" t="s">
        <v>19</v>
      </c>
      <c r="F6" s="1" t="s">
        <v>20</v>
      </c>
      <c r="G6" s="2">
        <v>1</v>
      </c>
      <c r="H6" s="4"/>
      <c r="I6" s="4">
        <f>SUM(G6*H6)</f>
        <v>0</v>
      </c>
    </row>
    <row r="7" spans="1:14" ht="51" x14ac:dyDescent="0.2">
      <c r="A7" s="67" t="s">
        <v>25</v>
      </c>
      <c r="B7" s="28">
        <v>61</v>
      </c>
      <c r="C7" s="1">
        <v>4</v>
      </c>
      <c r="D7" s="5" t="s">
        <v>26</v>
      </c>
      <c r="E7" s="3" t="s">
        <v>19</v>
      </c>
      <c r="F7" s="1" t="s">
        <v>20</v>
      </c>
      <c r="G7" s="2">
        <v>1</v>
      </c>
      <c r="H7" s="4"/>
      <c r="I7" s="4">
        <f>SUM(G7*H7)</f>
        <v>0</v>
      </c>
    </row>
    <row r="8" spans="1:14" ht="15.75" x14ac:dyDescent="0.2">
      <c r="A8" s="68"/>
      <c r="B8" s="76">
        <v>195</v>
      </c>
      <c r="C8" s="49"/>
      <c r="D8" s="50" t="s">
        <v>27</v>
      </c>
      <c r="E8" s="51"/>
      <c r="F8" s="52"/>
      <c r="G8" s="53"/>
      <c r="H8" s="54"/>
      <c r="I8" s="54"/>
    </row>
    <row r="9" spans="1:14" ht="51" x14ac:dyDescent="0.2">
      <c r="A9" s="67" t="s">
        <v>28</v>
      </c>
      <c r="B9" s="28">
        <v>195</v>
      </c>
      <c r="C9" s="1">
        <v>1</v>
      </c>
      <c r="D9" s="5" t="s">
        <v>29</v>
      </c>
      <c r="E9" s="3" t="s">
        <v>30</v>
      </c>
      <c r="F9" s="1" t="s">
        <v>20</v>
      </c>
      <c r="G9" s="2">
        <v>1</v>
      </c>
      <c r="H9" s="4"/>
      <c r="I9" s="4">
        <f>SUM(G9*H9)</f>
        <v>0</v>
      </c>
    </row>
    <row r="10" spans="1:14" ht="15.75" x14ac:dyDescent="0.2">
      <c r="A10" s="68"/>
      <c r="B10" s="76">
        <v>204</v>
      </c>
      <c r="C10" s="49"/>
      <c r="D10" s="50" t="s">
        <v>31</v>
      </c>
      <c r="E10" s="55"/>
      <c r="F10" s="52"/>
      <c r="G10" s="53"/>
      <c r="H10" s="54"/>
      <c r="I10" s="54"/>
    </row>
    <row r="11" spans="1:14" ht="38.1" customHeight="1" x14ac:dyDescent="0.2">
      <c r="A11" s="69" t="s">
        <v>32</v>
      </c>
      <c r="B11" s="41">
        <v>204</v>
      </c>
      <c r="C11" s="43">
        <v>1</v>
      </c>
      <c r="D11" s="46" t="s">
        <v>31</v>
      </c>
      <c r="E11" s="42" t="s">
        <v>31</v>
      </c>
      <c r="F11" s="43" t="s">
        <v>31</v>
      </c>
      <c r="G11" s="44" t="s">
        <v>31</v>
      </c>
      <c r="H11" s="45"/>
      <c r="I11" s="45"/>
    </row>
    <row r="12" spans="1:14" ht="15.75" x14ac:dyDescent="0.2">
      <c r="A12" s="68"/>
      <c r="B12" s="76">
        <v>239</v>
      </c>
      <c r="C12" s="49"/>
      <c r="D12" s="56" t="s">
        <v>31</v>
      </c>
      <c r="E12" s="57"/>
      <c r="F12" s="58"/>
      <c r="G12" s="59"/>
      <c r="H12" s="54"/>
      <c r="I12" s="54"/>
      <c r="N12" t="s">
        <v>6</v>
      </c>
    </row>
    <row r="13" spans="1:14" ht="15.75" x14ac:dyDescent="0.2">
      <c r="A13" s="69" t="s">
        <v>33</v>
      </c>
      <c r="B13" s="41">
        <v>239</v>
      </c>
      <c r="C13" s="43">
        <v>1</v>
      </c>
      <c r="D13" s="46" t="s">
        <v>31</v>
      </c>
      <c r="E13" s="46" t="s">
        <v>31</v>
      </c>
      <c r="F13" s="46" t="s">
        <v>31</v>
      </c>
      <c r="G13" s="46" t="s">
        <v>31</v>
      </c>
      <c r="H13" s="45"/>
      <c r="I13" s="45"/>
    </row>
    <row r="14" spans="1:14" ht="15.75" x14ac:dyDescent="0.2">
      <c r="A14" s="69" t="s">
        <v>34</v>
      </c>
      <c r="B14" s="41">
        <v>239</v>
      </c>
      <c r="C14" s="43">
        <v>2</v>
      </c>
      <c r="D14" s="46" t="s">
        <v>31</v>
      </c>
      <c r="E14" s="46" t="s">
        <v>31</v>
      </c>
      <c r="F14" s="46" t="s">
        <v>31</v>
      </c>
      <c r="G14" s="46" t="s">
        <v>31</v>
      </c>
      <c r="H14" s="45"/>
      <c r="I14" s="45"/>
    </row>
    <row r="15" spans="1:14" ht="15.75" x14ac:dyDescent="0.2">
      <c r="A15" s="68"/>
      <c r="B15" s="76">
        <v>318</v>
      </c>
      <c r="C15" s="49"/>
      <c r="D15" s="50" t="s">
        <v>35</v>
      </c>
      <c r="E15" s="51"/>
      <c r="F15" s="52"/>
      <c r="G15" s="53"/>
      <c r="H15" s="54"/>
      <c r="I15" s="54"/>
    </row>
    <row r="16" spans="1:14" ht="38.25" x14ac:dyDescent="0.2">
      <c r="A16" s="105" t="s">
        <v>36</v>
      </c>
      <c r="B16" s="107">
        <v>318</v>
      </c>
      <c r="C16" s="109">
        <v>1</v>
      </c>
      <c r="D16" s="5" t="s">
        <v>37</v>
      </c>
      <c r="E16" s="3" t="s">
        <v>38</v>
      </c>
      <c r="F16" s="1" t="s">
        <v>39</v>
      </c>
      <c r="G16" s="2">
        <v>4</v>
      </c>
      <c r="H16" s="4"/>
      <c r="I16" s="4">
        <f>SUM(G16*H16)</f>
        <v>0</v>
      </c>
      <c r="J16" s="103" t="s">
        <v>6</v>
      </c>
      <c r="K16" s="104"/>
      <c r="L16" s="104"/>
      <c r="M16" s="104"/>
    </row>
    <row r="17" spans="1:13" ht="15.75" customHeight="1" x14ac:dyDescent="0.2">
      <c r="A17" s="106"/>
      <c r="B17" s="108"/>
      <c r="C17" s="110"/>
      <c r="D17" s="27" t="s">
        <v>40</v>
      </c>
      <c r="E17" s="23"/>
      <c r="F17" s="25"/>
      <c r="G17" s="26" t="s">
        <v>6</v>
      </c>
      <c r="H17" s="24"/>
      <c r="I17" s="24"/>
    </row>
    <row r="18" spans="1:13" ht="15.75" x14ac:dyDescent="0.2">
      <c r="A18" s="68"/>
      <c r="B18" s="76">
        <v>740</v>
      </c>
      <c r="C18" s="49"/>
      <c r="D18" s="50" t="s">
        <v>41</v>
      </c>
      <c r="E18" s="60"/>
      <c r="F18" s="49"/>
      <c r="G18" s="76"/>
      <c r="H18" s="54"/>
      <c r="I18" s="61"/>
      <c r="J18" s="11" t="s">
        <v>6</v>
      </c>
    </row>
    <row r="19" spans="1:13" ht="38.25" x14ac:dyDescent="0.2">
      <c r="A19" s="67" t="s">
        <v>42</v>
      </c>
      <c r="B19" s="28">
        <v>740</v>
      </c>
      <c r="C19" s="1">
        <v>1</v>
      </c>
      <c r="D19" s="5" t="s">
        <v>43</v>
      </c>
      <c r="E19" s="3" t="s">
        <v>44</v>
      </c>
      <c r="F19" s="1" t="s">
        <v>45</v>
      </c>
      <c r="G19" s="2">
        <v>12</v>
      </c>
      <c r="H19" s="4"/>
      <c r="I19" s="4">
        <f>SUM(G19*H19)</f>
        <v>0</v>
      </c>
      <c r="J19" s="11"/>
    </row>
    <row r="20" spans="1:13" ht="38.25" x14ac:dyDescent="0.2">
      <c r="A20" s="74" t="s">
        <v>46</v>
      </c>
      <c r="B20" s="48">
        <v>740</v>
      </c>
      <c r="C20" s="17">
        <v>2</v>
      </c>
      <c r="D20" s="39" t="s">
        <v>47</v>
      </c>
      <c r="E20" s="18" t="s">
        <v>38</v>
      </c>
      <c r="F20" s="1" t="s">
        <v>45</v>
      </c>
      <c r="G20" s="2">
        <v>12</v>
      </c>
      <c r="H20" s="20"/>
      <c r="I20" s="20">
        <f>SUM(G20*H20)</f>
        <v>0</v>
      </c>
      <c r="J20" s="11" t="s">
        <v>6</v>
      </c>
      <c r="M20" s="11" t="s">
        <v>6</v>
      </c>
    </row>
    <row r="21" spans="1:13" ht="38.25" x14ac:dyDescent="0.2">
      <c r="A21" s="74" t="s">
        <v>48</v>
      </c>
      <c r="B21" s="48">
        <v>740</v>
      </c>
      <c r="C21" s="17">
        <v>3</v>
      </c>
      <c r="D21" s="39" t="s">
        <v>47</v>
      </c>
      <c r="E21" s="18" t="s">
        <v>38</v>
      </c>
      <c r="F21" s="1" t="s">
        <v>45</v>
      </c>
      <c r="G21" s="2">
        <v>12</v>
      </c>
      <c r="H21" s="20"/>
      <c r="I21" s="20">
        <f>SUM(G21*H21)</f>
        <v>0</v>
      </c>
    </row>
    <row r="22" spans="1:13" ht="38.25" x14ac:dyDescent="0.2">
      <c r="A22" s="67" t="s">
        <v>49</v>
      </c>
      <c r="B22" s="28">
        <v>740</v>
      </c>
      <c r="C22" s="1">
        <v>4</v>
      </c>
      <c r="D22" s="5" t="s">
        <v>50</v>
      </c>
      <c r="E22" s="3" t="s">
        <v>51</v>
      </c>
      <c r="F22" s="1" t="s">
        <v>45</v>
      </c>
      <c r="G22" s="2">
        <v>12</v>
      </c>
      <c r="H22" s="4"/>
      <c r="I22" s="4">
        <f>SUM(G22*H22)</f>
        <v>0</v>
      </c>
    </row>
    <row r="23" spans="1:13" ht="15.75" x14ac:dyDescent="0.2">
      <c r="A23" s="69" t="s">
        <v>52</v>
      </c>
      <c r="B23" s="41">
        <v>740</v>
      </c>
      <c r="C23" s="43">
        <v>5</v>
      </c>
      <c r="D23" s="46" t="s">
        <v>31</v>
      </c>
      <c r="E23" s="46" t="s">
        <v>31</v>
      </c>
      <c r="F23" s="46" t="s">
        <v>31</v>
      </c>
      <c r="G23" s="46" t="s">
        <v>31</v>
      </c>
      <c r="H23" s="45"/>
      <c r="I23" s="45"/>
    </row>
    <row r="24" spans="1:13" ht="15.75" x14ac:dyDescent="0.2">
      <c r="A24" s="68"/>
      <c r="B24" s="76">
        <v>805</v>
      </c>
      <c r="C24" s="49"/>
      <c r="D24" s="50" t="s">
        <v>53</v>
      </c>
      <c r="E24" s="62"/>
      <c r="F24" s="52"/>
      <c r="G24" s="53"/>
      <c r="H24" s="54"/>
      <c r="I24" s="54"/>
    </row>
    <row r="25" spans="1:13" ht="63.75" x14ac:dyDescent="0.2">
      <c r="A25" s="67" t="s">
        <v>54</v>
      </c>
      <c r="B25" s="28">
        <v>805</v>
      </c>
      <c r="C25" s="1">
        <v>1</v>
      </c>
      <c r="D25" s="5" t="s">
        <v>55</v>
      </c>
      <c r="E25" s="3" t="s">
        <v>56</v>
      </c>
      <c r="F25" s="1" t="s">
        <v>57</v>
      </c>
      <c r="G25" s="2">
        <v>4</v>
      </c>
      <c r="H25" s="4"/>
      <c r="I25" s="4">
        <f t="shared" ref="I25:I30" si="0">SUM(G25*H25)</f>
        <v>0</v>
      </c>
    </row>
    <row r="26" spans="1:13" ht="63.75" x14ac:dyDescent="0.2">
      <c r="A26" s="67" t="s">
        <v>58</v>
      </c>
      <c r="B26" s="28">
        <v>805</v>
      </c>
      <c r="C26" s="1">
        <v>2</v>
      </c>
      <c r="D26" s="5" t="s">
        <v>55</v>
      </c>
      <c r="E26" s="3" t="s">
        <v>56</v>
      </c>
      <c r="F26" s="1" t="s">
        <v>57</v>
      </c>
      <c r="G26" s="2">
        <v>4</v>
      </c>
      <c r="H26" s="4"/>
      <c r="I26" s="4">
        <f t="shared" si="0"/>
        <v>0</v>
      </c>
    </row>
    <row r="27" spans="1:13" ht="89.25" x14ac:dyDescent="0.2">
      <c r="A27" s="67" t="s">
        <v>59</v>
      </c>
      <c r="B27" s="28">
        <v>805</v>
      </c>
      <c r="C27" s="1">
        <v>3</v>
      </c>
      <c r="D27" s="5" t="s">
        <v>60</v>
      </c>
      <c r="E27" s="3" t="s">
        <v>51</v>
      </c>
      <c r="F27" s="1" t="s">
        <v>61</v>
      </c>
      <c r="G27" s="2">
        <v>12</v>
      </c>
      <c r="H27" s="4"/>
      <c r="I27" s="4">
        <f t="shared" si="0"/>
        <v>0</v>
      </c>
    </row>
    <row r="28" spans="1:13" ht="89.25" x14ac:dyDescent="0.2">
      <c r="A28" s="67" t="s">
        <v>62</v>
      </c>
      <c r="B28" s="28">
        <v>805</v>
      </c>
      <c r="C28" s="1">
        <v>4</v>
      </c>
      <c r="D28" s="5" t="s">
        <v>60</v>
      </c>
      <c r="E28" s="3" t="s">
        <v>51</v>
      </c>
      <c r="F28" s="1" t="s">
        <v>61</v>
      </c>
      <c r="G28" s="2">
        <v>12</v>
      </c>
      <c r="H28" s="4"/>
      <c r="I28" s="4">
        <f t="shared" si="0"/>
        <v>0</v>
      </c>
    </row>
    <row r="29" spans="1:13" ht="89.25" x14ac:dyDescent="0.2">
      <c r="A29" s="67" t="s">
        <v>63</v>
      </c>
      <c r="B29" s="28">
        <v>805</v>
      </c>
      <c r="C29" s="17">
        <v>5</v>
      </c>
      <c r="D29" s="36" t="s">
        <v>64</v>
      </c>
      <c r="E29" s="18" t="s">
        <v>51</v>
      </c>
      <c r="F29" s="1" t="s">
        <v>61</v>
      </c>
      <c r="G29" s="19">
        <v>12</v>
      </c>
      <c r="H29" s="4"/>
      <c r="I29" s="20">
        <f t="shared" si="0"/>
        <v>0</v>
      </c>
    </row>
    <row r="30" spans="1:13" ht="63.75" x14ac:dyDescent="0.2">
      <c r="A30" s="67" t="s">
        <v>65</v>
      </c>
      <c r="B30" s="28">
        <v>805</v>
      </c>
      <c r="C30" s="1">
        <v>6</v>
      </c>
      <c r="D30" s="37" t="s">
        <v>66</v>
      </c>
      <c r="E30" s="3" t="s">
        <v>67</v>
      </c>
      <c r="F30" s="1" t="s">
        <v>68</v>
      </c>
      <c r="G30" s="2">
        <v>2</v>
      </c>
      <c r="H30" s="4"/>
      <c r="I30" s="4">
        <f t="shared" si="0"/>
        <v>0</v>
      </c>
    </row>
    <row r="31" spans="1:13" ht="15.75" x14ac:dyDescent="0.2">
      <c r="A31" s="68"/>
      <c r="B31" s="76">
        <v>811</v>
      </c>
      <c r="C31" s="49"/>
      <c r="D31" s="50" t="s">
        <v>69</v>
      </c>
      <c r="E31" s="51"/>
      <c r="F31" s="52"/>
      <c r="G31" s="53"/>
      <c r="H31" s="54"/>
      <c r="I31" s="54"/>
    </row>
    <row r="32" spans="1:13" ht="38.25" x14ac:dyDescent="0.2">
      <c r="A32" s="67" t="s">
        <v>70</v>
      </c>
      <c r="B32" s="28">
        <v>811</v>
      </c>
      <c r="C32" s="1">
        <v>1</v>
      </c>
      <c r="D32" s="5" t="s">
        <v>71</v>
      </c>
      <c r="E32" s="3" t="s">
        <v>72</v>
      </c>
      <c r="F32" s="1" t="s">
        <v>68</v>
      </c>
      <c r="G32" s="2">
        <v>2</v>
      </c>
      <c r="H32" s="4"/>
      <c r="I32" s="4">
        <f>SUM(G32*H32)</f>
        <v>0</v>
      </c>
    </row>
    <row r="33" spans="1:13" ht="15.75" x14ac:dyDescent="0.2">
      <c r="A33" s="68"/>
      <c r="B33" s="76">
        <v>1320</v>
      </c>
      <c r="C33" s="49"/>
      <c r="D33" s="50" t="s">
        <v>53</v>
      </c>
      <c r="E33" s="62"/>
      <c r="F33" s="52"/>
      <c r="G33" s="53"/>
      <c r="H33" s="54"/>
      <c r="I33" s="54"/>
    </row>
    <row r="34" spans="1:13" ht="63.75" x14ac:dyDescent="0.2">
      <c r="A34" s="67" t="s">
        <v>73</v>
      </c>
      <c r="B34" s="28">
        <v>1320</v>
      </c>
      <c r="C34" s="1">
        <v>1</v>
      </c>
      <c r="D34" s="5" t="s">
        <v>55</v>
      </c>
      <c r="E34" s="3" t="s">
        <v>56</v>
      </c>
      <c r="F34" s="1" t="s">
        <v>39</v>
      </c>
      <c r="G34" s="2">
        <v>4</v>
      </c>
      <c r="H34" s="4"/>
      <c r="I34" s="4">
        <f t="shared" ref="I34:I39" si="1">SUM(G34*H34)</f>
        <v>0</v>
      </c>
    </row>
    <row r="35" spans="1:13" ht="63.75" x14ac:dyDescent="0.2">
      <c r="A35" s="67" t="s">
        <v>74</v>
      </c>
      <c r="B35" s="28">
        <v>1320</v>
      </c>
      <c r="C35" s="1">
        <v>2</v>
      </c>
      <c r="D35" s="5" t="s">
        <v>55</v>
      </c>
      <c r="E35" s="3" t="s">
        <v>56</v>
      </c>
      <c r="F35" s="1" t="s">
        <v>39</v>
      </c>
      <c r="G35" s="2">
        <v>4</v>
      </c>
      <c r="H35" s="4"/>
      <c r="I35" s="4">
        <f t="shared" si="1"/>
        <v>0</v>
      </c>
    </row>
    <row r="36" spans="1:13" ht="89.25" x14ac:dyDescent="0.2">
      <c r="A36" s="67" t="s">
        <v>75</v>
      </c>
      <c r="B36" s="28">
        <v>1320</v>
      </c>
      <c r="C36" s="1">
        <v>3</v>
      </c>
      <c r="D36" s="5" t="s">
        <v>60</v>
      </c>
      <c r="E36" s="18" t="s">
        <v>51</v>
      </c>
      <c r="F36" s="1" t="s">
        <v>61</v>
      </c>
      <c r="G36" s="2">
        <v>12</v>
      </c>
      <c r="H36" s="4"/>
      <c r="I36" s="4">
        <f t="shared" si="1"/>
        <v>0</v>
      </c>
    </row>
    <row r="37" spans="1:13" ht="89.25" x14ac:dyDescent="0.2">
      <c r="A37" s="67" t="s">
        <v>76</v>
      </c>
      <c r="B37" s="28">
        <v>1320</v>
      </c>
      <c r="C37" s="1">
        <v>4</v>
      </c>
      <c r="D37" s="5" t="s">
        <v>60</v>
      </c>
      <c r="E37" s="18" t="s">
        <v>51</v>
      </c>
      <c r="F37" s="1" t="s">
        <v>61</v>
      </c>
      <c r="G37" s="2">
        <v>12</v>
      </c>
      <c r="H37" s="4"/>
      <c r="I37" s="4">
        <f t="shared" si="1"/>
        <v>0</v>
      </c>
    </row>
    <row r="38" spans="1:13" ht="89.25" x14ac:dyDescent="0.2">
      <c r="A38" s="67" t="s">
        <v>77</v>
      </c>
      <c r="B38" s="28">
        <v>1320</v>
      </c>
      <c r="C38" s="17">
        <v>5</v>
      </c>
      <c r="D38" s="36" t="s">
        <v>64</v>
      </c>
      <c r="E38" s="18" t="s">
        <v>51</v>
      </c>
      <c r="F38" s="1" t="s">
        <v>61</v>
      </c>
      <c r="G38" s="19">
        <v>12</v>
      </c>
      <c r="H38" s="4"/>
      <c r="I38" s="20">
        <f t="shared" si="1"/>
        <v>0</v>
      </c>
    </row>
    <row r="39" spans="1:13" ht="63.75" x14ac:dyDescent="0.2">
      <c r="A39" s="67" t="s">
        <v>78</v>
      </c>
      <c r="B39" s="28">
        <v>1320</v>
      </c>
      <c r="C39" s="1">
        <v>6</v>
      </c>
      <c r="D39" s="37" t="s">
        <v>79</v>
      </c>
      <c r="E39" s="3" t="s">
        <v>67</v>
      </c>
      <c r="F39" s="1" t="s">
        <v>68</v>
      </c>
      <c r="G39" s="2">
        <v>2</v>
      </c>
      <c r="H39" s="4"/>
      <c r="I39" s="4">
        <f t="shared" si="1"/>
        <v>0</v>
      </c>
    </row>
    <row r="40" spans="1:13" ht="15.75" x14ac:dyDescent="0.2">
      <c r="A40" s="68"/>
      <c r="B40" s="76">
        <v>1368</v>
      </c>
      <c r="C40" s="49"/>
      <c r="D40" s="50" t="s">
        <v>53</v>
      </c>
      <c r="E40" s="62"/>
      <c r="F40" s="52"/>
      <c r="G40" s="53"/>
      <c r="H40" s="54"/>
      <c r="I40" s="54"/>
    </row>
    <row r="41" spans="1:13" ht="102" x14ac:dyDescent="0.2">
      <c r="A41" s="67" t="s">
        <v>80</v>
      </c>
      <c r="B41" s="28">
        <v>1368</v>
      </c>
      <c r="C41" s="1">
        <v>1</v>
      </c>
      <c r="D41" s="5" t="s">
        <v>81</v>
      </c>
      <c r="E41" s="3" t="s">
        <v>82</v>
      </c>
      <c r="F41" s="1" t="s">
        <v>68</v>
      </c>
      <c r="G41" s="2">
        <v>2</v>
      </c>
      <c r="H41" s="4"/>
      <c r="I41" s="4">
        <f>SUM(G41*H41)</f>
        <v>0</v>
      </c>
    </row>
    <row r="42" spans="1:13" ht="76.5" x14ac:dyDescent="0.2">
      <c r="A42" s="67" t="s">
        <v>83</v>
      </c>
      <c r="B42" s="28">
        <v>1368</v>
      </c>
      <c r="C42" s="1">
        <v>2</v>
      </c>
      <c r="D42" s="5" t="s">
        <v>84</v>
      </c>
      <c r="E42" s="3" t="s">
        <v>85</v>
      </c>
      <c r="F42" s="1" t="s">
        <v>39</v>
      </c>
      <c r="G42" s="2">
        <v>4</v>
      </c>
      <c r="H42" s="4"/>
      <c r="I42" s="4">
        <f t="shared" ref="I42:I49" si="2">SUM(G42*H42)</f>
        <v>0</v>
      </c>
    </row>
    <row r="43" spans="1:13" ht="76.5" x14ac:dyDescent="0.2">
      <c r="A43" s="67" t="s">
        <v>86</v>
      </c>
      <c r="B43" s="28">
        <v>1368</v>
      </c>
      <c r="C43" s="1">
        <v>3</v>
      </c>
      <c r="D43" s="5" t="s">
        <v>84</v>
      </c>
      <c r="E43" s="3" t="s">
        <v>85</v>
      </c>
      <c r="F43" s="1" t="s">
        <v>39</v>
      </c>
      <c r="G43" s="2">
        <v>4</v>
      </c>
      <c r="H43" s="4"/>
      <c r="I43" s="4">
        <f t="shared" si="2"/>
        <v>0</v>
      </c>
    </row>
    <row r="44" spans="1:13" ht="89.25" x14ac:dyDescent="0.2">
      <c r="A44" s="67" t="s">
        <v>87</v>
      </c>
      <c r="B44" s="28">
        <v>1368</v>
      </c>
      <c r="C44" s="1">
        <v>4</v>
      </c>
      <c r="D44" s="5" t="s">
        <v>88</v>
      </c>
      <c r="E44" s="18" t="s">
        <v>51</v>
      </c>
      <c r="F44" s="1" t="s">
        <v>61</v>
      </c>
      <c r="G44" s="2">
        <v>12</v>
      </c>
      <c r="H44" s="4"/>
      <c r="I44" s="4">
        <f t="shared" si="2"/>
        <v>0</v>
      </c>
    </row>
    <row r="45" spans="1:13" ht="76.5" x14ac:dyDescent="0.2">
      <c r="A45" s="67" t="s">
        <v>89</v>
      </c>
      <c r="B45" s="28">
        <v>1368</v>
      </c>
      <c r="C45" s="1">
        <v>5</v>
      </c>
      <c r="D45" s="5" t="s">
        <v>90</v>
      </c>
      <c r="E45" s="3" t="s">
        <v>85</v>
      </c>
      <c r="F45" s="1" t="s">
        <v>39</v>
      </c>
      <c r="G45" s="2">
        <v>4</v>
      </c>
      <c r="H45" s="4"/>
      <c r="I45" s="4">
        <f t="shared" si="2"/>
        <v>0</v>
      </c>
    </row>
    <row r="46" spans="1:13" ht="76.5" x14ac:dyDescent="0.2">
      <c r="A46" s="67" t="s">
        <v>91</v>
      </c>
      <c r="B46" s="28">
        <v>1368</v>
      </c>
      <c r="C46" s="1">
        <v>6</v>
      </c>
      <c r="D46" s="5" t="s">
        <v>92</v>
      </c>
      <c r="E46" s="18" t="s">
        <v>51</v>
      </c>
      <c r="F46" s="1" t="s">
        <v>61</v>
      </c>
      <c r="G46" s="2">
        <v>12</v>
      </c>
      <c r="H46" s="4"/>
      <c r="I46" s="4">
        <f t="shared" si="2"/>
        <v>0</v>
      </c>
      <c r="M46" t="s">
        <v>6</v>
      </c>
    </row>
    <row r="47" spans="1:13" ht="76.5" x14ac:dyDescent="0.2">
      <c r="A47" s="67" t="s">
        <v>93</v>
      </c>
      <c r="B47" s="28">
        <v>1368</v>
      </c>
      <c r="C47" s="1">
        <v>7</v>
      </c>
      <c r="D47" s="5" t="s">
        <v>94</v>
      </c>
      <c r="E47" s="3" t="s">
        <v>82</v>
      </c>
      <c r="F47" s="1" t="s">
        <v>68</v>
      </c>
      <c r="G47" s="2">
        <v>2</v>
      </c>
      <c r="H47" s="4"/>
      <c r="I47" s="4">
        <f t="shared" si="2"/>
        <v>0</v>
      </c>
    </row>
    <row r="48" spans="1:13" ht="76.5" x14ac:dyDescent="0.2">
      <c r="A48" s="67" t="s">
        <v>95</v>
      </c>
      <c r="B48" s="28">
        <v>1368</v>
      </c>
      <c r="C48" s="1">
        <v>8</v>
      </c>
      <c r="D48" s="5" t="s">
        <v>96</v>
      </c>
      <c r="E48" s="3" t="s">
        <v>82</v>
      </c>
      <c r="F48" s="1" t="s">
        <v>68</v>
      </c>
      <c r="G48" s="2">
        <v>2</v>
      </c>
      <c r="H48" s="4"/>
      <c r="I48" s="4">
        <f t="shared" si="2"/>
        <v>0</v>
      </c>
    </row>
    <row r="49" spans="1:9" ht="76.5" x14ac:dyDescent="0.2">
      <c r="A49" s="67" t="s">
        <v>97</v>
      </c>
      <c r="B49" s="28">
        <v>1368</v>
      </c>
      <c r="C49" s="1">
        <v>9</v>
      </c>
      <c r="D49" s="5" t="s">
        <v>98</v>
      </c>
      <c r="E49" s="3" t="s">
        <v>82</v>
      </c>
      <c r="F49" s="1" t="s">
        <v>68</v>
      </c>
      <c r="G49" s="2">
        <v>2</v>
      </c>
      <c r="H49" s="4"/>
      <c r="I49" s="4">
        <f t="shared" si="2"/>
        <v>0</v>
      </c>
    </row>
    <row r="50" spans="1:9" ht="15.75" x14ac:dyDescent="0.2">
      <c r="A50" s="68"/>
      <c r="B50" s="76">
        <v>2320</v>
      </c>
      <c r="C50" s="49"/>
      <c r="D50" s="50" t="s">
        <v>99</v>
      </c>
      <c r="E50" s="51"/>
      <c r="F50" s="52"/>
      <c r="G50" s="53"/>
      <c r="H50" s="54"/>
      <c r="I50" s="54"/>
    </row>
    <row r="51" spans="1:9" ht="15.75" x14ac:dyDescent="0.2">
      <c r="A51" s="69" t="s">
        <v>100</v>
      </c>
      <c r="B51" s="41">
        <v>2320</v>
      </c>
      <c r="C51" s="43">
        <v>1</v>
      </c>
      <c r="D51" s="46" t="s">
        <v>31</v>
      </c>
      <c r="E51" s="42" t="s">
        <v>31</v>
      </c>
      <c r="F51" s="43" t="s">
        <v>31</v>
      </c>
      <c r="G51" s="44" t="s">
        <v>31</v>
      </c>
      <c r="H51" s="45"/>
      <c r="I51" s="45"/>
    </row>
    <row r="52" spans="1:9" ht="15.75" x14ac:dyDescent="0.2">
      <c r="A52" s="70"/>
      <c r="B52" s="47">
        <v>4490</v>
      </c>
      <c r="C52" s="30"/>
      <c r="D52" s="35" t="s">
        <v>101</v>
      </c>
      <c r="E52" s="29"/>
      <c r="F52" s="30"/>
      <c r="G52" s="31"/>
      <c r="H52" s="32"/>
      <c r="I52" s="32"/>
    </row>
    <row r="53" spans="1:9" ht="63.75" x14ac:dyDescent="0.2">
      <c r="A53" s="105" t="s">
        <v>102</v>
      </c>
      <c r="B53" s="107">
        <v>4490</v>
      </c>
      <c r="C53" s="109">
        <v>1</v>
      </c>
      <c r="D53" s="39" t="s">
        <v>103</v>
      </c>
      <c r="E53" s="18" t="s">
        <v>38</v>
      </c>
      <c r="F53" s="17" t="s">
        <v>39</v>
      </c>
      <c r="G53" s="19">
        <v>4</v>
      </c>
      <c r="H53" s="20"/>
      <c r="I53" s="20">
        <f t="shared" ref="I53" si="3">SUM(G53*H53)</f>
        <v>0</v>
      </c>
    </row>
    <row r="54" spans="1:9" x14ac:dyDescent="0.2">
      <c r="A54" s="106"/>
      <c r="B54" s="108"/>
      <c r="C54" s="110"/>
      <c r="D54" s="27" t="s">
        <v>40</v>
      </c>
      <c r="E54" s="23"/>
      <c r="F54" s="25"/>
      <c r="G54" s="26" t="s">
        <v>6</v>
      </c>
      <c r="H54" s="24"/>
      <c r="I54" s="24"/>
    </row>
    <row r="55" spans="1:9" ht="15.75" x14ac:dyDescent="0.2">
      <c r="A55" s="68"/>
      <c r="B55" s="114" t="s">
        <v>104</v>
      </c>
      <c r="C55" s="114"/>
      <c r="D55" s="50" t="s">
        <v>105</v>
      </c>
      <c r="E55" s="51"/>
      <c r="F55" s="52"/>
      <c r="G55" s="53"/>
      <c r="H55" s="54"/>
      <c r="I55" s="54"/>
    </row>
    <row r="56" spans="1:9" ht="51" x14ac:dyDescent="0.2">
      <c r="A56" s="71" t="s">
        <v>106</v>
      </c>
      <c r="B56" s="77" t="s">
        <v>107</v>
      </c>
      <c r="C56" s="1">
        <v>1</v>
      </c>
      <c r="D56" s="5" t="s">
        <v>108</v>
      </c>
      <c r="E56" s="18" t="s">
        <v>19</v>
      </c>
      <c r="F56" s="17" t="s">
        <v>109</v>
      </c>
      <c r="G56" s="19">
        <v>1</v>
      </c>
      <c r="H56" s="20"/>
      <c r="I56" s="20">
        <f>SUM(G56*H56)</f>
        <v>0</v>
      </c>
    </row>
    <row r="57" spans="1:9" x14ac:dyDescent="0.2">
      <c r="A57" s="72"/>
      <c r="B57" s="63"/>
      <c r="C57" s="64"/>
      <c r="D57" s="65"/>
      <c r="E57" s="51"/>
      <c r="F57" s="52"/>
      <c r="G57" s="53"/>
      <c r="H57" s="54"/>
      <c r="I57" s="54"/>
    </row>
    <row r="58" spans="1:9" ht="15.75" x14ac:dyDescent="0.2">
      <c r="A58" s="67" t="s">
        <v>110</v>
      </c>
      <c r="B58" s="28"/>
      <c r="C58" s="1">
        <v>1</v>
      </c>
      <c r="D58" s="5" t="s">
        <v>111</v>
      </c>
      <c r="E58" s="3" t="s">
        <v>31</v>
      </c>
      <c r="F58" s="1" t="s">
        <v>112</v>
      </c>
      <c r="G58" s="2">
        <v>1</v>
      </c>
      <c r="H58" s="4"/>
      <c r="I58" s="20">
        <f>SUM(G58*H58)</f>
        <v>0</v>
      </c>
    </row>
    <row r="59" spans="1:9" ht="15.75" x14ac:dyDescent="0.2">
      <c r="A59" s="73"/>
      <c r="B59" s="40"/>
      <c r="C59" s="33"/>
      <c r="D59" s="34"/>
      <c r="E59" s="3"/>
      <c r="F59" s="1"/>
      <c r="G59" s="2"/>
      <c r="H59" s="4"/>
      <c r="I59" s="4"/>
    </row>
    <row r="60" spans="1:9" x14ac:dyDescent="0.2">
      <c r="A60" s="115"/>
      <c r="B60" s="116"/>
      <c r="C60" s="116"/>
      <c r="D60" s="117"/>
      <c r="E60" s="3"/>
      <c r="F60" s="1"/>
      <c r="G60" s="2"/>
      <c r="H60" s="4"/>
      <c r="I60" s="4"/>
    </row>
    <row r="61" spans="1:9" ht="15.75" x14ac:dyDescent="0.2">
      <c r="A61" s="67"/>
      <c r="B61" s="118" t="s">
        <v>113</v>
      </c>
      <c r="C61" s="118"/>
      <c r="D61" s="118"/>
      <c r="E61" s="118"/>
      <c r="F61" s="1"/>
      <c r="G61" s="28">
        <f>SUM(G4:G60)</f>
        <v>201</v>
      </c>
      <c r="H61" s="4"/>
      <c r="I61" s="12">
        <f>SUM(I4:I60)</f>
        <v>0</v>
      </c>
    </row>
    <row r="63" spans="1:9" x14ac:dyDescent="0.2">
      <c r="A63" s="38">
        <v>13</v>
      </c>
      <c r="B63" s="14" t="s">
        <v>114</v>
      </c>
      <c r="C63" s="14"/>
    </row>
    <row r="64" spans="1:9" x14ac:dyDescent="0.2">
      <c r="A64" s="38">
        <f>COUNTIF(C1:C56, "&gt;0")</f>
        <v>39</v>
      </c>
      <c r="B64" s="14" t="s">
        <v>115</v>
      </c>
      <c r="C64" s="14"/>
      <c r="F64" s="13"/>
      <c r="G64" s="13"/>
    </row>
    <row r="65" spans="1:9" x14ac:dyDescent="0.2">
      <c r="A65" s="38">
        <v>177</v>
      </c>
      <c r="B65" s="14" t="s">
        <v>116</v>
      </c>
      <c r="C65" s="14"/>
      <c r="F65" s="13"/>
      <c r="G65" s="13"/>
    </row>
    <row r="66" spans="1:9" x14ac:dyDescent="0.2">
      <c r="B66" s="14"/>
      <c r="C66" s="14"/>
      <c r="D66" s="14"/>
      <c r="E66" s="14"/>
      <c r="F66" s="15"/>
      <c r="G66" s="13"/>
      <c r="I66" s="15"/>
    </row>
    <row r="67" spans="1:9" x14ac:dyDescent="0.2">
      <c r="B67" s="14"/>
      <c r="C67" s="14"/>
      <c r="D67" s="14"/>
      <c r="E67" s="14"/>
      <c r="F67" s="15"/>
      <c r="I67" s="15"/>
    </row>
    <row r="68" spans="1:9" x14ac:dyDescent="0.2">
      <c r="B68" s="14"/>
      <c r="C68" s="14"/>
      <c r="D68" s="14"/>
      <c r="E68" s="14"/>
      <c r="F68" s="15"/>
      <c r="I68" s="15"/>
    </row>
    <row r="69" spans="1:9" x14ac:dyDescent="0.2">
      <c r="B69" s="14"/>
      <c r="C69" s="14"/>
      <c r="D69" s="14"/>
      <c r="E69" s="14"/>
      <c r="F69" s="15"/>
      <c r="I69" s="15"/>
    </row>
    <row r="70" spans="1:9" x14ac:dyDescent="0.2">
      <c r="B70" s="14"/>
      <c r="C70" s="14"/>
      <c r="D70" s="14"/>
      <c r="E70" s="14"/>
      <c r="F70" s="16"/>
      <c r="I70" s="15"/>
    </row>
    <row r="71" spans="1:9" x14ac:dyDescent="0.2">
      <c r="I71" s="16"/>
    </row>
  </sheetData>
  <mergeCells count="11">
    <mergeCell ref="B55:C55"/>
    <mergeCell ref="A60:D60"/>
    <mergeCell ref="B61:E61"/>
    <mergeCell ref="A53:A54"/>
    <mergeCell ref="B53:B54"/>
    <mergeCell ref="C53:C54"/>
    <mergeCell ref="J16:M16"/>
    <mergeCell ref="A16:A17"/>
    <mergeCell ref="B16:B17"/>
    <mergeCell ref="C16:C17"/>
    <mergeCell ref="A1:I1"/>
  </mergeCells>
  <phoneticPr fontId="10" type="noConversion"/>
  <pageMargins left="0.25" right="0.25" top="0.75" bottom="0.75" header="0.3" footer="0.3"/>
  <pageSetup orientation="portrait" r:id="rId1"/>
  <headerFooter>
    <oddHeader xml:space="preserve">&amp;CFA3020 -XX-X-XXXX
 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E8487-11AD-48CC-8B88-CDA86F1176D4}">
  <dimension ref="A1:N71"/>
  <sheetViews>
    <sheetView zoomScale="74" workbookViewId="0">
      <selection sqref="A1:I1"/>
    </sheetView>
  </sheetViews>
  <sheetFormatPr defaultRowHeight="12.75" x14ac:dyDescent="0.2"/>
  <cols>
    <col min="1" max="1" width="6.85546875" style="38" customWidth="1"/>
    <col min="2" max="2" width="7" customWidth="1"/>
    <col min="3" max="3" width="7.140625" customWidth="1"/>
    <col min="4" max="4" width="17.42578125" customWidth="1"/>
    <col min="5" max="5" width="10" customWidth="1"/>
    <col min="6" max="6" width="13.42578125" customWidth="1"/>
    <col min="7" max="7" width="9.140625" customWidth="1"/>
    <col min="8" max="8" width="8.140625" customWidth="1"/>
    <col min="9" max="9" width="12.5703125" customWidth="1"/>
  </cols>
  <sheetData>
    <row r="1" spans="1:14" ht="19.5" customHeight="1" x14ac:dyDescent="0.2">
      <c r="A1" s="119" t="s">
        <v>2</v>
      </c>
      <c r="B1" s="120"/>
      <c r="C1" s="120"/>
      <c r="D1" s="120"/>
      <c r="E1" s="120"/>
      <c r="F1" s="120"/>
      <c r="G1" s="120"/>
      <c r="H1" s="120"/>
      <c r="I1" s="121"/>
      <c r="L1" s="11" t="s">
        <v>6</v>
      </c>
    </row>
    <row r="2" spans="1:14" ht="40.5" customHeight="1" x14ac:dyDescent="0.2">
      <c r="A2" s="67" t="s">
        <v>7</v>
      </c>
      <c r="B2" s="75" t="s">
        <v>8</v>
      </c>
      <c r="C2" s="6" t="s">
        <v>9</v>
      </c>
      <c r="D2" s="75" t="s">
        <v>10</v>
      </c>
      <c r="E2" s="7" t="s">
        <v>11</v>
      </c>
      <c r="F2" s="6" t="s">
        <v>12</v>
      </c>
      <c r="G2" s="8" t="s">
        <v>13</v>
      </c>
      <c r="H2" s="9" t="s">
        <v>14</v>
      </c>
      <c r="I2" s="10" t="s">
        <v>15</v>
      </c>
    </row>
    <row r="3" spans="1:14" ht="15.75" x14ac:dyDescent="0.2">
      <c r="A3" s="68"/>
      <c r="B3" s="76">
        <v>61</v>
      </c>
      <c r="C3" s="49"/>
      <c r="D3" s="50" t="s">
        <v>16</v>
      </c>
      <c r="E3" s="51"/>
      <c r="F3" s="52"/>
      <c r="G3" s="53"/>
      <c r="H3" s="54"/>
      <c r="I3" s="54"/>
    </row>
    <row r="4" spans="1:14" ht="51" x14ac:dyDescent="0.2">
      <c r="A4" s="67" t="s">
        <v>117</v>
      </c>
      <c r="B4" s="28">
        <v>61</v>
      </c>
      <c r="C4" s="1">
        <v>1</v>
      </c>
      <c r="D4" s="5" t="s">
        <v>18</v>
      </c>
      <c r="E4" s="3" t="s">
        <v>19</v>
      </c>
      <c r="F4" s="1" t="s">
        <v>20</v>
      </c>
      <c r="G4" s="2">
        <v>1</v>
      </c>
      <c r="H4" s="4"/>
      <c r="I4" s="4">
        <f>SUM(G4*H4)</f>
        <v>0</v>
      </c>
    </row>
    <row r="5" spans="1:14" ht="51" x14ac:dyDescent="0.2">
      <c r="A5" s="67" t="s">
        <v>118</v>
      </c>
      <c r="B5" s="28">
        <v>61</v>
      </c>
      <c r="C5" s="1">
        <v>2</v>
      </c>
      <c r="D5" s="5" t="s">
        <v>22</v>
      </c>
      <c r="E5" s="3" t="s">
        <v>19</v>
      </c>
      <c r="F5" s="1" t="s">
        <v>20</v>
      </c>
      <c r="G5" s="2">
        <v>1</v>
      </c>
      <c r="H5" s="4"/>
      <c r="I5" s="4">
        <f>SUM(G5*H5)</f>
        <v>0</v>
      </c>
    </row>
    <row r="6" spans="1:14" ht="63.75" x14ac:dyDescent="0.2">
      <c r="A6" s="67" t="s">
        <v>119</v>
      </c>
      <c r="B6" s="28">
        <v>61</v>
      </c>
      <c r="C6" s="1">
        <v>3</v>
      </c>
      <c r="D6" s="5" t="s">
        <v>24</v>
      </c>
      <c r="E6" s="3" t="s">
        <v>19</v>
      </c>
      <c r="F6" s="1" t="s">
        <v>20</v>
      </c>
      <c r="G6" s="2">
        <v>1</v>
      </c>
      <c r="H6" s="4"/>
      <c r="I6" s="4">
        <f>SUM(G6*H6)</f>
        <v>0</v>
      </c>
    </row>
    <row r="7" spans="1:14" ht="51" x14ac:dyDescent="0.2">
      <c r="A7" s="67" t="s">
        <v>120</v>
      </c>
      <c r="B7" s="28">
        <v>61</v>
      </c>
      <c r="C7" s="1">
        <v>4</v>
      </c>
      <c r="D7" s="5" t="s">
        <v>26</v>
      </c>
      <c r="E7" s="3" t="s">
        <v>19</v>
      </c>
      <c r="F7" s="1" t="s">
        <v>20</v>
      </c>
      <c r="G7" s="2">
        <v>1</v>
      </c>
      <c r="H7" s="4"/>
      <c r="I7" s="4">
        <f>SUM(G7*H7)</f>
        <v>0</v>
      </c>
    </row>
    <row r="8" spans="1:14" ht="15.75" x14ac:dyDescent="0.2">
      <c r="A8" s="68"/>
      <c r="B8" s="76">
        <v>195</v>
      </c>
      <c r="C8" s="49"/>
      <c r="D8" s="50" t="s">
        <v>27</v>
      </c>
      <c r="E8" s="51"/>
      <c r="F8" s="52"/>
      <c r="G8" s="53"/>
      <c r="H8" s="54"/>
      <c r="I8" s="54"/>
    </row>
    <row r="9" spans="1:14" ht="51" x14ac:dyDescent="0.2">
      <c r="A9" s="67" t="s">
        <v>121</v>
      </c>
      <c r="B9" s="28">
        <v>195</v>
      </c>
      <c r="C9" s="1">
        <v>1</v>
      </c>
      <c r="D9" s="5" t="s">
        <v>29</v>
      </c>
      <c r="E9" s="3" t="s">
        <v>30</v>
      </c>
      <c r="F9" s="1" t="s">
        <v>20</v>
      </c>
      <c r="G9" s="2">
        <v>1</v>
      </c>
      <c r="H9" s="4"/>
      <c r="I9" s="4">
        <f>SUM(G9*H9)</f>
        <v>0</v>
      </c>
    </row>
    <row r="10" spans="1:14" ht="15.75" x14ac:dyDescent="0.2">
      <c r="A10" s="68"/>
      <c r="B10" s="76">
        <v>204</v>
      </c>
      <c r="C10" s="49"/>
      <c r="D10" s="50" t="s">
        <v>31</v>
      </c>
      <c r="E10" s="55"/>
      <c r="F10" s="52"/>
      <c r="G10" s="53"/>
      <c r="H10" s="54"/>
      <c r="I10" s="54"/>
    </row>
    <row r="11" spans="1:14" ht="38.1" customHeight="1" x14ac:dyDescent="0.2">
      <c r="A11" s="69" t="s">
        <v>122</v>
      </c>
      <c r="B11" s="41">
        <v>204</v>
      </c>
      <c r="C11" s="43">
        <v>1</v>
      </c>
      <c r="D11" s="46" t="s">
        <v>31</v>
      </c>
      <c r="E11" s="42" t="s">
        <v>31</v>
      </c>
      <c r="F11" s="43" t="s">
        <v>31</v>
      </c>
      <c r="G11" s="44" t="s">
        <v>31</v>
      </c>
      <c r="H11" s="45"/>
      <c r="I11" s="45"/>
    </row>
    <row r="12" spans="1:14" ht="15.75" x14ac:dyDescent="0.2">
      <c r="A12" s="68"/>
      <c r="B12" s="76">
        <v>239</v>
      </c>
      <c r="C12" s="49"/>
      <c r="D12" s="56" t="s">
        <v>31</v>
      </c>
      <c r="E12" s="57"/>
      <c r="F12" s="58"/>
      <c r="G12" s="59"/>
      <c r="H12" s="54"/>
      <c r="I12" s="54"/>
      <c r="N12" t="s">
        <v>6</v>
      </c>
    </row>
    <row r="13" spans="1:14" ht="15.75" x14ac:dyDescent="0.2">
      <c r="A13" s="69" t="s">
        <v>123</v>
      </c>
      <c r="B13" s="41">
        <v>239</v>
      </c>
      <c r="C13" s="43">
        <v>1</v>
      </c>
      <c r="D13" s="46" t="s">
        <v>31</v>
      </c>
      <c r="E13" s="46" t="s">
        <v>31</v>
      </c>
      <c r="F13" s="46" t="s">
        <v>31</v>
      </c>
      <c r="G13" s="46" t="s">
        <v>31</v>
      </c>
      <c r="H13" s="45"/>
      <c r="I13" s="45"/>
    </row>
    <row r="14" spans="1:14" ht="15.75" x14ac:dyDescent="0.2">
      <c r="A14" s="69" t="s">
        <v>124</v>
      </c>
      <c r="B14" s="41">
        <v>239</v>
      </c>
      <c r="C14" s="43">
        <v>2</v>
      </c>
      <c r="D14" s="46" t="s">
        <v>31</v>
      </c>
      <c r="E14" s="46" t="s">
        <v>31</v>
      </c>
      <c r="F14" s="46" t="s">
        <v>31</v>
      </c>
      <c r="G14" s="46" t="s">
        <v>31</v>
      </c>
      <c r="H14" s="45"/>
      <c r="I14" s="45"/>
    </row>
    <row r="15" spans="1:14" ht="15.75" x14ac:dyDescent="0.2">
      <c r="A15" s="68"/>
      <c r="B15" s="76">
        <v>318</v>
      </c>
      <c r="C15" s="49"/>
      <c r="D15" s="50" t="s">
        <v>35</v>
      </c>
      <c r="E15" s="51"/>
      <c r="F15" s="52"/>
      <c r="G15" s="53"/>
      <c r="H15" s="54"/>
      <c r="I15" s="54"/>
    </row>
    <row r="16" spans="1:14" ht="38.25" x14ac:dyDescent="0.2">
      <c r="A16" s="105" t="s">
        <v>125</v>
      </c>
      <c r="B16" s="107">
        <v>318</v>
      </c>
      <c r="C16" s="109">
        <v>1</v>
      </c>
      <c r="D16" s="5" t="s">
        <v>37</v>
      </c>
      <c r="E16" s="3" t="s">
        <v>38</v>
      </c>
      <c r="F16" s="1" t="s">
        <v>39</v>
      </c>
      <c r="G16" s="2">
        <v>4</v>
      </c>
      <c r="H16" s="4"/>
      <c r="I16" s="4">
        <f>SUM(G16*H16)</f>
        <v>0</v>
      </c>
      <c r="J16" s="103" t="s">
        <v>6</v>
      </c>
      <c r="K16" s="104"/>
      <c r="L16" s="104"/>
      <c r="M16" s="104"/>
    </row>
    <row r="17" spans="1:13" ht="15.75" customHeight="1" x14ac:dyDescent="0.2">
      <c r="A17" s="106"/>
      <c r="B17" s="108"/>
      <c r="C17" s="110"/>
      <c r="D17" s="27" t="s">
        <v>40</v>
      </c>
      <c r="E17" s="23"/>
      <c r="F17" s="25"/>
      <c r="G17" s="26" t="s">
        <v>6</v>
      </c>
      <c r="H17" s="24"/>
      <c r="I17" s="24"/>
    </row>
    <row r="18" spans="1:13" ht="15.75" x14ac:dyDescent="0.2">
      <c r="A18" s="68"/>
      <c r="B18" s="76">
        <v>740</v>
      </c>
      <c r="C18" s="49"/>
      <c r="D18" s="50" t="s">
        <v>41</v>
      </c>
      <c r="E18" s="60"/>
      <c r="F18" s="49"/>
      <c r="G18" s="76"/>
      <c r="H18" s="54"/>
      <c r="I18" s="61"/>
      <c r="J18" s="11" t="s">
        <v>6</v>
      </c>
    </row>
    <row r="19" spans="1:13" ht="38.25" x14ac:dyDescent="0.2">
      <c r="A19" s="67" t="s">
        <v>126</v>
      </c>
      <c r="B19" s="28">
        <v>740</v>
      </c>
      <c r="C19" s="1">
        <v>1</v>
      </c>
      <c r="D19" s="5" t="s">
        <v>43</v>
      </c>
      <c r="E19" s="3" t="s">
        <v>44</v>
      </c>
      <c r="F19" s="1" t="s">
        <v>39</v>
      </c>
      <c r="G19" s="2">
        <v>4</v>
      </c>
      <c r="H19" s="4"/>
      <c r="I19" s="4">
        <f>SUM(G19*H19)</f>
        <v>0</v>
      </c>
      <c r="J19" s="11"/>
    </row>
    <row r="20" spans="1:13" ht="38.25" x14ac:dyDescent="0.2">
      <c r="A20" s="74" t="s">
        <v>127</v>
      </c>
      <c r="B20" s="48">
        <v>740</v>
      </c>
      <c r="C20" s="17">
        <v>2</v>
      </c>
      <c r="D20" s="39" t="s">
        <v>47</v>
      </c>
      <c r="E20" s="18" t="s">
        <v>38</v>
      </c>
      <c r="F20" s="18" t="s">
        <v>128</v>
      </c>
      <c r="G20" s="19">
        <v>4</v>
      </c>
      <c r="H20" s="4"/>
      <c r="I20" s="20">
        <f>SUM(G20*H20)</f>
        <v>0</v>
      </c>
      <c r="J20" s="11" t="s">
        <v>6</v>
      </c>
      <c r="M20" s="11" t="s">
        <v>6</v>
      </c>
    </row>
    <row r="21" spans="1:13" ht="38.25" x14ac:dyDescent="0.2">
      <c r="A21" s="74" t="s">
        <v>129</v>
      </c>
      <c r="B21" s="48">
        <v>740</v>
      </c>
      <c r="C21" s="17">
        <v>3</v>
      </c>
      <c r="D21" s="39" t="s">
        <v>47</v>
      </c>
      <c r="E21" s="18" t="s">
        <v>38</v>
      </c>
      <c r="F21" s="18" t="s">
        <v>128</v>
      </c>
      <c r="G21" s="19">
        <v>4</v>
      </c>
      <c r="H21" s="4"/>
      <c r="I21" s="20">
        <f>SUM(G21*H21)</f>
        <v>0</v>
      </c>
    </row>
    <row r="22" spans="1:13" ht="38.25" x14ac:dyDescent="0.2">
      <c r="A22" s="67" t="s">
        <v>130</v>
      </c>
      <c r="B22" s="28">
        <v>740</v>
      </c>
      <c r="C22" s="1">
        <v>4</v>
      </c>
      <c r="D22" s="5" t="s">
        <v>50</v>
      </c>
      <c r="E22" s="3" t="s">
        <v>51</v>
      </c>
      <c r="F22" s="1" t="s">
        <v>61</v>
      </c>
      <c r="G22" s="2">
        <v>12</v>
      </c>
      <c r="H22" s="4"/>
      <c r="I22" s="4">
        <f>SUM(G22*H22)</f>
        <v>0</v>
      </c>
    </row>
    <row r="23" spans="1:13" ht="15.75" x14ac:dyDescent="0.2">
      <c r="A23" s="69" t="s">
        <v>131</v>
      </c>
      <c r="B23" s="41">
        <v>740</v>
      </c>
      <c r="C23" s="43">
        <v>5</v>
      </c>
      <c r="D23" s="46" t="s">
        <v>31</v>
      </c>
      <c r="E23" s="46" t="s">
        <v>31</v>
      </c>
      <c r="F23" s="46" t="s">
        <v>31</v>
      </c>
      <c r="G23" s="46" t="s">
        <v>31</v>
      </c>
      <c r="H23" s="45"/>
      <c r="I23" s="45"/>
    </row>
    <row r="24" spans="1:13" ht="15.75" x14ac:dyDescent="0.2">
      <c r="A24" s="68"/>
      <c r="B24" s="76">
        <v>805</v>
      </c>
      <c r="C24" s="49"/>
      <c r="D24" s="50" t="s">
        <v>53</v>
      </c>
      <c r="E24" s="62"/>
      <c r="F24" s="52"/>
      <c r="G24" s="53"/>
      <c r="H24" s="54"/>
      <c r="I24" s="54"/>
    </row>
    <row r="25" spans="1:13" ht="63.75" x14ac:dyDescent="0.2">
      <c r="A25" s="67" t="s">
        <v>132</v>
      </c>
      <c r="B25" s="28">
        <v>805</v>
      </c>
      <c r="C25" s="1">
        <v>1</v>
      </c>
      <c r="D25" s="5" t="s">
        <v>55</v>
      </c>
      <c r="E25" s="3" t="s">
        <v>56</v>
      </c>
      <c r="F25" s="1" t="s">
        <v>57</v>
      </c>
      <c r="G25" s="2">
        <v>4</v>
      </c>
      <c r="H25" s="4"/>
      <c r="I25" s="4">
        <f t="shared" ref="I25:I30" si="0">SUM(G25*H25)</f>
        <v>0</v>
      </c>
    </row>
    <row r="26" spans="1:13" ht="63.75" x14ac:dyDescent="0.2">
      <c r="A26" s="67" t="s">
        <v>133</v>
      </c>
      <c r="B26" s="28">
        <v>805</v>
      </c>
      <c r="C26" s="1">
        <v>2</v>
      </c>
      <c r="D26" s="5" t="s">
        <v>55</v>
      </c>
      <c r="E26" s="3" t="s">
        <v>56</v>
      </c>
      <c r="F26" s="1" t="s">
        <v>57</v>
      </c>
      <c r="G26" s="2">
        <v>4</v>
      </c>
      <c r="H26" s="4"/>
      <c r="I26" s="4">
        <f t="shared" si="0"/>
        <v>0</v>
      </c>
    </row>
    <row r="27" spans="1:13" ht="89.25" x14ac:dyDescent="0.2">
      <c r="A27" s="67" t="s">
        <v>134</v>
      </c>
      <c r="B27" s="28">
        <v>805</v>
      </c>
      <c r="C27" s="1">
        <v>3</v>
      </c>
      <c r="D27" s="5" t="s">
        <v>60</v>
      </c>
      <c r="E27" s="3" t="s">
        <v>51</v>
      </c>
      <c r="F27" s="1" t="s">
        <v>61</v>
      </c>
      <c r="G27" s="2">
        <v>12</v>
      </c>
      <c r="H27" s="4"/>
      <c r="I27" s="4">
        <f t="shared" si="0"/>
        <v>0</v>
      </c>
    </row>
    <row r="28" spans="1:13" ht="89.25" x14ac:dyDescent="0.2">
      <c r="A28" s="67" t="s">
        <v>135</v>
      </c>
      <c r="B28" s="28">
        <v>805</v>
      </c>
      <c r="C28" s="1">
        <v>4</v>
      </c>
      <c r="D28" s="5" t="s">
        <v>60</v>
      </c>
      <c r="E28" s="3" t="s">
        <v>51</v>
      </c>
      <c r="F28" s="1" t="s">
        <v>61</v>
      </c>
      <c r="G28" s="2">
        <v>12</v>
      </c>
      <c r="H28" s="4"/>
      <c r="I28" s="4">
        <f t="shared" si="0"/>
        <v>0</v>
      </c>
    </row>
    <row r="29" spans="1:13" ht="89.25" x14ac:dyDescent="0.2">
      <c r="A29" s="67" t="s">
        <v>136</v>
      </c>
      <c r="B29" s="28">
        <v>805</v>
      </c>
      <c r="C29" s="17">
        <v>5</v>
      </c>
      <c r="D29" s="36" t="s">
        <v>64</v>
      </c>
      <c r="E29" s="18" t="s">
        <v>51</v>
      </c>
      <c r="F29" s="1" t="s">
        <v>61</v>
      </c>
      <c r="G29" s="19">
        <v>12</v>
      </c>
      <c r="H29" s="4"/>
      <c r="I29" s="20">
        <f t="shared" si="0"/>
        <v>0</v>
      </c>
    </row>
    <row r="30" spans="1:13" ht="63.75" x14ac:dyDescent="0.2">
      <c r="A30" s="67" t="s">
        <v>137</v>
      </c>
      <c r="B30" s="28">
        <v>805</v>
      </c>
      <c r="C30" s="1">
        <v>6</v>
      </c>
      <c r="D30" s="37" t="s">
        <v>66</v>
      </c>
      <c r="E30" s="3" t="s">
        <v>67</v>
      </c>
      <c r="F30" s="1" t="s">
        <v>68</v>
      </c>
      <c r="G30" s="2">
        <v>2</v>
      </c>
      <c r="H30" s="4"/>
      <c r="I30" s="4">
        <f t="shared" si="0"/>
        <v>0</v>
      </c>
    </row>
    <row r="31" spans="1:13" ht="15.75" x14ac:dyDescent="0.2">
      <c r="A31" s="68"/>
      <c r="B31" s="76">
        <v>811</v>
      </c>
      <c r="C31" s="49"/>
      <c r="D31" s="50" t="s">
        <v>69</v>
      </c>
      <c r="E31" s="51"/>
      <c r="F31" s="52"/>
      <c r="G31" s="53"/>
      <c r="H31" s="54"/>
      <c r="I31" s="54"/>
    </row>
    <row r="32" spans="1:13" ht="38.25" x14ac:dyDescent="0.2">
      <c r="A32" s="67" t="s">
        <v>138</v>
      </c>
      <c r="B32" s="28">
        <v>811</v>
      </c>
      <c r="C32" s="1">
        <v>1</v>
      </c>
      <c r="D32" s="5" t="s">
        <v>71</v>
      </c>
      <c r="E32" s="3" t="s">
        <v>72</v>
      </c>
      <c r="F32" s="1" t="s">
        <v>68</v>
      </c>
      <c r="G32" s="2">
        <v>2</v>
      </c>
      <c r="H32" s="4"/>
      <c r="I32" s="4">
        <f>SUM(G32*H32)</f>
        <v>0</v>
      </c>
    </row>
    <row r="33" spans="1:13" ht="15.75" x14ac:dyDescent="0.2">
      <c r="A33" s="68"/>
      <c r="B33" s="76">
        <v>1320</v>
      </c>
      <c r="C33" s="49"/>
      <c r="D33" s="50" t="s">
        <v>53</v>
      </c>
      <c r="E33" s="62"/>
      <c r="F33" s="52"/>
      <c r="G33" s="53"/>
      <c r="H33" s="54"/>
      <c r="I33" s="54"/>
    </row>
    <row r="34" spans="1:13" ht="63.75" x14ac:dyDescent="0.2">
      <c r="A34" s="67" t="s">
        <v>139</v>
      </c>
      <c r="B34" s="28">
        <v>1320</v>
      </c>
      <c r="C34" s="1">
        <v>1</v>
      </c>
      <c r="D34" s="5" t="s">
        <v>55</v>
      </c>
      <c r="E34" s="3" t="s">
        <v>56</v>
      </c>
      <c r="F34" s="1" t="s">
        <v>39</v>
      </c>
      <c r="G34" s="2">
        <v>4</v>
      </c>
      <c r="H34" s="4"/>
      <c r="I34" s="4">
        <f t="shared" ref="I34:I39" si="1">SUM(G34*H34)</f>
        <v>0</v>
      </c>
    </row>
    <row r="35" spans="1:13" ht="63.75" x14ac:dyDescent="0.2">
      <c r="A35" s="67" t="s">
        <v>140</v>
      </c>
      <c r="B35" s="28">
        <v>1320</v>
      </c>
      <c r="C35" s="1">
        <v>2</v>
      </c>
      <c r="D35" s="5" t="s">
        <v>55</v>
      </c>
      <c r="E35" s="3" t="s">
        <v>56</v>
      </c>
      <c r="F35" s="1" t="s">
        <v>39</v>
      </c>
      <c r="G35" s="2">
        <v>4</v>
      </c>
      <c r="H35" s="4"/>
      <c r="I35" s="4">
        <f t="shared" si="1"/>
        <v>0</v>
      </c>
    </row>
    <row r="36" spans="1:13" ht="89.25" x14ac:dyDescent="0.2">
      <c r="A36" s="67" t="s">
        <v>141</v>
      </c>
      <c r="B36" s="28">
        <v>1320</v>
      </c>
      <c r="C36" s="1">
        <v>3</v>
      </c>
      <c r="D36" s="5" t="s">
        <v>60</v>
      </c>
      <c r="E36" s="18" t="s">
        <v>51</v>
      </c>
      <c r="F36" s="1" t="s">
        <v>61</v>
      </c>
      <c r="G36" s="2">
        <v>12</v>
      </c>
      <c r="H36" s="4"/>
      <c r="I36" s="4">
        <f t="shared" si="1"/>
        <v>0</v>
      </c>
    </row>
    <row r="37" spans="1:13" ht="89.25" x14ac:dyDescent="0.2">
      <c r="A37" s="67" t="s">
        <v>142</v>
      </c>
      <c r="B37" s="28">
        <v>1320</v>
      </c>
      <c r="C37" s="1">
        <v>4</v>
      </c>
      <c r="D37" s="5" t="s">
        <v>60</v>
      </c>
      <c r="E37" s="18" t="s">
        <v>51</v>
      </c>
      <c r="F37" s="1" t="s">
        <v>61</v>
      </c>
      <c r="G37" s="2">
        <v>12</v>
      </c>
      <c r="H37" s="4"/>
      <c r="I37" s="4">
        <f t="shared" si="1"/>
        <v>0</v>
      </c>
    </row>
    <row r="38" spans="1:13" ht="89.25" x14ac:dyDescent="0.2">
      <c r="A38" s="67" t="s">
        <v>143</v>
      </c>
      <c r="B38" s="28">
        <v>1320</v>
      </c>
      <c r="C38" s="17">
        <v>5</v>
      </c>
      <c r="D38" s="36" t="s">
        <v>64</v>
      </c>
      <c r="E38" s="18" t="s">
        <v>51</v>
      </c>
      <c r="F38" s="1" t="s">
        <v>61</v>
      </c>
      <c r="G38" s="19">
        <v>12</v>
      </c>
      <c r="H38" s="4"/>
      <c r="I38" s="20">
        <f t="shared" si="1"/>
        <v>0</v>
      </c>
    </row>
    <row r="39" spans="1:13" ht="63.75" x14ac:dyDescent="0.2">
      <c r="A39" s="67" t="s">
        <v>144</v>
      </c>
      <c r="B39" s="28">
        <v>1320</v>
      </c>
      <c r="C39" s="1">
        <v>6</v>
      </c>
      <c r="D39" s="37" t="s">
        <v>79</v>
      </c>
      <c r="E39" s="3" t="s">
        <v>67</v>
      </c>
      <c r="F39" s="1" t="s">
        <v>68</v>
      </c>
      <c r="G39" s="2">
        <v>2</v>
      </c>
      <c r="H39" s="4"/>
      <c r="I39" s="4">
        <f t="shared" si="1"/>
        <v>0</v>
      </c>
    </row>
    <row r="40" spans="1:13" ht="15.75" x14ac:dyDescent="0.2">
      <c r="A40" s="68"/>
      <c r="B40" s="76">
        <v>1368</v>
      </c>
      <c r="C40" s="49"/>
      <c r="D40" s="50" t="s">
        <v>53</v>
      </c>
      <c r="E40" s="62"/>
      <c r="F40" s="52"/>
      <c r="G40" s="53"/>
      <c r="H40" s="54"/>
      <c r="I40" s="54"/>
    </row>
    <row r="41" spans="1:13" ht="102" x14ac:dyDescent="0.2">
      <c r="A41" s="67" t="s">
        <v>145</v>
      </c>
      <c r="B41" s="28">
        <v>1368</v>
      </c>
      <c r="C41" s="1">
        <v>1</v>
      </c>
      <c r="D41" s="5" t="s">
        <v>81</v>
      </c>
      <c r="E41" s="3" t="s">
        <v>82</v>
      </c>
      <c r="F41" s="1" t="s">
        <v>68</v>
      </c>
      <c r="G41" s="2">
        <v>2</v>
      </c>
      <c r="H41" s="4"/>
      <c r="I41" s="4">
        <f>SUM(G41*H41)</f>
        <v>0</v>
      </c>
    </row>
    <row r="42" spans="1:13" ht="76.5" x14ac:dyDescent="0.2">
      <c r="A42" s="67" t="s">
        <v>146</v>
      </c>
      <c r="B42" s="28">
        <v>1368</v>
      </c>
      <c r="C42" s="1">
        <v>2</v>
      </c>
      <c r="D42" s="5" t="s">
        <v>84</v>
      </c>
      <c r="E42" s="3" t="s">
        <v>85</v>
      </c>
      <c r="F42" s="1" t="s">
        <v>39</v>
      </c>
      <c r="G42" s="2">
        <v>4</v>
      </c>
      <c r="H42" s="4"/>
      <c r="I42" s="4">
        <f t="shared" ref="I42:I49" si="2">SUM(G42*H42)</f>
        <v>0</v>
      </c>
    </row>
    <row r="43" spans="1:13" ht="76.5" x14ac:dyDescent="0.2">
      <c r="A43" s="67" t="s">
        <v>147</v>
      </c>
      <c r="B43" s="28">
        <v>1368</v>
      </c>
      <c r="C43" s="1">
        <v>3</v>
      </c>
      <c r="D43" s="5" t="s">
        <v>84</v>
      </c>
      <c r="E43" s="3" t="s">
        <v>85</v>
      </c>
      <c r="F43" s="1" t="s">
        <v>39</v>
      </c>
      <c r="G43" s="2">
        <v>4</v>
      </c>
      <c r="H43" s="4"/>
      <c r="I43" s="4">
        <f t="shared" si="2"/>
        <v>0</v>
      </c>
    </row>
    <row r="44" spans="1:13" ht="89.25" x14ac:dyDescent="0.2">
      <c r="A44" s="67" t="s">
        <v>148</v>
      </c>
      <c r="B44" s="28">
        <v>1368</v>
      </c>
      <c r="C44" s="1">
        <v>4</v>
      </c>
      <c r="D44" s="5" t="s">
        <v>88</v>
      </c>
      <c r="E44" s="18" t="s">
        <v>51</v>
      </c>
      <c r="F44" s="1" t="s">
        <v>61</v>
      </c>
      <c r="G44" s="2">
        <v>12</v>
      </c>
      <c r="H44" s="4"/>
      <c r="I44" s="4">
        <f t="shared" si="2"/>
        <v>0</v>
      </c>
    </row>
    <row r="45" spans="1:13" ht="76.5" x14ac:dyDescent="0.2">
      <c r="A45" s="67" t="s">
        <v>149</v>
      </c>
      <c r="B45" s="28">
        <v>1368</v>
      </c>
      <c r="C45" s="1">
        <v>5</v>
      </c>
      <c r="D45" s="5" t="s">
        <v>90</v>
      </c>
      <c r="E45" s="3" t="s">
        <v>85</v>
      </c>
      <c r="F45" s="1" t="s">
        <v>39</v>
      </c>
      <c r="G45" s="2">
        <v>4</v>
      </c>
      <c r="H45" s="4"/>
      <c r="I45" s="4">
        <f t="shared" si="2"/>
        <v>0</v>
      </c>
    </row>
    <row r="46" spans="1:13" ht="76.5" x14ac:dyDescent="0.2">
      <c r="A46" s="67" t="s">
        <v>150</v>
      </c>
      <c r="B46" s="28">
        <v>1368</v>
      </c>
      <c r="C46" s="1">
        <v>6</v>
      </c>
      <c r="D46" s="5" t="s">
        <v>92</v>
      </c>
      <c r="E46" s="18" t="s">
        <v>51</v>
      </c>
      <c r="F46" s="1" t="s">
        <v>61</v>
      </c>
      <c r="G46" s="2">
        <v>12</v>
      </c>
      <c r="H46" s="4"/>
      <c r="I46" s="4">
        <f t="shared" si="2"/>
        <v>0</v>
      </c>
      <c r="M46" t="s">
        <v>6</v>
      </c>
    </row>
    <row r="47" spans="1:13" ht="76.5" x14ac:dyDescent="0.2">
      <c r="A47" s="67" t="s">
        <v>151</v>
      </c>
      <c r="B47" s="28">
        <v>1368</v>
      </c>
      <c r="C47" s="1">
        <v>7</v>
      </c>
      <c r="D47" s="5" t="s">
        <v>94</v>
      </c>
      <c r="E47" s="3" t="s">
        <v>82</v>
      </c>
      <c r="F47" s="1" t="s">
        <v>68</v>
      </c>
      <c r="G47" s="2">
        <v>2</v>
      </c>
      <c r="H47" s="4"/>
      <c r="I47" s="4">
        <f t="shared" si="2"/>
        <v>0</v>
      </c>
    </row>
    <row r="48" spans="1:13" ht="76.5" x14ac:dyDescent="0.2">
      <c r="A48" s="67" t="s">
        <v>152</v>
      </c>
      <c r="B48" s="28">
        <v>1368</v>
      </c>
      <c r="C48" s="1">
        <v>8</v>
      </c>
      <c r="D48" s="5" t="s">
        <v>96</v>
      </c>
      <c r="E48" s="3" t="s">
        <v>82</v>
      </c>
      <c r="F48" s="1" t="s">
        <v>68</v>
      </c>
      <c r="G48" s="2">
        <v>2</v>
      </c>
      <c r="H48" s="4"/>
      <c r="I48" s="4">
        <f t="shared" si="2"/>
        <v>0</v>
      </c>
    </row>
    <row r="49" spans="1:9" ht="76.5" x14ac:dyDescent="0.2">
      <c r="A49" s="67" t="s">
        <v>153</v>
      </c>
      <c r="B49" s="28">
        <v>1368</v>
      </c>
      <c r="C49" s="1">
        <v>9</v>
      </c>
      <c r="D49" s="5" t="s">
        <v>98</v>
      </c>
      <c r="E49" s="3" t="s">
        <v>82</v>
      </c>
      <c r="F49" s="1" t="s">
        <v>68</v>
      </c>
      <c r="G49" s="2">
        <v>2</v>
      </c>
      <c r="H49" s="4"/>
      <c r="I49" s="4">
        <f t="shared" si="2"/>
        <v>0</v>
      </c>
    </row>
    <row r="50" spans="1:9" ht="15.75" x14ac:dyDescent="0.2">
      <c r="A50" s="68"/>
      <c r="B50" s="76">
        <v>2320</v>
      </c>
      <c r="C50" s="49"/>
      <c r="D50" s="50" t="s">
        <v>99</v>
      </c>
      <c r="E50" s="51"/>
      <c r="F50" s="52"/>
      <c r="G50" s="53"/>
      <c r="H50" s="54"/>
      <c r="I50" s="54"/>
    </row>
    <row r="51" spans="1:9" ht="15.75" x14ac:dyDescent="0.2">
      <c r="A51" s="69" t="s">
        <v>154</v>
      </c>
      <c r="B51" s="41">
        <v>2320</v>
      </c>
      <c r="C51" s="43">
        <v>1</v>
      </c>
      <c r="D51" s="46" t="s">
        <v>31</v>
      </c>
      <c r="E51" s="42" t="s">
        <v>31</v>
      </c>
      <c r="F51" s="43" t="s">
        <v>31</v>
      </c>
      <c r="G51" s="44" t="s">
        <v>31</v>
      </c>
      <c r="H51" s="45"/>
      <c r="I51" s="45"/>
    </row>
    <row r="52" spans="1:9" ht="15.75" x14ac:dyDescent="0.2">
      <c r="A52" s="70"/>
      <c r="B52" s="47">
        <v>4490</v>
      </c>
      <c r="C52" s="30"/>
      <c r="D52" s="35" t="s">
        <v>101</v>
      </c>
      <c r="E52" s="29"/>
      <c r="F52" s="30"/>
      <c r="G52" s="31"/>
      <c r="H52" s="32"/>
      <c r="I52" s="32"/>
    </row>
    <row r="53" spans="1:9" ht="63.75" x14ac:dyDescent="0.2">
      <c r="A53" s="105" t="s">
        <v>155</v>
      </c>
      <c r="B53" s="107">
        <v>4490</v>
      </c>
      <c r="C53" s="109">
        <v>1</v>
      </c>
      <c r="D53" s="39" t="s">
        <v>103</v>
      </c>
      <c r="E53" s="18" t="s">
        <v>38</v>
      </c>
      <c r="F53" s="17" t="s">
        <v>39</v>
      </c>
      <c r="G53" s="19">
        <v>4</v>
      </c>
      <c r="H53" s="4"/>
      <c r="I53" s="20">
        <f t="shared" ref="I53" si="3">SUM(G53*H53)</f>
        <v>0</v>
      </c>
    </row>
    <row r="54" spans="1:9" x14ac:dyDescent="0.2">
      <c r="A54" s="106"/>
      <c r="B54" s="108"/>
      <c r="C54" s="110"/>
      <c r="D54" s="27" t="s">
        <v>40</v>
      </c>
      <c r="E54" s="23"/>
      <c r="F54" s="25"/>
      <c r="G54" s="26" t="s">
        <v>6</v>
      </c>
      <c r="H54" s="24"/>
      <c r="I54" s="24"/>
    </row>
    <row r="55" spans="1:9" ht="15.75" x14ac:dyDescent="0.2">
      <c r="A55" s="68"/>
      <c r="B55" s="114" t="s">
        <v>104</v>
      </c>
      <c r="C55" s="114"/>
      <c r="D55" s="50" t="s">
        <v>105</v>
      </c>
      <c r="E55" s="51"/>
      <c r="F55" s="52"/>
      <c r="G55" s="53"/>
      <c r="H55" s="54"/>
      <c r="I55" s="54"/>
    </row>
    <row r="56" spans="1:9" ht="51" x14ac:dyDescent="0.2">
      <c r="A56" s="71" t="s">
        <v>156</v>
      </c>
      <c r="B56" s="77" t="s">
        <v>107</v>
      </c>
      <c r="C56" s="1">
        <v>1</v>
      </c>
      <c r="D56" s="5" t="s">
        <v>108</v>
      </c>
      <c r="E56" s="18" t="s">
        <v>19</v>
      </c>
      <c r="F56" s="17" t="s">
        <v>109</v>
      </c>
      <c r="G56" s="19">
        <v>1</v>
      </c>
      <c r="H56" s="4"/>
      <c r="I56" s="20">
        <f>SUM(G56*H56)</f>
        <v>0</v>
      </c>
    </row>
    <row r="57" spans="1:9" x14ac:dyDescent="0.2">
      <c r="A57" s="72"/>
      <c r="B57" s="63"/>
      <c r="C57" s="64"/>
      <c r="D57" s="65"/>
      <c r="E57" s="51"/>
      <c r="F57" s="52"/>
      <c r="G57" s="53"/>
      <c r="H57" s="54"/>
      <c r="I57" s="54"/>
    </row>
    <row r="58" spans="1:9" ht="15.75" x14ac:dyDescent="0.2">
      <c r="A58" s="67" t="s">
        <v>157</v>
      </c>
      <c r="B58" s="28"/>
      <c r="C58" s="1">
        <v>1</v>
      </c>
      <c r="D58" s="5" t="s">
        <v>111</v>
      </c>
      <c r="E58" s="3" t="s">
        <v>31</v>
      </c>
      <c r="F58" s="1" t="s">
        <v>112</v>
      </c>
      <c r="G58" s="2">
        <v>1</v>
      </c>
      <c r="H58" s="4"/>
      <c r="I58" s="20">
        <f>SUM(G58*H58)</f>
        <v>0</v>
      </c>
    </row>
    <row r="59" spans="1:9" ht="15.75" x14ac:dyDescent="0.2">
      <c r="A59" s="73"/>
      <c r="B59" s="40"/>
      <c r="C59" s="33"/>
      <c r="D59" s="34"/>
      <c r="E59" s="3"/>
      <c r="F59" s="1"/>
      <c r="G59" s="2"/>
      <c r="H59" s="4"/>
      <c r="I59" s="4"/>
    </row>
    <row r="60" spans="1:9" x14ac:dyDescent="0.2">
      <c r="A60" s="115"/>
      <c r="B60" s="116"/>
      <c r="C60" s="116"/>
      <c r="D60" s="117"/>
      <c r="E60" s="3"/>
      <c r="F60" s="1"/>
      <c r="G60" s="2"/>
      <c r="H60" s="4"/>
      <c r="I60" s="4"/>
    </row>
    <row r="61" spans="1:9" ht="15.75" x14ac:dyDescent="0.2">
      <c r="A61" s="67"/>
      <c r="B61" s="118" t="s">
        <v>158</v>
      </c>
      <c r="C61" s="118"/>
      <c r="D61" s="118"/>
      <c r="E61" s="118"/>
      <c r="F61" s="1"/>
      <c r="G61" s="28">
        <f>SUM(G4:G60)</f>
        <v>177</v>
      </c>
      <c r="H61" s="4"/>
      <c r="I61" s="12">
        <f>SUM(I4:I60)</f>
        <v>0</v>
      </c>
    </row>
    <row r="63" spans="1:9" x14ac:dyDescent="0.2">
      <c r="A63" s="38">
        <v>13</v>
      </c>
      <c r="B63" s="14" t="s">
        <v>114</v>
      </c>
      <c r="C63" s="14"/>
    </row>
    <row r="64" spans="1:9" x14ac:dyDescent="0.2">
      <c r="A64" s="38">
        <f>COUNTIF(C1:C56, "&gt;0")</f>
        <v>39</v>
      </c>
      <c r="B64" s="14" t="s">
        <v>115</v>
      </c>
      <c r="C64" s="14"/>
      <c r="F64" s="13"/>
      <c r="G64" s="13"/>
    </row>
    <row r="65" spans="1:9" x14ac:dyDescent="0.2">
      <c r="A65" s="38">
        <v>177</v>
      </c>
      <c r="B65" s="14" t="s">
        <v>116</v>
      </c>
      <c r="C65" s="14"/>
      <c r="F65" s="13"/>
      <c r="G65" s="13"/>
    </row>
    <row r="66" spans="1:9" x14ac:dyDescent="0.2">
      <c r="B66" s="14"/>
      <c r="C66" s="14"/>
      <c r="D66" s="14"/>
      <c r="E66" s="14"/>
      <c r="F66" s="15"/>
      <c r="G66" s="13"/>
      <c r="I66" s="15"/>
    </row>
    <row r="67" spans="1:9" x14ac:dyDescent="0.2">
      <c r="B67" s="14"/>
      <c r="C67" s="14"/>
      <c r="D67" s="14"/>
      <c r="E67" s="14"/>
      <c r="F67" s="15"/>
      <c r="I67" s="15"/>
    </row>
    <row r="68" spans="1:9" x14ac:dyDescent="0.2">
      <c r="B68" s="14"/>
      <c r="C68" s="14"/>
      <c r="D68" s="14"/>
      <c r="E68" s="14"/>
      <c r="F68" s="15"/>
      <c r="I68" s="15"/>
    </row>
    <row r="69" spans="1:9" x14ac:dyDescent="0.2">
      <c r="B69" s="14"/>
      <c r="C69" s="14"/>
      <c r="D69" s="14"/>
      <c r="E69" s="14"/>
      <c r="F69" s="15"/>
      <c r="I69" s="15"/>
    </row>
    <row r="70" spans="1:9" x14ac:dyDescent="0.2">
      <c r="B70" s="14"/>
      <c r="C70" s="14"/>
      <c r="D70" s="14"/>
      <c r="E70" s="14"/>
      <c r="F70" s="16"/>
      <c r="I70" s="15"/>
    </row>
    <row r="71" spans="1:9" x14ac:dyDescent="0.2">
      <c r="I71" s="16"/>
    </row>
  </sheetData>
  <mergeCells count="11">
    <mergeCell ref="J16:M16"/>
    <mergeCell ref="A53:A54"/>
    <mergeCell ref="B53:B54"/>
    <mergeCell ref="C53:C54"/>
    <mergeCell ref="B55:C55"/>
    <mergeCell ref="A16:A17"/>
    <mergeCell ref="B16:B17"/>
    <mergeCell ref="C16:C17"/>
    <mergeCell ref="A1:I1"/>
    <mergeCell ref="B61:E61"/>
    <mergeCell ref="A60:D60"/>
  </mergeCells>
  <pageMargins left="0.25" right="0.25" top="0.75" bottom="0.75" header="0.3" footer="0.3"/>
  <pageSetup orientation="portrait" r:id="rId1"/>
  <headerFooter>
    <oddHeader xml:space="preserve">&amp;CFA3020 -XX-X-XXXX
 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DDE09-B492-4AF2-AD66-79B2AC085DCF}">
  <dimension ref="A1:N71"/>
  <sheetViews>
    <sheetView zoomScale="57" workbookViewId="0">
      <selection sqref="A1:I1"/>
    </sheetView>
  </sheetViews>
  <sheetFormatPr defaultRowHeight="12.75" x14ac:dyDescent="0.2"/>
  <cols>
    <col min="1" max="1" width="6.85546875" style="38" customWidth="1"/>
    <col min="2" max="2" width="7" customWidth="1"/>
    <col min="3" max="3" width="7.140625" customWidth="1"/>
    <col min="4" max="4" width="17.42578125" customWidth="1"/>
    <col min="5" max="5" width="10" customWidth="1"/>
    <col min="6" max="6" width="13.42578125" customWidth="1"/>
    <col min="7" max="7" width="9.140625" customWidth="1"/>
    <col min="8" max="8" width="8.140625" customWidth="1"/>
    <col min="9" max="9" width="12.5703125" customWidth="1"/>
  </cols>
  <sheetData>
    <row r="1" spans="1:14" x14ac:dyDescent="0.2">
      <c r="A1" s="122" t="s">
        <v>3</v>
      </c>
      <c r="B1" s="123"/>
      <c r="C1" s="123"/>
      <c r="D1" s="123"/>
      <c r="E1" s="123"/>
      <c r="F1" s="123"/>
      <c r="G1" s="123"/>
      <c r="H1" s="123"/>
      <c r="I1" s="124"/>
      <c r="L1" s="11" t="s">
        <v>6</v>
      </c>
    </row>
    <row r="2" spans="1:14" ht="33.75" x14ac:dyDescent="0.2">
      <c r="A2" s="67" t="s">
        <v>7</v>
      </c>
      <c r="B2" s="75" t="s">
        <v>8</v>
      </c>
      <c r="C2" s="6" t="s">
        <v>9</v>
      </c>
      <c r="D2" s="75" t="s">
        <v>10</v>
      </c>
      <c r="E2" s="7" t="s">
        <v>11</v>
      </c>
      <c r="F2" s="6" t="s">
        <v>12</v>
      </c>
      <c r="G2" s="8" t="s">
        <v>13</v>
      </c>
      <c r="H2" s="9" t="s">
        <v>14</v>
      </c>
      <c r="I2" s="10" t="s">
        <v>15</v>
      </c>
    </row>
    <row r="3" spans="1:14" ht="15.75" x14ac:dyDescent="0.2">
      <c r="A3" s="68"/>
      <c r="B3" s="76">
        <v>61</v>
      </c>
      <c r="C3" s="49"/>
      <c r="D3" s="50" t="s">
        <v>16</v>
      </c>
      <c r="E3" s="51"/>
      <c r="F3" s="52"/>
      <c r="G3" s="53"/>
      <c r="H3" s="54"/>
      <c r="I3" s="54"/>
    </row>
    <row r="4" spans="1:14" ht="51" x14ac:dyDescent="0.2">
      <c r="A4" s="67" t="s">
        <v>159</v>
      </c>
      <c r="B4" s="28">
        <v>61</v>
      </c>
      <c r="C4" s="1">
        <v>1</v>
      </c>
      <c r="D4" s="5" t="s">
        <v>18</v>
      </c>
      <c r="E4" s="3" t="s">
        <v>19</v>
      </c>
      <c r="F4" s="1" t="s">
        <v>20</v>
      </c>
      <c r="G4" s="2">
        <v>1</v>
      </c>
      <c r="H4" s="4"/>
      <c r="I4" s="4">
        <f>SUM(G4*H4)</f>
        <v>0</v>
      </c>
    </row>
    <row r="5" spans="1:14" ht="51" x14ac:dyDescent="0.2">
      <c r="A5" s="67" t="s">
        <v>160</v>
      </c>
      <c r="B5" s="28">
        <v>61</v>
      </c>
      <c r="C5" s="1">
        <v>2</v>
      </c>
      <c r="D5" s="5" t="s">
        <v>22</v>
      </c>
      <c r="E5" s="3" t="s">
        <v>19</v>
      </c>
      <c r="F5" s="1" t="s">
        <v>20</v>
      </c>
      <c r="G5" s="2">
        <v>1</v>
      </c>
      <c r="H5" s="4"/>
      <c r="I5" s="4">
        <f>SUM(G5*H5)</f>
        <v>0</v>
      </c>
    </row>
    <row r="6" spans="1:14" ht="63.75" x14ac:dyDescent="0.2">
      <c r="A6" s="67" t="s">
        <v>161</v>
      </c>
      <c r="B6" s="28">
        <v>61</v>
      </c>
      <c r="C6" s="1">
        <v>3</v>
      </c>
      <c r="D6" s="5" t="s">
        <v>24</v>
      </c>
      <c r="E6" s="3" t="s">
        <v>19</v>
      </c>
      <c r="F6" s="1" t="s">
        <v>20</v>
      </c>
      <c r="G6" s="2">
        <v>1</v>
      </c>
      <c r="H6" s="4"/>
      <c r="I6" s="4">
        <f>SUM(G6*H6)</f>
        <v>0</v>
      </c>
    </row>
    <row r="7" spans="1:14" ht="51" x14ac:dyDescent="0.2">
      <c r="A7" s="67" t="s">
        <v>162</v>
      </c>
      <c r="B7" s="28">
        <v>61</v>
      </c>
      <c r="C7" s="1">
        <v>4</v>
      </c>
      <c r="D7" s="5" t="s">
        <v>26</v>
      </c>
      <c r="E7" s="3" t="s">
        <v>19</v>
      </c>
      <c r="F7" s="1" t="s">
        <v>20</v>
      </c>
      <c r="G7" s="2">
        <v>1</v>
      </c>
      <c r="H7" s="4"/>
      <c r="I7" s="4">
        <f>SUM(G7*H7)</f>
        <v>0</v>
      </c>
    </row>
    <row r="8" spans="1:14" ht="15.75" x14ac:dyDescent="0.2">
      <c r="A8" s="68"/>
      <c r="B8" s="76">
        <v>195</v>
      </c>
      <c r="C8" s="49"/>
      <c r="D8" s="50" t="s">
        <v>27</v>
      </c>
      <c r="E8" s="51"/>
      <c r="F8" s="52"/>
      <c r="G8" s="53"/>
      <c r="H8" s="54"/>
      <c r="I8" s="54"/>
    </row>
    <row r="9" spans="1:14" ht="51" x14ac:dyDescent="0.2">
      <c r="A9" s="67" t="s">
        <v>163</v>
      </c>
      <c r="B9" s="28">
        <v>195</v>
      </c>
      <c r="C9" s="1">
        <v>1</v>
      </c>
      <c r="D9" s="5" t="s">
        <v>29</v>
      </c>
      <c r="E9" s="3" t="s">
        <v>30</v>
      </c>
      <c r="F9" s="1" t="s">
        <v>20</v>
      </c>
      <c r="G9" s="2">
        <v>1</v>
      </c>
      <c r="H9" s="4"/>
      <c r="I9" s="4">
        <f>SUM(G9*H9)</f>
        <v>0</v>
      </c>
    </row>
    <row r="10" spans="1:14" ht="15.75" x14ac:dyDescent="0.2">
      <c r="A10" s="68"/>
      <c r="B10" s="76">
        <v>204</v>
      </c>
      <c r="C10" s="49"/>
      <c r="D10" s="50" t="s">
        <v>31</v>
      </c>
      <c r="E10" s="55"/>
      <c r="F10" s="52"/>
      <c r="G10" s="53"/>
      <c r="H10" s="54"/>
      <c r="I10" s="54"/>
    </row>
    <row r="11" spans="1:14" ht="38.1" customHeight="1" x14ac:dyDescent="0.2">
      <c r="A11" s="69" t="s">
        <v>164</v>
      </c>
      <c r="B11" s="41">
        <v>204</v>
      </c>
      <c r="C11" s="43">
        <v>1</v>
      </c>
      <c r="D11" s="46" t="s">
        <v>31</v>
      </c>
      <c r="E11" s="42" t="s">
        <v>31</v>
      </c>
      <c r="F11" s="43" t="s">
        <v>31</v>
      </c>
      <c r="G11" s="44" t="s">
        <v>31</v>
      </c>
      <c r="H11" s="45"/>
      <c r="I11" s="45"/>
    </row>
    <row r="12" spans="1:14" ht="15.75" x14ac:dyDescent="0.2">
      <c r="A12" s="68"/>
      <c r="B12" s="76">
        <v>239</v>
      </c>
      <c r="C12" s="49"/>
      <c r="D12" s="56" t="s">
        <v>31</v>
      </c>
      <c r="E12" s="57"/>
      <c r="F12" s="58"/>
      <c r="G12" s="59"/>
      <c r="H12" s="54"/>
      <c r="I12" s="54"/>
      <c r="N12" t="s">
        <v>6</v>
      </c>
    </row>
    <row r="13" spans="1:14" ht="15.75" x14ac:dyDescent="0.2">
      <c r="A13" s="69" t="s">
        <v>165</v>
      </c>
      <c r="B13" s="41">
        <v>239</v>
      </c>
      <c r="C13" s="43">
        <v>1</v>
      </c>
      <c r="D13" s="46" t="s">
        <v>31</v>
      </c>
      <c r="E13" s="46" t="s">
        <v>31</v>
      </c>
      <c r="F13" s="46" t="s">
        <v>31</v>
      </c>
      <c r="G13" s="46" t="s">
        <v>31</v>
      </c>
      <c r="H13" s="45"/>
      <c r="I13" s="45"/>
    </row>
    <row r="14" spans="1:14" ht="15.75" x14ac:dyDescent="0.2">
      <c r="A14" s="69" t="s">
        <v>166</v>
      </c>
      <c r="B14" s="41">
        <v>239</v>
      </c>
      <c r="C14" s="43">
        <v>2</v>
      </c>
      <c r="D14" s="46" t="s">
        <v>31</v>
      </c>
      <c r="E14" s="46" t="s">
        <v>31</v>
      </c>
      <c r="F14" s="46" t="s">
        <v>31</v>
      </c>
      <c r="G14" s="46" t="s">
        <v>31</v>
      </c>
      <c r="H14" s="45"/>
      <c r="I14" s="45"/>
    </row>
    <row r="15" spans="1:14" ht="15.75" x14ac:dyDescent="0.2">
      <c r="A15" s="68"/>
      <c r="B15" s="76">
        <v>318</v>
      </c>
      <c r="C15" s="49"/>
      <c r="D15" s="50" t="s">
        <v>35</v>
      </c>
      <c r="E15" s="51"/>
      <c r="F15" s="52"/>
      <c r="G15" s="53"/>
      <c r="H15" s="54"/>
      <c r="I15" s="54"/>
    </row>
    <row r="16" spans="1:14" ht="38.25" x14ac:dyDescent="0.2">
      <c r="A16" s="105" t="s">
        <v>167</v>
      </c>
      <c r="B16" s="107">
        <v>318</v>
      </c>
      <c r="C16" s="109">
        <v>1</v>
      </c>
      <c r="D16" s="5" t="s">
        <v>37</v>
      </c>
      <c r="E16" s="3" t="s">
        <v>38</v>
      </c>
      <c r="F16" s="1" t="s">
        <v>39</v>
      </c>
      <c r="G16" s="2">
        <v>4</v>
      </c>
      <c r="H16" s="4"/>
      <c r="I16" s="4">
        <f>SUM(G16*H16)</f>
        <v>0</v>
      </c>
      <c r="J16" s="103" t="s">
        <v>6</v>
      </c>
      <c r="K16" s="104"/>
      <c r="L16" s="104"/>
      <c r="M16" s="104"/>
    </row>
    <row r="17" spans="1:13" ht="15.75" customHeight="1" x14ac:dyDescent="0.2">
      <c r="A17" s="106"/>
      <c r="B17" s="108"/>
      <c r="C17" s="110"/>
      <c r="D17" s="27" t="s">
        <v>40</v>
      </c>
      <c r="E17" s="23"/>
      <c r="F17" s="25"/>
      <c r="G17" s="26" t="s">
        <v>6</v>
      </c>
      <c r="H17" s="24"/>
      <c r="I17" s="24"/>
    </row>
    <row r="18" spans="1:13" ht="15.75" x14ac:dyDescent="0.2">
      <c r="A18" s="68"/>
      <c r="B18" s="76">
        <v>740</v>
      </c>
      <c r="C18" s="49"/>
      <c r="D18" s="50" t="s">
        <v>41</v>
      </c>
      <c r="E18" s="60"/>
      <c r="F18" s="49"/>
      <c r="G18" s="76"/>
      <c r="H18" s="54"/>
      <c r="I18" s="61"/>
      <c r="J18" s="11" t="s">
        <v>6</v>
      </c>
    </row>
    <row r="19" spans="1:13" ht="38.25" x14ac:dyDescent="0.2">
      <c r="A19" s="67" t="s">
        <v>168</v>
      </c>
      <c r="B19" s="28">
        <v>740</v>
      </c>
      <c r="C19" s="1">
        <v>1</v>
      </c>
      <c r="D19" s="5" t="s">
        <v>43</v>
      </c>
      <c r="E19" s="3" t="s">
        <v>44</v>
      </c>
      <c r="F19" s="1" t="s">
        <v>39</v>
      </c>
      <c r="G19" s="2">
        <v>4</v>
      </c>
      <c r="H19" s="4"/>
      <c r="I19" s="4">
        <f>SUM(G19*H19)</f>
        <v>0</v>
      </c>
      <c r="J19" s="11"/>
    </row>
    <row r="20" spans="1:13" ht="38.25" x14ac:dyDescent="0.2">
      <c r="A20" s="67" t="s">
        <v>169</v>
      </c>
      <c r="B20" s="48">
        <v>740</v>
      </c>
      <c r="C20" s="17">
        <v>2</v>
      </c>
      <c r="D20" s="39" t="s">
        <v>47</v>
      </c>
      <c r="E20" s="18" t="s">
        <v>38</v>
      </c>
      <c r="F20" s="18" t="s">
        <v>128</v>
      </c>
      <c r="G20" s="19">
        <v>4</v>
      </c>
      <c r="H20" s="4"/>
      <c r="I20" s="20">
        <f>SUM(G20*H20)</f>
        <v>0</v>
      </c>
      <c r="J20" s="11" t="s">
        <v>6</v>
      </c>
      <c r="M20" s="11" t="s">
        <v>6</v>
      </c>
    </row>
    <row r="21" spans="1:13" ht="38.25" x14ac:dyDescent="0.2">
      <c r="A21" s="67" t="s">
        <v>170</v>
      </c>
      <c r="B21" s="48">
        <v>740</v>
      </c>
      <c r="C21" s="17">
        <v>3</v>
      </c>
      <c r="D21" s="39" t="s">
        <v>47</v>
      </c>
      <c r="E21" s="18" t="s">
        <v>38</v>
      </c>
      <c r="F21" s="18" t="s">
        <v>128</v>
      </c>
      <c r="G21" s="19">
        <v>4</v>
      </c>
      <c r="H21" s="4"/>
      <c r="I21" s="20">
        <f>SUM(G21*H21)</f>
        <v>0</v>
      </c>
    </row>
    <row r="22" spans="1:13" ht="38.25" x14ac:dyDescent="0.2">
      <c r="A22" s="67" t="s">
        <v>171</v>
      </c>
      <c r="B22" s="28">
        <v>740</v>
      </c>
      <c r="C22" s="1">
        <v>4</v>
      </c>
      <c r="D22" s="5" t="s">
        <v>50</v>
      </c>
      <c r="E22" s="3" t="s">
        <v>51</v>
      </c>
      <c r="F22" s="1" t="s">
        <v>61</v>
      </c>
      <c r="G22" s="2">
        <v>12</v>
      </c>
      <c r="H22" s="4"/>
      <c r="I22" s="4">
        <f>SUM(G22*H22)</f>
        <v>0</v>
      </c>
    </row>
    <row r="23" spans="1:13" ht="15.75" x14ac:dyDescent="0.2">
      <c r="A23" s="69" t="s">
        <v>172</v>
      </c>
      <c r="B23" s="41">
        <v>740</v>
      </c>
      <c r="C23" s="43">
        <v>5</v>
      </c>
      <c r="D23" s="46" t="s">
        <v>31</v>
      </c>
      <c r="E23" s="46" t="s">
        <v>31</v>
      </c>
      <c r="F23" s="46" t="s">
        <v>31</v>
      </c>
      <c r="G23" s="46" t="s">
        <v>31</v>
      </c>
      <c r="H23" s="45"/>
      <c r="I23" s="45"/>
    </row>
    <row r="24" spans="1:13" ht="15.75" x14ac:dyDescent="0.2">
      <c r="A24" s="68"/>
      <c r="B24" s="76">
        <v>805</v>
      </c>
      <c r="C24" s="49"/>
      <c r="D24" s="50" t="s">
        <v>53</v>
      </c>
      <c r="E24" s="62"/>
      <c r="F24" s="52"/>
      <c r="G24" s="53"/>
      <c r="H24" s="54"/>
      <c r="I24" s="54"/>
    </row>
    <row r="25" spans="1:13" ht="63.75" x14ac:dyDescent="0.2">
      <c r="A25" s="67" t="s">
        <v>173</v>
      </c>
      <c r="B25" s="28">
        <v>805</v>
      </c>
      <c r="C25" s="1">
        <v>1</v>
      </c>
      <c r="D25" s="5" t="s">
        <v>55</v>
      </c>
      <c r="E25" s="3" t="s">
        <v>56</v>
      </c>
      <c r="F25" s="1" t="s">
        <v>57</v>
      </c>
      <c r="G25" s="2">
        <v>4</v>
      </c>
      <c r="H25" s="4"/>
      <c r="I25" s="4">
        <f t="shared" ref="I25:I30" si="0">SUM(G25*H25)</f>
        <v>0</v>
      </c>
    </row>
    <row r="26" spans="1:13" ht="63.75" x14ac:dyDescent="0.2">
      <c r="A26" s="67" t="s">
        <v>174</v>
      </c>
      <c r="B26" s="28">
        <v>805</v>
      </c>
      <c r="C26" s="1">
        <v>2</v>
      </c>
      <c r="D26" s="5" t="s">
        <v>55</v>
      </c>
      <c r="E26" s="3" t="s">
        <v>56</v>
      </c>
      <c r="F26" s="1" t="s">
        <v>57</v>
      </c>
      <c r="G26" s="2">
        <v>4</v>
      </c>
      <c r="H26" s="4"/>
      <c r="I26" s="4">
        <f t="shared" si="0"/>
        <v>0</v>
      </c>
    </row>
    <row r="27" spans="1:13" ht="89.25" x14ac:dyDescent="0.2">
      <c r="A27" s="67" t="s">
        <v>175</v>
      </c>
      <c r="B27" s="28">
        <v>805</v>
      </c>
      <c r="C27" s="1">
        <v>3</v>
      </c>
      <c r="D27" s="5" t="s">
        <v>60</v>
      </c>
      <c r="E27" s="3" t="s">
        <v>51</v>
      </c>
      <c r="F27" s="1" t="s">
        <v>61</v>
      </c>
      <c r="G27" s="2">
        <v>12</v>
      </c>
      <c r="H27" s="4"/>
      <c r="I27" s="4">
        <f t="shared" si="0"/>
        <v>0</v>
      </c>
    </row>
    <row r="28" spans="1:13" ht="89.25" x14ac:dyDescent="0.2">
      <c r="A28" s="67" t="s">
        <v>176</v>
      </c>
      <c r="B28" s="28">
        <v>805</v>
      </c>
      <c r="C28" s="1">
        <v>4</v>
      </c>
      <c r="D28" s="5" t="s">
        <v>60</v>
      </c>
      <c r="E28" s="3" t="s">
        <v>51</v>
      </c>
      <c r="F28" s="1" t="s">
        <v>61</v>
      </c>
      <c r="G28" s="2">
        <v>12</v>
      </c>
      <c r="H28" s="4"/>
      <c r="I28" s="4">
        <f t="shared" si="0"/>
        <v>0</v>
      </c>
    </row>
    <row r="29" spans="1:13" ht="89.25" x14ac:dyDescent="0.2">
      <c r="A29" s="67" t="s">
        <v>177</v>
      </c>
      <c r="B29" s="28">
        <v>805</v>
      </c>
      <c r="C29" s="17">
        <v>5</v>
      </c>
      <c r="D29" s="36" t="s">
        <v>64</v>
      </c>
      <c r="E29" s="18" t="s">
        <v>51</v>
      </c>
      <c r="F29" s="1" t="s">
        <v>61</v>
      </c>
      <c r="G29" s="19">
        <v>12</v>
      </c>
      <c r="H29" s="4"/>
      <c r="I29" s="20">
        <f t="shared" si="0"/>
        <v>0</v>
      </c>
    </row>
    <row r="30" spans="1:13" ht="63.75" x14ac:dyDescent="0.2">
      <c r="A30" s="67" t="s">
        <v>178</v>
      </c>
      <c r="B30" s="28">
        <v>805</v>
      </c>
      <c r="C30" s="1">
        <v>6</v>
      </c>
      <c r="D30" s="37" t="s">
        <v>66</v>
      </c>
      <c r="E30" s="3" t="s">
        <v>67</v>
      </c>
      <c r="F30" s="1" t="s">
        <v>68</v>
      </c>
      <c r="G30" s="2">
        <v>2</v>
      </c>
      <c r="H30" s="4"/>
      <c r="I30" s="4">
        <f t="shared" si="0"/>
        <v>0</v>
      </c>
    </row>
    <row r="31" spans="1:13" ht="15.75" x14ac:dyDescent="0.2">
      <c r="A31" s="68"/>
      <c r="B31" s="76">
        <v>811</v>
      </c>
      <c r="C31" s="49"/>
      <c r="D31" s="50" t="s">
        <v>69</v>
      </c>
      <c r="E31" s="51"/>
      <c r="F31" s="52"/>
      <c r="G31" s="53"/>
      <c r="H31" s="54"/>
      <c r="I31" s="54"/>
    </row>
    <row r="32" spans="1:13" ht="38.25" x14ac:dyDescent="0.2">
      <c r="A32" s="67" t="s">
        <v>179</v>
      </c>
      <c r="B32" s="28">
        <v>811</v>
      </c>
      <c r="C32" s="1">
        <v>1</v>
      </c>
      <c r="D32" s="5" t="s">
        <v>71</v>
      </c>
      <c r="E32" s="3" t="s">
        <v>72</v>
      </c>
      <c r="F32" s="1" t="s">
        <v>68</v>
      </c>
      <c r="G32" s="2">
        <v>2</v>
      </c>
      <c r="H32" s="4"/>
      <c r="I32" s="4">
        <f>SUM(G32*H32)</f>
        <v>0</v>
      </c>
    </row>
    <row r="33" spans="1:13" ht="15.75" x14ac:dyDescent="0.2">
      <c r="A33" s="68"/>
      <c r="B33" s="76">
        <v>1320</v>
      </c>
      <c r="C33" s="49"/>
      <c r="D33" s="50" t="s">
        <v>53</v>
      </c>
      <c r="E33" s="62"/>
      <c r="F33" s="52"/>
      <c r="G33" s="53"/>
      <c r="H33" s="54"/>
      <c r="I33" s="54"/>
    </row>
    <row r="34" spans="1:13" ht="63.75" x14ac:dyDescent="0.2">
      <c r="A34" s="67" t="s">
        <v>180</v>
      </c>
      <c r="B34" s="28">
        <v>1320</v>
      </c>
      <c r="C34" s="1">
        <v>1</v>
      </c>
      <c r="D34" s="5" t="s">
        <v>55</v>
      </c>
      <c r="E34" s="3" t="s">
        <v>56</v>
      </c>
      <c r="F34" s="1" t="s">
        <v>39</v>
      </c>
      <c r="G34" s="2">
        <v>4</v>
      </c>
      <c r="H34" s="4"/>
      <c r="I34" s="4">
        <f t="shared" ref="I34:I39" si="1">SUM(G34*H34)</f>
        <v>0</v>
      </c>
    </row>
    <row r="35" spans="1:13" ht="63.75" x14ac:dyDescent="0.2">
      <c r="A35" s="67" t="s">
        <v>181</v>
      </c>
      <c r="B35" s="28">
        <v>1320</v>
      </c>
      <c r="C35" s="1">
        <v>2</v>
      </c>
      <c r="D35" s="5" t="s">
        <v>55</v>
      </c>
      <c r="E35" s="3" t="s">
        <v>56</v>
      </c>
      <c r="F35" s="1" t="s">
        <v>39</v>
      </c>
      <c r="G35" s="2">
        <v>4</v>
      </c>
      <c r="H35" s="4"/>
      <c r="I35" s="4">
        <f t="shared" si="1"/>
        <v>0</v>
      </c>
    </row>
    <row r="36" spans="1:13" ht="89.25" x14ac:dyDescent="0.2">
      <c r="A36" s="67" t="s">
        <v>182</v>
      </c>
      <c r="B36" s="28">
        <v>1320</v>
      </c>
      <c r="C36" s="1">
        <v>3</v>
      </c>
      <c r="D36" s="5" t="s">
        <v>60</v>
      </c>
      <c r="E36" s="18" t="s">
        <v>51</v>
      </c>
      <c r="F36" s="1" t="s">
        <v>61</v>
      </c>
      <c r="G36" s="2">
        <v>12</v>
      </c>
      <c r="H36" s="4"/>
      <c r="I36" s="4">
        <f t="shared" si="1"/>
        <v>0</v>
      </c>
    </row>
    <row r="37" spans="1:13" ht="89.25" x14ac:dyDescent="0.2">
      <c r="A37" s="67" t="s">
        <v>183</v>
      </c>
      <c r="B37" s="28">
        <v>1320</v>
      </c>
      <c r="C37" s="1">
        <v>4</v>
      </c>
      <c r="D37" s="5" t="s">
        <v>60</v>
      </c>
      <c r="E37" s="18" t="s">
        <v>51</v>
      </c>
      <c r="F37" s="1" t="s">
        <v>61</v>
      </c>
      <c r="G37" s="2">
        <v>12</v>
      </c>
      <c r="H37" s="4"/>
      <c r="I37" s="4">
        <f t="shared" si="1"/>
        <v>0</v>
      </c>
    </row>
    <row r="38" spans="1:13" ht="89.25" x14ac:dyDescent="0.2">
      <c r="A38" s="67" t="s">
        <v>184</v>
      </c>
      <c r="B38" s="28">
        <v>1320</v>
      </c>
      <c r="C38" s="17">
        <v>5</v>
      </c>
      <c r="D38" s="36" t="s">
        <v>64</v>
      </c>
      <c r="E38" s="18" t="s">
        <v>51</v>
      </c>
      <c r="F38" s="1" t="s">
        <v>61</v>
      </c>
      <c r="G38" s="19">
        <v>12</v>
      </c>
      <c r="H38" s="4"/>
      <c r="I38" s="20">
        <f t="shared" si="1"/>
        <v>0</v>
      </c>
    </row>
    <row r="39" spans="1:13" ht="63.75" x14ac:dyDescent="0.2">
      <c r="A39" s="67" t="s">
        <v>185</v>
      </c>
      <c r="B39" s="28">
        <v>1320</v>
      </c>
      <c r="C39" s="1">
        <v>6</v>
      </c>
      <c r="D39" s="37" t="s">
        <v>79</v>
      </c>
      <c r="E39" s="3" t="s">
        <v>67</v>
      </c>
      <c r="F39" s="1" t="s">
        <v>68</v>
      </c>
      <c r="G39" s="2">
        <v>2</v>
      </c>
      <c r="H39" s="4"/>
      <c r="I39" s="4">
        <f t="shared" si="1"/>
        <v>0</v>
      </c>
    </row>
    <row r="40" spans="1:13" ht="15.75" x14ac:dyDescent="0.2">
      <c r="A40" s="68"/>
      <c r="B40" s="76">
        <v>1368</v>
      </c>
      <c r="C40" s="49"/>
      <c r="D40" s="50" t="s">
        <v>53</v>
      </c>
      <c r="E40" s="62"/>
      <c r="F40" s="52"/>
      <c r="G40" s="53"/>
      <c r="H40" s="54"/>
      <c r="I40" s="54"/>
    </row>
    <row r="41" spans="1:13" ht="102" x14ac:dyDescent="0.2">
      <c r="A41" s="67" t="s">
        <v>186</v>
      </c>
      <c r="B41" s="28">
        <v>1368</v>
      </c>
      <c r="C41" s="1">
        <v>1</v>
      </c>
      <c r="D41" s="5" t="s">
        <v>81</v>
      </c>
      <c r="E41" s="3" t="s">
        <v>82</v>
      </c>
      <c r="F41" s="1" t="s">
        <v>68</v>
      </c>
      <c r="G41" s="2">
        <v>2</v>
      </c>
      <c r="H41" s="4"/>
      <c r="I41" s="4">
        <f>SUM(G41*H41)</f>
        <v>0</v>
      </c>
    </row>
    <row r="42" spans="1:13" ht="76.5" x14ac:dyDescent="0.2">
      <c r="A42" s="67" t="s">
        <v>187</v>
      </c>
      <c r="B42" s="28">
        <v>1368</v>
      </c>
      <c r="C42" s="1">
        <v>2</v>
      </c>
      <c r="D42" s="5" t="s">
        <v>84</v>
      </c>
      <c r="E42" s="3" t="s">
        <v>85</v>
      </c>
      <c r="F42" s="1" t="s">
        <v>39</v>
      </c>
      <c r="G42" s="2">
        <v>4</v>
      </c>
      <c r="H42" s="4"/>
      <c r="I42" s="4">
        <f t="shared" ref="I42:I49" si="2">SUM(G42*H42)</f>
        <v>0</v>
      </c>
    </row>
    <row r="43" spans="1:13" ht="76.5" x14ac:dyDescent="0.2">
      <c r="A43" s="67" t="s">
        <v>188</v>
      </c>
      <c r="B43" s="28">
        <v>1368</v>
      </c>
      <c r="C43" s="1">
        <v>3</v>
      </c>
      <c r="D43" s="5" t="s">
        <v>84</v>
      </c>
      <c r="E43" s="3" t="s">
        <v>85</v>
      </c>
      <c r="F43" s="1" t="s">
        <v>39</v>
      </c>
      <c r="G43" s="2">
        <v>4</v>
      </c>
      <c r="H43" s="4"/>
      <c r="I43" s="4">
        <f t="shared" si="2"/>
        <v>0</v>
      </c>
    </row>
    <row r="44" spans="1:13" ht="89.25" x14ac:dyDescent="0.2">
      <c r="A44" s="67" t="s">
        <v>189</v>
      </c>
      <c r="B44" s="28">
        <v>1368</v>
      </c>
      <c r="C44" s="1">
        <v>4</v>
      </c>
      <c r="D44" s="5" t="s">
        <v>88</v>
      </c>
      <c r="E44" s="18" t="s">
        <v>51</v>
      </c>
      <c r="F44" s="1" t="s">
        <v>61</v>
      </c>
      <c r="G44" s="2">
        <v>12</v>
      </c>
      <c r="H44" s="4"/>
      <c r="I44" s="4">
        <f t="shared" si="2"/>
        <v>0</v>
      </c>
    </row>
    <row r="45" spans="1:13" ht="76.5" x14ac:dyDescent="0.2">
      <c r="A45" s="67" t="s">
        <v>190</v>
      </c>
      <c r="B45" s="28">
        <v>1368</v>
      </c>
      <c r="C45" s="1">
        <v>5</v>
      </c>
      <c r="D45" s="5" t="s">
        <v>90</v>
      </c>
      <c r="E45" s="3" t="s">
        <v>85</v>
      </c>
      <c r="F45" s="1" t="s">
        <v>39</v>
      </c>
      <c r="G45" s="2">
        <v>4</v>
      </c>
      <c r="H45" s="4"/>
      <c r="I45" s="4">
        <f t="shared" si="2"/>
        <v>0</v>
      </c>
    </row>
    <row r="46" spans="1:13" ht="76.5" x14ac:dyDescent="0.2">
      <c r="A46" s="67" t="s">
        <v>191</v>
      </c>
      <c r="B46" s="28">
        <v>1368</v>
      </c>
      <c r="C46" s="1">
        <v>6</v>
      </c>
      <c r="D46" s="5" t="s">
        <v>92</v>
      </c>
      <c r="E46" s="18" t="s">
        <v>51</v>
      </c>
      <c r="F46" s="1" t="s">
        <v>61</v>
      </c>
      <c r="G46" s="2">
        <v>12</v>
      </c>
      <c r="H46" s="4"/>
      <c r="I46" s="4">
        <f t="shared" si="2"/>
        <v>0</v>
      </c>
      <c r="M46" t="s">
        <v>6</v>
      </c>
    </row>
    <row r="47" spans="1:13" ht="76.5" x14ac:dyDescent="0.2">
      <c r="A47" s="67" t="s">
        <v>192</v>
      </c>
      <c r="B47" s="28">
        <v>1368</v>
      </c>
      <c r="C47" s="1">
        <v>7</v>
      </c>
      <c r="D47" s="5" t="s">
        <v>94</v>
      </c>
      <c r="E47" s="3" t="s">
        <v>82</v>
      </c>
      <c r="F47" s="1" t="s">
        <v>68</v>
      </c>
      <c r="G47" s="2">
        <v>2</v>
      </c>
      <c r="H47" s="4"/>
      <c r="I47" s="4">
        <f t="shared" si="2"/>
        <v>0</v>
      </c>
    </row>
    <row r="48" spans="1:13" ht="76.5" x14ac:dyDescent="0.2">
      <c r="A48" s="67" t="s">
        <v>193</v>
      </c>
      <c r="B48" s="28">
        <v>1368</v>
      </c>
      <c r="C48" s="1">
        <v>8</v>
      </c>
      <c r="D48" s="5" t="s">
        <v>96</v>
      </c>
      <c r="E48" s="3" t="s">
        <v>82</v>
      </c>
      <c r="F48" s="1" t="s">
        <v>68</v>
      </c>
      <c r="G48" s="2">
        <v>2</v>
      </c>
      <c r="H48" s="4"/>
      <c r="I48" s="4">
        <f t="shared" si="2"/>
        <v>0</v>
      </c>
    </row>
    <row r="49" spans="1:9" ht="76.5" x14ac:dyDescent="0.2">
      <c r="A49" s="67" t="s">
        <v>194</v>
      </c>
      <c r="B49" s="28">
        <v>1368</v>
      </c>
      <c r="C49" s="1">
        <v>9</v>
      </c>
      <c r="D49" s="5" t="s">
        <v>98</v>
      </c>
      <c r="E49" s="3" t="s">
        <v>82</v>
      </c>
      <c r="F49" s="1" t="s">
        <v>68</v>
      </c>
      <c r="G49" s="2">
        <v>2</v>
      </c>
      <c r="H49" s="4"/>
      <c r="I49" s="4">
        <f t="shared" si="2"/>
        <v>0</v>
      </c>
    </row>
    <row r="50" spans="1:9" ht="15.75" x14ac:dyDescent="0.2">
      <c r="A50" s="68"/>
      <c r="B50" s="76">
        <v>2320</v>
      </c>
      <c r="C50" s="49"/>
      <c r="D50" s="50" t="s">
        <v>99</v>
      </c>
      <c r="E50" s="51"/>
      <c r="F50" s="52"/>
      <c r="G50" s="53"/>
      <c r="H50" s="54"/>
      <c r="I50" s="54"/>
    </row>
    <row r="51" spans="1:9" ht="15.75" x14ac:dyDescent="0.2">
      <c r="A51" s="69" t="s">
        <v>195</v>
      </c>
      <c r="B51" s="41">
        <v>2320</v>
      </c>
      <c r="C51" s="43">
        <v>1</v>
      </c>
      <c r="D51" s="46" t="s">
        <v>31</v>
      </c>
      <c r="E51" s="42" t="s">
        <v>31</v>
      </c>
      <c r="F51" s="43" t="s">
        <v>31</v>
      </c>
      <c r="G51" s="44" t="s">
        <v>31</v>
      </c>
      <c r="H51" s="45"/>
      <c r="I51" s="45"/>
    </row>
    <row r="52" spans="1:9" ht="15.75" x14ac:dyDescent="0.2">
      <c r="A52" s="68"/>
      <c r="B52" s="76">
        <v>4490</v>
      </c>
      <c r="C52" s="52"/>
      <c r="D52" s="66" t="s">
        <v>101</v>
      </c>
      <c r="E52" s="51"/>
      <c r="F52" s="52"/>
      <c r="G52" s="53"/>
      <c r="H52" s="54"/>
      <c r="I52" s="54"/>
    </row>
    <row r="53" spans="1:9" ht="63.75" x14ac:dyDescent="0.2">
      <c r="A53" s="105" t="s">
        <v>196</v>
      </c>
      <c r="B53" s="107">
        <v>4490</v>
      </c>
      <c r="C53" s="109">
        <v>1</v>
      </c>
      <c r="D53" s="39" t="s">
        <v>103</v>
      </c>
      <c r="E53" s="18" t="s">
        <v>38</v>
      </c>
      <c r="F53" s="17" t="s">
        <v>39</v>
      </c>
      <c r="G53" s="19">
        <v>4</v>
      </c>
      <c r="H53" s="4"/>
      <c r="I53" s="20">
        <f t="shared" ref="I53" si="3">SUM(G53*H53)</f>
        <v>0</v>
      </c>
    </row>
    <row r="54" spans="1:9" x14ac:dyDescent="0.2">
      <c r="A54" s="106"/>
      <c r="B54" s="108"/>
      <c r="C54" s="110"/>
      <c r="D54" s="27" t="s">
        <v>40</v>
      </c>
      <c r="E54" s="23"/>
      <c r="F54" s="25"/>
      <c r="G54" s="26" t="s">
        <v>6</v>
      </c>
      <c r="H54" s="24"/>
      <c r="I54" s="24"/>
    </row>
    <row r="55" spans="1:9" ht="15.75" x14ac:dyDescent="0.2">
      <c r="A55" s="68"/>
      <c r="B55" s="114" t="s">
        <v>104</v>
      </c>
      <c r="C55" s="114"/>
      <c r="D55" s="50" t="s">
        <v>105</v>
      </c>
      <c r="E55" s="51"/>
      <c r="F55" s="52"/>
      <c r="G55" s="53"/>
      <c r="H55" s="54"/>
      <c r="I55" s="54"/>
    </row>
    <row r="56" spans="1:9" ht="51" x14ac:dyDescent="0.2">
      <c r="A56" s="71" t="s">
        <v>197</v>
      </c>
      <c r="B56" s="77" t="s">
        <v>107</v>
      </c>
      <c r="C56" s="1">
        <v>1</v>
      </c>
      <c r="D56" s="5" t="s">
        <v>108</v>
      </c>
      <c r="E56" s="18" t="s">
        <v>19</v>
      </c>
      <c r="F56" s="17" t="s">
        <v>109</v>
      </c>
      <c r="G56" s="19">
        <v>1</v>
      </c>
      <c r="H56" s="4"/>
      <c r="I56" s="20">
        <f>SUM(G56*H56)</f>
        <v>0</v>
      </c>
    </row>
    <row r="57" spans="1:9" x14ac:dyDescent="0.2">
      <c r="A57" s="72"/>
      <c r="B57" s="63"/>
      <c r="C57" s="64"/>
      <c r="D57" s="65"/>
      <c r="E57" s="51"/>
      <c r="F57" s="52"/>
      <c r="G57" s="53"/>
      <c r="H57" s="54"/>
      <c r="I57" s="54"/>
    </row>
    <row r="58" spans="1:9" ht="15.75" x14ac:dyDescent="0.2">
      <c r="A58" s="67" t="s">
        <v>198</v>
      </c>
      <c r="B58" s="28"/>
      <c r="C58" s="1">
        <v>1</v>
      </c>
      <c r="D58" s="5" t="s">
        <v>111</v>
      </c>
      <c r="E58" s="3" t="s">
        <v>31</v>
      </c>
      <c r="F58" s="1" t="s">
        <v>112</v>
      </c>
      <c r="G58" s="2">
        <v>1</v>
      </c>
      <c r="H58" s="4"/>
      <c r="I58" s="20">
        <f>SUM(G58*H58)</f>
        <v>0</v>
      </c>
    </row>
    <row r="59" spans="1:9" ht="15.75" x14ac:dyDescent="0.2">
      <c r="A59" s="73"/>
      <c r="B59" s="40"/>
      <c r="C59" s="33"/>
      <c r="D59" s="34"/>
      <c r="E59" s="3"/>
      <c r="F59" s="1"/>
      <c r="G59" s="2"/>
      <c r="H59" s="4"/>
      <c r="I59" s="4"/>
    </row>
    <row r="60" spans="1:9" x14ac:dyDescent="0.2">
      <c r="A60" s="115"/>
      <c r="B60" s="116"/>
      <c r="C60" s="116"/>
      <c r="D60" s="117"/>
      <c r="E60" s="3"/>
      <c r="F60" s="1"/>
      <c r="G60" s="2"/>
      <c r="H60" s="4"/>
      <c r="I60" s="4"/>
    </row>
    <row r="61" spans="1:9" ht="15.75" x14ac:dyDescent="0.2">
      <c r="A61" s="67"/>
      <c r="B61" s="118" t="s">
        <v>199</v>
      </c>
      <c r="C61" s="118"/>
      <c r="D61" s="118"/>
      <c r="E61" s="118"/>
      <c r="F61" s="1"/>
      <c r="G61" s="28">
        <f>SUM(G4:G60)</f>
        <v>177</v>
      </c>
      <c r="H61" s="4"/>
      <c r="I61" s="12">
        <f>SUM(I4:I60)</f>
        <v>0</v>
      </c>
    </row>
    <row r="63" spans="1:9" x14ac:dyDescent="0.2">
      <c r="A63" s="38">
        <v>13</v>
      </c>
      <c r="B63" s="14" t="s">
        <v>114</v>
      </c>
      <c r="C63" s="14"/>
    </row>
    <row r="64" spans="1:9" x14ac:dyDescent="0.2">
      <c r="A64" s="38">
        <f>COUNTIF(C1:C56, "&gt;0")</f>
        <v>39</v>
      </c>
      <c r="B64" s="14" t="s">
        <v>115</v>
      </c>
      <c r="C64" s="14"/>
      <c r="F64" s="13"/>
      <c r="G64" s="13"/>
    </row>
    <row r="65" spans="1:9" x14ac:dyDescent="0.2">
      <c r="A65" s="38">
        <v>177</v>
      </c>
      <c r="B65" s="14" t="s">
        <v>116</v>
      </c>
      <c r="C65" s="14"/>
      <c r="F65" s="13"/>
      <c r="G65" s="13"/>
    </row>
    <row r="66" spans="1:9" x14ac:dyDescent="0.2">
      <c r="B66" s="14"/>
      <c r="C66" s="14"/>
      <c r="D66" s="14"/>
      <c r="E66" s="14"/>
      <c r="F66" s="15"/>
      <c r="G66" s="13"/>
      <c r="I66" s="15"/>
    </row>
    <row r="67" spans="1:9" x14ac:dyDescent="0.2">
      <c r="B67" s="14"/>
      <c r="C67" s="14"/>
      <c r="D67" s="14"/>
      <c r="E67" s="14"/>
      <c r="F67" s="15"/>
      <c r="I67" s="15"/>
    </row>
    <row r="68" spans="1:9" x14ac:dyDescent="0.2">
      <c r="B68" s="14"/>
      <c r="C68" s="14"/>
      <c r="D68" s="14"/>
      <c r="E68" s="14"/>
      <c r="F68" s="15"/>
      <c r="I68" s="15"/>
    </row>
    <row r="69" spans="1:9" x14ac:dyDescent="0.2">
      <c r="B69" s="14"/>
      <c r="C69" s="14"/>
      <c r="D69" s="14"/>
      <c r="E69" s="14"/>
      <c r="F69" s="15"/>
      <c r="I69" s="15"/>
    </row>
    <row r="70" spans="1:9" x14ac:dyDescent="0.2">
      <c r="B70" s="14"/>
      <c r="C70" s="14"/>
      <c r="D70" s="14"/>
      <c r="E70" s="14"/>
      <c r="F70" s="16"/>
      <c r="I70" s="15"/>
    </row>
    <row r="71" spans="1:9" x14ac:dyDescent="0.2">
      <c r="I71" s="16"/>
    </row>
  </sheetData>
  <mergeCells count="11">
    <mergeCell ref="J16:M16"/>
    <mergeCell ref="A53:A54"/>
    <mergeCell ref="B53:B54"/>
    <mergeCell ref="C53:C54"/>
    <mergeCell ref="B55:C55"/>
    <mergeCell ref="A16:A17"/>
    <mergeCell ref="B16:B17"/>
    <mergeCell ref="C16:C17"/>
    <mergeCell ref="A1:I1"/>
    <mergeCell ref="B61:E61"/>
    <mergeCell ref="A60:D60"/>
  </mergeCells>
  <phoneticPr fontId="5" type="noConversion"/>
  <pageMargins left="0.25" right="0.25" top="0.75" bottom="0.75" header="0.3" footer="0.3"/>
  <pageSetup orientation="portrait" r:id="rId1"/>
  <headerFooter>
    <oddHeader xml:space="preserve">&amp;CFA3020 -XX-X-XXXX
 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2AF47-0653-4766-8EE9-FC0B48780BA5}">
  <dimension ref="A1:N71"/>
  <sheetViews>
    <sheetView zoomScale="53" workbookViewId="0">
      <selection sqref="A1:I1"/>
    </sheetView>
  </sheetViews>
  <sheetFormatPr defaultRowHeight="12.75" x14ac:dyDescent="0.2"/>
  <cols>
    <col min="1" max="1" width="6.85546875" style="38" customWidth="1"/>
    <col min="2" max="2" width="7" customWidth="1"/>
    <col min="3" max="3" width="7.140625" customWidth="1"/>
    <col min="4" max="4" width="17.42578125" customWidth="1"/>
    <col min="5" max="5" width="10" customWidth="1"/>
    <col min="6" max="6" width="13.42578125" customWidth="1"/>
    <col min="7" max="7" width="9.140625" customWidth="1"/>
    <col min="8" max="8" width="8.140625" customWidth="1"/>
    <col min="9" max="9" width="12.5703125" customWidth="1"/>
  </cols>
  <sheetData>
    <row r="1" spans="1:14" x14ac:dyDescent="0.2">
      <c r="A1" s="125" t="s">
        <v>4</v>
      </c>
      <c r="B1" s="126"/>
      <c r="C1" s="126"/>
      <c r="D1" s="126"/>
      <c r="E1" s="126"/>
      <c r="F1" s="126"/>
      <c r="G1" s="126"/>
      <c r="H1" s="126"/>
      <c r="I1" s="127"/>
      <c r="L1" s="11" t="s">
        <v>6</v>
      </c>
    </row>
    <row r="2" spans="1:14" ht="33.75" x14ac:dyDescent="0.2">
      <c r="A2" s="67" t="s">
        <v>7</v>
      </c>
      <c r="B2" s="75" t="s">
        <v>8</v>
      </c>
      <c r="C2" s="6" t="s">
        <v>9</v>
      </c>
      <c r="D2" s="75" t="s">
        <v>10</v>
      </c>
      <c r="E2" s="7" t="s">
        <v>11</v>
      </c>
      <c r="F2" s="6" t="s">
        <v>12</v>
      </c>
      <c r="G2" s="8" t="s">
        <v>13</v>
      </c>
      <c r="H2" s="9" t="s">
        <v>14</v>
      </c>
      <c r="I2" s="10" t="s">
        <v>15</v>
      </c>
    </row>
    <row r="3" spans="1:14" ht="15.75" x14ac:dyDescent="0.2">
      <c r="A3" s="68"/>
      <c r="B3" s="76">
        <v>61</v>
      </c>
      <c r="C3" s="49"/>
      <c r="D3" s="50" t="s">
        <v>16</v>
      </c>
      <c r="E3" s="51"/>
      <c r="F3" s="52"/>
      <c r="G3" s="53"/>
      <c r="H3" s="54"/>
      <c r="I3" s="54"/>
    </row>
    <row r="4" spans="1:14" ht="51" x14ac:dyDescent="0.2">
      <c r="A4" s="67" t="s">
        <v>200</v>
      </c>
      <c r="B4" s="28">
        <v>61</v>
      </c>
      <c r="C4" s="1">
        <v>1</v>
      </c>
      <c r="D4" s="5" t="s">
        <v>18</v>
      </c>
      <c r="E4" s="3" t="s">
        <v>19</v>
      </c>
      <c r="F4" s="1" t="s">
        <v>20</v>
      </c>
      <c r="G4" s="2">
        <v>1</v>
      </c>
      <c r="H4" s="4"/>
      <c r="I4" s="4">
        <f>SUM(G4*H4)</f>
        <v>0</v>
      </c>
    </row>
    <row r="5" spans="1:14" ht="51" x14ac:dyDescent="0.2">
      <c r="A5" s="67" t="s">
        <v>201</v>
      </c>
      <c r="B5" s="28">
        <v>61</v>
      </c>
      <c r="C5" s="1">
        <v>2</v>
      </c>
      <c r="D5" s="5" t="s">
        <v>22</v>
      </c>
      <c r="E5" s="3" t="s">
        <v>19</v>
      </c>
      <c r="F5" s="1" t="s">
        <v>20</v>
      </c>
      <c r="G5" s="2">
        <v>1</v>
      </c>
      <c r="H5" s="4"/>
      <c r="I5" s="4">
        <f>SUM(G5*H5)</f>
        <v>0</v>
      </c>
    </row>
    <row r="6" spans="1:14" ht="63.75" x14ac:dyDescent="0.2">
      <c r="A6" s="67" t="s">
        <v>202</v>
      </c>
      <c r="B6" s="28">
        <v>61</v>
      </c>
      <c r="C6" s="1">
        <v>3</v>
      </c>
      <c r="D6" s="5" t="s">
        <v>24</v>
      </c>
      <c r="E6" s="3" t="s">
        <v>19</v>
      </c>
      <c r="F6" s="1" t="s">
        <v>20</v>
      </c>
      <c r="G6" s="2">
        <v>1</v>
      </c>
      <c r="H6" s="4"/>
      <c r="I6" s="4">
        <f>SUM(G6*H6)</f>
        <v>0</v>
      </c>
    </row>
    <row r="7" spans="1:14" ht="51" x14ac:dyDescent="0.2">
      <c r="A7" s="67" t="s">
        <v>203</v>
      </c>
      <c r="B7" s="28">
        <v>61</v>
      </c>
      <c r="C7" s="1">
        <v>4</v>
      </c>
      <c r="D7" s="5" t="s">
        <v>26</v>
      </c>
      <c r="E7" s="3" t="s">
        <v>19</v>
      </c>
      <c r="F7" s="1" t="s">
        <v>20</v>
      </c>
      <c r="G7" s="2">
        <v>1</v>
      </c>
      <c r="H7" s="4"/>
      <c r="I7" s="4">
        <f>SUM(G7*H7)</f>
        <v>0</v>
      </c>
    </row>
    <row r="8" spans="1:14" ht="15.75" x14ac:dyDescent="0.2">
      <c r="A8" s="68"/>
      <c r="B8" s="76">
        <v>195</v>
      </c>
      <c r="C8" s="49"/>
      <c r="D8" s="50" t="s">
        <v>27</v>
      </c>
      <c r="E8" s="51"/>
      <c r="F8" s="52"/>
      <c r="G8" s="53"/>
      <c r="H8" s="54"/>
      <c r="I8" s="54"/>
    </row>
    <row r="9" spans="1:14" ht="51" x14ac:dyDescent="0.2">
      <c r="A9" s="67" t="s">
        <v>204</v>
      </c>
      <c r="B9" s="28">
        <v>195</v>
      </c>
      <c r="C9" s="1">
        <v>1</v>
      </c>
      <c r="D9" s="5" t="s">
        <v>29</v>
      </c>
      <c r="E9" s="3" t="s">
        <v>30</v>
      </c>
      <c r="F9" s="1" t="s">
        <v>20</v>
      </c>
      <c r="G9" s="2">
        <v>1</v>
      </c>
      <c r="H9" s="4"/>
      <c r="I9" s="4">
        <f>SUM(G9*H9)</f>
        <v>0</v>
      </c>
    </row>
    <row r="10" spans="1:14" ht="15.75" x14ac:dyDescent="0.2">
      <c r="A10" s="68"/>
      <c r="B10" s="76">
        <v>204</v>
      </c>
      <c r="C10" s="49"/>
      <c r="D10" s="50" t="s">
        <v>31</v>
      </c>
      <c r="E10" s="55"/>
      <c r="F10" s="52"/>
      <c r="G10" s="53"/>
      <c r="H10" s="54"/>
      <c r="I10" s="54"/>
    </row>
    <row r="11" spans="1:14" ht="38.1" customHeight="1" x14ac:dyDescent="0.2">
      <c r="A11" s="69" t="s">
        <v>205</v>
      </c>
      <c r="B11" s="41">
        <v>204</v>
      </c>
      <c r="C11" s="43">
        <v>1</v>
      </c>
      <c r="D11" s="46" t="s">
        <v>31</v>
      </c>
      <c r="E11" s="42" t="s">
        <v>31</v>
      </c>
      <c r="F11" s="43" t="s">
        <v>31</v>
      </c>
      <c r="G11" s="44" t="s">
        <v>31</v>
      </c>
      <c r="H11" s="45"/>
      <c r="I11" s="45"/>
    </row>
    <row r="12" spans="1:14" ht="15.75" x14ac:dyDescent="0.2">
      <c r="A12" s="68"/>
      <c r="B12" s="76">
        <v>239</v>
      </c>
      <c r="C12" s="49"/>
      <c r="D12" s="56" t="s">
        <v>31</v>
      </c>
      <c r="E12" s="57"/>
      <c r="F12" s="58"/>
      <c r="G12" s="59"/>
      <c r="H12" s="54"/>
      <c r="I12" s="54"/>
      <c r="N12" t="s">
        <v>6</v>
      </c>
    </row>
    <row r="13" spans="1:14" ht="15.75" x14ac:dyDescent="0.2">
      <c r="A13" s="69" t="s">
        <v>206</v>
      </c>
      <c r="B13" s="41">
        <v>239</v>
      </c>
      <c r="C13" s="43">
        <v>1</v>
      </c>
      <c r="D13" s="46" t="s">
        <v>31</v>
      </c>
      <c r="E13" s="46" t="s">
        <v>31</v>
      </c>
      <c r="F13" s="46" t="s">
        <v>31</v>
      </c>
      <c r="G13" s="46" t="s">
        <v>31</v>
      </c>
      <c r="H13" s="45"/>
      <c r="I13" s="45"/>
    </row>
    <row r="14" spans="1:14" ht="15.75" x14ac:dyDescent="0.2">
      <c r="A14" s="69" t="s">
        <v>207</v>
      </c>
      <c r="B14" s="41">
        <v>239</v>
      </c>
      <c r="C14" s="43">
        <v>2</v>
      </c>
      <c r="D14" s="46" t="s">
        <v>31</v>
      </c>
      <c r="E14" s="46" t="s">
        <v>31</v>
      </c>
      <c r="F14" s="46" t="s">
        <v>31</v>
      </c>
      <c r="G14" s="46" t="s">
        <v>31</v>
      </c>
      <c r="H14" s="45"/>
      <c r="I14" s="45"/>
    </row>
    <row r="15" spans="1:14" ht="15.75" x14ac:dyDescent="0.2">
      <c r="A15" s="68"/>
      <c r="B15" s="76">
        <v>318</v>
      </c>
      <c r="C15" s="49"/>
      <c r="D15" s="50" t="s">
        <v>35</v>
      </c>
      <c r="E15" s="51"/>
      <c r="F15" s="52"/>
      <c r="G15" s="53"/>
      <c r="H15" s="54"/>
      <c r="I15" s="54"/>
    </row>
    <row r="16" spans="1:14" ht="38.25" x14ac:dyDescent="0.2">
      <c r="A16" s="105" t="s">
        <v>208</v>
      </c>
      <c r="B16" s="107">
        <v>318</v>
      </c>
      <c r="C16" s="109">
        <v>1</v>
      </c>
      <c r="D16" s="5" t="s">
        <v>37</v>
      </c>
      <c r="E16" s="3" t="s">
        <v>38</v>
      </c>
      <c r="F16" s="1" t="s">
        <v>39</v>
      </c>
      <c r="G16" s="2">
        <v>4</v>
      </c>
      <c r="H16" s="4"/>
      <c r="I16" s="4">
        <f>SUM(G16*H16)</f>
        <v>0</v>
      </c>
      <c r="J16" s="103" t="s">
        <v>6</v>
      </c>
      <c r="K16" s="104"/>
      <c r="L16" s="104"/>
      <c r="M16" s="104"/>
    </row>
    <row r="17" spans="1:13" ht="15.75" customHeight="1" x14ac:dyDescent="0.2">
      <c r="A17" s="106"/>
      <c r="B17" s="108"/>
      <c r="C17" s="110"/>
      <c r="D17" s="27" t="s">
        <v>40</v>
      </c>
      <c r="E17" s="23"/>
      <c r="F17" s="25"/>
      <c r="G17" s="26" t="s">
        <v>6</v>
      </c>
      <c r="H17" s="24"/>
      <c r="I17" s="24"/>
    </row>
    <row r="18" spans="1:13" ht="15.75" x14ac:dyDescent="0.2">
      <c r="A18" s="68"/>
      <c r="B18" s="76">
        <v>740</v>
      </c>
      <c r="C18" s="49"/>
      <c r="D18" s="50" t="s">
        <v>41</v>
      </c>
      <c r="E18" s="60"/>
      <c r="F18" s="49"/>
      <c r="G18" s="76"/>
      <c r="H18" s="54"/>
      <c r="I18" s="61"/>
      <c r="J18" s="11" t="s">
        <v>6</v>
      </c>
    </row>
    <row r="19" spans="1:13" ht="38.25" x14ac:dyDescent="0.2">
      <c r="A19" s="67" t="s">
        <v>209</v>
      </c>
      <c r="B19" s="28">
        <v>740</v>
      </c>
      <c r="C19" s="1">
        <v>1</v>
      </c>
      <c r="D19" s="5" t="s">
        <v>43</v>
      </c>
      <c r="E19" s="3" t="s">
        <v>44</v>
      </c>
      <c r="F19" s="1" t="s">
        <v>39</v>
      </c>
      <c r="G19" s="2">
        <v>4</v>
      </c>
      <c r="H19" s="4"/>
      <c r="I19" s="4">
        <f>SUM(G19*H19)</f>
        <v>0</v>
      </c>
      <c r="J19" s="11"/>
    </row>
    <row r="20" spans="1:13" ht="38.25" x14ac:dyDescent="0.2">
      <c r="A20" s="67" t="s">
        <v>210</v>
      </c>
      <c r="B20" s="48">
        <v>740</v>
      </c>
      <c r="C20" s="17">
        <v>2</v>
      </c>
      <c r="D20" s="39" t="s">
        <v>47</v>
      </c>
      <c r="E20" s="18" t="s">
        <v>38</v>
      </c>
      <c r="F20" s="18" t="s">
        <v>128</v>
      </c>
      <c r="G20" s="19">
        <v>4</v>
      </c>
      <c r="H20" s="4"/>
      <c r="I20" s="20">
        <f>SUM(G20*H20)</f>
        <v>0</v>
      </c>
      <c r="J20" s="11" t="s">
        <v>6</v>
      </c>
      <c r="M20" s="11" t="s">
        <v>6</v>
      </c>
    </row>
    <row r="21" spans="1:13" ht="38.25" x14ac:dyDescent="0.2">
      <c r="A21" s="67" t="s">
        <v>211</v>
      </c>
      <c r="B21" s="48">
        <v>740</v>
      </c>
      <c r="C21" s="17">
        <v>3</v>
      </c>
      <c r="D21" s="39" t="s">
        <v>47</v>
      </c>
      <c r="E21" s="18" t="s">
        <v>38</v>
      </c>
      <c r="F21" s="18" t="s">
        <v>128</v>
      </c>
      <c r="G21" s="19">
        <v>4</v>
      </c>
      <c r="H21" s="4"/>
      <c r="I21" s="20">
        <f>SUM(G21*H21)</f>
        <v>0</v>
      </c>
    </row>
    <row r="22" spans="1:13" ht="38.25" x14ac:dyDescent="0.2">
      <c r="A22" s="67" t="s">
        <v>212</v>
      </c>
      <c r="B22" s="28">
        <v>740</v>
      </c>
      <c r="C22" s="1">
        <v>4</v>
      </c>
      <c r="D22" s="5" t="s">
        <v>50</v>
      </c>
      <c r="E22" s="3" t="s">
        <v>51</v>
      </c>
      <c r="F22" s="1" t="s">
        <v>61</v>
      </c>
      <c r="G22" s="2">
        <v>12</v>
      </c>
      <c r="H22" s="4"/>
      <c r="I22" s="4">
        <f>SUM(G22*H22)</f>
        <v>0</v>
      </c>
    </row>
    <row r="23" spans="1:13" ht="15.75" x14ac:dyDescent="0.2">
      <c r="A23" s="69" t="s">
        <v>213</v>
      </c>
      <c r="B23" s="41">
        <v>740</v>
      </c>
      <c r="C23" s="43">
        <v>5</v>
      </c>
      <c r="D23" s="46" t="s">
        <v>31</v>
      </c>
      <c r="E23" s="46" t="s">
        <v>31</v>
      </c>
      <c r="F23" s="46" t="s">
        <v>31</v>
      </c>
      <c r="G23" s="46" t="s">
        <v>31</v>
      </c>
      <c r="H23" s="45"/>
      <c r="I23" s="45"/>
    </row>
    <row r="24" spans="1:13" ht="15.75" x14ac:dyDescent="0.2">
      <c r="A24" s="68"/>
      <c r="B24" s="76">
        <v>805</v>
      </c>
      <c r="C24" s="49"/>
      <c r="D24" s="50" t="s">
        <v>53</v>
      </c>
      <c r="E24" s="62"/>
      <c r="F24" s="52"/>
      <c r="G24" s="53"/>
      <c r="H24" s="54"/>
      <c r="I24" s="54"/>
    </row>
    <row r="25" spans="1:13" ht="63.75" x14ac:dyDescent="0.2">
      <c r="A25" s="67" t="s">
        <v>214</v>
      </c>
      <c r="B25" s="28">
        <v>805</v>
      </c>
      <c r="C25" s="1">
        <v>1</v>
      </c>
      <c r="D25" s="5" t="s">
        <v>55</v>
      </c>
      <c r="E25" s="3" t="s">
        <v>56</v>
      </c>
      <c r="F25" s="1" t="s">
        <v>57</v>
      </c>
      <c r="G25" s="2">
        <v>4</v>
      </c>
      <c r="H25" s="4"/>
      <c r="I25" s="4">
        <f t="shared" ref="I25:I30" si="0">SUM(G25*H25)</f>
        <v>0</v>
      </c>
    </row>
    <row r="26" spans="1:13" ht="63.75" x14ac:dyDescent="0.2">
      <c r="A26" s="67" t="s">
        <v>215</v>
      </c>
      <c r="B26" s="28">
        <v>805</v>
      </c>
      <c r="C26" s="1">
        <v>2</v>
      </c>
      <c r="D26" s="5" t="s">
        <v>55</v>
      </c>
      <c r="E26" s="3" t="s">
        <v>56</v>
      </c>
      <c r="F26" s="1" t="s">
        <v>57</v>
      </c>
      <c r="G26" s="2">
        <v>4</v>
      </c>
      <c r="H26" s="4"/>
      <c r="I26" s="4">
        <f t="shared" si="0"/>
        <v>0</v>
      </c>
    </row>
    <row r="27" spans="1:13" ht="89.25" x14ac:dyDescent="0.2">
      <c r="A27" s="67" t="s">
        <v>216</v>
      </c>
      <c r="B27" s="28">
        <v>805</v>
      </c>
      <c r="C27" s="1">
        <v>3</v>
      </c>
      <c r="D27" s="5" t="s">
        <v>60</v>
      </c>
      <c r="E27" s="3" t="s">
        <v>51</v>
      </c>
      <c r="F27" s="1" t="s">
        <v>61</v>
      </c>
      <c r="G27" s="2">
        <v>12</v>
      </c>
      <c r="H27" s="4"/>
      <c r="I27" s="4">
        <f t="shared" si="0"/>
        <v>0</v>
      </c>
    </row>
    <row r="28" spans="1:13" ht="89.25" x14ac:dyDescent="0.2">
      <c r="A28" s="67" t="s">
        <v>217</v>
      </c>
      <c r="B28" s="28">
        <v>805</v>
      </c>
      <c r="C28" s="1">
        <v>4</v>
      </c>
      <c r="D28" s="5" t="s">
        <v>60</v>
      </c>
      <c r="E28" s="3" t="s">
        <v>51</v>
      </c>
      <c r="F28" s="1" t="s">
        <v>61</v>
      </c>
      <c r="G28" s="2">
        <v>12</v>
      </c>
      <c r="H28" s="4"/>
      <c r="I28" s="4">
        <f t="shared" si="0"/>
        <v>0</v>
      </c>
    </row>
    <row r="29" spans="1:13" ht="89.25" x14ac:dyDescent="0.2">
      <c r="A29" s="67" t="s">
        <v>218</v>
      </c>
      <c r="B29" s="28">
        <v>805</v>
      </c>
      <c r="C29" s="17">
        <v>5</v>
      </c>
      <c r="D29" s="36" t="s">
        <v>64</v>
      </c>
      <c r="E29" s="18" t="s">
        <v>51</v>
      </c>
      <c r="F29" s="1" t="s">
        <v>61</v>
      </c>
      <c r="G29" s="19">
        <v>12</v>
      </c>
      <c r="H29" s="4"/>
      <c r="I29" s="20">
        <f t="shared" si="0"/>
        <v>0</v>
      </c>
    </row>
    <row r="30" spans="1:13" ht="63.75" x14ac:dyDescent="0.2">
      <c r="A30" s="67" t="s">
        <v>219</v>
      </c>
      <c r="B30" s="28">
        <v>805</v>
      </c>
      <c r="C30" s="1">
        <v>6</v>
      </c>
      <c r="D30" s="37" t="s">
        <v>66</v>
      </c>
      <c r="E30" s="3" t="s">
        <v>67</v>
      </c>
      <c r="F30" s="1" t="s">
        <v>68</v>
      </c>
      <c r="G30" s="2">
        <v>2</v>
      </c>
      <c r="H30" s="4"/>
      <c r="I30" s="4">
        <f t="shared" si="0"/>
        <v>0</v>
      </c>
    </row>
    <row r="31" spans="1:13" ht="15.75" x14ac:dyDescent="0.2">
      <c r="A31" s="68"/>
      <c r="B31" s="76">
        <v>811</v>
      </c>
      <c r="C31" s="49"/>
      <c r="D31" s="50" t="s">
        <v>69</v>
      </c>
      <c r="E31" s="51"/>
      <c r="F31" s="52"/>
      <c r="G31" s="53"/>
      <c r="H31" s="54"/>
      <c r="I31" s="54"/>
    </row>
    <row r="32" spans="1:13" ht="38.25" x14ac:dyDescent="0.2">
      <c r="A32" s="67" t="s">
        <v>220</v>
      </c>
      <c r="B32" s="28">
        <v>811</v>
      </c>
      <c r="C32" s="1">
        <v>1</v>
      </c>
      <c r="D32" s="5" t="s">
        <v>71</v>
      </c>
      <c r="E32" s="3" t="s">
        <v>72</v>
      </c>
      <c r="F32" s="1" t="s">
        <v>68</v>
      </c>
      <c r="G32" s="2">
        <v>2</v>
      </c>
      <c r="H32" s="4"/>
      <c r="I32" s="4">
        <f>SUM(G32*H32)</f>
        <v>0</v>
      </c>
    </row>
    <row r="33" spans="1:13" ht="15.75" x14ac:dyDescent="0.2">
      <c r="A33" s="68"/>
      <c r="B33" s="76">
        <v>1320</v>
      </c>
      <c r="C33" s="49"/>
      <c r="D33" s="50" t="s">
        <v>53</v>
      </c>
      <c r="E33" s="62"/>
      <c r="F33" s="52"/>
      <c r="G33" s="53"/>
      <c r="H33" s="54"/>
      <c r="I33" s="54"/>
    </row>
    <row r="34" spans="1:13" ht="63.75" x14ac:dyDescent="0.2">
      <c r="A34" s="67" t="s">
        <v>221</v>
      </c>
      <c r="B34" s="28">
        <v>1320</v>
      </c>
      <c r="C34" s="1">
        <v>1</v>
      </c>
      <c r="D34" s="5" t="s">
        <v>55</v>
      </c>
      <c r="E34" s="3" t="s">
        <v>56</v>
      </c>
      <c r="F34" s="1" t="s">
        <v>39</v>
      </c>
      <c r="G34" s="2">
        <v>4</v>
      </c>
      <c r="H34" s="4"/>
      <c r="I34" s="4">
        <f t="shared" ref="I34:I39" si="1">SUM(G34*H34)</f>
        <v>0</v>
      </c>
    </row>
    <row r="35" spans="1:13" ht="63.75" x14ac:dyDescent="0.2">
      <c r="A35" s="67" t="s">
        <v>222</v>
      </c>
      <c r="B35" s="28">
        <v>1320</v>
      </c>
      <c r="C35" s="1">
        <v>2</v>
      </c>
      <c r="D35" s="5" t="s">
        <v>55</v>
      </c>
      <c r="E35" s="3" t="s">
        <v>56</v>
      </c>
      <c r="F35" s="1" t="s">
        <v>39</v>
      </c>
      <c r="G35" s="2">
        <v>4</v>
      </c>
      <c r="H35" s="4"/>
      <c r="I35" s="4">
        <f t="shared" si="1"/>
        <v>0</v>
      </c>
    </row>
    <row r="36" spans="1:13" ht="89.25" x14ac:dyDescent="0.2">
      <c r="A36" s="67" t="s">
        <v>223</v>
      </c>
      <c r="B36" s="28">
        <v>1320</v>
      </c>
      <c r="C36" s="1">
        <v>3</v>
      </c>
      <c r="D36" s="5" t="s">
        <v>60</v>
      </c>
      <c r="E36" s="18" t="s">
        <v>51</v>
      </c>
      <c r="F36" s="1" t="s">
        <v>61</v>
      </c>
      <c r="G36" s="2">
        <v>12</v>
      </c>
      <c r="H36" s="4"/>
      <c r="I36" s="4">
        <f t="shared" si="1"/>
        <v>0</v>
      </c>
    </row>
    <row r="37" spans="1:13" ht="89.25" x14ac:dyDescent="0.2">
      <c r="A37" s="67" t="s">
        <v>224</v>
      </c>
      <c r="B37" s="28">
        <v>1320</v>
      </c>
      <c r="C37" s="1">
        <v>4</v>
      </c>
      <c r="D37" s="5" t="s">
        <v>60</v>
      </c>
      <c r="E37" s="18" t="s">
        <v>51</v>
      </c>
      <c r="F37" s="1" t="s">
        <v>61</v>
      </c>
      <c r="G37" s="2">
        <v>12</v>
      </c>
      <c r="H37" s="4"/>
      <c r="I37" s="4">
        <f t="shared" si="1"/>
        <v>0</v>
      </c>
    </row>
    <row r="38" spans="1:13" ht="89.25" x14ac:dyDescent="0.2">
      <c r="A38" s="67" t="s">
        <v>225</v>
      </c>
      <c r="B38" s="28">
        <v>1320</v>
      </c>
      <c r="C38" s="17">
        <v>5</v>
      </c>
      <c r="D38" s="36" t="s">
        <v>64</v>
      </c>
      <c r="E38" s="18" t="s">
        <v>51</v>
      </c>
      <c r="F38" s="1" t="s">
        <v>61</v>
      </c>
      <c r="G38" s="19">
        <v>12</v>
      </c>
      <c r="H38" s="4"/>
      <c r="I38" s="20">
        <f t="shared" si="1"/>
        <v>0</v>
      </c>
    </row>
    <row r="39" spans="1:13" ht="63.75" x14ac:dyDescent="0.2">
      <c r="A39" s="67" t="s">
        <v>226</v>
      </c>
      <c r="B39" s="28">
        <v>1320</v>
      </c>
      <c r="C39" s="1">
        <v>6</v>
      </c>
      <c r="D39" s="37" t="s">
        <v>79</v>
      </c>
      <c r="E39" s="3" t="s">
        <v>67</v>
      </c>
      <c r="F39" s="1" t="s">
        <v>68</v>
      </c>
      <c r="G39" s="2">
        <v>2</v>
      </c>
      <c r="H39" s="4"/>
      <c r="I39" s="4">
        <f t="shared" si="1"/>
        <v>0</v>
      </c>
    </row>
    <row r="40" spans="1:13" ht="15.75" x14ac:dyDescent="0.2">
      <c r="A40" s="68"/>
      <c r="B40" s="76">
        <v>1368</v>
      </c>
      <c r="C40" s="49"/>
      <c r="D40" s="50" t="s">
        <v>53</v>
      </c>
      <c r="E40" s="62"/>
      <c r="F40" s="52"/>
      <c r="G40" s="53"/>
      <c r="H40" s="54"/>
      <c r="I40" s="54"/>
    </row>
    <row r="41" spans="1:13" ht="102" x14ac:dyDescent="0.2">
      <c r="A41" s="67" t="s">
        <v>227</v>
      </c>
      <c r="B41" s="28">
        <v>1368</v>
      </c>
      <c r="C41" s="1">
        <v>1</v>
      </c>
      <c r="D41" s="5" t="s">
        <v>81</v>
      </c>
      <c r="E41" s="3" t="s">
        <v>82</v>
      </c>
      <c r="F41" s="1" t="s">
        <v>68</v>
      </c>
      <c r="G41" s="2">
        <v>2</v>
      </c>
      <c r="H41" s="4"/>
      <c r="I41" s="4">
        <f>SUM(G41*H41)</f>
        <v>0</v>
      </c>
    </row>
    <row r="42" spans="1:13" ht="76.5" x14ac:dyDescent="0.2">
      <c r="A42" s="67" t="s">
        <v>228</v>
      </c>
      <c r="B42" s="28">
        <v>1368</v>
      </c>
      <c r="C42" s="1">
        <v>2</v>
      </c>
      <c r="D42" s="5" t="s">
        <v>84</v>
      </c>
      <c r="E42" s="3" t="s">
        <v>85</v>
      </c>
      <c r="F42" s="1" t="s">
        <v>39</v>
      </c>
      <c r="G42" s="2">
        <v>4</v>
      </c>
      <c r="H42" s="4"/>
      <c r="I42" s="4">
        <f t="shared" ref="I42:I49" si="2">SUM(G42*H42)</f>
        <v>0</v>
      </c>
    </row>
    <row r="43" spans="1:13" ht="76.5" x14ac:dyDescent="0.2">
      <c r="A43" s="67" t="s">
        <v>229</v>
      </c>
      <c r="B43" s="28">
        <v>1368</v>
      </c>
      <c r="C43" s="1">
        <v>3</v>
      </c>
      <c r="D43" s="5" t="s">
        <v>84</v>
      </c>
      <c r="E43" s="3" t="s">
        <v>85</v>
      </c>
      <c r="F43" s="1" t="s">
        <v>39</v>
      </c>
      <c r="G43" s="2">
        <v>4</v>
      </c>
      <c r="H43" s="4"/>
      <c r="I43" s="4">
        <f t="shared" si="2"/>
        <v>0</v>
      </c>
    </row>
    <row r="44" spans="1:13" ht="89.25" x14ac:dyDescent="0.2">
      <c r="A44" s="67" t="s">
        <v>230</v>
      </c>
      <c r="B44" s="28">
        <v>1368</v>
      </c>
      <c r="C44" s="1">
        <v>4</v>
      </c>
      <c r="D44" s="5" t="s">
        <v>88</v>
      </c>
      <c r="E44" s="18" t="s">
        <v>51</v>
      </c>
      <c r="F44" s="1" t="s">
        <v>61</v>
      </c>
      <c r="G44" s="2">
        <v>12</v>
      </c>
      <c r="H44" s="4"/>
      <c r="I44" s="4">
        <f t="shared" si="2"/>
        <v>0</v>
      </c>
    </row>
    <row r="45" spans="1:13" ht="76.5" x14ac:dyDescent="0.2">
      <c r="A45" s="67" t="s">
        <v>231</v>
      </c>
      <c r="B45" s="28">
        <v>1368</v>
      </c>
      <c r="C45" s="1">
        <v>5</v>
      </c>
      <c r="D45" s="5" t="s">
        <v>90</v>
      </c>
      <c r="E45" s="3" t="s">
        <v>85</v>
      </c>
      <c r="F45" s="1" t="s">
        <v>39</v>
      </c>
      <c r="G45" s="2">
        <v>4</v>
      </c>
      <c r="H45" s="4"/>
      <c r="I45" s="4">
        <f t="shared" si="2"/>
        <v>0</v>
      </c>
    </row>
    <row r="46" spans="1:13" ht="76.5" x14ac:dyDescent="0.2">
      <c r="A46" s="67" t="s">
        <v>232</v>
      </c>
      <c r="B46" s="28">
        <v>1368</v>
      </c>
      <c r="C46" s="1">
        <v>6</v>
      </c>
      <c r="D46" s="5" t="s">
        <v>92</v>
      </c>
      <c r="E46" s="18" t="s">
        <v>51</v>
      </c>
      <c r="F46" s="1" t="s">
        <v>61</v>
      </c>
      <c r="G46" s="2">
        <v>12</v>
      </c>
      <c r="H46" s="4"/>
      <c r="I46" s="4">
        <f t="shared" si="2"/>
        <v>0</v>
      </c>
      <c r="M46" t="s">
        <v>6</v>
      </c>
    </row>
    <row r="47" spans="1:13" ht="76.5" x14ac:dyDescent="0.2">
      <c r="A47" s="67" t="s">
        <v>233</v>
      </c>
      <c r="B47" s="28">
        <v>1368</v>
      </c>
      <c r="C47" s="1">
        <v>7</v>
      </c>
      <c r="D47" s="5" t="s">
        <v>94</v>
      </c>
      <c r="E47" s="3" t="s">
        <v>82</v>
      </c>
      <c r="F47" s="1" t="s">
        <v>68</v>
      </c>
      <c r="G47" s="2">
        <v>2</v>
      </c>
      <c r="H47" s="4"/>
      <c r="I47" s="4">
        <f t="shared" si="2"/>
        <v>0</v>
      </c>
    </row>
    <row r="48" spans="1:13" ht="76.5" x14ac:dyDescent="0.2">
      <c r="A48" s="67" t="s">
        <v>234</v>
      </c>
      <c r="B48" s="28">
        <v>1368</v>
      </c>
      <c r="C48" s="1">
        <v>8</v>
      </c>
      <c r="D48" s="5" t="s">
        <v>96</v>
      </c>
      <c r="E48" s="3" t="s">
        <v>82</v>
      </c>
      <c r="F48" s="1" t="s">
        <v>68</v>
      </c>
      <c r="G48" s="2">
        <v>2</v>
      </c>
      <c r="H48" s="4"/>
      <c r="I48" s="4">
        <f t="shared" si="2"/>
        <v>0</v>
      </c>
    </row>
    <row r="49" spans="1:9" ht="76.5" x14ac:dyDescent="0.2">
      <c r="A49" s="67" t="s">
        <v>235</v>
      </c>
      <c r="B49" s="28">
        <v>1368</v>
      </c>
      <c r="C49" s="1">
        <v>9</v>
      </c>
      <c r="D49" s="5" t="s">
        <v>98</v>
      </c>
      <c r="E49" s="3" t="s">
        <v>82</v>
      </c>
      <c r="F49" s="1" t="s">
        <v>68</v>
      </c>
      <c r="G49" s="2">
        <v>2</v>
      </c>
      <c r="H49" s="4"/>
      <c r="I49" s="4">
        <f t="shared" si="2"/>
        <v>0</v>
      </c>
    </row>
    <row r="50" spans="1:9" ht="15.75" x14ac:dyDescent="0.2">
      <c r="A50" s="68"/>
      <c r="B50" s="76">
        <v>2320</v>
      </c>
      <c r="C50" s="49"/>
      <c r="D50" s="50" t="s">
        <v>99</v>
      </c>
      <c r="E50" s="51"/>
      <c r="F50" s="52"/>
      <c r="G50" s="53"/>
      <c r="H50" s="54"/>
      <c r="I50" s="54"/>
    </row>
    <row r="51" spans="1:9" ht="15.75" x14ac:dyDescent="0.2">
      <c r="A51" s="69" t="s">
        <v>236</v>
      </c>
      <c r="B51" s="41">
        <v>2320</v>
      </c>
      <c r="C51" s="43">
        <v>1</v>
      </c>
      <c r="D51" s="46" t="s">
        <v>31</v>
      </c>
      <c r="E51" s="42" t="s">
        <v>31</v>
      </c>
      <c r="F51" s="43" t="s">
        <v>31</v>
      </c>
      <c r="G51" s="44" t="s">
        <v>31</v>
      </c>
      <c r="H51" s="45"/>
      <c r="I51" s="45"/>
    </row>
    <row r="52" spans="1:9" ht="15.75" x14ac:dyDescent="0.2">
      <c r="A52" s="70"/>
      <c r="B52" s="47">
        <v>4490</v>
      </c>
      <c r="C52" s="30"/>
      <c r="D52" s="35" t="s">
        <v>101</v>
      </c>
      <c r="E52" s="29"/>
      <c r="F52" s="30"/>
      <c r="G52" s="31"/>
      <c r="H52" s="54"/>
      <c r="I52" s="32"/>
    </row>
    <row r="53" spans="1:9" ht="63.75" x14ac:dyDescent="0.2">
      <c r="A53" s="105" t="s">
        <v>237</v>
      </c>
      <c r="B53" s="107">
        <v>4490</v>
      </c>
      <c r="C53" s="109">
        <v>1</v>
      </c>
      <c r="D53" s="39" t="s">
        <v>103</v>
      </c>
      <c r="E53" s="18" t="s">
        <v>38</v>
      </c>
      <c r="F53" s="17" t="s">
        <v>39</v>
      </c>
      <c r="G53" s="19">
        <v>4</v>
      </c>
      <c r="H53" s="4"/>
      <c r="I53" s="20">
        <f t="shared" ref="I53" si="3">SUM(G53*H53)</f>
        <v>0</v>
      </c>
    </row>
    <row r="54" spans="1:9" x14ac:dyDescent="0.2">
      <c r="A54" s="106"/>
      <c r="B54" s="108"/>
      <c r="C54" s="110"/>
      <c r="D54" s="27" t="s">
        <v>40</v>
      </c>
      <c r="E54" s="23"/>
      <c r="F54" s="25"/>
      <c r="G54" s="26" t="s">
        <v>6</v>
      </c>
      <c r="H54" s="24"/>
      <c r="I54" s="24"/>
    </row>
    <row r="55" spans="1:9" ht="15.75" x14ac:dyDescent="0.2">
      <c r="A55" s="68"/>
      <c r="B55" s="114" t="s">
        <v>104</v>
      </c>
      <c r="C55" s="114"/>
      <c r="D55" s="50" t="s">
        <v>105</v>
      </c>
      <c r="E55" s="51"/>
      <c r="F55" s="52"/>
      <c r="G55" s="53"/>
      <c r="H55" s="54"/>
      <c r="I55" s="54"/>
    </row>
    <row r="56" spans="1:9" ht="51" x14ac:dyDescent="0.2">
      <c r="A56" s="71" t="s">
        <v>238</v>
      </c>
      <c r="B56" s="77" t="s">
        <v>107</v>
      </c>
      <c r="C56" s="1">
        <v>1</v>
      </c>
      <c r="D56" s="5" t="s">
        <v>108</v>
      </c>
      <c r="E56" s="18" t="s">
        <v>19</v>
      </c>
      <c r="F56" s="17" t="s">
        <v>109</v>
      </c>
      <c r="G56" s="19">
        <v>1</v>
      </c>
      <c r="H56" s="4"/>
      <c r="I56" s="20">
        <f>SUM(G56*H56)</f>
        <v>0</v>
      </c>
    </row>
    <row r="57" spans="1:9" x14ac:dyDescent="0.2">
      <c r="A57" s="72"/>
      <c r="B57" s="63"/>
      <c r="C57" s="64"/>
      <c r="D57" s="65"/>
      <c r="E57" s="51"/>
      <c r="F57" s="52"/>
      <c r="G57" s="53"/>
      <c r="H57" s="54"/>
      <c r="I57" s="54"/>
    </row>
    <row r="58" spans="1:9" ht="15.75" x14ac:dyDescent="0.2">
      <c r="A58" s="67" t="s">
        <v>239</v>
      </c>
      <c r="B58" s="28"/>
      <c r="C58" s="1">
        <v>1</v>
      </c>
      <c r="D58" s="5" t="s">
        <v>111</v>
      </c>
      <c r="E58" s="3" t="s">
        <v>31</v>
      </c>
      <c r="F58" s="1" t="s">
        <v>112</v>
      </c>
      <c r="G58" s="2">
        <v>1</v>
      </c>
      <c r="H58" s="4"/>
      <c r="I58" s="20">
        <f>SUM(G58*H58)</f>
        <v>0</v>
      </c>
    </row>
    <row r="59" spans="1:9" ht="15.75" x14ac:dyDescent="0.2">
      <c r="A59" s="73"/>
      <c r="B59" s="40"/>
      <c r="C59" s="33"/>
      <c r="D59" s="34"/>
      <c r="E59" s="3"/>
      <c r="F59" s="1"/>
      <c r="G59" s="2"/>
      <c r="H59" s="4"/>
      <c r="I59" s="4"/>
    </row>
    <row r="60" spans="1:9" x14ac:dyDescent="0.2">
      <c r="A60" s="115"/>
      <c r="B60" s="116"/>
      <c r="C60" s="116"/>
      <c r="D60" s="117"/>
      <c r="E60" s="3"/>
      <c r="F60" s="1"/>
      <c r="G60" s="2"/>
      <c r="H60" s="4"/>
      <c r="I60" s="4"/>
    </row>
    <row r="61" spans="1:9" ht="15.75" x14ac:dyDescent="0.2">
      <c r="A61" s="67"/>
      <c r="B61" s="118" t="s">
        <v>240</v>
      </c>
      <c r="C61" s="118"/>
      <c r="D61" s="118"/>
      <c r="E61" s="118"/>
      <c r="F61" s="1"/>
      <c r="G61" s="28">
        <f>SUM(G4:G60)</f>
        <v>177</v>
      </c>
      <c r="H61" s="4"/>
      <c r="I61" s="12">
        <f>SUM(I4:I60)</f>
        <v>0</v>
      </c>
    </row>
    <row r="63" spans="1:9" x14ac:dyDescent="0.2">
      <c r="A63" s="38">
        <v>13</v>
      </c>
      <c r="B63" s="14" t="s">
        <v>114</v>
      </c>
      <c r="C63" s="14"/>
    </row>
    <row r="64" spans="1:9" x14ac:dyDescent="0.2">
      <c r="A64" s="38">
        <f>COUNTIF(C1:C56, "&gt;0")</f>
        <v>39</v>
      </c>
      <c r="B64" s="14" t="s">
        <v>115</v>
      </c>
      <c r="C64" s="14"/>
      <c r="F64" s="13"/>
      <c r="G64" s="13"/>
    </row>
    <row r="65" spans="1:9" x14ac:dyDescent="0.2">
      <c r="A65" s="38">
        <v>177</v>
      </c>
      <c r="B65" s="14" t="s">
        <v>116</v>
      </c>
      <c r="C65" s="14"/>
      <c r="F65" s="13"/>
      <c r="G65" s="13"/>
    </row>
    <row r="66" spans="1:9" x14ac:dyDescent="0.2">
      <c r="B66" s="14"/>
      <c r="C66" s="14"/>
      <c r="D66" s="14"/>
      <c r="E66" s="14"/>
      <c r="F66" s="15"/>
      <c r="G66" s="13"/>
      <c r="I66" s="15"/>
    </row>
    <row r="67" spans="1:9" x14ac:dyDescent="0.2">
      <c r="B67" s="14"/>
      <c r="C67" s="14"/>
      <c r="D67" s="14"/>
      <c r="E67" s="14"/>
      <c r="F67" s="15"/>
      <c r="I67" s="15"/>
    </row>
    <row r="68" spans="1:9" x14ac:dyDescent="0.2">
      <c r="B68" s="14"/>
      <c r="C68" s="14"/>
      <c r="D68" s="14"/>
      <c r="E68" s="14"/>
      <c r="F68" s="15"/>
      <c r="I68" s="15"/>
    </row>
    <row r="69" spans="1:9" x14ac:dyDescent="0.2">
      <c r="B69" s="14"/>
      <c r="C69" s="14"/>
      <c r="D69" s="14"/>
      <c r="E69" s="14"/>
      <c r="F69" s="15"/>
      <c r="I69" s="15"/>
    </row>
    <row r="70" spans="1:9" x14ac:dyDescent="0.2">
      <c r="B70" s="14"/>
      <c r="C70" s="14"/>
      <c r="D70" s="14"/>
      <c r="E70" s="14"/>
      <c r="F70" s="16"/>
      <c r="I70" s="15"/>
    </row>
    <row r="71" spans="1:9" x14ac:dyDescent="0.2">
      <c r="I71" s="16"/>
    </row>
  </sheetData>
  <mergeCells count="11">
    <mergeCell ref="J16:M16"/>
    <mergeCell ref="A53:A54"/>
    <mergeCell ref="B53:B54"/>
    <mergeCell ref="C53:C54"/>
    <mergeCell ref="B55:C55"/>
    <mergeCell ref="A16:A17"/>
    <mergeCell ref="B16:B17"/>
    <mergeCell ref="C16:C17"/>
    <mergeCell ref="A1:I1"/>
    <mergeCell ref="B61:E61"/>
    <mergeCell ref="A60:D60"/>
  </mergeCells>
  <phoneticPr fontId="5" type="noConversion"/>
  <pageMargins left="0.25" right="0.25" top="0.75" bottom="0.75" header="0.3" footer="0.3"/>
  <pageSetup orientation="portrait" r:id="rId1"/>
  <headerFooter>
    <oddHeader xml:space="preserve">&amp;CFA3020 -XX-X-XXXX
 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3D458-F3F0-4EAC-A745-929BC14BABEA}">
  <dimension ref="A1:N71"/>
  <sheetViews>
    <sheetView zoomScale="68" workbookViewId="0">
      <selection sqref="A1:I1"/>
    </sheetView>
  </sheetViews>
  <sheetFormatPr defaultRowHeight="12.75" x14ac:dyDescent="0.2"/>
  <cols>
    <col min="1" max="1" width="6.85546875" style="38" customWidth="1"/>
    <col min="2" max="2" width="7" customWidth="1"/>
    <col min="3" max="3" width="7.140625" customWidth="1"/>
    <col min="4" max="4" width="17.42578125" customWidth="1"/>
    <col min="5" max="5" width="10" customWidth="1"/>
    <col min="6" max="6" width="13.42578125" customWidth="1"/>
    <col min="7" max="7" width="9.140625" customWidth="1"/>
    <col min="8" max="8" width="8.140625" customWidth="1"/>
    <col min="9" max="9" width="12.5703125" customWidth="1"/>
  </cols>
  <sheetData>
    <row r="1" spans="1:14" x14ac:dyDescent="0.2">
      <c r="A1" s="128" t="s">
        <v>5</v>
      </c>
      <c r="B1" s="129"/>
      <c r="C1" s="129"/>
      <c r="D1" s="129"/>
      <c r="E1" s="129"/>
      <c r="F1" s="129"/>
      <c r="G1" s="129"/>
      <c r="H1" s="129"/>
      <c r="I1" s="130"/>
      <c r="L1" s="11" t="s">
        <v>6</v>
      </c>
    </row>
    <row r="2" spans="1:14" ht="33.75" x14ac:dyDescent="0.2">
      <c r="A2" s="67" t="s">
        <v>7</v>
      </c>
      <c r="B2" s="75" t="s">
        <v>8</v>
      </c>
      <c r="C2" s="6" t="s">
        <v>9</v>
      </c>
      <c r="D2" s="75" t="s">
        <v>10</v>
      </c>
      <c r="E2" s="7" t="s">
        <v>11</v>
      </c>
      <c r="F2" s="6" t="s">
        <v>12</v>
      </c>
      <c r="G2" s="8" t="s">
        <v>13</v>
      </c>
      <c r="H2" s="9" t="s">
        <v>14</v>
      </c>
      <c r="I2" s="10" t="s">
        <v>15</v>
      </c>
    </row>
    <row r="3" spans="1:14" ht="15.75" x14ac:dyDescent="0.2">
      <c r="A3" s="68"/>
      <c r="B3" s="76">
        <v>61</v>
      </c>
      <c r="C3" s="49"/>
      <c r="D3" s="50" t="s">
        <v>16</v>
      </c>
      <c r="E3" s="51"/>
      <c r="F3" s="52"/>
      <c r="G3" s="53"/>
      <c r="H3" s="54"/>
      <c r="I3" s="54"/>
    </row>
    <row r="4" spans="1:14" ht="51" x14ac:dyDescent="0.2">
      <c r="A4" s="67" t="s">
        <v>241</v>
      </c>
      <c r="B4" s="28">
        <v>61</v>
      </c>
      <c r="C4" s="1">
        <v>1</v>
      </c>
      <c r="D4" s="5" t="s">
        <v>18</v>
      </c>
      <c r="E4" s="3" t="s">
        <v>19</v>
      </c>
      <c r="F4" s="1" t="s">
        <v>20</v>
      </c>
      <c r="G4" s="2">
        <v>1</v>
      </c>
      <c r="H4" s="4"/>
      <c r="I4" s="4">
        <f>SUM(G4*H4)</f>
        <v>0</v>
      </c>
    </row>
    <row r="5" spans="1:14" ht="51" x14ac:dyDescent="0.2">
      <c r="A5" s="67" t="s">
        <v>242</v>
      </c>
      <c r="B5" s="28">
        <v>61</v>
      </c>
      <c r="C5" s="1">
        <v>2</v>
      </c>
      <c r="D5" s="5" t="s">
        <v>22</v>
      </c>
      <c r="E5" s="3" t="s">
        <v>19</v>
      </c>
      <c r="F5" s="1" t="s">
        <v>20</v>
      </c>
      <c r="G5" s="2">
        <v>1</v>
      </c>
      <c r="H5" s="4"/>
      <c r="I5" s="4">
        <f>SUM(G5*H5)</f>
        <v>0</v>
      </c>
    </row>
    <row r="6" spans="1:14" ht="63.75" x14ac:dyDescent="0.2">
      <c r="A6" s="67" t="s">
        <v>243</v>
      </c>
      <c r="B6" s="28">
        <v>61</v>
      </c>
      <c r="C6" s="1">
        <v>3</v>
      </c>
      <c r="D6" s="5" t="s">
        <v>24</v>
      </c>
      <c r="E6" s="3" t="s">
        <v>19</v>
      </c>
      <c r="F6" s="1" t="s">
        <v>20</v>
      </c>
      <c r="G6" s="2">
        <v>1</v>
      </c>
      <c r="H6" s="4"/>
      <c r="I6" s="4">
        <f>SUM(G6*H6)</f>
        <v>0</v>
      </c>
    </row>
    <row r="7" spans="1:14" ht="51" x14ac:dyDescent="0.2">
      <c r="A7" s="67" t="s">
        <v>244</v>
      </c>
      <c r="B7" s="28">
        <v>61</v>
      </c>
      <c r="C7" s="1">
        <v>4</v>
      </c>
      <c r="D7" s="5" t="s">
        <v>26</v>
      </c>
      <c r="E7" s="3" t="s">
        <v>19</v>
      </c>
      <c r="F7" s="1" t="s">
        <v>20</v>
      </c>
      <c r="G7" s="2">
        <v>1</v>
      </c>
      <c r="H7" s="4"/>
      <c r="I7" s="4">
        <f>SUM(G7*H7)</f>
        <v>0</v>
      </c>
    </row>
    <row r="8" spans="1:14" ht="15.75" x14ac:dyDescent="0.2">
      <c r="A8" s="68"/>
      <c r="B8" s="76">
        <v>195</v>
      </c>
      <c r="C8" s="49"/>
      <c r="D8" s="50" t="s">
        <v>27</v>
      </c>
      <c r="E8" s="51"/>
      <c r="F8" s="52"/>
      <c r="G8" s="53"/>
      <c r="H8" s="54"/>
      <c r="I8" s="54"/>
    </row>
    <row r="9" spans="1:14" ht="51" x14ac:dyDescent="0.2">
      <c r="A9" s="67" t="s">
        <v>245</v>
      </c>
      <c r="B9" s="28">
        <v>195</v>
      </c>
      <c r="C9" s="1">
        <v>1</v>
      </c>
      <c r="D9" s="5" t="s">
        <v>29</v>
      </c>
      <c r="E9" s="3" t="s">
        <v>30</v>
      </c>
      <c r="F9" s="1" t="s">
        <v>20</v>
      </c>
      <c r="G9" s="2">
        <v>1</v>
      </c>
      <c r="H9" s="4"/>
      <c r="I9" s="4">
        <f>SUM(G9*H9)</f>
        <v>0</v>
      </c>
    </row>
    <row r="10" spans="1:14" ht="15.75" x14ac:dyDescent="0.2">
      <c r="A10" s="68"/>
      <c r="B10" s="76">
        <v>204</v>
      </c>
      <c r="C10" s="49"/>
      <c r="D10" s="50" t="s">
        <v>31</v>
      </c>
      <c r="E10" s="55"/>
      <c r="F10" s="52"/>
      <c r="G10" s="53"/>
      <c r="H10" s="54"/>
      <c r="I10" s="54"/>
    </row>
    <row r="11" spans="1:14" ht="38.1" customHeight="1" x14ac:dyDescent="0.2">
      <c r="A11" s="69" t="s">
        <v>246</v>
      </c>
      <c r="B11" s="41">
        <v>204</v>
      </c>
      <c r="C11" s="43">
        <v>1</v>
      </c>
      <c r="D11" s="46" t="s">
        <v>31</v>
      </c>
      <c r="E11" s="42" t="s">
        <v>31</v>
      </c>
      <c r="F11" s="43" t="s">
        <v>31</v>
      </c>
      <c r="G11" s="44" t="s">
        <v>31</v>
      </c>
      <c r="H11" s="45"/>
      <c r="I11" s="45"/>
    </row>
    <row r="12" spans="1:14" ht="15.75" x14ac:dyDescent="0.2">
      <c r="A12" s="68"/>
      <c r="B12" s="76">
        <v>239</v>
      </c>
      <c r="C12" s="49"/>
      <c r="D12" s="56" t="s">
        <v>31</v>
      </c>
      <c r="E12" s="57"/>
      <c r="F12" s="58"/>
      <c r="G12" s="59"/>
      <c r="H12" s="54"/>
      <c r="I12" s="54"/>
      <c r="N12" t="s">
        <v>6</v>
      </c>
    </row>
    <row r="13" spans="1:14" ht="15.75" x14ac:dyDescent="0.2">
      <c r="A13" s="69" t="s">
        <v>247</v>
      </c>
      <c r="B13" s="41">
        <v>239</v>
      </c>
      <c r="C13" s="43">
        <v>1</v>
      </c>
      <c r="D13" s="46" t="s">
        <v>31</v>
      </c>
      <c r="E13" s="46" t="s">
        <v>31</v>
      </c>
      <c r="F13" s="46" t="s">
        <v>31</v>
      </c>
      <c r="G13" s="46" t="s">
        <v>31</v>
      </c>
      <c r="H13" s="45"/>
      <c r="I13" s="45"/>
    </row>
    <row r="14" spans="1:14" ht="15.75" x14ac:dyDescent="0.2">
      <c r="A14" s="69" t="s">
        <v>248</v>
      </c>
      <c r="B14" s="41">
        <v>239</v>
      </c>
      <c r="C14" s="43">
        <v>2</v>
      </c>
      <c r="D14" s="46" t="s">
        <v>31</v>
      </c>
      <c r="E14" s="46" t="s">
        <v>31</v>
      </c>
      <c r="F14" s="46" t="s">
        <v>31</v>
      </c>
      <c r="G14" s="46" t="s">
        <v>31</v>
      </c>
      <c r="H14" s="45"/>
      <c r="I14" s="45"/>
    </row>
    <row r="15" spans="1:14" ht="15.75" x14ac:dyDescent="0.2">
      <c r="A15" s="68"/>
      <c r="B15" s="76">
        <v>318</v>
      </c>
      <c r="C15" s="49"/>
      <c r="D15" s="50" t="s">
        <v>35</v>
      </c>
      <c r="E15" s="51"/>
      <c r="F15" s="52"/>
      <c r="G15" s="53"/>
      <c r="H15" s="54"/>
      <c r="I15" s="54"/>
    </row>
    <row r="16" spans="1:14" ht="38.25" x14ac:dyDescent="0.2">
      <c r="A16" s="105" t="s">
        <v>249</v>
      </c>
      <c r="B16" s="107">
        <v>318</v>
      </c>
      <c r="C16" s="109">
        <v>1</v>
      </c>
      <c r="D16" s="5" t="s">
        <v>37</v>
      </c>
      <c r="E16" s="3" t="s">
        <v>38</v>
      </c>
      <c r="F16" s="1" t="s">
        <v>39</v>
      </c>
      <c r="G16" s="2">
        <v>4</v>
      </c>
      <c r="H16" s="4"/>
      <c r="I16" s="4">
        <f>SUM(G16*H16)</f>
        <v>0</v>
      </c>
      <c r="J16" s="103" t="s">
        <v>6</v>
      </c>
      <c r="K16" s="104"/>
      <c r="L16" s="104"/>
      <c r="M16" s="104"/>
    </row>
    <row r="17" spans="1:13" ht="15.75" customHeight="1" x14ac:dyDescent="0.2">
      <c r="A17" s="106"/>
      <c r="B17" s="108"/>
      <c r="C17" s="110"/>
      <c r="D17" s="27" t="s">
        <v>40</v>
      </c>
      <c r="E17" s="23"/>
      <c r="F17" s="25"/>
      <c r="G17" s="26" t="s">
        <v>6</v>
      </c>
      <c r="H17" s="24"/>
      <c r="I17" s="24"/>
    </row>
    <row r="18" spans="1:13" ht="15.75" x14ac:dyDescent="0.2">
      <c r="A18" s="68"/>
      <c r="B18" s="76">
        <v>740</v>
      </c>
      <c r="C18" s="49"/>
      <c r="D18" s="50" t="s">
        <v>41</v>
      </c>
      <c r="E18" s="60"/>
      <c r="F18" s="49"/>
      <c r="G18" s="76"/>
      <c r="H18" s="54"/>
      <c r="I18" s="61"/>
      <c r="J18" s="11" t="s">
        <v>6</v>
      </c>
    </row>
    <row r="19" spans="1:13" ht="38.25" x14ac:dyDescent="0.2">
      <c r="A19" s="67" t="s">
        <v>250</v>
      </c>
      <c r="B19" s="28">
        <v>740</v>
      </c>
      <c r="C19" s="1">
        <v>1</v>
      </c>
      <c r="D19" s="5" t="s">
        <v>43</v>
      </c>
      <c r="E19" s="3" t="s">
        <v>44</v>
      </c>
      <c r="F19" s="1" t="s">
        <v>39</v>
      </c>
      <c r="G19" s="2">
        <v>4</v>
      </c>
      <c r="H19" s="4"/>
      <c r="I19" s="4">
        <f>SUM(G19*H19)</f>
        <v>0</v>
      </c>
      <c r="J19" s="11"/>
    </row>
    <row r="20" spans="1:13" ht="38.25" x14ac:dyDescent="0.2">
      <c r="A20" s="67" t="s">
        <v>251</v>
      </c>
      <c r="B20" s="48">
        <v>740</v>
      </c>
      <c r="C20" s="17">
        <v>2</v>
      </c>
      <c r="D20" s="39" t="s">
        <v>47</v>
      </c>
      <c r="E20" s="18" t="s">
        <v>38</v>
      </c>
      <c r="F20" s="18" t="s">
        <v>128</v>
      </c>
      <c r="G20" s="19">
        <v>4</v>
      </c>
      <c r="H20" s="4"/>
      <c r="I20" s="20">
        <f>SUM(G20*H20)</f>
        <v>0</v>
      </c>
      <c r="J20" s="11" t="s">
        <v>6</v>
      </c>
      <c r="M20" s="11" t="s">
        <v>6</v>
      </c>
    </row>
    <row r="21" spans="1:13" ht="38.25" x14ac:dyDescent="0.2">
      <c r="A21" s="67" t="s">
        <v>252</v>
      </c>
      <c r="B21" s="48">
        <v>740</v>
      </c>
      <c r="C21" s="17">
        <v>3</v>
      </c>
      <c r="D21" s="39" t="s">
        <v>47</v>
      </c>
      <c r="E21" s="18" t="s">
        <v>38</v>
      </c>
      <c r="F21" s="18" t="s">
        <v>128</v>
      </c>
      <c r="G21" s="19">
        <v>4</v>
      </c>
      <c r="H21" s="4"/>
      <c r="I21" s="20">
        <f>SUM(G21*H21)</f>
        <v>0</v>
      </c>
    </row>
    <row r="22" spans="1:13" ht="38.25" x14ac:dyDescent="0.2">
      <c r="A22" s="67" t="s">
        <v>253</v>
      </c>
      <c r="B22" s="28">
        <v>740</v>
      </c>
      <c r="C22" s="1">
        <v>4</v>
      </c>
      <c r="D22" s="5" t="s">
        <v>50</v>
      </c>
      <c r="E22" s="3" t="s">
        <v>51</v>
      </c>
      <c r="F22" s="1" t="s">
        <v>61</v>
      </c>
      <c r="G22" s="2">
        <v>12</v>
      </c>
      <c r="H22" s="4"/>
      <c r="I22" s="4">
        <f>SUM(G22*H22)</f>
        <v>0</v>
      </c>
    </row>
    <row r="23" spans="1:13" ht="15.75" x14ac:dyDescent="0.2">
      <c r="A23" s="69" t="s">
        <v>254</v>
      </c>
      <c r="B23" s="41">
        <v>740</v>
      </c>
      <c r="C23" s="43">
        <v>5</v>
      </c>
      <c r="D23" s="46" t="s">
        <v>31</v>
      </c>
      <c r="E23" s="46" t="s">
        <v>31</v>
      </c>
      <c r="F23" s="46" t="s">
        <v>31</v>
      </c>
      <c r="G23" s="46" t="s">
        <v>31</v>
      </c>
      <c r="H23" s="45"/>
      <c r="I23" s="45"/>
    </row>
    <row r="24" spans="1:13" ht="15.75" x14ac:dyDescent="0.2">
      <c r="A24" s="68"/>
      <c r="B24" s="76">
        <v>805</v>
      </c>
      <c r="C24" s="49"/>
      <c r="D24" s="50" t="s">
        <v>53</v>
      </c>
      <c r="E24" s="62"/>
      <c r="F24" s="52"/>
      <c r="G24" s="53"/>
      <c r="H24" s="54"/>
      <c r="I24" s="54"/>
    </row>
    <row r="25" spans="1:13" ht="63.75" x14ac:dyDescent="0.2">
      <c r="A25" s="67" t="s">
        <v>255</v>
      </c>
      <c r="B25" s="28">
        <v>805</v>
      </c>
      <c r="C25" s="1">
        <v>1</v>
      </c>
      <c r="D25" s="5" t="s">
        <v>55</v>
      </c>
      <c r="E25" s="3" t="s">
        <v>56</v>
      </c>
      <c r="F25" s="1" t="s">
        <v>57</v>
      </c>
      <c r="G25" s="2">
        <v>4</v>
      </c>
      <c r="H25" s="4"/>
      <c r="I25" s="4">
        <f t="shared" ref="I25:I30" si="0">SUM(G25*H25)</f>
        <v>0</v>
      </c>
    </row>
    <row r="26" spans="1:13" ht="63.75" x14ac:dyDescent="0.2">
      <c r="A26" s="67" t="s">
        <v>256</v>
      </c>
      <c r="B26" s="28">
        <v>805</v>
      </c>
      <c r="C26" s="1">
        <v>2</v>
      </c>
      <c r="D26" s="5" t="s">
        <v>55</v>
      </c>
      <c r="E26" s="3" t="s">
        <v>56</v>
      </c>
      <c r="F26" s="1" t="s">
        <v>57</v>
      </c>
      <c r="G26" s="2">
        <v>4</v>
      </c>
      <c r="H26" s="4"/>
      <c r="I26" s="4">
        <f t="shared" si="0"/>
        <v>0</v>
      </c>
    </row>
    <row r="27" spans="1:13" ht="89.25" x14ac:dyDescent="0.2">
      <c r="A27" s="67" t="s">
        <v>257</v>
      </c>
      <c r="B27" s="28">
        <v>805</v>
      </c>
      <c r="C27" s="1">
        <v>3</v>
      </c>
      <c r="D27" s="5" t="s">
        <v>60</v>
      </c>
      <c r="E27" s="3" t="s">
        <v>51</v>
      </c>
      <c r="F27" s="1" t="s">
        <v>61</v>
      </c>
      <c r="G27" s="2">
        <v>12</v>
      </c>
      <c r="H27" s="4"/>
      <c r="I27" s="4">
        <f t="shared" si="0"/>
        <v>0</v>
      </c>
    </row>
    <row r="28" spans="1:13" ht="89.25" x14ac:dyDescent="0.2">
      <c r="A28" s="67" t="s">
        <v>258</v>
      </c>
      <c r="B28" s="28">
        <v>805</v>
      </c>
      <c r="C28" s="1">
        <v>4</v>
      </c>
      <c r="D28" s="5" t="s">
        <v>60</v>
      </c>
      <c r="E28" s="3" t="s">
        <v>51</v>
      </c>
      <c r="F28" s="1" t="s">
        <v>61</v>
      </c>
      <c r="G28" s="2">
        <v>12</v>
      </c>
      <c r="H28" s="4"/>
      <c r="I28" s="4">
        <f t="shared" si="0"/>
        <v>0</v>
      </c>
    </row>
    <row r="29" spans="1:13" ht="89.25" x14ac:dyDescent="0.2">
      <c r="A29" s="67" t="s">
        <v>259</v>
      </c>
      <c r="B29" s="28">
        <v>805</v>
      </c>
      <c r="C29" s="17">
        <v>5</v>
      </c>
      <c r="D29" s="36" t="s">
        <v>64</v>
      </c>
      <c r="E29" s="18" t="s">
        <v>51</v>
      </c>
      <c r="F29" s="1" t="s">
        <v>61</v>
      </c>
      <c r="G29" s="19">
        <v>12</v>
      </c>
      <c r="H29" s="4"/>
      <c r="I29" s="20">
        <f t="shared" si="0"/>
        <v>0</v>
      </c>
    </row>
    <row r="30" spans="1:13" ht="63.75" x14ac:dyDescent="0.2">
      <c r="A30" s="67" t="s">
        <v>260</v>
      </c>
      <c r="B30" s="28">
        <v>805</v>
      </c>
      <c r="C30" s="1">
        <v>6</v>
      </c>
      <c r="D30" s="37" t="s">
        <v>66</v>
      </c>
      <c r="E30" s="3" t="s">
        <v>67</v>
      </c>
      <c r="F30" s="1" t="s">
        <v>68</v>
      </c>
      <c r="G30" s="2">
        <v>2</v>
      </c>
      <c r="H30" s="4"/>
      <c r="I30" s="4">
        <f t="shared" si="0"/>
        <v>0</v>
      </c>
    </row>
    <row r="31" spans="1:13" ht="15.75" x14ac:dyDescent="0.2">
      <c r="A31" s="68"/>
      <c r="B31" s="76">
        <v>811</v>
      </c>
      <c r="C31" s="49"/>
      <c r="D31" s="50" t="s">
        <v>69</v>
      </c>
      <c r="E31" s="51"/>
      <c r="F31" s="52"/>
      <c r="G31" s="53"/>
      <c r="H31" s="54"/>
      <c r="I31" s="54"/>
    </row>
    <row r="32" spans="1:13" ht="38.25" x14ac:dyDescent="0.2">
      <c r="A32" s="67" t="s">
        <v>261</v>
      </c>
      <c r="B32" s="28">
        <v>811</v>
      </c>
      <c r="C32" s="1">
        <v>1</v>
      </c>
      <c r="D32" s="5" t="s">
        <v>71</v>
      </c>
      <c r="E32" s="3" t="s">
        <v>72</v>
      </c>
      <c r="F32" s="1" t="s">
        <v>68</v>
      </c>
      <c r="G32" s="2">
        <v>2</v>
      </c>
      <c r="H32" s="4"/>
      <c r="I32" s="4">
        <f>SUM(G32*H32)</f>
        <v>0</v>
      </c>
    </row>
    <row r="33" spans="1:13" ht="15.75" x14ac:dyDescent="0.2">
      <c r="A33" s="68"/>
      <c r="B33" s="76">
        <v>1320</v>
      </c>
      <c r="C33" s="49"/>
      <c r="D33" s="50" t="s">
        <v>53</v>
      </c>
      <c r="E33" s="62"/>
      <c r="F33" s="52"/>
      <c r="G33" s="53"/>
      <c r="H33" s="54"/>
      <c r="I33" s="54"/>
    </row>
    <row r="34" spans="1:13" ht="63.75" x14ac:dyDescent="0.2">
      <c r="A34" s="67" t="s">
        <v>262</v>
      </c>
      <c r="B34" s="28">
        <v>1320</v>
      </c>
      <c r="C34" s="1">
        <v>1</v>
      </c>
      <c r="D34" s="5" t="s">
        <v>55</v>
      </c>
      <c r="E34" s="3" t="s">
        <v>56</v>
      </c>
      <c r="F34" s="1" t="s">
        <v>39</v>
      </c>
      <c r="G34" s="2">
        <v>4</v>
      </c>
      <c r="H34" s="4"/>
      <c r="I34" s="4">
        <f t="shared" ref="I34:I39" si="1">SUM(G34*H34)</f>
        <v>0</v>
      </c>
    </row>
    <row r="35" spans="1:13" ht="63.75" x14ac:dyDescent="0.2">
      <c r="A35" s="67" t="s">
        <v>263</v>
      </c>
      <c r="B35" s="28">
        <v>1320</v>
      </c>
      <c r="C35" s="1">
        <v>2</v>
      </c>
      <c r="D35" s="5" t="s">
        <v>55</v>
      </c>
      <c r="E35" s="3" t="s">
        <v>56</v>
      </c>
      <c r="F35" s="1" t="s">
        <v>39</v>
      </c>
      <c r="G35" s="2">
        <v>4</v>
      </c>
      <c r="H35" s="4"/>
      <c r="I35" s="4">
        <f t="shared" si="1"/>
        <v>0</v>
      </c>
    </row>
    <row r="36" spans="1:13" ht="89.25" x14ac:dyDescent="0.2">
      <c r="A36" s="67" t="s">
        <v>264</v>
      </c>
      <c r="B36" s="28">
        <v>1320</v>
      </c>
      <c r="C36" s="1">
        <v>3</v>
      </c>
      <c r="D36" s="5" t="s">
        <v>60</v>
      </c>
      <c r="E36" s="18" t="s">
        <v>51</v>
      </c>
      <c r="F36" s="1" t="s">
        <v>61</v>
      </c>
      <c r="G36" s="2">
        <v>12</v>
      </c>
      <c r="H36" s="4"/>
      <c r="I36" s="4">
        <f t="shared" si="1"/>
        <v>0</v>
      </c>
    </row>
    <row r="37" spans="1:13" ht="89.25" x14ac:dyDescent="0.2">
      <c r="A37" s="67" t="s">
        <v>265</v>
      </c>
      <c r="B37" s="28">
        <v>1320</v>
      </c>
      <c r="C37" s="1">
        <v>4</v>
      </c>
      <c r="D37" s="5" t="s">
        <v>60</v>
      </c>
      <c r="E37" s="18" t="s">
        <v>51</v>
      </c>
      <c r="F37" s="1" t="s">
        <v>61</v>
      </c>
      <c r="G37" s="2">
        <v>12</v>
      </c>
      <c r="H37" s="4"/>
      <c r="I37" s="4">
        <f t="shared" si="1"/>
        <v>0</v>
      </c>
    </row>
    <row r="38" spans="1:13" ht="89.25" x14ac:dyDescent="0.2">
      <c r="A38" s="67" t="s">
        <v>266</v>
      </c>
      <c r="B38" s="28">
        <v>1320</v>
      </c>
      <c r="C38" s="17">
        <v>5</v>
      </c>
      <c r="D38" s="36" t="s">
        <v>64</v>
      </c>
      <c r="E38" s="18" t="s">
        <v>51</v>
      </c>
      <c r="F38" s="1" t="s">
        <v>61</v>
      </c>
      <c r="G38" s="19">
        <v>12</v>
      </c>
      <c r="H38" s="4"/>
      <c r="I38" s="20">
        <f t="shared" si="1"/>
        <v>0</v>
      </c>
    </row>
    <row r="39" spans="1:13" ht="63.75" x14ac:dyDescent="0.2">
      <c r="A39" s="67" t="s">
        <v>267</v>
      </c>
      <c r="B39" s="28">
        <v>1320</v>
      </c>
      <c r="C39" s="1">
        <v>6</v>
      </c>
      <c r="D39" s="37" t="s">
        <v>79</v>
      </c>
      <c r="E39" s="3" t="s">
        <v>67</v>
      </c>
      <c r="F39" s="1" t="s">
        <v>68</v>
      </c>
      <c r="G39" s="2">
        <v>2</v>
      </c>
      <c r="H39" s="4"/>
      <c r="I39" s="4">
        <f t="shared" si="1"/>
        <v>0</v>
      </c>
    </row>
    <row r="40" spans="1:13" ht="15.75" x14ac:dyDescent="0.2">
      <c r="A40" s="68"/>
      <c r="B40" s="76">
        <v>1368</v>
      </c>
      <c r="C40" s="49"/>
      <c r="D40" s="50" t="s">
        <v>53</v>
      </c>
      <c r="E40" s="62"/>
      <c r="F40" s="52"/>
      <c r="G40" s="53"/>
      <c r="H40" s="54"/>
      <c r="I40" s="54"/>
    </row>
    <row r="41" spans="1:13" ht="102" x14ac:dyDescent="0.2">
      <c r="A41" s="67" t="s">
        <v>268</v>
      </c>
      <c r="B41" s="28">
        <v>1368</v>
      </c>
      <c r="C41" s="1">
        <v>1</v>
      </c>
      <c r="D41" s="5" t="s">
        <v>81</v>
      </c>
      <c r="E41" s="3" t="s">
        <v>82</v>
      </c>
      <c r="F41" s="1" t="s">
        <v>68</v>
      </c>
      <c r="G41" s="2">
        <v>2</v>
      </c>
      <c r="H41" s="4"/>
      <c r="I41" s="4">
        <f>SUM(G41*H41)</f>
        <v>0</v>
      </c>
    </row>
    <row r="42" spans="1:13" ht="76.5" x14ac:dyDescent="0.2">
      <c r="A42" s="67" t="s">
        <v>269</v>
      </c>
      <c r="B42" s="28">
        <v>1368</v>
      </c>
      <c r="C42" s="1">
        <v>2</v>
      </c>
      <c r="D42" s="5" t="s">
        <v>84</v>
      </c>
      <c r="E42" s="3" t="s">
        <v>85</v>
      </c>
      <c r="F42" s="1" t="s">
        <v>39</v>
      </c>
      <c r="G42" s="2">
        <v>4</v>
      </c>
      <c r="H42" s="4"/>
      <c r="I42" s="4">
        <f t="shared" ref="I42:I49" si="2">SUM(G42*H42)</f>
        <v>0</v>
      </c>
    </row>
    <row r="43" spans="1:13" ht="76.5" x14ac:dyDescent="0.2">
      <c r="A43" s="67" t="s">
        <v>270</v>
      </c>
      <c r="B43" s="28">
        <v>1368</v>
      </c>
      <c r="C43" s="1">
        <v>3</v>
      </c>
      <c r="D43" s="5" t="s">
        <v>84</v>
      </c>
      <c r="E43" s="3" t="s">
        <v>85</v>
      </c>
      <c r="F43" s="1" t="s">
        <v>39</v>
      </c>
      <c r="G43" s="2">
        <v>4</v>
      </c>
      <c r="H43" s="4"/>
      <c r="I43" s="4">
        <f t="shared" si="2"/>
        <v>0</v>
      </c>
    </row>
    <row r="44" spans="1:13" ht="89.25" x14ac:dyDescent="0.2">
      <c r="A44" s="67" t="s">
        <v>271</v>
      </c>
      <c r="B44" s="28">
        <v>1368</v>
      </c>
      <c r="C44" s="1">
        <v>4</v>
      </c>
      <c r="D44" s="5" t="s">
        <v>88</v>
      </c>
      <c r="E44" s="18" t="s">
        <v>51</v>
      </c>
      <c r="F44" s="1" t="s">
        <v>61</v>
      </c>
      <c r="G44" s="2">
        <v>12</v>
      </c>
      <c r="H44" s="4"/>
      <c r="I44" s="4">
        <f t="shared" si="2"/>
        <v>0</v>
      </c>
    </row>
    <row r="45" spans="1:13" ht="76.5" x14ac:dyDescent="0.2">
      <c r="A45" s="67" t="s">
        <v>272</v>
      </c>
      <c r="B45" s="28">
        <v>1368</v>
      </c>
      <c r="C45" s="1">
        <v>5</v>
      </c>
      <c r="D45" s="5" t="s">
        <v>90</v>
      </c>
      <c r="E45" s="3" t="s">
        <v>85</v>
      </c>
      <c r="F45" s="1" t="s">
        <v>39</v>
      </c>
      <c r="G45" s="2">
        <v>4</v>
      </c>
      <c r="H45" s="4"/>
      <c r="I45" s="4">
        <f t="shared" si="2"/>
        <v>0</v>
      </c>
    </row>
    <row r="46" spans="1:13" ht="76.5" x14ac:dyDescent="0.2">
      <c r="A46" s="67" t="s">
        <v>273</v>
      </c>
      <c r="B46" s="28">
        <v>1368</v>
      </c>
      <c r="C46" s="1">
        <v>6</v>
      </c>
      <c r="D46" s="5" t="s">
        <v>92</v>
      </c>
      <c r="E46" s="18" t="s">
        <v>51</v>
      </c>
      <c r="F46" s="1" t="s">
        <v>61</v>
      </c>
      <c r="G46" s="2">
        <v>12</v>
      </c>
      <c r="H46" s="4"/>
      <c r="I46" s="4">
        <f t="shared" si="2"/>
        <v>0</v>
      </c>
      <c r="M46" t="s">
        <v>6</v>
      </c>
    </row>
    <row r="47" spans="1:13" ht="76.5" x14ac:dyDescent="0.2">
      <c r="A47" s="67" t="s">
        <v>274</v>
      </c>
      <c r="B47" s="28">
        <v>1368</v>
      </c>
      <c r="C47" s="1">
        <v>7</v>
      </c>
      <c r="D47" s="5" t="s">
        <v>94</v>
      </c>
      <c r="E47" s="3" t="s">
        <v>82</v>
      </c>
      <c r="F47" s="1" t="s">
        <v>68</v>
      </c>
      <c r="G47" s="2">
        <v>2</v>
      </c>
      <c r="H47" s="4"/>
      <c r="I47" s="4">
        <f t="shared" si="2"/>
        <v>0</v>
      </c>
    </row>
    <row r="48" spans="1:13" ht="76.5" x14ac:dyDescent="0.2">
      <c r="A48" s="67" t="s">
        <v>275</v>
      </c>
      <c r="B48" s="28">
        <v>1368</v>
      </c>
      <c r="C48" s="1">
        <v>8</v>
      </c>
      <c r="D48" s="5" t="s">
        <v>96</v>
      </c>
      <c r="E48" s="3" t="s">
        <v>82</v>
      </c>
      <c r="F48" s="1" t="s">
        <v>68</v>
      </c>
      <c r="G48" s="2">
        <v>2</v>
      </c>
      <c r="H48" s="4"/>
      <c r="I48" s="4">
        <f t="shared" si="2"/>
        <v>0</v>
      </c>
    </row>
    <row r="49" spans="1:9" ht="76.5" x14ac:dyDescent="0.2">
      <c r="A49" s="67" t="s">
        <v>276</v>
      </c>
      <c r="B49" s="28">
        <v>1368</v>
      </c>
      <c r="C49" s="1">
        <v>9</v>
      </c>
      <c r="D49" s="5" t="s">
        <v>98</v>
      </c>
      <c r="E49" s="3" t="s">
        <v>82</v>
      </c>
      <c r="F49" s="1" t="s">
        <v>68</v>
      </c>
      <c r="G49" s="2">
        <v>2</v>
      </c>
      <c r="H49" s="4"/>
      <c r="I49" s="4">
        <f t="shared" si="2"/>
        <v>0</v>
      </c>
    </row>
    <row r="50" spans="1:9" ht="15.75" x14ac:dyDescent="0.2">
      <c r="A50" s="68"/>
      <c r="B50" s="76">
        <v>2320</v>
      </c>
      <c r="C50" s="49"/>
      <c r="D50" s="50" t="s">
        <v>99</v>
      </c>
      <c r="E50" s="51"/>
      <c r="F50" s="52"/>
      <c r="G50" s="53"/>
      <c r="H50" s="54"/>
      <c r="I50" s="54"/>
    </row>
    <row r="51" spans="1:9" ht="15.75" x14ac:dyDescent="0.2">
      <c r="A51" s="69" t="s">
        <v>277</v>
      </c>
      <c r="B51" s="41">
        <v>2320</v>
      </c>
      <c r="C51" s="43">
        <v>1</v>
      </c>
      <c r="D51" s="46" t="s">
        <v>31</v>
      </c>
      <c r="E51" s="42" t="s">
        <v>31</v>
      </c>
      <c r="F51" s="43" t="s">
        <v>31</v>
      </c>
      <c r="G51" s="44" t="s">
        <v>31</v>
      </c>
      <c r="H51" s="45"/>
      <c r="I51" s="45"/>
    </row>
    <row r="52" spans="1:9" ht="15.75" x14ac:dyDescent="0.2">
      <c r="A52" s="70"/>
      <c r="B52" s="47">
        <v>4490</v>
      </c>
      <c r="C52" s="30"/>
      <c r="D52" s="35" t="s">
        <v>101</v>
      </c>
      <c r="E52" s="29"/>
      <c r="F52" s="30"/>
      <c r="G52" s="31"/>
      <c r="H52" s="32"/>
      <c r="I52" s="32"/>
    </row>
    <row r="53" spans="1:9" ht="63.75" x14ac:dyDescent="0.2">
      <c r="A53" s="105" t="s">
        <v>278</v>
      </c>
      <c r="B53" s="107">
        <v>4490</v>
      </c>
      <c r="C53" s="109">
        <v>1</v>
      </c>
      <c r="D53" s="39" t="s">
        <v>103</v>
      </c>
      <c r="E53" s="18" t="s">
        <v>38</v>
      </c>
      <c r="F53" s="17" t="s">
        <v>39</v>
      </c>
      <c r="G53" s="19">
        <v>4</v>
      </c>
      <c r="H53" s="4"/>
      <c r="I53" s="20">
        <f t="shared" ref="I53" si="3">SUM(G53*H53)</f>
        <v>0</v>
      </c>
    </row>
    <row r="54" spans="1:9" x14ac:dyDescent="0.2">
      <c r="A54" s="106"/>
      <c r="B54" s="108"/>
      <c r="C54" s="110"/>
      <c r="D54" s="27" t="s">
        <v>40</v>
      </c>
      <c r="E54" s="23"/>
      <c r="F54" s="25"/>
      <c r="G54" s="26" t="s">
        <v>6</v>
      </c>
      <c r="H54" s="24"/>
      <c r="I54" s="24"/>
    </row>
    <row r="55" spans="1:9" ht="15.75" x14ac:dyDescent="0.2">
      <c r="A55" s="68"/>
      <c r="B55" s="114" t="s">
        <v>104</v>
      </c>
      <c r="C55" s="114"/>
      <c r="D55" s="50" t="s">
        <v>105</v>
      </c>
      <c r="E55" s="51"/>
      <c r="F55" s="52"/>
      <c r="G55" s="53"/>
      <c r="H55" s="54"/>
      <c r="I55" s="54"/>
    </row>
    <row r="56" spans="1:9" ht="51" x14ac:dyDescent="0.2">
      <c r="A56" s="71" t="s">
        <v>279</v>
      </c>
      <c r="B56" s="77" t="s">
        <v>107</v>
      </c>
      <c r="C56" s="1">
        <v>1</v>
      </c>
      <c r="D56" s="5" t="s">
        <v>108</v>
      </c>
      <c r="E56" s="18" t="s">
        <v>19</v>
      </c>
      <c r="F56" s="17" t="s">
        <v>109</v>
      </c>
      <c r="G56" s="19">
        <v>1</v>
      </c>
      <c r="H56" s="4"/>
      <c r="I56" s="20">
        <f>SUM(G56*H56)</f>
        <v>0</v>
      </c>
    </row>
    <row r="57" spans="1:9" x14ac:dyDescent="0.2">
      <c r="A57" s="72"/>
      <c r="B57" s="63"/>
      <c r="C57" s="64"/>
      <c r="D57" s="65"/>
      <c r="E57" s="51"/>
      <c r="F57" s="52"/>
      <c r="G57" s="53"/>
      <c r="H57" s="54"/>
      <c r="I57" s="54"/>
    </row>
    <row r="58" spans="1:9" ht="15.75" x14ac:dyDescent="0.2">
      <c r="A58" s="67" t="s">
        <v>280</v>
      </c>
      <c r="B58" s="28"/>
      <c r="C58" s="1">
        <v>1</v>
      </c>
      <c r="D58" s="5" t="s">
        <v>111</v>
      </c>
      <c r="E58" s="3" t="s">
        <v>31</v>
      </c>
      <c r="F58" s="1" t="s">
        <v>112</v>
      </c>
      <c r="G58" s="2">
        <v>1</v>
      </c>
      <c r="H58" s="4"/>
      <c r="I58" s="20">
        <f>SUM(G58*H58)</f>
        <v>0</v>
      </c>
    </row>
    <row r="59" spans="1:9" ht="15.75" x14ac:dyDescent="0.2">
      <c r="A59" s="73"/>
      <c r="B59" s="40"/>
      <c r="C59" s="33"/>
      <c r="D59" s="34"/>
      <c r="E59" s="3"/>
      <c r="F59" s="1"/>
      <c r="G59" s="2"/>
      <c r="H59" s="4"/>
      <c r="I59" s="4"/>
    </row>
    <row r="60" spans="1:9" x14ac:dyDescent="0.2">
      <c r="A60" s="115"/>
      <c r="B60" s="116"/>
      <c r="C60" s="116"/>
      <c r="D60" s="117"/>
      <c r="E60" s="3"/>
      <c r="F60" s="1"/>
      <c r="G60" s="2"/>
      <c r="H60" s="4"/>
      <c r="I60" s="4"/>
    </row>
    <row r="61" spans="1:9" ht="15.75" x14ac:dyDescent="0.2">
      <c r="A61" s="67"/>
      <c r="B61" s="118" t="s">
        <v>281</v>
      </c>
      <c r="C61" s="118"/>
      <c r="D61" s="118"/>
      <c r="E61" s="118"/>
      <c r="F61" s="1"/>
      <c r="G61" s="28">
        <f>SUM(G4:G60)</f>
        <v>177</v>
      </c>
      <c r="H61" s="4"/>
      <c r="I61" s="12">
        <f>SUM(I4:I60)</f>
        <v>0</v>
      </c>
    </row>
    <row r="63" spans="1:9" x14ac:dyDescent="0.2">
      <c r="A63" s="38">
        <v>13</v>
      </c>
      <c r="B63" s="14" t="s">
        <v>114</v>
      </c>
      <c r="C63" s="14"/>
    </row>
    <row r="64" spans="1:9" x14ac:dyDescent="0.2">
      <c r="A64" s="38">
        <f>COUNTIF(C1:C56, "&gt;0")</f>
        <v>39</v>
      </c>
      <c r="B64" s="14" t="s">
        <v>115</v>
      </c>
      <c r="C64" s="14"/>
      <c r="F64" s="13"/>
      <c r="G64" s="13"/>
    </row>
    <row r="65" spans="1:9" x14ac:dyDescent="0.2">
      <c r="A65" s="38">
        <v>177</v>
      </c>
      <c r="B65" s="14" t="s">
        <v>116</v>
      </c>
      <c r="C65" s="14"/>
      <c r="F65" s="13"/>
      <c r="G65" s="13"/>
    </row>
    <row r="66" spans="1:9" x14ac:dyDescent="0.2">
      <c r="B66" s="14"/>
      <c r="C66" s="14"/>
      <c r="D66" s="14"/>
      <c r="E66" s="14"/>
      <c r="F66" s="15"/>
      <c r="G66" s="13"/>
      <c r="I66" s="15"/>
    </row>
    <row r="67" spans="1:9" x14ac:dyDescent="0.2">
      <c r="B67" s="14"/>
      <c r="C67" s="14"/>
      <c r="D67" s="14"/>
      <c r="E67" s="14"/>
      <c r="F67" s="15"/>
      <c r="I67" s="15"/>
    </row>
    <row r="68" spans="1:9" x14ac:dyDescent="0.2">
      <c r="B68" s="14"/>
      <c r="C68" s="14"/>
      <c r="D68" s="14"/>
      <c r="E68" s="14"/>
      <c r="F68" s="15"/>
      <c r="I68" s="15"/>
    </row>
    <row r="69" spans="1:9" x14ac:dyDescent="0.2">
      <c r="B69" s="14"/>
      <c r="C69" s="14"/>
      <c r="D69" s="14"/>
      <c r="E69" s="14"/>
      <c r="F69" s="15"/>
      <c r="I69" s="15"/>
    </row>
    <row r="70" spans="1:9" x14ac:dyDescent="0.2">
      <c r="B70" s="14"/>
      <c r="C70" s="14"/>
      <c r="D70" s="14"/>
      <c r="E70" s="14"/>
      <c r="F70" s="16"/>
      <c r="I70" s="15"/>
    </row>
    <row r="71" spans="1:9" x14ac:dyDescent="0.2">
      <c r="I71" s="16"/>
    </row>
  </sheetData>
  <mergeCells count="11">
    <mergeCell ref="J16:M16"/>
    <mergeCell ref="A53:A54"/>
    <mergeCell ref="B53:B54"/>
    <mergeCell ref="C53:C54"/>
    <mergeCell ref="B55:C55"/>
    <mergeCell ref="A16:A17"/>
    <mergeCell ref="B16:B17"/>
    <mergeCell ref="C16:C17"/>
    <mergeCell ref="A1:I1"/>
    <mergeCell ref="B61:E61"/>
    <mergeCell ref="A60:D60"/>
  </mergeCells>
  <phoneticPr fontId="5" type="noConversion"/>
  <pageMargins left="0.25" right="0.25" top="0.75" bottom="0.75" header="0.3" footer="0.3"/>
  <pageSetup orientation="portrait" r:id="rId1"/>
  <headerFooter>
    <oddHeader xml:space="preserve">&amp;CFA3020 -XX-X-XXXX
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CFActionOfficeID xmlns="11e0c153-8a4a-42ff-b992-611ed227823b" xsi:nil="true"/>
    <ECFActionPrimaryCloseOutCO xmlns="11e0c153-8a4a-42ff-b992-611ed227823b">
      <UserInfo>
        <DisplayName/>
        <AccountId xsi:nil="true"/>
        <AccountType/>
      </UserInfo>
    </ECFActionPrimaryCloseOutCO>
    <ECFActionSolicitationNumber xmlns="11e0c153-8a4a-42ff-b992-611ed227823b" xsi:nil="true"/>
    <ECFActionNumber xmlns="11e0c153-8a4a-42ff-b992-611ed227823b" xsi:nil="true"/>
    <ECFActionCreateDate xmlns="11e0c153-8a4a-42ff-b992-611ed227823b" xsi:nil="true"/>
    <ECFActionPurchaseReqNumbers xmlns="11e0c153-8a4a-42ff-b992-611ed227823b" xsi:nil="true"/>
    <ECFActionID xmlns="11e0c153-8a4a-42ff-b992-611ed227823b" xsi:nil="true"/>
    <ECFActionParentID xmlns="11e0c153-8a4a-42ff-b992-611ed227823b" xsi:nil="true"/>
    <ECFActionPrimaryCloseOutBuyer xmlns="11e0c153-8a4a-42ff-b992-611ed227823b">
      <UserInfo>
        <DisplayName/>
        <AccountId xsi:nil="true"/>
        <AccountType/>
      </UserInfo>
    </ECFActionPrimaryCloseOutBuyer>
    <ECFActionPrimaryCO xmlns="11e0c153-8a4a-42ff-b992-611ed227823b">
      <UserInfo>
        <DisplayName/>
        <AccountId xsi:nil="true"/>
        <AccountType/>
      </UserInfo>
    </ECFActionPrimaryCO>
    <ECFApplicationEnvironment xmlns="11e0c153-8a4a-42ff-b992-611ed227823b">VanaQA</ECFApplicationEnvironment>
    <ECFActionCOs xmlns="11e0c153-8a4a-42ff-b992-611ed227823b">
      <UserInfo>
        <DisplayName/>
        <AccountId xsi:nil="true"/>
        <AccountType/>
      </UserInfo>
    </ECFActionCOs>
    <ECFActionPrimaryBuyer xmlns="11e0c153-8a4a-42ff-b992-611ed227823b">
      <UserInfo>
        <DisplayName/>
        <AccountId xsi:nil="true"/>
        <AccountType/>
      </UserInfo>
    </ECFActionPrimaryBuyer>
    <ECFActionName xmlns="11e0c153-8a4a-42ff-b992-611ed227823b" xsi:nil="true"/>
    <ECFActionDescription xmlns="11e0c153-8a4a-42ff-b992-611ed227823b" xsi:nil="true"/>
    <ECFActionBuyers xmlns="11e0c153-8a4a-42ff-b992-611ed227823b">
      <UserInfo>
        <DisplayName/>
        <AccountId xsi:nil="true"/>
        <AccountType/>
      </UserInfo>
    </ECFActionBuyers>
    <ECFActionStatus xmlns="11e0c153-8a4a-42ff-b992-611ed227823b" xsi:nil="true"/>
    <ECFApplicationVersion xmlns="11e0c153-8a4a-42ff-b992-611ed227823b">5.0.0</ECFApplicationVersion>
    <ECFActionIsPartitioned xmlns="11e0c153-8a4a-42ff-b992-611ed227823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ECFDocument" ma:contentTypeID="0x010100A075A4EB04A203409564249BEDD1C923001C5B3F952D25D94E97CA73420DAB8BE6" ma:contentTypeVersion="2" ma:contentTypeDescription="Create a new document." ma:contentTypeScope="" ma:versionID="cea8d3f59dc14e360062c2a53bae80b4">
  <xsd:schema xmlns:xsd="http://www.w3.org/2001/XMLSchema" xmlns:xs="http://www.w3.org/2001/XMLSchema" xmlns:p="http://schemas.microsoft.com/office/2006/metadata/properties" xmlns:ns1="http://schemas.microsoft.com/sharepoint/v3" xmlns:ns2="11e0c153-8a4a-42ff-b992-611ed227823b" targetNamespace="http://schemas.microsoft.com/office/2006/metadata/properties" ma:root="true" ma:fieldsID="2af5ae37c6ac03bd6fb55c398d0cd759" ns1:_="" ns2:_="">
    <xsd:import namespace="http://schemas.microsoft.com/sharepoint/v3"/>
    <xsd:import namespace="11e0c153-8a4a-42ff-b992-611ed227823b"/>
    <xsd:element name="properties">
      <xsd:complexType>
        <xsd:sequence>
          <xsd:element name="documentManagement">
            <xsd:complexType>
              <xsd:all>
                <xsd:element ref="ns2:ECFActionID" minOccurs="0"/>
                <xsd:element ref="ns2:ECFActionParentID" minOccurs="0"/>
                <xsd:element ref="ns2:ECFActionName" minOccurs="0"/>
                <xsd:element ref="ns2:ECFActionNumber" minOccurs="0"/>
                <xsd:element ref="ns2:ECFActionDescription" minOccurs="0"/>
                <xsd:element ref="ns2:ECFActionCreateDate" minOccurs="0"/>
                <xsd:element ref="ns2:ECFActionOfficeID" minOccurs="0"/>
                <xsd:element ref="ns2:ECFActionPrimaryBuyer" minOccurs="0"/>
                <xsd:element ref="ns2:ECFActionBuyers" minOccurs="0"/>
                <xsd:element ref="ns2:ECFActionPrimaryCO" minOccurs="0"/>
                <xsd:element ref="ns2:ECFActionCOs" minOccurs="0"/>
                <xsd:element ref="ns2:ECFActionPrimaryCloseOutCO" minOccurs="0"/>
                <xsd:element ref="ns2:ECFActionPrimaryCloseOutBuyer" minOccurs="0"/>
                <xsd:element ref="ns2:ECFActionIsPartitioned" minOccurs="0"/>
                <xsd:element ref="ns2:ECFActionStatus" minOccurs="0"/>
                <xsd:element ref="ns2:ECFActionPurchaseReqNumbers" minOccurs="0"/>
                <xsd:element ref="ns2:ECFActionSolicitationNumber" minOccurs="0"/>
                <xsd:element ref="ns2:ECFApplicationVersion" minOccurs="0"/>
                <xsd:element ref="ns2:ECFApplicationEnvironment" minOccurs="0"/>
                <xsd:element ref="ns1:_vti_ItemDeclaredRecord" minOccurs="0"/>
                <xsd:element ref="ns1:_vti_ItemHoldRecord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7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28" nillable="true" ma:displayName="Hold and Record Status" ma:decimals="0" ma:hidden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e0c153-8a4a-42ff-b992-611ed227823b" elementFormDefault="qualified">
    <xsd:import namespace="http://schemas.microsoft.com/office/2006/documentManagement/types"/>
    <xsd:import namespace="http://schemas.microsoft.com/office/infopath/2007/PartnerControls"/>
    <xsd:element name="ECFActionID" ma:index="8" nillable="true" ma:displayName="Action ID" ma:decimals="0" ma:indexed="true" ma:internalName="ECFActionID">
      <xsd:simpleType>
        <xsd:restriction base="dms:Number"/>
      </xsd:simpleType>
    </xsd:element>
    <xsd:element name="ECFActionParentID" ma:index="9" nillable="true" ma:displayName="Parent Action ID" ma:decimals="0" ma:indexed="true" ma:internalName="ECFActionParentID">
      <xsd:simpleType>
        <xsd:restriction base="dms:Number"/>
      </xsd:simpleType>
    </xsd:element>
    <xsd:element name="ECFActionName" ma:index="10" nillable="true" ma:displayName="Action Name" ma:internalName="ECFActionName">
      <xsd:simpleType>
        <xsd:restriction base="dms:Text"/>
      </xsd:simpleType>
    </xsd:element>
    <xsd:element name="ECFActionNumber" ma:index="11" nillable="true" ma:displayName="Action Number" ma:internalName="ECFActionNumber">
      <xsd:simpleType>
        <xsd:restriction base="dms:Text"/>
      </xsd:simpleType>
    </xsd:element>
    <xsd:element name="ECFActionDescription" ma:index="12" nillable="true" ma:displayName="Action Description" ma:internalName="ECFActionDescription">
      <xsd:simpleType>
        <xsd:restriction base="dms:Note">
          <xsd:maxLength value="255"/>
        </xsd:restriction>
      </xsd:simpleType>
    </xsd:element>
    <xsd:element name="ECFActionCreateDate" ma:index="13" nillable="true" ma:displayName="Action CreateDate" ma:format="DateTime" ma:internalName="ECFActionCreateDate">
      <xsd:simpleType>
        <xsd:restriction base="dms:DateTime"/>
      </xsd:simpleType>
    </xsd:element>
    <xsd:element name="ECFActionOfficeID" ma:index="14" nillable="true" ma:displayName="Action Administration Office" ma:decimals="0" ma:internalName="ECFActionOfficeID">
      <xsd:simpleType>
        <xsd:restriction base="dms:Number"/>
      </xsd:simpleType>
    </xsd:element>
    <xsd:element name="ECFActionPrimaryBuyer" ma:index="15" nillable="true" ma:displayName="Primary Buyer" ma:description="Primary Buyer" ma:SharePointGroup="0" ma:internalName="ECFActionPrimaryBuy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Buyers" ma:index="16" nillable="true" ma:displayName="Buyers" ma:description="Buyers" ma:SharePointGroup="0" ma:internalName="ECFActionBuy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O" ma:index="17" nillable="true" ma:displayName="Primary Contracting Officer" ma:description="Primary Contracting Officer" ma:SharePointGroup="0" ma:internalName="ECFActionPrimaryC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COs" ma:index="18" nillable="true" ma:displayName="Contracting Officers" ma:description="Contracting Officers" ma:SharePointGroup="0" ma:internalName="ECFActionCO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loseOutCO" ma:index="19" nillable="true" ma:displayName="Primary Close-Out Contracting Officer" ma:description="Primary Close-Out Contracting Officer" ma:SharePointGroup="0" ma:internalName="ECFActionPrimaryCloseOutC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loseOutBuyer" ma:index="20" nillable="true" ma:displayName="Primary Close-Out Buyer" ma:description="Primary Close-Out Buyer" ma:SharePointGroup="0" ma:internalName="ECFActionPrimaryCloseOutBuy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IsPartitioned" ma:index="21" nillable="true" ma:displayName="Action Is Partitioned" ma:internalName="ECFActionIsPartitioned">
      <xsd:simpleType>
        <xsd:restriction base="dms:Boolean"/>
      </xsd:simpleType>
    </xsd:element>
    <xsd:element name="ECFActionStatus" ma:index="22" nillable="true" ma:displayName="Action Current Status" ma:description="Current Status of the Action" ma:internalName="ECFActionStatus">
      <xsd:simpleType>
        <xsd:restriction base="dms:Text"/>
      </xsd:simpleType>
    </xsd:element>
    <xsd:element name="ECFActionPurchaseReqNumbers" ma:index="23" nillable="true" ma:displayName="Purchase Requirement Numbers" ma:internalName="ECFActionPurchaseReqNumbers">
      <xsd:simpleType>
        <xsd:restriction base="dms:Text"/>
      </xsd:simpleType>
    </xsd:element>
    <xsd:element name="ECFActionSolicitationNumber" ma:index="24" nillable="true" ma:displayName="Solicitation Numbers" ma:internalName="ECFActionSolicitationNumber">
      <xsd:simpleType>
        <xsd:restriction base="dms:Text"/>
      </xsd:simpleType>
    </xsd:element>
    <xsd:element name="ECFApplicationVersion" ma:index="25" nillable="true" ma:displayName="Application Version" ma:default="5.0.0" ma:internalName="ECFApplicationVersion">
      <xsd:simpleType>
        <xsd:restriction base="dms:Text"/>
      </xsd:simpleType>
    </xsd:element>
    <xsd:element name="ECFApplicationEnvironment" ma:index="26" nillable="true" ma:displayName="Application Environment" ma:default="VanaQA" ma:internalName="ECFApplicationEnvironment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041F3CD-1292-4888-B934-CFCBBB477FC4}">
  <ds:schemaRefs>
    <ds:schemaRef ds:uri="http://purl.org/dc/terms/"/>
    <ds:schemaRef ds:uri="http://purl.org/dc/dcmitype/"/>
    <ds:schemaRef ds:uri="11e0c153-8a4a-42ff-b992-611ed227823b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microsoft.com/sharepoint/v3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060733D9-9622-4E4E-9EF6-D7B1B5797A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8B37427-41CB-41E5-A010-77FF2A24F3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1e0c153-8a4a-42ff-b992-611ed22782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bd84cd2-a803-4625-aaf7-424aaac7782e}" enabled="1" method="Standard" siteId="{8331b18d-2d87-48ef-a35f-ac8818ebf9b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Summary</vt:lpstr>
      <vt:lpstr>FY27</vt:lpstr>
      <vt:lpstr>FY28</vt:lpstr>
      <vt:lpstr>FY29</vt:lpstr>
      <vt:lpstr>FY30</vt:lpstr>
      <vt:lpstr>FY31</vt:lpstr>
      <vt:lpstr>'FY27'!Print_Area</vt:lpstr>
      <vt:lpstr>'FY28'!Print_Area</vt:lpstr>
      <vt:lpstr>'FY29'!Print_Area</vt:lpstr>
      <vt:lpstr>'FY30'!Print_Area</vt:lpstr>
      <vt:lpstr>'FY31'!Print_Area</vt:lpstr>
      <vt:lpstr>Summary!Print_Area</vt:lpstr>
    </vt:vector>
  </TitlesOfParts>
  <Manager/>
  <Company>82cons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sheppard afb</dc:creator>
  <cp:keywords/>
  <dc:description/>
  <cp:lastModifiedBy>JONES, COLE M CIV USAF AETC 82 CONS/PKBB</cp:lastModifiedBy>
  <cp:revision/>
  <dcterms:created xsi:type="dcterms:W3CDTF">2004-09-06T19:06:48Z</dcterms:created>
  <dcterms:modified xsi:type="dcterms:W3CDTF">2026-05-06T20:21:00Z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0x010100A075A4EB04A203409564249BEDD1C923001C5B3F952D25D94E97CA73420DAB8BE6</vt:lpwstr>
  </property>
</Properties>
</file>