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usace-my.dps.mil/personal/christopher_r_preston_usace_army_mil1/Documents/Desktop/Contracts/SWF/Janitorial Projects/PANSWD 028692 - Janitorial Contract Beeville TX/"/>
    </mc:Choice>
  </mc:AlternateContent>
  <xr:revisionPtr revIDLastSave="16" documentId="8_{7F47C5DD-3C7A-44E6-8E64-02E475CB9FBB}" xr6:coauthVersionLast="47" xr6:coauthVersionMax="47" xr10:uidLastSave="{E1BF8C3D-2CF0-4E69-A1D8-692C15663DA2}"/>
  <bookViews>
    <workbookView xWindow="-108" yWindow="-84" windowWidth="23256" windowHeight="12432" activeTab="1" xr2:uid="{00000000-000D-0000-FFFF-FFFF00000000}"/>
  </bookViews>
  <sheets>
    <sheet name="CLINS" sheetId="9" r:id="rId1"/>
    <sheet name="BEEVILLE" sheetId="10" r:id="rId2"/>
  </sheets>
  <definedNames>
    <definedName name="_xlnm.Print_Area" localSheetId="1">BEEVILLE!$A$1:$F$124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 i="10" l="1"/>
  <c r="F30" i="10" s="1"/>
  <c r="F12" i="10"/>
  <c r="F20" i="10" s="1"/>
  <c r="E20" i="10" s="1"/>
  <c r="F21" i="10"/>
  <c r="F23" i="10" s="1"/>
  <c r="E23" i="10" s="1"/>
  <c r="E121" i="10"/>
  <c r="E97" i="10"/>
  <c r="E73" i="10"/>
  <c r="E49" i="10"/>
  <c r="F36" i="10" l="1"/>
  <c r="F39" i="10" s="1"/>
  <c r="E39" i="10" s="1"/>
  <c r="F24" i="10"/>
  <c r="E24" i="10" s="1"/>
  <c r="F13" i="10"/>
  <c r="E13" i="10" s="1"/>
  <c r="F14" i="10"/>
  <c r="E14" i="10" s="1"/>
  <c r="F15" i="10"/>
  <c r="E15" i="10" s="1"/>
  <c r="F16" i="10"/>
  <c r="E16" i="10" s="1"/>
  <c r="F17" i="10"/>
  <c r="E17" i="10" s="1"/>
  <c r="F18" i="10"/>
  <c r="E18" i="10" s="1"/>
  <c r="F19" i="10"/>
  <c r="E19" i="10" s="1"/>
  <c r="F26" i="10"/>
  <c r="F7" i="10"/>
  <c r="E7" i="10" s="1"/>
  <c r="F44" i="10"/>
  <c r="E44" i="10" s="1"/>
  <c r="F45" i="10"/>
  <c r="F37" i="10"/>
  <c r="E37" i="10" s="1"/>
  <c r="F38" i="10"/>
  <c r="E38" i="10" s="1"/>
  <c r="F42" i="10"/>
  <c r="E42" i="10" s="1"/>
  <c r="F60" i="10"/>
  <c r="F22" i="10"/>
  <c r="E22" i="10" s="1"/>
  <c r="F40" i="10"/>
  <c r="E40" i="10" s="1"/>
  <c r="F41" i="10"/>
  <c r="E41" i="10" s="1"/>
  <c r="F8" i="10"/>
  <c r="E8" i="10" s="1"/>
  <c r="F9" i="10"/>
  <c r="E9" i="10" s="1"/>
  <c r="F11" i="10"/>
  <c r="E11" i="10" s="1"/>
  <c r="F10" i="10"/>
  <c r="E10" i="10" s="1"/>
  <c r="F43" i="10" l="1"/>
  <c r="E43" i="10" s="1"/>
  <c r="F61" i="10"/>
  <c r="E61" i="10" s="1"/>
  <c r="F66" i="10"/>
  <c r="E66" i="10" s="1"/>
  <c r="F68" i="10"/>
  <c r="E68" i="10" s="1"/>
  <c r="F67" i="10"/>
  <c r="E67" i="10" s="1"/>
  <c r="F62" i="10"/>
  <c r="E62" i="10" s="1"/>
  <c r="F84" i="10"/>
  <c r="F63" i="10"/>
  <c r="E63" i="10" s="1"/>
  <c r="F64" i="10"/>
  <c r="E64" i="10" s="1"/>
  <c r="F65" i="10"/>
  <c r="E65" i="10" s="1"/>
  <c r="F47" i="10"/>
  <c r="E47" i="10" s="1"/>
  <c r="F69" i="10"/>
  <c r="F48" i="10"/>
  <c r="E48" i="10" s="1"/>
  <c r="F46" i="10"/>
  <c r="E46" i="10" s="1"/>
  <c r="F34" i="10"/>
  <c r="E34" i="10" s="1"/>
  <c r="F54" i="10"/>
  <c r="F35" i="10"/>
  <c r="E35" i="10" s="1"/>
  <c r="F50" i="10"/>
  <c r="F31" i="10"/>
  <c r="E31" i="10" s="1"/>
  <c r="F32" i="10"/>
  <c r="E32" i="10" s="1"/>
  <c r="F33" i="10"/>
  <c r="E33" i="10" s="1"/>
  <c r="F74" i="10" l="1"/>
  <c r="F16" i="9" s="1"/>
  <c r="F86" i="10"/>
  <c r="E86" i="10" s="1"/>
  <c r="F85" i="10"/>
  <c r="E85" i="10" s="1"/>
  <c r="F92" i="10"/>
  <c r="E92" i="10" s="1"/>
  <c r="F91" i="10"/>
  <c r="E91" i="10" s="1"/>
  <c r="F87" i="10"/>
  <c r="E87" i="10" s="1"/>
  <c r="F88" i="10"/>
  <c r="E88" i="10" s="1"/>
  <c r="F108" i="10"/>
  <c r="F89" i="10"/>
  <c r="E89" i="10" s="1"/>
  <c r="F90" i="10"/>
  <c r="E90" i="10" s="1"/>
  <c r="F70" i="10"/>
  <c r="E70" i="10" s="1"/>
  <c r="F93" i="10"/>
  <c r="F71" i="10"/>
  <c r="E71" i="10" s="1"/>
  <c r="F72" i="10"/>
  <c r="E72" i="10" s="1"/>
  <c r="F11" i="9"/>
  <c r="F78" i="10"/>
  <c r="F58" i="10"/>
  <c r="E58" i="10" s="1"/>
  <c r="F56" i="10"/>
  <c r="E56" i="10" s="1"/>
  <c r="F57" i="10"/>
  <c r="E57" i="10" s="1"/>
  <c r="F59" i="10"/>
  <c r="E59" i="10" s="1"/>
  <c r="F55" i="10"/>
  <c r="E55" i="10" s="1"/>
  <c r="F17" i="9"/>
  <c r="F112" i="10" l="1"/>
  <c r="E112" i="10" s="1"/>
  <c r="F114" i="10"/>
  <c r="E114" i="10" s="1"/>
  <c r="F111" i="10"/>
  <c r="E111" i="10" s="1"/>
  <c r="F113" i="10"/>
  <c r="E113" i="10" s="1"/>
  <c r="F110" i="10"/>
  <c r="E110" i="10" s="1"/>
  <c r="F109" i="10"/>
  <c r="E109" i="10" s="1"/>
  <c r="F116" i="10"/>
  <c r="E116" i="10" s="1"/>
  <c r="F115" i="10"/>
  <c r="E115" i="10" s="1"/>
  <c r="F95" i="10"/>
  <c r="E95" i="10" s="1"/>
  <c r="F94" i="10"/>
  <c r="E94" i="10" s="1"/>
  <c r="F117" i="10"/>
  <c r="F96" i="10"/>
  <c r="E96" i="10" s="1"/>
  <c r="F82" i="10"/>
  <c r="E82" i="10" s="1"/>
  <c r="F83" i="10"/>
  <c r="E83" i="10" s="1"/>
  <c r="F79" i="10"/>
  <c r="E79" i="10" s="1"/>
  <c r="F80" i="10"/>
  <c r="E80" i="10" s="1"/>
  <c r="F81" i="10"/>
  <c r="E81" i="10" s="1"/>
  <c r="F102" i="10"/>
  <c r="F98" i="10"/>
  <c r="F6" i="9"/>
  <c r="F7" i="9" s="1"/>
  <c r="F120" i="10" l="1"/>
  <c r="E120" i="10" s="1"/>
  <c r="F119" i="10"/>
  <c r="E119" i="10" s="1"/>
  <c r="F118" i="10"/>
  <c r="E118" i="10" s="1"/>
  <c r="F21" i="9"/>
  <c r="F22" i="9" s="1"/>
  <c r="F105" i="10"/>
  <c r="E105" i="10" s="1"/>
  <c r="F106" i="10"/>
  <c r="E106" i="10" s="1"/>
  <c r="F104" i="10"/>
  <c r="E104" i="10" s="1"/>
  <c r="F107" i="10"/>
  <c r="E107" i="10" s="1"/>
  <c r="F103" i="10"/>
  <c r="E103" i="10" s="1"/>
  <c r="F122" i="10"/>
  <c r="F26" i="9" s="1"/>
  <c r="F27" i="9" s="1"/>
  <c r="F124" i="10" l="1"/>
  <c r="F12" i="9"/>
  <c r="F29" i="9" s="1"/>
</calcChain>
</file>

<file path=xl/sharedStrings.xml><?xml version="1.0" encoding="utf-8"?>
<sst xmlns="http://schemas.openxmlformats.org/spreadsheetml/2006/main" count="301" uniqueCount="62">
  <si>
    <t>ITEM</t>
  </si>
  <si>
    <t>DESCRIPTION</t>
  </si>
  <si>
    <t>UNIT PRICE</t>
  </si>
  <si>
    <t>AMOUNT</t>
  </si>
  <si>
    <t xml:space="preserve">                                                                                   Option Period 2 Total:</t>
  </si>
  <si>
    <t>QUANTITY</t>
  </si>
  <si>
    <t>UNIT</t>
  </si>
  <si>
    <r>
      <t>TOTAL AMOUNT:</t>
    </r>
    <r>
      <rPr>
        <b/>
        <sz val="12"/>
        <color rgb="FF000000"/>
        <rFont val="Arial"/>
        <family val="2"/>
      </rPr>
      <t xml:space="preserve"> </t>
    </r>
    <r>
      <rPr>
        <i/>
        <sz val="9"/>
        <color rgb="FF000000"/>
        <rFont val="Arial"/>
        <family val="2"/>
      </rPr>
      <t>(Base and Option Period)</t>
    </r>
    <r>
      <rPr>
        <b/>
        <sz val="12"/>
        <color rgb="FF000000"/>
        <rFont val="Arial"/>
        <family val="2"/>
      </rPr>
      <t xml:space="preserve"> </t>
    </r>
  </si>
  <si>
    <t xml:space="preserve"> </t>
  </si>
  <si>
    <t xml:space="preserve">                                                                                   Option Period 1 Total:</t>
  </si>
  <si>
    <t>SF</t>
  </si>
  <si>
    <t xml:space="preserve">                                                                                   Option Period 3 Total:</t>
  </si>
  <si>
    <t xml:space="preserve">                                                                                   Option Period 4 Total:</t>
  </si>
  <si>
    <t>Furnish all labor, equipment, materials, supplies, management, and supervision to accomplish Janitorial Cleaning Services at the Armed Forces Recruiting Center in accordance with attached Performance Work Statement and Requirements Summary specifications.</t>
  </si>
  <si>
    <t>1001                                   Option 1 Period of Performance:  12 months following base year</t>
  </si>
  <si>
    <t>2001                                   Option 2 Period of Performance:  12 months following option 1</t>
  </si>
  <si>
    <t>3001                                   Option 3 Period of Performance:  12 months following option 2</t>
  </si>
  <si>
    <t>4001                                   Option 4 Period of Performance:  12 months following option 3</t>
  </si>
  <si>
    <t>0001                                    Base Period of Performance:  Date of award and 12 months following</t>
  </si>
  <si>
    <t xml:space="preserve">                                 Base Period of Performance:  Date of award and 12 months following</t>
  </si>
  <si>
    <t>0001</t>
  </si>
  <si>
    <t>JOB</t>
  </si>
  <si>
    <t>1001</t>
  </si>
  <si>
    <t>2001</t>
  </si>
  <si>
    <t>3001</t>
  </si>
  <si>
    <t>4001</t>
  </si>
  <si>
    <t xml:space="preserve">CONTRACT MANPOWER REPORTING </t>
  </si>
  <si>
    <r>
      <rPr>
        <b/>
        <sz val="14"/>
        <rFont val="Times New Roman"/>
        <family val="1"/>
      </rPr>
      <t xml:space="preserve">Bid Schedule  2 Day Per Week                     </t>
    </r>
    <r>
      <rPr>
        <b/>
        <sz val="12"/>
        <rFont val="Times New Roman"/>
        <family val="1"/>
      </rPr>
      <t xml:space="preserve">                                                                                                                                                                                                                                                                                                                                     </t>
    </r>
  </si>
  <si>
    <r>
      <rPr>
        <b/>
        <sz val="14"/>
        <rFont val="Times New Roman"/>
        <family val="1"/>
      </rPr>
      <t xml:space="preserve">Armed Forces  Recruiting Center Janitorial Services    </t>
    </r>
    <r>
      <rPr>
        <b/>
        <sz val="12"/>
        <rFont val="Times New Roman"/>
        <family val="1"/>
      </rPr>
      <t xml:space="preserve">                                                                                                                                                                                                                                                                                                                                     </t>
    </r>
  </si>
  <si>
    <t>Weekly</t>
  </si>
  <si>
    <t>Dusting</t>
  </si>
  <si>
    <t>Monthly</t>
  </si>
  <si>
    <t>De-Scale Toilet bowls and Urinals</t>
  </si>
  <si>
    <t>Change HVAC Filters</t>
  </si>
  <si>
    <t xml:space="preserve">Professional Ceramic and Tile Floor Cleaning </t>
  </si>
  <si>
    <t xml:space="preserve">Pest Control </t>
  </si>
  <si>
    <t xml:space="preserve">Clean Light Fixtures </t>
  </si>
  <si>
    <t xml:space="preserve">Drinking Fountains </t>
  </si>
  <si>
    <t>Spot Cleaning Windows</t>
  </si>
  <si>
    <t xml:space="preserve">High Dusting/Cleaning </t>
  </si>
  <si>
    <t>Exterior Glass Surfaces</t>
  </si>
  <si>
    <t xml:space="preserve">Interior Glass Surfaces </t>
  </si>
  <si>
    <t>Clean HVAC Return, Diffuser and Grilles</t>
  </si>
  <si>
    <t xml:space="preserve">Base Services </t>
  </si>
  <si>
    <t xml:space="preserve">Trash Removal </t>
  </si>
  <si>
    <t xml:space="preserve">Restroom Services </t>
  </si>
  <si>
    <t>Floor Maintenance (Vacuum &amp; Sweep/Mop)</t>
  </si>
  <si>
    <t>Other Services</t>
  </si>
  <si>
    <t>Periodic Services</t>
  </si>
  <si>
    <t xml:space="preserve">Option Year 1 Total: </t>
  </si>
  <si>
    <t xml:space="preserve">Base Year Total: </t>
  </si>
  <si>
    <t xml:space="preserve">Option Year 3 Total: </t>
  </si>
  <si>
    <t>Option Year 2 Total:</t>
  </si>
  <si>
    <t xml:space="preserve">Option Year 4 Total: </t>
  </si>
  <si>
    <t>Each</t>
  </si>
  <si>
    <t>Re-Lamping (estimated 10 bulbs per year)</t>
  </si>
  <si>
    <r>
      <t xml:space="preserve">Furnish all labor, equipment, materials, supplies, management, and supervision to accomplish Janitorial Cleaning Services at the Armed Forces Recruiting Center in accordance with attached Performance Work Statement and Requirements Summary specifications. </t>
    </r>
    <r>
      <rPr>
        <b/>
        <sz val="10"/>
        <color rgb="FFFF0000"/>
        <rFont val="Times New Roman"/>
        <family val="1"/>
      </rPr>
      <t>**EACH = Per Year (2 Each = twice a year)</t>
    </r>
  </si>
  <si>
    <t>Base</t>
  </si>
  <si>
    <t>Total</t>
  </si>
  <si>
    <t xml:space="preserve">Professional Ceramic and Carpet Tile Floor Cleaning </t>
  </si>
  <si>
    <r>
      <rPr>
        <b/>
        <sz val="14"/>
        <rFont val="Times New Roman"/>
        <family val="1"/>
      </rPr>
      <t xml:space="preserve">Armed Forces  Recruiting Center Janitorial Services  - BEEVILLE, TX </t>
    </r>
    <r>
      <rPr>
        <b/>
        <sz val="12"/>
        <rFont val="Times New Roman"/>
        <family val="1"/>
      </rPr>
      <t xml:space="preserve">                                                                                                                                                                                                                                                                                                                                     </t>
    </r>
  </si>
  <si>
    <t>Beeville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</si>
</sst>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7" x14ac:knownFonts="1">
    <font>
      <sz val="11"/>
      <color theme="1"/>
      <name val="Calibri"/>
      <family val="2"/>
      <scheme val="minor"/>
    </font>
    <font>
      <sz val="10"/>
      <name val="Arial"/>
      <family val="2"/>
    </font>
    <font>
      <b/>
      <sz val="10"/>
      <name val="Times New Roman"/>
      <family val="1"/>
    </font>
    <font>
      <sz val="10"/>
      <name val="Times New Roman"/>
      <family val="1"/>
    </font>
    <font>
      <b/>
      <sz val="14"/>
      <name val="Times New Roman"/>
      <family val="1"/>
    </font>
    <font>
      <b/>
      <sz val="12"/>
      <name val="Times New Roman"/>
      <family val="1"/>
    </font>
    <font>
      <sz val="9.5"/>
      <name val="Times New Roman"/>
      <family val="1"/>
    </font>
    <font>
      <sz val="9.5"/>
      <color theme="1"/>
      <name val="Times New Roman"/>
      <family val="1"/>
    </font>
    <font>
      <b/>
      <sz val="8"/>
      <name val="Times New Roman"/>
      <family val="1"/>
    </font>
    <font>
      <b/>
      <sz val="11"/>
      <color rgb="FF000000"/>
      <name val="Arial"/>
      <family val="2"/>
    </font>
    <font>
      <b/>
      <sz val="12"/>
      <color rgb="FF000000"/>
      <name val="Arial"/>
      <family val="2"/>
    </font>
    <font>
      <i/>
      <sz val="9"/>
      <color rgb="FF000000"/>
      <name val="Arial"/>
      <family val="2"/>
    </font>
    <font>
      <sz val="11"/>
      <color theme="1"/>
      <name val="Calibri"/>
      <family val="2"/>
      <scheme val="minor"/>
    </font>
    <font>
      <sz val="8"/>
      <name val="Calibri"/>
      <family val="2"/>
      <scheme val="minor"/>
    </font>
    <font>
      <b/>
      <sz val="10"/>
      <color rgb="FFFF0000"/>
      <name val="Times New Roman"/>
      <family val="1"/>
    </font>
    <font>
      <b/>
      <sz val="9.5"/>
      <name val="Times New Roman"/>
      <family val="1"/>
    </font>
    <font>
      <sz val="10"/>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rgb="FF0070C0"/>
        <bgColor indexed="64"/>
      </patternFill>
    </fill>
    <fill>
      <patternFill patternType="solid">
        <fgColor rgb="FFFFFF00"/>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indexed="64"/>
      </right>
      <top style="thin">
        <color indexed="64"/>
      </top>
      <bottom style="thin">
        <color indexed="64"/>
      </bottom>
      <diagonal/>
    </border>
    <border>
      <left/>
      <right/>
      <top style="medium">
        <color auto="1"/>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3">
    <xf numFmtId="0" fontId="0" fillId="0" borderId="0"/>
    <xf numFmtId="0" fontId="1" fillId="0" borderId="0"/>
    <xf numFmtId="44" fontId="12" fillId="0" borderId="0" applyFont="0" applyFill="0" applyBorder="0" applyAlignment="0" applyProtection="0"/>
  </cellStyleXfs>
  <cellXfs count="100">
    <xf numFmtId="0" fontId="0" fillId="0" borderId="0" xfId="0"/>
    <xf numFmtId="0" fontId="2" fillId="0" borderId="1" xfId="1" applyFont="1" applyBorder="1" applyAlignment="1" applyProtection="1">
      <alignment horizontal="center" vertical="center"/>
      <protection locked="0"/>
    </xf>
    <xf numFmtId="0" fontId="2" fillId="0" borderId="1" xfId="1" applyFont="1" applyBorder="1" applyAlignment="1" applyProtection="1">
      <alignment vertical="center"/>
      <protection locked="0"/>
    </xf>
    <xf numFmtId="0" fontId="2" fillId="0" borderId="2" xfId="1" applyFont="1" applyBorder="1" applyAlignment="1" applyProtection="1">
      <alignment horizontal="center" vertical="center"/>
      <protection locked="0"/>
    </xf>
    <xf numFmtId="0" fontId="2" fillId="0" borderId="3" xfId="1" applyFont="1" applyBorder="1" applyAlignment="1" applyProtection="1">
      <alignment horizontal="center" vertical="center"/>
      <protection locked="0"/>
    </xf>
    <xf numFmtId="0" fontId="0" fillId="0" borderId="0" xfId="0" applyAlignment="1">
      <alignment vertical="center"/>
    </xf>
    <xf numFmtId="0" fontId="2" fillId="0" borderId="4" xfId="1" applyFont="1" applyBorder="1" applyAlignment="1" applyProtection="1">
      <alignment horizontal="left" vertical="center"/>
      <protection locked="0"/>
    </xf>
    <xf numFmtId="0" fontId="2" fillId="0" borderId="5" xfId="1" applyFont="1" applyBorder="1" applyAlignment="1" applyProtection="1">
      <alignment horizontal="left" vertical="center"/>
      <protection locked="0"/>
    </xf>
    <xf numFmtId="0" fontId="2" fillId="0" borderId="1" xfId="1" applyFont="1" applyBorder="1" applyAlignment="1" applyProtection="1">
      <alignment horizontal="left" vertical="center"/>
      <protection locked="0"/>
    </xf>
    <xf numFmtId="8" fontId="7" fillId="0" borderId="7" xfId="0" applyNumberFormat="1" applyFont="1" applyBorder="1" applyAlignment="1">
      <alignment horizontal="center" vertical="center" wrapText="1"/>
    </xf>
    <xf numFmtId="0" fontId="8" fillId="0" borderId="1" xfId="1" applyFont="1" applyBorder="1" applyAlignment="1" applyProtection="1">
      <alignment vertical="center"/>
      <protection locked="0"/>
    </xf>
    <xf numFmtId="0" fontId="9" fillId="0" borderId="0" xfId="0" applyFont="1"/>
    <xf numFmtId="0" fontId="0" fillId="0" borderId="5" xfId="0" applyBorder="1"/>
    <xf numFmtId="0" fontId="0" fillId="0" borderId="9" xfId="0" applyBorder="1"/>
    <xf numFmtId="49" fontId="6" fillId="0" borderId="6" xfId="1" applyNumberFormat="1" applyFont="1" applyBorder="1" applyAlignment="1">
      <alignment horizontal="left" vertical="center" wrapText="1"/>
    </xf>
    <xf numFmtId="0" fontId="3" fillId="0" borderId="11" xfId="1" applyFont="1" applyBorder="1" applyAlignment="1">
      <alignment horizontal="left" vertical="center" wrapText="1"/>
    </xf>
    <xf numFmtId="0" fontId="6" fillId="0" borderId="12" xfId="1" applyFont="1" applyBorder="1" applyAlignment="1">
      <alignment horizontal="center" vertical="center" wrapText="1"/>
    </xf>
    <xf numFmtId="0" fontId="8" fillId="0" borderId="13" xfId="1" applyFont="1" applyBorder="1" applyAlignment="1" applyProtection="1">
      <alignment vertical="center"/>
      <protection locked="0"/>
    </xf>
    <xf numFmtId="3" fontId="0" fillId="0" borderId="10" xfId="0" applyNumberFormat="1" applyBorder="1" applyAlignment="1">
      <alignment horizontal="center" vertical="center"/>
    </xf>
    <xf numFmtId="44" fontId="3" fillId="0" borderId="3" xfId="2" applyFont="1" applyBorder="1" applyAlignment="1" applyProtection="1">
      <alignment horizontal="center" vertical="center"/>
      <protection locked="0"/>
    </xf>
    <xf numFmtId="44" fontId="2" fillId="0" borderId="1" xfId="2" applyFont="1" applyFill="1" applyBorder="1" applyAlignment="1" applyProtection="1">
      <alignment horizontal="left" vertical="center"/>
      <protection locked="0"/>
    </xf>
    <xf numFmtId="44" fontId="0" fillId="0" borderId="1" xfId="2" applyFont="1" applyFill="1" applyBorder="1"/>
    <xf numFmtId="0" fontId="2" fillId="0" borderId="14" xfId="1" applyFont="1" applyBorder="1" applyAlignment="1" applyProtection="1">
      <alignment horizontal="center" vertical="center"/>
      <protection locked="0"/>
    </xf>
    <xf numFmtId="0" fontId="2" fillId="0" borderId="13" xfId="1" applyFont="1" applyBorder="1" applyAlignment="1" applyProtection="1">
      <alignment horizontal="center" vertical="center"/>
      <protection locked="0"/>
    </xf>
    <xf numFmtId="0" fontId="2" fillId="0" borderId="13" xfId="1" applyFont="1" applyBorder="1" applyAlignment="1" applyProtection="1">
      <alignment vertical="center"/>
      <protection locked="0"/>
    </xf>
    <xf numFmtId="0" fontId="2" fillId="0" borderId="15" xfId="1" applyFont="1" applyBorder="1" applyAlignment="1" applyProtection="1">
      <alignment horizontal="center" vertical="center"/>
      <protection locked="0"/>
    </xf>
    <xf numFmtId="44" fontId="2" fillId="0" borderId="16" xfId="2" applyFont="1" applyFill="1" applyBorder="1" applyAlignment="1" applyProtection="1">
      <alignment horizontal="left" vertical="center"/>
      <protection locked="0"/>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0" fontId="6" fillId="0" borderId="16" xfId="1" applyFont="1" applyBorder="1" applyAlignment="1">
      <alignment horizontal="center" vertical="center" wrapText="1"/>
    </xf>
    <xf numFmtId="0" fontId="6" fillId="0" borderId="18" xfId="1" applyFont="1" applyBorder="1" applyAlignment="1">
      <alignment horizontal="center" vertical="center" wrapText="1"/>
    </xf>
    <xf numFmtId="0" fontId="6" fillId="0" borderId="13" xfId="1" applyFont="1" applyBorder="1" applyAlignment="1">
      <alignment horizontal="left" vertical="center" wrapText="1"/>
    </xf>
    <xf numFmtId="0" fontId="6" fillId="0" borderId="13" xfId="1" applyFont="1" applyBorder="1" applyAlignment="1">
      <alignment horizontal="center" vertical="center" wrapText="1"/>
    </xf>
    <xf numFmtId="0" fontId="6" fillId="0" borderId="16" xfId="1" applyFont="1" applyBorder="1" applyAlignment="1">
      <alignment horizontal="left" vertical="center" wrapText="1"/>
    </xf>
    <xf numFmtId="0" fontId="6" fillId="0" borderId="17" xfId="1" applyFont="1" applyBorder="1" applyAlignment="1">
      <alignment horizontal="left" vertical="center" wrapText="1"/>
    </xf>
    <xf numFmtId="0" fontId="3" fillId="5" borderId="17" xfId="1" applyFont="1" applyFill="1" applyBorder="1" applyAlignment="1">
      <alignment horizontal="left" vertical="center" wrapText="1"/>
    </xf>
    <xf numFmtId="0" fontId="3" fillId="5" borderId="18" xfId="1" applyFont="1" applyFill="1" applyBorder="1" applyAlignment="1">
      <alignment horizontal="left" vertical="center" wrapText="1"/>
    </xf>
    <xf numFmtId="0" fontId="6" fillId="5" borderId="18" xfId="1" applyFont="1" applyFill="1" applyBorder="1" applyAlignment="1">
      <alignment horizontal="center" vertical="center" wrapText="1"/>
    </xf>
    <xf numFmtId="8" fontId="7" fillId="5" borderId="18" xfId="0" applyNumberFormat="1" applyFont="1" applyFill="1" applyBorder="1" applyAlignment="1">
      <alignment horizontal="center" vertical="center" wrapText="1"/>
    </xf>
    <xf numFmtId="44" fontId="3" fillId="5" borderId="19" xfId="2" applyFont="1" applyFill="1" applyBorder="1" applyAlignment="1" applyProtection="1">
      <alignment horizontal="center" vertical="center"/>
      <protection locked="0"/>
    </xf>
    <xf numFmtId="8" fontId="7" fillId="0" borderId="25" xfId="0" applyNumberFormat="1" applyFont="1" applyBorder="1" applyAlignment="1">
      <alignment horizontal="center" vertical="center" wrapText="1"/>
    </xf>
    <xf numFmtId="8" fontId="7" fillId="0" borderId="26" xfId="0" applyNumberFormat="1" applyFont="1" applyBorder="1" applyAlignment="1">
      <alignment horizontal="center" vertical="center" wrapText="1"/>
    </xf>
    <xf numFmtId="0" fontId="6" fillId="5" borderId="17" xfId="1" applyFont="1" applyFill="1" applyBorder="1" applyAlignment="1">
      <alignment horizontal="left" vertical="center" wrapText="1"/>
    </xf>
    <xf numFmtId="0" fontId="6" fillId="5" borderId="18" xfId="1" applyFont="1" applyFill="1" applyBorder="1" applyAlignment="1">
      <alignment horizontal="left" vertical="center" wrapText="1"/>
    </xf>
    <xf numFmtId="0" fontId="6" fillId="0" borderId="18" xfId="1" applyFont="1" applyBorder="1" applyAlignment="1">
      <alignment horizontal="left" vertical="center" wrapText="1"/>
    </xf>
    <xf numFmtId="44" fontId="15" fillId="0" borderId="16" xfId="2" applyFont="1" applyFill="1" applyBorder="1" applyAlignment="1" applyProtection="1">
      <alignment horizontal="left" vertical="center"/>
      <protection locked="0"/>
    </xf>
    <xf numFmtId="0" fontId="15" fillId="0" borderId="14" xfId="1" applyFont="1" applyBorder="1" applyAlignment="1" applyProtection="1">
      <alignment horizontal="center" vertical="center"/>
      <protection locked="0"/>
    </xf>
    <xf numFmtId="0" fontId="15" fillId="0" borderId="13" xfId="1" applyFont="1" applyBorder="1" applyAlignment="1" applyProtection="1">
      <alignment horizontal="center" vertical="center"/>
      <protection locked="0"/>
    </xf>
    <xf numFmtId="0" fontId="15" fillId="0" borderId="13" xfId="1" applyFont="1" applyBorder="1" applyAlignment="1" applyProtection="1">
      <alignment vertical="center"/>
      <protection locked="0"/>
    </xf>
    <xf numFmtId="0" fontId="15" fillId="0" borderId="15" xfId="1" applyFont="1" applyBorder="1" applyAlignment="1" applyProtection="1">
      <alignment horizontal="center" vertical="center"/>
      <protection locked="0"/>
    </xf>
    <xf numFmtId="3" fontId="7" fillId="0" borderId="1" xfId="0" applyNumberFormat="1" applyFont="1" applyBorder="1" applyAlignment="1">
      <alignment horizontal="center" vertical="center"/>
    </xf>
    <xf numFmtId="44" fontId="7" fillId="0" borderId="1" xfId="0" applyNumberFormat="1" applyFont="1" applyBorder="1"/>
    <xf numFmtId="0" fontId="7" fillId="0" borderId="16" xfId="0" applyFont="1" applyBorder="1" applyAlignment="1">
      <alignment horizontal="center" vertical="center"/>
    </xf>
    <xf numFmtId="0" fontId="7" fillId="0" borderId="1" xfId="0" applyFont="1" applyBorder="1" applyAlignment="1">
      <alignment horizontal="center" vertical="center"/>
    </xf>
    <xf numFmtId="1" fontId="6" fillId="0" borderId="1" xfId="1" applyNumberFormat="1" applyFont="1" applyBorder="1" applyAlignment="1" applyProtection="1">
      <alignment horizontal="center" vertical="center"/>
      <protection locked="0"/>
    </xf>
    <xf numFmtId="1" fontId="6" fillId="0" borderId="13" xfId="1" applyNumberFormat="1" applyFont="1" applyBorder="1" applyAlignment="1" applyProtection="1">
      <alignment horizontal="center" vertical="center"/>
      <protection locked="0"/>
    </xf>
    <xf numFmtId="0" fontId="7" fillId="2" borderId="1" xfId="0" applyFont="1" applyFill="1" applyBorder="1" applyAlignment="1">
      <alignment horizontal="center" vertical="center"/>
    </xf>
    <xf numFmtId="1" fontId="6" fillId="0" borderId="18" xfId="1" applyNumberFormat="1" applyFont="1" applyBorder="1" applyAlignment="1" applyProtection="1">
      <alignment horizontal="center" vertical="center"/>
      <protection locked="0"/>
    </xf>
    <xf numFmtId="44" fontId="7" fillId="0" borderId="1" xfId="0" applyNumberFormat="1" applyFont="1" applyBorder="1" applyAlignment="1">
      <alignment vertical="center"/>
    </xf>
    <xf numFmtId="44" fontId="6" fillId="5" borderId="19" xfId="2" applyFont="1" applyFill="1" applyBorder="1" applyAlignment="1" applyProtection="1">
      <alignment horizontal="center" vertical="center"/>
      <protection locked="0"/>
    </xf>
    <xf numFmtId="44" fontId="0" fillId="0" borderId="0" xfId="0" applyNumberFormat="1" applyAlignment="1">
      <alignment vertical="center"/>
    </xf>
    <xf numFmtId="0" fontId="2" fillId="0" borderId="5" xfId="1" applyFont="1" applyBorder="1" applyAlignment="1" applyProtection="1">
      <alignment horizontal="right" vertical="center"/>
      <protection locked="0"/>
    </xf>
    <xf numFmtId="3" fontId="16" fillId="5" borderId="18" xfId="0" applyNumberFormat="1" applyFont="1" applyFill="1" applyBorder="1" applyAlignment="1">
      <alignment horizontal="center" vertical="center"/>
    </xf>
    <xf numFmtId="0" fontId="3" fillId="5" borderId="18" xfId="1" applyFont="1" applyFill="1" applyBorder="1" applyAlignment="1">
      <alignment horizontal="center" vertical="center" wrapText="1"/>
    </xf>
    <xf numFmtId="9" fontId="0" fillId="0" borderId="0" xfId="0" applyNumberFormat="1"/>
    <xf numFmtId="44" fontId="0" fillId="0" borderId="0" xfId="0" applyNumberFormat="1"/>
    <xf numFmtId="44" fontId="7" fillId="0" borderId="26" xfId="2" applyFont="1" applyBorder="1" applyAlignment="1">
      <alignment horizontal="center" vertical="center" wrapText="1"/>
    </xf>
    <xf numFmtId="44" fontId="7" fillId="5" borderId="18" xfId="2" applyFont="1" applyFill="1" applyBorder="1" applyAlignment="1">
      <alignment horizontal="center" vertical="center" wrapText="1"/>
    </xf>
    <xf numFmtId="44" fontId="7" fillId="0" borderId="25" xfId="2" applyFont="1" applyBorder="1" applyAlignment="1">
      <alignment horizontal="center" vertical="center" wrapText="1"/>
    </xf>
    <xf numFmtId="44" fontId="16" fillId="5" borderId="18" xfId="2" applyFont="1" applyFill="1" applyBorder="1" applyAlignment="1">
      <alignment horizontal="center" vertical="center" wrapText="1"/>
    </xf>
    <xf numFmtId="44" fontId="7" fillId="0" borderId="1" xfId="2" applyFont="1" applyBorder="1"/>
    <xf numFmtId="0" fontId="2" fillId="4" borderId="4" xfId="1" applyFont="1" applyFill="1" applyBorder="1" applyAlignment="1" applyProtection="1">
      <alignment horizontal="left" vertical="center"/>
      <protection locked="0"/>
    </xf>
    <xf numFmtId="0" fontId="2" fillId="4" borderId="5" xfId="1" applyFont="1" applyFill="1" applyBorder="1" applyAlignment="1" applyProtection="1">
      <alignment horizontal="left" vertical="center"/>
      <protection locked="0"/>
    </xf>
    <xf numFmtId="0" fontId="2" fillId="4" borderId="8" xfId="1" applyFont="1" applyFill="1" applyBorder="1" applyAlignment="1" applyProtection="1">
      <alignment horizontal="left" vertical="center"/>
      <protection locked="0"/>
    </xf>
    <xf numFmtId="0" fontId="2" fillId="0" borderId="2" xfId="1" applyFont="1" applyBorder="1" applyAlignment="1" applyProtection="1">
      <alignment horizontal="center" vertical="center" wrapText="1"/>
      <protection locked="0"/>
    </xf>
    <xf numFmtId="0" fontId="2" fillId="0" borderId="1" xfId="1" applyFont="1" applyBorder="1" applyAlignment="1" applyProtection="1">
      <alignment horizontal="center" vertical="center" wrapText="1"/>
      <protection locked="0"/>
    </xf>
    <xf numFmtId="0" fontId="2" fillId="0" borderId="3" xfId="1" applyFont="1" applyBorder="1" applyAlignment="1" applyProtection="1">
      <alignment horizontal="center" vertical="center" wrapText="1"/>
      <protection locked="0"/>
    </xf>
    <xf numFmtId="0" fontId="2" fillId="4" borderId="2" xfId="1" applyFont="1" applyFill="1" applyBorder="1" applyAlignment="1" applyProtection="1">
      <alignment horizontal="center" vertical="center" wrapText="1"/>
      <protection locked="0"/>
    </xf>
    <xf numFmtId="0" fontId="2" fillId="4" borderId="1" xfId="1" applyFont="1" applyFill="1" applyBorder="1" applyAlignment="1" applyProtection="1">
      <alignment horizontal="center" vertical="center" wrapText="1"/>
      <protection locked="0"/>
    </xf>
    <xf numFmtId="0" fontId="2" fillId="4" borderId="3" xfId="1" applyFont="1" applyFill="1" applyBorder="1" applyAlignment="1" applyProtection="1">
      <alignment horizontal="center" vertical="center" wrapText="1"/>
      <protection locked="0"/>
    </xf>
    <xf numFmtId="0" fontId="3" fillId="0" borderId="4" xfId="1" applyFont="1" applyBorder="1" applyAlignment="1">
      <alignment vertical="top" wrapText="1"/>
    </xf>
    <xf numFmtId="0" fontId="3" fillId="0" borderId="5" xfId="1" applyFont="1" applyBorder="1" applyAlignment="1">
      <alignment vertical="top" wrapText="1"/>
    </xf>
    <xf numFmtId="0" fontId="3" fillId="0" borderId="8" xfId="1" applyFont="1" applyBorder="1" applyAlignment="1">
      <alignment vertical="top" wrapText="1"/>
    </xf>
    <xf numFmtId="0" fontId="2" fillId="3" borderId="2" xfId="1" applyFont="1" applyFill="1" applyBorder="1" applyAlignment="1" applyProtection="1">
      <alignment horizontal="left" vertical="center"/>
      <protection locked="0"/>
    </xf>
    <xf numFmtId="0" fontId="1" fillId="3" borderId="1" xfId="1" applyFill="1" applyBorder="1" applyAlignment="1">
      <alignment vertical="center"/>
    </xf>
    <xf numFmtId="0" fontId="1" fillId="3" borderId="3" xfId="1" applyFill="1" applyBorder="1" applyAlignment="1">
      <alignment vertical="center"/>
    </xf>
    <xf numFmtId="0" fontId="15" fillId="4" borderId="4" xfId="1" applyFont="1" applyFill="1" applyBorder="1" applyAlignment="1" applyProtection="1">
      <alignment horizontal="left" vertical="center"/>
      <protection locked="0"/>
    </xf>
    <xf numFmtId="0" fontId="15" fillId="4" borderId="5" xfId="1" applyFont="1" applyFill="1" applyBorder="1" applyAlignment="1" applyProtection="1">
      <alignment horizontal="left" vertical="center"/>
      <protection locked="0"/>
    </xf>
    <xf numFmtId="0" fontId="15" fillId="4" borderId="8" xfId="1" applyFont="1" applyFill="1" applyBorder="1" applyAlignment="1" applyProtection="1">
      <alignment horizontal="left" vertical="center"/>
      <protection locked="0"/>
    </xf>
    <xf numFmtId="0" fontId="15" fillId="3" borderId="2" xfId="1" applyFont="1" applyFill="1" applyBorder="1" applyAlignment="1" applyProtection="1">
      <alignment horizontal="left" vertical="center"/>
      <protection locked="0"/>
    </xf>
    <xf numFmtId="0" fontId="6" fillId="3" borderId="1" xfId="1" applyFont="1" applyFill="1" applyBorder="1" applyAlignment="1">
      <alignment vertical="center"/>
    </xf>
    <xf numFmtId="0" fontId="6" fillId="3" borderId="3" xfId="1" applyFont="1" applyFill="1" applyBorder="1" applyAlignment="1">
      <alignment vertical="center"/>
    </xf>
    <xf numFmtId="0" fontId="15" fillId="0" borderId="22" xfId="1" applyFont="1" applyBorder="1" applyAlignment="1" applyProtection="1">
      <alignment horizontal="right" vertical="center"/>
      <protection locked="0"/>
    </xf>
    <xf numFmtId="0" fontId="15" fillId="0" borderId="20" xfId="1" applyFont="1" applyBorder="1" applyAlignment="1" applyProtection="1">
      <alignment horizontal="right" vertical="center"/>
      <protection locked="0"/>
    </xf>
    <xf numFmtId="0" fontId="15" fillId="0" borderId="21" xfId="1" applyFont="1" applyBorder="1" applyAlignment="1" applyProtection="1">
      <alignment horizontal="right" vertical="center"/>
      <protection locked="0"/>
    </xf>
    <xf numFmtId="0" fontId="2" fillId="0" borderId="22" xfId="1" applyFont="1" applyBorder="1" applyAlignment="1" applyProtection="1">
      <alignment horizontal="right" vertical="center"/>
      <protection locked="0"/>
    </xf>
    <xf numFmtId="0" fontId="2" fillId="0" borderId="20" xfId="1" applyFont="1" applyBorder="1" applyAlignment="1" applyProtection="1">
      <alignment horizontal="right" vertical="center"/>
      <protection locked="0"/>
    </xf>
    <xf numFmtId="0" fontId="2" fillId="0" borderId="21" xfId="1" applyFont="1" applyBorder="1" applyAlignment="1" applyProtection="1">
      <alignment horizontal="right" vertical="center"/>
      <protection locked="0"/>
    </xf>
    <xf numFmtId="0" fontId="9" fillId="0" borderId="23" xfId="0" applyFont="1" applyBorder="1" applyAlignment="1">
      <alignment horizontal="right"/>
    </xf>
    <xf numFmtId="0" fontId="9" fillId="0" borderId="24" xfId="0" applyFont="1" applyBorder="1" applyAlignment="1">
      <alignment horizontal="right"/>
    </xf>
  </cellXfs>
  <cellStyles count="3">
    <cellStyle name="Currency" xfId="2" builtinId="4"/>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9315-004E-4414-90EE-786915B9A9EC}">
  <dimension ref="A1:M35"/>
  <sheetViews>
    <sheetView workbookViewId="0">
      <selection activeCell="B26" sqref="B26"/>
    </sheetView>
  </sheetViews>
  <sheetFormatPr defaultColWidth="8.77734375" defaultRowHeight="14.4" x14ac:dyDescent="0.3"/>
  <cols>
    <col min="2" max="2" width="30.44140625" customWidth="1"/>
    <col min="3" max="3" width="8.44140625" customWidth="1"/>
    <col min="4" max="4" width="9.44140625" customWidth="1"/>
    <col min="5" max="5" width="11.21875" hidden="1" customWidth="1"/>
    <col min="6" max="6" width="16.21875" customWidth="1"/>
    <col min="10" max="10" width="11.5546875" bestFit="1" customWidth="1"/>
  </cols>
  <sheetData>
    <row r="1" spans="1:13" ht="21.6" customHeight="1" x14ac:dyDescent="0.3">
      <c r="A1" s="74" t="s">
        <v>27</v>
      </c>
      <c r="B1" s="75"/>
      <c r="C1" s="75"/>
      <c r="D1" s="75"/>
      <c r="E1" s="75"/>
      <c r="F1" s="76"/>
    </row>
    <row r="2" spans="1:13" ht="20.100000000000001" customHeight="1" x14ac:dyDescent="0.3">
      <c r="A2" s="77" t="s">
        <v>28</v>
      </c>
      <c r="B2" s="78"/>
      <c r="C2" s="78"/>
      <c r="D2" s="78"/>
      <c r="E2" s="78"/>
      <c r="F2" s="79"/>
    </row>
    <row r="3" spans="1:13" ht="57.75" customHeight="1" x14ac:dyDescent="0.3">
      <c r="A3" s="80" t="s">
        <v>13</v>
      </c>
      <c r="B3" s="81"/>
      <c r="C3" s="81"/>
      <c r="D3" s="81"/>
      <c r="E3" s="81"/>
      <c r="F3" s="82"/>
    </row>
    <row r="4" spans="1:13" x14ac:dyDescent="0.3">
      <c r="A4" s="71" t="s">
        <v>19</v>
      </c>
      <c r="B4" s="72"/>
      <c r="C4" s="72"/>
      <c r="D4" s="72"/>
      <c r="E4" s="72"/>
      <c r="F4" s="73"/>
    </row>
    <row r="5" spans="1:13" s="5" customFormat="1" ht="15" thickBot="1" x14ac:dyDescent="0.35">
      <c r="A5" s="3" t="s">
        <v>0</v>
      </c>
      <c r="B5" s="1" t="s">
        <v>1</v>
      </c>
      <c r="C5" s="17" t="s">
        <v>5</v>
      </c>
      <c r="D5" s="1" t="s">
        <v>6</v>
      </c>
      <c r="E5" s="2" t="s">
        <v>2</v>
      </c>
      <c r="F5" s="4" t="s">
        <v>3</v>
      </c>
      <c r="M5" s="5" t="s">
        <v>8</v>
      </c>
    </row>
    <row r="6" spans="1:13" ht="15" thickBot="1" x14ac:dyDescent="0.35">
      <c r="A6" s="14" t="s">
        <v>20</v>
      </c>
      <c r="B6" s="15" t="s">
        <v>61</v>
      </c>
      <c r="C6" s="18">
        <v>1</v>
      </c>
      <c r="D6" s="16" t="s">
        <v>21</v>
      </c>
      <c r="E6" s="9"/>
      <c r="F6" s="19">
        <f>BEEVILLE!F26</f>
        <v>0</v>
      </c>
    </row>
    <row r="7" spans="1:13" x14ac:dyDescent="0.3">
      <c r="A7" s="6" t="s">
        <v>9</v>
      </c>
      <c r="B7" s="61" t="s">
        <v>58</v>
      </c>
      <c r="C7" s="7" t="s">
        <v>57</v>
      </c>
      <c r="D7" s="7"/>
      <c r="E7" s="7"/>
      <c r="F7" s="20">
        <f>SUM(F6:F6)</f>
        <v>0</v>
      </c>
    </row>
    <row r="8" spans="1:13" x14ac:dyDescent="0.3">
      <c r="A8" s="83"/>
      <c r="B8" s="84"/>
      <c r="C8" s="84"/>
      <c r="D8" s="84"/>
      <c r="E8" s="84"/>
      <c r="F8" s="85"/>
    </row>
    <row r="9" spans="1:13" x14ac:dyDescent="0.3">
      <c r="A9" s="71" t="s">
        <v>14</v>
      </c>
      <c r="B9" s="72"/>
      <c r="C9" s="72"/>
      <c r="D9" s="72"/>
      <c r="E9" s="72"/>
      <c r="F9" s="73"/>
    </row>
    <row r="10" spans="1:13" ht="15" thickBot="1" x14ac:dyDescent="0.35">
      <c r="A10" s="3" t="s">
        <v>0</v>
      </c>
      <c r="B10" s="1" t="s">
        <v>1</v>
      </c>
      <c r="C10" s="10" t="s">
        <v>5</v>
      </c>
      <c r="D10" s="1" t="s">
        <v>6</v>
      </c>
      <c r="E10" s="2" t="s">
        <v>2</v>
      </c>
      <c r="F10" s="4" t="s">
        <v>3</v>
      </c>
    </row>
    <row r="11" spans="1:13" ht="15" thickBot="1" x14ac:dyDescent="0.35">
      <c r="A11" s="14" t="s">
        <v>22</v>
      </c>
      <c r="B11" s="15" t="s">
        <v>61</v>
      </c>
      <c r="C11" s="18">
        <v>1</v>
      </c>
      <c r="D11" s="16" t="s">
        <v>21</v>
      </c>
      <c r="E11" s="9"/>
      <c r="F11" s="19">
        <f>BEEVILLE!F50</f>
        <v>0</v>
      </c>
      <c r="J11" s="65"/>
    </row>
    <row r="12" spans="1:13" x14ac:dyDescent="0.3">
      <c r="A12" s="6" t="s">
        <v>9</v>
      </c>
      <c r="B12" s="7"/>
      <c r="C12" s="7"/>
      <c r="D12" s="7"/>
      <c r="E12" s="7"/>
      <c r="F12" s="20">
        <f>SUM(F11:F11)</f>
        <v>0</v>
      </c>
    </row>
    <row r="13" spans="1:13" x14ac:dyDescent="0.3">
      <c r="A13" s="83"/>
      <c r="B13" s="84"/>
      <c r="C13" s="84"/>
      <c r="D13" s="84"/>
      <c r="E13" s="84"/>
      <c r="F13" s="85"/>
    </row>
    <row r="14" spans="1:13" x14ac:dyDescent="0.3">
      <c r="A14" s="71" t="s">
        <v>15</v>
      </c>
      <c r="B14" s="72"/>
      <c r="C14" s="72"/>
      <c r="D14" s="72"/>
      <c r="E14" s="72"/>
      <c r="F14" s="73"/>
    </row>
    <row r="15" spans="1:13" ht="15" thickBot="1" x14ac:dyDescent="0.35">
      <c r="A15" s="3" t="s">
        <v>0</v>
      </c>
      <c r="B15" s="1" t="s">
        <v>1</v>
      </c>
      <c r="C15" s="10" t="s">
        <v>5</v>
      </c>
      <c r="D15" s="1" t="s">
        <v>6</v>
      </c>
      <c r="E15" s="2" t="s">
        <v>2</v>
      </c>
      <c r="F15" s="4" t="s">
        <v>3</v>
      </c>
    </row>
    <row r="16" spans="1:13" ht="15" thickBot="1" x14ac:dyDescent="0.35">
      <c r="A16" s="14" t="s">
        <v>23</v>
      </c>
      <c r="B16" s="15" t="s">
        <v>61</v>
      </c>
      <c r="C16" s="18">
        <v>1</v>
      </c>
      <c r="D16" s="16" t="s">
        <v>21</v>
      </c>
      <c r="E16" s="9"/>
      <c r="F16" s="19">
        <f>BEEVILLE!F74</f>
        <v>0</v>
      </c>
    </row>
    <row r="17" spans="1:6" x14ac:dyDescent="0.3">
      <c r="A17" s="6" t="s">
        <v>4</v>
      </c>
      <c r="B17" s="7"/>
      <c r="C17" s="7"/>
      <c r="D17" s="7"/>
      <c r="E17" s="7"/>
      <c r="F17" s="20">
        <f>SUM(F16:F16)</f>
        <v>0</v>
      </c>
    </row>
    <row r="18" spans="1:6" x14ac:dyDescent="0.3">
      <c r="A18" s="83"/>
      <c r="B18" s="84"/>
      <c r="C18" s="84"/>
      <c r="D18" s="84"/>
      <c r="E18" s="84"/>
      <c r="F18" s="85"/>
    </row>
    <row r="19" spans="1:6" x14ac:dyDescent="0.3">
      <c r="A19" s="71" t="s">
        <v>16</v>
      </c>
      <c r="B19" s="72"/>
      <c r="C19" s="72"/>
      <c r="D19" s="72"/>
      <c r="E19" s="72"/>
      <c r="F19" s="73"/>
    </row>
    <row r="20" spans="1:6" ht="15" thickBot="1" x14ac:dyDescent="0.35">
      <c r="A20" s="3" t="s">
        <v>0</v>
      </c>
      <c r="B20" s="1" t="s">
        <v>1</v>
      </c>
      <c r="C20" s="10" t="s">
        <v>5</v>
      </c>
      <c r="D20" s="1" t="s">
        <v>6</v>
      </c>
      <c r="E20" s="2" t="s">
        <v>2</v>
      </c>
      <c r="F20" s="4" t="s">
        <v>3</v>
      </c>
    </row>
    <row r="21" spans="1:6" ht="15" thickBot="1" x14ac:dyDescent="0.35">
      <c r="A21" s="14" t="s">
        <v>24</v>
      </c>
      <c r="B21" s="15" t="s">
        <v>61</v>
      </c>
      <c r="C21" s="18">
        <v>1</v>
      </c>
      <c r="D21" s="16" t="s">
        <v>21</v>
      </c>
      <c r="E21" s="9"/>
      <c r="F21" s="19">
        <f>BEEVILLE!F98</f>
        <v>0</v>
      </c>
    </row>
    <row r="22" spans="1:6" x14ac:dyDescent="0.3">
      <c r="A22" s="6" t="s">
        <v>11</v>
      </c>
      <c r="B22" s="7"/>
      <c r="C22" s="7"/>
      <c r="D22" s="7"/>
      <c r="E22" s="7"/>
      <c r="F22" s="20">
        <f>SUM(F21:F21)</f>
        <v>0</v>
      </c>
    </row>
    <row r="23" spans="1:6" x14ac:dyDescent="0.3">
      <c r="A23" s="83"/>
      <c r="B23" s="84"/>
      <c r="C23" s="84"/>
      <c r="D23" s="84"/>
      <c r="E23" s="84"/>
      <c r="F23" s="85"/>
    </row>
    <row r="24" spans="1:6" x14ac:dyDescent="0.3">
      <c r="A24" s="71" t="s">
        <v>17</v>
      </c>
      <c r="B24" s="72"/>
      <c r="C24" s="72"/>
      <c r="D24" s="72"/>
      <c r="E24" s="72"/>
      <c r="F24" s="73"/>
    </row>
    <row r="25" spans="1:6" ht="15" thickBot="1" x14ac:dyDescent="0.35">
      <c r="A25" s="3" t="s">
        <v>0</v>
      </c>
      <c r="B25" s="1" t="s">
        <v>1</v>
      </c>
      <c r="C25" s="10" t="s">
        <v>5</v>
      </c>
      <c r="D25" s="1" t="s">
        <v>6</v>
      </c>
      <c r="E25" s="2" t="s">
        <v>2</v>
      </c>
      <c r="F25" s="4" t="s">
        <v>3</v>
      </c>
    </row>
    <row r="26" spans="1:6" ht="15" thickBot="1" x14ac:dyDescent="0.35">
      <c r="A26" s="14" t="s">
        <v>25</v>
      </c>
      <c r="B26" s="15" t="s">
        <v>61</v>
      </c>
      <c r="C26" s="18">
        <v>1</v>
      </c>
      <c r="D26" s="16" t="s">
        <v>21</v>
      </c>
      <c r="E26" s="9"/>
      <c r="F26" s="19">
        <f>BEEVILLE!F122</f>
        <v>0</v>
      </c>
    </row>
    <row r="27" spans="1:6" x14ac:dyDescent="0.3">
      <c r="A27" s="6" t="s">
        <v>12</v>
      </c>
      <c r="B27" s="7"/>
      <c r="C27" s="7"/>
      <c r="D27" s="7"/>
      <c r="E27" s="7"/>
      <c r="F27" s="20">
        <f>SUM(F26:F26)</f>
        <v>0</v>
      </c>
    </row>
    <row r="28" spans="1:6" x14ac:dyDescent="0.3">
      <c r="A28" s="7"/>
      <c r="B28" s="7"/>
      <c r="C28" s="7"/>
      <c r="D28" s="7"/>
      <c r="E28" s="7"/>
      <c r="F28" s="20"/>
    </row>
    <row r="29" spans="1:6" ht="15.6" x14ac:dyDescent="0.3">
      <c r="A29" s="11" t="s">
        <v>7</v>
      </c>
      <c r="B29" s="12"/>
      <c r="C29" s="12"/>
      <c r="D29" s="12"/>
      <c r="E29" s="12"/>
      <c r="F29" s="21">
        <f>F7+F27+F22+F17+F12</f>
        <v>0</v>
      </c>
    </row>
    <row r="34" spans="1:6" ht="15" thickBot="1" x14ac:dyDescent="0.35"/>
    <row r="35" spans="1:6" x14ac:dyDescent="0.3">
      <c r="A35" s="13"/>
      <c r="B35" s="13"/>
      <c r="D35" s="13"/>
      <c r="E35" s="13"/>
      <c r="F35" s="13"/>
    </row>
  </sheetData>
  <mergeCells count="12">
    <mergeCell ref="A24:F24"/>
    <mergeCell ref="A1:F1"/>
    <mergeCell ref="A2:F2"/>
    <mergeCell ref="A3:F3"/>
    <mergeCell ref="A4:F4"/>
    <mergeCell ref="A8:F8"/>
    <mergeCell ref="A9:F9"/>
    <mergeCell ref="A13:F13"/>
    <mergeCell ref="A14:F14"/>
    <mergeCell ref="A18:F18"/>
    <mergeCell ref="A19:F19"/>
    <mergeCell ref="A23:F23"/>
  </mergeCells>
  <phoneticPr fontId="13" type="noConversion"/>
  <pageMargins left="0.7" right="0.7" top="0.75" bottom="0.75" header="0.3" footer="0.3"/>
  <pageSetup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8076D-EC36-4074-8928-62577D6BEC30}">
  <dimension ref="A1:J124"/>
  <sheetViews>
    <sheetView tabSelected="1" zoomScaleNormal="100" workbookViewId="0">
      <selection activeCell="C118" sqref="C118"/>
    </sheetView>
  </sheetViews>
  <sheetFormatPr defaultColWidth="8.77734375" defaultRowHeight="14.4" x14ac:dyDescent="0.3"/>
  <cols>
    <col min="1" max="1" width="14.21875" customWidth="1"/>
    <col min="2" max="2" width="30.44140625" customWidth="1"/>
    <col min="3" max="3" width="9.21875" bestFit="1" customWidth="1"/>
    <col min="4" max="4" width="9.44140625" customWidth="1"/>
    <col min="5" max="5" width="11.21875" customWidth="1"/>
    <col min="6" max="6" width="16.21875" customWidth="1"/>
    <col min="9" max="9" width="11.109375" bestFit="1" customWidth="1"/>
    <col min="10" max="10" width="10.109375" bestFit="1" customWidth="1"/>
  </cols>
  <sheetData>
    <row r="1" spans="1:10" ht="21.6" customHeight="1" x14ac:dyDescent="0.3">
      <c r="A1" s="74" t="s">
        <v>27</v>
      </c>
      <c r="B1" s="75"/>
      <c r="C1" s="75"/>
      <c r="D1" s="75"/>
      <c r="E1" s="75"/>
      <c r="F1" s="76"/>
    </row>
    <row r="2" spans="1:10" ht="20.100000000000001" customHeight="1" x14ac:dyDescent="0.3">
      <c r="A2" s="77" t="s">
        <v>60</v>
      </c>
      <c r="B2" s="78"/>
      <c r="C2" s="78"/>
      <c r="D2" s="78"/>
      <c r="E2" s="78"/>
      <c r="F2" s="79"/>
    </row>
    <row r="3" spans="1:10" ht="57.75" customHeight="1" x14ac:dyDescent="0.3">
      <c r="A3" s="80" t="s">
        <v>56</v>
      </c>
      <c r="B3" s="81"/>
      <c r="C3" s="81"/>
      <c r="D3" s="81"/>
      <c r="E3" s="81"/>
      <c r="F3" s="82"/>
    </row>
    <row r="4" spans="1:10" x14ac:dyDescent="0.3">
      <c r="A4" s="71" t="s">
        <v>18</v>
      </c>
      <c r="B4" s="72"/>
      <c r="C4" s="72"/>
      <c r="D4" s="72"/>
      <c r="E4" s="72"/>
      <c r="F4" s="73"/>
    </row>
    <row r="5" spans="1:10" s="5" customFormat="1" ht="15" thickBot="1" x14ac:dyDescent="0.35">
      <c r="A5" s="22" t="s">
        <v>0</v>
      </c>
      <c r="B5" s="23" t="s">
        <v>1</v>
      </c>
      <c r="C5" s="17" t="s">
        <v>5</v>
      </c>
      <c r="D5" s="23" t="s">
        <v>6</v>
      </c>
      <c r="E5" s="24" t="s">
        <v>2</v>
      </c>
      <c r="F5" s="25" t="s">
        <v>3</v>
      </c>
      <c r="J5" s="60"/>
    </row>
    <row r="6" spans="1:10" ht="15" thickBot="1" x14ac:dyDescent="0.35">
      <c r="A6" s="35" t="s">
        <v>43</v>
      </c>
      <c r="B6" s="36"/>
      <c r="C6" s="62">
        <v>1500</v>
      </c>
      <c r="D6" s="63" t="s">
        <v>10</v>
      </c>
      <c r="E6" s="67">
        <v>0</v>
      </c>
      <c r="F6" s="39">
        <f>C6*E6</f>
        <v>0</v>
      </c>
    </row>
    <row r="7" spans="1:10" ht="25.2" x14ac:dyDescent="0.3">
      <c r="A7" s="28"/>
      <c r="B7" s="28" t="s">
        <v>46</v>
      </c>
      <c r="C7" s="50">
        <v>2</v>
      </c>
      <c r="D7" s="27" t="s">
        <v>29</v>
      </c>
      <c r="E7" s="68">
        <f>F7/C7</f>
        <v>0</v>
      </c>
      <c r="F7" s="51">
        <f>F6*0.2</f>
        <v>0</v>
      </c>
      <c r="G7" s="64"/>
      <c r="J7" s="65"/>
    </row>
    <row r="8" spans="1:10" x14ac:dyDescent="0.3">
      <c r="A8" s="28"/>
      <c r="B8" s="28" t="s">
        <v>44</v>
      </c>
      <c r="C8" s="50">
        <v>2</v>
      </c>
      <c r="D8" s="27" t="s">
        <v>29</v>
      </c>
      <c r="E8" s="68">
        <f t="shared" ref="E8:E11" si="0">F8/C8</f>
        <v>0</v>
      </c>
      <c r="F8" s="51">
        <f>F6*0.2</f>
        <v>0</v>
      </c>
    </row>
    <row r="9" spans="1:10" x14ac:dyDescent="0.3">
      <c r="A9" s="28"/>
      <c r="B9" s="28" t="s">
        <v>37</v>
      </c>
      <c r="C9" s="50">
        <v>2</v>
      </c>
      <c r="D9" s="27" t="s">
        <v>29</v>
      </c>
      <c r="E9" s="68">
        <f t="shared" si="0"/>
        <v>0</v>
      </c>
      <c r="F9" s="51">
        <f>F6*0.2</f>
        <v>0</v>
      </c>
    </row>
    <row r="10" spans="1:10" x14ac:dyDescent="0.3">
      <c r="A10" s="28"/>
      <c r="B10" s="28" t="s">
        <v>38</v>
      </c>
      <c r="C10" s="50">
        <v>2</v>
      </c>
      <c r="D10" s="27" t="s">
        <v>29</v>
      </c>
      <c r="E10" s="68">
        <f t="shared" si="0"/>
        <v>0</v>
      </c>
      <c r="F10" s="51">
        <f>F6*0.2</f>
        <v>0</v>
      </c>
    </row>
    <row r="11" spans="1:10" ht="15" thickBot="1" x14ac:dyDescent="0.35">
      <c r="A11" s="28"/>
      <c r="B11" s="28" t="s">
        <v>45</v>
      </c>
      <c r="C11" s="50">
        <v>2</v>
      </c>
      <c r="D11" s="27" t="s">
        <v>29</v>
      </c>
      <c r="E11" s="68">
        <f t="shared" si="0"/>
        <v>0</v>
      </c>
      <c r="F11" s="51">
        <f>F6*0.2</f>
        <v>0</v>
      </c>
    </row>
    <row r="12" spans="1:10" ht="27" thickBot="1" x14ac:dyDescent="0.35">
      <c r="A12" s="35" t="s">
        <v>48</v>
      </c>
      <c r="B12" s="36"/>
      <c r="C12" s="62">
        <v>1500</v>
      </c>
      <c r="D12" s="63" t="s">
        <v>10</v>
      </c>
      <c r="E12" s="69">
        <v>0</v>
      </c>
      <c r="F12" s="39">
        <f>C12*E12</f>
        <v>0</v>
      </c>
    </row>
    <row r="13" spans="1:10" ht="25.2" x14ac:dyDescent="0.3">
      <c r="A13" s="33"/>
      <c r="B13" s="33" t="s">
        <v>59</v>
      </c>
      <c r="C13" s="52">
        <v>2</v>
      </c>
      <c r="D13" s="29" t="s">
        <v>54</v>
      </c>
      <c r="E13" s="66">
        <f>F13/C13</f>
        <v>0</v>
      </c>
      <c r="F13" s="51">
        <f>F12*0.31</f>
        <v>0</v>
      </c>
    </row>
    <row r="14" spans="1:10" x14ac:dyDescent="0.3">
      <c r="A14" s="28"/>
      <c r="B14" s="28" t="s">
        <v>30</v>
      </c>
      <c r="C14" s="50">
        <v>1</v>
      </c>
      <c r="D14" s="27" t="s">
        <v>31</v>
      </c>
      <c r="E14" s="66">
        <f t="shared" ref="E14:E20" si="1">F14/C14</f>
        <v>0</v>
      </c>
      <c r="F14" s="51">
        <f>F12*0.09</f>
        <v>0</v>
      </c>
    </row>
    <row r="15" spans="1:10" x14ac:dyDescent="0.3">
      <c r="A15" s="28"/>
      <c r="B15" s="28" t="s">
        <v>39</v>
      </c>
      <c r="C15" s="53">
        <v>1</v>
      </c>
      <c r="D15" s="27" t="s">
        <v>54</v>
      </c>
      <c r="E15" s="66">
        <f t="shared" si="1"/>
        <v>0</v>
      </c>
      <c r="F15" s="51">
        <f>F12*0.09</f>
        <v>0</v>
      </c>
    </row>
    <row r="16" spans="1:10" x14ac:dyDescent="0.3">
      <c r="A16" s="28"/>
      <c r="B16" s="28" t="s">
        <v>36</v>
      </c>
      <c r="C16" s="54">
        <v>1</v>
      </c>
      <c r="D16" s="27" t="s">
        <v>54</v>
      </c>
      <c r="E16" s="66">
        <f t="shared" si="1"/>
        <v>0</v>
      </c>
      <c r="F16" s="51">
        <f>F12*0.09</f>
        <v>0</v>
      </c>
    </row>
    <row r="17" spans="1:7" x14ac:dyDescent="0.3">
      <c r="A17" s="28"/>
      <c r="B17" s="28" t="s">
        <v>40</v>
      </c>
      <c r="C17" s="54">
        <v>1</v>
      </c>
      <c r="D17" s="27" t="s">
        <v>31</v>
      </c>
      <c r="E17" s="66">
        <f t="shared" si="1"/>
        <v>0</v>
      </c>
      <c r="F17" s="51">
        <f>F12*0.09</f>
        <v>0</v>
      </c>
    </row>
    <row r="18" spans="1:7" x14ac:dyDescent="0.3">
      <c r="A18" s="28"/>
      <c r="B18" s="28" t="s">
        <v>41</v>
      </c>
      <c r="C18" s="54">
        <v>1</v>
      </c>
      <c r="D18" s="27" t="s">
        <v>31</v>
      </c>
      <c r="E18" s="66">
        <f t="shared" si="1"/>
        <v>0</v>
      </c>
      <c r="F18" s="51">
        <f>F12*0.09</f>
        <v>0</v>
      </c>
    </row>
    <row r="19" spans="1:7" x14ac:dyDescent="0.3">
      <c r="A19" s="31"/>
      <c r="B19" s="31" t="s">
        <v>42</v>
      </c>
      <c r="C19" s="55">
        <v>4</v>
      </c>
      <c r="D19" s="32" t="s">
        <v>54</v>
      </c>
      <c r="E19" s="66">
        <f t="shared" si="1"/>
        <v>0</v>
      </c>
      <c r="F19" s="51">
        <f>F12*0.15</f>
        <v>0</v>
      </c>
    </row>
    <row r="20" spans="1:7" ht="15" thickBot="1" x14ac:dyDescent="0.35">
      <c r="A20" s="28"/>
      <c r="B20" s="28" t="s">
        <v>32</v>
      </c>
      <c r="C20" s="50">
        <v>1</v>
      </c>
      <c r="D20" s="27" t="s">
        <v>31</v>
      </c>
      <c r="E20" s="66">
        <f t="shared" si="1"/>
        <v>0</v>
      </c>
      <c r="F20" s="51">
        <f>F12*0.09</f>
        <v>0</v>
      </c>
    </row>
    <row r="21" spans="1:7" ht="15" thickBot="1" x14ac:dyDescent="0.35">
      <c r="A21" s="35" t="s">
        <v>47</v>
      </c>
      <c r="B21" s="36"/>
      <c r="C21" s="62">
        <v>1500</v>
      </c>
      <c r="D21" s="63"/>
      <c r="E21" s="69">
        <v>0</v>
      </c>
      <c r="F21" s="39">
        <f>C21*E21</f>
        <v>0</v>
      </c>
    </row>
    <row r="22" spans="1:7" ht="24.45" customHeight="1" x14ac:dyDescent="0.3">
      <c r="A22" s="28"/>
      <c r="B22" s="28" t="s">
        <v>55</v>
      </c>
      <c r="C22" s="54">
        <v>10</v>
      </c>
      <c r="D22" s="27" t="s">
        <v>54</v>
      </c>
      <c r="E22" s="68">
        <f>F22/C22</f>
        <v>0</v>
      </c>
      <c r="F22" s="51">
        <f>F21*0.6</f>
        <v>0</v>
      </c>
    </row>
    <row r="23" spans="1:7" x14ac:dyDescent="0.3">
      <c r="A23" s="28"/>
      <c r="B23" s="28" t="s">
        <v>33</v>
      </c>
      <c r="C23" s="50">
        <v>1</v>
      </c>
      <c r="D23" s="27" t="s">
        <v>31</v>
      </c>
      <c r="E23" s="68">
        <f t="shared" ref="E23:E24" si="2">F23/C23</f>
        <v>0</v>
      </c>
      <c r="F23" s="51">
        <f>F21*0.1</f>
        <v>0</v>
      </c>
    </row>
    <row r="24" spans="1:7" ht="15" thickBot="1" x14ac:dyDescent="0.35">
      <c r="A24" s="28"/>
      <c r="B24" s="28" t="s">
        <v>35</v>
      </c>
      <c r="C24" s="56">
        <v>2</v>
      </c>
      <c r="D24" s="27" t="s">
        <v>54</v>
      </c>
      <c r="E24" s="68">
        <f t="shared" si="2"/>
        <v>0</v>
      </c>
      <c r="F24" s="51">
        <f>F21*0.3</f>
        <v>0</v>
      </c>
    </row>
    <row r="25" spans="1:7" s="5" customFormat="1" ht="25.8" thickBot="1" x14ac:dyDescent="0.35">
      <c r="A25" s="34"/>
      <c r="B25" s="44" t="s">
        <v>26</v>
      </c>
      <c r="C25" s="57">
        <v>1</v>
      </c>
      <c r="D25" s="30" t="s">
        <v>54</v>
      </c>
      <c r="E25" s="68"/>
      <c r="F25" s="58">
        <v>0</v>
      </c>
    </row>
    <row r="26" spans="1:7" x14ac:dyDescent="0.3">
      <c r="A26" s="92" t="s">
        <v>50</v>
      </c>
      <c r="B26" s="93"/>
      <c r="C26" s="93"/>
      <c r="D26" s="93"/>
      <c r="E26" s="94"/>
      <c r="F26" s="45">
        <f>F6+F12+F21</f>
        <v>0</v>
      </c>
    </row>
    <row r="27" spans="1:7" x14ac:dyDescent="0.3">
      <c r="A27" s="89"/>
      <c r="B27" s="90"/>
      <c r="C27" s="90"/>
      <c r="D27" s="90"/>
      <c r="E27" s="90"/>
      <c r="F27" s="91"/>
    </row>
    <row r="28" spans="1:7" x14ac:dyDescent="0.3">
      <c r="A28" s="86" t="s">
        <v>14</v>
      </c>
      <c r="B28" s="87"/>
      <c r="C28" s="87"/>
      <c r="D28" s="87"/>
      <c r="E28" s="87"/>
      <c r="F28" s="88"/>
    </row>
    <row r="29" spans="1:7" s="5" customFormat="1" ht="15" thickBot="1" x14ac:dyDescent="0.35">
      <c r="A29" s="46" t="s">
        <v>0</v>
      </c>
      <c r="B29" s="47" t="s">
        <v>1</v>
      </c>
      <c r="C29" s="48" t="s">
        <v>5</v>
      </c>
      <c r="D29" s="47" t="s">
        <v>6</v>
      </c>
      <c r="E29" s="48" t="s">
        <v>2</v>
      </c>
      <c r="F29" s="49" t="s">
        <v>3</v>
      </c>
    </row>
    <row r="30" spans="1:7" ht="15" thickBot="1" x14ac:dyDescent="0.35">
      <c r="A30" s="42" t="s">
        <v>43</v>
      </c>
      <c r="B30" s="43"/>
      <c r="C30" s="62">
        <v>1500</v>
      </c>
      <c r="D30" s="37" t="s">
        <v>10</v>
      </c>
      <c r="E30" s="38"/>
      <c r="F30" s="59">
        <f>F6*1.05</f>
        <v>0</v>
      </c>
    </row>
    <row r="31" spans="1:7" ht="25.2" x14ac:dyDescent="0.3">
      <c r="A31" s="28"/>
      <c r="B31" s="28" t="s">
        <v>46</v>
      </c>
      <c r="C31" s="50">
        <v>2</v>
      </c>
      <c r="D31" s="27" t="s">
        <v>29</v>
      </c>
      <c r="E31" s="68">
        <f>F31/C31</f>
        <v>0</v>
      </c>
      <c r="F31" s="51">
        <f>$F$30*0.2</f>
        <v>0</v>
      </c>
      <c r="G31" s="64"/>
    </row>
    <row r="32" spans="1:7" x14ac:dyDescent="0.3">
      <c r="A32" s="28"/>
      <c r="B32" s="28" t="s">
        <v>44</v>
      </c>
      <c r="C32" s="50">
        <v>2</v>
      </c>
      <c r="D32" s="27" t="s">
        <v>29</v>
      </c>
      <c r="E32" s="68">
        <f t="shared" ref="E32:E35" si="3">F32/C32</f>
        <v>0</v>
      </c>
      <c r="F32" s="51">
        <f t="shared" ref="F32:F35" si="4">$F$30*0.2</f>
        <v>0</v>
      </c>
    </row>
    <row r="33" spans="1:6" x14ac:dyDescent="0.3">
      <c r="A33" s="28"/>
      <c r="B33" s="28" t="s">
        <v>37</v>
      </c>
      <c r="C33" s="50">
        <v>2</v>
      </c>
      <c r="D33" s="27" t="s">
        <v>29</v>
      </c>
      <c r="E33" s="68">
        <f t="shared" si="3"/>
        <v>0</v>
      </c>
      <c r="F33" s="51">
        <f t="shared" si="4"/>
        <v>0</v>
      </c>
    </row>
    <row r="34" spans="1:6" x14ac:dyDescent="0.3">
      <c r="A34" s="28"/>
      <c r="B34" s="28" t="s">
        <v>38</v>
      </c>
      <c r="C34" s="50">
        <v>2</v>
      </c>
      <c r="D34" s="27" t="s">
        <v>29</v>
      </c>
      <c r="E34" s="68">
        <f t="shared" si="3"/>
        <v>0</v>
      </c>
      <c r="F34" s="51">
        <f t="shared" si="4"/>
        <v>0</v>
      </c>
    </row>
    <row r="35" spans="1:6" ht="15" thickBot="1" x14ac:dyDescent="0.35">
      <c r="A35" s="28"/>
      <c r="B35" s="28" t="s">
        <v>45</v>
      </c>
      <c r="C35" s="50">
        <v>2</v>
      </c>
      <c r="D35" s="27" t="s">
        <v>29</v>
      </c>
      <c r="E35" s="68">
        <f t="shared" si="3"/>
        <v>0</v>
      </c>
      <c r="F35" s="51">
        <f t="shared" si="4"/>
        <v>0</v>
      </c>
    </row>
    <row r="36" spans="1:6" ht="15" thickBot="1" x14ac:dyDescent="0.35">
      <c r="A36" s="42" t="s">
        <v>48</v>
      </c>
      <c r="B36" s="43"/>
      <c r="C36" s="62">
        <v>1500</v>
      </c>
      <c r="D36" s="37" t="s">
        <v>10</v>
      </c>
      <c r="E36" s="38"/>
      <c r="F36" s="59">
        <f>F12*1.05</f>
        <v>0</v>
      </c>
    </row>
    <row r="37" spans="1:6" ht="25.2" x14ac:dyDescent="0.3">
      <c r="A37" s="33"/>
      <c r="B37" s="33" t="s">
        <v>59</v>
      </c>
      <c r="C37" s="52">
        <v>2</v>
      </c>
      <c r="D37" s="29" t="s">
        <v>54</v>
      </c>
      <c r="E37" s="66">
        <f>F37/C37</f>
        <v>0</v>
      </c>
      <c r="F37" s="51">
        <f>F36*0.31</f>
        <v>0</v>
      </c>
    </row>
    <row r="38" spans="1:6" x14ac:dyDescent="0.3">
      <c r="A38" s="28"/>
      <c r="B38" s="28" t="s">
        <v>30</v>
      </c>
      <c r="C38" s="50">
        <v>1</v>
      </c>
      <c r="D38" s="27" t="s">
        <v>31</v>
      </c>
      <c r="E38" s="66">
        <f t="shared" ref="E38:E44" si="5">F38/C38</f>
        <v>0</v>
      </c>
      <c r="F38" s="51">
        <f>$F$36*0.09</f>
        <v>0</v>
      </c>
    </row>
    <row r="39" spans="1:6" x14ac:dyDescent="0.3">
      <c r="A39" s="28"/>
      <c r="B39" s="28" t="s">
        <v>39</v>
      </c>
      <c r="C39" s="53">
        <v>1</v>
      </c>
      <c r="D39" s="27" t="s">
        <v>54</v>
      </c>
      <c r="E39" s="66">
        <f t="shared" si="5"/>
        <v>0</v>
      </c>
      <c r="F39" s="51">
        <f t="shared" ref="F39:F42" si="6">$F$36*0.09</f>
        <v>0</v>
      </c>
    </row>
    <row r="40" spans="1:6" x14ac:dyDescent="0.3">
      <c r="A40" s="28"/>
      <c r="B40" s="28" t="s">
        <v>36</v>
      </c>
      <c r="C40" s="54">
        <v>1</v>
      </c>
      <c r="D40" s="27" t="s">
        <v>54</v>
      </c>
      <c r="E40" s="66">
        <f t="shared" si="5"/>
        <v>0</v>
      </c>
      <c r="F40" s="51">
        <f t="shared" si="6"/>
        <v>0</v>
      </c>
    </row>
    <row r="41" spans="1:6" x14ac:dyDescent="0.3">
      <c r="A41" s="28"/>
      <c r="B41" s="28" t="s">
        <v>40</v>
      </c>
      <c r="C41" s="54">
        <v>1</v>
      </c>
      <c r="D41" s="27" t="s">
        <v>31</v>
      </c>
      <c r="E41" s="66">
        <f t="shared" si="5"/>
        <v>0</v>
      </c>
      <c r="F41" s="51">
        <f t="shared" si="6"/>
        <v>0</v>
      </c>
    </row>
    <row r="42" spans="1:6" x14ac:dyDescent="0.3">
      <c r="A42" s="28"/>
      <c r="B42" s="28" t="s">
        <v>41</v>
      </c>
      <c r="C42" s="54">
        <v>1</v>
      </c>
      <c r="D42" s="27" t="s">
        <v>31</v>
      </c>
      <c r="E42" s="66">
        <f t="shared" si="5"/>
        <v>0</v>
      </c>
      <c r="F42" s="51">
        <f t="shared" si="6"/>
        <v>0</v>
      </c>
    </row>
    <row r="43" spans="1:6" x14ac:dyDescent="0.3">
      <c r="A43" s="31"/>
      <c r="B43" s="31" t="s">
        <v>42</v>
      </c>
      <c r="C43" s="55">
        <v>4</v>
      </c>
      <c r="D43" s="32" t="s">
        <v>54</v>
      </c>
      <c r="E43" s="66">
        <f t="shared" si="5"/>
        <v>0</v>
      </c>
      <c r="F43" s="51">
        <f>F36*0.15</f>
        <v>0</v>
      </c>
    </row>
    <row r="44" spans="1:6" ht="15" thickBot="1" x14ac:dyDescent="0.35">
      <c r="A44" s="28"/>
      <c r="B44" s="28" t="s">
        <v>32</v>
      </c>
      <c r="C44" s="50">
        <v>1</v>
      </c>
      <c r="D44" s="27" t="s">
        <v>31</v>
      </c>
      <c r="E44" s="66">
        <f t="shared" si="5"/>
        <v>0</v>
      </c>
      <c r="F44" s="51">
        <f>F36*0.09</f>
        <v>0</v>
      </c>
    </row>
    <row r="45" spans="1:6" ht="15" thickBot="1" x14ac:dyDescent="0.35">
      <c r="A45" s="42" t="s">
        <v>47</v>
      </c>
      <c r="B45" s="43"/>
      <c r="C45" s="62">
        <v>1500</v>
      </c>
      <c r="D45" s="37"/>
      <c r="E45" s="67"/>
      <c r="F45" s="59">
        <f>F21*1.05</f>
        <v>0</v>
      </c>
    </row>
    <row r="46" spans="1:6" ht="29.55" customHeight="1" x14ac:dyDescent="0.3">
      <c r="A46" s="28"/>
      <c r="B46" s="28" t="s">
        <v>55</v>
      </c>
      <c r="C46" s="54">
        <v>10</v>
      </c>
      <c r="D46" s="27" t="s">
        <v>54</v>
      </c>
      <c r="E46" s="68">
        <f>F46/C46</f>
        <v>0</v>
      </c>
      <c r="F46" s="51">
        <f>F45*0.6</f>
        <v>0</v>
      </c>
    </row>
    <row r="47" spans="1:6" x14ac:dyDescent="0.3">
      <c r="A47" s="28"/>
      <c r="B47" s="28" t="s">
        <v>33</v>
      </c>
      <c r="C47" s="50">
        <v>1</v>
      </c>
      <c r="D47" s="27" t="s">
        <v>31</v>
      </c>
      <c r="E47" s="68">
        <f t="shared" ref="E47:E48" si="7">F47/C47</f>
        <v>0</v>
      </c>
      <c r="F47" s="51">
        <f>F45*0.1</f>
        <v>0</v>
      </c>
    </row>
    <row r="48" spans="1:6" ht="15" thickBot="1" x14ac:dyDescent="0.35">
      <c r="A48" s="28"/>
      <c r="B48" s="28" t="s">
        <v>35</v>
      </c>
      <c r="C48" s="56">
        <v>2</v>
      </c>
      <c r="D48" s="27" t="s">
        <v>54</v>
      </c>
      <c r="E48" s="68">
        <f t="shared" si="7"/>
        <v>0</v>
      </c>
      <c r="F48" s="51">
        <f>F45*0.3</f>
        <v>0</v>
      </c>
    </row>
    <row r="49" spans="1:7" s="5" customFormat="1" ht="25.8" thickBot="1" x14ac:dyDescent="0.35">
      <c r="A49" s="34"/>
      <c r="B49" s="44" t="s">
        <v>26</v>
      </c>
      <c r="C49" s="57">
        <v>2</v>
      </c>
      <c r="D49" s="30" t="s">
        <v>54</v>
      </c>
      <c r="E49" s="68">
        <f>F49/C49</f>
        <v>0</v>
      </c>
      <c r="F49" s="58">
        <v>0</v>
      </c>
    </row>
    <row r="50" spans="1:7" x14ac:dyDescent="0.3">
      <c r="A50" s="92" t="s">
        <v>49</v>
      </c>
      <c r="B50" s="93"/>
      <c r="C50" s="93"/>
      <c r="D50" s="93"/>
      <c r="E50" s="94"/>
      <c r="F50" s="45">
        <f>F30+F36+F45</f>
        <v>0</v>
      </c>
    </row>
    <row r="51" spans="1:7" x14ac:dyDescent="0.3">
      <c r="A51" s="89"/>
      <c r="B51" s="90"/>
      <c r="C51" s="90"/>
      <c r="D51" s="90"/>
      <c r="E51" s="90"/>
      <c r="F51" s="91"/>
    </row>
    <row r="52" spans="1:7" x14ac:dyDescent="0.3">
      <c r="A52" s="86" t="s">
        <v>15</v>
      </c>
      <c r="B52" s="87"/>
      <c r="C52" s="87"/>
      <c r="D52" s="87"/>
      <c r="E52" s="87"/>
      <c r="F52" s="88"/>
    </row>
    <row r="53" spans="1:7" s="5" customFormat="1" ht="15" thickBot="1" x14ac:dyDescent="0.35">
      <c r="A53" s="46" t="s">
        <v>0</v>
      </c>
      <c r="B53" s="47" t="s">
        <v>1</v>
      </c>
      <c r="C53" s="48" t="s">
        <v>5</v>
      </c>
      <c r="D53" s="47" t="s">
        <v>6</v>
      </c>
      <c r="E53" s="48" t="s">
        <v>2</v>
      </c>
      <c r="F53" s="49" t="s">
        <v>3</v>
      </c>
    </row>
    <row r="54" spans="1:7" ht="15" thickBot="1" x14ac:dyDescent="0.35">
      <c r="A54" s="42" t="s">
        <v>43</v>
      </c>
      <c r="B54" s="43"/>
      <c r="C54" s="62">
        <v>1500</v>
      </c>
      <c r="D54" s="37" t="s">
        <v>10</v>
      </c>
      <c r="E54" s="38"/>
      <c r="F54" s="59">
        <f>F30*1.05</f>
        <v>0</v>
      </c>
    </row>
    <row r="55" spans="1:7" ht="25.2" x14ac:dyDescent="0.3">
      <c r="A55" s="28"/>
      <c r="B55" s="28" t="s">
        <v>46</v>
      </c>
      <c r="C55" s="50">
        <v>2</v>
      </c>
      <c r="D55" s="27" t="s">
        <v>29</v>
      </c>
      <c r="E55" s="40">
        <f>F55/C55</f>
        <v>0</v>
      </c>
      <c r="F55" s="51">
        <f>$F$54*0.2</f>
        <v>0</v>
      </c>
      <c r="G55" s="64"/>
    </row>
    <row r="56" spans="1:7" x14ac:dyDescent="0.3">
      <c r="A56" s="28"/>
      <c r="B56" s="28" t="s">
        <v>44</v>
      </c>
      <c r="C56" s="50">
        <v>2</v>
      </c>
      <c r="D56" s="27" t="s">
        <v>29</v>
      </c>
      <c r="E56" s="40">
        <f t="shared" ref="E56:E59" si="8">F56/C56</f>
        <v>0</v>
      </c>
      <c r="F56" s="51">
        <f t="shared" ref="F56:F59" si="9">$F$54*0.2</f>
        <v>0</v>
      </c>
    </row>
    <row r="57" spans="1:7" x14ac:dyDescent="0.3">
      <c r="A57" s="28"/>
      <c r="B57" s="28" t="s">
        <v>37</v>
      </c>
      <c r="C57" s="50">
        <v>2</v>
      </c>
      <c r="D57" s="27" t="s">
        <v>29</v>
      </c>
      <c r="E57" s="40">
        <f t="shared" si="8"/>
        <v>0</v>
      </c>
      <c r="F57" s="51">
        <f t="shared" si="9"/>
        <v>0</v>
      </c>
    </row>
    <row r="58" spans="1:7" x14ac:dyDescent="0.3">
      <c r="A58" s="28"/>
      <c r="B58" s="28" t="s">
        <v>38</v>
      </c>
      <c r="C58" s="50">
        <v>2</v>
      </c>
      <c r="D58" s="27" t="s">
        <v>29</v>
      </c>
      <c r="E58" s="40">
        <f t="shared" si="8"/>
        <v>0</v>
      </c>
      <c r="F58" s="51">
        <f t="shared" si="9"/>
        <v>0</v>
      </c>
    </row>
    <row r="59" spans="1:7" ht="15" thickBot="1" x14ac:dyDescent="0.35">
      <c r="A59" s="28"/>
      <c r="B59" s="28" t="s">
        <v>45</v>
      </c>
      <c r="C59" s="50">
        <v>2</v>
      </c>
      <c r="D59" s="27" t="s">
        <v>29</v>
      </c>
      <c r="E59" s="40">
        <f t="shared" si="8"/>
        <v>0</v>
      </c>
      <c r="F59" s="51">
        <f t="shared" si="9"/>
        <v>0</v>
      </c>
    </row>
    <row r="60" spans="1:7" ht="15" thickBot="1" x14ac:dyDescent="0.35">
      <c r="A60" s="42" t="s">
        <v>48</v>
      </c>
      <c r="B60" s="43"/>
      <c r="C60" s="62">
        <v>1500</v>
      </c>
      <c r="D60" s="37" t="s">
        <v>10</v>
      </c>
      <c r="E60" s="38"/>
      <c r="F60" s="59">
        <f>F36*1.05</f>
        <v>0</v>
      </c>
    </row>
    <row r="61" spans="1:7" ht="25.2" x14ac:dyDescent="0.3">
      <c r="A61" s="33"/>
      <c r="B61" s="33" t="s">
        <v>34</v>
      </c>
      <c r="C61" s="52">
        <v>2</v>
      </c>
      <c r="D61" s="29" t="s">
        <v>54</v>
      </c>
      <c r="E61" s="41">
        <f>F61/C61</f>
        <v>0</v>
      </c>
      <c r="F61" s="51">
        <f>F60*0.31</f>
        <v>0</v>
      </c>
    </row>
    <row r="62" spans="1:7" x14ac:dyDescent="0.3">
      <c r="A62" s="28"/>
      <c r="B62" s="28" t="s">
        <v>30</v>
      </c>
      <c r="C62" s="50">
        <v>1</v>
      </c>
      <c r="D62" s="27" t="s">
        <v>31</v>
      </c>
      <c r="E62" s="41">
        <f t="shared" ref="E62:E68" si="10">F62/C62</f>
        <v>0</v>
      </c>
      <c r="F62" s="51">
        <f>$F$60*0.09</f>
        <v>0</v>
      </c>
    </row>
    <row r="63" spans="1:7" x14ac:dyDescent="0.3">
      <c r="A63" s="28"/>
      <c r="B63" s="28" t="s">
        <v>39</v>
      </c>
      <c r="C63" s="53">
        <v>1</v>
      </c>
      <c r="D63" s="27" t="s">
        <v>54</v>
      </c>
      <c r="E63" s="41">
        <f t="shared" si="10"/>
        <v>0</v>
      </c>
      <c r="F63" s="51">
        <f t="shared" ref="F63:F66" si="11">$F$60*0.09</f>
        <v>0</v>
      </c>
    </row>
    <row r="64" spans="1:7" x14ac:dyDescent="0.3">
      <c r="A64" s="28"/>
      <c r="B64" s="28" t="s">
        <v>36</v>
      </c>
      <c r="C64" s="54">
        <v>1</v>
      </c>
      <c r="D64" s="27" t="s">
        <v>54</v>
      </c>
      <c r="E64" s="41">
        <f t="shared" si="10"/>
        <v>0</v>
      </c>
      <c r="F64" s="51">
        <f t="shared" si="11"/>
        <v>0</v>
      </c>
    </row>
    <row r="65" spans="1:7" x14ac:dyDescent="0.3">
      <c r="A65" s="28"/>
      <c r="B65" s="28" t="s">
        <v>40</v>
      </c>
      <c r="C65" s="54">
        <v>1</v>
      </c>
      <c r="D65" s="27" t="s">
        <v>31</v>
      </c>
      <c r="E65" s="41">
        <f t="shared" si="10"/>
        <v>0</v>
      </c>
      <c r="F65" s="51">
        <f t="shared" si="11"/>
        <v>0</v>
      </c>
    </row>
    <row r="66" spans="1:7" x14ac:dyDescent="0.3">
      <c r="A66" s="28"/>
      <c r="B66" s="28" t="s">
        <v>41</v>
      </c>
      <c r="C66" s="54">
        <v>1</v>
      </c>
      <c r="D66" s="27" t="s">
        <v>31</v>
      </c>
      <c r="E66" s="41">
        <f t="shared" si="10"/>
        <v>0</v>
      </c>
      <c r="F66" s="51">
        <f t="shared" si="11"/>
        <v>0</v>
      </c>
    </row>
    <row r="67" spans="1:7" x14ac:dyDescent="0.3">
      <c r="A67" s="31"/>
      <c r="B67" s="31" t="s">
        <v>42</v>
      </c>
      <c r="C67" s="55">
        <v>4</v>
      </c>
      <c r="D67" s="32" t="s">
        <v>54</v>
      </c>
      <c r="E67" s="41">
        <f t="shared" si="10"/>
        <v>0</v>
      </c>
      <c r="F67" s="51">
        <f>F60*0.15</f>
        <v>0</v>
      </c>
    </row>
    <row r="68" spans="1:7" ht="15" thickBot="1" x14ac:dyDescent="0.35">
      <c r="A68" s="28"/>
      <c r="B68" s="28" t="s">
        <v>32</v>
      </c>
      <c r="C68" s="50">
        <v>1</v>
      </c>
      <c r="D68" s="27" t="s">
        <v>31</v>
      </c>
      <c r="E68" s="41">
        <f t="shared" si="10"/>
        <v>0</v>
      </c>
      <c r="F68" s="51">
        <f>F60*0.09</f>
        <v>0</v>
      </c>
    </row>
    <row r="69" spans="1:7" ht="15" thickBot="1" x14ac:dyDescent="0.35">
      <c r="A69" s="42" t="s">
        <v>47</v>
      </c>
      <c r="B69" s="43"/>
      <c r="C69" s="62">
        <v>1500</v>
      </c>
      <c r="D69" s="37"/>
      <c r="E69" s="38"/>
      <c r="F69" s="59">
        <f>F45*1.05</f>
        <v>0</v>
      </c>
    </row>
    <row r="70" spans="1:7" ht="31.5" customHeight="1" x14ac:dyDescent="0.3">
      <c r="A70" s="28"/>
      <c r="B70" s="28" t="s">
        <v>55</v>
      </c>
      <c r="C70" s="54">
        <v>10</v>
      </c>
      <c r="D70" s="27" t="s">
        <v>54</v>
      </c>
      <c r="E70" s="40">
        <f>F70/C70</f>
        <v>0</v>
      </c>
      <c r="F70" s="51">
        <f>F69*0.6</f>
        <v>0</v>
      </c>
    </row>
    <row r="71" spans="1:7" x14ac:dyDescent="0.3">
      <c r="A71" s="28"/>
      <c r="B71" s="28" t="s">
        <v>33</v>
      </c>
      <c r="C71" s="50">
        <v>1</v>
      </c>
      <c r="D71" s="27" t="s">
        <v>31</v>
      </c>
      <c r="E71" s="40">
        <f t="shared" ref="E71:E72" si="12">F71/C71</f>
        <v>0</v>
      </c>
      <c r="F71" s="51">
        <f>F69*0.1</f>
        <v>0</v>
      </c>
    </row>
    <row r="72" spans="1:7" ht="15" thickBot="1" x14ac:dyDescent="0.35">
      <c r="A72" s="28"/>
      <c r="B72" s="28" t="s">
        <v>35</v>
      </c>
      <c r="C72" s="56">
        <v>2</v>
      </c>
      <c r="D72" s="27" t="s">
        <v>54</v>
      </c>
      <c r="E72" s="40">
        <f t="shared" si="12"/>
        <v>0</v>
      </c>
      <c r="F72" s="51">
        <f>F69*0.3</f>
        <v>0</v>
      </c>
    </row>
    <row r="73" spans="1:7" s="5" customFormat="1" ht="25.8" thickBot="1" x14ac:dyDescent="0.35">
      <c r="A73" s="34"/>
      <c r="B73" s="44" t="s">
        <v>26</v>
      </c>
      <c r="C73" s="57">
        <v>2</v>
      </c>
      <c r="D73" s="30" t="s">
        <v>54</v>
      </c>
      <c r="E73" s="40">
        <f t="shared" ref="E73" si="13">F73/C73</f>
        <v>0</v>
      </c>
      <c r="F73" s="58">
        <v>0</v>
      </c>
    </row>
    <row r="74" spans="1:7" x14ac:dyDescent="0.3">
      <c r="A74" s="92" t="s">
        <v>52</v>
      </c>
      <c r="B74" s="93"/>
      <c r="C74" s="93"/>
      <c r="D74" s="93"/>
      <c r="E74" s="94"/>
      <c r="F74" s="45">
        <f>F54+F60+F69</f>
        <v>0</v>
      </c>
    </row>
    <row r="75" spans="1:7" x14ac:dyDescent="0.3">
      <c r="A75" s="89"/>
      <c r="B75" s="90"/>
      <c r="C75" s="90"/>
      <c r="D75" s="90"/>
      <c r="E75" s="90"/>
      <c r="F75" s="91"/>
    </row>
    <row r="76" spans="1:7" x14ac:dyDescent="0.3">
      <c r="A76" s="86" t="s">
        <v>16</v>
      </c>
      <c r="B76" s="87"/>
      <c r="C76" s="87"/>
      <c r="D76" s="87"/>
      <c r="E76" s="87"/>
      <c r="F76" s="88"/>
    </row>
    <row r="77" spans="1:7" s="5" customFormat="1" ht="15" thickBot="1" x14ac:dyDescent="0.35">
      <c r="A77" s="46" t="s">
        <v>0</v>
      </c>
      <c r="B77" s="47" t="s">
        <v>1</v>
      </c>
      <c r="C77" s="48" t="s">
        <v>5</v>
      </c>
      <c r="D77" s="47" t="s">
        <v>6</v>
      </c>
      <c r="E77" s="48" t="s">
        <v>2</v>
      </c>
      <c r="F77" s="49" t="s">
        <v>3</v>
      </c>
    </row>
    <row r="78" spans="1:7" ht="15" thickBot="1" x14ac:dyDescent="0.35">
      <c r="A78" s="42" t="s">
        <v>43</v>
      </c>
      <c r="B78" s="43"/>
      <c r="C78" s="62">
        <v>1500</v>
      </c>
      <c r="D78" s="37" t="s">
        <v>10</v>
      </c>
      <c r="E78" s="38"/>
      <c r="F78" s="59">
        <f>F54*1.05</f>
        <v>0</v>
      </c>
    </row>
    <row r="79" spans="1:7" ht="25.2" x14ac:dyDescent="0.3">
      <c r="A79" s="28"/>
      <c r="B79" s="28" t="s">
        <v>46</v>
      </c>
      <c r="C79" s="50">
        <v>2</v>
      </c>
      <c r="D79" s="27" t="s">
        <v>29</v>
      </c>
      <c r="E79" s="40">
        <f>F79/C79</f>
        <v>0</v>
      </c>
      <c r="F79" s="70">
        <f>$F$78*0.2</f>
        <v>0</v>
      </c>
      <c r="G79" s="64"/>
    </row>
    <row r="80" spans="1:7" x14ac:dyDescent="0.3">
      <c r="A80" s="28"/>
      <c r="B80" s="28" t="s">
        <v>44</v>
      </c>
      <c r="C80" s="50">
        <v>2</v>
      </c>
      <c r="D80" s="27" t="s">
        <v>29</v>
      </c>
      <c r="E80" s="40">
        <f t="shared" ref="E80:E83" si="14">F80/C80</f>
        <v>0</v>
      </c>
      <c r="F80" s="70">
        <f t="shared" ref="F80:F83" si="15">$F$78*0.2</f>
        <v>0</v>
      </c>
    </row>
    <row r="81" spans="1:6" x14ac:dyDescent="0.3">
      <c r="A81" s="28"/>
      <c r="B81" s="28" t="s">
        <v>37</v>
      </c>
      <c r="C81" s="50">
        <v>2</v>
      </c>
      <c r="D81" s="27" t="s">
        <v>29</v>
      </c>
      <c r="E81" s="40">
        <f t="shared" si="14"/>
        <v>0</v>
      </c>
      <c r="F81" s="70">
        <f t="shared" si="15"/>
        <v>0</v>
      </c>
    </row>
    <row r="82" spans="1:6" x14ac:dyDescent="0.3">
      <c r="A82" s="28"/>
      <c r="B82" s="28" t="s">
        <v>38</v>
      </c>
      <c r="C82" s="50">
        <v>2</v>
      </c>
      <c r="D82" s="27" t="s">
        <v>29</v>
      </c>
      <c r="E82" s="40">
        <f t="shared" si="14"/>
        <v>0</v>
      </c>
      <c r="F82" s="70">
        <f t="shared" si="15"/>
        <v>0</v>
      </c>
    </row>
    <row r="83" spans="1:6" ht="15" thickBot="1" x14ac:dyDescent="0.35">
      <c r="A83" s="28"/>
      <c r="B83" s="28" t="s">
        <v>45</v>
      </c>
      <c r="C83" s="50">
        <v>2</v>
      </c>
      <c r="D83" s="27" t="s">
        <v>29</v>
      </c>
      <c r="E83" s="40">
        <f t="shared" si="14"/>
        <v>0</v>
      </c>
      <c r="F83" s="70">
        <f t="shared" si="15"/>
        <v>0</v>
      </c>
    </row>
    <row r="84" spans="1:6" ht="15" thickBot="1" x14ac:dyDescent="0.35">
      <c r="A84" s="42" t="s">
        <v>48</v>
      </c>
      <c r="B84" s="43"/>
      <c r="C84" s="62">
        <v>1500</v>
      </c>
      <c r="D84" s="37" t="s">
        <v>10</v>
      </c>
      <c r="E84" s="38"/>
      <c r="F84" s="59">
        <f>F60*1.05</f>
        <v>0</v>
      </c>
    </row>
    <row r="85" spans="1:6" ht="25.2" x14ac:dyDescent="0.3">
      <c r="A85" s="33"/>
      <c r="B85" s="33" t="s">
        <v>34</v>
      </c>
      <c r="C85" s="52">
        <v>2</v>
      </c>
      <c r="D85" s="29" t="s">
        <v>54</v>
      </c>
      <c r="E85" s="41">
        <f>F85/C85</f>
        <v>0</v>
      </c>
      <c r="F85" s="51">
        <f>F84*0.31</f>
        <v>0</v>
      </c>
    </row>
    <row r="86" spans="1:6" x14ac:dyDescent="0.3">
      <c r="A86" s="28"/>
      <c r="B86" s="28" t="s">
        <v>30</v>
      </c>
      <c r="C86" s="50">
        <v>1</v>
      </c>
      <c r="D86" s="27" t="s">
        <v>31</v>
      </c>
      <c r="E86" s="41">
        <f t="shared" ref="E86:E92" si="16">F86/C86</f>
        <v>0</v>
      </c>
      <c r="F86" s="51">
        <f>$F$84*0.09</f>
        <v>0</v>
      </c>
    </row>
    <row r="87" spans="1:6" x14ac:dyDescent="0.3">
      <c r="A87" s="28"/>
      <c r="B87" s="28" t="s">
        <v>39</v>
      </c>
      <c r="C87" s="53">
        <v>1</v>
      </c>
      <c r="D87" s="27" t="s">
        <v>54</v>
      </c>
      <c r="E87" s="41">
        <f t="shared" si="16"/>
        <v>0</v>
      </c>
      <c r="F87" s="51">
        <f t="shared" ref="F87:F90" si="17">$F$84*0.09</f>
        <v>0</v>
      </c>
    </row>
    <row r="88" spans="1:6" x14ac:dyDescent="0.3">
      <c r="A88" s="28"/>
      <c r="B88" s="28" t="s">
        <v>36</v>
      </c>
      <c r="C88" s="54">
        <v>1</v>
      </c>
      <c r="D88" s="27" t="s">
        <v>54</v>
      </c>
      <c r="E88" s="41">
        <f t="shared" si="16"/>
        <v>0</v>
      </c>
      <c r="F88" s="51">
        <f t="shared" si="17"/>
        <v>0</v>
      </c>
    </row>
    <row r="89" spans="1:6" x14ac:dyDescent="0.3">
      <c r="A89" s="28"/>
      <c r="B89" s="28" t="s">
        <v>40</v>
      </c>
      <c r="C89" s="54">
        <v>1</v>
      </c>
      <c r="D89" s="27" t="s">
        <v>31</v>
      </c>
      <c r="E89" s="41">
        <f t="shared" si="16"/>
        <v>0</v>
      </c>
      <c r="F89" s="51">
        <f t="shared" si="17"/>
        <v>0</v>
      </c>
    </row>
    <row r="90" spans="1:6" x14ac:dyDescent="0.3">
      <c r="A90" s="28"/>
      <c r="B90" s="28" t="s">
        <v>41</v>
      </c>
      <c r="C90" s="54">
        <v>1</v>
      </c>
      <c r="D90" s="27" t="s">
        <v>31</v>
      </c>
      <c r="E90" s="41">
        <f t="shared" si="16"/>
        <v>0</v>
      </c>
      <c r="F90" s="51">
        <f t="shared" si="17"/>
        <v>0</v>
      </c>
    </row>
    <row r="91" spans="1:6" x14ac:dyDescent="0.3">
      <c r="A91" s="31"/>
      <c r="B91" s="31" t="s">
        <v>42</v>
      </c>
      <c r="C91" s="55">
        <v>4</v>
      </c>
      <c r="D91" s="32" t="s">
        <v>54</v>
      </c>
      <c r="E91" s="41">
        <f t="shared" si="16"/>
        <v>0</v>
      </c>
      <c r="F91" s="51">
        <f>F84*0.15</f>
        <v>0</v>
      </c>
    </row>
    <row r="92" spans="1:6" ht="15" thickBot="1" x14ac:dyDescent="0.35">
      <c r="A92" s="28"/>
      <c r="B92" s="28" t="s">
        <v>32</v>
      </c>
      <c r="C92" s="50">
        <v>1</v>
      </c>
      <c r="D92" s="27" t="s">
        <v>31</v>
      </c>
      <c r="E92" s="41">
        <f t="shared" si="16"/>
        <v>0</v>
      </c>
      <c r="F92" s="51">
        <f>F84*0.09</f>
        <v>0</v>
      </c>
    </row>
    <row r="93" spans="1:6" ht="15" thickBot="1" x14ac:dyDescent="0.35">
      <c r="A93" s="42" t="s">
        <v>47</v>
      </c>
      <c r="B93" s="43"/>
      <c r="C93" s="62">
        <v>1500</v>
      </c>
      <c r="D93" s="37"/>
      <c r="E93" s="38"/>
      <c r="F93" s="59">
        <f>F69*1.05</f>
        <v>0</v>
      </c>
    </row>
    <row r="94" spans="1:6" ht="34.049999999999997" customHeight="1" x14ac:dyDescent="0.3">
      <c r="A94" s="28"/>
      <c r="B94" s="28" t="s">
        <v>55</v>
      </c>
      <c r="C94" s="54">
        <v>10</v>
      </c>
      <c r="D94" s="27" t="s">
        <v>54</v>
      </c>
      <c r="E94" s="40">
        <f>F94/C94</f>
        <v>0</v>
      </c>
      <c r="F94" s="51">
        <f>F93*0.6</f>
        <v>0</v>
      </c>
    </row>
    <row r="95" spans="1:6" x14ac:dyDescent="0.3">
      <c r="A95" s="28"/>
      <c r="B95" s="28" t="s">
        <v>33</v>
      </c>
      <c r="C95" s="50">
        <v>1</v>
      </c>
      <c r="D95" s="27" t="s">
        <v>31</v>
      </c>
      <c r="E95" s="40">
        <f t="shared" ref="E95:E96" si="18">F95/C95</f>
        <v>0</v>
      </c>
      <c r="F95" s="51">
        <f>F93*0.1</f>
        <v>0</v>
      </c>
    </row>
    <row r="96" spans="1:6" ht="15" thickBot="1" x14ac:dyDescent="0.35">
      <c r="A96" s="28"/>
      <c r="B96" s="28" t="s">
        <v>35</v>
      </c>
      <c r="C96" s="56">
        <v>2</v>
      </c>
      <c r="D96" s="27" t="s">
        <v>54</v>
      </c>
      <c r="E96" s="40">
        <f t="shared" si="18"/>
        <v>0</v>
      </c>
      <c r="F96" s="51">
        <f>F93*0.3</f>
        <v>0</v>
      </c>
    </row>
    <row r="97" spans="1:7" s="5" customFormat="1" ht="25.8" thickBot="1" x14ac:dyDescent="0.35">
      <c r="A97" s="34"/>
      <c r="B97" s="44" t="s">
        <v>26</v>
      </c>
      <c r="C97" s="57">
        <v>2</v>
      </c>
      <c r="D97" s="30" t="s">
        <v>54</v>
      </c>
      <c r="E97" s="40">
        <f t="shared" ref="E97" si="19">F97/C97</f>
        <v>0</v>
      </c>
      <c r="F97" s="58">
        <v>0</v>
      </c>
    </row>
    <row r="98" spans="1:7" x14ac:dyDescent="0.3">
      <c r="A98" s="92" t="s">
        <v>51</v>
      </c>
      <c r="B98" s="93"/>
      <c r="C98" s="93"/>
      <c r="D98" s="93"/>
      <c r="E98" s="94"/>
      <c r="F98" s="45">
        <f>F78+F84+F93</f>
        <v>0</v>
      </c>
    </row>
    <row r="99" spans="1:7" x14ac:dyDescent="0.3">
      <c r="A99" s="89"/>
      <c r="B99" s="90"/>
      <c r="C99" s="90"/>
      <c r="D99" s="90"/>
      <c r="E99" s="90"/>
      <c r="F99" s="91"/>
    </row>
    <row r="100" spans="1:7" x14ac:dyDescent="0.3">
      <c r="A100" s="86" t="s">
        <v>17</v>
      </c>
      <c r="B100" s="87"/>
      <c r="C100" s="87"/>
      <c r="D100" s="87"/>
      <c r="E100" s="87"/>
      <c r="F100" s="88"/>
    </row>
    <row r="101" spans="1:7" s="5" customFormat="1" ht="15" thickBot="1" x14ac:dyDescent="0.35">
      <c r="A101" s="46" t="s">
        <v>0</v>
      </c>
      <c r="B101" s="47" t="s">
        <v>1</v>
      </c>
      <c r="C101" s="48" t="s">
        <v>5</v>
      </c>
      <c r="D101" s="47" t="s">
        <v>6</v>
      </c>
      <c r="E101" s="48" t="s">
        <v>2</v>
      </c>
      <c r="F101" s="49" t="s">
        <v>3</v>
      </c>
    </row>
    <row r="102" spans="1:7" ht="15" thickBot="1" x14ac:dyDescent="0.35">
      <c r="A102" s="42" t="s">
        <v>43</v>
      </c>
      <c r="B102" s="43"/>
      <c r="C102" s="62">
        <v>1500</v>
      </c>
      <c r="D102" s="37" t="s">
        <v>10</v>
      </c>
      <c r="E102" s="38"/>
      <c r="F102" s="59">
        <f>F78*1.05</f>
        <v>0</v>
      </c>
    </row>
    <row r="103" spans="1:7" ht="25.2" x14ac:dyDescent="0.3">
      <c r="A103" s="28"/>
      <c r="B103" s="28" t="s">
        <v>46</v>
      </c>
      <c r="C103" s="50">
        <v>2</v>
      </c>
      <c r="D103" s="27" t="s">
        <v>29</v>
      </c>
      <c r="E103" s="40">
        <f>F103/C103</f>
        <v>0</v>
      </c>
      <c r="F103" s="51">
        <f>$F$102*0.2</f>
        <v>0</v>
      </c>
      <c r="G103" s="64"/>
    </row>
    <row r="104" spans="1:7" x14ac:dyDescent="0.3">
      <c r="A104" s="28"/>
      <c r="B104" s="28" t="s">
        <v>44</v>
      </c>
      <c r="C104" s="50">
        <v>2</v>
      </c>
      <c r="D104" s="27" t="s">
        <v>29</v>
      </c>
      <c r="E104" s="40">
        <f t="shared" ref="E104:E107" si="20">F104/C104</f>
        <v>0</v>
      </c>
      <c r="F104" s="51">
        <f t="shared" ref="F104:F107" si="21">$F$102*0.2</f>
        <v>0</v>
      </c>
    </row>
    <row r="105" spans="1:7" x14ac:dyDescent="0.3">
      <c r="A105" s="28"/>
      <c r="B105" s="28" t="s">
        <v>37</v>
      </c>
      <c r="C105" s="50">
        <v>2</v>
      </c>
      <c r="D105" s="27" t="s">
        <v>29</v>
      </c>
      <c r="E105" s="40">
        <f t="shared" si="20"/>
        <v>0</v>
      </c>
      <c r="F105" s="51">
        <f t="shared" si="21"/>
        <v>0</v>
      </c>
    </row>
    <row r="106" spans="1:7" x14ac:dyDescent="0.3">
      <c r="A106" s="28"/>
      <c r="B106" s="28" t="s">
        <v>38</v>
      </c>
      <c r="C106" s="50">
        <v>2</v>
      </c>
      <c r="D106" s="27" t="s">
        <v>29</v>
      </c>
      <c r="E106" s="40">
        <f t="shared" si="20"/>
        <v>0</v>
      </c>
      <c r="F106" s="51">
        <f t="shared" si="21"/>
        <v>0</v>
      </c>
    </row>
    <row r="107" spans="1:7" ht="15" thickBot="1" x14ac:dyDescent="0.35">
      <c r="A107" s="28"/>
      <c r="B107" s="28" t="s">
        <v>45</v>
      </c>
      <c r="C107" s="50">
        <v>2</v>
      </c>
      <c r="D107" s="27" t="s">
        <v>29</v>
      </c>
      <c r="E107" s="40">
        <f t="shared" si="20"/>
        <v>0</v>
      </c>
      <c r="F107" s="51">
        <f t="shared" si="21"/>
        <v>0</v>
      </c>
    </row>
    <row r="108" spans="1:7" ht="15" thickBot="1" x14ac:dyDescent="0.35">
      <c r="A108" s="42" t="s">
        <v>48</v>
      </c>
      <c r="B108" s="43"/>
      <c r="C108" s="62">
        <v>1500</v>
      </c>
      <c r="D108" s="37" t="s">
        <v>10</v>
      </c>
      <c r="E108" s="38"/>
      <c r="F108" s="59">
        <f>F84*1.05</f>
        <v>0</v>
      </c>
    </row>
    <row r="109" spans="1:7" ht="25.2" x14ac:dyDescent="0.3">
      <c r="A109" s="33"/>
      <c r="B109" s="33" t="s">
        <v>34</v>
      </c>
      <c r="C109" s="52">
        <v>2</v>
      </c>
      <c r="D109" s="29" t="s">
        <v>54</v>
      </c>
      <c r="E109" s="41">
        <f>F109/C109</f>
        <v>0</v>
      </c>
      <c r="F109" s="51">
        <f>F108*0.31</f>
        <v>0</v>
      </c>
    </row>
    <row r="110" spans="1:7" x14ac:dyDescent="0.3">
      <c r="A110" s="28"/>
      <c r="B110" s="28" t="s">
        <v>30</v>
      </c>
      <c r="C110" s="50">
        <v>1</v>
      </c>
      <c r="D110" s="27" t="s">
        <v>31</v>
      </c>
      <c r="E110" s="41">
        <f t="shared" ref="E110:E116" si="22">F110/C110</f>
        <v>0</v>
      </c>
      <c r="F110" s="51">
        <f>$F$108*0.09</f>
        <v>0</v>
      </c>
    </row>
    <row r="111" spans="1:7" x14ac:dyDescent="0.3">
      <c r="A111" s="28"/>
      <c r="B111" s="28" t="s">
        <v>39</v>
      </c>
      <c r="C111" s="53">
        <v>1</v>
      </c>
      <c r="D111" s="27" t="s">
        <v>54</v>
      </c>
      <c r="E111" s="41">
        <f t="shared" si="22"/>
        <v>0</v>
      </c>
      <c r="F111" s="51">
        <f t="shared" ref="F111:F114" si="23">$F$108*0.09</f>
        <v>0</v>
      </c>
    </row>
    <row r="112" spans="1:7" x14ac:dyDescent="0.3">
      <c r="A112" s="28"/>
      <c r="B112" s="28" t="s">
        <v>36</v>
      </c>
      <c r="C112" s="54">
        <v>1</v>
      </c>
      <c r="D112" s="27" t="s">
        <v>54</v>
      </c>
      <c r="E112" s="41">
        <f t="shared" si="22"/>
        <v>0</v>
      </c>
      <c r="F112" s="51">
        <f t="shared" si="23"/>
        <v>0</v>
      </c>
    </row>
    <row r="113" spans="1:9" x14ac:dyDescent="0.3">
      <c r="A113" s="28"/>
      <c r="B113" s="28" t="s">
        <v>40</v>
      </c>
      <c r="C113" s="54">
        <v>1</v>
      </c>
      <c r="D113" s="27" t="s">
        <v>31</v>
      </c>
      <c r="E113" s="41">
        <f t="shared" si="22"/>
        <v>0</v>
      </c>
      <c r="F113" s="51">
        <f t="shared" si="23"/>
        <v>0</v>
      </c>
    </row>
    <row r="114" spans="1:9" x14ac:dyDescent="0.3">
      <c r="A114" s="28"/>
      <c r="B114" s="28" t="s">
        <v>41</v>
      </c>
      <c r="C114" s="54">
        <v>1</v>
      </c>
      <c r="D114" s="27" t="s">
        <v>31</v>
      </c>
      <c r="E114" s="41">
        <f t="shared" si="22"/>
        <v>0</v>
      </c>
      <c r="F114" s="51">
        <f t="shared" si="23"/>
        <v>0</v>
      </c>
    </row>
    <row r="115" spans="1:9" x14ac:dyDescent="0.3">
      <c r="A115" s="31"/>
      <c r="B115" s="31" t="s">
        <v>42</v>
      </c>
      <c r="C115" s="55">
        <v>4</v>
      </c>
      <c r="D115" s="32" t="s">
        <v>54</v>
      </c>
      <c r="E115" s="41">
        <f t="shared" si="22"/>
        <v>0</v>
      </c>
      <c r="F115" s="51">
        <f>F108*0.15</f>
        <v>0</v>
      </c>
    </row>
    <row r="116" spans="1:9" ht="15" thickBot="1" x14ac:dyDescent="0.35">
      <c r="A116" s="28"/>
      <c r="B116" s="28" t="s">
        <v>32</v>
      </c>
      <c r="C116" s="50">
        <v>1</v>
      </c>
      <c r="D116" s="27" t="s">
        <v>31</v>
      </c>
      <c r="E116" s="41">
        <f t="shared" si="22"/>
        <v>0</v>
      </c>
      <c r="F116" s="51">
        <f>F108*0.09</f>
        <v>0</v>
      </c>
    </row>
    <row r="117" spans="1:9" ht="15" thickBot="1" x14ac:dyDescent="0.35">
      <c r="A117" s="42" t="s">
        <v>47</v>
      </c>
      <c r="B117" s="43"/>
      <c r="C117" s="62">
        <v>1500</v>
      </c>
      <c r="D117" s="37"/>
      <c r="E117" s="38"/>
      <c r="F117" s="59">
        <f>F93*1.05</f>
        <v>0</v>
      </c>
    </row>
    <row r="118" spans="1:9" ht="28.05" customHeight="1" x14ac:dyDescent="0.3">
      <c r="A118" s="28"/>
      <c r="B118" s="28" t="s">
        <v>55</v>
      </c>
      <c r="C118" s="54">
        <v>10</v>
      </c>
      <c r="D118" s="27" t="s">
        <v>54</v>
      </c>
      <c r="E118" s="40">
        <f>F118/C118</f>
        <v>0</v>
      </c>
      <c r="F118" s="51">
        <f>F117*0.6</f>
        <v>0</v>
      </c>
    </row>
    <row r="119" spans="1:9" x14ac:dyDescent="0.3">
      <c r="A119" s="28"/>
      <c r="B119" s="28" t="s">
        <v>33</v>
      </c>
      <c r="C119" s="50">
        <v>1</v>
      </c>
      <c r="D119" s="27" t="s">
        <v>31</v>
      </c>
      <c r="E119" s="40">
        <f t="shared" ref="E119:E120" si="24">F119/C119</f>
        <v>0</v>
      </c>
      <c r="F119" s="51">
        <f>F117*0.1</f>
        <v>0</v>
      </c>
    </row>
    <row r="120" spans="1:9" ht="15" thickBot="1" x14ac:dyDescent="0.35">
      <c r="A120" s="28"/>
      <c r="B120" s="28" t="s">
        <v>35</v>
      </c>
      <c r="C120" s="56">
        <v>2</v>
      </c>
      <c r="D120" s="27" t="s">
        <v>54</v>
      </c>
      <c r="E120" s="40">
        <f t="shared" si="24"/>
        <v>0</v>
      </c>
      <c r="F120" s="51">
        <f>F117*0.3</f>
        <v>0</v>
      </c>
    </row>
    <row r="121" spans="1:9" s="5" customFormat="1" ht="25.8" thickBot="1" x14ac:dyDescent="0.35">
      <c r="A121" s="34"/>
      <c r="B121" s="44" t="s">
        <v>26</v>
      </c>
      <c r="C121" s="57">
        <v>2</v>
      </c>
      <c r="D121" s="30" t="s">
        <v>54</v>
      </c>
      <c r="E121" s="40">
        <f t="shared" ref="E121" si="25">F121/C121</f>
        <v>0</v>
      </c>
      <c r="F121" s="58">
        <v>0</v>
      </c>
    </row>
    <row r="122" spans="1:9" x14ac:dyDescent="0.3">
      <c r="A122" s="95" t="s">
        <v>53</v>
      </c>
      <c r="B122" s="96"/>
      <c r="C122" s="96"/>
      <c r="D122" s="96"/>
      <c r="E122" s="97"/>
      <c r="F122" s="26">
        <f>F102+F108+F117</f>
        <v>0</v>
      </c>
    </row>
    <row r="123" spans="1:9" x14ac:dyDescent="0.3">
      <c r="A123" s="7"/>
      <c r="B123" s="7"/>
      <c r="C123" s="7"/>
      <c r="D123" s="7"/>
      <c r="E123" s="7"/>
      <c r="F123" s="8"/>
    </row>
    <row r="124" spans="1:9" ht="15.6" x14ac:dyDescent="0.3">
      <c r="A124" s="98" t="s">
        <v>7</v>
      </c>
      <c r="B124" s="98"/>
      <c r="C124" s="98"/>
      <c r="D124" s="98"/>
      <c r="E124" s="99"/>
      <c r="F124" s="21">
        <f>F26+F50+F74+F98+F122</f>
        <v>0</v>
      </c>
      <c r="I124" s="65"/>
    </row>
  </sheetData>
  <mergeCells count="18">
    <mergeCell ref="A98:E98"/>
    <mergeCell ref="A122:E122"/>
    <mergeCell ref="A124:E124"/>
    <mergeCell ref="A100:F100"/>
    <mergeCell ref="A99:F99"/>
    <mergeCell ref="A1:F1"/>
    <mergeCell ref="A2:F2"/>
    <mergeCell ref="A3:F3"/>
    <mergeCell ref="A4:F4"/>
    <mergeCell ref="A27:F27"/>
    <mergeCell ref="A26:E26"/>
    <mergeCell ref="A28:F28"/>
    <mergeCell ref="A51:F51"/>
    <mergeCell ref="A52:F52"/>
    <mergeCell ref="A75:F75"/>
    <mergeCell ref="A76:F76"/>
    <mergeCell ref="A50:E50"/>
    <mergeCell ref="A74:E74"/>
  </mergeCells>
  <pageMargins left="0.7" right="0.7" top="0.75" bottom="0.75" header="0.3" footer="0.3"/>
  <pageSetup scale="71"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CLINS</vt:lpstr>
      <vt:lpstr>BEEVILLE</vt:lpstr>
      <vt:lpstr>BEEVILLE!Print_Area</vt:lpstr>
    </vt:vector>
  </TitlesOfParts>
  <Company>USACE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m2odwjtb</dc:creator>
  <cp:lastModifiedBy>Preston, Christopher R II CIV USARMY CESWF (USA)</cp:lastModifiedBy>
  <cp:lastPrinted>2026-04-14T19:00:53Z</cp:lastPrinted>
  <dcterms:created xsi:type="dcterms:W3CDTF">2013-12-03T15:51:09Z</dcterms:created>
  <dcterms:modified xsi:type="dcterms:W3CDTF">2026-05-04T15:28:30Z</dcterms:modified>
</cp:coreProperties>
</file>