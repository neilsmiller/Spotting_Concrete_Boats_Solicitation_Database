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armyeitaas-my.sharepoint-mil.us/personal/jessica_l_mchugh_civ_army_mil/Documents/Desktop/My contracts/W51AA1-26-Q-A037 Tower Inspection/Attachments/"/>
    </mc:Choice>
  </mc:AlternateContent>
  <xr:revisionPtr revIDLastSave="114" documentId="8_{CC080899-50F1-4C24-9EF4-73B2A3267AED}" xr6:coauthVersionLast="47" xr6:coauthVersionMax="47" xr10:uidLastSave="{488C5B79-5104-4854-9AC3-CC6DCB8AE77D}"/>
  <bookViews>
    <workbookView xWindow="28680" yWindow="60" windowWidth="29040" windowHeight="15540" xr2:uid="{00000000-000D-0000-FFFF-FFFF00000000}"/>
  </bookViews>
  <sheets>
    <sheet name="Pricing Workshe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 l="1"/>
  <c r="I31" i="1"/>
  <c r="I15" i="1"/>
  <c r="I23" i="1"/>
  <c r="I6" i="1"/>
  <c r="N31" i="1"/>
  <c r="N23" i="1"/>
  <c r="N39" i="1" l="1"/>
  <c r="N15" i="1"/>
  <c r="N6" i="1"/>
  <c r="N48" i="1" l="1"/>
  <c r="N50" i="1" l="1"/>
</calcChain>
</file>

<file path=xl/sharedStrings.xml><?xml version="1.0" encoding="utf-8"?>
<sst xmlns="http://schemas.openxmlformats.org/spreadsheetml/2006/main" count="72" uniqueCount="28">
  <si>
    <t>Price per Hood</t>
  </si>
  <si>
    <t>Location</t>
  </si>
  <si>
    <t>Loaded Labor Rate</t>
  </si>
  <si>
    <t>Number of Hours</t>
  </si>
  <si>
    <t>Total Evaluated Price (TEP)</t>
  </si>
  <si>
    <t>CLIN0001 Base Yr (FFP)</t>
  </si>
  <si>
    <t>CLIN0002 Base Yr (T&amp;M)</t>
  </si>
  <si>
    <t>ATTACHMENT 2  PRICING SHEET</t>
  </si>
  <si>
    <t>CLIN1001 Option Yr1 (FFP)</t>
  </si>
  <si>
    <t>CLIN1002 Option Yr 1 (T&amp;M)</t>
  </si>
  <si>
    <t>CLIN2002 Option Yr 2 (T&amp;M)</t>
  </si>
  <si>
    <t>CLIN2001 Option Yr2 (FFP)</t>
  </si>
  <si>
    <t>CLIN3001 Option Yr 3 (FFP)</t>
  </si>
  <si>
    <t>CLIN3002 Option Yr 3 (T&amp;M)</t>
  </si>
  <si>
    <t>CLIN4001 Option Yr 4 (FFP)</t>
  </si>
  <si>
    <t>CLIN4002 Option Yr 4 (T&amp;M)</t>
  </si>
  <si>
    <t>6-Month Option To extend Services</t>
  </si>
  <si>
    <t>** This attachment shall be included as part of the offeror's submission.</t>
  </si>
  <si>
    <t>W51AA126QA037</t>
  </si>
  <si>
    <t>Tower/Platform Inspections</t>
  </si>
  <si>
    <t>330 FT Tower</t>
  </si>
  <si>
    <t>LMR Tower</t>
  </si>
  <si>
    <t>Bldg. 32 Platform</t>
  </si>
  <si>
    <t>Bldg. 31 Platform</t>
  </si>
  <si>
    <t>Tower Track Tower</t>
  </si>
  <si>
    <t>Note: TEP will be used for "EVALUATION PURPOSES ONLY" as it includes an estimate for time and materials  (T&amp;M) for tower/platform repairs.  Tower repairs are on-call service and actual hours performed can vary based on work orders issued. All Funding for repair work will be approved by the Contracting Officer Representative (COR) prior to commencement of any work.</t>
  </si>
  <si>
    <t>Tower/Platform Inspection &amp; Repair</t>
  </si>
  <si>
    <t>On-Call Repairs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</si>
</sst>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sz val="9"/>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9" tint="0.59999389629810485"/>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43" fontId="1" fillId="0" borderId="0" applyFont="0" applyFill="0" applyBorder="0" applyAlignment="0" applyProtection="0"/>
  </cellStyleXfs>
  <cellXfs count="20">
    <xf numFmtId="0" fontId="0" fillId="0" borderId="0" xfId="0"/>
    <xf numFmtId="0" fontId="0" fillId="0" borderId="0" xfId="0" applyAlignment="1">
      <alignment wrapText="1"/>
    </xf>
    <xf numFmtId="44" fontId="0" fillId="0" borderId="0" xfId="1" applyFont="1"/>
    <xf numFmtId="44" fontId="0" fillId="0" borderId="0" xfId="0" applyNumberFormat="1"/>
    <xf numFmtId="44" fontId="0" fillId="0" borderId="0" xfId="1" applyFont="1" applyFill="1" applyProtection="1">
      <protection locked="0"/>
    </xf>
    <xf numFmtId="44" fontId="2" fillId="0" borderId="0" xfId="1" applyFont="1"/>
    <xf numFmtId="0" fontId="2" fillId="2" borderId="0" xfId="0" applyFont="1" applyFill="1"/>
    <xf numFmtId="44" fontId="2" fillId="2" borderId="0" xfId="0" applyNumberFormat="1" applyFont="1" applyFill="1"/>
    <xf numFmtId="0" fontId="0" fillId="0" borderId="0" xfId="0" applyAlignment="1">
      <alignment vertical="top" wrapText="1"/>
    </xf>
    <xf numFmtId="0" fontId="0" fillId="3" borderId="0" xfId="0" applyFill="1" applyAlignment="1">
      <alignment wrapText="1"/>
    </xf>
    <xf numFmtId="0" fontId="0" fillId="3" borderId="0" xfId="0" applyFill="1"/>
    <xf numFmtId="164" fontId="0" fillId="0" borderId="0" xfId="2" applyNumberFormat="1" applyFont="1"/>
    <xf numFmtId="0" fontId="2" fillId="0" borderId="0" xfId="0" applyFont="1"/>
    <xf numFmtId="44" fontId="0" fillId="4" borderId="0" xfId="1" applyFont="1" applyFill="1" applyProtection="1">
      <protection locked="0"/>
    </xf>
    <xf numFmtId="0" fontId="3" fillId="0" borderId="0" xfId="0" applyFont="1"/>
    <xf numFmtId="0" fontId="0" fillId="2" borderId="0" xfId="0" applyFill="1"/>
    <xf numFmtId="44" fontId="2" fillId="2" borderId="0" xfId="1" applyFont="1" applyFill="1"/>
    <xf numFmtId="0" fontId="0" fillId="0" borderId="0" xfId="0" applyAlignment="1">
      <alignment horizontal="center"/>
    </xf>
    <xf numFmtId="0" fontId="4" fillId="2" borderId="0" xfId="0" applyFont="1" applyFill="1" applyAlignment="1">
      <alignment horizontal="left" vertical="top" wrapText="1"/>
    </xf>
    <xf numFmtId="44" fontId="0" fillId="4" borderId="0" xfId="1" applyFont="1" applyFill="1"/>
  </cellXfs>
  <cellStyles count="3">
    <cellStyle name="Comma" xfId="2" builtinId="3"/>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28575</xdr:colOff>
      <xdr:row>51</xdr:row>
      <xdr:rowOff>152400</xdr:rowOff>
    </xdr:from>
    <xdr:to>
      <xdr:col>12</xdr:col>
      <xdr:colOff>123825</xdr:colOff>
      <xdr:row>65</xdr:row>
      <xdr:rowOff>76200</xdr:rowOff>
    </xdr:to>
    <xdr:sp macro="" textlink="">
      <xdr:nvSpPr>
        <xdr:cNvPr id="2" name="TextBox 1">
          <a:extLst>
            <a:ext uri="{FF2B5EF4-FFF2-40B4-BE49-F238E27FC236}">
              <a16:creationId xmlns:a16="http://schemas.microsoft.com/office/drawing/2014/main" id="{5A592165-5856-1C56-BC9B-265D102F5F1F}"/>
            </a:ext>
          </a:extLst>
        </xdr:cNvPr>
        <xdr:cNvSpPr txBox="1"/>
      </xdr:nvSpPr>
      <xdr:spPr>
        <a:xfrm>
          <a:off x="1428750" y="16535400"/>
          <a:ext cx="7515225" cy="26289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t>Entries are Required in the Green Shaded cells.</a:t>
          </a:r>
        </a:p>
        <a:p>
          <a:endParaRPr lang="en-US" sz="1000"/>
        </a:p>
        <a:p>
          <a:r>
            <a:rPr lang="en-US" sz="1000"/>
            <a:t>Enter an HOURLY LABOR RATE for performing repair work IAW PWS Section 5.3 (On Call Repairs). This should be a fully burdened rate for each hour of labor</a:t>
          </a:r>
          <a:r>
            <a:rPr lang="en-US" sz="1000" baseline="0"/>
            <a:t>. Labor rates proposed will be the labor rate authorized to be charged against that CLIN. </a:t>
          </a:r>
          <a:r>
            <a:rPr lang="en-US" sz="1000"/>
            <a:t>The hours estimated for the tower/platform</a:t>
          </a:r>
          <a:r>
            <a:rPr lang="en-US" sz="1000" baseline="0"/>
            <a:t> repairs </a:t>
          </a:r>
          <a:r>
            <a:rPr lang="en-US" sz="1000"/>
            <a:t>is strictly for use in evaluating offers and will not restrict or obligate the Government to a specified number of hours in any way. </a:t>
          </a:r>
        </a:p>
        <a:p>
          <a:endParaRPr lang="en-US" sz="1000"/>
        </a:p>
        <a:p>
          <a:r>
            <a:rPr lang="en-US" sz="1000"/>
            <a:t>As part of the price</a:t>
          </a:r>
          <a:r>
            <a:rPr lang="en-US" sz="1000" baseline="0"/>
            <a:t> evaluation, the Government will evaluate the option to extend services under clause 52.217-8 by adding one-half of the offeror's final option period price to the offeror's total price. Thus, the offeror's total price for the purpose of evaluation will include the base and option year periods, and one-half of the last extension option.</a:t>
          </a:r>
          <a:endParaRPr lang="en-US" sz="1000"/>
        </a:p>
        <a:p>
          <a:endParaRPr lang="en-US" sz="1000"/>
        </a:p>
        <a:p>
          <a:r>
            <a:rPr lang="en-US" sz="1000"/>
            <a:t>REMINDER:</a:t>
          </a:r>
          <a:r>
            <a:rPr lang="en-US" sz="1000" baseline="0"/>
            <a:t> Service Contract Labor Standards, FAR 37.107 and 41 USC Chapter 67, Service Contract Labor Standards, provides for minimum wages and fringe benefits as well as other conditions of work under certain types of service contracts. Service Contract Labor Standards are applicable to this acquisition. </a:t>
          </a:r>
          <a:endParaRPr lang="en-US" sz="1000"/>
        </a:p>
      </xdr:txBody>
    </xdr:sp>
    <xdr:clientData/>
  </xdr:twoCellAnchor>
  <xdr:twoCellAnchor>
    <xdr:from>
      <xdr:col>7</xdr:col>
      <xdr:colOff>0</xdr:colOff>
      <xdr:row>1</xdr:row>
      <xdr:rowOff>66675</xdr:rowOff>
    </xdr:from>
    <xdr:to>
      <xdr:col>13</xdr:col>
      <xdr:colOff>1009650</xdr:colOff>
      <xdr:row>3</xdr:row>
      <xdr:rowOff>171450</xdr:rowOff>
    </xdr:to>
    <xdr:sp macro="" textlink="">
      <xdr:nvSpPr>
        <xdr:cNvPr id="3" name="TextBox 2">
          <a:extLst>
            <a:ext uri="{FF2B5EF4-FFF2-40B4-BE49-F238E27FC236}">
              <a16:creationId xmlns:a16="http://schemas.microsoft.com/office/drawing/2014/main" id="{3D1397C5-55B2-4693-5005-016B6BC09B7E}"/>
            </a:ext>
          </a:extLst>
        </xdr:cNvPr>
        <xdr:cNvSpPr txBox="1"/>
      </xdr:nvSpPr>
      <xdr:spPr>
        <a:xfrm>
          <a:off x="5353050" y="257175"/>
          <a:ext cx="5295900" cy="485775"/>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Instructions: Offerors are instructed to fill in the green</a:t>
          </a:r>
          <a:r>
            <a:rPr lang="en-US" sz="1100" baseline="0"/>
            <a:t> shaded cells. </a:t>
          </a:r>
        </a:p>
        <a:p>
          <a:r>
            <a:rPr lang="en-US" sz="1100" baseline="0"/>
            <a:t>The pricing shall also be populated on the signed SF1449.</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2:U62"/>
  <sheetViews>
    <sheetView showGridLines="0" tabSelected="1" zoomScaleNormal="100" workbookViewId="0">
      <selection activeCell="M40" sqref="M40"/>
    </sheetView>
  </sheetViews>
  <sheetFormatPr defaultRowHeight="15" x14ac:dyDescent="0.25"/>
  <cols>
    <col min="2" max="2" width="11.85546875" customWidth="1"/>
    <col min="7" max="7" width="11.140625" customWidth="1"/>
    <col min="8" max="8" width="11.5703125" customWidth="1"/>
    <col min="9" max="9" width="11.5703125" bestFit="1" customWidth="1"/>
    <col min="11" max="11" width="10.5703125" customWidth="1"/>
    <col min="13" max="13" width="12.28515625" customWidth="1"/>
    <col min="14" max="14" width="19" style="2" customWidth="1"/>
  </cols>
  <sheetData>
    <row r="2" spans="2:14" x14ac:dyDescent="0.25">
      <c r="B2" s="12" t="s">
        <v>26</v>
      </c>
    </row>
    <row r="3" spans="2:14" x14ac:dyDescent="0.25">
      <c r="B3" s="12" t="s">
        <v>18</v>
      </c>
    </row>
    <row r="4" spans="2:14" x14ac:dyDescent="0.25">
      <c r="B4" s="12" t="s">
        <v>7</v>
      </c>
    </row>
    <row r="5" spans="2:14" x14ac:dyDescent="0.25">
      <c r="B5" s="14" t="s">
        <v>17</v>
      </c>
    </row>
    <row r="6" spans="2:14" ht="45" x14ac:dyDescent="0.25">
      <c r="B6" s="9" t="s">
        <v>5</v>
      </c>
      <c r="C6" s="10" t="s">
        <v>19</v>
      </c>
      <c r="D6" s="10"/>
      <c r="E6" s="10"/>
      <c r="F6" s="10"/>
      <c r="I6" s="7">
        <f>SUM(G8:G12)</f>
        <v>0</v>
      </c>
      <c r="K6" s="9" t="s">
        <v>6</v>
      </c>
      <c r="L6" s="10" t="s">
        <v>27</v>
      </c>
      <c r="M6" s="10"/>
      <c r="N6" s="16">
        <f>M7*M8</f>
        <v>0</v>
      </c>
    </row>
    <row r="7" spans="2:14" ht="30" x14ac:dyDescent="0.25">
      <c r="D7" t="s">
        <v>1</v>
      </c>
      <c r="G7" s="1" t="s">
        <v>0</v>
      </c>
      <c r="H7" s="1"/>
      <c r="K7" s="17" t="s">
        <v>2</v>
      </c>
      <c r="L7" s="17"/>
      <c r="M7" s="13"/>
    </row>
    <row r="8" spans="2:14" x14ac:dyDescent="0.25">
      <c r="D8" t="s">
        <v>20</v>
      </c>
      <c r="G8" s="13"/>
      <c r="I8" s="3"/>
      <c r="K8" s="17" t="s">
        <v>3</v>
      </c>
      <c r="L8" s="17"/>
      <c r="M8" s="11">
        <v>50</v>
      </c>
    </row>
    <row r="9" spans="2:14" x14ac:dyDescent="0.25">
      <c r="D9" t="s">
        <v>21</v>
      </c>
      <c r="G9" s="13"/>
      <c r="I9" s="3"/>
    </row>
    <row r="10" spans="2:14" x14ac:dyDescent="0.25">
      <c r="D10" t="s">
        <v>22</v>
      </c>
      <c r="G10" s="13"/>
      <c r="I10" s="3"/>
    </row>
    <row r="11" spans="2:14" x14ac:dyDescent="0.25">
      <c r="D11" t="s">
        <v>23</v>
      </c>
      <c r="G11" s="13"/>
      <c r="I11" s="3"/>
    </row>
    <row r="12" spans="2:14" x14ac:dyDescent="0.25">
      <c r="D12" t="s">
        <v>24</v>
      </c>
      <c r="G12" s="13"/>
      <c r="I12" s="3"/>
    </row>
    <row r="13" spans="2:14" x14ac:dyDescent="0.25">
      <c r="I13" s="3"/>
    </row>
    <row r="15" spans="2:14" ht="45" x14ac:dyDescent="0.25">
      <c r="B15" s="9" t="s">
        <v>8</v>
      </c>
      <c r="C15" s="10" t="s">
        <v>19</v>
      </c>
      <c r="D15" s="10"/>
      <c r="E15" s="10"/>
      <c r="F15" s="10"/>
      <c r="I15" s="16">
        <f>SUM(G17:G21)</f>
        <v>0</v>
      </c>
      <c r="K15" s="9" t="s">
        <v>9</v>
      </c>
      <c r="L15" s="10" t="s">
        <v>27</v>
      </c>
      <c r="M15" s="10"/>
      <c r="N15" s="16">
        <f>M16*M17</f>
        <v>0</v>
      </c>
    </row>
    <row r="16" spans="2:14" ht="30" x14ac:dyDescent="0.25">
      <c r="D16" t="s">
        <v>1</v>
      </c>
      <c r="G16" s="1" t="s">
        <v>0</v>
      </c>
      <c r="H16" s="1"/>
      <c r="K16" t="s">
        <v>2</v>
      </c>
      <c r="M16" s="13"/>
    </row>
    <row r="17" spans="2:15" x14ac:dyDescent="0.25">
      <c r="D17" t="s">
        <v>20</v>
      </c>
      <c r="G17" s="19"/>
      <c r="I17" s="2"/>
      <c r="K17" s="17" t="s">
        <v>3</v>
      </c>
      <c r="L17" s="17"/>
      <c r="M17" s="11">
        <v>50</v>
      </c>
      <c r="O17" s="4"/>
    </row>
    <row r="18" spans="2:15" x14ac:dyDescent="0.25">
      <c r="D18" t="s">
        <v>21</v>
      </c>
      <c r="G18" s="13"/>
      <c r="I18" s="2"/>
      <c r="O18" s="4"/>
    </row>
    <row r="19" spans="2:15" x14ac:dyDescent="0.25">
      <c r="D19" t="s">
        <v>22</v>
      </c>
      <c r="G19" s="13"/>
      <c r="I19" s="2"/>
      <c r="O19" s="4"/>
    </row>
    <row r="20" spans="2:15" x14ac:dyDescent="0.25">
      <c r="D20" t="s">
        <v>23</v>
      </c>
      <c r="G20" s="13"/>
      <c r="I20" s="2"/>
      <c r="O20" s="4"/>
    </row>
    <row r="21" spans="2:15" x14ac:dyDescent="0.25">
      <c r="D21" t="s">
        <v>24</v>
      </c>
      <c r="G21" s="13"/>
      <c r="I21" s="2"/>
      <c r="O21" s="4"/>
    </row>
    <row r="22" spans="2:15" x14ac:dyDescent="0.25">
      <c r="I22" s="3"/>
    </row>
    <row r="23" spans="2:15" ht="45" x14ac:dyDescent="0.25">
      <c r="B23" s="9" t="s">
        <v>11</v>
      </c>
      <c r="C23" s="10" t="s">
        <v>19</v>
      </c>
      <c r="D23" s="10"/>
      <c r="E23" s="10"/>
      <c r="F23" s="10"/>
      <c r="I23" s="16">
        <f>SUM(G25:G29)</f>
        <v>0</v>
      </c>
      <c r="K23" s="9" t="s">
        <v>10</v>
      </c>
      <c r="L23" s="10" t="s">
        <v>27</v>
      </c>
      <c r="M23" s="10"/>
      <c r="N23" s="16">
        <f>M24*M25</f>
        <v>0</v>
      </c>
    </row>
    <row r="24" spans="2:15" ht="30" x14ac:dyDescent="0.25">
      <c r="D24" t="s">
        <v>1</v>
      </c>
      <c r="G24" s="1" t="s">
        <v>0</v>
      </c>
      <c r="H24" s="1"/>
      <c r="I24" s="3"/>
      <c r="K24" s="17" t="s">
        <v>2</v>
      </c>
      <c r="L24" s="17"/>
      <c r="M24" s="13"/>
    </row>
    <row r="25" spans="2:15" x14ac:dyDescent="0.25">
      <c r="D25" t="s">
        <v>20</v>
      </c>
      <c r="G25" s="13"/>
      <c r="I25" s="3"/>
      <c r="K25" s="17" t="s">
        <v>3</v>
      </c>
      <c r="L25" s="17"/>
      <c r="M25" s="11">
        <v>50</v>
      </c>
    </row>
    <row r="26" spans="2:15" x14ac:dyDescent="0.25">
      <c r="D26" t="s">
        <v>21</v>
      </c>
      <c r="G26" s="13"/>
      <c r="I26" s="3"/>
      <c r="K26" s="17"/>
      <c r="L26" s="17"/>
      <c r="M26" s="3"/>
    </row>
    <row r="27" spans="2:15" x14ac:dyDescent="0.25">
      <c r="D27" t="s">
        <v>22</v>
      </c>
      <c r="G27" s="13"/>
      <c r="I27" s="3"/>
    </row>
    <row r="28" spans="2:15" x14ac:dyDescent="0.25">
      <c r="D28" t="s">
        <v>23</v>
      </c>
      <c r="G28" s="13"/>
      <c r="I28" s="3"/>
    </row>
    <row r="29" spans="2:15" x14ac:dyDescent="0.25">
      <c r="D29" t="s">
        <v>24</v>
      </c>
      <c r="G29" s="13"/>
    </row>
    <row r="30" spans="2:15" x14ac:dyDescent="0.25">
      <c r="G30" s="4"/>
      <c r="I30" s="2"/>
    </row>
    <row r="31" spans="2:15" ht="45" x14ac:dyDescent="0.25">
      <c r="B31" s="9" t="s">
        <v>12</v>
      </c>
      <c r="C31" s="10" t="s">
        <v>19</v>
      </c>
      <c r="D31" s="10"/>
      <c r="E31" s="10"/>
      <c r="F31" s="10"/>
      <c r="I31" s="7">
        <f>SUM(G33:G37)</f>
        <v>0</v>
      </c>
      <c r="K31" s="9" t="s">
        <v>13</v>
      </c>
      <c r="L31" s="10" t="s">
        <v>27</v>
      </c>
      <c r="M31" s="10"/>
      <c r="N31" s="16">
        <f>M32*M33</f>
        <v>0</v>
      </c>
    </row>
    <row r="32" spans="2:15" ht="30" x14ac:dyDescent="0.25">
      <c r="D32" t="s">
        <v>1</v>
      </c>
      <c r="G32" s="1" t="s">
        <v>0</v>
      </c>
      <c r="H32" s="1"/>
      <c r="K32" s="17" t="s">
        <v>2</v>
      </c>
      <c r="L32" s="17"/>
      <c r="M32" s="13"/>
    </row>
    <row r="33" spans="2:14" x14ac:dyDescent="0.25">
      <c r="D33" t="s">
        <v>20</v>
      </c>
      <c r="G33" s="13"/>
      <c r="I33" s="3"/>
      <c r="K33" s="17" t="s">
        <v>3</v>
      </c>
      <c r="L33" s="17"/>
      <c r="M33" s="11">
        <v>50</v>
      </c>
    </row>
    <row r="34" spans="2:14" x14ac:dyDescent="0.25">
      <c r="D34" t="s">
        <v>21</v>
      </c>
      <c r="G34" s="13"/>
      <c r="I34" s="3"/>
      <c r="K34" s="17"/>
      <c r="L34" s="17"/>
      <c r="M34" s="3"/>
    </row>
    <row r="35" spans="2:14" x14ac:dyDescent="0.25">
      <c r="D35" t="s">
        <v>22</v>
      </c>
      <c r="G35" s="13"/>
      <c r="I35" s="3"/>
    </row>
    <row r="36" spans="2:14" x14ac:dyDescent="0.25">
      <c r="D36" t="s">
        <v>23</v>
      </c>
      <c r="G36" s="13"/>
      <c r="I36" s="3"/>
    </row>
    <row r="37" spans="2:14" x14ac:dyDescent="0.25">
      <c r="D37" t="s">
        <v>24</v>
      </c>
      <c r="G37" s="13"/>
      <c r="I37" s="3"/>
    </row>
    <row r="39" spans="2:14" ht="45" x14ac:dyDescent="0.25">
      <c r="B39" s="9" t="s">
        <v>14</v>
      </c>
      <c r="C39" s="10" t="s">
        <v>19</v>
      </c>
      <c r="D39" s="10"/>
      <c r="E39" s="10"/>
      <c r="F39" s="10"/>
      <c r="I39" s="7">
        <f>SUM(G41:G45)</f>
        <v>0</v>
      </c>
      <c r="K39" s="9" t="s">
        <v>15</v>
      </c>
      <c r="L39" s="10" t="s">
        <v>27</v>
      </c>
      <c r="M39" s="10"/>
      <c r="N39" s="16">
        <f>M40*M41</f>
        <v>0</v>
      </c>
    </row>
    <row r="40" spans="2:14" ht="30" x14ac:dyDescent="0.25">
      <c r="D40" t="s">
        <v>1</v>
      </c>
      <c r="G40" s="1" t="s">
        <v>0</v>
      </c>
      <c r="H40" s="1"/>
      <c r="K40" s="17" t="s">
        <v>2</v>
      </c>
      <c r="L40" s="17"/>
      <c r="M40" s="13"/>
    </row>
    <row r="41" spans="2:14" x14ac:dyDescent="0.25">
      <c r="D41" t="s">
        <v>20</v>
      </c>
      <c r="G41" s="13"/>
      <c r="I41" s="3"/>
      <c r="K41" s="17" t="s">
        <v>3</v>
      </c>
      <c r="L41" s="17"/>
      <c r="M41" s="11">
        <v>50</v>
      </c>
    </row>
    <row r="42" spans="2:14" x14ac:dyDescent="0.25">
      <c r="D42" t="s">
        <v>21</v>
      </c>
      <c r="G42" s="13"/>
      <c r="I42" s="3"/>
      <c r="K42" s="17"/>
      <c r="L42" s="17"/>
      <c r="M42" s="3"/>
    </row>
    <row r="43" spans="2:14" x14ac:dyDescent="0.25">
      <c r="D43" t="s">
        <v>22</v>
      </c>
      <c r="G43" s="13"/>
      <c r="I43" s="3"/>
    </row>
    <row r="44" spans="2:14" x14ac:dyDescent="0.25">
      <c r="D44" t="s">
        <v>23</v>
      </c>
      <c r="G44" s="13"/>
      <c r="I44" s="3"/>
    </row>
    <row r="45" spans="2:14" x14ac:dyDescent="0.25">
      <c r="D45" t="s">
        <v>24</v>
      </c>
      <c r="G45" s="13"/>
      <c r="I45" s="3"/>
    </row>
    <row r="46" spans="2:14" x14ac:dyDescent="0.25">
      <c r="G46" s="4"/>
      <c r="I46" s="3"/>
    </row>
    <row r="47" spans="2:14" x14ac:dyDescent="0.25">
      <c r="G47" s="4"/>
      <c r="I47" s="3"/>
    </row>
    <row r="48" spans="2:14" x14ac:dyDescent="0.25">
      <c r="K48" s="6" t="s">
        <v>16</v>
      </c>
      <c r="L48" s="15"/>
      <c r="M48" s="15"/>
      <c r="N48" s="16">
        <f>(I39+N39)/2</f>
        <v>0</v>
      </c>
    </row>
    <row r="50" spans="3:21" x14ac:dyDescent="0.25">
      <c r="J50" s="6" t="s">
        <v>4</v>
      </c>
      <c r="K50" s="6"/>
      <c r="L50" s="6"/>
      <c r="M50" s="7"/>
      <c r="N50" s="5">
        <f>I6+N6+I15+N15+I23+N23+I31+N31+I39+N39+N48</f>
        <v>0</v>
      </c>
      <c r="O50" s="18" t="s">
        <v>25</v>
      </c>
      <c r="P50" s="18"/>
      <c r="Q50" s="18"/>
      <c r="R50" s="18"/>
      <c r="S50" s="18"/>
      <c r="T50" s="18"/>
      <c r="U50" s="18"/>
    </row>
    <row r="51" spans="3:21" x14ac:dyDescent="0.25">
      <c r="O51" s="18"/>
      <c r="P51" s="18"/>
      <c r="Q51" s="18"/>
      <c r="R51" s="18"/>
      <c r="S51" s="18"/>
      <c r="T51" s="18"/>
      <c r="U51" s="18"/>
    </row>
    <row r="52" spans="3:21" ht="15" customHeight="1" x14ac:dyDescent="0.25">
      <c r="O52" s="18"/>
      <c r="P52" s="18"/>
      <c r="Q52" s="18"/>
      <c r="R52" s="18"/>
      <c r="S52" s="18"/>
      <c r="T52" s="18"/>
      <c r="U52" s="18"/>
    </row>
    <row r="53" spans="3:21" x14ac:dyDescent="0.25">
      <c r="O53" s="18"/>
      <c r="P53" s="18"/>
      <c r="Q53" s="18"/>
      <c r="R53" s="18"/>
      <c r="S53" s="18"/>
      <c r="T53" s="18"/>
      <c r="U53" s="18"/>
    </row>
    <row r="54" spans="3:21" ht="18" customHeight="1" x14ac:dyDescent="0.25">
      <c r="C54" s="1"/>
      <c r="D54" s="1"/>
      <c r="E54" s="1"/>
      <c r="F54" s="1"/>
      <c r="G54" s="1"/>
      <c r="H54" s="1"/>
      <c r="I54" s="1"/>
      <c r="J54" s="1"/>
      <c r="K54" s="1"/>
      <c r="O54" s="18"/>
      <c r="P54" s="18"/>
      <c r="Q54" s="18"/>
      <c r="R54" s="18"/>
      <c r="S54" s="18"/>
      <c r="T54" s="18"/>
      <c r="U54" s="18"/>
    </row>
    <row r="55" spans="3:21" ht="19.5" hidden="1" customHeight="1" x14ac:dyDescent="0.25">
      <c r="C55" s="1"/>
      <c r="D55" s="1"/>
      <c r="E55" s="1"/>
      <c r="F55" s="1"/>
      <c r="G55" s="1"/>
      <c r="H55" s="1"/>
      <c r="I55" s="1"/>
      <c r="J55" s="1"/>
      <c r="K55" s="1"/>
      <c r="O55" s="18"/>
      <c r="P55" s="18"/>
      <c r="Q55" s="18"/>
      <c r="R55" s="18"/>
      <c r="S55" s="18"/>
      <c r="T55" s="18"/>
      <c r="U55" s="18"/>
    </row>
    <row r="56" spans="3:21" ht="15" customHeight="1" x14ac:dyDescent="0.25">
      <c r="C56" s="1"/>
      <c r="D56" s="1"/>
      <c r="E56" s="1"/>
      <c r="F56" s="1"/>
      <c r="G56" s="1"/>
      <c r="H56" s="1"/>
      <c r="I56" s="1"/>
      <c r="J56" s="1"/>
      <c r="K56" s="1"/>
    </row>
    <row r="57" spans="3:21" ht="15.75" customHeight="1" x14ac:dyDescent="0.25">
      <c r="C57" s="1"/>
      <c r="D57" s="1"/>
      <c r="E57" s="1"/>
      <c r="F57" s="1"/>
      <c r="G57" s="1"/>
      <c r="H57" s="1"/>
      <c r="I57" s="1"/>
      <c r="J57" s="1"/>
      <c r="K57" s="1"/>
    </row>
    <row r="58" spans="3:21" x14ac:dyDescent="0.25">
      <c r="C58" s="1"/>
      <c r="D58" s="1"/>
      <c r="E58" s="1"/>
      <c r="F58" s="1"/>
      <c r="G58" s="1"/>
      <c r="H58" s="1"/>
      <c r="I58" s="1"/>
      <c r="J58" s="1"/>
      <c r="K58" s="1"/>
      <c r="L58" s="8"/>
      <c r="M58" s="8"/>
    </row>
    <row r="59" spans="3:21" x14ac:dyDescent="0.25">
      <c r="C59" s="1"/>
      <c r="D59" s="1"/>
      <c r="E59" s="1"/>
      <c r="F59" s="1"/>
      <c r="G59" s="1"/>
      <c r="H59" s="1"/>
      <c r="I59" s="1"/>
      <c r="J59" s="1"/>
      <c r="K59" s="1"/>
      <c r="L59" s="8"/>
      <c r="M59" s="8"/>
    </row>
    <row r="60" spans="3:21" x14ac:dyDescent="0.25">
      <c r="C60" s="1"/>
      <c r="D60" s="1"/>
      <c r="E60" s="1"/>
      <c r="F60" s="1"/>
      <c r="G60" s="1"/>
      <c r="H60" s="1"/>
      <c r="I60" s="1"/>
      <c r="J60" s="1"/>
      <c r="K60" s="1"/>
      <c r="L60" s="8"/>
      <c r="M60" s="8"/>
    </row>
    <row r="61" spans="3:21" x14ac:dyDescent="0.25">
      <c r="C61" s="1"/>
      <c r="D61" s="1"/>
      <c r="E61" s="1"/>
      <c r="F61" s="1"/>
      <c r="G61" s="1"/>
      <c r="H61" s="1"/>
      <c r="I61" s="1"/>
      <c r="J61" s="1"/>
      <c r="K61" s="1"/>
      <c r="L61" s="8"/>
      <c r="M61" s="8"/>
    </row>
    <row r="62" spans="3:21" x14ac:dyDescent="0.25">
      <c r="C62" s="1"/>
      <c r="D62" s="1"/>
      <c r="E62" s="1"/>
      <c r="F62" s="1"/>
      <c r="G62" s="1"/>
      <c r="H62" s="1"/>
      <c r="I62" s="1"/>
      <c r="J62" s="1"/>
      <c r="K62" s="1"/>
    </row>
  </sheetData>
  <mergeCells count="13">
    <mergeCell ref="K26:L26"/>
    <mergeCell ref="O50:U55"/>
    <mergeCell ref="K8:L8"/>
    <mergeCell ref="K7:L7"/>
    <mergeCell ref="K17:L17"/>
    <mergeCell ref="K32:L32"/>
    <mergeCell ref="K33:L33"/>
    <mergeCell ref="K34:L34"/>
    <mergeCell ref="K40:L40"/>
    <mergeCell ref="K41:L41"/>
    <mergeCell ref="K42:L42"/>
    <mergeCell ref="K24:L24"/>
    <mergeCell ref="K25:L25"/>
  </mergeCells>
  <pageMargins left="0.7" right="0.7" top="0.75" bottom="0.75" header="0.3" footer="0.3"/>
  <pageSetup scale="95" fitToHeight="0" orientation="landscape" horizontalDpi="200" verticalDpi="200" r:id="rId1"/>
  <drawing r:id="rId2"/>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Pricing Worksheet</vt:lpstr>
    </vt:vector>
  </TitlesOfParts>
  <Company>United States Army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Ramsey, Jacqueline</dc:creator>
  <cp:lastModifiedBy>Mchugh, Jessica L CIV USARMY ACC (USA)</cp:lastModifiedBy>
  <cp:lastPrinted>2020-02-25T14:45:36Z</cp:lastPrinted>
  <dcterms:created xsi:type="dcterms:W3CDTF">2020-01-28T14:40:29Z</dcterms:created>
  <dcterms:modified xsi:type="dcterms:W3CDTF">2026-04-27T17:18:24Z</dcterms:modified>
</cp:coreProperties>
</file>