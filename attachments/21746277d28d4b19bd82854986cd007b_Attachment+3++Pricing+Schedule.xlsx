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vagov-my.sharepoint.com/personal/robert_glenn2_va_gov/Documents/ACTIVE PROJECTS/626-25-101 - Upgrade Critical Environments/SOLICITATION/"/>
    </mc:Choice>
  </mc:AlternateContent>
  <xr:revisionPtr revIDLastSave="17" documentId="8_{996259EF-8E36-481F-8614-78B5FEDC10CB}" xr6:coauthVersionLast="47" xr6:coauthVersionMax="47" xr10:uidLastSave="{E019B4B0-8C24-43E6-AC01-5F1578F02320}"/>
  <bookViews>
    <workbookView xWindow="-28920" yWindow="-120" windowWidth="29040" windowHeight="15720" xr2:uid="{00000000-000D-0000-FFFF-FFFF00000000}"/>
  </bookViews>
  <sheets>
    <sheet name="Breakdown"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38" i="1" l="1"/>
  <c r="D152" i="1" l="1"/>
  <c r="C150" i="1"/>
  <c r="E156" i="1"/>
  <c r="F132" i="1"/>
  <c r="F123" i="1"/>
  <c r="F92" i="1"/>
  <c r="F80" i="1"/>
  <c r="F77" i="1"/>
  <c r="F75" i="1"/>
  <c r="F69" i="1"/>
  <c r="F26" i="1"/>
  <c r="F23" i="1"/>
  <c r="F5" i="1"/>
  <c r="F16" i="1"/>
  <c r="F19" i="1"/>
  <c r="F29" i="1"/>
  <c r="F37" i="1"/>
  <c r="F46" i="1"/>
  <c r="F60" i="1"/>
  <c r="F110" i="1"/>
  <c r="F158" i="1" l="1"/>
  <c r="D154" i="1"/>
  <c r="C161" i="1" s="1"/>
  <c r="C163" i="1" l="1"/>
  <c r="C165" i="1" l="1"/>
  <c r="C166" i="1"/>
  <c r="C168" i="1" l="1"/>
  <c r="C171" i="1" s="1"/>
  <c r="C174" i="1" s="1"/>
</calcChain>
</file>

<file path=xl/sharedStrings.xml><?xml version="1.0" encoding="utf-8"?>
<sst xmlns="http://schemas.openxmlformats.org/spreadsheetml/2006/main" count="274" uniqueCount="269">
  <si>
    <t>SPEC/COST CODE</t>
  </si>
  <si>
    <t>DESCRIPTION</t>
  </si>
  <si>
    <t>LABOR</t>
  </si>
  <si>
    <t>MATERIAL</t>
  </si>
  <si>
    <t>EQUIPMENT</t>
  </si>
  <si>
    <t>DIVISION 1</t>
  </si>
  <si>
    <t>GENERAL REQUIREMENTS</t>
  </si>
  <si>
    <t>DIVISION 2</t>
  </si>
  <si>
    <t>02 41 00</t>
  </si>
  <si>
    <t>Demolition</t>
  </si>
  <si>
    <t>DIVISION 3</t>
  </si>
  <si>
    <t>CONCRETE</t>
  </si>
  <si>
    <t>DIVISION 4</t>
  </si>
  <si>
    <t>MASONRY</t>
  </si>
  <si>
    <t>DIVISION 5</t>
  </si>
  <si>
    <t>DIVISION 6</t>
  </si>
  <si>
    <t>DIVISION 7</t>
  </si>
  <si>
    <t>THERMAL AND MOISTURE PROTECTION</t>
  </si>
  <si>
    <t>07 84 00</t>
  </si>
  <si>
    <t>Firestopping</t>
  </si>
  <si>
    <t>07 92 00</t>
  </si>
  <si>
    <t>Joint Sealants</t>
  </si>
  <si>
    <t>DIVISION 8</t>
  </si>
  <si>
    <t>Interior Wood Doors</t>
  </si>
  <si>
    <t>08 71 00</t>
  </si>
  <si>
    <t>Door Hardware</t>
  </si>
  <si>
    <t>08 80 00</t>
  </si>
  <si>
    <t>Glazing</t>
  </si>
  <si>
    <t>DIVISION 9</t>
  </si>
  <si>
    <t>FINISHES</t>
  </si>
  <si>
    <t>Subsurface Prep for Floor Finishing</t>
  </si>
  <si>
    <t>Schedule for Finishes</t>
  </si>
  <si>
    <t>Non Struct Metal Framing</t>
  </si>
  <si>
    <t>Gypsum Board</t>
  </si>
  <si>
    <t>09 51 00</t>
  </si>
  <si>
    <t>09 65 13</t>
  </si>
  <si>
    <t>Painting</t>
  </si>
  <si>
    <t>DIVISION 10</t>
  </si>
  <si>
    <t>DIVISION 11</t>
  </si>
  <si>
    <t>DIVISION 12</t>
  </si>
  <si>
    <t>12 32 00</t>
  </si>
  <si>
    <t>Countertops</t>
  </si>
  <si>
    <t>DIVISION 13</t>
  </si>
  <si>
    <t>Plumbing</t>
  </si>
  <si>
    <t>ELECTRICAL</t>
  </si>
  <si>
    <t>TOTALS</t>
  </si>
  <si>
    <t>SUBTOTAL</t>
  </si>
  <si>
    <t>OVERHEAD</t>
  </si>
  <si>
    <t>PROFIT</t>
  </si>
  <si>
    <t>BOND/FEE</t>
  </si>
  <si>
    <t>GRAND TOTAL</t>
  </si>
  <si>
    <t xml:space="preserve">Rough Carpentry </t>
  </si>
  <si>
    <t>ELECTRONIC SAFETY AND SECURITY</t>
  </si>
  <si>
    <t>COMMUNICATIONS</t>
  </si>
  <si>
    <t>PERMITS/LICENSES</t>
  </si>
  <si>
    <t>Cast in Place Concrete</t>
  </si>
  <si>
    <t>DIVISION 26</t>
  </si>
  <si>
    <t>DIVISION 27</t>
  </si>
  <si>
    <t>DIVISION 28</t>
  </si>
  <si>
    <t>TOTAL MATERIALS</t>
  </si>
  <si>
    <t>TAX FOR MATERIALS</t>
  </si>
  <si>
    <t>DIVISION TOTALS</t>
  </si>
  <si>
    <t>TOTAL LABOR</t>
  </si>
  <si>
    <t>TOTAL EQUIPMENT</t>
  </si>
  <si>
    <t>DIVISION GRAND TOTALS</t>
  </si>
  <si>
    <t>DIVISION 21</t>
  </si>
  <si>
    <t>DIVISION 22</t>
  </si>
  <si>
    <t>DIVISION 23</t>
  </si>
  <si>
    <t>INSTRUCTIONS</t>
  </si>
  <si>
    <t>2. Lump sum price breakdowns will not be accepted. Lump sum price breakdowns are defined as a single price provided by the contractor for one division or subdivision when each division or subdivision can be broken down by price to a greater degree;</t>
  </si>
  <si>
    <t>3. Divisions must still be listed even if not applicable to the construction requirement;</t>
  </si>
  <si>
    <t>Project Title</t>
  </si>
  <si>
    <t>Solicitation Number</t>
  </si>
  <si>
    <t>Project Number</t>
  </si>
  <si>
    <t>1.  Contract breakdowns must include the applicable VA Medical Center, the date the proposal was provided to the VA, the job title, project number, and the solicitation number;</t>
  </si>
  <si>
    <t>4.  The template above does not include all possible divisions or subdivisions needed for the fictitious requirement referenced above.  It is only provided as an example of what would be acceptable to the VA Network Contracting Office 9 -Construction Team as of 6-30-2016.  Contractors shall provide all prices for each categorical column above and break down each specific division to the greatest degree possible, similar to what is referenced above. Utilizing this template in the contractor's proposal does not in any way require the Government to accept any subsequent price breakdown that is provided by the contractor or prevent the Government from requesting a further price breakdown.  Therefore, it is in the Governments and contractor’s best interest to provide a thorough price breakdown initially; and</t>
  </si>
  <si>
    <t>5. This template, or another template that would be provide the same kind of information referenced above, is required for all proposals provided to the VA Network Contracting Office 9 - Construction as of 6-30-2016.</t>
  </si>
  <si>
    <t>JOB NAME:                               LOCATION:          TBD              PROPOSAL DATE:         01/01/1900</t>
  </si>
  <si>
    <t>Existing Conditions</t>
  </si>
  <si>
    <t>Metals</t>
  </si>
  <si>
    <t>Wood, plastics and Composites</t>
  </si>
  <si>
    <t>Openings</t>
  </si>
  <si>
    <t>Specialties</t>
  </si>
  <si>
    <t>01 35 26</t>
  </si>
  <si>
    <t>01 42 19</t>
  </si>
  <si>
    <t>01 45 29</t>
  </si>
  <si>
    <t>01 57 19</t>
  </si>
  <si>
    <t>01 74 19</t>
  </si>
  <si>
    <t>01 91 00</t>
  </si>
  <si>
    <t>Safety Requirements</t>
  </si>
  <si>
    <t>Reference Standards</t>
  </si>
  <si>
    <t>Testing Laboratory Services</t>
  </si>
  <si>
    <t>General Commissioning Requirements</t>
  </si>
  <si>
    <t>05 50 00</t>
  </si>
  <si>
    <t>Metal Fabrications</t>
  </si>
  <si>
    <t>06 10 00</t>
  </si>
  <si>
    <t>06 20 00</t>
  </si>
  <si>
    <t>Finish Carpentry</t>
  </si>
  <si>
    <t>07 60 00</t>
  </si>
  <si>
    <t>07 71 00</t>
  </si>
  <si>
    <t>07 72 00</t>
  </si>
  <si>
    <t>Flashing and Sheet Metal</t>
  </si>
  <si>
    <t>Roof Specialties</t>
  </si>
  <si>
    <t>Roof Accessories</t>
  </si>
  <si>
    <t>Hollow Metal Doors &amp; Frames</t>
  </si>
  <si>
    <t>09 68 00</t>
  </si>
  <si>
    <t>09 91 00</t>
  </si>
  <si>
    <t>Resilient Base and Accessories</t>
  </si>
  <si>
    <t>10 11 13</t>
  </si>
  <si>
    <t>10 14 00</t>
  </si>
  <si>
    <t>10 26 00</t>
  </si>
  <si>
    <t>10 28 00</t>
  </si>
  <si>
    <t>10 44 13</t>
  </si>
  <si>
    <t>Chalkboards and Markerboards</t>
  </si>
  <si>
    <t>Signage</t>
  </si>
  <si>
    <t>Fire Extinguisher Cabinets</t>
  </si>
  <si>
    <t>Furnishings</t>
  </si>
  <si>
    <t>12 24 00</t>
  </si>
  <si>
    <t>Window Shades</t>
  </si>
  <si>
    <t>Manufactured Metal Casework</t>
  </si>
  <si>
    <t>Manufactured Wood Casework</t>
  </si>
  <si>
    <t>Special Construction</t>
  </si>
  <si>
    <t>13 05 41</t>
  </si>
  <si>
    <t>Seismic Restraint Requirements for Non- Structural Components</t>
  </si>
  <si>
    <t>Fire Suppression</t>
  </si>
  <si>
    <t>21 13 13</t>
  </si>
  <si>
    <t>Wet-Pipe Sprinkler Systems</t>
  </si>
  <si>
    <t>22 05 11</t>
  </si>
  <si>
    <t>22 05 19</t>
  </si>
  <si>
    <t>22 05 23</t>
  </si>
  <si>
    <t>22 07 11</t>
  </si>
  <si>
    <t>22 11 00</t>
  </si>
  <si>
    <t>22 13 00</t>
  </si>
  <si>
    <t>22 14 00</t>
  </si>
  <si>
    <t>22 40 00</t>
  </si>
  <si>
    <t>22 62 00</t>
  </si>
  <si>
    <t>22 63 00</t>
  </si>
  <si>
    <t>Common Work Results for Plumbing</t>
  </si>
  <si>
    <t>Meters and Gages for Plumbing piping</t>
  </si>
  <si>
    <t>General-Duty Valves for Plumbing Piping</t>
  </si>
  <si>
    <t>Plumbing Insulation</t>
  </si>
  <si>
    <t>Facility Water Distribution</t>
  </si>
  <si>
    <t>Facility Storm Drainage</t>
  </si>
  <si>
    <t>Plumbing Fixtures</t>
  </si>
  <si>
    <t>Heating, Ventilating and Air Conditioning HVAC</t>
  </si>
  <si>
    <t>23 05 11</t>
  </si>
  <si>
    <t>23 05 12</t>
  </si>
  <si>
    <t xml:space="preserve">23 05 41 </t>
  </si>
  <si>
    <t>23 05 93</t>
  </si>
  <si>
    <t>23 07 11</t>
  </si>
  <si>
    <t>23 08 00</t>
  </si>
  <si>
    <t xml:space="preserve">23 09 23 </t>
  </si>
  <si>
    <t>23 21 13</t>
  </si>
  <si>
    <t>23 21 23</t>
  </si>
  <si>
    <t>23 22 13</t>
  </si>
  <si>
    <t>23 31 00</t>
  </si>
  <si>
    <t>23 34 00</t>
  </si>
  <si>
    <t>23 36 00</t>
  </si>
  <si>
    <t>23 37 00</t>
  </si>
  <si>
    <t>Testing, Adjusting and Balancing for HVAC</t>
  </si>
  <si>
    <t>HVAC and Boiler Plant Insulation</t>
  </si>
  <si>
    <t>Commissioning of HVAC Systems</t>
  </si>
  <si>
    <t>Direct Digital Control System for HVAC</t>
  </si>
  <si>
    <t>Hydronic Piping</t>
  </si>
  <si>
    <t>Hydronic Pumps</t>
  </si>
  <si>
    <t>HVAC Fans</t>
  </si>
  <si>
    <t>Air Terminal Units</t>
  </si>
  <si>
    <t>HVAC Air Cleaning Devices</t>
  </si>
  <si>
    <t>General Motor Requriments for HVAC and Steam Generation Equipment</t>
  </si>
  <si>
    <t>Noise and Vibration Control for HVAC piping and Equipment</t>
  </si>
  <si>
    <t>HVAC Ducts and Casing</t>
  </si>
  <si>
    <t>26 05 11</t>
  </si>
  <si>
    <t>Requirements for Electrical Installations</t>
  </si>
  <si>
    <t>26 05 19</t>
  </si>
  <si>
    <t>26 05 26</t>
  </si>
  <si>
    <t>26 05 73</t>
  </si>
  <si>
    <t>26 08 00</t>
  </si>
  <si>
    <t>26 09 23</t>
  </si>
  <si>
    <t>26 27 26</t>
  </si>
  <si>
    <t>26 29 21</t>
  </si>
  <si>
    <t>Grounding and Bonding for Electrical Systems</t>
  </si>
  <si>
    <t>Overcurrent Protective Device Coordination Study</t>
  </si>
  <si>
    <t>Commissioning of Electrical Systems</t>
  </si>
  <si>
    <t>Lighting Controls</t>
  </si>
  <si>
    <t>Wiring Devices</t>
  </si>
  <si>
    <t>27 05 11</t>
  </si>
  <si>
    <t>27 05 33</t>
  </si>
  <si>
    <t>27 08 00</t>
  </si>
  <si>
    <t>27 11 00</t>
  </si>
  <si>
    <t>27 15 00</t>
  </si>
  <si>
    <t>27 52 23</t>
  </si>
  <si>
    <t>Requirements for Communications Installations</t>
  </si>
  <si>
    <t>Control, Communication and Signal Wiring</t>
  </si>
  <si>
    <t>Communications Equipment Room Fittings</t>
  </si>
  <si>
    <t>Communications Structured Cabling</t>
  </si>
  <si>
    <t>28 05 00</t>
  </si>
  <si>
    <t>28 05 13</t>
  </si>
  <si>
    <t>28 05 28.33</t>
  </si>
  <si>
    <t>Common Work Results for Electronic Safety and Security</t>
  </si>
  <si>
    <t>Conductors and Cables for Electronic Safety and Security</t>
  </si>
  <si>
    <t>Physical Access Control System</t>
  </si>
  <si>
    <t>Proposal Date</t>
  </si>
  <si>
    <t>01 33 23</t>
  </si>
  <si>
    <t>01 45 00</t>
  </si>
  <si>
    <t>01 45 35</t>
  </si>
  <si>
    <t>Shop Drawings, Product Data, &amp; Samples</t>
  </si>
  <si>
    <t>Quality Control</t>
  </si>
  <si>
    <t>Special Inspections</t>
  </si>
  <si>
    <t>Temporary Environmental Controls</t>
  </si>
  <si>
    <t>Construction Waste Management</t>
  </si>
  <si>
    <t>04 05 13</t>
  </si>
  <si>
    <t>Masonry Mortaring</t>
  </si>
  <si>
    <t>05 12 00</t>
  </si>
  <si>
    <t>Structrural Steel Framing</t>
  </si>
  <si>
    <t>07 21 13</t>
  </si>
  <si>
    <t>Thermal Insulation</t>
  </si>
  <si>
    <t>08 42 43</t>
  </si>
  <si>
    <t>08 71 13.11</t>
  </si>
  <si>
    <t>Intensive Care Unit Entrances</t>
  </si>
  <si>
    <t>Low Energy Power Assist Door Operators</t>
  </si>
  <si>
    <t>09 30 13</t>
  </si>
  <si>
    <t>09 65 16</t>
  </si>
  <si>
    <t>09 65 19</t>
  </si>
  <si>
    <t xml:space="preserve">09 67 23.20 </t>
  </si>
  <si>
    <t>09 96 59</t>
  </si>
  <si>
    <t>Ceramic/Porcelain Tiling</t>
  </si>
  <si>
    <t>Acoustical Ceilings</t>
  </si>
  <si>
    <t>Resilient Sheet Flooring</t>
  </si>
  <si>
    <t>Resilient Tiling Flooring</t>
  </si>
  <si>
    <t>Resinous Epoxy Base With Vinyl Chip Broadcast (RES 2)</t>
  </si>
  <si>
    <t>Carpeting</t>
  </si>
  <si>
    <t>High-Build Glazed Coatings</t>
  </si>
  <si>
    <t>10 21 23</t>
  </si>
  <si>
    <t>Cubicle Curtain Tracks</t>
  </si>
  <si>
    <t>Wall &amp; Door Protection</t>
  </si>
  <si>
    <t>Toilet, Bath, &amp; Laundry Accessories</t>
  </si>
  <si>
    <t>12 31 00</t>
  </si>
  <si>
    <t>12 36 00</t>
  </si>
  <si>
    <t>Facility Sanitary &amp; Vent Piping</t>
  </si>
  <si>
    <t>Vacuum Systems for Laboratory &amp; Healthcare Facilities</t>
  </si>
  <si>
    <t>Gas Systems for Laboratory &amp; Healthcare Facilities</t>
  </si>
  <si>
    <t>Steam &amp; Condensate Heating Piping</t>
  </si>
  <si>
    <t xml:space="preserve">23 40 00 </t>
  </si>
  <si>
    <t>23 73 00</t>
  </si>
  <si>
    <t>Air Outlets &amp; Inlets</t>
  </si>
  <si>
    <t>Indoor Central Station Air Handling units</t>
  </si>
  <si>
    <t>26 05 33</t>
  </si>
  <si>
    <t>26 08 00.01</t>
  </si>
  <si>
    <t>26 51 00</t>
  </si>
  <si>
    <t>Low-Voltage Electrical Power Conductors and Cables</t>
  </si>
  <si>
    <t>Raceway &amp; Boxes for Electrical Systems</t>
  </si>
  <si>
    <t>DVA/USACE Projects Commissioning of Electrical Systems</t>
  </si>
  <si>
    <t>Enclosed Switches &amp; Circuit Breakers</t>
  </si>
  <si>
    <t>Interior Lighting</t>
  </si>
  <si>
    <t>27 10 00</t>
  </si>
  <si>
    <t>Raceways &amp; Boxes for Communications Systems</t>
  </si>
  <si>
    <t>Commissioning of Communications Systems</t>
  </si>
  <si>
    <t>Nurse Call &amp; Code Blue Systems</t>
  </si>
  <si>
    <t>Conduits &amp; Backboxes for Electronic Safety &amp; Security</t>
  </si>
  <si>
    <t>28 13 00</t>
  </si>
  <si>
    <t>28 31 00</t>
  </si>
  <si>
    <t>Fire Detection &amp; Alarm</t>
  </si>
  <si>
    <t>DIVISION 32</t>
  </si>
  <si>
    <t>EXTERIOR IMPROVEMENTS</t>
  </si>
  <si>
    <t>32 05 23</t>
  </si>
  <si>
    <t>Cement &amp; Concrete for Exterior Improvements</t>
  </si>
  <si>
    <t>Upgrade Critical Environments I</t>
  </si>
  <si>
    <t>626-25-101</t>
  </si>
  <si>
    <t>36C24926R0049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</si>
</sst>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0.00;\$###0.00"/>
    <numFmt numFmtId="165" formatCode="\$#,##0.00;\$#,##0.00"/>
    <numFmt numFmtId="166" formatCode="mm\ dd\ yy;@"/>
    <numFmt numFmtId="167" formatCode="dd\ mm\ yy;@"/>
    <numFmt numFmtId="168" formatCode="yy\ mm\ dd;@"/>
    <numFmt numFmtId="169" formatCode="\$#,##0;\$#,##0"/>
    <numFmt numFmtId="170" formatCode="&quot;$&quot;#,##0.00"/>
    <numFmt numFmtId="171" formatCode="&quot;$&quot;0.00"/>
  </numFmts>
  <fonts count="12" x14ac:knownFonts="1">
    <font>
      <sz val="11"/>
      <color theme="1"/>
      <name val="Calibri"/>
      <family val="2"/>
      <scheme val="minor"/>
    </font>
    <font>
      <sz val="10"/>
      <color rgb="FF000000"/>
      <name val="Times New Roman"/>
      <family val="1"/>
    </font>
    <font>
      <sz val="11"/>
      <color theme="1"/>
      <name val="Calibri"/>
      <family val="2"/>
      <scheme val="minor"/>
    </font>
    <font>
      <b/>
      <sz val="11"/>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b/>
      <i/>
      <sz val="11"/>
      <name val="Calibri"/>
      <family val="2"/>
      <scheme val="minor"/>
    </font>
    <font>
      <sz val="11"/>
      <name val="Calibri"/>
      <family val="2"/>
      <scheme val="minor"/>
    </font>
    <font>
      <sz val="11"/>
      <color rgb="FFFF0000"/>
      <name val="Calibri"/>
      <family val="2"/>
      <scheme val="minor"/>
    </font>
    <font>
      <b/>
      <sz val="11"/>
      <color theme="1"/>
      <name val="Calibri"/>
      <family val="2"/>
      <scheme val="minor"/>
    </font>
    <font>
      <sz val="10"/>
      <color rgb="FF000000"/>
      <name val="Times New Roman"/>
      <family val="1"/>
    </font>
  </fonts>
  <fills count="7">
    <fill>
      <patternFill patternType="none"/>
    </fill>
    <fill>
      <patternFill patternType="gray125"/>
    </fill>
    <fill>
      <patternFill patternType="solid">
        <fgColor rgb="FFEBF1DE"/>
      </patternFill>
    </fill>
    <fill>
      <patternFill patternType="solid">
        <fgColor rgb="FF948A54"/>
      </patternFill>
    </fill>
    <fill>
      <patternFill patternType="solid">
        <fgColor rgb="FF00B050"/>
      </patternFill>
    </fill>
    <fill>
      <patternFill patternType="solid">
        <fgColor theme="0"/>
        <bgColor indexed="64"/>
      </patternFill>
    </fill>
    <fill>
      <patternFill patternType="solid">
        <fgColor rgb="FF00B05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indexed="64"/>
      </top>
      <bottom style="thin">
        <color indexed="64"/>
      </bottom>
      <diagonal/>
    </border>
  </borders>
  <cellStyleXfs count="4">
    <xf numFmtId="0" fontId="0" fillId="0" borderId="0"/>
    <xf numFmtId="0" fontId="1" fillId="0" borderId="0"/>
    <xf numFmtId="44" fontId="2" fillId="0" borderId="0" applyFont="0" applyFill="0" applyBorder="0" applyAlignment="0" applyProtection="0"/>
    <xf numFmtId="0" fontId="11" fillId="0" borderId="0"/>
  </cellStyleXfs>
  <cellXfs count="138">
    <xf numFmtId="0" fontId="0" fillId="0" borderId="0" xfId="0"/>
    <xf numFmtId="0" fontId="5" fillId="3" borderId="1" xfId="1" applyFont="1" applyFill="1" applyBorder="1" applyAlignment="1">
      <alignment horizontal="center" vertical="top" wrapText="1"/>
    </xf>
    <xf numFmtId="0" fontId="3" fillId="4" borderId="2" xfId="1" applyFont="1" applyFill="1" applyBorder="1" applyAlignment="1">
      <alignment horizontal="center" vertical="top" wrapText="1"/>
    </xf>
    <xf numFmtId="0" fontId="3" fillId="4" borderId="3" xfId="1" applyFont="1" applyFill="1" applyBorder="1" applyAlignment="1">
      <alignment horizontal="center" vertical="top" wrapText="1"/>
    </xf>
    <xf numFmtId="0" fontId="5" fillId="4" borderId="3" xfId="1" applyFont="1" applyFill="1" applyBorder="1" applyAlignment="1">
      <alignment horizontal="center" vertical="top" wrapText="1"/>
    </xf>
    <xf numFmtId="0" fontId="3" fillId="6" borderId="2" xfId="1" applyFont="1" applyFill="1" applyBorder="1" applyAlignment="1">
      <alignment horizontal="center" vertical="top" wrapText="1"/>
    </xf>
    <xf numFmtId="0" fontId="6" fillId="6" borderId="1" xfId="1" applyFont="1" applyFill="1" applyBorder="1" applyAlignment="1">
      <alignment horizontal="center" vertical="top" wrapText="1"/>
    </xf>
    <xf numFmtId="0" fontId="5" fillId="0" borderId="0" xfId="1" applyFont="1" applyAlignment="1">
      <alignment horizontal="center" vertical="top"/>
    </xf>
    <xf numFmtId="0" fontId="3" fillId="5" borderId="0" xfId="1" applyFont="1" applyFill="1" applyAlignment="1">
      <alignment horizontal="center" vertical="top" wrapText="1"/>
    </xf>
    <xf numFmtId="0" fontId="5" fillId="5" borderId="1" xfId="1" applyFont="1" applyFill="1" applyBorder="1" applyAlignment="1">
      <alignment horizontal="center" vertical="top" wrapText="1"/>
    </xf>
    <xf numFmtId="0" fontId="3" fillId="5" borderId="1" xfId="1" applyFont="1" applyFill="1" applyBorder="1" applyAlignment="1">
      <alignment horizontal="center" vertical="top" wrapText="1"/>
    </xf>
    <xf numFmtId="165" fontId="6" fillId="5" borderId="1" xfId="1" applyNumberFormat="1" applyFont="1" applyFill="1" applyBorder="1" applyAlignment="1">
      <alignment horizontal="center" vertical="top" wrapText="1"/>
    </xf>
    <xf numFmtId="0" fontId="5" fillId="5" borderId="0" xfId="1" applyFont="1" applyFill="1" applyAlignment="1">
      <alignment horizontal="center" vertical="top"/>
    </xf>
    <xf numFmtId="169" fontId="5" fillId="5" borderId="1" xfId="1" applyNumberFormat="1" applyFont="1" applyFill="1" applyBorder="1" applyAlignment="1">
      <alignment horizontal="center" vertical="top" wrapText="1"/>
    </xf>
    <xf numFmtId="0" fontId="5" fillId="5" borderId="0" xfId="1" applyFont="1" applyFill="1" applyAlignment="1">
      <alignment horizontal="center" vertical="top" wrapText="1"/>
    </xf>
    <xf numFmtId="169" fontId="6" fillId="5" borderId="1" xfId="1" applyNumberFormat="1" applyFont="1" applyFill="1" applyBorder="1" applyAlignment="1">
      <alignment horizontal="center" vertical="top" wrapText="1"/>
    </xf>
    <xf numFmtId="164" fontId="6" fillId="5" borderId="1" xfId="1" applyNumberFormat="1" applyFont="1" applyFill="1" applyBorder="1" applyAlignment="1">
      <alignment horizontal="center" vertical="top" wrapText="1"/>
    </xf>
    <xf numFmtId="0" fontId="3" fillId="4" borderId="5" xfId="1" applyFont="1" applyFill="1" applyBorder="1" applyAlignment="1">
      <alignment horizontal="center" vertical="top" wrapText="1"/>
    </xf>
    <xf numFmtId="0" fontId="5" fillId="4" borderId="6" xfId="1" applyFont="1" applyFill="1" applyBorder="1" applyAlignment="1">
      <alignment horizontal="center" vertical="top" wrapText="1"/>
    </xf>
    <xf numFmtId="0" fontId="3" fillId="5" borderId="2" xfId="1" applyFont="1" applyFill="1" applyBorder="1" applyAlignment="1">
      <alignment horizontal="center" vertical="top" wrapText="1"/>
    </xf>
    <xf numFmtId="0" fontId="3" fillId="5" borderId="3" xfId="1" applyFont="1" applyFill="1" applyBorder="1" applyAlignment="1">
      <alignment horizontal="center" vertical="top" wrapText="1"/>
    </xf>
    <xf numFmtId="0" fontId="7" fillId="5" borderId="0" xfId="1" applyFont="1" applyFill="1" applyAlignment="1">
      <alignment horizontal="center" vertical="top" wrapText="1"/>
    </xf>
    <xf numFmtId="0" fontId="3" fillId="4" borderId="1" xfId="1" applyFont="1" applyFill="1" applyBorder="1" applyAlignment="1">
      <alignment horizontal="center" vertical="top" wrapText="1"/>
    </xf>
    <xf numFmtId="0" fontId="5" fillId="4" borderId="1" xfId="1" applyFont="1" applyFill="1" applyBorder="1" applyAlignment="1">
      <alignment horizontal="center" vertical="top" wrapText="1"/>
    </xf>
    <xf numFmtId="165" fontId="6" fillId="5" borderId="0" xfId="1" applyNumberFormat="1" applyFont="1" applyFill="1" applyAlignment="1">
      <alignment horizontal="center" vertical="top" wrapText="1"/>
    </xf>
    <xf numFmtId="0" fontId="2" fillId="5" borderId="0" xfId="0" applyFont="1" applyFill="1"/>
    <xf numFmtId="0" fontId="2" fillId="0" borderId="0" xfId="0" applyFont="1"/>
    <xf numFmtId="6" fontId="2" fillId="5" borderId="0" xfId="0" applyNumberFormat="1" applyFont="1" applyFill="1"/>
    <xf numFmtId="0" fontId="3" fillId="5" borderId="3" xfId="1" applyFont="1" applyFill="1" applyBorder="1" applyAlignment="1">
      <alignment vertical="top" wrapText="1"/>
    </xf>
    <xf numFmtId="165" fontId="6" fillId="5" borderId="10" xfId="1" applyNumberFormat="1" applyFont="1" applyFill="1" applyBorder="1" applyAlignment="1">
      <alignment horizontal="center" vertical="top" wrapText="1"/>
    </xf>
    <xf numFmtId="10" fontId="3" fillId="5" borderId="0" xfId="1" applyNumberFormat="1" applyFont="1" applyFill="1" applyAlignment="1">
      <alignment horizontal="center" vertical="top" wrapText="1"/>
    </xf>
    <xf numFmtId="9" fontId="3" fillId="5" borderId="1" xfId="1" applyNumberFormat="1" applyFont="1" applyFill="1" applyBorder="1" applyAlignment="1">
      <alignment horizontal="center" vertical="top" wrapText="1"/>
    </xf>
    <xf numFmtId="0" fontId="3" fillId="5" borderId="12" xfId="1" applyFont="1" applyFill="1" applyBorder="1" applyAlignment="1">
      <alignment horizontal="center" vertical="top" wrapText="1"/>
    </xf>
    <xf numFmtId="0" fontId="3" fillId="5" borderId="13" xfId="1" applyFont="1" applyFill="1" applyBorder="1" applyAlignment="1">
      <alignment horizontal="center" vertical="top" wrapText="1"/>
    </xf>
    <xf numFmtId="0" fontId="3" fillId="5" borderId="4" xfId="1" applyFont="1" applyFill="1" applyBorder="1" applyAlignment="1">
      <alignment vertical="top" wrapText="1"/>
    </xf>
    <xf numFmtId="0" fontId="5" fillId="5" borderId="3" xfId="1" applyFont="1" applyFill="1" applyBorder="1" applyAlignment="1">
      <alignment horizontal="center" vertical="top" wrapText="1"/>
    </xf>
    <xf numFmtId="0" fontId="5" fillId="5" borderId="6" xfId="1" applyFont="1" applyFill="1" applyBorder="1" applyAlignment="1">
      <alignment horizontal="center" vertical="top" wrapText="1"/>
    </xf>
    <xf numFmtId="0" fontId="3" fillId="5" borderId="4" xfId="1" applyFont="1" applyFill="1" applyBorder="1" applyAlignment="1">
      <alignment horizontal="center" vertical="top" wrapText="1"/>
    </xf>
    <xf numFmtId="0" fontId="5" fillId="5" borderId="0" xfId="1" applyFont="1" applyFill="1" applyAlignment="1">
      <alignment vertical="top" wrapText="1"/>
    </xf>
    <xf numFmtId="0" fontId="3" fillId="5" borderId="13" xfId="1" applyFont="1" applyFill="1" applyBorder="1" applyAlignment="1">
      <alignment horizontal="left" vertical="top" wrapText="1"/>
    </xf>
    <xf numFmtId="0" fontId="6" fillId="6" borderId="9" xfId="1" applyFont="1" applyFill="1" applyBorder="1" applyAlignment="1">
      <alignment horizontal="center" vertical="top" wrapText="1"/>
    </xf>
    <xf numFmtId="164" fontId="6" fillId="0" borderId="0" xfId="1" applyNumberFormat="1" applyFont="1" applyAlignment="1">
      <alignment horizontal="center" vertical="top" wrapText="1"/>
    </xf>
    <xf numFmtId="165" fontId="6" fillId="0" borderId="0" xfId="1" applyNumberFormat="1" applyFont="1" applyAlignment="1">
      <alignment horizontal="center" vertical="center" wrapText="1"/>
    </xf>
    <xf numFmtId="0" fontId="6" fillId="6" borderId="2" xfId="1" applyFont="1" applyFill="1" applyBorder="1" applyAlignment="1">
      <alignment horizontal="center" vertical="top" wrapText="1"/>
    </xf>
    <xf numFmtId="0" fontId="3" fillId="6" borderId="13" xfId="1" applyFont="1" applyFill="1" applyBorder="1" applyAlignment="1">
      <alignment horizontal="center" vertical="top" wrapText="1"/>
    </xf>
    <xf numFmtId="0" fontId="5" fillId="6" borderId="13" xfId="1" applyFont="1" applyFill="1" applyBorder="1" applyAlignment="1">
      <alignment horizontal="center" vertical="top" wrapText="1"/>
    </xf>
    <xf numFmtId="165" fontId="10" fillId="6" borderId="1" xfId="0" applyNumberFormat="1" applyFont="1" applyFill="1" applyBorder="1" applyAlignment="1">
      <alignment horizontal="center"/>
    </xf>
    <xf numFmtId="165" fontId="5" fillId="5" borderId="1" xfId="1" applyNumberFormat="1" applyFont="1" applyFill="1" applyBorder="1" applyAlignment="1">
      <alignment horizontal="center" vertical="top" wrapText="1"/>
    </xf>
    <xf numFmtId="164" fontId="5" fillId="5" borderId="1" xfId="1" applyNumberFormat="1" applyFont="1" applyFill="1" applyBorder="1" applyAlignment="1">
      <alignment horizontal="center" vertical="top" wrapText="1"/>
    </xf>
    <xf numFmtId="0" fontId="8" fillId="5" borderId="1" xfId="1" applyFont="1" applyFill="1" applyBorder="1" applyAlignment="1">
      <alignment horizontal="center" vertical="top" wrapText="1"/>
    </xf>
    <xf numFmtId="0" fontId="8" fillId="5" borderId="9" xfId="1" applyFont="1" applyFill="1" applyBorder="1" applyAlignment="1">
      <alignment horizontal="center" vertical="top" wrapText="1"/>
    </xf>
    <xf numFmtId="4" fontId="9" fillId="0" borderId="0" xfId="1" applyNumberFormat="1" applyFont="1" applyAlignment="1">
      <alignment horizontal="center" vertical="top" wrapText="1"/>
    </xf>
    <xf numFmtId="4" fontId="8" fillId="0" borderId="0" xfId="1" applyNumberFormat="1" applyFont="1" applyAlignment="1">
      <alignment horizontal="center" vertical="top" wrapText="1"/>
    </xf>
    <xf numFmtId="4" fontId="7" fillId="0" borderId="0" xfId="1" applyNumberFormat="1" applyFont="1" applyAlignment="1">
      <alignment horizontal="center" vertical="top" wrapText="1"/>
    </xf>
    <xf numFmtId="4" fontId="5" fillId="0" borderId="0" xfId="1" applyNumberFormat="1" applyFont="1" applyAlignment="1">
      <alignment horizontal="center" vertical="top" wrapText="1"/>
    </xf>
    <xf numFmtId="4" fontId="7" fillId="5" borderId="0" xfId="1" applyNumberFormat="1" applyFont="1" applyFill="1" applyAlignment="1">
      <alignment horizontal="center" vertical="top" wrapText="1"/>
    </xf>
    <xf numFmtId="170" fontId="10" fillId="6" borderId="1" xfId="0" applyNumberFormat="1" applyFont="1" applyFill="1" applyBorder="1" applyAlignment="1">
      <alignment horizontal="center"/>
    </xf>
    <xf numFmtId="170" fontId="6" fillId="4" borderId="8" xfId="1" applyNumberFormat="1" applyFont="1" applyFill="1" applyBorder="1" applyAlignment="1">
      <alignment horizontal="center" vertical="top" wrapText="1"/>
    </xf>
    <xf numFmtId="170" fontId="6" fillId="4" borderId="14" xfId="1" applyNumberFormat="1" applyFont="1" applyFill="1" applyBorder="1" applyAlignment="1">
      <alignment horizontal="center" vertical="top" wrapText="1"/>
    </xf>
    <xf numFmtId="164" fontId="3" fillId="5" borderId="11" xfId="1" applyNumberFormat="1" applyFont="1" applyFill="1" applyBorder="1" applyAlignment="1">
      <alignment horizontal="center" vertical="top" wrapText="1"/>
    </xf>
    <xf numFmtId="0" fontId="6" fillId="4" borderId="6" xfId="1" applyFont="1" applyFill="1" applyBorder="1" applyAlignment="1">
      <alignment horizontal="center" vertical="top" wrapText="1"/>
    </xf>
    <xf numFmtId="0" fontId="6" fillId="4" borderId="3" xfId="1" applyFont="1" applyFill="1" applyBorder="1" applyAlignment="1">
      <alignment horizontal="center" vertical="top" wrapText="1"/>
    </xf>
    <xf numFmtId="0" fontId="5" fillId="5" borderId="18" xfId="1" applyFont="1" applyFill="1" applyBorder="1" applyAlignment="1">
      <alignment horizontal="center" vertical="top" wrapText="1"/>
    </xf>
    <xf numFmtId="170" fontId="3" fillId="5" borderId="1" xfId="1" applyNumberFormat="1" applyFont="1" applyFill="1" applyBorder="1" applyAlignment="1">
      <alignment horizontal="center" vertical="top" wrapText="1"/>
    </xf>
    <xf numFmtId="170" fontId="6" fillId="5" borderId="1" xfId="1" applyNumberFormat="1" applyFont="1" applyFill="1" applyBorder="1" applyAlignment="1">
      <alignment horizontal="center" vertical="top" wrapText="1"/>
    </xf>
    <xf numFmtId="0" fontId="0" fillId="0" borderId="19" xfId="0" applyBorder="1"/>
    <xf numFmtId="0" fontId="5" fillId="5" borderId="7" xfId="1" applyFont="1" applyFill="1" applyBorder="1" applyAlignment="1">
      <alignment vertical="top" wrapText="1"/>
    </xf>
    <xf numFmtId="0" fontId="3" fillId="5" borderId="7" xfId="1" applyFont="1" applyFill="1" applyBorder="1" applyAlignment="1">
      <alignment vertical="top" wrapText="1"/>
    </xf>
    <xf numFmtId="0" fontId="0" fillId="0" borderId="0" xfId="0" applyAlignment="1">
      <alignment vertical="top" wrapText="1"/>
    </xf>
    <xf numFmtId="0" fontId="3" fillId="2" borderId="1" xfId="1" applyFont="1" applyFill="1" applyBorder="1" applyAlignment="1">
      <alignment horizontal="center" vertical="top" wrapText="1"/>
    </xf>
    <xf numFmtId="170" fontId="8" fillId="5" borderId="1" xfId="1" applyNumberFormat="1" applyFont="1" applyFill="1" applyBorder="1" applyAlignment="1">
      <alignment horizontal="center" vertical="top" wrapText="1"/>
    </xf>
    <xf numFmtId="170" fontId="8" fillId="5" borderId="9" xfId="1" applyNumberFormat="1" applyFont="1" applyFill="1" applyBorder="1" applyAlignment="1">
      <alignment horizontal="center" vertical="top" wrapText="1"/>
    </xf>
    <xf numFmtId="4" fontId="5" fillId="5" borderId="0" xfId="1" applyNumberFormat="1" applyFont="1" applyFill="1" applyAlignment="1">
      <alignment horizontal="center" vertical="top" wrapText="1"/>
    </xf>
    <xf numFmtId="164" fontId="6" fillId="4" borderId="17" xfId="1" applyNumberFormat="1" applyFont="1" applyFill="1" applyBorder="1" applyAlignment="1">
      <alignment horizontal="center" vertical="top" wrapText="1"/>
    </xf>
    <xf numFmtId="0" fontId="3" fillId="5" borderId="7" xfId="1" applyFont="1" applyFill="1" applyBorder="1" applyAlignment="1">
      <alignment horizontal="center" vertical="top" wrapText="1"/>
    </xf>
    <xf numFmtId="0" fontId="5" fillId="0" borderId="3" xfId="1" applyFont="1" applyBorder="1" applyAlignment="1">
      <alignment horizontal="center" vertical="top" wrapText="1"/>
    </xf>
    <xf numFmtId="4" fontId="0" fillId="0" borderId="1" xfId="0" applyNumberFormat="1" applyBorder="1"/>
    <xf numFmtId="0" fontId="8" fillId="0" borderId="1" xfId="1" applyFont="1" applyBorder="1" applyAlignment="1">
      <alignment horizontal="center" vertical="top" wrapText="1"/>
    </xf>
    <xf numFmtId="0" fontId="8" fillId="0" borderId="0" xfId="0" applyFont="1"/>
    <xf numFmtId="0" fontId="3" fillId="6" borderId="1" xfId="1" applyFont="1" applyFill="1" applyBorder="1" applyAlignment="1">
      <alignment horizontal="center" vertical="top" wrapText="1"/>
    </xf>
    <xf numFmtId="0" fontId="8" fillId="5" borderId="1" xfId="3" applyFont="1" applyFill="1" applyBorder="1" applyAlignment="1">
      <alignment horizontal="center" vertical="top" wrapText="1"/>
    </xf>
    <xf numFmtId="170" fontId="3" fillId="6" borderId="1" xfId="1" applyNumberFormat="1" applyFont="1" applyFill="1" applyBorder="1" applyAlignment="1">
      <alignment horizontal="center" vertical="top" wrapText="1"/>
    </xf>
    <xf numFmtId="170" fontId="3" fillId="6" borderId="15" xfId="1" applyNumberFormat="1" applyFont="1" applyFill="1" applyBorder="1" applyAlignment="1">
      <alignment horizontal="center" vertical="top" wrapText="1"/>
    </xf>
    <xf numFmtId="0" fontId="0" fillId="6" borderId="0" xfId="0" applyFill="1"/>
    <xf numFmtId="0" fontId="6" fillId="0" borderId="1" xfId="1" applyFont="1" applyBorder="1" applyAlignment="1">
      <alignment horizontal="center" vertical="top" wrapText="1"/>
    </xf>
    <xf numFmtId="0" fontId="5" fillId="0" borderId="1" xfId="1" applyFont="1" applyBorder="1" applyAlignment="1">
      <alignment horizontal="center" vertical="top" wrapText="1"/>
    </xf>
    <xf numFmtId="0" fontId="6" fillId="0" borderId="16" xfId="1" applyFont="1" applyBorder="1" applyAlignment="1">
      <alignment horizontal="center" vertical="top" wrapText="1"/>
    </xf>
    <xf numFmtId="0" fontId="5" fillId="0" borderId="18" xfId="1" applyFont="1" applyBorder="1" applyAlignment="1">
      <alignment horizontal="center" vertical="top" wrapText="1"/>
    </xf>
    <xf numFmtId="171" fontId="10" fillId="6" borderId="1" xfId="2" applyNumberFormat="1" applyFont="1" applyFill="1" applyBorder="1" applyAlignment="1">
      <alignment horizontal="center" vertical="center"/>
    </xf>
    <xf numFmtId="169" fontId="2" fillId="5" borderId="0" xfId="0" applyNumberFormat="1" applyFont="1" applyFill="1" applyAlignment="1">
      <alignment horizontal="center" vertical="center"/>
    </xf>
    <xf numFmtId="170" fontId="8" fillId="0" borderId="1" xfId="1" applyNumberFormat="1" applyFont="1" applyBorder="1" applyAlignment="1">
      <alignment horizontal="center" vertical="top" wrapText="1"/>
    </xf>
    <xf numFmtId="170" fontId="5" fillId="0" borderId="23" xfId="1" applyNumberFormat="1" applyFont="1" applyBorder="1" applyAlignment="1">
      <alignment horizontal="center" vertical="top" wrapText="1"/>
    </xf>
    <xf numFmtId="0" fontId="8" fillId="0" borderId="2" xfId="1" applyFont="1" applyBorder="1" applyAlignment="1">
      <alignment horizontal="center" vertical="top" wrapText="1"/>
    </xf>
    <xf numFmtId="0" fontId="8" fillId="0" borderId="23" xfId="1" applyFont="1" applyBorder="1" applyAlignment="1">
      <alignment horizontal="center" vertical="top" wrapText="1"/>
    </xf>
    <xf numFmtId="166" fontId="5" fillId="5" borderId="1" xfId="1" applyNumberFormat="1" applyFont="1" applyFill="1" applyBorder="1" applyAlignment="1">
      <alignment horizontal="center" vertical="top" wrapText="1"/>
    </xf>
    <xf numFmtId="0" fontId="8" fillId="0" borderId="3" xfId="1" applyFont="1" applyBorder="1" applyAlignment="1">
      <alignment horizontal="center" vertical="top" wrapText="1"/>
    </xf>
    <xf numFmtId="167" fontId="5" fillId="5" borderId="1" xfId="1" applyNumberFormat="1" applyFont="1" applyFill="1" applyBorder="1" applyAlignment="1">
      <alignment horizontal="center" vertical="top" wrapText="1"/>
    </xf>
    <xf numFmtId="168" fontId="5" fillId="5" borderId="1" xfId="1" applyNumberFormat="1" applyFont="1" applyFill="1" applyBorder="1" applyAlignment="1">
      <alignment horizontal="center" vertical="top" wrapText="1"/>
    </xf>
    <xf numFmtId="166" fontId="5" fillId="5" borderId="1" xfId="3" applyNumberFormat="1" applyFont="1" applyFill="1" applyBorder="1" applyAlignment="1">
      <alignment horizontal="center" vertical="top" wrapText="1"/>
    </xf>
    <xf numFmtId="170" fontId="5" fillId="5" borderId="1" xfId="3" applyNumberFormat="1" applyFont="1" applyFill="1" applyBorder="1" applyAlignment="1">
      <alignment horizontal="center" vertical="top" wrapText="1"/>
    </xf>
    <xf numFmtId="170" fontId="8" fillId="5" borderId="1" xfId="2" applyNumberFormat="1" applyFont="1" applyFill="1" applyBorder="1" applyAlignment="1">
      <alignment horizontal="center" vertical="top" wrapText="1"/>
    </xf>
    <xf numFmtId="170" fontId="5" fillId="5" borderId="1" xfId="1" applyNumberFormat="1" applyFont="1" applyFill="1" applyBorder="1" applyAlignment="1">
      <alignment horizontal="center" vertical="top" wrapText="1"/>
    </xf>
    <xf numFmtId="170" fontId="8" fillId="5" borderId="15" xfId="1" applyNumberFormat="1" applyFont="1" applyFill="1" applyBorder="1" applyAlignment="1">
      <alignment horizontal="center" vertical="top" wrapText="1"/>
    </xf>
    <xf numFmtId="170" fontId="8" fillId="0" borderId="15" xfId="1" applyNumberFormat="1" applyFont="1" applyBorder="1" applyAlignment="1">
      <alignment horizontal="center" vertical="top" wrapText="1"/>
    </xf>
    <xf numFmtId="170" fontId="8" fillId="0" borderId="22" xfId="1" applyNumberFormat="1" applyFont="1" applyBorder="1" applyAlignment="1">
      <alignment horizontal="center" vertical="top" wrapText="1"/>
    </xf>
    <xf numFmtId="170" fontId="8" fillId="0" borderId="23" xfId="1" applyNumberFormat="1" applyFont="1" applyBorder="1" applyAlignment="1">
      <alignment horizontal="center" vertical="top" wrapText="1"/>
    </xf>
    <xf numFmtId="170" fontId="8" fillId="0" borderId="20" xfId="1" applyNumberFormat="1" applyFont="1" applyBorder="1" applyAlignment="1">
      <alignment horizontal="center" vertical="top" wrapText="1"/>
    </xf>
    <xf numFmtId="0" fontId="5" fillId="0" borderId="2" xfId="1" applyFont="1" applyBorder="1" applyAlignment="1">
      <alignment horizontal="center" vertical="top" wrapText="1"/>
    </xf>
    <xf numFmtId="170" fontId="8" fillId="5" borderId="21" xfId="1" applyNumberFormat="1" applyFont="1" applyFill="1" applyBorder="1" applyAlignment="1">
      <alignment horizontal="center" vertical="top" wrapText="1"/>
    </xf>
    <xf numFmtId="170" fontId="8" fillId="0" borderId="11" xfId="1" applyNumberFormat="1" applyFont="1" applyBorder="1" applyAlignment="1">
      <alignment horizontal="center" vertical="top" wrapText="1"/>
    </xf>
    <xf numFmtId="170" fontId="10" fillId="6" borderId="9" xfId="0" applyNumberFormat="1" applyFont="1" applyFill="1" applyBorder="1" applyAlignment="1">
      <alignment horizontal="center"/>
    </xf>
    <xf numFmtId="4" fontId="5" fillId="5" borderId="10" xfId="1" applyNumberFormat="1" applyFont="1" applyFill="1" applyBorder="1" applyAlignment="1">
      <alignment horizontal="center" vertical="top" wrapText="1"/>
    </xf>
    <xf numFmtId="170" fontId="3" fillId="0" borderId="24" xfId="0" applyNumberFormat="1" applyFont="1" applyBorder="1" applyAlignment="1">
      <alignment horizontal="center"/>
    </xf>
    <xf numFmtId="170" fontId="6" fillId="0" borderId="0" xfId="1" applyNumberFormat="1" applyFont="1" applyAlignment="1">
      <alignment horizontal="center" vertical="top" wrapText="1"/>
    </xf>
    <xf numFmtId="4" fontId="6" fillId="0" borderId="0" xfId="1" applyNumberFormat="1" applyFont="1" applyAlignment="1">
      <alignment horizontal="center" vertical="top" wrapText="1"/>
    </xf>
    <xf numFmtId="4" fontId="6" fillId="0" borderId="19" xfId="1" applyNumberFormat="1" applyFont="1" applyBorder="1" applyAlignment="1">
      <alignment horizontal="center" vertical="top" wrapText="1"/>
    </xf>
    <xf numFmtId="170" fontId="5" fillId="0" borderId="12" xfId="1" applyNumberFormat="1" applyFont="1" applyBorder="1" applyAlignment="1">
      <alignment horizontal="center" vertical="top" wrapText="1"/>
    </xf>
    <xf numFmtId="170" fontId="5" fillId="0" borderId="11" xfId="1" applyNumberFormat="1" applyFont="1" applyBorder="1" applyAlignment="1">
      <alignment horizontal="center" vertical="top" wrapText="1"/>
    </xf>
    <xf numFmtId="0" fontId="5" fillId="0" borderId="0" xfId="1" applyFont="1" applyAlignment="1">
      <alignment vertical="top" wrapText="1"/>
    </xf>
    <xf numFmtId="171" fontId="6" fillId="4" borderId="11" xfId="1" applyNumberFormat="1" applyFont="1" applyFill="1" applyBorder="1" applyAlignment="1">
      <alignment horizontal="center" vertical="top" wrapText="1"/>
    </xf>
    <xf numFmtId="170" fontId="6" fillId="4" borderId="25" xfId="1" applyNumberFormat="1" applyFont="1" applyFill="1" applyBorder="1" applyAlignment="1">
      <alignment horizontal="center" vertical="top" wrapText="1"/>
    </xf>
    <xf numFmtId="170" fontId="6" fillId="4" borderId="11" xfId="1" applyNumberFormat="1" applyFont="1" applyFill="1" applyBorder="1" applyAlignment="1">
      <alignment horizontal="center" vertical="top" wrapText="1"/>
    </xf>
    <xf numFmtId="171" fontId="3" fillId="6" borderId="11" xfId="1" applyNumberFormat="1" applyFont="1" applyFill="1" applyBorder="1" applyAlignment="1">
      <alignment horizontal="center" vertical="top" wrapText="1"/>
    </xf>
    <xf numFmtId="170" fontId="6" fillId="6" borderId="11" xfId="1" applyNumberFormat="1" applyFont="1" applyFill="1" applyBorder="1" applyAlignment="1">
      <alignment horizontal="center" vertical="top" wrapText="1"/>
    </xf>
    <xf numFmtId="0" fontId="3" fillId="2" borderId="9" xfId="1" applyFont="1" applyFill="1" applyBorder="1" applyAlignment="1">
      <alignment horizontal="center" vertical="top" wrapText="1"/>
    </xf>
    <xf numFmtId="0" fontId="3" fillId="0" borderId="2" xfId="1" applyFont="1" applyBorder="1" applyAlignment="1">
      <alignment horizontal="center" vertical="top" wrapText="1"/>
    </xf>
    <xf numFmtId="170" fontId="10" fillId="0" borderId="1" xfId="0" applyNumberFormat="1" applyFont="1" applyBorder="1" applyAlignment="1">
      <alignment horizontal="center"/>
    </xf>
    <xf numFmtId="0" fontId="5" fillId="5" borderId="0" xfId="1" applyFont="1" applyFill="1" applyAlignment="1">
      <alignment horizontal="center" vertical="top" wrapText="1"/>
    </xf>
    <xf numFmtId="0" fontId="0" fillId="5" borderId="0" xfId="0" applyFill="1" applyAlignment="1">
      <alignment horizontal="left" vertical="top" wrapText="1"/>
    </xf>
    <xf numFmtId="0" fontId="0" fillId="0" borderId="0" xfId="0" applyAlignment="1">
      <alignment horizontal="left" vertical="top" wrapText="1"/>
    </xf>
    <xf numFmtId="0" fontId="5" fillId="5" borderId="0" xfId="1" applyFont="1" applyFill="1" applyAlignment="1">
      <alignment horizontal="left" vertical="top" wrapText="1"/>
    </xf>
    <xf numFmtId="0" fontId="3" fillId="0" borderId="20" xfId="1" applyFont="1" applyBorder="1" applyAlignment="1">
      <alignment horizontal="center" vertical="top"/>
    </xf>
    <xf numFmtId="6" fontId="4" fillId="0" borderId="11" xfId="1" applyNumberFormat="1" applyFont="1" applyBorder="1" applyAlignment="1">
      <alignment horizontal="center" vertical="top"/>
    </xf>
    <xf numFmtId="0" fontId="4" fillId="0" borderId="11" xfId="1" applyFont="1" applyBorder="1" applyAlignment="1">
      <alignment horizontal="center" vertical="top"/>
    </xf>
    <xf numFmtId="0" fontId="4" fillId="0" borderId="0" xfId="1" applyFont="1" applyAlignment="1">
      <alignment horizontal="center" vertical="top"/>
    </xf>
    <xf numFmtId="14" fontId="4" fillId="0" borderId="11" xfId="1" applyNumberFormat="1"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4">
    <cellStyle name="Currency" xfId="2" builtinId="4"/>
    <cellStyle name="Normal" xfId="0" builtinId="0"/>
    <cellStyle name="Normal 2" xfId="1" xr:uid="{00000000-0005-0000-0000-000001000000}"/>
    <cellStyle name="Normal 2 2" xfId="3" xr:uid="{B5A483B2-0645-4105-915F-7D18F91750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C192"/>
  <sheetViews>
    <sheetView tabSelected="1" zoomScale="90" zoomScaleNormal="90" workbookViewId="0">
      <selection activeCell="J19" sqref="J19:J20"/>
    </sheetView>
  </sheetViews>
  <sheetFormatPr defaultRowHeight="14.5" x14ac:dyDescent="0.35"/>
  <cols>
    <col min="1" max="1" width="26.26953125" customWidth="1"/>
    <col min="2" max="2" width="36.453125" customWidth="1"/>
    <col min="3" max="3" width="19" customWidth="1"/>
    <col min="4" max="4" width="44.36328125" customWidth="1"/>
    <col min="5" max="5" width="21.1796875" customWidth="1"/>
    <col min="6" max="6" width="19.7265625" customWidth="1"/>
    <col min="7" max="7" width="19.453125" customWidth="1"/>
    <col min="8" max="12" width="9.1796875"/>
    <col min="13" max="13" width="12.1796875" bestFit="1" customWidth="1"/>
    <col min="14" max="289" width="9.1796875"/>
  </cols>
  <sheetData>
    <row r="1" spans="1:8" ht="15" customHeight="1" x14ac:dyDescent="0.35">
      <c r="A1" s="69" t="s">
        <v>77</v>
      </c>
      <c r="B1" s="124" t="s">
        <v>72</v>
      </c>
      <c r="C1" s="124" t="s">
        <v>73</v>
      </c>
      <c r="D1" s="124" t="s">
        <v>71</v>
      </c>
      <c r="E1" s="69"/>
      <c r="F1" s="124" t="s">
        <v>201</v>
      </c>
      <c r="H1" s="26"/>
    </row>
    <row r="2" spans="1:8" s="137" customFormat="1" x14ac:dyDescent="0.35">
      <c r="A2" s="131"/>
      <c r="B2" s="132" t="s">
        <v>268</v>
      </c>
      <c r="C2" s="133" t="s">
        <v>267</v>
      </c>
      <c r="D2" s="133" t="s">
        <v>266</v>
      </c>
      <c r="E2" s="134"/>
      <c r="F2" s="135">
        <v>46127</v>
      </c>
      <c r="G2" s="134"/>
      <c r="H2" s="136"/>
    </row>
    <row r="3" spans="1:8" x14ac:dyDescent="0.35">
      <c r="A3" s="10" t="s">
        <v>0</v>
      </c>
      <c r="B3" s="10" t="s">
        <v>1</v>
      </c>
      <c r="C3" s="10" t="s">
        <v>2</v>
      </c>
      <c r="D3" s="10" t="s">
        <v>3</v>
      </c>
      <c r="E3" s="10" t="s">
        <v>4</v>
      </c>
      <c r="F3" s="10" t="s">
        <v>61</v>
      </c>
      <c r="H3" s="26"/>
    </row>
    <row r="4" spans="1:8" x14ac:dyDescent="0.35">
      <c r="A4" s="1"/>
      <c r="B4" s="1"/>
      <c r="C4" s="1"/>
      <c r="D4" s="1"/>
      <c r="E4" s="1"/>
      <c r="F4" s="1"/>
      <c r="H4" s="26"/>
    </row>
    <row r="5" spans="1:8" x14ac:dyDescent="0.35">
      <c r="A5" s="2" t="s">
        <v>5</v>
      </c>
      <c r="B5" s="3" t="s">
        <v>6</v>
      </c>
      <c r="C5" s="4"/>
      <c r="D5" s="4"/>
      <c r="E5" s="4"/>
      <c r="F5" s="73">
        <f>SUM(C6:E15)</f>
        <v>0</v>
      </c>
      <c r="H5" s="26"/>
    </row>
    <row r="6" spans="1:8" x14ac:dyDescent="0.35">
      <c r="A6" s="19" t="s">
        <v>202</v>
      </c>
      <c r="B6" s="49" t="s">
        <v>205</v>
      </c>
      <c r="C6" s="47"/>
      <c r="D6" s="47"/>
      <c r="E6" s="48"/>
      <c r="F6" s="14"/>
      <c r="H6" s="26"/>
    </row>
    <row r="7" spans="1:8" x14ac:dyDescent="0.35">
      <c r="A7" s="19" t="s">
        <v>83</v>
      </c>
      <c r="B7" s="49" t="s">
        <v>89</v>
      </c>
      <c r="C7" s="47"/>
      <c r="D7" s="47"/>
      <c r="E7" s="48"/>
      <c r="F7" s="14"/>
      <c r="H7" s="26"/>
    </row>
    <row r="8" spans="1:8" x14ac:dyDescent="0.35">
      <c r="A8" s="19" t="s">
        <v>84</v>
      </c>
      <c r="B8" s="49" t="s">
        <v>90</v>
      </c>
      <c r="C8" s="47"/>
      <c r="D8" s="47"/>
      <c r="E8" s="48"/>
      <c r="F8" s="14"/>
      <c r="H8" s="26"/>
    </row>
    <row r="9" spans="1:8" x14ac:dyDescent="0.35">
      <c r="A9" s="19" t="s">
        <v>203</v>
      </c>
      <c r="B9" s="49" t="s">
        <v>206</v>
      </c>
      <c r="C9" s="47"/>
      <c r="D9" s="47"/>
      <c r="E9" s="48"/>
      <c r="F9" s="14"/>
      <c r="H9" s="26"/>
    </row>
    <row r="10" spans="1:8" x14ac:dyDescent="0.35">
      <c r="A10" s="19" t="s">
        <v>85</v>
      </c>
      <c r="B10" s="49" t="s">
        <v>91</v>
      </c>
      <c r="C10" s="47"/>
      <c r="D10" s="47"/>
      <c r="E10" s="48"/>
      <c r="F10" s="14"/>
      <c r="H10" s="26"/>
    </row>
    <row r="11" spans="1:8" x14ac:dyDescent="0.35">
      <c r="A11" s="19" t="s">
        <v>204</v>
      </c>
      <c r="B11" s="49" t="s">
        <v>207</v>
      </c>
      <c r="C11" s="47"/>
      <c r="D11" s="47"/>
      <c r="E11" s="48"/>
      <c r="F11" s="14"/>
      <c r="H11" s="26"/>
    </row>
    <row r="12" spans="1:8" x14ac:dyDescent="0.35">
      <c r="A12" s="19" t="s">
        <v>86</v>
      </c>
      <c r="B12" s="49" t="s">
        <v>208</v>
      </c>
      <c r="C12" s="47"/>
      <c r="D12" s="47"/>
      <c r="E12" s="48"/>
      <c r="F12" s="14"/>
      <c r="H12" s="26"/>
    </row>
    <row r="13" spans="1:8" x14ac:dyDescent="0.35">
      <c r="A13" s="19" t="s">
        <v>87</v>
      </c>
      <c r="B13" s="49" t="s">
        <v>209</v>
      </c>
      <c r="C13" s="47"/>
      <c r="D13" s="47"/>
      <c r="E13" s="48"/>
      <c r="F13" s="14"/>
      <c r="H13" s="26"/>
    </row>
    <row r="14" spans="1:8" x14ac:dyDescent="0.35">
      <c r="A14" s="19" t="s">
        <v>88</v>
      </c>
      <c r="B14" s="49" t="s">
        <v>92</v>
      </c>
      <c r="C14" s="47"/>
      <c r="D14" s="47"/>
      <c r="E14" s="48"/>
      <c r="F14" s="14"/>
      <c r="H14" s="26"/>
    </row>
    <row r="15" spans="1:8" x14ac:dyDescent="0.35">
      <c r="A15" s="74"/>
      <c r="B15" s="49"/>
      <c r="C15" s="47"/>
      <c r="D15" s="47"/>
      <c r="E15" s="48"/>
      <c r="F15" s="14"/>
      <c r="H15" s="26"/>
    </row>
    <row r="16" spans="1:8" x14ac:dyDescent="0.35">
      <c r="A16" s="2" t="s">
        <v>7</v>
      </c>
      <c r="B16" s="3" t="s">
        <v>78</v>
      </c>
      <c r="C16" s="4"/>
      <c r="D16" s="4"/>
      <c r="E16" s="4"/>
      <c r="F16" s="46">
        <f>SUM(C17:E18)</f>
        <v>0</v>
      </c>
      <c r="H16" s="26"/>
    </row>
    <row r="17" spans="1:8" x14ac:dyDescent="0.35">
      <c r="A17" s="10" t="s">
        <v>8</v>
      </c>
      <c r="B17" s="49" t="s">
        <v>9</v>
      </c>
      <c r="C17" s="70"/>
      <c r="D17" s="70"/>
      <c r="E17" s="70"/>
      <c r="F17" s="21"/>
      <c r="H17" s="26"/>
    </row>
    <row r="18" spans="1:8" x14ac:dyDescent="0.35">
      <c r="A18" s="10"/>
      <c r="B18" s="50"/>
      <c r="C18" s="71"/>
      <c r="D18" s="71"/>
      <c r="E18" s="71"/>
      <c r="F18" s="21"/>
      <c r="H18" s="26"/>
    </row>
    <row r="19" spans="1:8" x14ac:dyDescent="0.35">
      <c r="A19" s="2" t="s">
        <v>10</v>
      </c>
      <c r="B19" s="22" t="s">
        <v>11</v>
      </c>
      <c r="C19" s="23"/>
      <c r="D19" s="23"/>
      <c r="E19" s="23"/>
      <c r="F19" s="46">
        <f>SUM(C20:E20)</f>
        <v>0</v>
      </c>
      <c r="H19" s="26"/>
    </row>
    <row r="20" spans="1:8" x14ac:dyDescent="0.35">
      <c r="A20" s="94">
        <v>55973</v>
      </c>
      <c r="B20" s="49" t="s">
        <v>55</v>
      </c>
      <c r="C20" s="11"/>
      <c r="D20" s="11"/>
      <c r="E20" s="63"/>
      <c r="F20" s="9"/>
      <c r="H20" s="26"/>
    </row>
    <row r="21" spans="1:8" x14ac:dyDescent="0.35">
      <c r="A21" s="2" t="s">
        <v>12</v>
      </c>
      <c r="B21" s="22" t="s">
        <v>13</v>
      </c>
      <c r="C21" s="23"/>
      <c r="D21" s="23"/>
      <c r="E21" s="23"/>
      <c r="F21" s="56"/>
      <c r="H21" s="26"/>
    </row>
    <row r="22" spans="1:8" x14ac:dyDescent="0.35">
      <c r="A22" s="125" t="s">
        <v>210</v>
      </c>
      <c r="B22" s="95" t="s">
        <v>211</v>
      </c>
      <c r="C22" s="75"/>
      <c r="D22" s="75"/>
      <c r="E22" s="75"/>
      <c r="F22" s="126"/>
      <c r="H22" s="26"/>
    </row>
    <row r="23" spans="1:8" x14ac:dyDescent="0.35">
      <c r="A23" s="2" t="s">
        <v>14</v>
      </c>
      <c r="B23" s="3" t="s">
        <v>79</v>
      </c>
      <c r="C23" s="4"/>
      <c r="D23" s="4"/>
      <c r="E23" s="4"/>
      <c r="F23" s="88">
        <f>SUM(C25:E25)</f>
        <v>0</v>
      </c>
      <c r="H23" s="26"/>
    </row>
    <row r="24" spans="1:8" x14ac:dyDescent="0.35">
      <c r="A24" s="92" t="s">
        <v>212</v>
      </c>
      <c r="B24" s="77" t="s">
        <v>213</v>
      </c>
      <c r="C24" s="90"/>
      <c r="D24" s="90"/>
      <c r="E24" s="103"/>
      <c r="F24" s="76"/>
      <c r="H24" s="26"/>
    </row>
    <row r="25" spans="1:8" x14ac:dyDescent="0.35">
      <c r="A25" s="92" t="s">
        <v>93</v>
      </c>
      <c r="B25" s="95" t="s">
        <v>94</v>
      </c>
      <c r="C25" s="75"/>
      <c r="D25" s="75"/>
      <c r="E25" s="75"/>
      <c r="F25" s="76"/>
      <c r="H25" s="26"/>
    </row>
    <row r="26" spans="1:8" x14ac:dyDescent="0.35">
      <c r="A26" s="2" t="s">
        <v>15</v>
      </c>
      <c r="B26" s="22" t="s">
        <v>80</v>
      </c>
      <c r="C26" s="23"/>
      <c r="D26" s="23"/>
      <c r="E26" s="23"/>
      <c r="F26" s="110">
        <f>SUM(C27:E28)</f>
        <v>0</v>
      </c>
      <c r="H26" s="26"/>
    </row>
    <row r="27" spans="1:8" s="78" customFormat="1" x14ac:dyDescent="0.35">
      <c r="A27" s="92" t="s">
        <v>95</v>
      </c>
      <c r="B27" s="77" t="s">
        <v>51</v>
      </c>
      <c r="C27" s="90"/>
      <c r="D27" s="90"/>
      <c r="E27" s="103"/>
      <c r="F27" s="112"/>
    </row>
    <row r="28" spans="1:8" x14ac:dyDescent="0.35">
      <c r="A28" s="96" t="s">
        <v>96</v>
      </c>
      <c r="B28" s="49" t="s">
        <v>97</v>
      </c>
      <c r="C28" s="11"/>
      <c r="D28" s="16"/>
      <c r="E28" s="63"/>
      <c r="F28" s="111"/>
      <c r="H28" s="26"/>
    </row>
    <row r="29" spans="1:8" x14ac:dyDescent="0.35">
      <c r="A29" s="2" t="s">
        <v>16</v>
      </c>
      <c r="B29" s="3" t="s">
        <v>17</v>
      </c>
      <c r="C29" s="4"/>
      <c r="D29" s="4"/>
      <c r="E29" s="4"/>
      <c r="F29" s="57">
        <f>SUM(C30:E36)</f>
        <v>0</v>
      </c>
      <c r="H29" s="26"/>
    </row>
    <row r="30" spans="1:8" x14ac:dyDescent="0.35">
      <c r="A30" s="94" t="s">
        <v>214</v>
      </c>
      <c r="B30" s="49" t="s">
        <v>215</v>
      </c>
      <c r="C30" s="63"/>
      <c r="D30" s="63"/>
      <c r="E30" s="63"/>
      <c r="F30" s="51"/>
      <c r="H30" s="26"/>
    </row>
    <row r="31" spans="1:8" x14ac:dyDescent="0.35">
      <c r="A31" s="49" t="s">
        <v>98</v>
      </c>
      <c r="B31" s="49" t="s">
        <v>101</v>
      </c>
      <c r="C31" s="63"/>
      <c r="D31" s="63"/>
      <c r="E31" s="63"/>
      <c r="F31" s="52"/>
      <c r="H31" s="26"/>
    </row>
    <row r="32" spans="1:8" x14ac:dyDescent="0.35">
      <c r="A32" s="49" t="s">
        <v>99</v>
      </c>
      <c r="B32" s="49" t="s">
        <v>102</v>
      </c>
      <c r="C32" s="63"/>
      <c r="D32" s="63"/>
      <c r="E32" s="63"/>
      <c r="F32" s="52"/>
      <c r="H32" s="26"/>
    </row>
    <row r="33" spans="1:8" x14ac:dyDescent="0.35">
      <c r="A33" s="49" t="s">
        <v>100</v>
      </c>
      <c r="B33" s="49" t="s">
        <v>103</v>
      </c>
      <c r="C33" s="63"/>
      <c r="D33" s="63"/>
      <c r="E33" s="63"/>
      <c r="F33" s="52"/>
      <c r="H33" s="26"/>
    </row>
    <row r="34" spans="1:8" x14ac:dyDescent="0.35">
      <c r="A34" s="49" t="s">
        <v>18</v>
      </c>
      <c r="B34" s="49" t="s">
        <v>19</v>
      </c>
      <c r="C34" s="63"/>
      <c r="D34" s="63"/>
      <c r="E34" s="63"/>
      <c r="F34" s="52"/>
      <c r="H34" s="26"/>
    </row>
    <row r="35" spans="1:8" x14ac:dyDescent="0.35">
      <c r="A35" s="49" t="s">
        <v>20</v>
      </c>
      <c r="B35" s="49" t="s">
        <v>21</v>
      </c>
      <c r="C35" s="63"/>
      <c r="D35" s="63"/>
      <c r="E35" s="63"/>
      <c r="F35" s="52"/>
      <c r="H35" s="26"/>
    </row>
    <row r="36" spans="1:8" x14ac:dyDescent="0.35">
      <c r="A36" s="49"/>
      <c r="B36" s="49"/>
      <c r="C36" s="63"/>
      <c r="D36" s="63"/>
      <c r="E36" s="63"/>
      <c r="F36" s="52"/>
      <c r="H36" s="26"/>
    </row>
    <row r="37" spans="1:8" x14ac:dyDescent="0.35">
      <c r="A37" s="2" t="s">
        <v>22</v>
      </c>
      <c r="B37" s="3" t="s">
        <v>81</v>
      </c>
      <c r="C37" s="4"/>
      <c r="D37" s="4"/>
      <c r="E37" s="4"/>
      <c r="F37" s="58">
        <f>SUM(C38:E45)</f>
        <v>0</v>
      </c>
      <c r="H37" s="26"/>
    </row>
    <row r="38" spans="1:8" x14ac:dyDescent="0.35">
      <c r="A38" s="97">
        <v>39765</v>
      </c>
      <c r="B38" s="49" t="s">
        <v>104</v>
      </c>
      <c r="C38" s="64"/>
      <c r="D38" s="64"/>
      <c r="E38" s="63"/>
      <c r="H38" s="26"/>
    </row>
    <row r="39" spans="1:8" x14ac:dyDescent="0.35">
      <c r="A39" s="94">
        <v>36752</v>
      </c>
      <c r="B39" s="49" t="s">
        <v>23</v>
      </c>
      <c r="C39" s="63"/>
      <c r="D39" s="63"/>
      <c r="E39" s="63"/>
      <c r="H39" s="26"/>
    </row>
    <row r="40" spans="1:8" x14ac:dyDescent="0.35">
      <c r="A40" s="94" t="s">
        <v>216</v>
      </c>
      <c r="B40" s="49" t="s">
        <v>218</v>
      </c>
      <c r="C40" s="63"/>
      <c r="D40" s="63"/>
      <c r="E40" s="63"/>
      <c r="H40" s="26"/>
    </row>
    <row r="41" spans="1:8" x14ac:dyDescent="0.35">
      <c r="A41" s="49" t="s">
        <v>24</v>
      </c>
      <c r="B41" s="49" t="s">
        <v>25</v>
      </c>
      <c r="C41" s="63"/>
      <c r="D41" s="63"/>
      <c r="E41" s="63"/>
      <c r="H41" s="26"/>
    </row>
    <row r="42" spans="1:8" x14ac:dyDescent="0.35">
      <c r="A42" s="49" t="s">
        <v>217</v>
      </c>
      <c r="B42" s="49" t="s">
        <v>219</v>
      </c>
      <c r="C42" s="64"/>
      <c r="D42" s="64"/>
      <c r="E42" s="63"/>
      <c r="H42" s="26"/>
    </row>
    <row r="43" spans="1:8" x14ac:dyDescent="0.35">
      <c r="A43" s="49" t="s">
        <v>26</v>
      </c>
      <c r="B43" s="49" t="s">
        <v>27</v>
      </c>
      <c r="C43" s="63"/>
      <c r="D43" s="63"/>
      <c r="E43" s="63"/>
      <c r="H43" s="26"/>
    </row>
    <row r="44" spans="1:8" x14ac:dyDescent="0.35">
      <c r="A44" s="49"/>
      <c r="B44" s="49"/>
      <c r="C44" s="63"/>
      <c r="D44" s="63"/>
      <c r="E44" s="63"/>
      <c r="H44" s="26"/>
    </row>
    <row r="45" spans="1:8" x14ac:dyDescent="0.35">
      <c r="A45" s="49"/>
      <c r="B45" s="49"/>
      <c r="C45" s="63"/>
      <c r="D45" s="63"/>
      <c r="E45" s="63"/>
      <c r="H45" s="26"/>
    </row>
    <row r="46" spans="1:8" x14ac:dyDescent="0.35">
      <c r="A46" s="2" t="s">
        <v>28</v>
      </c>
      <c r="B46" s="3" t="s">
        <v>29</v>
      </c>
      <c r="C46" s="4"/>
      <c r="D46" s="4"/>
      <c r="E46" s="4"/>
      <c r="F46" s="120">
        <f>SUM(C47:E59)</f>
        <v>0</v>
      </c>
      <c r="H46" s="26"/>
    </row>
    <row r="47" spans="1:8" x14ac:dyDescent="0.35">
      <c r="A47" s="97">
        <v>39949</v>
      </c>
      <c r="B47" s="49" t="s">
        <v>30</v>
      </c>
      <c r="C47" s="70"/>
      <c r="D47" s="63"/>
      <c r="E47" s="63"/>
      <c r="F47" s="53"/>
      <c r="H47" s="26"/>
    </row>
    <row r="48" spans="1:8" x14ac:dyDescent="0.35">
      <c r="A48" s="96">
        <v>36686</v>
      </c>
      <c r="B48" s="49" t="s">
        <v>31</v>
      </c>
      <c r="C48" s="70"/>
      <c r="D48" s="63"/>
      <c r="E48" s="63"/>
      <c r="F48" s="54"/>
      <c r="H48" s="26"/>
    </row>
    <row r="49" spans="1:8" x14ac:dyDescent="0.35">
      <c r="A49" s="94">
        <v>42635</v>
      </c>
      <c r="B49" s="49" t="s">
        <v>32</v>
      </c>
      <c r="C49" s="70"/>
      <c r="D49" s="63"/>
      <c r="E49" s="63"/>
      <c r="F49" s="53"/>
      <c r="H49" s="26"/>
    </row>
    <row r="50" spans="1:8" x14ac:dyDescent="0.35">
      <c r="A50" s="94">
        <v>36798</v>
      </c>
      <c r="B50" s="49" t="s">
        <v>33</v>
      </c>
      <c r="C50" s="70"/>
      <c r="D50" s="63"/>
      <c r="E50" s="63"/>
      <c r="F50" s="54"/>
      <c r="H50" s="26"/>
    </row>
    <row r="51" spans="1:8" x14ac:dyDescent="0.35">
      <c r="A51" s="49" t="s">
        <v>220</v>
      </c>
      <c r="B51" s="49" t="s">
        <v>225</v>
      </c>
      <c r="C51" s="70"/>
      <c r="D51" s="63"/>
      <c r="E51" s="63"/>
      <c r="F51" s="54"/>
      <c r="H51" s="26"/>
    </row>
    <row r="52" spans="1:8" x14ac:dyDescent="0.35">
      <c r="A52" s="49" t="s">
        <v>34</v>
      </c>
      <c r="B52" s="49" t="s">
        <v>226</v>
      </c>
      <c r="C52" s="70"/>
      <c r="D52" s="63"/>
      <c r="E52" s="63"/>
      <c r="F52" s="54"/>
      <c r="H52" s="26"/>
    </row>
    <row r="53" spans="1:8" x14ac:dyDescent="0.35">
      <c r="A53" s="49" t="s">
        <v>35</v>
      </c>
      <c r="B53" s="49" t="s">
        <v>107</v>
      </c>
      <c r="C53" s="70"/>
      <c r="D53" s="63"/>
      <c r="E53" s="63"/>
      <c r="F53" s="54"/>
      <c r="H53" s="26"/>
    </row>
    <row r="54" spans="1:8" x14ac:dyDescent="0.35">
      <c r="A54" s="49" t="s">
        <v>221</v>
      </c>
      <c r="B54" s="49" t="s">
        <v>227</v>
      </c>
      <c r="C54" s="70"/>
      <c r="D54" s="63"/>
      <c r="E54" s="63"/>
      <c r="F54" s="54"/>
      <c r="H54" s="26"/>
    </row>
    <row r="55" spans="1:8" x14ac:dyDescent="0.35">
      <c r="A55" s="49" t="s">
        <v>222</v>
      </c>
      <c r="B55" s="49" t="s">
        <v>228</v>
      </c>
      <c r="C55" s="70"/>
      <c r="D55" s="63"/>
      <c r="E55" s="63"/>
      <c r="F55" s="53"/>
      <c r="H55" s="26"/>
    </row>
    <row r="56" spans="1:8" ht="29" x14ac:dyDescent="0.35">
      <c r="A56" s="49" t="s">
        <v>223</v>
      </c>
      <c r="B56" s="49" t="s">
        <v>229</v>
      </c>
      <c r="C56" s="70"/>
      <c r="D56" s="63"/>
      <c r="E56" s="63"/>
      <c r="F56" s="53"/>
      <c r="H56" s="26"/>
    </row>
    <row r="57" spans="1:8" x14ac:dyDescent="0.35">
      <c r="A57" s="49" t="s">
        <v>105</v>
      </c>
      <c r="B57" s="49" t="s">
        <v>230</v>
      </c>
      <c r="C57" s="70"/>
      <c r="D57" s="94"/>
      <c r="E57" s="63"/>
      <c r="F57" s="54"/>
      <c r="H57" s="26"/>
    </row>
    <row r="58" spans="1:8" x14ac:dyDescent="0.35">
      <c r="A58" s="49" t="s">
        <v>106</v>
      </c>
      <c r="B58" s="49" t="s">
        <v>36</v>
      </c>
      <c r="C58" s="70"/>
      <c r="D58" s="63"/>
      <c r="E58" s="63"/>
      <c r="F58" s="53"/>
      <c r="H58" s="26"/>
    </row>
    <row r="59" spans="1:8" x14ac:dyDescent="0.35">
      <c r="A59" s="49" t="s">
        <v>224</v>
      </c>
      <c r="B59" s="49" t="s">
        <v>231</v>
      </c>
      <c r="C59" s="70"/>
      <c r="D59" s="63"/>
      <c r="E59" s="63"/>
      <c r="F59" s="53"/>
      <c r="H59" s="26"/>
    </row>
    <row r="60" spans="1:8" x14ac:dyDescent="0.35">
      <c r="A60" s="2" t="s">
        <v>37</v>
      </c>
      <c r="B60" s="3" t="s">
        <v>82</v>
      </c>
      <c r="C60" s="4"/>
      <c r="D60" s="4"/>
      <c r="E60" s="4"/>
      <c r="F60" s="121">
        <f>SUM(C61:E67)</f>
        <v>0</v>
      </c>
      <c r="H60" s="26"/>
    </row>
    <row r="61" spans="1:8" x14ac:dyDescent="0.35">
      <c r="A61" s="98" t="s">
        <v>108</v>
      </c>
      <c r="B61" s="80" t="s">
        <v>113</v>
      </c>
      <c r="C61" s="99"/>
      <c r="D61" s="99"/>
      <c r="E61" s="100"/>
      <c r="F61" s="55"/>
      <c r="H61" s="26"/>
    </row>
    <row r="62" spans="1:8" x14ac:dyDescent="0.35">
      <c r="A62" s="94" t="s">
        <v>109</v>
      </c>
      <c r="B62" s="49" t="s">
        <v>114</v>
      </c>
      <c r="C62" s="101"/>
      <c r="D62" s="101"/>
      <c r="E62" s="100"/>
      <c r="F62" s="55"/>
      <c r="H62" s="26"/>
    </row>
    <row r="63" spans="1:8" x14ac:dyDescent="0.35">
      <c r="A63" s="94" t="s">
        <v>232</v>
      </c>
      <c r="B63" s="49" t="s">
        <v>233</v>
      </c>
      <c r="C63" s="101"/>
      <c r="D63" s="101"/>
      <c r="E63" s="100"/>
      <c r="F63" s="55"/>
      <c r="H63" s="26"/>
    </row>
    <row r="64" spans="1:8" x14ac:dyDescent="0.35">
      <c r="A64" s="94" t="s">
        <v>110</v>
      </c>
      <c r="B64" s="49" t="s">
        <v>234</v>
      </c>
      <c r="C64" s="101"/>
      <c r="D64" s="101"/>
      <c r="E64" s="100"/>
      <c r="F64" s="55"/>
      <c r="H64" s="26"/>
    </row>
    <row r="65" spans="1:289" x14ac:dyDescent="0.35">
      <c r="A65" s="94" t="s">
        <v>111</v>
      </c>
      <c r="B65" s="49" t="s">
        <v>235</v>
      </c>
      <c r="C65" s="101"/>
      <c r="D65" s="101"/>
      <c r="E65" s="100"/>
      <c r="F65" s="55"/>
      <c r="H65" s="26"/>
    </row>
    <row r="66" spans="1:289" x14ac:dyDescent="0.35">
      <c r="A66" s="94" t="s">
        <v>112</v>
      </c>
      <c r="B66" s="49" t="s">
        <v>115</v>
      </c>
      <c r="C66" s="101"/>
      <c r="D66" s="101"/>
      <c r="E66" s="100"/>
      <c r="F66" s="55"/>
      <c r="H66" s="26"/>
    </row>
    <row r="67" spans="1:289" x14ac:dyDescent="0.35">
      <c r="A67" s="94"/>
      <c r="B67" s="49"/>
      <c r="C67" s="101"/>
      <c r="D67" s="101"/>
      <c r="E67" s="100"/>
      <c r="F67" s="55"/>
      <c r="H67" s="26"/>
    </row>
    <row r="68" spans="1:289" x14ac:dyDescent="0.35">
      <c r="A68" s="17" t="s">
        <v>38</v>
      </c>
      <c r="B68" s="60" t="s">
        <v>4</v>
      </c>
      <c r="C68" s="18"/>
      <c r="D68" s="18"/>
      <c r="E68" s="18"/>
      <c r="F68" s="119"/>
      <c r="H68" s="26"/>
    </row>
    <row r="69" spans="1:289" x14ac:dyDescent="0.35">
      <c r="A69" s="2" t="s">
        <v>39</v>
      </c>
      <c r="B69" s="61" t="s">
        <v>116</v>
      </c>
      <c r="C69" s="4"/>
      <c r="D69" s="4"/>
      <c r="E69" s="4"/>
      <c r="F69" s="119">
        <f>SUM(C70:E74)</f>
        <v>0</v>
      </c>
      <c r="H69" s="26"/>
    </row>
    <row r="70" spans="1:289" x14ac:dyDescent="0.35">
      <c r="A70" s="94" t="s">
        <v>117</v>
      </c>
      <c r="B70" s="75" t="s">
        <v>118</v>
      </c>
      <c r="C70" s="91"/>
      <c r="D70" s="91"/>
      <c r="E70" s="91"/>
      <c r="F70" s="115"/>
      <c r="H70" s="26"/>
    </row>
    <row r="71" spans="1:289" x14ac:dyDescent="0.35">
      <c r="A71" s="94" t="s">
        <v>236</v>
      </c>
      <c r="B71" s="94" t="s">
        <v>119</v>
      </c>
      <c r="C71" s="91"/>
      <c r="D71" s="91"/>
      <c r="E71" s="91"/>
      <c r="F71" s="114"/>
      <c r="H71" s="26"/>
    </row>
    <row r="72" spans="1:289" x14ac:dyDescent="0.35">
      <c r="A72" s="94" t="s">
        <v>40</v>
      </c>
      <c r="B72" s="75" t="s">
        <v>120</v>
      </c>
      <c r="C72" s="91"/>
      <c r="D72" s="91"/>
      <c r="E72" s="91"/>
      <c r="F72" s="114"/>
      <c r="H72" s="26"/>
    </row>
    <row r="73" spans="1:289" x14ac:dyDescent="0.35">
      <c r="A73" s="94" t="s">
        <v>237</v>
      </c>
      <c r="B73" s="75" t="s">
        <v>41</v>
      </c>
      <c r="C73" s="91"/>
      <c r="D73" s="91"/>
      <c r="E73" s="91"/>
      <c r="F73" s="114"/>
      <c r="H73" s="26"/>
    </row>
    <row r="74" spans="1:289" x14ac:dyDescent="0.35">
      <c r="A74" s="94"/>
      <c r="B74" s="75"/>
      <c r="C74" s="91"/>
      <c r="D74" s="91"/>
      <c r="E74" s="91"/>
      <c r="F74" s="114"/>
      <c r="H74" s="26"/>
    </row>
    <row r="75" spans="1:289" s="83" customFormat="1" x14ac:dyDescent="0.35">
      <c r="A75" s="79" t="s">
        <v>42</v>
      </c>
      <c r="B75" s="79" t="s">
        <v>121</v>
      </c>
      <c r="C75" s="81"/>
      <c r="D75" s="81"/>
      <c r="E75" s="82"/>
      <c r="F75" s="122">
        <f>SUM(C76:E76)</f>
        <v>0</v>
      </c>
      <c r="G75"/>
      <c r="H75" s="26"/>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row>
    <row r="76" spans="1:289" ht="29" x14ac:dyDescent="0.35">
      <c r="A76" s="77" t="s">
        <v>122</v>
      </c>
      <c r="B76" s="77" t="s">
        <v>123</v>
      </c>
      <c r="C76" s="90"/>
      <c r="D76" s="90"/>
      <c r="E76" s="103"/>
      <c r="F76" s="53"/>
      <c r="H76" s="26"/>
    </row>
    <row r="77" spans="1:289" s="83" customFormat="1" x14ac:dyDescent="0.35">
      <c r="A77" s="79" t="s">
        <v>65</v>
      </c>
      <c r="B77" s="79" t="s">
        <v>124</v>
      </c>
      <c r="C77" s="81"/>
      <c r="D77" s="81"/>
      <c r="E77" s="82"/>
      <c r="F77" s="122">
        <f>SUM(C78:E79)</f>
        <v>0</v>
      </c>
      <c r="G77"/>
      <c r="H77" s="26"/>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row>
    <row r="78" spans="1:289" x14ac:dyDescent="0.35">
      <c r="A78" s="77" t="s">
        <v>125</v>
      </c>
      <c r="B78" s="77" t="s">
        <v>126</v>
      </c>
      <c r="C78" s="90"/>
      <c r="D78" s="90"/>
      <c r="E78" s="103"/>
      <c r="F78" s="53"/>
      <c r="H78" s="26"/>
    </row>
    <row r="79" spans="1:289" x14ac:dyDescent="0.35">
      <c r="C79" s="90"/>
      <c r="D79" s="90"/>
      <c r="E79" s="103"/>
      <c r="F79" s="53"/>
      <c r="H79" s="26"/>
    </row>
    <row r="80" spans="1:289" s="83" customFormat="1" x14ac:dyDescent="0.35">
      <c r="A80" s="79" t="s">
        <v>66</v>
      </c>
      <c r="B80" s="79" t="s">
        <v>43</v>
      </c>
      <c r="C80" s="81"/>
      <c r="D80" s="81"/>
      <c r="E80" s="82"/>
      <c r="F80" s="122">
        <f>SUM(C81:E91)</f>
        <v>0</v>
      </c>
      <c r="G80"/>
      <c r="H80" s="26"/>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row>
    <row r="81" spans="1:289" x14ac:dyDescent="0.35">
      <c r="A81" s="77" t="s">
        <v>127</v>
      </c>
      <c r="B81" s="77" t="s">
        <v>137</v>
      </c>
      <c r="C81" s="90"/>
      <c r="D81" s="90"/>
      <c r="E81" s="103"/>
      <c r="F81" s="53"/>
      <c r="H81" s="26"/>
    </row>
    <row r="82" spans="1:289" x14ac:dyDescent="0.35">
      <c r="A82" s="77" t="s">
        <v>128</v>
      </c>
      <c r="B82" s="77" t="s">
        <v>138</v>
      </c>
      <c r="C82" s="90"/>
      <c r="D82" s="90"/>
      <c r="E82" s="103"/>
      <c r="F82" s="53"/>
      <c r="H82" s="26"/>
    </row>
    <row r="83" spans="1:289" x14ac:dyDescent="0.35">
      <c r="A83" s="77" t="s">
        <v>129</v>
      </c>
      <c r="B83" s="77" t="s">
        <v>139</v>
      </c>
      <c r="C83" s="90"/>
      <c r="D83" s="90"/>
      <c r="E83" s="103"/>
      <c r="F83" s="53"/>
      <c r="H83" s="26"/>
    </row>
    <row r="84" spans="1:289" x14ac:dyDescent="0.35">
      <c r="A84" s="77" t="s">
        <v>130</v>
      </c>
      <c r="B84" s="77" t="s">
        <v>140</v>
      </c>
      <c r="C84" s="90"/>
      <c r="D84" s="90"/>
      <c r="E84" s="103"/>
      <c r="F84" s="53"/>
      <c r="H84" s="26"/>
    </row>
    <row r="85" spans="1:289" x14ac:dyDescent="0.35">
      <c r="A85" s="77" t="s">
        <v>131</v>
      </c>
      <c r="B85" s="77" t="s">
        <v>141</v>
      </c>
      <c r="C85" s="90"/>
      <c r="D85" s="90"/>
      <c r="E85" s="103"/>
      <c r="F85" s="53"/>
      <c r="H85" s="26"/>
    </row>
    <row r="86" spans="1:289" x14ac:dyDescent="0.35">
      <c r="A86" s="77" t="s">
        <v>132</v>
      </c>
      <c r="B86" s="77" t="s">
        <v>238</v>
      </c>
      <c r="C86" s="90"/>
      <c r="D86" s="90"/>
      <c r="E86" s="103"/>
      <c r="F86" s="53"/>
      <c r="H86" s="26"/>
    </row>
    <row r="87" spans="1:289" x14ac:dyDescent="0.35">
      <c r="A87" s="77" t="s">
        <v>133</v>
      </c>
      <c r="B87" s="77" t="s">
        <v>142</v>
      </c>
      <c r="C87" s="90"/>
      <c r="D87" s="90"/>
      <c r="E87" s="103"/>
      <c r="F87" s="53"/>
      <c r="H87" s="26"/>
    </row>
    <row r="88" spans="1:289" x14ac:dyDescent="0.35">
      <c r="A88" s="77" t="s">
        <v>134</v>
      </c>
      <c r="B88" s="77" t="s">
        <v>143</v>
      </c>
      <c r="C88" s="90"/>
      <c r="D88" s="90"/>
      <c r="E88" s="103"/>
      <c r="F88" s="53"/>
      <c r="H88" s="26"/>
    </row>
    <row r="89" spans="1:289" ht="29" x14ac:dyDescent="0.35">
      <c r="A89" s="77" t="s">
        <v>135</v>
      </c>
      <c r="B89" s="77" t="s">
        <v>239</v>
      </c>
      <c r="C89" s="90"/>
      <c r="D89" s="90"/>
      <c r="E89" s="103"/>
      <c r="F89" s="53"/>
      <c r="H89" s="26"/>
    </row>
    <row r="90" spans="1:289" ht="29" x14ac:dyDescent="0.35">
      <c r="A90" s="77" t="s">
        <v>136</v>
      </c>
      <c r="B90" s="77" t="s">
        <v>240</v>
      </c>
      <c r="C90" s="90"/>
      <c r="D90" s="90"/>
      <c r="E90" s="103"/>
      <c r="F90" s="53"/>
      <c r="H90" s="26"/>
    </row>
    <row r="91" spans="1:289" x14ac:dyDescent="0.35">
      <c r="A91" s="77"/>
      <c r="B91" s="77"/>
      <c r="C91" s="90"/>
      <c r="D91" s="90"/>
      <c r="E91" s="103"/>
      <c r="F91" s="53"/>
      <c r="H91" s="26"/>
    </row>
    <row r="92" spans="1:289" s="83" customFormat="1" ht="29" x14ac:dyDescent="0.35">
      <c r="A92" s="79" t="s">
        <v>67</v>
      </c>
      <c r="B92" s="79" t="s">
        <v>144</v>
      </c>
      <c r="C92" s="81"/>
      <c r="D92" s="81"/>
      <c r="E92" s="82"/>
      <c r="F92" s="122">
        <f>SUM(C93:E109)</f>
        <v>0</v>
      </c>
      <c r="G92"/>
      <c r="H92" s="26"/>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row>
    <row r="93" spans="1:289" x14ac:dyDescent="0.35">
      <c r="A93" s="92" t="s">
        <v>145</v>
      </c>
      <c r="B93" s="93" t="s">
        <v>159</v>
      </c>
      <c r="C93" s="104"/>
      <c r="D93" s="105"/>
      <c r="E93" s="106"/>
      <c r="F93" s="53"/>
      <c r="H93" s="26"/>
    </row>
    <row r="94" spans="1:289" ht="29" x14ac:dyDescent="0.35">
      <c r="A94" s="92" t="s">
        <v>146</v>
      </c>
      <c r="B94" s="93" t="s">
        <v>168</v>
      </c>
      <c r="C94" s="104"/>
      <c r="D94" s="105"/>
      <c r="E94" s="106"/>
      <c r="F94" s="53"/>
      <c r="H94" s="26"/>
    </row>
    <row r="95" spans="1:289" ht="29" x14ac:dyDescent="0.35">
      <c r="A95" s="92" t="s">
        <v>147</v>
      </c>
      <c r="B95" s="93" t="s">
        <v>169</v>
      </c>
      <c r="C95" s="104"/>
      <c r="D95" s="105"/>
      <c r="E95" s="106"/>
      <c r="F95" s="53"/>
      <c r="H95" s="26"/>
    </row>
    <row r="96" spans="1:289" x14ac:dyDescent="0.35">
      <c r="A96" s="92" t="s">
        <v>148</v>
      </c>
      <c r="B96" s="93" t="s">
        <v>159</v>
      </c>
      <c r="C96" s="104"/>
      <c r="D96" s="105"/>
      <c r="E96" s="106"/>
      <c r="F96" s="53"/>
      <c r="H96" s="26"/>
    </row>
    <row r="97" spans="1:8" x14ac:dyDescent="0.35">
      <c r="A97" s="92" t="s">
        <v>149</v>
      </c>
      <c r="B97" s="93" t="s">
        <v>160</v>
      </c>
      <c r="C97" s="104"/>
      <c r="D97" s="105"/>
      <c r="E97" s="106"/>
      <c r="F97" s="53"/>
      <c r="H97" s="26"/>
    </row>
    <row r="98" spans="1:8" x14ac:dyDescent="0.35">
      <c r="A98" s="92" t="s">
        <v>150</v>
      </c>
      <c r="B98" s="93" t="s">
        <v>161</v>
      </c>
      <c r="C98" s="104"/>
      <c r="D98" s="105"/>
      <c r="E98" s="106"/>
      <c r="F98" s="53"/>
      <c r="H98" s="26"/>
    </row>
    <row r="99" spans="1:8" x14ac:dyDescent="0.35">
      <c r="A99" s="92" t="s">
        <v>151</v>
      </c>
      <c r="B99" s="93" t="s">
        <v>162</v>
      </c>
      <c r="C99" s="104"/>
      <c r="D99" s="105"/>
      <c r="E99" s="106"/>
      <c r="F99" s="53"/>
      <c r="H99" s="26"/>
    </row>
    <row r="100" spans="1:8" x14ac:dyDescent="0.35">
      <c r="A100" s="92" t="s">
        <v>152</v>
      </c>
      <c r="B100" s="93" t="s">
        <v>163</v>
      </c>
      <c r="C100" s="104"/>
      <c r="D100" s="105"/>
      <c r="E100" s="106"/>
      <c r="F100" s="53"/>
      <c r="H100" s="26"/>
    </row>
    <row r="101" spans="1:8" x14ac:dyDescent="0.35">
      <c r="A101" s="92" t="s">
        <v>153</v>
      </c>
      <c r="B101" s="93" t="s">
        <v>164</v>
      </c>
      <c r="C101" s="104"/>
      <c r="D101" s="105"/>
      <c r="E101" s="106"/>
      <c r="F101" s="53"/>
      <c r="H101" s="26"/>
    </row>
    <row r="102" spans="1:8" x14ac:dyDescent="0.35">
      <c r="A102" s="92" t="s">
        <v>154</v>
      </c>
      <c r="B102" s="93" t="s">
        <v>241</v>
      </c>
      <c r="C102" s="104"/>
      <c r="D102" s="105"/>
      <c r="E102" s="106"/>
      <c r="F102" s="53"/>
      <c r="H102" s="26"/>
    </row>
    <row r="103" spans="1:8" x14ac:dyDescent="0.35">
      <c r="A103" s="92" t="s">
        <v>155</v>
      </c>
      <c r="B103" s="93" t="s">
        <v>170</v>
      </c>
      <c r="C103" s="104"/>
      <c r="D103" s="105"/>
      <c r="E103" s="106"/>
      <c r="F103" s="53"/>
      <c r="H103" s="26"/>
    </row>
    <row r="104" spans="1:8" x14ac:dyDescent="0.35">
      <c r="A104" s="92" t="s">
        <v>156</v>
      </c>
      <c r="B104" s="93" t="s">
        <v>165</v>
      </c>
      <c r="C104" s="104"/>
      <c r="D104" s="105"/>
      <c r="E104" s="106"/>
      <c r="F104" s="53"/>
      <c r="H104" s="26"/>
    </row>
    <row r="105" spans="1:8" x14ac:dyDescent="0.35">
      <c r="A105" s="92" t="s">
        <v>157</v>
      </c>
      <c r="B105" s="93" t="s">
        <v>166</v>
      </c>
      <c r="C105" s="104"/>
      <c r="D105" s="105"/>
      <c r="E105" s="105"/>
      <c r="F105" s="53"/>
      <c r="H105" s="26"/>
    </row>
    <row r="106" spans="1:8" x14ac:dyDescent="0.35">
      <c r="A106" s="92" t="s">
        <v>158</v>
      </c>
      <c r="B106" s="93" t="s">
        <v>244</v>
      </c>
      <c r="C106" s="104"/>
      <c r="D106" s="105"/>
      <c r="E106" s="105"/>
      <c r="F106" s="53"/>
      <c r="H106" s="26"/>
    </row>
    <row r="107" spans="1:8" x14ac:dyDescent="0.35">
      <c r="A107" s="92" t="s">
        <v>242</v>
      </c>
      <c r="B107" s="93" t="s">
        <v>167</v>
      </c>
      <c r="C107" s="104"/>
      <c r="D107" s="105"/>
      <c r="E107" s="105"/>
      <c r="F107" s="53"/>
      <c r="H107" s="26"/>
    </row>
    <row r="108" spans="1:8" x14ac:dyDescent="0.35">
      <c r="A108" s="92" t="s">
        <v>243</v>
      </c>
      <c r="B108" s="93" t="s">
        <v>245</v>
      </c>
      <c r="C108" s="104"/>
      <c r="D108" s="105"/>
      <c r="E108" s="105"/>
      <c r="F108" s="53"/>
      <c r="H108" s="26"/>
    </row>
    <row r="109" spans="1:8" x14ac:dyDescent="0.35">
      <c r="A109" s="92"/>
      <c r="B109" s="93"/>
      <c r="C109" s="104"/>
      <c r="D109" s="105"/>
      <c r="E109" s="105"/>
      <c r="F109" s="53"/>
      <c r="H109" s="26"/>
    </row>
    <row r="110" spans="1:8" x14ac:dyDescent="0.35">
      <c r="A110" s="5" t="s">
        <v>56</v>
      </c>
      <c r="B110" s="3" t="s">
        <v>44</v>
      </c>
      <c r="C110" s="4"/>
      <c r="D110" s="4"/>
      <c r="E110" s="4"/>
      <c r="F110" s="121">
        <f>SUM(C111:E122)</f>
        <v>0</v>
      </c>
      <c r="H110" s="26"/>
    </row>
    <row r="111" spans="1:8" x14ac:dyDescent="0.35">
      <c r="A111" s="92" t="s">
        <v>171</v>
      </c>
      <c r="B111" s="49" t="s">
        <v>172</v>
      </c>
      <c r="C111" s="70"/>
      <c r="D111" s="70"/>
      <c r="E111" s="102"/>
      <c r="F111" s="55"/>
      <c r="H111" s="26"/>
    </row>
    <row r="112" spans="1:8" ht="29" x14ac:dyDescent="0.35">
      <c r="A112" s="9" t="s">
        <v>173</v>
      </c>
      <c r="B112" s="49" t="s">
        <v>249</v>
      </c>
      <c r="C112" s="70"/>
      <c r="D112" s="70"/>
      <c r="E112" s="102"/>
      <c r="F112" s="72"/>
      <c r="H112" s="26"/>
    </row>
    <row r="113" spans="1:8" ht="29" x14ac:dyDescent="0.35">
      <c r="A113" s="9" t="s">
        <v>174</v>
      </c>
      <c r="B113" s="49" t="s">
        <v>180</v>
      </c>
      <c r="C113" s="71"/>
      <c r="D113" s="71"/>
      <c r="E113" s="108"/>
      <c r="F113" s="72"/>
      <c r="H113" s="26"/>
    </row>
    <row r="114" spans="1:8" x14ac:dyDescent="0.35">
      <c r="A114" s="9" t="s">
        <v>246</v>
      </c>
      <c r="B114" s="49" t="s">
        <v>250</v>
      </c>
      <c r="C114" s="71"/>
      <c r="D114" s="71"/>
      <c r="E114" s="108"/>
      <c r="F114" s="72"/>
      <c r="H114" s="26"/>
    </row>
    <row r="115" spans="1:8" ht="29" x14ac:dyDescent="0.35">
      <c r="A115" s="9" t="s">
        <v>175</v>
      </c>
      <c r="B115" s="49" t="s">
        <v>181</v>
      </c>
      <c r="C115" s="71"/>
      <c r="D115" s="71"/>
      <c r="E115" s="108"/>
      <c r="F115" s="72"/>
      <c r="H115" s="26"/>
    </row>
    <row r="116" spans="1:8" x14ac:dyDescent="0.35">
      <c r="A116" s="9" t="s">
        <v>176</v>
      </c>
      <c r="B116" s="49" t="s">
        <v>182</v>
      </c>
      <c r="C116" s="71"/>
      <c r="D116" s="71"/>
      <c r="E116" s="108"/>
      <c r="F116" s="72"/>
      <c r="H116" s="26"/>
    </row>
    <row r="117" spans="1:8" ht="29" x14ac:dyDescent="0.35">
      <c r="A117" s="9" t="s">
        <v>247</v>
      </c>
      <c r="B117" s="49" t="s">
        <v>251</v>
      </c>
      <c r="C117" s="71"/>
      <c r="D117" s="71"/>
      <c r="E117" s="108"/>
      <c r="F117" s="72"/>
      <c r="H117" s="26"/>
    </row>
    <row r="118" spans="1:8" x14ac:dyDescent="0.35">
      <c r="A118" s="9" t="s">
        <v>177</v>
      </c>
      <c r="B118" s="49" t="s">
        <v>183</v>
      </c>
      <c r="C118" s="71"/>
      <c r="D118" s="71"/>
      <c r="E118" s="108"/>
      <c r="F118" s="72"/>
      <c r="H118" s="26"/>
    </row>
    <row r="119" spans="1:8" x14ac:dyDescent="0.35">
      <c r="A119" s="9" t="s">
        <v>178</v>
      </c>
      <c r="B119" s="49" t="s">
        <v>184</v>
      </c>
      <c r="C119" s="71"/>
      <c r="D119" s="71"/>
      <c r="E119" s="108"/>
      <c r="F119" s="72"/>
      <c r="H119" s="26"/>
    </row>
    <row r="120" spans="1:8" x14ac:dyDescent="0.35">
      <c r="A120" s="9" t="s">
        <v>179</v>
      </c>
      <c r="B120" s="49" t="s">
        <v>252</v>
      </c>
      <c r="C120" s="71"/>
      <c r="D120" s="71"/>
      <c r="E120" s="108"/>
      <c r="F120" s="72"/>
      <c r="H120" s="26"/>
    </row>
    <row r="121" spans="1:8" x14ac:dyDescent="0.35">
      <c r="A121" s="9" t="s">
        <v>248</v>
      </c>
      <c r="B121" s="49" t="s">
        <v>253</v>
      </c>
      <c r="C121" s="71"/>
      <c r="D121" s="71"/>
      <c r="E121" s="108"/>
      <c r="F121" s="72"/>
      <c r="H121" s="26"/>
    </row>
    <row r="122" spans="1:8" x14ac:dyDescent="0.35">
      <c r="A122" s="9"/>
      <c r="B122" s="49"/>
      <c r="C122" s="71"/>
      <c r="D122" s="71"/>
      <c r="E122" s="108"/>
      <c r="F122" s="72"/>
      <c r="H122" s="26"/>
    </row>
    <row r="123" spans="1:8" x14ac:dyDescent="0.35">
      <c r="A123" s="6" t="s">
        <v>57</v>
      </c>
      <c r="B123" s="5" t="s">
        <v>53</v>
      </c>
      <c r="C123" s="44"/>
      <c r="D123" s="44"/>
      <c r="E123" s="44"/>
      <c r="F123" s="123">
        <f>SUM(C124:E131)</f>
        <v>0</v>
      </c>
      <c r="H123" s="26"/>
    </row>
    <row r="124" spans="1:8" ht="29" x14ac:dyDescent="0.35">
      <c r="A124" s="84" t="s">
        <v>185</v>
      </c>
      <c r="B124" s="92" t="s">
        <v>191</v>
      </c>
      <c r="C124" s="109"/>
      <c r="D124" s="109"/>
      <c r="E124" s="109"/>
      <c r="G124" s="26"/>
    </row>
    <row r="125" spans="1:8" ht="29" x14ac:dyDescent="0.35">
      <c r="A125" s="84" t="s">
        <v>186</v>
      </c>
      <c r="B125" s="92" t="s">
        <v>255</v>
      </c>
      <c r="C125" s="109"/>
      <c r="D125" s="109"/>
      <c r="E125" s="109"/>
      <c r="F125" s="113"/>
      <c r="H125" s="26"/>
    </row>
    <row r="126" spans="1:8" ht="29" x14ac:dyDescent="0.35">
      <c r="A126" s="84" t="s">
        <v>187</v>
      </c>
      <c r="B126" s="92" t="s">
        <v>256</v>
      </c>
      <c r="C126" s="109"/>
      <c r="D126" s="109"/>
      <c r="E126" s="109"/>
      <c r="F126" s="113"/>
      <c r="H126" s="26"/>
    </row>
    <row r="127" spans="1:8" ht="29" x14ac:dyDescent="0.35">
      <c r="A127" s="85" t="s">
        <v>254</v>
      </c>
      <c r="B127" s="92" t="s">
        <v>192</v>
      </c>
      <c r="C127" s="109"/>
      <c r="D127" s="109"/>
      <c r="E127" s="109"/>
      <c r="F127" s="113"/>
      <c r="H127" s="26"/>
    </row>
    <row r="128" spans="1:8" ht="29" x14ac:dyDescent="0.35">
      <c r="A128" s="85" t="s">
        <v>188</v>
      </c>
      <c r="B128" s="92" t="s">
        <v>193</v>
      </c>
      <c r="C128" s="109"/>
      <c r="D128" s="109"/>
      <c r="E128" s="109"/>
      <c r="F128" s="113"/>
      <c r="H128" s="26"/>
    </row>
    <row r="129" spans="1:8" x14ac:dyDescent="0.35">
      <c r="A129" s="85" t="s">
        <v>189</v>
      </c>
      <c r="B129" s="92" t="s">
        <v>194</v>
      </c>
      <c r="C129" s="109"/>
      <c r="D129" s="109"/>
      <c r="E129" s="109"/>
      <c r="F129" s="113"/>
      <c r="H129" s="26"/>
    </row>
    <row r="130" spans="1:8" x14ac:dyDescent="0.35">
      <c r="A130" s="85" t="s">
        <v>190</v>
      </c>
      <c r="B130" s="92" t="s">
        <v>257</v>
      </c>
      <c r="C130" s="109"/>
      <c r="D130" s="109"/>
      <c r="E130" s="109"/>
      <c r="F130" s="113"/>
      <c r="H130" s="26"/>
    </row>
    <row r="131" spans="1:8" x14ac:dyDescent="0.35">
      <c r="A131" s="85"/>
      <c r="B131" s="92"/>
      <c r="C131" s="109"/>
      <c r="D131" s="109"/>
      <c r="E131" s="109"/>
      <c r="F131" s="113"/>
      <c r="H131" s="26"/>
    </row>
    <row r="132" spans="1:8" x14ac:dyDescent="0.35">
      <c r="A132" s="6" t="s">
        <v>58</v>
      </c>
      <c r="B132" s="43" t="s">
        <v>52</v>
      </c>
      <c r="C132" s="45"/>
      <c r="D132" s="45"/>
      <c r="E132" s="45"/>
      <c r="F132" s="123">
        <f>SUM(C133:E145)</f>
        <v>0</v>
      </c>
      <c r="H132" s="26"/>
    </row>
    <row r="133" spans="1:8" ht="29" x14ac:dyDescent="0.35">
      <c r="A133" s="85" t="s">
        <v>195</v>
      </c>
      <c r="B133" s="107" t="s">
        <v>198</v>
      </c>
      <c r="C133" s="116"/>
      <c r="D133" s="116"/>
      <c r="E133" s="117"/>
      <c r="F133" s="113"/>
      <c r="H133" s="26"/>
    </row>
    <row r="134" spans="1:8" ht="29" x14ac:dyDescent="0.35">
      <c r="A134" s="85" t="s">
        <v>196</v>
      </c>
      <c r="B134" s="107" t="s">
        <v>199</v>
      </c>
      <c r="C134" s="116"/>
      <c r="D134" s="116"/>
      <c r="E134" s="117"/>
      <c r="F134" s="113"/>
      <c r="H134" s="26"/>
    </row>
    <row r="135" spans="1:8" ht="29" x14ac:dyDescent="0.35">
      <c r="A135" s="85" t="s">
        <v>197</v>
      </c>
      <c r="B135" s="107" t="s">
        <v>258</v>
      </c>
      <c r="C135" s="116"/>
      <c r="D135" s="116"/>
      <c r="E135" s="117"/>
      <c r="F135" s="113"/>
      <c r="H135" s="26"/>
    </row>
    <row r="136" spans="1:8" x14ac:dyDescent="0.35">
      <c r="A136" s="85" t="s">
        <v>259</v>
      </c>
      <c r="B136" s="107" t="s">
        <v>200</v>
      </c>
      <c r="C136" s="116"/>
      <c r="D136" s="116"/>
      <c r="E136" s="117"/>
      <c r="F136" s="113"/>
      <c r="H136" s="26"/>
    </row>
    <row r="137" spans="1:8" x14ac:dyDescent="0.35">
      <c r="A137" s="85" t="s">
        <v>260</v>
      </c>
      <c r="B137" s="107" t="s">
        <v>261</v>
      </c>
      <c r="C137" s="116"/>
      <c r="D137" s="116"/>
      <c r="E137" s="117"/>
      <c r="F137" s="113"/>
      <c r="H137" s="26"/>
    </row>
    <row r="138" spans="1:8" x14ac:dyDescent="0.35">
      <c r="A138" s="6" t="s">
        <v>262</v>
      </c>
      <c r="B138" s="43" t="s">
        <v>263</v>
      </c>
      <c r="C138" s="45"/>
      <c r="D138" s="45"/>
      <c r="E138" s="45"/>
      <c r="F138" s="123">
        <f>SUM(C139:E146)</f>
        <v>0</v>
      </c>
      <c r="H138" s="26"/>
    </row>
    <row r="139" spans="1:8" ht="29" x14ac:dyDescent="0.35">
      <c r="A139" s="85" t="s">
        <v>264</v>
      </c>
      <c r="B139" s="107" t="s">
        <v>265</v>
      </c>
      <c r="C139" s="116"/>
      <c r="D139" s="116"/>
      <c r="E139" s="117"/>
      <c r="F139" s="113"/>
      <c r="H139" s="26"/>
    </row>
    <row r="140" spans="1:8" x14ac:dyDescent="0.35">
      <c r="A140" s="85"/>
      <c r="B140" s="107"/>
      <c r="C140" s="116"/>
      <c r="D140" s="116"/>
      <c r="E140" s="117"/>
      <c r="F140" s="113"/>
      <c r="H140" s="26"/>
    </row>
    <row r="141" spans="1:8" x14ac:dyDescent="0.35">
      <c r="A141" s="85"/>
      <c r="B141" s="107"/>
      <c r="C141" s="116"/>
      <c r="D141" s="116"/>
      <c r="E141" s="117"/>
      <c r="F141" s="113"/>
      <c r="H141" s="26"/>
    </row>
    <row r="142" spans="1:8" x14ac:dyDescent="0.35">
      <c r="A142" s="85"/>
      <c r="B142" s="107"/>
      <c r="C142" s="116"/>
      <c r="D142" s="116"/>
      <c r="E142" s="117"/>
      <c r="F142" s="113"/>
      <c r="H142" s="26"/>
    </row>
    <row r="143" spans="1:8" x14ac:dyDescent="0.35">
      <c r="A143" s="85"/>
      <c r="B143" s="107"/>
      <c r="C143" s="116"/>
      <c r="D143" s="116"/>
      <c r="E143" s="117"/>
      <c r="F143" s="113"/>
      <c r="H143" s="26"/>
    </row>
    <row r="144" spans="1:8" x14ac:dyDescent="0.35">
      <c r="A144" s="85"/>
      <c r="B144" s="107"/>
      <c r="C144" s="116"/>
      <c r="D144" s="116"/>
      <c r="E144" s="117"/>
      <c r="F144" s="113"/>
      <c r="H144" s="26"/>
    </row>
    <row r="145" spans="1:8" x14ac:dyDescent="0.35">
      <c r="A145" s="85"/>
      <c r="B145" s="107"/>
      <c r="C145" s="116"/>
      <c r="D145" s="116"/>
      <c r="E145" s="117"/>
      <c r="F145" s="113"/>
      <c r="H145" s="26"/>
    </row>
    <row r="146" spans="1:8" x14ac:dyDescent="0.35">
      <c r="A146" s="84"/>
      <c r="B146" s="86"/>
      <c r="C146" s="87"/>
      <c r="D146" s="87"/>
      <c r="E146" s="87"/>
      <c r="F146" s="113"/>
      <c r="H146" s="26"/>
    </row>
    <row r="147" spans="1:8" x14ac:dyDescent="0.35">
      <c r="A147" s="40"/>
      <c r="B147" s="14"/>
      <c r="C147" s="14"/>
      <c r="D147" s="14"/>
      <c r="E147" s="14"/>
      <c r="F147" s="41"/>
      <c r="H147" s="26"/>
    </row>
    <row r="148" spans="1:8" x14ac:dyDescent="0.35">
      <c r="A148" s="14"/>
      <c r="B148" s="14"/>
      <c r="C148" s="24"/>
      <c r="D148" s="24"/>
      <c r="E148" s="24"/>
      <c r="F148" s="42"/>
      <c r="H148" s="26"/>
    </row>
    <row r="149" spans="1:8" x14ac:dyDescent="0.35">
      <c r="A149" s="10" t="s">
        <v>45</v>
      </c>
      <c r="B149" s="36"/>
      <c r="C149" s="62"/>
      <c r="D149" s="12"/>
      <c r="E149" s="12"/>
      <c r="F149" s="7"/>
      <c r="H149" s="26"/>
    </row>
    <row r="150" spans="1:8" ht="15" customHeight="1" x14ac:dyDescent="0.35">
      <c r="A150" s="35"/>
      <c r="B150" s="37"/>
      <c r="C150" s="29">
        <f>SUM(C6:C146)</f>
        <v>0</v>
      </c>
      <c r="D150" s="12"/>
      <c r="E150" s="12"/>
      <c r="F150" s="7"/>
      <c r="H150" s="26"/>
    </row>
    <row r="151" spans="1:8" x14ac:dyDescent="0.35">
      <c r="A151" s="19" t="s">
        <v>62</v>
      </c>
      <c r="B151" s="30"/>
      <c r="C151" s="127"/>
      <c r="D151" s="127"/>
      <c r="E151" s="12"/>
      <c r="F151" s="7"/>
      <c r="H151" s="26"/>
    </row>
    <row r="152" spans="1:8" x14ac:dyDescent="0.35">
      <c r="A152" s="14"/>
      <c r="B152" s="28"/>
      <c r="C152" s="34"/>
      <c r="D152" s="11">
        <f>SUM(D6:D146)</f>
        <v>0</v>
      </c>
      <c r="E152" s="12"/>
      <c r="F152" s="7"/>
      <c r="H152" s="26"/>
    </row>
    <row r="153" spans="1:8" x14ac:dyDescent="0.35">
      <c r="A153" s="19" t="s">
        <v>59</v>
      </c>
      <c r="B153" s="20"/>
      <c r="C153" s="20"/>
      <c r="D153" s="24"/>
      <c r="E153" s="12"/>
      <c r="F153" s="7"/>
      <c r="H153" s="26"/>
    </row>
    <row r="154" spans="1:8" x14ac:dyDescent="0.35">
      <c r="A154" s="19"/>
      <c r="B154" s="20"/>
      <c r="C154" s="31">
        <v>0.06</v>
      </c>
      <c r="D154" s="11">
        <f>SUM(D152*C154)</f>
        <v>0</v>
      </c>
      <c r="E154" s="12"/>
      <c r="F154" s="7"/>
      <c r="H154" s="26"/>
    </row>
    <row r="155" spans="1:8" x14ac:dyDescent="0.35">
      <c r="A155" s="19" t="s">
        <v>60</v>
      </c>
      <c r="B155" s="8"/>
      <c r="C155" s="8"/>
      <c r="D155" s="24"/>
      <c r="E155" s="12"/>
      <c r="F155" s="7"/>
      <c r="H155" s="26"/>
    </row>
    <row r="156" spans="1:8" x14ac:dyDescent="0.35">
      <c r="A156" s="8"/>
      <c r="B156" s="20"/>
      <c r="C156" s="28"/>
      <c r="D156" s="34"/>
      <c r="E156" s="11">
        <f>SUM(E6:E145)</f>
        <v>0</v>
      </c>
      <c r="F156" s="7"/>
      <c r="H156" s="26"/>
    </row>
    <row r="157" spans="1:8" x14ac:dyDescent="0.35">
      <c r="A157" s="19" t="s">
        <v>63</v>
      </c>
      <c r="B157" s="12"/>
      <c r="C157" s="12"/>
      <c r="D157" s="12"/>
      <c r="E157" s="12"/>
      <c r="F157" s="7"/>
      <c r="H157" s="26"/>
    </row>
    <row r="158" spans="1:8" x14ac:dyDescent="0.35">
      <c r="A158" s="32" t="s">
        <v>64</v>
      </c>
      <c r="B158" s="39"/>
      <c r="C158" s="33"/>
      <c r="D158" s="33"/>
      <c r="E158" s="33"/>
      <c r="F158" s="59">
        <f>SUM(F5:F138)</f>
        <v>0</v>
      </c>
      <c r="H158" s="26"/>
    </row>
    <row r="159" spans="1:8" x14ac:dyDescent="0.35">
      <c r="E159" s="65"/>
      <c r="G159" s="7"/>
      <c r="H159" s="26"/>
    </row>
    <row r="160" spans="1:8" x14ac:dyDescent="0.35">
      <c r="B160" s="9"/>
      <c r="C160" s="13">
        <v>0</v>
      </c>
      <c r="D160" s="66"/>
      <c r="E160" s="127" t="s">
        <v>68</v>
      </c>
      <c r="F160" s="127"/>
      <c r="G160" s="127"/>
      <c r="H160" s="26"/>
    </row>
    <row r="161" spans="1:8" x14ac:dyDescent="0.35">
      <c r="A161" s="10" t="s">
        <v>64</v>
      </c>
      <c r="B161" s="9"/>
      <c r="C161" s="13">
        <f>D154</f>
        <v>0</v>
      </c>
      <c r="D161" s="66"/>
      <c r="E161" s="38"/>
      <c r="F161" s="38"/>
      <c r="G161" s="118"/>
      <c r="H161" s="26"/>
    </row>
    <row r="162" spans="1:8" ht="15" customHeight="1" x14ac:dyDescent="0.35">
      <c r="A162" s="10" t="s">
        <v>60</v>
      </c>
      <c r="B162" s="9"/>
      <c r="C162" s="9"/>
      <c r="D162" s="66"/>
      <c r="E162" s="130" t="s">
        <v>74</v>
      </c>
      <c r="F162" s="130"/>
      <c r="G162" s="130"/>
      <c r="H162" s="26"/>
    </row>
    <row r="163" spans="1:8" x14ac:dyDescent="0.35">
      <c r="A163" s="10" t="s">
        <v>46</v>
      </c>
      <c r="B163" s="9"/>
      <c r="C163" s="15">
        <f>SUM(C160:C161)</f>
        <v>0</v>
      </c>
      <c r="D163" s="66"/>
      <c r="E163" s="130"/>
      <c r="F163" s="130"/>
      <c r="G163" s="130"/>
      <c r="H163" s="26"/>
    </row>
    <row r="164" spans="1:8" x14ac:dyDescent="0.35">
      <c r="B164" s="9"/>
      <c r="C164" s="9"/>
      <c r="D164" s="66"/>
      <c r="E164" s="130"/>
      <c r="F164" s="130"/>
      <c r="G164" s="130"/>
      <c r="H164" s="26"/>
    </row>
    <row r="165" spans="1:8" x14ac:dyDescent="0.35">
      <c r="A165" s="10" t="s">
        <v>47</v>
      </c>
      <c r="B165" s="31">
        <v>0.1</v>
      </c>
      <c r="C165" s="13">
        <f>C163*B165</f>
        <v>0</v>
      </c>
      <c r="D165" s="66"/>
      <c r="E165" s="38"/>
      <c r="F165" s="38"/>
      <c r="G165" s="118"/>
      <c r="H165" s="26"/>
    </row>
    <row r="166" spans="1:8" ht="15" customHeight="1" x14ac:dyDescent="0.35">
      <c r="A166" s="10" t="s">
        <v>48</v>
      </c>
      <c r="B166" s="31">
        <v>0.1</v>
      </c>
      <c r="C166" s="13">
        <f>SUM(C163*B166)</f>
        <v>0</v>
      </c>
      <c r="D166" s="66"/>
      <c r="E166" s="130" t="s">
        <v>69</v>
      </c>
      <c r="F166" s="130"/>
      <c r="G166" s="130"/>
      <c r="H166" s="26"/>
    </row>
    <row r="167" spans="1:8" x14ac:dyDescent="0.35">
      <c r="A167" s="10"/>
      <c r="B167" s="9"/>
      <c r="C167" s="9"/>
      <c r="D167" s="66"/>
      <c r="E167" s="130"/>
      <c r="F167" s="130"/>
      <c r="G167" s="130"/>
      <c r="H167" s="26"/>
    </row>
    <row r="168" spans="1:8" x14ac:dyDescent="0.35">
      <c r="A168" s="9"/>
      <c r="B168" s="9"/>
      <c r="C168" s="15">
        <f>SUM(C163:C166)</f>
        <v>0</v>
      </c>
      <c r="D168" s="66"/>
      <c r="E168" s="130"/>
      <c r="F168" s="130"/>
      <c r="G168" s="130"/>
      <c r="H168" s="26"/>
    </row>
    <row r="169" spans="1:8" x14ac:dyDescent="0.35">
      <c r="A169" s="10" t="s">
        <v>46</v>
      </c>
      <c r="B169" s="9"/>
      <c r="C169" s="9"/>
      <c r="D169" s="66"/>
      <c r="E169" s="130"/>
      <c r="F169" s="130"/>
      <c r="G169" s="130"/>
      <c r="H169" s="26"/>
    </row>
    <row r="170" spans="1:8" x14ac:dyDescent="0.35">
      <c r="A170" s="9"/>
      <c r="D170" s="66"/>
      <c r="E170" s="130"/>
      <c r="F170" s="130"/>
      <c r="G170" s="130"/>
      <c r="H170" s="26"/>
    </row>
    <row r="171" spans="1:8" x14ac:dyDescent="0.35">
      <c r="A171" s="10" t="s">
        <v>49</v>
      </c>
      <c r="B171" s="31">
        <v>0.03</v>
      </c>
      <c r="C171" s="13">
        <f>C168*B171</f>
        <v>0</v>
      </c>
      <c r="D171" s="66"/>
      <c r="E171" s="130" t="s">
        <v>70</v>
      </c>
      <c r="F171" s="130"/>
      <c r="G171" s="130"/>
      <c r="H171" s="26"/>
    </row>
    <row r="172" spans="1:8" x14ac:dyDescent="0.35">
      <c r="A172" s="10" t="s">
        <v>54</v>
      </c>
      <c r="B172" s="9"/>
      <c r="C172" s="9"/>
      <c r="D172" s="66"/>
      <c r="E172" s="130"/>
      <c r="F172" s="130"/>
      <c r="G172" s="130"/>
      <c r="H172" s="26"/>
    </row>
    <row r="173" spans="1:8" x14ac:dyDescent="0.35">
      <c r="A173" s="9"/>
      <c r="B173" s="9"/>
      <c r="C173" s="15"/>
      <c r="D173" s="67"/>
      <c r="E173" s="38"/>
      <c r="F173" s="38"/>
      <c r="G173" s="118"/>
      <c r="H173" s="26"/>
    </row>
    <row r="174" spans="1:8" ht="15" customHeight="1" x14ac:dyDescent="0.35">
      <c r="A174" s="10" t="s">
        <v>50</v>
      </c>
      <c r="B174" s="25"/>
      <c r="C174" s="89">
        <f>SUM(C161:C172)</f>
        <v>0</v>
      </c>
      <c r="D174" s="25"/>
      <c r="E174" s="128" t="s">
        <v>75</v>
      </c>
      <c r="F174" s="128"/>
      <c r="G174" s="128"/>
      <c r="H174" s="26"/>
    </row>
    <row r="175" spans="1:8" x14ac:dyDescent="0.35">
      <c r="A175" s="25"/>
      <c r="B175" s="25"/>
      <c r="C175" s="25"/>
      <c r="D175" s="27"/>
      <c r="E175" s="128"/>
      <c r="F175" s="128"/>
      <c r="G175" s="128"/>
      <c r="H175" s="26"/>
    </row>
    <row r="176" spans="1:8" x14ac:dyDescent="0.35">
      <c r="A176" s="25"/>
      <c r="B176" s="25"/>
      <c r="C176" s="25"/>
      <c r="D176" s="25"/>
      <c r="E176" s="128"/>
      <c r="F176" s="128"/>
      <c r="G176" s="128"/>
      <c r="H176" s="26"/>
    </row>
    <row r="177" spans="1:8" x14ac:dyDescent="0.35">
      <c r="A177" s="25"/>
      <c r="B177" s="26"/>
      <c r="C177" s="26"/>
      <c r="D177" s="26"/>
      <c r="E177" s="128"/>
      <c r="F177" s="128"/>
      <c r="G177" s="128"/>
      <c r="H177" s="26"/>
    </row>
    <row r="178" spans="1:8" x14ac:dyDescent="0.35">
      <c r="A178" s="26"/>
      <c r="B178" s="26"/>
      <c r="C178" s="26"/>
      <c r="D178" s="26"/>
      <c r="E178" s="128"/>
      <c r="F178" s="128"/>
      <c r="G178" s="128"/>
      <c r="H178" s="26"/>
    </row>
    <row r="179" spans="1:8" x14ac:dyDescent="0.35">
      <c r="A179" s="26"/>
      <c r="B179" s="26"/>
      <c r="C179" s="26"/>
      <c r="D179" s="26"/>
      <c r="E179" s="128"/>
      <c r="F179" s="128"/>
      <c r="G179" s="128"/>
      <c r="H179" s="26"/>
    </row>
    <row r="180" spans="1:8" x14ac:dyDescent="0.35">
      <c r="A180" s="26"/>
      <c r="B180" s="26"/>
      <c r="C180" s="26"/>
      <c r="D180" s="26"/>
      <c r="E180" s="128"/>
      <c r="F180" s="128"/>
      <c r="G180" s="128"/>
      <c r="H180" s="26"/>
    </row>
    <row r="181" spans="1:8" x14ac:dyDescent="0.35">
      <c r="A181" s="26"/>
      <c r="E181" s="128"/>
      <c r="F181" s="128"/>
      <c r="G181" s="128"/>
    </row>
    <row r="182" spans="1:8" x14ac:dyDescent="0.35">
      <c r="E182" s="128"/>
      <c r="F182" s="128"/>
      <c r="G182" s="128"/>
    </row>
    <row r="183" spans="1:8" x14ac:dyDescent="0.35">
      <c r="E183" s="128"/>
      <c r="F183" s="128"/>
      <c r="G183" s="128"/>
    </row>
    <row r="184" spans="1:8" x14ac:dyDescent="0.35">
      <c r="E184" s="128"/>
      <c r="F184" s="128"/>
      <c r="G184" s="128"/>
    </row>
    <row r="185" spans="1:8" x14ac:dyDescent="0.35">
      <c r="E185" s="128"/>
      <c r="F185" s="128"/>
      <c r="G185" s="128"/>
    </row>
    <row r="186" spans="1:8" x14ac:dyDescent="0.35">
      <c r="E186" s="128"/>
      <c r="F186" s="128"/>
      <c r="G186" s="128"/>
    </row>
    <row r="187" spans="1:8" x14ac:dyDescent="0.35">
      <c r="E187" s="128"/>
      <c r="F187" s="128"/>
      <c r="G187" s="128"/>
    </row>
    <row r="189" spans="1:8" ht="60" customHeight="1" x14ac:dyDescent="0.35">
      <c r="E189" s="129" t="s">
        <v>76</v>
      </c>
      <c r="F189" s="129"/>
      <c r="G189" s="129"/>
    </row>
    <row r="190" spans="1:8" x14ac:dyDescent="0.35">
      <c r="E190" s="68"/>
      <c r="F190" s="68"/>
      <c r="G190" s="68"/>
    </row>
    <row r="191" spans="1:8" x14ac:dyDescent="0.35">
      <c r="E191" s="68"/>
      <c r="F191" s="68"/>
      <c r="G191" s="68"/>
    </row>
    <row r="192" spans="1:8" x14ac:dyDescent="0.35">
      <c r="E192" s="68"/>
      <c r="F192" s="68"/>
      <c r="G192" s="68"/>
    </row>
  </sheetData>
  <mergeCells count="7">
    <mergeCell ref="C151:D151"/>
    <mergeCell ref="E174:G187"/>
    <mergeCell ref="E189:G189"/>
    <mergeCell ref="E160:G160"/>
    <mergeCell ref="E162:G164"/>
    <mergeCell ref="E166:G170"/>
    <mergeCell ref="E171:G172"/>
  </mergeCells>
  <pageMargins left="0.7" right="0.7" top="0.75" bottom="0.75" header="0.3" footer="0.3"/>
  <pageSetup orientation="portrait" r:id="rId1"/>
  <ignoredErrors>
    <ignoredError sqref="A27:B28 B70"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Breakdown</vt:lpstr>
      <vt:lpstr>Sheet3</vt:lpstr>
    </vt:vector>
  </TitlesOfParts>
  <Company>Veteran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Veterans Affairs</dc:creator>
  <cp:lastModifiedBy>Glenn, Robert Jr</cp:lastModifiedBy>
  <dcterms:created xsi:type="dcterms:W3CDTF">2015-06-26T14:47:15Z</dcterms:created>
  <dcterms:modified xsi:type="dcterms:W3CDTF">2026-04-01T15:38:32Z</dcterms:modified>
</cp:coreProperties>
</file>