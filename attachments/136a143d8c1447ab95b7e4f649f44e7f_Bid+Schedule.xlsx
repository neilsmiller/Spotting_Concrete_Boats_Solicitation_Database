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6COUANM\OneDrive - US Army Corps of Engineers\Desktop\26QA094 RE Janitorial Services 9 Locations in MA\"/>
    </mc:Choice>
  </mc:AlternateContent>
  <xr:revisionPtr revIDLastSave="0" documentId="13_ncr:1_{5551D01B-04FB-494C-889E-D20ED95D5074}" xr6:coauthVersionLast="47" xr6:coauthVersionMax="47" xr10:uidLastSave="{00000000-0000-0000-0000-000000000000}"/>
  <bookViews>
    <workbookView xWindow="28680" yWindow="690" windowWidth="19440" windowHeight="14850" xr2:uid="{3991EAF2-E254-45A8-8466-21A748E747D1}"/>
  </bookViews>
  <sheets>
    <sheet name="Table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1" i="2" l="1"/>
  <c r="E29" i="2" l="1"/>
  <c r="J29" i="2"/>
  <c r="N29" i="2"/>
  <c r="E31" i="2"/>
  <c r="J31" i="2"/>
  <c r="N31" i="2"/>
  <c r="E33" i="2"/>
  <c r="J33" i="2"/>
  <c r="N33" i="2"/>
  <c r="E35" i="2"/>
  <c r="J35" i="2"/>
  <c r="N35" i="2"/>
  <c r="E37" i="2"/>
  <c r="J37" i="2"/>
  <c r="N37" i="2"/>
  <c r="E39" i="2"/>
  <c r="J39" i="2"/>
  <c r="N39" i="2"/>
  <c r="E46" i="2"/>
  <c r="J46" i="2"/>
  <c r="N46" i="2"/>
  <c r="E48" i="2"/>
  <c r="J48" i="2"/>
  <c r="N48" i="2"/>
  <c r="E50" i="2"/>
  <c r="J50" i="2"/>
  <c r="N50" i="2"/>
  <c r="E52" i="2"/>
  <c r="J52" i="2"/>
  <c r="N52" i="2"/>
  <c r="E54" i="2"/>
  <c r="J54" i="2"/>
  <c r="N54" i="2"/>
  <c r="E56" i="2"/>
  <c r="J56" i="2"/>
  <c r="N56" i="2"/>
  <c r="E63" i="2"/>
  <c r="J63" i="2"/>
  <c r="N63" i="2"/>
  <c r="E65" i="2"/>
  <c r="J65" i="2"/>
  <c r="N65" i="2"/>
  <c r="E67" i="2"/>
  <c r="J67" i="2"/>
  <c r="N67" i="2"/>
  <c r="E69" i="2"/>
  <c r="J69" i="2"/>
  <c r="N69" i="2"/>
  <c r="E71" i="2"/>
  <c r="J71" i="2"/>
  <c r="N71" i="2"/>
  <c r="E73" i="2"/>
  <c r="J73" i="2"/>
  <c r="N73" i="2"/>
  <c r="E80" i="2"/>
  <c r="J80" i="2"/>
  <c r="N80" i="2"/>
  <c r="E82" i="2"/>
  <c r="J82" i="2"/>
  <c r="N82" i="2"/>
  <c r="E84" i="2"/>
  <c r="J84" i="2"/>
  <c r="N84" i="2"/>
  <c r="E86" i="2"/>
  <c r="J86" i="2"/>
  <c r="N86" i="2"/>
  <c r="E88" i="2"/>
  <c r="J88" i="2"/>
  <c r="N88" i="2"/>
  <c r="E90" i="2"/>
  <c r="J90" i="2"/>
  <c r="N90" i="2"/>
  <c r="E97" i="2"/>
  <c r="J97" i="2"/>
  <c r="N97" i="2"/>
  <c r="E99" i="2"/>
  <c r="J99" i="2"/>
  <c r="N99" i="2"/>
  <c r="E101" i="2"/>
  <c r="J101" i="2"/>
  <c r="N101" i="2"/>
  <c r="E103" i="2"/>
  <c r="J103" i="2"/>
  <c r="N103" i="2"/>
  <c r="E105" i="2"/>
  <c r="J105" i="2"/>
  <c r="N105" i="2"/>
  <c r="E107" i="2"/>
  <c r="J107" i="2"/>
  <c r="N107" i="2"/>
  <c r="E109" i="2"/>
  <c r="J109" i="2"/>
  <c r="N109" i="2"/>
  <c r="E116" i="2"/>
  <c r="J116" i="2"/>
  <c r="N116" i="2"/>
  <c r="E118" i="2"/>
  <c r="J118" i="2"/>
  <c r="N118" i="2"/>
  <c r="E120" i="2"/>
  <c r="J120" i="2"/>
  <c r="N120" i="2"/>
  <c r="E122" i="2"/>
  <c r="J122" i="2"/>
  <c r="N122" i="2"/>
  <c r="E124" i="2"/>
  <c r="J124" i="2"/>
  <c r="N124" i="2"/>
  <c r="E126" i="2"/>
  <c r="J126" i="2"/>
  <c r="N126" i="2"/>
  <c r="E134" i="2"/>
  <c r="J134" i="2"/>
  <c r="N134" i="2"/>
  <c r="E136" i="2"/>
  <c r="J136" i="2"/>
  <c r="N136" i="2"/>
  <c r="E138" i="2"/>
  <c r="J138" i="2"/>
  <c r="N138" i="2"/>
  <c r="E140" i="2"/>
  <c r="J140" i="2"/>
  <c r="N140" i="2"/>
  <c r="E142" i="2"/>
  <c r="J142" i="2"/>
  <c r="N142" i="2"/>
  <c r="E144" i="2"/>
  <c r="J144" i="2"/>
  <c r="N144" i="2"/>
  <c r="J151" i="2"/>
  <c r="N151" i="2"/>
  <c r="E153" i="2"/>
  <c r="J153" i="2"/>
  <c r="N153" i="2"/>
  <c r="E155" i="2"/>
  <c r="J155" i="2"/>
  <c r="N155" i="2"/>
  <c r="E157" i="2"/>
  <c r="J157" i="2"/>
  <c r="N157" i="2"/>
  <c r="E159" i="2"/>
  <c r="J159" i="2"/>
  <c r="N159" i="2"/>
  <c r="E161" i="2"/>
  <c r="J161" i="2"/>
  <c r="N161" i="2"/>
  <c r="E162" i="2" l="1"/>
  <c r="E40" i="2"/>
  <c r="N57" i="2"/>
  <c r="N145" i="2"/>
  <c r="E74" i="2"/>
  <c r="N162" i="2"/>
  <c r="J145" i="2"/>
  <c r="J162" i="2"/>
  <c r="E57" i="2"/>
  <c r="E127" i="2"/>
  <c r="N127" i="2"/>
  <c r="E110" i="2"/>
  <c r="E91" i="2"/>
  <c r="E145" i="2"/>
  <c r="J127" i="2"/>
  <c r="N91" i="2"/>
  <c r="N110" i="2"/>
  <c r="J91" i="2"/>
  <c r="J110" i="2"/>
  <c r="N74" i="2"/>
  <c r="J74" i="2"/>
  <c r="J57" i="2"/>
  <c r="N40" i="2"/>
  <c r="J40" i="2"/>
  <c r="E164" i="2" l="1"/>
  <c r="J164" i="2"/>
  <c r="N164" i="2"/>
  <c r="N166" i="2" l="1"/>
</calcChain>
</file>

<file path=xl/sharedStrings.xml><?xml version="1.0" encoding="utf-8"?>
<sst xmlns="http://schemas.openxmlformats.org/spreadsheetml/2006/main" count="391" uniqueCount="49">
  <si>
    <t>TOTAL</t>
  </si>
  <si>
    <t>Each</t>
  </si>
  <si>
    <t>Emergency Cleaning - As required</t>
  </si>
  <si>
    <t>High Dusting</t>
  </si>
  <si>
    <t>Clean Light Fixtures</t>
  </si>
  <si>
    <t>Carpet Cleaning</t>
  </si>
  <si>
    <r>
      <rPr>
        <b/>
        <sz val="10"/>
        <rFont val="Times New Roman"/>
        <family val="1"/>
      </rPr>
      <t>Tasks 7-10 of the Schedule of Janitorial
Services per the PWS</t>
    </r>
  </si>
  <si>
    <t>All Monthly - Cleaning Task</t>
  </si>
  <si>
    <r>
      <rPr>
        <b/>
        <sz val="10"/>
        <rFont val="Times New Roman"/>
        <family val="1"/>
      </rPr>
      <t>Tasks 1-6 of the Schedule of Janitorial
Services per the PWS</t>
    </r>
  </si>
  <si>
    <t>All Daily - Cleaning Tasks</t>
  </si>
  <si>
    <t>TOTAL PRICE</t>
  </si>
  <si>
    <t>UNIT PRICE</t>
  </si>
  <si>
    <t>UNIT</t>
  </si>
  <si>
    <t>QTY</t>
  </si>
  <si>
    <t>SERVICE ITEM / TASK</t>
  </si>
  <si>
    <t>OPTION YEAR 2</t>
  </si>
  <si>
    <t>OPTION YEAR 1</t>
  </si>
  <si>
    <t>BASE YEAR</t>
  </si>
  <si>
    <r>
      <rPr>
        <sz val="10"/>
        <rFont val="Times New Roman"/>
        <family val="1"/>
      </rPr>
      <t xml:space="preserve">Office Size: </t>
    </r>
    <r>
      <rPr>
        <b/>
        <sz val="10"/>
        <rFont val="Times New Roman"/>
        <family val="1"/>
      </rPr>
      <t>4,200 SQ. FT.</t>
    </r>
  </si>
  <si>
    <r>
      <rPr>
        <sz val="10"/>
        <rFont val="Times New Roman"/>
        <family val="1"/>
      </rPr>
      <t xml:space="preserve">Service Location: </t>
    </r>
    <r>
      <rPr>
        <b/>
        <sz val="10"/>
        <rFont val="Times New Roman"/>
        <family val="1"/>
      </rPr>
      <t>31 HANCOCK COURT, QUINCY, MA</t>
    </r>
  </si>
  <si>
    <r>
      <rPr>
        <sz val="10"/>
        <rFont val="Times New Roman"/>
        <family val="1"/>
      </rPr>
      <t xml:space="preserve">Office Size: </t>
    </r>
    <r>
      <rPr>
        <b/>
        <sz val="10"/>
        <rFont val="Times New Roman"/>
        <family val="1"/>
      </rPr>
      <t>3,700 SQ. FT.</t>
    </r>
  </si>
  <si>
    <r>
      <rPr>
        <sz val="10"/>
        <rFont val="Times New Roman"/>
        <family val="1"/>
      </rPr>
      <t xml:space="preserve">Service Location: </t>
    </r>
    <r>
      <rPr>
        <b/>
        <sz val="10"/>
        <rFont val="Times New Roman"/>
        <family val="1"/>
      </rPr>
      <t>141 TREMONT STREET, BOSTON, MA</t>
    </r>
  </si>
  <si>
    <t>Office Size:  MORE THAN 3,000 SQ. FEET</t>
  </si>
  <si>
    <r>
      <rPr>
        <u/>
        <sz val="10"/>
        <rFont val="Times New Roman"/>
        <family val="1"/>
      </rPr>
      <t>UNIT</t>
    </r>
  </si>
  <si>
    <r>
      <rPr>
        <u/>
        <sz val="10"/>
        <rFont val="Times New Roman"/>
        <family val="1"/>
      </rPr>
      <t>QTY</t>
    </r>
  </si>
  <si>
    <r>
      <rPr>
        <u/>
        <sz val="10"/>
        <rFont val="Times New Roman"/>
        <family val="1"/>
      </rPr>
      <t>SERVICE ITEM / TASK</t>
    </r>
  </si>
  <si>
    <r>
      <t xml:space="preserve">Office Size: </t>
    </r>
    <r>
      <rPr>
        <b/>
        <sz val="10"/>
        <rFont val="Times New Roman"/>
        <family val="1"/>
      </rPr>
      <t>2,430 SQ. FT.</t>
    </r>
  </si>
  <si>
    <r>
      <t>Service Location:</t>
    </r>
    <r>
      <rPr>
        <b/>
        <sz val="10"/>
        <rFont val="Times New Roman"/>
        <family val="1"/>
      </rPr>
      <t xml:space="preserve"> 328 WORCESTER ROAD, FRAMINGHAM, MA</t>
    </r>
  </si>
  <si>
    <t>Relamping - As required</t>
  </si>
  <si>
    <r>
      <t xml:space="preserve">Office Size: </t>
    </r>
    <r>
      <rPr>
        <b/>
        <sz val="10"/>
        <rFont val="Times New Roman"/>
        <family val="1"/>
      </rPr>
      <t>1860 SQ. FT</t>
    </r>
  </si>
  <si>
    <r>
      <rPr>
        <sz val="10"/>
        <rFont val="Times New Roman"/>
        <family val="1"/>
      </rPr>
      <t xml:space="preserve">Service Location: </t>
    </r>
    <r>
      <rPr>
        <b/>
        <sz val="10"/>
        <rFont val="Times New Roman"/>
        <family val="1"/>
      </rPr>
      <t>4640 WASHINGTON STREET, ROSLINDALE, MA</t>
    </r>
  </si>
  <si>
    <r>
      <rPr>
        <sz val="10"/>
        <rFont val="Times New Roman"/>
        <family val="1"/>
      </rPr>
      <t xml:space="preserve">Office Size: </t>
    </r>
    <r>
      <rPr>
        <b/>
        <sz val="10"/>
        <rFont val="Times New Roman"/>
        <family val="1"/>
      </rPr>
      <t>1,500 SQ. FT.</t>
    </r>
  </si>
  <si>
    <r>
      <rPr>
        <sz val="10"/>
        <rFont val="Times New Roman"/>
        <family val="1"/>
      </rPr>
      <t xml:space="preserve">Service Location: </t>
    </r>
    <r>
      <rPr>
        <b/>
        <sz val="10"/>
        <rFont val="Times New Roman"/>
        <family val="1"/>
      </rPr>
      <t>940 BOSTON PROVIDENCE HWY, NORWOOD, MA</t>
    </r>
  </si>
  <si>
    <r>
      <t xml:space="preserve">Office Size: </t>
    </r>
    <r>
      <rPr>
        <b/>
        <sz val="10"/>
        <rFont val="Times New Roman"/>
        <family val="1"/>
      </rPr>
      <t>1,411 Sq. ft.</t>
    </r>
  </si>
  <si>
    <r>
      <t xml:space="preserve">Office Size: </t>
    </r>
    <r>
      <rPr>
        <b/>
        <sz val="10"/>
        <rFont val="Times New Roman"/>
        <family val="1"/>
      </rPr>
      <t>1,153 SQ. FT.</t>
    </r>
  </si>
  <si>
    <r>
      <t xml:space="preserve">Service Location: </t>
    </r>
    <r>
      <rPr>
        <b/>
        <sz val="10"/>
        <rFont val="Times New Roman"/>
        <family val="1"/>
      </rPr>
      <t>206 EAST MAIN STREET, SUITE 2B, MILFORD, MA</t>
    </r>
  </si>
  <si>
    <r>
      <rPr>
        <sz val="10"/>
        <rFont val="Times New Roman"/>
        <family val="1"/>
      </rPr>
      <t xml:space="preserve">Office Size: </t>
    </r>
    <r>
      <rPr>
        <b/>
        <sz val="10"/>
        <rFont val="Times New Roman"/>
        <family val="1"/>
      </rPr>
      <t>1,050 SQ. FT.</t>
    </r>
  </si>
  <si>
    <r>
      <rPr>
        <sz val="10"/>
        <rFont val="Times New Roman"/>
        <family val="1"/>
      </rPr>
      <t xml:space="preserve">Service Location: </t>
    </r>
    <r>
      <rPr>
        <b/>
        <sz val="10"/>
        <rFont val="Times New Roman"/>
        <family val="1"/>
      </rPr>
      <t>11 Elkin Street, Suite 209, Boston MA</t>
    </r>
  </si>
  <si>
    <t>BID SCHEDULE</t>
  </si>
  <si>
    <t>U.S. ARMY CORPS OF ENGINEERS-NEW ENGLAND DISTRICT DoD RECRUITING FACILITIES PROGRAM</t>
  </si>
  <si>
    <t>JANITORIAL SERVICES</t>
  </si>
  <si>
    <t>Contractor Name:</t>
  </si>
  <si>
    <t>Base year sum</t>
  </si>
  <si>
    <t>Option year 1 Sum</t>
  </si>
  <si>
    <t>Option year 2 Sum</t>
  </si>
  <si>
    <t>T</t>
  </si>
  <si>
    <t xml:space="preserve">Sum of contract: </t>
  </si>
  <si>
    <r>
      <t xml:space="preserve">Service Location: </t>
    </r>
    <r>
      <rPr>
        <b/>
        <sz val="10"/>
        <rFont val="Times New Roman"/>
        <family val="1"/>
      </rPr>
      <t>1933 MASSACHUSETTS, CAMBRIDGE, MA</t>
    </r>
  </si>
  <si>
    <t>Group (Massachusetts 8 Central)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</si>
</sst>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0.00"/>
  </numFmts>
  <fonts count="7" x14ac:knownFonts="1">
    <font>
      <sz val="11"/>
      <color theme="1"/>
      <name val="Gill Sans MT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u/>
      <sz val="1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E1EED9"/>
        <bgColor indexed="64"/>
      </patternFill>
    </fill>
    <fill>
      <patternFill patternType="solid">
        <fgColor rgb="FFE1EE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A8D08D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31">
    <xf numFmtId="0" fontId="0" fillId="0" borderId="0" xfId="0"/>
    <xf numFmtId="0" fontId="1" fillId="0" borderId="0" xfId="1" applyAlignment="1">
      <alignment horizontal="left" vertical="top"/>
    </xf>
    <xf numFmtId="164" fontId="2" fillId="0" borderId="0" xfId="1" applyNumberFormat="1" applyFont="1" applyAlignment="1">
      <alignment horizontal="center" vertical="top" shrinkToFit="1"/>
    </xf>
    <xf numFmtId="0" fontId="3" fillId="0" borderId="0" xfId="1" applyFont="1" applyAlignment="1">
      <alignment horizontal="left" vertical="top" wrapText="1"/>
    </xf>
    <xf numFmtId="0" fontId="1" fillId="0" borderId="0" xfId="1" applyAlignment="1">
      <alignment horizontal="left" wrapText="1"/>
    </xf>
    <xf numFmtId="0" fontId="1" fillId="0" borderId="1" xfId="1" applyBorder="1" applyAlignment="1">
      <alignment horizontal="left" wrapText="1"/>
    </xf>
    <xf numFmtId="164" fontId="2" fillId="0" borderId="2" xfId="1" applyNumberFormat="1" applyFont="1" applyBorder="1" applyAlignment="1">
      <alignment horizontal="center" vertical="top" shrinkToFit="1"/>
    </xf>
    <xf numFmtId="0" fontId="3" fillId="0" borderId="3" xfId="1" applyFont="1" applyBorder="1" applyAlignment="1">
      <alignment horizontal="left" vertical="top" wrapText="1"/>
    </xf>
    <xf numFmtId="0" fontId="1" fillId="0" borderId="3" xfId="1" applyBorder="1" applyAlignment="1">
      <alignment horizontal="left" wrapText="1"/>
    </xf>
    <xf numFmtId="164" fontId="2" fillId="0" borderId="3" xfId="1" applyNumberFormat="1" applyFont="1" applyBorder="1" applyAlignment="1">
      <alignment horizontal="center" vertical="top" shrinkToFit="1"/>
    </xf>
    <xf numFmtId="164" fontId="1" fillId="2" borderId="8" xfId="1" applyNumberFormat="1" applyFill="1" applyBorder="1" applyAlignment="1">
      <alignment horizontal="center" vertical="top" shrinkToFit="1"/>
    </xf>
    <xf numFmtId="165" fontId="1" fillId="3" borderId="9" xfId="1" applyNumberFormat="1" applyFill="1" applyBorder="1" applyAlignment="1">
      <alignment horizontal="center" vertical="top" shrinkToFit="1"/>
    </xf>
    <xf numFmtId="0" fontId="4" fillId="0" borderId="9" xfId="1" applyFont="1" applyBorder="1" applyAlignment="1">
      <alignment horizontal="center" vertical="top" wrapText="1"/>
    </xf>
    <xf numFmtId="1" fontId="1" fillId="0" borderId="9" xfId="1" applyNumberFormat="1" applyBorder="1" applyAlignment="1">
      <alignment horizontal="center" vertical="top" shrinkToFit="1"/>
    </xf>
    <xf numFmtId="164" fontId="1" fillId="4" borderId="9" xfId="1" applyNumberFormat="1" applyFill="1" applyBorder="1" applyAlignment="1">
      <alignment horizontal="center" vertical="top" shrinkToFit="1"/>
    </xf>
    <xf numFmtId="165" fontId="1" fillId="4" borderId="9" xfId="1" applyNumberFormat="1" applyFill="1" applyBorder="1" applyAlignment="1">
      <alignment horizontal="center" vertical="top" shrinkToFit="1"/>
    </xf>
    <xf numFmtId="164" fontId="1" fillId="5" borderId="9" xfId="1" applyNumberFormat="1" applyFill="1" applyBorder="1" applyAlignment="1">
      <alignment horizontal="center" vertical="top" shrinkToFit="1"/>
    </xf>
    <xf numFmtId="165" fontId="1" fillId="5" borderId="9" xfId="1" applyNumberFormat="1" applyFill="1" applyBorder="1" applyAlignment="1">
      <alignment horizontal="left" vertical="top" shrinkToFit="1"/>
    </xf>
    <xf numFmtId="0" fontId="4" fillId="0" borderId="12" xfId="1" applyFont="1" applyBorder="1" applyAlignment="1">
      <alignment horizontal="left" vertical="top" wrapText="1"/>
    </xf>
    <xf numFmtId="0" fontId="1" fillId="2" borderId="8" xfId="1" applyFill="1" applyBorder="1" applyAlignment="1">
      <alignment horizontal="left" wrapText="1"/>
    </xf>
    <xf numFmtId="0" fontId="1" fillId="3" borderId="9" xfId="1" applyFill="1" applyBorder="1" applyAlignment="1">
      <alignment horizontal="left" wrapText="1"/>
    </xf>
    <xf numFmtId="0" fontId="1" fillId="0" borderId="9" xfId="1" applyBorder="1" applyAlignment="1">
      <alignment horizontal="left" wrapText="1"/>
    </xf>
    <xf numFmtId="0" fontId="1" fillId="4" borderId="9" xfId="1" applyFill="1" applyBorder="1" applyAlignment="1">
      <alignment horizontal="left" wrapText="1"/>
    </xf>
    <xf numFmtId="0" fontId="1" fillId="5" borderId="9" xfId="1" applyFill="1" applyBorder="1" applyAlignment="1">
      <alignment horizontal="left" wrapText="1"/>
    </xf>
    <xf numFmtId="0" fontId="1" fillId="0" borderId="12" xfId="1" applyBorder="1" applyAlignment="1">
      <alignment horizontal="left" wrapText="1"/>
    </xf>
    <xf numFmtId="165" fontId="1" fillId="4" borderId="9" xfId="1" applyNumberFormat="1" applyFill="1" applyBorder="1" applyAlignment="1">
      <alignment horizontal="left" vertical="top" indent="2" shrinkToFit="1"/>
    </xf>
    <xf numFmtId="0" fontId="1" fillId="2" borderId="8" xfId="1" applyFill="1" applyBorder="1" applyAlignment="1">
      <alignment horizontal="left" vertical="center" wrapText="1"/>
    </xf>
    <xf numFmtId="0" fontId="1" fillId="3" borderId="9" xfId="1" applyFill="1" applyBorder="1" applyAlignment="1">
      <alignment horizontal="left" vertical="center" wrapText="1"/>
    </xf>
    <xf numFmtId="0" fontId="1" fillId="0" borderId="9" xfId="1" applyBorder="1" applyAlignment="1">
      <alignment horizontal="left" vertical="center" wrapText="1"/>
    </xf>
    <xf numFmtId="0" fontId="1" fillId="4" borderId="9" xfId="1" applyFill="1" applyBorder="1" applyAlignment="1">
      <alignment horizontal="left" vertical="center" wrapText="1"/>
    </xf>
    <xf numFmtId="0" fontId="1" fillId="5" borderId="9" xfId="1" applyFill="1" applyBorder="1" applyAlignment="1">
      <alignment horizontal="left" vertical="center" wrapText="1"/>
    </xf>
    <xf numFmtId="0" fontId="1" fillId="0" borderId="12" xfId="1" applyBorder="1" applyAlignment="1">
      <alignment horizontal="left" vertical="top" wrapText="1"/>
    </xf>
    <xf numFmtId="0" fontId="1" fillId="2" borderId="9" xfId="1" applyFill="1" applyBorder="1" applyAlignment="1">
      <alignment horizontal="left" vertical="center" wrapText="1"/>
    </xf>
    <xf numFmtId="0" fontId="4" fillId="3" borderId="8" xfId="1" applyFont="1" applyFill="1" applyBorder="1" applyAlignment="1">
      <alignment horizontal="center" vertical="top" wrapText="1"/>
    </xf>
    <xf numFmtId="0" fontId="4" fillId="3" borderId="9" xfId="1" applyFont="1" applyFill="1" applyBorder="1" applyAlignment="1">
      <alignment horizontal="left" vertical="top" wrapText="1" indent="2"/>
    </xf>
    <xf numFmtId="0" fontId="4" fillId="4" borderId="9" xfId="1" applyFont="1" applyFill="1" applyBorder="1" applyAlignment="1">
      <alignment horizontal="left" vertical="top" wrapText="1" indent="1"/>
    </xf>
    <xf numFmtId="0" fontId="4" fillId="5" borderId="9" xfId="1" applyFont="1" applyFill="1" applyBorder="1" applyAlignment="1">
      <alignment horizontal="center" vertical="top" wrapText="1"/>
    </xf>
    <xf numFmtId="0" fontId="4" fillId="5" borderId="9" xfId="1" applyFont="1" applyFill="1" applyBorder="1" applyAlignment="1">
      <alignment horizontal="left" vertical="top" wrapText="1" indent="1"/>
    </xf>
    <xf numFmtId="0" fontId="1" fillId="0" borderId="0" xfId="1" applyAlignment="1">
      <alignment wrapText="1"/>
    </xf>
    <xf numFmtId="0" fontId="4" fillId="3" borderId="8" xfId="1" applyFont="1" applyFill="1" applyBorder="1" applyAlignment="1">
      <alignment horizontal="left" vertical="top" wrapText="1" indent="3"/>
    </xf>
    <xf numFmtId="165" fontId="1" fillId="0" borderId="0" xfId="1" applyNumberFormat="1" applyAlignment="1">
      <alignment horizontal="center" vertical="top" shrinkToFit="1"/>
    </xf>
    <xf numFmtId="0" fontId="4" fillId="0" borderId="0" xfId="1" applyFont="1" applyAlignment="1">
      <alignment horizontal="center" vertical="top" wrapText="1"/>
    </xf>
    <xf numFmtId="1" fontId="1" fillId="0" borderId="0" xfId="1" applyNumberFormat="1" applyAlignment="1">
      <alignment horizontal="center" vertical="top" shrinkToFit="1"/>
    </xf>
    <xf numFmtId="165" fontId="1" fillId="0" borderId="0" xfId="1" applyNumberFormat="1" applyAlignment="1">
      <alignment horizontal="left" vertical="top" shrinkToFit="1"/>
    </xf>
    <xf numFmtId="0" fontId="4" fillId="0" borderId="1" xfId="1" applyFont="1" applyBorder="1" applyAlignment="1">
      <alignment horizontal="left" vertical="top" wrapText="1"/>
    </xf>
    <xf numFmtId="0" fontId="4" fillId="4" borderId="9" xfId="1" applyFont="1" applyFill="1" applyBorder="1" applyAlignment="1">
      <alignment horizontal="center" vertical="top" wrapText="1"/>
    </xf>
    <xf numFmtId="0" fontId="1" fillId="0" borderId="26" xfId="1" applyBorder="1" applyAlignment="1">
      <alignment horizontal="left" wrapText="1"/>
    </xf>
    <xf numFmtId="0" fontId="1" fillId="0" borderId="0" xfId="1" applyAlignment="1">
      <alignment horizontal="left" vertical="center" wrapText="1"/>
    </xf>
    <xf numFmtId="0" fontId="4" fillId="0" borderId="15" xfId="1" applyFont="1" applyBorder="1" applyAlignment="1">
      <alignment vertical="top" wrapText="1"/>
    </xf>
    <xf numFmtId="0" fontId="1" fillId="0" borderId="14" xfId="1" applyBorder="1" applyAlignment="1">
      <alignment vertical="top" wrapText="1"/>
    </xf>
    <xf numFmtId="0" fontId="1" fillId="0" borderId="13" xfId="1" applyBorder="1" applyAlignment="1">
      <alignment vertical="top" wrapText="1"/>
    </xf>
    <xf numFmtId="0" fontId="1" fillId="0" borderId="0" xfId="1" applyAlignment="1">
      <alignment vertical="top" wrapText="1"/>
    </xf>
    <xf numFmtId="0" fontId="4" fillId="0" borderId="0" xfId="1" applyFont="1" applyAlignment="1">
      <alignment horizontal="left" vertical="top" wrapText="1" indent="1"/>
    </xf>
    <xf numFmtId="0" fontId="4" fillId="0" borderId="0" xfId="1" applyFont="1" applyAlignment="1">
      <alignment horizontal="left" vertical="top" wrapText="1" indent="2"/>
    </xf>
    <xf numFmtId="0" fontId="4" fillId="0" borderId="0" xfId="1" applyFont="1" applyAlignment="1">
      <alignment horizontal="left" vertical="top" wrapText="1" indent="3"/>
    </xf>
    <xf numFmtId="164" fontId="1" fillId="0" borderId="0" xfId="1" applyNumberFormat="1" applyAlignment="1">
      <alignment horizontal="center" vertical="top" shrinkToFit="1"/>
    </xf>
    <xf numFmtId="165" fontId="1" fillId="0" borderId="0" xfId="1" applyNumberFormat="1" applyAlignment="1">
      <alignment horizontal="left" vertical="top" indent="2" shrinkToFit="1"/>
    </xf>
    <xf numFmtId="0" fontId="4" fillId="5" borderId="8" xfId="1" applyFont="1" applyFill="1" applyBorder="1" applyAlignment="1">
      <alignment horizontal="center" vertical="top" wrapText="1"/>
    </xf>
    <xf numFmtId="164" fontId="1" fillId="5" borderId="8" xfId="1" applyNumberFormat="1" applyFill="1" applyBorder="1" applyAlignment="1">
      <alignment horizontal="center" vertical="top" shrinkToFit="1"/>
    </xf>
    <xf numFmtId="164" fontId="1" fillId="0" borderId="0" xfId="1" applyNumberFormat="1" applyAlignment="1">
      <alignment horizontal="left" vertical="top"/>
    </xf>
    <xf numFmtId="0" fontId="1" fillId="0" borderId="15" xfId="1" applyBorder="1" applyAlignment="1">
      <alignment horizontal="left" wrapText="1"/>
    </xf>
    <xf numFmtId="0" fontId="1" fillId="0" borderId="14" xfId="1" applyBorder="1" applyAlignment="1">
      <alignment horizontal="left" wrapText="1"/>
    </xf>
    <xf numFmtId="0" fontId="1" fillId="0" borderId="10" xfId="1" applyBorder="1" applyAlignment="1">
      <alignment horizontal="left" wrapText="1"/>
    </xf>
    <xf numFmtId="0" fontId="3" fillId="8" borderId="11" xfId="1" applyFont="1" applyFill="1" applyBorder="1" applyAlignment="1">
      <alignment horizontal="center" vertical="top" wrapText="1"/>
    </xf>
    <xf numFmtId="0" fontId="3" fillId="8" borderId="13" xfId="1" applyFont="1" applyFill="1" applyBorder="1" applyAlignment="1">
      <alignment horizontal="center" vertical="top" wrapText="1"/>
    </xf>
    <xf numFmtId="0" fontId="1" fillId="0" borderId="26" xfId="1" applyBorder="1" applyAlignment="1">
      <alignment horizontal="left" wrapText="1"/>
    </xf>
    <xf numFmtId="0" fontId="1" fillId="0" borderId="0" xfId="1" applyAlignment="1">
      <alignment horizontal="left" wrapText="1"/>
    </xf>
    <xf numFmtId="0" fontId="1" fillId="0" borderId="7" xfId="1" applyBorder="1" applyAlignment="1">
      <alignment horizontal="left" wrapText="1"/>
    </xf>
    <xf numFmtId="0" fontId="1" fillId="0" borderId="6" xfId="1" applyBorder="1" applyAlignment="1">
      <alignment horizontal="left" wrapText="1"/>
    </xf>
    <xf numFmtId="0" fontId="1" fillId="0" borderId="4" xfId="1" applyBorder="1" applyAlignment="1">
      <alignment horizontal="left" wrapText="1"/>
    </xf>
    <xf numFmtId="0" fontId="4" fillId="0" borderId="24" xfId="1" applyFont="1" applyBorder="1" applyAlignment="1">
      <alignment horizontal="left" vertical="top" wrapText="1"/>
    </xf>
    <xf numFmtId="0" fontId="4" fillId="0" borderId="23" xfId="1" applyFont="1" applyBorder="1" applyAlignment="1">
      <alignment horizontal="left" vertical="top" wrapText="1"/>
    </xf>
    <xf numFmtId="0" fontId="4" fillId="0" borderId="22" xfId="1" applyFont="1" applyBorder="1" applyAlignment="1">
      <alignment horizontal="left" vertical="top" wrapText="1"/>
    </xf>
    <xf numFmtId="0" fontId="1" fillId="0" borderId="34" xfId="1" applyBorder="1" applyAlignment="1">
      <alignment horizontal="left" vertical="top" wrapText="1"/>
    </xf>
    <xf numFmtId="0" fontId="1" fillId="0" borderId="33" xfId="1" applyBorder="1" applyAlignment="1">
      <alignment horizontal="left" vertical="top" wrapText="1"/>
    </xf>
    <xf numFmtId="0" fontId="4" fillId="0" borderId="11" xfId="1" applyFont="1" applyBorder="1" applyAlignment="1">
      <alignment horizontal="center" vertical="top" wrapText="1"/>
    </xf>
    <xf numFmtId="0" fontId="4" fillId="0" borderId="10" xfId="1" applyFont="1" applyBorder="1" applyAlignment="1">
      <alignment horizontal="center" vertical="top" wrapText="1"/>
    </xf>
    <xf numFmtId="0" fontId="1" fillId="0" borderId="11" xfId="1" applyBorder="1" applyAlignment="1">
      <alignment horizontal="left" wrapText="1"/>
    </xf>
    <xf numFmtId="0" fontId="1" fillId="0" borderId="5" xfId="1" applyBorder="1" applyAlignment="1">
      <alignment horizontal="left" wrapText="1"/>
    </xf>
    <xf numFmtId="0" fontId="4" fillId="0" borderId="34" xfId="1" applyFont="1" applyBorder="1" applyAlignment="1">
      <alignment horizontal="left" vertical="top" wrapText="1"/>
    </xf>
    <xf numFmtId="0" fontId="1" fillId="0" borderId="32" xfId="1" applyBorder="1" applyAlignment="1">
      <alignment horizontal="left" vertical="top" wrapText="1"/>
    </xf>
    <xf numFmtId="0" fontId="1" fillId="0" borderId="23" xfId="1" applyBorder="1" applyAlignment="1">
      <alignment horizontal="left" vertical="top" wrapText="1"/>
    </xf>
    <xf numFmtId="0" fontId="1" fillId="0" borderId="22" xfId="1" applyBorder="1" applyAlignment="1">
      <alignment horizontal="left" vertical="top" wrapText="1"/>
    </xf>
    <xf numFmtId="0" fontId="4" fillId="0" borderId="15" xfId="1" applyFont="1" applyBorder="1" applyAlignment="1">
      <alignment horizontal="left" vertical="top" wrapText="1"/>
    </xf>
    <xf numFmtId="0" fontId="1" fillId="0" borderId="14" xfId="1" applyBorder="1" applyAlignment="1">
      <alignment horizontal="left" vertical="top" wrapText="1"/>
    </xf>
    <xf numFmtId="0" fontId="1" fillId="0" borderId="13" xfId="1" applyBorder="1" applyAlignment="1">
      <alignment horizontal="left" vertical="top" wrapText="1"/>
    </xf>
    <xf numFmtId="0" fontId="4" fillId="0" borderId="0" xfId="1" applyFont="1" applyAlignment="1">
      <alignment horizontal="center" vertical="top" wrapText="1"/>
    </xf>
    <xf numFmtId="0" fontId="1" fillId="0" borderId="0" xfId="1" applyAlignment="1">
      <alignment horizontal="left" vertical="center" wrapText="1"/>
    </xf>
    <xf numFmtId="0" fontId="3" fillId="0" borderId="0" xfId="1" applyFont="1" applyAlignment="1">
      <alignment horizontal="left" vertical="top" wrapText="1" indent="4"/>
    </xf>
    <xf numFmtId="0" fontId="3" fillId="0" borderId="0" xfId="1" applyFont="1" applyAlignment="1">
      <alignment horizontal="center" vertical="top" wrapText="1"/>
    </xf>
    <xf numFmtId="0" fontId="1" fillId="0" borderId="11" xfId="1" applyBorder="1" applyAlignment="1">
      <alignment horizontal="left" vertical="center" wrapText="1"/>
    </xf>
    <xf numFmtId="0" fontId="1" fillId="0" borderId="10" xfId="1" applyBorder="1" applyAlignment="1">
      <alignment horizontal="left" vertical="center" wrapText="1"/>
    </xf>
    <xf numFmtId="0" fontId="1" fillId="0" borderId="18" xfId="1" applyBorder="1" applyAlignment="1">
      <alignment horizontal="left" vertical="top" wrapText="1"/>
    </xf>
    <xf numFmtId="0" fontId="1" fillId="0" borderId="17" xfId="1" applyBorder="1" applyAlignment="1">
      <alignment horizontal="left" vertical="top" wrapText="1"/>
    </xf>
    <xf numFmtId="0" fontId="1" fillId="0" borderId="16" xfId="1" applyBorder="1" applyAlignment="1">
      <alignment horizontal="left" vertical="top" wrapText="1"/>
    </xf>
    <xf numFmtId="0" fontId="3" fillId="8" borderId="10" xfId="1" applyFont="1" applyFill="1" applyBorder="1" applyAlignment="1">
      <alignment horizontal="center" vertical="top" wrapText="1"/>
    </xf>
    <xf numFmtId="0" fontId="3" fillId="7" borderId="11" xfId="1" applyFont="1" applyFill="1" applyBorder="1" applyAlignment="1">
      <alignment horizontal="left" vertical="top" wrapText="1" indent="4"/>
    </xf>
    <xf numFmtId="0" fontId="3" fillId="7" borderId="10" xfId="1" applyFont="1" applyFill="1" applyBorder="1" applyAlignment="1">
      <alignment horizontal="left" vertical="top" wrapText="1" indent="4"/>
    </xf>
    <xf numFmtId="0" fontId="3" fillId="6" borderId="11" xfId="1" applyFont="1" applyFill="1" applyBorder="1" applyAlignment="1">
      <alignment horizontal="center" vertical="top" wrapText="1"/>
    </xf>
    <xf numFmtId="0" fontId="3" fillId="6" borderId="13" xfId="1" applyFont="1" applyFill="1" applyBorder="1" applyAlignment="1">
      <alignment horizontal="center" vertical="top" wrapText="1"/>
    </xf>
    <xf numFmtId="0" fontId="5" fillId="10" borderId="25" xfId="1" applyFont="1" applyFill="1" applyBorder="1" applyAlignment="1">
      <alignment horizontal="center" vertical="top" wrapText="1"/>
    </xf>
    <xf numFmtId="0" fontId="1" fillId="0" borderId="15" xfId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4" fillId="0" borderId="21" xfId="1" applyFont="1" applyBorder="1" applyAlignment="1">
      <alignment horizontal="left" vertical="top" wrapText="1"/>
    </xf>
    <xf numFmtId="0" fontId="1" fillId="0" borderId="20" xfId="1" applyBorder="1" applyAlignment="1">
      <alignment horizontal="left" vertical="top" wrapText="1"/>
    </xf>
    <xf numFmtId="0" fontId="1" fillId="0" borderId="19" xfId="1" applyBorder="1" applyAlignment="1">
      <alignment horizontal="left" vertical="top" wrapText="1"/>
    </xf>
    <xf numFmtId="0" fontId="4" fillId="9" borderId="24" xfId="1" applyFont="1" applyFill="1" applyBorder="1" applyAlignment="1">
      <alignment horizontal="left" vertical="top" wrapText="1"/>
    </xf>
    <xf numFmtId="0" fontId="1" fillId="9" borderId="23" xfId="1" applyFill="1" applyBorder="1" applyAlignment="1">
      <alignment horizontal="left" vertical="top" wrapText="1"/>
    </xf>
    <xf numFmtId="0" fontId="1" fillId="9" borderId="22" xfId="1" applyFill="1" applyBorder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5" fillId="10" borderId="5" xfId="1" applyFont="1" applyFill="1" applyBorder="1" applyAlignment="1">
      <alignment horizontal="center" vertical="top" wrapText="1"/>
    </xf>
    <xf numFmtId="0" fontId="5" fillId="10" borderId="6" xfId="1" applyFont="1" applyFill="1" applyBorder="1" applyAlignment="1">
      <alignment horizontal="center" vertical="top" wrapText="1"/>
    </xf>
    <xf numFmtId="0" fontId="4" fillId="0" borderId="11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1" fillId="0" borderId="31" xfId="1" applyBorder="1" applyAlignment="1">
      <alignment horizontal="left" vertical="top" wrapText="1"/>
    </xf>
    <xf numFmtId="0" fontId="1" fillId="0" borderId="30" xfId="1" applyBorder="1" applyAlignment="1">
      <alignment horizontal="left" vertical="top" wrapText="1"/>
    </xf>
    <xf numFmtId="0" fontId="1" fillId="0" borderId="29" xfId="1" applyBorder="1" applyAlignment="1">
      <alignment horizontal="left" vertical="top" wrapText="1"/>
    </xf>
    <xf numFmtId="0" fontId="1" fillId="0" borderId="18" xfId="1" applyBorder="1" applyAlignment="1">
      <alignment horizontal="left" wrapText="1"/>
    </xf>
    <xf numFmtId="0" fontId="1" fillId="0" borderId="17" xfId="1" applyBorder="1" applyAlignment="1">
      <alignment horizontal="left" wrapText="1"/>
    </xf>
    <xf numFmtId="0" fontId="1" fillId="0" borderId="28" xfId="1" applyBorder="1" applyAlignment="1">
      <alignment horizontal="left" wrapText="1"/>
    </xf>
    <xf numFmtId="0" fontId="1" fillId="0" borderId="27" xfId="1" applyBorder="1" applyAlignment="1">
      <alignment horizontal="left" wrapText="1"/>
    </xf>
    <xf numFmtId="0" fontId="3" fillId="6" borderId="27" xfId="1" applyFont="1" applyFill="1" applyBorder="1" applyAlignment="1">
      <alignment horizontal="center" vertical="top" wrapText="1"/>
    </xf>
    <xf numFmtId="0" fontId="3" fillId="6" borderId="16" xfId="1" applyFont="1" applyFill="1" applyBorder="1" applyAlignment="1">
      <alignment horizontal="center" vertical="top" wrapText="1"/>
    </xf>
    <xf numFmtId="1" fontId="1" fillId="0" borderId="9" xfId="1" applyNumberFormat="1" applyFont="1" applyBorder="1" applyAlignment="1">
      <alignment horizontal="center" vertical="top" shrinkToFit="1"/>
    </xf>
    <xf numFmtId="165" fontId="1" fillId="5" borderId="9" xfId="1" applyNumberFormat="1" applyFont="1" applyFill="1" applyBorder="1" applyAlignment="1">
      <alignment horizontal="left" vertical="top" shrinkToFit="1"/>
    </xf>
    <xf numFmtId="164" fontId="1" fillId="5" borderId="9" xfId="1" applyNumberFormat="1" applyFont="1" applyFill="1" applyBorder="1" applyAlignment="1">
      <alignment horizontal="center" vertical="top" shrinkToFit="1"/>
    </xf>
    <xf numFmtId="165" fontId="1" fillId="4" borderId="9" xfId="1" applyNumberFormat="1" applyFont="1" applyFill="1" applyBorder="1" applyAlignment="1">
      <alignment horizontal="center" vertical="top" shrinkToFit="1"/>
    </xf>
    <xf numFmtId="164" fontId="1" fillId="4" borderId="9" xfId="1" applyNumberFormat="1" applyFont="1" applyFill="1" applyBorder="1" applyAlignment="1">
      <alignment horizontal="center" vertical="top" shrinkToFit="1"/>
    </xf>
    <xf numFmtId="165" fontId="1" fillId="3" borderId="9" xfId="1" applyNumberFormat="1" applyFont="1" applyFill="1" applyBorder="1" applyAlignment="1">
      <alignment horizontal="center" vertical="top" shrinkToFit="1"/>
    </xf>
    <xf numFmtId="164" fontId="1" fillId="2" borderId="8" xfId="1" applyNumberFormat="1" applyFont="1" applyFill="1" applyBorder="1" applyAlignment="1">
      <alignment horizontal="center" vertical="top" shrinkToFit="1"/>
    </xf>
    <xf numFmtId="0" fontId="1" fillId="0" borderId="0" xfId="1" applyFont="1" applyAlignment="1">
      <alignment horizontal="left" vertical="top"/>
    </xf>
  </cellXfs>
  <cellStyles count="2">
    <cellStyle name="Normal" xfId="0" builtinId="0"/>
    <cellStyle name="Normal 2" xfId="1" xr:uid="{9A0253F0-CF5E-42D1-99FA-3A2229389B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29690" cy="19240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211A7B4F-0817-48FB-B91C-CDF47F772007}"/>
            </a:ext>
          </a:extLst>
        </xdr:cNvPr>
        <xdr:cNvSpPr/>
      </xdr:nvSpPr>
      <xdr:spPr>
        <a:xfrm>
          <a:off x="0" y="0"/>
          <a:ext cx="1329690" cy="192405"/>
        </a:xfrm>
        <a:custGeom>
          <a:avLst/>
          <a:gdLst/>
          <a:ahLst/>
          <a:cxnLst/>
          <a:rect l="0" t="0" r="0" b="0"/>
          <a:pathLst>
            <a:path w="1329690" h="192405">
              <a:moveTo>
                <a:pt x="0" y="192277"/>
              </a:moveTo>
              <a:lnTo>
                <a:pt x="1329181" y="192277"/>
              </a:lnTo>
              <a:lnTo>
                <a:pt x="1329181" y="0"/>
              </a:lnTo>
              <a:lnTo>
                <a:pt x="0" y="0"/>
              </a:lnTo>
              <a:lnTo>
                <a:pt x="0" y="192277"/>
              </a:lnTo>
              <a:close/>
            </a:path>
          </a:pathLst>
        </a:custGeom>
        <a:solidFill>
          <a:srgbClr val="FFFF00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A9A6-EFC8-40D0-A88B-7EA2AFB6A6A0}">
  <dimension ref="A1:N166"/>
  <sheetViews>
    <sheetView tabSelected="1" zoomScale="90" zoomScaleNormal="90" workbookViewId="0">
      <selection activeCell="A104" sqref="A104"/>
    </sheetView>
  </sheetViews>
  <sheetFormatPr defaultColWidth="8.88671875" defaultRowHeight="13.2" outlineLevelCol="1" x14ac:dyDescent="0.5"/>
  <cols>
    <col min="1" max="1" width="35.44140625" style="1" customWidth="1"/>
    <col min="2" max="2" width="4.88671875" style="1" customWidth="1"/>
    <col min="3" max="3" width="5.44140625" style="1" customWidth="1"/>
    <col min="4" max="5" width="13.21875" style="1" customWidth="1"/>
    <col min="6" max="6" width="4.88671875" style="1" customWidth="1" outlineLevel="1"/>
    <col min="7" max="7" width="6" style="1" customWidth="1" outlineLevel="1"/>
    <col min="8" max="8" width="7.6640625" style="1" customWidth="1" outlineLevel="1"/>
    <col min="9" max="9" width="13.21875" style="1" customWidth="1" outlineLevel="1"/>
    <col min="10" max="10" width="14.6640625" style="1" customWidth="1" outlineLevel="1"/>
    <col min="11" max="11" width="4.88671875" style="1" customWidth="1" outlineLevel="1"/>
    <col min="12" max="12" width="5.44140625" style="1" customWidth="1" outlineLevel="1"/>
    <col min="13" max="13" width="14.6640625" style="1" customWidth="1" outlineLevel="1"/>
    <col min="14" max="14" width="18.21875" style="1" customWidth="1" outlineLevel="1"/>
    <col min="15" max="15" width="4.109375" style="1" customWidth="1"/>
    <col min="16" max="16384" width="8.88671875" style="1"/>
  </cols>
  <sheetData>
    <row r="1" spans="1:14" x14ac:dyDescent="0.5">
      <c r="A1" s="109" t="s">
        <v>41</v>
      </c>
      <c r="B1" s="109"/>
      <c r="C1" s="109"/>
      <c r="D1" s="109"/>
      <c r="E1" s="109"/>
      <c r="F1" s="109"/>
      <c r="G1" s="109"/>
      <c r="H1" s="47"/>
      <c r="I1" s="47"/>
      <c r="J1" s="47"/>
      <c r="K1" s="47"/>
      <c r="L1" s="47"/>
      <c r="M1" s="47"/>
      <c r="N1" s="47"/>
    </row>
    <row r="2" spans="1:14" x14ac:dyDescent="0.25">
      <c r="A2" s="109" t="s">
        <v>40</v>
      </c>
      <c r="B2" s="109"/>
      <c r="C2" s="109"/>
      <c r="D2" s="109"/>
      <c r="E2" s="109"/>
      <c r="F2" s="109"/>
      <c r="G2" s="109"/>
      <c r="H2" s="4"/>
      <c r="I2" s="4"/>
      <c r="J2" s="4"/>
      <c r="K2" s="4"/>
      <c r="L2" s="4"/>
      <c r="M2" s="4"/>
      <c r="N2" s="4"/>
    </row>
    <row r="3" spans="1:14" x14ac:dyDescent="0.25">
      <c r="A3" s="109" t="s">
        <v>39</v>
      </c>
      <c r="B3" s="109"/>
      <c r="C3" s="109"/>
      <c r="D3" s="109"/>
      <c r="E3" s="109"/>
      <c r="F3" s="109"/>
      <c r="G3" s="109"/>
      <c r="H3" s="4"/>
      <c r="I3" s="4"/>
      <c r="J3" s="4"/>
      <c r="K3" s="4"/>
      <c r="L3" s="4"/>
      <c r="M3" s="4"/>
      <c r="N3" s="4"/>
    </row>
    <row r="4" spans="1:14" x14ac:dyDescent="0.25">
      <c r="A4" s="109" t="s">
        <v>38</v>
      </c>
      <c r="B4" s="109"/>
      <c r="C4" s="109"/>
      <c r="D4" s="109"/>
      <c r="E4" s="109"/>
      <c r="F4" s="109"/>
      <c r="G4" s="109"/>
      <c r="H4" s="4"/>
      <c r="I4" s="4"/>
      <c r="J4" s="4"/>
      <c r="K4" s="4"/>
      <c r="L4" s="4"/>
      <c r="M4" s="4"/>
      <c r="N4" s="4"/>
    </row>
    <row r="5" spans="1:14" x14ac:dyDescent="0.25">
      <c r="A5" s="109" t="s">
        <v>48</v>
      </c>
      <c r="B5" s="109"/>
      <c r="C5" s="109"/>
      <c r="D5" s="109"/>
      <c r="E5" s="109"/>
      <c r="F5" s="109"/>
      <c r="G5" s="109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6.2" thickBot="1" x14ac:dyDescent="0.3">
      <c r="A7" s="110"/>
      <c r="B7" s="111"/>
      <c r="C7" s="111"/>
      <c r="D7" s="111"/>
      <c r="E7" s="111"/>
      <c r="F7" s="111"/>
      <c r="G7" s="111"/>
      <c r="H7" s="111"/>
      <c r="I7" s="111"/>
      <c r="J7" s="111"/>
      <c r="K7" s="66"/>
      <c r="L7" s="66"/>
      <c r="M7" s="66"/>
      <c r="N7" s="66"/>
    </row>
    <row r="8" spans="1:14" ht="12.75" customHeight="1" x14ac:dyDescent="0.5">
      <c r="A8" s="70"/>
      <c r="B8" s="71"/>
      <c r="C8" s="71"/>
      <c r="D8" s="71"/>
      <c r="E8" s="72"/>
      <c r="F8" s="73"/>
      <c r="G8" s="74"/>
      <c r="H8" s="74"/>
      <c r="I8" s="74"/>
      <c r="J8" s="74"/>
      <c r="K8" s="51"/>
      <c r="L8" s="51"/>
      <c r="M8" s="51"/>
      <c r="N8" s="51"/>
    </row>
    <row r="9" spans="1:14" ht="13.2" customHeight="1" x14ac:dyDescent="0.5">
      <c r="A9" s="48"/>
      <c r="B9" s="49"/>
      <c r="C9" s="49"/>
      <c r="D9" s="49"/>
      <c r="E9" s="50"/>
      <c r="F9" s="51"/>
      <c r="G9" s="51"/>
      <c r="H9" s="51"/>
      <c r="I9" s="51"/>
      <c r="J9" s="51"/>
      <c r="K9" s="51"/>
      <c r="L9" s="51"/>
      <c r="M9" s="51"/>
      <c r="N9" s="51"/>
    </row>
    <row r="10" spans="1:14" x14ac:dyDescent="0.25">
      <c r="A10" s="60"/>
      <c r="B10" s="61"/>
      <c r="C10" s="62"/>
      <c r="D10" s="63"/>
      <c r="E10" s="64"/>
      <c r="F10" s="65"/>
      <c r="G10" s="66"/>
      <c r="H10" s="66"/>
      <c r="I10" s="88"/>
      <c r="J10" s="88"/>
      <c r="K10" s="66"/>
      <c r="L10" s="66"/>
      <c r="M10" s="89"/>
      <c r="N10" s="89"/>
    </row>
    <row r="11" spans="1:14" x14ac:dyDescent="0.5">
      <c r="A11" s="18"/>
      <c r="B11" s="12"/>
      <c r="C11" s="12"/>
      <c r="D11" s="37"/>
      <c r="E11" s="57"/>
      <c r="F11" s="41"/>
      <c r="G11" s="102"/>
      <c r="H11" s="102"/>
      <c r="I11" s="52"/>
      <c r="J11" s="52"/>
      <c r="K11" s="41"/>
      <c r="L11" s="41"/>
      <c r="M11" s="53"/>
      <c r="N11" s="54"/>
    </row>
    <row r="12" spans="1:14" x14ac:dyDescent="0.5">
      <c r="A12" s="18"/>
      <c r="B12" s="13"/>
      <c r="C12" s="12"/>
      <c r="D12" s="17"/>
      <c r="E12" s="58"/>
      <c r="F12" s="42"/>
      <c r="G12" s="86"/>
      <c r="H12" s="86"/>
      <c r="I12" s="40"/>
      <c r="J12" s="55"/>
      <c r="K12" s="42"/>
      <c r="L12" s="41"/>
      <c r="M12" s="40"/>
      <c r="N12" s="55"/>
    </row>
    <row r="13" spans="1:14" x14ac:dyDescent="0.5">
      <c r="A13" s="31"/>
      <c r="B13" s="28"/>
      <c r="C13" s="28"/>
      <c r="D13" s="30"/>
      <c r="E13" s="58"/>
      <c r="F13" s="47"/>
      <c r="G13" s="87"/>
      <c r="H13" s="87"/>
      <c r="I13" s="47"/>
      <c r="J13" s="47"/>
      <c r="K13" s="47"/>
      <c r="L13" s="47"/>
      <c r="M13" s="47"/>
      <c r="N13" s="47"/>
    </row>
    <row r="14" spans="1:14" x14ac:dyDescent="0.5">
      <c r="A14" s="18"/>
      <c r="B14" s="13"/>
      <c r="C14" s="12"/>
      <c r="D14" s="17"/>
      <c r="E14" s="58"/>
      <c r="F14" s="42"/>
      <c r="G14" s="86"/>
      <c r="H14" s="86"/>
      <c r="I14" s="40"/>
      <c r="J14" s="55"/>
      <c r="K14" s="42"/>
      <c r="L14" s="41"/>
      <c r="M14" s="40"/>
      <c r="N14" s="55"/>
    </row>
    <row r="15" spans="1:14" x14ac:dyDescent="0.5">
      <c r="A15" s="31"/>
      <c r="B15" s="28"/>
      <c r="C15" s="28"/>
      <c r="D15" s="30"/>
      <c r="E15" s="58"/>
      <c r="F15" s="47"/>
      <c r="G15" s="87"/>
      <c r="H15" s="87"/>
      <c r="I15" s="47"/>
      <c r="J15" s="47"/>
      <c r="K15" s="47"/>
      <c r="L15" s="47"/>
      <c r="M15" s="47"/>
      <c r="N15" s="47"/>
    </row>
    <row r="16" spans="1:14" x14ac:dyDescent="0.5">
      <c r="A16" s="18"/>
      <c r="B16" s="13"/>
      <c r="C16" s="12"/>
      <c r="D16" s="17"/>
      <c r="E16" s="58"/>
      <c r="F16" s="42"/>
      <c r="G16" s="86"/>
      <c r="H16" s="86"/>
      <c r="I16" s="56"/>
      <c r="J16" s="55"/>
      <c r="K16" s="42"/>
      <c r="L16" s="41"/>
      <c r="M16" s="40"/>
      <c r="N16" s="55"/>
    </row>
    <row r="17" spans="1:14" x14ac:dyDescent="0.25">
      <c r="A17" s="24"/>
      <c r="B17" s="21"/>
      <c r="C17" s="21"/>
      <c r="D17" s="23"/>
      <c r="E17" s="58"/>
      <c r="F17" s="4"/>
      <c r="G17" s="66"/>
      <c r="H17" s="66"/>
      <c r="I17" s="4"/>
      <c r="J17" s="4"/>
      <c r="K17" s="4"/>
      <c r="L17" s="4"/>
      <c r="M17" s="4"/>
      <c r="N17" s="4"/>
    </row>
    <row r="18" spans="1:14" x14ac:dyDescent="0.5">
      <c r="A18" s="18"/>
      <c r="B18" s="13"/>
      <c r="C18" s="12"/>
      <c r="D18" s="17"/>
      <c r="E18" s="58"/>
      <c r="F18" s="42"/>
      <c r="G18" s="86"/>
      <c r="H18" s="86"/>
      <c r="I18" s="40"/>
      <c r="J18" s="55"/>
      <c r="K18" s="42"/>
      <c r="L18" s="41"/>
      <c r="M18" s="40"/>
      <c r="N18" s="55"/>
    </row>
    <row r="19" spans="1:14" x14ac:dyDescent="0.25">
      <c r="A19" s="24"/>
      <c r="B19" s="21"/>
      <c r="C19" s="21"/>
      <c r="D19" s="23"/>
      <c r="E19" s="58"/>
      <c r="F19" s="4"/>
      <c r="G19" s="66"/>
      <c r="H19" s="66"/>
      <c r="I19" s="4"/>
      <c r="J19" s="4"/>
      <c r="K19" s="4"/>
      <c r="L19" s="4"/>
      <c r="M19" s="4"/>
      <c r="N19" s="4"/>
    </row>
    <row r="20" spans="1:14" x14ac:dyDescent="0.5">
      <c r="A20" s="18"/>
      <c r="B20" s="13"/>
      <c r="C20" s="12"/>
      <c r="D20" s="17"/>
      <c r="E20" s="58"/>
      <c r="F20" s="42"/>
      <c r="G20" s="86"/>
      <c r="H20" s="86"/>
      <c r="I20" s="40"/>
      <c r="J20" s="55"/>
      <c r="K20" s="42"/>
      <c r="L20" s="41"/>
      <c r="M20" s="40"/>
      <c r="N20" s="55"/>
    </row>
    <row r="21" spans="1:14" x14ac:dyDescent="0.25">
      <c r="A21" s="24"/>
      <c r="B21" s="21"/>
      <c r="C21" s="21"/>
      <c r="D21" s="23"/>
      <c r="E21" s="58"/>
      <c r="F21" s="4"/>
      <c r="G21" s="66"/>
      <c r="H21" s="66"/>
      <c r="I21" s="4"/>
      <c r="J21" s="4"/>
      <c r="K21" s="4"/>
      <c r="L21" s="4"/>
      <c r="M21" s="4"/>
      <c r="N21" s="4"/>
    </row>
    <row r="22" spans="1:14" x14ac:dyDescent="0.5">
      <c r="A22" s="18"/>
      <c r="B22" s="13"/>
      <c r="C22" s="12"/>
      <c r="D22" s="17"/>
      <c r="E22" s="58"/>
      <c r="F22" s="42"/>
      <c r="G22" s="86"/>
      <c r="H22" s="86"/>
      <c r="I22" s="40"/>
      <c r="J22" s="55"/>
      <c r="K22" s="42"/>
      <c r="L22" s="41"/>
      <c r="M22" s="40"/>
      <c r="N22" s="55"/>
    </row>
    <row r="23" spans="1:14" ht="13.8" thickBot="1" x14ac:dyDescent="0.3">
      <c r="A23" s="67"/>
      <c r="B23" s="68"/>
      <c r="C23" s="69"/>
      <c r="D23" s="7"/>
      <c r="E23" s="6"/>
      <c r="F23" s="4"/>
      <c r="G23" s="66"/>
      <c r="H23" s="66"/>
      <c r="I23" s="3"/>
      <c r="J23" s="2"/>
      <c r="K23" s="4"/>
      <c r="L23" s="4"/>
      <c r="M23" s="3"/>
      <c r="N23" s="2"/>
    </row>
    <row r="24" spans="1:14" ht="13.8" thickBot="1" x14ac:dyDescent="0.3">
      <c r="A24" s="46"/>
      <c r="B24" s="4"/>
      <c r="C24" s="4"/>
      <c r="D24" s="3"/>
      <c r="E24" s="2"/>
      <c r="F24" s="4"/>
      <c r="G24" s="4"/>
      <c r="H24" s="4"/>
      <c r="I24" s="3"/>
      <c r="J24" s="2"/>
      <c r="K24" s="4"/>
      <c r="L24" s="4"/>
      <c r="M24" s="3"/>
      <c r="N24" s="2"/>
    </row>
    <row r="25" spans="1:14" x14ac:dyDescent="0.5">
      <c r="A25" s="79" t="s">
        <v>37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80"/>
    </row>
    <row r="26" spans="1:14" x14ac:dyDescent="0.5">
      <c r="A26" s="114" t="s">
        <v>36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6"/>
    </row>
    <row r="27" spans="1:14" x14ac:dyDescent="0.25">
      <c r="A27" s="117"/>
      <c r="B27" s="118"/>
      <c r="C27" s="119"/>
      <c r="D27" s="63" t="s">
        <v>17</v>
      </c>
      <c r="E27" s="95"/>
      <c r="F27" s="120"/>
      <c r="G27" s="118"/>
      <c r="H27" s="119"/>
      <c r="I27" s="96" t="s">
        <v>16</v>
      </c>
      <c r="J27" s="97"/>
      <c r="K27" s="120"/>
      <c r="L27" s="119"/>
      <c r="M27" s="121" t="s">
        <v>15</v>
      </c>
      <c r="N27" s="122"/>
    </row>
    <row r="28" spans="1:14" x14ac:dyDescent="0.5">
      <c r="A28" s="18" t="s">
        <v>25</v>
      </c>
      <c r="B28" s="12" t="s">
        <v>24</v>
      </c>
      <c r="C28" s="12" t="s">
        <v>23</v>
      </c>
      <c r="D28" s="37" t="s">
        <v>11</v>
      </c>
      <c r="E28" s="36" t="s">
        <v>10</v>
      </c>
      <c r="F28" s="12" t="s">
        <v>24</v>
      </c>
      <c r="G28" s="112" t="s">
        <v>23</v>
      </c>
      <c r="H28" s="113"/>
      <c r="I28" s="35" t="s">
        <v>11</v>
      </c>
      <c r="J28" s="35" t="s">
        <v>10</v>
      </c>
      <c r="K28" s="12" t="s">
        <v>24</v>
      </c>
      <c r="L28" s="12" t="s">
        <v>23</v>
      </c>
      <c r="M28" s="34" t="s">
        <v>11</v>
      </c>
      <c r="N28" s="39" t="s">
        <v>10</v>
      </c>
    </row>
    <row r="29" spans="1:14" ht="13.2" customHeight="1" x14ac:dyDescent="0.5">
      <c r="A29" s="18" t="s">
        <v>9</v>
      </c>
      <c r="B29" s="13">
        <v>104</v>
      </c>
      <c r="C29" s="12" t="s">
        <v>1</v>
      </c>
      <c r="D29" s="17"/>
      <c r="E29" s="16">
        <f>D29*B29</f>
        <v>0</v>
      </c>
      <c r="F29" s="13">
        <v>104</v>
      </c>
      <c r="G29" s="75" t="s">
        <v>1</v>
      </c>
      <c r="H29" s="76"/>
      <c r="I29" s="15"/>
      <c r="J29" s="14">
        <f>I29*F29</f>
        <v>0</v>
      </c>
      <c r="K29" s="13">
        <v>104</v>
      </c>
      <c r="L29" s="12" t="s">
        <v>1</v>
      </c>
      <c r="M29" s="11"/>
      <c r="N29" s="10">
        <f>M29*K29</f>
        <v>0</v>
      </c>
    </row>
    <row r="30" spans="1:14" ht="26.4" x14ac:dyDescent="0.5">
      <c r="A30" s="31" t="s">
        <v>8</v>
      </c>
      <c r="B30" s="28"/>
      <c r="C30" s="28"/>
      <c r="D30" s="30"/>
      <c r="E30" s="16"/>
      <c r="F30" s="28"/>
      <c r="G30" s="90"/>
      <c r="H30" s="91"/>
      <c r="I30" s="29"/>
      <c r="J30" s="29"/>
      <c r="K30" s="28"/>
      <c r="L30" s="28"/>
      <c r="M30" s="32"/>
      <c r="N30" s="26"/>
    </row>
    <row r="31" spans="1:14" x14ac:dyDescent="0.5">
      <c r="A31" s="18" t="s">
        <v>7</v>
      </c>
      <c r="B31" s="13">
        <v>12</v>
      </c>
      <c r="C31" s="12" t="s">
        <v>1</v>
      </c>
      <c r="D31" s="17"/>
      <c r="E31" s="16">
        <f>D31*B31</f>
        <v>0</v>
      </c>
      <c r="F31" s="13">
        <v>12</v>
      </c>
      <c r="G31" s="75" t="s">
        <v>1</v>
      </c>
      <c r="H31" s="76"/>
      <c r="I31" s="15"/>
      <c r="J31" s="14">
        <f>I31*F31</f>
        <v>0</v>
      </c>
      <c r="K31" s="13">
        <v>12</v>
      </c>
      <c r="L31" s="12" t="s">
        <v>1</v>
      </c>
      <c r="M31" s="11"/>
      <c r="N31" s="10">
        <f>M31*K31</f>
        <v>0</v>
      </c>
    </row>
    <row r="32" spans="1:14" ht="26.4" x14ac:dyDescent="0.5">
      <c r="A32" s="31" t="s">
        <v>6</v>
      </c>
      <c r="B32" s="28"/>
      <c r="C32" s="28"/>
      <c r="D32" s="30"/>
      <c r="E32" s="16"/>
      <c r="F32" s="28"/>
      <c r="G32" s="90"/>
      <c r="H32" s="91"/>
      <c r="I32" s="29"/>
      <c r="J32" s="29"/>
      <c r="K32" s="28"/>
      <c r="L32" s="28"/>
      <c r="M32" s="27"/>
      <c r="N32" s="26"/>
    </row>
    <row r="33" spans="1:14" x14ac:dyDescent="0.5">
      <c r="A33" s="18" t="s">
        <v>5</v>
      </c>
      <c r="B33" s="13">
        <v>2</v>
      </c>
      <c r="C33" s="12" t="s">
        <v>1</v>
      </c>
      <c r="D33" s="17"/>
      <c r="E33" s="16">
        <f>D33*B33</f>
        <v>0</v>
      </c>
      <c r="F33" s="13">
        <v>2</v>
      </c>
      <c r="G33" s="75" t="s">
        <v>1</v>
      </c>
      <c r="H33" s="76"/>
      <c r="I33" s="25"/>
      <c r="J33" s="14">
        <f>I33*F33</f>
        <v>0</v>
      </c>
      <c r="K33" s="13">
        <v>2</v>
      </c>
      <c r="L33" s="12" t="s">
        <v>1</v>
      </c>
      <c r="M33" s="11"/>
      <c r="N33" s="10">
        <f>M33*K33</f>
        <v>0</v>
      </c>
    </row>
    <row r="34" spans="1:14" x14ac:dyDescent="0.25">
      <c r="A34" s="24"/>
      <c r="B34" s="21"/>
      <c r="C34" s="21"/>
      <c r="D34" s="23"/>
      <c r="E34" s="16"/>
      <c r="F34" s="21"/>
      <c r="G34" s="77"/>
      <c r="H34" s="62"/>
      <c r="I34" s="22"/>
      <c r="J34" s="22"/>
      <c r="K34" s="21"/>
      <c r="L34" s="21"/>
      <c r="M34" s="20"/>
      <c r="N34" s="19"/>
    </row>
    <row r="35" spans="1:14" x14ac:dyDescent="0.5">
      <c r="A35" s="18" t="s">
        <v>4</v>
      </c>
      <c r="B35" s="13">
        <v>1</v>
      </c>
      <c r="C35" s="12" t="s">
        <v>1</v>
      </c>
      <c r="D35" s="17"/>
      <c r="E35" s="16">
        <f>D35*B35</f>
        <v>0</v>
      </c>
      <c r="F35" s="13">
        <v>1</v>
      </c>
      <c r="G35" s="75" t="s">
        <v>1</v>
      </c>
      <c r="H35" s="76"/>
      <c r="I35" s="15"/>
      <c r="J35" s="14">
        <f>I35*F35</f>
        <v>0</v>
      </c>
      <c r="K35" s="13">
        <v>1</v>
      </c>
      <c r="L35" s="12" t="s">
        <v>1</v>
      </c>
      <c r="M35" s="11"/>
      <c r="N35" s="10">
        <f>M35*K35</f>
        <v>0</v>
      </c>
    </row>
    <row r="36" spans="1:14" x14ac:dyDescent="0.25">
      <c r="A36" s="24"/>
      <c r="B36" s="21"/>
      <c r="C36" s="21"/>
      <c r="D36" s="23"/>
      <c r="E36" s="16"/>
      <c r="F36" s="21"/>
      <c r="G36" s="77"/>
      <c r="H36" s="62"/>
      <c r="I36" s="22"/>
      <c r="J36" s="22"/>
      <c r="K36" s="21"/>
      <c r="L36" s="21"/>
      <c r="M36" s="20"/>
      <c r="N36" s="19"/>
    </row>
    <row r="37" spans="1:14" x14ac:dyDescent="0.5">
      <c r="A37" s="18" t="s">
        <v>3</v>
      </c>
      <c r="B37" s="13">
        <v>1</v>
      </c>
      <c r="C37" s="12" t="s">
        <v>1</v>
      </c>
      <c r="D37" s="17"/>
      <c r="E37" s="16">
        <f>D37*B37</f>
        <v>0</v>
      </c>
      <c r="F37" s="13">
        <v>1</v>
      </c>
      <c r="G37" s="75" t="s">
        <v>1</v>
      </c>
      <c r="H37" s="76"/>
      <c r="I37" s="15"/>
      <c r="J37" s="14">
        <f>I37*F37</f>
        <v>0</v>
      </c>
      <c r="K37" s="13">
        <v>1</v>
      </c>
      <c r="L37" s="12" t="s">
        <v>1</v>
      </c>
      <c r="M37" s="11"/>
      <c r="N37" s="10">
        <f>M37*K37</f>
        <v>0</v>
      </c>
    </row>
    <row r="38" spans="1:14" x14ac:dyDescent="0.25">
      <c r="A38" s="24"/>
      <c r="B38" s="21"/>
      <c r="C38" s="21"/>
      <c r="D38" s="23"/>
      <c r="E38" s="16"/>
      <c r="F38" s="21"/>
      <c r="G38" s="77"/>
      <c r="H38" s="62"/>
      <c r="I38" s="22"/>
      <c r="J38" s="22"/>
      <c r="K38" s="21"/>
      <c r="L38" s="21"/>
      <c r="M38" s="20"/>
      <c r="N38" s="19"/>
    </row>
    <row r="39" spans="1:14" x14ac:dyDescent="0.5">
      <c r="A39" s="18" t="s">
        <v>2</v>
      </c>
      <c r="B39" s="13">
        <v>1</v>
      </c>
      <c r="C39" s="12" t="s">
        <v>1</v>
      </c>
      <c r="D39" s="17"/>
      <c r="E39" s="16">
        <f>D39*B39</f>
        <v>0</v>
      </c>
      <c r="F39" s="13">
        <v>1</v>
      </c>
      <c r="G39" s="75" t="s">
        <v>1</v>
      </c>
      <c r="H39" s="76"/>
      <c r="I39" s="15"/>
      <c r="J39" s="14">
        <f>I39*F39</f>
        <v>0</v>
      </c>
      <c r="K39" s="13">
        <v>1</v>
      </c>
      <c r="L39" s="12" t="s">
        <v>1</v>
      </c>
      <c r="M39" s="11"/>
      <c r="N39" s="10">
        <f>M39*K39</f>
        <v>0</v>
      </c>
    </row>
    <row r="40" spans="1:14" ht="13.8" thickBot="1" x14ac:dyDescent="0.3">
      <c r="A40" s="67"/>
      <c r="B40" s="68"/>
      <c r="C40" s="69"/>
      <c r="D40" s="7" t="s">
        <v>0</v>
      </c>
      <c r="E40" s="9">
        <f>SUM(E29:E39)</f>
        <v>0</v>
      </c>
      <c r="F40" s="8"/>
      <c r="G40" s="78"/>
      <c r="H40" s="69"/>
      <c r="I40" s="7" t="s">
        <v>0</v>
      </c>
      <c r="J40" s="9">
        <f>SUM(J29:J39)</f>
        <v>0</v>
      </c>
      <c r="K40" s="8"/>
      <c r="L40" s="8"/>
      <c r="M40" s="7" t="s">
        <v>0</v>
      </c>
      <c r="N40" s="6">
        <f>SUM(N29:N39)</f>
        <v>0</v>
      </c>
    </row>
    <row r="41" spans="1:14" ht="13.8" thickBot="1" x14ac:dyDescent="0.55000000000000004">
      <c r="A41" s="44"/>
      <c r="B41" s="42"/>
      <c r="C41" s="41"/>
      <c r="D41" s="43"/>
      <c r="E41" s="40"/>
      <c r="F41" s="42"/>
      <c r="G41" s="41"/>
      <c r="H41" s="41"/>
      <c r="I41" s="40"/>
      <c r="J41" s="40"/>
      <c r="K41" s="42"/>
      <c r="L41" s="41"/>
      <c r="M41" s="40"/>
      <c r="N41" s="40"/>
    </row>
    <row r="42" spans="1:14" x14ac:dyDescent="0.5">
      <c r="A42" s="70" t="s">
        <v>35</v>
      </c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2"/>
    </row>
    <row r="43" spans="1:14" x14ac:dyDescent="0.5">
      <c r="A43" s="83" t="s">
        <v>34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5"/>
    </row>
    <row r="44" spans="1:14" x14ac:dyDescent="0.25">
      <c r="A44" s="60"/>
      <c r="B44" s="61"/>
      <c r="C44" s="62"/>
      <c r="D44" s="63" t="s">
        <v>17</v>
      </c>
      <c r="E44" s="95"/>
      <c r="F44" s="77"/>
      <c r="G44" s="61"/>
      <c r="H44" s="62"/>
      <c r="I44" s="96" t="s">
        <v>16</v>
      </c>
      <c r="J44" s="97"/>
      <c r="K44" s="77"/>
      <c r="L44" s="62"/>
      <c r="M44" s="98" t="s">
        <v>15</v>
      </c>
      <c r="N44" s="99"/>
    </row>
    <row r="45" spans="1:14" x14ac:dyDescent="0.5">
      <c r="A45" s="18" t="s">
        <v>25</v>
      </c>
      <c r="B45" s="12" t="s">
        <v>24</v>
      </c>
      <c r="C45" s="12" t="s">
        <v>23</v>
      </c>
      <c r="D45" s="37" t="s">
        <v>11</v>
      </c>
      <c r="E45" s="36" t="s">
        <v>10</v>
      </c>
      <c r="F45" s="12" t="s">
        <v>24</v>
      </c>
      <c r="G45" s="112" t="s">
        <v>23</v>
      </c>
      <c r="H45" s="113"/>
      <c r="I45" s="35" t="s">
        <v>11</v>
      </c>
      <c r="J45" s="35" t="s">
        <v>10</v>
      </c>
      <c r="K45" s="12" t="s">
        <v>24</v>
      </c>
      <c r="L45" s="12" t="s">
        <v>23</v>
      </c>
      <c r="M45" s="34" t="s">
        <v>11</v>
      </c>
      <c r="N45" s="39" t="s">
        <v>10</v>
      </c>
    </row>
    <row r="46" spans="1:14" ht="13.2" customHeight="1" x14ac:dyDescent="0.5">
      <c r="A46" s="18" t="s">
        <v>9</v>
      </c>
      <c r="B46" s="13">
        <v>104</v>
      </c>
      <c r="C46" s="12" t="s">
        <v>1</v>
      </c>
      <c r="D46" s="17"/>
      <c r="E46" s="16">
        <f>D46*B46</f>
        <v>0</v>
      </c>
      <c r="F46" s="13">
        <v>104</v>
      </c>
      <c r="G46" s="75" t="s">
        <v>1</v>
      </c>
      <c r="H46" s="76"/>
      <c r="I46" s="15"/>
      <c r="J46" s="14">
        <f>I46*F46</f>
        <v>0</v>
      </c>
      <c r="K46" s="13">
        <v>104</v>
      </c>
      <c r="L46" s="12" t="s">
        <v>1</v>
      </c>
      <c r="M46" s="11"/>
      <c r="N46" s="10">
        <f>M46*K46</f>
        <v>0</v>
      </c>
    </row>
    <row r="47" spans="1:14" ht="26.4" x14ac:dyDescent="0.5">
      <c r="A47" s="31" t="s">
        <v>8</v>
      </c>
      <c r="B47" s="28"/>
      <c r="C47" s="28"/>
      <c r="D47" s="30"/>
      <c r="E47" s="16"/>
      <c r="F47" s="28"/>
      <c r="G47" s="90"/>
      <c r="H47" s="91"/>
      <c r="I47" s="29"/>
      <c r="J47" s="29"/>
      <c r="K47" s="28"/>
      <c r="L47" s="28"/>
      <c r="M47" s="32"/>
      <c r="N47" s="26"/>
    </row>
    <row r="48" spans="1:14" x14ac:dyDescent="0.5">
      <c r="A48" s="18" t="s">
        <v>7</v>
      </c>
      <c r="B48" s="13">
        <v>12</v>
      </c>
      <c r="C48" s="12" t="s">
        <v>1</v>
      </c>
      <c r="D48" s="17"/>
      <c r="E48" s="16">
        <f>D48*B48</f>
        <v>0</v>
      </c>
      <c r="F48" s="13">
        <v>12</v>
      </c>
      <c r="G48" s="75" t="s">
        <v>1</v>
      </c>
      <c r="H48" s="76"/>
      <c r="I48" s="15"/>
      <c r="J48" s="14">
        <f>I48*F48</f>
        <v>0</v>
      </c>
      <c r="K48" s="13">
        <v>12</v>
      </c>
      <c r="L48" s="12" t="s">
        <v>1</v>
      </c>
      <c r="M48" s="11"/>
      <c r="N48" s="10">
        <f>M48*K48</f>
        <v>0</v>
      </c>
    </row>
    <row r="49" spans="1:14" ht="26.4" x14ac:dyDescent="0.5">
      <c r="A49" s="31" t="s">
        <v>6</v>
      </c>
      <c r="B49" s="28"/>
      <c r="C49" s="28"/>
      <c r="D49" s="30"/>
      <c r="E49" s="16"/>
      <c r="F49" s="28"/>
      <c r="G49" s="90"/>
      <c r="H49" s="91"/>
      <c r="I49" s="29"/>
      <c r="J49" s="29"/>
      <c r="K49" s="28"/>
      <c r="L49" s="28"/>
      <c r="M49" s="27"/>
      <c r="N49" s="26"/>
    </row>
    <row r="50" spans="1:14" x14ac:dyDescent="0.5">
      <c r="A50" s="18" t="s">
        <v>5</v>
      </c>
      <c r="B50" s="13">
        <v>2</v>
      </c>
      <c r="C50" s="12" t="s">
        <v>1</v>
      </c>
      <c r="D50" s="17"/>
      <c r="E50" s="16">
        <f>D50*B50</f>
        <v>0</v>
      </c>
      <c r="F50" s="13">
        <v>2</v>
      </c>
      <c r="G50" s="75" t="s">
        <v>1</v>
      </c>
      <c r="H50" s="76"/>
      <c r="I50" s="25"/>
      <c r="J50" s="14">
        <f>I50*F50</f>
        <v>0</v>
      </c>
      <c r="K50" s="13">
        <v>2</v>
      </c>
      <c r="L50" s="12" t="s">
        <v>1</v>
      </c>
      <c r="M50" s="11"/>
      <c r="N50" s="10">
        <f>M50*K50</f>
        <v>0</v>
      </c>
    </row>
    <row r="51" spans="1:14" x14ac:dyDescent="0.25">
      <c r="A51" s="24"/>
      <c r="B51" s="21"/>
      <c r="C51" s="21"/>
      <c r="D51" s="23"/>
      <c r="E51" s="16"/>
      <c r="F51" s="21"/>
      <c r="G51" s="77"/>
      <c r="H51" s="62"/>
      <c r="I51" s="22"/>
      <c r="J51" s="22"/>
      <c r="K51" s="21"/>
      <c r="L51" s="21"/>
      <c r="M51" s="20"/>
      <c r="N51" s="19"/>
    </row>
    <row r="52" spans="1:14" x14ac:dyDescent="0.5">
      <c r="A52" s="18" t="s">
        <v>4</v>
      </c>
      <c r="B52" s="13">
        <v>1</v>
      </c>
      <c r="C52" s="12" t="s">
        <v>1</v>
      </c>
      <c r="D52" s="17"/>
      <c r="E52" s="16">
        <f>D52*B52</f>
        <v>0</v>
      </c>
      <c r="F52" s="13">
        <v>1</v>
      </c>
      <c r="G52" s="75" t="s">
        <v>1</v>
      </c>
      <c r="H52" s="76"/>
      <c r="I52" s="15"/>
      <c r="J52" s="14">
        <f>I52*F52</f>
        <v>0</v>
      </c>
      <c r="K52" s="13">
        <v>1</v>
      </c>
      <c r="L52" s="12" t="s">
        <v>1</v>
      </c>
      <c r="M52" s="11"/>
      <c r="N52" s="10">
        <f>M52*K52</f>
        <v>0</v>
      </c>
    </row>
    <row r="53" spans="1:14" x14ac:dyDescent="0.25">
      <c r="A53" s="24"/>
      <c r="B53" s="21"/>
      <c r="C53" s="21"/>
      <c r="D53" s="23"/>
      <c r="E53" s="16"/>
      <c r="F53" s="21"/>
      <c r="G53" s="77"/>
      <c r="H53" s="62"/>
      <c r="I53" s="22"/>
      <c r="J53" s="22"/>
      <c r="K53" s="21"/>
      <c r="L53" s="21"/>
      <c r="M53" s="20"/>
      <c r="N53" s="19"/>
    </row>
    <row r="54" spans="1:14" x14ac:dyDescent="0.5">
      <c r="A54" s="18" t="s">
        <v>3</v>
      </c>
      <c r="B54" s="13">
        <v>1</v>
      </c>
      <c r="C54" s="12" t="s">
        <v>1</v>
      </c>
      <c r="D54" s="17"/>
      <c r="E54" s="16">
        <f>D54*B54</f>
        <v>0</v>
      </c>
      <c r="F54" s="13">
        <v>1</v>
      </c>
      <c r="G54" s="75" t="s">
        <v>1</v>
      </c>
      <c r="H54" s="76"/>
      <c r="I54" s="15"/>
      <c r="J54" s="14">
        <f>I54*F54</f>
        <v>0</v>
      </c>
      <c r="K54" s="13">
        <v>1</v>
      </c>
      <c r="L54" s="12" t="s">
        <v>1</v>
      </c>
      <c r="M54" s="11"/>
      <c r="N54" s="10">
        <f>M54*K54</f>
        <v>0</v>
      </c>
    </row>
    <row r="55" spans="1:14" x14ac:dyDescent="0.25">
      <c r="A55" s="24"/>
      <c r="B55" s="21"/>
      <c r="C55" s="21"/>
      <c r="D55" s="23"/>
      <c r="E55" s="16"/>
      <c r="F55" s="21"/>
      <c r="G55" s="77"/>
      <c r="H55" s="62"/>
      <c r="I55" s="22"/>
      <c r="J55" s="22"/>
      <c r="K55" s="21"/>
      <c r="L55" s="21"/>
      <c r="M55" s="20"/>
      <c r="N55" s="19"/>
    </row>
    <row r="56" spans="1:14" x14ac:dyDescent="0.5">
      <c r="A56" s="18" t="s">
        <v>2</v>
      </c>
      <c r="B56" s="13">
        <v>1</v>
      </c>
      <c r="C56" s="12" t="s">
        <v>1</v>
      </c>
      <c r="D56" s="17"/>
      <c r="E56" s="16">
        <f>D56*B56</f>
        <v>0</v>
      </c>
      <c r="F56" s="13">
        <v>1</v>
      </c>
      <c r="G56" s="75" t="s">
        <v>1</v>
      </c>
      <c r="H56" s="76"/>
      <c r="I56" s="15"/>
      <c r="J56" s="14">
        <f>I56*F56</f>
        <v>0</v>
      </c>
      <c r="K56" s="13">
        <v>1</v>
      </c>
      <c r="L56" s="12" t="s">
        <v>1</v>
      </c>
      <c r="M56" s="11"/>
      <c r="N56" s="10">
        <f>M56*K56</f>
        <v>0</v>
      </c>
    </row>
    <row r="57" spans="1:14" ht="13.8" thickBot="1" x14ac:dyDescent="0.3">
      <c r="A57" s="67"/>
      <c r="B57" s="68"/>
      <c r="C57" s="69"/>
      <c r="D57" s="7" t="s">
        <v>0</v>
      </c>
      <c r="E57" s="9">
        <f>SUM(E46:E56)</f>
        <v>0</v>
      </c>
      <c r="F57" s="8"/>
      <c r="G57" s="78"/>
      <c r="H57" s="69"/>
      <c r="I57" s="7" t="s">
        <v>0</v>
      </c>
      <c r="J57" s="9">
        <f>SUM(J46:J56)</f>
        <v>0</v>
      </c>
      <c r="K57" s="8"/>
      <c r="L57" s="8"/>
      <c r="M57" s="7" t="s">
        <v>0</v>
      </c>
      <c r="N57" s="6">
        <f>SUM(N46:N56)</f>
        <v>0</v>
      </c>
    </row>
    <row r="58" spans="1:14" ht="13.8" thickBot="1" x14ac:dyDescent="0.55000000000000004">
      <c r="A58" s="44"/>
      <c r="B58" s="42"/>
      <c r="C58" s="41"/>
      <c r="D58" s="43"/>
      <c r="E58" s="40"/>
      <c r="F58" s="42"/>
      <c r="G58" s="41"/>
      <c r="H58" s="41"/>
      <c r="I58" s="40"/>
      <c r="J58" s="40"/>
      <c r="K58" s="42"/>
      <c r="L58" s="41"/>
      <c r="M58" s="40"/>
      <c r="N58" s="40"/>
    </row>
    <row r="59" spans="1:14" x14ac:dyDescent="0.5">
      <c r="A59" s="70" t="s">
        <v>47</v>
      </c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2"/>
    </row>
    <row r="60" spans="1:14" x14ac:dyDescent="0.5">
      <c r="A60" s="83" t="s">
        <v>33</v>
      </c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5"/>
    </row>
    <row r="61" spans="1:14" x14ac:dyDescent="0.25">
      <c r="A61" s="60"/>
      <c r="B61" s="61"/>
      <c r="C61" s="62"/>
      <c r="D61" s="63" t="s">
        <v>17</v>
      </c>
      <c r="E61" s="95"/>
      <c r="F61" s="77"/>
      <c r="G61" s="61"/>
      <c r="H61" s="62"/>
      <c r="I61" s="96" t="s">
        <v>16</v>
      </c>
      <c r="J61" s="97"/>
      <c r="K61" s="77"/>
      <c r="L61" s="62"/>
      <c r="M61" s="98" t="s">
        <v>15</v>
      </c>
      <c r="N61" s="99"/>
    </row>
    <row r="62" spans="1:14" x14ac:dyDescent="0.5">
      <c r="A62" s="18" t="s">
        <v>25</v>
      </c>
      <c r="B62" s="12" t="s">
        <v>24</v>
      </c>
      <c r="C62" s="12" t="s">
        <v>23</v>
      </c>
      <c r="D62" s="37" t="s">
        <v>11</v>
      </c>
      <c r="E62" s="36" t="s">
        <v>10</v>
      </c>
      <c r="F62" s="12" t="s">
        <v>24</v>
      </c>
      <c r="G62" s="112" t="s">
        <v>23</v>
      </c>
      <c r="H62" s="113"/>
      <c r="I62" s="35" t="s">
        <v>11</v>
      </c>
      <c r="J62" s="35" t="s">
        <v>10</v>
      </c>
      <c r="K62" s="12" t="s">
        <v>24</v>
      </c>
      <c r="L62" s="12" t="s">
        <v>23</v>
      </c>
      <c r="M62" s="34" t="s">
        <v>11</v>
      </c>
      <c r="N62" s="39" t="s">
        <v>10</v>
      </c>
    </row>
    <row r="63" spans="1:14" ht="13.2" customHeight="1" x14ac:dyDescent="0.5">
      <c r="A63" s="18" t="s">
        <v>9</v>
      </c>
      <c r="B63" s="13">
        <v>104</v>
      </c>
      <c r="C63" s="12" t="s">
        <v>1</v>
      </c>
      <c r="D63" s="17"/>
      <c r="E63" s="16">
        <f>D63*B63</f>
        <v>0</v>
      </c>
      <c r="F63" s="13">
        <v>104</v>
      </c>
      <c r="G63" s="75" t="s">
        <v>1</v>
      </c>
      <c r="H63" s="76"/>
      <c r="I63" s="15"/>
      <c r="J63" s="14">
        <f>I63*F63</f>
        <v>0</v>
      </c>
      <c r="K63" s="13">
        <v>104</v>
      </c>
      <c r="L63" s="12" t="s">
        <v>1</v>
      </c>
      <c r="M63" s="11"/>
      <c r="N63" s="10">
        <f>M63*K63</f>
        <v>0</v>
      </c>
    </row>
    <row r="64" spans="1:14" ht="26.4" x14ac:dyDescent="0.5">
      <c r="A64" s="31" t="s">
        <v>8</v>
      </c>
      <c r="B64" s="28"/>
      <c r="C64" s="28"/>
      <c r="D64" s="30"/>
      <c r="E64" s="16"/>
      <c r="F64" s="28"/>
      <c r="G64" s="90"/>
      <c r="H64" s="91"/>
      <c r="I64" s="29"/>
      <c r="J64" s="29"/>
      <c r="K64" s="28"/>
      <c r="L64" s="28"/>
      <c r="M64" s="32"/>
      <c r="N64" s="26"/>
    </row>
    <row r="65" spans="1:14" x14ac:dyDescent="0.5">
      <c r="A65" s="18" t="s">
        <v>7</v>
      </c>
      <c r="B65" s="13">
        <v>12</v>
      </c>
      <c r="C65" s="12" t="s">
        <v>1</v>
      </c>
      <c r="D65" s="17"/>
      <c r="E65" s="16">
        <f>D65*B65</f>
        <v>0</v>
      </c>
      <c r="F65" s="13">
        <v>12</v>
      </c>
      <c r="G65" s="75" t="s">
        <v>1</v>
      </c>
      <c r="H65" s="76"/>
      <c r="I65" s="15"/>
      <c r="J65" s="14">
        <f>I65*F65</f>
        <v>0</v>
      </c>
      <c r="K65" s="13">
        <v>12</v>
      </c>
      <c r="L65" s="12" t="s">
        <v>1</v>
      </c>
      <c r="M65" s="11"/>
      <c r="N65" s="10">
        <f>M65*K65</f>
        <v>0</v>
      </c>
    </row>
    <row r="66" spans="1:14" ht="26.4" x14ac:dyDescent="0.5">
      <c r="A66" s="31" t="s">
        <v>6</v>
      </c>
      <c r="B66" s="28"/>
      <c r="C66" s="28"/>
      <c r="D66" s="30"/>
      <c r="E66" s="16"/>
      <c r="F66" s="28"/>
      <c r="G66" s="90"/>
      <c r="H66" s="91"/>
      <c r="I66" s="29"/>
      <c r="J66" s="29"/>
      <c r="K66" s="28"/>
      <c r="L66" s="28"/>
      <c r="M66" s="27"/>
      <c r="N66" s="26"/>
    </row>
    <row r="67" spans="1:14" x14ac:dyDescent="0.5">
      <c r="A67" s="18" t="s">
        <v>5</v>
      </c>
      <c r="B67" s="13">
        <v>2</v>
      </c>
      <c r="C67" s="12" t="s">
        <v>1</v>
      </c>
      <c r="D67" s="17"/>
      <c r="E67" s="16">
        <f>D67*B67</f>
        <v>0</v>
      </c>
      <c r="F67" s="13">
        <v>2</v>
      </c>
      <c r="G67" s="75" t="s">
        <v>1</v>
      </c>
      <c r="H67" s="76"/>
      <c r="I67" s="25"/>
      <c r="J67" s="14">
        <f>I67*F67</f>
        <v>0</v>
      </c>
      <c r="K67" s="13">
        <v>2</v>
      </c>
      <c r="L67" s="12" t="s">
        <v>1</v>
      </c>
      <c r="M67" s="11"/>
      <c r="N67" s="10">
        <f>M67*K67</f>
        <v>0</v>
      </c>
    </row>
    <row r="68" spans="1:14" x14ac:dyDescent="0.25">
      <c r="A68" s="24"/>
      <c r="B68" s="21"/>
      <c r="C68" s="21"/>
      <c r="D68" s="23"/>
      <c r="E68" s="16"/>
      <c r="F68" s="21"/>
      <c r="G68" s="77"/>
      <c r="H68" s="62"/>
      <c r="I68" s="22"/>
      <c r="J68" s="22"/>
      <c r="K68" s="21"/>
      <c r="L68" s="21"/>
      <c r="M68" s="20"/>
      <c r="N68" s="19"/>
    </row>
    <row r="69" spans="1:14" x14ac:dyDescent="0.5">
      <c r="A69" s="18" t="s">
        <v>4</v>
      </c>
      <c r="B69" s="13">
        <v>1</v>
      </c>
      <c r="C69" s="12" t="s">
        <v>1</v>
      </c>
      <c r="D69" s="17"/>
      <c r="E69" s="16">
        <f>D69*B69</f>
        <v>0</v>
      </c>
      <c r="F69" s="13">
        <v>1</v>
      </c>
      <c r="G69" s="75" t="s">
        <v>1</v>
      </c>
      <c r="H69" s="76"/>
      <c r="I69" s="15"/>
      <c r="J69" s="14">
        <f>I69*F69</f>
        <v>0</v>
      </c>
      <c r="K69" s="13">
        <v>1</v>
      </c>
      <c r="L69" s="12" t="s">
        <v>1</v>
      </c>
      <c r="M69" s="11"/>
      <c r="N69" s="10">
        <f>M69*K69</f>
        <v>0</v>
      </c>
    </row>
    <row r="70" spans="1:14" x14ac:dyDescent="0.25">
      <c r="A70" s="24"/>
      <c r="B70" s="21"/>
      <c r="C70" s="21"/>
      <c r="D70" s="23"/>
      <c r="E70" s="16"/>
      <c r="F70" s="21"/>
      <c r="G70" s="77"/>
      <c r="H70" s="62"/>
      <c r="I70" s="22"/>
      <c r="J70" s="22"/>
      <c r="K70" s="21"/>
      <c r="L70" s="21"/>
      <c r="M70" s="20"/>
      <c r="N70" s="19"/>
    </row>
    <row r="71" spans="1:14" x14ac:dyDescent="0.5">
      <c r="A71" s="18" t="s">
        <v>3</v>
      </c>
      <c r="B71" s="13">
        <v>1</v>
      </c>
      <c r="C71" s="12" t="s">
        <v>1</v>
      </c>
      <c r="D71" s="17"/>
      <c r="E71" s="16">
        <f>D71*B71</f>
        <v>0</v>
      </c>
      <c r="F71" s="13">
        <v>1</v>
      </c>
      <c r="G71" s="75" t="s">
        <v>1</v>
      </c>
      <c r="H71" s="76"/>
      <c r="I71" s="15"/>
      <c r="J71" s="14">
        <f>I71*F71</f>
        <v>0</v>
      </c>
      <c r="K71" s="13">
        <v>1</v>
      </c>
      <c r="L71" s="12" t="s">
        <v>1</v>
      </c>
      <c r="M71" s="11"/>
      <c r="N71" s="10">
        <f>M71*K71</f>
        <v>0</v>
      </c>
    </row>
    <row r="72" spans="1:14" x14ac:dyDescent="0.25">
      <c r="A72" s="24"/>
      <c r="B72" s="21"/>
      <c r="C72" s="21"/>
      <c r="D72" s="23"/>
      <c r="E72" s="16"/>
      <c r="F72" s="21"/>
      <c r="G72" s="77"/>
      <c r="H72" s="62"/>
      <c r="I72" s="22"/>
      <c r="J72" s="22"/>
      <c r="K72" s="21"/>
      <c r="L72" s="21"/>
      <c r="M72" s="20"/>
      <c r="N72" s="19"/>
    </row>
    <row r="73" spans="1:14" x14ac:dyDescent="0.5">
      <c r="A73" s="18" t="s">
        <v>2</v>
      </c>
      <c r="B73" s="13">
        <v>1</v>
      </c>
      <c r="C73" s="12" t="s">
        <v>1</v>
      </c>
      <c r="D73" s="17"/>
      <c r="E73" s="16">
        <f>D73*B73</f>
        <v>0</v>
      </c>
      <c r="F73" s="13">
        <v>1</v>
      </c>
      <c r="G73" s="75" t="s">
        <v>1</v>
      </c>
      <c r="H73" s="76"/>
      <c r="I73" s="15"/>
      <c r="J73" s="14">
        <f>I73*F73</f>
        <v>0</v>
      </c>
      <c r="K73" s="13">
        <v>1</v>
      </c>
      <c r="L73" s="12" t="s">
        <v>1</v>
      </c>
      <c r="M73" s="11"/>
      <c r="N73" s="10">
        <f>M73*K73</f>
        <v>0</v>
      </c>
    </row>
    <row r="74" spans="1:14" ht="13.8" thickBot="1" x14ac:dyDescent="0.3">
      <c r="A74" s="67"/>
      <c r="B74" s="68"/>
      <c r="C74" s="69"/>
      <c r="D74" s="7" t="s">
        <v>0</v>
      </c>
      <c r="E74" s="9">
        <f>SUM(E63:E73)</f>
        <v>0</v>
      </c>
      <c r="F74" s="8"/>
      <c r="G74" s="78"/>
      <c r="H74" s="69"/>
      <c r="I74" s="7" t="s">
        <v>0</v>
      </c>
      <c r="J74" s="9">
        <f>SUM(J63:J73)</f>
        <v>0</v>
      </c>
      <c r="K74" s="8"/>
      <c r="L74" s="8"/>
      <c r="M74" s="7" t="s">
        <v>0</v>
      </c>
      <c r="N74" s="6">
        <f>SUM(N63:N73)</f>
        <v>0</v>
      </c>
    </row>
    <row r="75" spans="1:14" ht="13.8" thickBot="1" x14ac:dyDescent="0.55000000000000004">
      <c r="A75" s="44"/>
      <c r="B75" s="42"/>
      <c r="C75" s="41"/>
      <c r="D75" s="43"/>
      <c r="E75" s="40"/>
      <c r="F75" s="42"/>
      <c r="G75" s="41"/>
      <c r="H75" s="41"/>
      <c r="I75" s="40"/>
      <c r="J75" s="40"/>
      <c r="K75" s="42"/>
      <c r="L75" s="41"/>
      <c r="M75" s="40"/>
      <c r="N75" s="40"/>
    </row>
    <row r="76" spans="1:14" x14ac:dyDescent="0.5">
      <c r="A76" s="70" t="s">
        <v>32</v>
      </c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2"/>
    </row>
    <row r="77" spans="1:14" x14ac:dyDescent="0.5">
      <c r="A77" s="101" t="s">
        <v>31</v>
      </c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5"/>
    </row>
    <row r="78" spans="1:14" x14ac:dyDescent="0.25">
      <c r="A78" s="60"/>
      <c r="B78" s="61"/>
      <c r="C78" s="62"/>
      <c r="D78" s="63" t="s">
        <v>17</v>
      </c>
      <c r="E78" s="95"/>
      <c r="F78" s="77"/>
      <c r="G78" s="61"/>
      <c r="H78" s="62"/>
      <c r="I78" s="96" t="s">
        <v>16</v>
      </c>
      <c r="J78" s="97"/>
      <c r="K78" s="77"/>
      <c r="L78" s="62"/>
      <c r="M78" s="98" t="s">
        <v>15</v>
      </c>
      <c r="N78" s="99"/>
    </row>
    <row r="79" spans="1:14" x14ac:dyDescent="0.5">
      <c r="A79" s="18" t="s">
        <v>25</v>
      </c>
      <c r="B79" s="12" t="s">
        <v>24</v>
      </c>
      <c r="C79" s="12" t="s">
        <v>23</v>
      </c>
      <c r="D79" s="37" t="s">
        <v>11</v>
      </c>
      <c r="E79" s="36" t="s">
        <v>10</v>
      </c>
      <c r="F79" s="12" t="s">
        <v>24</v>
      </c>
      <c r="G79" s="75" t="s">
        <v>23</v>
      </c>
      <c r="H79" s="76"/>
      <c r="I79" s="35" t="s">
        <v>11</v>
      </c>
      <c r="J79" s="35" t="s">
        <v>10</v>
      </c>
      <c r="K79" s="12" t="s">
        <v>24</v>
      </c>
      <c r="L79" s="12" t="s">
        <v>23</v>
      </c>
      <c r="M79" s="34" t="s">
        <v>11</v>
      </c>
      <c r="N79" s="33" t="s">
        <v>10</v>
      </c>
    </row>
    <row r="80" spans="1:14" ht="13.2" customHeight="1" x14ac:dyDescent="0.5">
      <c r="A80" s="18" t="s">
        <v>9</v>
      </c>
      <c r="B80" s="13">
        <v>104</v>
      </c>
      <c r="C80" s="12" t="s">
        <v>1</v>
      </c>
      <c r="D80" s="17"/>
      <c r="E80" s="16">
        <f>D80*B80</f>
        <v>0</v>
      </c>
      <c r="F80" s="13">
        <v>104</v>
      </c>
      <c r="G80" s="75" t="s">
        <v>1</v>
      </c>
      <c r="H80" s="76"/>
      <c r="I80" s="15"/>
      <c r="J80" s="14">
        <f>I80*F80</f>
        <v>0</v>
      </c>
      <c r="K80" s="13">
        <v>104</v>
      </c>
      <c r="L80" s="12" t="s">
        <v>1</v>
      </c>
      <c r="M80" s="11"/>
      <c r="N80" s="10">
        <f>M80*K80</f>
        <v>0</v>
      </c>
    </row>
    <row r="81" spans="1:14" ht="26.4" x14ac:dyDescent="0.5">
      <c r="A81" s="31" t="s">
        <v>8</v>
      </c>
      <c r="B81" s="28"/>
      <c r="C81" s="28"/>
      <c r="D81" s="30"/>
      <c r="E81" s="16"/>
      <c r="F81" s="28"/>
      <c r="G81" s="90"/>
      <c r="H81" s="91"/>
      <c r="I81" s="29"/>
      <c r="J81" s="29"/>
      <c r="K81" s="28"/>
      <c r="L81" s="28"/>
      <c r="M81" s="32"/>
      <c r="N81" s="26"/>
    </row>
    <row r="82" spans="1:14" x14ac:dyDescent="0.5">
      <c r="A82" s="18" t="s">
        <v>7</v>
      </c>
      <c r="B82" s="13">
        <v>12</v>
      </c>
      <c r="C82" s="12" t="s">
        <v>1</v>
      </c>
      <c r="D82" s="17"/>
      <c r="E82" s="16">
        <f>D82*B82</f>
        <v>0</v>
      </c>
      <c r="F82" s="13">
        <v>12</v>
      </c>
      <c r="G82" s="75" t="s">
        <v>1</v>
      </c>
      <c r="H82" s="76"/>
      <c r="I82" s="15"/>
      <c r="J82" s="14">
        <f>I82*F82</f>
        <v>0</v>
      </c>
      <c r="K82" s="13">
        <v>12</v>
      </c>
      <c r="L82" s="12" t="s">
        <v>1</v>
      </c>
      <c r="M82" s="11"/>
      <c r="N82" s="10">
        <f>M82*K82</f>
        <v>0</v>
      </c>
    </row>
    <row r="83" spans="1:14" ht="26.4" x14ac:dyDescent="0.5">
      <c r="A83" s="31" t="s">
        <v>6</v>
      </c>
      <c r="B83" s="28"/>
      <c r="C83" s="28"/>
      <c r="D83" s="30"/>
      <c r="E83" s="16"/>
      <c r="F83" s="28"/>
      <c r="G83" s="90"/>
      <c r="H83" s="91"/>
      <c r="I83" s="29"/>
      <c r="J83" s="29"/>
      <c r="K83" s="28"/>
      <c r="L83" s="28"/>
      <c r="M83" s="27"/>
      <c r="N83" s="26"/>
    </row>
    <row r="84" spans="1:14" x14ac:dyDescent="0.5">
      <c r="A84" s="18" t="s">
        <v>5</v>
      </c>
      <c r="B84" s="13">
        <v>2</v>
      </c>
      <c r="C84" s="12" t="s">
        <v>1</v>
      </c>
      <c r="D84" s="17"/>
      <c r="E84" s="16">
        <f>D84*B84</f>
        <v>0</v>
      </c>
      <c r="F84" s="13">
        <v>2</v>
      </c>
      <c r="G84" s="75" t="s">
        <v>1</v>
      </c>
      <c r="H84" s="76"/>
      <c r="I84" s="25"/>
      <c r="J84" s="14">
        <f>I84*F84</f>
        <v>0</v>
      </c>
      <c r="K84" s="13">
        <v>2</v>
      </c>
      <c r="L84" s="12" t="s">
        <v>1</v>
      </c>
      <c r="M84" s="11"/>
      <c r="N84" s="10">
        <f>M84*K84</f>
        <v>0</v>
      </c>
    </row>
    <row r="85" spans="1:14" x14ac:dyDescent="0.25">
      <c r="A85" s="24"/>
      <c r="B85" s="21"/>
      <c r="C85" s="21"/>
      <c r="D85" s="23"/>
      <c r="E85" s="16"/>
      <c r="F85" s="21"/>
      <c r="G85" s="77"/>
      <c r="H85" s="62"/>
      <c r="I85" s="22"/>
      <c r="J85" s="22"/>
      <c r="K85" s="21"/>
      <c r="L85" s="21"/>
      <c r="M85" s="20"/>
      <c r="N85" s="19"/>
    </row>
    <row r="86" spans="1:14" x14ac:dyDescent="0.5">
      <c r="A86" s="18" t="s">
        <v>4</v>
      </c>
      <c r="B86" s="13">
        <v>1</v>
      </c>
      <c r="C86" s="12" t="s">
        <v>1</v>
      </c>
      <c r="D86" s="17"/>
      <c r="E86" s="16">
        <f>D86*B86</f>
        <v>0</v>
      </c>
      <c r="F86" s="13">
        <v>1</v>
      </c>
      <c r="G86" s="75" t="s">
        <v>1</v>
      </c>
      <c r="H86" s="76"/>
      <c r="I86" s="15"/>
      <c r="J86" s="14">
        <f>I86*F86</f>
        <v>0</v>
      </c>
      <c r="K86" s="13">
        <v>1</v>
      </c>
      <c r="L86" s="12" t="s">
        <v>1</v>
      </c>
      <c r="M86" s="11"/>
      <c r="N86" s="10">
        <f>M86*K86</f>
        <v>0</v>
      </c>
    </row>
    <row r="87" spans="1:14" x14ac:dyDescent="0.25">
      <c r="A87" s="24"/>
      <c r="B87" s="21"/>
      <c r="C87" s="21"/>
      <c r="D87" s="23"/>
      <c r="E87" s="16"/>
      <c r="F87" s="21"/>
      <c r="G87" s="77"/>
      <c r="H87" s="62"/>
      <c r="I87" s="22"/>
      <c r="J87" s="22"/>
      <c r="K87" s="21"/>
      <c r="L87" s="21"/>
      <c r="M87" s="20"/>
      <c r="N87" s="19"/>
    </row>
    <row r="88" spans="1:14" x14ac:dyDescent="0.5">
      <c r="A88" s="18" t="s">
        <v>3</v>
      </c>
      <c r="B88" s="13">
        <v>1</v>
      </c>
      <c r="C88" s="12" t="s">
        <v>1</v>
      </c>
      <c r="D88" s="17"/>
      <c r="E88" s="16">
        <f>D88*B88</f>
        <v>0</v>
      </c>
      <c r="F88" s="13">
        <v>1</v>
      </c>
      <c r="G88" s="75" t="s">
        <v>1</v>
      </c>
      <c r="H88" s="76"/>
      <c r="I88" s="15"/>
      <c r="J88" s="14">
        <f>I88*F88</f>
        <v>0</v>
      </c>
      <c r="K88" s="13">
        <v>1</v>
      </c>
      <c r="L88" s="12" t="s">
        <v>1</v>
      </c>
      <c r="M88" s="11"/>
      <c r="N88" s="10">
        <f>M88*K88</f>
        <v>0</v>
      </c>
    </row>
    <row r="89" spans="1:14" x14ac:dyDescent="0.25">
      <c r="A89" s="24"/>
      <c r="B89" s="21"/>
      <c r="C89" s="21"/>
      <c r="D89" s="23"/>
      <c r="E89" s="16"/>
      <c r="F89" s="21"/>
      <c r="G89" s="77"/>
      <c r="H89" s="62"/>
      <c r="I89" s="22"/>
      <c r="J89" s="22"/>
      <c r="K89" s="21"/>
      <c r="L89" s="21"/>
      <c r="M89" s="20"/>
      <c r="N89" s="19"/>
    </row>
    <row r="90" spans="1:14" x14ac:dyDescent="0.5">
      <c r="A90" s="18" t="s">
        <v>2</v>
      </c>
      <c r="B90" s="13">
        <v>1</v>
      </c>
      <c r="C90" s="12" t="s">
        <v>1</v>
      </c>
      <c r="D90" s="17"/>
      <c r="E90" s="16">
        <f>D90*B90</f>
        <v>0</v>
      </c>
      <c r="F90" s="13">
        <v>1</v>
      </c>
      <c r="G90" s="75" t="s">
        <v>1</v>
      </c>
      <c r="H90" s="76"/>
      <c r="I90" s="15"/>
      <c r="J90" s="14">
        <f>I90*F90</f>
        <v>0</v>
      </c>
      <c r="K90" s="13">
        <v>1</v>
      </c>
      <c r="L90" s="12" t="s">
        <v>1</v>
      </c>
      <c r="M90" s="11"/>
      <c r="N90" s="10">
        <f>M90*K90</f>
        <v>0</v>
      </c>
    </row>
    <row r="91" spans="1:14" ht="13.8" thickBot="1" x14ac:dyDescent="0.3">
      <c r="A91" s="67"/>
      <c r="B91" s="68"/>
      <c r="C91" s="69"/>
      <c r="D91" s="7" t="s">
        <v>0</v>
      </c>
      <c r="E91" s="9">
        <f>SUM(E80:E90)</f>
        <v>0</v>
      </c>
      <c r="F91" s="8"/>
      <c r="G91" s="78"/>
      <c r="H91" s="69"/>
      <c r="I91" s="7" t="s">
        <v>0</v>
      </c>
      <c r="J91" s="9">
        <f>SUM(J80:J90)</f>
        <v>0</v>
      </c>
      <c r="K91" s="8"/>
      <c r="L91" s="8"/>
      <c r="M91" s="7" t="s">
        <v>0</v>
      </c>
      <c r="N91" s="6">
        <f>SUM(N80:N90)</f>
        <v>0</v>
      </c>
    </row>
    <row r="92" spans="1:14" ht="13.8" thickBot="1" x14ac:dyDescent="0.3">
      <c r="A92" s="46"/>
      <c r="B92" s="4"/>
      <c r="C92" s="4"/>
      <c r="D92" s="3"/>
      <c r="E92" s="2"/>
      <c r="F92" s="4"/>
      <c r="G92" s="4"/>
      <c r="H92" s="4"/>
      <c r="I92" s="3"/>
      <c r="J92" s="2"/>
      <c r="K92" s="4"/>
      <c r="L92" s="4"/>
      <c r="M92" s="3"/>
      <c r="N92" s="2"/>
    </row>
    <row r="93" spans="1:14" x14ac:dyDescent="0.5">
      <c r="A93" s="106" t="s">
        <v>30</v>
      </c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8"/>
    </row>
    <row r="94" spans="1:14" x14ac:dyDescent="0.5">
      <c r="A94" s="83" t="s">
        <v>29</v>
      </c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5"/>
    </row>
    <row r="95" spans="1:14" x14ac:dyDescent="0.25">
      <c r="A95" s="60"/>
      <c r="B95" s="61"/>
      <c r="C95" s="62"/>
      <c r="D95" s="63" t="s">
        <v>17</v>
      </c>
      <c r="E95" s="95"/>
      <c r="F95" s="77"/>
      <c r="G95" s="61"/>
      <c r="H95" s="62"/>
      <c r="I95" s="96" t="s">
        <v>16</v>
      </c>
      <c r="J95" s="97"/>
      <c r="K95" s="77"/>
      <c r="L95" s="62"/>
      <c r="M95" s="98" t="s">
        <v>15</v>
      </c>
      <c r="N95" s="99"/>
    </row>
    <row r="96" spans="1:14" x14ac:dyDescent="0.5">
      <c r="A96" s="18" t="s">
        <v>25</v>
      </c>
      <c r="B96" s="12" t="s">
        <v>24</v>
      </c>
      <c r="C96" s="12" t="s">
        <v>23</v>
      </c>
      <c r="D96" s="37" t="s">
        <v>11</v>
      </c>
      <c r="E96" s="36" t="s">
        <v>10</v>
      </c>
      <c r="F96" s="12" t="s">
        <v>24</v>
      </c>
      <c r="G96" s="75" t="s">
        <v>23</v>
      </c>
      <c r="H96" s="76"/>
      <c r="I96" s="35" t="s">
        <v>11</v>
      </c>
      <c r="J96" s="45" t="s">
        <v>10</v>
      </c>
      <c r="K96" s="12" t="s">
        <v>24</v>
      </c>
      <c r="L96" s="12" t="s">
        <v>23</v>
      </c>
      <c r="M96" s="34" t="s">
        <v>11</v>
      </c>
      <c r="N96" s="33" t="s">
        <v>10</v>
      </c>
    </row>
    <row r="97" spans="1:14" x14ac:dyDescent="0.5">
      <c r="A97" s="18" t="s">
        <v>9</v>
      </c>
      <c r="B97" s="13">
        <v>104</v>
      </c>
      <c r="C97" s="12" t="s">
        <v>1</v>
      </c>
      <c r="D97" s="17"/>
      <c r="E97" s="16">
        <f>D97*B97</f>
        <v>0</v>
      </c>
      <c r="F97" s="13">
        <v>104</v>
      </c>
      <c r="G97" s="75" t="s">
        <v>1</v>
      </c>
      <c r="H97" s="76"/>
      <c r="I97" s="15"/>
      <c r="J97" s="14">
        <f>I97*F97</f>
        <v>0</v>
      </c>
      <c r="K97" s="13">
        <v>104</v>
      </c>
      <c r="L97" s="12" t="s">
        <v>1</v>
      </c>
      <c r="M97" s="11"/>
      <c r="N97" s="10">
        <f>M97*K97</f>
        <v>0</v>
      </c>
    </row>
    <row r="98" spans="1:14" ht="26.4" x14ac:dyDescent="0.5">
      <c r="A98" s="31" t="s">
        <v>8</v>
      </c>
      <c r="B98" s="28"/>
      <c r="C98" s="28"/>
      <c r="D98" s="30"/>
      <c r="E98" s="16"/>
      <c r="F98" s="28"/>
      <c r="G98" s="90"/>
      <c r="H98" s="91"/>
      <c r="I98" s="29"/>
      <c r="J98" s="29"/>
      <c r="K98" s="28"/>
      <c r="L98" s="28"/>
      <c r="M98" s="32"/>
      <c r="N98" s="26"/>
    </row>
    <row r="99" spans="1:14" x14ac:dyDescent="0.5">
      <c r="A99" s="18" t="s">
        <v>7</v>
      </c>
      <c r="B99" s="13">
        <v>12</v>
      </c>
      <c r="C99" s="12" t="s">
        <v>1</v>
      </c>
      <c r="D99" s="17"/>
      <c r="E99" s="16">
        <f>D99*B99</f>
        <v>0</v>
      </c>
      <c r="F99" s="13">
        <v>12</v>
      </c>
      <c r="G99" s="75" t="s">
        <v>1</v>
      </c>
      <c r="H99" s="76"/>
      <c r="I99" s="15"/>
      <c r="J99" s="14">
        <f>I99*F99</f>
        <v>0</v>
      </c>
      <c r="K99" s="13">
        <v>12</v>
      </c>
      <c r="L99" s="12" t="s">
        <v>1</v>
      </c>
      <c r="M99" s="11"/>
      <c r="N99" s="10">
        <f>M99*K99</f>
        <v>0</v>
      </c>
    </row>
    <row r="100" spans="1:14" ht="26.4" x14ac:dyDescent="0.5">
      <c r="A100" s="31" t="s">
        <v>6</v>
      </c>
      <c r="B100" s="28"/>
      <c r="C100" s="28"/>
      <c r="D100" s="30"/>
      <c r="E100" s="16"/>
      <c r="F100" s="28"/>
      <c r="G100" s="90"/>
      <c r="H100" s="91"/>
      <c r="I100" s="29"/>
      <c r="J100" s="29"/>
      <c r="K100" s="28"/>
      <c r="L100" s="28"/>
      <c r="M100" s="27"/>
      <c r="N100" s="26"/>
    </row>
    <row r="101" spans="1:14" x14ac:dyDescent="0.5">
      <c r="A101" s="18" t="s">
        <v>5</v>
      </c>
      <c r="B101" s="13">
        <v>2</v>
      </c>
      <c r="C101" s="12" t="s">
        <v>1</v>
      </c>
      <c r="D101" s="17"/>
      <c r="E101" s="16">
        <f>D101*B101</f>
        <v>0</v>
      </c>
      <c r="F101" s="13">
        <v>2</v>
      </c>
      <c r="G101" s="75" t="s">
        <v>1</v>
      </c>
      <c r="H101" s="76"/>
      <c r="I101" s="25"/>
      <c r="J101" s="14">
        <f>I101*F101</f>
        <v>0</v>
      </c>
      <c r="K101" s="13">
        <v>2</v>
      </c>
      <c r="L101" s="12" t="s">
        <v>1</v>
      </c>
      <c r="M101" s="11"/>
      <c r="N101" s="10">
        <f>M101*K101</f>
        <v>0</v>
      </c>
    </row>
    <row r="102" spans="1:14" x14ac:dyDescent="0.25">
      <c r="A102" s="24"/>
      <c r="B102" s="21"/>
      <c r="C102" s="21"/>
      <c r="D102" s="23"/>
      <c r="E102" s="16"/>
      <c r="F102" s="21"/>
      <c r="G102" s="77"/>
      <c r="H102" s="62"/>
      <c r="I102" s="22"/>
      <c r="J102" s="22"/>
      <c r="K102" s="21"/>
      <c r="L102" s="21"/>
      <c r="M102" s="20"/>
      <c r="N102" s="19"/>
    </row>
    <row r="103" spans="1:14" x14ac:dyDescent="0.5">
      <c r="A103" s="18" t="s">
        <v>4</v>
      </c>
      <c r="B103" s="13">
        <v>1</v>
      </c>
      <c r="C103" s="12" t="s">
        <v>1</v>
      </c>
      <c r="D103" s="17"/>
      <c r="E103" s="16">
        <f>D103*B103</f>
        <v>0</v>
      </c>
      <c r="F103" s="13">
        <v>1</v>
      </c>
      <c r="G103" s="75" t="s">
        <v>1</v>
      </c>
      <c r="H103" s="76"/>
      <c r="I103" s="15"/>
      <c r="J103" s="14">
        <f>I103*F103</f>
        <v>0</v>
      </c>
      <c r="K103" s="13">
        <v>1</v>
      </c>
      <c r="L103" s="12" t="s">
        <v>1</v>
      </c>
      <c r="M103" s="11"/>
      <c r="N103" s="10">
        <f>M103*K103</f>
        <v>0</v>
      </c>
    </row>
    <row r="104" spans="1:14" x14ac:dyDescent="0.25">
      <c r="A104" s="24"/>
      <c r="B104" s="21"/>
      <c r="C104" s="21"/>
      <c r="D104" s="23"/>
      <c r="E104" s="16"/>
      <c r="F104" s="21"/>
      <c r="G104" s="77"/>
      <c r="H104" s="62"/>
      <c r="I104" s="22"/>
      <c r="J104" s="22"/>
      <c r="K104" s="21"/>
      <c r="L104" s="21"/>
      <c r="M104" s="20"/>
      <c r="N104" s="19"/>
    </row>
    <row r="105" spans="1:14" x14ac:dyDescent="0.5">
      <c r="A105" s="18" t="s">
        <v>3</v>
      </c>
      <c r="B105" s="13">
        <v>1</v>
      </c>
      <c r="C105" s="12" t="s">
        <v>1</v>
      </c>
      <c r="D105" s="17"/>
      <c r="E105" s="16">
        <f>D105*B105</f>
        <v>0</v>
      </c>
      <c r="F105" s="13">
        <v>1</v>
      </c>
      <c r="G105" s="75" t="s">
        <v>1</v>
      </c>
      <c r="H105" s="76"/>
      <c r="I105" s="15"/>
      <c r="J105" s="14">
        <f>I105*F105</f>
        <v>0</v>
      </c>
      <c r="K105" s="13">
        <v>1</v>
      </c>
      <c r="L105" s="12" t="s">
        <v>1</v>
      </c>
      <c r="M105" s="11"/>
      <c r="N105" s="10">
        <f>M105*K105</f>
        <v>0</v>
      </c>
    </row>
    <row r="106" spans="1:14" x14ac:dyDescent="0.25">
      <c r="A106" s="24"/>
      <c r="B106" s="21"/>
      <c r="C106" s="21"/>
      <c r="D106" s="23"/>
      <c r="E106" s="16"/>
      <c r="F106" s="21"/>
      <c r="G106" s="77"/>
      <c r="H106" s="62"/>
      <c r="I106" s="22"/>
      <c r="J106" s="22"/>
      <c r="K106" s="21"/>
      <c r="L106" s="21"/>
      <c r="M106" s="20"/>
      <c r="N106" s="19"/>
    </row>
    <row r="107" spans="1:14" s="130" customFormat="1" x14ac:dyDescent="0.5">
      <c r="A107" s="18" t="s">
        <v>28</v>
      </c>
      <c r="B107" s="123">
        <v>10</v>
      </c>
      <c r="C107" s="12" t="s">
        <v>1</v>
      </c>
      <c r="D107" s="124"/>
      <c r="E107" s="125">
        <f>D107*B107</f>
        <v>0</v>
      </c>
      <c r="F107" s="123">
        <v>10</v>
      </c>
      <c r="G107" s="75" t="s">
        <v>1</v>
      </c>
      <c r="H107" s="76"/>
      <c r="I107" s="126"/>
      <c r="J107" s="127">
        <f>I107*F107</f>
        <v>0</v>
      </c>
      <c r="K107" s="123">
        <v>10</v>
      </c>
      <c r="L107" s="12" t="s">
        <v>1</v>
      </c>
      <c r="M107" s="128"/>
      <c r="N107" s="129">
        <f>M107*K107</f>
        <v>0</v>
      </c>
    </row>
    <row r="108" spans="1:14" x14ac:dyDescent="0.25">
      <c r="A108" s="24"/>
      <c r="B108" s="21"/>
      <c r="C108" s="21"/>
      <c r="D108" s="23"/>
      <c r="E108" s="16"/>
      <c r="F108" s="21"/>
      <c r="G108" s="77"/>
      <c r="H108" s="62"/>
      <c r="I108" s="22"/>
      <c r="J108" s="22"/>
      <c r="K108" s="21"/>
      <c r="L108" s="21"/>
      <c r="M108" s="20"/>
      <c r="N108" s="19"/>
    </row>
    <row r="109" spans="1:14" x14ac:dyDescent="0.5">
      <c r="A109" s="18" t="s">
        <v>2</v>
      </c>
      <c r="B109" s="13">
        <v>1</v>
      </c>
      <c r="C109" s="12" t="s">
        <v>1</v>
      </c>
      <c r="D109" s="17"/>
      <c r="E109" s="16">
        <f>D109*B109</f>
        <v>0</v>
      </c>
      <c r="F109" s="13">
        <v>1</v>
      </c>
      <c r="G109" s="75" t="s">
        <v>1</v>
      </c>
      <c r="H109" s="76"/>
      <c r="I109" s="15"/>
      <c r="J109" s="14">
        <f>I109*F109</f>
        <v>0</v>
      </c>
      <c r="K109" s="13">
        <v>1</v>
      </c>
      <c r="L109" s="12" t="s">
        <v>1</v>
      </c>
      <c r="M109" s="11"/>
      <c r="N109" s="10">
        <f>M109*K109</f>
        <v>0</v>
      </c>
    </row>
    <row r="110" spans="1:14" ht="13.8" thickBot="1" x14ac:dyDescent="0.3">
      <c r="A110" s="67"/>
      <c r="B110" s="68"/>
      <c r="C110" s="69"/>
      <c r="D110" s="7" t="s">
        <v>0</v>
      </c>
      <c r="E110" s="9">
        <f>SUM(E97:E109)</f>
        <v>0</v>
      </c>
      <c r="F110" s="8"/>
      <c r="G110" s="78"/>
      <c r="H110" s="69"/>
      <c r="I110" s="7" t="s">
        <v>0</v>
      </c>
      <c r="J110" s="9">
        <f>SUM(J97:J109)</f>
        <v>0</v>
      </c>
      <c r="K110" s="8"/>
      <c r="L110" s="8"/>
      <c r="M110" s="7" t="s">
        <v>0</v>
      </c>
      <c r="N110" s="6">
        <f>SUM(N97:N109)</f>
        <v>0</v>
      </c>
    </row>
    <row r="111" spans="1:14" ht="13.8" thickBot="1" x14ac:dyDescent="0.55000000000000004">
      <c r="A111" s="44"/>
      <c r="B111" s="42"/>
      <c r="C111" s="41"/>
      <c r="D111" s="43"/>
      <c r="E111" s="40"/>
      <c r="F111" s="42"/>
      <c r="G111" s="41"/>
      <c r="H111" s="41"/>
      <c r="I111" s="40"/>
      <c r="J111" s="40"/>
      <c r="K111" s="42"/>
      <c r="L111" s="41"/>
      <c r="M111" s="40"/>
      <c r="N111" s="40"/>
    </row>
    <row r="112" spans="1:14" x14ac:dyDescent="0.5">
      <c r="A112" s="70" t="s">
        <v>27</v>
      </c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2"/>
    </row>
    <row r="113" spans="1:14" x14ac:dyDescent="0.5">
      <c r="A113" s="83" t="s">
        <v>26</v>
      </c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5"/>
    </row>
    <row r="114" spans="1:14" x14ac:dyDescent="0.25">
      <c r="A114" s="60"/>
      <c r="B114" s="61"/>
      <c r="C114" s="62"/>
      <c r="D114" s="63" t="s">
        <v>17</v>
      </c>
      <c r="E114" s="95"/>
      <c r="F114" s="77"/>
      <c r="G114" s="61"/>
      <c r="H114" s="62"/>
      <c r="I114" s="96" t="s">
        <v>16</v>
      </c>
      <c r="J114" s="97"/>
      <c r="K114" s="77"/>
      <c r="L114" s="62"/>
      <c r="M114" s="98" t="s">
        <v>15</v>
      </c>
      <c r="N114" s="99"/>
    </row>
    <row r="115" spans="1:14" x14ac:dyDescent="0.5">
      <c r="A115" s="18" t="s">
        <v>25</v>
      </c>
      <c r="B115" s="12" t="s">
        <v>24</v>
      </c>
      <c r="C115" s="12" t="s">
        <v>23</v>
      </c>
      <c r="D115" s="37" t="s">
        <v>11</v>
      </c>
      <c r="E115" s="36" t="s">
        <v>10</v>
      </c>
      <c r="F115" s="12" t="s">
        <v>24</v>
      </c>
      <c r="G115" s="112" t="s">
        <v>23</v>
      </c>
      <c r="H115" s="113"/>
      <c r="I115" s="35" t="s">
        <v>11</v>
      </c>
      <c r="J115" s="35" t="s">
        <v>10</v>
      </c>
      <c r="K115" s="12" t="s">
        <v>24</v>
      </c>
      <c r="L115" s="12" t="s">
        <v>23</v>
      </c>
      <c r="M115" s="34" t="s">
        <v>11</v>
      </c>
      <c r="N115" s="39" t="s">
        <v>10</v>
      </c>
    </row>
    <row r="116" spans="1:14" ht="13.2" customHeight="1" x14ac:dyDescent="0.5">
      <c r="A116" s="18" t="s">
        <v>9</v>
      </c>
      <c r="B116" s="13">
        <v>104</v>
      </c>
      <c r="C116" s="12" t="s">
        <v>1</v>
      </c>
      <c r="D116" s="17"/>
      <c r="E116" s="16">
        <f>D116*B116</f>
        <v>0</v>
      </c>
      <c r="F116" s="13">
        <v>104</v>
      </c>
      <c r="G116" s="75" t="s">
        <v>1</v>
      </c>
      <c r="H116" s="76"/>
      <c r="I116" s="15"/>
      <c r="J116" s="14">
        <f>I116*F116</f>
        <v>0</v>
      </c>
      <c r="K116" s="13">
        <v>104</v>
      </c>
      <c r="L116" s="12" t="s">
        <v>1</v>
      </c>
      <c r="M116" s="11"/>
      <c r="N116" s="10">
        <f>M116*K116</f>
        <v>0</v>
      </c>
    </row>
    <row r="117" spans="1:14" ht="26.4" x14ac:dyDescent="0.5">
      <c r="A117" s="31" t="s">
        <v>8</v>
      </c>
      <c r="B117" s="28"/>
      <c r="C117" s="28"/>
      <c r="D117" s="30"/>
      <c r="E117" s="16"/>
      <c r="F117" s="28"/>
      <c r="G117" s="90"/>
      <c r="H117" s="91"/>
      <c r="I117" s="29"/>
      <c r="J117" s="29"/>
      <c r="K117" s="28"/>
      <c r="L117" s="28"/>
      <c r="M117" s="32"/>
      <c r="N117" s="26"/>
    </row>
    <row r="118" spans="1:14" x14ac:dyDescent="0.5">
      <c r="A118" s="18" t="s">
        <v>7</v>
      </c>
      <c r="B118" s="13">
        <v>12</v>
      </c>
      <c r="C118" s="12" t="s">
        <v>1</v>
      </c>
      <c r="D118" s="17"/>
      <c r="E118" s="16">
        <f>D118*B118</f>
        <v>0</v>
      </c>
      <c r="F118" s="13">
        <v>12</v>
      </c>
      <c r="G118" s="75" t="s">
        <v>1</v>
      </c>
      <c r="H118" s="76"/>
      <c r="I118" s="15"/>
      <c r="J118" s="14">
        <f>I118*F118</f>
        <v>0</v>
      </c>
      <c r="K118" s="13">
        <v>12</v>
      </c>
      <c r="L118" s="12" t="s">
        <v>1</v>
      </c>
      <c r="M118" s="11"/>
      <c r="N118" s="10">
        <f>M118*K118</f>
        <v>0</v>
      </c>
    </row>
    <row r="119" spans="1:14" ht="26.4" x14ac:dyDescent="0.5">
      <c r="A119" s="31" t="s">
        <v>6</v>
      </c>
      <c r="B119" s="28"/>
      <c r="C119" s="28"/>
      <c r="D119" s="30"/>
      <c r="E119" s="16"/>
      <c r="F119" s="28"/>
      <c r="G119" s="90"/>
      <c r="H119" s="91"/>
      <c r="I119" s="29"/>
      <c r="J119" s="29"/>
      <c r="K119" s="28"/>
      <c r="L119" s="28"/>
      <c r="M119" s="27"/>
      <c r="N119" s="26"/>
    </row>
    <row r="120" spans="1:14" x14ac:dyDescent="0.5">
      <c r="A120" s="18" t="s">
        <v>5</v>
      </c>
      <c r="B120" s="13">
        <v>2</v>
      </c>
      <c r="C120" s="12" t="s">
        <v>1</v>
      </c>
      <c r="D120" s="17"/>
      <c r="E120" s="16">
        <f>D120*B120</f>
        <v>0</v>
      </c>
      <c r="F120" s="13">
        <v>2</v>
      </c>
      <c r="G120" s="75" t="s">
        <v>1</v>
      </c>
      <c r="H120" s="76"/>
      <c r="I120" s="25"/>
      <c r="J120" s="14">
        <f>I120*F120</f>
        <v>0</v>
      </c>
      <c r="K120" s="13">
        <v>2</v>
      </c>
      <c r="L120" s="12" t="s">
        <v>1</v>
      </c>
      <c r="M120" s="11"/>
      <c r="N120" s="10">
        <f>M120*K120</f>
        <v>0</v>
      </c>
    </row>
    <row r="121" spans="1:14" x14ac:dyDescent="0.25">
      <c r="A121" s="24"/>
      <c r="B121" s="21"/>
      <c r="C121" s="21"/>
      <c r="D121" s="23"/>
      <c r="E121" s="16"/>
      <c r="F121" s="21"/>
      <c r="G121" s="77"/>
      <c r="H121" s="62"/>
      <c r="I121" s="22"/>
      <c r="J121" s="22"/>
      <c r="K121" s="21"/>
      <c r="L121" s="21"/>
      <c r="M121" s="20"/>
      <c r="N121" s="19"/>
    </row>
    <row r="122" spans="1:14" x14ac:dyDescent="0.5">
      <c r="A122" s="18" t="s">
        <v>4</v>
      </c>
      <c r="B122" s="13">
        <v>1</v>
      </c>
      <c r="C122" s="12" t="s">
        <v>1</v>
      </c>
      <c r="D122" s="17"/>
      <c r="E122" s="16">
        <f>D122*B122</f>
        <v>0</v>
      </c>
      <c r="F122" s="13">
        <v>1</v>
      </c>
      <c r="G122" s="75" t="s">
        <v>1</v>
      </c>
      <c r="H122" s="76"/>
      <c r="I122" s="15"/>
      <c r="J122" s="14">
        <f>I122*F122</f>
        <v>0</v>
      </c>
      <c r="K122" s="13">
        <v>1</v>
      </c>
      <c r="L122" s="12" t="s">
        <v>1</v>
      </c>
      <c r="M122" s="11"/>
      <c r="N122" s="10">
        <f>M122*K122</f>
        <v>0</v>
      </c>
    </row>
    <row r="123" spans="1:14" x14ac:dyDescent="0.25">
      <c r="A123" s="24"/>
      <c r="B123" s="21"/>
      <c r="C123" s="21"/>
      <c r="D123" s="23"/>
      <c r="E123" s="16"/>
      <c r="F123" s="21"/>
      <c r="G123" s="77"/>
      <c r="H123" s="62"/>
      <c r="I123" s="22"/>
      <c r="J123" s="22"/>
      <c r="K123" s="21"/>
      <c r="L123" s="21"/>
      <c r="M123" s="20"/>
      <c r="N123" s="19"/>
    </row>
    <row r="124" spans="1:14" x14ac:dyDescent="0.5">
      <c r="A124" s="18" t="s">
        <v>3</v>
      </c>
      <c r="B124" s="13">
        <v>1</v>
      </c>
      <c r="C124" s="12" t="s">
        <v>1</v>
      </c>
      <c r="D124" s="17"/>
      <c r="E124" s="16">
        <f>D124*B124</f>
        <v>0</v>
      </c>
      <c r="F124" s="13">
        <v>1</v>
      </c>
      <c r="G124" s="75" t="s">
        <v>1</v>
      </c>
      <c r="H124" s="76"/>
      <c r="I124" s="15"/>
      <c r="J124" s="14">
        <f>I124*F124</f>
        <v>0</v>
      </c>
      <c r="K124" s="13">
        <v>1</v>
      </c>
      <c r="L124" s="12" t="s">
        <v>1</v>
      </c>
      <c r="M124" s="11"/>
      <c r="N124" s="10">
        <f>M124*K124</f>
        <v>0</v>
      </c>
    </row>
    <row r="125" spans="1:14" x14ac:dyDescent="0.25">
      <c r="A125" s="24"/>
      <c r="B125" s="21"/>
      <c r="C125" s="21"/>
      <c r="D125" s="23"/>
      <c r="E125" s="16"/>
      <c r="F125" s="21"/>
      <c r="G125" s="77"/>
      <c r="H125" s="62"/>
      <c r="I125" s="22"/>
      <c r="J125" s="22"/>
      <c r="K125" s="21"/>
      <c r="L125" s="21"/>
      <c r="M125" s="20"/>
      <c r="N125" s="19"/>
    </row>
    <row r="126" spans="1:14" x14ac:dyDescent="0.5">
      <c r="A126" s="18" t="s">
        <v>2</v>
      </c>
      <c r="B126" s="13">
        <v>1</v>
      </c>
      <c r="C126" s="12" t="s">
        <v>1</v>
      </c>
      <c r="D126" s="17"/>
      <c r="E126" s="16">
        <f>D126*B126</f>
        <v>0</v>
      </c>
      <c r="F126" s="13">
        <v>1</v>
      </c>
      <c r="G126" s="75" t="s">
        <v>1</v>
      </c>
      <c r="H126" s="76"/>
      <c r="I126" s="15"/>
      <c r="J126" s="14">
        <f>I126*F126</f>
        <v>0</v>
      </c>
      <c r="K126" s="13">
        <v>1</v>
      </c>
      <c r="L126" s="12" t="s">
        <v>1</v>
      </c>
      <c r="M126" s="11"/>
      <c r="N126" s="10">
        <f>M126*K126</f>
        <v>0</v>
      </c>
    </row>
    <row r="127" spans="1:14" ht="13.8" thickBot="1" x14ac:dyDescent="0.3">
      <c r="A127" s="67"/>
      <c r="B127" s="68"/>
      <c r="C127" s="69"/>
      <c r="D127" s="7" t="s">
        <v>0</v>
      </c>
      <c r="E127" s="9">
        <f>SUM(E116:E126)</f>
        <v>0</v>
      </c>
      <c r="F127" s="8"/>
      <c r="G127" s="78"/>
      <c r="H127" s="69"/>
      <c r="I127" s="7" t="s">
        <v>0</v>
      </c>
      <c r="J127" s="9">
        <f>SUM(J116:J126)</f>
        <v>0</v>
      </c>
      <c r="K127" s="8"/>
      <c r="L127" s="8"/>
      <c r="M127" s="7" t="s">
        <v>0</v>
      </c>
      <c r="N127" s="6">
        <f>SUM(N116:N126)</f>
        <v>0</v>
      </c>
    </row>
    <row r="129" spans="1:14" ht="16.2" thickBot="1" x14ac:dyDescent="0.3">
      <c r="A129" s="100" t="s">
        <v>22</v>
      </c>
      <c r="B129" s="100"/>
      <c r="C129" s="100"/>
      <c r="D129" s="100"/>
      <c r="E129" s="100"/>
      <c r="F129" s="100"/>
      <c r="G129" s="100"/>
      <c r="H129" s="100"/>
      <c r="I129" s="100"/>
      <c r="J129" s="100"/>
      <c r="K129" s="38"/>
      <c r="L129" s="38"/>
      <c r="M129" s="38"/>
      <c r="N129" s="38"/>
    </row>
    <row r="130" spans="1:14" x14ac:dyDescent="0.5">
      <c r="A130" s="70" t="s">
        <v>21</v>
      </c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2"/>
    </row>
    <row r="131" spans="1:14" x14ac:dyDescent="0.5">
      <c r="A131" s="101" t="s">
        <v>20</v>
      </c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5"/>
    </row>
    <row r="132" spans="1:14" x14ac:dyDescent="0.25">
      <c r="A132" s="60"/>
      <c r="B132" s="61"/>
      <c r="C132" s="62"/>
      <c r="D132" s="63" t="s">
        <v>17</v>
      </c>
      <c r="E132" s="95"/>
      <c r="F132" s="77"/>
      <c r="G132" s="61"/>
      <c r="H132" s="62"/>
      <c r="I132" s="96" t="s">
        <v>16</v>
      </c>
      <c r="J132" s="97"/>
      <c r="K132" s="77"/>
      <c r="L132" s="62"/>
      <c r="M132" s="98" t="s">
        <v>15</v>
      </c>
      <c r="N132" s="99"/>
    </row>
    <row r="133" spans="1:14" x14ac:dyDescent="0.5">
      <c r="A133" s="18" t="s">
        <v>14</v>
      </c>
      <c r="B133" s="12" t="s">
        <v>13</v>
      </c>
      <c r="C133" s="12" t="s">
        <v>12</v>
      </c>
      <c r="D133" s="37" t="s">
        <v>11</v>
      </c>
      <c r="E133" s="36" t="s">
        <v>10</v>
      </c>
      <c r="F133" s="12" t="s">
        <v>13</v>
      </c>
      <c r="G133" s="75" t="s">
        <v>12</v>
      </c>
      <c r="H133" s="76"/>
      <c r="I133" s="35" t="s">
        <v>11</v>
      </c>
      <c r="J133" s="35" t="s">
        <v>10</v>
      </c>
      <c r="K133" s="12" t="s">
        <v>13</v>
      </c>
      <c r="L133" s="12" t="s">
        <v>12</v>
      </c>
      <c r="M133" s="34" t="s">
        <v>11</v>
      </c>
      <c r="N133" s="33" t="s">
        <v>10</v>
      </c>
    </row>
    <row r="134" spans="1:14" ht="13.2" customHeight="1" x14ac:dyDescent="0.5">
      <c r="A134" s="18" t="s">
        <v>9</v>
      </c>
      <c r="B134" s="13">
        <v>156</v>
      </c>
      <c r="C134" s="12" t="s">
        <v>1</v>
      </c>
      <c r="D134" s="17"/>
      <c r="E134" s="16">
        <f>D134*B134</f>
        <v>0</v>
      </c>
      <c r="F134" s="13">
        <v>156</v>
      </c>
      <c r="G134" s="75" t="s">
        <v>1</v>
      </c>
      <c r="H134" s="76"/>
      <c r="I134" s="15"/>
      <c r="J134" s="14">
        <f>I134*F134</f>
        <v>0</v>
      </c>
      <c r="K134" s="13">
        <v>156</v>
      </c>
      <c r="L134" s="12" t="s">
        <v>1</v>
      </c>
      <c r="M134" s="11"/>
      <c r="N134" s="10">
        <f>M134*K134</f>
        <v>0</v>
      </c>
    </row>
    <row r="135" spans="1:14" ht="26.4" x14ac:dyDescent="0.5">
      <c r="A135" s="31" t="s">
        <v>8</v>
      </c>
      <c r="B135" s="28"/>
      <c r="C135" s="28"/>
      <c r="D135" s="30"/>
      <c r="E135" s="16"/>
      <c r="F135" s="28"/>
      <c r="G135" s="90"/>
      <c r="H135" s="91"/>
      <c r="I135" s="29"/>
      <c r="J135" s="29"/>
      <c r="K135" s="28"/>
      <c r="L135" s="28"/>
      <c r="M135" s="32"/>
      <c r="N135" s="26"/>
    </row>
    <row r="136" spans="1:14" x14ac:dyDescent="0.5">
      <c r="A136" s="18" t="s">
        <v>7</v>
      </c>
      <c r="B136" s="13">
        <v>12</v>
      </c>
      <c r="C136" s="12" t="s">
        <v>1</v>
      </c>
      <c r="D136" s="17"/>
      <c r="E136" s="16">
        <f>D136*B136</f>
        <v>0</v>
      </c>
      <c r="F136" s="13">
        <v>12</v>
      </c>
      <c r="G136" s="75" t="s">
        <v>1</v>
      </c>
      <c r="H136" s="76"/>
      <c r="I136" s="15"/>
      <c r="J136" s="14">
        <f>I136*F136</f>
        <v>0</v>
      </c>
      <c r="K136" s="13">
        <v>12</v>
      </c>
      <c r="L136" s="12" t="s">
        <v>1</v>
      </c>
      <c r="M136" s="11"/>
      <c r="N136" s="10">
        <f>M136*K136</f>
        <v>0</v>
      </c>
    </row>
    <row r="137" spans="1:14" ht="26.4" x14ac:dyDescent="0.5">
      <c r="A137" s="31" t="s">
        <v>6</v>
      </c>
      <c r="B137" s="28"/>
      <c r="C137" s="28"/>
      <c r="D137" s="30"/>
      <c r="E137" s="16"/>
      <c r="F137" s="28"/>
      <c r="G137" s="90"/>
      <c r="H137" s="91"/>
      <c r="I137" s="29"/>
      <c r="J137" s="29"/>
      <c r="K137" s="28"/>
      <c r="L137" s="28"/>
      <c r="M137" s="27"/>
      <c r="N137" s="26"/>
    </row>
    <row r="138" spans="1:14" x14ac:dyDescent="0.5">
      <c r="A138" s="18" t="s">
        <v>5</v>
      </c>
      <c r="B138" s="13">
        <v>2</v>
      </c>
      <c r="C138" s="12" t="s">
        <v>1</v>
      </c>
      <c r="D138" s="17"/>
      <c r="E138" s="16">
        <f>D138*B138</f>
        <v>0</v>
      </c>
      <c r="F138" s="13">
        <v>2</v>
      </c>
      <c r="G138" s="75" t="s">
        <v>1</v>
      </c>
      <c r="H138" s="76"/>
      <c r="I138" s="25"/>
      <c r="J138" s="14">
        <f>I138*F138</f>
        <v>0</v>
      </c>
      <c r="K138" s="13">
        <v>2</v>
      </c>
      <c r="L138" s="12" t="s">
        <v>1</v>
      </c>
      <c r="M138" s="11"/>
      <c r="N138" s="10">
        <f>M138*K138</f>
        <v>0</v>
      </c>
    </row>
    <row r="139" spans="1:14" x14ac:dyDescent="0.25">
      <c r="A139" s="24"/>
      <c r="B139" s="21"/>
      <c r="C139" s="21"/>
      <c r="D139" s="23"/>
      <c r="E139" s="16"/>
      <c r="F139" s="21"/>
      <c r="G139" s="77"/>
      <c r="H139" s="62"/>
      <c r="I139" s="22"/>
      <c r="J139" s="22"/>
      <c r="K139" s="21"/>
      <c r="L139" s="21"/>
      <c r="M139" s="20"/>
      <c r="N139" s="19"/>
    </row>
    <row r="140" spans="1:14" x14ac:dyDescent="0.5">
      <c r="A140" s="18" t="s">
        <v>4</v>
      </c>
      <c r="B140" s="13">
        <v>1</v>
      </c>
      <c r="C140" s="12" t="s">
        <v>1</v>
      </c>
      <c r="D140" s="17"/>
      <c r="E140" s="16">
        <f>D140*B140</f>
        <v>0</v>
      </c>
      <c r="F140" s="13">
        <v>1</v>
      </c>
      <c r="G140" s="75" t="s">
        <v>1</v>
      </c>
      <c r="H140" s="76"/>
      <c r="I140" s="15"/>
      <c r="J140" s="14">
        <f>I140*F140</f>
        <v>0</v>
      </c>
      <c r="K140" s="13">
        <v>1</v>
      </c>
      <c r="L140" s="12" t="s">
        <v>1</v>
      </c>
      <c r="M140" s="11"/>
      <c r="N140" s="10">
        <f>M140*K140</f>
        <v>0</v>
      </c>
    </row>
    <row r="141" spans="1:14" x14ac:dyDescent="0.25">
      <c r="A141" s="24"/>
      <c r="B141" s="21"/>
      <c r="C141" s="21"/>
      <c r="D141" s="23"/>
      <c r="E141" s="16"/>
      <c r="F141" s="21"/>
      <c r="G141" s="77"/>
      <c r="H141" s="62"/>
      <c r="I141" s="22"/>
      <c r="J141" s="22"/>
      <c r="K141" s="21"/>
      <c r="L141" s="21"/>
      <c r="M141" s="20"/>
      <c r="N141" s="19"/>
    </row>
    <row r="142" spans="1:14" x14ac:dyDescent="0.5">
      <c r="A142" s="18" t="s">
        <v>3</v>
      </c>
      <c r="B142" s="13">
        <v>1</v>
      </c>
      <c r="C142" s="12" t="s">
        <v>1</v>
      </c>
      <c r="D142" s="17"/>
      <c r="E142" s="16">
        <f>D142*B142</f>
        <v>0</v>
      </c>
      <c r="F142" s="13">
        <v>1</v>
      </c>
      <c r="G142" s="75" t="s">
        <v>1</v>
      </c>
      <c r="H142" s="76"/>
      <c r="I142" s="15"/>
      <c r="J142" s="14">
        <f>I142*F142</f>
        <v>0</v>
      </c>
      <c r="K142" s="13">
        <v>1</v>
      </c>
      <c r="L142" s="12" t="s">
        <v>1</v>
      </c>
      <c r="M142" s="11"/>
      <c r="N142" s="10">
        <f>M142*K142</f>
        <v>0</v>
      </c>
    </row>
    <row r="143" spans="1:14" x14ac:dyDescent="0.25">
      <c r="A143" s="24"/>
      <c r="B143" s="21"/>
      <c r="C143" s="21"/>
      <c r="D143" s="23"/>
      <c r="E143" s="16"/>
      <c r="F143" s="21"/>
      <c r="G143" s="77"/>
      <c r="H143" s="62"/>
      <c r="I143" s="22"/>
      <c r="J143" s="22"/>
      <c r="K143" s="21"/>
      <c r="L143" s="21"/>
      <c r="M143" s="20"/>
      <c r="N143" s="19"/>
    </row>
    <row r="144" spans="1:14" x14ac:dyDescent="0.5">
      <c r="A144" s="18" t="s">
        <v>2</v>
      </c>
      <c r="B144" s="13">
        <v>1</v>
      </c>
      <c r="C144" s="12" t="s">
        <v>1</v>
      </c>
      <c r="D144" s="17"/>
      <c r="E144" s="16">
        <f>D144*B144</f>
        <v>0</v>
      </c>
      <c r="F144" s="13">
        <v>1</v>
      </c>
      <c r="G144" s="75" t="s">
        <v>1</v>
      </c>
      <c r="H144" s="76"/>
      <c r="I144" s="15"/>
      <c r="J144" s="14">
        <f>I144*F144</f>
        <v>0</v>
      </c>
      <c r="K144" s="13">
        <v>1</v>
      </c>
      <c r="L144" s="12" t="s">
        <v>1</v>
      </c>
      <c r="M144" s="11"/>
      <c r="N144" s="10">
        <f>M144*K144</f>
        <v>0</v>
      </c>
    </row>
    <row r="145" spans="1:14" ht="13.8" thickBot="1" x14ac:dyDescent="0.3">
      <c r="A145" s="67"/>
      <c r="B145" s="68"/>
      <c r="C145" s="69"/>
      <c r="D145" s="7" t="s">
        <v>0</v>
      </c>
      <c r="E145" s="9">
        <f>SUM(E134:E144)</f>
        <v>0</v>
      </c>
      <c r="F145" s="8"/>
      <c r="G145" s="78"/>
      <c r="H145" s="69"/>
      <c r="I145" s="7" t="s">
        <v>0</v>
      </c>
      <c r="J145" s="9">
        <f>SUM(J134:J144)</f>
        <v>0</v>
      </c>
      <c r="K145" s="8"/>
      <c r="L145" s="8"/>
      <c r="M145" s="7" t="s">
        <v>0</v>
      </c>
      <c r="N145" s="6">
        <f>SUM(N134:N144)</f>
        <v>0</v>
      </c>
    </row>
    <row r="146" spans="1:14" ht="13.8" thickBot="1" x14ac:dyDescent="0.3">
      <c r="A146" s="5"/>
      <c r="B146" s="4"/>
      <c r="C146" s="4"/>
      <c r="D146" s="3"/>
      <c r="E146" s="2"/>
      <c r="F146" s="4"/>
      <c r="G146" s="4"/>
      <c r="H146" s="4"/>
      <c r="I146" s="3"/>
      <c r="J146" s="2"/>
      <c r="K146" s="4"/>
      <c r="L146" s="4"/>
      <c r="M146" s="3"/>
      <c r="N146" s="2"/>
    </row>
    <row r="147" spans="1:14" x14ac:dyDescent="0.5">
      <c r="A147" s="103" t="s">
        <v>19</v>
      </c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5"/>
    </row>
    <row r="148" spans="1:14" x14ac:dyDescent="0.5">
      <c r="A148" s="92" t="s">
        <v>18</v>
      </c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4"/>
    </row>
    <row r="149" spans="1:14" x14ac:dyDescent="0.25">
      <c r="A149" s="60"/>
      <c r="B149" s="61"/>
      <c r="C149" s="62"/>
      <c r="D149" s="63" t="s">
        <v>17</v>
      </c>
      <c r="E149" s="95"/>
      <c r="F149" s="77"/>
      <c r="G149" s="61"/>
      <c r="H149" s="62"/>
      <c r="I149" s="96" t="s">
        <v>16</v>
      </c>
      <c r="J149" s="97"/>
      <c r="K149" s="77"/>
      <c r="L149" s="62"/>
      <c r="M149" s="98" t="s">
        <v>15</v>
      </c>
      <c r="N149" s="99"/>
    </row>
    <row r="150" spans="1:14" x14ac:dyDescent="0.5">
      <c r="A150" s="18" t="s">
        <v>14</v>
      </c>
      <c r="B150" s="12" t="s">
        <v>13</v>
      </c>
      <c r="C150" s="12" t="s">
        <v>12</v>
      </c>
      <c r="D150" s="37" t="s">
        <v>11</v>
      </c>
      <c r="E150" s="36" t="s">
        <v>10</v>
      </c>
      <c r="F150" s="12" t="s">
        <v>13</v>
      </c>
      <c r="G150" s="75" t="s">
        <v>12</v>
      </c>
      <c r="H150" s="76"/>
      <c r="I150" s="35" t="s">
        <v>11</v>
      </c>
      <c r="J150" s="35" t="s">
        <v>10</v>
      </c>
      <c r="K150" s="12" t="s">
        <v>13</v>
      </c>
      <c r="L150" s="12" t="s">
        <v>12</v>
      </c>
      <c r="M150" s="34" t="s">
        <v>11</v>
      </c>
      <c r="N150" s="33" t="s">
        <v>10</v>
      </c>
    </row>
    <row r="151" spans="1:14" ht="13.2" customHeight="1" x14ac:dyDescent="0.5">
      <c r="A151" s="18" t="s">
        <v>9</v>
      </c>
      <c r="B151" s="13">
        <v>156</v>
      </c>
      <c r="C151" s="12" t="s">
        <v>1</v>
      </c>
      <c r="D151" s="17"/>
      <c r="E151" s="16">
        <f>D151*B151</f>
        <v>0</v>
      </c>
      <c r="F151" s="13">
        <v>156</v>
      </c>
      <c r="G151" s="75" t="s">
        <v>1</v>
      </c>
      <c r="H151" s="76"/>
      <c r="I151" s="15"/>
      <c r="J151" s="14">
        <f>I151*F151</f>
        <v>0</v>
      </c>
      <c r="K151" s="13">
        <v>156</v>
      </c>
      <c r="L151" s="12" t="s">
        <v>1</v>
      </c>
      <c r="M151" s="11"/>
      <c r="N151" s="10">
        <f>M151*K151</f>
        <v>0</v>
      </c>
    </row>
    <row r="152" spans="1:14" ht="26.4" x14ac:dyDescent="0.5">
      <c r="A152" s="31" t="s">
        <v>8</v>
      </c>
      <c r="B152" s="28"/>
      <c r="C152" s="28"/>
      <c r="D152" s="30"/>
      <c r="E152" s="16"/>
      <c r="F152" s="28"/>
      <c r="G152" s="90"/>
      <c r="H152" s="91"/>
      <c r="I152" s="29"/>
      <c r="J152" s="29"/>
      <c r="K152" s="28"/>
      <c r="L152" s="28"/>
      <c r="M152" s="32"/>
      <c r="N152" s="26"/>
    </row>
    <row r="153" spans="1:14" x14ac:dyDescent="0.5">
      <c r="A153" s="18" t="s">
        <v>7</v>
      </c>
      <c r="B153" s="13">
        <v>12</v>
      </c>
      <c r="C153" s="12" t="s">
        <v>1</v>
      </c>
      <c r="D153" s="17"/>
      <c r="E153" s="16">
        <f>D153*B153</f>
        <v>0</v>
      </c>
      <c r="F153" s="13">
        <v>12</v>
      </c>
      <c r="G153" s="75" t="s">
        <v>1</v>
      </c>
      <c r="H153" s="76"/>
      <c r="I153" s="15"/>
      <c r="J153" s="14">
        <f>I153*F153</f>
        <v>0</v>
      </c>
      <c r="K153" s="13">
        <v>12</v>
      </c>
      <c r="L153" s="12" t="s">
        <v>1</v>
      </c>
      <c r="M153" s="11"/>
      <c r="N153" s="10">
        <f>M153*K153</f>
        <v>0</v>
      </c>
    </row>
    <row r="154" spans="1:14" ht="26.4" x14ac:dyDescent="0.5">
      <c r="A154" s="31" t="s">
        <v>6</v>
      </c>
      <c r="B154" s="28"/>
      <c r="C154" s="28"/>
      <c r="D154" s="30"/>
      <c r="E154" s="16"/>
      <c r="F154" s="28"/>
      <c r="G154" s="90"/>
      <c r="H154" s="91"/>
      <c r="I154" s="29"/>
      <c r="J154" s="29"/>
      <c r="K154" s="28"/>
      <c r="L154" s="28"/>
      <c r="M154" s="27"/>
      <c r="N154" s="26"/>
    </row>
    <row r="155" spans="1:14" x14ac:dyDescent="0.5">
      <c r="A155" s="18" t="s">
        <v>5</v>
      </c>
      <c r="B155" s="13">
        <v>2</v>
      </c>
      <c r="C155" s="12" t="s">
        <v>1</v>
      </c>
      <c r="D155" s="17"/>
      <c r="E155" s="16">
        <f>D155*B155</f>
        <v>0</v>
      </c>
      <c r="F155" s="13">
        <v>2</v>
      </c>
      <c r="G155" s="75" t="s">
        <v>1</v>
      </c>
      <c r="H155" s="76"/>
      <c r="I155" s="25"/>
      <c r="J155" s="14">
        <f>I155*F155</f>
        <v>0</v>
      </c>
      <c r="K155" s="13">
        <v>2</v>
      </c>
      <c r="L155" s="12" t="s">
        <v>1</v>
      </c>
      <c r="M155" s="11"/>
      <c r="N155" s="10">
        <f>M155*K155</f>
        <v>0</v>
      </c>
    </row>
    <row r="156" spans="1:14" x14ac:dyDescent="0.25">
      <c r="A156" s="24"/>
      <c r="B156" s="21"/>
      <c r="C156" s="21"/>
      <c r="D156" s="23"/>
      <c r="E156" s="16"/>
      <c r="F156" s="21"/>
      <c r="G156" s="77"/>
      <c r="H156" s="62"/>
      <c r="I156" s="22"/>
      <c r="J156" s="22"/>
      <c r="K156" s="21"/>
      <c r="L156" s="21"/>
      <c r="M156" s="20"/>
      <c r="N156" s="19"/>
    </row>
    <row r="157" spans="1:14" x14ac:dyDescent="0.5">
      <c r="A157" s="18" t="s">
        <v>4</v>
      </c>
      <c r="B157" s="13">
        <v>1</v>
      </c>
      <c r="C157" s="12" t="s">
        <v>1</v>
      </c>
      <c r="D157" s="17"/>
      <c r="E157" s="16">
        <f>D157*B157</f>
        <v>0</v>
      </c>
      <c r="F157" s="13">
        <v>1</v>
      </c>
      <c r="G157" s="75" t="s">
        <v>1</v>
      </c>
      <c r="H157" s="76"/>
      <c r="I157" s="15"/>
      <c r="J157" s="14">
        <f>I157*F157</f>
        <v>0</v>
      </c>
      <c r="K157" s="13">
        <v>1</v>
      </c>
      <c r="L157" s="12" t="s">
        <v>1</v>
      </c>
      <c r="M157" s="11"/>
      <c r="N157" s="10">
        <f>M157*K157</f>
        <v>0</v>
      </c>
    </row>
    <row r="158" spans="1:14" x14ac:dyDescent="0.25">
      <c r="A158" s="24"/>
      <c r="B158" s="21"/>
      <c r="C158" s="21"/>
      <c r="D158" s="23"/>
      <c r="E158" s="16"/>
      <c r="F158" s="21"/>
      <c r="G158" s="77"/>
      <c r="H158" s="62"/>
      <c r="I158" s="22"/>
      <c r="J158" s="22"/>
      <c r="K158" s="21"/>
      <c r="L158" s="21"/>
      <c r="M158" s="20"/>
      <c r="N158" s="19"/>
    </row>
    <row r="159" spans="1:14" x14ac:dyDescent="0.5">
      <c r="A159" s="18" t="s">
        <v>3</v>
      </c>
      <c r="B159" s="13">
        <v>1</v>
      </c>
      <c r="C159" s="12" t="s">
        <v>1</v>
      </c>
      <c r="D159" s="17"/>
      <c r="E159" s="16">
        <f>D159*B159</f>
        <v>0</v>
      </c>
      <c r="F159" s="13">
        <v>1</v>
      </c>
      <c r="G159" s="75" t="s">
        <v>1</v>
      </c>
      <c r="H159" s="76"/>
      <c r="I159" s="15"/>
      <c r="J159" s="14">
        <f>I159*F159</f>
        <v>0</v>
      </c>
      <c r="K159" s="13">
        <v>1</v>
      </c>
      <c r="L159" s="12" t="s">
        <v>1</v>
      </c>
      <c r="M159" s="11"/>
      <c r="N159" s="10">
        <f>M159*K159</f>
        <v>0</v>
      </c>
    </row>
    <row r="160" spans="1:14" x14ac:dyDescent="0.25">
      <c r="A160" s="24"/>
      <c r="B160" s="21"/>
      <c r="C160" s="21"/>
      <c r="D160" s="23"/>
      <c r="E160" s="16"/>
      <c r="F160" s="21"/>
      <c r="G160" s="77"/>
      <c r="H160" s="62"/>
      <c r="I160" s="22"/>
      <c r="J160" s="22"/>
      <c r="K160" s="21"/>
      <c r="L160" s="21"/>
      <c r="M160" s="20"/>
      <c r="N160" s="19"/>
    </row>
    <row r="161" spans="1:14" x14ac:dyDescent="0.5">
      <c r="A161" s="18" t="s">
        <v>2</v>
      </c>
      <c r="B161" s="13">
        <v>1</v>
      </c>
      <c r="C161" s="12" t="s">
        <v>1</v>
      </c>
      <c r="D161" s="17"/>
      <c r="E161" s="16">
        <f>D161*B161</f>
        <v>0</v>
      </c>
      <c r="F161" s="13">
        <v>1</v>
      </c>
      <c r="G161" s="75" t="s">
        <v>1</v>
      </c>
      <c r="H161" s="76"/>
      <c r="I161" s="15"/>
      <c r="J161" s="14">
        <f>I161*F161</f>
        <v>0</v>
      </c>
      <c r="K161" s="13">
        <v>1</v>
      </c>
      <c r="L161" s="12" t="s">
        <v>1</v>
      </c>
      <c r="M161" s="11"/>
      <c r="N161" s="10">
        <f>M161*K161</f>
        <v>0</v>
      </c>
    </row>
    <row r="162" spans="1:14" ht="13.8" thickBot="1" x14ac:dyDescent="0.3">
      <c r="A162" s="67"/>
      <c r="B162" s="68"/>
      <c r="C162" s="69"/>
      <c r="D162" s="7" t="s">
        <v>0</v>
      </c>
      <c r="E162" s="9">
        <f>SUM(E151:E161)</f>
        <v>0</v>
      </c>
      <c r="F162" s="8"/>
      <c r="G162" s="78"/>
      <c r="H162" s="69"/>
      <c r="I162" s="7" t="s">
        <v>0</v>
      </c>
      <c r="J162" s="9">
        <f>SUM(J151:J161)</f>
        <v>0</v>
      </c>
      <c r="K162" s="8"/>
      <c r="L162" s="8"/>
      <c r="M162" s="7" t="s">
        <v>0</v>
      </c>
      <c r="N162" s="6">
        <f>SUM(N151:N161)</f>
        <v>0</v>
      </c>
    </row>
    <row r="163" spans="1:14" x14ac:dyDescent="0.25">
      <c r="A163" s="5"/>
      <c r="B163" s="4"/>
      <c r="C163" s="4"/>
      <c r="D163" s="3"/>
      <c r="E163" s="2"/>
      <c r="F163" s="4"/>
      <c r="G163" s="4"/>
      <c r="H163" s="4"/>
      <c r="I163" s="3"/>
      <c r="J163" s="2"/>
      <c r="K163" s="4"/>
      <c r="L163" s="4"/>
      <c r="M163" s="3"/>
      <c r="N163" s="2"/>
    </row>
    <row r="164" spans="1:14" x14ac:dyDescent="0.5">
      <c r="A164" s="1" t="s">
        <v>45</v>
      </c>
      <c r="D164" s="1" t="s">
        <v>42</v>
      </c>
      <c r="E164" s="59">
        <f>SUM(E162,E145,E127,E110,E91,E74,E57,E40,E23)</f>
        <v>0</v>
      </c>
      <c r="I164" s="1" t="s">
        <v>43</v>
      </c>
      <c r="J164" s="59">
        <f>SUM(J162,J145,J127,J110,J91,J74,J57,J40)</f>
        <v>0</v>
      </c>
      <c r="M164" s="1" t="s">
        <v>44</v>
      </c>
      <c r="N164" s="59">
        <f>SUM(N162,N145,N127,N110,N91,N74,N57,N40)</f>
        <v>0</v>
      </c>
    </row>
    <row r="166" spans="1:14" x14ac:dyDescent="0.5">
      <c r="M166" s="1" t="s">
        <v>46</v>
      </c>
      <c r="N166" s="59">
        <f>SUM(N164,J164,E164)</f>
        <v>0</v>
      </c>
    </row>
  </sheetData>
  <mergeCells count="208">
    <mergeCell ref="A127:C127"/>
    <mergeCell ref="F132:H132"/>
    <mergeCell ref="G144:H144"/>
    <mergeCell ref="A145:C145"/>
    <mergeCell ref="G145:H145"/>
    <mergeCell ref="G133:H133"/>
    <mergeCell ref="G134:H134"/>
    <mergeCell ref="G135:H135"/>
    <mergeCell ref="G136:H136"/>
    <mergeCell ref="G137:H137"/>
    <mergeCell ref="G138:H138"/>
    <mergeCell ref="G139:H139"/>
    <mergeCell ref="I132:J132"/>
    <mergeCell ref="K132:L132"/>
    <mergeCell ref="M132:N132"/>
    <mergeCell ref="G127:H127"/>
    <mergeCell ref="G142:H142"/>
    <mergeCell ref="G143:H143"/>
    <mergeCell ref="G140:H140"/>
    <mergeCell ref="G141:H141"/>
    <mergeCell ref="G108:H108"/>
    <mergeCell ref="G109:H109"/>
    <mergeCell ref="G118:H118"/>
    <mergeCell ref="G119:H119"/>
    <mergeCell ref="G120:H120"/>
    <mergeCell ref="G121:H121"/>
    <mergeCell ref="G123:H123"/>
    <mergeCell ref="G124:H124"/>
    <mergeCell ref="G125:H125"/>
    <mergeCell ref="G122:H122"/>
    <mergeCell ref="G126:H126"/>
    <mergeCell ref="G103:H103"/>
    <mergeCell ref="G104:H104"/>
    <mergeCell ref="A112:N112"/>
    <mergeCell ref="G117:H117"/>
    <mergeCell ref="A113:N113"/>
    <mergeCell ref="A114:C114"/>
    <mergeCell ref="D114:E114"/>
    <mergeCell ref="F114:H114"/>
    <mergeCell ref="I114:J114"/>
    <mergeCell ref="K114:L114"/>
    <mergeCell ref="M114:N114"/>
    <mergeCell ref="G115:H115"/>
    <mergeCell ref="G116:H116"/>
    <mergeCell ref="G85:H85"/>
    <mergeCell ref="A94:N94"/>
    <mergeCell ref="G97:H97"/>
    <mergeCell ref="G105:H105"/>
    <mergeCell ref="G106:H106"/>
    <mergeCell ref="G107:H107"/>
    <mergeCell ref="G79:H79"/>
    <mergeCell ref="G80:H80"/>
    <mergeCell ref="G81:H81"/>
    <mergeCell ref="G82:H82"/>
    <mergeCell ref="G83:H83"/>
    <mergeCell ref="G84:H84"/>
    <mergeCell ref="G86:H86"/>
    <mergeCell ref="G87:H87"/>
    <mergeCell ref="G88:H88"/>
    <mergeCell ref="G89:H89"/>
    <mergeCell ref="G90:H90"/>
    <mergeCell ref="A91:C91"/>
    <mergeCell ref="G91:H91"/>
    <mergeCell ref="G98:H98"/>
    <mergeCell ref="G99:H99"/>
    <mergeCell ref="G100:H100"/>
    <mergeCell ref="G101:H101"/>
    <mergeCell ref="G102:H102"/>
    <mergeCell ref="A78:C78"/>
    <mergeCell ref="D78:E78"/>
    <mergeCell ref="F78:H78"/>
    <mergeCell ref="I78:J78"/>
    <mergeCell ref="K78:L78"/>
    <mergeCell ref="M78:N78"/>
    <mergeCell ref="G70:H70"/>
    <mergeCell ref="G71:H71"/>
    <mergeCell ref="G72:H72"/>
    <mergeCell ref="G73:H73"/>
    <mergeCell ref="A76:N76"/>
    <mergeCell ref="A77:N77"/>
    <mergeCell ref="G62:H62"/>
    <mergeCell ref="A74:C74"/>
    <mergeCell ref="G74:H74"/>
    <mergeCell ref="G63:H63"/>
    <mergeCell ref="G64:H64"/>
    <mergeCell ref="G65:H65"/>
    <mergeCell ref="G66:H66"/>
    <mergeCell ref="G67:H67"/>
    <mergeCell ref="G68:H68"/>
    <mergeCell ref="G69:H69"/>
    <mergeCell ref="G54:H54"/>
    <mergeCell ref="G55:H55"/>
    <mergeCell ref="A59:N59"/>
    <mergeCell ref="A60:N60"/>
    <mergeCell ref="A61:C61"/>
    <mergeCell ref="D61:E61"/>
    <mergeCell ref="F61:H61"/>
    <mergeCell ref="I61:J61"/>
    <mergeCell ref="K61:L61"/>
    <mergeCell ref="M61:N61"/>
    <mergeCell ref="K44:L44"/>
    <mergeCell ref="M44:N44"/>
    <mergeCell ref="G45:H45"/>
    <mergeCell ref="M27:N27"/>
    <mergeCell ref="K27:L27"/>
    <mergeCell ref="G30:H30"/>
    <mergeCell ref="G31:H31"/>
    <mergeCell ref="G32:H32"/>
    <mergeCell ref="G33:H33"/>
    <mergeCell ref="G34:H34"/>
    <mergeCell ref="G35:H35"/>
    <mergeCell ref="G29:H29"/>
    <mergeCell ref="A1:G1"/>
    <mergeCell ref="A2:G2"/>
    <mergeCell ref="A3:G3"/>
    <mergeCell ref="A4:G4"/>
    <mergeCell ref="A5:G5"/>
    <mergeCell ref="A7:J7"/>
    <mergeCell ref="I44:J44"/>
    <mergeCell ref="G28:H28"/>
    <mergeCell ref="G20:H20"/>
    <mergeCell ref="G21:H21"/>
    <mergeCell ref="G22:H22"/>
    <mergeCell ref="G23:H23"/>
    <mergeCell ref="G36:H36"/>
    <mergeCell ref="G37:H37"/>
    <mergeCell ref="G38:H38"/>
    <mergeCell ref="G39:H39"/>
    <mergeCell ref="A26:N26"/>
    <mergeCell ref="A27:C27"/>
    <mergeCell ref="D27:E27"/>
    <mergeCell ref="F27:H27"/>
    <mergeCell ref="I27:J27"/>
    <mergeCell ref="D44:E44"/>
    <mergeCell ref="F44:H44"/>
    <mergeCell ref="K7:N7"/>
    <mergeCell ref="G11:H11"/>
    <mergeCell ref="G12:H12"/>
    <mergeCell ref="G13:H13"/>
    <mergeCell ref="A147:N147"/>
    <mergeCell ref="G96:H96"/>
    <mergeCell ref="A110:C110"/>
    <mergeCell ref="A93:N93"/>
    <mergeCell ref="A95:C95"/>
    <mergeCell ref="D95:E95"/>
    <mergeCell ref="F95:H95"/>
    <mergeCell ref="I95:J95"/>
    <mergeCell ref="K95:L95"/>
    <mergeCell ref="M95:N95"/>
    <mergeCell ref="G46:H46"/>
    <mergeCell ref="G47:H47"/>
    <mergeCell ref="G56:H56"/>
    <mergeCell ref="A57:C57"/>
    <mergeCell ref="G57:H57"/>
    <mergeCell ref="G49:H49"/>
    <mergeCell ref="G50:H50"/>
    <mergeCell ref="G51:H51"/>
    <mergeCell ref="G52:H52"/>
    <mergeCell ref="G53:H53"/>
    <mergeCell ref="G48:H48"/>
    <mergeCell ref="G160:H160"/>
    <mergeCell ref="G161:H161"/>
    <mergeCell ref="A162:C162"/>
    <mergeCell ref="G162:H162"/>
    <mergeCell ref="G110:H110"/>
    <mergeCell ref="G152:H152"/>
    <mergeCell ref="G153:H153"/>
    <mergeCell ref="G154:H154"/>
    <mergeCell ref="G155:H155"/>
    <mergeCell ref="G156:H156"/>
    <mergeCell ref="A148:N148"/>
    <mergeCell ref="A149:C149"/>
    <mergeCell ref="D149:E149"/>
    <mergeCell ref="F149:H149"/>
    <mergeCell ref="I149:J149"/>
    <mergeCell ref="K149:L149"/>
    <mergeCell ref="M149:N149"/>
    <mergeCell ref="G150:H150"/>
    <mergeCell ref="G151:H151"/>
    <mergeCell ref="A129:J129"/>
    <mergeCell ref="A130:N130"/>
    <mergeCell ref="A131:N131"/>
    <mergeCell ref="A132:C132"/>
    <mergeCell ref="D132:E132"/>
    <mergeCell ref="A10:C10"/>
    <mergeCell ref="D10:E10"/>
    <mergeCell ref="F10:H10"/>
    <mergeCell ref="A23:C23"/>
    <mergeCell ref="A8:E8"/>
    <mergeCell ref="F8:J8"/>
    <mergeCell ref="G157:H157"/>
    <mergeCell ref="G158:H158"/>
    <mergeCell ref="G159:H159"/>
    <mergeCell ref="A40:C40"/>
    <mergeCell ref="G40:H40"/>
    <mergeCell ref="A25:N25"/>
    <mergeCell ref="A44:C44"/>
    <mergeCell ref="A42:N42"/>
    <mergeCell ref="A43:N43"/>
    <mergeCell ref="G14:H14"/>
    <mergeCell ref="G15:H15"/>
    <mergeCell ref="G16:H16"/>
    <mergeCell ref="G17:H17"/>
    <mergeCell ref="G18:H18"/>
    <mergeCell ref="G19:H19"/>
    <mergeCell ref="I10:J10"/>
    <mergeCell ref="K10:L10"/>
    <mergeCell ref="M10:N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Hughman, Kellsie J CIV USARMY CENAE (USA)</dc:creator>
  <cp:lastModifiedBy>LaCrosse, Alicia N CIV USARMY CENAE (USA)</cp:lastModifiedBy>
  <dcterms:created xsi:type="dcterms:W3CDTF">2024-02-26T20:13:18Z</dcterms:created>
  <dcterms:modified xsi:type="dcterms:W3CDTF">2026-04-30T14:42:26Z</dcterms:modified>
</cp:coreProperties>
</file>