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scg-my.sharepoint-mil.us/personal/chelsea_clark_uscg_mil/Documents/Desktop/Desktop (1)/Cutters FY 2026/7) ACTIVE FY26 DS/4) Solicitation/"/>
    </mc:Choice>
  </mc:AlternateContent>
  <xr:revisionPtr revIDLastSave="53" documentId="8_{7F7073F9-3667-49CA-8EB0-9514CFD4C297}" xr6:coauthVersionLast="47" xr6:coauthVersionMax="47" xr10:uidLastSave="{23676FB2-412B-41E4-B708-8908E3354C65}"/>
  <bookViews>
    <workbookView xWindow="-21720" yWindow="-120" windowWidth="21840" windowHeight="13020" xr2:uid="{458B33FB-BB8C-434F-9495-CB4FEDF3148E}"/>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1" l="1"/>
  <c r="F36" i="1"/>
  <c r="F35" i="1"/>
  <c r="F32" i="1"/>
  <c r="F31" i="1"/>
  <c r="F30" i="1"/>
  <c r="F29" i="1"/>
  <c r="F28" i="1"/>
  <c r="F27" i="1"/>
  <c r="F26" i="1"/>
  <c r="F25" i="1"/>
  <c r="F24" i="1"/>
  <c r="F23" i="1"/>
  <c r="F22" i="1"/>
  <c r="F21" i="1"/>
  <c r="F20" i="1"/>
  <c r="F19" i="1"/>
  <c r="F18" i="1"/>
  <c r="F17" i="1"/>
  <c r="F16" i="1"/>
  <c r="F15" i="1"/>
  <c r="F14" i="1"/>
  <c r="F13" i="1"/>
  <c r="F12" i="1"/>
  <c r="F11" i="1"/>
  <c r="F10" i="1"/>
  <c r="F9" i="1"/>
  <c r="F8" i="1"/>
  <c r="F7" i="1"/>
  <c r="F43" i="1"/>
  <c r="F42" i="1"/>
  <c r="C34" i="1"/>
  <c r="E32" i="1"/>
  <c r="F44" i="1" l="1"/>
</calcChain>
</file>

<file path=xl/sharedStrings.xml><?xml version="1.0" encoding="utf-8"?>
<sst xmlns="http://schemas.openxmlformats.org/spreadsheetml/2006/main" count="132" uniqueCount="83">
  <si>
    <t>PRICING SCHEDULE FOR:</t>
  </si>
  <si>
    <t>USCGC ACTIVE (WMEC-210A) DOCKSIDE AVAILABILITY FY2026</t>
  </si>
  <si>
    <t>ITEM</t>
  </si>
  <si>
    <t>DESCRIPTION</t>
  </si>
  <si>
    <t>UNIT PRICE</t>
  </si>
  <si>
    <t>UNIT</t>
  </si>
  <si>
    <t>QTY</t>
  </si>
  <si>
    <t>EXTENDED PRICE</t>
  </si>
  <si>
    <t>D-001</t>
  </si>
  <si>
    <t>Seawater Heat Exchangers, Clean, Inspect And Hydro</t>
  </si>
  <si>
    <t/>
  </si>
  <si>
    <t>JOB</t>
  </si>
  <si>
    <t>D-002</t>
  </si>
  <si>
    <t>Boiler Exhaust Stack Uptakes, Commercial Clean</t>
  </si>
  <si>
    <t>D-003</t>
  </si>
  <si>
    <t>Chill Water System, Clean and Flush</t>
  </si>
  <si>
    <t>D-004</t>
  </si>
  <si>
    <t>Boilers, Renew</t>
  </si>
  <si>
    <t>D-005</t>
  </si>
  <si>
    <t xml:space="preserve">Potable Water Pneumatic Tanks, Clean and Inspect </t>
  </si>
  <si>
    <t>D-006</t>
  </si>
  <si>
    <t>Hot Water Accumulator Tanks, Clean and Inspect</t>
  </si>
  <si>
    <t>D-007</t>
  </si>
  <si>
    <t>Steering Gear, General, Overhaul</t>
  </si>
  <si>
    <t>D-008</t>
  </si>
  <si>
    <t>Single Point Davit, Inspect and Service</t>
  </si>
  <si>
    <t>D-009</t>
  </si>
  <si>
    <t>Sewage Discharge and Vacuum Pumps, Renew</t>
  </si>
  <si>
    <t>D-010</t>
  </si>
  <si>
    <t xml:space="preserve">Grey Water Holding Tanks, Clean and Inspect </t>
  </si>
  <si>
    <t>D-011</t>
  </si>
  <si>
    <t>Sewage Piping, Clean and Flush</t>
  </si>
  <si>
    <t>D-012</t>
  </si>
  <si>
    <t>Grey Water Piping, Clean and Flush</t>
  </si>
  <si>
    <t>O-013</t>
  </si>
  <si>
    <t>Tanks, Grey Water Holding, Preserve, Partial - OPTION ITEM</t>
  </si>
  <si>
    <t>O-014</t>
  </si>
  <si>
    <t>Temporary Services, Heating and Cooling - OPTION ITEM</t>
  </si>
  <si>
    <t>D-015</t>
  </si>
  <si>
    <t>Whistle Timer, Replace</t>
  </si>
  <si>
    <t>D-016</t>
  </si>
  <si>
    <t>Fan Room Deck, Preserve</t>
  </si>
  <si>
    <t>D-017</t>
  </si>
  <si>
    <t>Deck and Bulkhead Plating, Renew</t>
  </si>
  <si>
    <t>D-018</t>
  </si>
  <si>
    <t>Steam System Valves and Piping, Renew</t>
  </si>
  <si>
    <t>D-019</t>
  </si>
  <si>
    <t>Countermeasure Washdown Piping, Renew</t>
  </si>
  <si>
    <t>D-020</t>
  </si>
  <si>
    <t>Engine Flywheel Disc Coupling, Renew</t>
  </si>
  <si>
    <t>D-021</t>
  </si>
  <si>
    <t>Deck Covering, Interior, Wet, Renew</t>
  </si>
  <si>
    <t>D-022</t>
  </si>
  <si>
    <t>Deck Drain Piping, Renew</t>
  </si>
  <si>
    <t>D-023</t>
  </si>
  <si>
    <t>Compartment(s), Interior, Lead Dust, Clean</t>
  </si>
  <si>
    <t>D-024</t>
  </si>
  <si>
    <t>Ventilation Systems, Clean and Overhaul</t>
  </si>
  <si>
    <t>D-025</t>
  </si>
  <si>
    <t>Watertight Door, External, Renew</t>
  </si>
  <si>
    <t>O-00A</t>
  </si>
  <si>
    <t>Composite Labor Rate</t>
  </si>
  <si>
    <t>Hour</t>
  </si>
  <si>
    <t>D-00B</t>
  </si>
  <si>
    <t>GFP Report</t>
  </si>
  <si>
    <t>NSP</t>
  </si>
  <si>
    <t>EA</t>
  </si>
  <si>
    <t>D-00C</t>
  </si>
  <si>
    <t>Travel and Perdiem</t>
  </si>
  <si>
    <t>Total Price of Definite Items</t>
  </si>
  <si>
    <t>Total Price of Option Items</t>
  </si>
  <si>
    <t>Total Price of Definite and Optional Items</t>
  </si>
  <si>
    <t>**Fill in the sections highlighted below:</t>
  </si>
  <si>
    <t>OA/G-001</t>
  </si>
  <si>
    <t>OA/G-002</t>
  </si>
  <si>
    <t>Percent</t>
  </si>
  <si>
    <r>
      <t xml:space="preserve">The contractor shall fill-in all </t>
    </r>
    <r>
      <rPr>
        <b/>
        <sz val="10"/>
        <rFont val="Courier New"/>
        <family val="3"/>
      </rPr>
      <t>yellow</t>
    </r>
    <r>
      <rPr>
        <sz val="10"/>
        <rFont val="Courier New"/>
        <family val="3"/>
      </rPr>
      <t xml:space="preserve"> labeled boxes and Foreseeable Costs Sheet.</t>
    </r>
  </si>
  <si>
    <t>Contractor's Name</t>
  </si>
  <si>
    <t xml:space="preserve">The Labor Rates and Material Markup/Handling Fee will be used throughout the life of the contract for all open and inspect repair items.  Open and inspect related repairs will be incorporated via  contract modification.  The values shown are an estimate only and may be exceeded at the unit prices offered. The total extended price for both CLINs below are being used solely for the purposes of evaluating price.    </t>
  </si>
  <si>
    <t>Labor Rate</t>
  </si>
  <si>
    <t>Material Markup/Handling Fee</t>
  </si>
  <si>
    <t>Total Fixed Price Ceiling of Open and Inspect Repairs</t>
  </si>
  <si>
    <t>Open and Inspect Repairs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</si>
</sst>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_);\(&quot;$&quot;#,##0.00\)"/>
    <numFmt numFmtId="8" formatCode="&quot;$&quot;#,##0.00_);[Red]\(&quot;$&quot;#,##0.00\)"/>
  </numFmts>
  <fonts count="7" x14ac:knownFonts="1">
    <font>
      <sz val="11"/>
      <color theme="1"/>
      <name val="Aptos Narrow"/>
      <family val="2"/>
      <scheme val="minor"/>
    </font>
    <font>
      <sz val="8"/>
      <color indexed="8"/>
      <name val="Courier New"/>
      <family val="2"/>
    </font>
    <font>
      <b/>
      <sz val="8"/>
      <color indexed="8"/>
      <name val="Courier New"/>
      <family val="2"/>
    </font>
    <font>
      <sz val="10"/>
      <name val="Courier New"/>
      <family val="3"/>
    </font>
    <font>
      <b/>
      <sz val="10"/>
      <name val="Courier New"/>
      <family val="3"/>
    </font>
    <font>
      <sz val="8"/>
      <name val="Courier New"/>
      <family val="3"/>
    </font>
    <font>
      <sz val="11"/>
      <color indexed="8"/>
      <name val="Aptos Narrow"/>
      <family val="2"/>
      <scheme val="minor"/>
    </font>
  </fonts>
  <fills count="3">
    <fill>
      <patternFill patternType="none"/>
    </fill>
    <fill>
      <patternFill patternType="gray125"/>
    </fill>
    <fill>
      <patternFill patternType="solid">
        <fgColor rgb="FFFFFF00"/>
        <bgColor indexed="64"/>
      </patternFill>
    </fill>
  </fills>
  <borders count="22">
    <border>
      <left/>
      <right/>
      <top/>
      <bottom/>
      <diagonal/>
    </border>
    <border>
      <left/>
      <right/>
      <top/>
      <bottom style="thick">
        <color indexed="64"/>
      </bottom>
      <diagonal/>
    </border>
    <border>
      <left style="thick">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ck">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top/>
      <bottom style="thick">
        <color indexed="64"/>
      </bottom>
      <diagonal/>
    </border>
    <border>
      <left style="thin">
        <color indexed="64"/>
      </left>
      <right style="thin">
        <color indexed="64"/>
      </right>
      <top/>
      <bottom style="thick">
        <color indexed="64"/>
      </bottom>
      <diagonal/>
    </border>
    <border>
      <left/>
      <right style="thin">
        <color indexed="64"/>
      </right>
      <top/>
      <bottom style="thick">
        <color indexed="64"/>
      </bottom>
      <diagonal/>
    </border>
    <border>
      <left/>
      <right/>
      <top style="thick">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7">
    <xf numFmtId="0" fontId="0" fillId="0" borderId="0" xfId="0"/>
    <xf numFmtId="0" fontId="1" fillId="0" borderId="0" xfId="0" applyFont="1"/>
    <xf numFmtId="0" fontId="2" fillId="0" borderId="0" xfId="0" applyFont="1" applyAlignment="1">
      <alignment wrapText="1"/>
    </xf>
    <xf numFmtId="0" fontId="1" fillId="0" borderId="1" xfId="0" applyFont="1" applyBorder="1"/>
    <xf numFmtId="0" fontId="1" fillId="0" borderId="1"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4" xfId="0" applyFont="1" applyBorder="1"/>
    <xf numFmtId="0" fontId="2" fillId="0" borderId="3" xfId="0" applyFont="1" applyBorder="1"/>
    <xf numFmtId="0" fontId="1" fillId="0" borderId="5" xfId="0" applyFont="1" applyBorder="1"/>
    <xf numFmtId="0" fontId="1" fillId="0" borderId="6" xfId="0" applyFont="1" applyBorder="1" applyAlignment="1">
      <alignment wrapText="1"/>
    </xf>
    <xf numFmtId="7" fontId="0" fillId="0" borderId="7" xfId="0" applyNumberFormat="1" applyBorder="1"/>
    <xf numFmtId="0" fontId="1" fillId="0" borderId="8" xfId="0" applyFont="1" applyBorder="1"/>
    <xf numFmtId="7" fontId="0" fillId="0" borderId="6" xfId="0" applyNumberFormat="1" applyBorder="1"/>
    <xf numFmtId="0" fontId="1" fillId="0" borderId="6" xfId="0" applyFont="1" applyBorder="1"/>
    <xf numFmtId="0" fontId="1" fillId="0" borderId="9" xfId="0" applyFont="1" applyBorder="1"/>
    <xf numFmtId="0" fontId="1" fillId="0" borderId="10" xfId="0" applyFont="1" applyBorder="1" applyAlignment="1">
      <alignment wrapText="1"/>
    </xf>
    <xf numFmtId="7" fontId="0" fillId="0" borderId="1" xfId="0" applyNumberFormat="1" applyBorder="1"/>
    <xf numFmtId="0" fontId="1" fillId="0" borderId="11" xfId="0" applyFont="1" applyBorder="1"/>
    <xf numFmtId="7" fontId="0" fillId="0" borderId="10" xfId="0" applyNumberFormat="1" applyBorder="1"/>
    <xf numFmtId="0" fontId="1" fillId="0" borderId="2" xfId="0" applyFont="1" applyBorder="1"/>
    <xf numFmtId="0" fontId="1" fillId="0" borderId="3" xfId="0" applyFont="1" applyBorder="1" applyAlignment="1">
      <alignment wrapText="1"/>
    </xf>
    <xf numFmtId="7" fontId="0" fillId="0" borderId="12" xfId="0" applyNumberFormat="1" applyBorder="1"/>
    <xf numFmtId="0" fontId="1" fillId="0" borderId="4" xfId="0" applyFont="1" applyBorder="1"/>
    <xf numFmtId="7" fontId="0" fillId="0" borderId="3" xfId="0" applyNumberFormat="1" applyBorder="1"/>
    <xf numFmtId="0" fontId="0" fillId="0" borderId="0" xfId="0" applyAlignment="1">
      <alignment wrapText="1"/>
    </xf>
    <xf numFmtId="0" fontId="0" fillId="0" borderId="13" xfId="0" applyBorder="1"/>
    <xf numFmtId="0" fontId="0" fillId="0" borderId="14" xfId="0" applyBorder="1" applyAlignment="1">
      <alignment wrapText="1"/>
    </xf>
    <xf numFmtId="0" fontId="0" fillId="0" borderId="14" xfId="0" applyBorder="1"/>
    <xf numFmtId="0" fontId="0" fillId="0" borderId="15" xfId="0" applyBorder="1"/>
    <xf numFmtId="0" fontId="0" fillId="0" borderId="16" xfId="0" applyBorder="1"/>
    <xf numFmtId="0" fontId="0" fillId="0" borderId="17" xfId="0" applyBorder="1" applyAlignment="1">
      <alignment wrapText="1"/>
    </xf>
    <xf numFmtId="0" fontId="0" fillId="0" borderId="17" xfId="0" applyBorder="1"/>
    <xf numFmtId="0" fontId="0" fillId="0" borderId="18" xfId="0" applyBorder="1"/>
    <xf numFmtId="0" fontId="0" fillId="2" borderId="17" xfId="0" applyFill="1" applyBorder="1"/>
    <xf numFmtId="3" fontId="0" fillId="0" borderId="17" xfId="0" applyNumberFormat="1" applyBorder="1"/>
    <xf numFmtId="8" fontId="0" fillId="0" borderId="18" xfId="0" applyNumberFormat="1" applyBorder="1"/>
    <xf numFmtId="8" fontId="0" fillId="0" borderId="17" xfId="0" applyNumberFormat="1" applyBorder="1"/>
    <xf numFmtId="9" fontId="0" fillId="2" borderId="17" xfId="0" applyNumberFormat="1" applyFill="1" applyBorder="1"/>
    <xf numFmtId="0" fontId="0" fillId="0" borderId="19" xfId="0" applyBorder="1"/>
    <xf numFmtId="0" fontId="0" fillId="0" borderId="20" xfId="0" applyBorder="1" applyAlignment="1">
      <alignment wrapText="1"/>
    </xf>
    <xf numFmtId="0" fontId="0" fillId="0" borderId="20" xfId="0" applyBorder="1"/>
    <xf numFmtId="8" fontId="0" fillId="0" borderId="21" xfId="0" applyNumberFormat="1" applyBorder="1"/>
    <xf numFmtId="0" fontId="3" fillId="0" borderId="0" xfId="0" applyFont="1" applyAlignment="1">
      <alignment vertical="center" wrapText="1"/>
    </xf>
    <xf numFmtId="0" fontId="6" fillId="0" borderId="6" xfId="0" applyFont="1" applyBorder="1" applyAlignment="1">
      <alignment wrapText="1"/>
    </xf>
    <xf numFmtId="0" fontId="5"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0)%20Yellow%20Folder/OneDrive_1_2-20-2026/07)%20CGC%20ACTIVE%20FY26%20DS1%20-%20Blank%20Schedule%20B.xls" TargetMode="External"/><Relationship Id="rId2" Type="http://schemas.openxmlformats.org/officeDocument/2006/relationships/externalLinkPath" Target="https://uscg-my.sharepoint-mil.us/personal/chelsea_clark_uscg_mil/Documents/Desktop/Desktop%20(1)/Cutters%20FY%202026/7)%20ACTIVE%20FY26%20DS/0)%20Yellow%20Folder/OneDrive_1_2-20-2026/07)%20CGC%20ACTIVE%20FY26%20DS1%20-%20Blank%20Schedule%20B.xls" TargetMode="External"/><Relationship Id="rId1" Type="http://schemas.openxmlformats.org/officeDocument/2006/relationships/externalLinkPath" Target="/personal/chelsea_clark_uscg_mil/Documents/Desktop/Desktop%20(1)/Cutters%20FY%202026/7)%20ACTIVE%20FY26%20DS/0)%20Yellow%20Folder/OneDrive_1_2-20-2026/07)%20CGC%20ACTIVE%20FY26%20DS1%20-%20Blank%20Schedule%2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S&amp;S"/>
      <sheetName val="CostEstimateBreakdowns"/>
      <sheetName val="CostEstimateTemplate"/>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E1F53-3134-4BF1-B6E2-FD0D4EA413D3}">
  <dimension ref="A1:F58"/>
  <sheetViews>
    <sheetView tabSelected="1" topLeftCell="A38" zoomScale="115" zoomScaleNormal="115" workbookViewId="0">
      <selection activeCell="B47" sqref="B47"/>
    </sheetView>
  </sheetViews>
  <sheetFormatPr defaultRowHeight="15" x14ac:dyDescent="0.25"/>
  <cols>
    <col min="1" max="1" width="9.140625" bestFit="1" customWidth="1"/>
    <col min="2" max="2" width="59.7109375" customWidth="1"/>
    <col min="3" max="3" width="13.7109375" customWidth="1"/>
    <col min="4" max="4" width="10.7109375" customWidth="1"/>
    <col min="5" max="5" width="9.5703125" customWidth="1"/>
    <col min="6" max="6" width="16.85546875" customWidth="1"/>
  </cols>
  <sheetData>
    <row r="1" spans="1:6" ht="15" customHeight="1" x14ac:dyDescent="0.25">
      <c r="A1" s="1"/>
      <c r="B1" s="2" t="s">
        <v>0</v>
      </c>
      <c r="C1" s="45" t="s">
        <v>77</v>
      </c>
      <c r="D1" s="46"/>
      <c r="E1" s="46"/>
      <c r="F1" s="46"/>
    </row>
    <row r="2" spans="1:6" ht="14.45" customHeight="1" x14ac:dyDescent="0.25">
      <c r="A2" s="1"/>
      <c r="B2" s="2" t="s">
        <v>1</v>
      </c>
      <c r="C2" s="1"/>
      <c r="D2" s="1"/>
      <c r="E2" s="1"/>
      <c r="F2" s="1"/>
    </row>
    <row r="3" spans="1:6" ht="14.45" customHeight="1" x14ac:dyDescent="0.25">
      <c r="A3" s="1"/>
      <c r="B3" s="2"/>
      <c r="C3" s="1"/>
      <c r="D3" s="1"/>
      <c r="E3" s="1"/>
      <c r="F3" s="1"/>
    </row>
    <row r="4" spans="1:6" ht="22.15" customHeight="1" x14ac:dyDescent="0.25">
      <c r="A4" s="1"/>
      <c r="B4" s="43" t="s">
        <v>76</v>
      </c>
      <c r="C4" s="1"/>
      <c r="D4" s="1"/>
      <c r="E4" s="1"/>
      <c r="F4" s="1"/>
    </row>
    <row r="5" spans="1:6" ht="15.75" thickBot="1" x14ac:dyDescent="0.3">
      <c r="A5" s="3"/>
      <c r="B5" s="4"/>
      <c r="C5" s="3"/>
      <c r="D5" s="3"/>
      <c r="E5" s="3"/>
      <c r="F5" s="3"/>
    </row>
    <row r="6" spans="1:6" ht="13.9" customHeight="1" thickTop="1" thickBot="1" x14ac:dyDescent="0.3">
      <c r="A6" s="5" t="s">
        <v>2</v>
      </c>
      <c r="B6" s="6" t="s">
        <v>3</v>
      </c>
      <c r="C6" s="7" t="s">
        <v>4</v>
      </c>
      <c r="D6" s="7" t="s">
        <v>5</v>
      </c>
      <c r="E6" s="7" t="s">
        <v>6</v>
      </c>
      <c r="F6" s="8" t="s">
        <v>7</v>
      </c>
    </row>
    <row r="7" spans="1:6" ht="14.45" customHeight="1" thickTop="1" x14ac:dyDescent="0.25">
      <c r="A7" s="9" t="s">
        <v>8</v>
      </c>
      <c r="B7" s="10" t="s">
        <v>9</v>
      </c>
      <c r="C7" s="11" t="s">
        <v>10</v>
      </c>
      <c r="D7" s="12" t="s">
        <v>11</v>
      </c>
      <c r="E7" s="12"/>
      <c r="F7" s="13" t="str">
        <f>IF($C$7="","",$C$7*$E$7)</f>
        <v/>
      </c>
    </row>
    <row r="8" spans="1:6" ht="14.45" customHeight="1" x14ac:dyDescent="0.25">
      <c r="A8" s="9" t="s">
        <v>12</v>
      </c>
      <c r="B8" s="10" t="s">
        <v>13</v>
      </c>
      <c r="C8" s="11"/>
      <c r="D8" s="12" t="s">
        <v>11</v>
      </c>
      <c r="E8" s="12"/>
      <c r="F8" s="13" t="str">
        <f>IF($C$8="","",$C$8*$E$8)</f>
        <v/>
      </c>
    </row>
    <row r="9" spans="1:6" ht="14.45" customHeight="1" x14ac:dyDescent="0.25">
      <c r="A9" s="9" t="s">
        <v>14</v>
      </c>
      <c r="B9" s="10" t="s">
        <v>15</v>
      </c>
      <c r="C9" s="11" t="s">
        <v>10</v>
      </c>
      <c r="D9" s="12" t="s">
        <v>11</v>
      </c>
      <c r="E9" s="12"/>
      <c r="F9" s="13" t="str">
        <f>IF($C$9="","",$C$9*$E$9)</f>
        <v/>
      </c>
    </row>
    <row r="10" spans="1:6" ht="14.45" customHeight="1" x14ac:dyDescent="0.25">
      <c r="A10" s="9" t="s">
        <v>16</v>
      </c>
      <c r="B10" s="10" t="s">
        <v>17</v>
      </c>
      <c r="C10" s="11" t="s">
        <v>10</v>
      </c>
      <c r="D10" s="12" t="s">
        <v>11</v>
      </c>
      <c r="E10" s="12"/>
      <c r="F10" s="13" t="str">
        <f>IF($C$10="","",$C$10*$E$10)</f>
        <v/>
      </c>
    </row>
    <row r="11" spans="1:6" ht="14.45" customHeight="1" x14ac:dyDescent="0.25">
      <c r="A11" s="9" t="s">
        <v>18</v>
      </c>
      <c r="B11" s="10" t="s">
        <v>19</v>
      </c>
      <c r="C11" s="11" t="s">
        <v>10</v>
      </c>
      <c r="D11" s="12" t="s">
        <v>11</v>
      </c>
      <c r="E11" s="12"/>
      <c r="F11" s="13" t="str">
        <f>IF($C$11="","",$C$11*$E$11)</f>
        <v/>
      </c>
    </row>
    <row r="12" spans="1:6" ht="14.45" customHeight="1" x14ac:dyDescent="0.25">
      <c r="A12" s="9" t="s">
        <v>20</v>
      </c>
      <c r="B12" s="10" t="s">
        <v>21</v>
      </c>
      <c r="C12" s="11" t="s">
        <v>10</v>
      </c>
      <c r="D12" s="12" t="s">
        <v>11</v>
      </c>
      <c r="E12" s="12"/>
      <c r="F12" s="13" t="str">
        <f>IF($C$12="","",$C$12*$E$12)</f>
        <v/>
      </c>
    </row>
    <row r="13" spans="1:6" ht="14.45" customHeight="1" x14ac:dyDescent="0.25">
      <c r="A13" s="9" t="s">
        <v>22</v>
      </c>
      <c r="B13" s="10" t="s">
        <v>23</v>
      </c>
      <c r="C13" s="11" t="s">
        <v>10</v>
      </c>
      <c r="D13" s="12" t="s">
        <v>11</v>
      </c>
      <c r="E13" s="12"/>
      <c r="F13" s="13" t="str">
        <f>IF($C$13="","",$C$13*$E$13)</f>
        <v/>
      </c>
    </row>
    <row r="14" spans="1:6" ht="14.45" customHeight="1" x14ac:dyDescent="0.25">
      <c r="A14" s="9" t="s">
        <v>24</v>
      </c>
      <c r="B14" s="10" t="s">
        <v>25</v>
      </c>
      <c r="C14" s="11" t="s">
        <v>10</v>
      </c>
      <c r="D14" s="12" t="s">
        <v>11</v>
      </c>
      <c r="E14" s="12"/>
      <c r="F14" s="13" t="str">
        <f>IF($C$14="","",$C$14*$E$14)</f>
        <v/>
      </c>
    </row>
    <row r="15" spans="1:6" ht="14.45" customHeight="1" x14ac:dyDescent="0.25">
      <c r="A15" s="9" t="s">
        <v>26</v>
      </c>
      <c r="B15" s="10" t="s">
        <v>27</v>
      </c>
      <c r="C15" s="11" t="s">
        <v>10</v>
      </c>
      <c r="D15" s="12" t="s">
        <v>11</v>
      </c>
      <c r="E15" s="12"/>
      <c r="F15" s="13" t="str">
        <f>IF($C$15="","",$C$15*$E$15)</f>
        <v/>
      </c>
    </row>
    <row r="16" spans="1:6" ht="14.45" customHeight="1" x14ac:dyDescent="0.25">
      <c r="A16" s="9" t="s">
        <v>28</v>
      </c>
      <c r="B16" s="10" t="s">
        <v>29</v>
      </c>
      <c r="C16" s="11" t="s">
        <v>10</v>
      </c>
      <c r="D16" s="12" t="s">
        <v>11</v>
      </c>
      <c r="E16" s="12"/>
      <c r="F16" s="13" t="str">
        <f>IF($C$16="","",$C$16*$E$16)</f>
        <v/>
      </c>
    </row>
    <row r="17" spans="1:6" ht="14.45" customHeight="1" x14ac:dyDescent="0.25">
      <c r="A17" s="9" t="s">
        <v>30</v>
      </c>
      <c r="B17" s="10" t="s">
        <v>31</v>
      </c>
      <c r="C17" s="11" t="s">
        <v>10</v>
      </c>
      <c r="D17" s="12" t="s">
        <v>11</v>
      </c>
      <c r="E17" s="12"/>
      <c r="F17" s="13" t="str">
        <f>IF($C$17="","",$C$17*$E$17)</f>
        <v/>
      </c>
    </row>
    <row r="18" spans="1:6" ht="14.45" customHeight="1" x14ac:dyDescent="0.25">
      <c r="A18" s="9" t="s">
        <v>32</v>
      </c>
      <c r="B18" s="10" t="s">
        <v>33</v>
      </c>
      <c r="C18" s="11" t="s">
        <v>10</v>
      </c>
      <c r="D18" s="12" t="s">
        <v>11</v>
      </c>
      <c r="E18" s="12"/>
      <c r="F18" s="13" t="str">
        <f>IF($C$18="","",$C$18*$E$18)</f>
        <v/>
      </c>
    </row>
    <row r="19" spans="1:6" ht="14.45" customHeight="1" x14ac:dyDescent="0.25">
      <c r="A19" s="9" t="s">
        <v>34</v>
      </c>
      <c r="B19" s="10" t="s">
        <v>35</v>
      </c>
      <c r="C19" s="11" t="s">
        <v>10</v>
      </c>
      <c r="D19" s="12" t="s">
        <v>11</v>
      </c>
      <c r="E19" s="12"/>
      <c r="F19" s="13" t="str">
        <f>IF($C$19="","",$C$19*$E$19)</f>
        <v/>
      </c>
    </row>
    <row r="20" spans="1:6" ht="14.45" customHeight="1" x14ac:dyDescent="0.25">
      <c r="A20" s="9" t="s">
        <v>36</v>
      </c>
      <c r="B20" s="10" t="s">
        <v>37</v>
      </c>
      <c r="C20" s="11" t="s">
        <v>10</v>
      </c>
      <c r="D20" s="12" t="s">
        <v>11</v>
      </c>
      <c r="E20" s="12"/>
      <c r="F20" s="13" t="str">
        <f>IF($C$20="","",$C$20*$E$20)</f>
        <v/>
      </c>
    </row>
    <row r="21" spans="1:6" ht="14.45" customHeight="1" x14ac:dyDescent="0.25">
      <c r="A21" s="9" t="s">
        <v>38</v>
      </c>
      <c r="B21" s="10" t="s">
        <v>39</v>
      </c>
      <c r="C21" s="11" t="s">
        <v>10</v>
      </c>
      <c r="D21" s="12" t="s">
        <v>11</v>
      </c>
      <c r="E21" s="12"/>
      <c r="F21" s="13" t="str">
        <f>IF($C$21="","",$C$21*$E$21)</f>
        <v/>
      </c>
    </row>
    <row r="22" spans="1:6" ht="14.45" customHeight="1" x14ac:dyDescent="0.25">
      <c r="A22" s="9" t="s">
        <v>40</v>
      </c>
      <c r="B22" s="10" t="s">
        <v>41</v>
      </c>
      <c r="C22" s="11" t="s">
        <v>10</v>
      </c>
      <c r="D22" s="12" t="s">
        <v>11</v>
      </c>
      <c r="E22" s="12"/>
      <c r="F22" s="13" t="str">
        <f>IF($C$22="","",$C$22*$E$22)</f>
        <v/>
      </c>
    </row>
    <row r="23" spans="1:6" ht="14.45" customHeight="1" x14ac:dyDescent="0.25">
      <c r="A23" s="9" t="s">
        <v>42</v>
      </c>
      <c r="B23" s="10" t="s">
        <v>43</v>
      </c>
      <c r="C23" s="11" t="s">
        <v>10</v>
      </c>
      <c r="D23" s="12" t="s">
        <v>11</v>
      </c>
      <c r="E23" s="12"/>
      <c r="F23" s="13" t="str">
        <f>IF($C$23="","",$C$23*$E$23)</f>
        <v/>
      </c>
    </row>
    <row r="24" spans="1:6" ht="14.45" customHeight="1" x14ac:dyDescent="0.25">
      <c r="A24" s="9" t="s">
        <v>44</v>
      </c>
      <c r="B24" s="10" t="s">
        <v>45</v>
      </c>
      <c r="C24" s="11" t="s">
        <v>10</v>
      </c>
      <c r="D24" s="12" t="s">
        <v>11</v>
      </c>
      <c r="E24" s="12"/>
      <c r="F24" s="13" t="str">
        <f>IF($C$24="","",$C$24*$E$24)</f>
        <v/>
      </c>
    </row>
    <row r="25" spans="1:6" ht="14.45" customHeight="1" x14ac:dyDescent="0.25">
      <c r="A25" s="9" t="s">
        <v>46</v>
      </c>
      <c r="B25" s="10" t="s">
        <v>47</v>
      </c>
      <c r="C25" s="11" t="s">
        <v>10</v>
      </c>
      <c r="D25" s="12" t="s">
        <v>11</v>
      </c>
      <c r="E25" s="12"/>
      <c r="F25" s="13" t="str">
        <f>IF($C$25="","",$C$25*$E$25)</f>
        <v/>
      </c>
    </row>
    <row r="26" spans="1:6" ht="14.45" customHeight="1" x14ac:dyDescent="0.25">
      <c r="A26" s="9" t="s">
        <v>48</v>
      </c>
      <c r="B26" s="10" t="s">
        <v>49</v>
      </c>
      <c r="C26" s="11" t="s">
        <v>10</v>
      </c>
      <c r="D26" s="12" t="s">
        <v>11</v>
      </c>
      <c r="E26" s="12"/>
      <c r="F26" s="13" t="str">
        <f>IF($C$26="","",$C$26*$E$26)</f>
        <v/>
      </c>
    </row>
    <row r="27" spans="1:6" ht="14.45" customHeight="1" x14ac:dyDescent="0.25">
      <c r="A27" s="9" t="s">
        <v>50</v>
      </c>
      <c r="B27" s="10" t="s">
        <v>51</v>
      </c>
      <c r="C27" s="11" t="s">
        <v>10</v>
      </c>
      <c r="D27" s="12" t="s">
        <v>11</v>
      </c>
      <c r="E27" s="12"/>
      <c r="F27" s="13" t="str">
        <f>IF($C$27="","",$C$27*$E$27)</f>
        <v/>
      </c>
    </row>
    <row r="28" spans="1:6" ht="14.45" customHeight="1" x14ac:dyDescent="0.25">
      <c r="A28" s="9" t="s">
        <v>52</v>
      </c>
      <c r="B28" s="10" t="s">
        <v>53</v>
      </c>
      <c r="C28" s="11" t="s">
        <v>10</v>
      </c>
      <c r="D28" s="12" t="s">
        <v>11</v>
      </c>
      <c r="E28" s="12"/>
      <c r="F28" s="13" t="str">
        <f>IF($C$28="","",$C$28*$E$28)</f>
        <v/>
      </c>
    </row>
    <row r="29" spans="1:6" ht="14.45" customHeight="1" x14ac:dyDescent="0.25">
      <c r="A29" s="9" t="s">
        <v>54</v>
      </c>
      <c r="B29" s="10" t="s">
        <v>55</v>
      </c>
      <c r="C29" s="11" t="s">
        <v>10</v>
      </c>
      <c r="D29" s="12" t="s">
        <v>11</v>
      </c>
      <c r="E29" s="12"/>
      <c r="F29" s="13" t="str">
        <f>IF($C$29="","",$C$29*$E$29)</f>
        <v/>
      </c>
    </row>
    <row r="30" spans="1:6" ht="14.45" customHeight="1" x14ac:dyDescent="0.25">
      <c r="A30" s="9" t="s">
        <v>56</v>
      </c>
      <c r="B30" s="10" t="s">
        <v>57</v>
      </c>
      <c r="C30" s="11" t="s">
        <v>10</v>
      </c>
      <c r="D30" s="12" t="s">
        <v>11</v>
      </c>
      <c r="E30" s="12"/>
      <c r="F30" s="13" t="str">
        <f>IF($C$30="","",$C$30*$E$30)</f>
        <v/>
      </c>
    </row>
    <row r="31" spans="1:6" ht="14.45" customHeight="1" x14ac:dyDescent="0.25">
      <c r="A31" s="9" t="s">
        <v>58</v>
      </c>
      <c r="B31" s="10" t="s">
        <v>59</v>
      </c>
      <c r="C31" s="10"/>
      <c r="D31" s="12" t="s">
        <v>11</v>
      </c>
      <c r="E31" s="12"/>
      <c r="F31" s="13" t="str">
        <f>IF($C$31="","",$C$31*$E$31)</f>
        <v/>
      </c>
    </row>
    <row r="32" spans="1:6" ht="14.45" customHeight="1" x14ac:dyDescent="0.25">
      <c r="A32" s="9" t="s">
        <v>60</v>
      </c>
      <c r="B32" s="10" t="s">
        <v>61</v>
      </c>
      <c r="C32" s="10" t="s">
        <v>10</v>
      </c>
      <c r="D32" s="12" t="s">
        <v>62</v>
      </c>
      <c r="E32" s="12">
        <f>IF($C$30="",0,ROUND(INT(SUMIF($A$5:$A$28,"D-*",$F$5:$F$28)/$C$30*C32/100),-1))</f>
        <v>0</v>
      </c>
      <c r="F32" s="13" t="str">
        <f>IF($C$32="","",$C$32*$E$32)</f>
        <v/>
      </c>
    </row>
    <row r="33" spans="1:6" ht="14.45" customHeight="1" x14ac:dyDescent="0.25">
      <c r="A33" s="9" t="s">
        <v>63</v>
      </c>
      <c r="B33" s="10" t="s">
        <v>64</v>
      </c>
      <c r="C33" s="12" t="s">
        <v>65</v>
      </c>
      <c r="D33" s="12" t="s">
        <v>66</v>
      </c>
      <c r="E33" s="12"/>
      <c r="F33" s="14"/>
    </row>
    <row r="34" spans="1:6" ht="14.45" customHeight="1" x14ac:dyDescent="0.25">
      <c r="A34" s="9" t="s">
        <v>67</v>
      </c>
      <c r="B34" s="10" t="s">
        <v>68</v>
      </c>
      <c r="C34" s="11" t="str">
        <f>IF([1]CostEstimateTemplate!C3=0,"",ROUND((9.036/$C$30*SUMIF($A$5:$A$28,"D-*",$F$5:$F$28))+1600,-2))</f>
        <v/>
      </c>
      <c r="D34" s="12" t="s">
        <v>11</v>
      </c>
      <c r="E34" s="12"/>
      <c r="F34" s="13"/>
    </row>
    <row r="35" spans="1:6" ht="14.45" customHeight="1" x14ac:dyDescent="0.25">
      <c r="A35" s="9"/>
      <c r="B35" s="10" t="s">
        <v>69</v>
      </c>
      <c r="C35" s="11"/>
      <c r="D35" s="12"/>
      <c r="E35" s="12"/>
      <c r="F35" s="13">
        <f>SUM(F7:F18, F21:F31, F33:F34)</f>
        <v>0</v>
      </c>
    </row>
    <row r="36" spans="1:6" ht="14.45" customHeight="1" thickBot="1" x14ac:dyDescent="0.3">
      <c r="A36" s="15"/>
      <c r="B36" s="16" t="s">
        <v>70</v>
      </c>
      <c r="C36" s="17"/>
      <c r="D36" s="18"/>
      <c r="E36" s="18"/>
      <c r="F36" s="19">
        <f>SUM(F19, F20, F32)</f>
        <v>0</v>
      </c>
    </row>
    <row r="37" spans="1:6" ht="14.45" customHeight="1" thickTop="1" thickBot="1" x14ac:dyDescent="0.3">
      <c r="A37" s="20"/>
      <c r="B37" s="21" t="s">
        <v>71</v>
      </c>
      <c r="C37" s="22"/>
      <c r="D37" s="23"/>
      <c r="E37" s="23"/>
      <c r="F37" s="24">
        <f>SUM(F35, F36)</f>
        <v>0</v>
      </c>
    </row>
    <row r="38" spans="1:6" ht="16.5" thickTop="1" thickBot="1" x14ac:dyDescent="0.3">
      <c r="B38" s="25"/>
    </row>
    <row r="39" spans="1:6" ht="14.45" customHeight="1" x14ac:dyDescent="0.25">
      <c r="A39" s="26"/>
      <c r="B39" s="27" t="s">
        <v>82</v>
      </c>
      <c r="C39" s="28"/>
      <c r="D39" s="28"/>
      <c r="E39" s="28"/>
      <c r="F39" s="29"/>
    </row>
    <row r="40" spans="1:6" ht="104.45" customHeight="1" x14ac:dyDescent="0.25">
      <c r="A40" s="30"/>
      <c r="B40" s="44" t="s">
        <v>78</v>
      </c>
      <c r="C40" s="32"/>
      <c r="D40" s="32"/>
      <c r="E40" s="32"/>
      <c r="F40" s="33"/>
    </row>
    <row r="41" spans="1:6" ht="14.45" customHeight="1" x14ac:dyDescent="0.25">
      <c r="A41" s="30"/>
      <c r="B41" s="31" t="s">
        <v>72</v>
      </c>
      <c r="C41" s="32"/>
      <c r="D41" s="32"/>
      <c r="E41" s="32"/>
      <c r="F41" s="33"/>
    </row>
    <row r="42" spans="1:6" ht="14.45" customHeight="1" x14ac:dyDescent="0.25">
      <c r="A42" s="30" t="s">
        <v>73</v>
      </c>
      <c r="B42" s="31" t="s">
        <v>79</v>
      </c>
      <c r="C42" s="34"/>
      <c r="D42" s="32" t="s">
        <v>62</v>
      </c>
      <c r="E42" s="35">
        <v>1092</v>
      </c>
      <c r="F42" s="36">
        <f>SUM(C42*E42)</f>
        <v>0</v>
      </c>
    </row>
    <row r="43" spans="1:6" ht="15" customHeight="1" x14ac:dyDescent="0.25">
      <c r="A43" s="30" t="s">
        <v>74</v>
      </c>
      <c r="B43" s="31" t="s">
        <v>80</v>
      </c>
      <c r="C43" s="37">
        <v>42114</v>
      </c>
      <c r="D43" s="32" t="s">
        <v>75</v>
      </c>
      <c r="E43" s="38"/>
      <c r="F43" s="36">
        <f>SUM(C43*E43)</f>
        <v>0</v>
      </c>
    </row>
    <row r="44" spans="1:6" ht="14.45" customHeight="1" thickBot="1" x14ac:dyDescent="0.3">
      <c r="A44" s="39"/>
      <c r="B44" s="40" t="s">
        <v>81</v>
      </c>
      <c r="C44" s="41"/>
      <c r="D44" s="41"/>
      <c r="E44" s="41"/>
      <c r="F44" s="42">
        <f>SUM(F42:F43)</f>
        <v>0</v>
      </c>
    </row>
    <row r="45" spans="1:6" x14ac:dyDescent="0.25">
      <c r="B45" s="25"/>
    </row>
    <row r="46" spans="1:6" x14ac:dyDescent="0.25">
      <c r="B46" s="25"/>
    </row>
    <row r="47" spans="1:6" x14ac:dyDescent="0.25">
      <c r="B47" s="25"/>
    </row>
    <row r="48" spans="1:6" x14ac:dyDescent="0.25">
      <c r="B48" s="25"/>
    </row>
    <row r="49" spans="2:2" x14ac:dyDescent="0.25">
      <c r="B49" s="25"/>
    </row>
    <row r="50" spans="2:2" x14ac:dyDescent="0.25">
      <c r="B50" s="25"/>
    </row>
    <row r="51" spans="2:2" x14ac:dyDescent="0.25">
      <c r="B51" s="25"/>
    </row>
    <row r="52" spans="2:2" x14ac:dyDescent="0.25">
      <c r="B52" s="25"/>
    </row>
    <row r="53" spans="2:2" x14ac:dyDescent="0.25">
      <c r="B53" s="25"/>
    </row>
    <row r="54" spans="2:2" x14ac:dyDescent="0.25">
      <c r="B54" s="25"/>
    </row>
    <row r="55" spans="2:2" x14ac:dyDescent="0.25">
      <c r="B55" s="25"/>
    </row>
    <row r="56" spans="2:2" x14ac:dyDescent="0.25">
      <c r="B56" s="25"/>
    </row>
    <row r="57" spans="2:2" x14ac:dyDescent="0.25">
      <c r="B57" s="25"/>
    </row>
    <row r="58" spans="2:2" x14ac:dyDescent="0.25">
      <c r="B58" s="25"/>
    </row>
  </sheetData>
  <mergeCells count="1">
    <mergeCell ref="C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States Coast Guard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 Chelsea CIV (USA)</dc:creator>
  <cp:lastModifiedBy>Clark, Chelsea CIV (USA)</cp:lastModifiedBy>
  <dcterms:created xsi:type="dcterms:W3CDTF">2026-04-03T14:37:47Z</dcterms:created>
  <dcterms:modified xsi:type="dcterms:W3CDTF">2026-04-16T12:07:34Z</dcterms:modified>
</cp:coreProperties>
</file>