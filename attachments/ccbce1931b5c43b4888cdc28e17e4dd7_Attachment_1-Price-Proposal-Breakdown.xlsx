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os.sharepoint.com/sites/FrankFurtHome/Internal/FRNRPSOSectionShare/Actions in progress (by agent)/Arnold, Guido/19GE5026Q0044-Gaborone-Landscaping/II - Solicitation Documents/Attachments/"/>
    </mc:Choice>
  </mc:AlternateContent>
  <xr:revisionPtr revIDLastSave="327" documentId="8_{E4E3DE7B-B1DC-4658-9EBC-3586D723B324}" xr6:coauthVersionLast="47" xr6:coauthVersionMax="47" xr10:uidLastSave="{11EB6C8B-FA1D-4DEE-9E48-D2425AC32E43}"/>
  <bookViews>
    <workbookView xWindow="-120" yWindow="-120" windowWidth="29040" windowHeight="15720" xr2:uid="{30F72F3D-B4DA-4575-81F5-0923F09237BE}"/>
  </bookViews>
  <sheets>
    <sheet name="Sheet1" sheetId="1" r:id="rId1"/>
  </sheets>
  <definedNames>
    <definedName name="_xlnm.Print_Area" localSheetId="0">Sheet1!$K$1:$O$18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H14" i="1"/>
  <c r="I14" i="1"/>
  <c r="J14" i="1"/>
  <c r="F14" i="1"/>
  <c r="G12" i="1"/>
  <c r="H12" i="1"/>
  <c r="I12" i="1"/>
  <c r="J12" i="1"/>
  <c r="F12" i="1"/>
  <c r="G10" i="1"/>
  <c r="H10" i="1"/>
  <c r="I10" i="1"/>
  <c r="J10" i="1"/>
  <c r="F10" i="1"/>
  <c r="G5" i="1"/>
  <c r="H5" i="1"/>
  <c r="I5" i="1"/>
  <c r="J5" i="1"/>
  <c r="F5" i="1"/>
  <c r="K14" i="1" l="1"/>
  <c r="K10" i="1"/>
  <c r="K5" i="1"/>
  <c r="K2" i="1"/>
  <c r="L4" i="1"/>
  <c r="L7" i="1"/>
  <c r="L8" i="1"/>
  <c r="L11" i="1"/>
  <c r="L13" i="1"/>
  <c r="K15" i="1"/>
  <c r="K13" i="1"/>
  <c r="K12" i="1"/>
  <c r="K11" i="1"/>
  <c r="K9" i="1"/>
  <c r="K8" i="1"/>
  <c r="K7" i="1"/>
  <c r="K6" i="1"/>
  <c r="K4" i="1"/>
  <c r="K3" i="1"/>
  <c r="M7" i="1" l="1"/>
  <c r="M4" i="1"/>
  <c r="L5" i="1"/>
  <c r="L10" i="1"/>
  <c r="N7" i="1"/>
  <c r="O7" i="1"/>
  <c r="K16" i="1"/>
  <c r="F22" i="1" s="1"/>
  <c r="M14" i="1"/>
  <c r="M6" i="1"/>
  <c r="M15" i="1"/>
  <c r="M9" i="1"/>
  <c r="O3" i="1"/>
  <c r="N3" i="1"/>
  <c r="L14" i="1"/>
  <c r="L12" i="1"/>
  <c r="M12" i="1"/>
  <c r="M10" i="1"/>
  <c r="L9" i="1"/>
  <c r="L6" i="1"/>
  <c r="L15" i="1"/>
  <c r="L2" i="1"/>
  <c r="M2" i="1"/>
  <c r="O2" i="1"/>
  <c r="L3" i="1"/>
  <c r="M3" i="1"/>
  <c r="N2" i="1"/>
  <c r="N4" i="1" l="1"/>
  <c r="O4" i="1"/>
  <c r="L16" i="1"/>
  <c r="F23" i="1" s="1"/>
  <c r="M13" i="1"/>
  <c r="N14" i="1"/>
  <c r="M8" i="1"/>
  <c r="N10" i="1"/>
  <c r="N9" i="1"/>
  <c r="O9" i="1"/>
  <c r="N6" i="1"/>
  <c r="M11" i="1"/>
  <c r="N12" i="1"/>
  <c r="O15" i="1"/>
  <c r="N15" i="1"/>
  <c r="M5" i="1"/>
  <c r="O6" i="1" l="1"/>
  <c r="M16" i="1"/>
  <c r="F24" i="1" s="1"/>
  <c r="N13" i="1"/>
  <c r="N11" i="1"/>
  <c r="O5" i="1"/>
  <c r="N5" i="1"/>
  <c r="N8" i="1"/>
  <c r="O8" i="1"/>
  <c r="O13" i="1" l="1"/>
  <c r="O14" i="1"/>
  <c r="O10" i="1"/>
  <c r="O11" i="1"/>
  <c r="O12" i="1"/>
  <c r="N16" i="1"/>
  <c r="F25" i="1" s="1"/>
  <c r="O16" i="1" l="1"/>
  <c r="O18" i="1" l="1"/>
  <c r="F26" i="1"/>
  <c r="F28" i="1" s="1"/>
</calcChain>
</file>

<file path=xl/sharedStrings.xml><?xml version="1.0" encoding="utf-8"?>
<sst xmlns="http://schemas.openxmlformats.org/spreadsheetml/2006/main" count="67" uniqueCount="55">
  <si>
    <t>CLIN</t>
  </si>
  <si>
    <t>Description</t>
  </si>
  <si>
    <t>Base year</t>
  </si>
  <si>
    <t>OY1</t>
  </si>
  <si>
    <t>OY2</t>
  </si>
  <si>
    <t>OY3</t>
  </si>
  <si>
    <t>OY4</t>
  </si>
  <si>
    <t>Unit</t>
  </si>
  <si>
    <t>Month</t>
  </si>
  <si>
    <t>Defense Base Act (DBA) Insurance, if applicable (See Section B.3)</t>
  </si>
  <si>
    <t>VAT as a line item Program Residences (Lines 5-8)</t>
  </si>
  <si>
    <t>VAT as a line item for MSGQR</t>
  </si>
  <si>
    <t>VAT as a line item for G-West CDC</t>
  </si>
  <si>
    <t>Each</t>
  </si>
  <si>
    <t>VAT as a line item for ICASS Residences (Lines 1-3)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</si>
  <si>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</si>
  <si>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</si>
  <si>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</si>
  <si>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</si>
  <si>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</si>
  <si>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</si>
  <si>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</si>
  <si>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</si>
  <si>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</si>
  <si>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</si>
  <si>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</si>
  <si>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</si>
  <si>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</si>
  <si>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</si>
  <si>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 xml:space="preserve">All option Years: </t>
  </si>
  <si>
    <t>VAT rate</t>
  </si>
  <si>
    <t>Quantity</t>
  </si>
  <si>
    <t>Total Base</t>
  </si>
  <si>
    <t>Total OY1</t>
  </si>
  <si>
    <t>Total OY2</t>
  </si>
  <si>
    <t>Total OY3</t>
  </si>
  <si>
    <t>Total OY4</t>
  </si>
  <si>
    <t>BASE YEAR Primary Services:</t>
  </si>
  <si>
    <t>FIRST OPTION YEAR Primary Services:</t>
  </si>
  <si>
    <t xml:space="preserve">SECOND OPTION YEAR Primary Services: </t>
  </si>
  <si>
    <t>THIRD OPTION YEAR Primary Services:</t>
  </si>
  <si>
    <t xml:space="preserve">FOURTH OPTION YEAR Primary Services: </t>
  </si>
  <si>
    <t>GRAND TOTAL Primary Services:</t>
  </si>
  <si>
    <t>Chancery
Landscaping Maintenance.</t>
  </si>
  <si>
    <t>Rec Center
Landscaping Maintenance.</t>
  </si>
  <si>
    <t xml:space="preserve">Health Unit
Landscaping Maintenance. </t>
  </si>
  <si>
    <t>CMR
Landscaping Maintenance.</t>
  </si>
  <si>
    <t xml:space="preserve">DCMR
Landscaping Maintenance.  </t>
  </si>
  <si>
    <t xml:space="preserve">Common Areas
Landscaping Maintenance. </t>
  </si>
  <si>
    <t xml:space="preserve">AHAAP House
Landscaping Maintenance.  </t>
  </si>
  <si>
    <t>MSGR
Landscaping Maintenance.</t>
  </si>
  <si>
    <t>G. West CDC
Landscaping Maintenance.</t>
  </si>
  <si>
    <t>Currency</t>
  </si>
  <si>
    <t>The currency shall be fixed and cannot be changed by modification to the contract. The offeror shall insert the prices, and the currency in which the offer is made, below:</t>
  </si>
  <si>
    <r>
      <t>Currency:  __________________</t>
    </r>
    <r>
      <rPr>
        <sz val="8"/>
        <color theme="1"/>
        <rFont val="Times New Roman"/>
        <family val="1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</si>
</sst>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80C]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rial"/>
      <family val="2"/>
    </font>
    <font>
      <sz val="8"/>
      <color theme="1"/>
      <name val="Times New Roman"/>
      <family val="1"/>
    </font>
    <font>
      <b/>
      <sz val="12"/>
      <color theme="1"/>
      <name val="Arial"/>
      <family val="2"/>
    </font>
    <font>
      <sz val="10"/>
      <color theme="1"/>
      <name val="Aptos Narrow"/>
      <family val="2"/>
      <scheme val="minor"/>
    </font>
    <font>
      <sz val="10"/>
      <color theme="1"/>
      <name val="Aptos Narrow"/>
      <family val="2"/>
    </font>
    <font>
      <b/>
      <sz val="10"/>
      <color theme="1"/>
      <name val="Aptos Narrow"/>
      <family val="2"/>
      <scheme val="minor"/>
    </font>
    <font>
      <b/>
      <sz val="16"/>
      <name val="EB Garamond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 wrapText="1"/>
    </xf>
    <xf numFmtId="9" fontId="0" fillId="0" borderId="0" xfId="0" applyNumberFormat="1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2" xfId="0" quotePrefix="1" applyBorder="1"/>
    <xf numFmtId="0" fontId="1" fillId="0" borderId="2" xfId="0" applyFont="1" applyBorder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4" fontId="0" fillId="2" borderId="2" xfId="0" applyNumberFormat="1" applyFill="1" applyBorder="1"/>
    <xf numFmtId="4" fontId="0" fillId="0" borderId="2" xfId="0" applyNumberFormat="1" applyBorder="1"/>
    <xf numFmtId="4" fontId="2" fillId="0" borderId="2" xfId="0" applyNumberFormat="1" applyFont="1" applyBorder="1"/>
    <xf numFmtId="4" fontId="2" fillId="0" borderId="3" xfId="0" applyNumberFormat="1" applyFont="1" applyBorder="1"/>
    <xf numFmtId="4" fontId="8" fillId="0" borderId="0" xfId="0" applyNumberFormat="1" applyFont="1" applyAlignment="1">
      <alignment vertical="center"/>
    </xf>
    <xf numFmtId="4" fontId="7" fillId="0" borderId="0" xfId="0" applyNumberFormat="1" applyFont="1"/>
    <xf numFmtId="4" fontId="9" fillId="0" borderId="1" xfId="0" applyNumberFormat="1" applyFont="1" applyBorder="1"/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4E42A-AFF5-4828-B229-950B89FA41D3}">
  <dimension ref="A1:Q34"/>
  <sheetViews>
    <sheetView tabSelected="1" workbookViewId="0">
      <selection activeCell="H27" sqref="H27"/>
    </sheetView>
  </sheetViews>
  <sheetFormatPr defaultRowHeight="15" x14ac:dyDescent="0.25"/>
  <cols>
    <col min="1" max="1" width="3" customWidth="1"/>
    <col min="2" max="2" width="5" bestFit="1" customWidth="1"/>
    <col min="3" max="3" width="36.85546875" customWidth="1"/>
    <col min="4" max="4" width="6.7109375" bestFit="1" customWidth="1"/>
    <col min="5" max="5" width="8.5703125" customWidth="1"/>
    <col min="6" max="6" width="16.5703125" customWidth="1"/>
    <col min="7" max="7" width="12.5703125" bestFit="1" customWidth="1"/>
    <col min="8" max="9" width="11" bestFit="1" customWidth="1"/>
    <col min="10" max="10" width="12.5703125" bestFit="1" customWidth="1"/>
    <col min="11" max="15" width="16.28515625" customWidth="1"/>
    <col min="16" max="16" width="15.85546875" bestFit="1" customWidth="1"/>
    <col min="17" max="17" width="13.85546875" bestFit="1" customWidth="1"/>
  </cols>
  <sheetData>
    <row r="1" spans="1:17" x14ac:dyDescent="0.25">
      <c r="A1" s="4"/>
      <c r="B1" s="4" t="s">
        <v>0</v>
      </c>
      <c r="C1" s="4" t="s">
        <v>1</v>
      </c>
      <c r="D1" s="4" t="s">
        <v>7</v>
      </c>
      <c r="E1" s="5" t="s">
        <v>31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5" t="s">
        <v>32</v>
      </c>
      <c r="L1" s="5" t="s">
        <v>33</v>
      </c>
      <c r="M1" s="5" t="s">
        <v>34</v>
      </c>
      <c r="N1" s="5" t="s">
        <v>35</v>
      </c>
      <c r="O1" s="5" t="s">
        <v>36</v>
      </c>
      <c r="P1" s="4"/>
      <c r="Q1" s="4"/>
    </row>
    <row r="2" spans="1:17" ht="31.5" x14ac:dyDescent="0.25">
      <c r="A2" s="4"/>
      <c r="B2" s="6" t="s">
        <v>15</v>
      </c>
      <c r="C2" s="7" t="s">
        <v>43</v>
      </c>
      <c r="D2" s="10" t="s">
        <v>8</v>
      </c>
      <c r="E2" s="4">
        <v>12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5">
        <f>F2*$E2</f>
        <v>0</v>
      </c>
      <c r="L2" s="15">
        <f>G2*$E2</f>
        <v>0</v>
      </c>
      <c r="M2" s="15">
        <f>H2*$E2</f>
        <v>0</v>
      </c>
      <c r="N2" s="15">
        <f>I2*$E2</f>
        <v>0</v>
      </c>
      <c r="O2" s="15">
        <f>J2*$E2</f>
        <v>0</v>
      </c>
      <c r="P2" s="4"/>
      <c r="Q2" s="4"/>
    </row>
    <row r="3" spans="1:17" ht="31.5" x14ac:dyDescent="0.25">
      <c r="A3" s="4"/>
      <c r="B3" s="6" t="s">
        <v>16</v>
      </c>
      <c r="C3" s="7" t="s">
        <v>44</v>
      </c>
      <c r="D3" s="10" t="s">
        <v>8</v>
      </c>
      <c r="E3" s="4">
        <v>12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5">
        <f t="shared" ref="K3:K15" si="0">F3*E3</f>
        <v>0</v>
      </c>
      <c r="L3" s="15">
        <f t="shared" ref="L3:L15" si="1">G3*$E3</f>
        <v>0</v>
      </c>
      <c r="M3" s="15">
        <f t="shared" ref="M3:M15" si="2">H3*$E3</f>
        <v>0</v>
      </c>
      <c r="N3" s="15">
        <f t="shared" ref="N3:N15" si="3">I3*$E3</f>
        <v>0</v>
      </c>
      <c r="O3" s="15">
        <f t="shared" ref="O3:O15" si="4">J3*$E3</f>
        <v>0</v>
      </c>
      <c r="P3" s="4"/>
      <c r="Q3" s="4"/>
    </row>
    <row r="4" spans="1:17" ht="31.5" x14ac:dyDescent="0.25">
      <c r="A4" s="4"/>
      <c r="B4" s="6" t="s">
        <v>17</v>
      </c>
      <c r="C4" s="7" t="s">
        <v>45</v>
      </c>
      <c r="D4" s="10" t="s">
        <v>8</v>
      </c>
      <c r="E4" s="4">
        <v>12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5">
        <f t="shared" si="0"/>
        <v>0</v>
      </c>
      <c r="L4" s="15">
        <f t="shared" si="1"/>
        <v>0</v>
      </c>
      <c r="M4" s="15">
        <f t="shared" si="2"/>
        <v>0</v>
      </c>
      <c r="N4" s="15">
        <f t="shared" si="3"/>
        <v>0</v>
      </c>
      <c r="O4" s="15">
        <f t="shared" si="4"/>
        <v>0</v>
      </c>
      <c r="P4" s="4"/>
      <c r="Q4" s="4"/>
    </row>
    <row r="5" spans="1:17" ht="31.5" x14ac:dyDescent="0.25">
      <c r="A5" s="4"/>
      <c r="B5" s="6" t="s">
        <v>18</v>
      </c>
      <c r="C5" s="7" t="s">
        <v>14</v>
      </c>
      <c r="D5" s="10" t="s">
        <v>13</v>
      </c>
      <c r="E5" s="4">
        <v>12</v>
      </c>
      <c r="F5" s="15">
        <f>SUM(F2:F4)*$F$18</f>
        <v>0</v>
      </c>
      <c r="G5" s="15">
        <f t="shared" ref="G5:J5" si="5">SUM(G2:G4)*$F$18</f>
        <v>0</v>
      </c>
      <c r="H5" s="15">
        <f t="shared" si="5"/>
        <v>0</v>
      </c>
      <c r="I5" s="15">
        <f t="shared" si="5"/>
        <v>0</v>
      </c>
      <c r="J5" s="15">
        <f t="shared" si="5"/>
        <v>0</v>
      </c>
      <c r="K5" s="15">
        <f t="shared" si="0"/>
        <v>0</v>
      </c>
      <c r="L5" s="15">
        <f t="shared" si="1"/>
        <v>0</v>
      </c>
      <c r="M5" s="15">
        <f t="shared" si="2"/>
        <v>0</v>
      </c>
      <c r="N5" s="15">
        <f t="shared" si="3"/>
        <v>0</v>
      </c>
      <c r="O5" s="15">
        <f t="shared" si="4"/>
        <v>0</v>
      </c>
      <c r="P5" s="4"/>
      <c r="Q5" s="4"/>
    </row>
    <row r="6" spans="1:17" ht="31.5" x14ac:dyDescent="0.25">
      <c r="A6" s="4"/>
      <c r="B6" s="6" t="s">
        <v>19</v>
      </c>
      <c r="C6" s="7" t="s">
        <v>46</v>
      </c>
      <c r="D6" s="10" t="s">
        <v>8</v>
      </c>
      <c r="E6" s="4">
        <v>12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5">
        <f t="shared" si="0"/>
        <v>0</v>
      </c>
      <c r="L6" s="15">
        <f t="shared" si="1"/>
        <v>0</v>
      </c>
      <c r="M6" s="15">
        <f t="shared" si="2"/>
        <v>0</v>
      </c>
      <c r="N6" s="15">
        <f t="shared" si="3"/>
        <v>0</v>
      </c>
      <c r="O6" s="15">
        <f t="shared" si="4"/>
        <v>0</v>
      </c>
      <c r="P6" s="4"/>
      <c r="Q6" s="4"/>
    </row>
    <row r="7" spans="1:17" ht="31.5" x14ac:dyDescent="0.25">
      <c r="A7" s="4"/>
      <c r="B7" s="6" t="s">
        <v>20</v>
      </c>
      <c r="C7" s="7" t="s">
        <v>47</v>
      </c>
      <c r="D7" s="10" t="s">
        <v>8</v>
      </c>
      <c r="E7" s="4">
        <v>12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5">
        <f t="shared" si="0"/>
        <v>0</v>
      </c>
      <c r="L7" s="15">
        <f t="shared" si="1"/>
        <v>0</v>
      </c>
      <c r="M7" s="15">
        <f t="shared" si="2"/>
        <v>0</v>
      </c>
      <c r="N7" s="15">
        <f t="shared" si="3"/>
        <v>0</v>
      </c>
      <c r="O7" s="15">
        <f t="shared" si="4"/>
        <v>0</v>
      </c>
      <c r="P7" s="4"/>
      <c r="Q7" s="4"/>
    </row>
    <row r="8" spans="1:17" ht="31.5" x14ac:dyDescent="0.25">
      <c r="A8" s="4"/>
      <c r="B8" s="6" t="s">
        <v>21</v>
      </c>
      <c r="C8" s="7" t="s">
        <v>48</v>
      </c>
      <c r="D8" s="10" t="s">
        <v>8</v>
      </c>
      <c r="E8" s="4">
        <v>12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5">
        <f t="shared" si="0"/>
        <v>0</v>
      </c>
      <c r="L8" s="15">
        <f t="shared" si="1"/>
        <v>0</v>
      </c>
      <c r="M8" s="15">
        <f t="shared" si="2"/>
        <v>0</v>
      </c>
      <c r="N8" s="15">
        <f t="shared" si="3"/>
        <v>0</v>
      </c>
      <c r="O8" s="15">
        <f t="shared" si="4"/>
        <v>0</v>
      </c>
      <c r="P8" s="4"/>
      <c r="Q8" s="4"/>
    </row>
    <row r="9" spans="1:17" ht="31.5" x14ac:dyDescent="0.25">
      <c r="A9" s="4"/>
      <c r="B9" s="6" t="s">
        <v>22</v>
      </c>
      <c r="C9" s="7" t="s">
        <v>49</v>
      </c>
      <c r="D9" s="10" t="s">
        <v>8</v>
      </c>
      <c r="E9" s="4">
        <v>12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5">
        <f t="shared" si="0"/>
        <v>0</v>
      </c>
      <c r="L9" s="15">
        <f t="shared" si="1"/>
        <v>0</v>
      </c>
      <c r="M9" s="15">
        <f t="shared" si="2"/>
        <v>0</v>
      </c>
      <c r="N9" s="15">
        <f t="shared" si="3"/>
        <v>0</v>
      </c>
      <c r="O9" s="15">
        <f t="shared" si="4"/>
        <v>0</v>
      </c>
      <c r="P9" s="4"/>
      <c r="Q9" s="4"/>
    </row>
    <row r="10" spans="1:17" ht="31.5" x14ac:dyDescent="0.25">
      <c r="A10" s="4"/>
      <c r="B10" s="6" t="s">
        <v>23</v>
      </c>
      <c r="C10" s="7" t="s">
        <v>10</v>
      </c>
      <c r="D10" s="10" t="s">
        <v>13</v>
      </c>
      <c r="E10" s="4">
        <v>12</v>
      </c>
      <c r="F10" s="15">
        <f>SUM(F6:F9)*$F$18</f>
        <v>0</v>
      </c>
      <c r="G10" s="15">
        <f t="shared" ref="G10:J10" si="6">SUM(G6:G9)*$F$18</f>
        <v>0</v>
      </c>
      <c r="H10" s="15">
        <f t="shared" si="6"/>
        <v>0</v>
      </c>
      <c r="I10" s="15">
        <f t="shared" si="6"/>
        <v>0</v>
      </c>
      <c r="J10" s="15">
        <f t="shared" si="6"/>
        <v>0</v>
      </c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 t="shared" si="3"/>
        <v>0</v>
      </c>
      <c r="O10" s="15">
        <f t="shared" si="4"/>
        <v>0</v>
      </c>
      <c r="P10" s="4"/>
      <c r="Q10" s="4"/>
    </row>
    <row r="11" spans="1:17" ht="31.5" x14ac:dyDescent="0.25">
      <c r="A11" s="4"/>
      <c r="B11" s="6" t="s">
        <v>24</v>
      </c>
      <c r="C11" s="7" t="s">
        <v>50</v>
      </c>
      <c r="D11" s="10" t="s">
        <v>8</v>
      </c>
      <c r="E11" s="4">
        <v>12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 t="shared" si="3"/>
        <v>0</v>
      </c>
      <c r="O11" s="15">
        <f t="shared" si="4"/>
        <v>0</v>
      </c>
      <c r="P11" s="4"/>
      <c r="Q11" s="4"/>
    </row>
    <row r="12" spans="1:17" ht="15.75" x14ac:dyDescent="0.25">
      <c r="A12" s="4"/>
      <c r="B12" s="6" t="s">
        <v>25</v>
      </c>
      <c r="C12" s="7" t="s">
        <v>11</v>
      </c>
      <c r="D12" s="10" t="s">
        <v>13</v>
      </c>
      <c r="E12" s="4">
        <v>12</v>
      </c>
      <c r="F12" s="15">
        <f>(F11*$F$18)</f>
        <v>0</v>
      </c>
      <c r="G12" s="15">
        <f t="shared" ref="G12:J12" si="7">(G11*$F$18)</f>
        <v>0</v>
      </c>
      <c r="H12" s="15">
        <f t="shared" si="7"/>
        <v>0</v>
      </c>
      <c r="I12" s="15">
        <f t="shared" si="7"/>
        <v>0</v>
      </c>
      <c r="J12" s="15">
        <f t="shared" si="7"/>
        <v>0</v>
      </c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4"/>
      <c r="Q12" s="4"/>
    </row>
    <row r="13" spans="1:17" ht="31.5" x14ac:dyDescent="0.25">
      <c r="A13" s="4"/>
      <c r="B13" s="6" t="s">
        <v>26</v>
      </c>
      <c r="C13" s="7" t="s">
        <v>51</v>
      </c>
      <c r="D13" s="10" t="s">
        <v>8</v>
      </c>
      <c r="E13" s="4">
        <v>12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4"/>
      <c r="Q13" s="4"/>
    </row>
    <row r="14" spans="1:17" ht="15.75" x14ac:dyDescent="0.25">
      <c r="A14" s="4"/>
      <c r="B14" s="6" t="s">
        <v>27</v>
      </c>
      <c r="C14" s="7" t="s">
        <v>12</v>
      </c>
      <c r="D14" s="10" t="s">
        <v>13</v>
      </c>
      <c r="E14" s="4">
        <v>12</v>
      </c>
      <c r="F14" s="15">
        <f>(F13*$F$18)</f>
        <v>0</v>
      </c>
      <c r="G14" s="15">
        <f t="shared" ref="G14:J14" si="8">(G13*$F$18)</f>
        <v>0</v>
      </c>
      <c r="H14" s="15">
        <f t="shared" si="8"/>
        <v>0</v>
      </c>
      <c r="I14" s="15">
        <f t="shared" si="8"/>
        <v>0</v>
      </c>
      <c r="J14" s="15">
        <f t="shared" si="8"/>
        <v>0</v>
      </c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4"/>
      <c r="Q14" s="4"/>
    </row>
    <row r="15" spans="1:17" ht="31.5" x14ac:dyDescent="0.25">
      <c r="A15" s="4"/>
      <c r="B15" s="6" t="s">
        <v>28</v>
      </c>
      <c r="C15" s="7" t="s">
        <v>9</v>
      </c>
      <c r="D15" s="10" t="s">
        <v>13</v>
      </c>
      <c r="E15" s="4">
        <v>1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4"/>
      <c r="Q15" s="4"/>
    </row>
    <row r="16" spans="1:17" x14ac:dyDescent="0.25">
      <c r="F16" s="1"/>
      <c r="G16" s="1"/>
      <c r="H16" s="1"/>
      <c r="I16" s="1"/>
      <c r="J16" s="1"/>
      <c r="K16" s="16">
        <f>SUM(K2:K15)</f>
        <v>0</v>
      </c>
      <c r="L16" s="16">
        <f t="shared" ref="L16:O16" si="9">SUM(L2:L15)</f>
        <v>0</v>
      </c>
      <c r="M16" s="16">
        <f t="shared" si="9"/>
        <v>0</v>
      </c>
      <c r="N16" s="16">
        <f t="shared" si="9"/>
        <v>0</v>
      </c>
      <c r="O16" s="16">
        <f t="shared" si="9"/>
        <v>0</v>
      </c>
    </row>
    <row r="18" spans="3:15" ht="16.5" thickBot="1" x14ac:dyDescent="0.3">
      <c r="C18" s="2" t="s">
        <v>30</v>
      </c>
      <c r="D18" s="2"/>
      <c r="F18" s="3">
        <v>0.14000000000000001</v>
      </c>
      <c r="M18" s="8" t="s">
        <v>29</v>
      </c>
      <c r="N18" s="9"/>
      <c r="O18" s="17">
        <f>SUM(K16:O16)</f>
        <v>0</v>
      </c>
    </row>
    <row r="19" spans="3:15" ht="15.75" thickTop="1" x14ac:dyDescent="0.25"/>
    <row r="22" spans="3:15" x14ac:dyDescent="0.25">
      <c r="C22" s="11" t="s">
        <v>37</v>
      </c>
      <c r="F22" s="18">
        <f>K16</f>
        <v>0</v>
      </c>
    </row>
    <row r="23" spans="3:15" x14ac:dyDescent="0.25">
      <c r="C23" s="11" t="s">
        <v>38</v>
      </c>
      <c r="F23" s="18">
        <f>L16</f>
        <v>0</v>
      </c>
    </row>
    <row r="24" spans="3:15" x14ac:dyDescent="0.25">
      <c r="C24" s="11" t="s">
        <v>39</v>
      </c>
      <c r="E24" s="11"/>
      <c r="F24" s="18">
        <f>M16</f>
        <v>0</v>
      </c>
    </row>
    <row r="25" spans="3:15" x14ac:dyDescent="0.25">
      <c r="C25" s="11" t="s">
        <v>40</v>
      </c>
      <c r="F25" s="18">
        <f>N16</f>
        <v>0</v>
      </c>
    </row>
    <row r="26" spans="3:15" x14ac:dyDescent="0.25">
      <c r="C26" s="11" t="s">
        <v>41</v>
      </c>
      <c r="E26" s="11"/>
      <c r="F26" s="18">
        <f>O16</f>
        <v>0</v>
      </c>
    </row>
    <row r="27" spans="3:15" x14ac:dyDescent="0.25">
      <c r="C27" s="11"/>
      <c r="F27" s="19"/>
    </row>
    <row r="28" spans="3:15" ht="16.5" thickBot="1" x14ac:dyDescent="0.3">
      <c r="C28" s="12" t="s">
        <v>42</v>
      </c>
      <c r="F28" s="20">
        <f>SUM(F22:F26)</f>
        <v>0</v>
      </c>
    </row>
    <row r="29" spans="3:15" ht="15.75" thickTop="1" x14ac:dyDescent="0.25">
      <c r="C29" s="13"/>
    </row>
    <row r="31" spans="3:15" ht="24" x14ac:dyDescent="0.25">
      <c r="C31" s="22" t="s">
        <v>52</v>
      </c>
    </row>
    <row r="32" spans="3:15" x14ac:dyDescent="0.25">
      <c r="C32" s="11" t="s">
        <v>53</v>
      </c>
    </row>
    <row r="33" spans="3:3" ht="15.75" x14ac:dyDescent="0.25">
      <c r="C33" s="21" t="s">
        <v>54</v>
      </c>
    </row>
    <row r="34" spans="3:3" x14ac:dyDescent="0.25">
      <c r="C34" s="13"/>
    </row>
  </sheetData>
  <phoneticPr fontId="3" type="noConversion"/>
  <pageMargins left="0.7" right="0.7" top="0.75" bottom="0.75" header="0.3" footer="0.3"/>
  <pageSetup orientation="landscape" horizontalDpi="1200" verticalDpi="1200" r:id="rId1"/>
  <headerFooter>
    <oddFooter>&amp;C_x000D_&amp;1#&amp;"Calibri"&amp;14&amp;K000000 SENSITIVE BUT UNCLASSIFIED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4A64B622F7BD468C64AECD6E170C27" ma:contentTypeVersion="19" ma:contentTypeDescription="Create a new document." ma:contentTypeScope="" ma:versionID="e40811933ad7227b57637042c8f87a14">
  <xsd:schema xmlns:xsd="http://www.w3.org/2001/XMLSchema" xmlns:xs="http://www.w3.org/2001/XMLSchema" xmlns:p="http://schemas.microsoft.com/office/2006/metadata/properties" xmlns:ns2="63db051e-ea03-4f9c-aa27-72d035ed51d1" xmlns:ns3="5273c13a-06d4-4a0c-9af2-09b80000754d" targetNamespace="http://schemas.microsoft.com/office/2006/metadata/properties" ma:root="true" ma:fieldsID="2f0e8bbc30152e47e3aa27df9aa13e2c" ns2:_="" ns3:_="">
    <xsd:import namespace="63db051e-ea03-4f9c-aa27-72d035ed51d1"/>
    <xsd:import namespace="5273c13a-06d4-4a0c-9af2-09b8000075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e54d4ae4f2004260a263db64172693a8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db051e-ea03-4f9c-aa27-72d035ed51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0c4236b-c3ef-4727-9e6d-e99ea6badd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54d4ae4f2004260a263db64172693a8" ma:index="25" nillable="true" ma:taxonomy="true" ma:internalName="e54d4ae4f2004260a263db64172693a8" ma:taxonomyFieldName="test" ma:displayName="test" ma:default="" ma:fieldId="{e54d4ae4-f200-4260-a263-db64172693a8}" ma:sspId="10c4236b-c3ef-4727-9e6d-e99ea6badddd" ma:termSetId="386095d1-c68d-4c6d-b587-48ddaf1aecc9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73c13a-06d4-4a0c-9af2-09b80000754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7630d24-f4d0-42bd-a4ab-fa87dd7e1f82}" ma:internalName="TaxCatchAll" ma:showField="CatchAllData" ma:web="5273c13a-06d4-4a0c-9af2-09b8000075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73c13a-06d4-4a0c-9af2-09b80000754d" xsi:nil="true"/>
    <lcf76f155ced4ddcb4097134ff3c332f xmlns="63db051e-ea03-4f9c-aa27-72d035ed51d1">
      <Terms xmlns="http://schemas.microsoft.com/office/infopath/2007/PartnerControls"/>
    </lcf76f155ced4ddcb4097134ff3c332f>
    <e54d4ae4f2004260a263db64172693a8 xmlns="63db051e-ea03-4f9c-aa27-72d035ed51d1">
      <Terms xmlns="http://schemas.microsoft.com/office/infopath/2007/PartnerControls"/>
    </e54d4ae4f2004260a263db64172693a8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16B6BF-8E97-43E8-B1CC-FD02251953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db051e-ea03-4f9c-aa27-72d035ed51d1"/>
    <ds:schemaRef ds:uri="5273c13a-06d4-4a0c-9af2-09b8000075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4138F5-9EFD-41E8-AB9A-20A999C94AF8}">
  <ds:schemaRefs>
    <ds:schemaRef ds:uri="http://schemas.microsoft.com/office/2006/metadata/properties"/>
    <ds:schemaRef ds:uri="http://schemas.microsoft.com/office/infopath/2007/PartnerControls"/>
    <ds:schemaRef ds:uri="5273c13a-06d4-4a0c-9af2-09b80000754d"/>
    <ds:schemaRef ds:uri="63db051e-ea03-4f9c-aa27-72d035ed51d1"/>
  </ds:schemaRefs>
</ds:datastoreItem>
</file>

<file path=customXml/itemProps3.xml><?xml version="1.0" encoding="utf-8"?>
<ds:datastoreItem xmlns:ds="http://schemas.openxmlformats.org/officeDocument/2006/customXml" ds:itemID="{8A14BE1F-186F-4CB4-8582-AAA3AF1CA0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Department of State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Arnold, Guido (Frankfurt)</dc:creator>
  <cp:lastModifiedBy>Arnold, Guido (Frankfurt)</cp:lastModifiedBy>
  <cp:lastPrinted>2026-04-21T14:00:13Z</cp:lastPrinted>
  <dcterms:created xsi:type="dcterms:W3CDTF">2026-04-15T12:21:30Z</dcterms:created>
  <dcterms:modified xsi:type="dcterms:W3CDTF">2026-04-29T08:43:16Z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3cdd76-ed86-4455-8be3-c27733367ace_Enabled">
    <vt:lpwstr>true</vt:lpwstr>
  </property>
  <property fmtid="{D5CDD505-2E9C-101B-9397-08002B2CF9AE}" pid="3" name="MSIP_Label_0d3cdd76-ed86-4455-8be3-c27733367ace_SetDate">
    <vt:lpwstr>2026-04-15T12:34:05Z</vt:lpwstr>
  </property>
  <property fmtid="{D5CDD505-2E9C-101B-9397-08002B2CF9AE}" pid="4" name="MSIP_Label_0d3cdd76-ed86-4455-8be3-c27733367ace_Method">
    <vt:lpwstr>Privileged</vt:lpwstr>
  </property>
  <property fmtid="{D5CDD505-2E9C-101B-9397-08002B2CF9AE}" pid="5" name="MSIP_Label_0d3cdd76-ed86-4455-8be3-c27733367ace_Name">
    <vt:lpwstr>0d3cdd76-ed86-4455-8be3-c27733367ace</vt:lpwstr>
  </property>
  <property fmtid="{D5CDD505-2E9C-101B-9397-08002B2CF9AE}" pid="6" name="MSIP_Label_0d3cdd76-ed86-4455-8be3-c27733367ace_SiteId">
    <vt:lpwstr>66cf5074-5afe-48d1-a691-a12b2121f44b</vt:lpwstr>
  </property>
  <property fmtid="{D5CDD505-2E9C-101B-9397-08002B2CF9AE}" pid="7" name="MSIP_Label_0d3cdd76-ed86-4455-8be3-c27733367ace_ActionId">
    <vt:lpwstr>148780aa-4d84-459a-bdd7-dd2a7ba9cfc9</vt:lpwstr>
  </property>
  <property fmtid="{D5CDD505-2E9C-101B-9397-08002B2CF9AE}" pid="8" name="MSIP_Label_0d3cdd76-ed86-4455-8be3-c27733367ace_ContentBits">
    <vt:lpwstr>2</vt:lpwstr>
  </property>
  <property fmtid="{D5CDD505-2E9C-101B-9397-08002B2CF9AE}" pid="9" name="MSIP_Label_0d3cdd76-ed86-4455-8be3-c27733367ace_Tag">
    <vt:lpwstr>10, 0, 1, 1</vt:lpwstr>
  </property>
  <property fmtid="{D5CDD505-2E9C-101B-9397-08002B2CF9AE}" pid="10" name="ContentTypeId">
    <vt:lpwstr>0x010100C64A64B622F7BD468C64AECD6E170C27</vt:lpwstr>
  </property>
  <property fmtid="{D5CDD505-2E9C-101B-9397-08002B2CF9AE}" pid="11" name="MediaServiceImageTags">
    <vt:lpwstr/>
  </property>
  <property fmtid="{D5CDD505-2E9C-101B-9397-08002B2CF9AE}" pid="12" name="test">
    <vt:lpwstr/>
  </property>
</Properties>
</file>