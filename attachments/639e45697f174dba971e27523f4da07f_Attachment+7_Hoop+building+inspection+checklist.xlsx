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I:\Projects\25032 - H1 (440), H2 (441), H3(442) , H4(443), H5(447) &amp; H6(448) - HOOP BUILDING REPAIRS\Procurement Documents\"/>
    </mc:Choice>
  </mc:AlternateContent>
  <xr:revisionPtr revIDLastSave="0" documentId="13_ncr:1_{D484F396-FDCF-4F9C-A076-67E68BFC9566}" xr6:coauthVersionLast="47" xr6:coauthVersionMax="47" xr10:uidLastSave="{00000000-0000-0000-0000-000000000000}"/>
  <bookViews>
    <workbookView xWindow="28680" yWindow="-120" windowWidth="29040" windowHeight="15720" xr2:uid="{00000000-000D-0000-FFFF-FFFF00000000}"/>
  </bookViews>
  <sheets>
    <sheet name="Original" sheetId="1" r:id="rId1"/>
    <sheet name="Calculations" sheetId="2" r:id="rId2"/>
  </sheets>
  <definedNames>
    <definedName name="_xlnm.Print_Area" localSheetId="0">Original!$A$1:$F$127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2" l="1"/>
  <c r="C11" i="2"/>
  <c r="C10" i="2"/>
</calcChain>
</file>

<file path=xl/sharedStrings.xml><?xml version="1.0" encoding="utf-8"?>
<sst xmlns="http://schemas.openxmlformats.org/spreadsheetml/2006/main" count="148" uniqueCount="42">
  <si>
    <t>Description</t>
  </si>
  <si>
    <t>Independent Government Estimate for Building 20 Thermoplastic Polyolefin (TPO) roof repair to replace temporarily EPDM patched sections with heat welded TPO patches and install Rinobond TPO roof sections over existing roof section on the North and South Penthouses.</t>
  </si>
  <si>
    <t>Pricing is based on each area of TPO roofing membrane.</t>
  </si>
  <si>
    <t xml:space="preserve">The work includes fastening Rhinoguard metal plates through the existing roof membrane with screws driven into existing metal deck, a minimum of every 2 square feet, overlaying the existing TPO membrane with a new TPO membrane, heat weld the pads to the membrane at least every 2 square feet, heat weld all edges to the existing TPO roof membrane.  Heat weld a 5” overlap flashing on all edges and heat weld all of the Rhinoguard pads to the new TPO roof membrane at a minimum of every 2 square feet.  Pricing is based on FY2020 roof repairs. </t>
  </si>
  <si>
    <t>Pricing Information developed by MFK based on below conditions.</t>
  </si>
  <si>
    <t>Area 1 = 170' x 12' =</t>
  </si>
  <si>
    <t xml:space="preserve">Area 2 = 18' x 36' = </t>
  </si>
  <si>
    <t xml:space="preserve">Area 3 = 75' x 85' = </t>
  </si>
  <si>
    <r>
      <t>Project:</t>
    </r>
    <r>
      <rPr>
        <sz val="12"/>
        <color theme="1"/>
        <rFont val="Calibri"/>
        <family val="2"/>
        <scheme val="minor"/>
      </rPr>
      <t xml:space="preserve"> 20087 - Building 20 TPO Roof Repairs</t>
    </r>
  </si>
  <si>
    <t>Hoop Building Inspection Checklist</t>
  </si>
  <si>
    <t>Hoop Building Repairs</t>
  </si>
  <si>
    <r>
      <t>Date:</t>
    </r>
    <r>
      <rPr>
        <sz val="12"/>
        <color theme="1"/>
        <rFont val="Calibri"/>
        <family val="2"/>
        <scheme val="minor"/>
      </rPr>
      <t xml:space="preserve"> </t>
    </r>
  </si>
  <si>
    <r>
      <t>By:</t>
    </r>
    <r>
      <rPr>
        <sz val="12"/>
        <color theme="1"/>
        <rFont val="Calibri"/>
        <family val="2"/>
        <scheme val="minor"/>
      </rPr>
      <t xml:space="preserve"> </t>
    </r>
  </si>
  <si>
    <t>Building</t>
  </si>
  <si>
    <t>Good</t>
  </si>
  <si>
    <t>Needs Repair</t>
  </si>
  <si>
    <t>Cost estimate</t>
  </si>
  <si>
    <t>Outside strap and cable condition</t>
  </si>
  <si>
    <t>Inside strap and cable condition</t>
  </si>
  <si>
    <t xml:space="preserve">Pull tube condition </t>
  </si>
  <si>
    <t>Top fabric condition</t>
  </si>
  <si>
    <t>End fabric condition</t>
  </si>
  <si>
    <t>Strap tension on winches (about 40 ft-lb -  taught)</t>
  </si>
  <si>
    <t>Y/N</t>
  </si>
  <si>
    <t>Overhead door condition</t>
  </si>
  <si>
    <t>Service door condition</t>
  </si>
  <si>
    <t>Steel structure condition</t>
  </si>
  <si>
    <t>Exterior metal siding condition</t>
  </si>
  <si>
    <t xml:space="preserve">Post and saddle strap attchments condition </t>
  </si>
  <si>
    <t>Fasteners loose or missing hardware</t>
  </si>
  <si>
    <r>
      <t>Business name:</t>
    </r>
    <r>
      <rPr>
        <sz val="12"/>
        <color theme="1"/>
        <rFont val="Calibri"/>
        <family val="2"/>
        <scheme val="minor"/>
      </rPr>
      <t xml:space="preserve"> </t>
    </r>
  </si>
  <si>
    <t>H1</t>
  </si>
  <si>
    <r>
      <t>Location:</t>
    </r>
    <r>
      <rPr>
        <sz val="12"/>
        <color theme="1"/>
        <rFont val="Calibri"/>
        <family val="2"/>
        <scheme val="minor"/>
      </rPr>
      <t xml:space="preserve"> USDA National Centers for Animal Health</t>
    </r>
    <r>
      <rPr>
        <b/>
        <sz val="12"/>
        <color theme="1"/>
        <rFont val="Calibri"/>
        <family val="2"/>
        <scheme val="minor"/>
      </rPr>
      <t>,</t>
    </r>
    <r>
      <rPr>
        <sz val="12"/>
        <color theme="1"/>
        <rFont val="Calibri"/>
        <family val="2"/>
        <scheme val="minor"/>
      </rPr>
      <t xml:space="preserve"> 1920 Dayton Avenue, Ames, IA 50010</t>
    </r>
  </si>
  <si>
    <t>Contact Information:</t>
  </si>
  <si>
    <t>H2</t>
  </si>
  <si>
    <t>Any additional comments</t>
  </si>
  <si>
    <t>H3</t>
  </si>
  <si>
    <t>H4</t>
  </si>
  <si>
    <t>H5</t>
  </si>
  <si>
    <t>H6</t>
  </si>
  <si>
    <t>Scope of work if repair is needed.</t>
  </si>
  <si>
    <t>Form created by Mike Kuennen, COR  05-07-2026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</si>
</sst>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1" xfId="0" applyBorder="1"/>
    <xf numFmtId="44" fontId="0" fillId="0" borderId="1" xfId="1" applyFont="1" applyBorder="1"/>
    <xf numFmtId="0" fontId="0" fillId="0" borderId="2" xfId="0" applyBorder="1"/>
    <xf numFmtId="44" fontId="0" fillId="0" borderId="3" xfId="0" applyNumberFormat="1" applyBorder="1"/>
    <xf numFmtId="0" fontId="0" fillId="0" borderId="2" xfId="0" applyBorder="1" applyAlignment="1">
      <alignment horizontal="center"/>
    </xf>
    <xf numFmtId="0" fontId="0" fillId="0" borderId="1" xfId="0" applyBorder="1" applyAlignment="1">
      <alignment horizontal="center"/>
    </xf>
    <xf numFmtId="0" fontId="4" fillId="0" borderId="0" xfId="0" applyFont="1"/>
    <xf numFmtId="0" fontId="0" fillId="0" borderId="5" xfId="0" applyBorder="1" applyAlignment="1">
      <alignment horizontal="center"/>
    </xf>
    <xf numFmtId="0" fontId="0" fillId="0" borderId="6" xfId="0" applyBorder="1" applyAlignment="1">
      <alignment horizontal="center"/>
    </xf>
    <xf numFmtId="0" fontId="0" fillId="0" borderId="7" xfId="0" applyBorder="1"/>
    <xf numFmtId="0" fontId="0" fillId="0" borderId="7" xfId="0" applyBorder="1" applyAlignment="1">
      <alignment horizontal="center"/>
    </xf>
    <xf numFmtId="44" fontId="0" fillId="0" borderId="7" xfId="1" applyFont="1" applyBorder="1"/>
    <xf numFmtId="0" fontId="0" fillId="0" borderId="0" xfId="0" applyAlignment="1">
      <alignment vertical="center" wrapText="1"/>
    </xf>
    <xf numFmtId="0" fontId="3" fillId="0" borderId="9" xfId="0" applyFont="1" applyBorder="1" applyAlignment="1">
      <alignment horizontal="center"/>
    </xf>
    <xf numFmtId="164" fontId="0" fillId="0" borderId="10" xfId="0" applyNumberFormat="1" applyBorder="1" applyAlignment="1">
      <alignment horizontal="center"/>
    </xf>
    <xf numFmtId="44" fontId="0" fillId="0" borderId="2" xfId="1" applyFont="1" applyBorder="1"/>
    <xf numFmtId="164" fontId="0" fillId="0" borderId="11" xfId="0" applyNumberFormat="1" applyBorder="1" applyAlignment="1">
      <alignment horizontal="center"/>
    </xf>
    <xf numFmtId="164" fontId="0" fillId="0" borderId="4" xfId="0" applyNumberFormat="1" applyBorder="1" applyAlignment="1">
      <alignment horizontal="center"/>
    </xf>
    <xf numFmtId="0" fontId="0" fillId="0" borderId="0" xfId="0" applyAlignment="1">
      <alignment horizontal="right"/>
    </xf>
    <xf numFmtId="0" fontId="0" fillId="0" borderId="13" xfId="0" applyBorder="1" applyAlignment="1">
      <alignment horizontal="center"/>
    </xf>
    <xf numFmtId="0" fontId="2" fillId="0" borderId="13" xfId="0" applyFont="1" applyBorder="1" applyAlignment="1">
      <alignment horizontal="left"/>
    </xf>
    <xf numFmtId="164" fontId="0" fillId="0" borderId="0" xfId="0" applyNumberFormat="1" applyAlignment="1">
      <alignment horizontal="center"/>
    </xf>
    <xf numFmtId="0" fontId="0" fillId="0" borderId="0" xfId="0" applyAlignment="1">
      <alignment horizontal="center"/>
    </xf>
    <xf numFmtId="44" fontId="0" fillId="0" borderId="0" xfId="1" applyFont="1" applyBorder="1"/>
    <xf numFmtId="44" fontId="0" fillId="0" borderId="0" xfId="0" applyNumberFormat="1"/>
    <xf numFmtId="44" fontId="0" fillId="0" borderId="14" xfId="1" applyFont="1" applyBorder="1" applyAlignment="1">
      <alignment horizontal="center"/>
    </xf>
    <xf numFmtId="0" fontId="4" fillId="0" borderId="12" xfId="0" applyFont="1" applyBorder="1" applyAlignment="1">
      <alignment horizontal="center"/>
    </xf>
    <xf numFmtId="7" fontId="0" fillId="0" borderId="3" xfId="1" applyNumberFormat="1" applyFont="1" applyBorder="1"/>
    <xf numFmtId="7" fontId="0" fillId="0" borderId="8" xfId="1" applyNumberFormat="1"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122"/>
  <sheetViews>
    <sheetView tabSelected="1" topLeftCell="A106" workbookViewId="0">
      <selection activeCell="B122" sqref="B122"/>
    </sheetView>
  </sheetViews>
  <sheetFormatPr defaultRowHeight="15" x14ac:dyDescent="0.25"/>
  <cols>
    <col min="1" max="1" width="7.42578125" customWidth="1"/>
    <col min="2" max="2" width="46.140625" customWidth="1"/>
    <col min="3" max="3" width="10.42578125" customWidth="1"/>
    <col min="4" max="4" width="15.5703125" customWidth="1"/>
    <col min="5" max="5" width="49.7109375" customWidth="1"/>
    <col min="6" max="6" width="12.42578125" customWidth="1"/>
    <col min="8" max="8" width="12.5703125" bestFit="1" customWidth="1"/>
    <col min="10" max="10" width="11.42578125" customWidth="1"/>
  </cols>
  <sheetData>
    <row r="2" spans="1:6" ht="15.75" x14ac:dyDescent="0.25">
      <c r="A2" s="7" t="s">
        <v>9</v>
      </c>
    </row>
    <row r="3" spans="1:6" ht="15.75" x14ac:dyDescent="0.25">
      <c r="A3" s="7" t="s">
        <v>8</v>
      </c>
      <c r="B3" t="s">
        <v>10</v>
      </c>
    </row>
    <row r="4" spans="1:6" ht="15.75" x14ac:dyDescent="0.25">
      <c r="A4" s="7" t="s">
        <v>32</v>
      </c>
    </row>
    <row r="5" spans="1:6" ht="15.75" x14ac:dyDescent="0.25">
      <c r="A5" s="7" t="s">
        <v>11</v>
      </c>
    </row>
    <row r="6" spans="1:6" ht="15.75" x14ac:dyDescent="0.25">
      <c r="A6" s="7" t="s">
        <v>12</v>
      </c>
    </row>
    <row r="7" spans="1:6" ht="15.75" x14ac:dyDescent="0.25">
      <c r="A7" s="7" t="s">
        <v>30</v>
      </c>
    </row>
    <row r="8" spans="1:6" ht="15" customHeight="1" thickBot="1" x14ac:dyDescent="0.3">
      <c r="A8" s="7" t="s">
        <v>33</v>
      </c>
    </row>
    <row r="9" spans="1:6" ht="15" customHeight="1" thickBot="1" x14ac:dyDescent="0.3">
      <c r="A9" s="14" t="s">
        <v>13</v>
      </c>
      <c r="B9" s="8" t="s">
        <v>0</v>
      </c>
      <c r="C9" s="8" t="s">
        <v>14</v>
      </c>
      <c r="D9" s="8" t="s">
        <v>15</v>
      </c>
      <c r="E9" s="9" t="s">
        <v>40</v>
      </c>
      <c r="F9" s="9" t="s">
        <v>16</v>
      </c>
    </row>
    <row r="10" spans="1:6" ht="15" customHeight="1" thickBot="1" x14ac:dyDescent="0.3">
      <c r="A10" s="27" t="s">
        <v>31</v>
      </c>
      <c r="B10" s="21"/>
      <c r="C10" s="20" t="s">
        <v>23</v>
      </c>
      <c r="D10" s="20" t="s">
        <v>23</v>
      </c>
      <c r="E10" s="20"/>
      <c r="F10" s="26"/>
    </row>
    <row r="11" spans="1:6" ht="15" customHeight="1" x14ac:dyDescent="0.25">
      <c r="A11" s="15"/>
      <c r="B11" s="3" t="s">
        <v>22</v>
      </c>
      <c r="C11" s="5"/>
      <c r="D11" s="5"/>
      <c r="E11" s="16"/>
      <c r="F11" s="28"/>
    </row>
    <row r="12" spans="1:6" ht="15" customHeight="1" x14ac:dyDescent="0.25">
      <c r="A12" s="17"/>
      <c r="B12" s="10" t="s">
        <v>17</v>
      </c>
      <c r="C12" s="11"/>
      <c r="D12" s="11"/>
      <c r="E12" s="12"/>
      <c r="F12" s="29"/>
    </row>
    <row r="13" spans="1:6" ht="15" customHeight="1" x14ac:dyDescent="0.25">
      <c r="A13" s="18"/>
      <c r="B13" s="1" t="s">
        <v>18</v>
      </c>
      <c r="C13" s="6"/>
      <c r="D13" s="6"/>
      <c r="E13" s="2"/>
      <c r="F13" s="29"/>
    </row>
    <row r="14" spans="1:6" ht="15" customHeight="1" x14ac:dyDescent="0.25">
      <c r="A14" s="18"/>
      <c r="B14" s="1" t="s">
        <v>19</v>
      </c>
      <c r="C14" s="6"/>
      <c r="D14" s="6"/>
      <c r="E14" s="2"/>
      <c r="F14" s="29"/>
    </row>
    <row r="15" spans="1:6" ht="15" customHeight="1" x14ac:dyDescent="0.25">
      <c r="A15" s="18"/>
      <c r="B15" s="1" t="s">
        <v>20</v>
      </c>
      <c r="C15" s="6"/>
      <c r="D15" s="6"/>
      <c r="E15" s="2"/>
      <c r="F15" s="29"/>
    </row>
    <row r="16" spans="1:6" ht="15" customHeight="1" x14ac:dyDescent="0.25">
      <c r="A16" s="18"/>
      <c r="B16" s="1" t="s">
        <v>21</v>
      </c>
      <c r="C16" s="6"/>
      <c r="D16" s="6"/>
      <c r="E16" s="2"/>
      <c r="F16" s="29"/>
    </row>
    <row r="17" spans="1:6" ht="15" customHeight="1" x14ac:dyDescent="0.25">
      <c r="A17" s="18"/>
      <c r="B17" s="1" t="s">
        <v>27</v>
      </c>
      <c r="C17" s="6"/>
      <c r="D17" s="6"/>
      <c r="E17" s="2"/>
      <c r="F17" s="29"/>
    </row>
    <row r="18" spans="1:6" ht="15" customHeight="1" x14ac:dyDescent="0.25">
      <c r="A18" s="18"/>
      <c r="B18" s="1" t="s">
        <v>28</v>
      </c>
      <c r="C18" s="6"/>
      <c r="D18" s="6"/>
      <c r="E18" s="2"/>
      <c r="F18" s="29"/>
    </row>
    <row r="19" spans="1:6" ht="15" customHeight="1" x14ac:dyDescent="0.25">
      <c r="A19" s="18"/>
      <c r="B19" s="1" t="s">
        <v>24</v>
      </c>
      <c r="C19" s="6"/>
      <c r="D19" s="6"/>
      <c r="E19" s="2"/>
      <c r="F19" s="29"/>
    </row>
    <row r="20" spans="1:6" ht="15" customHeight="1" thickBot="1" x14ac:dyDescent="0.3">
      <c r="A20" s="18"/>
      <c r="B20" s="1" t="s">
        <v>25</v>
      </c>
      <c r="C20" s="6"/>
      <c r="D20" s="6"/>
      <c r="E20" s="2"/>
      <c r="F20" s="29"/>
    </row>
    <row r="21" spans="1:6" ht="15" customHeight="1" thickBot="1" x14ac:dyDescent="0.3">
      <c r="A21" s="15"/>
      <c r="B21" s="3" t="s">
        <v>26</v>
      </c>
      <c r="C21" s="5"/>
      <c r="D21" s="5"/>
      <c r="E21" s="16"/>
      <c r="F21" s="28"/>
    </row>
    <row r="22" spans="1:6" ht="15" customHeight="1" thickBot="1" x14ac:dyDescent="0.3">
      <c r="A22" s="15"/>
      <c r="B22" s="3" t="s">
        <v>29</v>
      </c>
      <c r="C22" s="5"/>
      <c r="D22" s="5"/>
      <c r="E22" s="16"/>
      <c r="F22" s="28"/>
    </row>
    <row r="23" spans="1:6" ht="15" customHeight="1" thickBot="1" x14ac:dyDescent="0.3">
      <c r="A23" s="15"/>
      <c r="B23" s="3" t="s">
        <v>35</v>
      </c>
      <c r="C23" s="5"/>
      <c r="D23" s="5"/>
      <c r="E23" s="16"/>
      <c r="F23" s="4"/>
    </row>
    <row r="24" spans="1:6" ht="15" customHeight="1" thickBot="1" x14ac:dyDescent="0.3">
      <c r="A24" s="15"/>
      <c r="B24" s="3"/>
      <c r="C24" s="5"/>
      <c r="D24" s="5"/>
      <c r="E24" s="16"/>
      <c r="F24" s="4"/>
    </row>
    <row r="25" spans="1:6" ht="15" customHeight="1" x14ac:dyDescent="0.25">
      <c r="A25" s="15"/>
      <c r="B25" s="3"/>
      <c r="C25" s="5"/>
      <c r="D25" s="5"/>
      <c r="E25" s="16"/>
      <c r="F25" s="4"/>
    </row>
    <row r="26" spans="1:6" ht="15" customHeight="1" x14ac:dyDescent="0.25">
      <c r="A26" s="22"/>
      <c r="C26" s="23"/>
      <c r="D26" s="23"/>
      <c r="E26" s="24"/>
      <c r="F26" s="25"/>
    </row>
    <row r="27" spans="1:6" ht="15" customHeight="1" thickBot="1" x14ac:dyDescent="0.3">
      <c r="A27" s="22"/>
      <c r="C27" s="23"/>
      <c r="D27" s="23"/>
      <c r="E27" s="24"/>
      <c r="F27" s="25"/>
    </row>
    <row r="28" spans="1:6" ht="16.5" thickBot="1" x14ac:dyDescent="0.3">
      <c r="A28" s="14" t="s">
        <v>13</v>
      </c>
      <c r="B28" s="8" t="s">
        <v>0</v>
      </c>
      <c r="C28" s="8" t="s">
        <v>14</v>
      </c>
      <c r="D28" s="8" t="s">
        <v>15</v>
      </c>
      <c r="E28" s="9" t="s">
        <v>40</v>
      </c>
      <c r="F28" s="9" t="s">
        <v>16</v>
      </c>
    </row>
    <row r="29" spans="1:6" ht="16.5" thickBot="1" x14ac:dyDescent="0.3">
      <c r="A29" s="27" t="s">
        <v>34</v>
      </c>
      <c r="B29" s="21"/>
      <c r="C29" s="20" t="s">
        <v>23</v>
      </c>
      <c r="D29" s="20" t="s">
        <v>23</v>
      </c>
      <c r="E29" s="20"/>
      <c r="F29" s="26"/>
    </row>
    <row r="30" spans="1:6" x14ac:dyDescent="0.25">
      <c r="A30" s="15"/>
      <c r="B30" s="3" t="s">
        <v>22</v>
      </c>
      <c r="C30" s="5"/>
      <c r="D30" s="5"/>
      <c r="E30" s="16"/>
      <c r="F30" s="28"/>
    </row>
    <row r="31" spans="1:6" x14ac:dyDescent="0.25">
      <c r="A31" s="17"/>
      <c r="B31" s="10" t="s">
        <v>17</v>
      </c>
      <c r="C31" s="11"/>
      <c r="D31" s="11"/>
      <c r="E31" s="12"/>
      <c r="F31" s="29"/>
    </row>
    <row r="32" spans="1:6" x14ac:dyDescent="0.25">
      <c r="A32" s="18"/>
      <c r="B32" s="1" t="s">
        <v>18</v>
      </c>
      <c r="C32" s="6"/>
      <c r="D32" s="6"/>
      <c r="E32" s="2"/>
      <c r="F32" s="29"/>
    </row>
    <row r="33" spans="1:6" x14ac:dyDescent="0.25">
      <c r="A33" s="18"/>
      <c r="B33" s="1" t="s">
        <v>19</v>
      </c>
      <c r="C33" s="6"/>
      <c r="D33" s="6"/>
      <c r="E33" s="2"/>
      <c r="F33" s="29"/>
    </row>
    <row r="34" spans="1:6" x14ac:dyDescent="0.25">
      <c r="A34" s="18"/>
      <c r="B34" s="1" t="s">
        <v>20</v>
      </c>
      <c r="C34" s="6"/>
      <c r="D34" s="6"/>
      <c r="E34" s="2"/>
      <c r="F34" s="29"/>
    </row>
    <row r="35" spans="1:6" x14ac:dyDescent="0.25">
      <c r="A35" s="18"/>
      <c r="B35" s="1" t="s">
        <v>21</v>
      </c>
      <c r="C35" s="6"/>
      <c r="D35" s="6"/>
      <c r="E35" s="2"/>
      <c r="F35" s="29"/>
    </row>
    <row r="36" spans="1:6" x14ac:dyDescent="0.25">
      <c r="A36" s="18"/>
      <c r="B36" s="1" t="s">
        <v>27</v>
      </c>
      <c r="C36" s="6"/>
      <c r="D36" s="6"/>
      <c r="E36" s="2"/>
      <c r="F36" s="29"/>
    </row>
    <row r="37" spans="1:6" x14ac:dyDescent="0.25">
      <c r="A37" s="18"/>
      <c r="B37" s="1" t="s">
        <v>28</v>
      </c>
      <c r="C37" s="6"/>
      <c r="D37" s="6"/>
      <c r="E37" s="2"/>
      <c r="F37" s="29"/>
    </row>
    <row r="38" spans="1:6" x14ac:dyDescent="0.25">
      <c r="A38" s="18"/>
      <c r="B38" s="1" t="s">
        <v>24</v>
      </c>
      <c r="C38" s="6"/>
      <c r="D38" s="6"/>
      <c r="E38" s="2"/>
      <c r="F38" s="29"/>
    </row>
    <row r="39" spans="1:6" ht="15.75" thickBot="1" x14ac:dyDescent="0.3">
      <c r="A39" s="18"/>
      <c r="B39" s="1" t="s">
        <v>25</v>
      </c>
      <c r="C39" s="6"/>
      <c r="D39" s="6"/>
      <c r="E39" s="2"/>
      <c r="F39" s="29"/>
    </row>
    <row r="40" spans="1:6" ht="15.75" thickBot="1" x14ac:dyDescent="0.3">
      <c r="A40" s="15"/>
      <c r="B40" s="3" t="s">
        <v>26</v>
      </c>
      <c r="C40" s="5"/>
      <c r="D40" s="5"/>
      <c r="E40" s="16"/>
      <c r="F40" s="28"/>
    </row>
    <row r="41" spans="1:6" ht="15.75" thickBot="1" x14ac:dyDescent="0.3">
      <c r="A41" s="15"/>
      <c r="B41" s="3" t="s">
        <v>29</v>
      </c>
      <c r="C41" s="5"/>
      <c r="D41" s="5"/>
      <c r="E41" s="16"/>
      <c r="F41" s="28"/>
    </row>
    <row r="42" spans="1:6" ht="15.75" thickBot="1" x14ac:dyDescent="0.3">
      <c r="A42" s="15"/>
      <c r="B42" s="3" t="s">
        <v>35</v>
      </c>
      <c r="C42" s="5"/>
      <c r="D42" s="5"/>
      <c r="E42" s="16"/>
      <c r="F42" s="4"/>
    </row>
    <row r="43" spans="1:6" ht="15.75" thickBot="1" x14ac:dyDescent="0.3">
      <c r="A43" s="15"/>
      <c r="B43" s="3"/>
      <c r="C43" s="5"/>
      <c r="D43" s="5"/>
      <c r="E43" s="16"/>
      <c r="F43" s="4"/>
    </row>
    <row r="44" spans="1:6" x14ac:dyDescent="0.25">
      <c r="A44" s="15"/>
      <c r="B44" s="3"/>
      <c r="C44" s="5"/>
      <c r="D44" s="5"/>
      <c r="E44" s="16"/>
      <c r="F44" s="4"/>
    </row>
    <row r="46" spans="1:6" ht="15.75" thickBot="1" x14ac:dyDescent="0.3"/>
    <row r="47" spans="1:6" ht="16.5" thickBot="1" x14ac:dyDescent="0.3">
      <c r="A47" s="14" t="s">
        <v>13</v>
      </c>
      <c r="B47" s="8" t="s">
        <v>0</v>
      </c>
      <c r="C47" s="8" t="s">
        <v>14</v>
      </c>
      <c r="D47" s="8" t="s">
        <v>15</v>
      </c>
      <c r="E47" s="9" t="s">
        <v>40</v>
      </c>
      <c r="F47" s="9" t="s">
        <v>16</v>
      </c>
    </row>
    <row r="48" spans="1:6" ht="16.5" thickBot="1" x14ac:dyDescent="0.3">
      <c r="A48" s="27" t="s">
        <v>36</v>
      </c>
      <c r="B48" s="21"/>
      <c r="C48" s="20" t="s">
        <v>23</v>
      </c>
      <c r="D48" s="20" t="s">
        <v>23</v>
      </c>
      <c r="E48" s="20"/>
      <c r="F48" s="26"/>
    </row>
    <row r="49" spans="1:6" x14ac:dyDescent="0.25">
      <c r="A49" s="15"/>
      <c r="B49" s="3" t="s">
        <v>22</v>
      </c>
      <c r="C49" s="5"/>
      <c r="D49" s="5"/>
      <c r="E49" s="16"/>
      <c r="F49" s="28"/>
    </row>
    <row r="50" spans="1:6" x14ac:dyDescent="0.25">
      <c r="A50" s="17"/>
      <c r="B50" s="10" t="s">
        <v>17</v>
      </c>
      <c r="C50" s="11"/>
      <c r="D50" s="11"/>
      <c r="E50" s="12"/>
      <c r="F50" s="29"/>
    </row>
    <row r="51" spans="1:6" x14ac:dyDescent="0.25">
      <c r="A51" s="18"/>
      <c r="B51" s="1" t="s">
        <v>18</v>
      </c>
      <c r="C51" s="6"/>
      <c r="D51" s="6"/>
      <c r="E51" s="2"/>
      <c r="F51" s="29"/>
    </row>
    <row r="52" spans="1:6" x14ac:dyDescent="0.25">
      <c r="A52" s="18"/>
      <c r="B52" s="1" t="s">
        <v>19</v>
      </c>
      <c r="C52" s="6"/>
      <c r="D52" s="6"/>
      <c r="E52" s="2"/>
      <c r="F52" s="29"/>
    </row>
    <row r="53" spans="1:6" x14ac:dyDescent="0.25">
      <c r="A53" s="18"/>
      <c r="B53" s="1" t="s">
        <v>20</v>
      </c>
      <c r="C53" s="6"/>
      <c r="D53" s="6"/>
      <c r="E53" s="2"/>
      <c r="F53" s="29"/>
    </row>
    <row r="54" spans="1:6" x14ac:dyDescent="0.25">
      <c r="A54" s="18"/>
      <c r="B54" s="1" t="s">
        <v>21</v>
      </c>
      <c r="C54" s="6"/>
      <c r="D54" s="6"/>
      <c r="E54" s="2"/>
      <c r="F54" s="29"/>
    </row>
    <row r="55" spans="1:6" x14ac:dyDescent="0.25">
      <c r="A55" s="18"/>
      <c r="B55" s="1" t="s">
        <v>27</v>
      </c>
      <c r="C55" s="6"/>
      <c r="D55" s="6"/>
      <c r="E55" s="2"/>
      <c r="F55" s="29"/>
    </row>
    <row r="56" spans="1:6" x14ac:dyDescent="0.25">
      <c r="A56" s="18"/>
      <c r="B56" s="1" t="s">
        <v>28</v>
      </c>
      <c r="C56" s="6"/>
      <c r="D56" s="6"/>
      <c r="E56" s="2"/>
      <c r="F56" s="29"/>
    </row>
    <row r="57" spans="1:6" x14ac:dyDescent="0.25">
      <c r="A57" s="18"/>
      <c r="B57" s="1" t="s">
        <v>24</v>
      </c>
      <c r="C57" s="6"/>
      <c r="D57" s="6"/>
      <c r="E57" s="2"/>
      <c r="F57" s="29"/>
    </row>
    <row r="58" spans="1:6" ht="15.75" thickBot="1" x14ac:dyDescent="0.3">
      <c r="A58" s="18"/>
      <c r="B58" s="1" t="s">
        <v>25</v>
      </c>
      <c r="C58" s="6"/>
      <c r="D58" s="6"/>
      <c r="E58" s="2"/>
      <c r="F58" s="29"/>
    </row>
    <row r="59" spans="1:6" ht="15.75" thickBot="1" x14ac:dyDescent="0.3">
      <c r="A59" s="15"/>
      <c r="B59" s="3" t="s">
        <v>26</v>
      </c>
      <c r="C59" s="5"/>
      <c r="D59" s="5"/>
      <c r="E59" s="16"/>
      <c r="F59" s="28"/>
    </row>
    <row r="60" spans="1:6" ht="15.75" thickBot="1" x14ac:dyDescent="0.3">
      <c r="A60" s="15"/>
      <c r="B60" s="3" t="s">
        <v>29</v>
      </c>
      <c r="C60" s="5"/>
      <c r="D60" s="5"/>
      <c r="E60" s="16"/>
      <c r="F60" s="28"/>
    </row>
    <row r="61" spans="1:6" ht="15.75" thickBot="1" x14ac:dyDescent="0.3">
      <c r="A61" s="15"/>
      <c r="B61" s="3" t="s">
        <v>35</v>
      </c>
      <c r="C61" s="5"/>
      <c r="D61" s="5"/>
      <c r="E61" s="16"/>
      <c r="F61" s="4"/>
    </row>
    <row r="62" spans="1:6" ht="15.75" thickBot="1" x14ac:dyDescent="0.3">
      <c r="A62" s="15"/>
      <c r="B62" s="3"/>
      <c r="C62" s="5"/>
      <c r="D62" s="5"/>
      <c r="E62" s="16"/>
      <c r="F62" s="4"/>
    </row>
    <row r="63" spans="1:6" x14ac:dyDescent="0.25">
      <c r="A63" s="15"/>
      <c r="B63" s="3"/>
      <c r="C63" s="5"/>
      <c r="D63" s="5"/>
      <c r="E63" s="16"/>
      <c r="F63" s="4"/>
    </row>
    <row r="65" spans="1:6" ht="15.75" thickBot="1" x14ac:dyDescent="0.3"/>
    <row r="66" spans="1:6" ht="16.5" thickBot="1" x14ac:dyDescent="0.3">
      <c r="A66" s="14" t="s">
        <v>13</v>
      </c>
      <c r="B66" s="8" t="s">
        <v>0</v>
      </c>
      <c r="C66" s="8" t="s">
        <v>14</v>
      </c>
      <c r="D66" s="8" t="s">
        <v>15</v>
      </c>
      <c r="E66" s="9" t="s">
        <v>40</v>
      </c>
      <c r="F66" s="9" t="s">
        <v>16</v>
      </c>
    </row>
    <row r="67" spans="1:6" ht="16.5" thickBot="1" x14ac:dyDescent="0.3">
      <c r="A67" s="27" t="s">
        <v>37</v>
      </c>
      <c r="B67" s="21"/>
      <c r="C67" s="20" t="s">
        <v>23</v>
      </c>
      <c r="D67" s="20" t="s">
        <v>23</v>
      </c>
      <c r="E67" s="20"/>
      <c r="F67" s="26"/>
    </row>
    <row r="68" spans="1:6" x14ac:dyDescent="0.25">
      <c r="A68" s="15"/>
      <c r="B68" s="3" t="s">
        <v>22</v>
      </c>
      <c r="C68" s="5"/>
      <c r="D68" s="5"/>
      <c r="E68" s="16"/>
      <c r="F68" s="28"/>
    </row>
    <row r="69" spans="1:6" x14ac:dyDescent="0.25">
      <c r="A69" s="17"/>
      <c r="B69" s="10" t="s">
        <v>17</v>
      </c>
      <c r="C69" s="11"/>
      <c r="D69" s="11"/>
      <c r="E69" s="12"/>
      <c r="F69" s="29"/>
    </row>
    <row r="70" spans="1:6" x14ac:dyDescent="0.25">
      <c r="A70" s="18"/>
      <c r="B70" s="1" t="s">
        <v>18</v>
      </c>
      <c r="C70" s="6"/>
      <c r="D70" s="6"/>
      <c r="E70" s="2"/>
      <c r="F70" s="29"/>
    </row>
    <row r="71" spans="1:6" x14ac:dyDescent="0.25">
      <c r="A71" s="18"/>
      <c r="B71" s="1" t="s">
        <v>19</v>
      </c>
      <c r="C71" s="6"/>
      <c r="D71" s="6"/>
      <c r="E71" s="2"/>
      <c r="F71" s="29"/>
    </row>
    <row r="72" spans="1:6" x14ac:dyDescent="0.25">
      <c r="A72" s="18"/>
      <c r="B72" s="1" t="s">
        <v>20</v>
      </c>
      <c r="C72" s="6"/>
      <c r="D72" s="6"/>
      <c r="E72" s="2"/>
      <c r="F72" s="29"/>
    </row>
    <row r="73" spans="1:6" x14ac:dyDescent="0.25">
      <c r="A73" s="18"/>
      <c r="B73" s="1" t="s">
        <v>21</v>
      </c>
      <c r="C73" s="6"/>
      <c r="D73" s="6"/>
      <c r="E73" s="2"/>
      <c r="F73" s="29"/>
    </row>
    <row r="74" spans="1:6" x14ac:dyDescent="0.25">
      <c r="A74" s="18"/>
      <c r="B74" s="1" t="s">
        <v>27</v>
      </c>
      <c r="C74" s="6"/>
      <c r="D74" s="6"/>
      <c r="E74" s="2"/>
      <c r="F74" s="29"/>
    </row>
    <row r="75" spans="1:6" x14ac:dyDescent="0.25">
      <c r="A75" s="18"/>
      <c r="B75" s="1" t="s">
        <v>28</v>
      </c>
      <c r="C75" s="6"/>
      <c r="D75" s="6"/>
      <c r="E75" s="2"/>
      <c r="F75" s="29"/>
    </row>
    <row r="76" spans="1:6" x14ac:dyDescent="0.25">
      <c r="A76" s="18"/>
      <c r="B76" s="1" t="s">
        <v>24</v>
      </c>
      <c r="C76" s="6"/>
      <c r="D76" s="6"/>
      <c r="E76" s="2"/>
      <c r="F76" s="29"/>
    </row>
    <row r="77" spans="1:6" ht="15.75" thickBot="1" x14ac:dyDescent="0.3">
      <c r="A77" s="18"/>
      <c r="B77" s="1" t="s">
        <v>25</v>
      </c>
      <c r="C77" s="6"/>
      <c r="D77" s="6"/>
      <c r="E77" s="2"/>
      <c r="F77" s="29"/>
    </row>
    <row r="78" spans="1:6" ht="15.75" thickBot="1" x14ac:dyDescent="0.3">
      <c r="A78" s="15"/>
      <c r="B78" s="3" t="s">
        <v>26</v>
      </c>
      <c r="C78" s="5"/>
      <c r="D78" s="5"/>
      <c r="E78" s="16"/>
      <c r="F78" s="28"/>
    </row>
    <row r="79" spans="1:6" ht="15.75" thickBot="1" x14ac:dyDescent="0.3">
      <c r="A79" s="15"/>
      <c r="B79" s="3" t="s">
        <v>29</v>
      </c>
      <c r="C79" s="5"/>
      <c r="D79" s="5"/>
      <c r="E79" s="16"/>
      <c r="F79" s="28"/>
    </row>
    <row r="80" spans="1:6" ht="15.75" thickBot="1" x14ac:dyDescent="0.3">
      <c r="A80" s="15"/>
      <c r="B80" s="3" t="s">
        <v>35</v>
      </c>
      <c r="C80" s="5"/>
      <c r="D80" s="5"/>
      <c r="E80" s="16"/>
      <c r="F80" s="4"/>
    </row>
    <row r="81" spans="1:6" ht="15.75" thickBot="1" x14ac:dyDescent="0.3">
      <c r="A81" s="15"/>
      <c r="B81" s="3"/>
      <c r="C81" s="5"/>
      <c r="D81" s="5"/>
      <c r="E81" s="16"/>
      <c r="F81" s="4"/>
    </row>
    <row r="82" spans="1:6" x14ac:dyDescent="0.25">
      <c r="A82" s="15"/>
      <c r="B82" s="3"/>
      <c r="C82" s="5"/>
      <c r="D82" s="5"/>
      <c r="E82" s="16"/>
      <c r="F82" s="4"/>
    </row>
    <row r="84" spans="1:6" ht="15.75" thickBot="1" x14ac:dyDescent="0.3"/>
    <row r="85" spans="1:6" ht="16.5" thickBot="1" x14ac:dyDescent="0.3">
      <c r="A85" s="14" t="s">
        <v>13</v>
      </c>
      <c r="B85" s="8" t="s">
        <v>0</v>
      </c>
      <c r="C85" s="8" t="s">
        <v>14</v>
      </c>
      <c r="D85" s="8" t="s">
        <v>15</v>
      </c>
      <c r="E85" s="9" t="s">
        <v>40</v>
      </c>
      <c r="F85" s="9" t="s">
        <v>16</v>
      </c>
    </row>
    <row r="86" spans="1:6" ht="16.5" thickBot="1" x14ac:dyDescent="0.3">
      <c r="A86" s="27" t="s">
        <v>38</v>
      </c>
      <c r="B86" s="21"/>
      <c r="C86" s="20" t="s">
        <v>23</v>
      </c>
      <c r="D86" s="20" t="s">
        <v>23</v>
      </c>
      <c r="E86" s="20"/>
      <c r="F86" s="26"/>
    </row>
    <row r="87" spans="1:6" x14ac:dyDescent="0.25">
      <c r="A87" s="15"/>
      <c r="B87" s="3" t="s">
        <v>22</v>
      </c>
      <c r="C87" s="5"/>
      <c r="D87" s="5"/>
      <c r="E87" s="16"/>
      <c r="F87" s="28"/>
    </row>
    <row r="88" spans="1:6" x14ac:dyDescent="0.25">
      <c r="A88" s="17"/>
      <c r="B88" s="10" t="s">
        <v>17</v>
      </c>
      <c r="C88" s="11"/>
      <c r="D88" s="11"/>
      <c r="E88" s="12"/>
      <c r="F88" s="29"/>
    </row>
    <row r="89" spans="1:6" x14ac:dyDescent="0.25">
      <c r="A89" s="18"/>
      <c r="B89" s="1" t="s">
        <v>18</v>
      </c>
      <c r="C89" s="6"/>
      <c r="D89" s="6"/>
      <c r="E89" s="2"/>
      <c r="F89" s="29"/>
    </row>
    <row r="90" spans="1:6" x14ac:dyDescent="0.25">
      <c r="A90" s="18"/>
      <c r="B90" s="1" t="s">
        <v>19</v>
      </c>
      <c r="C90" s="6"/>
      <c r="D90" s="6"/>
      <c r="E90" s="2"/>
      <c r="F90" s="29"/>
    </row>
    <row r="91" spans="1:6" x14ac:dyDescent="0.25">
      <c r="A91" s="18"/>
      <c r="B91" s="1" t="s">
        <v>20</v>
      </c>
      <c r="C91" s="6"/>
      <c r="D91" s="6"/>
      <c r="E91" s="2"/>
      <c r="F91" s="29"/>
    </row>
    <row r="92" spans="1:6" x14ac:dyDescent="0.25">
      <c r="A92" s="18"/>
      <c r="B92" s="1" t="s">
        <v>21</v>
      </c>
      <c r="C92" s="6"/>
      <c r="D92" s="6"/>
      <c r="E92" s="2"/>
      <c r="F92" s="29"/>
    </row>
    <row r="93" spans="1:6" x14ac:dyDescent="0.25">
      <c r="A93" s="18"/>
      <c r="B93" s="1" t="s">
        <v>27</v>
      </c>
      <c r="C93" s="6"/>
      <c r="D93" s="6"/>
      <c r="E93" s="2"/>
      <c r="F93" s="29"/>
    </row>
    <row r="94" spans="1:6" x14ac:dyDescent="0.25">
      <c r="A94" s="18"/>
      <c r="B94" s="1" t="s">
        <v>28</v>
      </c>
      <c r="C94" s="6"/>
      <c r="D94" s="6"/>
      <c r="E94" s="2"/>
      <c r="F94" s="29"/>
    </row>
    <row r="95" spans="1:6" x14ac:dyDescent="0.25">
      <c r="A95" s="18"/>
      <c r="B95" s="1" t="s">
        <v>24</v>
      </c>
      <c r="C95" s="6"/>
      <c r="D95" s="6"/>
      <c r="E95" s="2"/>
      <c r="F95" s="29"/>
    </row>
    <row r="96" spans="1:6" ht="15.75" thickBot="1" x14ac:dyDescent="0.3">
      <c r="A96" s="18"/>
      <c r="B96" s="1" t="s">
        <v>25</v>
      </c>
      <c r="C96" s="6"/>
      <c r="D96" s="6"/>
      <c r="E96" s="2"/>
      <c r="F96" s="29"/>
    </row>
    <row r="97" spans="1:6" ht="15.75" thickBot="1" x14ac:dyDescent="0.3">
      <c r="A97" s="15"/>
      <c r="B97" s="3" t="s">
        <v>26</v>
      </c>
      <c r="C97" s="5"/>
      <c r="D97" s="5"/>
      <c r="E97" s="16"/>
      <c r="F97" s="28"/>
    </row>
    <row r="98" spans="1:6" ht="15.75" thickBot="1" x14ac:dyDescent="0.3">
      <c r="A98" s="15"/>
      <c r="B98" s="3" t="s">
        <v>29</v>
      </c>
      <c r="C98" s="5"/>
      <c r="D98" s="5"/>
      <c r="E98" s="16"/>
      <c r="F98" s="28"/>
    </row>
    <row r="99" spans="1:6" ht="15.75" thickBot="1" x14ac:dyDescent="0.3">
      <c r="A99" s="15"/>
      <c r="B99" s="3" t="s">
        <v>35</v>
      </c>
      <c r="C99" s="5"/>
      <c r="D99" s="5"/>
      <c r="E99" s="16"/>
      <c r="F99" s="4"/>
    </row>
    <row r="100" spans="1:6" ht="15.75" thickBot="1" x14ac:dyDescent="0.3">
      <c r="A100" s="15"/>
      <c r="B100" s="3"/>
      <c r="C100" s="5"/>
      <c r="D100" s="5"/>
      <c r="E100" s="16"/>
      <c r="F100" s="4"/>
    </row>
    <row r="101" spans="1:6" x14ac:dyDescent="0.25">
      <c r="A101" s="15"/>
      <c r="B101" s="3"/>
      <c r="C101" s="5"/>
      <c r="D101" s="5"/>
      <c r="E101" s="16"/>
      <c r="F101" s="4"/>
    </row>
    <row r="103" spans="1:6" ht="15.75" thickBot="1" x14ac:dyDescent="0.3"/>
    <row r="104" spans="1:6" ht="16.5" thickBot="1" x14ac:dyDescent="0.3">
      <c r="A104" s="14" t="s">
        <v>13</v>
      </c>
      <c r="B104" s="8" t="s">
        <v>0</v>
      </c>
      <c r="C104" s="8" t="s">
        <v>14</v>
      </c>
      <c r="D104" s="8" t="s">
        <v>15</v>
      </c>
      <c r="E104" s="9" t="s">
        <v>40</v>
      </c>
      <c r="F104" s="9" t="s">
        <v>16</v>
      </c>
    </row>
    <row r="105" spans="1:6" ht="16.5" thickBot="1" x14ac:dyDescent="0.3">
      <c r="A105" s="27" t="s">
        <v>39</v>
      </c>
      <c r="B105" s="21"/>
      <c r="C105" s="20" t="s">
        <v>23</v>
      </c>
      <c r="D105" s="20" t="s">
        <v>23</v>
      </c>
      <c r="E105" s="20"/>
      <c r="F105" s="26"/>
    </row>
    <row r="106" spans="1:6" x14ac:dyDescent="0.25">
      <c r="A106" s="15"/>
      <c r="B106" s="3" t="s">
        <v>22</v>
      </c>
      <c r="C106" s="5"/>
      <c r="D106" s="5"/>
      <c r="E106" s="16"/>
      <c r="F106" s="28"/>
    </row>
    <row r="107" spans="1:6" x14ac:dyDescent="0.25">
      <c r="A107" s="17"/>
      <c r="B107" s="10" t="s">
        <v>17</v>
      </c>
      <c r="C107" s="11"/>
      <c r="D107" s="11"/>
      <c r="E107" s="12"/>
      <c r="F107" s="29"/>
    </row>
    <row r="108" spans="1:6" x14ac:dyDescent="0.25">
      <c r="A108" s="18"/>
      <c r="B108" s="1" t="s">
        <v>18</v>
      </c>
      <c r="C108" s="6"/>
      <c r="D108" s="6"/>
      <c r="E108" s="2"/>
      <c r="F108" s="29"/>
    </row>
    <row r="109" spans="1:6" x14ac:dyDescent="0.25">
      <c r="A109" s="18"/>
      <c r="B109" s="1" t="s">
        <v>19</v>
      </c>
      <c r="C109" s="6"/>
      <c r="D109" s="6"/>
      <c r="E109" s="2"/>
      <c r="F109" s="29"/>
    </row>
    <row r="110" spans="1:6" x14ac:dyDescent="0.25">
      <c r="A110" s="18"/>
      <c r="B110" s="1" t="s">
        <v>20</v>
      </c>
      <c r="C110" s="6"/>
      <c r="D110" s="6"/>
      <c r="E110" s="2"/>
      <c r="F110" s="29"/>
    </row>
    <row r="111" spans="1:6" x14ac:dyDescent="0.25">
      <c r="A111" s="18"/>
      <c r="B111" s="1" t="s">
        <v>21</v>
      </c>
      <c r="C111" s="6"/>
      <c r="D111" s="6"/>
      <c r="E111" s="2"/>
      <c r="F111" s="29"/>
    </row>
    <row r="112" spans="1:6" x14ac:dyDescent="0.25">
      <c r="A112" s="18"/>
      <c r="B112" s="1" t="s">
        <v>27</v>
      </c>
      <c r="C112" s="6"/>
      <c r="D112" s="6"/>
      <c r="E112" s="2"/>
      <c r="F112" s="29"/>
    </row>
    <row r="113" spans="1:6" x14ac:dyDescent="0.25">
      <c r="A113" s="18"/>
      <c r="B113" s="1" t="s">
        <v>28</v>
      </c>
      <c r="C113" s="6"/>
      <c r="D113" s="6"/>
      <c r="E113" s="2"/>
      <c r="F113" s="29"/>
    </row>
    <row r="114" spans="1:6" x14ac:dyDescent="0.25">
      <c r="A114" s="18"/>
      <c r="B114" s="1" t="s">
        <v>24</v>
      </c>
      <c r="C114" s="6"/>
      <c r="D114" s="6"/>
      <c r="E114" s="2"/>
      <c r="F114" s="29"/>
    </row>
    <row r="115" spans="1:6" ht="15.75" thickBot="1" x14ac:dyDescent="0.3">
      <c r="A115" s="18"/>
      <c r="B115" s="1" t="s">
        <v>25</v>
      </c>
      <c r="C115" s="6"/>
      <c r="D115" s="6"/>
      <c r="E115" s="2"/>
      <c r="F115" s="29"/>
    </row>
    <row r="116" spans="1:6" ht="15.75" thickBot="1" x14ac:dyDescent="0.3">
      <c r="A116" s="15"/>
      <c r="B116" s="3" t="s">
        <v>26</v>
      </c>
      <c r="C116" s="5"/>
      <c r="D116" s="5"/>
      <c r="E116" s="16"/>
      <c r="F116" s="28"/>
    </row>
    <row r="117" spans="1:6" ht="15.75" thickBot="1" x14ac:dyDescent="0.3">
      <c r="A117" s="15"/>
      <c r="B117" s="3" t="s">
        <v>29</v>
      </c>
      <c r="C117" s="5"/>
      <c r="D117" s="5"/>
      <c r="E117" s="16"/>
      <c r="F117" s="28"/>
    </row>
    <row r="118" spans="1:6" ht="15.75" thickBot="1" x14ac:dyDescent="0.3">
      <c r="A118" s="15"/>
      <c r="B118" s="3" t="s">
        <v>35</v>
      </c>
      <c r="C118" s="5"/>
      <c r="D118" s="5"/>
      <c r="E118" s="16"/>
      <c r="F118" s="4"/>
    </row>
    <row r="119" spans="1:6" ht="15.75" thickBot="1" x14ac:dyDescent="0.3">
      <c r="A119" s="15"/>
      <c r="B119" s="3"/>
      <c r="C119" s="5"/>
      <c r="D119" s="5"/>
      <c r="E119" s="16"/>
      <c r="F119" s="4"/>
    </row>
    <row r="120" spans="1:6" x14ac:dyDescent="0.25">
      <c r="A120" s="15"/>
      <c r="B120" s="3"/>
      <c r="C120" s="5"/>
      <c r="D120" s="5"/>
      <c r="E120" s="16"/>
      <c r="F120" s="4"/>
    </row>
    <row r="122" spans="1:6" x14ac:dyDescent="0.25">
      <c r="A122" t="s">
        <v>41</v>
      </c>
    </row>
  </sheetData>
  <pageMargins left="0.7" right="0.7" top="0.75" bottom="0.75" header="0.3" footer="0.3"/>
  <pageSetup scale="9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2"/>
  <sheetViews>
    <sheetView workbookViewId="0">
      <selection activeCell="C13" sqref="C13"/>
    </sheetView>
  </sheetViews>
  <sheetFormatPr defaultRowHeight="15" x14ac:dyDescent="0.25"/>
  <cols>
    <col min="2" max="2" width="106.85546875" customWidth="1"/>
  </cols>
  <sheetData>
    <row r="2" spans="2:3" x14ac:dyDescent="0.25">
      <c r="B2" t="s">
        <v>4</v>
      </c>
    </row>
    <row r="4" spans="2:3" ht="45" x14ac:dyDescent="0.25">
      <c r="B4" s="13" t="s">
        <v>1</v>
      </c>
    </row>
    <row r="5" spans="2:3" x14ac:dyDescent="0.25">
      <c r="B5" s="13" t="s">
        <v>2</v>
      </c>
    </row>
    <row r="6" spans="2:3" ht="75" x14ac:dyDescent="0.25">
      <c r="B6" s="13" t="s">
        <v>3</v>
      </c>
    </row>
    <row r="9" spans="2:3" x14ac:dyDescent="0.25">
      <c r="B9" s="19"/>
    </row>
    <row r="10" spans="2:3" x14ac:dyDescent="0.25">
      <c r="B10" s="19" t="s">
        <v>5</v>
      </c>
      <c r="C10">
        <f>170*12</f>
        <v>2040</v>
      </c>
    </row>
    <row r="11" spans="2:3" x14ac:dyDescent="0.25">
      <c r="B11" s="19" t="s">
        <v>6</v>
      </c>
      <c r="C11">
        <f>18*36</f>
        <v>648</v>
      </c>
    </row>
    <row r="12" spans="2:3" x14ac:dyDescent="0.25">
      <c r="B12" s="19" t="s">
        <v>7</v>
      </c>
      <c r="C12">
        <f>75*85</f>
        <v>6375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Original</vt:lpstr>
      <vt:lpstr>Calculations</vt:lpstr>
      <vt:lpstr>Original!Print_Area</vt:lpstr>
    </vt:vector>
  </TitlesOfParts>
  <Company>USDA APHIS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Mincks, Leo - ARS</dc:creator>
  <cp:lastModifiedBy>Kuennen, Michael - REE-ARS</cp:lastModifiedBy>
  <cp:lastPrinted>2021-01-14T16:43:16Z</cp:lastPrinted>
  <dcterms:created xsi:type="dcterms:W3CDTF">2020-06-19T13:25:45Z</dcterms:created>
  <dcterms:modified xsi:type="dcterms:W3CDTF">2026-05-07T18:41:30Z</dcterms:modified>
</cp:coreProperties>
</file>