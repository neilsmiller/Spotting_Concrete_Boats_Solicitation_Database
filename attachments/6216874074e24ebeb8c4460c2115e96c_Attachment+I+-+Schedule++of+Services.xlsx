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scg.sharepoint-mil.us/sites/ESDIODCONTRACTFILES/Shared Documents/General/Working Folders/Working Folder - Stacey/SOLICITATIONS/26QE0000038 - MEPP TT&amp;E/TAB 12/"/>
    </mc:Choice>
  </mc:AlternateContent>
  <xr:revisionPtr revIDLastSave="230" documentId="8_{00019CAB-B8F0-42E6-B6CF-FDCFEA71BE69}" xr6:coauthVersionLast="47" xr6:coauthVersionMax="47" xr10:uidLastSave="{1134761D-A409-42B6-B4B7-07AFC64F7A12}"/>
  <bookViews>
    <workbookView xWindow="28680" yWindow="-120" windowWidth="29040" windowHeight="17520" xr2:uid="{00000000-000D-0000-FFFF-FFFF00000000}"/>
  </bookViews>
  <sheets>
    <sheet name="Purchase Order" sheetId="2" r:id="rId1"/>
  </sheets>
  <definedNames>
    <definedName name="_xlnm.Print_Area" localSheetId="0">'Purchase Order'!$B$1:$H$20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G9" i="2"/>
  <c r="G6" i="2"/>
  <c r="G5" i="2"/>
  <c r="G10" i="2"/>
  <c r="G4" i="2"/>
  <c r="G3" i="2"/>
  <c r="G11" i="2" l="1"/>
</calcChain>
</file>

<file path=xl/sharedStrings.xml><?xml version="1.0" encoding="utf-8"?>
<sst xmlns="http://schemas.openxmlformats.org/spreadsheetml/2006/main" count="35" uniqueCount="22">
  <si>
    <t>ITEM DESCRIPTION</t>
  </si>
  <si>
    <t xml:space="preserve"> QTY</t>
  </si>
  <si>
    <t>UNIT OF ISSUE</t>
  </si>
  <si>
    <t>UNIT PRICE</t>
  </si>
  <si>
    <t>EXTENDED AMOUNT</t>
  </si>
  <si>
    <t>EA</t>
  </si>
  <si>
    <t>Total Quotation</t>
  </si>
  <si>
    <t>LINE ITEM</t>
  </si>
  <si>
    <t>LEAD / REPAIR TIME</t>
  </si>
  <si>
    <t>Instructions:  This form MUST be submitted with proposals. Fill in the yellow boxes only. All other numbers will automatically calculate. Please specify lead time and F.O.B. information on this schedule. If your company has any additional charges or fees, prompt payment discounts, etc., clearly state what these are in your quotation. If you have any questions when completing this worksheet, please contact Stacey.M.Riggs@uscg.mil.</t>
  </si>
  <si>
    <t>Test, Teardown, Evaluation (leading to possible repair)
Hobart Mobile Aircraft Electric Power Plant (MEPP) 4400
NSN: 1730-01-HS3-3310
Part Number: ACE4490S28TT4
S/N: 121PS23623</t>
  </si>
  <si>
    <t>Test, Teardown, Evaluation (leading to possible repair)
Hobart Mobile Aircraft Electric Power Plant (MEPP) 4400
NSN: 1730-01-HS3-3310
Part Number: ACE4490S28TT4
S/N: 420PS23581</t>
  </si>
  <si>
    <t>Test, Teardown, Evaluation (leading to possible repair)
Hobart Mobile Aircraft Electric Power Plant (MEPP) 4400
NSN: 1730-01-HS3-3310
Part Number: ACE4490S28TT4
S/N: 319PS23319</t>
  </si>
  <si>
    <t>Test, Teardown, Evaluation (leading to possible repair)
Hobart Mobile Aircraft Electric Power Plant (MEPP) 4400
NSN: 1730-01-HS3-3310
Part Number: ACE4490S28TT4
S/N: 420PS23613</t>
  </si>
  <si>
    <t>Test, Teardown, Evaluation (leading to possible repair)
Hobart Mobile Aircraft Electric Power Plant (MEPP) 4400
NSN: 1730-01-HS3-3310
Part Number: ACE4490S28TT4
S/N: 121PS23654</t>
  </si>
  <si>
    <t>Test, Teardown, Evaluation (leading to possible repair)
Hobart Mobile Aircraft Electric Power Plant (MEPP) 4400
NSN: 1730-01-HS3-3310
Part Number: ACE4490S28TT4
S/N: 323PS23607</t>
  </si>
  <si>
    <t>Test, Teardown, Evaluation (leading to possible repair)
Hobart Mobile Aircraft Electric Power Plant (MEPP) 4400
NSN: 1730-01-HS3-3310
Part Number: ACE4490S28TT4
S/N: 420PS23618</t>
  </si>
  <si>
    <t>Enter Yes or No:</t>
  </si>
  <si>
    <t>Acceptance of FAR 52.217-6 for up to TEN (10) additional TT&amp;E of Hobart MEPPs.</t>
  </si>
  <si>
    <t>Estimated Cost if FOB Origin:</t>
  </si>
  <si>
    <t>FOB Origin or Destination (Note: All quotes will be considered F.O.B. Destination unless F.O.B. Origin is clearly marked and Estmated Cost provided)</t>
  </si>
  <si>
    <t>The contractor shall indicate whether they will accept the inclusion of FAR clause 52.217-6 in any order awarded as a result of this solicitation. If yes, the contractor should indicate whether they will honor the clause through one year after date of award or provide the last date they will honor pricing for additional orders. For reference, the full text of this clause is included on page 20 of the Terms and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</si>
</sst>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00"/>
  </numFmts>
  <fonts count="4" x14ac:knownFonts="1">
    <font>
      <sz val="10"/>
      <name val="Arial"/>
    </font>
    <font>
      <sz val="10"/>
      <name val="Arial"/>
      <family val="2"/>
    </font>
    <font>
      <b/>
      <sz val="10"/>
      <name val="Arial"/>
      <family val="2"/>
    </font>
    <font>
      <b/>
      <i/>
      <sz val="10"/>
      <name val="Arial"/>
      <family val="2"/>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9">
    <border>
      <left/>
      <right/>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61">
    <xf numFmtId="0" fontId="0" fillId="0" borderId="0" xfId="0"/>
    <xf numFmtId="0" fontId="2" fillId="0" borderId="0" xfId="0" applyFont="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8" fontId="1" fillId="0" borderId="0" xfId="0" applyNumberFormat="1" applyFont="1" applyAlignment="1">
      <alignment horizontal="center" vertical="center" wrapText="1"/>
    </xf>
    <xf numFmtId="8" fontId="2" fillId="0" borderId="0" xfId="0" applyNumberFormat="1" applyFont="1" applyAlignment="1">
      <alignment horizontal="center" vertical="center" wrapText="1"/>
    </xf>
    <xf numFmtId="0" fontId="1" fillId="0" borderId="0" xfId="1" applyAlignment="1">
      <alignment horizontal="center" vertical="center" wrapText="1"/>
    </xf>
    <xf numFmtId="165" fontId="1" fillId="0" borderId="0" xfId="0" applyNumberFormat="1" applyFont="1" applyAlignment="1">
      <alignment horizontal="center" vertical="center" wrapText="1"/>
    </xf>
    <xf numFmtId="0" fontId="1" fillId="0" borderId="2" xfId="0" applyFont="1" applyBorder="1" applyAlignment="1">
      <alignment horizontal="center" vertical="center" wrapText="1"/>
    </xf>
    <xf numFmtId="164" fontId="1" fillId="2" borderId="2"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2" xfId="0" applyFont="1" applyBorder="1" applyAlignment="1">
      <alignment horizontal="left" vertical="top" wrapText="1"/>
    </xf>
    <xf numFmtId="0" fontId="2" fillId="0" borderId="0" xfId="0" applyFont="1" applyAlignment="1">
      <alignment vertical="top" wrapText="1"/>
    </xf>
    <xf numFmtId="0" fontId="2" fillId="0" borderId="3"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2" fillId="0" borderId="4" xfId="0" applyFont="1" applyBorder="1" applyAlignment="1">
      <alignment horizontal="center" vertical="center" wrapText="1"/>
    </xf>
    <xf numFmtId="49"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10" xfId="0" applyFont="1" applyBorder="1" applyAlignment="1">
      <alignment horizontal="center" vertical="center" wrapText="1"/>
    </xf>
    <xf numFmtId="8" fontId="1" fillId="2" borderId="11" xfId="0" applyNumberFormat="1" applyFont="1" applyFill="1" applyBorder="1" applyAlignment="1">
      <alignment horizontal="center" vertical="center" wrapText="1"/>
    </xf>
    <xf numFmtId="0" fontId="1" fillId="0" borderId="15" xfId="0" applyFont="1" applyBorder="1" applyAlignment="1">
      <alignment horizontal="center" vertical="center" wrapText="1"/>
    </xf>
    <xf numFmtId="0" fontId="2" fillId="0" borderId="2" xfId="0" applyFont="1" applyBorder="1" applyAlignment="1">
      <alignment horizontal="center" vertical="center" wrapText="1"/>
    </xf>
    <xf numFmtId="164" fontId="2" fillId="0" borderId="2" xfId="0" applyNumberFormat="1" applyFont="1" applyBorder="1" applyAlignment="1">
      <alignment horizontal="center" vertical="center" wrapText="1"/>
    </xf>
    <xf numFmtId="49" fontId="2" fillId="0" borderId="16" xfId="0" applyNumberFormat="1" applyFont="1" applyBorder="1" applyAlignment="1">
      <alignment horizontal="center" vertical="center"/>
    </xf>
    <xf numFmtId="8" fontId="1" fillId="2" borderId="18" xfId="0" applyNumberFormat="1" applyFont="1" applyFill="1" applyBorder="1" applyAlignment="1">
      <alignment horizontal="center"/>
    </xf>
    <xf numFmtId="49" fontId="2" fillId="0" borderId="19" xfId="0" applyNumberFormat="1" applyFont="1" applyBorder="1" applyAlignment="1">
      <alignment horizontal="center" vertical="center"/>
    </xf>
    <xf numFmtId="0" fontId="1" fillId="0" borderId="20" xfId="0" applyFont="1" applyBorder="1" applyAlignment="1">
      <alignment vertical="top" wrapText="1"/>
    </xf>
    <xf numFmtId="0" fontId="1" fillId="0" borderId="0" xfId="0" applyFont="1" applyAlignment="1">
      <alignment vertical="top" wrapText="1"/>
    </xf>
    <xf numFmtId="0" fontId="2" fillId="0" borderId="0" xfId="0" applyFont="1" applyAlignment="1">
      <alignment horizontal="right" vertical="center" wrapText="1"/>
    </xf>
    <xf numFmtId="0" fontId="1" fillId="0" borderId="17" xfId="0" applyFont="1" applyBorder="1" applyAlignment="1">
      <alignment horizontal="center" vertical="center" wrapText="1"/>
    </xf>
    <xf numFmtId="49" fontId="1" fillId="0" borderId="21" xfId="0" applyNumberFormat="1" applyFont="1" applyBorder="1" applyAlignment="1">
      <alignment horizontal="center" vertical="center" wrapText="1"/>
    </xf>
    <xf numFmtId="8" fontId="1" fillId="3" borderId="0" xfId="0" applyNumberFormat="1" applyFont="1" applyFill="1" applyAlignment="1">
      <alignment horizontal="center" vertical="center" wrapText="1"/>
    </xf>
    <xf numFmtId="49" fontId="2" fillId="0" borderId="15"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left" vertical="top" wrapText="1"/>
    </xf>
    <xf numFmtId="0" fontId="1" fillId="0" borderId="13" xfId="0" applyFont="1" applyBorder="1" applyAlignment="1">
      <alignment horizontal="center" vertical="center" wrapText="1"/>
    </xf>
    <xf numFmtId="164" fontId="1" fillId="2" borderId="13" xfId="0" applyNumberFormat="1" applyFont="1" applyFill="1" applyBorder="1" applyAlignment="1">
      <alignment horizontal="center" vertical="center" wrapText="1"/>
    </xf>
    <xf numFmtId="164" fontId="1" fillId="0" borderId="25" xfId="0" applyNumberFormat="1" applyFont="1" applyBorder="1" applyAlignment="1">
      <alignment horizontal="center" vertical="center" wrapText="1"/>
    </xf>
    <xf numFmtId="8" fontId="1" fillId="2" borderId="14" xfId="0" applyNumberFormat="1" applyFont="1" applyFill="1" applyBorder="1" applyAlignment="1">
      <alignment horizontal="center" vertical="center" wrapText="1"/>
    </xf>
    <xf numFmtId="0" fontId="2" fillId="0" borderId="11" xfId="0" applyFont="1" applyBorder="1" applyAlignment="1">
      <alignment horizontal="center" vertical="center" wrapText="1"/>
    </xf>
    <xf numFmtId="8" fontId="2" fillId="0" borderId="27" xfId="0" applyNumberFormat="1" applyFont="1" applyBorder="1" applyAlignment="1">
      <alignment horizontal="center" vertical="center" wrapText="1"/>
    </xf>
    <xf numFmtId="8" fontId="1" fillId="3" borderId="28" xfId="0" applyNumberFormat="1" applyFont="1" applyFill="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Alignment="1">
      <alignment horizontal="left" vertical="center" wrapText="1"/>
    </xf>
    <xf numFmtId="8" fontId="2" fillId="2" borderId="0" xfId="0" applyNumberFormat="1"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right" vertical="center" wrapText="1"/>
    </xf>
    <xf numFmtId="0" fontId="2" fillId="0" borderId="0" xfId="0" applyFont="1" applyAlignment="1">
      <alignment horizontal="right" vertical="center" wrapText="1"/>
    </xf>
    <xf numFmtId="0" fontId="1" fillId="0" borderId="20" xfId="0" applyFont="1" applyBorder="1" applyAlignment="1">
      <alignment horizontal="left" vertical="top"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1" fillId="0" borderId="16" xfId="0" applyFont="1" applyBorder="1" applyAlignment="1">
      <alignment horizontal="left" vertical="top" wrapText="1"/>
    </xf>
    <xf numFmtId="0" fontId="1" fillId="0" borderId="0" xfId="0" applyFont="1" applyAlignment="1">
      <alignment horizontal="left" vertical="top" wrapText="1"/>
    </xf>
    <xf numFmtId="0" fontId="1" fillId="0" borderId="17" xfId="0" applyFont="1" applyBorder="1" applyAlignment="1">
      <alignment horizontal="left" vertical="top" wrapText="1"/>
    </xf>
    <xf numFmtId="0" fontId="2" fillId="0" borderId="5" xfId="0" applyFont="1" applyBorder="1" applyAlignment="1">
      <alignment horizontal="right" vertical="center" wrapText="1"/>
    </xf>
    <xf numFmtId="0" fontId="2" fillId="0" borderId="6" xfId="0" applyFont="1" applyBorder="1" applyAlignment="1">
      <alignment horizontal="right" vertical="center" wrapText="1"/>
    </xf>
    <xf numFmtId="0" fontId="2" fillId="0" borderId="26" xfId="0" applyFont="1" applyBorder="1" applyAlignment="1">
      <alignment horizontal="right"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24"/>
  <sheetViews>
    <sheetView tabSelected="1" view="pageLayout" topLeftCell="A8" zoomScaleNormal="100" workbookViewId="0">
      <selection activeCell="B16" sqref="B16:H18"/>
    </sheetView>
  </sheetViews>
  <sheetFormatPr defaultRowHeight="12.75" x14ac:dyDescent="0.2"/>
  <cols>
    <col min="1" max="1" width="4.140625" style="2" customWidth="1"/>
    <col min="2" max="2" width="7" style="4" customWidth="1"/>
    <col min="3" max="3" width="48.140625" style="2" customWidth="1"/>
    <col min="4" max="5" width="12.140625" style="2" customWidth="1"/>
    <col min="6" max="6" width="12.140625" style="3" customWidth="1"/>
    <col min="7" max="7" width="13.140625" style="3" customWidth="1"/>
    <col min="8" max="8" width="13.28515625" style="2" customWidth="1"/>
    <col min="9" max="17" width="8.28515625" style="2" customWidth="1"/>
    <col min="18" max="16384" width="9.140625" style="2"/>
  </cols>
  <sheetData>
    <row r="1" spans="2:10" ht="67.5" customHeight="1" thickBot="1" x14ac:dyDescent="0.25">
      <c r="B1" s="43" t="s">
        <v>9</v>
      </c>
      <c r="C1" s="44"/>
      <c r="D1" s="44"/>
      <c r="E1" s="44"/>
      <c r="F1" s="44"/>
      <c r="G1" s="44"/>
      <c r="H1" s="45"/>
      <c r="I1" s="13"/>
      <c r="J1" s="13"/>
    </row>
    <row r="2" spans="2:10" ht="34.5" customHeight="1" x14ac:dyDescent="0.2">
      <c r="B2" s="17" t="s">
        <v>7</v>
      </c>
      <c r="C2" s="14" t="s">
        <v>0</v>
      </c>
      <c r="D2" s="14" t="s">
        <v>1</v>
      </c>
      <c r="E2" s="14" t="s">
        <v>2</v>
      </c>
      <c r="F2" s="15" t="s">
        <v>3</v>
      </c>
      <c r="G2" s="16" t="s">
        <v>4</v>
      </c>
      <c r="H2" s="18" t="s">
        <v>8</v>
      </c>
      <c r="I2" s="1"/>
      <c r="J2" s="1"/>
    </row>
    <row r="3" spans="2:10" ht="76.5" x14ac:dyDescent="0.2">
      <c r="B3" s="19">
        <v>1</v>
      </c>
      <c r="C3" s="12" t="s">
        <v>10</v>
      </c>
      <c r="D3" s="9">
        <v>1</v>
      </c>
      <c r="E3" s="9" t="s">
        <v>5</v>
      </c>
      <c r="F3" s="10"/>
      <c r="G3" s="11">
        <f>F3*D3</f>
        <v>0</v>
      </c>
      <c r="H3" s="20"/>
      <c r="I3" s="5"/>
      <c r="J3" s="5"/>
    </row>
    <row r="4" spans="2:10" ht="76.5" x14ac:dyDescent="0.2">
      <c r="B4" s="19">
        <v>2</v>
      </c>
      <c r="C4" s="12" t="s">
        <v>11</v>
      </c>
      <c r="D4" s="9">
        <v>1</v>
      </c>
      <c r="E4" s="9" t="s">
        <v>5</v>
      </c>
      <c r="F4" s="10"/>
      <c r="G4" s="11">
        <f>F4*D4</f>
        <v>0</v>
      </c>
      <c r="H4" s="20"/>
      <c r="I4" s="5"/>
      <c r="J4" s="5"/>
    </row>
    <row r="5" spans="2:10" ht="76.5" x14ac:dyDescent="0.2">
      <c r="B5" s="19">
        <v>3</v>
      </c>
      <c r="C5" s="12" t="s">
        <v>12</v>
      </c>
      <c r="D5" s="9">
        <v>1</v>
      </c>
      <c r="E5" s="9" t="s">
        <v>5</v>
      </c>
      <c r="F5" s="10"/>
      <c r="G5" s="11">
        <f>F5*D5</f>
        <v>0</v>
      </c>
      <c r="H5" s="20"/>
      <c r="I5" s="6"/>
      <c r="J5" s="6"/>
    </row>
    <row r="6" spans="2:10" ht="76.5" x14ac:dyDescent="0.2">
      <c r="B6" s="21">
        <v>4</v>
      </c>
      <c r="C6" s="12" t="s">
        <v>13</v>
      </c>
      <c r="D6" s="9">
        <v>1</v>
      </c>
      <c r="E6" s="9" t="s">
        <v>5</v>
      </c>
      <c r="F6" s="10"/>
      <c r="G6" s="11">
        <f>F6*D6</f>
        <v>0</v>
      </c>
      <c r="H6" s="20"/>
      <c r="I6" s="7"/>
      <c r="J6" s="7"/>
    </row>
    <row r="7" spans="2:10" ht="64.5" customHeight="1" x14ac:dyDescent="0.2">
      <c r="B7" s="21">
        <v>5</v>
      </c>
      <c r="C7" s="12" t="s">
        <v>14</v>
      </c>
      <c r="D7" s="9">
        <v>1</v>
      </c>
      <c r="E7" s="9" t="s">
        <v>5</v>
      </c>
      <c r="F7" s="10"/>
      <c r="G7" s="11">
        <f>F7*D7</f>
        <v>0</v>
      </c>
      <c r="H7" s="20"/>
      <c r="I7" s="7"/>
      <c r="J7" s="7"/>
    </row>
    <row r="8" spans="2:10" ht="25.5" x14ac:dyDescent="0.2">
      <c r="B8" s="33" t="s">
        <v>7</v>
      </c>
      <c r="C8" s="22" t="s">
        <v>0</v>
      </c>
      <c r="D8" s="22" t="s">
        <v>1</v>
      </c>
      <c r="E8" s="22" t="s">
        <v>2</v>
      </c>
      <c r="F8" s="23" t="s">
        <v>3</v>
      </c>
      <c r="G8" s="22" t="s">
        <v>4</v>
      </c>
      <c r="H8" s="40" t="s">
        <v>8</v>
      </c>
      <c r="I8" s="7"/>
      <c r="J8" s="7"/>
    </row>
    <row r="9" spans="2:10" ht="76.5" x14ac:dyDescent="0.2">
      <c r="B9" s="19">
        <v>6</v>
      </c>
      <c r="C9" s="12" t="s">
        <v>15</v>
      </c>
      <c r="D9" s="9">
        <v>1</v>
      </c>
      <c r="E9" s="9" t="s">
        <v>5</v>
      </c>
      <c r="F9" s="10"/>
      <c r="G9" s="11">
        <f>F9*D9</f>
        <v>0</v>
      </c>
      <c r="H9" s="20"/>
      <c r="I9" s="7"/>
      <c r="J9" s="7"/>
    </row>
    <row r="10" spans="2:10" ht="77.25" thickBot="1" x14ac:dyDescent="0.25">
      <c r="B10" s="34">
        <v>7</v>
      </c>
      <c r="C10" s="35" t="s">
        <v>16</v>
      </c>
      <c r="D10" s="36">
        <v>1</v>
      </c>
      <c r="E10" s="36" t="s">
        <v>5</v>
      </c>
      <c r="F10" s="37"/>
      <c r="G10" s="38">
        <f>F10*D10</f>
        <v>0</v>
      </c>
      <c r="H10" s="39"/>
      <c r="I10" s="7"/>
      <c r="J10" s="7"/>
    </row>
    <row r="11" spans="2:10" ht="13.5" thickBot="1" x14ac:dyDescent="0.25">
      <c r="B11" s="58" t="s">
        <v>6</v>
      </c>
      <c r="C11" s="59"/>
      <c r="D11" s="59"/>
      <c r="E11" s="59"/>
      <c r="F11" s="60"/>
      <c r="G11" s="41">
        <f>SUM(G3:G10)</f>
        <v>0</v>
      </c>
      <c r="H11" s="42"/>
      <c r="I11" s="7"/>
      <c r="J11" s="7"/>
    </row>
    <row r="12" spans="2:10" x14ac:dyDescent="0.2">
      <c r="B12" s="29"/>
      <c r="C12" s="29"/>
      <c r="D12" s="29"/>
      <c r="E12" s="29"/>
      <c r="F12" s="29"/>
      <c r="G12" s="6"/>
      <c r="H12" s="32"/>
      <c r="I12" s="7"/>
      <c r="J12" s="7"/>
    </row>
    <row r="13" spans="2:10" ht="25.5" customHeight="1" x14ac:dyDescent="0.2">
      <c r="B13" s="46" t="s">
        <v>20</v>
      </c>
      <c r="C13" s="46"/>
      <c r="D13" s="46"/>
      <c r="E13" s="46"/>
      <c r="F13" s="46"/>
      <c r="G13" s="47"/>
      <c r="H13" s="47"/>
    </row>
    <row r="14" spans="2:10" ht="23.25" customHeight="1" thickBot="1" x14ac:dyDescent="0.25">
      <c r="B14" s="49" t="s">
        <v>19</v>
      </c>
      <c r="C14" s="49"/>
      <c r="D14" s="49"/>
      <c r="E14" s="49"/>
      <c r="F14" s="49"/>
      <c r="G14" s="48"/>
      <c r="H14" s="48"/>
      <c r="I14" s="4"/>
      <c r="J14" s="4"/>
    </row>
    <row r="15" spans="2:10" x14ac:dyDescent="0.2">
      <c r="B15" s="52" t="s">
        <v>18</v>
      </c>
      <c r="C15" s="53"/>
      <c r="D15" s="53"/>
      <c r="E15" s="53"/>
      <c r="F15" s="53"/>
      <c r="G15" s="53"/>
      <c r="H15" s="54"/>
      <c r="I15" s="4"/>
      <c r="J15" s="4"/>
    </row>
    <row r="16" spans="2:10" ht="12.75" customHeight="1" x14ac:dyDescent="0.2">
      <c r="B16" s="55" t="s">
        <v>21</v>
      </c>
      <c r="C16" s="56"/>
      <c r="D16" s="56"/>
      <c r="E16" s="56"/>
      <c r="F16" s="56"/>
      <c r="G16" s="56"/>
      <c r="H16" s="57"/>
    </row>
    <row r="17" spans="2:8" x14ac:dyDescent="0.2">
      <c r="B17" s="55"/>
      <c r="C17" s="56"/>
      <c r="D17" s="56"/>
      <c r="E17" s="56"/>
      <c r="F17" s="56"/>
      <c r="G17" s="56"/>
      <c r="H17" s="57"/>
    </row>
    <row r="18" spans="2:8" x14ac:dyDescent="0.2">
      <c r="B18" s="55"/>
      <c r="C18" s="56"/>
      <c r="D18" s="56"/>
      <c r="E18" s="56"/>
      <c r="F18" s="56"/>
      <c r="G18" s="56"/>
      <c r="H18" s="57"/>
    </row>
    <row r="19" spans="2:8" x14ac:dyDescent="0.2">
      <c r="B19" s="24"/>
      <c r="C19" s="28"/>
      <c r="D19" s="50" t="s">
        <v>17</v>
      </c>
      <c r="E19" s="50"/>
      <c r="F19" s="25"/>
      <c r="G19" s="28"/>
      <c r="H19" s="30"/>
    </row>
    <row r="20" spans="2:8" ht="13.5" thickBot="1" x14ac:dyDescent="0.25">
      <c r="B20" s="26"/>
      <c r="C20" s="27"/>
      <c r="D20" s="51"/>
      <c r="E20" s="51"/>
      <c r="F20" s="27"/>
      <c r="G20" s="27"/>
      <c r="H20" s="31"/>
    </row>
    <row r="21" spans="2:8" x14ac:dyDescent="0.2">
      <c r="H21" s="4"/>
    </row>
    <row r="23" spans="2:8" x14ac:dyDescent="0.2">
      <c r="H23" s="8"/>
    </row>
    <row r="24" spans="2:8" x14ac:dyDescent="0.2">
      <c r="H24" s="8"/>
    </row>
  </sheetData>
  <sortState xmlns:xlrd2="http://schemas.microsoft.com/office/spreadsheetml/2017/richdata2" ref="B228:C249">
    <sortCondition ref="B228"/>
  </sortState>
  <mergeCells count="10">
    <mergeCell ref="D19:E19"/>
    <mergeCell ref="D20:E20"/>
    <mergeCell ref="B15:H15"/>
    <mergeCell ref="B16:H18"/>
    <mergeCell ref="B11:F11"/>
    <mergeCell ref="B1:H1"/>
    <mergeCell ref="B13:F13"/>
    <mergeCell ref="G13:H13"/>
    <mergeCell ref="G14:H14"/>
    <mergeCell ref="B14:F14"/>
  </mergeCells>
  <phoneticPr fontId="0" type="noConversion"/>
  <printOptions horizontalCentered="1"/>
  <pageMargins left="0.7" right="2.5312500000000002E-2" top="1" bottom="1" header="0.3" footer="0.3"/>
  <pageSetup firstPageNumber="3" fitToHeight="0" orientation="landscape" useFirstPageNumber="1" r:id="rId1"/>
  <headerFooter alignWithMargins="0">
    <oddHeader xml:space="preserve">&amp;L &amp;C&amp;"Arial,Bold"&amp;12Schedule of Services
70Z03826QE0000038&amp;R&amp;"Arial,Bold"Attachment I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53ae5d1-2b7d-44e3-86f0-05ed86a6a5fe" xsi:nil="true"/>
    <lcf76f155ced4ddcb4097134ff3c332f xmlns="f06cf2ab-b5cd-4315-bf4b-89181ddf617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7DA1A221CBA14C8C6172F03D80A8AA" ma:contentTypeVersion="17" ma:contentTypeDescription="Create a new document." ma:contentTypeScope="" ma:versionID="f92d328feff2fd044c8f769b5da2ad14">
  <xsd:schema xmlns:xsd="http://www.w3.org/2001/XMLSchema" xmlns:xs="http://www.w3.org/2001/XMLSchema" xmlns:p="http://schemas.microsoft.com/office/2006/metadata/properties" xmlns:ns1="http://schemas.microsoft.com/sharepoint/v3" xmlns:ns2="f06cf2ab-b5cd-4315-bf4b-89181ddf6175" xmlns:ns3="253ae5d1-2b7d-44e3-86f0-05ed86a6a5fe" targetNamespace="http://schemas.microsoft.com/office/2006/metadata/properties" ma:root="true" ma:fieldsID="79154593958b920175721cd70fb411e0" ns1:_="" ns2:_="" ns3:_="">
    <xsd:import namespace="http://schemas.microsoft.com/sharepoint/v3"/>
    <xsd:import namespace="f06cf2ab-b5cd-4315-bf4b-89181ddf6175"/>
    <xsd:import namespace="253ae5d1-2b7d-44e3-86f0-05ed86a6a5f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6cf2ab-b5cd-4315-bf4b-89181ddf6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53ae5d1-2b7d-44e3-86f0-05ed86a6a5f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da83e56-87bd-4561-a71d-a7eca50a733d}" ma:internalName="TaxCatchAll" ma:showField="CatchAllData" ma:web="253ae5d1-2b7d-44e3-86f0-05ed86a6a5f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6F8F04-3383-42AD-8D1A-72365D53F413}">
  <ds:schemaRefs>
    <ds:schemaRef ds:uri="32bf085a-8c72-46fb-a8d1-a35b4ab27cc3"/>
    <ds:schemaRef ds:uri="http://www.w3.org/XML/1998/namespace"/>
    <ds:schemaRef ds:uri="http://purl.org/dc/dcmitype/"/>
    <ds:schemaRef ds:uri="http://schemas.microsoft.com/office/2006/documentManagement/types"/>
    <ds:schemaRef ds:uri="ea111acb-ae86-4359-8c4b-07ff7d40482e"/>
    <ds:schemaRef ds:uri="http://purl.org/dc/elements/1.1/"/>
    <ds:schemaRef ds:uri="b7e78edb-ada0-43c0-bce4-1f52a377e071"/>
    <ds:schemaRef ds:uri="http://purl.org/dc/terms/"/>
    <ds:schemaRef ds:uri="http://schemas.microsoft.com/office/infopath/2007/PartnerControls"/>
    <ds:schemaRef ds:uri="http://schemas.openxmlformats.org/package/2006/metadata/core-properties"/>
    <ds:schemaRef ds:uri="http://schemas.microsoft.com/office/2006/metadata/properties"/>
    <ds:schemaRef ds:uri="253ae5d1-2b7d-44e3-86f0-05ed86a6a5fe"/>
    <ds:schemaRef ds:uri="f06cf2ab-b5cd-4315-bf4b-89181ddf6175"/>
    <ds:schemaRef ds:uri="http://schemas.microsoft.com/sharepoint/v3"/>
  </ds:schemaRefs>
</ds:datastoreItem>
</file>

<file path=customXml/itemProps2.xml><?xml version="1.0" encoding="utf-8"?>
<ds:datastoreItem xmlns:ds="http://schemas.openxmlformats.org/officeDocument/2006/customXml" ds:itemID="{D7094D26-0E02-4D61-AC65-A92B7156AC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06cf2ab-b5cd-4315-bf4b-89181ddf6175"/>
    <ds:schemaRef ds:uri="253ae5d1-2b7d-44e3-86f0-05ed86a6a5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BFD9D1-BA2F-4299-96F1-10B7D891530A}">
  <ds:schemaRefs>
    <ds:schemaRef ds:uri="http://schemas.microsoft.com/sharepoint/v3/contenttype/forms"/>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Purchase Order</vt:lpstr>
      <vt:lpstr>'Purchase Order'!Print_Area</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Riggs, Stacey M CIV USCG ALC (USA)</cp:lastModifiedBy>
  <cp:revision/>
  <cp:lastPrinted>2026-05-06T15:18:07Z</cp:lastPrinted>
  <dcterms:created xsi:type="dcterms:W3CDTF">2008-02-27T15:41:17Z</dcterms:created>
  <dcterms:modified xsi:type="dcterms:W3CDTF">2026-05-06T15:18:23Z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868ccddd-7f32-4ceb-a8f6-55da8bf3ab13</vt:lpwstr>
  </property>
  <property fmtid="{D5CDD505-2E9C-101B-9397-08002B2CF9AE}" pid="3" name="ContentTypeId">
    <vt:lpwstr>0x010100797DA1A221CBA14C8C6172F03D80A8AA</vt:lpwstr>
  </property>
  <property fmtid="{D5CDD505-2E9C-101B-9397-08002B2CF9AE}" pid="4" name="MediaServiceImageTags">
    <vt:lpwstr/>
  </property>
</Properties>
</file>