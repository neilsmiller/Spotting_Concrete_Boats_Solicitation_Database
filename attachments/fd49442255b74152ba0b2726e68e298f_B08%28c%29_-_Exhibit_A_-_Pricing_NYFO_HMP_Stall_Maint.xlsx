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-my.sharepoint.com/personal/mshoshone_nps_gov/Documents/Desktop/Primary Contracting Actions 6.4.25/1. Pre-Award/1. Pre-Work/140P2126Q0086 - NYFO Stall Maintenance/"/>
    </mc:Choice>
  </mc:AlternateContent>
  <xr:revisionPtr revIDLastSave="56" documentId="8_{2A8BF4D0-2CD1-4EF9-973F-CE57EB24A41E}" xr6:coauthVersionLast="47" xr6:coauthVersionMax="47" xr10:uidLastSave="{9C20C48E-8425-497B-9214-BC39DED384CA}"/>
  <bookViews>
    <workbookView xWindow="30405" yWindow="945" windowWidth="26055" windowHeight="13935" xr2:uid="{6D882E59-2F1B-4E04-BEA3-A2B98B6AFAED}"/>
  </bookViews>
  <sheets>
    <sheet name="Exhibit A - Prici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7" i="2" l="1"/>
  <c r="I31" i="2"/>
  <c r="I25" i="2"/>
  <c r="I19" i="2"/>
  <c r="I13" i="2"/>
  <c r="I7" i="2"/>
  <c r="I36" i="2"/>
  <c r="I30" i="2" l="1"/>
  <c r="I24" i="2"/>
  <c r="I18" i="2"/>
  <c r="I12" i="2"/>
  <c r="I6" i="2"/>
  <c r="I5" i="2"/>
  <c r="I4" i="2"/>
  <c r="I35" i="2"/>
  <c r="I34" i="2"/>
  <c r="I29" i="2"/>
  <c r="I28" i="2"/>
  <c r="I23" i="2"/>
  <c r="I22" i="2"/>
  <c r="I17" i="2"/>
  <c r="I16" i="2"/>
  <c r="I11" i="2"/>
  <c r="I10" i="2"/>
  <c r="I38" i="2" l="1"/>
  <c r="I45" i="2" s="1"/>
  <c r="I32" i="2"/>
  <c r="I44" i="2" s="1"/>
  <c r="I26" i="2"/>
  <c r="I43" i="2" s="1"/>
  <c r="I20" i="2"/>
  <c r="I42" i="2" s="1"/>
  <c r="I14" i="2"/>
  <c r="I41" i="2" s="1"/>
  <c r="I8" i="2"/>
  <c r="I40" i="2" s="1"/>
  <c r="I46" i="2" l="1"/>
</calcChain>
</file>

<file path=xl/sharedStrings.xml><?xml version="1.0" encoding="utf-8"?>
<sst xmlns="http://schemas.openxmlformats.org/spreadsheetml/2006/main" count="59" uniqueCount="44">
  <si>
    <t>CLIN</t>
  </si>
  <si>
    <t>Description</t>
  </si>
  <si>
    <t>0001</t>
  </si>
  <si>
    <t>0002</t>
  </si>
  <si>
    <t>0003</t>
  </si>
  <si>
    <t>0004</t>
  </si>
  <si>
    <t>0005</t>
  </si>
  <si>
    <t>0006</t>
  </si>
  <si>
    <t>Price</t>
  </si>
  <si>
    <t>Estimated Total Price</t>
  </si>
  <si>
    <t>Base Year</t>
  </si>
  <si>
    <t>Estimated Daily Quantity</t>
  </si>
  <si>
    <t>Option Year 1</t>
  </si>
  <si>
    <t>Option Year 2</t>
  </si>
  <si>
    <t>Option Year 3</t>
  </si>
  <si>
    <t xml:space="preserve">Option Year 4 </t>
  </si>
  <si>
    <t>Six Month Option</t>
  </si>
  <si>
    <t>Total Evaluated Price</t>
  </si>
  <si>
    <t xml:space="preserve">Base Year Total </t>
  </si>
  <si>
    <t xml:space="preserve">Option Year 1 Total </t>
  </si>
  <si>
    <t xml:space="preserve">Option Year 2 Total </t>
  </si>
  <si>
    <t xml:space="preserve">Option Year 3 Total </t>
  </si>
  <si>
    <t xml:space="preserve">Option Year 4 Total </t>
  </si>
  <si>
    <t xml:space="preserve">6 Month Option Total </t>
  </si>
  <si>
    <t>NOTE:  The contractor shall provide all personnel, labor, supervision, and transportation necessary to execute the work as outlined in the Performance Work Statement (PWS).</t>
  </si>
  <si>
    <t>Estimated Times Per Month</t>
  </si>
  <si>
    <t>Days Per Year</t>
  </si>
  <si>
    <t>Months Per Year</t>
  </si>
  <si>
    <t>NYFO HMP Stable Base Year Stalls IAW PWS Tasks 1 and  2</t>
  </si>
  <si>
    <t>NYFO HMP Stable Base Year Aisle, Indoor Turnout, and Paddocks IAW Task 3</t>
  </si>
  <si>
    <t>Estimated Times Per Year</t>
  </si>
  <si>
    <t>NYFO HMP Stable Base Year Remove Cobwebs and Dust Stable Area of Barn IAW Task 4</t>
  </si>
  <si>
    <t>NYFO HMP Stable Base Year Clean and Disinfect Stall Area, Fittings, Tool Room IAW Task 5</t>
  </si>
  <si>
    <t>NYFO HMP Stable OptionYear Aisle, Indoor Turnout, and Paddocks IAW Task 3</t>
  </si>
  <si>
    <t>NYFO HMP Stable Option Year Remove Cobwebs and Dust Stable Area of Barn IAW Task 4</t>
  </si>
  <si>
    <t>NYFO HMP Stable Option Year Clean and Disinfect Stall Area, Fittings, Tool Room IAW Task 5</t>
  </si>
  <si>
    <t>NYFO HMP Stable Option Year Stalls IAW PWS Tasks 1 and  2</t>
  </si>
  <si>
    <t>NYFO HMP Stable Option Year Aisle, Indoor Turnout, and Paddocks IAW Task 3</t>
  </si>
  <si>
    <t>Company</t>
  </si>
  <si>
    <t>POC</t>
  </si>
  <si>
    <t>Email</t>
  </si>
  <si>
    <t>Phone</t>
  </si>
  <si>
    <t>UEI</t>
  </si>
  <si>
    <t>140P2126Q0086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</si>
</sst>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1" fillId="2" borderId="0" xfId="0" applyFont="1" applyFill="1"/>
    <xf numFmtId="49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164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right"/>
    </xf>
    <xf numFmtId="164" fontId="0" fillId="2" borderId="0" xfId="0" applyNumberFormat="1" applyFill="1"/>
    <xf numFmtId="0" fontId="2" fillId="0" borderId="0" xfId="0" applyFont="1" applyAlignment="1">
      <alignment horizontal="center"/>
    </xf>
    <xf numFmtId="164" fontId="0" fillId="5" borderId="0" xfId="0" applyNumberFormat="1" applyFill="1"/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D001A-B8EA-432A-B5A1-B4BE768D9608}">
  <dimension ref="A1:X55"/>
  <sheetViews>
    <sheetView tabSelected="1" workbookViewId="0">
      <selection activeCell="L29" sqref="L29"/>
    </sheetView>
  </sheetViews>
  <sheetFormatPr defaultRowHeight="15" x14ac:dyDescent="0.25"/>
  <cols>
    <col min="2" max="2" width="83" customWidth="1"/>
    <col min="3" max="7" width="11.42578125" customWidth="1"/>
    <col min="8" max="8" width="12.5703125" customWidth="1"/>
    <col min="9" max="9" width="12.85546875" customWidth="1"/>
    <col min="10" max="10" width="10.28515625" customWidth="1"/>
    <col min="11" max="11" width="10.140625" customWidth="1"/>
    <col min="12" max="12" width="10.7109375" customWidth="1"/>
    <col min="13" max="13" width="10.28515625" customWidth="1"/>
    <col min="15" max="15" width="10.5703125" customWidth="1"/>
    <col min="16" max="16" width="9.85546875" customWidth="1"/>
    <col min="18" max="18" width="10.140625" customWidth="1"/>
    <col min="19" max="19" width="9.85546875" customWidth="1"/>
    <col min="21" max="21" width="10.28515625" customWidth="1"/>
    <col min="22" max="22" width="10.140625" customWidth="1"/>
    <col min="24" max="24" width="10.140625" customWidth="1"/>
  </cols>
  <sheetData>
    <row r="1" spans="1:24" ht="26.25" x14ac:dyDescent="0.4">
      <c r="B1" s="18" t="s">
        <v>43</v>
      </c>
    </row>
    <row r="2" spans="1:24" ht="45" x14ac:dyDescent="0.25">
      <c r="A2" s="8" t="s">
        <v>0</v>
      </c>
      <c r="B2" s="9" t="s">
        <v>1</v>
      </c>
      <c r="C2" s="10" t="s">
        <v>11</v>
      </c>
      <c r="D2" s="10" t="s">
        <v>26</v>
      </c>
      <c r="E2" s="10" t="s">
        <v>25</v>
      </c>
      <c r="F2" s="10" t="s">
        <v>27</v>
      </c>
      <c r="G2" s="10" t="s">
        <v>30</v>
      </c>
      <c r="H2" s="11" t="s">
        <v>8</v>
      </c>
      <c r="I2" s="10" t="s">
        <v>9</v>
      </c>
      <c r="J2" s="29"/>
      <c r="K2" s="30"/>
      <c r="L2" s="29"/>
      <c r="M2" s="29"/>
      <c r="N2" s="30"/>
      <c r="O2" s="29"/>
      <c r="P2" s="29"/>
      <c r="Q2" s="30"/>
      <c r="R2" s="29"/>
      <c r="S2" s="29"/>
      <c r="T2" s="30"/>
      <c r="U2" s="29"/>
      <c r="V2" s="29"/>
      <c r="W2" s="30"/>
      <c r="X2" s="29"/>
    </row>
    <row r="3" spans="1:24" x14ac:dyDescent="0.25">
      <c r="A3" s="5" t="s">
        <v>2</v>
      </c>
      <c r="B3" s="4" t="s">
        <v>10</v>
      </c>
      <c r="C3" s="6"/>
      <c r="D3" s="6"/>
      <c r="E3" s="6"/>
      <c r="F3" s="6"/>
      <c r="G3" s="6"/>
      <c r="H3" s="7"/>
      <c r="I3" s="6"/>
      <c r="J3" s="29"/>
      <c r="K3" s="30"/>
      <c r="L3" s="29"/>
      <c r="M3" s="29"/>
      <c r="N3" s="30"/>
      <c r="O3" s="29"/>
      <c r="P3" s="29"/>
      <c r="Q3" s="30"/>
      <c r="R3" s="29"/>
      <c r="S3" s="29"/>
      <c r="T3" s="30"/>
      <c r="U3" s="29"/>
      <c r="V3" s="29"/>
      <c r="W3" s="30"/>
      <c r="X3" s="29"/>
    </row>
    <row r="4" spans="1:24" x14ac:dyDescent="0.25">
      <c r="B4" s="21" t="s">
        <v>28</v>
      </c>
      <c r="C4" s="22">
        <v>6</v>
      </c>
      <c r="D4" s="22">
        <v>365</v>
      </c>
      <c r="E4" s="23"/>
      <c r="F4" s="23"/>
      <c r="G4" s="23"/>
      <c r="H4" s="24">
        <v>0</v>
      </c>
      <c r="I4" s="25">
        <f>PRODUCT(C4,D4,H4)</f>
        <v>0</v>
      </c>
    </row>
    <row r="5" spans="1:24" x14ac:dyDescent="0.25">
      <c r="B5" s="21" t="s">
        <v>29</v>
      </c>
      <c r="C5" s="22">
        <v>1</v>
      </c>
      <c r="D5" s="22">
        <v>365</v>
      </c>
      <c r="E5" s="23"/>
      <c r="F5" s="23"/>
      <c r="G5" s="23"/>
      <c r="H5" s="24">
        <v>0</v>
      </c>
      <c r="I5" s="25">
        <f>PRODUCT(C5,D5,H5)</f>
        <v>0</v>
      </c>
    </row>
    <row r="6" spans="1:24" x14ac:dyDescent="0.25">
      <c r="B6" s="21" t="s">
        <v>31</v>
      </c>
      <c r="C6" s="23"/>
      <c r="D6" s="23"/>
      <c r="E6" s="26">
        <v>1</v>
      </c>
      <c r="F6" s="26">
        <v>12</v>
      </c>
      <c r="G6" s="26">
        <v>12</v>
      </c>
      <c r="H6" s="24">
        <v>0</v>
      </c>
      <c r="I6" s="25">
        <f>G6*H6</f>
        <v>0</v>
      </c>
    </row>
    <row r="7" spans="1:24" x14ac:dyDescent="0.25">
      <c r="B7" s="21" t="s">
        <v>32</v>
      </c>
      <c r="C7" s="23"/>
      <c r="D7" s="23"/>
      <c r="E7" s="23"/>
      <c r="F7" s="23"/>
      <c r="G7" s="26">
        <v>2</v>
      </c>
      <c r="H7" s="24">
        <v>0</v>
      </c>
      <c r="I7" s="25">
        <f>G7*H7</f>
        <v>0</v>
      </c>
    </row>
    <row r="8" spans="1:24" x14ac:dyDescent="0.25">
      <c r="A8" s="32"/>
      <c r="B8" s="32"/>
      <c r="C8" s="32"/>
      <c r="D8" s="32"/>
      <c r="E8" s="32"/>
      <c r="F8" s="32"/>
      <c r="G8" s="32"/>
      <c r="H8" s="32"/>
      <c r="I8" s="14">
        <f>SUM(I4:I7)</f>
        <v>0</v>
      </c>
    </row>
    <row r="9" spans="1:24" x14ac:dyDescent="0.25">
      <c r="A9" s="5" t="s">
        <v>3</v>
      </c>
      <c r="B9" s="4" t="s">
        <v>12</v>
      </c>
      <c r="C9" s="12"/>
      <c r="D9" s="12"/>
      <c r="E9" s="12"/>
      <c r="F9" s="12"/>
      <c r="G9" s="12"/>
      <c r="H9" s="12"/>
      <c r="I9" s="16"/>
    </row>
    <row r="10" spans="1:24" x14ac:dyDescent="0.25">
      <c r="B10" s="21" t="s">
        <v>36</v>
      </c>
      <c r="C10" s="22">
        <v>6</v>
      </c>
      <c r="D10" s="22">
        <v>366</v>
      </c>
      <c r="E10" s="23"/>
      <c r="F10" s="23"/>
      <c r="G10" s="23"/>
      <c r="H10" s="24">
        <v>0</v>
      </c>
      <c r="I10" s="25">
        <f>C10*D10*H10</f>
        <v>0</v>
      </c>
    </row>
    <row r="11" spans="1:24" x14ac:dyDescent="0.25">
      <c r="B11" s="21" t="s">
        <v>33</v>
      </c>
      <c r="C11" s="22">
        <v>1</v>
      </c>
      <c r="D11" s="22">
        <v>366</v>
      </c>
      <c r="E11" s="23"/>
      <c r="F11" s="23"/>
      <c r="G11" s="23"/>
      <c r="H11" s="24">
        <v>0</v>
      </c>
      <c r="I11" s="25">
        <f>C11*D11*H11</f>
        <v>0</v>
      </c>
    </row>
    <row r="12" spans="1:24" x14ac:dyDescent="0.25">
      <c r="B12" s="21" t="s">
        <v>34</v>
      </c>
      <c r="C12" s="23"/>
      <c r="D12" s="23"/>
      <c r="E12" s="26">
        <v>1</v>
      </c>
      <c r="F12" s="26">
        <v>12</v>
      </c>
      <c r="G12" s="26">
        <v>12</v>
      </c>
      <c r="H12" s="24">
        <v>0</v>
      </c>
      <c r="I12" s="25">
        <f>G12*H12</f>
        <v>0</v>
      </c>
    </row>
    <row r="13" spans="1:24" x14ac:dyDescent="0.25">
      <c r="B13" s="21" t="s">
        <v>35</v>
      </c>
      <c r="C13" s="23"/>
      <c r="D13" s="23"/>
      <c r="E13" s="23"/>
      <c r="F13" s="23"/>
      <c r="G13" s="22">
        <v>2</v>
      </c>
      <c r="H13" s="24">
        <v>0</v>
      </c>
      <c r="I13" s="25">
        <f>G13*H13</f>
        <v>0</v>
      </c>
    </row>
    <row r="14" spans="1:24" x14ac:dyDescent="0.25">
      <c r="A14" s="32"/>
      <c r="B14" s="32"/>
      <c r="C14" s="32"/>
      <c r="D14" s="32"/>
      <c r="E14" s="32"/>
      <c r="F14" s="32"/>
      <c r="G14" s="32"/>
      <c r="H14" s="32"/>
      <c r="I14" s="14">
        <f>SUM(I10:I13)</f>
        <v>0</v>
      </c>
    </row>
    <row r="15" spans="1:24" x14ac:dyDescent="0.25">
      <c r="A15" s="5" t="s">
        <v>4</v>
      </c>
      <c r="B15" s="4" t="s">
        <v>13</v>
      </c>
      <c r="C15" s="13"/>
      <c r="D15" s="13"/>
      <c r="E15" s="13"/>
      <c r="F15" s="13"/>
      <c r="G15" s="13"/>
      <c r="H15" s="13"/>
      <c r="I15" s="15"/>
    </row>
    <row r="16" spans="1:24" x14ac:dyDescent="0.25">
      <c r="B16" s="21" t="s">
        <v>36</v>
      </c>
      <c r="C16" s="22">
        <v>6</v>
      </c>
      <c r="D16" s="22">
        <v>365</v>
      </c>
      <c r="E16" s="23"/>
      <c r="F16" s="23"/>
      <c r="G16" s="23"/>
      <c r="H16" s="24">
        <v>0</v>
      </c>
      <c r="I16" s="25">
        <f>C16*D16*H16</f>
        <v>0</v>
      </c>
    </row>
    <row r="17" spans="1:9" x14ac:dyDescent="0.25">
      <c r="B17" s="21" t="s">
        <v>37</v>
      </c>
      <c r="C17" s="22">
        <v>1</v>
      </c>
      <c r="D17" s="22">
        <v>365</v>
      </c>
      <c r="E17" s="23"/>
      <c r="F17" s="23"/>
      <c r="G17" s="23"/>
      <c r="H17" s="24">
        <v>0</v>
      </c>
      <c r="I17" s="25">
        <f>C17*D17*H17</f>
        <v>0</v>
      </c>
    </row>
    <row r="18" spans="1:9" x14ac:dyDescent="0.25">
      <c r="B18" s="21" t="s">
        <v>34</v>
      </c>
      <c r="C18" s="23"/>
      <c r="D18" s="23"/>
      <c r="E18" s="26">
        <v>1</v>
      </c>
      <c r="F18" s="26">
        <v>12</v>
      </c>
      <c r="G18" s="26">
        <v>12</v>
      </c>
      <c r="H18" s="24">
        <v>0</v>
      </c>
      <c r="I18" s="25">
        <f>G18*H18</f>
        <v>0</v>
      </c>
    </row>
    <row r="19" spans="1:9" x14ac:dyDescent="0.25">
      <c r="B19" s="21" t="s">
        <v>35</v>
      </c>
      <c r="C19" s="23"/>
      <c r="D19" s="23"/>
      <c r="E19" s="23"/>
      <c r="F19" s="23"/>
      <c r="G19" s="22">
        <v>2</v>
      </c>
      <c r="H19" s="24">
        <v>0</v>
      </c>
      <c r="I19" s="25">
        <f>G19*H19</f>
        <v>0</v>
      </c>
    </row>
    <row r="20" spans="1:9" x14ac:dyDescent="0.25">
      <c r="A20" s="32"/>
      <c r="B20" s="32"/>
      <c r="C20" s="32"/>
      <c r="D20" s="32"/>
      <c r="E20" s="32"/>
      <c r="F20" s="32"/>
      <c r="G20" s="32"/>
      <c r="H20" s="32"/>
      <c r="I20" s="14">
        <f>SUM(I16:I19)</f>
        <v>0</v>
      </c>
    </row>
    <row r="21" spans="1:9" x14ac:dyDescent="0.25">
      <c r="A21" s="5" t="s">
        <v>5</v>
      </c>
      <c r="B21" s="4" t="s">
        <v>14</v>
      </c>
      <c r="C21" s="13"/>
      <c r="D21" s="13"/>
      <c r="E21" s="13"/>
      <c r="F21" s="13"/>
      <c r="G21" s="13"/>
      <c r="H21" s="13"/>
      <c r="I21" s="15"/>
    </row>
    <row r="22" spans="1:9" x14ac:dyDescent="0.25">
      <c r="B22" s="21" t="s">
        <v>36</v>
      </c>
      <c r="C22" s="22">
        <v>6</v>
      </c>
      <c r="D22" s="22">
        <v>365</v>
      </c>
      <c r="E22" s="23"/>
      <c r="F22" s="23"/>
      <c r="G22" s="23"/>
      <c r="H22" s="24">
        <v>0</v>
      </c>
      <c r="I22" s="25">
        <f>C22*D22*H22</f>
        <v>0</v>
      </c>
    </row>
    <row r="23" spans="1:9" x14ac:dyDescent="0.25">
      <c r="B23" s="21" t="s">
        <v>37</v>
      </c>
      <c r="C23" s="22">
        <v>1</v>
      </c>
      <c r="D23" s="22">
        <v>365</v>
      </c>
      <c r="E23" s="23"/>
      <c r="F23" s="23"/>
      <c r="G23" s="23"/>
      <c r="H23" s="24">
        <v>0</v>
      </c>
      <c r="I23" s="25">
        <f>C23*D23*H23</f>
        <v>0</v>
      </c>
    </row>
    <row r="24" spans="1:9" x14ac:dyDescent="0.25">
      <c r="B24" s="21" t="s">
        <v>34</v>
      </c>
      <c r="C24" s="23"/>
      <c r="D24" s="23"/>
      <c r="E24" s="26">
        <v>1</v>
      </c>
      <c r="F24" s="26">
        <v>12</v>
      </c>
      <c r="G24" s="26">
        <v>12</v>
      </c>
      <c r="H24" s="24">
        <v>0</v>
      </c>
      <c r="I24" s="25">
        <f>G24*H24</f>
        <v>0</v>
      </c>
    </row>
    <row r="25" spans="1:9" x14ac:dyDescent="0.25">
      <c r="B25" s="21" t="s">
        <v>35</v>
      </c>
      <c r="C25" s="23"/>
      <c r="D25" s="23"/>
      <c r="E25" s="23"/>
      <c r="F25" s="23"/>
      <c r="G25" s="22">
        <v>2</v>
      </c>
      <c r="H25" s="24">
        <v>0</v>
      </c>
      <c r="I25" s="25">
        <f>G25*H25</f>
        <v>0</v>
      </c>
    </row>
    <row r="26" spans="1:9" x14ac:dyDescent="0.25">
      <c r="A26" s="32"/>
      <c r="B26" s="32"/>
      <c r="C26" s="32"/>
      <c r="D26" s="32"/>
      <c r="E26" s="32"/>
      <c r="F26" s="32"/>
      <c r="G26" s="32"/>
      <c r="H26" s="32"/>
      <c r="I26" s="14">
        <f>SUM(I22:I25)</f>
        <v>0</v>
      </c>
    </row>
    <row r="27" spans="1:9" x14ac:dyDescent="0.25">
      <c r="A27" s="5" t="s">
        <v>6</v>
      </c>
      <c r="B27" s="4" t="s">
        <v>15</v>
      </c>
      <c r="C27" s="13"/>
      <c r="D27" s="13"/>
      <c r="E27" s="13"/>
      <c r="F27" s="13"/>
      <c r="G27" s="13"/>
      <c r="H27" s="13"/>
      <c r="I27" s="15"/>
    </row>
    <row r="28" spans="1:9" x14ac:dyDescent="0.25">
      <c r="B28" s="21" t="s">
        <v>36</v>
      </c>
      <c r="C28" s="22">
        <v>6</v>
      </c>
      <c r="D28" s="22">
        <v>365</v>
      </c>
      <c r="E28" s="23"/>
      <c r="F28" s="23"/>
      <c r="G28" s="23"/>
      <c r="H28" s="24">
        <v>0</v>
      </c>
      <c r="I28" s="25">
        <f>C28*D28*H28</f>
        <v>0</v>
      </c>
    </row>
    <row r="29" spans="1:9" x14ac:dyDescent="0.25">
      <c r="B29" s="21" t="s">
        <v>37</v>
      </c>
      <c r="C29" s="22">
        <v>1</v>
      </c>
      <c r="D29" s="22">
        <v>365</v>
      </c>
      <c r="E29" s="23"/>
      <c r="F29" s="23"/>
      <c r="G29" s="23"/>
      <c r="H29" s="24">
        <v>0</v>
      </c>
      <c r="I29" s="25">
        <f>C29*D29*H29</f>
        <v>0</v>
      </c>
    </row>
    <row r="30" spans="1:9" x14ac:dyDescent="0.25">
      <c r="B30" s="21" t="s">
        <v>34</v>
      </c>
      <c r="C30" s="23"/>
      <c r="D30" s="23"/>
      <c r="E30" s="26">
        <v>1</v>
      </c>
      <c r="F30" s="26">
        <v>12</v>
      </c>
      <c r="G30" s="26">
        <v>12</v>
      </c>
      <c r="H30" s="24">
        <v>0</v>
      </c>
      <c r="I30" s="25">
        <f>G30*H30</f>
        <v>0</v>
      </c>
    </row>
    <row r="31" spans="1:9" x14ac:dyDescent="0.25">
      <c r="B31" s="21" t="s">
        <v>35</v>
      </c>
      <c r="C31" s="23"/>
      <c r="D31" s="23"/>
      <c r="E31" s="23"/>
      <c r="F31" s="23"/>
      <c r="G31" s="22">
        <v>2</v>
      </c>
      <c r="H31" s="24">
        <v>0</v>
      </c>
      <c r="I31" s="25">
        <f>G31*H31</f>
        <v>0</v>
      </c>
    </row>
    <row r="32" spans="1:9" x14ac:dyDescent="0.25">
      <c r="A32" s="32"/>
      <c r="B32" s="32"/>
      <c r="C32" s="32"/>
      <c r="D32" s="32"/>
      <c r="E32" s="32"/>
      <c r="F32" s="32"/>
      <c r="G32" s="32"/>
      <c r="H32" s="32"/>
      <c r="I32" s="14">
        <f>SUM(I28:I31)</f>
        <v>0</v>
      </c>
    </row>
    <row r="33" spans="1:9" x14ac:dyDescent="0.25">
      <c r="A33" s="5" t="s">
        <v>7</v>
      </c>
      <c r="B33" s="4" t="s">
        <v>16</v>
      </c>
      <c r="C33" s="13"/>
      <c r="D33" s="13"/>
      <c r="E33" s="13"/>
      <c r="F33" s="13"/>
      <c r="G33" s="13"/>
      <c r="H33" s="13"/>
      <c r="I33" s="15"/>
    </row>
    <row r="34" spans="1:9" x14ac:dyDescent="0.25">
      <c r="B34" s="21" t="s">
        <v>36</v>
      </c>
      <c r="C34" s="22">
        <v>6</v>
      </c>
      <c r="D34" s="22">
        <v>180</v>
      </c>
      <c r="E34" s="23"/>
      <c r="F34" s="23"/>
      <c r="G34" s="23"/>
      <c r="H34" s="24">
        <v>0</v>
      </c>
      <c r="I34" s="25">
        <f>C34*D34*H34</f>
        <v>0</v>
      </c>
    </row>
    <row r="35" spans="1:9" x14ac:dyDescent="0.25">
      <c r="B35" s="21" t="s">
        <v>37</v>
      </c>
      <c r="C35" s="22">
        <v>1</v>
      </c>
      <c r="D35" s="22">
        <v>180</v>
      </c>
      <c r="E35" s="23"/>
      <c r="F35" s="23"/>
      <c r="G35" s="23"/>
      <c r="H35" s="24">
        <v>0</v>
      </c>
      <c r="I35" s="25">
        <f>C35*D35*H35</f>
        <v>0</v>
      </c>
    </row>
    <row r="36" spans="1:9" x14ac:dyDescent="0.25">
      <c r="B36" s="21" t="s">
        <v>34</v>
      </c>
      <c r="C36" s="23"/>
      <c r="D36" s="23"/>
      <c r="E36" s="26">
        <v>1</v>
      </c>
      <c r="F36" s="26">
        <v>6</v>
      </c>
      <c r="G36" s="26">
        <v>6</v>
      </c>
      <c r="H36" s="24">
        <v>0</v>
      </c>
      <c r="I36" s="25">
        <f>G36*H36</f>
        <v>0</v>
      </c>
    </row>
    <row r="37" spans="1:9" x14ac:dyDescent="0.25">
      <c r="B37" s="21" t="s">
        <v>35</v>
      </c>
      <c r="C37" s="23"/>
      <c r="D37" s="23"/>
      <c r="E37" s="23"/>
      <c r="F37" s="23"/>
      <c r="G37" s="22">
        <v>1</v>
      </c>
      <c r="H37" s="24">
        <v>0</v>
      </c>
      <c r="I37" s="25">
        <f>G37*H37</f>
        <v>0</v>
      </c>
    </row>
    <row r="38" spans="1:9" x14ac:dyDescent="0.25">
      <c r="A38" s="32"/>
      <c r="B38" s="32"/>
      <c r="C38" s="32"/>
      <c r="D38" s="32"/>
      <c r="E38" s="32"/>
      <c r="F38" s="32"/>
      <c r="G38" s="32"/>
      <c r="H38" s="32"/>
      <c r="I38" s="14">
        <f>SUM(I34:I36)</f>
        <v>0</v>
      </c>
    </row>
    <row r="39" spans="1:9" x14ac:dyDescent="0.25">
      <c r="A39" s="13"/>
      <c r="B39" s="13"/>
      <c r="C39" s="13"/>
      <c r="D39" s="13"/>
      <c r="E39" s="13"/>
      <c r="F39" s="13"/>
      <c r="G39" s="13"/>
      <c r="H39" s="13"/>
      <c r="I39" s="17"/>
    </row>
    <row r="40" spans="1:9" x14ac:dyDescent="0.25">
      <c r="H40" s="20" t="s">
        <v>18</v>
      </c>
      <c r="I40" s="2">
        <f>I8</f>
        <v>0</v>
      </c>
    </row>
    <row r="41" spans="1:9" x14ac:dyDescent="0.25">
      <c r="H41" s="20" t="s">
        <v>19</v>
      </c>
      <c r="I41" s="2">
        <f>I14</f>
        <v>0</v>
      </c>
    </row>
    <row r="42" spans="1:9" x14ac:dyDescent="0.25">
      <c r="H42" s="20" t="s">
        <v>20</v>
      </c>
      <c r="I42" s="2">
        <f>I20</f>
        <v>0</v>
      </c>
    </row>
    <row r="43" spans="1:9" x14ac:dyDescent="0.25">
      <c r="H43" s="20" t="s">
        <v>21</v>
      </c>
      <c r="I43" s="2">
        <f>I26</f>
        <v>0</v>
      </c>
    </row>
    <row r="44" spans="1:9" x14ac:dyDescent="0.25">
      <c r="H44" s="20" t="s">
        <v>22</v>
      </c>
      <c r="I44" s="2">
        <f>I32</f>
        <v>0</v>
      </c>
    </row>
    <row r="45" spans="1:9" x14ac:dyDescent="0.25">
      <c r="H45" s="20" t="s">
        <v>23</v>
      </c>
      <c r="I45" s="2">
        <f>I38</f>
        <v>0</v>
      </c>
    </row>
    <row r="46" spans="1:9" x14ac:dyDescent="0.25">
      <c r="A46" s="31" t="s">
        <v>17</v>
      </c>
      <c r="B46" s="31"/>
      <c r="C46" s="31"/>
      <c r="D46" s="31"/>
      <c r="E46" s="31"/>
      <c r="F46" s="31"/>
      <c r="G46" s="31"/>
      <c r="H46" s="31"/>
      <c r="I46" s="19">
        <f>SUM(I40:I45)</f>
        <v>0</v>
      </c>
    </row>
    <row r="48" spans="1:9" x14ac:dyDescent="0.25">
      <c r="A48" t="s">
        <v>24</v>
      </c>
      <c r="B48" s="1"/>
      <c r="C48" s="1"/>
      <c r="D48" s="1"/>
      <c r="E48" s="1"/>
      <c r="F48" s="1"/>
      <c r="G48" s="1"/>
      <c r="H48" s="3"/>
    </row>
    <row r="50" spans="3:9" x14ac:dyDescent="0.25">
      <c r="C50" s="27"/>
      <c r="D50" s="28"/>
      <c r="E50" s="28"/>
      <c r="F50" s="27" t="s">
        <v>38</v>
      </c>
      <c r="G50" s="33"/>
      <c r="H50" s="33"/>
      <c r="I50" s="33"/>
    </row>
    <row r="51" spans="3:9" x14ac:dyDescent="0.25">
      <c r="C51" s="27"/>
      <c r="D51" s="28"/>
      <c r="E51" s="28"/>
      <c r="F51" s="27" t="s">
        <v>42</v>
      </c>
      <c r="G51" s="34"/>
      <c r="H51" s="34"/>
      <c r="I51" s="34"/>
    </row>
    <row r="52" spans="3:9" x14ac:dyDescent="0.25">
      <c r="C52" s="27"/>
      <c r="D52" s="28"/>
      <c r="E52" s="28"/>
      <c r="F52" s="27" t="s">
        <v>39</v>
      </c>
      <c r="G52" s="34"/>
      <c r="H52" s="34"/>
      <c r="I52" s="34"/>
    </row>
    <row r="53" spans="3:9" x14ac:dyDescent="0.25">
      <c r="C53" s="27"/>
      <c r="D53" s="28"/>
      <c r="E53" s="28"/>
      <c r="F53" s="27" t="s">
        <v>40</v>
      </c>
      <c r="G53" s="34"/>
      <c r="H53" s="34"/>
      <c r="I53" s="34"/>
    </row>
    <row r="54" spans="3:9" x14ac:dyDescent="0.25">
      <c r="C54" s="27"/>
      <c r="D54" s="28"/>
      <c r="E54" s="28"/>
      <c r="F54" s="27" t="s">
        <v>41</v>
      </c>
      <c r="G54" s="34"/>
      <c r="H54" s="34"/>
      <c r="I54" s="34"/>
    </row>
    <row r="55" spans="3:9" x14ac:dyDescent="0.25">
      <c r="F55" s="28"/>
    </row>
  </sheetData>
  <mergeCells count="12">
    <mergeCell ref="G50:I50"/>
    <mergeCell ref="G51:I51"/>
    <mergeCell ref="G52:I52"/>
    <mergeCell ref="G53:I53"/>
    <mergeCell ref="G54:I54"/>
    <mergeCell ref="A46:H46"/>
    <mergeCell ref="A8:H8"/>
    <mergeCell ref="A14:H14"/>
    <mergeCell ref="A20:H20"/>
    <mergeCell ref="A26:H26"/>
    <mergeCell ref="A32:H32"/>
    <mergeCell ref="A38:H38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Exhibit A - 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Shoshone, Michelle Le Ann</dc:creator>
  <cp:lastModifiedBy>Shoshone, Michelle L</cp:lastModifiedBy>
  <dcterms:created xsi:type="dcterms:W3CDTF">2023-01-17T20:38:28Z</dcterms:created>
  <dcterms:modified xsi:type="dcterms:W3CDTF">2026-05-05T14:35:07Z</dcterms:modified>
</cp:coreProperties>
</file>