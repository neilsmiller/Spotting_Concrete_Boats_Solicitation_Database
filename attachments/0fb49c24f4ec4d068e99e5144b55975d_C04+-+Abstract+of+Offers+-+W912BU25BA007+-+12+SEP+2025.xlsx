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sigs" ContentType="application/vnd.openxmlformats-package.digital-signature-origin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brandon_r_mormello_usace_army_mil/Documents/Desktop/Brandon's Folder/USACE Contracts/"/>
    </mc:Choice>
  </mc:AlternateContent>
  <xr:revisionPtr revIDLastSave="0" documentId="13_ncr:201_{9B4FF328-23EC-4627-82E4-112B6BBBDC2C}" xr6:coauthVersionLast="47" xr6:coauthVersionMax="47" xr10:uidLastSave="{00000000-0000-0000-0000-000000000000}"/>
  <bookViews>
    <workbookView xWindow="-120" yWindow="-90" windowWidth="29040" windowHeight="15690" xr2:uid="{9F674A72-989A-4972-9F65-159D9E85EBBB}"/>
  </bookViews>
  <sheets>
    <sheet name="Abstract of Offers" sheetId="1" r:id="rId1"/>
    <sheet name="Attendee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" l="1"/>
  <c r="N25" i="1"/>
  <c r="K25" i="1"/>
  <c r="H25" i="1"/>
  <c r="K27" i="1" l="1"/>
  <c r="N27" i="1"/>
  <c r="Q27" i="1"/>
</calcChain>
</file>

<file path=xl/sharedStrings.xml><?xml version="1.0" encoding="utf-8"?>
<sst xmlns="http://schemas.openxmlformats.org/spreadsheetml/2006/main" count="103" uniqueCount="82">
  <si>
    <t>ITEM NO.</t>
  </si>
  <si>
    <t>DESCIPTION OF OFFERED ITEM</t>
  </si>
  <si>
    <t>ESTIMATED QUANTITY</t>
  </si>
  <si>
    <t>UNIT</t>
  </si>
  <si>
    <t>UNIT PRICE</t>
  </si>
  <si>
    <t>ESTIMATED AMOUNT</t>
  </si>
  <si>
    <t>ABSTRACT OF OFFERS - CONSTRUCTION</t>
  </si>
  <si>
    <r>
      <rPr>
        <b/>
        <sz val="11"/>
        <color theme="1"/>
        <rFont val="Aptos Narrow"/>
        <family val="2"/>
        <scheme val="minor"/>
      </rPr>
      <t xml:space="preserve">ISSUING OFFICE: </t>
    </r>
    <r>
      <rPr>
        <sz val="11"/>
        <color theme="1"/>
        <rFont val="Aptos Narrow"/>
        <family val="2"/>
        <scheme val="minor"/>
      </rPr>
      <t xml:space="preserve">
US Army Corps of Engineers, Philadelphia, PA
1650 Arch Street
Philadelphia, PA 19107-3390</t>
    </r>
  </si>
  <si>
    <t>IGE</t>
  </si>
  <si>
    <t>OFFEROR NO. 1</t>
  </si>
  <si>
    <t>0001</t>
  </si>
  <si>
    <t>0002</t>
  </si>
  <si>
    <t>0003</t>
  </si>
  <si>
    <t>TOTAL ESTIMATED BID AMOUNT</t>
  </si>
  <si>
    <t>PERCENT DIFFERENCE FROM IGE</t>
  </si>
  <si>
    <t>JOB</t>
  </si>
  <si>
    <t>OFFEROR NO. 2</t>
  </si>
  <si>
    <t>OFFEROR NO. 3</t>
  </si>
  <si>
    <t>I CERTIFY that I have opened, read, and recorded on this abstract all offers received in response to this solicitation.</t>
  </si>
  <si>
    <t>SIGNATURE:</t>
  </si>
  <si>
    <t>NAME</t>
  </si>
  <si>
    <t>ORGANIZATION</t>
  </si>
  <si>
    <t>Eric Leach</t>
  </si>
  <si>
    <t>Brandon Mormello</t>
  </si>
  <si>
    <t>TOTAL</t>
  </si>
  <si>
    <r>
      <t xml:space="preserve">NAME &amp; TITLE OF CERTIFYING OFFICIAL:
</t>
    </r>
    <r>
      <rPr>
        <sz val="11"/>
        <color theme="1"/>
        <rFont val="Aptos Narrow"/>
        <family val="2"/>
        <scheme val="minor"/>
      </rPr>
      <t>Brandon R. Mormello
Contracting Officer</t>
    </r>
  </si>
  <si>
    <t>0004</t>
  </si>
  <si>
    <t>0005</t>
  </si>
  <si>
    <t>0006</t>
  </si>
  <si>
    <t>Mobilization &amp; Demobilization</t>
  </si>
  <si>
    <t>Removal &amp; Satisfactory Disposal of Material from Wilmington Harbor</t>
  </si>
  <si>
    <t>Cubic Yard</t>
  </si>
  <si>
    <t>Mobilization &amp; Demobilization between Wilmington Harbor, Christina River, and Marcus Hook, Bellvue/Cherry Island, Deepwater Point and New Castle Ranges, Delaware River (Dredge Movement and Pipeline Relocation)</t>
  </si>
  <si>
    <t>Removal &amp; Satisfactory Disposal of Material from Cherry Island/Bellvue &amp; Marcus Hook Ranges</t>
  </si>
  <si>
    <t>Removal and Satisfactory Disposal of Material from Deepwater Point Range</t>
  </si>
  <si>
    <t>Removal and Satisfactory Disposal of Material from New Castle Range</t>
  </si>
  <si>
    <r>
      <t xml:space="preserve">DATE ISSUED: </t>
    </r>
    <r>
      <rPr>
        <sz val="11"/>
        <color theme="1"/>
        <rFont val="Aptos Narrow"/>
        <family val="2"/>
        <scheme val="minor"/>
      </rPr>
      <t>24 JUL 2025</t>
    </r>
  </si>
  <si>
    <r>
      <t xml:space="preserve">SOLICITATION NO: </t>
    </r>
    <r>
      <rPr>
        <sz val="11"/>
        <color theme="1"/>
        <rFont val="Aptos Narrow"/>
        <family val="2"/>
        <scheme val="minor"/>
      </rPr>
      <t>W912BU25BA007</t>
    </r>
  </si>
  <si>
    <r>
      <t xml:space="preserve">PROJECT TITLE: </t>
    </r>
    <r>
      <rPr>
        <sz val="11"/>
        <color theme="1"/>
        <rFont val="Aptos Narrow"/>
        <family val="2"/>
        <scheme val="minor"/>
      </rPr>
      <t xml:space="preserve">Maintenance Dredging, Delaware River, Philadelphia to Sea and Wilmington Harbor </t>
    </r>
  </si>
  <si>
    <r>
      <t>NO. OF AMENDMENTS:</t>
    </r>
    <r>
      <rPr>
        <sz val="11"/>
        <color theme="1"/>
        <rFont val="Aptos Narrow"/>
        <family val="2"/>
        <scheme val="minor"/>
      </rPr>
      <t xml:space="preserve"> 6</t>
    </r>
  </si>
  <si>
    <r>
      <t>DATE OPENED:</t>
    </r>
    <r>
      <rPr>
        <sz val="11"/>
        <color theme="1"/>
        <rFont val="Aptos Narrow"/>
        <family val="2"/>
        <scheme val="minor"/>
      </rPr>
      <t xml:space="preserve"> 12 SEP 2025</t>
    </r>
  </si>
  <si>
    <t>Scott Seufert</t>
  </si>
  <si>
    <t>Dan Kelly</t>
  </si>
  <si>
    <t>Kim Dibartolomeo</t>
  </si>
  <si>
    <t>Jeff McAleer</t>
  </si>
  <si>
    <t>Chelsea Legaspi</t>
  </si>
  <si>
    <t>USACE - Chief, Civil Works &amp; Marine Design Services Branch</t>
  </si>
  <si>
    <t>USACE - Contract Specialist</t>
  </si>
  <si>
    <t>USACE - Contracting Officer</t>
  </si>
  <si>
    <t xml:space="preserve">USACE - Cost Engineering </t>
  </si>
  <si>
    <t>USACE - Project Manager</t>
  </si>
  <si>
    <t>USACE - Supervisory Civil Engineer</t>
  </si>
  <si>
    <t>USACE - Office of Council</t>
  </si>
  <si>
    <t>Tim Rooney</t>
  </si>
  <si>
    <t>Eric Frisbie</t>
  </si>
  <si>
    <t>Dominic Franchi</t>
  </si>
  <si>
    <t>Gary Cottrell</t>
  </si>
  <si>
    <t>Cashman Dredging</t>
  </si>
  <si>
    <t>Jaun Carlos</t>
  </si>
  <si>
    <t>Mike Haverty</t>
  </si>
  <si>
    <t>Steve Newton</t>
  </si>
  <si>
    <t>William M Hussin</t>
  </si>
  <si>
    <t>Paul Lougheed</t>
  </si>
  <si>
    <t>Gordon Shelton</t>
  </si>
  <si>
    <t>Lisa Rugnetta</t>
  </si>
  <si>
    <t>Curtin Maritime</t>
  </si>
  <si>
    <t>Norfolk Dredging Co</t>
  </si>
  <si>
    <t>Name: Weeks Marine</t>
  </si>
  <si>
    <t>Independent Government Estimate</t>
  </si>
  <si>
    <t>Name: COTTRELL CONTRACTING CORP.</t>
  </si>
  <si>
    <t>Name: NORFOLK DREDGING COMPANY</t>
  </si>
  <si>
    <r>
      <rPr>
        <b/>
        <sz val="11"/>
        <color theme="1"/>
        <rFont val="Aptos Narrow"/>
        <family val="2"/>
        <scheme val="minor"/>
      </rPr>
      <t>AMENDMENT(S) ACKNOWLEDGED:</t>
    </r>
    <r>
      <rPr>
        <sz val="11"/>
        <color theme="1"/>
        <rFont val="Aptos Narrow"/>
        <family val="2"/>
        <scheme val="minor"/>
      </rPr>
      <t xml:space="preserve"> YES</t>
    </r>
  </si>
  <si>
    <t>Address: 328 N BATTLEFIELD BLVD</t>
  </si>
  <si>
    <t xml:space="preserve">UEI/CAGE: KDJRHWYG4ML1 / 091W6 </t>
  </si>
  <si>
    <t>Address: 110 CENTERVILLE TPKE N</t>
  </si>
  <si>
    <t>UEI/CAGE: HTVQLC41UCS9 / 0E3M4</t>
  </si>
  <si>
    <t>Address: 304 GAILLE DR</t>
  </si>
  <si>
    <t>Address: COVINGTON, LA 70433-9125</t>
  </si>
  <si>
    <t>UEI/CAGE: ED3FZHBD52V3 / 1RHV3</t>
  </si>
  <si>
    <t>Address: CHESAPEAKE, VA 23320-3004</t>
  </si>
  <si>
    <t xml:space="preserve">Address: CHESAPEAKE, VA  23320-3916 </t>
  </si>
  <si>
    <t>Cottrell Contracting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</si>
</sst>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3" xfId="0" applyBorder="1"/>
    <xf numFmtId="0" fontId="2" fillId="3" borderId="1" xfId="0" applyFont="1" applyFill="1" applyBorder="1" applyAlignment="1">
      <alignment horizontal="center" vertical="top" wrapText="1"/>
    </xf>
    <xf numFmtId="10" fontId="2" fillId="0" borderId="1" xfId="0" applyNumberFormat="1" applyFont="1" applyBorder="1"/>
    <xf numFmtId="49" fontId="0" fillId="0" borderId="5" xfId="0" applyNumberFormat="1" applyFill="1" applyBorder="1"/>
    <xf numFmtId="49" fontId="2" fillId="0" borderId="1" xfId="0" applyNumberFormat="1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49" fontId="0" fillId="0" borderId="1" xfId="0" applyNumberFormat="1" applyFill="1" applyBorder="1" applyAlignment="1">
      <alignment horizontal="center" vertical="top"/>
    </xf>
    <xf numFmtId="49" fontId="0" fillId="0" borderId="5" xfId="0" applyNumberFormat="1" applyFill="1" applyBorder="1" applyAlignment="1">
      <alignment horizontal="center" vertical="top"/>
    </xf>
    <xf numFmtId="0" fontId="3" fillId="0" borderId="5" xfId="0" applyFont="1" applyFill="1" applyBorder="1" applyAlignment="1">
      <alignment wrapText="1"/>
    </xf>
    <xf numFmtId="0" fontId="0" fillId="0" borderId="5" xfId="0" applyFill="1" applyBorder="1"/>
    <xf numFmtId="0" fontId="2" fillId="0" borderId="1" xfId="0" applyFont="1" applyFill="1" applyBorder="1" applyAlignment="1">
      <alignment horizontal="center"/>
    </xf>
    <xf numFmtId="3" fontId="0" fillId="0" borderId="1" xfId="1" applyNumberFormat="1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0" fillId="0" borderId="5" xfId="0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/>
    </xf>
    <xf numFmtId="3" fontId="0" fillId="0" borderId="5" xfId="1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0" fillId="0" borderId="1" xfId="0" applyFill="1" applyBorder="1"/>
    <xf numFmtId="8" fontId="0" fillId="0" borderId="0" xfId="0" applyNumberFormat="1"/>
    <xf numFmtId="164" fontId="0" fillId="0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0" fillId="2" borderId="0" xfId="0" applyFill="1" applyAlignment="1">
      <alignment vertical="top"/>
    </xf>
    <xf numFmtId="8" fontId="0" fillId="0" borderId="1" xfId="0" applyNumberFormat="1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5" xfId="0" applyFill="1" applyBorder="1" applyAlignment="1">
      <alignment vertical="top"/>
    </xf>
    <xf numFmtId="8" fontId="0" fillId="0" borderId="5" xfId="0" applyNumberForma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164" fontId="0" fillId="0" borderId="5" xfId="0" applyNumberFormat="1" applyFill="1" applyBorder="1" applyAlignment="1">
      <alignment horizontal="center" vertical="top"/>
    </xf>
    <xf numFmtId="164" fontId="2" fillId="0" borderId="1" xfId="0" applyNumberFormat="1" applyFont="1" applyFill="1" applyBorder="1" applyAlignment="1">
      <alignment horizontal="center" vertical="top"/>
    </xf>
    <xf numFmtId="10" fontId="4" fillId="0" borderId="1" xfId="0" applyNumberFormat="1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EDAD-E537-49AB-A376-90146E6D7B92}">
  <dimension ref="B1:R29"/>
  <sheetViews>
    <sheetView showGridLines="0" tabSelected="1" workbookViewId="0">
      <selection activeCell="N7" sqref="N7"/>
    </sheetView>
  </sheetViews>
  <sheetFormatPr defaultRowHeight="15" x14ac:dyDescent="0.25"/>
  <cols>
    <col min="1" max="1" width="3.28515625" customWidth="1"/>
    <col min="2" max="2" width="10.85546875" customWidth="1"/>
    <col min="3" max="3" width="63.5703125" customWidth="1"/>
    <col min="4" max="5" width="15" customWidth="1"/>
    <col min="6" max="6" width="2.7109375" customWidth="1"/>
    <col min="7" max="8" width="17.85546875" customWidth="1"/>
    <col min="9" max="9" width="2.7109375" customWidth="1"/>
    <col min="10" max="11" width="17.85546875" customWidth="1"/>
    <col min="12" max="12" width="2.7109375" customWidth="1"/>
    <col min="13" max="14" width="17.85546875" customWidth="1"/>
    <col min="15" max="15" width="2.7109375" customWidth="1"/>
    <col min="16" max="17" width="17.85546875" customWidth="1"/>
    <col min="18" max="18" width="2.7109375" customWidth="1"/>
  </cols>
  <sheetData>
    <row r="1" spans="2:18" s="2" customFormat="1" x14ac:dyDescent="0.25"/>
    <row r="2" spans="2:18" x14ac:dyDescent="0.25">
      <c r="B2" s="47" t="s">
        <v>6</v>
      </c>
      <c r="C2" s="47"/>
    </row>
    <row r="3" spans="2:18" ht="58.15" customHeight="1" x14ac:dyDescent="0.25">
      <c r="B3" s="48" t="s">
        <v>7</v>
      </c>
      <c r="C3" s="49"/>
      <c r="G3" s="58" t="s">
        <v>25</v>
      </c>
      <c r="H3" s="58"/>
      <c r="I3" s="4"/>
      <c r="J3" s="59" t="s">
        <v>18</v>
      </c>
      <c r="K3" s="59"/>
      <c r="L3" s="4"/>
      <c r="M3" s="60" t="s">
        <v>19</v>
      </c>
      <c r="N3" s="60"/>
    </row>
    <row r="4" spans="2:18" ht="40.9" customHeight="1" x14ac:dyDescent="0.25">
      <c r="B4" s="50" t="s">
        <v>38</v>
      </c>
      <c r="C4" s="51"/>
    </row>
    <row r="5" spans="2:18" x14ac:dyDescent="0.25">
      <c r="B5" s="52" t="s">
        <v>37</v>
      </c>
      <c r="C5" s="52"/>
    </row>
    <row r="6" spans="2:18" x14ac:dyDescent="0.25">
      <c r="B6" s="53" t="s">
        <v>36</v>
      </c>
      <c r="C6" s="53"/>
    </row>
    <row r="7" spans="2:18" x14ac:dyDescent="0.25">
      <c r="B7" s="52" t="s">
        <v>40</v>
      </c>
      <c r="C7" s="52"/>
    </row>
    <row r="8" spans="2:18" x14ac:dyDescent="0.25">
      <c r="B8" s="52" t="s">
        <v>39</v>
      </c>
      <c r="C8" s="52"/>
    </row>
    <row r="9" spans="2:18" x14ac:dyDescent="0.25">
      <c r="G9" s="11"/>
      <c r="H9" s="11"/>
    </row>
    <row r="10" spans="2:18" x14ac:dyDescent="0.25">
      <c r="F10" s="4"/>
      <c r="G10" s="54" t="s">
        <v>8</v>
      </c>
      <c r="H10" s="54"/>
      <c r="I10" s="4"/>
      <c r="J10" s="55" t="s">
        <v>9</v>
      </c>
      <c r="K10" s="55"/>
      <c r="L10" s="4"/>
      <c r="M10" s="55" t="s">
        <v>16</v>
      </c>
      <c r="N10" s="55"/>
      <c r="O10" s="4"/>
      <c r="P10" s="57" t="s">
        <v>17</v>
      </c>
      <c r="Q10" s="57"/>
      <c r="R10" s="4"/>
    </row>
    <row r="11" spans="2:18" x14ac:dyDescent="0.25">
      <c r="F11" s="4"/>
      <c r="G11" s="56" t="s">
        <v>68</v>
      </c>
      <c r="H11" s="56"/>
      <c r="I11" s="4"/>
      <c r="J11" s="46" t="s">
        <v>69</v>
      </c>
      <c r="K11" s="46"/>
      <c r="L11" s="4"/>
      <c r="M11" s="46" t="s">
        <v>70</v>
      </c>
      <c r="N11" s="46"/>
      <c r="O11" s="4"/>
      <c r="P11" s="46" t="s">
        <v>67</v>
      </c>
      <c r="Q11" s="46"/>
      <c r="R11" s="4"/>
    </row>
    <row r="12" spans="2:18" x14ac:dyDescent="0.25">
      <c r="F12" s="4"/>
      <c r="I12" s="4"/>
      <c r="J12" s="46" t="s">
        <v>72</v>
      </c>
      <c r="K12" s="46"/>
      <c r="L12" s="4"/>
      <c r="M12" s="46" t="s">
        <v>74</v>
      </c>
      <c r="N12" s="46"/>
      <c r="O12" s="4"/>
      <c r="P12" s="46" t="s">
        <v>76</v>
      </c>
      <c r="Q12" s="46"/>
      <c r="R12" s="4"/>
    </row>
    <row r="13" spans="2:18" x14ac:dyDescent="0.25">
      <c r="F13" s="4"/>
      <c r="I13" s="4"/>
      <c r="J13" s="46" t="s">
        <v>80</v>
      </c>
      <c r="K13" s="46"/>
      <c r="L13" s="4"/>
      <c r="M13" s="46" t="s">
        <v>79</v>
      </c>
      <c r="N13" s="46"/>
      <c r="O13" s="4"/>
      <c r="P13" s="46" t="s">
        <v>77</v>
      </c>
      <c r="Q13" s="46"/>
      <c r="R13" s="4"/>
    </row>
    <row r="14" spans="2:18" x14ac:dyDescent="0.25">
      <c r="F14" s="4"/>
      <c r="I14" s="4"/>
      <c r="J14" s="46" t="s">
        <v>73</v>
      </c>
      <c r="K14" s="46"/>
      <c r="L14" s="4"/>
      <c r="M14" s="46" t="s">
        <v>75</v>
      </c>
      <c r="N14" s="46"/>
      <c r="O14" s="4"/>
      <c r="P14" s="46" t="s">
        <v>78</v>
      </c>
      <c r="Q14" s="46"/>
      <c r="R14" s="4"/>
    </row>
    <row r="15" spans="2:18" x14ac:dyDescent="0.25">
      <c r="F15" s="4"/>
      <c r="I15" s="4"/>
      <c r="J15" s="45" t="s">
        <v>71</v>
      </c>
      <c r="K15" s="45"/>
      <c r="L15" s="4"/>
      <c r="M15" s="45" t="s">
        <v>71</v>
      </c>
      <c r="N15" s="45"/>
      <c r="O15" s="4"/>
      <c r="P15" s="45" t="s">
        <v>71</v>
      </c>
      <c r="Q15" s="45"/>
      <c r="R15" s="4"/>
    </row>
    <row r="16" spans="2:18" x14ac:dyDescent="0.25">
      <c r="F16" s="4"/>
      <c r="I16" s="4"/>
      <c r="L16" s="4"/>
      <c r="O16" s="4"/>
      <c r="R16" s="4"/>
    </row>
    <row r="17" spans="2:18" s="1" customFormat="1" ht="28.9" customHeight="1" x14ac:dyDescent="0.25">
      <c r="B17" s="12" t="s">
        <v>0</v>
      </c>
      <c r="C17" s="12" t="s">
        <v>1</v>
      </c>
      <c r="D17" s="12" t="s">
        <v>2</v>
      </c>
      <c r="E17" s="12" t="s">
        <v>3</v>
      </c>
      <c r="F17" s="6"/>
      <c r="G17" s="12" t="s">
        <v>4</v>
      </c>
      <c r="H17" s="12" t="s">
        <v>5</v>
      </c>
      <c r="I17" s="6"/>
      <c r="J17" s="12" t="s">
        <v>4</v>
      </c>
      <c r="K17" s="12" t="s">
        <v>5</v>
      </c>
      <c r="L17" s="6"/>
      <c r="M17" s="12" t="s">
        <v>4</v>
      </c>
      <c r="N17" s="12" t="s">
        <v>5</v>
      </c>
      <c r="O17" s="5"/>
      <c r="P17" s="12" t="s">
        <v>4</v>
      </c>
      <c r="Q17" s="12" t="s">
        <v>5</v>
      </c>
      <c r="R17" s="5"/>
    </row>
    <row r="18" spans="2:18" x14ac:dyDescent="0.25">
      <c r="B18" s="18" t="s">
        <v>10</v>
      </c>
      <c r="C18" s="16" t="s">
        <v>29</v>
      </c>
      <c r="D18" s="23">
        <v>1</v>
      </c>
      <c r="E18" s="24" t="s">
        <v>15</v>
      </c>
      <c r="F18" s="34"/>
      <c r="G18" s="33">
        <v>3506600</v>
      </c>
      <c r="H18" s="33">
        <v>3506600</v>
      </c>
      <c r="I18" s="35"/>
      <c r="J18" s="33">
        <v>1900000</v>
      </c>
      <c r="K18" s="33">
        <v>1900000</v>
      </c>
      <c r="L18" s="35"/>
      <c r="M18" s="33">
        <v>3795000</v>
      </c>
      <c r="N18" s="33">
        <v>3795000</v>
      </c>
      <c r="O18" s="36"/>
      <c r="P18" s="33">
        <v>15750000</v>
      </c>
      <c r="Q18" s="33">
        <v>15750000</v>
      </c>
      <c r="R18" s="36"/>
    </row>
    <row r="19" spans="2:18" x14ac:dyDescent="0.25">
      <c r="B19" s="18" t="s">
        <v>11</v>
      </c>
      <c r="C19" s="16" t="s">
        <v>30</v>
      </c>
      <c r="D19" s="23">
        <v>420000</v>
      </c>
      <c r="E19" s="24" t="s">
        <v>31</v>
      </c>
      <c r="F19" s="34"/>
      <c r="G19" s="37">
        <v>9.7200000000000006</v>
      </c>
      <c r="H19" s="33">
        <v>4082400</v>
      </c>
      <c r="I19" s="35"/>
      <c r="J19" s="33">
        <v>8.8000000000000007</v>
      </c>
      <c r="K19" s="33">
        <v>3696000</v>
      </c>
      <c r="L19" s="35"/>
      <c r="M19" s="33">
        <v>7</v>
      </c>
      <c r="N19" s="33">
        <v>2940000</v>
      </c>
      <c r="O19" s="36"/>
      <c r="P19" s="33">
        <v>18</v>
      </c>
      <c r="Q19" s="33">
        <v>7560000</v>
      </c>
      <c r="R19" s="36"/>
    </row>
    <row r="20" spans="2:18" ht="60" x14ac:dyDescent="0.25">
      <c r="B20" s="18" t="s">
        <v>12</v>
      </c>
      <c r="C20" s="17" t="s">
        <v>32</v>
      </c>
      <c r="D20" s="23">
        <v>4</v>
      </c>
      <c r="E20" s="24" t="s">
        <v>15</v>
      </c>
      <c r="F20" s="34"/>
      <c r="G20" s="33">
        <v>938660</v>
      </c>
      <c r="H20" s="33">
        <v>3754640</v>
      </c>
      <c r="I20" s="35"/>
      <c r="J20" s="33">
        <v>1390000</v>
      </c>
      <c r="K20" s="33">
        <v>5560000</v>
      </c>
      <c r="L20" s="35"/>
      <c r="M20" s="33">
        <v>1470000</v>
      </c>
      <c r="N20" s="33">
        <v>5880000</v>
      </c>
      <c r="O20" s="36"/>
      <c r="P20" s="33">
        <v>750000</v>
      </c>
      <c r="Q20" s="33">
        <v>3000000</v>
      </c>
      <c r="R20" s="36"/>
    </row>
    <row r="21" spans="2:18" s="2" customFormat="1" ht="30" x14ac:dyDescent="0.25">
      <c r="B21" s="19" t="s">
        <v>26</v>
      </c>
      <c r="C21" s="20" t="s">
        <v>33</v>
      </c>
      <c r="D21" s="29">
        <v>1400000</v>
      </c>
      <c r="E21" s="24" t="s">
        <v>31</v>
      </c>
      <c r="F21" s="38"/>
      <c r="G21" s="40">
        <v>9.43</v>
      </c>
      <c r="H21" s="42">
        <v>13202000</v>
      </c>
      <c r="I21" s="39"/>
      <c r="J21" s="42">
        <v>8.5</v>
      </c>
      <c r="K21" s="42">
        <v>11900000</v>
      </c>
      <c r="L21" s="39"/>
      <c r="M21" s="42">
        <v>5.5</v>
      </c>
      <c r="N21" s="42">
        <v>7700000</v>
      </c>
      <c r="O21" s="36"/>
      <c r="P21" s="42">
        <v>18</v>
      </c>
      <c r="Q21" s="42">
        <v>25200000</v>
      </c>
      <c r="R21" s="36"/>
    </row>
    <row r="22" spans="2:18" s="2" customFormat="1" ht="30" x14ac:dyDescent="0.25">
      <c r="B22" s="19" t="s">
        <v>27</v>
      </c>
      <c r="C22" s="20" t="s">
        <v>34</v>
      </c>
      <c r="D22" s="29">
        <v>500000</v>
      </c>
      <c r="E22" s="24" t="s">
        <v>31</v>
      </c>
      <c r="F22" s="38"/>
      <c r="G22" s="40">
        <v>11.46</v>
      </c>
      <c r="H22" s="42">
        <v>5730000</v>
      </c>
      <c r="I22" s="39"/>
      <c r="J22" s="42">
        <v>10</v>
      </c>
      <c r="K22" s="42">
        <v>5000000</v>
      </c>
      <c r="L22" s="39"/>
      <c r="M22" s="42">
        <v>9.25</v>
      </c>
      <c r="N22" s="42">
        <v>4625000</v>
      </c>
      <c r="O22" s="36"/>
      <c r="P22" s="42">
        <v>27</v>
      </c>
      <c r="Q22" s="42">
        <v>13500000</v>
      </c>
      <c r="R22" s="36"/>
    </row>
    <row r="23" spans="2:18" s="2" customFormat="1" ht="30" x14ac:dyDescent="0.25">
      <c r="B23" s="19" t="s">
        <v>28</v>
      </c>
      <c r="C23" s="20" t="s">
        <v>35</v>
      </c>
      <c r="D23" s="29">
        <v>500000</v>
      </c>
      <c r="E23" s="24" t="s">
        <v>31</v>
      </c>
      <c r="F23" s="38"/>
      <c r="G23" s="40">
        <v>9.5</v>
      </c>
      <c r="H23" s="42">
        <v>4750000</v>
      </c>
      <c r="I23" s="39"/>
      <c r="J23" s="42">
        <v>8.5</v>
      </c>
      <c r="K23" s="42">
        <v>4250000</v>
      </c>
      <c r="L23" s="39"/>
      <c r="M23" s="42">
        <v>5.5</v>
      </c>
      <c r="N23" s="42">
        <v>2750000</v>
      </c>
      <c r="O23" s="36"/>
      <c r="P23" s="42">
        <v>25</v>
      </c>
      <c r="Q23" s="42">
        <v>12500000</v>
      </c>
      <c r="R23" s="36"/>
    </row>
    <row r="24" spans="2:18" x14ac:dyDescent="0.25">
      <c r="B24" s="14"/>
      <c r="C24" s="21"/>
      <c r="D24" s="25"/>
      <c r="E24" s="26"/>
      <c r="F24" s="39"/>
      <c r="G24" s="26"/>
      <c r="H24" s="42"/>
      <c r="I24" s="39"/>
      <c r="J24" s="25"/>
      <c r="K24" s="42"/>
      <c r="L24" s="39"/>
      <c r="M24" s="25"/>
      <c r="N24" s="42"/>
      <c r="O24" s="36"/>
      <c r="P24" s="25"/>
      <c r="Q24" s="42"/>
      <c r="R24" s="36"/>
    </row>
    <row r="25" spans="2:18" s="3" customFormat="1" x14ac:dyDescent="0.25">
      <c r="B25" s="15"/>
      <c r="C25" s="22" t="s">
        <v>13</v>
      </c>
      <c r="D25" s="27"/>
      <c r="E25" s="28"/>
      <c r="F25" s="41"/>
      <c r="G25" s="27" t="s">
        <v>24</v>
      </c>
      <c r="H25" s="43">
        <f>SUM(H18:H24)</f>
        <v>35025640</v>
      </c>
      <c r="I25" s="41"/>
      <c r="J25" s="27" t="s">
        <v>24</v>
      </c>
      <c r="K25" s="43">
        <f>SUM(K18:K24)</f>
        <v>32306000</v>
      </c>
      <c r="L25" s="41"/>
      <c r="M25" s="27" t="s">
        <v>24</v>
      </c>
      <c r="N25" s="43">
        <f>SUM(N18:N24)</f>
        <v>27690000</v>
      </c>
      <c r="O25" s="41"/>
      <c r="P25" s="27" t="s">
        <v>24</v>
      </c>
      <c r="Q25" s="43">
        <f>SUM(Q18:Q24)</f>
        <v>77510000</v>
      </c>
      <c r="R25" s="41"/>
    </row>
    <row r="26" spans="2:18" x14ac:dyDescent="0.25">
      <c r="B26" s="9"/>
      <c r="C26" s="7"/>
      <c r="D26" s="7"/>
      <c r="E26" s="7"/>
      <c r="F26" s="8"/>
      <c r="G26" s="7"/>
      <c r="H26" s="7"/>
      <c r="I26" s="8"/>
      <c r="J26" s="7"/>
      <c r="K26" s="7"/>
      <c r="L26" s="8"/>
      <c r="M26" s="7"/>
      <c r="N26" s="7"/>
      <c r="O26" s="8"/>
      <c r="P26" s="7"/>
      <c r="Q26" s="7"/>
      <c r="R26" s="8"/>
    </row>
    <row r="27" spans="2:18" x14ac:dyDescent="0.25">
      <c r="B27" s="7"/>
      <c r="C27" s="10" t="s">
        <v>14</v>
      </c>
      <c r="D27" s="7"/>
      <c r="E27" s="7"/>
      <c r="F27" s="8"/>
      <c r="G27" s="7"/>
      <c r="H27" s="7"/>
      <c r="I27" s="8"/>
      <c r="J27" s="7"/>
      <c r="K27" s="44">
        <f>(K25-H25)/H25</f>
        <v>-7.7647117939886323E-2</v>
      </c>
      <c r="L27" s="8"/>
      <c r="M27" s="7"/>
      <c r="N27" s="44">
        <f>(N25-H25)/H25</f>
        <v>-0.20943628724557209</v>
      </c>
      <c r="O27" s="8"/>
      <c r="P27" s="7"/>
      <c r="Q27" s="13">
        <f>(Q25-H25)/H25</f>
        <v>1.2129502844202134</v>
      </c>
      <c r="R27" s="8"/>
    </row>
    <row r="29" spans="2:18" x14ac:dyDescent="0.25">
      <c r="K29" s="32"/>
    </row>
  </sheetData>
  <mergeCells count="27">
    <mergeCell ref="J14:K14"/>
    <mergeCell ref="M14:N14"/>
    <mergeCell ref="P14:Q14"/>
    <mergeCell ref="M10:N10"/>
    <mergeCell ref="P10:Q10"/>
    <mergeCell ref="G3:H3"/>
    <mergeCell ref="J3:K3"/>
    <mergeCell ref="M3:N3"/>
    <mergeCell ref="J13:K13"/>
    <mergeCell ref="B2:C2"/>
    <mergeCell ref="B3:C3"/>
    <mergeCell ref="B4:C4"/>
    <mergeCell ref="B5:C5"/>
    <mergeCell ref="B6:C6"/>
    <mergeCell ref="B7:C7"/>
    <mergeCell ref="B8:C8"/>
    <mergeCell ref="G10:H10"/>
    <mergeCell ref="J10:K10"/>
    <mergeCell ref="J11:K11"/>
    <mergeCell ref="J12:K12"/>
    <mergeCell ref="G11:H11"/>
    <mergeCell ref="M11:N11"/>
    <mergeCell ref="M12:N12"/>
    <mergeCell ref="M13:N13"/>
    <mergeCell ref="P11:Q11"/>
    <mergeCell ref="P12:Q12"/>
    <mergeCell ref="P13:Q13"/>
  </mergeCells>
  <pageMargins left="0.7" right="0.7" top="0.75" bottom="0.75" header="0.3" footer="0.3"/>
  <pageSetup orientation="portrait" r:id="rId1"/>
  <ignoredErrors>
    <ignoredError sqref="B18:B20 B21:B23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ACD8-486A-464D-B364-F4CAE9C8CB06}">
  <dimension ref="B2:C20"/>
  <sheetViews>
    <sheetView showGridLines="0" workbookViewId="0">
      <selection activeCell="K18" sqref="K18"/>
    </sheetView>
  </sheetViews>
  <sheetFormatPr defaultRowHeight="15" x14ac:dyDescent="0.25"/>
  <cols>
    <col min="1" max="1" width="4.28515625" customWidth="1"/>
    <col min="2" max="2" width="35.140625" customWidth="1"/>
    <col min="3" max="3" width="51.7109375" customWidth="1"/>
  </cols>
  <sheetData>
    <row r="2" spans="2:3" x14ac:dyDescent="0.25">
      <c r="B2" s="30" t="s">
        <v>20</v>
      </c>
      <c r="C2" s="30" t="s">
        <v>21</v>
      </c>
    </row>
    <row r="3" spans="2:3" x14ac:dyDescent="0.25">
      <c r="B3" s="31" t="s">
        <v>22</v>
      </c>
      <c r="C3" s="31" t="s">
        <v>47</v>
      </c>
    </row>
    <row r="4" spans="2:3" x14ac:dyDescent="0.25">
      <c r="B4" s="31" t="s">
        <v>23</v>
      </c>
      <c r="C4" s="31" t="s">
        <v>48</v>
      </c>
    </row>
    <row r="5" spans="2:3" x14ac:dyDescent="0.25">
      <c r="B5" s="31" t="s">
        <v>41</v>
      </c>
      <c r="C5" s="31" t="s">
        <v>52</v>
      </c>
    </row>
    <row r="6" spans="2:3" x14ac:dyDescent="0.25">
      <c r="B6" s="31" t="s">
        <v>42</v>
      </c>
      <c r="C6" s="31" t="s">
        <v>50</v>
      </c>
    </row>
    <row r="7" spans="2:3" x14ac:dyDescent="0.25">
      <c r="B7" s="31" t="s">
        <v>43</v>
      </c>
      <c r="C7" s="31" t="s">
        <v>46</v>
      </c>
    </row>
    <row r="8" spans="2:3" x14ac:dyDescent="0.25">
      <c r="B8" s="31" t="s">
        <v>44</v>
      </c>
      <c r="C8" s="31" t="s">
        <v>51</v>
      </c>
    </row>
    <row r="9" spans="2:3" x14ac:dyDescent="0.25">
      <c r="B9" s="31" t="s">
        <v>45</v>
      </c>
      <c r="C9" s="31" t="s">
        <v>49</v>
      </c>
    </row>
    <row r="10" spans="2:3" x14ac:dyDescent="0.25">
      <c r="B10" s="31" t="s">
        <v>53</v>
      </c>
      <c r="C10" s="31" t="s">
        <v>50</v>
      </c>
    </row>
    <row r="11" spans="2:3" x14ac:dyDescent="0.25">
      <c r="B11" s="31" t="s">
        <v>54</v>
      </c>
      <c r="C11" s="31" t="s">
        <v>49</v>
      </c>
    </row>
    <row r="12" spans="2:3" x14ac:dyDescent="0.25">
      <c r="B12" s="31" t="s">
        <v>55</v>
      </c>
      <c r="C12" s="31" t="s">
        <v>49</v>
      </c>
    </row>
    <row r="13" spans="2:3" x14ac:dyDescent="0.25">
      <c r="B13" s="7" t="s">
        <v>61</v>
      </c>
      <c r="C13" s="7" t="s">
        <v>57</v>
      </c>
    </row>
    <row r="14" spans="2:3" x14ac:dyDescent="0.25">
      <c r="B14" s="7" t="s">
        <v>56</v>
      </c>
      <c r="C14" s="7" t="s">
        <v>81</v>
      </c>
    </row>
    <row r="15" spans="2:3" x14ac:dyDescent="0.25">
      <c r="B15" s="7" t="s">
        <v>63</v>
      </c>
      <c r="C15" s="7" t="s">
        <v>81</v>
      </c>
    </row>
    <row r="16" spans="2:3" x14ac:dyDescent="0.25">
      <c r="B16" s="7" t="s">
        <v>64</v>
      </c>
      <c r="C16" s="7" t="s">
        <v>65</v>
      </c>
    </row>
    <row r="17" spans="2:3" x14ac:dyDescent="0.25">
      <c r="B17" s="7" t="s">
        <v>59</v>
      </c>
      <c r="C17" s="7" t="s">
        <v>66</v>
      </c>
    </row>
    <row r="18" spans="2:3" x14ac:dyDescent="0.25">
      <c r="B18" s="7" t="s">
        <v>60</v>
      </c>
      <c r="C18" s="7" t="s">
        <v>66</v>
      </c>
    </row>
    <row r="19" spans="2:3" x14ac:dyDescent="0.25">
      <c r="B19" s="7" t="s">
        <v>62</v>
      </c>
      <c r="C19" s="7" t="s">
        <v>66</v>
      </c>
    </row>
    <row r="20" spans="2:3" x14ac:dyDescent="0.25">
      <c r="B20" s="7" t="s">
        <v>58</v>
      </c>
      <c r="C20" s="7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AeV4ZiiyhdEBdoARo8a8TxgaKMW8dUmYGyUJJHhCR5g=</DigestValue>
    </Reference>
    <Reference Type="http://www.w3.org/2000/09/xmldsig#Object" URI="#idOfficeObject">
      <DigestMethod Algorithm="http://www.w3.org/2001/04/xmlenc#sha256"/>
      <DigestValue>yzuuwbUj2PZ4SJ/tvl5KxNFlnzKbX5I8tDrJYFb+Qsc=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bQFERDUV06R3a9ge2udpzNsb00GZlQ5ukqlPT6ivK4U=</DigestValue>
    </Reference>
    <Reference Type="http://www.w3.org/2000/09/xmldsig#Object" URI="#idValidSigLnImg">
      <DigestMethod Algorithm="http://www.w3.org/2001/04/xmlenc#sha256"/>
      <DigestValue>entb45fN0uo0cSAISWqN2/0c6HasH05cx2H8YIBr+uQ=</DigestValue>
    </Reference>
    <Reference Type="http://www.w3.org/2000/09/xmldsig#Object" URI="#idInvalidSigLnImg">
      <DigestMethod Algorithm="http://www.w3.org/2001/04/xmlenc#sha256"/>
      <DigestValue>cSb5PPZwjj5h8VToHX/f16PDNfGKW0U/rsWJ4i+sSac=</DigestValue>
    </Reference>
  </SignedInfo>
  <SignatureValue>VgRZrbU+kQDOecRBKlyLgM5UjiUgB5S+z8l/K+6P6HtXokyHDFtQYJehPUqQsAxue9qyWyyFHzMu
rLyXt3fgOKY72FEBQr32jWX7VXHOLOa8Y43u5GVykQyOY/+pyhaF78l1leEdxjuiSZ2+1O9ho2AT
DXIZHqomdaznQ4W3gWuE8tr6bpn/suUReagU6hwbD+a9CH4tIXc5jBPVsWKHM9MjoCFQQMKZqAFf
16SAMoMPIWUw0V5xKyyap8dk9JdIOlaGI7UHpNio7DV6sIjWVVTNuIDWlrBLJgzOEs1T63I6omy4
IjUsD+7KMhieAtJePLI/uoo5KV9q84yZC9V3pg==</SignatureValue>
  <KeyInfo>
    <X509Data>
      <X509Certificate>MIIE0zCCA7ugAwIBAgIDEAiqMA0GCSqGSIb3DQEBCwUAMF0xCzAJBgNVBAYTAlVTMRgwFgYDVQQKEw9VLlMuIEdvdmVybm1lbnQxDDAKBgNVBAsTA0RvRDEMMAoGA1UECxMDUEtJMRgwFgYDVQQDEw9ET0QgRU1BSUwgQ0EtNzEwHhcNMjQxMjMwMDAwMDAwWhcNMjcxMjE1MjM1OTU5WjB5MQswCQYDVQQGEwJVUzEYMBYGA1UEChMPVS5TLiBHb3Zlcm5tZW50MQwwCgYDVQQLEwNEb0QxDDAKBgNVBAsTA1BLSTEMMAoGA1UECxMDVVNBMSYwJAYDVQQDEx1NT1JNRUxMTy5CUkFORE9OLlIuMTUyMzcxODU2NDCCASIwDQYJKoZIhvcNAQEBBQADggEPADCCAQoCggEBAMF2mbKSDolDTPmN71Odi0kyBNQb/E9AE+VSPpeLuP/nkOYfpk/Tj5uGVgvASpvcHqUpnkm88IJjm96vuQiVsj9yd+NZKzqjUr1Obq9mj2vnPZ7+fLEYUxViQBee6PahTZIvSVnuC2hPjUpu1P7HLb+56X1kiXktJ8Fv/5zD7zCEZezQ0yGiHbfDaQZ1iVoH8+SOnEkfkpvHfYgu9NhLvjYpJtL+rrvetBIJvAkeTCkFXtem7Gx5omxIGBdECAIBdG8ky9/CBBifx+bxVzWwIoHfFJ/eI+DrNS5qBAFY7Kn8N0GOis3Qg1rs+q+0+3yuExhIxcvSQ6Dt6iehL7UFO1MCAwEAAaOCAX4wggF6MB8GA1UdIwQYMBaAFO0YbBzyMIYvgy1RXi6PRGvrjmxgMDoGA1UdHwQzMDEwL6AtoCuGKWh0dHA6Ly9jcmwuZGlzYS5taWwvY3JsL0RPREVNQUlMQ0FfNzEuY3JsMA4GA1UdDwEB/wQEAwIGwDAWBgNVHSAEDzANMAsGCWCGSAFlAgELKjAdBgNVHQ4EFgQUY3RyEIeuREkayXV6rdZGouBBVmcwaAYIKwYBBQUHAQEEXDBaMDYGCCsGAQUFBzAChipodHRwOi8vY3JsLmRpc2EubWlsL3NpZ24vRE9ERU1BSUxDQV83MS5jZXIwIAYIKwYBBQUHMAGGFGh0dHA6Ly9vY3NwLmRpc2EubWlsMCwGA1UdEQQlMCOBIWJyYW5kb24uci5tb3JtZWxsb0B1c2FjZS5hcm15Lm1pbDAbBgNVHQkEFDASMBAGCCsGAQUFBwkEMQQTAlVTMB8GA1UdJQQYMBYGCCsGAQUFBwMEBgorBgEEAYI3CgMMMA0GCSqGSIb3DQEBCwUAA4IBAQDi+zbp5GR1X5HrUmP8RrKbHAPZsGYfiqSdFPMqUNmKixpARgfvgX1ZhrUarMQ+ACvFj44GzPjxwNa7dNDKMYdMu60MMNg+KrUdOIdH3GDMiv9BoIEAUtECaBQXoYejsDRiKwtfNouJBqe603bZGpA0Ytj8IgzXW/CuLa1kDlwr/kOpLbJIM7h/oIWa9VxPg5J0VwEIYJ0IxeJMCoGMU2BWR8Nnf7dixGtPoNbYuiGZbyAbzvfjZnlO4mVvMMmow4yo7Vf64k3P1v1G7q4qOGBXAVorZPCv9G91QGc3tNb95+qwTgOC8X/maoSKoDI2Gyyvi/ULSVnn9u2+cgce6VMn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vvsM58qzs+Qvvj9KGvAvpuE6byaWYl4UthLplyBKcQQ=</DigestValue>
      </Reference>
      <Reference URI="/xl/calcChain.xml?ContentType=application/vnd.openxmlformats-officedocument.spreadsheetml.calcChain+xml">
        <DigestMethod Algorithm="http://www.w3.org/2001/04/xmlenc#sha256"/>
        <DigestValue>PYo4Lv1e5r/42MV03ZY7UwyZBgRVYXKFsVyCkxhxPbw=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9/ZEH137ywszbG3apwaqbU1dNO4nZIcEvisYLk7kUB8=</DigestValue>
      </Reference>
      <Reference URI="/xl/media/image1.emf?ContentType=image/x-emf">
        <DigestMethod Algorithm="http://www.w3.org/2001/04/xmlenc#sha256"/>
        <DigestValue>Tt4G16MnjVjoZpCgC98cjd/ZpFo44Dp9vit8ZTnaTdU=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9BEDvEtLT0sYKxzC33m1GXOVCEz7eNWpAlAQTHxciJc=</DigestValue>
      </Reference>
      <Reference URI="/xl/sharedStrings.xml?ContentType=application/vnd.openxmlformats-officedocument.spreadsheetml.sharedStrings+xml">
        <DigestMethod Algorithm="http://www.w3.org/2001/04/xmlenc#sha256"/>
        <DigestValue>ETKfRb38Lypsbjl4eQHJ3Q35UKC3Z3+QOO4ytxare0I=</DigestValue>
      </Reference>
      <Reference URI="/xl/styles.xml?ContentType=application/vnd.openxmlformats-officedocument.spreadsheetml.styles+xml">
        <DigestMethod Algorithm="http://www.w3.org/2001/04/xmlenc#sha256"/>
        <DigestValue>kOu3lR02c6PlS9U48AzmPYjeyH/tVc1RqcaMVgNKK5Y=</DigestValue>
      </Reference>
      <Reference URI="/xl/theme/theme1.xml?ContentType=application/vnd.openxmlformats-officedocument.theme+xml">
        <DigestMethod Algorithm="http://www.w3.org/2001/04/xmlenc#sha256"/>
        <DigestValue>DI9I77qp+UcP0SrqVri3+ZLUM0PISAi0ag0XOMpGx6s=</DigestValue>
      </Reference>
      <Reference URI="/xl/workbook.xml?ContentType=application/vnd.openxmlformats-officedocument.spreadsheetml.sheet.main+xml">
        <DigestMethod Algorithm="http://www.w3.org/2001/04/xmlenc#sha256"/>
        <DigestValue>yJL7XtUMI7ZVpUKZinHVuoq9CTZD0v65rL6ScCinqPg=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sheet1.xml?ContentType=application/vnd.openxmlformats-officedocument.spreadsheetml.worksheet+xml">
        <DigestMethod Algorithm="http://www.w3.org/2001/04/xmlenc#sha256"/>
        <DigestValue>Iy3hT4T1Sum598KohQYqgK7WRUZ8HLujavb6y9KL0BI=</DigestValue>
      </Reference>
      <Reference URI="/xl/worksheets/sheet2.xml?ContentType=application/vnd.openxmlformats-officedocument.spreadsheetml.worksheet+xml">
        <DigestMethod Algorithm="http://www.w3.org/2001/04/xmlenc#sha256"/>
        <DigestValue>ZDRJ1Xix1YT/wcxIGRdpnQ1ROBiTQzsrzAfHocELJZE=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2025-09-12T19:23:19Z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{E421D6A6-7D28-409D-BAB1-B5D23268DBFB}</SetupID>
          <SignatureText/>
          <SignatureImage>AQAAAGwAAADr////7////xwBAAA/AAAAkv3//w/+//9vIgAAiQcAACBFTUYAAAEA8AUAACMAAAACAAAAAAAAAAAAAAAAAAAAgAcAADgEAABWAgAAUAEAAAAAAAAAAAAAAAAAAPAfCQCAIAUAIQAAAAgAAAAMAAAAEAAAAAAAAAAAAAAACgAAABAAAAAAAAAAAAAAAHMAAAAMAAAAAAAAACEAAAAIAAAAYgAAAAwAAAABAAAAJAAAACQAAAAAAIA9AAAAAAAAAAAAAIA9AAAAAAAAAAACAAAAXwAAADgAAAABAAAAOAAAAAAAAAA4AAAAAAAAAAAAAQAVAAAAAAAAAAAAAAAAAAAAAAAAAAAAAAAlAAAADAAAAAEAAAAlAAAADAAAAAUAAIBVAAAAlAEAAOv///8FAAAAXAAAAD0AAABeAAAAcACwA3QAYAN3ABADgQDAAosAZgKbAAcCsACwAboAiQHBAGABwQAxAcEAEgHMAAsB0AAAAdsA5wDWAOQA4ADQAOoAvQD7AJ0AEQGQAEIBdACEAXIAwQFwAEYCbgDLAnAAUANwAEsD8gBRAzsB4AKQAY0C0AEGAvYBoQEBAs0AGALh//8BEP/wAfT+7gHX/uMB0P7hAQ3/tgE2/7oBkf+wAWUAmgE6AaEBEAKhAdECoQGzA5YBYAQBAm4ECQJ3BFkCcQRxAlQE0wL5A/MCoQMQA1UDKQPvAlEDoAJhA3kCaANUAmkDMAJwAzwCLgMoAj8DUAIQA3EC6wKIAssCwALAAugCuQIzA7YCUAPRAm0D6gJsAwsDkAMhA6wDMQPeAy8DAAQwA0sEMwNtBA8DoQTgAskEuwK0BL8CwQTAAt0EwwLzBM4CEAXRAisF1AI2BeMCUAXgAmgF3gJuBbICgAXAAowFygKiBeICkQUAA4wFCANkBSsDYAUwAyUAAAAMAAAABwAAgCUAAAAMAAAAAAAAgCQAAAAkAAAAAACAQQAAAAAAAAAAAACAQQAAAAAAAAAAAgAAACgAAAAMAAAAAQAAACQAAAAkAAAAAACAPQAAAAAAAAAAAACAPQAAAAAAAAAAAgAAAF8AAAA4AAAAAQAAADgAAAAAAAAAOAAAAAAAAAAAAAEAFQAAAAAAAAAAAAAAAAAAAAAAAAAAAAAAJQAAAAwAAAABAAAAJQAAAAwAAAAFAACAVQAAAKwBAABpAAAA7////xwBAAA/AAAAZAAAAMEGYQO6BnUDqgalA7AGkAPVBiADCAetAkAHQAKyB2YBSAimAAAJAABmCab/nAl9/+AJEP+5CREANgntAOAI4QGtCHMCfQgwA2AIwQNgCMYDYAjLA2AI0APFCDIDOgmkAsEJIQKWClABbAuBAFAMwP+VDIj/kAxt/8EMcf+aDM7/fAwVAFAMcAAVDO0A2AtgAZEL0AFnCxICfgsUAsAL8AHgC+ABAQzBASEMsAH+C+kBzwskArELYAKtC2gCgAvCApEL0QKaC9oCEAygAhAMoAIWDJsCGwyWAiEMkQIIDLoC1gv1AsALIQOuC0cDuAtZA7ELgQP1Cz8DKwz5AnAMsQL2DCYCUQ1vAcEN0AD/DXcALw4CAHEOsf92DrH/ew6x/4AOsf9QDkcAFg7MANANYAGCDQcCSQ3JAjENgQMxDZEDMQ2hAzENsANGDZgDRw2VA2ANgQOdDVEDUw1/A3ENgQODDYEDlQ2VA8ENgQPwDWsDGw5FA1AOMAPJDgMDUw/jAtAP0QJrELoCBhG1AqARoAIlAAAADAAAAAcAAIAlAAAADAAAAAAAAIAkAAAAJAAAAAAAgEEAAAAAAAAAAAAAgEEAAAAAAAAAAAIAAAAoAAAADAAAAAEAAABzAAAADAAAAAAAAAAiAAAADAAAAP////8iAAAADAAAAP////8hAAAACAAAAAwAAAAQAAAAAAAAAAAAAAAKAAAAEAAAAAAAAAAAAAAAcwAAAAwAAAAAAAAAcwAAAAwAAAAAAAAAIgAAAAwAAAD/////DgAAABQAAAAAAAAAEAAAABQAAAA=</SignatureImage>
          <SignatureComments/>
          <WindowsVersion>10.0</WindowsVersion>
          <OfficeVersion>16.0.18526/26</OfficeVersion>
          <ApplicationVersion>16.0.18526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2025-09-12T19:23:19Z</xd:SigningTime>
          <xd:SigningCertificate>
            <xd:Cert>
              <xd:CertDigest>
                <DigestMethod Algorithm="http://www.w3.org/2001/04/xmlenc#sha256"/>
                <DigestValue>XMN5R5WZ7BFqPYICvDtv8ciiwY6sSQZ8KD+gtOIOsR4=</DigestValue>
              </xd:CertDigest>
              <xd:IssuerSerial>
                <X509IssuerName>CN=DOD EMAIL CA-71, OU=PKI, OU=DoD, O=U.S. Government, C=US</X509IssuerName>
                <X509SerialNumber>1050794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vDCCA6SgAwIBAgICBwswDQYJKoZIhvcNAQELBQAwWzELMAkGA1UEBhMCVVMxGDAWBgNVBAoTD1UuUy4gR292ZXJubWVudDEMMAoGA1UECxMDRG9EMQwwCgYDVQQLEwNQS0kxFjAUBgNVBAMTDURvRCBSb290IENBIDMwHhcNMjIxMjA2MTcxMDI0WhcNMjgxMjA2MTcxMDI0WjBdMQswCQYDVQQGEwJVUzEYMBYGA1UEChMPVS5TLiBHb3Zlcm5tZW50MQwwCgYDVQQLEwNEb0QxDDAKBgNVBAsTA1BLSTEYMBYGA1UEAxMPRE9EIEVNQUlMIENBLTcxMIIBIjANBgkqhkiG9w0BAQEFAAOCAQ8AMIIBCgKCAQEA5AgAt4r/7tmU05ddW38CewltE9MXnytDMeyaVrIz4kV7i36oxAPKw2v7JkljBx8XlXcMFwgLh/8S/chNteIT6OMPFzahGMdhhr+ykafEHkiuGYJAccSOKV+LbvjFp6bozmRLibxdyZ/LpPM6VF/TJQ/isB1QhjKap7op0Dpmd49pZnrXLLxmCNL/NiWJcC/V9ArqXWXx0y3bEmrzN9twLa4UNa5ZlUZYdHBOI2n0M4SmRml1VAOTB6mcnwZ51PzOY4u4/c2hOxrheQK3G5Wc6RD3aECvgL8pDi8wQJMOHu78IkkZRtGj8jQX2gFQKdDVIFiTld9YCx3UVeSfEJDNRQIDAQABo4IBhjCCAYIwHwYDVR0jBBgwFoAUbIqUonexgHIdgXoWqvLczmbuRcAwHQYDVR0OBBYEFO0YbBzyMIYvgy1RXi6PRGvrjmxgMA4GA1UdDwEB/wQEAwIBhjBnBgNVHSAEYDBeMAsGCWCGSAFlAgELJDALBglghkgBZQIBCycwCwYJYIZIAWUCAQsqMAsGCWCGSAFlAgELOzAMBgpghkgBZQMCAQMNMAwGCmCGSAFlAwIBAxEwDAYKYIZIAWUDAgEDJzASBgNVHRMBAf8ECDAGAQH/AgEAMAwGA1UdJAQFMAOAAQAwNwYDVR0fBDAwLjAsoCqgKIYmaHR0cDovL2NybC5kaXNhLm1pbC9jcmwvRE9EUk9PVENBMy5jcmwwbAYIKwYBBQUHAQEEYDBeMDoGCCsGAQUFBzAChi5odHRwOi8vY3JsLmRpc2EubWlsL2lzc3VlZHRvL0RPRFJPT1RDQTNfSVQucDdjMCAGCCsGAQUFBzABhhRodHRwOi8vb2NzcC5kaXNhLm1pbDANBgkqhkiG9w0BAQsFAAOCAQEALgWV8BY2chSp8ySycAnxdh/tK4X+IH//kmMKR7eyxhHH8xG+2l8d4ki3X3WTU3m8duLOJN5ahfNf25lYuoKepwXZ/I5R9uzk6WwgCwIFhsjv75QfeeSuvI344OnwsdpVUCrB/Be0H3MxA8r2pKlZDltEvroqGU6RpYLmk23HJwKc5l9vW5qD+mXiqmHQGQZGX/rROCcCCc+bk/RmWiPqw3LeBX8Hh5bCqNlyMCykaGOWPldfbzVF7OAlDKdYhMMm/Nkz/QCJGtkR098DWHjqdENBTPebQ6eCLfbeKpepTwDL8Ixgdlo04AIVfE5G5xzvXNygUd15QW+qoB+oikZoKA==</xd:EncapsulatedX509Certificate>
            <xd:EncapsulatedX509Certificate>MIIDczCCAlugAwIBAgIBATANBgkqhkiG9w0BAQsFADBbMQswCQYDVQQGEwJVUzEYMBYGA1UEChMPVS5TLiBHb3Zlcm5tZW50MQwwCgYDVQQLEwNEb0QxDDAKBgNVBAsTA1BLSTEWMBQGA1UEAxMNRG9EIFJvb3QgQ0EgMzAeFw0xMjAzMjAxODQ2NDFaFw0yOTEyMzAxODQ2NDFaMFsxCzAJBgNVBAYTAlVTMRgwFgYDVQQKEw9VLlMuIEdvdmVybm1lbnQxDDAKBgNVBAsTA0RvRDEMMAoGA1UECxMDUEtJMRYwFAYDVQQDEw1Eb0QgUm9vdCBDQSAzMIIBIjANBgkqhkiG9w0BAQEFAAOCAQ8AMIIBCgKCAQEAqewUcoroS3Cj2hADhKb7pzYNKjpSFr8wFVKGBUcgz6qmzXXEZG7v8WAjywpmQK60yGgqAFFoSTfpWTJNlbxDJ+lAjToQzhS8Qxih+d7M54V2c14YGiNbvT8f8u2NGcwD0UCkj6cgAkwnWnk29qM3IY4AWgYWytNVlm8xKbtyDsviSFHy1DekNdZv7hezsQarCxmG6CNtMRsoeGXF3mJSvMF96+6gXVQE+7LLK7IjVJGCTPC/unRAOwwERYBnXMXrolfDGn8KLb1/udzBmbDIB+QMhjaUOiUv8n3mlzwblLSXWQbJOuQL2erp/DtzNG/955jk86HCkF8c9T8u1xnTfwIDAQABo0IwQDAdBgNVHQ4EFgQUbIqUonexgHIdgXoWqvLczmbuRcAwDgYDVR0PAQH/BAQDAgGGMA8GA1UdEwEB/wQFMAMBAf8wDQYJKoZIhvcNAQELBQADggEBAJ9xpMC2ltKAQ6BI6R92BPnFPK1mGFhjm8O26GiKhVpCZhK00uaLiH+H9Jj1qMYJyR/wLB/sgrj0pUc4wTMr30x+mr4LC7HLD3xQKBDPio2i6bqshtfUsZNfIo+WBbRODHWRfdPy55TClBR2T48MqxCHWDKFB3WGEgte6lO0CshMhJIf6+hBhjy69E5BStFsWEdBw4Za8u7p8pgnguouNtb4Bl6C8aBSk0QJutKpGVpYo6hdIG1PZPgwhxuQE0iBzcqQxw3B1Jg/jvIOV2gzEo6ZCbHw5PYQ9DbySb3qozjIVkEjg5rfoRs1fOs/QbP1b0s6Xq5vk3aY0vGZnUXEjnI=</xd:EncapsulatedX509Certificate>
          </xd:CertificateValues>
        </xd:UnsignedSignatureProperties>
      </xd:UnsignedProperties>
    </xd:QualifyingProperties>
  </Object>
  <Object Id="idValidSigLnImg">AQAAAGwAAAAAAAAAAAAAAAoBAAB/AAAAAAAAAAAAAAB8IAAAjw8AACBFTUYAAAEA9CEAAOAAAAAGAAAAAAAAAAAAAAAAAAAAgAcAADgEAABWAgAAUAEAAAAAAAAAAAAAAAAAAPAfCQCAIAUACgAAABAAAAAAAAAAAAAAAEsAAAAQAAAAAAAAAAUAAAAeAAAAGAAAAAAAAAAAAAAACwEAAIAAAAAnAAAAGAAAAAEAAAAAAAAAAAAAAAAAAAAlAAAADAAAAAEAAABMAAAAZAAAAAAAAAAAAAAACgEAAH8AAAAAAAAAAAAAAAs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8PDwAAAAAAAlAAAADAAAAAEAAABMAAAAZAAAAAAAAAAAAAAACgEAAH8AAAAAAAAAAAAAAAsBAACAAAAAIQDwAAAAAAAAAAAAAACAPwAAAAAAAAAAAACAPwAAAAAAAAAAAAAAAAAAAAAAAAAAAAAAAAAAAAAAAAAAJQAAAAwAAAAAAACAKAAAAAwAAAABAAAAJwAAABgAAAABAAAAAAAAAPDw8AAAAAAAJQAAAAwAAAABAAAATAAAAGQAAAAAAAAAAAAAAAoBAAB/AAAAAAAAAAAAAAAL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////AAAAAAAlAAAADAAAAAEAAABMAAAAZAAAAAAAAAAAAAAACgEAAH8AAAAAAAAAAAAAAAsBAACAAAAAIQDwAAAAAAAAAAAAAACAPwAAAAAAAAAAAACAPwAAAAAAAAAAAAAAAAAAAAAAAAAAAAAAAAAAAAAAAAAAJQAAAAwAAAAAAACAKAAAAAwAAAABAAAAJwAAABgAAAABAAAAAAAAAP///wAAAAAAJQAAAAwAAAABAAAATAAAAGQAAAAAAAAAAAAAAAoBAAB/AAAAAAAAAAAAAAAL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MMAAAAEAAAA9gAAABAAAADDAAAABAAAADQAAAANAAAAIQDwAAAAAAAAAAAAAACAPwAAAAAAAAAAAACAPwAAAAAAAAAAAAAAAAAAAAAAAAAAAAAAAAAAAAAAAAAAJQAAAAwAAAAAAACAKAAAAAwAAAABAAAAUgAAAHABAAABAAAA9f///wAAAAAAAAAAAAAAAJABAAAAAAABAAAAAHMAZQBnAG8AZQAgAHU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EAAAAYAAAADAAAAAAAAAASAAAADAAAAAEAAAAeAAAAGAAAAMMAAAAEAAAA9wAAABEAAAAlAAAADAAAAAEAAABUAAAAhAAAAMQAAAAEAAAA9QAAABAAAAABAAAAqyr5QY7j+EHEAAAABAAAAAkAAABMAAAAAAAAAAAAAAAAAAAA//////////9gAAAAOQAvADEAMgAvADIAMAAyADUAAAAGAAAABAAAAAYAAAAGAAAABAAAAAYAAAAGAAAABgAAAAYAAABLAAAAQAAAADAAAAAFAAAAIAAAAAEAAAABAAAAEAAAAAAAAAAAAAAACwEAAIAAAAAAAAAAAAAAAAsBAACAAAAAUgAAAHABAAACAAAAEAAAAAcAAAAAAAAAAAAAALwCAAAAAAAAAQICIlMAeQBzAHQAZQB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IAAAAnAAAAGAAAAAMAAAAAAAAAAAAAAAAAAAAlAAAADAAAAAMAAABMAAAAZAAAAAAAAAAAAAAA//////////8AAAAAFgAAAAAAAAA1AAAAIQDwAAAAAAAAAAAAAACAPwAAAAAAAAAAAACAPwAAAAAAAAAAAAAAAAAAAAAAAAAAAAAAAAAAAAAAAAAAJQAAAAwAAAAAAACAKAAAAAwAAAADAAAAJwAAABgAAAADAAAAAAAAAAAAAAAAAAAAJQAAAAwAAAADAAAATAAAAGQAAAAAAAAAAAAAAP//////////AAAAABYAAAAAAQAAAAAAACEA8AAAAAAAAAAAAAAAgD8AAAAAAAAAAAAAgD8AAAAAAAAAAAAAAAAAAAAAAAAAAAAAAAAAAAAAAAAAACUAAAAMAAAAAAAAgCgAAAAMAAAAAwAAACcAAAAYAAAAAwAAAAAAAAAAAAAAAAAAACUAAAAMAAAAAwAAAEwAAABkAAAAAAAAAAAAAAD//////////wABAAAWAAAAAAAAADUAAAAhAPAAAAAAAAAAAAAAAIA/AAAAAAAAAAAAAIA/AAAAAAAAAAAAAAAAAAAAAAAAAAAAAAAAAAAAAAAAAAAlAAAADAAAAAAAAIAoAAAADAAAAAMAAAAnAAAAGAAAAAMAAAAAAAAAAAAAAAAAAAAlAAAADAAAAAMAAABMAAAAZAAAAAAAAABLAAAA/wAAAEwAAAAAAAAASwAAAAABAAACAAAAIQDwAAAAAAAAAAAAAACAPwAAAAAAAAAAAACAPwAAAAAAAAAAAAAAAAAAAAAAAAAAAAAAAAAAAAAAAAAAJQAAAAwAAAAAAACAKAAAAAwAAAADAAAAJwAAABgAAAADAAAAAAAAAP///wAAAAAAJQAAAAwAAAADAAAATAAAAGQAAAAAAAAAFgAAAP8AAABKAAAAAAAAABYAAAAAAQAANQAAACEA8AAAAAAAAAAAAAAAgD8AAAAAAAAAAAAAgD8AAAAAAAAAAAAAAAAAAAAAAAAAAAAAAAAAAAAAAAAAACUAAAAMAAAAAAAAgCgAAAAMAAAAAwAAACcAAAAYAAAAAwAAAAAAAAD///8AAAAAACUAAAAMAAAAAwAAAEwAAABkAAAACQAAACcAAAAfAAAASgAAAAkAAAAnAAAAFwAAACQAAAAhAPAAAAAAAAAAAAAAAIA/AAAAAAAAAAAAAIA/AAAAAAAAAAAAAAAAAAAAAAAAAAAAAAAAAAAAAAAAAAAlAAAADAAAAAAAAIAoAAAADAAAAAMAAABSAAAAcAEAAAMAAADg////AAAAAAAAAAAAAAAAkAEAAAAAAAEAAAAAYQByAGkAYQB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kdgAIAAAAACUAAAAMAAAAAwAAABgAAAAMAAAAAAAAABIAAAAMAAAAAQAAABYAAAAMAAAACAAAAFQAAABUAAAACgAAACcAAAAeAAAASgAAAAEAAACrKvlBjuP4QQoAAABLAAAAAQAAAEwAAAAEAAAACQAAACcAAAAgAAAASwAAAFAAAABYAOpuFQAAABYAAAAMAAAAAAAAACUAAAAMAAAAAgAAACcAAAAYAAAABAAAAAAAAAD///8AAAAAACUAAAAMAAAABAAAAEwAAABkAAAAKQAAABkAAAD2AAAASgAAACkAAAAZAAAAzgAAADIAAAAhAPAAAAAAAAAAAAAAAIA/AAAAAAAAAAAAAIA/AAAAAAAAAAAAAAAAAAAAAAAAAAAAAAAAAAAAAAAAAAAlAAAADAAAAAAAAIAoAAAADAAAAAQAAAAnAAAAGAAAAAQAAAAAAAAA////AAAAAAAlAAAADAAAAAQAAABMAAAAZAAAACkAAAAZAAAA9gAAAEcAAAApAAAAGQAAAM4AAAAv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EAAAAIAAAAYgAAAAwAAAABAAAASwAAABAAAAAAAAAABQAAACEAAAAIAAAAHgAAABgAAAAAAAAAAAAAAAsBAACAAAAAHAAAAAgAAAAhAAAACAAAACEAAAAIAAAAcwAAAAwAAAAAAAAAHAAAAAgAAAAlAAAADAAAAAAAAIAlAAAADAAAAAcAAIAlAAAADAAAAA4AAIAZAAAADAAAAP///wAYAAAADAAAAAAAAAASAAAADAAAAAIAAAATAAAADAAAAAEAAAAUAAAADAAAAA0AAAAVAAAADAAAAAEAAAAWAAAADAAAAAAAAAANAAAAEAAAAAAAAAAAAAAAOgAAAAwAAAAKAAAAGwAAABAAAAAAAAAAAAAAACMAAAAgAAAAV+0YPwAAAAAAAAAADgQXPyq4U0LpsQlCJAAAACQAAABX7Rg/AAAAAAAAAAAOBBc/KrhTQumxCUIEAAAAcwAAAAwAAAAAAAAADQAAABAAAAApAAAAGQAAAFIAAABwAQAABAAAABAAAAAHAAAAAAAAAAAAAAC8AgAAAAAAAAcCAiJTAHkAcwB0AGU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2AAgAAAAAJQAAAAwAAAAEAAAARgAAACgAAAAcAAAAR0RJQwIAAADs////8P///xsBAAA+AAAAAAAAACEAAAAIAAAAYgAAAAwAAAABAAAAIQAAAAgAAAAeAAAAGAAAAAAAAAAAAAAACwEAAIAAAAAkAAAAJAAAAAAAgD0AAAAAAAAAAAAAgD0AAAAAAAAAAAIAAABfAAAAOAAAAAUAAAA4AAAAAAAAADgAAAAAAAAAAAABABUAAAAAAAAAAAAAAAAAAAAAAAAAAAAAACUAAAAMAAAABQAAACUAAAAMAAAABQAAgFUAAACUAQAANQAAACUAAABtAAAARwAAAF4AAABwALADdABgA3cAEAOBAMACiwBmApsABwKwALABugCJAcEAYAHBADEBwQASAcwACwHQAAAB2wDnANYA5ADgANAA6gC9APsAnQARAZAAQgF0AIQBcgDBAXAARgJuAMsCcABQA3AASwPyAFEDOwHgApABjQLQAQYC9gGhAQECzQAYAuH//wEQ//AB9P7uAdf+4wHQ/uEBDf+2ATb/ugGR/7ABZQCaAToBoQEQAqEB0QKhAbMDlgFgBAECbgQJAncEWQJxBHECVATTAvkD8wKhAxADVQMpA+8CUQOgAmEDeQJoA1QCaQMwAnADPAIuAygCPwNQAhADcQLrAogCywLAAsAC6AK5AjMDtgJQA9ECbQPqAmwDCwOQAyEDrAMxA94DLwMABDADSwQzA20EDwOhBOACyQS7ArQEvwLBBMAC3QTDAvMEzgIQBdECKwXUAjYF4wJQBeACaAXeAm4FsgKABcACjAXKAqIF4gKRBQADjAUIA2QFKwNgBTADJQAAAAwAAAAHAACAJQAAAAwAAAAAAACAJAAAACQAAAAAAIBBAAAAAAAAAAAAAIBBAAAAAAAAAAACAAAAIgAAAAwAAAD/////KAAAAAwAAAAFAAAAIQAAAAgAAAAeAAAAGAAAAAAAAAAAAAAACwEAAIAAAAAkAAAAJAAAAAAAgD0AAAAAAAAAAAAAgD0AAAAAAAAAAAIAAABfAAAAOAAAAAUAAAA4AAAAAAAAADgAAAAAAAAAAAABABUAAAAAAAAAAAAAAAAAAAAAAAAAAAAAACUAAAAMAAAABQAAACUAAAAMAAAABQAAgFUAAACsAQAAcwAAACIAAADTAAAASAAAAGQAAADBBmEDugZ1A6oGpQOwBpAD1QYgAwgHrQJAB0ACsgdmAUgIpgAACQAAZgmm/5wJff/gCRD/uQkRADYJ7QDgCOEBrQhzAn0IMANgCMEDYAjGA2AIywNgCNADxQgyAzoJpALBCSEClgpQAWwLgQBQDMD/lQyI/5AMbf/BDHH/mgzO/3wMFQBQDHAAFQztANgLYAGRC9ABZwsSAn4LFALAC/AB4AvgAQEMwQEhDLAB/gvpAc8LJAKxC2ACrQtoAoALwgKRC9ECmgvaAhAMoAIQDKACFgybAhsMlgIhDJECCAy6AtYL9QLACyEDrgtHA7gLWQOxC4ED9Qs/AysM+QJwDLEC9gwmAlENbwHBDdAA/w13AC8OAgBxDrH/dg6x/3sOsf+ADrH/UA5HABYOzADQDWABgg0HAkkNyQIxDYEDMQ2RAzENoQMxDbADRg2YA0cNlQNgDYEDnQ1RA1MNfwNxDYEDgw2BA5UNlQPBDYED8A1rAxsORQNQDjADyQ4DA1MP4wLQD9ECaxC6AgYRtQKgEaACJQAAAAwAAAAHAACAJQAAAAwAAAAAAACAJAAAACQAAAAAAIBBAAAAAAAAAAAAAIBBAAAAAAAAAAACAAAAIgAAAAwAAAD/////KAAAAAwAAAAFAAAARgAAABQAAAAIAAAAR0RJQwMAAAAiAAAADAAAAP////8iAAAADAAAAP////8lAAAADAAAAA0AAIAoAAAADAAAAAQAAAAiAAAADAAAAP////8iAAAADAAAAP7///8nAAAAGAAAAAQAAAAAAAAA////AAAAAAAlAAAADAAAAAQAAABMAAAAZAAAAAAAAABQAAAACgEAAHwAAAAAAAAAUAAAAAsBAAAtAAAAIQDwAAAAAAAAAAAAAACAPwAAAAAAAAAAAACAPwAAAAAAAAAAAAAAAAAAAAAAAAAAAAAAAAAAAAAAAAAAJQAAAAwAAAAAAACAKAAAAAwAAAAEAAAAJwAAABgAAAAEAAAAAAAAAP///wAAAAAAJQAAAAwAAAAEAAAATAAAAGQAAAAJAAAAUAAAAP8AAABcAAAACQAAAFAAAAD3AAAADQAAACEA8AAAAAAAAAAAAAAAgD8AAAAAAAAAAAAAgD8AAAAAAAAAAAAAAAAAAAAAAAAAAAAAAAAAAAAAAAAAACUAAAAMAAAAAAAAgCgAAAAMAAAABAAAACUAAAAMAAAAAQAAABgAAAAMAAAAAAAAABIAAAAMAAAAAQAAAB4AAAAYAAAACQAAAFAAAAAAAQAAXQAAACUAAAAMAAAAAQAAAFQAAACsAAAACgAAAFAAAABpAAAAXAAAAAEAAACrKvlBjuP4QQoAAABQAAAAEAAAAEwAAAAAAAAAAAAAAAAAAAD//////////2wAAABCAHIAYQBuAGQAbwBuACAATQBvAHIAbQBlAGwAbABvAAYAAAAEAAAABgAAAAcAAAAHAAAABwAAAAcAAAADAAAACgAAAAcAAAAEAAAACQAAAAYAAAADAAAAAwAAAAcAAABLAAAAQAAAADAAAAAFAAAAIAAAAAEAAAABAAAAEAAAAAAAAAAAAAAACwEAAIAAAAAAAAAAAAAAAAsBAACAAAAAJQAAAAwAAAACAAAAJwAAABgAAAAEAAAAAAAAAP///wAAAAAAJQAAAAwAAAAEAAAATAAAAGQAAAAJAAAAYAAAAP8AAABsAAAACQAAAGAAAAD3AAAADQAAACEA8AAAAAAAAAAAAAAAgD8AAAAAAAAAAAAAgD8AAAAAAAAAAAAAAAAAAAAAAAAAAAAAAAAAAAAAAAAAACUAAAAMAAAAAAAAgCgAAAAMAAAABAAAACUAAAAMAAAAAQAAABgAAAAMAAAAAAAAABIAAAAMAAAAAQAAAB4AAAAYAAAACQAAAGAAAAAAAQAAbQAAACUAAAAMAAAAAQAAAFQAAADoAAAACgAAAGAAAACMAAAAbAAAAAEAAACrKvlBjuP4QQoAAABgAAAAGgAAAEwAAAAAAAAAAAAAAAAAAAD//////////4AAAABTAGUAYwB0AGkAbwBuACAAQwBoAGkAZQBmACwAIABDAGkAdgBpAGwAIABXAG8AcgBrAHMABgAAAAYAAAAFAAAABAAAAAMAAAAHAAAABwAAAAMAAAAHAAAABwAAAAMAAAAGAAAABAAAAAMAAAADAAAABwAAAAMAAAAFAAAAAwAAAAMAAAADAAAACwAAAAcAAAAEAAAABgAAAAUAAABLAAAAQAAAADAAAAAFAAAAIAAAAAEAAAABAAAAEAAAAAAAAAAAAAAACwEAAIAAAAAAAAAAAAAAAAsBAACAAAAAJQAAAAwAAAACAAAAJwAAABgAAAAEAAAAAAAAAP///wAAAAAAJQAAAAwAAAAEAAAATAAAAGQAAAAJAAAAcAAAAAEBAAB8AAAACQAAAHAAAAD5AAAADQAAACEA8AAAAAAAAAAAAAAAgD8AAAAAAAAAAAAAgD8AAAAAAAAAAAAAAAAAAAAAAAAAAAAAAAAAAAAAAAAAACUAAAAMAAAAAAAAgCgAAAAMAAAABAAAACUAAAAMAAAAAQAAABgAAAAMAAAAAAAAABIAAAAMAAAAAQAAABYAAAAMAAAAAAAAAFQAAAA8AQAACgAAAHAAAAAAAQAAfAAAAAEAAACrKvlBjuP4QQoAAABwAAAAKAAAAEwAAAAEAAAACQAAAHAAAAACAQAAfQAAAJwAAABTAGkAZwBuAGUAZAAgAGIAeQA6ACAATQBPAFIATQBFAEwATABPAC4AQgBSAEEATgBEAE8ATgAuAFIALgAxADUAMgAzADcAMQA4ADUANgA0AAYAAAADAAAABwAAAAcAAAAGAAAABwAAAAMAAAAHAAAABQAAAAMAAAADAAAACgAAAAkAAAAHAAAACgAAAAYAAAAFAAAABQAAAAkAAAADAAAABgAAAAcAAAAHAAAACAAAAAgAAAAJAAAACAAAAAMAAAAHAAAAAwAAAAYAAAAGAAAABgAAAAYAAAAGAAAABgAAAAYAAAAGAAAABgAAAAYAAAAWAAAADAAAAAAAAAAlAAAADAAAAAIAAAAOAAAAFAAAAAAAAAAQAAAAFAAAAA==</Object>
  <Object Id="idInvalidSigLnImg">AQAAAGwAAAAAAAAAAAAAAAoBAAB/AAAAAAAAAAAAAAB8IAAAjw8AACBFTUYAAAEAcCcAAOcAAAAGAAAAAAAAAAAAAAAAAAAAgAcAADgEAABWAgAAUAEAAAAAAAAAAAAAAAAAAPAfCQCAIAUACgAAABAAAAAAAAAAAAAAAEsAAAAQAAAAAAAAAAUAAAAeAAAAGAAAAAAAAAAAAAAACwEAAIAAAAAnAAAAGAAAAAEAAAAAAAAAAAAAAAAAAAAlAAAADAAAAAEAAABMAAAAZAAAAAAAAAAAAAAACgEAAH8AAAAAAAAAAAAAAAs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8PDwAAAAAAAlAAAADAAAAAEAAABMAAAAZAAAAAAAAAAAAAAACgEAAH8AAAAAAAAAAAAAAAsBAACAAAAAIQDwAAAAAAAAAAAAAACAPwAAAAAAAAAAAACAPwAAAAAAAAAAAAAAAAAAAAAAAAAAAAAAAAAAAAAAAAAAJQAAAAwAAAAAAACAKAAAAAwAAAABAAAAJwAAABgAAAABAAAAAAAAAPDw8AAAAAAAJQAAAAwAAAABAAAATAAAAGQAAAAAAAAAAAAAAAoBAAB/AAAAAAAAAAAAAAAL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////AAAAAAAlAAAADAAAAAEAAABMAAAAZAAAAAAAAAAAAAAACgEAAH8AAAAAAAAAAAAAAAsBAACAAAAAIQDwAAAAAAAAAAAAAACAPwAAAAAAAAAAAACAPwAAAAAAAAAAAAAAAAAAAAAAAAAAAAAAAAAAAAAAAAAAJQAAAAwAAAAAAACAKAAAAAwAAAABAAAAJwAAABgAAAABAAAAAAAAAP///wAAAAAAJQAAAAwAAAABAAAATAAAAGQAAAAAAAAAAAAAAAoBAAB/AAAAAAAAAAAAAAAL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FQAAAAwAAAADAAAAcgAAAKAEAAAKAAAAAwAAABcAAAAQAAAACgAAAAMAAAAOAAAADgAAAAAA/wEAAAAAAAAAAAAAgD8AAAAAAAAAAAAAgD8AAAAAAAAAAP///wAAAAAAbAAAADQAAACgAAAAAAQAAA4AAAAOAAAAKAAAABAAAAAQAAAAAQAgAAMAAAAABAAAAAAAAAAAAAAAAAAAAAAAAAAA/wAA/wAA/wAAAAAAAAAAAAAAAAAAAAAAAAAAAAAAAAAAAAAAAAAAAAAAAAAAAAAAAAAAAAAAAAAAAAAAAAAAAAAAAAAAAAAAAAAAAAAAAAAAAAAAAAAAAAAAAAAAAAAAAAAAAAAAAAAAAAAAAAAAAAAAAAAAAAAAAAAAAAAAAAAAAAAAAAAAAAAAAAAAAAAAAAAAAAAAHh8fihgZGW4AAAAAAAAAAA4POT01N9bmAAAAAAAAAAAAAAAAAAAAADs97f8AAAAAAAAAAAAAAAAAAAAAAAAAADo7O6Y4Ojr/ODo6/wsLCzEAAAAADg85PTU31uYAAAAAAAAAADs97f8AAAAAAAAAAAAAAAAAAAAAAAAAAAAAAAA6Ozumpqen//r6+v9OUFD/kZKS/wAAAAAODzk9NTfW5js97f8AAAAAAAAAAAAAAAAAAAAAAAAAAAAAAAAAAAAAOjs7pqanp//6+vr/+vr6//r6+v+srKyvAAAAADs97f81N9bmAAAAAAAAAAAAAAAAAAAAAAAAAAAAAAAAAAAAADo7O6amp6f/+vr6//r6+v88PDw9AAAAADs97f8AAAAADg85PTU31uYAAAAAAAAAAAAAAAAAAAAAAAAAAAAAAAA6Ozumpqen//r6+v88PDw9AAAAADs97f8AAAAAAAAAAAAAAAAODzk9NTfW5gAAAAAAAAAAAAAAAAAAAAAAAAAAOjs7ppGSkv84Ojr/ODo6/xISElEAAAAAAAAAAAAAAAAAAAAAAAAAAAAAAAAAAAAAAAAAAAAAAAAAAAAAAAAAADo7O6ZOUFD/+vr6//r6+v+vr6/xOzs7e0lLS8wAAAAAAAAAAAAAAAAAAAAAAAAAAAAAAAAAAAAAAAAAAAAAAABFR0f2+vr6//r6+v/6+vr/+vr6//r6+v9ISkr4CwsLMQAAAAAAAAAAAAAAAAAAAAAAAAAAAAAAAAAAAAAYGRluiImJ9vr6+v/6+vr/+vr6//r6+v/6+vr/pqen/x4fH4oAAAAAAAAAAAAAAAAAAAAAAAAAAAAAAAAAAAAAGBkZboiJifb6+vr/+vr6//r6+v/6+vr/+vr6/6anp/8eHx+KAAAAAAAAAAAAAAAAAAAAAAAAAAAAAAAAAAAAAAsLCzFISkr4+vr6//r6+v/6+vr/+vr6//r6+v9dXl72EhISUQAAAAAAAAAAAAAAAAAAAAAAAAAAAAAAAAAAAAAAAAAAHh8fimZnZ//6+vr/+vr6//r6+v97fX3/OTs7uwAAAAAAAAAAAAAAAAAAAAAAAAAAAAAAAAAAAAAAAAAAAAAAAAAAAAAYGRluODo6/zg6Ov84Ojr/Hh8figAAAAAAAAAAAAAAAAAAAAAAAAAAAAAAAAAAAAAnAAAAGAAAAAEAAAAAAAAA////AAAAAAAlAAAADAAAAAEAAABMAAAAZAAAACIAAAAEAAAAeQAAABAAAAAiAAAABAAAAFgAAAANAAAAIQDwAAAAAAAAAAAAAACAPwAAAAAAAAAAAACAPwAAAAAAAAAAAAAAAAAAAAAAAAAAAAAAAAAAAAAAAAAAJQAAAAwAAAAAAACAKAAAAAwAAAABAAAAUgAAAHABAAABAAAA9f///wAAAAAAAAAAAAAAAJABAAAAAAABAAAAAHMAZQBnAG8AZQAgAHU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EAAAAYAAAADAAAAP8AAAASAAAADAAAAAEAAAAeAAAAGAAAACIAAAAEAAAAegAAABEAAAAlAAAADAAAAAEAAABUAAAAtAAAACMAAAAEAAAAeAAAABAAAAABAAAAqyr5QY7j+EEjAAAABAAAABEAAABMAAAAAAAAAAAAAAAAAAAA//////////9wAAAASQBuAHYAYQBsAGkAZAAgAHMAaQBnAG4AYQB0AHUAcgBlAIA/AwAAAAcAAAAFAAAABgAAAAMAAAADAAAABwAAAAMAAAAFAAAAAwAAAAcAAAAHAAAABgAAAAQAAAAHAAAABAAAAAYAAABLAAAAQAAAADAAAAAFAAAAIAAAAAEAAAABAAAAEAAAAAAAAAAAAAAACwEAAIAAAAAAAAAAAAAAAAsBAACAAAAAUgAAAHABAAACAAAAEAAAAAcAAAAAAAAAAAAAALwCAAAAAAAAAQICIlMAeQBzAHQAZQB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IAAAAnAAAAGAAAAAMAAAAAAAAAAAAAAAAAAAAlAAAADAAAAAMAAABMAAAAZAAAAAAAAAAAAAAA//////////8AAAAAFgAAAAAAAAA1AAAAIQDwAAAAAAAAAAAAAACAPwAAAAAAAAAAAACAPwAAAAAAAAAAAAAAAAAAAAAAAAAAAAAAAAAAAAAAAAAAJQAAAAwAAAAAAACAKAAAAAwAAAADAAAAJwAAABgAAAADAAAAAAAAAAAAAAAAAAAAJQAAAAwAAAADAAAATAAAAGQAAAAAAAAAAAAAAP//////////AAAAABYAAAAAAQAAAAAAACEA8AAAAAAAAAAAAAAAgD8AAAAAAAAAAAAAgD8AAAAAAAAAAAAAAAAAAAAAAAAAAAAAAAAAAAAAAAAAACUAAAAMAAAAAAAAgCgAAAAMAAAAAwAAACcAAAAYAAAAAwAAAAAAAAAAAAAAAAAAACUAAAAMAAAAAwAAAEwAAABkAAAAAAAAAAAAAAD//////////wABAAAWAAAAAAAAADUAAAAhAPAAAAAAAAAAAAAAAIA/AAAAAAAAAAAAAIA/AAAAAAAAAAAAAAAAAAAAAAAAAAAAAAAAAAAAAAAAAAAlAAAADAAAAAAAAIAoAAAADAAAAAMAAAAnAAAAGAAAAAMAAAAAAAAAAAAAAAAAAAAlAAAADAAAAAMAAABMAAAAZAAAAAAAAABLAAAA/wAAAEwAAAAAAAAASwAAAAABAAACAAAAIQDwAAAAAAAAAAAAAACAPwAAAAAAAAAAAACAPwAAAAAAAAAAAAAAAAAAAAAAAAAAAAAAAAAAAAAAAAAAJQAAAAwAAAAAAACAKAAAAAwAAAADAAAAJwAAABgAAAADAAAAAAAAAP///wAAAAAAJQAAAAwAAAADAAAATAAAAGQAAAAAAAAAFgAAAP8AAABKAAAAAAAAABYAAAAAAQAANQAAACEA8AAAAAAAAAAAAAAAgD8AAAAAAAAAAAAAgD8AAAAAAAAAAAAAAAAAAAAAAAAAAAAAAAAAAAAAAAAAACUAAAAMAAAAAAAAgCgAAAAMAAAAAwAAACcAAAAYAAAAAwAAAAAAAAD///8AAAAAACUAAAAMAAAAAwAAAEwAAABkAAAACQAAACcAAAAfAAAASgAAAAkAAAAnAAAAFwAAACQAAAAhAPAAAAAAAAAAAAAAAIA/AAAAAAAAAAAAAIA/AAAAAAAAAAAAAAAAAAAAAAAAAAAAAAAAAAAAAAAAAAAlAAAADAAAAAAAAIAoAAAADAAAAAMAAABSAAAAcAEAAAMAAADg////AAAAAAAAAAAAAAAAkAEAAAAAAAEAAAAAYQByAGkAYQB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kdgAIAAAAACUAAAAMAAAAAwAAABgAAAAMAAAAAAAAABIAAAAMAAAAAQAAABYAAAAMAAAACAAAAFQAAABUAAAACgAAACcAAAAeAAAASgAAAAEAAACrKvlBjuP4QQoAAABLAAAAAQAAAEwAAAAEAAAACQAAACcAAAAgAAAASwAAAFAAAABYAAAAFQAAABYAAAAMAAAAAAAAACUAAAAMAAAAAgAAACcAAAAYAAAABAAAAAAAAAD///8AAAAAACUAAAAMAAAABAAAAEwAAABkAAAAKQAAABkAAAD2AAAASgAAACkAAAAZAAAAzgAAADIAAAAhAPAAAAAAAAAAAAAAAIA/AAAAAAAAAAAAAIA/AAAAAAAAAAAAAAAAAAAAAAAAAAAAAAAAAAAAAAAAAAAlAAAADAAAAAAAAIAoAAAADAAAAAQAAAAnAAAAGAAAAAQAAAAAAAAA////AAAAAAAlAAAADAAAAAQAAABMAAAAZAAAACkAAAAZAAAA9gAAAEcAAAApAAAAGQAAAM4AAAAv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EAAAAIAAAAYgAAAAwAAAABAAAASwAAABAAAAAAAAAABQAAACEAAAAIAAAAHgAAABgAAAAAAAAAAAAAAAsBAACAAAAAHAAAAAgAAAAhAAAACAAAACEAAAAIAAAAcwAAAAwAAAAAAAAAHAAAAAgAAAAlAAAADAAAAAAAAIAlAAAADAAAAAcAAIAlAAAADAAAAA4AAIAZAAAADAAAAP///wAYAAAADAAAAAAAAAASAAAADAAAAAIAAAATAAAADAAAAAEAAAAUAAAADAAAAA0AAAAVAAAADAAAAAEAAAAWAAAADAAAAAAAAAANAAAAEAAAAAAAAAAAAAAAOgAAAAwAAAAKAAAAGwAAABAAAAAAAAAAAAAAACMAAAAgAAAAV+0YPwAAAAAAAAAADgQXPyq4U0LpsQlCJAAAACQAAABX7Rg/AAAAAAAAAAAOBBc/KrhTQumxCUIEAAAAcwAAAAwAAAAAAAAADQAAABAAAAApAAAAGQAAAFIAAABwAQAABAAAABAAAAAHAAAAAAAAAAAAAAC8AgAAAAAAAAcCAiJTAHkAcwB0AGU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2AAgAAAAAJQAAAAwAAAAEAAAARgAAACgAAAAcAAAAR0RJQwIAAADs////8P///xsBAAA+AAAAAAAAACEAAAAIAAAAYgAAAAwAAAABAAAAIQAAAAgAAAAeAAAAGAAAAAAAAAAAAAAACwEAAIAAAAAkAAAAJAAAAAAAgD0AAAAAAAAAAAAAgD0AAAAAAAAAAAIAAABfAAAAOAAAAAUAAAA4AAAAAAAAADgAAAAAAAAAAAABABUAAAAAAAAAAAAAAAAAAAAAAAAAAAAAACUAAAAMAAAABQAAACUAAAAMAAAABQAAgFUAAACUAQAANQAAACUAAABtAAAARwAAAF4AAABwALADdABgA3cAEAOBAMACiwBmApsABwKwALABugCJAcEAYAHBADEBwQASAcwACwHQAAAB2wDnANYA5ADgANAA6gC9APsAnQARAZAAQgF0AIQBcgDBAXAARgJuAMsCcABQA3AASwPyAFEDOwHgApABjQLQAQYC9gGhAQECzQAYAuH//wEQ//AB9P7uAdf+4wHQ/uEBDf+2ATb/ugGR/7ABZQCaAToBoQEQAqEB0QKhAbMDlgFgBAECbgQJAncEWQJxBHECVATTAvkD8wKhAxADVQMpA+8CUQOgAmEDeQJoA1QCaQMwAnADPAIuAygCPwNQAhADcQLrAogCywLAAsAC6AK5AjMDtgJQA9ECbQPqAmwDCwOQAyEDrAMxA94DLwMABDADSwQzA20EDwOhBOACyQS7ArQEvwLBBMAC3QTDAvMEzgIQBdECKwXUAjYF4wJQBeACaAXeAm4FsgKABcACjAXKAqIF4gKRBQADjAUIA2QFKwNgBTADJQAAAAwAAAAHAACAJQAAAAwAAAAAAACAJAAAACQAAAAAAIBBAAAAAAAAAAAAAIBBAAAAAAAAAAACAAAAIgAAAAwAAAD/////KAAAAAwAAAAFAAAAIQAAAAgAAAAeAAAAGAAAAAAAAAAAAAAACwEAAIAAAAAkAAAAJAAAAAAAgD0AAAAAAAAAAAAAgD0AAAAAAAAAAAIAAABfAAAAOAAAAAUAAAA4AAAAAAAAADgAAAAAAAAAAAABABUAAAAAAAAAAAAAAAAAAAAAAAAAAAAAACUAAAAMAAAABQAAACUAAAAMAAAABQAAgFUAAACsAQAAcwAAACIAAADTAAAASAAAAGQAAADBBmEDugZ1A6oGpQOwBpAD1QYgAwgHrQJAB0ACsgdmAUgIpgAACQAAZgmm/5wJff/gCRD/uQkRADYJ7QDgCOEBrQhzAn0IMANgCMEDYAjGA2AIywNgCNADxQgyAzoJpALBCSEClgpQAWwLgQBQDMD/lQyI/5AMbf/BDHH/mgzO/3wMFQBQDHAAFQztANgLYAGRC9ABZwsSAn4LFALAC/AB4AvgAQEMwQEhDLAB/gvpAc8LJAKxC2ACrQtoAoALwgKRC9ECmgvaAhAMoAIQDKACFgybAhsMlgIhDJECCAy6AtYL9QLACyEDrgtHA7gLWQOxC4ED9Qs/AysM+QJwDLEC9gwmAlENbwHBDdAA/w13AC8OAgBxDrH/dg6x/3sOsf+ADrH/UA5HABYOzADQDWABgg0HAkkNyQIxDYEDMQ2RAzENoQMxDbADRg2YA0cNlQNgDYEDnQ1RA1MNfwNxDYEDgw2BA5UNlQPBDYED8A1rAxsORQNQDjADyQ4DA1MP4wLQD9ECaxC6AgYRtQKgEaACJQAAAAwAAAAHAACAJQAAAAwAAAAAAACAJAAAACQAAAAAAIBBAAAAAAAAAAAAAIBBAAAAAAAAAAACAAAAIgAAAAwAAAD/////KAAAAAwAAAAFAAAARgAAABQAAAAIAAAAR0RJQwMAAAAiAAAADAAAAP////8iAAAADAAAAP////8lAAAADAAAAA0AAIAoAAAADAAAAAQAAAAiAAAADAAAAP////8iAAAADAAAAP7///8nAAAAGAAAAAQAAAAAAAAA////AAAAAAAlAAAADAAAAAQAAABMAAAAZAAAAAAAAABQAAAACgEAAHwAAAAAAAAAUAAAAAsBAAAtAAAAIQDwAAAAAAAAAAAAAACAPwAAAAAAAAAAAACAPwAAAAAAAAAAAAAAAAAAAAAAAAAAAAAAAAAAAAAAAAAAJQAAAAwAAAAAAACAKAAAAAwAAAAEAAAAJwAAABgAAAAEAAAAAAAAAP///wAAAAAAJQAAAAwAAAAEAAAATAAAAGQAAAAJAAAAUAAAAP8AAABcAAAACQAAAFAAAAD3AAAADQAAACEA8AAAAAAAAAAAAAAAgD8AAAAAAAAAAAAAgD8AAAAAAAAAAAAAAAAAAAAAAAAAAAAAAAAAAAAAAAAAACUAAAAMAAAAAAAAgCgAAAAMAAAABAAAACUAAAAMAAAAAQAAABgAAAAMAAAAAAAAABIAAAAMAAAAAQAAAB4AAAAYAAAACQAAAFAAAAAAAQAAXQAAACUAAAAMAAAAAQAAAFQAAACsAAAACgAAAFAAAABpAAAAXAAAAAEAAACrKvlBjuP4QQoAAABQAAAAEAAAAEwAAAAAAAAAAAAAAAAAAAD//////////2wAAABCAHIAYQBuAGQAbwBuACAATQBvAHIAbQBlAGwAbABvAAYAAAAEAAAABgAAAAcAAAAHAAAABwAAAAcAAAADAAAACgAAAAcAAAAEAAAACQAAAAYAAAADAAAAAwAAAAcAAABLAAAAQAAAADAAAAAFAAAAIAAAAAEAAAABAAAAEAAAAAAAAAAAAAAACwEAAIAAAAAAAAAAAAAAAAsBAACAAAAAJQAAAAwAAAACAAAAJwAAABgAAAAEAAAAAAAAAP///wAAAAAAJQAAAAwAAAAEAAAATAAAAGQAAAAJAAAAYAAAAP8AAABsAAAACQAAAGAAAAD3AAAADQAAACEA8AAAAAAAAAAAAAAAgD8AAAAAAAAAAAAAgD8AAAAAAAAAAAAAAAAAAAAAAAAAAAAAAAAAAAAAAAAAACUAAAAMAAAAAAAAgCgAAAAMAAAABAAAACUAAAAMAAAAAQAAABgAAAAMAAAAAAAAABIAAAAMAAAAAQAAAB4AAAAYAAAACQAAAGAAAAAAAQAAbQAAACUAAAAMAAAAAQAAAFQAAADoAAAACgAAAGAAAACMAAAAbAAAAAEAAACrKvlBjuP4QQoAAABgAAAAGgAAAEwAAAAAAAAAAAAAAAAAAAD//////////4AAAABTAGUAYwB0AGkAbwBuACAAQwBoAGkAZQBmACwAIABDAGkAdgBpAGwAIABXAG8AcgBrAHMABgAAAAYAAAAFAAAABAAAAAMAAAAHAAAABwAAAAMAAAAHAAAABwAAAAMAAAAGAAAABAAAAAMAAAADAAAABwAAAAMAAAAFAAAAAwAAAAMAAAADAAAACwAAAAcAAAAEAAAABgAAAAUAAABLAAAAQAAAADAAAAAFAAAAIAAAAAEAAAABAAAAEAAAAAAAAAAAAAAACwEAAIAAAAAAAAAAAAAAAAsBAACAAAAAJQAAAAwAAAACAAAAJwAAABgAAAAEAAAAAAAAAP///wAAAAAAJQAAAAwAAAAEAAAATAAAAGQAAAAJAAAAcAAAAAEBAAB8AAAACQAAAHAAAAD5AAAADQAAACEA8AAAAAAAAAAAAAAAgD8AAAAAAAAAAAAAgD8AAAAAAAAAAAAAAAAAAAAAAAAAAAAAAAAAAAAAAAAAACUAAAAMAAAAAAAAgCgAAAAMAAAABAAAACUAAAAMAAAAAQAAABgAAAAMAAAAAAAAABIAAAAMAAAAAQAAABYAAAAMAAAAAAAAAFQAAAA8AQAACgAAAHAAAAAAAQAAfAAAAAEAAACrKvlBjuP4QQoAAABwAAAAKAAAAEwAAAAEAAAACQAAAHAAAAACAQAAfQAAAJwAAABTAGkAZwBuAGUAZAAgAGIAeQA6ACAATQBPAFIATQBFAEwATABPAC4AQgBSAEEATgBEAE8ATgAuAFIALgAxADUAMgAzADcAMQA4ADUANgA0AAYAAAADAAAABwAAAAcAAAAGAAAABwAAAAMAAAAHAAAABQAAAAMAAAADAAAACgAAAAkAAAAHAAAACgAAAAYAAAAFAAAABQAAAAkAAAADAAAABgAAAAcAAAAHAAAACAAAAAgAAAAJAAAACAAAAAMAAAAHAAAAAwAAAAYAAAAGAAAABgAAAAYAAAAGAAAABgAAAAYAAAAGAAAABgAAAAYAAAAWAAAADAAAAAAAAAAlAAAADAAAAAIAAAAOAAAAFAAAAAAAAAAQAAAAFAAAAA==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Abstract of Offers</vt:lpstr>
      <vt:lpstr>Attendee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Leach, Eric A CIV USARMY CENAP (USA)</dc:creator>
  <cp:lastModifiedBy>Mormello, Brandon R CIV USARMY CENAP (USA)</cp:lastModifiedBy>
  <dcterms:created xsi:type="dcterms:W3CDTF">2025-07-15T19:55:34Z</dcterms:created>
  <dcterms:modified xsi:type="dcterms:W3CDTF">2025-09-12T19:23:10Z</dcterms:modified>
</cp:coreProperties>
</file>