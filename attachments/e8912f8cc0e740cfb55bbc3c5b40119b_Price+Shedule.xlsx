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kenneth_finchum_va_gov/Documents/Documents/REVIEWS TEAMS CONTRACTS/### AAaa SIGNING PO3 FY 17  FOR CS/"/>
    </mc:Choice>
  </mc:AlternateContent>
  <xr:revisionPtr revIDLastSave="6" documentId="8_{E9E26385-42D0-400E-A2A9-168E019E75BD}" xr6:coauthVersionLast="47" xr6:coauthVersionMax="47" xr10:uidLastSave="{A78A2D26-816B-4339-B543-06DA208BAFC6}"/>
  <bookViews>
    <workbookView xWindow="-120" yWindow="-120" windowWidth="29040" windowHeight="15720" xr2:uid="{72E2A23B-6949-4A21-A3F8-09665021F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E16" i="1"/>
  <c r="E19" i="1" s="1"/>
  <c r="K8" i="1"/>
  <c r="E5" i="1"/>
  <c r="E6" i="1" s="1"/>
</calcChain>
</file>

<file path=xl/sharedStrings.xml><?xml version="1.0" encoding="utf-8"?>
<sst xmlns="http://schemas.openxmlformats.org/spreadsheetml/2006/main" count="81" uniqueCount="37">
  <si>
    <t>FY26 - Base Year Quote 05/15/2026-05/14/2027</t>
  </si>
  <si>
    <t xml:space="preserve"> </t>
  </si>
  <si>
    <t>Full Cert + New CAI (Glove Box)</t>
  </si>
  <si>
    <r>
      <rPr>
        <b/>
        <sz val="16"/>
        <color theme="1"/>
        <rFont val="Aptos Narrow"/>
        <family val="2"/>
        <scheme val="minor"/>
      </rPr>
      <t>Products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(including software, licenses)</t>
    </r>
  </si>
  <si>
    <t>Old CAI (Glove Box) </t>
  </si>
  <si>
    <t>Item #</t>
  </si>
  <si>
    <t>Description/Part Number*</t>
  </si>
  <si>
    <t>Qty</t>
  </si>
  <si>
    <t>Price</t>
  </si>
  <si>
    <t>Extended Amount</t>
  </si>
  <si>
    <t xml:space="preserve">  SUBTOTAL (Products)</t>
  </si>
  <si>
    <t>OUT OF SCHEDULE</t>
  </si>
  <si>
    <t>Services</t>
  </si>
  <si>
    <t>Brief Description of Service*</t>
  </si>
  <si>
    <t>Period of Performance</t>
  </si>
  <si>
    <t>Estimated Amount</t>
  </si>
  <si>
    <t>FY27 - OPTION YEAR 1 05/15/2027-05/14/2028</t>
  </si>
  <si>
    <t>05/15/2026-05/14/2027</t>
  </si>
  <si>
    <t>05/15/2027-05/14/2028</t>
  </si>
  <si>
    <t>FY28 - OPTION YEAR 2 05/15/2028-05/14/2029</t>
  </si>
  <si>
    <t>05/15/2028-05/14/2029</t>
  </si>
  <si>
    <t>FY29 - OPTION YEAR 3 05/15/2029-05/14/2030</t>
  </si>
  <si>
    <t>05/15/2029-05/14/2030</t>
  </si>
  <si>
    <t>FY30 - OPTION YEAR 4 05/15/2030-05/14/2031</t>
  </si>
  <si>
    <t>05/15/2030-05/14/2031</t>
  </si>
  <si>
    <t xml:space="preserve">  SUBTOTAL (Services)</t>
  </si>
  <si>
    <t>TOTAL IGCE</t>
  </si>
  <si>
    <t xml:space="preserve">*Check block(s) below that describe the basis for the IGCE: </t>
  </si>
  <si>
    <t>Past Contract Pricing</t>
  </si>
  <si>
    <t>GSA Federal Supply Schedule Published Prices</t>
  </si>
  <si>
    <t>Government Wide Acquisition Contract (GWAC) Published Prices</t>
  </si>
  <si>
    <t>Engineering Estimates</t>
  </si>
  <si>
    <t>Informal Vendor Quotes</t>
  </si>
  <si>
    <t>Prior Bills of Material</t>
  </si>
  <si>
    <t>Prior Monthly Vouchers</t>
  </si>
  <si>
    <t>Catalog Pricing</t>
  </si>
  <si>
    <r>
      <t>Other (</t>
    </r>
    <r>
      <rPr>
        <i/>
        <sz val="12"/>
        <color theme="1"/>
        <rFont val="Arial"/>
        <family val="2"/>
      </rPr>
      <t>Please Explain</t>
    </r>
    <r>
      <rPr>
        <sz val="12"/>
        <color theme="1"/>
        <rFont val="Arial"/>
        <family val="2"/>
      </rPr>
      <t xml:space="preserve">):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</si>
</sst>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Display"/>
      <family val="1"/>
      <scheme val="maj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2">
    <xf numFmtId="0" fontId="0" fillId="0" borderId="0" xfId="0"/>
    <xf numFmtId="0" fontId="5" fillId="0" borderId="0" xfId="0" applyFont="1"/>
    <xf numFmtId="0" fontId="4" fillId="3" borderId="5" xfId="0" applyFont="1" applyFill="1" applyBorder="1"/>
    <xf numFmtId="0" fontId="8" fillId="0" borderId="0" xfId="0" applyFont="1" applyAlignment="1">
      <alignment vertical="center" wrapText="1"/>
    </xf>
    <xf numFmtId="17" fontId="0" fillId="0" borderId="0" xfId="0" applyNumberFormat="1"/>
    <xf numFmtId="44" fontId="0" fillId="0" borderId="0" xfId="0" applyNumberFormat="1"/>
    <xf numFmtId="0" fontId="8" fillId="4" borderId="0" xfId="0" applyFont="1" applyFill="1" applyAlignment="1">
      <alignment vertical="center" wrapText="1"/>
    </xf>
    <xf numFmtId="17" fontId="0" fillId="4" borderId="0" xfId="0" applyNumberFormat="1" applyFill="1"/>
    <xf numFmtId="44" fontId="0" fillId="4" borderId="0" xfId="0" applyNumberFormat="1" applyFill="1"/>
    <xf numFmtId="0" fontId="11" fillId="0" borderId="12" xfId="0" applyFont="1" applyBorder="1" applyAlignment="1">
      <alignment horizontal="center" wrapText="1"/>
    </xf>
    <xf numFmtId="0" fontId="11" fillId="0" borderId="13" xfId="0" applyFont="1" applyBorder="1"/>
    <xf numFmtId="0" fontId="11" fillId="0" borderId="13" xfId="0" applyFont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0" borderId="14" xfId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 vertical="center"/>
    </xf>
    <xf numFmtId="44" fontId="5" fillId="0" borderId="13" xfId="1" applyFont="1" applyBorder="1" applyAlignment="1">
      <alignment horizontal="center" vertical="center"/>
    </xf>
    <xf numFmtId="44" fontId="5" fillId="0" borderId="14" xfId="1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0" borderId="13" xfId="0" applyFont="1" applyBorder="1"/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44" fontId="5" fillId="3" borderId="0" xfId="1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vertical="center" wrapText="1"/>
    </xf>
    <xf numFmtId="0" fontId="0" fillId="4" borderId="0" xfId="0" applyFill="1"/>
    <xf numFmtId="0" fontId="0" fillId="4" borderId="16" xfId="0" applyFill="1" applyBorder="1"/>
    <xf numFmtId="44" fontId="0" fillId="4" borderId="16" xfId="0" applyNumberFormat="1" applyFill="1" applyBorder="1"/>
    <xf numFmtId="0" fontId="5" fillId="0" borderId="18" xfId="0" applyFont="1" applyBorder="1"/>
    <xf numFmtId="44" fontId="5" fillId="3" borderId="19" xfId="1" applyFont="1" applyFill="1" applyBorder="1" applyAlignment="1">
      <alignment horizontal="center" vertical="center"/>
    </xf>
    <xf numFmtId="44" fontId="0" fillId="0" borderId="0" xfId="0" applyNumberFormat="1" applyAlignment="1">
      <alignment wrapText="1"/>
    </xf>
    <xf numFmtId="44" fontId="11" fillId="0" borderId="23" xfId="1" applyFont="1" applyBorder="1" applyAlignment="1">
      <alignment horizontal="center" vertical="center"/>
    </xf>
    <xf numFmtId="0" fontId="0" fillId="3" borderId="0" xfId="0" applyFill="1"/>
    <xf numFmtId="0" fontId="0" fillId="3" borderId="19" xfId="0" applyFill="1" applyBorder="1"/>
    <xf numFmtId="44" fontId="5" fillId="3" borderId="0" xfId="1" applyFont="1" applyFill="1" applyBorder="1" applyAlignment="1"/>
    <xf numFmtId="0" fontId="5" fillId="0" borderId="25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top"/>
    </xf>
    <xf numFmtId="0" fontId="5" fillId="3" borderId="0" xfId="0" applyFont="1" applyFill="1" applyAlignment="1">
      <alignment vertical="top"/>
    </xf>
    <xf numFmtId="0" fontId="5" fillId="3" borderId="19" xfId="0" applyFont="1" applyFill="1" applyBorder="1" applyAlignment="1">
      <alignment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0" fontId="16" fillId="0" borderId="26" xfId="0" applyFont="1" applyBorder="1"/>
    <xf numFmtId="0" fontId="16" fillId="0" borderId="27" xfId="0" applyFont="1" applyBorder="1"/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6" fillId="0" borderId="29" xfId="0" applyFont="1" applyBorder="1"/>
    <xf numFmtId="0" fontId="16" fillId="0" borderId="30" xfId="0" applyFont="1" applyBorder="1"/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5" fillId="0" borderId="17" xfId="0" applyFont="1" applyBorder="1"/>
    <xf numFmtId="0" fontId="5" fillId="0" borderId="10" xfId="0" applyFont="1" applyBorder="1"/>
    <xf numFmtId="0" fontId="5" fillId="0" borderId="4" xfId="0" applyFont="1" applyBorder="1"/>
    <xf numFmtId="0" fontId="5" fillId="0" borderId="24" xfId="0" applyFont="1" applyBorder="1"/>
    <xf numFmtId="0" fontId="5" fillId="0" borderId="12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12" xfId="0" applyFont="1" applyBorder="1"/>
    <xf numFmtId="0" fontId="13" fillId="0" borderId="13" xfId="0" applyFont="1" applyBorder="1"/>
    <xf numFmtId="0" fontId="5" fillId="0" borderId="12" xfId="0" applyFont="1" applyBorder="1" applyAlignment="1">
      <alignment wrapText="1"/>
    </xf>
    <xf numFmtId="0" fontId="14" fillId="0" borderId="13" xfId="0" applyFont="1" applyBorder="1"/>
    <xf numFmtId="0" fontId="5" fillId="0" borderId="1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7" xfId="0" applyFont="1" applyBorder="1" applyAlignment="1">
      <alignment horizontal="center"/>
    </xf>
    <xf numFmtId="0" fontId="0" fillId="0" borderId="10" xfId="0" applyBorder="1"/>
    <xf numFmtId="0" fontId="5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3" borderId="11" xfId="0" applyFont="1" applyFill="1" applyBorder="1"/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44" fontId="5" fillId="3" borderId="6" xfId="1" applyFont="1" applyFill="1" applyBorder="1" applyAlignment="1">
      <alignment horizontal="center" vertical="center"/>
    </xf>
    <xf numFmtId="44" fontId="5" fillId="3" borderId="11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1" fillId="0" borderId="17" xfId="0" applyFont="1" applyBorder="1"/>
    <xf numFmtId="0" fontId="2" fillId="0" borderId="10" xfId="0" applyFont="1" applyBorder="1"/>
    <xf numFmtId="0" fontId="11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2A9F-C961-42E8-B5A7-53CC19F880EB}">
  <dimension ref="A1:K40"/>
  <sheetViews>
    <sheetView tabSelected="1" workbookViewId="0">
      <selection activeCell="A10" sqref="A10:B10"/>
    </sheetView>
  </sheetViews>
  <sheetFormatPr defaultRowHeight="14.5" x14ac:dyDescent="0.35"/>
  <cols>
    <col min="1" max="1" width="9.26953125" customWidth="1"/>
    <col min="2" max="2" width="55.54296875" customWidth="1"/>
    <col min="3" max="3" width="12" customWidth="1"/>
    <col min="4" max="4" width="25" customWidth="1"/>
    <col min="5" max="5" width="27.54296875" customWidth="1"/>
    <col min="9" max="9" width="45.7265625" customWidth="1"/>
    <col min="10" max="10" width="17" bestFit="1" customWidth="1"/>
    <col min="11" max="11" width="11.54296875" bestFit="1" customWidth="1"/>
  </cols>
  <sheetData>
    <row r="1" spans="1:11" ht="18.5" x14ac:dyDescent="0.45">
      <c r="A1" s="71"/>
      <c r="B1" s="72"/>
      <c r="C1" s="72"/>
      <c r="D1" s="72"/>
      <c r="E1" s="73"/>
      <c r="F1" s="1"/>
      <c r="G1" s="1"/>
      <c r="H1" s="1"/>
      <c r="I1" s="50" t="s">
        <v>0</v>
      </c>
      <c r="J1" s="50"/>
      <c r="K1" s="50"/>
    </row>
    <row r="2" spans="1:11" ht="21" customHeight="1" x14ac:dyDescent="0.45">
      <c r="A2" s="74" t="s">
        <v>1</v>
      </c>
      <c r="B2" s="2"/>
      <c r="C2" s="2"/>
      <c r="D2" s="2"/>
      <c r="E2" s="76"/>
      <c r="F2" s="1"/>
      <c r="G2" s="1"/>
      <c r="H2" s="1"/>
      <c r="I2" s="3" t="s">
        <v>2</v>
      </c>
      <c r="J2" s="4">
        <v>46143</v>
      </c>
      <c r="K2" s="5"/>
    </row>
    <row r="3" spans="1:11" ht="19.5" customHeight="1" x14ac:dyDescent="0.5">
      <c r="A3" s="75"/>
      <c r="B3" s="89" t="s">
        <v>3</v>
      </c>
      <c r="C3" s="90"/>
      <c r="D3" s="91"/>
      <c r="E3" s="77"/>
      <c r="F3" s="1"/>
      <c r="G3" s="1"/>
      <c r="H3" s="1"/>
      <c r="I3" s="6" t="s">
        <v>4</v>
      </c>
      <c r="J3" s="7">
        <v>46235</v>
      </c>
      <c r="K3" s="8"/>
    </row>
    <row r="4" spans="1:11" ht="21.75" customHeight="1" x14ac:dyDescent="0.35">
      <c r="A4" s="9" t="s">
        <v>5</v>
      </c>
      <c r="B4" s="10" t="s">
        <v>6</v>
      </c>
      <c r="C4" s="11" t="s">
        <v>7</v>
      </c>
      <c r="D4" s="12" t="s">
        <v>8</v>
      </c>
      <c r="E4" s="13" t="s">
        <v>9</v>
      </c>
      <c r="F4" s="1"/>
      <c r="G4" s="1"/>
      <c r="H4" s="1"/>
      <c r="I4" s="3" t="s">
        <v>2</v>
      </c>
      <c r="J4" s="4">
        <v>46327</v>
      </c>
      <c r="K4" s="5"/>
    </row>
    <row r="5" spans="1:11" ht="21.75" customHeight="1" x14ac:dyDescent="0.35">
      <c r="A5" s="14"/>
      <c r="B5" s="15"/>
      <c r="C5" s="16"/>
      <c r="D5" s="17"/>
      <c r="E5" s="18">
        <f>SUM(C5*D5)</f>
        <v>0</v>
      </c>
      <c r="F5" s="1"/>
      <c r="G5" s="1"/>
      <c r="H5" s="1"/>
      <c r="I5" s="6" t="s">
        <v>4</v>
      </c>
      <c r="J5" s="7">
        <v>46419</v>
      </c>
      <c r="K5" s="8"/>
    </row>
    <row r="6" spans="1:11" ht="22.5" customHeight="1" x14ac:dyDescent="0.35">
      <c r="A6" s="19"/>
      <c r="B6" s="20" t="s">
        <v>10</v>
      </c>
      <c r="C6" s="16"/>
      <c r="D6" s="17"/>
      <c r="E6" s="18">
        <f>SUM(E5:E5)</f>
        <v>0</v>
      </c>
      <c r="F6" s="1"/>
      <c r="G6" s="1"/>
      <c r="H6" s="1"/>
      <c r="I6" s="3" t="s">
        <v>2</v>
      </c>
      <c r="J6" t="s">
        <v>11</v>
      </c>
      <c r="K6" s="5"/>
    </row>
    <row r="7" spans="1:11" ht="21.75" customHeight="1" thickBot="1" x14ac:dyDescent="0.4">
      <c r="A7" s="78" t="s">
        <v>1</v>
      </c>
      <c r="B7" s="21"/>
      <c r="C7" s="22"/>
      <c r="D7" s="23"/>
      <c r="E7" s="80"/>
      <c r="F7" s="1"/>
      <c r="G7" s="1"/>
      <c r="H7" s="1"/>
      <c r="I7" s="24" t="s">
        <v>4</v>
      </c>
      <c r="J7" s="25" t="s">
        <v>11</v>
      </c>
      <c r="K7" s="8"/>
    </row>
    <row r="8" spans="1:11" ht="18" customHeight="1" x14ac:dyDescent="0.5">
      <c r="A8" s="79"/>
      <c r="B8" s="82" t="s">
        <v>12</v>
      </c>
      <c r="C8" s="83"/>
      <c r="D8" s="84"/>
      <c r="E8" s="81"/>
      <c r="F8" s="1"/>
      <c r="G8" s="1"/>
      <c r="H8" s="1"/>
      <c r="K8" s="5">
        <f>SUM(K2:K7)</f>
        <v>0</v>
      </c>
    </row>
    <row r="9" spans="1:11" ht="15.75" customHeight="1" x14ac:dyDescent="0.4">
      <c r="A9" s="85" t="s">
        <v>13</v>
      </c>
      <c r="B9" s="86"/>
      <c r="C9" s="87" t="s">
        <v>14</v>
      </c>
      <c r="D9" s="88"/>
      <c r="E9" s="13" t="s">
        <v>15</v>
      </c>
      <c r="F9" s="1"/>
      <c r="G9" s="1"/>
      <c r="H9" s="1"/>
      <c r="I9" s="50" t="s">
        <v>16</v>
      </c>
      <c r="J9" s="50"/>
      <c r="K9" s="50"/>
    </row>
    <row r="10" spans="1:11" ht="18.75" customHeight="1" x14ac:dyDescent="0.35">
      <c r="A10" s="67" t="s">
        <v>0</v>
      </c>
      <c r="B10" s="68"/>
      <c r="C10" s="69" t="s">
        <v>17</v>
      </c>
      <c r="D10" s="70"/>
      <c r="E10" s="18"/>
      <c r="F10" s="1"/>
      <c r="G10" s="1"/>
      <c r="H10" s="1"/>
      <c r="I10" s="3" t="s">
        <v>2</v>
      </c>
      <c r="J10" s="4">
        <v>46508</v>
      </c>
      <c r="K10" s="5"/>
    </row>
    <row r="11" spans="1:11" ht="18.75" customHeight="1" x14ac:dyDescent="0.35">
      <c r="A11" s="67" t="s">
        <v>16</v>
      </c>
      <c r="B11" s="68"/>
      <c r="C11" s="69" t="s">
        <v>18</v>
      </c>
      <c r="D11" s="70"/>
      <c r="E11" s="18"/>
      <c r="F11" s="1"/>
      <c r="G11" s="1"/>
      <c r="H11" s="1"/>
      <c r="I11" s="6" t="s">
        <v>4</v>
      </c>
      <c r="J11" s="7">
        <v>46600</v>
      </c>
      <c r="K11" s="8"/>
    </row>
    <row r="12" spans="1:11" ht="21.75" customHeight="1" x14ac:dyDescent="0.35">
      <c r="A12" s="67" t="s">
        <v>19</v>
      </c>
      <c r="B12" s="68"/>
      <c r="C12" s="69" t="s">
        <v>20</v>
      </c>
      <c r="D12" s="70"/>
      <c r="E12" s="18"/>
      <c r="F12" s="1"/>
      <c r="G12" s="1"/>
      <c r="H12" s="1"/>
      <c r="I12" s="3" t="s">
        <v>2</v>
      </c>
      <c r="J12" s="4">
        <v>46692</v>
      </c>
      <c r="K12" s="5"/>
    </row>
    <row r="13" spans="1:11" ht="17.25" customHeight="1" x14ac:dyDescent="0.35">
      <c r="A13" s="67" t="s">
        <v>21</v>
      </c>
      <c r="B13" s="68"/>
      <c r="C13" s="69" t="s">
        <v>22</v>
      </c>
      <c r="D13" s="70"/>
      <c r="E13" s="18"/>
      <c r="F13" s="1"/>
      <c r="G13" s="1"/>
      <c r="H13" s="1"/>
      <c r="I13" s="6" t="s">
        <v>4</v>
      </c>
      <c r="J13" s="7">
        <v>46784</v>
      </c>
      <c r="K13" s="8"/>
    </row>
    <row r="14" spans="1:11" ht="19.5" customHeight="1" x14ac:dyDescent="0.35">
      <c r="A14" s="67" t="s">
        <v>23</v>
      </c>
      <c r="B14" s="68"/>
      <c r="C14" s="69" t="s">
        <v>24</v>
      </c>
      <c r="D14" s="70"/>
      <c r="E14" s="18"/>
      <c r="F14" s="1"/>
      <c r="G14" s="1"/>
      <c r="H14" s="1"/>
      <c r="I14" s="3" t="s">
        <v>2</v>
      </c>
      <c r="J14" t="s">
        <v>11</v>
      </c>
      <c r="K14" s="5"/>
    </row>
    <row r="15" spans="1:11" ht="17.25" customHeight="1" thickBot="1" x14ac:dyDescent="0.4">
      <c r="A15" s="67"/>
      <c r="B15" s="68"/>
      <c r="C15" s="69"/>
      <c r="D15" s="70"/>
      <c r="E15" s="18"/>
      <c r="F15" s="1"/>
      <c r="G15" s="1"/>
      <c r="H15" s="1"/>
      <c r="I15" s="24" t="s">
        <v>4</v>
      </c>
      <c r="J15" s="26" t="s">
        <v>11</v>
      </c>
      <c r="K15" s="27"/>
    </row>
    <row r="16" spans="1:11" ht="15.5" x14ac:dyDescent="0.35">
      <c r="A16" s="67"/>
      <c r="B16" s="68"/>
      <c r="C16" s="69"/>
      <c r="D16" s="70"/>
      <c r="E16" s="18">
        <f t="shared" ref="E16" si="0">SUM(C16*D16)</f>
        <v>0</v>
      </c>
      <c r="F16" s="1"/>
      <c r="G16" s="1"/>
      <c r="H16" s="1"/>
      <c r="K16" s="5">
        <f>SUM(K10:K15)</f>
        <v>0</v>
      </c>
    </row>
    <row r="17" spans="1:11" ht="16" x14ac:dyDescent="0.4">
      <c r="A17" s="19"/>
      <c r="B17" s="28" t="s">
        <v>25</v>
      </c>
      <c r="C17" s="69"/>
      <c r="D17" s="70"/>
      <c r="E17" s="18"/>
      <c r="F17" s="1"/>
      <c r="G17" s="1"/>
      <c r="H17" s="1"/>
      <c r="I17" s="50" t="s">
        <v>19</v>
      </c>
      <c r="J17" s="50"/>
      <c r="K17" s="50"/>
    </row>
    <row r="18" spans="1:11" ht="20.25" customHeight="1" thickBot="1" x14ac:dyDescent="0.4">
      <c r="A18" s="19"/>
      <c r="B18" s="21"/>
      <c r="C18" s="22"/>
      <c r="D18" s="23"/>
      <c r="E18" s="29"/>
      <c r="F18" s="1"/>
      <c r="G18" s="1"/>
      <c r="H18" s="1"/>
      <c r="I18" s="3" t="s">
        <v>2</v>
      </c>
      <c r="J18" s="4">
        <v>46874</v>
      </c>
      <c r="K18" s="30"/>
    </row>
    <row r="19" spans="1:11" ht="21" customHeight="1" thickBot="1" x14ac:dyDescent="0.4">
      <c r="A19" s="19"/>
      <c r="B19" s="58" t="s">
        <v>26</v>
      </c>
      <c r="C19" s="59"/>
      <c r="D19" s="60"/>
      <c r="E19" s="31">
        <f>E17+E6</f>
        <v>0</v>
      </c>
      <c r="F19" s="1"/>
      <c r="G19" s="1"/>
      <c r="H19" s="1"/>
      <c r="I19" s="6" t="s">
        <v>4</v>
      </c>
      <c r="J19" s="7">
        <v>46966</v>
      </c>
      <c r="K19" s="8"/>
    </row>
    <row r="20" spans="1:11" ht="17.25" customHeight="1" x14ac:dyDescent="0.35">
      <c r="A20" s="19"/>
      <c r="B20" s="21"/>
      <c r="C20" s="22"/>
      <c r="D20" s="23"/>
      <c r="E20" s="29"/>
      <c r="F20" s="1"/>
      <c r="G20" s="1"/>
      <c r="H20" s="1"/>
      <c r="I20" s="3" t="s">
        <v>2</v>
      </c>
      <c r="J20" s="4">
        <v>47058</v>
      </c>
      <c r="K20" s="5"/>
    </row>
    <row r="21" spans="1:11" ht="15" customHeight="1" x14ac:dyDescent="0.35">
      <c r="A21" s="61" t="s">
        <v>27</v>
      </c>
      <c r="B21" s="62"/>
      <c r="C21" s="32"/>
      <c r="D21" s="32"/>
      <c r="E21" s="33"/>
      <c r="F21" s="1"/>
      <c r="G21" s="1"/>
      <c r="H21" s="1"/>
      <c r="I21" s="6" t="s">
        <v>4</v>
      </c>
      <c r="J21" s="7">
        <v>47150</v>
      </c>
      <c r="K21" s="8"/>
    </row>
    <row r="22" spans="1:11" ht="16.5" customHeight="1" x14ac:dyDescent="0.4">
      <c r="A22" s="63" t="s">
        <v>28</v>
      </c>
      <c r="B22" s="64"/>
      <c r="C22" s="16"/>
      <c r="D22" s="23"/>
      <c r="E22" s="29"/>
      <c r="F22" s="1"/>
      <c r="G22" s="1"/>
      <c r="H22" s="1"/>
      <c r="I22" s="3" t="s">
        <v>2</v>
      </c>
      <c r="J22" t="s">
        <v>11</v>
      </c>
      <c r="K22" s="5"/>
    </row>
    <row r="23" spans="1:11" ht="16.5" customHeight="1" thickBot="1" x14ac:dyDescent="0.4">
      <c r="A23" s="65" t="s">
        <v>29</v>
      </c>
      <c r="B23" s="66"/>
      <c r="C23" s="16"/>
      <c r="D23" s="23"/>
      <c r="E23" s="29"/>
      <c r="F23" s="1"/>
      <c r="G23" s="1"/>
      <c r="H23" s="1"/>
      <c r="I23" s="24" t="s">
        <v>4</v>
      </c>
      <c r="J23" s="26" t="s">
        <v>11</v>
      </c>
      <c r="K23" s="27"/>
    </row>
    <row r="24" spans="1:11" ht="15.5" x14ac:dyDescent="0.35">
      <c r="A24" s="65" t="s">
        <v>30</v>
      </c>
      <c r="B24" s="66"/>
      <c r="C24" s="16"/>
      <c r="D24" s="34"/>
      <c r="E24" s="29"/>
      <c r="F24" s="1"/>
      <c r="G24" s="1"/>
      <c r="H24" s="1"/>
      <c r="K24" s="5"/>
    </row>
    <row r="25" spans="1:11" ht="16" x14ac:dyDescent="0.4">
      <c r="A25" s="51" t="s">
        <v>31</v>
      </c>
      <c r="B25" s="52"/>
      <c r="C25" s="16"/>
      <c r="D25" s="23"/>
      <c r="E25" s="29"/>
      <c r="F25" s="1"/>
      <c r="G25" s="1"/>
      <c r="H25" s="1"/>
      <c r="I25" s="50" t="s">
        <v>21</v>
      </c>
      <c r="J25" s="50"/>
      <c r="K25" s="50"/>
    </row>
    <row r="26" spans="1:11" ht="19.5" customHeight="1" x14ac:dyDescent="0.35">
      <c r="A26" s="51" t="s">
        <v>32</v>
      </c>
      <c r="B26" s="52"/>
      <c r="C26" s="16"/>
      <c r="D26" s="23" t="s">
        <v>1</v>
      </c>
      <c r="E26" s="29"/>
      <c r="F26" s="1"/>
      <c r="G26" s="1"/>
      <c r="H26" s="1"/>
      <c r="I26" s="3" t="s">
        <v>2</v>
      </c>
      <c r="J26" s="4">
        <v>47239</v>
      </c>
      <c r="K26" s="5"/>
    </row>
    <row r="27" spans="1:11" ht="19.5" customHeight="1" x14ac:dyDescent="0.35">
      <c r="A27" s="51" t="s">
        <v>33</v>
      </c>
      <c r="B27" s="52"/>
      <c r="C27" s="16"/>
      <c r="D27" s="23"/>
      <c r="E27" s="29"/>
      <c r="F27" s="1"/>
      <c r="G27" s="1"/>
      <c r="H27" s="1"/>
      <c r="I27" s="6" t="s">
        <v>4</v>
      </c>
      <c r="J27" s="7">
        <v>47331</v>
      </c>
      <c r="K27" s="8"/>
    </row>
    <row r="28" spans="1:11" ht="17.25" customHeight="1" x14ac:dyDescent="0.35">
      <c r="A28" s="51" t="s">
        <v>34</v>
      </c>
      <c r="B28" s="52"/>
      <c r="C28" s="16"/>
      <c r="D28" s="23"/>
      <c r="E28" s="29"/>
      <c r="F28" s="1"/>
      <c r="G28" s="1"/>
      <c r="H28" s="1"/>
      <c r="I28" s="3" t="s">
        <v>2</v>
      </c>
      <c r="J28" s="4">
        <v>47423</v>
      </c>
      <c r="K28" s="5"/>
    </row>
    <row r="29" spans="1:11" ht="19.5" customHeight="1" x14ac:dyDescent="0.35">
      <c r="A29" s="53" t="s">
        <v>35</v>
      </c>
      <c r="B29" s="54"/>
      <c r="C29" s="35"/>
      <c r="D29" s="23"/>
      <c r="E29" s="29"/>
      <c r="F29" s="1"/>
      <c r="G29" s="1"/>
      <c r="H29" s="1"/>
      <c r="I29" s="6" t="s">
        <v>4</v>
      </c>
      <c r="J29" s="7">
        <v>47515</v>
      </c>
      <c r="K29" s="8"/>
    </row>
    <row r="30" spans="1:11" ht="22.5" customHeight="1" x14ac:dyDescent="0.35">
      <c r="A30" s="55" t="s">
        <v>36</v>
      </c>
      <c r="B30" s="56"/>
      <c r="C30" s="56"/>
      <c r="D30" s="56"/>
      <c r="E30" s="57"/>
      <c r="F30" s="1"/>
      <c r="G30" s="1"/>
      <c r="H30" s="1"/>
      <c r="I30" s="3" t="s">
        <v>2</v>
      </c>
      <c r="J30" t="s">
        <v>11</v>
      </c>
      <c r="K30" s="5"/>
    </row>
    <row r="31" spans="1:11" ht="18.75" customHeight="1" thickBot="1" x14ac:dyDescent="0.4">
      <c r="A31" s="55"/>
      <c r="B31" s="56"/>
      <c r="C31" s="56"/>
      <c r="D31" s="56"/>
      <c r="E31" s="57"/>
      <c r="F31" s="1"/>
      <c r="G31" s="1"/>
      <c r="H31" s="1"/>
      <c r="I31" s="24" t="s">
        <v>4</v>
      </c>
      <c r="J31" s="26" t="s">
        <v>11</v>
      </c>
      <c r="K31" s="27"/>
    </row>
    <row r="32" spans="1:11" ht="15.5" x14ac:dyDescent="0.35">
      <c r="A32" s="55"/>
      <c r="B32" s="56"/>
      <c r="C32" s="56"/>
      <c r="D32" s="56"/>
      <c r="E32" s="57"/>
      <c r="F32" s="1"/>
      <c r="G32" s="1"/>
      <c r="H32" s="1"/>
      <c r="K32" s="5"/>
    </row>
    <row r="33" spans="1:11" ht="16" x14ac:dyDescent="0.4">
      <c r="A33" s="55"/>
      <c r="B33" s="56"/>
      <c r="C33" s="56"/>
      <c r="D33" s="56"/>
      <c r="E33" s="57"/>
      <c r="F33" s="1"/>
      <c r="G33" s="1"/>
      <c r="H33" s="1"/>
      <c r="I33" s="50" t="s">
        <v>23</v>
      </c>
      <c r="J33" s="50"/>
      <c r="K33" s="50"/>
    </row>
    <row r="34" spans="1:11" ht="18.75" customHeight="1" x14ac:dyDescent="0.35">
      <c r="A34" s="55"/>
      <c r="B34" s="56"/>
      <c r="C34" s="56"/>
      <c r="D34" s="56"/>
      <c r="E34" s="57"/>
      <c r="F34" s="1"/>
      <c r="G34" s="1"/>
      <c r="H34" s="1"/>
      <c r="I34" s="3" t="s">
        <v>2</v>
      </c>
      <c r="J34" s="4">
        <v>47604</v>
      </c>
      <c r="K34" s="5"/>
    </row>
    <row r="35" spans="1:11" ht="15.75" customHeight="1" thickBot="1" x14ac:dyDescent="0.4">
      <c r="A35" s="36"/>
      <c r="B35" s="37"/>
      <c r="C35" s="37"/>
      <c r="D35" s="37"/>
      <c r="E35" s="38"/>
      <c r="F35" s="1"/>
      <c r="G35" s="1"/>
      <c r="H35" s="1"/>
      <c r="I35" s="6" t="s">
        <v>4</v>
      </c>
      <c r="J35" s="7">
        <v>47696</v>
      </c>
      <c r="K35" s="8"/>
    </row>
    <row r="36" spans="1:11" ht="16.5" customHeight="1" x14ac:dyDescent="0.35">
      <c r="A36" s="42"/>
      <c r="B36" s="43"/>
      <c r="C36" s="44"/>
      <c r="D36" s="44"/>
      <c r="E36" s="45"/>
      <c r="F36" s="1"/>
      <c r="G36" s="1"/>
      <c r="H36" s="1"/>
      <c r="I36" s="3" t="s">
        <v>2</v>
      </c>
      <c r="J36" s="4">
        <v>47788</v>
      </c>
      <c r="K36" s="5"/>
    </row>
    <row r="37" spans="1:11" ht="19.5" customHeight="1" thickBot="1" x14ac:dyDescent="0.4">
      <c r="A37" s="46"/>
      <c r="B37" s="47"/>
      <c r="C37" s="48"/>
      <c r="D37" s="48"/>
      <c r="E37" s="49"/>
      <c r="F37" s="1"/>
      <c r="G37" s="1"/>
      <c r="H37" s="1"/>
      <c r="I37" s="6" t="s">
        <v>4</v>
      </c>
      <c r="J37" s="7">
        <v>47880</v>
      </c>
      <c r="K37" s="8"/>
    </row>
    <row r="38" spans="1:11" ht="18.75" customHeight="1" x14ac:dyDescent="0.35">
      <c r="A38" s="39"/>
      <c r="B38" s="1"/>
      <c r="C38" s="40"/>
      <c r="D38" s="41"/>
      <c r="E38" s="41"/>
      <c r="F38" s="1"/>
      <c r="G38" s="1"/>
      <c r="H38" s="1"/>
      <c r="I38" s="3" t="s">
        <v>2</v>
      </c>
      <c r="J38" t="s">
        <v>11</v>
      </c>
      <c r="K38" s="5"/>
    </row>
    <row r="39" spans="1:11" ht="17.25" customHeight="1" thickBot="1" x14ac:dyDescent="0.4">
      <c r="A39" s="39"/>
      <c r="B39" s="1"/>
      <c r="C39" s="40"/>
      <c r="D39" s="41"/>
      <c r="E39" s="41"/>
      <c r="F39" s="1"/>
      <c r="G39" s="1"/>
      <c r="H39" s="1"/>
      <c r="I39" s="24" t="s">
        <v>4</v>
      </c>
      <c r="J39" s="26" t="s">
        <v>11</v>
      </c>
      <c r="K39" s="27"/>
    </row>
    <row r="40" spans="1:11" ht="15.5" x14ac:dyDescent="0.35">
      <c r="A40" s="39"/>
      <c r="B40" s="1"/>
      <c r="C40" s="40"/>
      <c r="D40" s="41"/>
      <c r="E40" s="41"/>
      <c r="F40" s="1"/>
      <c r="G40" s="1"/>
      <c r="H40" s="1"/>
      <c r="I40" s="1"/>
      <c r="J40" s="1"/>
      <c r="K40" s="5"/>
    </row>
  </sheetData>
  <mergeCells count="44">
    <mergeCell ref="A11:B11"/>
    <mergeCell ref="C11:D11"/>
    <mergeCell ref="A1:E1"/>
    <mergeCell ref="I1:K1"/>
    <mergeCell ref="A2:A3"/>
    <mergeCell ref="E2:E3"/>
    <mergeCell ref="B3:D3"/>
    <mergeCell ref="A7:A8"/>
    <mergeCell ref="E7:E8"/>
    <mergeCell ref="B8:D8"/>
    <mergeCell ref="A9:B9"/>
    <mergeCell ref="C9:D9"/>
    <mergeCell ref="I9:K9"/>
    <mergeCell ref="A10:B10"/>
    <mergeCell ref="C10:D10"/>
    <mergeCell ref="I17:K17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C17:D17"/>
    <mergeCell ref="B19:D19"/>
    <mergeCell ref="A21:B21"/>
    <mergeCell ref="A22:B22"/>
    <mergeCell ref="A23:B23"/>
    <mergeCell ref="A24:B24"/>
    <mergeCell ref="A36:B36"/>
    <mergeCell ref="C36:E36"/>
    <mergeCell ref="A37:B37"/>
    <mergeCell ref="C37:E37"/>
    <mergeCell ref="I25:K25"/>
    <mergeCell ref="A26:B26"/>
    <mergeCell ref="A27:B27"/>
    <mergeCell ref="A28:B28"/>
    <mergeCell ref="A29:B29"/>
    <mergeCell ref="A30:E34"/>
    <mergeCell ref="I33:K33"/>
    <mergeCell ref="A25:B25"/>
  </mergeCell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Hartbauer, Shauna M.</dc:creator>
  <cp:lastModifiedBy>Finchum, Kenneth</cp:lastModifiedBy>
  <cp:lastPrinted>2026-05-04T18:27:51Z</cp:lastPrinted>
  <dcterms:created xsi:type="dcterms:W3CDTF">2026-05-01T17:00:00Z</dcterms:created>
  <dcterms:modified xsi:type="dcterms:W3CDTF">2026-05-04T18:51:52Z</dcterms:modified>
</cp:coreProperties>
</file>