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vagov-my.sharepoint.com/personal/priscilla_burke_va_gov/Documents/Documents/CLC SVH New/Attachments SVH RFP/"/>
    </mc:Choice>
  </mc:AlternateContent>
  <xr:revisionPtr revIDLastSave="110" documentId="13_ncr:1_{68FD7F0D-8A1D-4C9E-B5C9-9C7A07417119}" xr6:coauthVersionLast="47" xr6:coauthVersionMax="47" xr10:uidLastSave="{BE47FC73-8AF4-4CB0-837C-83A3B7F4D030}"/>
  <bookViews>
    <workbookView xWindow="-110" yWindow="-110" windowWidth="19420" windowHeight="10300" xr2:uid="{E19693AF-C333-4AE5-A6E6-FDC617008A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2" i="1" l="1"/>
  <c r="F91" i="1"/>
  <c r="C86" i="1"/>
  <c r="A79" i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C72" i="1"/>
  <c r="C58" i="1"/>
  <c r="C44" i="1"/>
  <c r="C30" i="1"/>
  <c r="C11" i="1"/>
  <c r="F20" i="1"/>
  <c r="A4" i="1"/>
  <c r="A5" i="1" s="1"/>
  <c r="A6" i="1" s="1"/>
  <c r="A7" i="1" s="1"/>
  <c r="A8" i="1" s="1"/>
  <c r="A9" i="1" s="1"/>
  <c r="A10" i="1" s="1"/>
  <c r="A11" i="1" s="1"/>
  <c r="F5" i="1"/>
  <c r="A12" i="1" l="1"/>
  <c r="A13" i="1" s="1"/>
  <c r="A14" i="1" s="1"/>
  <c r="A15" i="1" s="1"/>
  <c r="A16" i="1" s="1"/>
  <c r="A17" i="1" s="1"/>
  <c r="A18" i="1" s="1"/>
  <c r="A19" i="1" s="1"/>
  <c r="F77" i="1"/>
  <c r="F63" i="1"/>
  <c r="F49" i="1"/>
  <c r="F35" i="1"/>
  <c r="F3" i="1"/>
  <c r="F4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A65" i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51" i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23" i="1" l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20" i="1"/>
  <c r="F21" i="1"/>
</calcChain>
</file>

<file path=xl/sharedStrings.xml><?xml version="1.0" encoding="utf-8"?>
<sst xmlns="http://schemas.openxmlformats.org/spreadsheetml/2006/main" count="179" uniqueCount="33">
  <si>
    <t>ITEM NUMBER</t>
  </si>
  <si>
    <t>DESCRIPTION OF SUPPLIES/SERVICES</t>
  </si>
  <si>
    <t>QUANTITY</t>
  </si>
  <si>
    <t>UNIT</t>
  </si>
  <si>
    <t>UNIT PRICE</t>
  </si>
  <si>
    <t>EA</t>
  </si>
  <si>
    <t>Quarterly Survey Schedules</t>
  </si>
  <si>
    <t>Communication Plan</t>
  </si>
  <si>
    <t>Simple Report</t>
  </si>
  <si>
    <t>Electronic Feedback Mechanism</t>
  </si>
  <si>
    <t>Project Work Plan Updates</t>
  </si>
  <si>
    <t>AMOUNT</t>
  </si>
  <si>
    <t>BASE TOTAL</t>
  </si>
  <si>
    <t>PERIOD 1 TOTAL</t>
  </si>
  <si>
    <t>PERIOD 2 TOTAL</t>
  </si>
  <si>
    <t>PERIOD 3 TOTAL</t>
  </si>
  <si>
    <t>PERIOD 4 TOTAL</t>
  </si>
  <si>
    <t>GRAND TOTAL</t>
  </si>
  <si>
    <t>Kick off Meeting</t>
  </si>
  <si>
    <t>Monthly Meeting</t>
  </si>
  <si>
    <t>Quarterly Meeting</t>
  </si>
  <si>
    <t xml:space="preserve">Survey Deficiency Summary Reports </t>
  </si>
  <si>
    <t>Ad Hoc Reports</t>
  </si>
  <si>
    <t>Annual Survey Schedules</t>
  </si>
  <si>
    <t>Survey Script</t>
  </si>
  <si>
    <t>Contractor Personnel Training Plan</t>
  </si>
  <si>
    <t>Quartley Electronic Feedback Reports</t>
  </si>
  <si>
    <t>Quarterly Electronic Feedback Reports</t>
  </si>
  <si>
    <t>PERIOD 5 TOTAL</t>
  </si>
  <si>
    <t>Annual  Surveys</t>
  </si>
  <si>
    <t>For Cause  Survey</t>
  </si>
  <si>
    <t>Initial Recognition  Survey</t>
  </si>
  <si>
    <t>Focused Recognition  Survey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</si>
</sst>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0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FFFFFF"/>
      <name val="Arial"/>
      <family val="2"/>
    </font>
    <font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theme="1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164" fontId="2" fillId="0" borderId="4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1" fillId="0" borderId="5" xfId="0" applyFont="1" applyBorder="1" applyAlignment="1">
      <alignment horizontal="center" vertical="center"/>
    </xf>
    <xf numFmtId="164" fontId="2" fillId="3" borderId="4" xfId="0" applyNumberFormat="1" applyFont="1" applyFill="1" applyBorder="1" applyAlignment="1">
      <alignment horizontal="center" vertical="center"/>
    </xf>
    <xf numFmtId="0" fontId="1" fillId="3" borderId="5" xfId="0" applyFont="1" applyFill="1" applyBorder="1" applyAlignment="1">
      <alignment vertical="center"/>
    </xf>
    <xf numFmtId="0" fontId="1" fillId="3" borderId="5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44" fontId="1" fillId="0" borderId="5" xfId="0" applyNumberFormat="1" applyFont="1" applyBorder="1" applyAlignment="1">
      <alignment horizontal="right" vertical="center"/>
    </xf>
    <xf numFmtId="44" fontId="1" fillId="0" borderId="6" xfId="0" applyNumberFormat="1" applyFont="1" applyBorder="1" applyAlignment="1">
      <alignment horizontal="right" vertical="center"/>
    </xf>
    <xf numFmtId="164" fontId="2" fillId="0" borderId="7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44" fontId="1" fillId="0" borderId="8" xfId="0" applyNumberFormat="1" applyFont="1" applyBorder="1" applyAlignment="1">
      <alignment horizontal="right" vertical="center"/>
    </xf>
    <xf numFmtId="44" fontId="1" fillId="0" borderId="9" xfId="0" applyNumberFormat="1" applyFont="1" applyBorder="1" applyAlignment="1">
      <alignment horizontal="right" vertical="center"/>
    </xf>
    <xf numFmtId="44" fontId="1" fillId="0" borderId="11" xfId="0" applyNumberFormat="1" applyFont="1" applyBorder="1" applyAlignment="1">
      <alignment horizontal="right" vertical="center"/>
    </xf>
    <xf numFmtId="44" fontId="2" fillId="0" borderId="1" xfId="0" applyNumberFormat="1" applyFont="1" applyBorder="1" applyAlignment="1">
      <alignment horizontal="right" vertical="center"/>
    </xf>
    <xf numFmtId="164" fontId="2" fillId="0" borderId="12" xfId="0" applyNumberFormat="1" applyFont="1" applyBorder="1" applyAlignment="1">
      <alignment horizontal="center" vertical="center"/>
    </xf>
    <xf numFmtId="0" fontId="1" fillId="0" borderId="13" xfId="0" applyFont="1" applyBorder="1" applyAlignment="1">
      <alignment vertical="center"/>
    </xf>
    <xf numFmtId="0" fontId="1" fillId="0" borderId="13" xfId="0" applyFont="1" applyBorder="1" applyAlignment="1">
      <alignment horizontal="center" vertical="center"/>
    </xf>
    <xf numFmtId="44" fontId="1" fillId="0" borderId="13" xfId="0" applyNumberFormat="1" applyFont="1" applyBorder="1" applyAlignment="1">
      <alignment horizontal="right" vertical="center"/>
    </xf>
    <xf numFmtId="164" fontId="2" fillId="3" borderId="14" xfId="0" applyNumberFormat="1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vertical="center"/>
    </xf>
    <xf numFmtId="0" fontId="1" fillId="3" borderId="15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0" borderId="17" xfId="0" applyFont="1" applyBorder="1" applyAlignment="1">
      <alignment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4" fillId="0" borderId="5" xfId="0" applyFont="1" applyBorder="1" applyAlignment="1">
      <alignment vertical="center"/>
    </xf>
    <xf numFmtId="0" fontId="4" fillId="0" borderId="19" xfId="0" applyFont="1" applyBorder="1" applyAlignment="1">
      <alignment horizontal="center" vertical="center"/>
    </xf>
    <xf numFmtId="0" fontId="4" fillId="0" borderId="8" xfId="0" applyFont="1" applyBorder="1" applyAlignment="1">
      <alignment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89F36-067D-45F2-AA14-C140DC18F45D}">
  <dimension ref="A1:F92"/>
  <sheetViews>
    <sheetView tabSelected="1" workbookViewId="0">
      <selection sqref="A1:A2"/>
    </sheetView>
  </sheetViews>
  <sheetFormatPr defaultColWidth="9.1796875" defaultRowHeight="14.5" x14ac:dyDescent="0.35"/>
  <cols>
    <col min="1" max="1" width="17.1796875" customWidth="1"/>
    <col min="2" max="2" width="55.54296875" customWidth="1"/>
    <col min="3" max="3" width="13.7265625" customWidth="1"/>
    <col min="5" max="5" width="19.453125" customWidth="1"/>
    <col min="6" max="6" width="21.453125" customWidth="1"/>
  </cols>
  <sheetData>
    <row r="1" spans="1:6" ht="18" customHeight="1" x14ac:dyDescent="0.35">
      <c r="A1" s="32" t="s">
        <v>0</v>
      </c>
      <c r="B1" s="32" t="s">
        <v>1</v>
      </c>
      <c r="C1" s="32" t="s">
        <v>2</v>
      </c>
      <c r="D1" s="32" t="s">
        <v>3</v>
      </c>
      <c r="E1" s="32" t="s">
        <v>4</v>
      </c>
      <c r="F1" s="32" t="s">
        <v>11</v>
      </c>
    </row>
    <row r="2" spans="1:6" ht="18" customHeight="1" thickBot="1" x14ac:dyDescent="0.4">
      <c r="A2" s="33"/>
      <c r="B2" s="33"/>
      <c r="C2" s="33"/>
      <c r="D2" s="33"/>
      <c r="E2" s="33"/>
      <c r="F2" s="33"/>
    </row>
    <row r="3" spans="1:6" ht="18" customHeight="1" x14ac:dyDescent="0.35">
      <c r="A3" s="1">
        <v>1</v>
      </c>
      <c r="B3" s="2" t="s">
        <v>29</v>
      </c>
      <c r="C3" s="3">
        <v>173</v>
      </c>
      <c r="D3" s="3" t="s">
        <v>5</v>
      </c>
      <c r="E3" s="8">
        <v>0</v>
      </c>
      <c r="F3" s="9">
        <f>SUM(C3*E3)</f>
        <v>0</v>
      </c>
    </row>
    <row r="4" spans="1:6" ht="18" customHeight="1" x14ac:dyDescent="0.35">
      <c r="A4" s="1">
        <f>SUM(A3+1)</f>
        <v>2</v>
      </c>
      <c r="B4" s="2" t="s">
        <v>30</v>
      </c>
      <c r="C4" s="3">
        <v>5</v>
      </c>
      <c r="D4" s="3" t="s">
        <v>5</v>
      </c>
      <c r="E4" s="8">
        <v>0</v>
      </c>
      <c r="F4" s="9">
        <f t="shared" ref="F4:F19" si="0">SUM(C4*E4)</f>
        <v>0</v>
      </c>
    </row>
    <row r="5" spans="1:6" ht="18" customHeight="1" x14ac:dyDescent="0.35">
      <c r="A5" s="1">
        <f t="shared" ref="A5:A48" si="1">SUM(A4+1)</f>
        <v>3</v>
      </c>
      <c r="B5" s="2" t="s">
        <v>31</v>
      </c>
      <c r="C5" s="3">
        <v>9</v>
      </c>
      <c r="D5" s="3" t="s">
        <v>5</v>
      </c>
      <c r="E5" s="8">
        <v>0</v>
      </c>
      <c r="F5" s="9">
        <f t="shared" si="0"/>
        <v>0</v>
      </c>
    </row>
    <row r="6" spans="1:6" ht="18" customHeight="1" x14ac:dyDescent="0.35">
      <c r="A6" s="1">
        <f>SUM(A5+1)</f>
        <v>4</v>
      </c>
      <c r="B6" s="2" t="s">
        <v>32</v>
      </c>
      <c r="C6" s="3">
        <v>8</v>
      </c>
      <c r="D6" s="3" t="s">
        <v>5</v>
      </c>
      <c r="E6" s="8">
        <v>0</v>
      </c>
      <c r="F6" s="9">
        <f t="shared" si="0"/>
        <v>0</v>
      </c>
    </row>
    <row r="7" spans="1:6" ht="18" customHeight="1" x14ac:dyDescent="0.35">
      <c r="A7" s="1">
        <f t="shared" si="1"/>
        <v>5</v>
      </c>
      <c r="B7" s="2" t="s">
        <v>18</v>
      </c>
      <c r="C7" s="3">
        <v>1</v>
      </c>
      <c r="D7" s="3" t="s">
        <v>5</v>
      </c>
      <c r="E7" s="8">
        <v>0</v>
      </c>
      <c r="F7" s="9">
        <f t="shared" si="0"/>
        <v>0</v>
      </c>
    </row>
    <row r="8" spans="1:6" ht="18" customHeight="1" x14ac:dyDescent="0.35">
      <c r="A8" s="1">
        <f t="shared" si="1"/>
        <v>6</v>
      </c>
      <c r="B8" s="2" t="s">
        <v>19</v>
      </c>
      <c r="C8" s="3">
        <v>12</v>
      </c>
      <c r="D8" s="3" t="s">
        <v>5</v>
      </c>
      <c r="E8" s="8">
        <v>0</v>
      </c>
      <c r="F8" s="9">
        <f t="shared" si="0"/>
        <v>0</v>
      </c>
    </row>
    <row r="9" spans="1:6" ht="18" customHeight="1" x14ac:dyDescent="0.35">
      <c r="A9" s="1">
        <f t="shared" si="1"/>
        <v>7</v>
      </c>
      <c r="B9" s="2" t="s">
        <v>20</v>
      </c>
      <c r="C9" s="3">
        <v>4</v>
      </c>
      <c r="D9" s="3" t="s">
        <v>5</v>
      </c>
      <c r="E9" s="8">
        <v>0</v>
      </c>
      <c r="F9" s="9">
        <f t="shared" si="0"/>
        <v>0</v>
      </c>
    </row>
    <row r="10" spans="1:6" ht="18" customHeight="1" x14ac:dyDescent="0.35">
      <c r="A10" s="1">
        <f t="shared" si="1"/>
        <v>8</v>
      </c>
      <c r="B10" s="2" t="s">
        <v>26</v>
      </c>
      <c r="C10" s="3">
        <v>4</v>
      </c>
      <c r="D10" s="3" t="s">
        <v>5</v>
      </c>
      <c r="E10" s="8">
        <v>0</v>
      </c>
      <c r="F10" s="9">
        <f t="shared" si="0"/>
        <v>0</v>
      </c>
    </row>
    <row r="11" spans="1:6" ht="18" customHeight="1" x14ac:dyDescent="0.35">
      <c r="A11" s="1">
        <f>SUM(A10+1)</f>
        <v>9</v>
      </c>
      <c r="B11" s="2" t="s">
        <v>21</v>
      </c>
      <c r="C11" s="3">
        <f>SUM(C3:C6)</f>
        <v>195</v>
      </c>
      <c r="D11" s="3" t="s">
        <v>5</v>
      </c>
      <c r="E11" s="8">
        <v>0</v>
      </c>
      <c r="F11" s="9">
        <f t="shared" si="0"/>
        <v>0</v>
      </c>
    </row>
    <row r="12" spans="1:6" ht="18" customHeight="1" x14ac:dyDescent="0.35">
      <c r="A12" s="1">
        <f t="shared" si="1"/>
        <v>10</v>
      </c>
      <c r="B12" s="2" t="s">
        <v>22</v>
      </c>
      <c r="C12" s="3">
        <v>3</v>
      </c>
      <c r="D12" s="3" t="s">
        <v>5</v>
      </c>
      <c r="E12" s="8">
        <v>0</v>
      </c>
      <c r="F12" s="9">
        <f t="shared" si="0"/>
        <v>0</v>
      </c>
    </row>
    <row r="13" spans="1:6" ht="18" customHeight="1" x14ac:dyDescent="0.35">
      <c r="A13" s="1">
        <f t="shared" si="1"/>
        <v>11</v>
      </c>
      <c r="B13" s="2" t="s">
        <v>23</v>
      </c>
      <c r="C13" s="3">
        <v>1</v>
      </c>
      <c r="D13" s="3" t="s">
        <v>5</v>
      </c>
      <c r="E13" s="8">
        <v>0</v>
      </c>
      <c r="F13" s="9">
        <f t="shared" si="0"/>
        <v>0</v>
      </c>
    </row>
    <row r="14" spans="1:6" ht="18" customHeight="1" x14ac:dyDescent="0.35">
      <c r="A14" s="1">
        <f t="shared" si="1"/>
        <v>12</v>
      </c>
      <c r="B14" s="2" t="s">
        <v>6</v>
      </c>
      <c r="C14" s="3">
        <v>4</v>
      </c>
      <c r="D14" s="3" t="s">
        <v>5</v>
      </c>
      <c r="E14" s="8">
        <v>0</v>
      </c>
      <c r="F14" s="9">
        <f t="shared" si="0"/>
        <v>0</v>
      </c>
    </row>
    <row r="15" spans="1:6" ht="18" customHeight="1" x14ac:dyDescent="0.35">
      <c r="A15" s="1">
        <f t="shared" si="1"/>
        <v>13</v>
      </c>
      <c r="B15" s="2" t="s">
        <v>8</v>
      </c>
      <c r="C15" s="3">
        <v>5</v>
      </c>
      <c r="D15" s="3" t="s">
        <v>5</v>
      </c>
      <c r="E15" s="8">
        <v>0</v>
      </c>
      <c r="F15" s="9">
        <f t="shared" si="0"/>
        <v>0</v>
      </c>
    </row>
    <row r="16" spans="1:6" ht="18" customHeight="1" x14ac:dyDescent="0.35">
      <c r="A16" s="1">
        <f t="shared" si="1"/>
        <v>14</v>
      </c>
      <c r="B16" s="2" t="s">
        <v>24</v>
      </c>
      <c r="C16" s="3">
        <v>1</v>
      </c>
      <c r="D16" s="3" t="s">
        <v>5</v>
      </c>
      <c r="E16" s="8">
        <v>0</v>
      </c>
      <c r="F16" s="9">
        <f t="shared" si="0"/>
        <v>0</v>
      </c>
    </row>
    <row r="17" spans="1:6" ht="18" customHeight="1" x14ac:dyDescent="0.35">
      <c r="A17" s="1">
        <f t="shared" si="1"/>
        <v>15</v>
      </c>
      <c r="B17" s="2" t="s">
        <v>10</v>
      </c>
      <c r="C17" s="3">
        <v>1</v>
      </c>
      <c r="D17" s="3" t="s">
        <v>5</v>
      </c>
      <c r="E17" s="8">
        <v>0</v>
      </c>
      <c r="F17" s="9">
        <f t="shared" si="0"/>
        <v>0</v>
      </c>
    </row>
    <row r="18" spans="1:6" ht="18" customHeight="1" x14ac:dyDescent="0.35">
      <c r="A18" s="1">
        <f t="shared" si="1"/>
        <v>16</v>
      </c>
      <c r="B18" s="2" t="s">
        <v>7</v>
      </c>
      <c r="C18" s="3">
        <v>1</v>
      </c>
      <c r="D18" s="3" t="s">
        <v>5</v>
      </c>
      <c r="E18" s="8">
        <v>0</v>
      </c>
      <c r="F18" s="9">
        <f t="shared" si="0"/>
        <v>0</v>
      </c>
    </row>
    <row r="19" spans="1:6" ht="18" customHeight="1" x14ac:dyDescent="0.35">
      <c r="A19" s="16">
        <f t="shared" si="1"/>
        <v>17</v>
      </c>
      <c r="B19" s="17" t="s">
        <v>25</v>
      </c>
      <c r="C19" s="18">
        <v>1</v>
      </c>
      <c r="D19" s="18" t="s">
        <v>5</v>
      </c>
      <c r="E19" s="19">
        <v>0</v>
      </c>
      <c r="F19" s="14">
        <f t="shared" si="0"/>
        <v>0</v>
      </c>
    </row>
    <row r="20" spans="1:6" ht="18" customHeight="1" thickBot="1" x14ac:dyDescent="0.4">
      <c r="A20" s="1">
        <f t="shared" si="1"/>
        <v>18</v>
      </c>
      <c r="B20" s="26" t="s">
        <v>9</v>
      </c>
      <c r="C20" s="27">
        <v>1</v>
      </c>
      <c r="D20" s="28" t="s">
        <v>5</v>
      </c>
      <c r="E20" s="19">
        <v>0</v>
      </c>
      <c r="F20" s="14">
        <f t="shared" ref="F20" si="2">SUM(C20*E20)</f>
        <v>0</v>
      </c>
    </row>
    <row r="21" spans="1:6" ht="18" customHeight="1" thickBot="1" x14ac:dyDescent="0.4">
      <c r="A21" s="20"/>
      <c r="B21" s="21"/>
      <c r="C21" s="22"/>
      <c r="D21" s="23"/>
      <c r="E21" s="24" t="s">
        <v>12</v>
      </c>
      <c r="F21" s="15">
        <f>SUM(F3:F20)</f>
        <v>0</v>
      </c>
    </row>
    <row r="22" spans="1:6" ht="18" customHeight="1" x14ac:dyDescent="0.35">
      <c r="A22" s="10">
        <v>1001</v>
      </c>
      <c r="B22" s="2" t="s">
        <v>29</v>
      </c>
      <c r="C22" s="11">
        <v>180</v>
      </c>
      <c r="D22" s="11" t="s">
        <v>5</v>
      </c>
      <c r="E22" s="12">
        <v>0</v>
      </c>
      <c r="F22" s="13">
        <v>0</v>
      </c>
    </row>
    <row r="23" spans="1:6" ht="18" customHeight="1" x14ac:dyDescent="0.35">
      <c r="A23" s="1">
        <f t="shared" si="1"/>
        <v>1002</v>
      </c>
      <c r="B23" s="2" t="s">
        <v>30</v>
      </c>
      <c r="C23" s="3">
        <v>5</v>
      </c>
      <c r="D23" s="3" t="s">
        <v>5</v>
      </c>
      <c r="E23" s="8">
        <v>0</v>
      </c>
      <c r="F23" s="9">
        <v>0</v>
      </c>
    </row>
    <row r="24" spans="1:6" ht="18" customHeight="1" x14ac:dyDescent="0.35">
      <c r="A24" s="1">
        <f t="shared" si="1"/>
        <v>1003</v>
      </c>
      <c r="B24" s="2" t="s">
        <v>31</v>
      </c>
      <c r="C24" s="3">
        <v>9</v>
      </c>
      <c r="D24" s="3" t="s">
        <v>5</v>
      </c>
      <c r="E24" s="8">
        <v>0</v>
      </c>
      <c r="F24" s="9">
        <v>0</v>
      </c>
    </row>
    <row r="25" spans="1:6" ht="18" customHeight="1" x14ac:dyDescent="0.35">
      <c r="A25" s="1">
        <f t="shared" si="1"/>
        <v>1004</v>
      </c>
      <c r="B25" s="2" t="s">
        <v>32</v>
      </c>
      <c r="C25" s="3">
        <v>4</v>
      </c>
      <c r="D25" s="3" t="s">
        <v>5</v>
      </c>
      <c r="E25" s="8">
        <v>0</v>
      </c>
      <c r="F25" s="9">
        <v>0</v>
      </c>
    </row>
    <row r="26" spans="1:6" ht="18" customHeight="1" x14ac:dyDescent="0.35">
      <c r="A26" s="1">
        <f t="shared" si="1"/>
        <v>1005</v>
      </c>
      <c r="B26" s="2" t="s">
        <v>18</v>
      </c>
      <c r="C26" s="3">
        <v>1</v>
      </c>
      <c r="D26" s="3" t="s">
        <v>5</v>
      </c>
      <c r="E26" s="8">
        <v>0</v>
      </c>
      <c r="F26" s="9">
        <v>0</v>
      </c>
    </row>
    <row r="27" spans="1:6" ht="18" customHeight="1" x14ac:dyDescent="0.35">
      <c r="A27" s="1">
        <f t="shared" si="1"/>
        <v>1006</v>
      </c>
      <c r="B27" s="2" t="s">
        <v>19</v>
      </c>
      <c r="C27" s="3">
        <v>12</v>
      </c>
      <c r="D27" s="3" t="s">
        <v>5</v>
      </c>
      <c r="E27" s="8">
        <v>0</v>
      </c>
      <c r="F27" s="9">
        <v>0</v>
      </c>
    </row>
    <row r="28" spans="1:6" ht="18" customHeight="1" x14ac:dyDescent="0.35">
      <c r="A28" s="1">
        <f t="shared" si="1"/>
        <v>1007</v>
      </c>
      <c r="B28" s="2" t="s">
        <v>20</v>
      </c>
      <c r="C28" s="3">
        <v>4</v>
      </c>
      <c r="D28" s="3" t="s">
        <v>5</v>
      </c>
      <c r="E28" s="8">
        <v>0</v>
      </c>
      <c r="F28" s="9">
        <v>0</v>
      </c>
    </row>
    <row r="29" spans="1:6" ht="18" customHeight="1" x14ac:dyDescent="0.35">
      <c r="A29" s="1">
        <f t="shared" si="1"/>
        <v>1008</v>
      </c>
      <c r="B29" s="2" t="s">
        <v>27</v>
      </c>
      <c r="C29" s="3">
        <v>4</v>
      </c>
      <c r="D29" s="3" t="s">
        <v>5</v>
      </c>
      <c r="E29" s="8">
        <v>0</v>
      </c>
      <c r="F29" s="9">
        <v>0</v>
      </c>
    </row>
    <row r="30" spans="1:6" ht="18" customHeight="1" x14ac:dyDescent="0.35">
      <c r="A30" s="1">
        <f t="shared" si="1"/>
        <v>1009</v>
      </c>
      <c r="B30" s="2" t="s">
        <v>21</v>
      </c>
      <c r="C30" s="3">
        <f>SUM(C22:C25)</f>
        <v>198</v>
      </c>
      <c r="D30" s="3" t="s">
        <v>5</v>
      </c>
      <c r="E30" s="8">
        <v>0</v>
      </c>
      <c r="F30" s="9">
        <v>0</v>
      </c>
    </row>
    <row r="31" spans="1:6" ht="18" customHeight="1" x14ac:dyDescent="0.35">
      <c r="A31" s="1">
        <f t="shared" si="1"/>
        <v>1010</v>
      </c>
      <c r="B31" s="2" t="s">
        <v>22</v>
      </c>
      <c r="C31" s="3">
        <v>3</v>
      </c>
      <c r="D31" s="3" t="s">
        <v>5</v>
      </c>
      <c r="E31" s="8">
        <v>0</v>
      </c>
      <c r="F31" s="9">
        <v>0</v>
      </c>
    </row>
    <row r="32" spans="1:6" ht="18" customHeight="1" x14ac:dyDescent="0.35">
      <c r="A32" s="1">
        <f t="shared" si="1"/>
        <v>1011</v>
      </c>
      <c r="B32" s="2" t="s">
        <v>23</v>
      </c>
      <c r="C32" s="3">
        <v>1</v>
      </c>
      <c r="D32" s="3" t="s">
        <v>5</v>
      </c>
      <c r="E32" s="8">
        <v>0</v>
      </c>
      <c r="F32" s="9">
        <v>0</v>
      </c>
    </row>
    <row r="33" spans="1:6" ht="18" customHeight="1" x14ac:dyDescent="0.35">
      <c r="A33" s="1">
        <f t="shared" si="1"/>
        <v>1012</v>
      </c>
      <c r="B33" s="2" t="s">
        <v>6</v>
      </c>
      <c r="C33" s="3">
        <v>4</v>
      </c>
      <c r="D33" s="3" t="s">
        <v>5</v>
      </c>
      <c r="E33" s="8">
        <v>0</v>
      </c>
      <c r="F33" s="9">
        <v>0</v>
      </c>
    </row>
    <row r="34" spans="1:6" ht="18" customHeight="1" thickBot="1" x14ac:dyDescent="0.4">
      <c r="A34" s="1">
        <f t="shared" si="1"/>
        <v>1013</v>
      </c>
      <c r="B34" s="2" t="s">
        <v>8</v>
      </c>
      <c r="C34" s="3">
        <v>5</v>
      </c>
      <c r="D34" s="3" t="s">
        <v>5</v>
      </c>
      <c r="E34" s="8">
        <v>0</v>
      </c>
      <c r="F34" s="9">
        <v>0</v>
      </c>
    </row>
    <row r="35" spans="1:6" ht="18" customHeight="1" thickBot="1" x14ac:dyDescent="0.4">
      <c r="A35" s="20"/>
      <c r="B35" s="21"/>
      <c r="C35" s="22"/>
      <c r="D35" s="23"/>
      <c r="E35" s="24" t="s">
        <v>13</v>
      </c>
      <c r="F35" s="15">
        <f>SUM(F22:F34)</f>
        <v>0</v>
      </c>
    </row>
    <row r="36" spans="1:6" ht="18" customHeight="1" x14ac:dyDescent="0.35">
      <c r="A36" s="10">
        <v>2001</v>
      </c>
      <c r="B36" s="2" t="s">
        <v>29</v>
      </c>
      <c r="C36" s="11">
        <v>186</v>
      </c>
      <c r="D36" s="11" t="s">
        <v>5</v>
      </c>
      <c r="E36" s="12">
        <v>0</v>
      </c>
      <c r="F36" s="13">
        <v>0</v>
      </c>
    </row>
    <row r="37" spans="1:6" ht="18" customHeight="1" x14ac:dyDescent="0.35">
      <c r="A37" s="1">
        <f t="shared" si="1"/>
        <v>2002</v>
      </c>
      <c r="B37" s="2" t="s">
        <v>30</v>
      </c>
      <c r="C37" s="3">
        <v>5</v>
      </c>
      <c r="D37" s="3" t="s">
        <v>5</v>
      </c>
      <c r="E37" s="8">
        <v>0</v>
      </c>
      <c r="F37" s="9">
        <v>0</v>
      </c>
    </row>
    <row r="38" spans="1:6" ht="18" customHeight="1" x14ac:dyDescent="0.35">
      <c r="A38" s="1">
        <f t="shared" si="1"/>
        <v>2003</v>
      </c>
      <c r="B38" s="2" t="s">
        <v>31</v>
      </c>
      <c r="C38" s="3">
        <v>9</v>
      </c>
      <c r="D38" s="3" t="s">
        <v>5</v>
      </c>
      <c r="E38" s="8">
        <v>0</v>
      </c>
      <c r="F38" s="9">
        <v>0</v>
      </c>
    </row>
    <row r="39" spans="1:6" ht="18" customHeight="1" x14ac:dyDescent="0.35">
      <c r="A39" s="1">
        <f t="shared" si="1"/>
        <v>2004</v>
      </c>
      <c r="B39" s="2" t="s">
        <v>32</v>
      </c>
      <c r="C39" s="3">
        <v>4</v>
      </c>
      <c r="D39" s="3" t="s">
        <v>5</v>
      </c>
      <c r="E39" s="8">
        <v>0</v>
      </c>
      <c r="F39" s="9">
        <v>0</v>
      </c>
    </row>
    <row r="40" spans="1:6" ht="18" customHeight="1" x14ac:dyDescent="0.35">
      <c r="A40" s="1">
        <f t="shared" si="1"/>
        <v>2005</v>
      </c>
      <c r="B40" s="2" t="s">
        <v>18</v>
      </c>
      <c r="C40" s="3">
        <v>1</v>
      </c>
      <c r="D40" s="3" t="s">
        <v>5</v>
      </c>
      <c r="E40" s="8">
        <v>0</v>
      </c>
      <c r="F40" s="9">
        <v>0</v>
      </c>
    </row>
    <row r="41" spans="1:6" ht="18" customHeight="1" x14ac:dyDescent="0.35">
      <c r="A41" s="1">
        <f t="shared" si="1"/>
        <v>2006</v>
      </c>
      <c r="B41" s="2" t="s">
        <v>19</v>
      </c>
      <c r="C41" s="3">
        <v>12</v>
      </c>
      <c r="D41" s="3" t="s">
        <v>5</v>
      </c>
      <c r="E41" s="8">
        <v>0</v>
      </c>
      <c r="F41" s="9">
        <v>0</v>
      </c>
    </row>
    <row r="42" spans="1:6" ht="18" customHeight="1" x14ac:dyDescent="0.35">
      <c r="A42" s="1">
        <f t="shared" si="1"/>
        <v>2007</v>
      </c>
      <c r="B42" s="2" t="s">
        <v>20</v>
      </c>
      <c r="C42" s="3">
        <v>4</v>
      </c>
      <c r="D42" s="3" t="s">
        <v>5</v>
      </c>
      <c r="E42" s="8">
        <v>0</v>
      </c>
      <c r="F42" s="9">
        <v>0</v>
      </c>
    </row>
    <row r="43" spans="1:6" ht="18" customHeight="1" x14ac:dyDescent="0.35">
      <c r="A43" s="1">
        <f t="shared" si="1"/>
        <v>2008</v>
      </c>
      <c r="B43" s="2" t="s">
        <v>27</v>
      </c>
      <c r="C43" s="3">
        <v>4</v>
      </c>
      <c r="D43" s="3" t="s">
        <v>5</v>
      </c>
      <c r="E43" s="8">
        <v>0</v>
      </c>
      <c r="F43" s="9">
        <v>0</v>
      </c>
    </row>
    <row r="44" spans="1:6" ht="18" customHeight="1" x14ac:dyDescent="0.35">
      <c r="A44" s="1">
        <f t="shared" si="1"/>
        <v>2009</v>
      </c>
      <c r="B44" s="2" t="s">
        <v>21</v>
      </c>
      <c r="C44" s="3">
        <f>SUM(C36:C39)</f>
        <v>204</v>
      </c>
      <c r="D44" s="3" t="s">
        <v>5</v>
      </c>
      <c r="E44" s="8">
        <v>0</v>
      </c>
      <c r="F44" s="9">
        <v>0</v>
      </c>
    </row>
    <row r="45" spans="1:6" ht="18" customHeight="1" x14ac:dyDescent="0.35">
      <c r="A45" s="1">
        <f t="shared" si="1"/>
        <v>2010</v>
      </c>
      <c r="B45" s="2" t="s">
        <v>22</v>
      </c>
      <c r="C45" s="3">
        <v>3</v>
      </c>
      <c r="D45" s="3" t="s">
        <v>5</v>
      </c>
      <c r="E45" s="8">
        <v>0</v>
      </c>
      <c r="F45" s="9">
        <v>0</v>
      </c>
    </row>
    <row r="46" spans="1:6" ht="18" customHeight="1" x14ac:dyDescent="0.35">
      <c r="A46" s="1">
        <f t="shared" si="1"/>
        <v>2011</v>
      </c>
      <c r="B46" s="2" t="s">
        <v>23</v>
      </c>
      <c r="C46" s="3">
        <v>1</v>
      </c>
      <c r="D46" s="3" t="s">
        <v>5</v>
      </c>
      <c r="E46" s="8">
        <v>0</v>
      </c>
      <c r="F46" s="9">
        <v>0</v>
      </c>
    </row>
    <row r="47" spans="1:6" ht="18" customHeight="1" x14ac:dyDescent="0.35">
      <c r="A47" s="1">
        <f t="shared" si="1"/>
        <v>2012</v>
      </c>
      <c r="B47" s="2" t="s">
        <v>6</v>
      </c>
      <c r="C47" s="3">
        <v>4</v>
      </c>
      <c r="D47" s="3" t="s">
        <v>5</v>
      </c>
      <c r="E47" s="8">
        <v>0</v>
      </c>
      <c r="F47" s="9">
        <v>0</v>
      </c>
    </row>
    <row r="48" spans="1:6" ht="18" customHeight="1" thickBot="1" x14ac:dyDescent="0.4">
      <c r="A48" s="1">
        <f t="shared" si="1"/>
        <v>2013</v>
      </c>
      <c r="B48" s="2" t="s">
        <v>8</v>
      </c>
      <c r="C48" s="3">
        <v>5</v>
      </c>
      <c r="D48" s="3" t="s">
        <v>5</v>
      </c>
      <c r="E48" s="8">
        <v>0</v>
      </c>
      <c r="F48" s="9">
        <v>0</v>
      </c>
    </row>
    <row r="49" spans="1:6" ht="18" customHeight="1" thickBot="1" x14ac:dyDescent="0.4">
      <c r="A49" s="4"/>
      <c r="B49" s="5"/>
      <c r="C49" s="6"/>
      <c r="D49" s="6"/>
      <c r="E49" s="7" t="s">
        <v>14</v>
      </c>
      <c r="F49" s="15">
        <f>SUM(F36:F48)</f>
        <v>0</v>
      </c>
    </row>
    <row r="50" spans="1:6" ht="18" customHeight="1" x14ac:dyDescent="0.35">
      <c r="A50" s="1">
        <v>3001</v>
      </c>
      <c r="B50" s="29" t="s">
        <v>29</v>
      </c>
      <c r="C50" s="30">
        <v>195</v>
      </c>
      <c r="D50" s="3" t="s">
        <v>5</v>
      </c>
      <c r="E50" s="8">
        <v>0</v>
      </c>
      <c r="F50" s="9">
        <v>0</v>
      </c>
    </row>
    <row r="51" spans="1:6" ht="18" customHeight="1" x14ac:dyDescent="0.35">
      <c r="A51" s="1">
        <f>SUM(A50+1)</f>
        <v>3002</v>
      </c>
      <c r="B51" s="31" t="s">
        <v>30</v>
      </c>
      <c r="C51" s="30">
        <v>5</v>
      </c>
      <c r="D51" s="3" t="s">
        <v>5</v>
      </c>
      <c r="E51" s="8">
        <v>0</v>
      </c>
      <c r="F51" s="9">
        <v>0</v>
      </c>
    </row>
    <row r="52" spans="1:6" ht="18" customHeight="1" x14ac:dyDescent="0.35">
      <c r="A52" s="1">
        <f t="shared" ref="A52:A62" si="3">SUM(A51+1)</f>
        <v>3003</v>
      </c>
      <c r="B52" s="31" t="s">
        <v>31</v>
      </c>
      <c r="C52" s="30">
        <v>7</v>
      </c>
      <c r="D52" s="3" t="s">
        <v>5</v>
      </c>
      <c r="E52" s="8">
        <v>0</v>
      </c>
      <c r="F52" s="9">
        <v>0</v>
      </c>
    </row>
    <row r="53" spans="1:6" ht="18" customHeight="1" x14ac:dyDescent="0.35">
      <c r="A53" s="1">
        <f t="shared" si="3"/>
        <v>3004</v>
      </c>
      <c r="B53" s="31" t="s">
        <v>32</v>
      </c>
      <c r="C53" s="30">
        <v>4</v>
      </c>
      <c r="D53" s="3" t="s">
        <v>5</v>
      </c>
      <c r="E53" s="8">
        <v>0</v>
      </c>
      <c r="F53" s="9">
        <v>0</v>
      </c>
    </row>
    <row r="54" spans="1:6" ht="18" customHeight="1" x14ac:dyDescent="0.35">
      <c r="A54" s="1">
        <f t="shared" si="3"/>
        <v>3005</v>
      </c>
      <c r="B54" s="31" t="s">
        <v>18</v>
      </c>
      <c r="C54" s="30">
        <v>1</v>
      </c>
      <c r="D54" s="3" t="s">
        <v>5</v>
      </c>
      <c r="E54" s="8">
        <v>0</v>
      </c>
      <c r="F54" s="9">
        <v>0</v>
      </c>
    </row>
    <row r="55" spans="1:6" ht="18" customHeight="1" x14ac:dyDescent="0.35">
      <c r="A55" s="1">
        <f t="shared" si="3"/>
        <v>3006</v>
      </c>
      <c r="B55" s="31" t="s">
        <v>19</v>
      </c>
      <c r="C55" s="30">
        <v>12</v>
      </c>
      <c r="D55" s="3" t="s">
        <v>5</v>
      </c>
      <c r="E55" s="8">
        <v>0</v>
      </c>
      <c r="F55" s="9">
        <v>0</v>
      </c>
    </row>
    <row r="56" spans="1:6" ht="18" customHeight="1" x14ac:dyDescent="0.35">
      <c r="A56" s="1">
        <f t="shared" si="3"/>
        <v>3007</v>
      </c>
      <c r="B56" s="31" t="s">
        <v>20</v>
      </c>
      <c r="C56" s="30">
        <v>4</v>
      </c>
      <c r="D56" s="3" t="s">
        <v>5</v>
      </c>
      <c r="E56" s="8">
        <v>0</v>
      </c>
      <c r="F56" s="9">
        <v>0</v>
      </c>
    </row>
    <row r="57" spans="1:6" ht="18" customHeight="1" x14ac:dyDescent="0.35">
      <c r="A57" s="1">
        <f t="shared" si="3"/>
        <v>3008</v>
      </c>
      <c r="B57" s="31" t="s">
        <v>27</v>
      </c>
      <c r="C57" s="30">
        <v>4</v>
      </c>
      <c r="D57" s="3" t="s">
        <v>5</v>
      </c>
      <c r="E57" s="8">
        <v>0</v>
      </c>
      <c r="F57" s="9">
        <v>0</v>
      </c>
    </row>
    <row r="58" spans="1:6" ht="18" customHeight="1" x14ac:dyDescent="0.35">
      <c r="A58" s="1">
        <f t="shared" si="3"/>
        <v>3009</v>
      </c>
      <c r="B58" s="31" t="s">
        <v>21</v>
      </c>
      <c r="C58" s="30">
        <f>SUM(C50:C53)</f>
        <v>211</v>
      </c>
      <c r="D58" s="3" t="s">
        <v>5</v>
      </c>
      <c r="E58" s="8">
        <v>0</v>
      </c>
      <c r="F58" s="9">
        <v>0</v>
      </c>
    </row>
    <row r="59" spans="1:6" ht="18" customHeight="1" x14ac:dyDescent="0.35">
      <c r="A59" s="1">
        <f t="shared" si="3"/>
        <v>3010</v>
      </c>
      <c r="B59" s="31" t="s">
        <v>22</v>
      </c>
      <c r="C59" s="30">
        <v>3</v>
      </c>
      <c r="D59" s="3" t="s">
        <v>5</v>
      </c>
      <c r="E59" s="8">
        <v>0</v>
      </c>
      <c r="F59" s="9">
        <v>0</v>
      </c>
    </row>
    <row r="60" spans="1:6" ht="18" customHeight="1" x14ac:dyDescent="0.35">
      <c r="A60" s="1">
        <f t="shared" si="3"/>
        <v>3011</v>
      </c>
      <c r="B60" s="31" t="s">
        <v>23</v>
      </c>
      <c r="C60" s="30">
        <v>1</v>
      </c>
      <c r="D60" s="3" t="s">
        <v>5</v>
      </c>
      <c r="E60" s="8">
        <v>0</v>
      </c>
      <c r="F60" s="9">
        <v>0</v>
      </c>
    </row>
    <row r="61" spans="1:6" ht="18" customHeight="1" x14ac:dyDescent="0.35">
      <c r="A61" s="1">
        <f t="shared" si="3"/>
        <v>3012</v>
      </c>
      <c r="B61" s="31" t="s">
        <v>6</v>
      </c>
      <c r="C61" s="30">
        <v>4</v>
      </c>
      <c r="D61" s="3" t="s">
        <v>5</v>
      </c>
      <c r="E61" s="8">
        <v>0</v>
      </c>
      <c r="F61" s="9">
        <v>0</v>
      </c>
    </row>
    <row r="62" spans="1:6" ht="18" customHeight="1" thickBot="1" x14ac:dyDescent="0.4">
      <c r="A62" s="1">
        <f t="shared" si="3"/>
        <v>3013</v>
      </c>
      <c r="B62" s="31" t="s">
        <v>8</v>
      </c>
      <c r="C62" s="30">
        <v>5</v>
      </c>
      <c r="D62" s="3" t="s">
        <v>5</v>
      </c>
      <c r="E62" s="8">
        <v>0</v>
      </c>
      <c r="F62" s="9">
        <v>0</v>
      </c>
    </row>
    <row r="63" spans="1:6" ht="18" customHeight="1" thickBot="1" x14ac:dyDescent="0.4">
      <c r="A63" s="4"/>
      <c r="B63" s="5"/>
      <c r="C63" s="6"/>
      <c r="D63" s="6"/>
      <c r="E63" s="7" t="s">
        <v>15</v>
      </c>
      <c r="F63" s="15">
        <f>SUM(F50:F62)</f>
        <v>0</v>
      </c>
    </row>
    <row r="64" spans="1:6" ht="18" customHeight="1" x14ac:dyDescent="0.35">
      <c r="A64" s="1">
        <v>4001</v>
      </c>
      <c r="B64" s="29" t="s">
        <v>29</v>
      </c>
      <c r="C64" s="30">
        <v>201</v>
      </c>
      <c r="D64" s="3" t="s">
        <v>5</v>
      </c>
      <c r="E64" s="8">
        <v>0</v>
      </c>
      <c r="F64" s="9">
        <v>0</v>
      </c>
    </row>
    <row r="65" spans="1:6" ht="18" customHeight="1" x14ac:dyDescent="0.35">
      <c r="A65" s="1">
        <f>SUM(A64+1)</f>
        <v>4002</v>
      </c>
      <c r="B65" s="31" t="s">
        <v>30</v>
      </c>
      <c r="C65" s="30">
        <v>5</v>
      </c>
      <c r="D65" s="3" t="s">
        <v>5</v>
      </c>
      <c r="E65" s="8">
        <v>0</v>
      </c>
      <c r="F65" s="9">
        <v>0</v>
      </c>
    </row>
    <row r="66" spans="1:6" ht="18" customHeight="1" x14ac:dyDescent="0.35">
      <c r="A66" s="1">
        <f t="shared" ref="A66:A76" si="4">SUM(A65+1)</f>
        <v>4003</v>
      </c>
      <c r="B66" s="31" t="s">
        <v>31</v>
      </c>
      <c r="C66" s="30">
        <v>7</v>
      </c>
      <c r="D66" s="3" t="s">
        <v>5</v>
      </c>
      <c r="E66" s="8">
        <v>0</v>
      </c>
      <c r="F66" s="9">
        <v>0</v>
      </c>
    </row>
    <row r="67" spans="1:6" ht="18" customHeight="1" x14ac:dyDescent="0.35">
      <c r="A67" s="1">
        <f t="shared" si="4"/>
        <v>4004</v>
      </c>
      <c r="B67" s="31" t="s">
        <v>32</v>
      </c>
      <c r="C67" s="30">
        <v>4</v>
      </c>
      <c r="D67" s="3" t="s">
        <v>5</v>
      </c>
      <c r="E67" s="8">
        <v>0</v>
      </c>
      <c r="F67" s="9">
        <v>0</v>
      </c>
    </row>
    <row r="68" spans="1:6" ht="18" customHeight="1" x14ac:dyDescent="0.35">
      <c r="A68" s="1">
        <f t="shared" si="4"/>
        <v>4005</v>
      </c>
      <c r="B68" s="31" t="s">
        <v>18</v>
      </c>
      <c r="C68" s="30">
        <v>1</v>
      </c>
      <c r="D68" s="3" t="s">
        <v>5</v>
      </c>
      <c r="E68" s="8">
        <v>0</v>
      </c>
      <c r="F68" s="9">
        <v>0</v>
      </c>
    </row>
    <row r="69" spans="1:6" ht="18" customHeight="1" x14ac:dyDescent="0.35">
      <c r="A69" s="1">
        <f t="shared" si="4"/>
        <v>4006</v>
      </c>
      <c r="B69" s="31" t="s">
        <v>19</v>
      </c>
      <c r="C69" s="30">
        <v>12</v>
      </c>
      <c r="D69" s="3" t="s">
        <v>5</v>
      </c>
      <c r="E69" s="8">
        <v>0</v>
      </c>
      <c r="F69" s="9">
        <v>0</v>
      </c>
    </row>
    <row r="70" spans="1:6" ht="18" customHeight="1" x14ac:dyDescent="0.35">
      <c r="A70" s="1">
        <f t="shared" si="4"/>
        <v>4007</v>
      </c>
      <c r="B70" s="31" t="s">
        <v>20</v>
      </c>
      <c r="C70" s="30">
        <v>4</v>
      </c>
      <c r="D70" s="3" t="s">
        <v>5</v>
      </c>
      <c r="E70" s="8">
        <v>0</v>
      </c>
      <c r="F70" s="9">
        <v>0</v>
      </c>
    </row>
    <row r="71" spans="1:6" ht="18" customHeight="1" x14ac:dyDescent="0.35">
      <c r="A71" s="1">
        <f t="shared" si="4"/>
        <v>4008</v>
      </c>
      <c r="B71" s="31" t="s">
        <v>27</v>
      </c>
      <c r="C71" s="30">
        <v>4</v>
      </c>
      <c r="D71" s="3" t="s">
        <v>5</v>
      </c>
      <c r="E71" s="8">
        <v>0</v>
      </c>
      <c r="F71" s="9">
        <v>0</v>
      </c>
    </row>
    <row r="72" spans="1:6" ht="18" customHeight="1" x14ac:dyDescent="0.35">
      <c r="A72" s="1">
        <f t="shared" si="4"/>
        <v>4009</v>
      </c>
      <c r="B72" s="31" t="s">
        <v>21</v>
      </c>
      <c r="C72" s="30">
        <f>SUM(C64:C67)</f>
        <v>217</v>
      </c>
      <c r="D72" s="3" t="s">
        <v>5</v>
      </c>
      <c r="E72" s="8">
        <v>0</v>
      </c>
      <c r="F72" s="9">
        <v>0</v>
      </c>
    </row>
    <row r="73" spans="1:6" ht="18" customHeight="1" x14ac:dyDescent="0.35">
      <c r="A73" s="1">
        <f t="shared" si="4"/>
        <v>4010</v>
      </c>
      <c r="B73" s="31" t="s">
        <v>22</v>
      </c>
      <c r="C73" s="30">
        <v>3</v>
      </c>
      <c r="D73" s="3" t="s">
        <v>5</v>
      </c>
      <c r="E73" s="8">
        <v>0</v>
      </c>
      <c r="F73" s="9">
        <v>0</v>
      </c>
    </row>
    <row r="74" spans="1:6" ht="18" customHeight="1" x14ac:dyDescent="0.35">
      <c r="A74" s="1">
        <f t="shared" si="4"/>
        <v>4011</v>
      </c>
      <c r="B74" s="31" t="s">
        <v>23</v>
      </c>
      <c r="C74" s="30">
        <v>1</v>
      </c>
      <c r="D74" s="3" t="s">
        <v>5</v>
      </c>
      <c r="E74" s="8">
        <v>0</v>
      </c>
      <c r="F74" s="9">
        <v>0</v>
      </c>
    </row>
    <row r="75" spans="1:6" ht="18" customHeight="1" x14ac:dyDescent="0.35">
      <c r="A75" s="1">
        <f t="shared" si="4"/>
        <v>4012</v>
      </c>
      <c r="B75" s="31" t="s">
        <v>6</v>
      </c>
      <c r="C75" s="30">
        <v>4</v>
      </c>
      <c r="D75" s="3" t="s">
        <v>5</v>
      </c>
      <c r="E75" s="8">
        <v>0</v>
      </c>
      <c r="F75" s="9">
        <v>0</v>
      </c>
    </row>
    <row r="76" spans="1:6" ht="18" customHeight="1" thickBot="1" x14ac:dyDescent="0.4">
      <c r="A76" s="1">
        <f t="shared" si="4"/>
        <v>4013</v>
      </c>
      <c r="B76" s="31" t="s">
        <v>8</v>
      </c>
      <c r="C76" s="30">
        <v>5</v>
      </c>
      <c r="D76" s="3" t="s">
        <v>5</v>
      </c>
      <c r="E76" s="8">
        <v>0</v>
      </c>
      <c r="F76" s="9">
        <v>0</v>
      </c>
    </row>
    <row r="77" spans="1:6" ht="18" customHeight="1" thickBot="1" x14ac:dyDescent="0.4">
      <c r="A77" s="4"/>
      <c r="B77" s="5"/>
      <c r="C77" s="6"/>
      <c r="D77" s="6"/>
      <c r="E77" s="7" t="s">
        <v>16</v>
      </c>
      <c r="F77" s="15">
        <f>SUM(F64:F76)</f>
        <v>0</v>
      </c>
    </row>
    <row r="78" spans="1:6" ht="18" customHeight="1" x14ac:dyDescent="0.35">
      <c r="A78" s="1">
        <v>5001</v>
      </c>
      <c r="B78" s="29" t="s">
        <v>29</v>
      </c>
      <c r="C78" s="30">
        <v>100</v>
      </c>
      <c r="D78" s="3" t="s">
        <v>5</v>
      </c>
      <c r="E78" s="8">
        <v>0</v>
      </c>
      <c r="F78" s="9">
        <v>0</v>
      </c>
    </row>
    <row r="79" spans="1:6" x14ac:dyDescent="0.35">
      <c r="A79" s="1">
        <f>SUM(A78+1)</f>
        <v>5002</v>
      </c>
      <c r="B79" s="31" t="s">
        <v>30</v>
      </c>
      <c r="C79" s="30">
        <v>2</v>
      </c>
      <c r="D79" s="3" t="s">
        <v>5</v>
      </c>
      <c r="E79" s="8">
        <v>0</v>
      </c>
      <c r="F79" s="9">
        <v>0</v>
      </c>
    </row>
    <row r="80" spans="1:6" x14ac:dyDescent="0.35">
      <c r="A80" s="1">
        <f t="shared" ref="A80:A90" si="5">SUM(A79+1)</f>
        <v>5003</v>
      </c>
      <c r="B80" s="31" t="s">
        <v>31</v>
      </c>
      <c r="C80" s="30">
        <v>3</v>
      </c>
      <c r="D80" s="3" t="s">
        <v>5</v>
      </c>
      <c r="E80" s="8">
        <v>0</v>
      </c>
      <c r="F80" s="9">
        <v>0</v>
      </c>
    </row>
    <row r="81" spans="1:6" x14ac:dyDescent="0.35">
      <c r="A81" s="1">
        <f t="shared" si="5"/>
        <v>5004</v>
      </c>
      <c r="B81" s="31" t="s">
        <v>32</v>
      </c>
      <c r="C81" s="30">
        <v>2</v>
      </c>
      <c r="D81" s="3" t="s">
        <v>5</v>
      </c>
      <c r="E81" s="8">
        <v>0</v>
      </c>
      <c r="F81" s="9">
        <v>0</v>
      </c>
    </row>
    <row r="82" spans="1:6" x14ac:dyDescent="0.35">
      <c r="A82" s="1">
        <f t="shared" si="5"/>
        <v>5005</v>
      </c>
      <c r="B82" s="31" t="s">
        <v>18</v>
      </c>
      <c r="C82" s="30">
        <v>1</v>
      </c>
      <c r="D82" s="3" t="s">
        <v>5</v>
      </c>
      <c r="E82" s="8">
        <v>0</v>
      </c>
      <c r="F82" s="9">
        <v>0</v>
      </c>
    </row>
    <row r="83" spans="1:6" x14ac:dyDescent="0.35">
      <c r="A83" s="1">
        <f t="shared" si="5"/>
        <v>5006</v>
      </c>
      <c r="B83" s="31" t="s">
        <v>19</v>
      </c>
      <c r="C83" s="30">
        <v>6</v>
      </c>
      <c r="D83" s="3" t="s">
        <v>5</v>
      </c>
      <c r="E83" s="8">
        <v>0</v>
      </c>
      <c r="F83" s="9">
        <v>0</v>
      </c>
    </row>
    <row r="84" spans="1:6" x14ac:dyDescent="0.35">
      <c r="A84" s="1">
        <f t="shared" si="5"/>
        <v>5007</v>
      </c>
      <c r="B84" s="31" t="s">
        <v>20</v>
      </c>
      <c r="C84" s="30">
        <v>2</v>
      </c>
      <c r="D84" s="3" t="s">
        <v>5</v>
      </c>
      <c r="E84" s="8">
        <v>0</v>
      </c>
      <c r="F84" s="9">
        <v>0</v>
      </c>
    </row>
    <row r="85" spans="1:6" x14ac:dyDescent="0.35">
      <c r="A85" s="1">
        <f t="shared" si="5"/>
        <v>5008</v>
      </c>
      <c r="B85" s="31" t="s">
        <v>27</v>
      </c>
      <c r="C85" s="30">
        <v>2</v>
      </c>
      <c r="D85" s="3" t="s">
        <v>5</v>
      </c>
      <c r="E85" s="8">
        <v>0</v>
      </c>
      <c r="F85" s="9">
        <v>0</v>
      </c>
    </row>
    <row r="86" spans="1:6" x14ac:dyDescent="0.35">
      <c r="A86" s="1">
        <f t="shared" si="5"/>
        <v>5009</v>
      </c>
      <c r="B86" s="31" t="s">
        <v>21</v>
      </c>
      <c r="C86" s="30">
        <f>SUM(C78:C81)</f>
        <v>107</v>
      </c>
      <c r="D86" s="3" t="s">
        <v>5</v>
      </c>
      <c r="E86" s="8">
        <v>0</v>
      </c>
      <c r="F86" s="9">
        <v>0</v>
      </c>
    </row>
    <row r="87" spans="1:6" x14ac:dyDescent="0.35">
      <c r="A87" s="1">
        <f t="shared" si="5"/>
        <v>5010</v>
      </c>
      <c r="B87" s="31" t="s">
        <v>22</v>
      </c>
      <c r="C87" s="30">
        <v>1</v>
      </c>
      <c r="D87" s="3" t="s">
        <v>5</v>
      </c>
      <c r="E87" s="8">
        <v>0</v>
      </c>
      <c r="F87" s="9">
        <v>0</v>
      </c>
    </row>
    <row r="88" spans="1:6" x14ac:dyDescent="0.35">
      <c r="A88" s="1">
        <f t="shared" si="5"/>
        <v>5011</v>
      </c>
      <c r="B88" s="31" t="s">
        <v>23</v>
      </c>
      <c r="C88" s="30">
        <v>1</v>
      </c>
      <c r="D88" s="3" t="s">
        <v>5</v>
      </c>
      <c r="E88" s="8">
        <v>0</v>
      </c>
      <c r="F88" s="9">
        <v>0</v>
      </c>
    </row>
    <row r="89" spans="1:6" x14ac:dyDescent="0.35">
      <c r="A89" s="1">
        <f t="shared" si="5"/>
        <v>5012</v>
      </c>
      <c r="B89" s="31" t="s">
        <v>6</v>
      </c>
      <c r="C89" s="30">
        <v>2</v>
      </c>
      <c r="D89" s="3" t="s">
        <v>5</v>
      </c>
      <c r="E89" s="8">
        <v>0</v>
      </c>
      <c r="F89" s="9">
        <v>0</v>
      </c>
    </row>
    <row r="90" spans="1:6" ht="15" thickBot="1" x14ac:dyDescent="0.4">
      <c r="A90" s="1">
        <f t="shared" si="5"/>
        <v>5013</v>
      </c>
      <c r="B90" s="31" t="s">
        <v>8</v>
      </c>
      <c r="C90" s="30">
        <v>2</v>
      </c>
      <c r="D90" s="3" t="s">
        <v>5</v>
      </c>
      <c r="E90" s="8">
        <v>0</v>
      </c>
      <c r="F90" s="9">
        <v>0</v>
      </c>
    </row>
    <row r="91" spans="1:6" ht="15" thickBot="1" x14ac:dyDescent="0.4">
      <c r="A91" s="4"/>
      <c r="B91" s="5"/>
      <c r="C91" s="6"/>
      <c r="D91" s="6"/>
      <c r="E91" s="7" t="s">
        <v>28</v>
      </c>
      <c r="F91" s="15">
        <f>SUM(F78:F90)</f>
        <v>0</v>
      </c>
    </row>
    <row r="92" spans="1:6" ht="15" thickBot="1" x14ac:dyDescent="0.4">
      <c r="A92" s="4"/>
      <c r="B92" s="5"/>
      <c r="C92" s="6"/>
      <c r="D92" s="25"/>
      <c r="E92" s="24" t="s">
        <v>17</v>
      </c>
      <c r="F92" s="15">
        <f>SUM(F21,F35,F49,F63,F77,F91)</f>
        <v>0</v>
      </c>
    </row>
  </sheetData>
  <mergeCells count="6">
    <mergeCell ref="A1:A2"/>
    <mergeCell ref="F1:F2"/>
    <mergeCell ref="E1:E2"/>
    <mergeCell ref="D1:D2"/>
    <mergeCell ref="C1:C2"/>
    <mergeCell ref="B1:B2"/>
  </mergeCells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40f5b659-45e0-406d-ada9-08e0b284cfc4}" enabled="1" method="Standard" siteId="{e95f1b23-abaf-45ee-821d-b7ab251ab3b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Vazquez, Mauricio</dc:creator>
  <cp:lastModifiedBy>Burke, Priscilla</cp:lastModifiedBy>
  <dcterms:created xsi:type="dcterms:W3CDTF">2024-05-02T23:25:57Z</dcterms:created>
  <dcterms:modified xsi:type="dcterms:W3CDTF">2026-04-28T13:42:00Z</dcterms:modified>
</cp:coreProperties>
</file>