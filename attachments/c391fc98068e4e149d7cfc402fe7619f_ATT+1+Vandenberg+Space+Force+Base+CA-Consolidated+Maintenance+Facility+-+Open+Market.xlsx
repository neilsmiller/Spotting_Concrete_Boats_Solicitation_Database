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N:\ISPM\UPH\Admin Buys\FY26\Space Force Base\Vandenberg Maintenance Facility\CT\RFQ Docs - SAM.GOV\1. Requirements Package\"/>
    </mc:Choice>
  </mc:AlternateContent>
  <xr:revisionPtr revIDLastSave="0" documentId="13_ncr:1_{7CD1CBF2-20F4-42AC-9716-A03C51BDD50D}" xr6:coauthVersionLast="47" xr6:coauthVersionMax="47" xr10:uidLastSave="{00000000-0000-0000-0000-000000000000}"/>
  <bookViews>
    <workbookView xWindow="28680" yWindow="-2010" windowWidth="29040" windowHeight="17490" tabRatio="785" firstSheet="2" activeTab="2" xr2:uid="{00000000-000D-0000-FFFF-FFFF00000000}"/>
  </bookViews>
  <sheets>
    <sheet name="Instructions" sheetId="5" r:id="rId1"/>
    <sheet name="Prep Tab" sheetId="6" state="hidden" r:id="rId2"/>
    <sheet name="RFQ" sheetId="2" r:id="rId3"/>
    <sheet name="Tech Eval HNC USE ONLY" sheetId="3" state="hidden" r:id="rId4"/>
  </sheets>
  <definedNames>
    <definedName name="_xlnm.Print_Area" localSheetId="2">RFQ!$A$1:$O$24</definedName>
    <definedName name="_xlnm.Print_Area" localSheetId="3">'Tech Eval HNC USE ONLY'!$A:$C</definedName>
    <definedName name="_xlnm.Print_Titles" localSheetId="2">RFQ!$S:$U,RFQ!$1:$2</definedName>
    <definedName name="Z_056DF672_C699_49F3_9F8F_FF611E6486A3_.wvu.PrintArea" localSheetId="2" hidden="1">RFQ!$S$1:$GV$16</definedName>
    <definedName name="Z_056DF672_C699_49F3_9F8F_FF611E6486A3_.wvu.PrintArea" localSheetId="3" hidden="1">'Tech Eval HNC USE ONLY'!$A:$C</definedName>
    <definedName name="Z_056DF672_C699_49F3_9F8F_FF611E6486A3_.wvu.PrintTitles" localSheetId="2" hidden="1">RFQ!$S:$U,RFQ!$1:$2</definedName>
    <definedName name="Z_68E7B74C_C3B2_4B0B_8DBB_C6EB7678BF05_.wvu.PrintArea" localSheetId="2" hidden="1">RFQ!$A$1:$O$24</definedName>
    <definedName name="Z_68E7B74C_C3B2_4B0B_8DBB_C6EB7678BF05_.wvu.PrintArea" localSheetId="3" hidden="1">'Tech Eval HNC USE ONLY'!$A:$C</definedName>
    <definedName name="Z_68E7B74C_C3B2_4B0B_8DBB_C6EB7678BF05_.wvu.PrintTitles" localSheetId="2" hidden="1">RFQ!$S:$U,RFQ!$1:$2</definedName>
  </definedNames>
  <calcPr calcId="191028"/>
  <customWorkbookViews>
    <customWorkbookView name="locations" guid="{056DF672-C699-49F3-9F8F-FF611E6486A3}" includeHiddenRowCol="0" maximized="1" xWindow="-9" yWindow="-9" windowWidth="1938" windowHeight="1168" tabRatio="785" activeSheetId="2"/>
    <customWorkbookView name="attach1" guid="{68E7B74C-C3B2-4B0B-8DBB-C6EB7678BF05}" includeHiddenRowCol="0" maximized="1" xWindow="-9" yWindow="-9" windowWidth="1938" windowHeight="1168" tabRatio="785"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5" i="3" l="1"/>
  <c r="C144" i="3"/>
  <c r="C143" i="3"/>
  <c r="C142" i="3"/>
  <c r="A141" i="3"/>
  <c r="C141" i="3"/>
  <c r="B141" i="3" s="1"/>
  <c r="V7" i="2"/>
  <c r="V14" i="2"/>
  <c r="B14" i="2" s="1"/>
  <c r="O14" i="2" s="1"/>
  <c r="U14" i="2"/>
  <c r="T14" i="2"/>
  <c r="Q14" i="2"/>
  <c r="P14" i="2"/>
  <c r="M14" i="2" l="1"/>
  <c r="P4" i="2"/>
  <c r="P5" i="2"/>
  <c r="L2" i="2" l="1"/>
  <c r="Q16" i="2"/>
  <c r="Q15" i="2"/>
  <c r="Q13" i="2"/>
  <c r="Q12" i="2"/>
  <c r="Q11" i="2"/>
  <c r="Q10" i="2"/>
  <c r="Q9" i="2"/>
  <c r="Q8" i="2"/>
  <c r="Q7" i="2"/>
  <c r="Q6" i="2"/>
  <c r="Q5" i="2"/>
  <c r="Q4" i="2"/>
  <c r="U6" i="2"/>
  <c r="H2" i="2"/>
  <c r="J3" i="2"/>
  <c r="I3" i="2"/>
  <c r="H3" i="2"/>
  <c r="A18" i="2" l="1"/>
  <c r="V4" i="2"/>
  <c r="B4" i="2" s="1"/>
  <c r="V5" i="2"/>
  <c r="B5" i="2" s="1"/>
  <c r="V6" i="2"/>
  <c r="B6" i="2" s="1"/>
  <c r="M6" i="2" s="1"/>
  <c r="B7" i="2"/>
  <c r="M7" i="2" s="1"/>
  <c r="V8" i="2"/>
  <c r="B8" i="2" s="1"/>
  <c r="M8" i="2" s="1"/>
  <c r="V9" i="2"/>
  <c r="T4" i="2"/>
  <c r="K2" i="2"/>
  <c r="M2" i="2"/>
  <c r="G17" i="2"/>
  <c r="T9" i="2"/>
  <c r="S2" i="2"/>
  <c r="M5" i="2" l="1"/>
  <c r="O5" i="2"/>
  <c r="M4" i="2"/>
  <c r="O4" i="2"/>
  <c r="A4" i="2"/>
  <c r="A5" i="2" s="1"/>
  <c r="C19" i="3" l="1"/>
  <c r="C18" i="3"/>
  <c r="C171" i="3"/>
  <c r="C173" i="3"/>
  <c r="C172" i="3"/>
  <c r="C170" i="3"/>
  <c r="C169" i="3"/>
  <c r="B169" i="3" s="1"/>
  <c r="C158" i="3"/>
  <c r="C157" i="3"/>
  <c r="C159" i="3"/>
  <c r="C156" i="3"/>
  <c r="C155" i="3"/>
  <c r="B155" i="3" s="1"/>
  <c r="C130" i="3"/>
  <c r="C128" i="3"/>
  <c r="C129" i="3"/>
  <c r="C131" i="3"/>
  <c r="C127" i="3"/>
  <c r="B127" i="3" s="1"/>
  <c r="C117" i="3"/>
  <c r="C114" i="3"/>
  <c r="C116" i="3"/>
  <c r="C115" i="3"/>
  <c r="C113" i="3"/>
  <c r="B113" i="3" s="1"/>
  <c r="C103" i="3"/>
  <c r="C102" i="3"/>
  <c r="C101" i="3"/>
  <c r="C100" i="3"/>
  <c r="C99" i="3"/>
  <c r="B99" i="3" s="1"/>
  <c r="C89" i="3"/>
  <c r="C88" i="3"/>
  <c r="C87" i="3"/>
  <c r="C86" i="3"/>
  <c r="C85" i="3"/>
  <c r="B85" i="3" s="1"/>
  <c r="C75" i="3"/>
  <c r="C74" i="3"/>
  <c r="C73" i="3"/>
  <c r="C72" i="3"/>
  <c r="C71" i="3"/>
  <c r="B71" i="3" s="1"/>
  <c r="C60" i="3"/>
  <c r="C59" i="3"/>
  <c r="C61" i="3"/>
  <c r="C58" i="3"/>
  <c r="C57" i="3"/>
  <c r="B57" i="3" s="1"/>
  <c r="C47" i="3"/>
  <c r="C46" i="3"/>
  <c r="C44" i="3"/>
  <c r="C45" i="3"/>
  <c r="C43" i="3"/>
  <c r="B43" i="3" s="1"/>
  <c r="C1" i="3" l="1"/>
  <c r="C15" i="3"/>
  <c r="U4" i="2" l="1"/>
  <c r="C33" i="3"/>
  <c r="C32" i="3"/>
  <c r="C31" i="3"/>
  <c r="C30" i="3"/>
  <c r="C29" i="3"/>
  <c r="B29" i="3" s="1"/>
  <c r="C17" i="3"/>
  <c r="C16" i="3"/>
  <c r="B15" i="3"/>
  <c r="C5" i="3"/>
  <c r="C4" i="3"/>
  <c r="C3" i="3"/>
  <c r="C2" i="3"/>
  <c r="B1" i="3"/>
  <c r="P16" i="2" l="1"/>
  <c r="P15" i="2"/>
  <c r="P13" i="2"/>
  <c r="P12" i="2"/>
  <c r="P11" i="2"/>
  <c r="P10" i="2"/>
  <c r="T6" i="2" l="1"/>
  <c r="U16" i="2"/>
  <c r="U15" i="2"/>
  <c r="U13" i="2"/>
  <c r="U12" i="2"/>
  <c r="U11" i="2"/>
  <c r="U10" i="2"/>
  <c r="U9" i="2"/>
  <c r="U8" i="2"/>
  <c r="U7" i="2"/>
  <c r="U5" i="2"/>
  <c r="T16" i="2"/>
  <c r="T15" i="2"/>
  <c r="T13" i="2"/>
  <c r="T12" i="2"/>
  <c r="T11" i="2"/>
  <c r="T10" i="2"/>
  <c r="T8" i="2"/>
  <c r="T7" i="2"/>
  <c r="T5" i="2"/>
  <c r="V16" i="2"/>
  <c r="B16" i="2" s="1"/>
  <c r="M16" i="2" s="1"/>
  <c r="V15" i="2"/>
  <c r="B15" i="2" s="1"/>
  <c r="V13" i="2"/>
  <c r="B13" i="2" s="1"/>
  <c r="M13" i="2" s="1"/>
  <c r="V12" i="2"/>
  <c r="B12" i="2" s="1"/>
  <c r="M12" i="2" s="1"/>
  <c r="V11" i="2"/>
  <c r="B11" i="2" s="1"/>
  <c r="M11" i="2" s="1"/>
  <c r="V10" i="2"/>
  <c r="B10" i="2" s="1"/>
  <c r="M10" i="2" s="1"/>
  <c r="M15" i="2" l="1"/>
  <c r="S4" i="2"/>
  <c r="B9" i="2"/>
  <c r="M9" i="2" s="1"/>
  <c r="A1" i="3"/>
  <c r="O10" i="2"/>
  <c r="O12" i="2"/>
  <c r="O11" i="2"/>
  <c r="O16" i="2"/>
  <c r="O13" i="2"/>
  <c r="O15" i="2"/>
  <c r="O6" i="2" l="1"/>
  <c r="P6" i="2" s="1"/>
  <c r="M17" i="2"/>
  <c r="A15" i="3"/>
  <c r="O9" i="2"/>
  <c r="P9" i="2" s="1"/>
  <c r="O8" i="2"/>
  <c r="P8" i="2" s="1"/>
  <c r="O7" i="2"/>
  <c r="P7" i="2" s="1"/>
  <c r="O17" i="2" l="1"/>
  <c r="O23" i="2" s="1"/>
  <c r="P17" i="2"/>
  <c r="K17" i="2" s="1"/>
  <c r="A6" i="2"/>
  <c r="A29" i="3" s="1"/>
  <c r="S5" i="2"/>
  <c r="S6" i="2" l="1"/>
  <c r="A7" i="2"/>
  <c r="S7" i="2" l="1"/>
  <c r="A43" i="3"/>
  <c r="A8" i="2"/>
  <c r="S8" i="2" l="1"/>
  <c r="A57" i="3"/>
  <c r="A9" i="2"/>
  <c r="A10" i="2" l="1"/>
  <c r="A71" i="3"/>
  <c r="S9" i="2"/>
  <c r="A11" i="2" l="1"/>
  <c r="A99" i="3" s="1"/>
  <c r="A85" i="3"/>
  <c r="S10" i="2"/>
  <c r="S11" i="2"/>
  <c r="A12" i="2" l="1"/>
  <c r="A113" i="3" l="1"/>
  <c r="A13" i="2"/>
  <c r="S12" i="2"/>
  <c r="A127" i="3" l="1"/>
  <c r="A14" i="2"/>
  <c r="S13" i="2"/>
  <c r="S14" i="2" l="1"/>
  <c r="A15" i="2"/>
  <c r="S15" i="2" s="1"/>
  <c r="A16" i="2" l="1"/>
  <c r="A169" i="3" s="1"/>
  <c r="A155" i="3"/>
  <c r="S16" i="2"/>
</calcChain>
</file>

<file path=xl/sharedStrings.xml><?xml version="1.0" encoding="utf-8"?>
<sst xmlns="http://schemas.openxmlformats.org/spreadsheetml/2006/main" count="493" uniqueCount="301">
  <si>
    <t>Commercial Shipping (OCONUS)</t>
  </si>
  <si>
    <t>Electrical Work- Hardwire all items as noted in the FID to the Facility</t>
  </si>
  <si>
    <t>Oversight of Delivery</t>
  </si>
  <si>
    <t>Offload Only</t>
  </si>
  <si>
    <t>#</t>
  </si>
  <si>
    <t>Qty</t>
  </si>
  <si>
    <t>FID Para.</t>
  </si>
  <si>
    <t>FID Item Code / Description</t>
  </si>
  <si>
    <t>Vendor Quoted</t>
  </si>
  <si>
    <t>Product Line Quoted</t>
  </si>
  <si>
    <t>Model Quoted</t>
  </si>
  <si>
    <t>HNC Unit Cost</t>
  </si>
  <si>
    <t>HNC Total Cost</t>
  </si>
  <si>
    <t>ROOM NAME/ TYPE/#</t>
  </si>
  <si>
    <t>FID ¶</t>
  </si>
  <si>
    <t>ITEM DESCRIPTION</t>
  </si>
  <si>
    <t>TOTALS</t>
  </si>
  <si>
    <t>Installation &amp; Shipping:</t>
  </si>
  <si>
    <t>Shipping (CONUS)</t>
  </si>
  <si>
    <t>Vendor Quoted:</t>
  </si>
  <si>
    <t>Product Line Quoted:</t>
  </si>
  <si>
    <t>Model Quoted:</t>
  </si>
  <si>
    <t>GSA # or Open Market:</t>
  </si>
  <si>
    <t>Warranty:</t>
  </si>
  <si>
    <t>1st Review HNC:</t>
  </si>
  <si>
    <t>1st Review Vendor:</t>
  </si>
  <si>
    <t>2nd Review HNC:</t>
  </si>
  <si>
    <t>2nd Review Vendor:</t>
  </si>
  <si>
    <t>3rd Review HNC:</t>
  </si>
  <si>
    <t>3rd Review Vendor:</t>
  </si>
  <si>
    <t>4th Review HNC:</t>
  </si>
  <si>
    <t>4th Review Vendor:</t>
  </si>
  <si>
    <t>Furniture Subtotals:</t>
  </si>
  <si>
    <t>GSA Cost:</t>
  </si>
  <si>
    <t>HNC Cost:</t>
  </si>
  <si>
    <t>Open Market Total above</t>
  </si>
  <si>
    <t>GRAND TOTAL:</t>
  </si>
  <si>
    <t>SAM</t>
  </si>
  <si>
    <t>Do not alter any formulas in shaded cells</t>
  </si>
  <si>
    <t>Admin</t>
  </si>
  <si>
    <t>Open Market</t>
  </si>
  <si>
    <t>GSA vs HNC</t>
  </si>
  <si>
    <r>
      <t xml:space="preserve">EDC-I:  Hide these columns before submitting file.
</t>
    </r>
    <r>
      <rPr>
        <b/>
        <sz val="9"/>
        <color theme="1"/>
        <rFont val="Arial Narrow"/>
        <family val="2"/>
      </rPr>
      <t>Select correct entries in the boxes above.</t>
    </r>
    <r>
      <rPr>
        <sz val="9"/>
        <color theme="1"/>
        <rFont val="Arial Narrow"/>
        <family val="2"/>
      </rPr>
      <t xml:space="preserve">
These columns shows open market costs and difference from GSA</t>
    </r>
  </si>
  <si>
    <t>Tariffs</t>
  </si>
  <si>
    <t>Installation - Includes new and existing items, if applicable, in accordance with SOW</t>
  </si>
  <si>
    <r>
      <t xml:space="preserve">A. "Save As" the Att 1 file and add REV 00-00-0000 (date) to the title and the file name. 
B. To update the Att 1 for a change of product manually highlight cells in yellow that need changing (modifying).  
C. For a change in quantity, this includes the quantity on the Locations matrix, the total quantity for the item on the Locations matrix, and the quantity on the RFQ table, </t>
    </r>
    <r>
      <rPr>
        <u/>
        <sz val="11"/>
        <rFont val="Arial"/>
        <family val="2"/>
      </rPr>
      <t>Highlight</t>
    </r>
    <r>
      <rPr>
        <sz val="11"/>
        <rFont val="Arial"/>
        <family val="2"/>
      </rPr>
      <t xml:space="preserve"> the yellow cell(s) at the bottom of the Locations matrix and use </t>
    </r>
    <r>
      <rPr>
        <u/>
        <sz val="11"/>
        <rFont val="Arial"/>
        <family val="2"/>
      </rPr>
      <t>Format Paint</t>
    </r>
    <r>
      <rPr>
        <sz val="11"/>
        <rFont val="Arial"/>
        <family val="2"/>
      </rPr>
      <t xml:space="preserve"> to update the cells above.</t>
    </r>
    <r>
      <rPr>
        <b/>
        <sz val="11"/>
        <rFont val="Arial"/>
        <family val="2"/>
      </rPr>
      <t xml:space="preserve"> NOTE: Tan lines cannot be changed to yellow the normal way.</t>
    </r>
  </si>
  <si>
    <t>1</t>
  </si>
  <si>
    <t>Preparation of an Revision / MOD</t>
  </si>
  <si>
    <r>
      <rPr>
        <i/>
        <sz val="11"/>
        <color theme="1"/>
        <rFont val="Arial"/>
        <family val="2"/>
      </rPr>
      <t>To delete lines from the RFQ Tab:</t>
    </r>
    <r>
      <rPr>
        <sz val="11"/>
        <color theme="1"/>
        <rFont val="Arial"/>
        <family val="2"/>
      </rPr>
      <t xml:space="preserve">
A. If lines are deleted from the RFQ Tab, you will need to delete rows in the Tech Eval tab.  
B. The item block in the Tech Eval tab will have the #REF! error.  If you come across a block that is not needed, either </t>
    </r>
    <r>
      <rPr>
        <u/>
        <sz val="11"/>
        <color theme="1"/>
        <rFont val="Arial"/>
        <family val="2"/>
      </rPr>
      <t>Delete</t>
    </r>
    <r>
      <rPr>
        <sz val="11"/>
        <color theme="1"/>
        <rFont val="Arial"/>
        <family val="2"/>
      </rPr>
      <t xml:space="preserve"> or </t>
    </r>
    <r>
      <rPr>
        <u/>
        <sz val="11"/>
        <color theme="1"/>
        <rFont val="Arial"/>
        <family val="2"/>
      </rPr>
      <t>Hide</t>
    </r>
    <r>
      <rPr>
        <sz val="11"/>
        <color theme="1"/>
        <rFont val="Arial"/>
        <family val="2"/>
      </rPr>
      <t xml:space="preserve"> those 14 rows.</t>
    </r>
  </si>
  <si>
    <t>3</t>
  </si>
  <si>
    <r>
      <rPr>
        <i/>
        <sz val="11"/>
        <color theme="1"/>
        <rFont val="Arial"/>
        <family val="2"/>
      </rPr>
      <t xml:space="preserve">To add more lines to the RFQ Tab:
</t>
    </r>
    <r>
      <rPr>
        <sz val="11"/>
        <color theme="1"/>
        <rFont val="Arial"/>
        <family val="2"/>
      </rPr>
      <t>A.</t>
    </r>
    <r>
      <rPr>
        <i/>
        <sz val="11"/>
        <color theme="1"/>
        <rFont val="Arial"/>
        <family val="2"/>
      </rPr>
      <t xml:space="preserve"> </t>
    </r>
    <r>
      <rPr>
        <sz val="11"/>
        <color theme="1"/>
        <rFont val="Arial"/>
        <family val="2"/>
      </rPr>
      <t>When lines are added to the RFQ tab you must also insert more rows in the Tech Eval tab.</t>
    </r>
    <r>
      <rPr>
        <b/>
        <sz val="11"/>
        <color theme="1"/>
        <rFont val="Arial"/>
        <family val="2"/>
      </rPr>
      <t xml:space="preserve">  
</t>
    </r>
    <r>
      <rPr>
        <sz val="11"/>
        <color theme="1"/>
        <rFont val="Arial"/>
        <family val="2"/>
      </rPr>
      <t xml:space="preserve">B. </t>
    </r>
    <r>
      <rPr>
        <u/>
        <sz val="11"/>
        <color theme="1"/>
        <rFont val="Arial"/>
        <family val="2"/>
      </rPr>
      <t>Highlight</t>
    </r>
    <r>
      <rPr>
        <sz val="11"/>
        <color theme="1"/>
        <rFont val="Arial"/>
        <family val="2"/>
      </rPr>
      <t xml:space="preserve"> the 14 rows that reflect the tech eval block for the item directly above.  
C. </t>
    </r>
    <r>
      <rPr>
        <u/>
        <sz val="11"/>
        <color theme="1"/>
        <rFont val="Arial"/>
        <family val="2"/>
      </rPr>
      <t>Copy</t>
    </r>
    <r>
      <rPr>
        <sz val="11"/>
        <color theme="1"/>
        <rFont val="Arial"/>
        <family val="2"/>
      </rPr>
      <t xml:space="preserve"> those onto the end, or in whatever location is required, repeat for each new item.  
D. Hand change the 7 formulas that pull data from the RFQ tab. They are in the first 5 lines of the item block. The 2 digit cell numbers will need to be changed to 85.  The next one will be changed to 86 and so forth. </t>
    </r>
  </si>
  <si>
    <t>2</t>
  </si>
  <si>
    <r>
      <t xml:space="preserve">A. </t>
    </r>
    <r>
      <rPr>
        <u/>
        <sz val="11"/>
        <color theme="1"/>
        <rFont val="Arial"/>
        <family val="2"/>
      </rPr>
      <t>Copy</t>
    </r>
    <r>
      <rPr>
        <sz val="11"/>
        <color theme="1"/>
        <rFont val="Arial"/>
        <family val="2"/>
      </rPr>
      <t xml:space="preserve"> the "Tech Eval HNC USE ONLY" columns A-C, all rows that are blue (prior to the first purple cells) into Att 8 Document (Word) prior to starting the Tech Eval.
B. Title the Document "1st TR - Vendor - Project Name.docx" for the Tech Eval.  Each item will have a "block" of 14 rows, to allow for multiple rounds of tech evals.  When dealing with a specific item, please remember there are 14 rows to copy. 
</t>
    </r>
    <r>
      <rPr>
        <b/>
        <sz val="11"/>
        <color theme="1"/>
        <rFont val="Arial"/>
        <family val="2"/>
      </rPr>
      <t>NOTE: DO NOT COMPLETE THE TECH REVIEW IN THE ATT 1 TEMPLATE.</t>
    </r>
  </si>
  <si>
    <t>Preparation of Tech Eval after quotes are received back from Vendors</t>
  </si>
  <si>
    <t>To print the Locations, go to "VIEW" tab, select "Custom Views", and highlight "locations" and click show.  Then go to FILE/PRINT.  It is set up to print landscape on 8.5 x 11 paper.</t>
  </si>
  <si>
    <t>To print the Attachment 1, go to "VIEW" tab, select "Custom Views", and highlight "attach1" and click show.  Then go to FILE/PRINT.  It is set up to print landscape on 8.5 x 11 paper.</t>
  </si>
  <si>
    <t>Printing (optional)</t>
  </si>
  <si>
    <r>
      <t xml:space="preserve">If you need to insert more columns in the Locations matrix (there are 80 columns in the template), highlight the green column and move your cursor to how many columns you need to add.  Right click and select "Insert".  Then </t>
    </r>
    <r>
      <rPr>
        <u/>
        <sz val="11"/>
        <color theme="1"/>
        <rFont val="Arial"/>
        <family val="2"/>
      </rPr>
      <t>Highlight</t>
    </r>
    <r>
      <rPr>
        <sz val="11"/>
        <color theme="1"/>
        <rFont val="Arial"/>
        <family val="2"/>
      </rPr>
      <t xml:space="preserve"> the last column and </t>
    </r>
    <r>
      <rPr>
        <u/>
        <sz val="11"/>
        <color theme="1"/>
        <rFont val="Arial"/>
        <family val="2"/>
      </rPr>
      <t>Copy</t>
    </r>
    <r>
      <rPr>
        <sz val="11"/>
        <color theme="1"/>
        <rFont val="Arial"/>
        <family val="2"/>
      </rPr>
      <t xml:space="preserve"> into the new columns.</t>
    </r>
  </si>
  <si>
    <t>Inserting more Columns into Locations area</t>
  </si>
  <si>
    <r>
      <rPr>
        <i/>
        <sz val="11"/>
        <color theme="1"/>
        <rFont val="Arial"/>
        <family val="2"/>
      </rPr>
      <t xml:space="preserve">To delete a row in the middle of the RFQ tab:   </t>
    </r>
    <r>
      <rPr>
        <sz val="11"/>
        <color theme="1"/>
        <rFont val="Arial"/>
        <family val="2"/>
      </rPr>
      <t xml:space="preserve">                                                                                                A. </t>
    </r>
    <r>
      <rPr>
        <u/>
        <sz val="11"/>
        <color theme="1"/>
        <rFont val="Arial"/>
        <family val="2"/>
      </rPr>
      <t>Highlight</t>
    </r>
    <r>
      <rPr>
        <sz val="11"/>
        <color theme="1"/>
        <rFont val="Arial"/>
        <family val="2"/>
      </rPr>
      <t xml:space="preserve"> the row to delete and delete.                                                                                       B. </t>
    </r>
    <r>
      <rPr>
        <u/>
        <sz val="11"/>
        <color theme="1"/>
        <rFont val="Arial"/>
        <family val="2"/>
      </rPr>
      <t>Highlight</t>
    </r>
    <r>
      <rPr>
        <sz val="11"/>
        <color theme="1"/>
        <rFont val="Arial"/>
        <family val="2"/>
      </rPr>
      <t xml:space="preserve"> the "#" cell above the first row with "##".                                                                             </t>
    </r>
    <r>
      <rPr>
        <sz val="11"/>
        <rFont val="Arial"/>
        <family val="2"/>
      </rPr>
      <t>C</t>
    </r>
    <r>
      <rPr>
        <sz val="11"/>
        <color theme="1"/>
        <rFont val="Arial"/>
        <family val="2"/>
      </rPr>
      <t xml:space="preserve">. </t>
    </r>
    <r>
      <rPr>
        <u/>
        <sz val="11"/>
        <color theme="1"/>
        <rFont val="Arial"/>
        <family val="2"/>
      </rPr>
      <t>Paste</t>
    </r>
    <r>
      <rPr>
        <sz val="11"/>
        <color theme="1"/>
        <rFont val="Arial"/>
        <family val="2"/>
      </rPr>
      <t xml:space="preserve"> the copied "#" cell into the first "#" cell with "##". Then you will need to go to the Tech Eval tab and </t>
    </r>
    <r>
      <rPr>
        <u/>
        <sz val="11"/>
        <color theme="1"/>
        <rFont val="Arial"/>
        <family val="2"/>
      </rPr>
      <t>Delete</t>
    </r>
    <r>
      <rPr>
        <sz val="11"/>
        <color theme="1"/>
        <rFont val="Arial"/>
        <family val="2"/>
      </rPr>
      <t xml:space="preserve"> the 14 lines for the item that was removed. (Easily identified by "#REF").</t>
    </r>
  </si>
  <si>
    <r>
      <rPr>
        <i/>
        <sz val="11"/>
        <color theme="1"/>
        <rFont val="Arial"/>
        <family val="2"/>
      </rPr>
      <t>To insert a row in the middle of the RFQ tab:</t>
    </r>
    <r>
      <rPr>
        <sz val="11"/>
        <color theme="1"/>
        <rFont val="Arial"/>
        <family val="2"/>
      </rPr>
      <t xml:space="preserve">                                                                                   A. Highlight the row below where you need the new row, </t>
    </r>
    <r>
      <rPr>
        <u/>
        <sz val="11"/>
        <color theme="1"/>
        <rFont val="Arial"/>
        <family val="2"/>
      </rPr>
      <t>right click</t>
    </r>
    <r>
      <rPr>
        <sz val="11"/>
        <color theme="1"/>
        <rFont val="Arial"/>
        <family val="2"/>
      </rPr>
      <t xml:space="preserve">, and select </t>
    </r>
    <r>
      <rPr>
        <u/>
        <sz val="11"/>
        <color theme="1"/>
        <rFont val="Arial"/>
        <family val="2"/>
      </rPr>
      <t>Insert</t>
    </r>
    <r>
      <rPr>
        <sz val="11"/>
        <color theme="1"/>
        <rFont val="Arial"/>
        <family val="2"/>
      </rPr>
      <t xml:space="preserve">.  B. Look at the "#" to determine which numbers the new row is between and </t>
    </r>
    <r>
      <rPr>
        <u/>
        <sz val="11"/>
        <color theme="1"/>
        <rFont val="Arial"/>
        <family val="2"/>
      </rPr>
      <t>Copy</t>
    </r>
    <r>
      <rPr>
        <sz val="11"/>
        <color theme="1"/>
        <rFont val="Arial"/>
        <family val="2"/>
      </rPr>
      <t xml:space="preserve"> the "#", "Qty", "Unit", "GSA Contract Total Cost", and "HNC Total Cost" cells from the row above.                                                                                                                                                    C. Then </t>
    </r>
    <r>
      <rPr>
        <u/>
        <sz val="11"/>
        <color theme="1"/>
        <rFont val="Arial"/>
        <family val="2"/>
      </rPr>
      <t>Copy</t>
    </r>
    <r>
      <rPr>
        <sz val="11"/>
        <color theme="1"/>
        <rFont val="Arial"/>
        <family val="2"/>
      </rPr>
      <t xml:space="preserve"> the "#" cell you just pasted into the "#" cell in the row below to fix the row numbering.                                                                                                                                               D. Then, enter the "FID Para." and "Item Code &amp; Description" information.                                      E. Enter the quantities in the appropriate rooms/areas.                                                                                     F. Then, in the Tech Eval tab, </t>
    </r>
    <r>
      <rPr>
        <u/>
        <sz val="11"/>
        <color theme="1"/>
        <rFont val="Arial"/>
        <family val="2"/>
      </rPr>
      <t xml:space="preserve">Insert </t>
    </r>
    <r>
      <rPr>
        <sz val="11"/>
        <color theme="1"/>
        <rFont val="Arial"/>
        <family val="2"/>
      </rPr>
      <t>14 rows and copy the data from the 14 rows above into these new cells.                                                                                                                                   G. Change the formulas in the top 2 rows of the rows you just copied by comparing the formulas from 14 cells above and 14 cells below to determine what number needs to be changed in the formula.                                                                                                                                                     I. Check to ensure everything copied and the line numbering is correct on both tabs.</t>
    </r>
  </si>
  <si>
    <r>
      <rPr>
        <i/>
        <sz val="11"/>
        <color theme="1"/>
        <rFont val="Arial"/>
        <family val="2"/>
      </rPr>
      <t xml:space="preserve">To insert more rows in the RFQ tab (there are 80 rows available in the template): </t>
    </r>
    <r>
      <rPr>
        <sz val="11"/>
        <color theme="1"/>
        <rFont val="Arial"/>
        <family val="2"/>
      </rPr>
      <t xml:space="preserve">                         A. </t>
    </r>
    <r>
      <rPr>
        <u/>
        <sz val="11"/>
        <color theme="1"/>
        <rFont val="Arial"/>
        <family val="2"/>
      </rPr>
      <t>Highligh</t>
    </r>
    <r>
      <rPr>
        <sz val="11"/>
        <color theme="1"/>
        <rFont val="Arial"/>
        <family val="2"/>
      </rPr>
      <t xml:space="preserve">t row 84 and move your cursor down how ever many rows are needed.                      B. Right click and select </t>
    </r>
    <r>
      <rPr>
        <u/>
        <sz val="11"/>
        <color theme="1"/>
        <rFont val="Arial"/>
        <family val="2"/>
      </rPr>
      <t>Insert</t>
    </r>
    <r>
      <rPr>
        <sz val="11"/>
        <color theme="1"/>
        <rFont val="Arial"/>
        <family val="2"/>
      </rPr>
      <t xml:space="preserve">.                                                                                                        C. </t>
    </r>
    <r>
      <rPr>
        <u/>
        <sz val="11"/>
        <color theme="1"/>
        <rFont val="Arial"/>
        <family val="2"/>
      </rPr>
      <t>Highlight</t>
    </r>
    <r>
      <rPr>
        <sz val="11"/>
        <color theme="1"/>
        <rFont val="Arial"/>
        <family val="2"/>
      </rPr>
      <t xml:space="preserve"> row 84 and </t>
    </r>
    <r>
      <rPr>
        <u/>
        <sz val="11"/>
        <color theme="1"/>
        <rFont val="Arial"/>
        <family val="2"/>
      </rPr>
      <t>Copy</t>
    </r>
    <r>
      <rPr>
        <sz val="11"/>
        <color theme="1"/>
        <rFont val="Arial"/>
        <family val="2"/>
      </rPr>
      <t xml:space="preserve"> to all the new blank rows.  
</t>
    </r>
    <r>
      <rPr>
        <b/>
        <sz val="11"/>
        <rFont val="Arial"/>
        <family val="2"/>
      </rPr>
      <t>NOTE:</t>
    </r>
    <r>
      <rPr>
        <sz val="11"/>
        <rFont val="Arial"/>
        <family val="2"/>
      </rPr>
      <t xml:space="preserve"> </t>
    </r>
    <r>
      <rPr>
        <b/>
        <sz val="11"/>
        <rFont val="Arial"/>
        <family val="2"/>
      </rPr>
      <t>MAKE SURE SUBTOTALS AND TOTALS ARE INCLUSIVE OF NEW ROWS!</t>
    </r>
  </si>
  <si>
    <t>Inserting More Rows into RFQ Tab</t>
  </si>
  <si>
    <t>Warranty provided and acceptable.</t>
  </si>
  <si>
    <t>Warranty was provided but does not meet the FID requirement.</t>
  </si>
  <si>
    <t>Complete steps 9-14 under "Preparation of the Attachment 1 prior to RFQ" for all buildings.</t>
  </si>
  <si>
    <t>Provide a warranty for this item.</t>
  </si>
  <si>
    <r>
      <t xml:space="preserve">File </t>
    </r>
    <r>
      <rPr>
        <u/>
        <sz val="11"/>
        <color theme="1"/>
        <rFont val="Arial"/>
        <family val="2"/>
      </rPr>
      <t>Save As</t>
    </r>
    <r>
      <rPr>
        <sz val="11"/>
        <color theme="1"/>
        <rFont val="Arial"/>
        <family val="2"/>
      </rPr>
      <t xml:space="preserve"> for each additional building.</t>
    </r>
  </si>
  <si>
    <t>N/A</t>
  </si>
  <si>
    <t>Perform the instructions 1-8 above "Preparation of the Attachment 1 prior to RFQ" .</t>
  </si>
  <si>
    <t>Tech Review "Warranty" blank comment examples are:</t>
  </si>
  <si>
    <t>Preparation of the Attachment 1 prior to RFQ for projects with multiple buildings</t>
  </si>
  <si>
    <r>
      <rPr>
        <u/>
        <sz val="11"/>
        <color theme="1"/>
        <rFont val="Arial"/>
        <family val="2"/>
      </rPr>
      <t>Save</t>
    </r>
    <r>
      <rPr>
        <sz val="11"/>
        <color theme="1"/>
        <rFont val="Arial"/>
        <family val="2"/>
      </rPr>
      <t xml:space="preserve"> spreadsheet.</t>
    </r>
  </si>
  <si>
    <t>14</t>
  </si>
  <si>
    <r>
      <rPr>
        <u/>
        <sz val="11"/>
        <color theme="1"/>
        <rFont val="Arial"/>
        <family val="2"/>
      </rPr>
      <t>Hide</t>
    </r>
    <r>
      <rPr>
        <sz val="11"/>
        <color theme="1"/>
        <rFont val="Arial"/>
        <family val="2"/>
      </rPr>
      <t xml:space="preserve"> all tabs except RFQ. Right click on the tab and click </t>
    </r>
    <r>
      <rPr>
        <u/>
        <sz val="11"/>
        <color theme="1"/>
        <rFont val="Arial"/>
        <family val="2"/>
      </rPr>
      <t>Hide</t>
    </r>
    <r>
      <rPr>
        <sz val="11"/>
        <color theme="1"/>
        <rFont val="Arial"/>
        <family val="2"/>
      </rPr>
      <t>.</t>
    </r>
  </si>
  <si>
    <t>13</t>
  </si>
  <si>
    <t>Hide all extra rows down to Furniture Subtotals.</t>
  </si>
  <si>
    <t>12</t>
  </si>
  <si>
    <r>
      <t xml:space="preserve">Keep the Installation and Shipping that pertain to your order and turn the text black. </t>
    </r>
    <r>
      <rPr>
        <u/>
        <sz val="11"/>
        <color theme="1"/>
        <rFont val="Arial"/>
        <family val="2"/>
      </rPr>
      <t>Hide</t>
    </r>
    <r>
      <rPr>
        <sz val="11"/>
        <color theme="1"/>
        <rFont val="Arial"/>
        <family val="2"/>
      </rPr>
      <t xml:space="preserve"> Installation &amp; Shipping lines not needed.
</t>
    </r>
    <r>
      <rPr>
        <b/>
        <sz val="11"/>
        <color theme="1"/>
        <rFont val="Arial"/>
        <family val="2"/>
      </rPr>
      <t xml:space="preserve">NOTE: Types of Delivery are defined in the table on the right of this page. </t>
    </r>
  </si>
  <si>
    <t>11</t>
  </si>
  <si>
    <t xml:space="preserve">Vendor is responsible for removal of the old furnishings and to moving it to another building. </t>
  </si>
  <si>
    <t>Removal of Existing Furniture and Moving to Designated Location</t>
  </si>
  <si>
    <r>
      <rPr>
        <u/>
        <sz val="11"/>
        <color theme="1"/>
        <rFont val="Arial"/>
        <family val="2"/>
      </rPr>
      <t>Hide</t>
    </r>
    <r>
      <rPr>
        <sz val="11"/>
        <color theme="1"/>
        <rFont val="Arial"/>
        <family val="2"/>
      </rPr>
      <t xml:space="preserve"> Column A when the form is complete. (A contains the formula for the OPEN MARKET TOTAL).</t>
    </r>
  </si>
  <si>
    <t>10</t>
  </si>
  <si>
    <t xml:space="preserve">Vendor is responsible for removal of the old furnishings and to dispose of them. </t>
  </si>
  <si>
    <t>Removal and Disposal of Existing Furniture</t>
  </si>
  <si>
    <r>
      <t xml:space="preserve">In the Locations matrix (right side of the Att 1), adjust row heights and then indicate quantities for each item under each room (Row T-CU).  Once completed, </t>
    </r>
    <r>
      <rPr>
        <u/>
        <sz val="11"/>
        <rFont val="Arial"/>
        <family val="2"/>
      </rPr>
      <t>Hide</t>
    </r>
    <r>
      <rPr>
        <sz val="11"/>
        <rFont val="Arial"/>
        <family val="2"/>
      </rPr>
      <t xml:space="preserve"> all unused columns and rows, indicated by purple boxes, up to the green cells.
</t>
    </r>
    <r>
      <rPr>
        <b/>
        <sz val="11"/>
        <rFont val="Arial"/>
        <family val="2"/>
      </rPr>
      <t>NOTE:  Enter quantities in the Locations area only.</t>
    </r>
  </si>
  <si>
    <t>9</t>
  </si>
  <si>
    <t xml:space="preserve">This is unloaded by the delivery driver. </t>
  </si>
  <si>
    <t>Add title to the Att 1 and turn black - it will automatically populate on the Locations matrix.</t>
  </si>
  <si>
    <t>8</t>
  </si>
  <si>
    <t xml:space="preserve">Warehouse workers offload product and a representative for the Vendor is present to oversee. </t>
  </si>
  <si>
    <r>
      <t xml:space="preserve">Ensure that the FID Paragraph numbers are correct and that the zero didn't drop off.  For example, verify whether the paragraph is 2.10 instead of 2.1.  If you can't add the "0" to the end, </t>
    </r>
    <r>
      <rPr>
        <u/>
        <sz val="11"/>
        <color theme="1"/>
        <rFont val="Arial"/>
        <family val="2"/>
      </rPr>
      <t>Format</t>
    </r>
    <r>
      <rPr>
        <sz val="11"/>
        <color theme="1"/>
        <rFont val="Arial"/>
        <family val="2"/>
      </rPr>
      <t xml:space="preserve"> the column as Text.</t>
    </r>
  </si>
  <si>
    <t>7</t>
  </si>
  <si>
    <t xml:space="preserve">Electrical Work - This is used if there are items to be hardwired.  All items should be noted in the FID. </t>
  </si>
  <si>
    <r>
      <t xml:space="preserve">In the Prep Tab, </t>
    </r>
    <r>
      <rPr>
        <u/>
        <sz val="11"/>
        <rFont val="Arial"/>
        <family val="2"/>
      </rPr>
      <t>Highlight</t>
    </r>
    <r>
      <rPr>
        <sz val="11"/>
        <rFont val="Arial"/>
        <family val="2"/>
      </rPr>
      <t xml:space="preserve"> text and </t>
    </r>
    <r>
      <rPr>
        <u/>
        <sz val="11"/>
        <rFont val="Arial"/>
        <family val="2"/>
      </rPr>
      <t>Copy</t>
    </r>
    <r>
      <rPr>
        <sz val="11"/>
        <rFont val="Arial"/>
        <family val="2"/>
      </rPr>
      <t xml:space="preserve"> into columns D &amp; E of the RFQ tab by clicking on cell F4 and </t>
    </r>
    <r>
      <rPr>
        <u/>
        <sz val="11"/>
        <rFont val="Arial"/>
        <family val="2"/>
      </rPr>
      <t>Paste</t>
    </r>
    <r>
      <rPr>
        <sz val="11"/>
        <rFont val="Arial"/>
        <family val="2"/>
      </rPr>
      <t xml:space="preserve"> by right clicking on your mouse and using the </t>
    </r>
    <r>
      <rPr>
        <u/>
        <sz val="11"/>
        <rFont val="Arial"/>
        <family val="2"/>
      </rPr>
      <t>second Paste option</t>
    </r>
    <r>
      <rPr>
        <sz val="11"/>
        <rFont val="Arial"/>
        <family val="2"/>
      </rPr>
      <t xml:space="preserve"> (Values (V)). 
</t>
    </r>
    <r>
      <rPr>
        <b/>
        <sz val="11"/>
        <rFont val="Arial"/>
        <family val="2"/>
      </rPr>
      <t>NOTE:  Only copy FID paragraph number &amp; Item Code and Description into RFQ tab</t>
    </r>
    <r>
      <rPr>
        <sz val="11"/>
        <rFont val="Arial"/>
        <family val="2"/>
      </rPr>
      <t xml:space="preserve">. </t>
    </r>
  </si>
  <si>
    <t>6</t>
  </si>
  <si>
    <t>For projects that have security requirements like locked and sealed containers, potentially SCIFs, NOCs, Ops Centers, etc.</t>
  </si>
  <si>
    <t>Secure Shipping (CONUS/OCONUS) - Refer to SOW</t>
  </si>
  <si>
    <r>
      <t xml:space="preserve">In the Prep Tab, </t>
    </r>
    <r>
      <rPr>
        <u/>
        <sz val="11"/>
        <color theme="1"/>
        <rFont val="Arial"/>
        <family val="2"/>
      </rPr>
      <t>Delete</t>
    </r>
    <r>
      <rPr>
        <sz val="11"/>
        <color theme="1"/>
        <rFont val="Arial"/>
        <family val="2"/>
      </rPr>
      <t xml:space="preserve"> all rows that you do not want in the Attachment 1 (extra lines, titles, "Not Used"). Keep only items you want listed in the Attachment 1. </t>
    </r>
  </si>
  <si>
    <t>5</t>
  </si>
  <si>
    <t xml:space="preserve">Commercial shipping to locations outside of the continental US. </t>
  </si>
  <si>
    <r>
      <t xml:space="preserve">In the Prep Tab, </t>
    </r>
    <r>
      <rPr>
        <u/>
        <sz val="11"/>
        <color theme="1"/>
        <rFont val="Arial"/>
        <family val="2"/>
      </rPr>
      <t xml:space="preserve">Delete </t>
    </r>
    <r>
      <rPr>
        <sz val="11"/>
        <color theme="1"/>
        <rFont val="Arial"/>
        <family val="2"/>
      </rPr>
      <t>Column C.</t>
    </r>
  </si>
  <si>
    <t>4</t>
  </si>
  <si>
    <t xml:space="preserve">Shipping in the continental US </t>
  </si>
  <si>
    <t>Shipping (CONUS) Note 1</t>
  </si>
  <si>
    <r>
      <t xml:space="preserve">In the Prep Tab (in this form), highlight upper left cell and </t>
    </r>
    <r>
      <rPr>
        <u/>
        <sz val="11"/>
        <rFont val="Arial"/>
        <family val="2"/>
      </rPr>
      <t>Paste</t>
    </r>
    <r>
      <rPr>
        <sz val="11"/>
        <rFont val="Arial"/>
        <family val="2"/>
      </rPr>
      <t xml:space="preserve"> by right clicking on your mouse and using the </t>
    </r>
    <r>
      <rPr>
        <u/>
        <sz val="11"/>
        <rFont val="Arial"/>
        <family val="2"/>
      </rPr>
      <t>second Paste option</t>
    </r>
    <r>
      <rPr>
        <sz val="11"/>
        <rFont val="Arial"/>
        <family val="2"/>
      </rPr>
      <t xml:space="preserve"> (Match Destination Formatting (M)).</t>
    </r>
  </si>
  <si>
    <t>Vendor Install all items on Att 1. GFP is Government Furnished Products (usually items in warehouse).</t>
  </si>
  <si>
    <t>Installation of furniture - to include any GFP in the SOW, if applicable</t>
  </si>
  <si>
    <r>
      <t xml:space="preserve">In the FID, </t>
    </r>
    <r>
      <rPr>
        <u/>
        <sz val="11"/>
        <color theme="1"/>
        <rFont val="Arial"/>
        <family val="2"/>
      </rPr>
      <t>Highlight</t>
    </r>
    <r>
      <rPr>
        <sz val="11"/>
        <color theme="1"/>
        <rFont val="Arial"/>
        <family val="2"/>
      </rPr>
      <t xml:space="preserve"> the entire Table of Contents and </t>
    </r>
    <r>
      <rPr>
        <u/>
        <sz val="11"/>
        <color theme="1"/>
        <rFont val="Arial"/>
        <family val="2"/>
      </rPr>
      <t>Copy</t>
    </r>
    <r>
      <rPr>
        <sz val="11"/>
        <color theme="1"/>
        <rFont val="Arial"/>
        <family val="2"/>
      </rPr>
      <t xml:space="preserve">. </t>
    </r>
  </si>
  <si>
    <t>Types of Delivery</t>
  </si>
  <si>
    <r>
      <t xml:space="preserve">In the A column, </t>
    </r>
    <r>
      <rPr>
        <u/>
        <sz val="11"/>
        <color theme="1"/>
        <rFont val="Arial"/>
        <family val="2"/>
      </rPr>
      <t>Select</t>
    </r>
    <r>
      <rPr>
        <sz val="11"/>
        <color theme="1"/>
        <rFont val="Arial"/>
        <family val="2"/>
      </rPr>
      <t xml:space="preserve"> SAM buy or GSA buy. If SAM buy, </t>
    </r>
    <r>
      <rPr>
        <u/>
        <sz val="11"/>
        <color theme="1"/>
        <rFont val="Arial"/>
        <family val="2"/>
      </rPr>
      <t>Hide</t>
    </r>
    <r>
      <rPr>
        <sz val="11"/>
        <color theme="1"/>
        <rFont val="Arial"/>
        <family val="2"/>
      </rPr>
      <t xml:space="preserve"> the two columns that are purple at the top and hide the last two rows of notes at the bottom that refer to GSA. </t>
    </r>
  </si>
  <si>
    <r>
      <t xml:space="preserve">Preparation of the Attachment 1 prior to RFQ
</t>
    </r>
    <r>
      <rPr>
        <b/>
        <i/>
        <sz val="11"/>
        <color theme="1"/>
        <rFont val="Arial"/>
        <family val="2"/>
      </rPr>
      <t>If there are multiple buildings, see instructions below.</t>
    </r>
  </si>
  <si>
    <t>ATTACHMENT 1 TEMPLATE - 06/06/25</t>
  </si>
  <si>
    <t>1202 GRP/SEL</t>
  </si>
  <si>
    <t>1203 DEPUTY GRP/CC</t>
  </si>
  <si>
    <t>1204 GRP/CC</t>
  </si>
  <si>
    <t>1205 COFFEE/BREAK</t>
  </si>
  <si>
    <t>1206 TECH ADVISOR</t>
  </si>
  <si>
    <t>1207 VIP GUEST</t>
  </si>
  <si>
    <t>1209 1ST SGT</t>
  </si>
  <si>
    <t>1210 PROTOCOL/PA</t>
  </si>
  <si>
    <t>1220 ORDERLY/MAIL ROOM</t>
  </si>
  <si>
    <t>1221 RESOURCE ADVISORS</t>
  </si>
  <si>
    <t>1222 SECURITY MANAGER</t>
  </si>
  <si>
    <t>1237 STOR</t>
  </si>
  <si>
    <t>1238 PRODUCTION SUPERVISORS</t>
  </si>
  <si>
    <t>1239 OPS</t>
  </si>
  <si>
    <t>1240 CONFERENCE ROOM</t>
  </si>
  <si>
    <t>1241 MMOC</t>
  </si>
  <si>
    <t>1230 TMO OPEN OFFICE/ADMIN SUPPORT</t>
  </si>
  <si>
    <t>1231 UNIT SAFETY</t>
  </si>
  <si>
    <t>1232 WEAPONS SAFETY MANAGER</t>
  </si>
  <si>
    <t>1234 NCOIC</t>
  </si>
  <si>
    <t>1235 NCOIC</t>
  </si>
  <si>
    <t>1233 NCOIC</t>
  </si>
  <si>
    <t>1251  CONF ROOM</t>
  </si>
  <si>
    <t>1252 SIPR</t>
  </si>
  <si>
    <t>1253 OPEN OFFICE/ADMIN SUPPORT/DISPATCH</t>
  </si>
  <si>
    <t>1254 FGO</t>
  </si>
  <si>
    <t>1255 CGO</t>
  </si>
  <si>
    <t>1256 CIVILIAN</t>
  </si>
  <si>
    <t>1257 B VAULT</t>
  </si>
  <si>
    <t>1258 A VAULT</t>
  </si>
  <si>
    <t>1259 STOR</t>
  </si>
  <si>
    <t>1259A SEC ELEC</t>
  </si>
  <si>
    <t>1260 OPEN OFFICE</t>
  </si>
  <si>
    <t>1261 TOOL/CTKS/EQUIP CRIB</t>
  </si>
  <si>
    <t>1262 STOR</t>
  </si>
  <si>
    <t>1263 TRAINING ROOM</t>
  </si>
  <si>
    <t>1264 TSGT/NCOIC MCM</t>
  </si>
  <si>
    <t>1265 TSGT/NCOIC EMT</t>
  </si>
  <si>
    <t>1266 SGT/SECTION CHIEF</t>
  </si>
  <si>
    <t>1270 GUIDANCE VAULT</t>
  </si>
  <si>
    <t>1271 OPEN OFFICE</t>
  </si>
  <si>
    <t>1272 GUIDANCE LAB</t>
  </si>
  <si>
    <t>1274 LEADS</t>
  </si>
  <si>
    <t>1275 SUPERVISOR</t>
  </si>
  <si>
    <t>1276 BRIEFING ROOM</t>
  </si>
  <si>
    <t>1280 TE LAB</t>
  </si>
  <si>
    <t>1280A CONFERENCE ROOM</t>
  </si>
  <si>
    <t>1281 TE OPEN OFFICE</t>
  </si>
  <si>
    <t>1113 MOTHER'S ROOM</t>
  </si>
  <si>
    <t>1282 PRIVATE OFFICE</t>
  </si>
  <si>
    <t>1282A RESOURCES FLIGHT CC/CHIEF</t>
  </si>
  <si>
    <t>1122A T.O. LIBRARY VAULT</t>
  </si>
  <si>
    <t>1125 SHARED BREAK ROOM</t>
  </si>
  <si>
    <t>1290 OPEN OFFICE</t>
  </si>
  <si>
    <t>1291 SUPERVISOR/NCOIC</t>
  </si>
  <si>
    <t>1292 SECURE CONF.</t>
  </si>
  <si>
    <t>1293 LAB</t>
  </si>
  <si>
    <t>1300 VECH/ENVIRO OPEN OFFICE</t>
  </si>
  <si>
    <t>1301 LSS CONFERENCE ROOM</t>
  </si>
  <si>
    <t>1302 CONTRACT MANAGER</t>
  </si>
  <si>
    <t>1303 PROJECT MANAGER</t>
  </si>
  <si>
    <t>1304 TRAINING MANAGER</t>
  </si>
  <si>
    <t>1305 TRAINING LEARNING CENTER</t>
  </si>
  <si>
    <t>1306 STOR</t>
  </si>
  <si>
    <t>1401 STOR</t>
  </si>
  <si>
    <t>1402 CAGED STOR</t>
  </si>
  <si>
    <t>1403 OPEN OFFICE</t>
  </si>
  <si>
    <t>1404 PRIVATE OFFICE</t>
  </si>
  <si>
    <t>1405 STOR</t>
  </si>
  <si>
    <t>1410 OPEN OFFICE</t>
  </si>
  <si>
    <t>1411 MSGT/SECTION</t>
  </si>
  <si>
    <t>1413 MIXING ROOM</t>
  </si>
  <si>
    <t>1415 TOOL SHOP</t>
  </si>
  <si>
    <t>1416 BATTERY SHOP</t>
  </si>
  <si>
    <t>1417 PREL BAY</t>
  </si>
  <si>
    <t>1418 HAZMAT STOR</t>
  </si>
  <si>
    <t>1420 MAPS MAINTENANCE BAY - 3</t>
  </si>
  <si>
    <t>1421 MAPS MAINTENANCE BAY - 2</t>
  </si>
  <si>
    <t>1422 MAPS MAINTENANCE BAY - 1</t>
  </si>
  <si>
    <t>1423 QUALITY ASSURANCE WORK CENTER</t>
  </si>
  <si>
    <t>1424 QA CHIF</t>
  </si>
  <si>
    <t>1424B QA SUPERINTENDENT</t>
  </si>
  <si>
    <t>1425 EQUIPMENT STORAGE</t>
  </si>
  <si>
    <t>1427 WORKBENCH</t>
  </si>
  <si>
    <t>1500 MHT OPEN OFFICE</t>
  </si>
  <si>
    <t>1501 SUPERVISORS</t>
  </si>
  <si>
    <t>1503 MHT MAINTENANCE BAY - 1</t>
  </si>
  <si>
    <t>1504 MHT MAINTENANCE BAY - 2</t>
  </si>
  <si>
    <t>1505 TOOL ROOM</t>
  </si>
  <si>
    <t>1510 MMT MAINTENANCE BAY</t>
  </si>
  <si>
    <t xml:space="preserve">1511 TOOL STORAGE </t>
  </si>
  <si>
    <t>1513 OPEN OFFICE</t>
  </si>
  <si>
    <t>1514 MSGT/NCOIC/TSGT/SSGT/SCHEDULER</t>
  </si>
  <si>
    <t>1515 TSGT/SITE SUPERVISOR</t>
  </si>
  <si>
    <t>1516 TSGT/SITE SUPERVISOR</t>
  </si>
  <si>
    <t>1534 CLASSROOM</t>
  </si>
  <si>
    <t>1533 CLASSROOM</t>
  </si>
  <si>
    <t>1535 MX VIRTUAL DRIVER/TRAINER</t>
  </si>
  <si>
    <t>1536 VIRTUAL TRAINERS SUITE</t>
  </si>
  <si>
    <t>1538 FMS</t>
  </si>
  <si>
    <t>1540 EPM/PBACM</t>
  </si>
  <si>
    <t>1542 LF LC BATTERIES EMT</t>
  </si>
  <si>
    <t>2102 LARGE SHARED CONF RM</t>
  </si>
  <si>
    <t>2103 TEAM ROOM/BREAK ROOM</t>
  </si>
  <si>
    <t>2114 MOTHER'S ROOM</t>
  </si>
  <si>
    <t>2120 OPEN OFFICE</t>
  </si>
  <si>
    <t>2122 SMALL CONF RM</t>
  </si>
  <si>
    <t>2123 LEADERSHIP/MANAGERS/MAJORS</t>
  </si>
  <si>
    <t>2124 LEADERSHIP/MANAGERS/MAJORS</t>
  </si>
  <si>
    <t>2125 LEADERSHIP/MANAGERS/MAJORS</t>
  </si>
  <si>
    <t>2126 LEADERSHIP/MANAGERS/MAJORS</t>
  </si>
  <si>
    <t>2127 LEADERSHIP/MANAGERS/MAJORS</t>
  </si>
  <si>
    <t>2128 LEADERSHIP/MANAGERS/MAJORS</t>
  </si>
  <si>
    <t>2130A FLTS DIRECTOR OF OPERATIONS</t>
  </si>
  <si>
    <t>2130B FLTS SENIOR ENLISTED ADVISOR</t>
  </si>
  <si>
    <t>2131A FLTS COMMANDER</t>
  </si>
  <si>
    <t>2131B FLTS COFFEE &amp; BREAK</t>
  </si>
  <si>
    <t>2132 OPEN OFFICE/SQ ADMIN</t>
  </si>
  <si>
    <t>2135 377 FTMMXS RECEPTION</t>
  </si>
  <si>
    <t>2136 377 FTMMXS COMMANDER</t>
  </si>
  <si>
    <t>2137 CSS</t>
  </si>
  <si>
    <t>2139 377 FTMMXS DIRECTOR OF OPERATIONS</t>
  </si>
  <si>
    <t>2138 377 FTMMXS ENLISTED ADVISOR</t>
  </si>
  <si>
    <t>2140 CONTRACTOR SUPPORT AREA</t>
  </si>
  <si>
    <t>2141 OPEN OFFICE</t>
  </si>
  <si>
    <t>2150 ITIPS</t>
  </si>
  <si>
    <t>2152 ITIPS STORAGE</t>
  </si>
  <si>
    <t>2154 ITIPS OFFICE</t>
  </si>
  <si>
    <t>2158 SIPR SUITE</t>
  </si>
  <si>
    <t>2159 SECURE VAULT SPACE/SOFTWARE LAB</t>
  </si>
  <si>
    <t>2160 COUNTDOWN PROCEDURES TRAINER</t>
  </si>
  <si>
    <t>2161 COUNTDOWN PROCEDURES TRAINER</t>
  </si>
  <si>
    <t>2162 ITIPS BRIEF/DEBRIEF</t>
  </si>
  <si>
    <t>2163 DATA ANALYSIS ROOM</t>
  </si>
  <si>
    <t>2164 ILCC CONFERENCE ROOM</t>
  </si>
  <si>
    <t>2165 ILCC 1</t>
  </si>
  <si>
    <t>2166 ILCC 2</t>
  </si>
  <si>
    <t>2167 LAUNCH MONITOR OBSERVATION 1</t>
  </si>
  <si>
    <t>2168 LAUNCH MONITOR OBSERVATION 2</t>
  </si>
  <si>
    <t>2170 COMPUTER SUPPORT</t>
  </si>
  <si>
    <t>2171 CIVILIAN ADVISOR</t>
  </si>
  <si>
    <t>2172 DATA NCOIC</t>
  </si>
  <si>
    <t>2173 OFFICE</t>
  </si>
  <si>
    <t>2174 COMPUTER SYSTEM STORAGE</t>
  </si>
  <si>
    <t>2175 IMDS</t>
  </si>
  <si>
    <t>2181 OPEN OFFICE</t>
  </si>
  <si>
    <t>2182 MEETING RM</t>
  </si>
  <si>
    <t>2183 MEETING RM</t>
  </si>
  <si>
    <t>2186 SUPERVISOR</t>
  </si>
  <si>
    <t>2187 SECURE COMM</t>
  </si>
  <si>
    <t>2188 SECURE ELEC</t>
  </si>
  <si>
    <t>SN1/SN01: Industrial Storage Cabinet, Metal</t>
  </si>
  <si>
    <t>SL2/SL02: Corrosive Safety Cabinet, Metal</t>
  </si>
  <si>
    <t>SN2/SN02: Open Industrial Bulk Rack Storage Shelving, Metal Particleboard Decking</t>
  </si>
  <si>
    <t>SS1/SS01: Open Industrial Bulk Rack Storage Shelving, Metal Particleboard Decking</t>
  </si>
  <si>
    <t>SX1/SX01: Tool Storage Cabinet, Metal</t>
  </si>
  <si>
    <t>SX2/SX02: Tool Storage Cabinet, Metal</t>
  </si>
  <si>
    <t>SX3/SX03: Tool Storage Cabinet, Metal</t>
  </si>
  <si>
    <t>EQ1/EQ01: Tool Storage Cabinet, Metal</t>
  </si>
  <si>
    <t>TN1/TN01: Work Bench, Metal</t>
  </si>
  <si>
    <t>TN2/TN02: Work Bench, Metal</t>
  </si>
  <si>
    <t>TN3/TN03: Work Bench, Metal</t>
  </si>
  <si>
    <t>TN4/TN04: Work Bench, Metal</t>
  </si>
  <si>
    <t>SL1: Double Tier Locker, Metal</t>
  </si>
  <si>
    <t>SX4/SX04: Heavy Duty Cart</t>
  </si>
  <si>
    <t>21.1</t>
  </si>
  <si>
    <t>21.2</t>
  </si>
  <si>
    <t>22.1</t>
  </si>
  <si>
    <t>22.2</t>
  </si>
  <si>
    <t>22.3</t>
  </si>
  <si>
    <t>22.4</t>
  </si>
  <si>
    <t>22.5</t>
  </si>
  <si>
    <t>22.6</t>
  </si>
  <si>
    <t>22.7</t>
  </si>
  <si>
    <t>22.8</t>
  </si>
  <si>
    <t>22.9</t>
  </si>
  <si>
    <t>22.10</t>
  </si>
  <si>
    <t>22.11</t>
  </si>
  <si>
    <t>22.12</t>
  </si>
  <si>
    <t>TN5/TN05: Work Bench, Metal</t>
  </si>
  <si>
    <t>Attachment #1 - Vandenberg Space Force Base, CA - Consolidated Maintenance Facility - Open Market</t>
  </si>
  <si>
    <t>1110A STOR</t>
  </si>
  <si>
    <t>1116 RECEIVING</t>
  </si>
  <si>
    <t>SL1/SL01: Double Tier Locker, Metal</t>
  </si>
  <si>
    <t>TN3/TN03/TN4/TN04: Work Bench, Metal</t>
  </si>
  <si>
    <t>TN1/TN01/TN2/TN02: Work Bench, Metal</t>
  </si>
  <si>
    <t>1122 T.O.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</si>
</sst>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44" x14ac:knownFonts="1">
    <font>
      <sz val="11"/>
      <color theme="1"/>
      <name val="Calibri"/>
      <family val="2"/>
      <scheme val="minor"/>
    </font>
    <font>
      <sz val="11"/>
      <color theme="1"/>
      <name val="Calibri"/>
      <family val="2"/>
      <scheme val="minor"/>
    </font>
    <font>
      <b/>
      <sz val="11"/>
      <color theme="1"/>
      <name val="Calibri"/>
      <family val="2"/>
      <scheme val="minor"/>
    </font>
    <font>
      <b/>
      <u/>
      <sz val="12"/>
      <color theme="1"/>
      <name val="Calibri"/>
      <family val="2"/>
      <scheme val="minor"/>
    </font>
    <font>
      <sz val="10"/>
      <name val="Arial"/>
      <family val="2"/>
    </font>
    <font>
      <b/>
      <sz val="10"/>
      <name val="Arial"/>
      <family val="2"/>
    </font>
    <font>
      <sz val="11"/>
      <name val="Arial"/>
      <family val="2"/>
    </font>
    <font>
      <b/>
      <u/>
      <sz val="11"/>
      <color theme="0"/>
      <name val="Calibri"/>
      <family val="2"/>
      <scheme val="minor"/>
    </font>
    <font>
      <sz val="10"/>
      <color theme="1"/>
      <name val="Arial"/>
      <family val="2"/>
    </font>
    <font>
      <sz val="11"/>
      <color theme="1"/>
      <name val="Arial"/>
      <family val="2"/>
    </font>
    <font>
      <sz val="8"/>
      <color theme="1"/>
      <name val="Calibri"/>
      <family val="2"/>
      <scheme val="minor"/>
    </font>
    <font>
      <sz val="11"/>
      <color rgb="FFFF0000"/>
      <name val="Calibri"/>
      <family val="2"/>
      <scheme val="minor"/>
    </font>
    <font>
      <b/>
      <sz val="11"/>
      <color theme="9" tint="-0.249977111117893"/>
      <name val="Franklin Gothic Heavy"/>
      <family val="2"/>
    </font>
    <font>
      <b/>
      <sz val="8"/>
      <name val="Calibri"/>
      <family val="2"/>
      <scheme val="minor"/>
    </font>
    <font>
      <b/>
      <sz val="12"/>
      <name val="Arial"/>
      <family val="2"/>
    </font>
    <font>
      <b/>
      <i/>
      <sz val="12"/>
      <name val="Arial"/>
      <family val="2"/>
    </font>
    <font>
      <sz val="8"/>
      <name val="Calibri"/>
      <family val="2"/>
      <scheme val="minor"/>
    </font>
    <font>
      <b/>
      <sz val="16"/>
      <color theme="1"/>
      <name val="Arial"/>
      <family val="2"/>
    </font>
    <font>
      <sz val="10"/>
      <color rgb="FFFF0000"/>
      <name val="Arial"/>
      <family val="2"/>
    </font>
    <font>
      <b/>
      <sz val="14"/>
      <color theme="1"/>
      <name val="Calibri"/>
      <family val="2"/>
      <scheme val="minor"/>
    </font>
    <font>
      <sz val="14"/>
      <color theme="1"/>
      <name val="Calibri"/>
      <family val="2"/>
      <scheme val="minor"/>
    </font>
    <font>
      <sz val="12"/>
      <name val="Arial"/>
      <family val="2"/>
    </font>
    <font>
      <sz val="12"/>
      <name val="Arial Narrow"/>
      <family val="2"/>
    </font>
    <font>
      <sz val="12"/>
      <color theme="1"/>
      <name val="Calibri"/>
      <family val="2"/>
      <scheme val="minor"/>
    </font>
    <font>
      <sz val="12"/>
      <color theme="1"/>
      <name val="Arial"/>
      <family val="2"/>
    </font>
    <font>
      <b/>
      <sz val="12"/>
      <color theme="1"/>
      <name val="Calibri"/>
      <family val="2"/>
      <scheme val="minor"/>
    </font>
    <font>
      <b/>
      <sz val="24"/>
      <name val="Arial"/>
      <family val="2"/>
    </font>
    <font>
      <b/>
      <sz val="18"/>
      <name val="Arial"/>
      <family val="2"/>
    </font>
    <font>
      <sz val="18"/>
      <color theme="1"/>
      <name val="Calibri"/>
      <family val="2"/>
      <scheme val="minor"/>
    </font>
    <font>
      <b/>
      <sz val="11"/>
      <color theme="1"/>
      <name val="Arial Narrow"/>
      <family val="2"/>
    </font>
    <font>
      <sz val="11"/>
      <color theme="0"/>
      <name val="Calibri"/>
      <family val="2"/>
      <scheme val="minor"/>
    </font>
    <font>
      <sz val="11"/>
      <color theme="0"/>
      <name val="Arial Black"/>
      <family val="2"/>
    </font>
    <font>
      <b/>
      <sz val="16"/>
      <name val="Arial"/>
      <family val="2"/>
    </font>
    <font>
      <b/>
      <i/>
      <sz val="14"/>
      <name val="Arial Narrow"/>
      <family val="2"/>
    </font>
    <font>
      <i/>
      <sz val="14"/>
      <color theme="1"/>
      <name val="Arial Narrow"/>
      <family val="2"/>
    </font>
    <font>
      <sz val="9"/>
      <color theme="1"/>
      <name val="Arial Narrow"/>
      <family val="2"/>
    </font>
    <font>
      <b/>
      <sz val="9"/>
      <color theme="1"/>
      <name val="Arial Narrow"/>
      <family val="2"/>
    </font>
    <font>
      <u/>
      <sz val="11"/>
      <name val="Arial"/>
      <family val="2"/>
    </font>
    <font>
      <b/>
      <sz val="11"/>
      <name val="Arial"/>
      <family val="2"/>
    </font>
    <font>
      <b/>
      <sz val="11"/>
      <color theme="1"/>
      <name val="Arial"/>
      <family val="2"/>
    </font>
    <font>
      <i/>
      <sz val="11"/>
      <color theme="1"/>
      <name val="Arial"/>
      <family val="2"/>
    </font>
    <font>
      <u/>
      <sz val="11"/>
      <color theme="1"/>
      <name val="Arial"/>
      <family val="2"/>
    </font>
    <font>
      <b/>
      <i/>
      <sz val="11"/>
      <color theme="1"/>
      <name val="Arial"/>
      <family val="2"/>
    </font>
    <font>
      <sz val="18"/>
      <name val="Calibri"/>
      <family val="2"/>
      <scheme val="minor"/>
    </font>
  </fonts>
  <fills count="18">
    <fill>
      <patternFill patternType="none"/>
    </fill>
    <fill>
      <patternFill patternType="gray125"/>
    </fill>
    <fill>
      <patternFill patternType="darkGrid">
        <bgColor theme="1"/>
      </patternFill>
    </fill>
    <fill>
      <patternFill patternType="solid">
        <fgColor theme="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rgb="FF7030A0"/>
        <bgColor indexed="64"/>
      </patternFill>
    </fill>
    <fill>
      <patternFill patternType="solid">
        <fgColor rgb="FF00B0F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rgb="FF8EAADB"/>
        <bgColor indexed="64"/>
      </patternFill>
    </fill>
    <fill>
      <patternFill patternType="solid">
        <fgColor theme="6" tint="0.59996337778862885"/>
        <bgColor indexed="64"/>
      </patternFill>
    </fill>
    <fill>
      <patternFill patternType="darkGrid">
        <bgColor auto="1"/>
      </patternFill>
    </fill>
    <fill>
      <patternFill patternType="solid">
        <fgColor theme="9" tint="0.79998168889431442"/>
        <bgColor indexed="64"/>
      </patternFill>
    </fill>
    <fill>
      <patternFill patternType="solid">
        <fgColor theme="4" tint="0.39997558519241921"/>
        <bgColor indexed="64"/>
      </patternFill>
    </fill>
  </fills>
  <borders count="72">
    <border>
      <left/>
      <right/>
      <top/>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thick">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thin">
        <color indexed="64"/>
      </right>
      <top style="medium">
        <color indexed="64"/>
      </top>
      <bottom/>
      <diagonal/>
    </border>
    <border>
      <left style="thick">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ck">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ck">
        <color indexed="64"/>
      </right>
      <top/>
      <bottom style="medium">
        <color indexed="64"/>
      </bottom>
      <diagonal/>
    </border>
    <border>
      <left/>
      <right/>
      <top/>
      <bottom style="thin">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medium">
        <color indexed="64"/>
      </right>
      <top style="thick">
        <color indexed="64"/>
      </top>
      <bottom style="thick">
        <color indexed="64"/>
      </bottom>
      <diagonal/>
    </border>
    <border>
      <left/>
      <right/>
      <top style="medium">
        <color indexed="64"/>
      </top>
      <bottom style="thin">
        <color indexed="64"/>
      </bottom>
      <diagonal/>
    </border>
    <border>
      <left style="thick">
        <color indexed="64"/>
      </left>
      <right style="thick">
        <color indexed="64"/>
      </right>
      <top style="thick">
        <color indexed="64"/>
      </top>
      <bottom style="thick">
        <color indexed="64"/>
      </bottom>
      <diagonal/>
    </border>
    <border>
      <left style="medium">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s>
  <cellStyleXfs count="2">
    <xf numFmtId="0" fontId="0" fillId="0" borderId="0"/>
    <xf numFmtId="44" fontId="1" fillId="0" borderId="0" applyFont="0" applyFill="0" applyBorder="0" applyAlignment="0" applyProtection="0"/>
  </cellStyleXfs>
  <cellXfs count="242">
    <xf numFmtId="0" fontId="0" fillId="0" borderId="0" xfId="0"/>
    <xf numFmtId="0" fontId="0" fillId="0" borderId="0" xfId="0" applyProtection="1">
      <protection locked="0"/>
    </xf>
    <xf numFmtId="0" fontId="0" fillId="0" borderId="0" xfId="0" applyBorder="1" applyAlignment="1" applyProtection="1">
      <alignment horizontal="left" wrapText="1"/>
      <protection locked="0"/>
    </xf>
    <xf numFmtId="0" fontId="0" fillId="0" borderId="0" xfId="0" applyBorder="1" applyAlignment="1" applyProtection="1">
      <alignment horizontal="center"/>
      <protection locked="0"/>
    </xf>
    <xf numFmtId="0" fontId="5" fillId="0" borderId="0" xfId="0" applyFont="1" applyBorder="1" applyAlignment="1" applyProtection="1">
      <alignment horizontal="center"/>
      <protection locked="0"/>
    </xf>
    <xf numFmtId="0" fontId="0" fillId="0" borderId="0" xfId="0" applyBorder="1" applyProtection="1">
      <protection locked="0"/>
    </xf>
    <xf numFmtId="0" fontId="0" fillId="0" borderId="20" xfId="0" applyBorder="1" applyAlignment="1" applyProtection="1">
      <alignment horizontal="center"/>
      <protection locked="0"/>
    </xf>
    <xf numFmtId="0" fontId="5" fillId="0" borderId="0" xfId="0" applyFont="1" applyAlignment="1" applyProtection="1">
      <alignment horizontal="center"/>
      <protection locked="0"/>
    </xf>
    <xf numFmtId="0" fontId="0" fillId="0" borderId="0" xfId="0" applyAlignment="1" applyProtection="1">
      <alignment horizontal="left" wrapText="1"/>
      <protection locked="0"/>
    </xf>
    <xf numFmtId="0" fontId="10" fillId="0" borderId="0" xfId="0" applyFont="1" applyProtection="1">
      <protection locked="0"/>
    </xf>
    <xf numFmtId="0" fontId="0" fillId="5" borderId="0" xfId="0" applyFill="1" applyBorder="1" applyAlignment="1" applyProtection="1">
      <alignment horizontal="center" vertical="center"/>
      <protection locked="0"/>
    </xf>
    <xf numFmtId="0" fontId="0" fillId="0" borderId="0" xfId="0" applyAlignment="1" applyProtection="1">
      <alignment horizontal="center" vertical="center"/>
      <protection locked="0"/>
    </xf>
    <xf numFmtId="49" fontId="0" fillId="0" borderId="0" xfId="0" applyNumberFormat="1" applyAlignment="1" applyProtection="1">
      <alignment horizontal="center" vertical="center"/>
      <protection locked="0"/>
    </xf>
    <xf numFmtId="0" fontId="0" fillId="5" borderId="0" xfId="0" applyFill="1" applyProtection="1">
      <protection locked="0"/>
    </xf>
    <xf numFmtId="0" fontId="0" fillId="5" borderId="0" xfId="0" applyFill="1" applyBorder="1" applyAlignment="1" applyProtection="1">
      <alignment wrapText="1"/>
      <protection locked="0"/>
    </xf>
    <xf numFmtId="49" fontId="0" fillId="0" borderId="0" xfId="0" applyNumberFormat="1" applyBorder="1" applyAlignment="1" applyProtection="1">
      <alignment horizontal="center"/>
      <protection locked="0"/>
    </xf>
    <xf numFmtId="49" fontId="0" fillId="0" borderId="0" xfId="0" applyNumberFormat="1" applyAlignment="1" applyProtection="1">
      <alignment horizontal="center"/>
      <protection locked="0"/>
    </xf>
    <xf numFmtId="0" fontId="15" fillId="0" borderId="0" xfId="0" applyNumberFormat="1" applyFont="1" applyAlignment="1">
      <alignment wrapText="1"/>
    </xf>
    <xf numFmtId="0" fontId="0" fillId="0" borderId="0" xfId="0" applyNumberFormat="1" applyAlignment="1">
      <alignment wrapText="1"/>
    </xf>
    <xf numFmtId="0" fontId="11" fillId="0" borderId="0" xfId="0" applyNumberFormat="1" applyFont="1" applyAlignment="1">
      <alignment wrapText="1"/>
    </xf>
    <xf numFmtId="0" fontId="12" fillId="0" borderId="0" xfId="0" applyNumberFormat="1" applyFont="1" applyAlignment="1">
      <alignment wrapText="1"/>
    </xf>
    <xf numFmtId="0" fontId="0" fillId="5" borderId="0" xfId="0" applyFill="1"/>
    <xf numFmtId="49" fontId="2" fillId="5" borderId="0" xfId="0" applyNumberFormat="1" applyFont="1" applyFill="1" applyAlignment="1">
      <alignment horizontal="center" vertical="center" textRotation="90" wrapText="1"/>
    </xf>
    <xf numFmtId="49" fontId="3" fillId="0" borderId="1" xfId="0" applyNumberFormat="1" applyFont="1" applyBorder="1" applyAlignment="1">
      <alignment horizontal="center" vertical="center" textRotation="90" wrapText="1"/>
    </xf>
    <xf numFmtId="0" fontId="3" fillId="0" borderId="3" xfId="0" applyFont="1" applyBorder="1" applyAlignment="1">
      <alignment horizontal="center" vertical="center" wrapText="1"/>
    </xf>
    <xf numFmtId="49" fontId="3" fillId="0" borderId="3" xfId="0" applyNumberFormat="1" applyFont="1" applyBorder="1" applyAlignment="1">
      <alignment horizontal="center" vertical="center" wrapText="1"/>
    </xf>
    <xf numFmtId="0" fontId="7" fillId="2" borderId="3" xfId="0" applyFont="1" applyFill="1" applyBorder="1" applyAlignment="1">
      <alignment horizontal="center" vertical="center"/>
    </xf>
    <xf numFmtId="0" fontId="0" fillId="5" borderId="0" xfId="0" applyFill="1" applyAlignment="1">
      <alignment horizontal="center" vertical="center"/>
    </xf>
    <xf numFmtId="0" fontId="8" fillId="10" borderId="31" xfId="0" applyNumberFormat="1" applyFont="1" applyFill="1" applyBorder="1" applyAlignment="1">
      <alignment horizontal="left" vertical="top" wrapText="1"/>
    </xf>
    <xf numFmtId="0" fontId="14" fillId="0" borderId="3" xfId="0" applyNumberFormat="1" applyFont="1" applyBorder="1" applyAlignment="1">
      <alignment horizontal="left" vertical="center" wrapText="1"/>
    </xf>
    <xf numFmtId="49" fontId="4" fillId="0" borderId="32" xfId="0" applyNumberFormat="1" applyFont="1" applyBorder="1" applyAlignment="1">
      <alignment horizontal="left" wrapText="1"/>
    </xf>
    <xf numFmtId="0" fontId="4" fillId="0" borderId="31" xfId="0" applyNumberFormat="1" applyFont="1" applyBorder="1" applyAlignment="1">
      <alignment wrapText="1"/>
    </xf>
    <xf numFmtId="0" fontId="14" fillId="0" borderId="15" xfId="0" applyNumberFormat="1" applyFont="1" applyBorder="1" applyAlignment="1">
      <alignment horizontal="left" vertical="center" wrapText="1"/>
    </xf>
    <xf numFmtId="49" fontId="4" fillId="0" borderId="31" xfId="0" applyNumberFormat="1" applyFont="1" applyBorder="1" applyAlignment="1">
      <alignment wrapText="1"/>
    </xf>
    <xf numFmtId="49" fontId="4" fillId="0" borderId="5" xfId="0" applyNumberFormat="1" applyFont="1" applyBorder="1" applyAlignment="1">
      <alignment horizontal="left" wrapText="1"/>
    </xf>
    <xf numFmtId="0" fontId="9" fillId="0" borderId="0" xfId="0" applyNumberFormat="1" applyFont="1" applyAlignment="1">
      <alignment wrapText="1"/>
    </xf>
    <xf numFmtId="49" fontId="4" fillId="0" borderId="29" xfId="0" applyNumberFormat="1" applyFont="1" applyBorder="1" applyAlignment="1">
      <alignment horizontal="left" wrapText="1"/>
    </xf>
    <xf numFmtId="0" fontId="14" fillId="0" borderId="14" xfId="0" applyNumberFormat="1" applyFont="1" applyBorder="1" applyAlignment="1">
      <alignment horizontal="left" vertical="center" wrapText="1"/>
    </xf>
    <xf numFmtId="0" fontId="0" fillId="11" borderId="14" xfId="0" applyFill="1" applyBorder="1" applyAlignment="1" applyProtection="1">
      <alignment horizontal="center" vertical="center"/>
      <protection locked="0"/>
    </xf>
    <xf numFmtId="0" fontId="0" fillId="11" borderId="15" xfId="0" applyFill="1" applyBorder="1" applyAlignment="1">
      <alignment horizontal="center" vertical="center" wrapText="1"/>
    </xf>
    <xf numFmtId="0" fontId="0" fillId="11" borderId="15" xfId="0" applyFill="1" applyBorder="1" applyAlignment="1" applyProtection="1">
      <alignment horizontal="center" vertical="center"/>
      <protection locked="0"/>
    </xf>
    <xf numFmtId="0" fontId="18" fillId="0" borderId="32" xfId="0" applyNumberFormat="1" applyFont="1" applyBorder="1" applyAlignment="1">
      <alignment horizontal="left" vertical="top" wrapText="1"/>
    </xf>
    <xf numFmtId="0" fontId="18" fillId="0" borderId="32" xfId="0" applyNumberFormat="1" applyFont="1" applyBorder="1" applyAlignment="1">
      <alignment vertical="top" wrapText="1"/>
    </xf>
    <xf numFmtId="0" fontId="18" fillId="0" borderId="5" xfId="0" applyNumberFormat="1" applyFont="1" applyBorder="1" applyAlignment="1">
      <alignment horizontal="center" vertical="top" wrapText="1"/>
    </xf>
    <xf numFmtId="0" fontId="8" fillId="10" borderId="31" xfId="0" applyNumberFormat="1" applyFont="1" applyFill="1" applyBorder="1" applyAlignment="1">
      <alignment vertical="top" wrapText="1"/>
    </xf>
    <xf numFmtId="0" fontId="18" fillId="0" borderId="5" xfId="0" applyNumberFormat="1" applyFont="1" applyBorder="1" applyAlignment="1">
      <alignment vertical="top" wrapText="1"/>
    </xf>
    <xf numFmtId="49" fontId="22" fillId="0" borderId="6" xfId="0" applyNumberFormat="1" applyFont="1" applyBorder="1" applyAlignment="1" applyProtection="1">
      <alignment horizontal="left" vertical="top" wrapText="1"/>
      <protection locked="0"/>
    </xf>
    <xf numFmtId="164" fontId="21" fillId="0" borderId="6" xfId="0" applyNumberFormat="1" applyFont="1" applyBorder="1" applyAlignment="1" applyProtection="1">
      <alignment horizontal="right" vertical="top" wrapText="1"/>
      <protection locked="0"/>
    </xf>
    <xf numFmtId="164" fontId="21" fillId="0" borderId="34" xfId="0" applyNumberFormat="1" applyFont="1" applyBorder="1" applyAlignment="1" applyProtection="1">
      <alignment horizontal="right" vertical="top" wrapText="1"/>
      <protection locked="0"/>
    </xf>
    <xf numFmtId="0" fontId="23" fillId="5" borderId="0" xfId="0" applyFont="1" applyFill="1" applyProtection="1">
      <protection locked="0"/>
    </xf>
    <xf numFmtId="0" fontId="24" fillId="3" borderId="18" xfId="0" applyFont="1" applyFill="1" applyBorder="1" applyAlignment="1" applyProtection="1">
      <alignment horizontal="center" vertical="center" wrapText="1"/>
    </xf>
    <xf numFmtId="0" fontId="24" fillId="3" borderId="18" xfId="0" applyNumberFormat="1" applyFont="1" applyFill="1" applyBorder="1" applyAlignment="1" applyProtection="1">
      <alignment horizontal="center" vertical="center" wrapText="1"/>
    </xf>
    <xf numFmtId="0" fontId="24" fillId="3" borderId="18" xfId="0" applyNumberFormat="1" applyFont="1" applyFill="1" applyBorder="1" applyAlignment="1" applyProtection="1">
      <alignment horizontal="left" vertical="center" wrapText="1"/>
    </xf>
    <xf numFmtId="0" fontId="24" fillId="3" borderId="41" xfId="0" applyFont="1" applyFill="1" applyBorder="1" applyAlignment="1" applyProtection="1">
      <alignment horizontal="center" vertical="center"/>
      <protection locked="0"/>
    </xf>
    <xf numFmtId="0" fontId="24" fillId="3" borderId="19" xfId="0" applyFont="1" applyFill="1" applyBorder="1" applyAlignment="1" applyProtection="1">
      <alignment horizontal="center" vertical="center"/>
      <protection locked="0"/>
    </xf>
    <xf numFmtId="0" fontId="21" fillId="3" borderId="21" xfId="0" applyNumberFormat="1" applyFont="1" applyFill="1" applyBorder="1" applyAlignment="1" applyProtection="1">
      <alignment horizontal="left" vertical="top" wrapText="1"/>
      <protection locked="0"/>
    </xf>
    <xf numFmtId="49" fontId="22" fillId="0" borderId="9" xfId="0" applyNumberFormat="1" applyFont="1" applyBorder="1" applyAlignment="1" applyProtection="1">
      <alignment horizontal="left" vertical="top" wrapText="1"/>
      <protection locked="0"/>
    </xf>
    <xf numFmtId="164" fontId="21" fillId="0" borderId="10" xfId="0" applyNumberFormat="1" applyFont="1" applyBorder="1" applyAlignment="1" applyProtection="1">
      <alignment horizontal="right" vertical="top" wrapText="1"/>
      <protection locked="0"/>
    </xf>
    <xf numFmtId="0" fontId="24" fillId="3" borderId="4" xfId="0" applyFont="1" applyFill="1" applyBorder="1" applyAlignment="1" applyProtection="1">
      <alignment horizontal="center" vertical="center" wrapText="1"/>
    </xf>
    <xf numFmtId="0" fontId="24" fillId="3" borderId="4" xfId="0" applyNumberFormat="1" applyFont="1" applyFill="1" applyBorder="1" applyAlignment="1" applyProtection="1">
      <alignment horizontal="center" vertical="center" wrapText="1"/>
    </xf>
    <xf numFmtId="0" fontId="24" fillId="3" borderId="4" xfId="0" applyNumberFormat="1" applyFont="1" applyFill="1" applyBorder="1" applyAlignment="1" applyProtection="1">
      <alignment horizontal="left" vertical="center" wrapText="1"/>
    </xf>
    <xf numFmtId="0" fontId="24" fillId="10" borderId="5" xfId="0" applyFont="1" applyFill="1" applyBorder="1" applyAlignment="1" applyProtection="1">
      <alignment horizontal="center" vertical="center"/>
    </xf>
    <xf numFmtId="0" fontId="24" fillId="3" borderId="9" xfId="0" applyFont="1" applyFill="1" applyBorder="1" applyAlignment="1" applyProtection="1">
      <alignment horizontal="center" vertical="center"/>
      <protection locked="0"/>
    </xf>
    <xf numFmtId="0" fontId="24" fillId="3" borderId="11" xfId="0" applyFont="1" applyFill="1" applyBorder="1" applyAlignment="1" applyProtection="1">
      <alignment horizontal="center" vertical="center"/>
      <protection locked="0"/>
    </xf>
    <xf numFmtId="49" fontId="21" fillId="0" borderId="10" xfId="0" applyNumberFormat="1" applyFont="1" applyFill="1" applyBorder="1" applyAlignment="1" applyProtection="1">
      <alignment horizontal="center" vertical="top" wrapText="1"/>
      <protection locked="0"/>
    </xf>
    <xf numFmtId="164" fontId="24" fillId="0" borderId="29" xfId="0" applyNumberFormat="1" applyFont="1" applyBorder="1" applyAlignment="1"/>
    <xf numFmtId="164" fontId="24" fillId="0" borderId="5" xfId="0" applyNumberFormat="1" applyFont="1" applyBorder="1" applyAlignment="1"/>
    <xf numFmtId="0" fontId="29" fillId="4" borderId="33" xfId="0" applyFont="1" applyFill="1" applyBorder="1" applyAlignment="1" applyProtection="1">
      <alignment horizontal="center" textRotation="90" wrapText="1"/>
      <protection locked="0"/>
    </xf>
    <xf numFmtId="0" fontId="29" fillId="4" borderId="2" xfId="0" applyFont="1" applyFill="1" applyBorder="1" applyAlignment="1" applyProtection="1">
      <alignment horizontal="center" textRotation="90" wrapText="1"/>
      <protection locked="0"/>
    </xf>
    <xf numFmtId="0" fontId="29" fillId="4" borderId="35" xfId="0" applyFont="1" applyFill="1" applyBorder="1" applyAlignment="1" applyProtection="1">
      <alignment horizontal="center" textRotation="90" wrapText="1"/>
      <protection locked="0"/>
    </xf>
    <xf numFmtId="0" fontId="25" fillId="9" borderId="29" xfId="0" applyFont="1" applyFill="1" applyBorder="1" applyAlignment="1" applyProtection="1">
      <alignment horizontal="center" vertical="center"/>
    </xf>
    <xf numFmtId="49" fontId="25" fillId="9" borderId="29" xfId="0" applyNumberFormat="1" applyFont="1" applyFill="1" applyBorder="1" applyAlignment="1" applyProtection="1">
      <alignment horizontal="center" vertical="center"/>
    </xf>
    <xf numFmtId="0" fontId="25" fillId="9" borderId="30" xfId="0" applyFont="1" applyFill="1" applyBorder="1" applyAlignment="1" applyProtection="1">
      <alignment horizontal="center" vertical="center"/>
      <protection locked="0"/>
    </xf>
    <xf numFmtId="0" fontId="25" fillId="9" borderId="10" xfId="0" applyFont="1" applyFill="1" applyBorder="1" applyAlignment="1" applyProtection="1">
      <alignment horizontal="center" vertical="center"/>
      <protection locked="0"/>
    </xf>
    <xf numFmtId="0" fontId="25" fillId="9" borderId="11" xfId="0" applyFont="1" applyFill="1" applyBorder="1" applyAlignment="1" applyProtection="1">
      <alignment horizontal="center" vertical="center"/>
      <protection locked="0"/>
    </xf>
    <xf numFmtId="0" fontId="25" fillId="9" borderId="9" xfId="0" applyFont="1" applyFill="1" applyBorder="1" applyAlignment="1" applyProtection="1">
      <alignment horizontal="center" vertical="center"/>
      <protection locked="0"/>
    </xf>
    <xf numFmtId="0" fontId="25" fillId="0" borderId="0" xfId="0" applyFont="1" applyFill="1" applyBorder="1" applyAlignment="1" applyProtection="1">
      <alignment horizontal="center" vertical="center"/>
    </xf>
    <xf numFmtId="49" fontId="25" fillId="0" borderId="0" xfId="0" applyNumberFormat="1" applyFont="1" applyFill="1" applyBorder="1" applyAlignment="1" applyProtection="1">
      <alignment horizontal="center" vertical="center"/>
    </xf>
    <xf numFmtId="0" fontId="25" fillId="0" borderId="0" xfId="0" applyFont="1" applyFill="1" applyBorder="1" applyAlignment="1" applyProtection="1">
      <alignment horizontal="center" vertical="center"/>
      <protection locked="0"/>
    </xf>
    <xf numFmtId="0" fontId="0" fillId="0" borderId="0" xfId="0" applyFill="1" applyBorder="1" applyAlignment="1" applyProtection="1">
      <alignment horizontal="center" vertical="center"/>
      <protection locked="0"/>
    </xf>
    <xf numFmtId="0" fontId="2" fillId="0" borderId="0" xfId="0" applyFont="1" applyFill="1" applyBorder="1" applyAlignment="1" applyProtection="1">
      <alignment horizontal="center" vertical="center"/>
    </xf>
    <xf numFmtId="49" fontId="2" fillId="0" borderId="0" xfId="0" applyNumberFormat="1" applyFont="1" applyFill="1" applyBorder="1" applyAlignment="1" applyProtection="1">
      <alignment horizontal="center" vertical="center"/>
    </xf>
    <xf numFmtId="0" fontId="2" fillId="0" borderId="0" xfId="0" applyFont="1" applyFill="1" applyBorder="1" applyAlignment="1" applyProtection="1">
      <alignment horizontal="center" vertical="center"/>
      <protection locked="0"/>
    </xf>
    <xf numFmtId="0" fontId="31" fillId="6" borderId="3" xfId="0" applyFont="1" applyFill="1" applyBorder="1" applyAlignment="1">
      <alignment wrapText="1"/>
    </xf>
    <xf numFmtId="164" fontId="21" fillId="14" borderId="7" xfId="0" applyNumberFormat="1" applyFont="1" applyFill="1" applyBorder="1" applyAlignment="1" applyProtection="1">
      <alignment vertical="top" wrapText="1"/>
    </xf>
    <xf numFmtId="164" fontId="21" fillId="14" borderId="11" xfId="0" applyNumberFormat="1" applyFont="1" applyFill="1" applyBorder="1" applyAlignment="1" applyProtection="1">
      <alignment vertical="top" wrapText="1"/>
    </xf>
    <xf numFmtId="164" fontId="32" fillId="12" borderId="61" xfId="1" applyNumberFormat="1" applyFont="1" applyFill="1" applyBorder="1" applyAlignment="1" applyProtection="1">
      <alignment vertical="center" wrapText="1"/>
    </xf>
    <xf numFmtId="164" fontId="14" fillId="12" borderId="14" xfId="0" applyNumberFormat="1" applyFont="1" applyFill="1" applyBorder="1" applyAlignment="1" applyProtection="1">
      <alignment horizontal="right" vertical="center" wrapText="1"/>
    </xf>
    <xf numFmtId="164" fontId="14" fillId="12" borderId="16" xfId="0" applyNumberFormat="1" applyFont="1" applyFill="1" applyBorder="1" applyAlignment="1" applyProtection="1">
      <alignment horizontal="right" vertical="center" wrapText="1"/>
    </xf>
    <xf numFmtId="164" fontId="14" fillId="12" borderId="14" xfId="1" applyNumberFormat="1" applyFont="1" applyFill="1" applyBorder="1" applyAlignment="1" applyProtection="1">
      <alignment vertical="center" wrapText="1"/>
    </xf>
    <xf numFmtId="0" fontId="14" fillId="12" borderId="15" xfId="0" applyFont="1" applyFill="1" applyBorder="1" applyAlignment="1" applyProtection="1">
      <alignment horizontal="left" vertical="center" wrapText="1"/>
    </xf>
    <xf numFmtId="0" fontId="14" fillId="12" borderId="16" xfId="0" applyFont="1" applyFill="1" applyBorder="1" applyAlignment="1" applyProtection="1">
      <alignment horizontal="left" vertical="center" wrapText="1"/>
    </xf>
    <xf numFmtId="49" fontId="22" fillId="0" borderId="58" xfId="0" applyNumberFormat="1" applyFont="1" applyBorder="1" applyAlignment="1" applyProtection="1">
      <alignment horizontal="left" vertical="top" wrapText="1"/>
      <protection locked="0"/>
    </xf>
    <xf numFmtId="49" fontId="22" fillId="0" borderId="22" xfId="0" applyNumberFormat="1" applyFont="1" applyBorder="1" applyAlignment="1" applyProtection="1">
      <alignment horizontal="left" vertical="top" wrapText="1"/>
      <protection locked="0"/>
    </xf>
    <xf numFmtId="49" fontId="22" fillId="0" borderId="38" xfId="0" applyNumberFormat="1" applyFont="1" applyBorder="1" applyAlignment="1" applyProtection="1">
      <alignment horizontal="left" vertical="top" wrapText="1"/>
      <protection locked="0"/>
    </xf>
    <xf numFmtId="49" fontId="22" fillId="0" borderId="17" xfId="0" applyNumberFormat="1" applyFont="1" applyBorder="1" applyAlignment="1" applyProtection="1">
      <alignment horizontal="left" vertical="top" wrapText="1"/>
      <protection locked="0"/>
    </xf>
    <xf numFmtId="49" fontId="22" fillId="0" borderId="30" xfId="0" applyNumberFormat="1" applyFont="1" applyBorder="1" applyAlignment="1" applyProtection="1">
      <alignment horizontal="left" vertical="top" wrapText="1"/>
      <protection locked="0"/>
    </xf>
    <xf numFmtId="49" fontId="22" fillId="0" borderId="23" xfId="0" applyNumberFormat="1" applyFont="1" applyBorder="1" applyAlignment="1" applyProtection="1">
      <alignment horizontal="left" vertical="top" wrapText="1"/>
      <protection locked="0"/>
    </xf>
    <xf numFmtId="0" fontId="13" fillId="3" borderId="0" xfId="0" applyFont="1" applyFill="1" applyBorder="1" applyAlignment="1" applyProtection="1">
      <alignment wrapText="1"/>
    </xf>
    <xf numFmtId="0" fontId="0" fillId="3" borderId="0" xfId="0" applyFill="1" applyBorder="1" applyAlignment="1" applyProtection="1">
      <alignment wrapText="1"/>
    </xf>
    <xf numFmtId="0" fontId="0" fillId="0" borderId="0" xfId="0" applyFill="1" applyBorder="1" applyAlignment="1" applyProtection="1">
      <alignment wrapText="1"/>
    </xf>
    <xf numFmtId="0" fontId="30" fillId="3" borderId="0" xfId="0" applyFont="1" applyFill="1" applyBorder="1" applyAlignment="1">
      <alignment wrapText="1"/>
    </xf>
    <xf numFmtId="164" fontId="10" fillId="0" borderId="30" xfId="0" applyNumberFormat="1" applyFont="1" applyBorder="1" applyProtection="1"/>
    <xf numFmtId="164" fontId="10" fillId="0" borderId="38" xfId="0" applyNumberFormat="1" applyFont="1" applyBorder="1" applyProtection="1"/>
    <xf numFmtId="164" fontId="10" fillId="0" borderId="7" xfId="0" applyNumberFormat="1" applyFont="1" applyBorder="1" applyProtection="1"/>
    <xf numFmtId="0" fontId="10" fillId="0" borderId="3" xfId="0" applyFont="1" applyBorder="1" applyProtection="1">
      <protection locked="0"/>
    </xf>
    <xf numFmtId="0" fontId="0" fillId="0" borderId="3" xfId="0" applyBorder="1" applyAlignment="1">
      <alignment wrapText="1"/>
    </xf>
    <xf numFmtId="164" fontId="14" fillId="12" borderId="15" xfId="1" applyNumberFormat="1" applyFont="1" applyFill="1" applyBorder="1" applyAlignment="1" applyProtection="1">
      <alignment vertical="center" wrapText="1"/>
    </xf>
    <xf numFmtId="164" fontId="10" fillId="5" borderId="63" xfId="0" applyNumberFormat="1" applyFont="1" applyFill="1" applyBorder="1" applyProtection="1"/>
    <xf numFmtId="164" fontId="10" fillId="15" borderId="0" xfId="0" applyNumberFormat="1" applyFont="1" applyFill="1" applyBorder="1" applyProtection="1"/>
    <xf numFmtId="0" fontId="21" fillId="14" borderId="46" xfId="0" applyNumberFormat="1" applyFont="1" applyFill="1" applyBorder="1" applyAlignment="1" applyProtection="1">
      <alignment horizontal="center" vertical="top" wrapText="1"/>
    </xf>
    <xf numFmtId="0" fontId="21" fillId="14" borderId="47" xfId="0" applyNumberFormat="1" applyFont="1" applyFill="1" applyBorder="1" applyAlignment="1" applyProtection="1">
      <alignment horizontal="center" vertical="top" wrapText="1"/>
    </xf>
    <xf numFmtId="0" fontId="14" fillId="0" borderId="54" xfId="0" applyFont="1" applyBorder="1" applyAlignment="1">
      <alignment horizontal="center" vertical="center" wrapText="1"/>
    </xf>
    <xf numFmtId="0" fontId="14" fillId="0" borderId="56" xfId="0" applyFont="1" applyBorder="1" applyAlignment="1">
      <alignment horizontal="center" vertical="center" wrapText="1"/>
    </xf>
    <xf numFmtId="0" fontId="14" fillId="0" borderId="44" xfId="0" applyFont="1" applyBorder="1" applyAlignment="1">
      <alignment horizontal="center" vertical="center" wrapText="1"/>
    </xf>
    <xf numFmtId="49" fontId="24" fillId="0" borderId="0" xfId="0" applyNumberFormat="1" applyFont="1" applyAlignment="1" applyProtection="1">
      <alignment wrapText="1"/>
      <protection locked="0"/>
    </xf>
    <xf numFmtId="49" fontId="24" fillId="0" borderId="0" xfId="0" applyNumberFormat="1" applyFont="1" applyAlignment="1" applyProtection="1">
      <alignment horizontal="left" wrapText="1"/>
      <protection locked="0"/>
    </xf>
    <xf numFmtId="0" fontId="9" fillId="0" borderId="0" xfId="0" applyFont="1"/>
    <xf numFmtId="49" fontId="6" fillId="0" borderId="17" xfId="0" applyNumberFormat="1" applyFont="1" applyBorder="1" applyAlignment="1">
      <alignment wrapText="1"/>
    </xf>
    <xf numFmtId="49" fontId="9" fillId="0" borderId="34" xfId="0" applyNumberFormat="1" applyFont="1" applyBorder="1" applyAlignment="1">
      <alignment horizontal="center" vertical="top"/>
    </xf>
    <xf numFmtId="49" fontId="0" fillId="0" borderId="0" xfId="0" applyNumberFormat="1" applyAlignment="1">
      <alignment wrapText="1"/>
    </xf>
    <xf numFmtId="49" fontId="0" fillId="0" borderId="0" xfId="0" applyNumberFormat="1" applyAlignment="1">
      <alignment horizontal="center" vertical="top"/>
    </xf>
    <xf numFmtId="49" fontId="9" fillId="0" borderId="28" xfId="0" applyNumberFormat="1" applyFont="1" applyBorder="1" applyAlignment="1">
      <alignment wrapText="1"/>
    </xf>
    <xf numFmtId="49" fontId="9" fillId="0" borderId="36" xfId="0" applyNumberFormat="1" applyFont="1" applyBorder="1" applyAlignment="1">
      <alignment horizontal="center" vertical="top"/>
    </xf>
    <xf numFmtId="49" fontId="9" fillId="0" borderId="23" xfId="0" applyNumberFormat="1" applyFont="1" applyBorder="1" applyAlignment="1">
      <alignment wrapText="1"/>
    </xf>
    <xf numFmtId="49" fontId="9" fillId="0" borderId="30" xfId="0" applyNumberFormat="1" applyFont="1" applyBorder="1" applyAlignment="1">
      <alignment horizontal="center" vertical="top"/>
    </xf>
    <xf numFmtId="49" fontId="9" fillId="0" borderId="17" xfId="0" applyNumberFormat="1" applyFont="1" applyBorder="1" applyAlignment="1">
      <alignment wrapText="1"/>
    </xf>
    <xf numFmtId="49" fontId="9" fillId="0" borderId="38" xfId="0" applyNumberFormat="1" applyFont="1" applyBorder="1" applyAlignment="1">
      <alignment horizontal="center" vertical="top"/>
    </xf>
    <xf numFmtId="49" fontId="9" fillId="0" borderId="67" xfId="0" applyNumberFormat="1" applyFont="1" applyBorder="1" applyAlignment="1">
      <alignment wrapText="1"/>
    </xf>
    <xf numFmtId="49" fontId="9" fillId="0" borderId="43" xfId="0" applyNumberFormat="1" applyFont="1" applyBorder="1" applyAlignment="1">
      <alignment horizontal="center" vertical="top"/>
    </xf>
    <xf numFmtId="49" fontId="9" fillId="0" borderId="25" xfId="0" applyNumberFormat="1" applyFont="1" applyBorder="1" applyAlignment="1">
      <alignment wrapText="1"/>
    </xf>
    <xf numFmtId="49" fontId="9" fillId="0" borderId="45" xfId="0" applyNumberFormat="1" applyFont="1" applyBorder="1" applyAlignment="1">
      <alignment horizontal="center" vertical="top"/>
    </xf>
    <xf numFmtId="49" fontId="9" fillId="0" borderId="68" xfId="0" applyNumberFormat="1" applyFont="1" applyBorder="1" applyAlignment="1">
      <alignment wrapText="1"/>
    </xf>
    <xf numFmtId="49" fontId="9" fillId="0" borderId="69" xfId="0" applyNumberFormat="1" applyFont="1" applyBorder="1" applyAlignment="1">
      <alignment horizontal="center" vertical="top"/>
    </xf>
    <xf numFmtId="49" fontId="9" fillId="0" borderId="70" xfId="0" applyNumberFormat="1" applyFont="1" applyBorder="1" applyAlignment="1">
      <alignment horizontal="center" vertical="top"/>
    </xf>
    <xf numFmtId="49" fontId="9" fillId="0" borderId="28" xfId="0" applyNumberFormat="1" applyFont="1" applyBorder="1" applyAlignment="1">
      <alignment vertical="center" wrapText="1"/>
    </xf>
    <xf numFmtId="0" fontId="9" fillId="0" borderId="31" xfId="0" applyFont="1" applyBorder="1"/>
    <xf numFmtId="0" fontId="9" fillId="0" borderId="29" xfId="0" applyFont="1" applyBorder="1"/>
    <xf numFmtId="0" fontId="9" fillId="0" borderId="5" xfId="0" applyFont="1" applyBorder="1"/>
    <xf numFmtId="49" fontId="39" fillId="16" borderId="3" xfId="0" applyNumberFormat="1" applyFont="1" applyFill="1" applyBorder="1" applyAlignment="1">
      <alignment wrapText="1"/>
    </xf>
    <xf numFmtId="49" fontId="9" fillId="0" borderId="13" xfId="0" applyNumberFormat="1" applyFont="1" applyBorder="1" applyAlignment="1">
      <alignment wrapText="1"/>
    </xf>
    <xf numFmtId="49" fontId="9" fillId="0" borderId="11" xfId="0" applyNumberFormat="1" applyFont="1" applyBorder="1" applyAlignment="1">
      <alignment wrapText="1"/>
    </xf>
    <xf numFmtId="49" fontId="41" fillId="0" borderId="11" xfId="0" applyNumberFormat="1" applyFont="1" applyBorder="1" applyAlignment="1">
      <alignment wrapText="1"/>
    </xf>
    <xf numFmtId="0" fontId="6" fillId="0" borderId="31" xfId="0" applyFont="1" applyBorder="1"/>
    <xf numFmtId="0" fontId="6" fillId="0" borderId="31" xfId="0" applyFont="1" applyBorder="1" applyAlignment="1">
      <alignment horizontal="left"/>
    </xf>
    <xf numFmtId="49" fontId="9" fillId="9" borderId="23" xfId="0" applyNumberFormat="1" applyFont="1" applyFill="1" applyBorder="1" applyAlignment="1">
      <alignment wrapText="1"/>
    </xf>
    <xf numFmtId="0" fontId="6" fillId="0" borderId="29" xfId="0" applyFont="1" applyBorder="1"/>
    <xf numFmtId="0" fontId="6" fillId="0" borderId="29" xfId="0" applyFont="1" applyBorder="1" applyAlignment="1">
      <alignment horizontal="left"/>
    </xf>
    <xf numFmtId="49" fontId="6" fillId="0" borderId="23" xfId="0" applyNumberFormat="1" applyFont="1" applyBorder="1" applyAlignment="1">
      <alignment wrapText="1"/>
    </xf>
    <xf numFmtId="0" fontId="6" fillId="0" borderId="29" xfId="0" applyFont="1" applyBorder="1" applyAlignment="1">
      <alignment wrapText="1"/>
    </xf>
    <xf numFmtId="0" fontId="9" fillId="0" borderId="20" xfId="0" applyFont="1" applyBorder="1" applyAlignment="1">
      <alignment wrapText="1"/>
    </xf>
    <xf numFmtId="0" fontId="6" fillId="0" borderId="32" xfId="0" applyFont="1" applyBorder="1"/>
    <xf numFmtId="0" fontId="6" fillId="0" borderId="32" xfId="0" applyFont="1" applyBorder="1" applyAlignment="1">
      <alignment wrapText="1"/>
    </xf>
    <xf numFmtId="49" fontId="9" fillId="0" borderId="23" xfId="0" applyNumberFormat="1" applyFont="1" applyBorder="1" applyAlignment="1">
      <alignment horizontal="left" wrapText="1"/>
    </xf>
    <xf numFmtId="0" fontId="9" fillId="16" borderId="16" xfId="0" applyFont="1" applyFill="1" applyBorder="1"/>
    <xf numFmtId="49" fontId="39" fillId="16" borderId="14" xfId="0" applyNumberFormat="1" applyFont="1" applyFill="1" applyBorder="1" applyAlignment="1">
      <alignment wrapText="1"/>
    </xf>
    <xf numFmtId="0" fontId="9" fillId="9" borderId="71" xfId="0" applyFont="1" applyFill="1" applyBorder="1" applyAlignment="1">
      <alignment horizontal="left" wrapText="1"/>
    </xf>
    <xf numFmtId="49" fontId="9" fillId="0" borderId="37" xfId="0" applyNumberFormat="1" applyFont="1" applyBorder="1" applyAlignment="1">
      <alignment horizontal="center" vertical="top"/>
    </xf>
    <xf numFmtId="49" fontId="39" fillId="0" borderId="0" xfId="0" applyNumberFormat="1" applyFont="1" applyAlignment="1">
      <alignment wrapText="1"/>
    </xf>
    <xf numFmtId="0" fontId="21" fillId="0" borderId="7" xfId="0" applyFont="1" applyFill="1" applyBorder="1" applyAlignment="1">
      <alignment horizontal="center" vertical="top"/>
    </xf>
    <xf numFmtId="0" fontId="21" fillId="0" borderId="11" xfId="0" applyFont="1" applyFill="1" applyBorder="1" applyAlignment="1">
      <alignment horizontal="center" vertical="top"/>
    </xf>
    <xf numFmtId="0" fontId="21" fillId="0" borderId="11" xfId="0" applyNumberFormat="1" applyFont="1" applyFill="1" applyBorder="1" applyAlignment="1" applyProtection="1">
      <alignment horizontal="center" vertical="top"/>
    </xf>
    <xf numFmtId="164" fontId="14" fillId="12" borderId="16" xfId="0" applyNumberFormat="1" applyFont="1" applyFill="1" applyBorder="1" applyAlignment="1">
      <alignment horizontal="right" vertical="center" wrapText="1"/>
    </xf>
    <xf numFmtId="0" fontId="13" fillId="3" borderId="24" xfId="0" applyFont="1" applyFill="1" applyBorder="1" applyAlignment="1" applyProtection="1">
      <alignment wrapText="1"/>
    </xf>
    <xf numFmtId="0" fontId="10" fillId="0" borderId="0" xfId="0" applyFont="1" applyBorder="1" applyProtection="1">
      <protection locked="0"/>
    </xf>
    <xf numFmtId="0" fontId="0" fillId="11" borderId="40" xfId="0" applyFill="1" applyBorder="1" applyAlignment="1">
      <alignment wrapText="1"/>
    </xf>
    <xf numFmtId="0" fontId="0" fillId="11" borderId="28" xfId="0" applyFill="1" applyBorder="1" applyAlignment="1">
      <alignment wrapText="1"/>
    </xf>
    <xf numFmtId="49" fontId="39" fillId="16" borderId="14" xfId="0" applyNumberFormat="1" applyFont="1" applyFill="1" applyBorder="1" applyAlignment="1">
      <alignment horizontal="center"/>
    </xf>
    <xf numFmtId="49" fontId="39" fillId="16" borderId="16" xfId="0" applyNumberFormat="1" applyFont="1" applyFill="1" applyBorder="1" applyAlignment="1">
      <alignment horizontal="center"/>
    </xf>
    <xf numFmtId="49" fontId="17" fillId="17" borderId="14" xfId="0" applyNumberFormat="1" applyFont="1" applyFill="1" applyBorder="1" applyAlignment="1">
      <alignment horizontal="center"/>
    </xf>
    <xf numFmtId="0" fontId="17" fillId="17" borderId="16" xfId="0" applyFont="1" applyFill="1" applyBorder="1" applyAlignment="1">
      <alignment horizontal="center"/>
    </xf>
    <xf numFmtId="49" fontId="39" fillId="16" borderId="14" xfId="0" applyNumberFormat="1" applyFont="1" applyFill="1" applyBorder="1" applyAlignment="1">
      <alignment horizontal="center" wrapText="1"/>
    </xf>
    <xf numFmtId="0" fontId="39" fillId="16" borderId="16" xfId="0" applyFont="1" applyFill="1" applyBorder="1" applyAlignment="1">
      <alignment horizontal="center" wrapText="1"/>
    </xf>
    <xf numFmtId="0" fontId="39" fillId="16" borderId="16" xfId="0" applyFont="1" applyFill="1" applyBorder="1" applyAlignment="1">
      <alignment horizontal="center"/>
    </xf>
    <xf numFmtId="49" fontId="39" fillId="16" borderId="18" xfId="0" applyNumberFormat="1" applyFont="1" applyFill="1" applyBorder="1" applyAlignment="1">
      <alignment horizontal="center"/>
    </xf>
    <xf numFmtId="0" fontId="39" fillId="16" borderId="42" xfId="0" applyFont="1" applyFill="1" applyBorder="1" applyAlignment="1">
      <alignment horizontal="center"/>
    </xf>
    <xf numFmtId="0" fontId="19" fillId="8" borderId="14" xfId="0" applyFont="1" applyFill="1" applyBorder="1" applyAlignment="1">
      <alignment horizontal="center" vertical="center" wrapText="1"/>
    </xf>
    <xf numFmtId="0" fontId="20" fillId="0" borderId="15" xfId="0" applyFont="1" applyBorder="1" applyAlignment="1">
      <alignment horizontal="center" vertical="center" wrapText="1"/>
    </xf>
    <xf numFmtId="0" fontId="20" fillId="0" borderId="16" xfId="0" applyFont="1" applyBorder="1" applyAlignment="1">
      <alignment horizontal="center" vertical="center" wrapText="1"/>
    </xf>
    <xf numFmtId="0" fontId="17" fillId="11" borderId="15" xfId="0" applyFont="1" applyFill="1" applyBorder="1" applyAlignment="1">
      <alignment horizontal="left" vertical="center" wrapText="1"/>
    </xf>
    <xf numFmtId="0" fontId="17" fillId="11" borderId="16" xfId="0" applyFont="1" applyFill="1" applyBorder="1" applyAlignment="1">
      <alignment horizontal="left" vertical="center" wrapText="1"/>
    </xf>
    <xf numFmtId="0" fontId="14" fillId="0" borderId="50" xfId="0" applyFont="1" applyBorder="1" applyAlignment="1">
      <alignment horizontal="center" vertical="center"/>
    </xf>
    <xf numFmtId="0" fontId="23" fillId="0" borderId="51" xfId="0" applyFont="1" applyBorder="1" applyAlignment="1">
      <alignment horizontal="center" vertical="center"/>
    </xf>
    <xf numFmtId="0" fontId="14" fillId="0" borderId="33" xfId="0" applyFont="1" applyBorder="1" applyAlignment="1">
      <alignment horizontal="center" vertical="center" wrapText="1"/>
    </xf>
    <xf numFmtId="0" fontId="14" fillId="0" borderId="56" xfId="0" applyFont="1" applyBorder="1" applyAlignment="1">
      <alignment horizontal="center" vertical="center" wrapText="1"/>
    </xf>
    <xf numFmtId="0" fontId="27" fillId="11" borderId="14" xfId="0" applyFont="1" applyFill="1" applyBorder="1" applyAlignment="1">
      <alignment horizontal="center"/>
    </xf>
    <xf numFmtId="0" fontId="43" fillId="11" borderId="15" xfId="0" applyFont="1" applyFill="1" applyBorder="1" applyAlignment="1"/>
    <xf numFmtId="0" fontId="43" fillId="11" borderId="16" xfId="0" applyFont="1" applyFill="1" applyBorder="1" applyAlignment="1"/>
    <xf numFmtId="0" fontId="14" fillId="0" borderId="18" xfId="0" applyFont="1" applyBorder="1" applyAlignment="1">
      <alignment horizontal="center" vertical="center" wrapText="1"/>
    </xf>
    <xf numFmtId="0" fontId="0" fillId="0" borderId="62" xfId="0" applyBorder="1" applyAlignment="1">
      <alignment horizontal="center" vertical="center" wrapText="1"/>
    </xf>
    <xf numFmtId="0" fontId="0" fillId="0" borderId="42" xfId="0" applyBorder="1" applyAlignment="1">
      <alignment horizontal="center" vertical="center" wrapText="1"/>
    </xf>
    <xf numFmtId="0" fontId="14" fillId="0" borderId="2" xfId="0" applyFont="1" applyBorder="1" applyAlignment="1">
      <alignment horizontal="center" vertical="center" wrapText="1"/>
    </xf>
    <xf numFmtId="0" fontId="14" fillId="0" borderId="54" xfId="0" applyFont="1" applyBorder="1" applyAlignment="1">
      <alignment horizontal="center" vertical="center" wrapText="1"/>
    </xf>
    <xf numFmtId="0" fontId="14" fillId="0" borderId="35" xfId="0" applyFont="1" applyBorder="1" applyAlignment="1">
      <alignment horizontal="center" vertical="center" wrapText="1"/>
    </xf>
    <xf numFmtId="0" fontId="14" fillId="0" borderId="44" xfId="0" applyFont="1" applyBorder="1" applyAlignment="1">
      <alignment horizontal="center" vertical="center" wrapText="1"/>
    </xf>
    <xf numFmtId="0" fontId="0" fillId="11" borderId="12" xfId="0" applyFill="1" applyBorder="1" applyAlignment="1">
      <alignment horizontal="center" wrapText="1"/>
    </xf>
    <xf numFmtId="0" fontId="0" fillId="11" borderId="40" xfId="0" applyFill="1" applyBorder="1" applyAlignment="1">
      <alignment horizontal="center" wrapText="1"/>
    </xf>
    <xf numFmtId="0" fontId="14" fillId="0" borderId="55" xfId="0" applyFont="1" applyBorder="1" applyAlignment="1">
      <alignment horizontal="center" vertical="center" wrapText="1"/>
    </xf>
    <xf numFmtId="0" fontId="14" fillId="0" borderId="57" xfId="0" applyFont="1" applyBorder="1" applyAlignment="1">
      <alignment horizontal="center" vertical="center" wrapText="1"/>
    </xf>
    <xf numFmtId="0" fontId="14" fillId="0" borderId="52" xfId="0" applyFont="1" applyBorder="1" applyAlignment="1">
      <alignment horizontal="center" vertical="center" wrapText="1"/>
    </xf>
    <xf numFmtId="0" fontId="14" fillId="0" borderId="53" xfId="0" applyFont="1" applyBorder="1" applyAlignment="1">
      <alignment horizontal="center" vertical="center" wrapText="1"/>
    </xf>
    <xf numFmtId="0" fontId="6" fillId="0" borderId="64" xfId="0" applyFont="1" applyFill="1" applyBorder="1" applyAlignment="1" applyProtection="1">
      <alignment horizontal="left" wrapText="1"/>
    </xf>
    <xf numFmtId="0" fontId="6" fillId="0" borderId="65" xfId="0" applyFont="1" applyFill="1" applyBorder="1" applyAlignment="1" applyProtection="1">
      <alignment horizontal="left" wrapText="1"/>
    </xf>
    <xf numFmtId="0" fontId="6" fillId="0" borderId="66" xfId="0" applyFont="1" applyFill="1" applyBorder="1" applyAlignment="1" applyProtection="1">
      <alignment horizontal="left" wrapText="1"/>
    </xf>
    <xf numFmtId="0" fontId="26" fillId="13" borderId="59" xfId="0" applyFont="1" applyFill="1" applyBorder="1" applyAlignment="1" applyProtection="1">
      <alignment horizontal="left" vertical="center" wrapText="1"/>
    </xf>
    <xf numFmtId="0" fontId="0" fillId="13" borderId="60" xfId="0" applyFill="1" applyBorder="1" applyAlignment="1">
      <alignment vertical="center" wrapText="1"/>
    </xf>
    <xf numFmtId="0" fontId="0" fillId="0" borderId="60" xfId="0" applyBorder="1" applyAlignment="1">
      <alignment vertical="center" wrapText="1"/>
    </xf>
    <xf numFmtId="0" fontId="21" fillId="0" borderId="8" xfId="0" applyFont="1" applyBorder="1" applyAlignment="1">
      <alignment wrapText="1"/>
    </xf>
    <xf numFmtId="0" fontId="21" fillId="0" borderId="22" xfId="0" applyFont="1" applyBorder="1" applyAlignment="1">
      <alignment wrapText="1"/>
    </xf>
    <xf numFmtId="0" fontId="21" fillId="0" borderId="23" xfId="0" applyFont="1" applyBorder="1" applyAlignment="1">
      <alignment wrapText="1"/>
    </xf>
    <xf numFmtId="0" fontId="21" fillId="0" borderId="18" xfId="0" applyFont="1" applyBorder="1" applyAlignment="1">
      <alignment wrapText="1"/>
    </xf>
    <xf numFmtId="0" fontId="21" fillId="0" borderId="62" xfId="0" applyFont="1" applyBorder="1" applyAlignment="1">
      <alignment wrapText="1"/>
    </xf>
    <xf numFmtId="0" fontId="21" fillId="0" borderId="42" xfId="0" applyFont="1" applyBorder="1" applyAlignment="1">
      <alignment wrapText="1"/>
    </xf>
    <xf numFmtId="0" fontId="35" fillId="7" borderId="14" xfId="0" applyFont="1" applyFill="1" applyBorder="1" applyAlignment="1">
      <alignment wrapText="1"/>
    </xf>
    <xf numFmtId="0" fontId="0" fillId="7" borderId="15" xfId="0" applyFill="1" applyBorder="1" applyAlignment="1">
      <alignment wrapText="1"/>
    </xf>
    <xf numFmtId="0" fontId="13" fillId="7" borderId="43" xfId="0" applyFont="1" applyFill="1" applyBorder="1" applyAlignment="1" applyProtection="1">
      <alignment wrapText="1"/>
    </xf>
    <xf numFmtId="0" fontId="0" fillId="0" borderId="0" xfId="0" applyAlignment="1">
      <alignment wrapText="1"/>
    </xf>
    <xf numFmtId="0" fontId="14" fillId="0" borderId="48" xfId="0" applyFont="1" applyBorder="1" applyAlignment="1">
      <alignment horizontal="center" vertical="center"/>
    </xf>
    <xf numFmtId="0" fontId="23" fillId="0" borderId="49" xfId="0" applyFont="1" applyBorder="1" applyAlignment="1">
      <alignment horizontal="center" vertical="center"/>
    </xf>
    <xf numFmtId="0" fontId="33" fillId="12" borderId="14" xfId="0" applyFont="1" applyFill="1" applyBorder="1" applyAlignment="1" applyProtection="1">
      <alignment horizontal="center" vertical="center" wrapText="1"/>
    </xf>
    <xf numFmtId="0" fontId="34" fillId="0" borderId="15" xfId="0" applyFont="1" applyBorder="1" applyAlignment="1">
      <alignment horizontal="center" vertical="center" wrapText="1"/>
    </xf>
    <xf numFmtId="0" fontId="34" fillId="0" borderId="16" xfId="0" applyFont="1" applyBorder="1" applyAlignment="1">
      <alignment horizontal="center" vertical="center" wrapText="1"/>
    </xf>
    <xf numFmtId="0" fontId="14" fillId="3" borderId="14" xfId="0" applyFont="1" applyFill="1" applyBorder="1" applyAlignment="1" applyProtection="1">
      <alignment horizontal="left" wrapText="1"/>
    </xf>
    <xf numFmtId="0" fontId="23" fillId="3" borderId="15" xfId="0" applyFont="1" applyFill="1" applyBorder="1" applyAlignment="1">
      <alignment horizontal="left" wrapText="1"/>
    </xf>
    <xf numFmtId="0" fontId="23" fillId="0" borderId="15" xfId="0" applyFont="1" applyBorder="1" applyAlignment="1">
      <alignment horizontal="left" wrapText="1"/>
    </xf>
    <xf numFmtId="0" fontId="23" fillId="0" borderId="16" xfId="0" applyFont="1" applyBorder="1" applyAlignment="1">
      <alignment horizontal="left" wrapText="1"/>
    </xf>
    <xf numFmtId="0" fontId="27" fillId="12" borderId="14" xfId="0" applyFont="1" applyFill="1" applyBorder="1" applyAlignment="1" applyProtection="1">
      <alignment horizontal="left" vertical="center" wrapText="1"/>
    </xf>
    <xf numFmtId="0" fontId="28" fillId="0" borderId="15" xfId="0" applyFont="1" applyBorder="1" applyAlignment="1">
      <alignment horizontal="left" vertical="center" wrapText="1"/>
    </xf>
    <xf numFmtId="0" fontId="14" fillId="12" borderId="14" xfId="0" applyFont="1" applyFill="1" applyBorder="1" applyAlignment="1" applyProtection="1">
      <alignment horizontal="right" vertical="center" wrapText="1"/>
    </xf>
    <xf numFmtId="0" fontId="14" fillId="12" borderId="15" xfId="0" applyFont="1" applyFill="1" applyBorder="1" applyAlignment="1" applyProtection="1">
      <alignment horizontal="right" vertical="center" wrapText="1"/>
    </xf>
    <xf numFmtId="0" fontId="4" fillId="10" borderId="36" xfId="0" applyNumberFormat="1" applyFont="1" applyFill="1" applyBorder="1" applyAlignment="1">
      <alignment horizontal="left" vertical="top" wrapText="1"/>
    </xf>
    <xf numFmtId="0" fontId="4" fillId="10" borderId="13" xfId="0" applyNumberFormat="1" applyFont="1" applyFill="1" applyBorder="1" applyAlignment="1">
      <alignment horizontal="left" vertical="top" wrapText="1"/>
    </xf>
    <xf numFmtId="0" fontId="4" fillId="0" borderId="37" xfId="0" applyNumberFormat="1" applyFont="1" applyBorder="1" applyAlignment="1">
      <alignment horizontal="left" vertical="top" wrapText="1"/>
    </xf>
    <xf numFmtId="0" fontId="4" fillId="0" borderId="19" xfId="0" applyNumberFormat="1" applyFont="1" applyBorder="1" applyAlignment="1">
      <alignment horizontal="left" vertical="top" wrapText="1"/>
    </xf>
    <xf numFmtId="0" fontId="4" fillId="0" borderId="38" xfId="0" applyNumberFormat="1" applyFont="1" applyBorder="1" applyAlignment="1">
      <alignment horizontal="left" vertical="top" wrapText="1"/>
    </xf>
    <xf numFmtId="0" fontId="4" fillId="0" borderId="7" xfId="0" applyNumberFormat="1" applyFont="1" applyBorder="1" applyAlignment="1">
      <alignment horizontal="left" vertical="top" wrapText="1"/>
    </xf>
    <xf numFmtId="0" fontId="5" fillId="0" borderId="30" xfId="0" applyNumberFormat="1" applyFont="1" applyBorder="1" applyAlignment="1">
      <alignment wrapText="1"/>
    </xf>
    <xf numFmtId="0" fontId="9" fillId="0" borderId="27" xfId="0" applyNumberFormat="1" applyFont="1" applyBorder="1" applyAlignment="1">
      <alignment wrapText="1"/>
    </xf>
    <xf numFmtId="0" fontId="5" fillId="0" borderId="36" xfId="0" applyNumberFormat="1" applyFont="1" applyBorder="1" applyAlignment="1">
      <alignment horizontal="left" wrapText="1"/>
    </xf>
    <xf numFmtId="0" fontId="5" fillId="0" borderId="39" xfId="0" applyNumberFormat="1" applyFont="1" applyBorder="1" applyAlignment="1">
      <alignment horizontal="left" wrapText="1"/>
    </xf>
    <xf numFmtId="0" fontId="5" fillId="0" borderId="38" xfId="0" applyNumberFormat="1" applyFont="1" applyBorder="1" applyAlignment="1">
      <alignment wrapText="1"/>
    </xf>
    <xf numFmtId="0" fontId="9" fillId="0" borderId="26" xfId="0" applyNumberFormat="1" applyFont="1" applyBorder="1" applyAlignment="1">
      <alignment wrapText="1"/>
    </xf>
  </cellXfs>
  <cellStyles count="2">
    <cellStyle name="Currency" xfId="1" builtinId="4"/>
    <cellStyle name="Normal" xfId="0" builtinId="0"/>
  </cellStyles>
  <dxfs count="54">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7030A0"/>
        </patternFill>
      </fill>
    </dxf>
    <dxf>
      <fill>
        <patternFill>
          <bgColor theme="4" tint="0.59996337778862885"/>
        </patternFill>
      </fill>
    </dxf>
    <dxf>
      <font>
        <color theme="0"/>
      </font>
    </dxf>
    <dxf>
      <font>
        <color theme="0"/>
      </font>
    </dxf>
    <dxf>
      <font>
        <b/>
        <i val="0"/>
      </font>
      <fill>
        <patternFill>
          <bgColor theme="9" tint="0.39994506668294322"/>
        </patternFill>
      </fill>
    </dxf>
    <dxf>
      <font>
        <b/>
        <i val="0"/>
      </font>
      <fill>
        <patternFill>
          <bgColor rgb="FFFF0000"/>
        </patternFill>
      </fill>
    </dxf>
    <dxf>
      <fill>
        <patternFill>
          <bgColor theme="0"/>
        </patternFill>
      </fill>
    </dxf>
    <dxf>
      <font>
        <b/>
        <i val="0"/>
        <color rgb="FFC00000"/>
      </font>
      <fill>
        <patternFill>
          <bgColor theme="7" tint="0.59996337778862885"/>
        </patternFill>
      </fill>
    </dxf>
    <dxf>
      <font>
        <color rgb="FF7030A0"/>
      </font>
      <fill>
        <patternFill>
          <bgColor rgb="FF7030A0"/>
        </patternFill>
      </fill>
    </dxf>
    <dxf>
      <font>
        <b/>
        <i val="0"/>
        <color rgb="FFC00000"/>
      </font>
      <fill>
        <patternFill>
          <bgColor theme="7" tint="0.59996337778862885"/>
        </patternFill>
      </fill>
    </dxf>
    <dxf>
      <font>
        <color theme="0"/>
      </font>
    </dxf>
    <dxf>
      <font>
        <color theme="0"/>
      </font>
      <fill>
        <patternFill>
          <bgColor rgb="FF7030A0"/>
        </patternFill>
      </fill>
    </dxf>
    <dxf>
      <font>
        <color theme="0"/>
      </font>
      <fill>
        <patternFill>
          <bgColor rgb="FF7030A0"/>
        </patternFill>
      </fill>
    </dxf>
    <dxf>
      <font>
        <color theme="0"/>
      </font>
      <fill>
        <patternFill>
          <bgColor rgb="FF7030A0"/>
        </patternFill>
      </fill>
    </dxf>
    <dxf>
      <font>
        <color theme="0"/>
      </font>
      <fill>
        <patternFill>
          <bgColor rgb="FF7030A0"/>
        </patternFill>
      </fill>
    </dxf>
    <dxf>
      <font>
        <color theme="0"/>
      </font>
      <fill>
        <patternFill>
          <bgColor rgb="FF7030A0"/>
        </patternFill>
      </fill>
    </dxf>
    <dxf>
      <fill>
        <patternFill>
          <bgColor rgb="FFFFC000"/>
        </patternFill>
      </fill>
    </dxf>
    <dxf>
      <fill>
        <patternFill>
          <bgColor rgb="FFFF0000"/>
        </patternFill>
      </fill>
    </dxf>
    <dxf>
      <fill>
        <patternFill>
          <fgColor theme="0"/>
        </patternFill>
      </fill>
    </dxf>
    <dxf>
      <font>
        <color theme="0"/>
      </font>
      <fill>
        <patternFill>
          <bgColor rgb="FF7030A0"/>
        </patternFill>
      </fill>
    </dxf>
    <dxf>
      <fill>
        <patternFill patternType="darkUp"/>
      </fill>
    </dxf>
    <dxf>
      <font>
        <color theme="0"/>
      </font>
      <fill>
        <patternFill>
          <bgColor rgb="FF7030A0"/>
        </patternFill>
      </fill>
    </dxf>
    <dxf>
      <fill>
        <patternFill>
          <bgColor rgb="FFFF0000"/>
        </patternFill>
      </fill>
    </dxf>
    <dxf>
      <fill>
        <patternFill>
          <bgColor theme="8" tint="0.39994506668294322"/>
        </patternFill>
      </fill>
    </dxf>
    <dxf>
      <font>
        <strike val="0"/>
        <color theme="6" tint="0.59996337778862885"/>
      </font>
    </dxf>
  </dxfs>
  <tableStyles count="0" defaultTableStyle="TableStyleMedium2" defaultPivotStyle="PivotStyleLight16"/>
  <colors>
    <mruColors>
      <color rgb="FFFF99FF"/>
      <color rgb="FFFF00FF"/>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78441</xdr:colOff>
      <xdr:row>1</xdr:row>
      <xdr:rowOff>71717</xdr:rowOff>
    </xdr:from>
    <xdr:to>
      <xdr:col>6</xdr:col>
      <xdr:colOff>1389530</xdr:colOff>
      <xdr:row>1</xdr:row>
      <xdr:rowOff>457199</xdr:rowOff>
    </xdr:to>
    <xdr:sp macro="" textlink="">
      <xdr:nvSpPr>
        <xdr:cNvPr id="2" name="TextBox 1">
          <a:extLst>
            <a:ext uri="{FF2B5EF4-FFF2-40B4-BE49-F238E27FC236}">
              <a16:creationId xmlns:a16="http://schemas.microsoft.com/office/drawing/2014/main" id="{709D2845-3C52-F15B-4693-7BF981407951}"/>
            </a:ext>
          </a:extLst>
        </xdr:cNvPr>
        <xdr:cNvSpPr txBox="1"/>
      </xdr:nvSpPr>
      <xdr:spPr>
        <a:xfrm>
          <a:off x="78441" y="374276"/>
          <a:ext cx="8135471" cy="3854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FF0000"/>
              </a:solidFill>
              <a:latin typeface="Arial Black" panose="020B0A04020102020204" pitchFamily="34" charset="0"/>
            </a:rPr>
            <a:t>When</a:t>
          </a:r>
          <a:r>
            <a:rPr lang="en-US" sz="1400" baseline="0">
              <a:solidFill>
                <a:srgbClr val="FF0000"/>
              </a:solidFill>
              <a:latin typeface="Arial Black" panose="020B0A04020102020204" pitchFamily="34" charset="0"/>
            </a:rPr>
            <a:t> completing this form, do not delete or alter any columns or workbook tabs.</a:t>
          </a:r>
          <a:endParaRPr lang="en-US" sz="1400">
            <a:solidFill>
              <a:srgbClr val="FF0000"/>
            </a:solidFill>
            <a:latin typeface="Arial Black" panose="020B0A040201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0F255-3265-469F-9112-94626B338B30}">
  <sheetPr>
    <tabColor theme="0" tint="-0.249977111117893"/>
  </sheetPr>
  <dimension ref="A1:E41"/>
  <sheetViews>
    <sheetView topLeftCell="A2" workbookViewId="0">
      <selection activeCell="B11" sqref="B11"/>
    </sheetView>
  </sheetViews>
  <sheetFormatPr defaultRowHeight="14.4" x14ac:dyDescent="0.3"/>
  <cols>
    <col min="1" max="1" width="6.6640625" customWidth="1"/>
    <col min="2" max="2" width="83.88671875" customWidth="1"/>
    <col min="3" max="3" width="4.109375" customWidth="1"/>
    <col min="4" max="4" width="66" customWidth="1"/>
    <col min="5" max="5" width="98.44140625" bestFit="1" customWidth="1"/>
  </cols>
  <sheetData>
    <row r="1" spans="1:5" ht="21.6" thickBot="1" x14ac:dyDescent="0.45">
      <c r="A1" s="169" t="s">
        <v>113</v>
      </c>
      <c r="B1" s="170"/>
    </row>
    <row r="2" spans="1:5" ht="30.75" customHeight="1" thickBot="1" x14ac:dyDescent="0.35">
      <c r="A2" s="171" t="s">
        <v>112</v>
      </c>
      <c r="B2" s="172"/>
      <c r="C2" s="117"/>
      <c r="D2" s="158"/>
      <c r="E2" s="117"/>
    </row>
    <row r="3" spans="1:5" ht="28.8" thickBot="1" x14ac:dyDescent="0.35">
      <c r="A3" s="157" t="s">
        <v>46</v>
      </c>
      <c r="B3" s="156" t="s">
        <v>111</v>
      </c>
      <c r="C3" s="117"/>
      <c r="D3" s="155" t="s">
        <v>110</v>
      </c>
      <c r="E3" s="154"/>
    </row>
    <row r="4" spans="1:5" x14ac:dyDescent="0.3">
      <c r="A4" s="125" t="s">
        <v>51</v>
      </c>
      <c r="B4" s="153" t="s">
        <v>109</v>
      </c>
      <c r="C4" s="117"/>
      <c r="D4" s="152" t="s">
        <v>108</v>
      </c>
      <c r="E4" s="151" t="s">
        <v>107</v>
      </c>
    </row>
    <row r="5" spans="1:5" ht="28.2" x14ac:dyDescent="0.3">
      <c r="A5" s="125" t="s">
        <v>49</v>
      </c>
      <c r="B5" s="148" t="s">
        <v>106</v>
      </c>
      <c r="C5" s="117"/>
      <c r="D5" s="149" t="s">
        <v>105</v>
      </c>
      <c r="E5" s="146" t="s">
        <v>104</v>
      </c>
    </row>
    <row r="6" spans="1:5" x14ac:dyDescent="0.3">
      <c r="A6" s="125" t="s">
        <v>103</v>
      </c>
      <c r="B6" s="124" t="s">
        <v>102</v>
      </c>
      <c r="C6" s="117"/>
      <c r="D6" s="149" t="s">
        <v>0</v>
      </c>
      <c r="E6" s="146" t="s">
        <v>101</v>
      </c>
    </row>
    <row r="7" spans="1:5" ht="28.2" x14ac:dyDescent="0.3">
      <c r="A7" s="125" t="s">
        <v>100</v>
      </c>
      <c r="B7" s="124" t="s">
        <v>99</v>
      </c>
      <c r="C7" s="117"/>
      <c r="D7" s="149" t="s">
        <v>98</v>
      </c>
      <c r="E7" s="150" t="s">
        <v>97</v>
      </c>
    </row>
    <row r="8" spans="1:5" ht="69.599999999999994" x14ac:dyDescent="0.3">
      <c r="A8" s="125" t="s">
        <v>96</v>
      </c>
      <c r="B8" s="148" t="s">
        <v>95</v>
      </c>
      <c r="C8" s="117"/>
      <c r="D8" s="146" t="s">
        <v>1</v>
      </c>
      <c r="E8" s="149" t="s">
        <v>94</v>
      </c>
    </row>
    <row r="9" spans="1:5" ht="42" x14ac:dyDescent="0.3">
      <c r="A9" s="125" t="s">
        <v>93</v>
      </c>
      <c r="B9" s="124" t="s">
        <v>92</v>
      </c>
      <c r="C9" s="117"/>
      <c r="D9" s="146" t="s">
        <v>2</v>
      </c>
      <c r="E9" s="146" t="s">
        <v>91</v>
      </c>
    </row>
    <row r="10" spans="1:5" ht="20.25" customHeight="1" x14ac:dyDescent="0.3">
      <c r="A10" s="125" t="s">
        <v>90</v>
      </c>
      <c r="B10" s="124" t="s">
        <v>89</v>
      </c>
      <c r="C10" s="117"/>
      <c r="D10" s="146" t="s">
        <v>3</v>
      </c>
      <c r="E10" s="146" t="s">
        <v>88</v>
      </c>
    </row>
    <row r="11" spans="1:5" ht="55.8" x14ac:dyDescent="0.3">
      <c r="A11" s="125" t="s">
        <v>87</v>
      </c>
      <c r="B11" s="148" t="s">
        <v>86</v>
      </c>
      <c r="C11" s="117"/>
      <c r="D11" s="147" t="s">
        <v>85</v>
      </c>
      <c r="E11" s="146" t="s">
        <v>84</v>
      </c>
    </row>
    <row r="12" spans="1:5" ht="28.8" thickBot="1" x14ac:dyDescent="0.35">
      <c r="A12" s="125" t="s">
        <v>83</v>
      </c>
      <c r="B12" s="145" t="s">
        <v>82</v>
      </c>
      <c r="C12" s="117"/>
      <c r="D12" s="144" t="s">
        <v>81</v>
      </c>
      <c r="E12" s="143" t="s">
        <v>80</v>
      </c>
    </row>
    <row r="13" spans="1:5" ht="42" x14ac:dyDescent="0.3">
      <c r="A13" s="125" t="s">
        <v>79</v>
      </c>
      <c r="B13" s="141" t="s">
        <v>78</v>
      </c>
      <c r="C13" s="117"/>
    </row>
    <row r="14" spans="1:5" x14ac:dyDescent="0.3">
      <c r="A14" s="125" t="s">
        <v>77</v>
      </c>
      <c r="B14" s="142" t="s">
        <v>76</v>
      </c>
      <c r="C14" s="117"/>
    </row>
    <row r="15" spans="1:5" x14ac:dyDescent="0.3">
      <c r="A15" s="125" t="s">
        <v>75</v>
      </c>
      <c r="B15" s="141" t="s">
        <v>74</v>
      </c>
      <c r="C15" s="117"/>
      <c r="D15" s="117"/>
      <c r="E15" s="117"/>
    </row>
    <row r="16" spans="1:5" ht="15" thickBot="1" x14ac:dyDescent="0.35">
      <c r="A16" s="123" t="s">
        <v>73</v>
      </c>
      <c r="B16" s="140" t="s">
        <v>72</v>
      </c>
      <c r="C16" s="117"/>
      <c r="E16" s="117"/>
    </row>
    <row r="17" spans="1:5" ht="15" thickBot="1" x14ac:dyDescent="0.35">
      <c r="A17" s="133"/>
      <c r="B17" s="132"/>
      <c r="C17" s="117"/>
      <c r="E17" s="117"/>
    </row>
    <row r="18" spans="1:5" ht="15" thickBot="1" x14ac:dyDescent="0.35">
      <c r="A18" s="167" t="s">
        <v>71</v>
      </c>
      <c r="B18" s="168"/>
      <c r="C18" s="117"/>
      <c r="D18" s="139" t="s">
        <v>70</v>
      </c>
      <c r="E18" s="117"/>
    </row>
    <row r="19" spans="1:5" x14ac:dyDescent="0.3">
      <c r="A19" s="127" t="s">
        <v>46</v>
      </c>
      <c r="B19" s="126" t="s">
        <v>69</v>
      </c>
      <c r="C19" s="117"/>
      <c r="D19" s="138" t="s">
        <v>68</v>
      </c>
      <c r="E19" s="117"/>
    </row>
    <row r="20" spans="1:5" x14ac:dyDescent="0.3">
      <c r="A20" s="125" t="s">
        <v>51</v>
      </c>
      <c r="B20" s="124" t="s">
        <v>67</v>
      </c>
      <c r="C20" s="117"/>
      <c r="D20" s="137" t="s">
        <v>66</v>
      </c>
      <c r="E20" s="117"/>
    </row>
    <row r="21" spans="1:5" ht="15" thickBot="1" x14ac:dyDescent="0.35">
      <c r="A21" s="123" t="s">
        <v>49</v>
      </c>
      <c r="B21" s="122" t="s">
        <v>65</v>
      </c>
      <c r="C21" s="117"/>
      <c r="D21" s="137" t="s">
        <v>64</v>
      </c>
      <c r="E21" s="117"/>
    </row>
    <row r="22" spans="1:5" ht="15" thickBot="1" x14ac:dyDescent="0.35">
      <c r="A22" s="133"/>
      <c r="B22" s="132"/>
      <c r="C22" s="117"/>
      <c r="D22" s="136" t="s">
        <v>63</v>
      </c>
      <c r="E22" s="117"/>
    </row>
    <row r="23" spans="1:5" ht="15" thickBot="1" x14ac:dyDescent="0.35">
      <c r="A23" s="167" t="s">
        <v>62</v>
      </c>
      <c r="B23" s="173"/>
      <c r="C23" s="117"/>
      <c r="D23" s="117"/>
      <c r="E23" s="117"/>
    </row>
    <row r="24" spans="1:5" ht="72.75" customHeight="1" x14ac:dyDescent="0.3">
      <c r="A24" s="127" t="s">
        <v>46</v>
      </c>
      <c r="B24" s="126" t="s">
        <v>61</v>
      </c>
      <c r="C24" s="117"/>
      <c r="D24" s="117"/>
      <c r="E24" s="117"/>
    </row>
    <row r="25" spans="1:5" ht="203.25" customHeight="1" x14ac:dyDescent="0.3">
      <c r="A25" s="125" t="s">
        <v>51</v>
      </c>
      <c r="B25" s="124" t="s">
        <v>60</v>
      </c>
      <c r="C25" s="117"/>
      <c r="D25" s="117"/>
      <c r="E25" s="117"/>
    </row>
    <row r="26" spans="1:5" ht="84" thickBot="1" x14ac:dyDescent="0.35">
      <c r="A26" s="123" t="s">
        <v>49</v>
      </c>
      <c r="B26" s="135" t="s">
        <v>59</v>
      </c>
      <c r="C26" s="117"/>
      <c r="D26" s="117"/>
      <c r="E26" s="117"/>
    </row>
    <row r="27" spans="1:5" ht="15" thickBot="1" x14ac:dyDescent="0.35">
      <c r="A27" s="133"/>
      <c r="B27" s="132"/>
      <c r="C27" s="117"/>
      <c r="D27" s="117"/>
      <c r="E27" s="117"/>
    </row>
    <row r="28" spans="1:5" ht="15" thickBot="1" x14ac:dyDescent="0.35">
      <c r="A28" s="167" t="s">
        <v>58</v>
      </c>
      <c r="B28" s="173"/>
      <c r="C28" s="117"/>
      <c r="D28" s="117"/>
      <c r="E28" s="117"/>
    </row>
    <row r="29" spans="1:5" ht="56.4" thickBot="1" x14ac:dyDescent="0.35">
      <c r="A29" s="134" t="s">
        <v>46</v>
      </c>
      <c r="B29" s="132" t="s">
        <v>57</v>
      </c>
      <c r="C29" s="117"/>
      <c r="D29" s="117"/>
      <c r="E29" s="117"/>
    </row>
    <row r="30" spans="1:5" ht="15" thickBot="1" x14ac:dyDescent="0.35">
      <c r="A30" s="133"/>
      <c r="B30" s="132"/>
      <c r="C30" s="117"/>
      <c r="D30" s="117"/>
      <c r="E30" s="117"/>
    </row>
    <row r="31" spans="1:5" x14ac:dyDescent="0.3">
      <c r="A31" s="174" t="s">
        <v>56</v>
      </c>
      <c r="B31" s="175"/>
      <c r="C31" s="117"/>
      <c r="D31" s="117"/>
      <c r="E31" s="117"/>
    </row>
    <row r="32" spans="1:5" ht="28.2" x14ac:dyDescent="0.3">
      <c r="A32" s="131" t="s">
        <v>46</v>
      </c>
      <c r="B32" s="130" t="s">
        <v>55</v>
      </c>
      <c r="C32" s="117"/>
      <c r="D32" s="117"/>
      <c r="E32" s="117"/>
    </row>
    <row r="33" spans="1:5" ht="28.8" thickBot="1" x14ac:dyDescent="0.35">
      <c r="A33" s="123" t="s">
        <v>51</v>
      </c>
      <c r="B33" s="122" t="s">
        <v>54</v>
      </c>
      <c r="C33" s="117"/>
      <c r="D33" s="117"/>
      <c r="E33" s="117"/>
    </row>
    <row r="34" spans="1:5" ht="15" thickBot="1" x14ac:dyDescent="0.35">
      <c r="A34" s="129"/>
      <c r="B34" s="128"/>
      <c r="C34" s="117"/>
      <c r="D34" s="117"/>
      <c r="E34" s="117"/>
    </row>
    <row r="35" spans="1:5" ht="15" thickBot="1" x14ac:dyDescent="0.35">
      <c r="A35" s="167" t="s">
        <v>53</v>
      </c>
      <c r="B35" s="168"/>
      <c r="C35" s="117"/>
      <c r="D35" s="117"/>
      <c r="E35" s="117"/>
    </row>
    <row r="36" spans="1:5" ht="83.4" x14ac:dyDescent="0.3">
      <c r="A36" s="127" t="s">
        <v>46</v>
      </c>
      <c r="B36" s="126" t="s">
        <v>52</v>
      </c>
      <c r="C36" s="117"/>
      <c r="D36" s="117"/>
      <c r="E36" s="117"/>
    </row>
    <row r="37" spans="1:5" ht="116.25" customHeight="1" x14ac:dyDescent="0.3">
      <c r="A37" s="125" t="s">
        <v>51</v>
      </c>
      <c r="B37" s="124" t="s">
        <v>50</v>
      </c>
      <c r="C37" s="117"/>
      <c r="D37" s="117"/>
      <c r="E37" s="117"/>
    </row>
    <row r="38" spans="1:5" ht="61.5" customHeight="1" thickBot="1" x14ac:dyDescent="0.35">
      <c r="A38" s="123" t="s">
        <v>49</v>
      </c>
      <c r="B38" s="122" t="s">
        <v>48</v>
      </c>
      <c r="C38" s="117"/>
      <c r="D38" s="117"/>
      <c r="E38" s="117"/>
    </row>
    <row r="39" spans="1:5" ht="15" thickBot="1" x14ac:dyDescent="0.35">
      <c r="A39" s="121"/>
      <c r="B39" s="120"/>
    </row>
    <row r="40" spans="1:5" ht="15" thickBot="1" x14ac:dyDescent="0.35">
      <c r="A40" s="167" t="s">
        <v>47</v>
      </c>
      <c r="B40" s="168"/>
      <c r="C40" s="117"/>
      <c r="D40" s="117"/>
      <c r="E40" s="117"/>
    </row>
    <row r="41" spans="1:5" ht="97.2" x14ac:dyDescent="0.3">
      <c r="A41" s="119" t="s">
        <v>46</v>
      </c>
      <c r="B41" s="118" t="s">
        <v>45</v>
      </c>
      <c r="C41" s="117"/>
      <c r="D41" s="117"/>
      <c r="E41" s="117"/>
    </row>
  </sheetData>
  <mergeCells count="8">
    <mergeCell ref="A35:B35"/>
    <mergeCell ref="A40:B40"/>
    <mergeCell ref="A1:B1"/>
    <mergeCell ref="A2:B2"/>
    <mergeCell ref="A18:B18"/>
    <mergeCell ref="A23:B23"/>
    <mergeCell ref="A28:B28"/>
    <mergeCell ref="A31:B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DB7B-14C0-4C91-B210-EDCD50C0600E}">
  <sheetPr>
    <tabColor theme="0" tint="-0.249977111117893"/>
  </sheetPr>
  <dimension ref="A1:B14"/>
  <sheetViews>
    <sheetView workbookViewId="0">
      <selection sqref="A1:B14"/>
    </sheetView>
  </sheetViews>
  <sheetFormatPr defaultColWidth="8.88671875" defaultRowHeight="15" x14ac:dyDescent="0.25"/>
  <cols>
    <col min="1" max="1" width="8.88671875" style="116"/>
    <col min="2" max="2" width="48.6640625" style="116" customWidth="1"/>
    <col min="3" max="16384" width="8.88671875" style="115"/>
  </cols>
  <sheetData>
    <row r="1" spans="1:2" x14ac:dyDescent="0.25">
      <c r="A1" s="116" t="s">
        <v>279</v>
      </c>
      <c r="B1" s="116" t="s">
        <v>265</v>
      </c>
    </row>
    <row r="2" spans="1:2" x14ac:dyDescent="0.25">
      <c r="A2" s="116" t="s">
        <v>280</v>
      </c>
      <c r="B2" s="116" t="s">
        <v>266</v>
      </c>
    </row>
    <row r="3" spans="1:2" ht="30" x14ac:dyDescent="0.25">
      <c r="A3" s="116" t="s">
        <v>281</v>
      </c>
      <c r="B3" s="116" t="s">
        <v>267</v>
      </c>
    </row>
    <row r="4" spans="1:2" ht="30" x14ac:dyDescent="0.25">
      <c r="A4" s="116" t="s">
        <v>282</v>
      </c>
      <c r="B4" s="116" t="s">
        <v>268</v>
      </c>
    </row>
    <row r="5" spans="1:2" x14ac:dyDescent="0.25">
      <c r="A5" s="116" t="s">
        <v>283</v>
      </c>
      <c r="B5" s="116" t="s">
        <v>269</v>
      </c>
    </row>
    <row r="6" spans="1:2" x14ac:dyDescent="0.25">
      <c r="A6" s="116" t="s">
        <v>284</v>
      </c>
      <c r="B6" s="116" t="s">
        <v>270</v>
      </c>
    </row>
    <row r="7" spans="1:2" x14ac:dyDescent="0.25">
      <c r="A7" s="116" t="s">
        <v>285</v>
      </c>
      <c r="B7" s="116" t="s">
        <v>271</v>
      </c>
    </row>
    <row r="8" spans="1:2" x14ac:dyDescent="0.25">
      <c r="A8" s="116" t="s">
        <v>286</v>
      </c>
      <c r="B8" s="116" t="s">
        <v>272</v>
      </c>
    </row>
    <row r="9" spans="1:2" x14ac:dyDescent="0.25">
      <c r="A9" s="116" t="s">
        <v>287</v>
      </c>
      <c r="B9" s="116" t="s">
        <v>273</v>
      </c>
    </row>
    <row r="10" spans="1:2" x14ac:dyDescent="0.25">
      <c r="A10" s="116" t="s">
        <v>288</v>
      </c>
      <c r="B10" s="116" t="s">
        <v>274</v>
      </c>
    </row>
    <row r="11" spans="1:2" x14ac:dyDescent="0.25">
      <c r="A11" s="116" t="s">
        <v>289</v>
      </c>
      <c r="B11" s="116" t="s">
        <v>275</v>
      </c>
    </row>
    <row r="12" spans="1:2" x14ac:dyDescent="0.25">
      <c r="A12" s="116" t="s">
        <v>290</v>
      </c>
      <c r="B12" s="116" t="s">
        <v>276</v>
      </c>
    </row>
    <row r="13" spans="1:2" x14ac:dyDescent="0.25">
      <c r="A13" s="116" t="s">
        <v>291</v>
      </c>
      <c r="B13" s="116" t="s">
        <v>277</v>
      </c>
    </row>
    <row r="14" spans="1:2" x14ac:dyDescent="0.25">
      <c r="A14" s="116" t="s">
        <v>292</v>
      </c>
      <c r="B14" s="116" t="s">
        <v>278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GW64"/>
  <sheetViews>
    <sheetView tabSelected="1" topLeftCell="A2" zoomScale="75" zoomScaleNormal="75" workbookViewId="0">
      <selection activeCell="AK8" sqref="AK8"/>
    </sheetView>
  </sheetViews>
  <sheetFormatPr defaultColWidth="9.109375" defaultRowHeight="14.4" x14ac:dyDescent="0.3"/>
  <cols>
    <col min="1" max="1" width="5" style="6" customWidth="1"/>
    <col min="2" max="2" width="5.6640625" style="7" customWidth="1"/>
    <col min="3" max="3" width="8" style="16" customWidth="1"/>
    <col min="4" max="4" width="47.109375" style="8" customWidth="1"/>
    <col min="5" max="5" width="23.33203125" style="1" customWidth="1"/>
    <col min="6" max="6" width="19" style="1" customWidth="1"/>
    <col min="7" max="7" width="30.109375" style="1" customWidth="1"/>
    <col min="8" max="10" width="8.6640625" style="1" hidden="1" customWidth="1"/>
    <col min="11" max="11" width="21" style="1" hidden="1" customWidth="1"/>
    <col min="12" max="13" width="16.6640625" style="1" hidden="1" customWidth="1"/>
    <col min="14" max="14" width="16.6640625" style="1" customWidth="1"/>
    <col min="15" max="15" width="20.33203125" style="1" customWidth="1"/>
    <col min="16" max="16" width="11.33203125" style="9" hidden="1" customWidth="1"/>
    <col min="17" max="17" width="12.5546875" style="9" hidden="1" customWidth="1"/>
    <col min="18" max="18" width="3.6640625" style="1" customWidth="1"/>
    <col min="19" max="19" width="3.6640625" style="11" customWidth="1"/>
    <col min="20" max="20" width="7.33203125" style="12" customWidth="1"/>
    <col min="21" max="21" width="42.6640625" style="12" customWidth="1"/>
    <col min="22" max="22" width="7.5546875" style="11" bestFit="1" customWidth="1"/>
    <col min="23" max="23" width="4.6640625" style="1" customWidth="1"/>
    <col min="24" max="24" width="4.6640625" style="1" hidden="1" customWidth="1"/>
    <col min="25" max="26" width="4.6640625" style="1" customWidth="1"/>
    <col min="27" max="36" width="4.6640625" style="1" hidden="1" customWidth="1"/>
    <col min="37" max="37" width="4.6640625" style="1" customWidth="1"/>
    <col min="38" max="45" width="4.6640625" style="1" hidden="1" customWidth="1"/>
    <col min="46" max="46" width="4.6640625" style="1" customWidth="1"/>
    <col min="47" max="52" width="4.6640625" style="1" hidden="1" customWidth="1"/>
    <col min="53" max="53" width="7.5546875" style="1" hidden="1" customWidth="1"/>
    <col min="54" max="58" width="4.6640625" style="1" hidden="1" customWidth="1"/>
    <col min="59" max="59" width="4.6640625" style="1" customWidth="1"/>
    <col min="60" max="61" width="4.6640625" style="1" hidden="1" customWidth="1"/>
    <col min="62" max="63" width="4.6640625" style="1" customWidth="1"/>
    <col min="64" max="67" width="4.6640625" style="1" hidden="1" customWidth="1"/>
    <col min="68" max="70" width="4.6640625" style="1" customWidth="1"/>
    <col min="71" max="73" width="4.6640625" style="1" hidden="1" customWidth="1"/>
    <col min="74" max="74" width="4.6640625" style="1" customWidth="1"/>
    <col min="75" max="81" width="4.6640625" style="1" hidden="1" customWidth="1"/>
    <col min="82" max="82" width="4.6640625" style="1" customWidth="1"/>
    <col min="83" max="88" width="4.6640625" style="1" hidden="1" customWidth="1"/>
    <col min="89" max="91" width="4.6640625" style="1" customWidth="1"/>
    <col min="92" max="93" width="4.6640625" style="1" hidden="1" customWidth="1"/>
    <col min="94" max="94" width="4.6640625" style="1" customWidth="1"/>
    <col min="95" max="96" width="4.6640625" style="1" hidden="1" customWidth="1"/>
    <col min="97" max="104" width="4.6640625" style="1" customWidth="1"/>
    <col min="105" max="105" width="5.88671875" style="1" hidden="1" customWidth="1"/>
    <col min="106" max="107" width="4.6640625" style="1" hidden="1" customWidth="1"/>
    <col min="108" max="109" width="4.6640625" style="1" customWidth="1"/>
    <col min="110" max="111" width="4.6640625" style="1" hidden="1" customWidth="1"/>
    <col min="112" max="116" width="4.6640625" style="1" customWidth="1"/>
    <col min="117" max="117" width="4.6640625" style="1" hidden="1" customWidth="1"/>
    <col min="118" max="118" width="7.5546875" style="1" hidden="1" customWidth="1"/>
    <col min="119" max="122" width="4.6640625" style="1" hidden="1" customWidth="1"/>
    <col min="123" max="127" width="4.6640625" style="1" customWidth="1"/>
    <col min="128" max="146" width="4.6640625" style="1" hidden="1" customWidth="1"/>
    <col min="147" max="147" width="4.33203125" style="1" hidden="1" customWidth="1"/>
    <col min="148" max="148" width="7.5546875" style="1" hidden="1" customWidth="1"/>
    <col min="149" max="151" width="4.6640625" style="1" hidden="1" customWidth="1"/>
    <col min="152" max="152" width="4.6640625" style="1" customWidth="1"/>
    <col min="153" max="154" width="4.6640625" style="1" hidden="1" customWidth="1"/>
    <col min="155" max="157" width="7.5546875" style="1" hidden="1" customWidth="1"/>
    <col min="158" max="168" width="4.6640625" style="1" hidden="1" customWidth="1"/>
    <col min="169" max="170" width="4.6640625" style="1" customWidth="1"/>
    <col min="171" max="204" width="4.6640625" style="1" hidden="1" customWidth="1"/>
    <col min="205" max="205" width="2.88671875" style="1" customWidth="1"/>
    <col min="206" max="16384" width="9.109375" style="1"/>
  </cols>
  <sheetData>
    <row r="1" spans="1:205" ht="24" customHeight="1" thickBot="1" x14ac:dyDescent="0.5">
      <c r="A1" s="185" t="s">
        <v>294</v>
      </c>
      <c r="B1" s="186"/>
      <c r="C1" s="186"/>
      <c r="D1" s="186"/>
      <c r="E1" s="186"/>
      <c r="F1" s="186"/>
      <c r="G1" s="186"/>
      <c r="H1" s="186"/>
      <c r="I1" s="186"/>
      <c r="J1" s="186"/>
      <c r="K1" s="186"/>
      <c r="L1" s="186"/>
      <c r="M1" s="186"/>
      <c r="N1" s="186"/>
      <c r="O1" s="187"/>
      <c r="P1" s="83" t="s">
        <v>39</v>
      </c>
      <c r="Q1" s="83" t="s">
        <v>37</v>
      </c>
      <c r="R1" s="21"/>
      <c r="S1" s="38"/>
      <c r="T1" s="39"/>
      <c r="U1" s="39"/>
      <c r="V1" s="40"/>
      <c r="W1" s="40"/>
      <c r="X1" s="40"/>
      <c r="Y1" s="40"/>
      <c r="Z1" s="40"/>
      <c r="AA1" s="40"/>
      <c r="AB1" s="40"/>
      <c r="AC1" s="179"/>
      <c r="AD1" s="179"/>
      <c r="AE1" s="179"/>
      <c r="AF1" s="179"/>
      <c r="AG1" s="179"/>
      <c r="AH1" s="179"/>
      <c r="AI1" s="179"/>
      <c r="AJ1" s="179"/>
      <c r="AK1" s="179"/>
      <c r="AL1" s="179"/>
      <c r="AM1" s="179"/>
      <c r="AN1" s="179"/>
      <c r="AO1" s="179"/>
      <c r="AP1" s="179"/>
      <c r="AQ1" s="179"/>
      <c r="AR1" s="179"/>
      <c r="AS1" s="179"/>
      <c r="AT1" s="179"/>
      <c r="AU1" s="179"/>
      <c r="AV1" s="179"/>
      <c r="AW1" s="179"/>
      <c r="AX1" s="179"/>
      <c r="AY1" s="179"/>
      <c r="AZ1" s="179"/>
      <c r="BA1" s="179"/>
      <c r="BB1" s="179"/>
      <c r="BC1" s="179"/>
      <c r="BD1" s="179"/>
      <c r="BE1" s="179"/>
      <c r="BF1" s="179"/>
      <c r="BG1" s="179"/>
      <c r="BH1" s="179"/>
      <c r="BI1" s="179"/>
      <c r="BJ1" s="179"/>
      <c r="BK1" s="179"/>
      <c r="BL1" s="179"/>
      <c r="BM1" s="179"/>
      <c r="BN1" s="179"/>
      <c r="BO1" s="179"/>
      <c r="BP1" s="179"/>
      <c r="BQ1" s="179"/>
      <c r="BR1" s="179"/>
      <c r="BS1" s="179"/>
      <c r="BT1" s="179"/>
      <c r="BU1" s="179"/>
      <c r="BV1" s="179"/>
      <c r="BW1" s="179"/>
      <c r="BX1" s="179"/>
      <c r="BY1" s="179"/>
      <c r="BZ1" s="179"/>
      <c r="CA1" s="179"/>
      <c r="CB1" s="179"/>
      <c r="CC1" s="179"/>
      <c r="CD1" s="179"/>
      <c r="CE1" s="179"/>
      <c r="CF1" s="179"/>
      <c r="CG1" s="179"/>
      <c r="CH1" s="179"/>
      <c r="CI1" s="179"/>
      <c r="CJ1" s="179"/>
      <c r="CK1" s="179"/>
      <c r="CL1" s="179"/>
      <c r="CM1" s="179"/>
      <c r="CN1" s="179"/>
      <c r="CO1" s="179"/>
      <c r="CP1" s="179"/>
      <c r="CQ1" s="179"/>
      <c r="CR1" s="179"/>
      <c r="CS1" s="179"/>
      <c r="CT1" s="179"/>
      <c r="CU1" s="179"/>
      <c r="CV1" s="179"/>
      <c r="CW1" s="179"/>
      <c r="CX1" s="179"/>
      <c r="CY1" s="179"/>
      <c r="CZ1" s="179"/>
      <c r="DA1" s="179"/>
      <c r="DB1" s="179"/>
      <c r="DC1" s="179"/>
      <c r="DD1" s="179"/>
      <c r="DE1" s="179"/>
      <c r="DF1" s="179"/>
      <c r="DG1" s="179"/>
      <c r="DH1" s="179"/>
      <c r="DI1" s="179"/>
      <c r="DJ1" s="179"/>
      <c r="DK1" s="179"/>
      <c r="DL1" s="179"/>
      <c r="DM1" s="179"/>
      <c r="DN1" s="179"/>
      <c r="DO1" s="179"/>
      <c r="DP1" s="179"/>
      <c r="DQ1" s="179"/>
      <c r="DR1" s="179"/>
      <c r="DS1" s="179"/>
      <c r="DT1" s="179"/>
      <c r="DU1" s="179"/>
      <c r="DV1" s="179"/>
      <c r="DW1" s="179"/>
      <c r="DX1" s="179"/>
      <c r="DY1" s="179"/>
      <c r="DZ1" s="179"/>
      <c r="EA1" s="179"/>
      <c r="EB1" s="179"/>
      <c r="EC1" s="179"/>
      <c r="ED1" s="179"/>
      <c r="EE1" s="179"/>
      <c r="EF1" s="179"/>
      <c r="EG1" s="179"/>
      <c r="EH1" s="179"/>
      <c r="EI1" s="179"/>
      <c r="EJ1" s="179"/>
      <c r="EK1" s="179"/>
      <c r="EL1" s="179"/>
      <c r="EM1" s="179"/>
      <c r="EN1" s="179"/>
      <c r="EO1" s="179"/>
      <c r="EP1" s="179"/>
      <c r="EQ1" s="179"/>
      <c r="ER1" s="179"/>
      <c r="ES1" s="179"/>
      <c r="ET1" s="179"/>
      <c r="EU1" s="179"/>
      <c r="EV1" s="179"/>
      <c r="EW1" s="179"/>
      <c r="EX1" s="179"/>
      <c r="EY1" s="179"/>
      <c r="EZ1" s="179"/>
      <c r="FA1" s="179"/>
      <c r="FB1" s="179"/>
      <c r="FC1" s="179"/>
      <c r="FD1" s="179"/>
      <c r="FE1" s="179"/>
      <c r="FF1" s="179"/>
      <c r="FG1" s="179"/>
      <c r="FH1" s="179"/>
      <c r="FI1" s="179"/>
      <c r="FJ1" s="179"/>
      <c r="FK1" s="179"/>
      <c r="FL1" s="179"/>
      <c r="FM1" s="179"/>
      <c r="FN1" s="179"/>
      <c r="FO1" s="179"/>
      <c r="FP1" s="179"/>
      <c r="FQ1" s="179"/>
      <c r="FR1" s="179"/>
      <c r="FS1" s="179"/>
      <c r="FT1" s="179"/>
      <c r="FU1" s="179"/>
      <c r="FV1" s="179"/>
      <c r="FW1" s="179"/>
      <c r="FX1" s="179"/>
      <c r="FY1" s="179"/>
      <c r="FZ1" s="179"/>
      <c r="GA1" s="179"/>
      <c r="GB1" s="179"/>
      <c r="GC1" s="179"/>
      <c r="GD1" s="179"/>
      <c r="GE1" s="179"/>
      <c r="GF1" s="179"/>
      <c r="GG1" s="179"/>
      <c r="GH1" s="179"/>
      <c r="GI1" s="179"/>
      <c r="GJ1" s="179"/>
      <c r="GK1" s="179"/>
      <c r="GL1" s="179"/>
      <c r="GM1" s="179"/>
      <c r="GN1" s="179"/>
      <c r="GO1" s="179"/>
      <c r="GP1" s="179"/>
      <c r="GQ1" s="179"/>
      <c r="GR1" s="179"/>
      <c r="GS1" s="179"/>
      <c r="GT1" s="179"/>
      <c r="GU1" s="179"/>
      <c r="GV1" s="180"/>
      <c r="GW1" s="22"/>
    </row>
    <row r="2" spans="1:205" ht="201.75" customHeight="1" thickBot="1" x14ac:dyDescent="0.35">
      <c r="A2" s="217" t="s">
        <v>4</v>
      </c>
      <c r="B2" s="181" t="s">
        <v>5</v>
      </c>
      <c r="C2" s="183" t="s">
        <v>6</v>
      </c>
      <c r="D2" s="197" t="s">
        <v>7</v>
      </c>
      <c r="E2" s="199" t="s">
        <v>8</v>
      </c>
      <c r="F2" s="191" t="s">
        <v>9</v>
      </c>
      <c r="G2" s="193" t="s">
        <v>10</v>
      </c>
      <c r="H2" s="188" t="str">
        <f>IF(P1="Housing","Nominal Dimensions
For Information Only
Provide dimensions in Inches","HIDE THESE COLUMNS")</f>
        <v>HIDE THESE COLUMNS</v>
      </c>
      <c r="I2" s="189"/>
      <c r="J2" s="190"/>
      <c r="K2" s="183" t="str">
        <f>IF(Q1="GSA","GSA Contract Number OR 
Open Market","Hide this column")</f>
        <v>Hide this column</v>
      </c>
      <c r="L2" s="191" t="b">
        <f>IF(Q1="GSA","GSA Contract Unit Cost")</f>
        <v>0</v>
      </c>
      <c r="M2" s="191" t="str">
        <f>IF(Q1="GSA","GSA Contract Total Cost","Hide this column")</f>
        <v>Hide this column</v>
      </c>
      <c r="N2" s="191" t="s">
        <v>11</v>
      </c>
      <c r="O2" s="193" t="s">
        <v>12</v>
      </c>
      <c r="P2" s="213" t="s">
        <v>42</v>
      </c>
      <c r="Q2" s="214"/>
      <c r="R2" s="21"/>
      <c r="S2" s="176" t="str">
        <f>"ITEM LOCATIONS"&amp;"
*** COMPLETED BY CEHNC ***
"&amp;A1</f>
        <v>ITEM LOCATIONS
*** COMPLETED BY CEHNC ***
Attachment #1 - Vandenberg Space Force Base, CA - Consolidated Maintenance Facility - Open Market</v>
      </c>
      <c r="T2" s="177"/>
      <c r="U2" s="178"/>
      <c r="V2" s="23" t="s">
        <v>13</v>
      </c>
      <c r="W2" s="67" t="s">
        <v>295</v>
      </c>
      <c r="X2" s="67" t="s">
        <v>162</v>
      </c>
      <c r="Y2" s="67" t="s">
        <v>296</v>
      </c>
      <c r="Z2" s="67" t="s">
        <v>300</v>
      </c>
      <c r="AA2" s="67" t="s">
        <v>165</v>
      </c>
      <c r="AB2" s="67" t="s">
        <v>166</v>
      </c>
      <c r="AC2" s="67" t="s">
        <v>114</v>
      </c>
      <c r="AD2" s="68" t="s">
        <v>115</v>
      </c>
      <c r="AE2" s="68" t="s">
        <v>116</v>
      </c>
      <c r="AF2" s="68" t="s">
        <v>117</v>
      </c>
      <c r="AG2" s="69" t="s">
        <v>118</v>
      </c>
      <c r="AH2" s="67" t="s">
        <v>119</v>
      </c>
      <c r="AI2" s="68" t="s">
        <v>120</v>
      </c>
      <c r="AJ2" s="68" t="s">
        <v>121</v>
      </c>
      <c r="AK2" s="68" t="s">
        <v>122</v>
      </c>
      <c r="AL2" s="69" t="s">
        <v>123</v>
      </c>
      <c r="AM2" s="67" t="s">
        <v>124</v>
      </c>
      <c r="AN2" s="68" t="s">
        <v>130</v>
      </c>
      <c r="AO2" s="68" t="s">
        <v>131</v>
      </c>
      <c r="AP2" s="68" t="s">
        <v>132</v>
      </c>
      <c r="AQ2" s="69" t="s">
        <v>135</v>
      </c>
      <c r="AR2" s="68" t="s">
        <v>133</v>
      </c>
      <c r="AS2" s="68" t="s">
        <v>134</v>
      </c>
      <c r="AT2" s="68" t="s">
        <v>125</v>
      </c>
      <c r="AU2" s="68" t="s">
        <v>126</v>
      </c>
      <c r="AV2" s="68" t="s">
        <v>127</v>
      </c>
      <c r="AW2" s="69" t="s">
        <v>128</v>
      </c>
      <c r="AX2" s="67" t="s">
        <v>129</v>
      </c>
      <c r="AY2" s="68" t="s">
        <v>136</v>
      </c>
      <c r="AZ2" s="68" t="s">
        <v>137</v>
      </c>
      <c r="BA2" s="68" t="s">
        <v>138</v>
      </c>
      <c r="BB2" s="69" t="s">
        <v>139</v>
      </c>
      <c r="BC2" s="67" t="s">
        <v>140</v>
      </c>
      <c r="BD2" s="68" t="s">
        <v>141</v>
      </c>
      <c r="BE2" s="68" t="s">
        <v>142</v>
      </c>
      <c r="BF2" s="68" t="s">
        <v>143</v>
      </c>
      <c r="BG2" s="69" t="s">
        <v>144</v>
      </c>
      <c r="BH2" s="67" t="s">
        <v>145</v>
      </c>
      <c r="BI2" s="68" t="s">
        <v>146</v>
      </c>
      <c r="BJ2" s="68" t="s">
        <v>147</v>
      </c>
      <c r="BK2" s="68" t="s">
        <v>148</v>
      </c>
      <c r="BL2" s="69" t="s">
        <v>149</v>
      </c>
      <c r="BM2" s="67" t="s">
        <v>150</v>
      </c>
      <c r="BN2" s="68" t="s">
        <v>151</v>
      </c>
      <c r="BO2" s="68" t="s">
        <v>152</v>
      </c>
      <c r="BP2" s="68" t="s">
        <v>153</v>
      </c>
      <c r="BQ2" s="69" t="s">
        <v>154</v>
      </c>
      <c r="BR2" s="67" t="s">
        <v>155</v>
      </c>
      <c r="BS2" s="68" t="s">
        <v>156</v>
      </c>
      <c r="BT2" s="68" t="s">
        <v>157</v>
      </c>
      <c r="BU2" s="68" t="s">
        <v>158</v>
      </c>
      <c r="BV2" s="69" t="s">
        <v>159</v>
      </c>
      <c r="BW2" s="67" t="s">
        <v>160</v>
      </c>
      <c r="BX2" s="68" t="s">
        <v>161</v>
      </c>
      <c r="BY2" s="68" t="s">
        <v>163</v>
      </c>
      <c r="BZ2" s="68" t="s">
        <v>164</v>
      </c>
      <c r="CA2" s="69" t="s">
        <v>167</v>
      </c>
      <c r="CB2" s="67" t="s">
        <v>168</v>
      </c>
      <c r="CC2" s="68" t="s">
        <v>169</v>
      </c>
      <c r="CD2" s="68" t="s">
        <v>170</v>
      </c>
      <c r="CE2" s="68" t="s">
        <v>171</v>
      </c>
      <c r="CF2" s="69" t="s">
        <v>172</v>
      </c>
      <c r="CG2" s="67" t="s">
        <v>173</v>
      </c>
      <c r="CH2" s="68" t="s">
        <v>174</v>
      </c>
      <c r="CI2" s="68" t="s">
        <v>175</v>
      </c>
      <c r="CJ2" s="68" t="s">
        <v>176</v>
      </c>
      <c r="CK2" s="69" t="s">
        <v>177</v>
      </c>
      <c r="CL2" s="67" t="s">
        <v>178</v>
      </c>
      <c r="CM2" s="68" t="s">
        <v>179</v>
      </c>
      <c r="CN2" s="68" t="s">
        <v>180</v>
      </c>
      <c r="CO2" s="68" t="s">
        <v>181</v>
      </c>
      <c r="CP2" s="69" t="s">
        <v>182</v>
      </c>
      <c r="CQ2" s="67" t="s">
        <v>183</v>
      </c>
      <c r="CR2" s="68" t="s">
        <v>184</v>
      </c>
      <c r="CS2" s="68" t="s">
        <v>185</v>
      </c>
      <c r="CT2" s="68" t="s">
        <v>186</v>
      </c>
      <c r="CU2" s="69" t="s">
        <v>187</v>
      </c>
      <c r="CV2" s="67" t="s">
        <v>188</v>
      </c>
      <c r="CW2" s="68" t="s">
        <v>189</v>
      </c>
      <c r="CX2" s="68" t="s">
        <v>190</v>
      </c>
      <c r="CY2" s="68" t="s">
        <v>191</v>
      </c>
      <c r="CZ2" s="68" t="s">
        <v>192</v>
      </c>
      <c r="DA2" s="67" t="s">
        <v>193</v>
      </c>
      <c r="DB2" s="67" t="s">
        <v>194</v>
      </c>
      <c r="DC2" s="68" t="s">
        <v>195</v>
      </c>
      <c r="DD2" s="68" t="s">
        <v>196</v>
      </c>
      <c r="DE2" s="69" t="s">
        <v>197</v>
      </c>
      <c r="DF2" s="67" t="s">
        <v>198</v>
      </c>
      <c r="DG2" s="68" t="s">
        <v>199</v>
      </c>
      <c r="DH2" s="68" t="s">
        <v>200</v>
      </c>
      <c r="DI2" s="68" t="s">
        <v>201</v>
      </c>
      <c r="DJ2" s="69" t="s">
        <v>202</v>
      </c>
      <c r="DK2" s="67" t="s">
        <v>203</v>
      </c>
      <c r="DL2" s="68" t="s">
        <v>204</v>
      </c>
      <c r="DM2" s="68" t="s">
        <v>205</v>
      </c>
      <c r="DN2" s="68" t="s">
        <v>206</v>
      </c>
      <c r="DO2" s="69" t="s">
        <v>207</v>
      </c>
      <c r="DP2" s="67" t="s">
        <v>208</v>
      </c>
      <c r="DQ2" s="68" t="s">
        <v>210</v>
      </c>
      <c r="DR2" s="68" t="s">
        <v>209</v>
      </c>
      <c r="DS2" s="68" t="s">
        <v>211</v>
      </c>
      <c r="DT2" s="69" t="s">
        <v>212</v>
      </c>
      <c r="DU2" s="67" t="s">
        <v>213</v>
      </c>
      <c r="DV2" s="68" t="s">
        <v>214</v>
      </c>
      <c r="DW2" s="68" t="s">
        <v>215</v>
      </c>
      <c r="DX2" s="68" t="s">
        <v>216</v>
      </c>
      <c r="DY2" s="69" t="s">
        <v>217</v>
      </c>
      <c r="DZ2" s="67" t="s">
        <v>218</v>
      </c>
      <c r="EA2" s="68" t="s">
        <v>219</v>
      </c>
      <c r="EB2" s="68" t="s">
        <v>220</v>
      </c>
      <c r="EC2" s="68" t="s">
        <v>221</v>
      </c>
      <c r="ED2" s="69" t="s">
        <v>222</v>
      </c>
      <c r="EE2" s="69" t="s">
        <v>223</v>
      </c>
      <c r="EF2" s="69" t="s">
        <v>224</v>
      </c>
      <c r="EG2" s="69" t="s">
        <v>225</v>
      </c>
      <c r="EH2" s="69" t="s">
        <v>226</v>
      </c>
      <c r="EI2" s="69" t="s">
        <v>227</v>
      </c>
      <c r="EJ2" s="69" t="s">
        <v>228</v>
      </c>
      <c r="EK2" s="68" t="s">
        <v>229</v>
      </c>
      <c r="EL2" s="68" t="s">
        <v>230</v>
      </c>
      <c r="EM2" s="68" t="s">
        <v>231</v>
      </c>
      <c r="EN2" s="69" t="s">
        <v>232</v>
      </c>
      <c r="EO2" s="69" t="s">
        <v>233</v>
      </c>
      <c r="EP2" s="69" t="s">
        <v>234</v>
      </c>
      <c r="EQ2" s="69" t="s">
        <v>236</v>
      </c>
      <c r="ER2" s="69" t="s">
        <v>235</v>
      </c>
      <c r="ES2" s="69" t="s">
        <v>237</v>
      </c>
      <c r="ET2" s="67" t="s">
        <v>238</v>
      </c>
      <c r="EU2" s="68" t="s">
        <v>239</v>
      </c>
      <c r="EV2" s="68" t="s">
        <v>240</v>
      </c>
      <c r="EW2" s="68" t="s">
        <v>241</v>
      </c>
      <c r="EX2" s="69" t="s">
        <v>242</v>
      </c>
      <c r="EY2" s="67" t="s">
        <v>243</v>
      </c>
      <c r="EZ2" s="68" t="s">
        <v>244</v>
      </c>
      <c r="FA2" s="68" t="s">
        <v>245</v>
      </c>
      <c r="FB2" s="68" t="s">
        <v>246</v>
      </c>
      <c r="FC2" s="69" t="s">
        <v>247</v>
      </c>
      <c r="FD2" s="67" t="s">
        <v>248</v>
      </c>
      <c r="FE2" s="68" t="s">
        <v>249</v>
      </c>
      <c r="FF2" s="68" t="s">
        <v>250</v>
      </c>
      <c r="FG2" s="68" t="s">
        <v>251</v>
      </c>
      <c r="FH2" s="68" t="s">
        <v>252</v>
      </c>
      <c r="FI2" s="67" t="s">
        <v>253</v>
      </c>
      <c r="FJ2" s="68" t="s">
        <v>254</v>
      </c>
      <c r="FK2" s="68" t="s">
        <v>255</v>
      </c>
      <c r="FL2" s="68" t="s">
        <v>256</v>
      </c>
      <c r="FM2" s="69" t="s">
        <v>257</v>
      </c>
      <c r="FN2" s="67" t="s">
        <v>258</v>
      </c>
      <c r="FO2" s="68" t="s">
        <v>259</v>
      </c>
      <c r="FP2" s="68" t="s">
        <v>260</v>
      </c>
      <c r="FQ2" s="68" t="s">
        <v>261</v>
      </c>
      <c r="FR2" s="69" t="s">
        <v>262</v>
      </c>
      <c r="FS2" s="69" t="s">
        <v>263</v>
      </c>
      <c r="FT2" s="69" t="s">
        <v>264</v>
      </c>
      <c r="FU2" s="68"/>
      <c r="FV2" s="68"/>
      <c r="FW2" s="69"/>
      <c r="FX2" s="67"/>
      <c r="FY2" s="68"/>
      <c r="FZ2" s="68"/>
      <c r="GA2" s="68"/>
      <c r="GB2" s="69"/>
      <c r="GC2" s="67"/>
      <c r="GD2" s="68"/>
      <c r="GE2" s="68"/>
      <c r="GF2" s="68"/>
      <c r="GG2" s="69"/>
      <c r="GH2" s="67"/>
      <c r="GI2" s="68"/>
      <c r="GJ2" s="68"/>
      <c r="GK2" s="68"/>
      <c r="GL2" s="69"/>
      <c r="GM2" s="67"/>
      <c r="GN2" s="68"/>
      <c r="GO2" s="68"/>
      <c r="GP2" s="68"/>
      <c r="GQ2" s="69"/>
      <c r="GR2" s="67"/>
      <c r="GS2" s="68"/>
      <c r="GT2" s="68"/>
      <c r="GU2" s="68"/>
      <c r="GV2" s="69"/>
      <c r="GW2" s="22"/>
    </row>
    <row r="3" spans="1:205" ht="16.2" thickBot="1" x14ac:dyDescent="0.35">
      <c r="A3" s="218"/>
      <c r="B3" s="182"/>
      <c r="C3" s="184"/>
      <c r="D3" s="198"/>
      <c r="E3" s="200"/>
      <c r="F3" s="192"/>
      <c r="G3" s="194"/>
      <c r="H3" s="113" t="str">
        <f>IF($P$1="Admin","","W")</f>
        <v/>
      </c>
      <c r="I3" s="112" t="str">
        <f>IF($P$1="Admin","","D")</f>
        <v/>
      </c>
      <c r="J3" s="114" t="str">
        <f>IF($P$1="Admin","","H")</f>
        <v/>
      </c>
      <c r="K3" s="184"/>
      <c r="L3" s="192"/>
      <c r="M3" s="192"/>
      <c r="N3" s="192"/>
      <c r="O3" s="194"/>
      <c r="P3" s="105" t="s">
        <v>40</v>
      </c>
      <c r="Q3" s="106" t="s">
        <v>41</v>
      </c>
      <c r="R3" s="21"/>
      <c r="S3" s="24" t="s">
        <v>4</v>
      </c>
      <c r="T3" s="25" t="s">
        <v>14</v>
      </c>
      <c r="U3" s="25" t="s">
        <v>15</v>
      </c>
      <c r="V3" s="26" t="s">
        <v>16</v>
      </c>
      <c r="W3" s="195"/>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6"/>
      <c r="BP3" s="196"/>
      <c r="BQ3" s="196"/>
      <c r="BR3" s="196"/>
      <c r="BS3" s="196"/>
      <c r="BT3" s="196"/>
      <c r="BU3" s="196"/>
      <c r="BV3" s="196"/>
      <c r="BW3" s="196"/>
      <c r="BX3" s="196"/>
      <c r="BY3" s="196"/>
      <c r="BZ3" s="196"/>
      <c r="CA3" s="196"/>
      <c r="CB3" s="196"/>
      <c r="CC3" s="196"/>
      <c r="CD3" s="196"/>
      <c r="CE3" s="196"/>
      <c r="CF3" s="196"/>
      <c r="CG3" s="196"/>
      <c r="CH3" s="196"/>
      <c r="CI3" s="196"/>
      <c r="CJ3" s="196"/>
      <c r="CK3" s="196"/>
      <c r="CL3" s="196"/>
      <c r="CM3" s="196"/>
      <c r="CN3" s="196"/>
      <c r="CO3" s="196"/>
      <c r="CP3" s="196"/>
      <c r="CQ3" s="196"/>
      <c r="CR3" s="196"/>
      <c r="CS3" s="196"/>
      <c r="CT3" s="196"/>
      <c r="CU3" s="196"/>
      <c r="CV3" s="196"/>
      <c r="CW3" s="196"/>
      <c r="CX3" s="196"/>
      <c r="CY3" s="196"/>
      <c r="CZ3" s="196"/>
      <c r="DA3" s="196"/>
      <c r="DB3" s="196"/>
      <c r="DC3" s="196"/>
      <c r="DD3" s="196"/>
      <c r="DE3" s="196"/>
      <c r="DF3" s="196"/>
      <c r="DG3" s="196"/>
      <c r="DH3" s="196"/>
      <c r="DI3" s="196"/>
      <c r="DJ3" s="196"/>
      <c r="DK3" s="196"/>
      <c r="DL3" s="196"/>
      <c r="DM3" s="196"/>
      <c r="DN3" s="196"/>
      <c r="DO3" s="196"/>
      <c r="DP3" s="196"/>
      <c r="DQ3" s="196"/>
      <c r="DR3" s="196"/>
      <c r="DS3" s="196"/>
      <c r="DT3" s="196"/>
      <c r="DU3" s="196"/>
      <c r="DV3" s="196"/>
      <c r="DW3" s="196"/>
      <c r="DX3" s="196"/>
      <c r="DY3" s="196"/>
      <c r="DZ3" s="196"/>
      <c r="EA3" s="196"/>
      <c r="EB3" s="196"/>
      <c r="EC3" s="196"/>
      <c r="ED3" s="196"/>
      <c r="EE3" s="196"/>
      <c r="EF3" s="196"/>
      <c r="EG3" s="196"/>
      <c r="EH3" s="196"/>
      <c r="EI3" s="196"/>
      <c r="EJ3" s="196"/>
      <c r="EK3" s="196"/>
      <c r="EL3" s="196"/>
      <c r="EM3" s="196"/>
      <c r="EN3" s="196"/>
      <c r="EO3" s="196"/>
      <c r="EP3" s="196"/>
      <c r="EQ3" s="196"/>
      <c r="ER3" s="196"/>
      <c r="ES3" s="196"/>
      <c r="ET3" s="196"/>
      <c r="EU3" s="196"/>
      <c r="EV3" s="196"/>
      <c r="EW3" s="196"/>
      <c r="EX3" s="196"/>
      <c r="EY3" s="196"/>
      <c r="EZ3" s="196"/>
      <c r="FA3" s="196"/>
      <c r="FB3" s="196"/>
      <c r="FC3" s="196"/>
      <c r="FD3" s="196"/>
      <c r="FE3" s="196"/>
      <c r="FF3" s="196"/>
      <c r="FG3" s="196"/>
      <c r="FH3" s="196"/>
      <c r="FI3" s="196"/>
      <c r="FJ3" s="196"/>
      <c r="FK3" s="196"/>
      <c r="FL3" s="196"/>
      <c r="FM3" s="196"/>
      <c r="FN3" s="196"/>
      <c r="FO3" s="196"/>
      <c r="FP3" s="196"/>
      <c r="FQ3" s="196"/>
      <c r="FR3" s="196"/>
      <c r="FS3" s="196"/>
      <c r="FT3" s="196"/>
      <c r="FU3" s="165"/>
      <c r="FV3" s="165"/>
      <c r="FW3" s="166"/>
      <c r="FX3" s="165"/>
      <c r="FY3" s="165"/>
      <c r="FZ3" s="165"/>
      <c r="GA3" s="165"/>
      <c r="GB3" s="166"/>
      <c r="GC3" s="165"/>
      <c r="GD3" s="165"/>
      <c r="GE3" s="165"/>
      <c r="GF3" s="165"/>
      <c r="GG3" s="165"/>
      <c r="GH3" s="165"/>
      <c r="GI3" s="165"/>
      <c r="GJ3" s="165"/>
      <c r="GK3" s="165"/>
      <c r="GL3" s="166"/>
      <c r="GM3" s="165"/>
      <c r="GN3" s="165"/>
      <c r="GO3" s="165"/>
      <c r="GP3" s="165"/>
      <c r="GQ3" s="165"/>
      <c r="GR3" s="165"/>
      <c r="GS3" s="165"/>
      <c r="GT3" s="165"/>
      <c r="GU3" s="165"/>
      <c r="GV3" s="166"/>
      <c r="GW3" s="27"/>
    </row>
    <row r="4" spans="1:205" ht="30" x14ac:dyDescent="0.3">
      <c r="A4" s="110">
        <f t="shared" ref="A4:A14" si="0">IF(B4&gt;0,A3+1,A3)</f>
        <v>1</v>
      </c>
      <c r="B4" s="159">
        <f t="shared" ref="B4:B16" si="1">V4</f>
        <v>43</v>
      </c>
      <c r="C4" s="64" t="s">
        <v>279</v>
      </c>
      <c r="D4" s="55" t="s">
        <v>265</v>
      </c>
      <c r="E4" s="46"/>
      <c r="F4" s="46"/>
      <c r="G4" s="92"/>
      <c r="H4" s="94"/>
      <c r="I4" s="46"/>
      <c r="J4" s="95"/>
      <c r="K4" s="46"/>
      <c r="L4" s="47"/>
      <c r="M4" s="84">
        <f t="shared" ref="M4:M16" si="2">SUM($L4*$B4)</f>
        <v>0</v>
      </c>
      <c r="N4" s="48"/>
      <c r="O4" s="84">
        <f t="shared" ref="O4:O16" si="3">SUM($N4*$B4)</f>
        <v>0</v>
      </c>
      <c r="P4" s="103">
        <f t="shared" ref="P4:P16" si="4">IF(LEFT($K4,2)="OP", $O4,0)</f>
        <v>0</v>
      </c>
      <c r="Q4" s="104" t="str">
        <f t="shared" ref="Q4:Q16" si="5">IF($Q$1="SAM","",IF(L4="","",N4-L4))</f>
        <v/>
      </c>
      <c r="R4" s="49"/>
      <c r="S4" s="50">
        <f t="shared" ref="S4:S16" si="6">IF(A4=0,"",A4)</f>
        <v>1</v>
      </c>
      <c r="T4" s="51" t="str">
        <f t="shared" ref="T4:T16" si="7">IF(C4="","",C4)</f>
        <v>21.1</v>
      </c>
      <c r="U4" s="52" t="str">
        <f t="shared" ref="U4:U16" si="8">IF(D4="","",D4)</f>
        <v>SN1/SN01: Industrial Storage Cabinet, Metal</v>
      </c>
      <c r="V4" s="61">
        <f>SUM(AC4:GW4)</f>
        <v>43</v>
      </c>
      <c r="W4" s="53"/>
      <c r="X4" s="53"/>
      <c r="Y4" s="53"/>
      <c r="Z4" s="53"/>
      <c r="AA4" s="53"/>
      <c r="AB4" s="53"/>
      <c r="AC4" s="53"/>
      <c r="AD4" s="53"/>
      <c r="AE4" s="53"/>
      <c r="AF4" s="53"/>
      <c r="AG4" s="54"/>
      <c r="AH4" s="53"/>
      <c r="AI4" s="53"/>
      <c r="AJ4" s="53"/>
      <c r="AK4" s="53"/>
      <c r="AL4" s="54"/>
      <c r="AM4" s="53"/>
      <c r="AN4" s="53"/>
      <c r="AO4" s="53"/>
      <c r="AP4" s="53"/>
      <c r="AQ4" s="54"/>
      <c r="AR4" s="53"/>
      <c r="AS4" s="53"/>
      <c r="AT4" s="53"/>
      <c r="AU4" s="53"/>
      <c r="AV4" s="53"/>
      <c r="AW4" s="54"/>
      <c r="AX4" s="53"/>
      <c r="AY4" s="53"/>
      <c r="AZ4" s="53"/>
      <c r="BA4" s="53"/>
      <c r="BB4" s="54"/>
      <c r="BC4" s="53"/>
      <c r="BD4" s="53"/>
      <c r="BE4" s="53"/>
      <c r="BF4" s="53"/>
      <c r="BG4" s="54"/>
      <c r="BH4" s="53"/>
      <c r="BI4" s="53"/>
      <c r="BJ4" s="53">
        <v>2</v>
      </c>
      <c r="BK4" s="53">
        <v>3</v>
      </c>
      <c r="BL4" s="54"/>
      <c r="BM4" s="53"/>
      <c r="BN4" s="53"/>
      <c r="BO4" s="53"/>
      <c r="BP4" s="53">
        <v>5</v>
      </c>
      <c r="BQ4" s="54"/>
      <c r="BR4" s="53">
        <v>5</v>
      </c>
      <c r="BS4" s="53"/>
      <c r="BT4" s="53"/>
      <c r="BU4" s="53"/>
      <c r="BV4" s="54">
        <v>1</v>
      </c>
      <c r="BW4" s="53"/>
      <c r="BX4" s="53"/>
      <c r="BY4" s="53"/>
      <c r="BZ4" s="53"/>
      <c r="CA4" s="54"/>
      <c r="CB4" s="53"/>
      <c r="CC4" s="53"/>
      <c r="CD4" s="53"/>
      <c r="CE4" s="53"/>
      <c r="CF4" s="54"/>
      <c r="CG4" s="53"/>
      <c r="CH4" s="53"/>
      <c r="CI4" s="53"/>
      <c r="CJ4" s="53"/>
      <c r="CK4" s="54"/>
      <c r="CL4" s="53"/>
      <c r="CM4" s="53"/>
      <c r="CN4" s="53"/>
      <c r="CO4" s="53"/>
      <c r="CP4" s="54"/>
      <c r="CQ4" s="53"/>
      <c r="CR4" s="53"/>
      <c r="CS4" s="53"/>
      <c r="CT4" s="53">
        <v>4</v>
      </c>
      <c r="CU4" s="54">
        <v>3</v>
      </c>
      <c r="CV4" s="53">
        <v>3</v>
      </c>
      <c r="CW4" s="53">
        <v>3</v>
      </c>
      <c r="CX4" s="53"/>
      <c r="CY4" s="53"/>
      <c r="CZ4" s="54"/>
      <c r="DA4" s="53"/>
      <c r="DB4" s="53"/>
      <c r="DC4" s="53"/>
      <c r="DD4" s="53"/>
      <c r="DE4" s="54">
        <v>4</v>
      </c>
      <c r="DF4" s="53"/>
      <c r="DG4" s="53"/>
      <c r="DH4" s="53"/>
      <c r="DI4" s="53"/>
      <c r="DJ4" s="54">
        <v>10</v>
      </c>
      <c r="DK4" s="53"/>
      <c r="DL4" s="53"/>
      <c r="DM4" s="53"/>
      <c r="DN4" s="53"/>
      <c r="DO4" s="54"/>
      <c r="DP4" s="53"/>
      <c r="DQ4" s="53"/>
      <c r="DR4" s="53"/>
      <c r="DS4" s="53"/>
      <c r="DT4" s="54"/>
      <c r="DU4" s="53"/>
      <c r="DV4" s="53"/>
      <c r="DW4" s="53"/>
      <c r="DX4" s="53"/>
      <c r="DY4" s="54"/>
      <c r="DZ4" s="53"/>
      <c r="EA4" s="53"/>
      <c r="EB4" s="53"/>
      <c r="EC4" s="53"/>
      <c r="ED4" s="54"/>
      <c r="EE4" s="53"/>
      <c r="EF4" s="53"/>
      <c r="EG4" s="53"/>
      <c r="EH4" s="53"/>
      <c r="EI4" s="54"/>
      <c r="EJ4" s="53"/>
      <c r="EK4" s="53"/>
      <c r="EL4" s="53"/>
      <c r="EM4" s="53"/>
      <c r="EN4" s="54"/>
      <c r="EO4" s="53"/>
      <c r="EP4" s="53"/>
      <c r="EQ4" s="53"/>
      <c r="ER4" s="53"/>
      <c r="ES4" s="54"/>
      <c r="ET4" s="53"/>
      <c r="EU4" s="53"/>
      <c r="EV4" s="53"/>
      <c r="EW4" s="53"/>
      <c r="EX4" s="54"/>
      <c r="EY4" s="53"/>
      <c r="EZ4" s="53"/>
      <c r="FA4" s="53"/>
      <c r="FB4" s="53"/>
      <c r="FC4" s="54"/>
      <c r="FD4" s="53"/>
      <c r="FE4" s="53"/>
      <c r="FF4" s="53"/>
      <c r="FG4" s="53"/>
      <c r="FH4" s="54"/>
      <c r="FI4" s="53"/>
      <c r="FJ4" s="53"/>
      <c r="FK4" s="53"/>
      <c r="FL4" s="53"/>
      <c r="FM4" s="54"/>
      <c r="FN4" s="53"/>
      <c r="FO4" s="53"/>
      <c r="FP4" s="53"/>
      <c r="FQ4" s="53"/>
      <c r="FR4" s="54"/>
      <c r="FS4" s="53"/>
      <c r="FT4" s="53"/>
      <c r="FU4" s="53"/>
      <c r="FV4" s="53"/>
      <c r="FW4" s="54"/>
      <c r="FX4" s="53"/>
      <c r="FY4" s="53"/>
      <c r="FZ4" s="53"/>
      <c r="GA4" s="53"/>
      <c r="GB4" s="54"/>
      <c r="GC4" s="53"/>
      <c r="GD4" s="53"/>
      <c r="GE4" s="53"/>
      <c r="GF4" s="53"/>
      <c r="GG4" s="54"/>
      <c r="GH4" s="53"/>
      <c r="GI4" s="53"/>
      <c r="GJ4" s="53"/>
      <c r="GK4" s="53"/>
      <c r="GL4" s="54"/>
      <c r="GM4" s="53"/>
      <c r="GN4" s="53"/>
      <c r="GO4" s="53"/>
      <c r="GP4" s="53"/>
      <c r="GQ4" s="54"/>
      <c r="GR4" s="53"/>
      <c r="GS4" s="53"/>
      <c r="GT4" s="53"/>
      <c r="GU4" s="53"/>
      <c r="GV4" s="54"/>
      <c r="GW4" s="10"/>
    </row>
    <row r="5" spans="1:205" ht="30" x14ac:dyDescent="0.3">
      <c r="A5" s="111">
        <f t="shared" si="0"/>
        <v>2</v>
      </c>
      <c r="B5" s="160">
        <f t="shared" si="1"/>
        <v>1</v>
      </c>
      <c r="C5" s="64" t="s">
        <v>280</v>
      </c>
      <c r="D5" s="55" t="s">
        <v>266</v>
      </c>
      <c r="E5" s="56"/>
      <c r="F5" s="56"/>
      <c r="G5" s="93"/>
      <c r="H5" s="96"/>
      <c r="I5" s="56"/>
      <c r="J5" s="97"/>
      <c r="K5" s="56"/>
      <c r="L5" s="47"/>
      <c r="M5" s="84">
        <f t="shared" si="2"/>
        <v>0</v>
      </c>
      <c r="N5" s="57"/>
      <c r="O5" s="85">
        <f t="shared" si="3"/>
        <v>0</v>
      </c>
      <c r="P5" s="102">
        <f t="shared" si="4"/>
        <v>0</v>
      </c>
      <c r="Q5" s="104" t="str">
        <f t="shared" si="5"/>
        <v/>
      </c>
      <c r="R5" s="49"/>
      <c r="S5" s="58">
        <f t="shared" si="6"/>
        <v>2</v>
      </c>
      <c r="T5" s="59" t="str">
        <f t="shared" si="7"/>
        <v>21.2</v>
      </c>
      <c r="U5" s="60" t="str">
        <f t="shared" si="8"/>
        <v>SL2/SL02: Corrosive Safety Cabinet, Metal</v>
      </c>
      <c r="V5" s="61">
        <f>SUM(AC5:GW5)</f>
        <v>1</v>
      </c>
      <c r="W5" s="62"/>
      <c r="X5" s="62"/>
      <c r="Y5" s="62"/>
      <c r="Z5" s="62"/>
      <c r="AA5" s="62"/>
      <c r="AB5" s="62"/>
      <c r="AC5" s="62"/>
      <c r="AD5" s="62"/>
      <c r="AE5" s="62"/>
      <c r="AF5" s="62"/>
      <c r="AG5" s="63"/>
      <c r="AH5" s="62"/>
      <c r="AI5" s="62"/>
      <c r="AJ5" s="62"/>
      <c r="AK5" s="62"/>
      <c r="AL5" s="63"/>
      <c r="AM5" s="62"/>
      <c r="AN5" s="62"/>
      <c r="AO5" s="62"/>
      <c r="AP5" s="62"/>
      <c r="AQ5" s="63"/>
      <c r="AR5" s="62"/>
      <c r="AS5" s="62"/>
      <c r="AT5" s="62"/>
      <c r="AU5" s="62"/>
      <c r="AV5" s="62"/>
      <c r="AW5" s="63"/>
      <c r="AX5" s="62"/>
      <c r="AY5" s="62"/>
      <c r="AZ5" s="62"/>
      <c r="BA5" s="62"/>
      <c r="BB5" s="63"/>
      <c r="BC5" s="62"/>
      <c r="BD5" s="62"/>
      <c r="BE5" s="62"/>
      <c r="BF5" s="62"/>
      <c r="BG5" s="63"/>
      <c r="BH5" s="62"/>
      <c r="BI5" s="62"/>
      <c r="BJ5" s="62"/>
      <c r="BK5" s="62"/>
      <c r="BL5" s="63"/>
      <c r="BM5" s="62"/>
      <c r="BN5" s="62"/>
      <c r="BO5" s="62"/>
      <c r="BP5" s="62"/>
      <c r="BQ5" s="63"/>
      <c r="BR5" s="62"/>
      <c r="BS5" s="62"/>
      <c r="BT5" s="62"/>
      <c r="BU5" s="62"/>
      <c r="BV5" s="63"/>
      <c r="BW5" s="62"/>
      <c r="BX5" s="62"/>
      <c r="BY5" s="62"/>
      <c r="BZ5" s="62"/>
      <c r="CA5" s="63"/>
      <c r="CB5" s="62"/>
      <c r="CC5" s="62"/>
      <c r="CD5" s="62"/>
      <c r="CE5" s="62"/>
      <c r="CF5" s="63"/>
      <c r="CG5" s="62"/>
      <c r="CH5" s="62"/>
      <c r="CI5" s="62"/>
      <c r="CJ5" s="62"/>
      <c r="CK5" s="63"/>
      <c r="CL5" s="62"/>
      <c r="CM5" s="62"/>
      <c r="CN5" s="62"/>
      <c r="CO5" s="62"/>
      <c r="CP5" s="63"/>
      <c r="CQ5" s="62"/>
      <c r="CR5" s="62"/>
      <c r="CS5" s="62"/>
      <c r="CT5" s="62"/>
      <c r="CU5" s="63">
        <v>1</v>
      </c>
      <c r="CV5" s="62"/>
      <c r="CW5" s="62"/>
      <c r="CX5" s="62"/>
      <c r="CY5" s="62"/>
      <c r="CZ5" s="63"/>
      <c r="DA5" s="62"/>
      <c r="DB5" s="62"/>
      <c r="DC5" s="62"/>
      <c r="DD5" s="62"/>
      <c r="DE5" s="63"/>
      <c r="DF5" s="62"/>
      <c r="DG5" s="62"/>
      <c r="DH5" s="62"/>
      <c r="DI5" s="62"/>
      <c r="DJ5" s="63"/>
      <c r="DK5" s="62"/>
      <c r="DL5" s="62"/>
      <c r="DM5" s="62"/>
      <c r="DN5" s="62"/>
      <c r="DO5" s="63"/>
      <c r="DP5" s="62"/>
      <c r="DQ5" s="62"/>
      <c r="DR5" s="62"/>
      <c r="DS5" s="62"/>
      <c r="DT5" s="63"/>
      <c r="DU5" s="62"/>
      <c r="DV5" s="62"/>
      <c r="DW5" s="62"/>
      <c r="DX5" s="62"/>
      <c r="DY5" s="63"/>
      <c r="DZ5" s="62"/>
      <c r="EA5" s="62"/>
      <c r="EB5" s="62"/>
      <c r="EC5" s="62"/>
      <c r="ED5" s="63"/>
      <c r="EE5" s="62"/>
      <c r="EF5" s="62"/>
      <c r="EG5" s="62"/>
      <c r="EH5" s="62"/>
      <c r="EI5" s="63"/>
      <c r="EJ5" s="62"/>
      <c r="EK5" s="62"/>
      <c r="EL5" s="62"/>
      <c r="EM5" s="62"/>
      <c r="EN5" s="63"/>
      <c r="EO5" s="62"/>
      <c r="EP5" s="62"/>
      <c r="EQ5" s="62"/>
      <c r="ER5" s="62"/>
      <c r="ES5" s="63"/>
      <c r="ET5" s="62"/>
      <c r="EU5" s="62"/>
      <c r="EV5" s="62"/>
      <c r="EW5" s="62"/>
      <c r="EX5" s="63"/>
      <c r="EY5" s="62"/>
      <c r="EZ5" s="62"/>
      <c r="FA5" s="62"/>
      <c r="FB5" s="62"/>
      <c r="FC5" s="63"/>
      <c r="FD5" s="62"/>
      <c r="FE5" s="62"/>
      <c r="FF5" s="62"/>
      <c r="FG5" s="62"/>
      <c r="FH5" s="63"/>
      <c r="FI5" s="62"/>
      <c r="FJ5" s="62"/>
      <c r="FK5" s="62"/>
      <c r="FL5" s="62"/>
      <c r="FM5" s="63"/>
      <c r="FN5" s="62"/>
      <c r="FO5" s="62"/>
      <c r="FP5" s="62"/>
      <c r="FQ5" s="62"/>
      <c r="FR5" s="63"/>
      <c r="FS5" s="62"/>
      <c r="FT5" s="62"/>
      <c r="FU5" s="62"/>
      <c r="FV5" s="62"/>
      <c r="FW5" s="63"/>
      <c r="FX5" s="62"/>
      <c r="FY5" s="62"/>
      <c r="FZ5" s="62"/>
      <c r="GA5" s="62"/>
      <c r="GB5" s="63"/>
      <c r="GC5" s="62"/>
      <c r="GD5" s="62"/>
      <c r="GE5" s="62"/>
      <c r="GF5" s="62"/>
      <c r="GG5" s="63"/>
      <c r="GH5" s="62"/>
      <c r="GI5" s="62"/>
      <c r="GJ5" s="62"/>
      <c r="GK5" s="62"/>
      <c r="GL5" s="63"/>
      <c r="GM5" s="62"/>
      <c r="GN5" s="62"/>
      <c r="GO5" s="62"/>
      <c r="GP5" s="62"/>
      <c r="GQ5" s="63"/>
      <c r="GR5" s="62"/>
      <c r="GS5" s="62"/>
      <c r="GT5" s="62"/>
      <c r="GU5" s="62"/>
      <c r="GV5" s="63"/>
      <c r="GW5" s="10"/>
    </row>
    <row r="6" spans="1:205" ht="45" x14ac:dyDescent="0.3">
      <c r="A6" s="111">
        <f t="shared" si="0"/>
        <v>3</v>
      </c>
      <c r="B6" s="160">
        <f t="shared" si="1"/>
        <v>1</v>
      </c>
      <c r="C6" s="64" t="s">
        <v>281</v>
      </c>
      <c r="D6" s="55" t="s">
        <v>267</v>
      </c>
      <c r="E6" s="56"/>
      <c r="F6" s="56"/>
      <c r="G6" s="93"/>
      <c r="H6" s="96"/>
      <c r="I6" s="56"/>
      <c r="J6" s="97"/>
      <c r="K6" s="56"/>
      <c r="L6" s="47"/>
      <c r="M6" s="84">
        <f t="shared" si="2"/>
        <v>0</v>
      </c>
      <c r="N6" s="57"/>
      <c r="O6" s="85">
        <f t="shared" si="3"/>
        <v>0</v>
      </c>
      <c r="P6" s="102">
        <f t="shared" si="4"/>
        <v>0</v>
      </c>
      <c r="Q6" s="104" t="str">
        <f t="shared" si="5"/>
        <v/>
      </c>
      <c r="R6" s="49"/>
      <c r="S6" s="58">
        <f t="shared" si="6"/>
        <v>3</v>
      </c>
      <c r="T6" s="59" t="str">
        <f t="shared" si="7"/>
        <v>22.1</v>
      </c>
      <c r="U6" s="60" t="str">
        <f t="shared" si="8"/>
        <v>SN2/SN02: Open Industrial Bulk Rack Storage Shelving, Metal Particleboard Decking</v>
      </c>
      <c r="V6" s="61">
        <f>SUM(AC6:GW6)</f>
        <v>1</v>
      </c>
      <c r="W6" s="62"/>
      <c r="X6" s="62"/>
      <c r="Y6" s="62"/>
      <c r="Z6" s="62"/>
      <c r="AA6" s="62"/>
      <c r="AB6" s="62"/>
      <c r="AC6" s="62"/>
      <c r="AD6" s="62"/>
      <c r="AE6" s="62"/>
      <c r="AF6" s="62"/>
      <c r="AG6" s="63"/>
      <c r="AH6" s="62"/>
      <c r="AI6" s="62"/>
      <c r="AJ6" s="62"/>
      <c r="AK6" s="62"/>
      <c r="AL6" s="63"/>
      <c r="AM6" s="62"/>
      <c r="AN6" s="62"/>
      <c r="AO6" s="62"/>
      <c r="AP6" s="62"/>
      <c r="AQ6" s="63"/>
      <c r="AR6" s="62"/>
      <c r="AS6" s="62"/>
      <c r="AT6" s="62"/>
      <c r="AU6" s="62"/>
      <c r="AV6" s="62"/>
      <c r="AW6" s="63"/>
      <c r="AX6" s="62"/>
      <c r="AY6" s="62"/>
      <c r="AZ6" s="62"/>
      <c r="BA6" s="62"/>
      <c r="BB6" s="63"/>
      <c r="BC6" s="62"/>
      <c r="BD6" s="62"/>
      <c r="BE6" s="62"/>
      <c r="BF6" s="62"/>
      <c r="BG6" s="63"/>
      <c r="BH6" s="62"/>
      <c r="BI6" s="62"/>
      <c r="BJ6" s="62"/>
      <c r="BK6" s="62"/>
      <c r="BL6" s="63"/>
      <c r="BM6" s="62"/>
      <c r="BN6" s="62"/>
      <c r="BO6" s="62"/>
      <c r="BP6" s="62">
        <v>1</v>
      </c>
      <c r="BQ6" s="63"/>
      <c r="BR6" s="62"/>
      <c r="BS6" s="62"/>
      <c r="BT6" s="62"/>
      <c r="BU6" s="62"/>
      <c r="BV6" s="63"/>
      <c r="BW6" s="62"/>
      <c r="BX6" s="62"/>
      <c r="BY6" s="62"/>
      <c r="BZ6" s="62"/>
      <c r="CA6" s="63"/>
      <c r="CB6" s="62"/>
      <c r="CC6" s="62"/>
      <c r="CD6" s="62"/>
      <c r="CE6" s="62"/>
      <c r="CF6" s="63"/>
      <c r="CG6" s="62"/>
      <c r="CH6" s="62"/>
      <c r="CI6" s="62"/>
      <c r="CJ6" s="62"/>
      <c r="CK6" s="63"/>
      <c r="CL6" s="62"/>
      <c r="CM6" s="62"/>
      <c r="CN6" s="62"/>
      <c r="CO6" s="62"/>
      <c r="CP6" s="63"/>
      <c r="CQ6" s="62"/>
      <c r="CR6" s="62"/>
      <c r="CS6" s="62"/>
      <c r="CT6" s="62"/>
      <c r="CU6" s="63"/>
      <c r="CV6" s="62"/>
      <c r="CW6" s="62"/>
      <c r="CX6" s="62"/>
      <c r="CY6" s="62"/>
      <c r="CZ6" s="63"/>
      <c r="DA6" s="62"/>
      <c r="DB6" s="62"/>
      <c r="DC6" s="62"/>
      <c r="DD6" s="62"/>
      <c r="DE6" s="63"/>
      <c r="DF6" s="62"/>
      <c r="DG6" s="62"/>
      <c r="DH6" s="62"/>
      <c r="DI6" s="62"/>
      <c r="DJ6" s="63"/>
      <c r="DK6" s="62"/>
      <c r="DL6" s="62"/>
      <c r="DM6" s="62"/>
      <c r="DN6" s="62"/>
      <c r="DO6" s="63"/>
      <c r="DP6" s="62"/>
      <c r="DQ6" s="62"/>
      <c r="DR6" s="62"/>
      <c r="DS6" s="62"/>
      <c r="DT6" s="63"/>
      <c r="DU6" s="62"/>
      <c r="DV6" s="62"/>
      <c r="DW6" s="62"/>
      <c r="DX6" s="62"/>
      <c r="DY6" s="63"/>
      <c r="DZ6" s="62"/>
      <c r="EA6" s="62"/>
      <c r="EB6" s="62"/>
      <c r="EC6" s="62"/>
      <c r="ED6" s="63"/>
      <c r="EE6" s="62"/>
      <c r="EF6" s="62"/>
      <c r="EG6" s="62"/>
      <c r="EH6" s="62"/>
      <c r="EI6" s="63"/>
      <c r="EJ6" s="62"/>
      <c r="EK6" s="62"/>
      <c r="EL6" s="62"/>
      <c r="EM6" s="62"/>
      <c r="EN6" s="63"/>
      <c r="EO6" s="62"/>
      <c r="EP6" s="62"/>
      <c r="EQ6" s="62"/>
      <c r="ER6" s="62"/>
      <c r="ES6" s="63"/>
      <c r="ET6" s="62"/>
      <c r="EU6" s="62"/>
      <c r="EV6" s="62"/>
      <c r="EW6" s="62"/>
      <c r="EX6" s="63"/>
      <c r="EY6" s="62"/>
      <c r="EZ6" s="62"/>
      <c r="FA6" s="62"/>
      <c r="FB6" s="62"/>
      <c r="FC6" s="63"/>
      <c r="FD6" s="62"/>
      <c r="FE6" s="62"/>
      <c r="FF6" s="62"/>
      <c r="FG6" s="62"/>
      <c r="FH6" s="63"/>
      <c r="FI6" s="62"/>
      <c r="FJ6" s="62"/>
      <c r="FK6" s="62"/>
      <c r="FL6" s="62"/>
      <c r="FM6" s="63"/>
      <c r="FN6" s="62"/>
      <c r="FO6" s="62"/>
      <c r="FP6" s="62"/>
      <c r="FQ6" s="62"/>
      <c r="FR6" s="63"/>
      <c r="FS6" s="62"/>
      <c r="FT6" s="62"/>
      <c r="FU6" s="62"/>
      <c r="FV6" s="62"/>
      <c r="FW6" s="63"/>
      <c r="FX6" s="62"/>
      <c r="FY6" s="62"/>
      <c r="FZ6" s="62"/>
      <c r="GA6" s="62"/>
      <c r="GB6" s="63"/>
      <c r="GC6" s="62"/>
      <c r="GD6" s="62"/>
      <c r="GE6" s="62"/>
      <c r="GF6" s="62"/>
      <c r="GG6" s="63"/>
      <c r="GH6" s="62"/>
      <c r="GI6" s="62"/>
      <c r="GJ6" s="62"/>
      <c r="GK6" s="62"/>
      <c r="GL6" s="63"/>
      <c r="GM6" s="62"/>
      <c r="GN6" s="62"/>
      <c r="GO6" s="62"/>
      <c r="GP6" s="62"/>
      <c r="GQ6" s="63"/>
      <c r="GR6" s="62"/>
      <c r="GS6" s="62"/>
      <c r="GT6" s="62"/>
      <c r="GU6" s="62"/>
      <c r="GV6" s="63"/>
      <c r="GW6" s="10"/>
    </row>
    <row r="7" spans="1:205" ht="45" x14ac:dyDescent="0.3">
      <c r="A7" s="111">
        <f t="shared" si="0"/>
        <v>4</v>
      </c>
      <c r="B7" s="160">
        <f t="shared" si="1"/>
        <v>227</v>
      </c>
      <c r="C7" s="64" t="s">
        <v>282</v>
      </c>
      <c r="D7" s="55" t="s">
        <v>268</v>
      </c>
      <c r="E7" s="56"/>
      <c r="F7" s="56"/>
      <c r="G7" s="93"/>
      <c r="H7" s="96"/>
      <c r="I7" s="56"/>
      <c r="J7" s="97"/>
      <c r="K7" s="56"/>
      <c r="L7" s="47"/>
      <c r="M7" s="84">
        <f t="shared" si="2"/>
        <v>0</v>
      </c>
      <c r="N7" s="57"/>
      <c r="O7" s="85">
        <f t="shared" si="3"/>
        <v>0</v>
      </c>
      <c r="P7" s="102">
        <f t="shared" si="4"/>
        <v>0</v>
      </c>
      <c r="Q7" s="104" t="str">
        <f t="shared" si="5"/>
        <v/>
      </c>
      <c r="R7" s="49"/>
      <c r="S7" s="58">
        <f t="shared" si="6"/>
        <v>4</v>
      </c>
      <c r="T7" s="59" t="str">
        <f t="shared" si="7"/>
        <v>22.2</v>
      </c>
      <c r="U7" s="60" t="str">
        <f t="shared" si="8"/>
        <v>SS1/SS01: Open Industrial Bulk Rack Storage Shelving, Metal Particleboard Decking</v>
      </c>
      <c r="V7" s="61">
        <f>SUM(W7:GW7)</f>
        <v>227</v>
      </c>
      <c r="W7" s="62">
        <v>5</v>
      </c>
      <c r="X7" s="62"/>
      <c r="Y7" s="62">
        <v>6</v>
      </c>
      <c r="Z7" s="62">
        <v>5</v>
      </c>
      <c r="AA7" s="62"/>
      <c r="AB7" s="62"/>
      <c r="AC7" s="62"/>
      <c r="AD7" s="62"/>
      <c r="AE7" s="62"/>
      <c r="AF7" s="62"/>
      <c r="AG7" s="63"/>
      <c r="AH7" s="62"/>
      <c r="AI7" s="62"/>
      <c r="AJ7" s="62"/>
      <c r="AK7" s="62">
        <v>3</v>
      </c>
      <c r="AL7" s="63"/>
      <c r="AM7" s="62"/>
      <c r="AN7" s="62"/>
      <c r="AO7" s="62"/>
      <c r="AP7" s="62"/>
      <c r="AQ7" s="63"/>
      <c r="AR7" s="62"/>
      <c r="AS7" s="62"/>
      <c r="AT7" s="62">
        <v>3</v>
      </c>
      <c r="AU7" s="62"/>
      <c r="AV7" s="62"/>
      <c r="AW7" s="63"/>
      <c r="AX7" s="62"/>
      <c r="AY7" s="62"/>
      <c r="AZ7" s="62"/>
      <c r="BA7" s="62"/>
      <c r="BB7" s="63"/>
      <c r="BC7" s="62"/>
      <c r="BD7" s="62"/>
      <c r="BE7" s="62"/>
      <c r="BF7" s="62"/>
      <c r="BG7" s="63">
        <v>4</v>
      </c>
      <c r="BH7" s="62"/>
      <c r="BI7" s="62"/>
      <c r="BJ7" s="62">
        <v>3</v>
      </c>
      <c r="BK7" s="62">
        <v>2</v>
      </c>
      <c r="BL7" s="63"/>
      <c r="BM7" s="62"/>
      <c r="BN7" s="62"/>
      <c r="BO7" s="62"/>
      <c r="BP7" s="62">
        <v>5</v>
      </c>
      <c r="BQ7" s="63"/>
      <c r="BR7" s="62"/>
      <c r="BS7" s="62"/>
      <c r="BT7" s="62"/>
      <c r="BU7" s="62"/>
      <c r="BV7" s="63">
        <v>3</v>
      </c>
      <c r="BW7" s="62"/>
      <c r="BX7" s="62"/>
      <c r="BY7" s="62"/>
      <c r="BZ7" s="62"/>
      <c r="CA7" s="63"/>
      <c r="CB7" s="62"/>
      <c r="CC7" s="62"/>
      <c r="CD7" s="62"/>
      <c r="CE7" s="62"/>
      <c r="CF7" s="63"/>
      <c r="CG7" s="62"/>
      <c r="CH7" s="62"/>
      <c r="CI7" s="62"/>
      <c r="CJ7" s="62"/>
      <c r="CK7" s="63">
        <v>4</v>
      </c>
      <c r="CL7" s="62">
        <v>6</v>
      </c>
      <c r="CM7" s="62">
        <v>41</v>
      </c>
      <c r="CN7" s="62"/>
      <c r="CO7" s="62"/>
      <c r="CP7" s="63">
        <v>14</v>
      </c>
      <c r="CQ7" s="62"/>
      <c r="CR7" s="62"/>
      <c r="CS7" s="62"/>
      <c r="CT7" s="62">
        <v>2</v>
      </c>
      <c r="CU7" s="63">
        <v>8</v>
      </c>
      <c r="CV7" s="62"/>
      <c r="CW7" s="62">
        <v>3</v>
      </c>
      <c r="CX7" s="62"/>
      <c r="CY7" s="62"/>
      <c r="CZ7" s="63"/>
      <c r="DA7" s="62"/>
      <c r="DB7" s="62"/>
      <c r="DC7" s="62"/>
      <c r="DD7" s="62">
        <v>29</v>
      </c>
      <c r="DE7" s="63">
        <v>25</v>
      </c>
      <c r="DF7" s="62"/>
      <c r="DG7" s="62"/>
      <c r="DH7" s="62"/>
      <c r="DI7" s="62"/>
      <c r="DJ7" s="63">
        <v>8</v>
      </c>
      <c r="DK7" s="62"/>
      <c r="DL7" s="62">
        <v>10</v>
      </c>
      <c r="DM7" s="62"/>
      <c r="DN7" s="62"/>
      <c r="DO7" s="63"/>
      <c r="DP7" s="62"/>
      <c r="DQ7" s="62"/>
      <c r="DR7" s="62"/>
      <c r="DS7" s="62"/>
      <c r="DT7" s="63"/>
      <c r="DU7" s="62"/>
      <c r="DV7" s="62"/>
      <c r="DW7" s="62"/>
      <c r="DX7" s="62"/>
      <c r="DY7" s="63"/>
      <c r="DZ7" s="62"/>
      <c r="EA7" s="62"/>
      <c r="EB7" s="62"/>
      <c r="EC7" s="62"/>
      <c r="ED7" s="63"/>
      <c r="EE7" s="62"/>
      <c r="EF7" s="62"/>
      <c r="EG7" s="62"/>
      <c r="EH7" s="62"/>
      <c r="EI7" s="63"/>
      <c r="EJ7" s="62"/>
      <c r="EK7" s="62"/>
      <c r="EL7" s="62"/>
      <c r="EM7" s="62"/>
      <c r="EN7" s="63"/>
      <c r="EO7" s="62"/>
      <c r="EP7" s="62"/>
      <c r="EQ7" s="62"/>
      <c r="ER7" s="62"/>
      <c r="ES7" s="63"/>
      <c r="ET7" s="62"/>
      <c r="EU7" s="62"/>
      <c r="EV7" s="62">
        <v>10</v>
      </c>
      <c r="EW7" s="62"/>
      <c r="EX7" s="63"/>
      <c r="EY7" s="62"/>
      <c r="EZ7" s="62"/>
      <c r="FA7" s="62"/>
      <c r="FB7" s="62"/>
      <c r="FC7" s="63"/>
      <c r="FD7" s="62"/>
      <c r="FE7" s="62"/>
      <c r="FF7" s="62"/>
      <c r="FG7" s="62"/>
      <c r="FH7" s="63"/>
      <c r="FI7" s="62"/>
      <c r="FJ7" s="62"/>
      <c r="FK7" s="62"/>
      <c r="FL7" s="62"/>
      <c r="FM7" s="63">
        <v>14</v>
      </c>
      <c r="FN7" s="62">
        <v>14</v>
      </c>
      <c r="FO7" s="62"/>
      <c r="FP7" s="62"/>
      <c r="FQ7" s="62"/>
      <c r="FR7" s="63"/>
      <c r="FS7" s="62"/>
      <c r="FT7" s="62"/>
      <c r="FU7" s="62"/>
      <c r="FV7" s="62"/>
      <c r="FW7" s="63"/>
      <c r="FX7" s="62"/>
      <c r="FY7" s="62"/>
      <c r="FZ7" s="62"/>
      <c r="GA7" s="62"/>
      <c r="GB7" s="63"/>
      <c r="GC7" s="62"/>
      <c r="GD7" s="62"/>
      <c r="GE7" s="62"/>
      <c r="GF7" s="62"/>
      <c r="GG7" s="63"/>
      <c r="GH7" s="62"/>
      <c r="GI7" s="62"/>
      <c r="GJ7" s="62"/>
      <c r="GK7" s="62"/>
      <c r="GL7" s="63"/>
      <c r="GM7" s="62"/>
      <c r="GN7" s="62"/>
      <c r="GO7" s="62"/>
      <c r="GP7" s="62"/>
      <c r="GQ7" s="63"/>
      <c r="GR7" s="62"/>
      <c r="GS7" s="62"/>
      <c r="GT7" s="62"/>
      <c r="GU7" s="62"/>
      <c r="GV7" s="63"/>
      <c r="GW7" s="10"/>
    </row>
    <row r="8" spans="1:205" ht="15.6" x14ac:dyDescent="0.3">
      <c r="A8" s="111">
        <f t="shared" si="0"/>
        <v>5</v>
      </c>
      <c r="B8" s="160">
        <f t="shared" si="1"/>
        <v>20</v>
      </c>
      <c r="C8" s="64" t="s">
        <v>283</v>
      </c>
      <c r="D8" s="55" t="s">
        <v>269</v>
      </c>
      <c r="E8" s="56"/>
      <c r="F8" s="56"/>
      <c r="G8" s="93"/>
      <c r="H8" s="96"/>
      <c r="I8" s="56"/>
      <c r="J8" s="97"/>
      <c r="K8" s="56"/>
      <c r="L8" s="47"/>
      <c r="M8" s="84">
        <f t="shared" si="2"/>
        <v>0</v>
      </c>
      <c r="N8" s="57"/>
      <c r="O8" s="85">
        <f t="shared" si="3"/>
        <v>0</v>
      </c>
      <c r="P8" s="102">
        <f t="shared" si="4"/>
        <v>0</v>
      </c>
      <c r="Q8" s="104" t="str">
        <f t="shared" si="5"/>
        <v/>
      </c>
      <c r="R8" s="49"/>
      <c r="S8" s="58">
        <f t="shared" si="6"/>
        <v>5</v>
      </c>
      <c r="T8" s="59" t="str">
        <f t="shared" si="7"/>
        <v>22.3</v>
      </c>
      <c r="U8" s="60" t="str">
        <f t="shared" si="8"/>
        <v>SX1/SX01: Tool Storage Cabinet, Metal</v>
      </c>
      <c r="V8" s="61">
        <f t="shared" ref="V8:V16" si="9">SUM(AC8:GW8)</f>
        <v>20</v>
      </c>
      <c r="W8" s="62"/>
      <c r="X8" s="62"/>
      <c r="Y8" s="62"/>
      <c r="Z8" s="62"/>
      <c r="AA8" s="62"/>
      <c r="AB8" s="62"/>
      <c r="AC8" s="62"/>
      <c r="AD8" s="62"/>
      <c r="AE8" s="62"/>
      <c r="AF8" s="62"/>
      <c r="AG8" s="63"/>
      <c r="AH8" s="62"/>
      <c r="AI8" s="62"/>
      <c r="AJ8" s="62"/>
      <c r="AK8" s="62"/>
      <c r="AL8" s="63"/>
      <c r="AM8" s="62"/>
      <c r="AN8" s="62"/>
      <c r="AO8" s="62"/>
      <c r="AP8" s="62"/>
      <c r="AQ8" s="63"/>
      <c r="AR8" s="62"/>
      <c r="AS8" s="62"/>
      <c r="AT8" s="62"/>
      <c r="AU8" s="62"/>
      <c r="AV8" s="62"/>
      <c r="AW8" s="63"/>
      <c r="AX8" s="62"/>
      <c r="AY8" s="62"/>
      <c r="AZ8" s="62"/>
      <c r="BA8" s="62"/>
      <c r="BB8" s="63"/>
      <c r="BC8" s="62"/>
      <c r="BD8" s="62"/>
      <c r="BE8" s="62"/>
      <c r="BF8" s="62"/>
      <c r="BG8" s="63"/>
      <c r="BH8" s="62"/>
      <c r="BI8" s="62"/>
      <c r="BJ8" s="62"/>
      <c r="BK8" s="62"/>
      <c r="BL8" s="63"/>
      <c r="BM8" s="62"/>
      <c r="BN8" s="62"/>
      <c r="BO8" s="62"/>
      <c r="BP8" s="62"/>
      <c r="BQ8" s="63"/>
      <c r="BR8" s="62"/>
      <c r="BS8" s="62"/>
      <c r="BT8" s="62"/>
      <c r="BU8" s="62"/>
      <c r="BV8" s="63"/>
      <c r="BW8" s="62"/>
      <c r="BX8" s="62"/>
      <c r="BY8" s="62"/>
      <c r="BZ8" s="62"/>
      <c r="CA8" s="63"/>
      <c r="CB8" s="62"/>
      <c r="CC8" s="62"/>
      <c r="CD8" s="62"/>
      <c r="CE8" s="62"/>
      <c r="CF8" s="63"/>
      <c r="CG8" s="62"/>
      <c r="CH8" s="62"/>
      <c r="CI8" s="62"/>
      <c r="CJ8" s="62"/>
      <c r="CK8" s="63"/>
      <c r="CL8" s="62"/>
      <c r="CM8" s="62"/>
      <c r="CN8" s="62"/>
      <c r="CO8" s="62"/>
      <c r="CP8" s="63"/>
      <c r="CQ8" s="62"/>
      <c r="CR8" s="62"/>
      <c r="CS8" s="62"/>
      <c r="CT8" s="62">
        <v>2</v>
      </c>
      <c r="CU8" s="63">
        <v>6</v>
      </c>
      <c r="CV8" s="62">
        <v>6</v>
      </c>
      <c r="CW8" s="62"/>
      <c r="CX8" s="62"/>
      <c r="CY8" s="62"/>
      <c r="CZ8" s="63"/>
      <c r="DA8" s="62"/>
      <c r="DB8" s="62"/>
      <c r="DC8" s="62"/>
      <c r="DD8" s="62"/>
      <c r="DE8" s="63"/>
      <c r="DF8" s="62"/>
      <c r="DG8" s="62"/>
      <c r="DH8" s="62"/>
      <c r="DI8" s="62"/>
      <c r="DJ8" s="63"/>
      <c r="DK8" s="62"/>
      <c r="DL8" s="62">
        <v>6</v>
      </c>
      <c r="DM8" s="62"/>
      <c r="DN8" s="62"/>
      <c r="DO8" s="63"/>
      <c r="DP8" s="62"/>
      <c r="DQ8" s="62"/>
      <c r="DR8" s="62"/>
      <c r="DS8" s="62"/>
      <c r="DT8" s="63"/>
      <c r="DU8" s="62"/>
      <c r="DV8" s="62"/>
      <c r="DW8" s="62"/>
      <c r="DX8" s="62"/>
      <c r="DY8" s="63"/>
      <c r="DZ8" s="62"/>
      <c r="EA8" s="62"/>
      <c r="EB8" s="62"/>
      <c r="EC8" s="62"/>
      <c r="ED8" s="63"/>
      <c r="EE8" s="62"/>
      <c r="EF8" s="62"/>
      <c r="EG8" s="62"/>
      <c r="EH8" s="62"/>
      <c r="EI8" s="63"/>
      <c r="EJ8" s="62"/>
      <c r="EK8" s="62"/>
      <c r="EL8" s="62"/>
      <c r="EM8" s="62"/>
      <c r="EN8" s="63"/>
      <c r="EO8" s="62"/>
      <c r="EP8" s="62"/>
      <c r="EQ8" s="62"/>
      <c r="ER8" s="62"/>
      <c r="ES8" s="63"/>
      <c r="ET8" s="62"/>
      <c r="EU8" s="62"/>
      <c r="EV8" s="62"/>
      <c r="EW8" s="62"/>
      <c r="EX8" s="63"/>
      <c r="EY8" s="62"/>
      <c r="EZ8" s="62"/>
      <c r="FA8" s="62"/>
      <c r="FB8" s="62"/>
      <c r="FC8" s="63"/>
      <c r="FD8" s="62"/>
      <c r="FE8" s="62"/>
      <c r="FF8" s="62"/>
      <c r="FG8" s="62"/>
      <c r="FH8" s="63"/>
      <c r="FI8" s="62"/>
      <c r="FJ8" s="62"/>
      <c r="FK8" s="62"/>
      <c r="FL8" s="62"/>
      <c r="FM8" s="63"/>
      <c r="FN8" s="62"/>
      <c r="FO8" s="62"/>
      <c r="FP8" s="62"/>
      <c r="FQ8" s="62"/>
      <c r="FR8" s="63"/>
      <c r="FS8" s="62"/>
      <c r="FT8" s="62"/>
      <c r="FU8" s="62"/>
      <c r="FV8" s="62"/>
      <c r="FW8" s="63"/>
      <c r="FX8" s="62"/>
      <c r="FY8" s="62"/>
      <c r="FZ8" s="62"/>
      <c r="GA8" s="62"/>
      <c r="GB8" s="63"/>
      <c r="GC8" s="62"/>
      <c r="GD8" s="62"/>
      <c r="GE8" s="62"/>
      <c r="GF8" s="62"/>
      <c r="GG8" s="63"/>
      <c r="GH8" s="62"/>
      <c r="GI8" s="62"/>
      <c r="GJ8" s="62"/>
      <c r="GK8" s="62"/>
      <c r="GL8" s="63"/>
      <c r="GM8" s="62"/>
      <c r="GN8" s="62"/>
      <c r="GO8" s="62"/>
      <c r="GP8" s="62"/>
      <c r="GQ8" s="63"/>
      <c r="GR8" s="62"/>
      <c r="GS8" s="62"/>
      <c r="GT8" s="62"/>
      <c r="GU8" s="62"/>
      <c r="GV8" s="63"/>
      <c r="GW8" s="10"/>
    </row>
    <row r="9" spans="1:205" ht="15.75" customHeight="1" x14ac:dyDescent="0.3">
      <c r="A9" s="111">
        <f t="shared" si="0"/>
        <v>6</v>
      </c>
      <c r="B9" s="161">
        <f t="shared" si="1"/>
        <v>5</v>
      </c>
      <c r="C9" s="64" t="s">
        <v>284</v>
      </c>
      <c r="D9" s="55" t="s">
        <v>270</v>
      </c>
      <c r="E9" s="56"/>
      <c r="F9" s="56"/>
      <c r="G9" s="93"/>
      <c r="H9" s="96"/>
      <c r="I9" s="56"/>
      <c r="J9" s="97"/>
      <c r="K9" s="56"/>
      <c r="L9" s="47"/>
      <c r="M9" s="84">
        <f t="shared" si="2"/>
        <v>0</v>
      </c>
      <c r="N9" s="57"/>
      <c r="O9" s="85">
        <f t="shared" si="3"/>
        <v>0</v>
      </c>
      <c r="P9" s="102">
        <f t="shared" si="4"/>
        <v>0</v>
      </c>
      <c r="Q9" s="104" t="str">
        <f t="shared" si="5"/>
        <v/>
      </c>
      <c r="R9" s="49"/>
      <c r="S9" s="58">
        <f t="shared" si="6"/>
        <v>6</v>
      </c>
      <c r="T9" s="59" t="str">
        <f t="shared" si="7"/>
        <v>22.4</v>
      </c>
      <c r="U9" s="60" t="str">
        <f t="shared" si="8"/>
        <v>SX2/SX02: Tool Storage Cabinet, Metal</v>
      </c>
      <c r="V9" s="61">
        <f t="shared" si="9"/>
        <v>5</v>
      </c>
      <c r="W9" s="62"/>
      <c r="X9" s="62"/>
      <c r="Y9" s="62"/>
      <c r="Z9" s="62"/>
      <c r="AA9" s="62"/>
      <c r="AB9" s="62"/>
      <c r="AC9" s="62"/>
      <c r="AD9" s="62"/>
      <c r="AE9" s="62"/>
      <c r="AF9" s="62"/>
      <c r="AG9" s="63"/>
      <c r="AH9" s="62"/>
      <c r="AI9" s="62"/>
      <c r="AJ9" s="62"/>
      <c r="AK9" s="62"/>
      <c r="AL9" s="63"/>
      <c r="AM9" s="62"/>
      <c r="AN9" s="62"/>
      <c r="AO9" s="62"/>
      <c r="AP9" s="62"/>
      <c r="AQ9" s="63"/>
      <c r="AR9" s="62"/>
      <c r="AS9" s="62"/>
      <c r="AT9" s="62"/>
      <c r="AU9" s="62"/>
      <c r="AV9" s="62"/>
      <c r="AW9" s="63"/>
      <c r="AX9" s="62"/>
      <c r="AY9" s="62"/>
      <c r="AZ9" s="62"/>
      <c r="BA9" s="62"/>
      <c r="BB9" s="63"/>
      <c r="BC9" s="62"/>
      <c r="BD9" s="62"/>
      <c r="BE9" s="62"/>
      <c r="BF9" s="62"/>
      <c r="BG9" s="63"/>
      <c r="BH9" s="62"/>
      <c r="BI9" s="62"/>
      <c r="BJ9" s="62"/>
      <c r="BK9" s="62"/>
      <c r="BL9" s="63"/>
      <c r="BM9" s="62"/>
      <c r="BN9" s="62"/>
      <c r="BO9" s="62"/>
      <c r="BP9" s="62"/>
      <c r="BQ9" s="63"/>
      <c r="BR9" s="62"/>
      <c r="BS9" s="62"/>
      <c r="BT9" s="62"/>
      <c r="BU9" s="62"/>
      <c r="BV9" s="63"/>
      <c r="BW9" s="62"/>
      <c r="BX9" s="62"/>
      <c r="BY9" s="62"/>
      <c r="BZ9" s="62"/>
      <c r="CA9" s="63"/>
      <c r="CB9" s="62"/>
      <c r="CC9" s="62"/>
      <c r="CD9" s="62"/>
      <c r="CE9" s="62"/>
      <c r="CF9" s="63"/>
      <c r="CG9" s="62"/>
      <c r="CH9" s="62"/>
      <c r="CI9" s="62"/>
      <c r="CJ9" s="62"/>
      <c r="CK9" s="63"/>
      <c r="CL9" s="62"/>
      <c r="CM9" s="62"/>
      <c r="CN9" s="62"/>
      <c r="CO9" s="62"/>
      <c r="CP9" s="63"/>
      <c r="CQ9" s="62"/>
      <c r="CR9" s="62"/>
      <c r="CS9" s="62"/>
      <c r="CT9" s="62"/>
      <c r="CU9" s="63"/>
      <c r="CV9" s="62"/>
      <c r="CW9" s="62"/>
      <c r="CX9" s="62">
        <v>1</v>
      </c>
      <c r="CY9" s="62">
        <v>1</v>
      </c>
      <c r="CZ9" s="63">
        <v>1</v>
      </c>
      <c r="DA9" s="62"/>
      <c r="DB9" s="62"/>
      <c r="DC9" s="62"/>
      <c r="DD9" s="62"/>
      <c r="DE9" s="63"/>
      <c r="DF9" s="62"/>
      <c r="DG9" s="62"/>
      <c r="DH9" s="62">
        <v>1</v>
      </c>
      <c r="DI9" s="62">
        <v>1</v>
      </c>
      <c r="DJ9" s="63"/>
      <c r="DK9" s="62"/>
      <c r="DL9" s="62"/>
      <c r="DM9" s="62"/>
      <c r="DN9" s="62"/>
      <c r="DO9" s="63"/>
      <c r="DP9" s="62"/>
      <c r="DQ9" s="62"/>
      <c r="DR9" s="62"/>
      <c r="DS9" s="62"/>
      <c r="DT9" s="63"/>
      <c r="DU9" s="62"/>
      <c r="DV9" s="62"/>
      <c r="DW9" s="62"/>
      <c r="DX9" s="62"/>
      <c r="DY9" s="63"/>
      <c r="DZ9" s="62"/>
      <c r="EA9" s="62"/>
      <c r="EB9" s="62"/>
      <c r="EC9" s="62"/>
      <c r="ED9" s="63"/>
      <c r="EE9" s="62"/>
      <c r="EF9" s="62"/>
      <c r="EG9" s="62"/>
      <c r="EH9" s="62"/>
      <c r="EI9" s="63"/>
      <c r="EJ9" s="62"/>
      <c r="EK9" s="62"/>
      <c r="EL9" s="62"/>
      <c r="EM9" s="62"/>
      <c r="EN9" s="63"/>
      <c r="EO9" s="62"/>
      <c r="EP9" s="62"/>
      <c r="EQ9" s="62"/>
      <c r="ER9" s="62"/>
      <c r="ES9" s="63"/>
      <c r="ET9" s="62"/>
      <c r="EU9" s="62"/>
      <c r="EV9" s="62"/>
      <c r="EW9" s="62"/>
      <c r="EX9" s="63"/>
      <c r="EY9" s="62"/>
      <c r="EZ9" s="62"/>
      <c r="FA9" s="62"/>
      <c r="FB9" s="62"/>
      <c r="FC9" s="63"/>
      <c r="FD9" s="62"/>
      <c r="FE9" s="62"/>
      <c r="FF9" s="62"/>
      <c r="FG9" s="62"/>
      <c r="FH9" s="63"/>
      <c r="FI9" s="62"/>
      <c r="FJ9" s="62"/>
      <c r="FK9" s="62"/>
      <c r="FL9" s="62"/>
      <c r="FM9" s="63"/>
      <c r="FN9" s="62"/>
      <c r="FO9" s="62"/>
      <c r="FP9" s="62"/>
      <c r="FQ9" s="62"/>
      <c r="FR9" s="63"/>
      <c r="FS9" s="62"/>
      <c r="FT9" s="62"/>
      <c r="FU9" s="62"/>
      <c r="FV9" s="62"/>
      <c r="FW9" s="63"/>
      <c r="FX9" s="62"/>
      <c r="FY9" s="62"/>
      <c r="FZ9" s="62"/>
      <c r="GA9" s="62"/>
      <c r="GB9" s="63"/>
      <c r="GC9" s="62"/>
      <c r="GD9" s="62"/>
      <c r="GE9" s="62"/>
      <c r="GF9" s="62"/>
      <c r="GG9" s="63"/>
      <c r="GH9" s="62"/>
      <c r="GI9" s="62"/>
      <c r="GJ9" s="62"/>
      <c r="GK9" s="62"/>
      <c r="GL9" s="63"/>
      <c r="GM9" s="62"/>
      <c r="GN9" s="62"/>
      <c r="GO9" s="62"/>
      <c r="GP9" s="62"/>
      <c r="GQ9" s="63"/>
      <c r="GR9" s="62"/>
      <c r="GS9" s="62"/>
      <c r="GT9" s="62"/>
      <c r="GU9" s="62"/>
      <c r="GV9" s="63"/>
      <c r="GW9" s="10"/>
    </row>
    <row r="10" spans="1:205" ht="15.6" x14ac:dyDescent="0.3">
      <c r="A10" s="111">
        <f t="shared" si="0"/>
        <v>7</v>
      </c>
      <c r="B10" s="161">
        <f t="shared" si="1"/>
        <v>5</v>
      </c>
      <c r="C10" s="64" t="s">
        <v>285</v>
      </c>
      <c r="D10" s="55" t="s">
        <v>271</v>
      </c>
      <c r="E10" s="56"/>
      <c r="F10" s="56"/>
      <c r="G10" s="93"/>
      <c r="H10" s="96"/>
      <c r="I10" s="56"/>
      <c r="J10" s="97"/>
      <c r="K10" s="56"/>
      <c r="L10" s="47"/>
      <c r="M10" s="84">
        <f t="shared" si="2"/>
        <v>0</v>
      </c>
      <c r="N10" s="57"/>
      <c r="O10" s="85">
        <f t="shared" si="3"/>
        <v>0</v>
      </c>
      <c r="P10" s="102">
        <f t="shared" si="4"/>
        <v>0</v>
      </c>
      <c r="Q10" s="104" t="str">
        <f t="shared" si="5"/>
        <v/>
      </c>
      <c r="R10" s="49"/>
      <c r="S10" s="58">
        <f t="shared" si="6"/>
        <v>7</v>
      </c>
      <c r="T10" s="59" t="str">
        <f t="shared" si="7"/>
        <v>22.5</v>
      </c>
      <c r="U10" s="60" t="str">
        <f t="shared" si="8"/>
        <v>SX3/SX03: Tool Storage Cabinet, Metal</v>
      </c>
      <c r="V10" s="61">
        <f t="shared" si="9"/>
        <v>5</v>
      </c>
      <c r="W10" s="62"/>
      <c r="X10" s="62"/>
      <c r="Y10" s="62"/>
      <c r="Z10" s="62"/>
      <c r="AA10" s="62"/>
      <c r="AB10" s="62"/>
      <c r="AC10" s="62"/>
      <c r="AD10" s="62"/>
      <c r="AE10" s="62"/>
      <c r="AF10" s="62"/>
      <c r="AG10" s="63"/>
      <c r="AH10" s="62"/>
      <c r="AI10" s="62"/>
      <c r="AJ10" s="62"/>
      <c r="AK10" s="62"/>
      <c r="AL10" s="63"/>
      <c r="AM10" s="62"/>
      <c r="AN10" s="62"/>
      <c r="AO10" s="62"/>
      <c r="AP10" s="62"/>
      <c r="AQ10" s="63"/>
      <c r="AR10" s="62"/>
      <c r="AS10" s="62"/>
      <c r="AT10" s="62"/>
      <c r="AU10" s="62"/>
      <c r="AV10" s="62"/>
      <c r="AW10" s="63"/>
      <c r="AX10" s="62"/>
      <c r="AY10" s="62"/>
      <c r="AZ10" s="62"/>
      <c r="BA10" s="62"/>
      <c r="BB10" s="63"/>
      <c r="BC10" s="62"/>
      <c r="BD10" s="62"/>
      <c r="BE10" s="62"/>
      <c r="BF10" s="62"/>
      <c r="BG10" s="63"/>
      <c r="BH10" s="62"/>
      <c r="BI10" s="62"/>
      <c r="BJ10" s="62"/>
      <c r="BK10" s="62"/>
      <c r="BL10" s="63"/>
      <c r="BM10" s="62"/>
      <c r="BN10" s="62"/>
      <c r="BO10" s="62"/>
      <c r="BP10" s="62"/>
      <c r="BQ10" s="63"/>
      <c r="BR10" s="62"/>
      <c r="BS10" s="62"/>
      <c r="BT10" s="62"/>
      <c r="BU10" s="62"/>
      <c r="BV10" s="63"/>
      <c r="BW10" s="62"/>
      <c r="BX10" s="62"/>
      <c r="BY10" s="62"/>
      <c r="BZ10" s="62"/>
      <c r="CA10" s="63"/>
      <c r="CB10" s="62"/>
      <c r="CC10" s="62"/>
      <c r="CD10" s="62"/>
      <c r="CE10" s="62"/>
      <c r="CF10" s="63"/>
      <c r="CG10" s="62"/>
      <c r="CH10" s="62"/>
      <c r="CI10" s="62"/>
      <c r="CJ10" s="62"/>
      <c r="CK10" s="63"/>
      <c r="CL10" s="62"/>
      <c r="CM10" s="62"/>
      <c r="CN10" s="62"/>
      <c r="CO10" s="62"/>
      <c r="CP10" s="63"/>
      <c r="CQ10" s="62"/>
      <c r="CR10" s="62"/>
      <c r="CS10" s="62"/>
      <c r="CT10" s="62"/>
      <c r="CU10" s="63"/>
      <c r="CV10" s="62"/>
      <c r="CW10" s="62"/>
      <c r="CX10" s="62">
        <v>1</v>
      </c>
      <c r="CY10" s="62">
        <v>1</v>
      </c>
      <c r="CZ10" s="63">
        <v>1</v>
      </c>
      <c r="DA10" s="62"/>
      <c r="DB10" s="62"/>
      <c r="DC10" s="62"/>
      <c r="DD10" s="62"/>
      <c r="DE10" s="63"/>
      <c r="DF10" s="62"/>
      <c r="DG10" s="62"/>
      <c r="DH10" s="62">
        <v>1</v>
      </c>
      <c r="DI10" s="62">
        <v>1</v>
      </c>
      <c r="DJ10" s="63"/>
      <c r="DK10" s="62"/>
      <c r="DL10" s="62"/>
      <c r="DM10" s="62"/>
      <c r="DN10" s="62"/>
      <c r="DO10" s="63"/>
      <c r="DP10" s="62"/>
      <c r="DQ10" s="62"/>
      <c r="DR10" s="62"/>
      <c r="DS10" s="62"/>
      <c r="DT10" s="63"/>
      <c r="DU10" s="62"/>
      <c r="DV10" s="62"/>
      <c r="DW10" s="62"/>
      <c r="DX10" s="62"/>
      <c r="DY10" s="63"/>
      <c r="DZ10" s="62"/>
      <c r="EA10" s="62"/>
      <c r="EB10" s="62"/>
      <c r="EC10" s="62"/>
      <c r="ED10" s="63"/>
      <c r="EE10" s="62"/>
      <c r="EF10" s="62"/>
      <c r="EG10" s="62"/>
      <c r="EH10" s="62"/>
      <c r="EI10" s="63"/>
      <c r="EJ10" s="62"/>
      <c r="EK10" s="62"/>
      <c r="EL10" s="62"/>
      <c r="EM10" s="62"/>
      <c r="EN10" s="63"/>
      <c r="EO10" s="62"/>
      <c r="EP10" s="62"/>
      <c r="EQ10" s="62"/>
      <c r="ER10" s="62"/>
      <c r="ES10" s="63"/>
      <c r="ET10" s="62"/>
      <c r="EU10" s="62"/>
      <c r="EV10" s="62"/>
      <c r="EW10" s="62"/>
      <c r="EX10" s="63"/>
      <c r="EY10" s="62"/>
      <c r="EZ10" s="62"/>
      <c r="FA10" s="62"/>
      <c r="FB10" s="62"/>
      <c r="FC10" s="63"/>
      <c r="FD10" s="62"/>
      <c r="FE10" s="62"/>
      <c r="FF10" s="62"/>
      <c r="FG10" s="62"/>
      <c r="FH10" s="63"/>
      <c r="FI10" s="62"/>
      <c r="FJ10" s="62"/>
      <c r="FK10" s="62"/>
      <c r="FL10" s="62"/>
      <c r="FM10" s="63"/>
      <c r="FN10" s="62"/>
      <c r="FO10" s="62"/>
      <c r="FP10" s="62"/>
      <c r="FQ10" s="62"/>
      <c r="FR10" s="63"/>
      <c r="FS10" s="62"/>
      <c r="FT10" s="62"/>
      <c r="FU10" s="62"/>
      <c r="FV10" s="62"/>
      <c r="FW10" s="63"/>
      <c r="FX10" s="62"/>
      <c r="FY10" s="62"/>
      <c r="FZ10" s="62"/>
      <c r="GA10" s="62"/>
      <c r="GB10" s="63"/>
      <c r="GC10" s="62"/>
      <c r="GD10" s="62"/>
      <c r="GE10" s="62"/>
      <c r="GF10" s="62"/>
      <c r="GG10" s="63"/>
      <c r="GH10" s="62"/>
      <c r="GI10" s="62"/>
      <c r="GJ10" s="62"/>
      <c r="GK10" s="62"/>
      <c r="GL10" s="63"/>
      <c r="GM10" s="62"/>
      <c r="GN10" s="62"/>
      <c r="GO10" s="62"/>
      <c r="GP10" s="62"/>
      <c r="GQ10" s="63"/>
      <c r="GR10" s="62"/>
      <c r="GS10" s="62"/>
      <c r="GT10" s="62"/>
      <c r="GU10" s="62"/>
      <c r="GV10" s="63"/>
      <c r="GW10" s="10"/>
    </row>
    <row r="11" spans="1:205" ht="15.6" x14ac:dyDescent="0.3">
      <c r="A11" s="111">
        <f t="shared" si="0"/>
        <v>8</v>
      </c>
      <c r="B11" s="161">
        <f t="shared" si="1"/>
        <v>2</v>
      </c>
      <c r="C11" s="64" t="s">
        <v>286</v>
      </c>
      <c r="D11" s="55" t="s">
        <v>272</v>
      </c>
      <c r="E11" s="56"/>
      <c r="F11" s="56"/>
      <c r="G11" s="93"/>
      <c r="H11" s="96"/>
      <c r="I11" s="56"/>
      <c r="J11" s="97"/>
      <c r="K11" s="56"/>
      <c r="L11" s="47"/>
      <c r="M11" s="84">
        <f t="shared" si="2"/>
        <v>0</v>
      </c>
      <c r="N11" s="57"/>
      <c r="O11" s="85">
        <f t="shared" si="3"/>
        <v>0</v>
      </c>
      <c r="P11" s="102">
        <f t="shared" si="4"/>
        <v>0</v>
      </c>
      <c r="Q11" s="104" t="str">
        <f t="shared" si="5"/>
        <v/>
      </c>
      <c r="R11" s="49"/>
      <c r="S11" s="58">
        <f t="shared" si="6"/>
        <v>8</v>
      </c>
      <c r="T11" s="59" t="str">
        <f t="shared" si="7"/>
        <v>22.6</v>
      </c>
      <c r="U11" s="60" t="str">
        <f t="shared" si="8"/>
        <v>EQ1/EQ01: Tool Storage Cabinet, Metal</v>
      </c>
      <c r="V11" s="61">
        <f t="shared" si="9"/>
        <v>2</v>
      </c>
      <c r="W11" s="62"/>
      <c r="X11" s="62"/>
      <c r="Y11" s="62"/>
      <c r="Z11" s="62"/>
      <c r="AA11" s="62"/>
      <c r="AB11" s="62"/>
      <c r="AC11" s="62"/>
      <c r="AD11" s="62"/>
      <c r="AE11" s="62"/>
      <c r="AF11" s="62"/>
      <c r="AG11" s="63"/>
      <c r="AH11" s="62"/>
      <c r="AI11" s="62"/>
      <c r="AJ11" s="62"/>
      <c r="AK11" s="62"/>
      <c r="AL11" s="63"/>
      <c r="AM11" s="62"/>
      <c r="AN11" s="62"/>
      <c r="AO11" s="62"/>
      <c r="AP11" s="62"/>
      <c r="AQ11" s="63"/>
      <c r="AR11" s="62"/>
      <c r="AS11" s="62"/>
      <c r="AT11" s="62"/>
      <c r="AU11" s="62"/>
      <c r="AV11" s="62"/>
      <c r="AW11" s="63"/>
      <c r="AX11" s="62"/>
      <c r="AY11" s="62"/>
      <c r="AZ11" s="62"/>
      <c r="BA11" s="62"/>
      <c r="BB11" s="63"/>
      <c r="BC11" s="62"/>
      <c r="BD11" s="62"/>
      <c r="BE11" s="62"/>
      <c r="BF11" s="62"/>
      <c r="BG11" s="63"/>
      <c r="BH11" s="62"/>
      <c r="BI11" s="62"/>
      <c r="BJ11" s="62"/>
      <c r="BK11" s="62"/>
      <c r="BL11" s="63"/>
      <c r="BM11" s="62"/>
      <c r="BN11" s="62"/>
      <c r="BO11" s="62"/>
      <c r="BP11" s="62">
        <v>1</v>
      </c>
      <c r="BQ11" s="63"/>
      <c r="BR11" s="62">
        <v>1</v>
      </c>
      <c r="BS11" s="62"/>
      <c r="BT11" s="62"/>
      <c r="BU11" s="62"/>
      <c r="BV11" s="63"/>
      <c r="BW11" s="62"/>
      <c r="BX11" s="62"/>
      <c r="BY11" s="62"/>
      <c r="BZ11" s="62"/>
      <c r="CA11" s="63"/>
      <c r="CB11" s="62"/>
      <c r="CC11" s="62"/>
      <c r="CD11" s="62"/>
      <c r="CE11" s="62"/>
      <c r="CF11" s="63"/>
      <c r="CG11" s="62"/>
      <c r="CH11" s="62"/>
      <c r="CI11" s="62"/>
      <c r="CJ11" s="62"/>
      <c r="CK11" s="63"/>
      <c r="CL11" s="62"/>
      <c r="CM11" s="62"/>
      <c r="CN11" s="62"/>
      <c r="CO11" s="62"/>
      <c r="CP11" s="63"/>
      <c r="CQ11" s="62"/>
      <c r="CR11" s="62"/>
      <c r="CS11" s="62"/>
      <c r="CT11" s="62"/>
      <c r="CU11" s="63"/>
      <c r="CV11" s="62"/>
      <c r="CW11" s="62"/>
      <c r="CX11" s="62"/>
      <c r="CY11" s="62"/>
      <c r="CZ11" s="63"/>
      <c r="DA11" s="62"/>
      <c r="DB11" s="62"/>
      <c r="DC11" s="62"/>
      <c r="DD11" s="62"/>
      <c r="DE11" s="63"/>
      <c r="DF11" s="62"/>
      <c r="DG11" s="62"/>
      <c r="DH11" s="62"/>
      <c r="DI11" s="62"/>
      <c r="DJ11" s="63"/>
      <c r="DK11" s="62"/>
      <c r="DL11" s="62"/>
      <c r="DM11" s="62"/>
      <c r="DN11" s="62"/>
      <c r="DO11" s="63"/>
      <c r="DP11" s="62"/>
      <c r="DQ11" s="62"/>
      <c r="DR11" s="62"/>
      <c r="DS11" s="62"/>
      <c r="DT11" s="63"/>
      <c r="DU11" s="62"/>
      <c r="DV11" s="62"/>
      <c r="DW11" s="62"/>
      <c r="DX11" s="62"/>
      <c r="DY11" s="63"/>
      <c r="DZ11" s="62"/>
      <c r="EA11" s="62"/>
      <c r="EB11" s="62"/>
      <c r="EC11" s="62"/>
      <c r="ED11" s="63"/>
      <c r="EE11" s="62"/>
      <c r="EF11" s="62"/>
      <c r="EG11" s="62"/>
      <c r="EH11" s="62"/>
      <c r="EI11" s="63"/>
      <c r="EJ11" s="62"/>
      <c r="EK11" s="62"/>
      <c r="EL11" s="62"/>
      <c r="EM11" s="62"/>
      <c r="EN11" s="63"/>
      <c r="EO11" s="62"/>
      <c r="EP11" s="62"/>
      <c r="EQ11" s="62"/>
      <c r="ER11" s="62"/>
      <c r="ES11" s="63"/>
      <c r="ET11" s="62"/>
      <c r="EU11" s="62"/>
      <c r="EV11" s="62"/>
      <c r="EW11" s="62"/>
      <c r="EX11" s="63"/>
      <c r="EY11" s="62"/>
      <c r="EZ11" s="62"/>
      <c r="FA11" s="62"/>
      <c r="FB11" s="62"/>
      <c r="FC11" s="63"/>
      <c r="FD11" s="62"/>
      <c r="FE11" s="62"/>
      <c r="FF11" s="62"/>
      <c r="FG11" s="62"/>
      <c r="FH11" s="63"/>
      <c r="FI11" s="62"/>
      <c r="FJ11" s="62"/>
      <c r="FK11" s="62"/>
      <c r="FL11" s="62"/>
      <c r="FM11" s="63"/>
      <c r="FN11" s="62"/>
      <c r="FO11" s="62"/>
      <c r="FP11" s="62"/>
      <c r="FQ11" s="62"/>
      <c r="FR11" s="63"/>
      <c r="FS11" s="62"/>
      <c r="FT11" s="62"/>
      <c r="FU11" s="62"/>
      <c r="FV11" s="62"/>
      <c r="FW11" s="63"/>
      <c r="FX11" s="62"/>
      <c r="FY11" s="62"/>
      <c r="FZ11" s="62"/>
      <c r="GA11" s="62"/>
      <c r="GB11" s="63"/>
      <c r="GC11" s="62"/>
      <c r="GD11" s="62"/>
      <c r="GE11" s="62"/>
      <c r="GF11" s="62"/>
      <c r="GG11" s="63"/>
      <c r="GH11" s="62"/>
      <c r="GI11" s="62"/>
      <c r="GJ11" s="62"/>
      <c r="GK11" s="62"/>
      <c r="GL11" s="63"/>
      <c r="GM11" s="62"/>
      <c r="GN11" s="62"/>
      <c r="GO11" s="62"/>
      <c r="GP11" s="62"/>
      <c r="GQ11" s="63"/>
      <c r="GR11" s="62"/>
      <c r="GS11" s="62"/>
      <c r="GT11" s="62"/>
      <c r="GU11" s="62"/>
      <c r="GV11" s="63"/>
      <c r="GW11" s="10"/>
    </row>
    <row r="12" spans="1:205" ht="15.6" x14ac:dyDescent="0.3">
      <c r="A12" s="111">
        <f t="shared" si="0"/>
        <v>9</v>
      </c>
      <c r="B12" s="161">
        <f t="shared" si="1"/>
        <v>45</v>
      </c>
      <c r="C12" s="64" t="s">
        <v>287</v>
      </c>
      <c r="D12" s="55" t="s">
        <v>299</v>
      </c>
      <c r="E12" s="56"/>
      <c r="F12" s="56"/>
      <c r="G12" s="93"/>
      <c r="H12" s="96"/>
      <c r="I12" s="56"/>
      <c r="J12" s="97"/>
      <c r="K12" s="56"/>
      <c r="L12" s="47"/>
      <c r="M12" s="84">
        <f t="shared" si="2"/>
        <v>0</v>
      </c>
      <c r="N12" s="57"/>
      <c r="O12" s="85">
        <f t="shared" si="3"/>
        <v>0</v>
      </c>
      <c r="P12" s="102">
        <f t="shared" si="4"/>
        <v>0</v>
      </c>
      <c r="Q12" s="104" t="str">
        <f t="shared" si="5"/>
        <v/>
      </c>
      <c r="R12" s="49"/>
      <c r="S12" s="58">
        <f t="shared" si="6"/>
        <v>9</v>
      </c>
      <c r="T12" s="59" t="str">
        <f t="shared" si="7"/>
        <v>22.7</v>
      </c>
      <c r="U12" s="60" t="str">
        <f t="shared" si="8"/>
        <v>TN1/TN01/TN2/TN02: Work Bench, Metal</v>
      </c>
      <c r="V12" s="61">
        <f t="shared" si="9"/>
        <v>45</v>
      </c>
      <c r="W12" s="62"/>
      <c r="X12" s="62"/>
      <c r="Y12" s="62"/>
      <c r="Z12" s="62"/>
      <c r="AA12" s="62"/>
      <c r="AB12" s="62"/>
      <c r="AC12" s="62"/>
      <c r="AD12" s="62"/>
      <c r="AE12" s="62"/>
      <c r="AF12" s="62"/>
      <c r="AG12" s="63"/>
      <c r="AH12" s="62"/>
      <c r="AI12" s="62"/>
      <c r="AJ12" s="62"/>
      <c r="AK12" s="62"/>
      <c r="AL12" s="63"/>
      <c r="AM12" s="62"/>
      <c r="AN12" s="62"/>
      <c r="AO12" s="62"/>
      <c r="AP12" s="62"/>
      <c r="AQ12" s="63"/>
      <c r="AR12" s="62"/>
      <c r="AS12" s="62"/>
      <c r="AT12" s="62"/>
      <c r="AU12" s="62"/>
      <c r="AV12" s="62"/>
      <c r="AW12" s="63"/>
      <c r="AX12" s="62"/>
      <c r="AY12" s="62"/>
      <c r="AZ12" s="62"/>
      <c r="BA12" s="62"/>
      <c r="BB12" s="63"/>
      <c r="BC12" s="62"/>
      <c r="BD12" s="62"/>
      <c r="BE12" s="62"/>
      <c r="BF12" s="62"/>
      <c r="BG12" s="63"/>
      <c r="BH12" s="62"/>
      <c r="BI12" s="62"/>
      <c r="BJ12" s="62">
        <v>1</v>
      </c>
      <c r="BK12" s="62"/>
      <c r="BL12" s="63"/>
      <c r="BM12" s="62"/>
      <c r="BN12" s="62"/>
      <c r="BO12" s="62"/>
      <c r="BP12" s="62">
        <v>2</v>
      </c>
      <c r="BQ12" s="62"/>
      <c r="BR12" s="62">
        <v>2</v>
      </c>
      <c r="BS12" s="62"/>
      <c r="BT12" s="62"/>
      <c r="BU12" s="62"/>
      <c r="BV12" s="63">
        <v>2</v>
      </c>
      <c r="BW12" s="62"/>
      <c r="BX12" s="62"/>
      <c r="BY12" s="62"/>
      <c r="BZ12" s="62"/>
      <c r="CA12" s="63"/>
      <c r="CB12" s="62"/>
      <c r="CC12" s="62"/>
      <c r="CD12" s="62">
        <v>6</v>
      </c>
      <c r="CE12" s="62"/>
      <c r="CF12" s="63"/>
      <c r="CG12" s="62"/>
      <c r="CH12" s="62"/>
      <c r="CI12" s="62"/>
      <c r="CJ12" s="62"/>
      <c r="CK12" s="63"/>
      <c r="CL12" s="62"/>
      <c r="CM12" s="62"/>
      <c r="CN12" s="62"/>
      <c r="CO12" s="62"/>
      <c r="CP12" s="63"/>
      <c r="CQ12" s="62"/>
      <c r="CR12" s="62"/>
      <c r="CS12" s="62">
        <v>1</v>
      </c>
      <c r="CT12" s="62">
        <v>1</v>
      </c>
      <c r="CU12" s="63">
        <v>2</v>
      </c>
      <c r="CV12" s="62">
        <v>2</v>
      </c>
      <c r="CW12" s="62">
        <v>1</v>
      </c>
      <c r="CX12" s="62"/>
      <c r="CY12" s="62"/>
      <c r="CZ12" s="63"/>
      <c r="DA12" s="62"/>
      <c r="DB12" s="62"/>
      <c r="DC12" s="62"/>
      <c r="DD12" s="62"/>
      <c r="DE12" s="63">
        <v>5</v>
      </c>
      <c r="DF12" s="62"/>
      <c r="DG12" s="62"/>
      <c r="DH12" s="62"/>
      <c r="DI12" s="62"/>
      <c r="DJ12" s="63"/>
      <c r="DK12" s="62"/>
      <c r="DL12" s="62">
        <v>1</v>
      </c>
      <c r="DM12" s="62"/>
      <c r="DN12" s="62"/>
      <c r="DO12" s="63"/>
      <c r="DP12" s="62"/>
      <c r="DQ12" s="62"/>
      <c r="DR12" s="62"/>
      <c r="DS12" s="62">
        <v>3</v>
      </c>
      <c r="DT12" s="63">
        <v>3</v>
      </c>
      <c r="DU12" s="62">
        <v>3</v>
      </c>
      <c r="DV12" s="62">
        <v>8</v>
      </c>
      <c r="DW12" s="62">
        <v>2</v>
      </c>
      <c r="DX12" s="62"/>
      <c r="DY12" s="63"/>
      <c r="DZ12" s="62"/>
      <c r="EA12" s="62"/>
      <c r="EB12" s="62"/>
      <c r="EC12" s="62"/>
      <c r="ED12" s="63"/>
      <c r="EE12" s="62"/>
      <c r="EF12" s="62"/>
      <c r="EG12" s="62"/>
      <c r="EH12" s="62"/>
      <c r="EI12" s="63"/>
      <c r="EJ12" s="62"/>
      <c r="EK12" s="62"/>
      <c r="EL12" s="62"/>
      <c r="EM12" s="62"/>
      <c r="EN12" s="63"/>
      <c r="EO12" s="62"/>
      <c r="EP12" s="62"/>
      <c r="EQ12" s="62"/>
      <c r="ER12" s="62"/>
      <c r="ES12" s="63"/>
      <c r="ET12" s="62"/>
      <c r="EU12" s="62"/>
      <c r="EV12" s="62"/>
      <c r="EW12" s="62"/>
      <c r="EX12" s="63"/>
      <c r="EY12" s="62"/>
      <c r="EZ12" s="62"/>
      <c r="FA12" s="62"/>
      <c r="FB12" s="62"/>
      <c r="FC12" s="63"/>
      <c r="FD12" s="62"/>
      <c r="FE12" s="62"/>
      <c r="FF12" s="62"/>
      <c r="FG12" s="62"/>
      <c r="FH12" s="63"/>
      <c r="FI12" s="62"/>
      <c r="FJ12" s="62"/>
      <c r="FK12" s="62"/>
      <c r="FL12" s="62"/>
      <c r="FM12" s="63"/>
      <c r="FN12" s="62"/>
      <c r="FO12" s="62"/>
      <c r="FP12" s="62"/>
      <c r="FQ12" s="62"/>
      <c r="FR12" s="63"/>
      <c r="FS12" s="62"/>
      <c r="FT12" s="62"/>
      <c r="FU12" s="62"/>
      <c r="FV12" s="62"/>
      <c r="FW12" s="63"/>
      <c r="FX12" s="62"/>
      <c r="FY12" s="62"/>
      <c r="FZ12" s="62"/>
      <c r="GA12" s="62"/>
      <c r="GB12" s="63"/>
      <c r="GC12" s="62"/>
      <c r="GD12" s="62"/>
      <c r="GE12" s="62"/>
      <c r="GF12" s="62"/>
      <c r="GG12" s="63"/>
      <c r="GH12" s="62"/>
      <c r="GI12" s="62"/>
      <c r="GJ12" s="62"/>
      <c r="GK12" s="62"/>
      <c r="GL12" s="63"/>
      <c r="GM12" s="62"/>
      <c r="GN12" s="62"/>
      <c r="GO12" s="62"/>
      <c r="GP12" s="62"/>
      <c r="GQ12" s="63"/>
      <c r="GR12" s="62"/>
      <c r="GS12" s="62"/>
      <c r="GT12" s="62"/>
      <c r="GU12" s="62"/>
      <c r="GV12" s="63"/>
      <c r="GW12" s="10"/>
    </row>
    <row r="13" spans="1:205" ht="15.6" x14ac:dyDescent="0.3">
      <c r="A13" s="111">
        <f t="shared" si="0"/>
        <v>10</v>
      </c>
      <c r="B13" s="161">
        <f t="shared" si="1"/>
        <v>10</v>
      </c>
      <c r="C13" s="64" t="s">
        <v>289</v>
      </c>
      <c r="D13" s="55" t="s">
        <v>298</v>
      </c>
      <c r="E13" s="56"/>
      <c r="F13" s="56"/>
      <c r="G13" s="93"/>
      <c r="H13" s="96"/>
      <c r="I13" s="56"/>
      <c r="J13" s="97"/>
      <c r="K13" s="56"/>
      <c r="L13" s="47"/>
      <c r="M13" s="84">
        <f t="shared" si="2"/>
        <v>0</v>
      </c>
      <c r="N13" s="57"/>
      <c r="O13" s="85">
        <f t="shared" si="3"/>
        <v>0</v>
      </c>
      <c r="P13" s="102">
        <f t="shared" si="4"/>
        <v>0</v>
      </c>
      <c r="Q13" s="104" t="str">
        <f t="shared" si="5"/>
        <v/>
      </c>
      <c r="R13" s="49"/>
      <c r="S13" s="58">
        <f t="shared" si="6"/>
        <v>10</v>
      </c>
      <c r="T13" s="59" t="str">
        <f t="shared" si="7"/>
        <v>22.9</v>
      </c>
      <c r="U13" s="60" t="str">
        <f t="shared" si="8"/>
        <v>TN3/TN03/TN4/TN04: Work Bench, Metal</v>
      </c>
      <c r="V13" s="61">
        <f t="shared" si="9"/>
        <v>10</v>
      </c>
      <c r="W13" s="62"/>
      <c r="X13" s="62"/>
      <c r="Y13" s="62"/>
      <c r="Z13" s="62"/>
      <c r="AA13" s="62"/>
      <c r="AB13" s="62"/>
      <c r="AC13" s="62"/>
      <c r="AD13" s="62"/>
      <c r="AE13" s="62"/>
      <c r="AF13" s="62"/>
      <c r="AG13" s="63"/>
      <c r="AH13" s="62"/>
      <c r="AI13" s="62"/>
      <c r="AJ13" s="62"/>
      <c r="AK13" s="62"/>
      <c r="AL13" s="63"/>
      <c r="AM13" s="62"/>
      <c r="AN13" s="62"/>
      <c r="AO13" s="62"/>
      <c r="AP13" s="62"/>
      <c r="AQ13" s="63"/>
      <c r="AR13" s="62"/>
      <c r="AS13" s="62"/>
      <c r="AT13" s="62"/>
      <c r="AU13" s="62"/>
      <c r="AV13" s="62"/>
      <c r="AW13" s="63"/>
      <c r="AX13" s="62"/>
      <c r="AY13" s="62"/>
      <c r="AZ13" s="62"/>
      <c r="BA13" s="62"/>
      <c r="BB13" s="63"/>
      <c r="BC13" s="62"/>
      <c r="BD13" s="62"/>
      <c r="BE13" s="62"/>
      <c r="BF13" s="62"/>
      <c r="BG13" s="63"/>
      <c r="BH13" s="62"/>
      <c r="BI13" s="62"/>
      <c r="BJ13" s="62"/>
      <c r="BK13" s="62"/>
      <c r="BL13" s="63"/>
      <c r="BM13" s="62"/>
      <c r="BN13" s="62"/>
      <c r="BO13" s="62"/>
      <c r="BP13" s="62"/>
      <c r="BQ13" s="63"/>
      <c r="BR13" s="62"/>
      <c r="BS13" s="62"/>
      <c r="BT13" s="62"/>
      <c r="BU13" s="62"/>
      <c r="BV13" s="63"/>
      <c r="BW13" s="62"/>
      <c r="BX13" s="62"/>
      <c r="BY13" s="62"/>
      <c r="BZ13" s="62"/>
      <c r="CA13" s="63"/>
      <c r="CB13" s="62"/>
      <c r="CC13" s="62"/>
      <c r="CD13" s="62">
        <v>10</v>
      </c>
      <c r="CE13" s="62"/>
      <c r="CF13" s="63"/>
      <c r="CG13" s="62"/>
      <c r="CH13" s="62"/>
      <c r="CI13" s="62"/>
      <c r="CJ13" s="62"/>
      <c r="CK13" s="63"/>
      <c r="CL13" s="62"/>
      <c r="CM13" s="62"/>
      <c r="CN13" s="62"/>
      <c r="CO13" s="62"/>
      <c r="CP13" s="63"/>
      <c r="CQ13" s="62"/>
      <c r="CR13" s="62"/>
      <c r="CS13" s="62"/>
      <c r="CT13" s="62"/>
      <c r="CU13" s="63"/>
      <c r="CV13" s="62"/>
      <c r="CW13" s="62"/>
      <c r="CX13" s="62"/>
      <c r="CY13" s="62"/>
      <c r="CZ13" s="63"/>
      <c r="DA13" s="62"/>
      <c r="DB13" s="62"/>
      <c r="DC13" s="62"/>
      <c r="DD13" s="62"/>
      <c r="DE13" s="63"/>
      <c r="DF13" s="62"/>
      <c r="DG13" s="62"/>
      <c r="DH13" s="62"/>
      <c r="DI13" s="62"/>
      <c r="DJ13" s="63"/>
      <c r="DK13" s="62"/>
      <c r="DL13" s="62"/>
      <c r="DM13" s="62"/>
      <c r="DN13" s="62"/>
      <c r="DO13" s="63"/>
      <c r="DP13" s="62"/>
      <c r="DQ13" s="62"/>
      <c r="DR13" s="62"/>
      <c r="DS13" s="62"/>
      <c r="DT13" s="63"/>
      <c r="DU13" s="62"/>
      <c r="DV13" s="62"/>
      <c r="DW13" s="62"/>
      <c r="DX13" s="62"/>
      <c r="DY13" s="63"/>
      <c r="DZ13" s="62"/>
      <c r="EA13" s="62"/>
      <c r="EB13" s="62"/>
      <c r="EC13" s="62"/>
      <c r="ED13" s="63"/>
      <c r="EE13" s="62"/>
      <c r="EF13" s="62"/>
      <c r="EG13" s="62"/>
      <c r="EH13" s="62"/>
      <c r="EI13" s="63"/>
      <c r="EJ13" s="62"/>
      <c r="EK13" s="62"/>
      <c r="EL13" s="62"/>
      <c r="EM13" s="62"/>
      <c r="EN13" s="63"/>
      <c r="EO13" s="62"/>
      <c r="EP13" s="62"/>
      <c r="EQ13" s="62"/>
      <c r="ER13" s="62"/>
      <c r="ES13" s="63"/>
      <c r="ET13" s="62"/>
      <c r="EU13" s="62"/>
      <c r="EV13" s="62"/>
      <c r="EW13" s="62"/>
      <c r="EX13" s="63"/>
      <c r="EY13" s="62"/>
      <c r="EZ13" s="62"/>
      <c r="FA13" s="62"/>
      <c r="FB13" s="62"/>
      <c r="FC13" s="63"/>
      <c r="FD13" s="62"/>
      <c r="FE13" s="62"/>
      <c r="FF13" s="62"/>
      <c r="FG13" s="62"/>
      <c r="FH13" s="63"/>
      <c r="FI13" s="62"/>
      <c r="FJ13" s="62"/>
      <c r="FK13" s="62"/>
      <c r="FL13" s="62"/>
      <c r="FM13" s="63"/>
      <c r="FN13" s="62"/>
      <c r="FO13" s="62"/>
      <c r="FP13" s="62"/>
      <c r="FQ13" s="62"/>
      <c r="FR13" s="63"/>
      <c r="FS13" s="62"/>
      <c r="FT13" s="62"/>
      <c r="FU13" s="62"/>
      <c r="FV13" s="62"/>
      <c r="FW13" s="63"/>
      <c r="FX13" s="62"/>
      <c r="FY13" s="62"/>
      <c r="FZ13" s="62"/>
      <c r="GA13" s="62"/>
      <c r="GB13" s="63"/>
      <c r="GC13" s="62"/>
      <c r="GD13" s="62"/>
      <c r="GE13" s="62"/>
      <c r="GF13" s="62"/>
      <c r="GG13" s="63"/>
      <c r="GH13" s="62"/>
      <c r="GI13" s="62"/>
      <c r="GJ13" s="62"/>
      <c r="GK13" s="62"/>
      <c r="GL13" s="63"/>
      <c r="GM13" s="62"/>
      <c r="GN13" s="62"/>
      <c r="GO13" s="62"/>
      <c r="GP13" s="62"/>
      <c r="GQ13" s="63"/>
      <c r="GR13" s="62"/>
      <c r="GS13" s="62"/>
      <c r="GT13" s="62"/>
      <c r="GU13" s="62"/>
      <c r="GV13" s="63"/>
      <c r="GW13" s="10"/>
    </row>
    <row r="14" spans="1:205" ht="15.6" x14ac:dyDescent="0.3">
      <c r="A14" s="111">
        <f t="shared" si="0"/>
        <v>11</v>
      </c>
      <c r="B14" s="161">
        <f t="shared" ref="B14" si="10">V14</f>
        <v>1</v>
      </c>
      <c r="C14" s="64" t="s">
        <v>290</v>
      </c>
      <c r="D14" s="55" t="s">
        <v>293</v>
      </c>
      <c r="E14" s="56"/>
      <c r="F14" s="56"/>
      <c r="G14" s="93"/>
      <c r="H14" s="96"/>
      <c r="I14" s="56"/>
      <c r="J14" s="97"/>
      <c r="K14" s="56"/>
      <c r="L14" s="47"/>
      <c r="M14" s="84">
        <f t="shared" si="2"/>
        <v>0</v>
      </c>
      <c r="N14" s="57"/>
      <c r="O14" s="85">
        <f t="shared" si="3"/>
        <v>0</v>
      </c>
      <c r="P14" s="102">
        <f t="shared" si="4"/>
        <v>0</v>
      </c>
      <c r="Q14" s="104" t="str">
        <f t="shared" ref="Q14" si="11">IF($Q$1="SAM","",IF(L14="","",N14-L14))</f>
        <v/>
      </c>
      <c r="R14" s="49"/>
      <c r="S14" s="58">
        <f t="shared" ref="S14" si="12">IF(A14=0,"",A14)</f>
        <v>11</v>
      </c>
      <c r="T14" s="59" t="str">
        <f t="shared" ref="T14" si="13">IF(C14="","",C14)</f>
        <v>22.10</v>
      </c>
      <c r="U14" s="60" t="str">
        <f t="shared" ref="U14" si="14">IF(D14="","",D14)</f>
        <v>TN5/TN05: Work Bench, Metal</v>
      </c>
      <c r="V14" s="61">
        <f t="shared" si="9"/>
        <v>1</v>
      </c>
      <c r="W14" s="62"/>
      <c r="X14" s="62"/>
      <c r="Y14" s="62"/>
      <c r="Z14" s="62"/>
      <c r="AA14" s="62"/>
      <c r="AB14" s="62"/>
      <c r="AC14" s="62"/>
      <c r="AD14" s="62"/>
      <c r="AE14" s="62"/>
      <c r="AF14" s="62"/>
      <c r="AG14" s="63"/>
      <c r="AH14" s="62"/>
      <c r="AI14" s="62"/>
      <c r="AJ14" s="62"/>
      <c r="AK14" s="62"/>
      <c r="AL14" s="63"/>
      <c r="AM14" s="62"/>
      <c r="AN14" s="62"/>
      <c r="AO14" s="62"/>
      <c r="AP14" s="62"/>
      <c r="AQ14" s="63"/>
      <c r="AR14" s="62"/>
      <c r="AS14" s="62"/>
      <c r="AT14" s="62"/>
      <c r="AU14" s="62"/>
      <c r="AV14" s="62"/>
      <c r="AW14" s="63"/>
      <c r="AX14" s="62"/>
      <c r="AY14" s="62"/>
      <c r="AZ14" s="62"/>
      <c r="BA14" s="62"/>
      <c r="BB14" s="63"/>
      <c r="BC14" s="62"/>
      <c r="BD14" s="62"/>
      <c r="BE14" s="62"/>
      <c r="BF14" s="62"/>
      <c r="BG14" s="63"/>
      <c r="BH14" s="62"/>
      <c r="BI14" s="62"/>
      <c r="BJ14" s="62"/>
      <c r="BK14" s="62"/>
      <c r="BL14" s="63"/>
      <c r="BM14" s="62"/>
      <c r="BN14" s="62"/>
      <c r="BO14" s="62"/>
      <c r="BP14" s="62"/>
      <c r="BQ14" s="63"/>
      <c r="BR14" s="62">
        <v>1</v>
      </c>
      <c r="BS14" s="62"/>
      <c r="BT14" s="62"/>
      <c r="BU14" s="62"/>
      <c r="BV14" s="63"/>
      <c r="BW14" s="62"/>
      <c r="BX14" s="62"/>
      <c r="BY14" s="62"/>
      <c r="BZ14" s="62"/>
      <c r="CA14" s="63"/>
      <c r="CB14" s="62"/>
      <c r="CC14" s="62"/>
      <c r="CD14" s="62"/>
      <c r="CE14" s="62"/>
      <c r="CF14" s="63"/>
      <c r="CG14" s="62"/>
      <c r="CH14" s="62"/>
      <c r="CI14" s="62"/>
      <c r="CJ14" s="62"/>
      <c r="CK14" s="63"/>
      <c r="CL14" s="62"/>
      <c r="CM14" s="62"/>
      <c r="CN14" s="62"/>
      <c r="CO14" s="62"/>
      <c r="CP14" s="63"/>
      <c r="CQ14" s="62"/>
      <c r="CR14" s="62"/>
      <c r="CS14" s="62"/>
      <c r="CT14" s="62"/>
      <c r="CU14" s="63"/>
      <c r="CV14" s="62"/>
      <c r="CW14" s="62"/>
      <c r="CX14" s="62"/>
      <c r="CY14" s="62"/>
      <c r="CZ14" s="63"/>
      <c r="DA14" s="62"/>
      <c r="DB14" s="62"/>
      <c r="DC14" s="62"/>
      <c r="DD14" s="62"/>
      <c r="DE14" s="63"/>
      <c r="DF14" s="62"/>
      <c r="DG14" s="62"/>
      <c r="DH14" s="62"/>
      <c r="DI14" s="62"/>
      <c r="DJ14" s="63"/>
      <c r="DK14" s="62"/>
      <c r="DL14" s="62"/>
      <c r="DM14" s="62"/>
      <c r="DN14" s="62"/>
      <c r="DO14" s="63"/>
      <c r="DP14" s="62"/>
      <c r="DQ14" s="62"/>
      <c r="DR14" s="62"/>
      <c r="DS14" s="62"/>
      <c r="DT14" s="63"/>
      <c r="DU14" s="62"/>
      <c r="DV14" s="62"/>
      <c r="DW14" s="62"/>
      <c r="DX14" s="62"/>
      <c r="DY14" s="63"/>
      <c r="DZ14" s="62"/>
      <c r="EA14" s="62"/>
      <c r="EB14" s="62"/>
      <c r="EC14" s="62"/>
      <c r="ED14" s="63"/>
      <c r="EE14" s="62"/>
      <c r="EF14" s="62"/>
      <c r="EG14" s="62"/>
      <c r="EH14" s="62"/>
      <c r="EI14" s="63"/>
      <c r="EJ14" s="62"/>
      <c r="EK14" s="62"/>
      <c r="EL14" s="62"/>
      <c r="EM14" s="62"/>
      <c r="EN14" s="63"/>
      <c r="EO14" s="62"/>
      <c r="EP14" s="62"/>
      <c r="EQ14" s="62"/>
      <c r="ER14" s="62"/>
      <c r="ES14" s="63"/>
      <c r="ET14" s="62"/>
      <c r="EU14" s="62"/>
      <c r="EV14" s="62"/>
      <c r="EW14" s="62"/>
      <c r="EX14" s="63"/>
      <c r="EY14" s="62"/>
      <c r="EZ14" s="62"/>
      <c r="FA14" s="62"/>
      <c r="FB14" s="62"/>
      <c r="FC14" s="63"/>
      <c r="FD14" s="62"/>
      <c r="FE14" s="62"/>
      <c r="FF14" s="62"/>
      <c r="FG14" s="62"/>
      <c r="FH14" s="63"/>
      <c r="FI14" s="62"/>
      <c r="FJ14" s="62"/>
      <c r="FK14" s="62"/>
      <c r="FL14" s="62"/>
      <c r="FM14" s="63"/>
      <c r="FN14" s="62"/>
      <c r="FO14" s="62"/>
      <c r="FP14" s="62"/>
      <c r="FQ14" s="62"/>
      <c r="FR14" s="63"/>
      <c r="FS14" s="62"/>
      <c r="FT14" s="62"/>
      <c r="FU14" s="62"/>
      <c r="FV14" s="62"/>
      <c r="FW14" s="63"/>
      <c r="FX14" s="62"/>
      <c r="FY14" s="62"/>
      <c r="FZ14" s="62"/>
      <c r="GA14" s="62"/>
      <c r="GB14" s="63"/>
      <c r="GC14" s="62"/>
      <c r="GD14" s="62"/>
      <c r="GE14" s="62"/>
      <c r="GF14" s="62"/>
      <c r="GG14" s="63"/>
      <c r="GH14" s="62"/>
      <c r="GI14" s="62"/>
      <c r="GJ14" s="62"/>
      <c r="GK14" s="62"/>
      <c r="GL14" s="63"/>
      <c r="GM14" s="62"/>
      <c r="GN14" s="62"/>
      <c r="GO14" s="62"/>
      <c r="GP14" s="62"/>
      <c r="GQ14" s="63"/>
      <c r="GR14" s="62"/>
      <c r="GS14" s="62"/>
      <c r="GT14" s="62"/>
      <c r="GU14" s="62"/>
      <c r="GV14" s="63"/>
      <c r="GW14" s="10"/>
    </row>
    <row r="15" spans="1:205" ht="15.6" x14ac:dyDescent="0.3">
      <c r="A15" s="111">
        <f t="shared" ref="A15:A16" si="15">IF(B15&gt;0,A14+1,A14)</f>
        <v>12</v>
      </c>
      <c r="B15" s="161">
        <f t="shared" si="1"/>
        <v>13</v>
      </c>
      <c r="C15" s="64" t="s">
        <v>291</v>
      </c>
      <c r="D15" s="55" t="s">
        <v>297</v>
      </c>
      <c r="E15" s="56"/>
      <c r="F15" s="56"/>
      <c r="G15" s="93"/>
      <c r="H15" s="96"/>
      <c r="I15" s="56"/>
      <c r="J15" s="97"/>
      <c r="K15" s="56"/>
      <c r="L15" s="47"/>
      <c r="M15" s="84">
        <f t="shared" si="2"/>
        <v>0</v>
      </c>
      <c r="N15" s="57"/>
      <c r="O15" s="85">
        <f t="shared" si="3"/>
        <v>0</v>
      </c>
      <c r="P15" s="102">
        <f t="shared" si="4"/>
        <v>0</v>
      </c>
      <c r="Q15" s="104" t="str">
        <f t="shared" si="5"/>
        <v/>
      </c>
      <c r="R15" s="49"/>
      <c r="S15" s="58">
        <f t="shared" si="6"/>
        <v>12</v>
      </c>
      <c r="T15" s="59" t="str">
        <f t="shared" si="7"/>
        <v>22.11</v>
      </c>
      <c r="U15" s="60" t="str">
        <f t="shared" si="8"/>
        <v>SL1/SL01: Double Tier Locker, Metal</v>
      </c>
      <c r="V15" s="61">
        <f t="shared" si="9"/>
        <v>13</v>
      </c>
      <c r="W15" s="62"/>
      <c r="X15" s="62"/>
      <c r="Y15" s="62"/>
      <c r="Z15" s="62"/>
      <c r="AA15" s="62"/>
      <c r="AB15" s="62"/>
      <c r="AC15" s="62"/>
      <c r="AD15" s="62"/>
      <c r="AE15" s="62"/>
      <c r="AF15" s="62"/>
      <c r="AG15" s="63"/>
      <c r="AH15" s="62"/>
      <c r="AI15" s="62"/>
      <c r="AJ15" s="62"/>
      <c r="AK15" s="62"/>
      <c r="AL15" s="63"/>
      <c r="AM15" s="62"/>
      <c r="AN15" s="62"/>
      <c r="AO15" s="62"/>
      <c r="AP15" s="62"/>
      <c r="AQ15" s="63"/>
      <c r="AR15" s="62"/>
      <c r="AS15" s="62"/>
      <c r="AT15" s="62"/>
      <c r="AU15" s="62"/>
      <c r="AV15" s="62"/>
      <c r="AW15" s="63"/>
      <c r="AX15" s="62"/>
      <c r="AY15" s="62"/>
      <c r="AZ15" s="62"/>
      <c r="BA15" s="62"/>
      <c r="BB15" s="63"/>
      <c r="BC15" s="62"/>
      <c r="BD15" s="62"/>
      <c r="BE15" s="62"/>
      <c r="BF15" s="62"/>
      <c r="BG15" s="63"/>
      <c r="BH15" s="62"/>
      <c r="BI15" s="62"/>
      <c r="BJ15" s="62"/>
      <c r="BK15" s="62"/>
      <c r="BL15" s="63"/>
      <c r="BM15" s="62"/>
      <c r="BN15" s="62"/>
      <c r="BO15" s="62"/>
      <c r="BP15" s="62"/>
      <c r="BQ15" s="63"/>
      <c r="BR15" s="62"/>
      <c r="BS15" s="62"/>
      <c r="BT15" s="62"/>
      <c r="BU15" s="62"/>
      <c r="BV15" s="63"/>
      <c r="BW15" s="62"/>
      <c r="BX15" s="62"/>
      <c r="BY15" s="62"/>
      <c r="BZ15" s="62"/>
      <c r="CA15" s="63"/>
      <c r="CB15" s="62"/>
      <c r="CC15" s="62"/>
      <c r="CD15" s="62"/>
      <c r="CE15" s="62"/>
      <c r="CF15" s="63"/>
      <c r="CG15" s="62"/>
      <c r="CH15" s="62"/>
      <c r="CI15" s="62"/>
      <c r="CJ15" s="62"/>
      <c r="CK15" s="63"/>
      <c r="CL15" s="62"/>
      <c r="CM15" s="62"/>
      <c r="CN15" s="62"/>
      <c r="CO15" s="62"/>
      <c r="CP15" s="63"/>
      <c r="CQ15" s="62"/>
      <c r="CR15" s="62"/>
      <c r="CS15" s="62"/>
      <c r="CT15" s="62"/>
      <c r="CU15" s="63"/>
      <c r="CV15" s="62"/>
      <c r="CW15" s="62"/>
      <c r="CX15" s="62"/>
      <c r="CY15" s="62"/>
      <c r="CZ15" s="63"/>
      <c r="DA15" s="62"/>
      <c r="DB15" s="62"/>
      <c r="DC15" s="62"/>
      <c r="DD15" s="62"/>
      <c r="DE15" s="63"/>
      <c r="DF15" s="62"/>
      <c r="DG15" s="62"/>
      <c r="DH15" s="62"/>
      <c r="DI15" s="62"/>
      <c r="DJ15" s="63"/>
      <c r="DK15" s="62"/>
      <c r="DL15" s="62">
        <v>13</v>
      </c>
      <c r="DM15" s="62"/>
      <c r="DN15" s="62"/>
      <c r="DO15" s="63"/>
      <c r="DP15" s="62"/>
      <c r="DQ15" s="62"/>
      <c r="DR15" s="62"/>
      <c r="DS15" s="62"/>
      <c r="DT15" s="63"/>
      <c r="DU15" s="62"/>
      <c r="DV15" s="62"/>
      <c r="DW15" s="62"/>
      <c r="DX15" s="62"/>
      <c r="DY15" s="63"/>
      <c r="DZ15" s="62"/>
      <c r="EA15" s="62"/>
      <c r="EB15" s="62"/>
      <c r="EC15" s="62"/>
      <c r="ED15" s="63"/>
      <c r="EE15" s="62"/>
      <c r="EF15" s="62"/>
      <c r="EG15" s="62"/>
      <c r="EH15" s="62"/>
      <c r="EI15" s="63"/>
      <c r="EJ15" s="62"/>
      <c r="EK15" s="62"/>
      <c r="EL15" s="62"/>
      <c r="EM15" s="62"/>
      <c r="EN15" s="63"/>
      <c r="EO15" s="62"/>
      <c r="EP15" s="62"/>
      <c r="EQ15" s="62"/>
      <c r="ER15" s="62"/>
      <c r="ES15" s="63"/>
      <c r="ET15" s="62"/>
      <c r="EU15" s="62"/>
      <c r="EV15" s="62"/>
      <c r="EW15" s="62"/>
      <c r="EX15" s="63"/>
      <c r="EY15" s="62"/>
      <c r="EZ15" s="62"/>
      <c r="FA15" s="62"/>
      <c r="FB15" s="62"/>
      <c r="FC15" s="63"/>
      <c r="FD15" s="62"/>
      <c r="FE15" s="62"/>
      <c r="FF15" s="62"/>
      <c r="FG15" s="62"/>
      <c r="FH15" s="63"/>
      <c r="FI15" s="62"/>
      <c r="FJ15" s="62"/>
      <c r="FK15" s="62"/>
      <c r="FL15" s="62"/>
      <c r="FM15" s="63"/>
      <c r="FN15" s="62"/>
      <c r="FO15" s="62"/>
      <c r="FP15" s="62"/>
      <c r="FQ15" s="62"/>
      <c r="FR15" s="63"/>
      <c r="FS15" s="62"/>
      <c r="FT15" s="62"/>
      <c r="FU15" s="62"/>
      <c r="FV15" s="62"/>
      <c r="FW15" s="63"/>
      <c r="FX15" s="62"/>
      <c r="FY15" s="62"/>
      <c r="FZ15" s="62"/>
      <c r="GA15" s="62"/>
      <c r="GB15" s="63"/>
      <c r="GC15" s="62"/>
      <c r="GD15" s="62"/>
      <c r="GE15" s="62"/>
      <c r="GF15" s="62"/>
      <c r="GG15" s="63"/>
      <c r="GH15" s="62"/>
      <c r="GI15" s="62"/>
      <c r="GJ15" s="62"/>
      <c r="GK15" s="62"/>
      <c r="GL15" s="63"/>
      <c r="GM15" s="62"/>
      <c r="GN15" s="62"/>
      <c r="GO15" s="62"/>
      <c r="GP15" s="62"/>
      <c r="GQ15" s="63"/>
      <c r="GR15" s="62"/>
      <c r="GS15" s="62"/>
      <c r="GT15" s="62"/>
      <c r="GU15" s="62"/>
      <c r="GV15" s="63"/>
      <c r="GW15" s="10"/>
    </row>
    <row r="16" spans="1:205" ht="16.2" thickBot="1" x14ac:dyDescent="0.35">
      <c r="A16" s="111">
        <f t="shared" si="15"/>
        <v>13</v>
      </c>
      <c r="B16" s="161">
        <f t="shared" si="1"/>
        <v>1</v>
      </c>
      <c r="C16" s="64" t="s">
        <v>292</v>
      </c>
      <c r="D16" s="55" t="s">
        <v>278</v>
      </c>
      <c r="E16" s="56"/>
      <c r="F16" s="56"/>
      <c r="G16" s="93"/>
      <c r="H16" s="96"/>
      <c r="I16" s="56"/>
      <c r="J16" s="97"/>
      <c r="K16" s="56"/>
      <c r="L16" s="47"/>
      <c r="M16" s="84">
        <f t="shared" si="2"/>
        <v>0</v>
      </c>
      <c r="N16" s="57"/>
      <c r="O16" s="85">
        <f t="shared" si="3"/>
        <v>0</v>
      </c>
      <c r="P16" s="102">
        <f t="shared" si="4"/>
        <v>0</v>
      </c>
      <c r="Q16" s="104" t="str">
        <f t="shared" si="5"/>
        <v/>
      </c>
      <c r="R16" s="49"/>
      <c r="S16" s="58">
        <f t="shared" si="6"/>
        <v>13</v>
      </c>
      <c r="T16" s="59" t="str">
        <f t="shared" si="7"/>
        <v>22.12</v>
      </c>
      <c r="U16" s="60" t="str">
        <f t="shared" si="8"/>
        <v>SX4/SX04: Heavy Duty Cart</v>
      </c>
      <c r="V16" s="61">
        <f t="shared" si="9"/>
        <v>1</v>
      </c>
      <c r="W16" s="62"/>
      <c r="X16" s="62"/>
      <c r="Y16" s="62"/>
      <c r="Z16" s="62"/>
      <c r="AA16" s="62"/>
      <c r="AB16" s="62"/>
      <c r="AC16" s="62"/>
      <c r="AD16" s="62"/>
      <c r="AE16" s="62"/>
      <c r="AF16" s="62"/>
      <c r="AG16" s="63"/>
      <c r="AH16" s="62"/>
      <c r="AI16" s="62"/>
      <c r="AJ16" s="62"/>
      <c r="AK16" s="62"/>
      <c r="AL16" s="63"/>
      <c r="AM16" s="62"/>
      <c r="AN16" s="62"/>
      <c r="AO16" s="62"/>
      <c r="AP16" s="62"/>
      <c r="AQ16" s="63"/>
      <c r="AR16" s="62"/>
      <c r="AS16" s="62"/>
      <c r="AT16" s="62"/>
      <c r="AU16" s="62"/>
      <c r="AV16" s="62"/>
      <c r="AW16" s="63"/>
      <c r="AX16" s="62"/>
      <c r="AY16" s="62"/>
      <c r="AZ16" s="62"/>
      <c r="BA16" s="62"/>
      <c r="BB16" s="63"/>
      <c r="BC16" s="62"/>
      <c r="BD16" s="62"/>
      <c r="BE16" s="62"/>
      <c r="BF16" s="62"/>
      <c r="BG16" s="63"/>
      <c r="BH16" s="62"/>
      <c r="BI16" s="62"/>
      <c r="BJ16" s="62"/>
      <c r="BK16" s="62"/>
      <c r="BL16" s="63"/>
      <c r="BM16" s="62"/>
      <c r="BN16" s="62"/>
      <c r="BO16" s="62"/>
      <c r="BP16" s="62"/>
      <c r="BQ16" s="63"/>
      <c r="BR16" s="62"/>
      <c r="BS16" s="62"/>
      <c r="BT16" s="62"/>
      <c r="BU16" s="62"/>
      <c r="BV16" s="63"/>
      <c r="BW16" s="62"/>
      <c r="BX16" s="62"/>
      <c r="BY16" s="62"/>
      <c r="BZ16" s="62"/>
      <c r="CA16" s="63"/>
      <c r="CB16" s="62"/>
      <c r="CC16" s="62"/>
      <c r="CD16" s="62"/>
      <c r="CE16" s="62"/>
      <c r="CF16" s="63"/>
      <c r="CG16" s="62"/>
      <c r="CH16" s="62"/>
      <c r="CI16" s="62"/>
      <c r="CJ16" s="62"/>
      <c r="CK16" s="63"/>
      <c r="CL16" s="62"/>
      <c r="CM16" s="62"/>
      <c r="CN16" s="62"/>
      <c r="CO16" s="62"/>
      <c r="CP16" s="63"/>
      <c r="CQ16" s="62"/>
      <c r="CR16" s="62"/>
      <c r="CS16" s="62"/>
      <c r="CT16" s="62">
        <v>1</v>
      </c>
      <c r="CU16" s="63"/>
      <c r="CV16" s="62"/>
      <c r="CW16" s="62"/>
      <c r="CX16" s="62"/>
      <c r="CY16" s="62"/>
      <c r="CZ16" s="63"/>
      <c r="DA16" s="62"/>
      <c r="DB16" s="62"/>
      <c r="DC16" s="62"/>
      <c r="DD16" s="62"/>
      <c r="DE16" s="63"/>
      <c r="DF16" s="62"/>
      <c r="DG16" s="62"/>
      <c r="DH16" s="62"/>
      <c r="DI16" s="62"/>
      <c r="DJ16" s="63"/>
      <c r="DK16" s="62"/>
      <c r="DL16" s="62"/>
      <c r="DM16" s="62"/>
      <c r="DN16" s="62"/>
      <c r="DO16" s="63"/>
      <c r="DP16" s="62"/>
      <c r="DQ16" s="62"/>
      <c r="DR16" s="62"/>
      <c r="DS16" s="62"/>
      <c r="DT16" s="63"/>
      <c r="DU16" s="62"/>
      <c r="DV16" s="62"/>
      <c r="DW16" s="62"/>
      <c r="DX16" s="62"/>
      <c r="DY16" s="63"/>
      <c r="DZ16" s="62"/>
      <c r="EA16" s="62"/>
      <c r="EB16" s="62"/>
      <c r="EC16" s="62"/>
      <c r="ED16" s="63"/>
      <c r="EE16" s="62"/>
      <c r="EF16" s="62"/>
      <c r="EG16" s="62"/>
      <c r="EH16" s="62"/>
      <c r="EI16" s="63"/>
      <c r="EJ16" s="62"/>
      <c r="EK16" s="62"/>
      <c r="EL16" s="62"/>
      <c r="EM16" s="62"/>
      <c r="EN16" s="63"/>
      <c r="EO16" s="62"/>
      <c r="EP16" s="62"/>
      <c r="EQ16" s="62"/>
      <c r="ER16" s="62"/>
      <c r="ES16" s="63"/>
      <c r="ET16" s="62"/>
      <c r="EU16" s="62"/>
      <c r="EV16" s="62"/>
      <c r="EW16" s="62"/>
      <c r="EX16" s="63"/>
      <c r="EY16" s="62"/>
      <c r="EZ16" s="62"/>
      <c r="FA16" s="62"/>
      <c r="FB16" s="62"/>
      <c r="FC16" s="63"/>
      <c r="FD16" s="62"/>
      <c r="FE16" s="62"/>
      <c r="FF16" s="62"/>
      <c r="FG16" s="62"/>
      <c r="FH16" s="63"/>
      <c r="FI16" s="62"/>
      <c r="FJ16" s="62"/>
      <c r="FK16" s="62"/>
      <c r="FL16" s="62"/>
      <c r="FM16" s="63"/>
      <c r="FN16" s="62"/>
      <c r="FO16" s="62"/>
      <c r="FP16" s="62"/>
      <c r="FQ16" s="62"/>
      <c r="FR16" s="63"/>
      <c r="FS16" s="62"/>
      <c r="FT16" s="62"/>
      <c r="FU16" s="62"/>
      <c r="FV16" s="62"/>
      <c r="FW16" s="63"/>
      <c r="FX16" s="62"/>
      <c r="FY16" s="62"/>
      <c r="FZ16" s="62"/>
      <c r="GA16" s="62"/>
      <c r="GB16" s="63"/>
      <c r="GC16" s="62"/>
      <c r="GD16" s="62"/>
      <c r="GE16" s="62"/>
      <c r="GF16" s="62"/>
      <c r="GG16" s="63"/>
      <c r="GH16" s="62"/>
      <c r="GI16" s="62"/>
      <c r="GJ16" s="62"/>
      <c r="GK16" s="62"/>
      <c r="GL16" s="63"/>
      <c r="GM16" s="62"/>
      <c r="GN16" s="62"/>
      <c r="GO16" s="62"/>
      <c r="GP16" s="62"/>
      <c r="GQ16" s="63"/>
      <c r="GR16" s="62"/>
      <c r="GS16" s="62"/>
      <c r="GT16" s="62"/>
      <c r="GU16" s="62"/>
      <c r="GV16" s="63"/>
      <c r="GW16" s="10"/>
    </row>
    <row r="17" spans="1:205" ht="24.6" thickTop="1" thickBot="1" x14ac:dyDescent="0.35">
      <c r="A17" s="226" t="s">
        <v>32</v>
      </c>
      <c r="B17" s="227"/>
      <c r="C17" s="227"/>
      <c r="D17" s="227"/>
      <c r="E17" s="90"/>
      <c r="F17" s="91"/>
      <c r="G17" s="228" t="str">
        <f>IF(Q1="GSA","Open Market:","")</f>
        <v/>
      </c>
      <c r="H17" s="229"/>
      <c r="I17" s="229"/>
      <c r="J17" s="229"/>
      <c r="K17" s="162" t="str">
        <f>IF(Q1="GSA",P17,"")</f>
        <v/>
      </c>
      <c r="L17" s="87" t="s">
        <v>33</v>
      </c>
      <c r="M17" s="88">
        <f>SUM(M4:M16)</f>
        <v>0</v>
      </c>
      <c r="N17" s="89" t="s">
        <v>34</v>
      </c>
      <c r="O17" s="107">
        <f>SUM(O4:O16)</f>
        <v>0</v>
      </c>
      <c r="P17" s="108">
        <f>SUM(P4:P16)</f>
        <v>0</v>
      </c>
      <c r="Q17" s="109"/>
      <c r="R17" s="49"/>
      <c r="S17" s="70"/>
      <c r="T17" s="71"/>
      <c r="U17" s="71"/>
      <c r="V17" s="70"/>
      <c r="W17" s="72"/>
      <c r="X17" s="72"/>
      <c r="Y17" s="72"/>
      <c r="Z17" s="72"/>
      <c r="AA17" s="72"/>
      <c r="AB17" s="72"/>
      <c r="AC17" s="72"/>
      <c r="AD17" s="73"/>
      <c r="AE17" s="73"/>
      <c r="AF17" s="73"/>
      <c r="AG17" s="74"/>
      <c r="AH17" s="75"/>
      <c r="AI17" s="73"/>
      <c r="AJ17" s="73"/>
      <c r="AK17" s="73"/>
      <c r="AL17" s="74"/>
      <c r="AM17" s="73"/>
      <c r="AN17" s="73"/>
      <c r="AO17" s="73"/>
      <c r="AP17" s="73"/>
      <c r="AQ17" s="74"/>
      <c r="AR17" s="73"/>
      <c r="AS17" s="73"/>
      <c r="AT17" s="73"/>
      <c r="AU17" s="73"/>
      <c r="AV17" s="73"/>
      <c r="AW17" s="74"/>
      <c r="AX17" s="73"/>
      <c r="AY17" s="73"/>
      <c r="AZ17" s="73"/>
      <c r="BA17" s="73"/>
      <c r="BB17" s="74"/>
      <c r="BC17" s="73"/>
      <c r="BD17" s="73"/>
      <c r="BE17" s="73"/>
      <c r="BF17" s="73"/>
      <c r="BG17" s="74"/>
      <c r="BH17" s="73"/>
      <c r="BI17" s="73"/>
      <c r="BJ17" s="73"/>
      <c r="BK17" s="73"/>
      <c r="BL17" s="74"/>
      <c r="BM17" s="73"/>
      <c r="BN17" s="73"/>
      <c r="BO17" s="73"/>
      <c r="BP17" s="73"/>
      <c r="BQ17" s="74"/>
      <c r="BR17" s="73"/>
      <c r="BS17" s="73"/>
      <c r="BT17" s="73"/>
      <c r="BU17" s="73"/>
      <c r="BV17" s="74"/>
      <c r="BW17" s="73"/>
      <c r="BX17" s="73"/>
      <c r="BY17" s="73"/>
      <c r="BZ17" s="73"/>
      <c r="CA17" s="74"/>
      <c r="CB17" s="73"/>
      <c r="CC17" s="73"/>
      <c r="CD17" s="73"/>
      <c r="CE17" s="73"/>
      <c r="CF17" s="74"/>
      <c r="CG17" s="73"/>
      <c r="CH17" s="73"/>
      <c r="CI17" s="73"/>
      <c r="CJ17" s="73"/>
      <c r="CK17" s="74"/>
      <c r="CL17" s="73"/>
      <c r="CM17" s="73"/>
      <c r="CN17" s="73"/>
      <c r="CO17" s="73"/>
      <c r="CP17" s="74"/>
      <c r="CQ17" s="73"/>
      <c r="CR17" s="73"/>
      <c r="CS17" s="73"/>
      <c r="CT17" s="73"/>
      <c r="CU17" s="74"/>
      <c r="CV17" s="73"/>
      <c r="CW17" s="73"/>
      <c r="CX17" s="73"/>
      <c r="CY17" s="73"/>
      <c r="CZ17" s="74"/>
      <c r="DA17" s="73"/>
      <c r="DB17" s="73"/>
      <c r="DC17" s="73"/>
      <c r="DD17" s="73"/>
      <c r="DE17" s="74"/>
      <c r="DF17" s="73"/>
      <c r="DG17" s="73"/>
      <c r="DH17" s="73"/>
      <c r="DI17" s="73"/>
      <c r="DJ17" s="74"/>
      <c r="DK17" s="73"/>
      <c r="DL17" s="73"/>
      <c r="DM17" s="73"/>
      <c r="DN17" s="73"/>
      <c r="DO17" s="74"/>
      <c r="DP17" s="73"/>
      <c r="DQ17" s="73"/>
      <c r="DR17" s="73"/>
      <c r="DS17" s="73"/>
      <c r="DT17" s="74"/>
      <c r="DU17" s="73"/>
      <c r="DV17" s="73"/>
      <c r="DW17" s="73"/>
      <c r="DX17" s="73"/>
      <c r="DY17" s="74"/>
      <c r="DZ17" s="73"/>
      <c r="EA17" s="73"/>
      <c r="EB17" s="73"/>
      <c r="EC17" s="73"/>
      <c r="ED17" s="74"/>
      <c r="EE17" s="73"/>
      <c r="EF17" s="73"/>
      <c r="EG17" s="73"/>
      <c r="EH17" s="73"/>
      <c r="EI17" s="74"/>
      <c r="EJ17" s="73"/>
      <c r="EK17" s="73"/>
      <c r="EL17" s="73"/>
      <c r="EM17" s="73"/>
      <c r="EN17" s="74"/>
      <c r="EO17" s="73"/>
      <c r="EP17" s="73"/>
      <c r="EQ17" s="73"/>
      <c r="ER17" s="73"/>
      <c r="ES17" s="74"/>
      <c r="ET17" s="73"/>
      <c r="EU17" s="73"/>
      <c r="EV17" s="73"/>
      <c r="EW17" s="73"/>
      <c r="EX17" s="74"/>
      <c r="EY17" s="73"/>
      <c r="EZ17" s="73"/>
      <c r="FA17" s="73"/>
      <c r="FB17" s="73"/>
      <c r="FC17" s="74"/>
      <c r="FD17" s="73"/>
      <c r="FE17" s="73"/>
      <c r="FF17" s="73"/>
      <c r="FG17" s="73"/>
      <c r="FH17" s="74"/>
      <c r="FI17" s="73"/>
      <c r="FJ17" s="73"/>
      <c r="FK17" s="73"/>
      <c r="FL17" s="73"/>
      <c r="FM17" s="74"/>
      <c r="FN17" s="73"/>
      <c r="FO17" s="73"/>
      <c r="FP17" s="73"/>
      <c r="FQ17" s="73"/>
      <c r="FR17" s="74"/>
      <c r="FS17" s="73"/>
      <c r="FT17" s="73"/>
      <c r="FU17" s="73"/>
      <c r="FV17" s="73"/>
      <c r="FW17" s="74"/>
      <c r="FX17" s="73"/>
      <c r="FY17" s="73"/>
      <c r="FZ17" s="73"/>
      <c r="GA17" s="73"/>
      <c r="GB17" s="74"/>
      <c r="GC17" s="73"/>
      <c r="GD17" s="73"/>
      <c r="GE17" s="73"/>
      <c r="GF17" s="73"/>
      <c r="GG17" s="74"/>
      <c r="GH17" s="73"/>
      <c r="GI17" s="73"/>
      <c r="GJ17" s="73"/>
      <c r="GK17" s="73"/>
      <c r="GL17" s="74"/>
      <c r="GM17" s="73"/>
      <c r="GN17" s="73"/>
      <c r="GO17" s="73"/>
      <c r="GP17" s="73"/>
      <c r="GQ17" s="74"/>
      <c r="GR17" s="73"/>
      <c r="GS17" s="73"/>
      <c r="GT17" s="73"/>
      <c r="GU17" s="73"/>
      <c r="GV17" s="74"/>
      <c r="GW17" s="10"/>
    </row>
    <row r="18" spans="1:205" ht="24.75" customHeight="1" thickBot="1" x14ac:dyDescent="0.35">
      <c r="A18" s="219" t="str">
        <f>IF(Q1="GSA","Please note, if one or more of the boxes above are in amber or red, please refer to RFQ, Sect. J, Instruction to Quoters for requirements for Open Market items.","")</f>
        <v/>
      </c>
      <c r="B18" s="220"/>
      <c r="C18" s="220"/>
      <c r="D18" s="220"/>
      <c r="E18" s="220"/>
      <c r="F18" s="220"/>
      <c r="G18" s="220"/>
      <c r="H18" s="220"/>
      <c r="I18" s="220"/>
      <c r="J18" s="220"/>
      <c r="K18" s="220"/>
      <c r="L18" s="220"/>
      <c r="M18" s="220"/>
      <c r="N18" s="220"/>
      <c r="O18" s="221"/>
      <c r="P18" s="215" t="s">
        <v>35</v>
      </c>
      <c r="Q18" s="216"/>
      <c r="R18" s="49"/>
      <c r="S18" s="76"/>
      <c r="T18" s="77"/>
      <c r="U18" s="77"/>
      <c r="V18" s="76"/>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c r="BR18" s="78"/>
      <c r="BS18" s="78"/>
      <c r="BT18" s="78"/>
      <c r="BU18" s="78"/>
      <c r="BV18" s="78"/>
      <c r="BW18" s="78"/>
      <c r="BX18" s="78"/>
      <c r="BY18" s="78"/>
      <c r="BZ18" s="78"/>
      <c r="CA18" s="78"/>
      <c r="CB18" s="78"/>
      <c r="CC18" s="78"/>
      <c r="CD18" s="78"/>
      <c r="CE18" s="78"/>
      <c r="CF18" s="78"/>
      <c r="CG18" s="78"/>
      <c r="CH18" s="78"/>
      <c r="CI18" s="78"/>
      <c r="CJ18" s="78"/>
      <c r="CK18" s="78"/>
      <c r="CL18" s="78"/>
      <c r="CM18" s="78"/>
      <c r="CN18" s="78"/>
      <c r="CO18" s="78"/>
      <c r="CP18" s="78"/>
      <c r="CQ18" s="78"/>
      <c r="CR18" s="78"/>
      <c r="CS18" s="78"/>
      <c r="CT18" s="78"/>
      <c r="CU18" s="78"/>
      <c r="CV18" s="78"/>
      <c r="CW18" s="78"/>
      <c r="CX18" s="78"/>
      <c r="CY18" s="78"/>
      <c r="CZ18" s="78"/>
      <c r="DA18" s="78"/>
      <c r="DB18" s="78"/>
      <c r="DC18" s="78"/>
      <c r="DD18" s="78"/>
      <c r="DE18" s="78"/>
      <c r="DF18" s="78"/>
      <c r="DG18" s="78"/>
      <c r="DH18" s="78"/>
      <c r="DI18" s="78"/>
      <c r="DJ18" s="78"/>
      <c r="DK18" s="78"/>
      <c r="DL18" s="78"/>
      <c r="DM18" s="78"/>
      <c r="DN18" s="78"/>
      <c r="DO18" s="78"/>
      <c r="DP18" s="78"/>
      <c r="DQ18" s="78"/>
      <c r="DR18" s="78"/>
      <c r="DS18" s="78"/>
      <c r="DT18" s="78"/>
      <c r="DU18" s="78"/>
      <c r="DV18" s="78"/>
      <c r="DW18" s="78"/>
      <c r="DX18" s="78"/>
      <c r="DY18" s="78"/>
      <c r="DZ18" s="78"/>
      <c r="EA18" s="78"/>
      <c r="EB18" s="78"/>
      <c r="EC18" s="78"/>
      <c r="ED18" s="78"/>
      <c r="EE18" s="78"/>
      <c r="EF18" s="78"/>
      <c r="EG18" s="78"/>
      <c r="EH18" s="78"/>
      <c r="EI18" s="78"/>
      <c r="EJ18" s="78"/>
      <c r="EK18" s="78"/>
      <c r="EL18" s="78"/>
      <c r="EM18" s="78"/>
      <c r="EN18" s="78"/>
      <c r="EO18" s="78"/>
      <c r="EP18" s="78"/>
      <c r="EQ18" s="78"/>
      <c r="ER18" s="78"/>
      <c r="ES18" s="78"/>
      <c r="ET18" s="78"/>
      <c r="EU18" s="78"/>
      <c r="EV18" s="78"/>
      <c r="EW18" s="78"/>
      <c r="EX18" s="78"/>
      <c r="EY18" s="78"/>
      <c r="EZ18" s="78"/>
      <c r="FA18" s="78"/>
      <c r="FB18" s="78"/>
      <c r="FC18" s="78"/>
      <c r="FD18" s="78"/>
      <c r="FE18" s="78"/>
      <c r="FF18" s="78"/>
      <c r="FG18" s="78"/>
      <c r="FH18" s="78"/>
      <c r="FI18" s="78"/>
      <c r="FJ18" s="78"/>
      <c r="FK18" s="78"/>
      <c r="FL18" s="78"/>
      <c r="FM18" s="78"/>
      <c r="FN18" s="78"/>
      <c r="FO18" s="78"/>
      <c r="FP18" s="78"/>
      <c r="FQ18" s="78"/>
      <c r="FR18" s="78"/>
      <c r="FS18" s="78"/>
      <c r="FT18" s="78"/>
      <c r="FU18" s="78"/>
      <c r="FV18" s="78"/>
      <c r="FW18" s="78"/>
      <c r="FX18" s="78"/>
      <c r="FY18" s="78"/>
      <c r="FZ18" s="78"/>
      <c r="GA18" s="78"/>
      <c r="GB18" s="78"/>
      <c r="GC18" s="78"/>
      <c r="GD18" s="78"/>
      <c r="GE18" s="78"/>
      <c r="GF18" s="78"/>
      <c r="GG18" s="78"/>
      <c r="GH18" s="78"/>
      <c r="GI18" s="78"/>
      <c r="GJ18" s="78"/>
      <c r="GK18" s="78"/>
      <c r="GL18" s="78"/>
      <c r="GM18" s="78"/>
      <c r="GN18" s="78"/>
      <c r="GO18" s="78"/>
      <c r="GP18" s="78"/>
      <c r="GQ18" s="78"/>
      <c r="GR18" s="78"/>
      <c r="GS18" s="78"/>
      <c r="GT18" s="78"/>
      <c r="GU18" s="78"/>
      <c r="GV18" s="78"/>
      <c r="GW18" s="79"/>
    </row>
    <row r="19" spans="1:205" ht="16.2" thickBot="1" x14ac:dyDescent="0.35">
      <c r="A19" s="222" t="s">
        <v>17</v>
      </c>
      <c r="B19" s="223"/>
      <c r="C19" s="223"/>
      <c r="D19" s="223"/>
      <c r="E19" s="224"/>
      <c r="F19" s="224"/>
      <c r="G19" s="224"/>
      <c r="H19" s="224"/>
      <c r="I19" s="224"/>
      <c r="J19" s="224"/>
      <c r="K19" s="224"/>
      <c r="L19" s="224"/>
      <c r="M19" s="224"/>
      <c r="N19" s="224"/>
      <c r="O19" s="225"/>
      <c r="P19" s="163"/>
      <c r="Q19" s="98"/>
      <c r="R19" s="13"/>
      <c r="S19" s="80"/>
      <c r="T19" s="81"/>
      <c r="U19" s="81"/>
      <c r="V19" s="80"/>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2"/>
      <c r="BU19" s="82"/>
      <c r="BV19" s="82"/>
      <c r="BW19" s="82"/>
      <c r="BX19" s="82"/>
      <c r="BY19" s="82"/>
      <c r="BZ19" s="82"/>
      <c r="CA19" s="82"/>
      <c r="CB19" s="82"/>
      <c r="CC19" s="82"/>
      <c r="CD19" s="82"/>
      <c r="CE19" s="82"/>
      <c r="CF19" s="8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82"/>
      <c r="EO19" s="82"/>
      <c r="EP19" s="82"/>
      <c r="EQ19" s="82"/>
      <c r="ER19" s="82"/>
      <c r="ES19" s="82"/>
      <c r="ET19" s="82"/>
      <c r="EU19" s="82"/>
      <c r="EV19" s="82"/>
      <c r="EW19" s="82"/>
      <c r="EX19" s="82"/>
      <c r="EY19" s="82"/>
      <c r="EZ19" s="82"/>
      <c r="FA19" s="82"/>
      <c r="FB19" s="82"/>
      <c r="FC19" s="82"/>
      <c r="FD19" s="82"/>
      <c r="FE19" s="82"/>
      <c r="FF19" s="82"/>
      <c r="FG19" s="82"/>
      <c r="FH19" s="82"/>
      <c r="FI19" s="82"/>
      <c r="FJ19" s="82"/>
      <c r="FK19" s="82"/>
      <c r="FL19" s="82"/>
      <c r="FM19" s="82"/>
      <c r="FN19" s="82"/>
      <c r="FO19" s="82"/>
      <c r="FP19" s="82"/>
      <c r="FQ19" s="82"/>
      <c r="FR19" s="82"/>
      <c r="FS19" s="82"/>
      <c r="FT19" s="82"/>
      <c r="FU19" s="82"/>
      <c r="FV19" s="82"/>
      <c r="FW19" s="82"/>
      <c r="FX19" s="82"/>
      <c r="FY19" s="82"/>
      <c r="FZ19" s="82"/>
      <c r="GA19" s="82"/>
      <c r="GB19" s="82"/>
      <c r="GC19" s="82"/>
      <c r="GD19" s="82"/>
      <c r="GE19" s="82"/>
      <c r="GF19" s="82"/>
      <c r="GG19" s="82"/>
      <c r="GH19" s="82"/>
      <c r="GI19" s="82"/>
      <c r="GJ19" s="82"/>
      <c r="GK19" s="82"/>
      <c r="GL19" s="82"/>
      <c r="GM19" s="82"/>
      <c r="GN19" s="82"/>
      <c r="GO19" s="82"/>
      <c r="GP19" s="82"/>
      <c r="GQ19" s="82"/>
      <c r="GR19" s="82"/>
      <c r="GS19" s="82"/>
      <c r="GT19" s="82"/>
      <c r="GU19" s="82"/>
      <c r="GV19" s="82"/>
      <c r="GW19" s="79"/>
    </row>
    <row r="20" spans="1:205" ht="15.75" customHeight="1" x14ac:dyDescent="0.3">
      <c r="A20" s="210" t="s">
        <v>18</v>
      </c>
      <c r="B20" s="211"/>
      <c r="C20" s="211"/>
      <c r="D20" s="211"/>
      <c r="E20" s="211"/>
      <c r="F20" s="211"/>
      <c r="G20" s="211"/>
      <c r="H20" s="211"/>
      <c r="I20" s="211"/>
      <c r="J20" s="211"/>
      <c r="K20" s="211"/>
      <c r="L20" s="211"/>
      <c r="M20" s="211"/>
      <c r="N20" s="212"/>
      <c r="O20" s="65"/>
      <c r="P20" s="100"/>
      <c r="Q20" s="100"/>
      <c r="R20" s="13"/>
    </row>
    <row r="21" spans="1:205" ht="15.75" customHeight="1" x14ac:dyDescent="0.3">
      <c r="A21" s="207" t="s">
        <v>43</v>
      </c>
      <c r="B21" s="208"/>
      <c r="C21" s="208"/>
      <c r="D21" s="208"/>
      <c r="E21" s="208"/>
      <c r="F21" s="208"/>
      <c r="G21" s="208"/>
      <c r="H21" s="208"/>
      <c r="I21" s="208"/>
      <c r="J21" s="208"/>
      <c r="K21" s="208"/>
      <c r="L21" s="208"/>
      <c r="M21" s="208"/>
      <c r="N21" s="209"/>
      <c r="O21" s="66"/>
      <c r="P21" s="99"/>
      <c r="Q21" s="99"/>
      <c r="R21" s="13"/>
    </row>
    <row r="22" spans="1:205" ht="15.75" customHeight="1" thickBot="1" x14ac:dyDescent="0.35">
      <c r="A22" s="207" t="s">
        <v>44</v>
      </c>
      <c r="B22" s="208"/>
      <c r="C22" s="208"/>
      <c r="D22" s="208"/>
      <c r="E22" s="208"/>
      <c r="F22" s="208"/>
      <c r="G22" s="208"/>
      <c r="H22" s="208"/>
      <c r="I22" s="208"/>
      <c r="J22" s="208"/>
      <c r="K22" s="208"/>
      <c r="L22" s="208"/>
      <c r="M22" s="208"/>
      <c r="N22" s="209"/>
      <c r="O22" s="65"/>
      <c r="P22" s="100"/>
      <c r="Q22" s="100"/>
      <c r="R22" s="13"/>
    </row>
    <row r="23" spans="1:205" ht="36.75" customHeight="1" thickTop="1" thickBot="1" x14ac:dyDescent="0.35">
      <c r="A23" s="204" t="s">
        <v>36</v>
      </c>
      <c r="B23" s="205"/>
      <c r="C23" s="205"/>
      <c r="D23" s="205"/>
      <c r="E23" s="206"/>
      <c r="F23" s="206"/>
      <c r="G23" s="206"/>
      <c r="H23" s="206"/>
      <c r="I23" s="206"/>
      <c r="J23" s="206"/>
      <c r="K23" s="206"/>
      <c r="L23" s="206"/>
      <c r="M23" s="206"/>
      <c r="N23" s="206"/>
      <c r="O23" s="86">
        <f>SUM(O17:O22)</f>
        <v>0</v>
      </c>
      <c r="P23" s="99"/>
      <c r="Q23" s="99"/>
      <c r="R23" s="14"/>
    </row>
    <row r="24" spans="1:205" ht="15.6" thickTop="1" thickBot="1" x14ac:dyDescent="0.35">
      <c r="A24" s="201" t="s">
        <v>38</v>
      </c>
      <c r="B24" s="202"/>
      <c r="C24" s="202"/>
      <c r="D24" s="202"/>
      <c r="E24" s="202"/>
      <c r="F24" s="202"/>
      <c r="G24" s="202"/>
      <c r="H24" s="202"/>
      <c r="I24" s="202"/>
      <c r="J24" s="202"/>
      <c r="K24" s="202"/>
      <c r="L24" s="202"/>
      <c r="M24" s="202"/>
      <c r="N24" s="202"/>
      <c r="O24" s="203"/>
      <c r="P24" s="101"/>
      <c r="Q24" s="101"/>
      <c r="R24" s="13"/>
    </row>
    <row r="25" spans="1:205" x14ac:dyDescent="0.3">
      <c r="A25" s="3"/>
      <c r="B25" s="4"/>
      <c r="C25" s="15"/>
      <c r="D25" s="2"/>
      <c r="E25" s="5"/>
      <c r="F25" s="5"/>
      <c r="G25" s="5"/>
      <c r="H25" s="5"/>
      <c r="I25" s="5"/>
      <c r="J25" s="5"/>
      <c r="K25" s="5"/>
      <c r="L25" s="5"/>
      <c r="M25" s="5"/>
      <c r="N25" s="5"/>
      <c r="O25" s="5"/>
      <c r="P25" s="164"/>
    </row>
    <row r="26" spans="1:205" x14ac:dyDescent="0.3">
      <c r="A26" s="3"/>
      <c r="B26" s="4"/>
      <c r="C26" s="15"/>
      <c r="D26" s="2"/>
      <c r="E26" s="5"/>
      <c r="F26" s="5"/>
      <c r="G26" s="5"/>
      <c r="H26" s="5"/>
      <c r="I26" s="5"/>
      <c r="J26" s="5"/>
      <c r="K26" s="5"/>
      <c r="L26" s="5"/>
      <c r="M26" s="5"/>
      <c r="N26" s="5"/>
      <c r="O26" s="5"/>
    </row>
    <row r="27" spans="1:205" x14ac:dyDescent="0.3">
      <c r="A27" s="3"/>
      <c r="B27" s="4"/>
      <c r="C27" s="15"/>
      <c r="D27" s="2"/>
      <c r="E27" s="5"/>
      <c r="F27" s="5"/>
      <c r="G27" s="5"/>
      <c r="H27" s="5"/>
      <c r="I27" s="5"/>
      <c r="J27" s="5"/>
      <c r="K27" s="5"/>
      <c r="L27" s="5"/>
      <c r="M27" s="5"/>
      <c r="N27" s="5"/>
      <c r="O27" s="5"/>
    </row>
    <row r="28" spans="1:205" x14ac:dyDescent="0.3">
      <c r="A28" s="3"/>
      <c r="B28" s="4"/>
      <c r="C28" s="15"/>
      <c r="D28" s="2"/>
      <c r="E28" s="5"/>
      <c r="F28" s="5"/>
      <c r="G28" s="5"/>
      <c r="H28" s="5"/>
      <c r="I28" s="5"/>
      <c r="J28" s="5"/>
      <c r="K28" s="5"/>
      <c r="L28" s="5"/>
      <c r="M28" s="5"/>
      <c r="N28" s="5"/>
      <c r="O28" s="5"/>
    </row>
    <row r="29" spans="1:205" x14ac:dyDescent="0.3">
      <c r="A29" s="3"/>
      <c r="B29" s="4"/>
      <c r="C29" s="15"/>
      <c r="D29" s="2"/>
      <c r="E29" s="5"/>
      <c r="F29" s="5"/>
      <c r="G29" s="5"/>
      <c r="H29" s="5"/>
      <c r="I29" s="5"/>
      <c r="J29" s="5"/>
      <c r="K29" s="5"/>
      <c r="L29" s="5"/>
      <c r="M29" s="5"/>
      <c r="N29" s="5"/>
      <c r="O29" s="5"/>
    </row>
    <row r="30" spans="1:205" x14ac:dyDescent="0.3">
      <c r="A30" s="3"/>
      <c r="B30" s="4"/>
      <c r="C30" s="15"/>
      <c r="D30" s="2"/>
      <c r="E30" s="5"/>
      <c r="F30" s="5"/>
      <c r="G30" s="5"/>
      <c r="H30" s="5"/>
      <c r="I30" s="5"/>
      <c r="J30" s="5"/>
      <c r="K30" s="5"/>
      <c r="L30" s="5"/>
      <c r="M30" s="5"/>
      <c r="N30" s="5"/>
      <c r="O30" s="5"/>
    </row>
    <row r="31" spans="1:205" x14ac:dyDescent="0.3">
      <c r="A31" s="3"/>
      <c r="B31" s="4"/>
      <c r="C31" s="15"/>
      <c r="D31" s="2"/>
      <c r="E31" s="5"/>
      <c r="F31" s="5"/>
      <c r="G31" s="5"/>
      <c r="H31" s="5"/>
      <c r="I31" s="5"/>
      <c r="J31" s="5"/>
      <c r="K31" s="5"/>
      <c r="L31" s="5"/>
      <c r="M31" s="5"/>
      <c r="N31" s="5"/>
      <c r="O31" s="5"/>
    </row>
    <row r="32" spans="1:205" x14ac:dyDescent="0.3">
      <c r="A32" s="3"/>
      <c r="B32" s="4"/>
      <c r="C32" s="15"/>
      <c r="D32" s="2"/>
      <c r="E32" s="5"/>
      <c r="F32" s="5"/>
      <c r="G32" s="5"/>
      <c r="H32" s="5"/>
      <c r="I32" s="5"/>
      <c r="J32" s="5"/>
      <c r="K32" s="5"/>
      <c r="L32" s="5"/>
      <c r="M32" s="5"/>
      <c r="N32" s="5"/>
      <c r="O32" s="5"/>
    </row>
    <row r="33" spans="1:15" x14ac:dyDescent="0.3">
      <c r="A33" s="3"/>
      <c r="B33" s="4"/>
      <c r="C33" s="15"/>
      <c r="D33" s="2"/>
      <c r="E33" s="5"/>
      <c r="F33" s="5"/>
      <c r="G33" s="5"/>
      <c r="H33" s="5"/>
      <c r="I33" s="5"/>
      <c r="J33" s="5"/>
      <c r="K33" s="5"/>
      <c r="L33" s="5"/>
      <c r="M33" s="5"/>
      <c r="N33" s="5"/>
      <c r="O33" s="5"/>
    </row>
    <row r="34" spans="1:15" x14ac:dyDescent="0.3">
      <c r="A34" s="3"/>
      <c r="B34" s="4"/>
      <c r="C34" s="15"/>
      <c r="D34" s="2"/>
      <c r="E34" s="5"/>
      <c r="F34" s="5"/>
      <c r="G34" s="5"/>
      <c r="H34" s="5"/>
      <c r="I34" s="5"/>
      <c r="J34" s="5"/>
      <c r="K34" s="5"/>
      <c r="L34" s="5"/>
      <c r="M34" s="5"/>
      <c r="N34" s="5"/>
      <c r="O34" s="5"/>
    </row>
    <row r="35" spans="1:15" x14ac:dyDescent="0.3">
      <c r="A35" s="3"/>
      <c r="B35" s="4"/>
      <c r="C35" s="15"/>
      <c r="D35" s="2"/>
      <c r="E35" s="5"/>
      <c r="F35" s="5"/>
      <c r="G35" s="5"/>
      <c r="H35" s="5"/>
      <c r="I35" s="5"/>
      <c r="J35" s="5"/>
      <c r="K35" s="5"/>
      <c r="L35" s="5"/>
      <c r="M35" s="5"/>
      <c r="N35" s="5"/>
      <c r="O35" s="5"/>
    </row>
    <row r="36" spans="1:15" x14ac:dyDescent="0.3">
      <c r="A36" s="3"/>
      <c r="B36" s="4"/>
      <c r="C36" s="15"/>
      <c r="D36" s="2"/>
      <c r="E36" s="5"/>
      <c r="F36" s="5"/>
      <c r="G36" s="5"/>
      <c r="H36" s="5"/>
      <c r="I36" s="5"/>
      <c r="J36" s="5"/>
      <c r="K36" s="5"/>
      <c r="L36" s="5"/>
      <c r="M36" s="5"/>
      <c r="N36" s="5"/>
      <c r="O36" s="5"/>
    </row>
    <row r="37" spans="1:15" x14ac:dyDescent="0.3">
      <c r="A37" s="3"/>
      <c r="B37" s="4"/>
      <c r="C37" s="15"/>
      <c r="D37" s="2"/>
      <c r="E37" s="5"/>
      <c r="F37" s="5"/>
      <c r="G37" s="5"/>
      <c r="H37" s="5"/>
      <c r="I37" s="5"/>
      <c r="J37" s="5"/>
      <c r="K37" s="5"/>
      <c r="L37" s="5"/>
      <c r="M37" s="5"/>
      <c r="N37" s="5"/>
      <c r="O37" s="5"/>
    </row>
    <row r="38" spans="1:15" x14ac:dyDescent="0.3">
      <c r="A38" s="3"/>
      <c r="B38" s="4"/>
      <c r="C38" s="15"/>
      <c r="D38" s="2"/>
      <c r="E38" s="5"/>
      <c r="F38" s="5"/>
      <c r="G38" s="5"/>
      <c r="H38" s="5"/>
      <c r="I38" s="5"/>
      <c r="J38" s="5"/>
      <c r="K38" s="5"/>
      <c r="L38" s="5"/>
      <c r="M38" s="5"/>
      <c r="N38" s="5"/>
      <c r="O38" s="5"/>
    </row>
    <row r="39" spans="1:15" x14ac:dyDescent="0.3">
      <c r="A39" s="3"/>
      <c r="B39" s="4"/>
      <c r="C39" s="15"/>
      <c r="D39" s="2"/>
      <c r="E39" s="5"/>
      <c r="F39" s="5"/>
      <c r="G39" s="5"/>
      <c r="H39" s="5"/>
      <c r="I39" s="5"/>
      <c r="J39" s="5"/>
      <c r="K39" s="5"/>
      <c r="L39" s="5"/>
      <c r="M39" s="5"/>
      <c r="N39" s="5"/>
      <c r="O39" s="5"/>
    </row>
    <row r="40" spans="1:15" x14ac:dyDescent="0.3">
      <c r="A40" s="3"/>
      <c r="B40" s="4"/>
      <c r="C40" s="15"/>
      <c r="D40" s="2"/>
      <c r="E40" s="5"/>
      <c r="F40" s="5"/>
      <c r="G40" s="5"/>
      <c r="H40" s="5"/>
      <c r="I40" s="5"/>
      <c r="J40" s="5"/>
      <c r="K40" s="5"/>
      <c r="L40" s="5"/>
      <c r="M40" s="5"/>
      <c r="N40" s="5"/>
      <c r="O40" s="5"/>
    </row>
    <row r="41" spans="1:15" x14ac:dyDescent="0.3">
      <c r="A41" s="3"/>
      <c r="B41" s="4"/>
      <c r="C41" s="15"/>
      <c r="D41" s="2"/>
      <c r="E41" s="5"/>
      <c r="F41" s="5"/>
      <c r="G41" s="5"/>
      <c r="H41" s="5"/>
      <c r="I41" s="5"/>
      <c r="J41" s="5"/>
      <c r="K41" s="5"/>
      <c r="L41" s="5"/>
      <c r="M41" s="5"/>
      <c r="N41" s="5"/>
      <c r="O41" s="5"/>
    </row>
    <row r="42" spans="1:15" x14ac:dyDescent="0.3">
      <c r="A42" s="3"/>
      <c r="B42" s="4"/>
      <c r="C42" s="15"/>
      <c r="D42" s="2"/>
      <c r="E42" s="5"/>
      <c r="F42" s="5"/>
      <c r="G42" s="5"/>
      <c r="H42" s="5"/>
      <c r="I42" s="5"/>
      <c r="J42" s="5"/>
      <c r="K42" s="5"/>
      <c r="L42" s="5"/>
      <c r="M42" s="5"/>
      <c r="N42" s="5"/>
      <c r="O42" s="5"/>
    </row>
    <row r="43" spans="1:15" x14ac:dyDescent="0.3">
      <c r="A43" s="3"/>
      <c r="B43" s="4"/>
      <c r="C43" s="15"/>
      <c r="D43" s="2"/>
      <c r="E43" s="5"/>
      <c r="F43" s="5"/>
      <c r="G43" s="5"/>
      <c r="H43" s="5"/>
      <c r="I43" s="5"/>
      <c r="J43" s="5"/>
      <c r="K43" s="5"/>
      <c r="L43" s="5"/>
      <c r="M43" s="5"/>
      <c r="N43" s="5"/>
      <c r="O43" s="5"/>
    </row>
    <row r="44" spans="1:15" x14ac:dyDescent="0.3">
      <c r="A44" s="3"/>
      <c r="B44" s="4"/>
      <c r="C44" s="15"/>
      <c r="D44" s="2"/>
      <c r="E44" s="5"/>
      <c r="F44" s="5"/>
      <c r="G44" s="5"/>
      <c r="H44" s="5"/>
      <c r="I44" s="5"/>
      <c r="J44" s="5"/>
      <c r="K44" s="5"/>
      <c r="L44" s="5"/>
      <c r="M44" s="5"/>
      <c r="N44" s="5"/>
      <c r="O44" s="5"/>
    </row>
    <row r="45" spans="1:15" x14ac:dyDescent="0.3">
      <c r="A45" s="3"/>
      <c r="B45" s="4"/>
      <c r="C45" s="15"/>
      <c r="D45" s="2"/>
      <c r="E45" s="5"/>
      <c r="F45" s="5"/>
      <c r="G45" s="5"/>
      <c r="H45" s="5"/>
      <c r="I45" s="5"/>
      <c r="J45" s="5"/>
      <c r="K45" s="5"/>
      <c r="L45" s="5"/>
      <c r="M45" s="5"/>
      <c r="N45" s="5"/>
      <c r="O45" s="5"/>
    </row>
    <row r="46" spans="1:15" x14ac:dyDescent="0.3">
      <c r="A46" s="3"/>
      <c r="B46" s="4"/>
      <c r="C46" s="15"/>
      <c r="D46" s="2"/>
      <c r="E46" s="5"/>
      <c r="F46" s="5"/>
      <c r="G46" s="5"/>
      <c r="H46" s="5"/>
      <c r="I46" s="5"/>
      <c r="J46" s="5"/>
      <c r="K46" s="5"/>
      <c r="L46" s="5"/>
      <c r="M46" s="5"/>
      <c r="N46" s="5"/>
      <c r="O46" s="5"/>
    </row>
    <row r="47" spans="1:15" x14ac:dyDescent="0.3">
      <c r="A47" s="3"/>
      <c r="B47" s="4"/>
      <c r="C47" s="15"/>
      <c r="D47" s="2"/>
      <c r="E47" s="5"/>
      <c r="F47" s="5"/>
      <c r="G47" s="5"/>
      <c r="H47" s="5"/>
      <c r="I47" s="5"/>
      <c r="J47" s="5"/>
      <c r="K47" s="5"/>
      <c r="L47" s="5"/>
      <c r="M47" s="5"/>
      <c r="N47" s="5"/>
      <c r="O47" s="5"/>
    </row>
    <row r="48" spans="1:15" x14ac:dyDescent="0.3">
      <c r="A48" s="3"/>
      <c r="B48" s="4"/>
      <c r="C48" s="15"/>
      <c r="D48" s="2"/>
      <c r="E48" s="5"/>
      <c r="F48" s="5"/>
      <c r="G48" s="5"/>
      <c r="H48" s="5"/>
      <c r="I48" s="5"/>
      <c r="J48" s="5"/>
      <c r="K48" s="5"/>
      <c r="L48" s="5"/>
      <c r="M48" s="5"/>
      <c r="N48" s="5"/>
      <c r="O48" s="5"/>
    </row>
    <row r="49" spans="1:15" x14ac:dyDescent="0.3">
      <c r="A49" s="3"/>
      <c r="B49" s="4"/>
      <c r="C49" s="15"/>
      <c r="D49" s="2"/>
      <c r="E49" s="5"/>
      <c r="F49" s="5"/>
      <c r="G49" s="5"/>
      <c r="H49" s="5"/>
      <c r="I49" s="5"/>
      <c r="J49" s="5"/>
      <c r="K49" s="5"/>
      <c r="L49" s="5"/>
      <c r="M49" s="5"/>
      <c r="N49" s="5"/>
      <c r="O49" s="5"/>
    </row>
    <row r="50" spans="1:15" x14ac:dyDescent="0.3">
      <c r="A50" s="3"/>
      <c r="B50" s="4"/>
      <c r="C50" s="15"/>
      <c r="D50" s="2"/>
      <c r="E50" s="5"/>
      <c r="F50" s="5"/>
      <c r="G50" s="5"/>
      <c r="H50" s="5"/>
      <c r="I50" s="5"/>
      <c r="J50" s="5"/>
      <c r="K50" s="5"/>
      <c r="L50" s="5"/>
      <c r="M50" s="5"/>
      <c r="N50" s="5"/>
      <c r="O50" s="5"/>
    </row>
    <row r="51" spans="1:15" x14ac:dyDescent="0.3">
      <c r="A51" s="3"/>
      <c r="B51" s="4"/>
      <c r="C51" s="15"/>
      <c r="D51" s="2"/>
      <c r="E51" s="5"/>
      <c r="F51" s="5"/>
      <c r="G51" s="5"/>
      <c r="H51" s="5"/>
      <c r="I51" s="5"/>
      <c r="J51" s="5"/>
      <c r="K51" s="5"/>
      <c r="L51" s="5"/>
      <c r="M51" s="5"/>
      <c r="N51" s="5"/>
      <c r="O51" s="5"/>
    </row>
    <row r="52" spans="1:15" x14ac:dyDescent="0.3">
      <c r="A52" s="3"/>
      <c r="B52" s="4"/>
      <c r="C52" s="15"/>
      <c r="D52" s="2"/>
      <c r="E52" s="5"/>
      <c r="F52" s="5"/>
      <c r="G52" s="5"/>
      <c r="H52" s="5"/>
      <c r="I52" s="5"/>
      <c r="J52" s="5"/>
      <c r="K52" s="5"/>
      <c r="L52" s="5"/>
      <c r="M52" s="5"/>
      <c r="N52" s="5"/>
      <c r="O52" s="5"/>
    </row>
    <row r="53" spans="1:15" x14ac:dyDescent="0.3">
      <c r="A53" s="3"/>
      <c r="B53" s="4"/>
      <c r="C53" s="15"/>
      <c r="D53" s="2"/>
      <c r="E53" s="5"/>
      <c r="F53" s="5"/>
      <c r="G53" s="5"/>
      <c r="H53" s="5"/>
      <c r="I53" s="5"/>
      <c r="J53" s="5"/>
      <c r="K53" s="5"/>
      <c r="L53" s="5"/>
      <c r="M53" s="5"/>
      <c r="N53" s="5"/>
      <c r="O53" s="5"/>
    </row>
    <row r="54" spans="1:15" x14ac:dyDescent="0.3">
      <c r="A54" s="3"/>
      <c r="B54" s="4"/>
      <c r="C54" s="15"/>
      <c r="D54" s="2"/>
      <c r="E54" s="5"/>
      <c r="F54" s="5"/>
      <c r="G54" s="5"/>
      <c r="H54" s="5"/>
      <c r="I54" s="5"/>
      <c r="J54" s="5"/>
      <c r="K54" s="5"/>
      <c r="L54" s="5"/>
      <c r="M54" s="5"/>
      <c r="N54" s="5"/>
      <c r="O54" s="5"/>
    </row>
    <row r="55" spans="1:15" x14ac:dyDescent="0.3">
      <c r="A55" s="3"/>
      <c r="B55" s="4"/>
      <c r="C55" s="15"/>
      <c r="D55" s="2"/>
      <c r="E55" s="5"/>
      <c r="F55" s="5"/>
      <c r="G55" s="5"/>
      <c r="H55" s="5"/>
      <c r="I55" s="5"/>
      <c r="J55" s="5"/>
      <c r="K55" s="5"/>
      <c r="L55" s="5"/>
      <c r="M55" s="5"/>
      <c r="N55" s="5"/>
      <c r="O55" s="5"/>
    </row>
    <row r="56" spans="1:15" x14ac:dyDescent="0.3">
      <c r="A56" s="3"/>
      <c r="B56" s="4"/>
      <c r="C56" s="15"/>
      <c r="D56" s="2"/>
      <c r="E56" s="5"/>
      <c r="F56" s="5"/>
      <c r="G56" s="5"/>
      <c r="H56" s="5"/>
      <c r="I56" s="5"/>
      <c r="J56" s="5"/>
      <c r="K56" s="5"/>
      <c r="L56" s="5"/>
      <c r="M56" s="5"/>
      <c r="N56" s="5"/>
      <c r="O56" s="5"/>
    </row>
    <row r="57" spans="1:15" x14ac:dyDescent="0.3">
      <c r="A57" s="3"/>
      <c r="B57" s="4"/>
      <c r="C57" s="15"/>
      <c r="D57" s="2"/>
      <c r="E57" s="5"/>
      <c r="F57" s="5"/>
      <c r="G57" s="5"/>
      <c r="H57" s="5"/>
      <c r="I57" s="5"/>
      <c r="J57" s="5"/>
      <c r="K57" s="5"/>
      <c r="L57" s="5"/>
      <c r="M57" s="5"/>
      <c r="N57" s="5"/>
      <c r="O57" s="5"/>
    </row>
    <row r="58" spans="1:15" x14ac:dyDescent="0.3">
      <c r="A58" s="3"/>
      <c r="B58" s="4"/>
      <c r="C58" s="15"/>
      <c r="D58" s="2"/>
      <c r="E58" s="5"/>
      <c r="F58" s="5"/>
      <c r="G58" s="5"/>
      <c r="H58" s="5"/>
      <c r="I58" s="5"/>
      <c r="J58" s="5"/>
      <c r="K58" s="5"/>
      <c r="L58" s="5"/>
      <c r="M58" s="5"/>
      <c r="N58" s="5"/>
      <c r="O58" s="5"/>
    </row>
    <row r="59" spans="1:15" x14ac:dyDescent="0.3">
      <c r="A59" s="3"/>
      <c r="B59" s="4"/>
      <c r="C59" s="15"/>
      <c r="D59" s="2"/>
      <c r="E59" s="5"/>
      <c r="F59" s="5"/>
      <c r="G59" s="5"/>
      <c r="H59" s="5"/>
      <c r="I59" s="5"/>
      <c r="J59" s="5"/>
      <c r="K59" s="5"/>
      <c r="L59" s="5"/>
      <c r="M59" s="5"/>
      <c r="N59" s="5"/>
      <c r="O59" s="5"/>
    </row>
    <row r="60" spans="1:15" x14ac:dyDescent="0.3">
      <c r="A60" s="3"/>
      <c r="B60" s="4"/>
      <c r="C60" s="15"/>
      <c r="D60" s="2"/>
      <c r="E60" s="5"/>
      <c r="F60" s="5"/>
      <c r="G60" s="5"/>
      <c r="H60" s="5"/>
      <c r="I60" s="5"/>
      <c r="J60" s="5"/>
      <c r="K60" s="5"/>
      <c r="L60" s="5"/>
      <c r="M60" s="5"/>
      <c r="N60" s="5"/>
      <c r="O60" s="5"/>
    </row>
    <row r="61" spans="1:15" x14ac:dyDescent="0.3">
      <c r="A61" s="3"/>
      <c r="B61" s="4"/>
      <c r="C61" s="15"/>
      <c r="D61" s="2"/>
      <c r="E61" s="5"/>
      <c r="F61" s="5"/>
      <c r="G61" s="5"/>
      <c r="H61" s="5"/>
      <c r="I61" s="5"/>
      <c r="J61" s="5"/>
      <c r="K61" s="5"/>
      <c r="L61" s="5"/>
      <c r="M61" s="5"/>
      <c r="N61" s="5"/>
      <c r="O61" s="5"/>
    </row>
    <row r="62" spans="1:15" x14ac:dyDescent="0.3">
      <c r="A62" s="3"/>
      <c r="B62" s="4"/>
      <c r="C62" s="15"/>
      <c r="D62" s="2"/>
      <c r="E62" s="5"/>
      <c r="F62" s="5"/>
      <c r="G62" s="5"/>
      <c r="H62" s="5"/>
      <c r="I62" s="5"/>
      <c r="J62" s="5"/>
      <c r="K62" s="5"/>
      <c r="L62" s="5"/>
      <c r="M62" s="5"/>
      <c r="N62" s="5"/>
      <c r="O62" s="5"/>
    </row>
    <row r="63" spans="1:15" x14ac:dyDescent="0.3">
      <c r="A63" s="3"/>
      <c r="B63" s="4"/>
      <c r="C63" s="15"/>
      <c r="D63" s="2"/>
      <c r="E63" s="5"/>
      <c r="F63" s="5"/>
      <c r="G63" s="5"/>
      <c r="H63" s="5"/>
      <c r="I63" s="5"/>
      <c r="J63" s="5"/>
      <c r="K63" s="5"/>
      <c r="L63" s="5"/>
      <c r="M63" s="5"/>
      <c r="N63" s="5"/>
      <c r="O63" s="5"/>
    </row>
    <row r="64" spans="1:15" x14ac:dyDescent="0.3">
      <c r="A64" s="3"/>
      <c r="B64" s="4"/>
      <c r="C64" s="15"/>
      <c r="D64" s="2"/>
      <c r="E64" s="5"/>
      <c r="F64" s="5"/>
      <c r="G64" s="5"/>
      <c r="H64" s="5"/>
      <c r="I64" s="5"/>
      <c r="J64" s="5"/>
      <c r="K64" s="5"/>
      <c r="L64" s="5"/>
      <c r="M64" s="5"/>
      <c r="N64" s="5"/>
      <c r="O64" s="5"/>
    </row>
  </sheetData>
  <sheetProtection formatCells="0" formatColumns="0" formatRows="0" insertColumns="0" insertRows="0" insertHyperlinks="0" deleteColumns="0" deleteRows="0" sort="0" autoFilter="0" pivotTables="0"/>
  <customSheetViews>
    <customSheetView guid="{056DF672-C699-49F3-9F8F-FF611E6486A3}" showPageBreaks="1" printArea="1" topLeftCell="I1">
      <selection activeCell="R1" sqref="R1:CW83"/>
      <pageMargins left="0" right="0" top="0" bottom="0" header="0" footer="0"/>
      <pageSetup scale="70" fitToWidth="4" fitToHeight="2" orientation="landscape" r:id="rId1"/>
    </customSheetView>
    <customSheetView guid="{68E7B74C-C3B2-4B0B-8DBB-C6EB7678BF05}" showPageBreaks="1" printArea="1">
      <selection activeCell="H8" sqref="H8"/>
      <pageMargins left="0" right="0" top="0" bottom="0" header="0" footer="0"/>
      <pageSetup scale="75" fitToWidth="2" fitToHeight="3" orientation="landscape" r:id="rId2"/>
    </customSheetView>
  </customSheetViews>
  <mergeCells count="28">
    <mergeCell ref="P2:Q2"/>
    <mergeCell ref="P18:Q18"/>
    <mergeCell ref="A2:A3"/>
    <mergeCell ref="A18:O18"/>
    <mergeCell ref="A19:O19"/>
    <mergeCell ref="A17:D17"/>
    <mergeCell ref="G17:J17"/>
    <mergeCell ref="A24:O24"/>
    <mergeCell ref="A23:N23"/>
    <mergeCell ref="A21:N21"/>
    <mergeCell ref="A20:N20"/>
    <mergeCell ref="A22:N22"/>
    <mergeCell ref="S2:U2"/>
    <mergeCell ref="AC1:GV1"/>
    <mergeCell ref="B2:B3"/>
    <mergeCell ref="C2:C3"/>
    <mergeCell ref="A1:O1"/>
    <mergeCell ref="H2:J2"/>
    <mergeCell ref="L2:L3"/>
    <mergeCell ref="M2:M3"/>
    <mergeCell ref="N2:N3"/>
    <mergeCell ref="G2:G3"/>
    <mergeCell ref="K2:K3"/>
    <mergeCell ref="W3:FT3"/>
    <mergeCell ref="O2:O3"/>
    <mergeCell ref="D2:D3"/>
    <mergeCell ref="E2:E3"/>
    <mergeCell ref="F2:F3"/>
  </mergeCells>
  <phoneticPr fontId="16" type="noConversion"/>
  <conditionalFormatting sqref="A4:A16">
    <cfRule type="expression" dxfId="53" priority="38">
      <formula>A4=A3</formula>
    </cfRule>
  </conditionalFormatting>
  <conditionalFormatting sqref="G17">
    <cfRule type="expression" dxfId="52" priority="603">
      <formula>Q1="SAM"</formula>
    </cfRule>
    <cfRule type="expression" dxfId="51" priority="604">
      <formula>P17&gt;25000</formula>
    </cfRule>
  </conditionalFormatting>
  <conditionalFormatting sqref="H2:J2">
    <cfRule type="expression" dxfId="50" priority="565">
      <formula>$P$1="Admin"</formula>
    </cfRule>
  </conditionalFormatting>
  <conditionalFormatting sqref="H3:J16">
    <cfRule type="expression" dxfId="49" priority="564">
      <formula>$P$1="Admin"</formula>
    </cfRule>
  </conditionalFormatting>
  <conditionalFormatting sqref="K2:K3">
    <cfRule type="expression" dxfId="48" priority="580">
      <formula>$Q$1="SAM"</formula>
    </cfRule>
  </conditionalFormatting>
  <conditionalFormatting sqref="K4:K16">
    <cfRule type="expression" dxfId="47" priority="575" stopIfTrue="1">
      <formula>$Q$1="SAM"</formula>
    </cfRule>
    <cfRule type="expression" dxfId="46" priority="576">
      <formula>P4&gt;25000</formula>
    </cfRule>
    <cfRule type="expression" dxfId="45" priority="577">
      <formula>P4&gt;10000</formula>
    </cfRule>
  </conditionalFormatting>
  <conditionalFormatting sqref="L2">
    <cfRule type="expression" dxfId="44" priority="582">
      <formula>Q1="SAM"</formula>
    </cfRule>
  </conditionalFormatting>
  <conditionalFormatting sqref="L3">
    <cfRule type="expression" dxfId="43" priority="562">
      <formula>P4="SAM"</formula>
    </cfRule>
  </conditionalFormatting>
  <conditionalFormatting sqref="M2">
    <cfRule type="expression" dxfId="42" priority="584">
      <formula>Q1="SAM"</formula>
    </cfRule>
  </conditionalFormatting>
  <conditionalFormatting sqref="M2:M3">
    <cfRule type="expression" dxfId="41" priority="572">
      <formula>R3="SAM"</formula>
    </cfRule>
  </conditionalFormatting>
  <conditionalFormatting sqref="M3">
    <cfRule type="expression" dxfId="40" priority="563">
      <formula>P4="SAM"</formula>
    </cfRule>
  </conditionalFormatting>
  <conditionalFormatting sqref="P4:P16">
    <cfRule type="expression" dxfId="39" priority="36">
      <formula>P4=0</formula>
    </cfRule>
    <cfRule type="expression" dxfId="38" priority="548">
      <formula>P4&gt;10000</formula>
    </cfRule>
  </conditionalFormatting>
  <conditionalFormatting sqref="P4:Q16">
    <cfRule type="expression" dxfId="37" priority="9">
      <formula>$B4=0</formula>
    </cfRule>
  </conditionalFormatting>
  <conditionalFormatting sqref="P17:Q17">
    <cfRule type="expression" dxfId="36" priority="35">
      <formula>P17&gt;25000</formula>
    </cfRule>
  </conditionalFormatting>
  <conditionalFormatting sqref="Q4:Q16">
    <cfRule type="expression" dxfId="35" priority="10">
      <formula>M4=0</formula>
    </cfRule>
    <cfRule type="expression" dxfId="34" priority="11">
      <formula>L4&lt;N4</formula>
    </cfRule>
    <cfRule type="expression" dxfId="33" priority="32">
      <formula>L4&gt;N4</formula>
    </cfRule>
  </conditionalFormatting>
  <conditionalFormatting sqref="S4:S12 S16">
    <cfRule type="expression" dxfId="32" priority="40">
      <formula>S4=S3</formula>
    </cfRule>
  </conditionalFormatting>
  <conditionalFormatting sqref="S13:S15">
    <cfRule type="expression" dxfId="31" priority="592">
      <formula>S13=#REF!</formula>
    </cfRule>
  </conditionalFormatting>
  <conditionalFormatting sqref="V4:V16">
    <cfRule type="expression" dxfId="30" priority="169">
      <formula>ISODD($S4)</formula>
    </cfRule>
  </conditionalFormatting>
  <conditionalFormatting sqref="W2:GV2">
    <cfRule type="expression" dxfId="29" priority="30">
      <formula>W$2=""</formula>
    </cfRule>
  </conditionalFormatting>
  <conditionalFormatting sqref="AA4:GV11 S4:U16 W4:Z16 AA12:BR12 CD12:GV12 AA13:GV16">
    <cfRule type="expression" dxfId="28" priority="156">
      <formula>ISODD($S4)</formula>
    </cfRule>
  </conditionalFormatting>
  <conditionalFormatting sqref="BS12:BU12 BW12:CC12">
    <cfRule type="expression" dxfId="27" priority="633">
      <formula>ISODD(#REF!)</formula>
    </cfRule>
  </conditionalFormatting>
  <conditionalFormatting sqref="BV12">
    <cfRule type="expression" dxfId="26" priority="1">
      <formula>ISODD($S12)</formula>
    </cfRule>
  </conditionalFormatting>
  <dataValidations disablePrompts="1" count="1">
    <dataValidation type="list" allowBlank="1" showInputMessage="1" showErrorMessage="1" sqref="P1:Q1" xr:uid="{EF7C85CC-247A-4AFF-BCEB-BE1D9B313658}">
      <formula1>#REF!</formula1>
    </dataValidation>
  </dataValidations>
  <printOptions horizontalCentered="1" verticalCentered="1"/>
  <pageMargins left="0.7" right="0.7" top="0.75" bottom="0.75" header="0.3" footer="0.3"/>
  <pageSetup scale="60" fitToWidth="2" fitToHeight="3"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0" tint="-0.249977111117893"/>
    <pageSetUpPr autoPageBreaks="0"/>
  </sheetPr>
  <dimension ref="A1:D182"/>
  <sheetViews>
    <sheetView zoomScale="160" zoomScaleNormal="160" workbookViewId="0">
      <selection activeCell="A183" sqref="A183:XFD1120"/>
    </sheetView>
  </sheetViews>
  <sheetFormatPr defaultColWidth="8.88671875" defaultRowHeight="14.4" x14ac:dyDescent="0.3"/>
  <cols>
    <col min="1" max="1" width="5.6640625" style="35" customWidth="1"/>
    <col min="2" max="2" width="15.88671875" style="35" customWidth="1"/>
    <col min="3" max="3" width="109.5546875" style="35" customWidth="1"/>
    <col min="4" max="16384" width="8.88671875" style="18"/>
  </cols>
  <sheetData>
    <row r="1" spans="1:4" s="17" customFormat="1" ht="16.2" thickBot="1" x14ac:dyDescent="0.35">
      <c r="A1" s="29">
        <f>IF(RFQ!D4="",0,RFQ!A4)</f>
        <v>1</v>
      </c>
      <c r="B1" s="29" t="str">
        <f>IF(C1=0,0, "FID "&amp;RFQ!C4)</f>
        <v>FID 21.1</v>
      </c>
      <c r="C1" s="37" t="str">
        <f>RFQ!D4</f>
        <v>SN1/SN01: Industrial Storage Cabinet, Metal</v>
      </c>
    </row>
    <row r="2" spans="1:4" ht="15.75" customHeight="1" x14ac:dyDescent="0.3">
      <c r="A2" s="240" t="s">
        <v>19</v>
      </c>
      <c r="B2" s="241"/>
      <c r="C2" s="30">
        <f>RFQ!E4</f>
        <v>0</v>
      </c>
    </row>
    <row r="3" spans="1:4" x14ac:dyDescent="0.3">
      <c r="A3" s="236" t="s">
        <v>20</v>
      </c>
      <c r="B3" s="237"/>
      <c r="C3" s="36">
        <f>RFQ!F4</f>
        <v>0</v>
      </c>
    </row>
    <row r="4" spans="1:4" x14ac:dyDescent="0.3">
      <c r="A4" s="236" t="s">
        <v>21</v>
      </c>
      <c r="B4" s="237"/>
      <c r="C4" s="36">
        <f>+RFQ!G4</f>
        <v>0</v>
      </c>
    </row>
    <row r="5" spans="1:4" x14ac:dyDescent="0.3">
      <c r="A5" s="236" t="s">
        <v>22</v>
      </c>
      <c r="B5" s="237"/>
      <c r="C5" s="34">
        <f>RFQ!K4</f>
        <v>0</v>
      </c>
      <c r="D5" s="19"/>
    </row>
    <row r="6" spans="1:4" ht="15" thickBot="1" x14ac:dyDescent="0.35">
      <c r="A6" s="238" t="s">
        <v>23</v>
      </c>
      <c r="B6" s="239"/>
      <c r="C6" s="33"/>
      <c r="D6" s="19"/>
    </row>
    <row r="7" spans="1:4" ht="15" x14ac:dyDescent="0.35">
      <c r="A7" s="232" t="s">
        <v>24</v>
      </c>
      <c r="B7" s="233"/>
      <c r="C7" s="41"/>
      <c r="D7" s="20"/>
    </row>
    <row r="8" spans="1:4" ht="15.6" thickBot="1" x14ac:dyDescent="0.4">
      <c r="A8" s="230" t="s">
        <v>25</v>
      </c>
      <c r="B8" s="231"/>
      <c r="C8" s="28"/>
      <c r="D8" s="20"/>
    </row>
    <row r="9" spans="1:4" x14ac:dyDescent="0.3">
      <c r="A9" s="232" t="s">
        <v>26</v>
      </c>
      <c r="B9" s="233"/>
      <c r="C9" s="42"/>
    </row>
    <row r="10" spans="1:4" ht="15" thickBot="1" x14ac:dyDescent="0.35">
      <c r="A10" s="230" t="s">
        <v>27</v>
      </c>
      <c r="B10" s="231"/>
      <c r="C10" s="28"/>
    </row>
    <row r="11" spans="1:4" x14ac:dyDescent="0.3">
      <c r="A11" s="232" t="s">
        <v>28</v>
      </c>
      <c r="B11" s="233"/>
      <c r="C11" s="42"/>
    </row>
    <row r="12" spans="1:4" ht="15" thickBot="1" x14ac:dyDescent="0.35">
      <c r="A12" s="230" t="s">
        <v>29</v>
      </c>
      <c r="B12" s="231"/>
      <c r="C12" s="28"/>
    </row>
    <row r="13" spans="1:4" x14ac:dyDescent="0.3">
      <c r="A13" s="234" t="s">
        <v>30</v>
      </c>
      <c r="B13" s="235"/>
      <c r="C13" s="43"/>
    </row>
    <row r="14" spans="1:4" ht="15" thickBot="1" x14ac:dyDescent="0.35">
      <c r="A14" s="230" t="s">
        <v>31</v>
      </c>
      <c r="B14" s="231"/>
      <c r="C14" s="28"/>
    </row>
    <row r="15" spans="1:4" s="17" customFormat="1" ht="16.2" thickBot="1" x14ac:dyDescent="0.35">
      <c r="A15" s="29">
        <f>IF(RFQ!D5="",0,RFQ!A5)</f>
        <v>2</v>
      </c>
      <c r="B15" s="29" t="str">
        <f>IF(C15=0,0, "FID "&amp;RFQ!C5)</f>
        <v>FID 21.2</v>
      </c>
      <c r="C15" s="37" t="str">
        <f>RFQ!D5</f>
        <v>SL2/SL02: Corrosive Safety Cabinet, Metal</v>
      </c>
    </row>
    <row r="16" spans="1:4" x14ac:dyDescent="0.3">
      <c r="A16" s="240" t="s">
        <v>19</v>
      </c>
      <c r="B16" s="241"/>
      <c r="C16" s="30">
        <f>RFQ!E5</f>
        <v>0</v>
      </c>
    </row>
    <row r="17" spans="1:4" x14ac:dyDescent="0.3">
      <c r="A17" s="236" t="s">
        <v>20</v>
      </c>
      <c r="B17" s="237"/>
      <c r="C17" s="36">
        <f>RFQ!F5</f>
        <v>0</v>
      </c>
    </row>
    <row r="18" spans="1:4" x14ac:dyDescent="0.3">
      <c r="A18" s="236" t="s">
        <v>21</v>
      </c>
      <c r="B18" s="237"/>
      <c r="C18" s="36">
        <f>RFQ!G5</f>
        <v>0</v>
      </c>
    </row>
    <row r="19" spans="1:4" x14ac:dyDescent="0.3">
      <c r="A19" s="236" t="s">
        <v>22</v>
      </c>
      <c r="B19" s="237"/>
      <c r="C19" s="36">
        <f>RFQ!K5</f>
        <v>0</v>
      </c>
      <c r="D19" s="19"/>
    </row>
    <row r="20" spans="1:4" ht="15" thickBot="1" x14ac:dyDescent="0.35">
      <c r="A20" s="238" t="s">
        <v>23</v>
      </c>
      <c r="B20" s="239"/>
      <c r="C20" s="33"/>
      <c r="D20" s="19"/>
    </row>
    <row r="21" spans="1:4" ht="15" x14ac:dyDescent="0.35">
      <c r="A21" s="232" t="s">
        <v>24</v>
      </c>
      <c r="B21" s="233"/>
      <c r="C21" s="41"/>
      <c r="D21" s="20"/>
    </row>
    <row r="22" spans="1:4" ht="15.6" thickBot="1" x14ac:dyDescent="0.4">
      <c r="A22" s="230" t="s">
        <v>25</v>
      </c>
      <c r="B22" s="231"/>
      <c r="C22" s="28"/>
      <c r="D22" s="20"/>
    </row>
    <row r="23" spans="1:4" x14ac:dyDescent="0.3">
      <c r="A23" s="232" t="s">
        <v>26</v>
      </c>
      <c r="B23" s="233"/>
      <c r="C23" s="42"/>
    </row>
    <row r="24" spans="1:4" ht="15" thickBot="1" x14ac:dyDescent="0.35">
      <c r="A24" s="230" t="s">
        <v>27</v>
      </c>
      <c r="B24" s="231"/>
      <c r="C24" s="28"/>
    </row>
    <row r="25" spans="1:4" x14ac:dyDescent="0.3">
      <c r="A25" s="232" t="s">
        <v>28</v>
      </c>
      <c r="B25" s="233"/>
      <c r="C25" s="42"/>
    </row>
    <row r="26" spans="1:4" ht="15" thickBot="1" x14ac:dyDescent="0.35">
      <c r="A26" s="230" t="s">
        <v>29</v>
      </c>
      <c r="B26" s="231"/>
      <c r="C26" s="28"/>
    </row>
    <row r="27" spans="1:4" x14ac:dyDescent="0.3">
      <c r="A27" s="234" t="s">
        <v>30</v>
      </c>
      <c r="B27" s="235"/>
      <c r="C27" s="43"/>
    </row>
    <row r="28" spans="1:4" ht="15" thickBot="1" x14ac:dyDescent="0.35">
      <c r="A28" s="230" t="s">
        <v>31</v>
      </c>
      <c r="B28" s="231"/>
      <c r="C28" s="28"/>
    </row>
    <row r="29" spans="1:4" s="17" customFormat="1" ht="16.2" thickBot="1" x14ac:dyDescent="0.35">
      <c r="A29" s="29">
        <f>IF(RFQ!D6="",0,RFQ!A6)</f>
        <v>3</v>
      </c>
      <c r="B29" s="29" t="str">
        <f>IF(C29=0,0, "FID "&amp;RFQ!C6)</f>
        <v>FID 22.1</v>
      </c>
      <c r="C29" s="37" t="str">
        <f>RFQ!D6</f>
        <v>SN2/SN02: Open Industrial Bulk Rack Storage Shelving, Metal Particleboard Decking</v>
      </c>
    </row>
    <row r="30" spans="1:4" x14ac:dyDescent="0.3">
      <c r="A30" s="240" t="s">
        <v>19</v>
      </c>
      <c r="B30" s="241"/>
      <c r="C30" s="30">
        <f>RFQ!E6</f>
        <v>0</v>
      </c>
    </row>
    <row r="31" spans="1:4" x14ac:dyDescent="0.3">
      <c r="A31" s="236" t="s">
        <v>20</v>
      </c>
      <c r="B31" s="237"/>
      <c r="C31" s="34">
        <f>RFQ!F6</f>
        <v>0</v>
      </c>
    </row>
    <row r="32" spans="1:4" x14ac:dyDescent="0.3">
      <c r="A32" s="236" t="s">
        <v>21</v>
      </c>
      <c r="B32" s="237"/>
      <c r="C32" s="34">
        <f>RFQ!G6</f>
        <v>0</v>
      </c>
    </row>
    <row r="33" spans="1:4" x14ac:dyDescent="0.3">
      <c r="A33" s="236" t="s">
        <v>22</v>
      </c>
      <c r="B33" s="237"/>
      <c r="C33" s="34">
        <f>RFQ!K6</f>
        <v>0</v>
      </c>
      <c r="D33" s="19"/>
    </row>
    <row r="34" spans="1:4" ht="15" thickBot="1" x14ac:dyDescent="0.35">
      <c r="A34" s="238" t="s">
        <v>23</v>
      </c>
      <c r="B34" s="239"/>
      <c r="C34" s="31"/>
      <c r="D34" s="19"/>
    </row>
    <row r="35" spans="1:4" ht="15" x14ac:dyDescent="0.35">
      <c r="A35" s="232" t="s">
        <v>24</v>
      </c>
      <c r="B35" s="233"/>
      <c r="C35" s="41"/>
      <c r="D35" s="20"/>
    </row>
    <row r="36" spans="1:4" ht="15.6" thickBot="1" x14ac:dyDescent="0.4">
      <c r="A36" s="230" t="s">
        <v>25</v>
      </c>
      <c r="B36" s="231"/>
      <c r="C36" s="28"/>
      <c r="D36" s="20"/>
    </row>
    <row r="37" spans="1:4" x14ac:dyDescent="0.3">
      <c r="A37" s="232" t="s">
        <v>26</v>
      </c>
      <c r="B37" s="233"/>
      <c r="C37" s="42"/>
    </row>
    <row r="38" spans="1:4" ht="15" thickBot="1" x14ac:dyDescent="0.35">
      <c r="A38" s="230" t="s">
        <v>27</v>
      </c>
      <c r="B38" s="231"/>
      <c r="C38" s="28"/>
    </row>
    <row r="39" spans="1:4" x14ac:dyDescent="0.3">
      <c r="A39" s="232" t="s">
        <v>28</v>
      </c>
      <c r="B39" s="233"/>
      <c r="C39" s="42"/>
    </row>
    <row r="40" spans="1:4" ht="15" thickBot="1" x14ac:dyDescent="0.35">
      <c r="A40" s="230" t="s">
        <v>29</v>
      </c>
      <c r="B40" s="231"/>
      <c r="C40" s="28"/>
    </row>
    <row r="41" spans="1:4" x14ac:dyDescent="0.3">
      <c r="A41" s="234" t="s">
        <v>30</v>
      </c>
      <c r="B41" s="235"/>
      <c r="C41" s="43"/>
    </row>
    <row r="42" spans="1:4" ht="15" thickBot="1" x14ac:dyDescent="0.35">
      <c r="A42" s="230" t="s">
        <v>31</v>
      </c>
      <c r="B42" s="231"/>
      <c r="C42" s="28"/>
    </row>
    <row r="43" spans="1:4" s="17" customFormat="1" ht="16.2" thickBot="1" x14ac:dyDescent="0.35">
      <c r="A43" s="29">
        <f>IF(RFQ!D7="",0,RFQ!A7)</f>
        <v>4</v>
      </c>
      <c r="B43" s="29" t="str">
        <f>IF(C43=0,0, "FID "&amp;RFQ!C7)</f>
        <v>FID 22.2</v>
      </c>
      <c r="C43" s="37" t="str">
        <f>RFQ!D7</f>
        <v>SS1/SS01: Open Industrial Bulk Rack Storage Shelving, Metal Particleboard Decking</v>
      </c>
    </row>
    <row r="44" spans="1:4" x14ac:dyDescent="0.3">
      <c r="A44" s="240" t="s">
        <v>19</v>
      </c>
      <c r="B44" s="241"/>
      <c r="C44" s="30">
        <f>RFQ!E7</f>
        <v>0</v>
      </c>
    </row>
    <row r="45" spans="1:4" x14ac:dyDescent="0.3">
      <c r="A45" s="236" t="s">
        <v>20</v>
      </c>
      <c r="B45" s="237"/>
      <c r="C45" s="34">
        <f>RFQ!F7</f>
        <v>0</v>
      </c>
    </row>
    <row r="46" spans="1:4" x14ac:dyDescent="0.3">
      <c r="A46" s="236" t="s">
        <v>21</v>
      </c>
      <c r="B46" s="237"/>
      <c r="C46" s="34">
        <f>RFQ!G7</f>
        <v>0</v>
      </c>
    </row>
    <row r="47" spans="1:4" x14ac:dyDescent="0.3">
      <c r="A47" s="236" t="s">
        <v>22</v>
      </c>
      <c r="B47" s="237"/>
      <c r="C47" s="34">
        <f>RFQ!K7</f>
        <v>0</v>
      </c>
      <c r="D47" s="19"/>
    </row>
    <row r="48" spans="1:4" ht="15" thickBot="1" x14ac:dyDescent="0.35">
      <c r="A48" s="238" t="s">
        <v>23</v>
      </c>
      <c r="B48" s="239"/>
      <c r="C48" s="31"/>
      <c r="D48" s="19"/>
    </row>
    <row r="49" spans="1:4" ht="15" x14ac:dyDescent="0.35">
      <c r="A49" s="232" t="s">
        <v>24</v>
      </c>
      <c r="B49" s="233"/>
      <c r="C49" s="42"/>
      <c r="D49" s="20"/>
    </row>
    <row r="50" spans="1:4" ht="15.6" thickBot="1" x14ac:dyDescent="0.4">
      <c r="A50" s="230" t="s">
        <v>25</v>
      </c>
      <c r="B50" s="231"/>
      <c r="C50" s="44"/>
      <c r="D50" s="20"/>
    </row>
    <row r="51" spans="1:4" x14ac:dyDescent="0.3">
      <c r="A51" s="232" t="s">
        <v>26</v>
      </c>
      <c r="B51" s="233"/>
      <c r="C51" s="42"/>
    </row>
    <row r="52" spans="1:4" ht="15" thickBot="1" x14ac:dyDescent="0.35">
      <c r="A52" s="230" t="s">
        <v>27</v>
      </c>
      <c r="B52" s="231"/>
      <c r="C52" s="44"/>
    </row>
    <row r="53" spans="1:4" x14ac:dyDescent="0.3">
      <c r="A53" s="232" t="s">
        <v>28</v>
      </c>
      <c r="B53" s="233"/>
      <c r="C53" s="42"/>
    </row>
    <row r="54" spans="1:4" ht="15" thickBot="1" x14ac:dyDescent="0.35">
      <c r="A54" s="230" t="s">
        <v>29</v>
      </c>
      <c r="B54" s="231"/>
      <c r="C54" s="44"/>
    </row>
    <row r="55" spans="1:4" x14ac:dyDescent="0.3">
      <c r="A55" s="234" t="s">
        <v>30</v>
      </c>
      <c r="B55" s="235"/>
      <c r="C55" s="45"/>
    </row>
    <row r="56" spans="1:4" ht="15" thickBot="1" x14ac:dyDescent="0.35">
      <c r="A56" s="230" t="s">
        <v>31</v>
      </c>
      <c r="B56" s="231"/>
      <c r="C56" s="44"/>
    </row>
    <row r="57" spans="1:4" s="17" customFormat="1" ht="16.2" thickBot="1" x14ac:dyDescent="0.35">
      <c r="A57" s="29">
        <f>IF(RFQ!D8="",0,RFQ!A8)</f>
        <v>5</v>
      </c>
      <c r="B57" s="29" t="str">
        <f>IF(C57=0,0, "FID "&amp;RFQ!C8)</f>
        <v>FID 22.3</v>
      </c>
      <c r="C57" s="37" t="str">
        <f>RFQ!D8</f>
        <v>SX1/SX01: Tool Storage Cabinet, Metal</v>
      </c>
    </row>
    <row r="58" spans="1:4" x14ac:dyDescent="0.3">
      <c r="A58" s="240" t="s">
        <v>19</v>
      </c>
      <c r="B58" s="241"/>
      <c r="C58" s="30">
        <f>RFQ!E8</f>
        <v>0</v>
      </c>
    </row>
    <row r="59" spans="1:4" x14ac:dyDescent="0.3">
      <c r="A59" s="236" t="s">
        <v>20</v>
      </c>
      <c r="B59" s="237"/>
      <c r="C59" s="34">
        <f>RFQ!F8</f>
        <v>0</v>
      </c>
    </row>
    <row r="60" spans="1:4" x14ac:dyDescent="0.3">
      <c r="A60" s="236" t="s">
        <v>21</v>
      </c>
      <c r="B60" s="237"/>
      <c r="C60" s="34">
        <f>RFQ!G8</f>
        <v>0</v>
      </c>
    </row>
    <row r="61" spans="1:4" x14ac:dyDescent="0.3">
      <c r="A61" s="236" t="s">
        <v>22</v>
      </c>
      <c r="B61" s="237"/>
      <c r="C61" s="34">
        <f>RFQ!K8</f>
        <v>0</v>
      </c>
      <c r="D61" s="19"/>
    </row>
    <row r="62" spans="1:4" ht="15" thickBot="1" x14ac:dyDescent="0.35">
      <c r="A62" s="238" t="s">
        <v>23</v>
      </c>
      <c r="B62" s="239"/>
      <c r="C62" s="31"/>
      <c r="D62" s="19"/>
    </row>
    <row r="63" spans="1:4" ht="15" x14ac:dyDescent="0.35">
      <c r="A63" s="232" t="s">
        <v>24</v>
      </c>
      <c r="B63" s="233"/>
      <c r="C63" s="42"/>
      <c r="D63" s="20"/>
    </row>
    <row r="64" spans="1:4" ht="15.6" thickBot="1" x14ac:dyDescent="0.4">
      <c r="A64" s="230" t="s">
        <v>25</v>
      </c>
      <c r="B64" s="231"/>
      <c r="C64" s="44"/>
      <c r="D64" s="20"/>
    </row>
    <row r="65" spans="1:4" x14ac:dyDescent="0.3">
      <c r="A65" s="232" t="s">
        <v>26</v>
      </c>
      <c r="B65" s="233"/>
      <c r="C65" s="42"/>
    </row>
    <row r="66" spans="1:4" ht="15" thickBot="1" x14ac:dyDescent="0.35">
      <c r="A66" s="230" t="s">
        <v>27</v>
      </c>
      <c r="B66" s="231"/>
      <c r="C66" s="44"/>
    </row>
    <row r="67" spans="1:4" x14ac:dyDescent="0.3">
      <c r="A67" s="232" t="s">
        <v>28</v>
      </c>
      <c r="B67" s="233"/>
      <c r="C67" s="42"/>
    </row>
    <row r="68" spans="1:4" ht="15" thickBot="1" x14ac:dyDescent="0.35">
      <c r="A68" s="230" t="s">
        <v>29</v>
      </c>
      <c r="B68" s="231"/>
      <c r="C68" s="44"/>
    </row>
    <row r="69" spans="1:4" x14ac:dyDescent="0.3">
      <c r="A69" s="234" t="s">
        <v>30</v>
      </c>
      <c r="B69" s="235"/>
      <c r="C69" s="45"/>
    </row>
    <row r="70" spans="1:4" ht="15" thickBot="1" x14ac:dyDescent="0.35">
      <c r="A70" s="230" t="s">
        <v>31</v>
      </c>
      <c r="B70" s="231"/>
      <c r="C70" s="44"/>
    </row>
    <row r="71" spans="1:4" s="17" customFormat="1" ht="16.2" thickBot="1" x14ac:dyDescent="0.35">
      <c r="A71" s="29">
        <f>IF(RFQ!D9="",0,RFQ!A9)</f>
        <v>6</v>
      </c>
      <c r="B71" s="29" t="str">
        <f>IF(C71=0,0, "FID "&amp;RFQ!C9)</f>
        <v>FID 22.4</v>
      </c>
      <c r="C71" s="37" t="str">
        <f>RFQ!D9</f>
        <v>SX2/SX02: Tool Storage Cabinet, Metal</v>
      </c>
    </row>
    <row r="72" spans="1:4" x14ac:dyDescent="0.3">
      <c r="A72" s="240" t="s">
        <v>19</v>
      </c>
      <c r="B72" s="241"/>
      <c r="C72" s="30">
        <f>RFQ!E9</f>
        <v>0</v>
      </c>
    </row>
    <row r="73" spans="1:4" x14ac:dyDescent="0.3">
      <c r="A73" s="236" t="s">
        <v>20</v>
      </c>
      <c r="B73" s="237"/>
      <c r="C73" s="34">
        <f>RFQ!F9</f>
        <v>0</v>
      </c>
    </row>
    <row r="74" spans="1:4" x14ac:dyDescent="0.3">
      <c r="A74" s="236" t="s">
        <v>21</v>
      </c>
      <c r="B74" s="237"/>
      <c r="C74" s="34">
        <f>RFQ!G9</f>
        <v>0</v>
      </c>
    </row>
    <row r="75" spans="1:4" x14ac:dyDescent="0.3">
      <c r="A75" s="236" t="s">
        <v>22</v>
      </c>
      <c r="B75" s="237"/>
      <c r="C75" s="34">
        <f>RFQ!K9</f>
        <v>0</v>
      </c>
      <c r="D75" s="19"/>
    </row>
    <row r="76" spans="1:4" ht="15" thickBot="1" x14ac:dyDescent="0.35">
      <c r="A76" s="238" t="s">
        <v>23</v>
      </c>
      <c r="B76" s="239"/>
      <c r="C76" s="31"/>
      <c r="D76" s="19"/>
    </row>
    <row r="77" spans="1:4" ht="15" x14ac:dyDescent="0.35">
      <c r="A77" s="232" t="s">
        <v>24</v>
      </c>
      <c r="B77" s="233"/>
      <c r="C77" s="42"/>
      <c r="D77" s="20"/>
    </row>
    <row r="78" spans="1:4" ht="15.6" thickBot="1" x14ac:dyDescent="0.4">
      <c r="A78" s="230" t="s">
        <v>25</v>
      </c>
      <c r="B78" s="231"/>
      <c r="C78" s="44"/>
      <c r="D78" s="20"/>
    </row>
    <row r="79" spans="1:4" x14ac:dyDescent="0.3">
      <c r="A79" s="232" t="s">
        <v>26</v>
      </c>
      <c r="B79" s="233"/>
      <c r="C79" s="42"/>
    </row>
    <row r="80" spans="1:4" ht="15" thickBot="1" x14ac:dyDescent="0.35">
      <c r="A80" s="230" t="s">
        <v>27</v>
      </c>
      <c r="B80" s="231"/>
      <c r="C80" s="44"/>
    </row>
    <row r="81" spans="1:4" x14ac:dyDescent="0.3">
      <c r="A81" s="232" t="s">
        <v>28</v>
      </c>
      <c r="B81" s="233"/>
      <c r="C81" s="42"/>
    </row>
    <row r="82" spans="1:4" ht="15" thickBot="1" x14ac:dyDescent="0.35">
      <c r="A82" s="230" t="s">
        <v>29</v>
      </c>
      <c r="B82" s="231"/>
      <c r="C82" s="44"/>
    </row>
    <row r="83" spans="1:4" x14ac:dyDescent="0.3">
      <c r="A83" s="234" t="s">
        <v>30</v>
      </c>
      <c r="B83" s="235"/>
      <c r="C83" s="45"/>
    </row>
    <row r="84" spans="1:4" ht="15" thickBot="1" x14ac:dyDescent="0.35">
      <c r="A84" s="230" t="s">
        <v>31</v>
      </c>
      <c r="B84" s="231"/>
      <c r="C84" s="44"/>
    </row>
    <row r="85" spans="1:4" s="17" customFormat="1" ht="16.2" thickBot="1" x14ac:dyDescent="0.35">
      <c r="A85" s="29">
        <f>IF(RFQ!D10="",0,RFQ!A10)</f>
        <v>7</v>
      </c>
      <c r="B85" s="32" t="str">
        <f>IF(C85=0,0, "FID "&amp;RFQ!C10)</f>
        <v>FID 22.5</v>
      </c>
      <c r="C85" s="37" t="str">
        <f>RFQ!D10</f>
        <v>SX3/SX03: Tool Storage Cabinet, Metal</v>
      </c>
    </row>
    <row r="86" spans="1:4" x14ac:dyDescent="0.3">
      <c r="A86" s="240" t="s">
        <v>19</v>
      </c>
      <c r="B86" s="241"/>
      <c r="C86" s="30">
        <f>RFQ!E10</f>
        <v>0</v>
      </c>
    </row>
    <row r="87" spans="1:4" x14ac:dyDescent="0.3">
      <c r="A87" s="236" t="s">
        <v>20</v>
      </c>
      <c r="B87" s="237"/>
      <c r="C87" s="34">
        <f>RFQ!F10</f>
        <v>0</v>
      </c>
    </row>
    <row r="88" spans="1:4" x14ac:dyDescent="0.3">
      <c r="A88" s="236" t="s">
        <v>21</v>
      </c>
      <c r="B88" s="237"/>
      <c r="C88" s="34">
        <f>RFQ!G10</f>
        <v>0</v>
      </c>
    </row>
    <row r="89" spans="1:4" x14ac:dyDescent="0.3">
      <c r="A89" s="236" t="s">
        <v>22</v>
      </c>
      <c r="B89" s="237"/>
      <c r="C89" s="34">
        <f>RFQ!K10</f>
        <v>0</v>
      </c>
      <c r="D89" s="19"/>
    </row>
    <row r="90" spans="1:4" ht="15" thickBot="1" x14ac:dyDescent="0.35">
      <c r="A90" s="238" t="s">
        <v>23</v>
      </c>
      <c r="B90" s="239"/>
      <c r="C90" s="31"/>
      <c r="D90" s="19"/>
    </row>
    <row r="91" spans="1:4" ht="15" x14ac:dyDescent="0.35">
      <c r="A91" s="232" t="s">
        <v>24</v>
      </c>
      <c r="B91" s="233"/>
      <c r="C91" s="42"/>
      <c r="D91" s="20"/>
    </row>
    <row r="92" spans="1:4" ht="15.6" thickBot="1" x14ac:dyDescent="0.4">
      <c r="A92" s="230" t="s">
        <v>25</v>
      </c>
      <c r="B92" s="231"/>
      <c r="C92" s="44"/>
      <c r="D92" s="20"/>
    </row>
    <row r="93" spans="1:4" x14ac:dyDescent="0.3">
      <c r="A93" s="232" t="s">
        <v>26</v>
      </c>
      <c r="B93" s="233"/>
      <c r="C93" s="42"/>
    </row>
    <row r="94" spans="1:4" ht="15" thickBot="1" x14ac:dyDescent="0.35">
      <c r="A94" s="230" t="s">
        <v>27</v>
      </c>
      <c r="B94" s="231"/>
      <c r="C94" s="44"/>
    </row>
    <row r="95" spans="1:4" x14ac:dyDescent="0.3">
      <c r="A95" s="232" t="s">
        <v>28</v>
      </c>
      <c r="B95" s="233"/>
      <c r="C95" s="42"/>
    </row>
    <row r="96" spans="1:4" ht="15" thickBot="1" x14ac:dyDescent="0.35">
      <c r="A96" s="230" t="s">
        <v>29</v>
      </c>
      <c r="B96" s="231"/>
      <c r="C96" s="44"/>
    </row>
    <row r="97" spans="1:4" x14ac:dyDescent="0.3">
      <c r="A97" s="234" t="s">
        <v>30</v>
      </c>
      <c r="B97" s="235"/>
      <c r="C97" s="45"/>
    </row>
    <row r="98" spans="1:4" ht="15" thickBot="1" x14ac:dyDescent="0.35">
      <c r="A98" s="230" t="s">
        <v>31</v>
      </c>
      <c r="B98" s="231"/>
      <c r="C98" s="44"/>
    </row>
    <row r="99" spans="1:4" s="17" customFormat="1" ht="16.2" thickBot="1" x14ac:dyDescent="0.35">
      <c r="A99" s="29">
        <f>IF(RFQ!D11="",0,RFQ!A11)</f>
        <v>8</v>
      </c>
      <c r="B99" s="29" t="str">
        <f>IF(C99=0,0, "FID "&amp;RFQ!C11)</f>
        <v>FID 22.6</v>
      </c>
      <c r="C99" s="37" t="str">
        <f>RFQ!D11</f>
        <v>EQ1/EQ01: Tool Storage Cabinet, Metal</v>
      </c>
    </row>
    <row r="100" spans="1:4" x14ac:dyDescent="0.3">
      <c r="A100" s="240" t="s">
        <v>19</v>
      </c>
      <c r="B100" s="241"/>
      <c r="C100" s="30">
        <f>RFQ!E11</f>
        <v>0</v>
      </c>
    </row>
    <row r="101" spans="1:4" x14ac:dyDescent="0.3">
      <c r="A101" s="236" t="s">
        <v>20</v>
      </c>
      <c r="B101" s="237"/>
      <c r="C101" s="34">
        <f>RFQ!F11</f>
        <v>0</v>
      </c>
    </row>
    <row r="102" spans="1:4" x14ac:dyDescent="0.3">
      <c r="A102" s="236" t="s">
        <v>21</v>
      </c>
      <c r="B102" s="237"/>
      <c r="C102" s="34">
        <f>RFQ!G11</f>
        <v>0</v>
      </c>
    </row>
    <row r="103" spans="1:4" x14ac:dyDescent="0.3">
      <c r="A103" s="236" t="s">
        <v>22</v>
      </c>
      <c r="B103" s="237"/>
      <c r="C103" s="34">
        <f>RFQ!K11</f>
        <v>0</v>
      </c>
      <c r="D103" s="19"/>
    </row>
    <row r="104" spans="1:4" ht="15" thickBot="1" x14ac:dyDescent="0.35">
      <c r="A104" s="238" t="s">
        <v>23</v>
      </c>
      <c r="B104" s="239"/>
      <c r="C104" s="31"/>
      <c r="D104" s="19"/>
    </row>
    <row r="105" spans="1:4" ht="15" x14ac:dyDescent="0.35">
      <c r="A105" s="232" t="s">
        <v>24</v>
      </c>
      <c r="B105" s="233"/>
      <c r="C105" s="42"/>
      <c r="D105" s="20"/>
    </row>
    <row r="106" spans="1:4" ht="15.6" thickBot="1" x14ac:dyDescent="0.4">
      <c r="A106" s="230" t="s">
        <v>25</v>
      </c>
      <c r="B106" s="231"/>
      <c r="C106" s="44"/>
      <c r="D106" s="20"/>
    </row>
    <row r="107" spans="1:4" x14ac:dyDescent="0.3">
      <c r="A107" s="232" t="s">
        <v>26</v>
      </c>
      <c r="B107" s="233"/>
      <c r="C107" s="42"/>
    </row>
    <row r="108" spans="1:4" ht="15" thickBot="1" x14ac:dyDescent="0.35">
      <c r="A108" s="230" t="s">
        <v>27</v>
      </c>
      <c r="B108" s="231"/>
      <c r="C108" s="44"/>
    </row>
    <row r="109" spans="1:4" x14ac:dyDescent="0.3">
      <c r="A109" s="232" t="s">
        <v>28</v>
      </c>
      <c r="B109" s="233"/>
      <c r="C109" s="42"/>
    </row>
    <row r="110" spans="1:4" ht="15" thickBot="1" x14ac:dyDescent="0.35">
      <c r="A110" s="230" t="s">
        <v>29</v>
      </c>
      <c r="B110" s="231"/>
      <c r="C110" s="44"/>
    </row>
    <row r="111" spans="1:4" x14ac:dyDescent="0.3">
      <c r="A111" s="234" t="s">
        <v>30</v>
      </c>
      <c r="B111" s="235"/>
      <c r="C111" s="45"/>
    </row>
    <row r="112" spans="1:4" ht="15" thickBot="1" x14ac:dyDescent="0.35">
      <c r="A112" s="230" t="s">
        <v>31</v>
      </c>
      <c r="B112" s="231"/>
      <c r="C112" s="44"/>
    </row>
    <row r="113" spans="1:4" s="17" customFormat="1" ht="16.2" thickBot="1" x14ac:dyDescent="0.35">
      <c r="A113" s="29">
        <f>IF(RFQ!D12="",0,RFQ!A12)</f>
        <v>9</v>
      </c>
      <c r="B113" s="29" t="str">
        <f>IF(C113=0,0, "FID "&amp;RFQ!C12)</f>
        <v>FID 22.7</v>
      </c>
      <c r="C113" s="37" t="str">
        <f>RFQ!D12</f>
        <v>TN1/TN01/TN2/TN02: Work Bench, Metal</v>
      </c>
    </row>
    <row r="114" spans="1:4" x14ac:dyDescent="0.3">
      <c r="A114" s="240" t="s">
        <v>19</v>
      </c>
      <c r="B114" s="241"/>
      <c r="C114" s="30">
        <f>RFQ!E12</f>
        <v>0</v>
      </c>
    </row>
    <row r="115" spans="1:4" x14ac:dyDescent="0.3">
      <c r="A115" s="236" t="s">
        <v>20</v>
      </c>
      <c r="B115" s="237"/>
      <c r="C115" s="34">
        <f>RFQ!F12</f>
        <v>0</v>
      </c>
    </row>
    <row r="116" spans="1:4" x14ac:dyDescent="0.3">
      <c r="A116" s="236" t="s">
        <v>21</v>
      </c>
      <c r="B116" s="237"/>
      <c r="C116" s="34">
        <f>RFQ!G12</f>
        <v>0</v>
      </c>
    </row>
    <row r="117" spans="1:4" x14ac:dyDescent="0.3">
      <c r="A117" s="236" t="s">
        <v>22</v>
      </c>
      <c r="B117" s="237"/>
      <c r="C117" s="34">
        <f>RFQ!K12</f>
        <v>0</v>
      </c>
      <c r="D117" s="19"/>
    </row>
    <row r="118" spans="1:4" ht="15" thickBot="1" x14ac:dyDescent="0.35">
      <c r="A118" s="238" t="s">
        <v>23</v>
      </c>
      <c r="B118" s="239"/>
      <c r="C118" s="31"/>
      <c r="D118" s="19"/>
    </row>
    <row r="119" spans="1:4" ht="15" x14ac:dyDescent="0.35">
      <c r="A119" s="232" t="s">
        <v>24</v>
      </c>
      <c r="B119" s="233"/>
      <c r="C119" s="42"/>
      <c r="D119" s="20"/>
    </row>
    <row r="120" spans="1:4" ht="15.6" thickBot="1" x14ac:dyDescent="0.4">
      <c r="A120" s="230" t="s">
        <v>25</v>
      </c>
      <c r="B120" s="231"/>
      <c r="C120" s="44"/>
      <c r="D120" s="20"/>
    </row>
    <row r="121" spans="1:4" x14ac:dyDescent="0.3">
      <c r="A121" s="232" t="s">
        <v>26</v>
      </c>
      <c r="B121" s="233"/>
      <c r="C121" s="42"/>
    </row>
    <row r="122" spans="1:4" ht="15" thickBot="1" x14ac:dyDescent="0.35">
      <c r="A122" s="230" t="s">
        <v>27</v>
      </c>
      <c r="B122" s="231"/>
      <c r="C122" s="44"/>
    </row>
    <row r="123" spans="1:4" x14ac:dyDescent="0.3">
      <c r="A123" s="232" t="s">
        <v>28</v>
      </c>
      <c r="B123" s="233"/>
      <c r="C123" s="42"/>
    </row>
    <row r="124" spans="1:4" ht="15" thickBot="1" x14ac:dyDescent="0.35">
      <c r="A124" s="230" t="s">
        <v>29</v>
      </c>
      <c r="B124" s="231"/>
      <c r="C124" s="44"/>
    </row>
    <row r="125" spans="1:4" x14ac:dyDescent="0.3">
      <c r="A125" s="234" t="s">
        <v>30</v>
      </c>
      <c r="B125" s="235"/>
      <c r="C125" s="45"/>
    </row>
    <row r="126" spans="1:4" ht="15" thickBot="1" x14ac:dyDescent="0.35">
      <c r="A126" s="230" t="s">
        <v>31</v>
      </c>
      <c r="B126" s="231"/>
      <c r="C126" s="44"/>
    </row>
    <row r="127" spans="1:4" s="17" customFormat="1" ht="16.2" thickBot="1" x14ac:dyDescent="0.35">
      <c r="A127" s="29">
        <f>IF(RFQ!D13="",0,RFQ!A13)</f>
        <v>10</v>
      </c>
      <c r="B127" s="29" t="str">
        <f>IF(C127=0,0, "FID "&amp;RFQ!C13)</f>
        <v>FID 22.9</v>
      </c>
      <c r="C127" s="37" t="str">
        <f>RFQ!D13</f>
        <v>TN3/TN03/TN4/TN04: Work Bench, Metal</v>
      </c>
    </row>
    <row r="128" spans="1:4" x14ac:dyDescent="0.3">
      <c r="A128" s="240" t="s">
        <v>19</v>
      </c>
      <c r="B128" s="241"/>
      <c r="C128" s="30">
        <f>RFQ!E13</f>
        <v>0</v>
      </c>
    </row>
    <row r="129" spans="1:4" x14ac:dyDescent="0.3">
      <c r="A129" s="236" t="s">
        <v>20</v>
      </c>
      <c r="B129" s="237"/>
      <c r="C129" s="34">
        <f>RFQ!F13</f>
        <v>0</v>
      </c>
    </row>
    <row r="130" spans="1:4" x14ac:dyDescent="0.3">
      <c r="A130" s="236" t="s">
        <v>21</v>
      </c>
      <c r="B130" s="237"/>
      <c r="C130" s="34">
        <f>RFQ!G13</f>
        <v>0</v>
      </c>
    </row>
    <row r="131" spans="1:4" x14ac:dyDescent="0.3">
      <c r="A131" s="236" t="s">
        <v>22</v>
      </c>
      <c r="B131" s="237"/>
      <c r="C131" s="34">
        <f>RFQ!K13</f>
        <v>0</v>
      </c>
      <c r="D131" s="19"/>
    </row>
    <row r="132" spans="1:4" ht="15" thickBot="1" x14ac:dyDescent="0.35">
      <c r="A132" s="238" t="s">
        <v>23</v>
      </c>
      <c r="B132" s="239"/>
      <c r="C132" s="31"/>
      <c r="D132" s="19"/>
    </row>
    <row r="133" spans="1:4" ht="15" x14ac:dyDescent="0.35">
      <c r="A133" s="232" t="s">
        <v>24</v>
      </c>
      <c r="B133" s="233"/>
      <c r="C133" s="42"/>
      <c r="D133" s="20"/>
    </row>
    <row r="134" spans="1:4" ht="15.6" thickBot="1" x14ac:dyDescent="0.4">
      <c r="A134" s="230" t="s">
        <v>25</v>
      </c>
      <c r="B134" s="231"/>
      <c r="C134" s="44"/>
      <c r="D134" s="20"/>
    </row>
    <row r="135" spans="1:4" x14ac:dyDescent="0.3">
      <c r="A135" s="232" t="s">
        <v>26</v>
      </c>
      <c r="B135" s="233"/>
      <c r="C135" s="42"/>
    </row>
    <row r="136" spans="1:4" ht="15" thickBot="1" x14ac:dyDescent="0.35">
      <c r="A136" s="230" t="s">
        <v>27</v>
      </c>
      <c r="B136" s="231"/>
      <c r="C136" s="44"/>
    </row>
    <row r="137" spans="1:4" x14ac:dyDescent="0.3">
      <c r="A137" s="232" t="s">
        <v>28</v>
      </c>
      <c r="B137" s="233"/>
      <c r="C137" s="42"/>
    </row>
    <row r="138" spans="1:4" ht="15" thickBot="1" x14ac:dyDescent="0.35">
      <c r="A138" s="230" t="s">
        <v>29</v>
      </c>
      <c r="B138" s="231"/>
      <c r="C138" s="44"/>
    </row>
    <row r="139" spans="1:4" x14ac:dyDescent="0.3">
      <c r="A139" s="234" t="s">
        <v>30</v>
      </c>
      <c r="B139" s="235"/>
      <c r="C139" s="45"/>
    </row>
    <row r="140" spans="1:4" ht="15" thickBot="1" x14ac:dyDescent="0.35">
      <c r="A140" s="230" t="s">
        <v>31</v>
      </c>
      <c r="B140" s="231"/>
      <c r="C140" s="44"/>
    </row>
    <row r="141" spans="1:4" s="17" customFormat="1" ht="16.2" thickBot="1" x14ac:dyDescent="0.35">
      <c r="A141" s="29">
        <f>IF(RFQ!D14="",0,RFQ!A14)</f>
        <v>11</v>
      </c>
      <c r="B141" s="29" t="str">
        <f>IF(C141=0,0, "FID "&amp;RFQ!C14)</f>
        <v>FID 22.10</v>
      </c>
      <c r="C141" s="37" t="str">
        <f>RFQ!D14</f>
        <v>TN5/TN05: Work Bench, Metal</v>
      </c>
    </row>
    <row r="142" spans="1:4" x14ac:dyDescent="0.3">
      <c r="A142" s="240" t="s">
        <v>19</v>
      </c>
      <c r="B142" s="241"/>
      <c r="C142" s="30">
        <f>RFQ!E14</f>
        <v>0</v>
      </c>
    </row>
    <row r="143" spans="1:4" x14ac:dyDescent="0.3">
      <c r="A143" s="236" t="s">
        <v>20</v>
      </c>
      <c r="B143" s="237"/>
      <c r="C143" s="34">
        <f>RFQ!F14</f>
        <v>0</v>
      </c>
    </row>
    <row r="144" spans="1:4" x14ac:dyDescent="0.3">
      <c r="A144" s="236" t="s">
        <v>21</v>
      </c>
      <c r="B144" s="237"/>
      <c r="C144" s="34">
        <f>RFQ!G14</f>
        <v>0</v>
      </c>
    </row>
    <row r="145" spans="1:4" x14ac:dyDescent="0.3">
      <c r="A145" s="236" t="s">
        <v>22</v>
      </c>
      <c r="B145" s="237"/>
      <c r="C145" s="34">
        <f>RFQ!H14</f>
        <v>0</v>
      </c>
      <c r="D145" s="19"/>
    </row>
    <row r="146" spans="1:4" ht="15" thickBot="1" x14ac:dyDescent="0.35">
      <c r="A146" s="238" t="s">
        <v>23</v>
      </c>
      <c r="B146" s="239"/>
      <c r="C146" s="31"/>
      <c r="D146" s="19"/>
    </row>
    <row r="147" spans="1:4" ht="15" x14ac:dyDescent="0.35">
      <c r="A147" s="232" t="s">
        <v>24</v>
      </c>
      <c r="B147" s="233"/>
      <c r="C147" s="42"/>
      <c r="D147" s="20"/>
    </row>
    <row r="148" spans="1:4" ht="15.6" thickBot="1" x14ac:dyDescent="0.4">
      <c r="A148" s="230" t="s">
        <v>25</v>
      </c>
      <c r="B148" s="231"/>
      <c r="C148" s="44"/>
      <c r="D148" s="20"/>
    </row>
    <row r="149" spans="1:4" x14ac:dyDescent="0.3">
      <c r="A149" s="232" t="s">
        <v>26</v>
      </c>
      <c r="B149" s="233"/>
      <c r="C149" s="42"/>
    </row>
    <row r="150" spans="1:4" ht="15" thickBot="1" x14ac:dyDescent="0.35">
      <c r="A150" s="230" t="s">
        <v>27</v>
      </c>
      <c r="B150" s="231"/>
      <c r="C150" s="44"/>
    </row>
    <row r="151" spans="1:4" x14ac:dyDescent="0.3">
      <c r="A151" s="232" t="s">
        <v>28</v>
      </c>
      <c r="B151" s="233"/>
      <c r="C151" s="42"/>
    </row>
    <row r="152" spans="1:4" ht="15" thickBot="1" x14ac:dyDescent="0.35">
      <c r="A152" s="230" t="s">
        <v>29</v>
      </c>
      <c r="B152" s="231"/>
      <c r="C152" s="44"/>
    </row>
    <row r="153" spans="1:4" x14ac:dyDescent="0.3">
      <c r="A153" s="234" t="s">
        <v>30</v>
      </c>
      <c r="B153" s="235"/>
      <c r="C153" s="45"/>
    </row>
    <row r="154" spans="1:4" ht="15" thickBot="1" x14ac:dyDescent="0.35">
      <c r="A154" s="230" t="s">
        <v>31</v>
      </c>
      <c r="B154" s="231"/>
      <c r="C154" s="44"/>
    </row>
    <row r="155" spans="1:4" s="17" customFormat="1" ht="16.2" thickBot="1" x14ac:dyDescent="0.35">
      <c r="A155" s="29">
        <f>IF(RFQ!D15="",0,RFQ!A15)</f>
        <v>12</v>
      </c>
      <c r="B155" s="29" t="str">
        <f>IF(C155=0,0, "FID "&amp;RFQ!C15)</f>
        <v>FID 22.11</v>
      </c>
      <c r="C155" s="37" t="str">
        <f>RFQ!D15</f>
        <v>SL1/SL01: Double Tier Locker, Metal</v>
      </c>
    </row>
    <row r="156" spans="1:4" x14ac:dyDescent="0.3">
      <c r="A156" s="240" t="s">
        <v>19</v>
      </c>
      <c r="B156" s="241"/>
      <c r="C156" s="30">
        <f>RFQ!E15</f>
        <v>0</v>
      </c>
    </row>
    <row r="157" spans="1:4" x14ac:dyDescent="0.3">
      <c r="A157" s="236" t="s">
        <v>20</v>
      </c>
      <c r="B157" s="237"/>
      <c r="C157" s="34">
        <f>RFQ!F15</f>
        <v>0</v>
      </c>
    </row>
    <row r="158" spans="1:4" x14ac:dyDescent="0.3">
      <c r="A158" s="236" t="s">
        <v>21</v>
      </c>
      <c r="B158" s="237"/>
      <c r="C158" s="34">
        <f>RFQ!G15</f>
        <v>0</v>
      </c>
    </row>
    <row r="159" spans="1:4" x14ac:dyDescent="0.3">
      <c r="A159" s="236" t="s">
        <v>22</v>
      </c>
      <c r="B159" s="237"/>
      <c r="C159" s="34">
        <f>RFQ!K15</f>
        <v>0</v>
      </c>
      <c r="D159" s="19"/>
    </row>
    <row r="160" spans="1:4" ht="15" thickBot="1" x14ac:dyDescent="0.35">
      <c r="A160" s="238" t="s">
        <v>23</v>
      </c>
      <c r="B160" s="239"/>
      <c r="C160" s="31"/>
      <c r="D160" s="19"/>
    </row>
    <row r="161" spans="1:4" ht="15" x14ac:dyDescent="0.35">
      <c r="A161" s="232" t="s">
        <v>24</v>
      </c>
      <c r="B161" s="233"/>
      <c r="C161" s="42"/>
      <c r="D161" s="20"/>
    </row>
    <row r="162" spans="1:4" ht="15.6" thickBot="1" x14ac:dyDescent="0.4">
      <c r="A162" s="230" t="s">
        <v>25</v>
      </c>
      <c r="B162" s="231"/>
      <c r="C162" s="44"/>
      <c r="D162" s="20"/>
    </row>
    <row r="163" spans="1:4" x14ac:dyDescent="0.3">
      <c r="A163" s="232" t="s">
        <v>26</v>
      </c>
      <c r="B163" s="233"/>
      <c r="C163" s="42"/>
    </row>
    <row r="164" spans="1:4" ht="15" thickBot="1" x14ac:dyDescent="0.35">
      <c r="A164" s="230" t="s">
        <v>27</v>
      </c>
      <c r="B164" s="231"/>
      <c r="C164" s="44"/>
    </row>
    <row r="165" spans="1:4" x14ac:dyDescent="0.3">
      <c r="A165" s="232" t="s">
        <v>28</v>
      </c>
      <c r="B165" s="233"/>
      <c r="C165" s="42"/>
    </row>
    <row r="166" spans="1:4" ht="15" thickBot="1" x14ac:dyDescent="0.35">
      <c r="A166" s="230" t="s">
        <v>29</v>
      </c>
      <c r="B166" s="231"/>
      <c r="C166" s="44"/>
    </row>
    <row r="167" spans="1:4" x14ac:dyDescent="0.3">
      <c r="A167" s="234" t="s">
        <v>30</v>
      </c>
      <c r="B167" s="235"/>
      <c r="C167" s="45"/>
    </row>
    <row r="168" spans="1:4" ht="15" thickBot="1" x14ac:dyDescent="0.35">
      <c r="A168" s="230" t="s">
        <v>31</v>
      </c>
      <c r="B168" s="231"/>
      <c r="C168" s="44"/>
    </row>
    <row r="169" spans="1:4" s="17" customFormat="1" ht="16.2" thickBot="1" x14ac:dyDescent="0.35">
      <c r="A169" s="29">
        <f>IF(RFQ!D16="",0,RFQ!A16)</f>
        <v>13</v>
      </c>
      <c r="B169" s="29" t="str">
        <f>IF(C169=0,0, "FID "&amp;RFQ!C16)</f>
        <v>FID 22.12</v>
      </c>
      <c r="C169" s="37" t="str">
        <f>RFQ!D16</f>
        <v>SX4/SX04: Heavy Duty Cart</v>
      </c>
    </row>
    <row r="170" spans="1:4" x14ac:dyDescent="0.3">
      <c r="A170" s="240" t="s">
        <v>19</v>
      </c>
      <c r="B170" s="241"/>
      <c r="C170" s="30">
        <f>RFQ!E16</f>
        <v>0</v>
      </c>
    </row>
    <row r="171" spans="1:4" x14ac:dyDescent="0.3">
      <c r="A171" s="236" t="s">
        <v>20</v>
      </c>
      <c r="B171" s="237"/>
      <c r="C171" s="34">
        <f>RFQ!F16</f>
        <v>0</v>
      </c>
    </row>
    <row r="172" spans="1:4" x14ac:dyDescent="0.3">
      <c r="A172" s="236" t="s">
        <v>21</v>
      </c>
      <c r="B172" s="237"/>
      <c r="C172" s="34">
        <f>RFQ!G16</f>
        <v>0</v>
      </c>
    </row>
    <row r="173" spans="1:4" x14ac:dyDescent="0.3">
      <c r="A173" s="236" t="s">
        <v>22</v>
      </c>
      <c r="B173" s="237"/>
      <c r="C173" s="34">
        <f>RFQ!K16</f>
        <v>0</v>
      </c>
      <c r="D173" s="19"/>
    </row>
    <row r="174" spans="1:4" ht="15" thickBot="1" x14ac:dyDescent="0.35">
      <c r="A174" s="238" t="s">
        <v>23</v>
      </c>
      <c r="B174" s="239"/>
      <c r="C174" s="31"/>
      <c r="D174" s="19"/>
    </row>
    <row r="175" spans="1:4" ht="15" x14ac:dyDescent="0.35">
      <c r="A175" s="232" t="s">
        <v>24</v>
      </c>
      <c r="B175" s="233"/>
      <c r="C175" s="42"/>
      <c r="D175" s="20"/>
    </row>
    <row r="176" spans="1:4" ht="15.6" thickBot="1" x14ac:dyDescent="0.4">
      <c r="A176" s="230" t="s">
        <v>25</v>
      </c>
      <c r="B176" s="231"/>
      <c r="C176" s="44"/>
      <c r="D176" s="20"/>
    </row>
    <row r="177" spans="1:3" x14ac:dyDescent="0.3">
      <c r="A177" s="232" t="s">
        <v>26</v>
      </c>
      <c r="B177" s="233"/>
      <c r="C177" s="42"/>
    </row>
    <row r="178" spans="1:3" ht="15" thickBot="1" x14ac:dyDescent="0.35">
      <c r="A178" s="230" t="s">
        <v>27</v>
      </c>
      <c r="B178" s="231"/>
      <c r="C178" s="44"/>
    </row>
    <row r="179" spans="1:3" x14ac:dyDescent="0.3">
      <c r="A179" s="232" t="s">
        <v>28</v>
      </c>
      <c r="B179" s="233"/>
      <c r="C179" s="42"/>
    </row>
    <row r="180" spans="1:3" ht="15" thickBot="1" x14ac:dyDescent="0.35">
      <c r="A180" s="230" t="s">
        <v>29</v>
      </c>
      <c r="B180" s="231"/>
      <c r="C180" s="44"/>
    </row>
    <row r="181" spans="1:3" x14ac:dyDescent="0.3">
      <c r="A181" s="234" t="s">
        <v>30</v>
      </c>
      <c r="B181" s="235"/>
      <c r="C181" s="45"/>
    </row>
    <row r="182" spans="1:3" ht="15" thickBot="1" x14ac:dyDescent="0.35">
      <c r="A182" s="230" t="s">
        <v>31</v>
      </c>
      <c r="B182" s="231"/>
      <c r="C182" s="44"/>
    </row>
  </sheetData>
  <sheetProtection formatRows="0" insertRows="0"/>
  <customSheetViews>
    <customSheetView guid="{056DF672-C699-49F3-9F8F-FF611E6486A3}" showPageBreaks="1" printArea="1" topLeftCell="A685">
      <selection activeCell="J795" sqref="J795"/>
      <pageMargins left="0" right="0" top="0" bottom="0" header="0" footer="0"/>
      <pageSetup fitToHeight="100" orientation="landscape" r:id="rId1"/>
    </customSheetView>
    <customSheetView guid="{68E7B74C-C3B2-4B0B-8DBB-C6EB7678BF05}" topLeftCell="A685">
      <selection activeCell="J795" sqref="J795"/>
      <pageMargins left="0" right="0" top="0" bottom="0" header="0" footer="0"/>
      <pageSetup fitToHeight="100" orientation="landscape" r:id="rId2"/>
    </customSheetView>
  </customSheetViews>
  <mergeCells count="169">
    <mergeCell ref="A27:B27"/>
    <mergeCell ref="A28:B28"/>
    <mergeCell ref="A21:B21"/>
    <mergeCell ref="A22:B22"/>
    <mergeCell ref="A23:B23"/>
    <mergeCell ref="A35:B35"/>
    <mergeCell ref="A36:B36"/>
    <mergeCell ref="A37:B37"/>
    <mergeCell ref="A38:B38"/>
    <mergeCell ref="A39:B39"/>
    <mergeCell ref="A30:B30"/>
    <mergeCell ref="A31:B31"/>
    <mergeCell ref="A32:B32"/>
    <mergeCell ref="A33:B33"/>
    <mergeCell ref="A34:B34"/>
    <mergeCell ref="A7:B7"/>
    <mergeCell ref="A8:B8"/>
    <mergeCell ref="A10:B10"/>
    <mergeCell ref="A9:B9"/>
    <mergeCell ref="A11:B11"/>
    <mergeCell ref="A2:B2"/>
    <mergeCell ref="A3:B3"/>
    <mergeCell ref="A4:B4"/>
    <mergeCell ref="A5:B5"/>
    <mergeCell ref="A6:B6"/>
    <mergeCell ref="A46:B46"/>
    <mergeCell ref="A47:B47"/>
    <mergeCell ref="A48:B48"/>
    <mergeCell ref="A49:B49"/>
    <mergeCell ref="A50:B50"/>
    <mergeCell ref="A40:B40"/>
    <mergeCell ref="A41:B41"/>
    <mergeCell ref="A42:B42"/>
    <mergeCell ref="A44:B44"/>
    <mergeCell ref="A45:B45"/>
    <mergeCell ref="A56:B56"/>
    <mergeCell ref="A58:B58"/>
    <mergeCell ref="A59:B59"/>
    <mergeCell ref="A60:B60"/>
    <mergeCell ref="A61:B61"/>
    <mergeCell ref="A51:B51"/>
    <mergeCell ref="A52:B52"/>
    <mergeCell ref="A53:B53"/>
    <mergeCell ref="A54:B54"/>
    <mergeCell ref="A55:B55"/>
    <mergeCell ref="A24:B24"/>
    <mergeCell ref="A12:B12"/>
    <mergeCell ref="A13:B13"/>
    <mergeCell ref="A14:B14"/>
    <mergeCell ref="A25:B25"/>
    <mergeCell ref="A26:B26"/>
    <mergeCell ref="A16:B16"/>
    <mergeCell ref="A17:B17"/>
    <mergeCell ref="A18:B18"/>
    <mergeCell ref="A19:B19"/>
    <mergeCell ref="A20:B20"/>
    <mergeCell ref="A67:B67"/>
    <mergeCell ref="A68:B68"/>
    <mergeCell ref="A69:B69"/>
    <mergeCell ref="A70:B70"/>
    <mergeCell ref="A72:B72"/>
    <mergeCell ref="A62:B62"/>
    <mergeCell ref="A63:B63"/>
    <mergeCell ref="A64:B64"/>
    <mergeCell ref="A65:B65"/>
    <mergeCell ref="A66:B66"/>
    <mergeCell ref="A78:B78"/>
    <mergeCell ref="A79:B79"/>
    <mergeCell ref="A80:B80"/>
    <mergeCell ref="A81:B81"/>
    <mergeCell ref="A82:B82"/>
    <mergeCell ref="A73:B73"/>
    <mergeCell ref="A74:B74"/>
    <mergeCell ref="A75:B75"/>
    <mergeCell ref="A76:B76"/>
    <mergeCell ref="A77:B77"/>
    <mergeCell ref="A89:B89"/>
    <mergeCell ref="A90:B90"/>
    <mergeCell ref="A91:B91"/>
    <mergeCell ref="A92:B92"/>
    <mergeCell ref="A93:B93"/>
    <mergeCell ref="A83:B83"/>
    <mergeCell ref="A84:B84"/>
    <mergeCell ref="A86:B86"/>
    <mergeCell ref="A87:B87"/>
    <mergeCell ref="A88:B88"/>
    <mergeCell ref="A100:B100"/>
    <mergeCell ref="A101:B101"/>
    <mergeCell ref="A102:B102"/>
    <mergeCell ref="A103:B103"/>
    <mergeCell ref="A104:B104"/>
    <mergeCell ref="A94:B94"/>
    <mergeCell ref="A95:B95"/>
    <mergeCell ref="A96:B96"/>
    <mergeCell ref="A97:B97"/>
    <mergeCell ref="A98:B98"/>
    <mergeCell ref="A110:B110"/>
    <mergeCell ref="A111:B111"/>
    <mergeCell ref="A112:B112"/>
    <mergeCell ref="A114:B114"/>
    <mergeCell ref="A115:B115"/>
    <mergeCell ref="A105:B105"/>
    <mergeCell ref="A106:B106"/>
    <mergeCell ref="A107:B107"/>
    <mergeCell ref="A108:B108"/>
    <mergeCell ref="A109:B109"/>
    <mergeCell ref="A128:B128"/>
    <mergeCell ref="A126:B126"/>
    <mergeCell ref="A121:B121"/>
    <mergeCell ref="A122:B122"/>
    <mergeCell ref="A123:B123"/>
    <mergeCell ref="A124:B124"/>
    <mergeCell ref="A125:B125"/>
    <mergeCell ref="A116:B116"/>
    <mergeCell ref="A117:B117"/>
    <mergeCell ref="A118:B118"/>
    <mergeCell ref="A119:B119"/>
    <mergeCell ref="A120:B120"/>
    <mergeCell ref="A134:B134"/>
    <mergeCell ref="A135:B135"/>
    <mergeCell ref="A136:B136"/>
    <mergeCell ref="A137:B137"/>
    <mergeCell ref="A138:B138"/>
    <mergeCell ref="A129:B129"/>
    <mergeCell ref="A130:B130"/>
    <mergeCell ref="A131:B131"/>
    <mergeCell ref="A132:B132"/>
    <mergeCell ref="A133:B133"/>
    <mergeCell ref="A145:B145"/>
    <mergeCell ref="A146:B146"/>
    <mergeCell ref="A147:B147"/>
    <mergeCell ref="A148:B148"/>
    <mergeCell ref="A149:B149"/>
    <mergeCell ref="A139:B139"/>
    <mergeCell ref="A140:B140"/>
    <mergeCell ref="A142:B142"/>
    <mergeCell ref="A143:B143"/>
    <mergeCell ref="A144:B144"/>
    <mergeCell ref="A156:B156"/>
    <mergeCell ref="A157:B157"/>
    <mergeCell ref="A158:B158"/>
    <mergeCell ref="A159:B159"/>
    <mergeCell ref="A160:B160"/>
    <mergeCell ref="A150:B150"/>
    <mergeCell ref="A151:B151"/>
    <mergeCell ref="A152:B152"/>
    <mergeCell ref="A153:B153"/>
    <mergeCell ref="A154:B154"/>
    <mergeCell ref="A166:B166"/>
    <mergeCell ref="A167:B167"/>
    <mergeCell ref="A168:B168"/>
    <mergeCell ref="A170:B170"/>
    <mergeCell ref="A171:B171"/>
    <mergeCell ref="A161:B161"/>
    <mergeCell ref="A162:B162"/>
    <mergeCell ref="A163:B163"/>
    <mergeCell ref="A164:B164"/>
    <mergeCell ref="A165:B165"/>
    <mergeCell ref="A182:B182"/>
    <mergeCell ref="A177:B177"/>
    <mergeCell ref="A178:B178"/>
    <mergeCell ref="A179:B179"/>
    <mergeCell ref="A180:B180"/>
    <mergeCell ref="A181:B181"/>
    <mergeCell ref="A172:B172"/>
    <mergeCell ref="A173:B173"/>
    <mergeCell ref="A174:B174"/>
    <mergeCell ref="A175:B175"/>
    <mergeCell ref="A176:B176"/>
  </mergeCells>
  <conditionalFormatting sqref="A1:C1">
    <cfRule type="cellIs" dxfId="25" priority="525" operator="notEqual">
      <formula>0</formula>
    </cfRule>
    <cfRule type="cellIs" dxfId="24" priority="526" operator="equal">
      <formula>0</formula>
    </cfRule>
  </conditionalFormatting>
  <conditionalFormatting sqref="A15:C15">
    <cfRule type="cellIs" dxfId="23" priority="157" operator="notEqual">
      <formula>0</formula>
    </cfRule>
    <cfRule type="cellIs" dxfId="22" priority="158" operator="equal">
      <formula>0</formula>
    </cfRule>
  </conditionalFormatting>
  <conditionalFormatting sqref="A29:C29">
    <cfRule type="cellIs" dxfId="21" priority="155" operator="notEqual">
      <formula>0</formula>
    </cfRule>
    <cfRule type="cellIs" dxfId="20" priority="156" operator="equal">
      <formula>0</formula>
    </cfRule>
  </conditionalFormatting>
  <conditionalFormatting sqref="A43:C43">
    <cfRule type="cellIs" dxfId="19" priority="153" operator="notEqual">
      <formula>0</formula>
    </cfRule>
    <cfRule type="cellIs" dxfId="18" priority="154" operator="equal">
      <formula>0</formula>
    </cfRule>
  </conditionalFormatting>
  <conditionalFormatting sqref="A57:C57">
    <cfRule type="cellIs" dxfId="17" priority="151" operator="notEqual">
      <formula>0</formula>
    </cfRule>
    <cfRule type="cellIs" dxfId="16" priority="152" operator="equal">
      <formula>0</formula>
    </cfRule>
  </conditionalFormatting>
  <conditionalFormatting sqref="A71:C71">
    <cfRule type="cellIs" dxfId="15" priority="149" operator="notEqual">
      <formula>0</formula>
    </cfRule>
    <cfRule type="cellIs" dxfId="14" priority="150" operator="equal">
      <formula>0</formula>
    </cfRule>
  </conditionalFormatting>
  <conditionalFormatting sqref="A85:C85">
    <cfRule type="cellIs" dxfId="13" priority="299" operator="notEqual">
      <formula>0</formula>
    </cfRule>
    <cfRule type="cellIs" dxfId="12" priority="300" operator="equal">
      <formula>0</formula>
    </cfRule>
  </conditionalFormatting>
  <conditionalFormatting sqref="A99:C99">
    <cfRule type="cellIs" dxfId="11" priority="147" operator="notEqual">
      <formula>0</formula>
    </cfRule>
    <cfRule type="cellIs" dxfId="10" priority="148" operator="equal">
      <formula>0</formula>
    </cfRule>
  </conditionalFormatting>
  <conditionalFormatting sqref="A113:C113">
    <cfRule type="cellIs" dxfId="9" priority="145" operator="notEqual">
      <formula>0</formula>
    </cfRule>
    <cfRule type="cellIs" dxfId="8" priority="146" operator="equal">
      <formula>0</formula>
    </cfRule>
  </conditionalFormatting>
  <conditionalFormatting sqref="A127:C127">
    <cfRule type="cellIs" dxfId="7" priority="141" operator="notEqual">
      <formula>0</formula>
    </cfRule>
    <cfRule type="cellIs" dxfId="6" priority="142" operator="equal">
      <formula>0</formula>
    </cfRule>
  </conditionalFormatting>
  <conditionalFormatting sqref="A141:C141">
    <cfRule type="cellIs" dxfId="5" priority="139" operator="notEqual">
      <formula>0</formula>
    </cfRule>
    <cfRule type="cellIs" dxfId="4" priority="140" operator="equal">
      <formula>0</formula>
    </cfRule>
  </conditionalFormatting>
  <conditionalFormatting sqref="A155:C155">
    <cfRule type="cellIs" dxfId="3" priority="137" operator="notEqual">
      <formula>0</formula>
    </cfRule>
    <cfRule type="cellIs" dxfId="2" priority="138" operator="equal">
      <formula>0</formula>
    </cfRule>
  </conditionalFormatting>
  <conditionalFormatting sqref="A169:C169">
    <cfRule type="cellIs" dxfId="1" priority="135" operator="notEqual">
      <formula>0</formula>
    </cfRule>
    <cfRule type="cellIs" dxfId="0" priority="136" operator="equal">
      <formula>0</formula>
    </cfRule>
  </conditionalFormatting>
  <pageMargins left="1.2" right="1.2" top="0.75" bottom="0.75" header="0.3" footer="0.3"/>
  <pageSetup fitToHeight="100" orientation="landscape"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5faeaeb-9648-4078-8833-6667cc77c12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B35D9B2D8BC23439A42548586E111E5" ma:contentTypeVersion="16" ma:contentTypeDescription="Create a new document." ma:contentTypeScope="" ma:versionID="d897cc7e6309a44859f95fa821692b55">
  <xsd:schema xmlns:xsd="http://www.w3.org/2001/XMLSchema" xmlns:xs="http://www.w3.org/2001/XMLSchema" xmlns:p="http://schemas.microsoft.com/office/2006/metadata/properties" xmlns:ns3="75faeaeb-9648-4078-8833-6667cc77c122" xmlns:ns4="100d0c95-168f-48fe-8be4-ebcea0ff7913" targetNamespace="http://schemas.microsoft.com/office/2006/metadata/properties" ma:root="true" ma:fieldsID="9674e43106ebb26b6a47595994c039a3" ns3:_="" ns4:_="">
    <xsd:import namespace="75faeaeb-9648-4078-8833-6667cc77c122"/>
    <xsd:import namespace="100d0c95-168f-48fe-8be4-ebcea0ff7913"/>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ServiceLocation" minOccurs="0"/>
                <xsd:element ref="ns3:MediaServiceSearchProperties" minOccurs="0"/>
                <xsd:element ref="ns3:_activity"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faeaeb-9648-4078-8833-6667cc77c1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activity" ma:index="22" nillable="true" ma:displayName="_activity" ma:hidden="true" ma:internalName="_activity">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d0c95-168f-48fe-8be4-ebcea0ff79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02F9C6-5C87-4777-B8CE-18907F8BEADD}">
  <ds:schemaRefs>
    <ds:schemaRef ds:uri="http://schemas.microsoft.com/office/infopath/2007/PartnerControls"/>
    <ds:schemaRef ds:uri="http://schemas.microsoft.com/office/2006/documentManagement/types"/>
    <ds:schemaRef ds:uri="http://purl.org/dc/dcmitype/"/>
    <ds:schemaRef ds:uri="75faeaeb-9648-4078-8833-6667cc77c122"/>
    <ds:schemaRef ds:uri="http://schemas.microsoft.com/office/2006/metadata/properties"/>
    <ds:schemaRef ds:uri="http://purl.org/dc/elements/1.1/"/>
    <ds:schemaRef ds:uri="http://schemas.openxmlformats.org/package/2006/metadata/core-properties"/>
    <ds:schemaRef ds:uri="100d0c95-168f-48fe-8be4-ebcea0ff7913"/>
    <ds:schemaRef ds:uri="http://www.w3.org/XML/1998/namespace"/>
    <ds:schemaRef ds:uri="http://purl.org/dc/terms/"/>
  </ds:schemaRefs>
</ds:datastoreItem>
</file>

<file path=customXml/itemProps2.xml><?xml version="1.0" encoding="utf-8"?>
<ds:datastoreItem xmlns:ds="http://schemas.openxmlformats.org/officeDocument/2006/customXml" ds:itemID="{B4D25509-4B91-482F-9908-60812C4F7D65}">
  <ds:schemaRefs>
    <ds:schemaRef ds:uri="http://schemas.microsoft.com/sharepoint/v3/contenttype/forms"/>
  </ds:schemaRefs>
</ds:datastoreItem>
</file>

<file path=customXml/itemProps3.xml><?xml version="1.0" encoding="utf-8"?>
<ds:datastoreItem xmlns:ds="http://schemas.openxmlformats.org/officeDocument/2006/customXml" ds:itemID="{A0B841C3-2D63-4FE3-8967-8739C29B1A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faeaeb-9648-4078-8833-6667cc77c122"/>
    <ds:schemaRef ds:uri="100d0c95-168f-48fe-8be4-ebcea0ff79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Instructions</vt:lpstr>
      <vt:lpstr>Prep Tab</vt:lpstr>
      <vt:lpstr>RFQ</vt:lpstr>
      <vt:lpstr>Tech Eval HNC USE ONLY</vt:lpstr>
      <vt:lpstr>RFQ!Print_Area</vt:lpstr>
      <vt:lpstr>'Tech Eval HNC USE ONLY'!Print_Area</vt:lpstr>
      <vt:lpstr>RFQ!Print_Titles</vt:lpstr>
    </vt:vector>
  </TitlesOfParts>
  <Manager/>
  <Company>United States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Keller, Elizabeth E (Betsy) CIV USARMY CEHNC (USA)</dc:creator>
  <cp:keywords/>
  <dc:description/>
  <cp:lastModifiedBy>Hayes, Teddy O CIV USARMY CEHNC (USA)</cp:lastModifiedBy>
  <cp:revision/>
  <cp:lastPrinted>2026-04-13T19:52:49Z</cp:lastPrinted>
  <dcterms:created xsi:type="dcterms:W3CDTF">2019-04-08T19:42:10Z</dcterms:created>
  <dcterms:modified xsi:type="dcterms:W3CDTF">2026-04-13T19:52:59Z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0x0101005B35D9B2D8BC23439A42548586E111E5</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