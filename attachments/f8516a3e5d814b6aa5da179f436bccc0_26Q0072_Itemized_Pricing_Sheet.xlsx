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https://flankspeed.sharepoint-mil.us/sites/SWRMCCode410A/Shared Documents/SAP_LLTM/26Q0072_YRBM-29 Void Cleaning/C.Solicitation/2.Solicitation/"/>
    </mc:Choice>
  </mc:AlternateContent>
  <xr:revisionPtr revIDLastSave="21" documentId="8_{6AB1F437-3017-4074-8109-2F2BEAF7951B}" xr6:coauthVersionLast="47" xr6:coauthVersionMax="47" xr10:uidLastSave="{8A3F50D3-65DE-4EBE-80AF-B69FA89C5858}"/>
  <bookViews>
    <workbookView xWindow="-120" yWindow="90" windowWidth="29040" windowHeight="15510" xr2:uid="{00000000-000D-0000-FFFF-FFFF00000000}"/>
  </bookViews>
  <sheets>
    <sheet name="Sheet1" sheetId="1" r:id="rId1"/>
  </sheets>
  <definedNames>
    <definedName name="_xlnm.Print_Area" localSheetId="0">Sheet1!$A$1:$F$38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6" i="1" l="1"/>
  <c r="F27" i="1" s="1"/>
  <c r="F25" i="1"/>
  <c r="C16" i="1" l="1"/>
  <c r="C12" i="1" l="1"/>
  <c r="C20" i="1"/>
  <c r="E20" i="1" l="1"/>
  <c r="E16" i="1" l="1"/>
  <c r="E12" i="1" l="1"/>
  <c r="E22" i="1" s="1"/>
</calcChain>
</file>

<file path=xl/sharedStrings.xml><?xml version="1.0" encoding="utf-8"?>
<sst xmlns="http://schemas.openxmlformats.org/spreadsheetml/2006/main" count="61" uniqueCount="48">
  <si>
    <t>SCOPE SHEET</t>
  </si>
  <si>
    <t>CONTRACT:</t>
  </si>
  <si>
    <t xml:space="preserve">TANK AND BILGE CLEANING </t>
  </si>
  <si>
    <t>CONTRACT NO.:</t>
  </si>
  <si>
    <t xml:space="preserve">D.O. </t>
  </si>
  <si>
    <t>CONTRACTOR:</t>
  </si>
  <si>
    <t>SHIP:</t>
  </si>
  <si>
    <t>YRBM-29</t>
  </si>
  <si>
    <t>LOCATION:</t>
  </si>
  <si>
    <t>NAVY REGION SOUTHWEST</t>
  </si>
  <si>
    <t>JSN</t>
  </si>
  <si>
    <t>LOCATION</t>
  </si>
  <si>
    <t>EA</t>
  </si>
  <si>
    <t>UNIT PRICE</t>
  </si>
  <si>
    <t>EXT PRICE</t>
  </si>
  <si>
    <t>WORK REQUEST N43-003</t>
  </si>
  <si>
    <t xml:space="preserve">          3-5-0-V, VOID: 25,000 GALLONS VOID CAPACITY
           ESTIMATED VOLUME OF LIQUID INSIDE THE VOID: 3,500 GALLONS 
SEE NOTES 1 THRU 4 </t>
  </si>
  <si>
    <t>ITEMIZED PRICING:   0001
PROVIDE SERVICES AND MATERIAL TO EMPTY, CLEAN AND MAKE GAS FREE THE FUEL OIL STORAGE TANK, TO INCLUDE INITIAL "SAFE FOR WORKERS" CERTIFICATION, NEW TANK AND VOID COVER GASKETS IN ACCORDANCE WITH THE STATEMENT OF WORK</t>
  </si>
  <si>
    <t>GAL</t>
  </si>
  <si>
    <t>ITEMIZED PRICING: 0002                                         
PROVIDE LABOR, SERVICES, EQUIPMENT AND MATERIALS FOR THE OFFLOAD, TRANSPORTATION AND DISPOSAL OF LIQUID WASTE REMAINING IN THE TANK AT OPENING AND OTHER LIQUID WASTE, SOLIDS WASTE, HAZARDOUS WASTE, NON-HAZARDOUS WASTE, DUST AND DEBRIS GENERATED DURING THE EXECUTION OF THE TANK EMPTYING, GAS FREE, AND DISPOSAL OPERATIONS IN ACCORDANCE WITH THE STATEMENT OF WORK</t>
  </si>
  <si>
    <t>ITEMIZED PRICING:   0003
PROVIDE LABOR, SERVICES, EQUIPMENT, AND MATERIAL TO PROVIDE GAS FREE CERTIFICATION OF THE VOID (SAFE FOR MAN) IN ACCORDANCE WITH THE STATEMENT OF WORK. MARINE CHEMIST TO CERTIFY THE VOID AS SAFE FOR MAN ACCORDANCE WITH THE STATEMENT OF WORK</t>
  </si>
  <si>
    <t>TOTAL:</t>
  </si>
  <si>
    <r>
      <rPr>
        <b/>
        <sz val="10"/>
        <rFont val="Times New Roman"/>
        <family val="1"/>
      </rPr>
      <t>OVER AND ABOVE - LABOR AND MATERIALS:</t>
    </r>
    <r>
      <rPr>
        <sz val="10"/>
        <rFont val="Times New Roman"/>
        <family val="1"/>
      </rPr>
      <t xml:space="preserve">  
It is anticipated that additional work may become necessary during the contract performance.  .  The estimated quantity and estimated per unit of issue of the additional labor hours, materials cost, and materials handling fee shall be negotiated and authorized by the Contracting Officer prior to the awarding of the Ourchase Order or modification(s) to an awarded Purchase Order.</t>
    </r>
  </si>
  <si>
    <t>ESTIMATED AMOUNT</t>
  </si>
  <si>
    <t>UNIT OF ISSUE</t>
  </si>
  <si>
    <t>ESTIMATED PRICE PER UNIT OF ISSUE</t>
  </si>
  <si>
    <t>TOTAL</t>
  </si>
  <si>
    <t>ITEMIZED PRICING: 0004</t>
  </si>
  <si>
    <r>
      <rPr>
        <b/>
        <sz val="10"/>
        <rFont val="Times New Roman"/>
        <family val="1"/>
      </rPr>
      <t xml:space="preserve">                ADDITIONAL WORK - LABOR                                                                                                           
</t>
    </r>
    <r>
      <rPr>
        <sz val="10"/>
        <rFont val="Times New Roman"/>
        <family val="1"/>
      </rPr>
      <t>NOTE: For contract changes involving Prime contractor additional labor hours.  The offeror’ s proposed fully burdened labor rate is a fixed hourly rate that includes all wages, overhead, all other indirect costs, general and administrative expenses, Facilities Capital Cost of Money (FCCOM), and profit. The fully burdened labor rate represents a blended rate including labor transferred between divisions, subsidiaries, or affiliates of the offeror under a common control.</t>
    </r>
  </si>
  <si>
    <t>HR</t>
  </si>
  <si>
    <t>ITEMIZED PRICING: 0005</t>
  </si>
  <si>
    <r>
      <rPr>
        <b/>
        <sz val="10"/>
        <rFont val="Times New Roman"/>
        <family val="1"/>
      </rPr>
      <t xml:space="preserve">             ADDITIONAL WORK - MATERIALS </t>
    </r>
    <r>
      <rPr>
        <sz val="10"/>
        <rFont val="Times New Roman"/>
        <family val="1"/>
      </rPr>
      <t xml:space="preserve">
Note: For contract changes involving Prime contractor additional materials and subcontractors labor/services/materials.  The Prime contractor additional materials and subcontractors labor/services/materials shall be treated as Other Direct Costs (ODCs) and shall be subject to the contract material handling fee rate. Additional materials and subcontractor labor/services/materials must be competitively acquired and submitted with the Prime contractor’s Change Order Price Analysis (COPA) in response to a contract and/or Delivery Order modification issued by the Contracting Officer. At no time will the proposed amount materials and services to be performed by the Prime contractor combined with subcontractor labor/services/materials and not  be allowed to cost more than it would have, had the prime contractor directly provided all labor/services/material. </t>
    </r>
  </si>
  <si>
    <t>DOLLARS, US</t>
  </si>
  <si>
    <t>ITEMIZED PRICING: 0006</t>
  </si>
  <si>
    <r>
      <rPr>
        <b/>
        <sz val="10"/>
        <rFont val="Times New Roman"/>
        <family val="1"/>
      </rPr>
      <t xml:space="preserve">               ADDITIONAL WORK - MATERIALS HANDLING FEE</t>
    </r>
    <r>
      <rPr>
        <sz val="10"/>
        <rFont val="Times New Roman"/>
        <family val="1"/>
      </rPr>
      <t xml:space="preserve">
Note: Offeror shall propose a material handling fee rate of  ______% to be applied to ITEMIZED PRICING: 0005.</t>
    </r>
  </si>
  <si>
    <t>LOT</t>
  </si>
  <si>
    <t>MILESTONE EVENT</t>
  </si>
  <si>
    <t>DATE</t>
  </si>
  <si>
    <t>1. Purchase Order Start Date:</t>
  </si>
  <si>
    <t>2. Void Gas Free Certification "Safe for Man" NLT or sooner :</t>
  </si>
  <si>
    <t>3. Empty, Cleaning and Gas Free Certification "Safe for Man" NLT or sooner:</t>
  </si>
  <si>
    <t>12 - 14 MAY 2026</t>
  </si>
  <si>
    <t>4. Purchase Order End Date:</t>
  </si>
  <si>
    <t>NOTES:</t>
  </si>
  <si>
    <t xml:space="preserve">1.  The Contractor shall provide all management, administrative services, materials, tools, equipment, labor, rigging, services, crane services, gas free services, scaffolding, utilities (i.e. air, water and electricity, etc.) and required services and support to accomplish the work specified in this contract in accordance with the requirements of the contract, the references of the Statement Of Work (SOW), and the ITEMIZED PRICING listed in the scope of work. </t>
  </si>
  <si>
    <t xml:space="preserve">2.  The Contractor shall perform the requirements of this contract in accordance with the Statement Of Work (SOW),  references C.1.1 (a) through C.1.1.(ai), and the requirements of the ELINS listed in the scope of work. </t>
  </si>
  <si>
    <t>3.  The Contractor shall return to the Government the remaining amount of the estimated volume of liquid not removed (drained and dispose) under Itemized Pricing 0002 during the performance of this contract.</t>
  </si>
  <si>
    <t xml:space="preserve">4.  Fuel Oil Storage Tank access is thru Void 3-5-0-V Void.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</si>
</sst>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_);[Red]\(&quot;$&quot;#,##0.00\)"/>
    <numFmt numFmtId="44" formatCode="_(&quot;$&quot;* #,##0.00_);_(&quot;$&quot;* \(#,##0.00\);_(&quot;$&quot;* &quot;-&quot;??_);_(@_)"/>
    <numFmt numFmtId="43" formatCode="_(* #,##0.00_);_(* \(#,##0.00\);_(* &quot;-&quot;??_);_(@_)"/>
    <numFmt numFmtId="164" formatCode="mm/dd/yy"/>
    <numFmt numFmtId="165" formatCode="&quot;$&quot;#,##0.00"/>
    <numFmt numFmtId="166" formatCode="[$-409]d\-mmm\-yyyy;@"/>
  </numFmts>
  <fonts count="9" x14ac:knownFonts="1">
    <font>
      <sz val="10"/>
      <name val="Arial"/>
    </font>
    <font>
      <sz val="10"/>
      <name val="Arial"/>
      <family val="2"/>
    </font>
    <font>
      <sz val="10"/>
      <name val="Times New Roman"/>
      <family val="1"/>
    </font>
    <font>
      <sz val="11"/>
      <name val="Times New Roman"/>
      <family val="1"/>
    </font>
    <font>
      <sz val="11"/>
      <name val="Arial"/>
      <family val="2"/>
    </font>
    <font>
      <sz val="18"/>
      <name val="Times New Roman"/>
      <family val="1"/>
    </font>
    <font>
      <b/>
      <sz val="10"/>
      <name val="Times New Roman"/>
      <family val="1"/>
    </font>
    <font>
      <sz val="10"/>
      <color theme="1"/>
      <name val="Times New Roman"/>
      <family val="1"/>
    </font>
    <font>
      <sz val="10"/>
      <name val="Arial"/>
      <family val="2"/>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11">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s>
  <cellStyleXfs count="6">
    <xf numFmtId="0" fontId="0" fillId="0" borderId="0"/>
    <xf numFmtId="44" fontId="1" fillId="0" borderId="0" applyFont="0" applyFill="0" applyBorder="0" applyAlignment="0" applyProtection="0"/>
    <xf numFmtId="0" fontId="1" fillId="0" borderId="0"/>
    <xf numFmtId="9" fontId="8"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71">
    <xf numFmtId="0" fontId="0" fillId="0" borderId="0" xfId="0"/>
    <xf numFmtId="0" fontId="2" fillId="2" borderId="0" xfId="0" applyFont="1" applyFill="1" applyAlignment="1">
      <alignment horizontal="center" vertical="center"/>
    </xf>
    <xf numFmtId="0" fontId="2" fillId="2" borderId="0" xfId="0" applyFont="1" applyFill="1" applyAlignment="1">
      <alignment vertical="center"/>
    </xf>
    <xf numFmtId="0" fontId="2" fillId="2" borderId="0" xfId="0" applyFont="1" applyFill="1" applyAlignment="1">
      <alignment horizontal="left" vertical="center"/>
    </xf>
    <xf numFmtId="164" fontId="2" fillId="2" borderId="0" xfId="0" applyNumberFormat="1" applyFont="1" applyFill="1" applyAlignment="1">
      <alignment horizontal="left" vertical="center"/>
    </xf>
    <xf numFmtId="0" fontId="2" fillId="2" borderId="1" xfId="0" applyFont="1" applyFill="1" applyBorder="1" applyAlignment="1">
      <alignment horizontal="center" vertical="center"/>
    </xf>
    <xf numFmtId="3" fontId="2" fillId="2" borderId="1" xfId="0" applyNumberFormat="1" applyFont="1" applyFill="1" applyBorder="1" applyAlignment="1">
      <alignment horizontal="center" vertical="center"/>
    </xf>
    <xf numFmtId="3" fontId="2" fillId="2" borderId="3" xfId="0" applyNumberFormat="1" applyFont="1" applyFill="1" applyBorder="1" applyAlignment="1">
      <alignment horizontal="center" vertical="center"/>
    </xf>
    <xf numFmtId="0" fontId="2" fillId="2" borderId="0" xfId="0" applyFont="1" applyFill="1" applyAlignment="1">
      <alignment vertical="center" wrapText="1"/>
    </xf>
    <xf numFmtId="0" fontId="2" fillId="2" borderId="0" xfId="0" applyFont="1" applyFill="1" applyAlignment="1">
      <alignment horizontal="center" vertical="center" wrapText="1"/>
    </xf>
    <xf numFmtId="0" fontId="2" fillId="2" borderId="1" xfId="0" applyFont="1" applyFill="1" applyBorder="1" applyAlignment="1">
      <alignment horizontal="center" vertical="center" wrapText="1"/>
    </xf>
    <xf numFmtId="0" fontId="2" fillId="2" borderId="0" xfId="0" applyFont="1" applyFill="1" applyAlignment="1">
      <alignment horizontal="left" vertical="center" wrapText="1"/>
    </xf>
    <xf numFmtId="165" fontId="2" fillId="2" borderId="0" xfId="0" applyNumberFormat="1" applyFont="1" applyFill="1" applyAlignment="1">
      <alignment vertical="center"/>
    </xf>
    <xf numFmtId="165" fontId="2" fillId="2" borderId="4" xfId="0" applyNumberFormat="1" applyFont="1" applyFill="1" applyBorder="1" applyAlignment="1">
      <alignment horizontal="center" vertical="center"/>
    </xf>
    <xf numFmtId="165" fontId="2" fillId="2" borderId="1" xfId="1" applyNumberFormat="1" applyFont="1" applyFill="1" applyBorder="1" applyAlignment="1">
      <alignment horizontal="center" vertical="center"/>
    </xf>
    <xf numFmtId="165" fontId="2" fillId="2" borderId="1" xfId="0" applyNumberFormat="1" applyFont="1" applyFill="1" applyBorder="1" applyAlignment="1">
      <alignment horizontal="center" vertical="center"/>
    </xf>
    <xf numFmtId="0" fontId="1" fillId="2" borderId="0" xfId="0" applyFont="1" applyFill="1" applyAlignment="1">
      <alignment vertical="center"/>
    </xf>
    <xf numFmtId="0" fontId="3" fillId="2" borderId="0" xfId="0" applyFont="1" applyFill="1" applyAlignment="1">
      <alignment vertical="center"/>
    </xf>
    <xf numFmtId="3" fontId="2" fillId="2" borderId="0" xfId="0" applyNumberFormat="1" applyFont="1" applyFill="1" applyAlignment="1">
      <alignment horizontal="center" vertical="center"/>
    </xf>
    <xf numFmtId="165" fontId="2" fillId="2" borderId="0" xfId="0" applyNumberFormat="1" applyFont="1" applyFill="1" applyAlignment="1">
      <alignment horizontal="center" vertical="center"/>
    </xf>
    <xf numFmtId="165" fontId="2" fillId="2" borderId="2" xfId="0" applyNumberFormat="1" applyFont="1" applyFill="1" applyBorder="1" applyAlignment="1">
      <alignment horizontal="center" vertical="center"/>
    </xf>
    <xf numFmtId="0" fontId="7" fillId="2" borderId="1" xfId="0" applyFont="1" applyFill="1" applyBorder="1" applyAlignment="1">
      <alignment horizontal="center" vertical="center" wrapText="1"/>
    </xf>
    <xf numFmtId="165" fontId="2" fillId="2" borderId="8" xfId="0" applyNumberFormat="1" applyFont="1" applyFill="1" applyBorder="1" applyAlignment="1">
      <alignment horizontal="center" vertical="center"/>
    </xf>
    <xf numFmtId="165" fontId="2" fillId="2" borderId="9" xfId="0" applyNumberFormat="1" applyFont="1" applyFill="1" applyBorder="1" applyAlignment="1">
      <alignment horizontal="center" vertical="center"/>
    </xf>
    <xf numFmtId="165" fontId="2" fillId="2" borderId="0" xfId="0" applyNumberFormat="1" applyFont="1" applyFill="1" applyAlignment="1">
      <alignment vertical="center" wrapText="1"/>
    </xf>
    <xf numFmtId="0" fontId="3" fillId="2" borderId="0" xfId="0" applyFont="1" applyFill="1"/>
    <xf numFmtId="17" fontId="3" fillId="2" borderId="0" xfId="0" applyNumberFormat="1" applyFont="1" applyFill="1"/>
    <xf numFmtId="165" fontId="2" fillId="2" borderId="0" xfId="1" applyNumberFormat="1" applyFont="1" applyFill="1" applyBorder="1" applyAlignment="1">
      <alignment horizontal="center" vertical="center"/>
    </xf>
    <xf numFmtId="0" fontId="2" fillId="2" borderId="1" xfId="2" applyFont="1" applyFill="1" applyBorder="1" applyAlignment="1">
      <alignment horizontal="center" vertical="center" wrapText="1"/>
    </xf>
    <xf numFmtId="0" fontId="2" fillId="2" borderId="2" xfId="2" applyFont="1" applyFill="1" applyBorder="1" applyAlignment="1">
      <alignment horizontal="center" vertical="center" wrapText="1"/>
    </xf>
    <xf numFmtId="0" fontId="2" fillId="2" borderId="0" xfId="0" applyFont="1" applyFill="1"/>
    <xf numFmtId="0" fontId="2" fillId="0" borderId="0" xfId="0" applyFont="1"/>
    <xf numFmtId="0" fontId="2" fillId="0" borderId="1" xfId="2" applyFont="1" applyBorder="1" applyAlignment="1">
      <alignment horizontal="center" vertical="center" wrapText="1"/>
    </xf>
    <xf numFmtId="0" fontId="2" fillId="0" borderId="10" xfId="2" applyFont="1" applyBorder="1" applyAlignment="1">
      <alignment horizontal="center" vertical="center" wrapText="1"/>
    </xf>
    <xf numFmtId="165" fontId="2" fillId="0" borderId="2" xfId="2" applyNumberFormat="1" applyFont="1" applyBorder="1" applyAlignment="1">
      <alignment horizontal="center" vertical="center" wrapText="1"/>
    </xf>
    <xf numFmtId="43" fontId="2" fillId="0" borderId="9" xfId="2" applyNumberFormat="1" applyFont="1" applyBorder="1" applyAlignment="1">
      <alignment horizontal="center" vertical="center" wrapText="1"/>
    </xf>
    <xf numFmtId="0" fontId="3" fillId="0" borderId="0" xfId="0" applyFont="1"/>
    <xf numFmtId="0" fontId="2" fillId="0" borderId="8" xfId="2" applyFont="1" applyBorder="1" applyAlignment="1">
      <alignment horizontal="center" vertical="center" wrapText="1"/>
    </xf>
    <xf numFmtId="0" fontId="2" fillId="0" borderId="1" xfId="2" applyFont="1" applyBorder="1" applyAlignment="1">
      <alignment vertical="center" wrapText="1"/>
    </xf>
    <xf numFmtId="0" fontId="2" fillId="0" borderId="10" xfId="2" applyFont="1" applyBorder="1" applyAlignment="1">
      <alignment horizontal="left" vertical="center" wrapText="1"/>
    </xf>
    <xf numFmtId="0" fontId="2" fillId="0" borderId="1" xfId="0" applyFont="1" applyBorder="1" applyAlignment="1">
      <alignment horizontal="center" vertical="center"/>
    </xf>
    <xf numFmtId="8" fontId="2" fillId="0" borderId="2" xfId="0" applyNumberFormat="1" applyFont="1" applyBorder="1" applyAlignment="1">
      <alignment horizontal="center" vertical="center"/>
    </xf>
    <xf numFmtId="165" fontId="2" fillId="0" borderId="1" xfId="0" applyNumberFormat="1"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43" fontId="2" fillId="2" borderId="10" xfId="4" applyFont="1" applyFill="1" applyBorder="1" applyAlignment="1">
      <alignment vertical="center" wrapText="1"/>
    </xf>
    <xf numFmtId="0" fontId="5" fillId="2" borderId="0" xfId="0" applyFont="1" applyFill="1" applyAlignment="1">
      <alignment horizontal="center" vertical="center"/>
    </xf>
    <xf numFmtId="165" fontId="2" fillId="2" borderId="5" xfId="0" applyNumberFormat="1" applyFont="1" applyFill="1" applyBorder="1" applyAlignment="1">
      <alignment horizontal="center" vertical="center"/>
    </xf>
    <xf numFmtId="165" fontId="2" fillId="2" borderId="6" xfId="0" applyNumberFormat="1" applyFont="1" applyFill="1" applyBorder="1" applyAlignment="1">
      <alignment horizontal="center" vertical="center"/>
    </xf>
    <xf numFmtId="0" fontId="2" fillId="0" borderId="3" xfId="2" applyFont="1" applyBorder="1" applyAlignment="1">
      <alignment horizontal="center" vertical="center" wrapText="1"/>
    </xf>
    <xf numFmtId="44" fontId="2" fillId="2" borderId="10" xfId="5" applyNumberFormat="1" applyFont="1" applyFill="1" applyBorder="1" applyAlignment="1">
      <alignment horizontal="center" vertical="center" wrapText="1"/>
    </xf>
    <xf numFmtId="165" fontId="2" fillId="2" borderId="1" xfId="1" applyNumberFormat="1" applyFont="1" applyFill="1" applyBorder="1" applyAlignment="1">
      <alignment horizontal="center" vertical="center" wrapText="1"/>
    </xf>
    <xf numFmtId="9" fontId="2" fillId="2" borderId="7" xfId="3" applyFont="1" applyFill="1" applyBorder="1" applyAlignment="1">
      <alignment horizontal="center" vertical="center" wrapText="1"/>
    </xf>
    <xf numFmtId="0" fontId="5" fillId="2" borderId="0" xfId="0" applyFont="1" applyFill="1" applyAlignment="1">
      <alignment horizontal="center" vertical="center"/>
    </xf>
    <xf numFmtId="0" fontId="6" fillId="2" borderId="3" xfId="2" applyFont="1" applyFill="1" applyBorder="1" applyAlignment="1">
      <alignment horizontal="center" vertical="center" wrapText="1"/>
    </xf>
    <xf numFmtId="0" fontId="6" fillId="2" borderId="7" xfId="2" applyFont="1" applyFill="1" applyBorder="1" applyAlignment="1">
      <alignment horizontal="center" vertical="center" wrapText="1"/>
    </xf>
    <xf numFmtId="0" fontId="6" fillId="2" borderId="2" xfId="2" applyFont="1" applyFill="1" applyBorder="1" applyAlignment="1">
      <alignment horizontal="center" vertical="center" wrapText="1"/>
    </xf>
    <xf numFmtId="165" fontId="6" fillId="2" borderId="3" xfId="2" applyNumberFormat="1" applyFont="1" applyFill="1" applyBorder="1" applyAlignment="1">
      <alignment horizontal="center" vertical="center" wrapText="1"/>
    </xf>
    <xf numFmtId="165" fontId="6" fillId="2" borderId="2" xfId="2" applyNumberFormat="1" applyFont="1" applyFill="1" applyBorder="1" applyAlignment="1">
      <alignment horizontal="center" vertical="center" wrapText="1"/>
    </xf>
    <xf numFmtId="0" fontId="2" fillId="2" borderId="3" xfId="2" applyFont="1" applyFill="1" applyBorder="1" applyAlignment="1">
      <alignment horizontal="left" vertical="center" wrapText="1"/>
    </xf>
    <xf numFmtId="0" fontId="2" fillId="2" borderId="7" xfId="2" applyFont="1" applyFill="1" applyBorder="1" applyAlignment="1">
      <alignment horizontal="left" vertical="center" wrapText="1"/>
    </xf>
    <xf numFmtId="0" fontId="2" fillId="2" borderId="2" xfId="2" applyFont="1" applyFill="1" applyBorder="1" applyAlignment="1">
      <alignment horizontal="left" vertical="center" wrapText="1"/>
    </xf>
    <xf numFmtId="166" fontId="2" fillId="3" borderId="3" xfId="2" applyNumberFormat="1" applyFont="1" applyFill="1" applyBorder="1" applyAlignment="1">
      <alignment horizontal="center" vertical="center" wrapText="1"/>
    </xf>
    <xf numFmtId="166" fontId="2" fillId="3" borderId="2" xfId="2" applyNumberFormat="1" applyFont="1" applyFill="1" applyBorder="1" applyAlignment="1">
      <alignment horizontal="center" vertical="center" wrapText="1"/>
    </xf>
    <xf numFmtId="165" fontId="2" fillId="2" borderId="5" xfId="0" applyNumberFormat="1" applyFont="1" applyFill="1" applyBorder="1" applyAlignment="1">
      <alignment horizontal="center" vertical="center"/>
    </xf>
    <xf numFmtId="165" fontId="2" fillId="2" borderId="6" xfId="0" applyNumberFormat="1" applyFont="1" applyFill="1" applyBorder="1" applyAlignment="1">
      <alignment horizontal="center" vertical="center"/>
    </xf>
    <xf numFmtId="0" fontId="2" fillId="0" borderId="3" xfId="2" applyFont="1" applyBorder="1" applyAlignment="1">
      <alignment horizontal="center" vertical="center" wrapText="1"/>
    </xf>
    <xf numFmtId="0" fontId="2" fillId="0" borderId="2" xfId="2" applyFont="1" applyBorder="1" applyAlignment="1">
      <alignment horizontal="center" vertical="center" wrapText="1"/>
    </xf>
    <xf numFmtId="0" fontId="3" fillId="2" borderId="0" xfId="0" applyFont="1" applyFill="1" applyAlignment="1">
      <alignment horizontal="left" vertical="center" wrapText="1"/>
    </xf>
    <xf numFmtId="0" fontId="3" fillId="2" borderId="0" xfId="2" applyFont="1" applyFill="1" applyAlignment="1">
      <alignment vertical="top" wrapText="1"/>
    </xf>
    <xf numFmtId="0" fontId="4" fillId="2" borderId="0" xfId="0" applyFont="1" applyFill="1" applyAlignment="1">
      <alignment horizontal="left" vertical="center" wrapText="1"/>
    </xf>
  </cellXfs>
  <cellStyles count="6">
    <cellStyle name="Comma 2" xfId="4" xr:uid="{00000000-0005-0000-0000-000000000000}"/>
    <cellStyle name="Currency" xfId="1" builtinId="4"/>
    <cellStyle name="Normal" xfId="0" builtinId="0"/>
    <cellStyle name="Normal 2" xfId="2" xr:uid="{00000000-0005-0000-0000-000003000000}"/>
    <cellStyle name="Percent" xfId="3" builtinId="5"/>
    <cellStyle name="Percent 2" xfId="5" xr:uid="{00000000-0005-0000-0000-000005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8"/>
  <sheetViews>
    <sheetView tabSelected="1" zoomScale="85" zoomScaleNormal="85" zoomScaleSheetLayoutView="100" workbookViewId="0">
      <selection activeCell="B22" sqref="B22"/>
    </sheetView>
  </sheetViews>
  <sheetFormatPr defaultColWidth="8.85546875" defaultRowHeight="12.75" x14ac:dyDescent="0.2"/>
  <cols>
    <col min="1" max="1" width="16" style="2" customWidth="1"/>
    <col min="2" max="2" width="41.42578125" style="8" customWidth="1"/>
    <col min="3" max="3" width="12.42578125" style="1" customWidth="1"/>
    <col min="4" max="4" width="12.42578125" style="12" customWidth="1"/>
    <col min="5" max="5" width="12.7109375" style="12" customWidth="1"/>
    <col min="6" max="6" width="9.85546875" style="2" customWidth="1"/>
    <col min="7" max="16384" width="8.85546875" style="2"/>
  </cols>
  <sheetData>
    <row r="1" spans="1:5" ht="23.25" x14ac:dyDescent="0.2">
      <c r="A1" s="53" t="s">
        <v>0</v>
      </c>
      <c r="B1" s="53"/>
      <c r="C1" s="53"/>
      <c r="D1" s="53"/>
      <c r="E1" s="53"/>
    </row>
    <row r="2" spans="1:5" ht="18" customHeight="1" x14ac:dyDescent="0.2">
      <c r="A2" s="46"/>
      <c r="B2" s="46"/>
      <c r="C2" s="46"/>
      <c r="D2" s="46"/>
      <c r="E2" s="46"/>
    </row>
    <row r="3" spans="1:5" ht="18" customHeight="1" x14ac:dyDescent="0.2">
      <c r="A3" s="2" t="s">
        <v>1</v>
      </c>
      <c r="B3" s="8" t="s">
        <v>2</v>
      </c>
      <c r="C3" s="8"/>
      <c r="D3" s="8"/>
      <c r="E3" s="24"/>
    </row>
    <row r="4" spans="1:5" ht="18" customHeight="1" x14ac:dyDescent="0.2">
      <c r="A4" s="3" t="s">
        <v>3</v>
      </c>
      <c r="C4" s="8"/>
      <c r="D4" s="8"/>
      <c r="E4" s="24"/>
    </row>
    <row r="5" spans="1:5" ht="18" customHeight="1" x14ac:dyDescent="0.2">
      <c r="A5" s="3" t="s">
        <v>4</v>
      </c>
      <c r="C5" s="8"/>
      <c r="D5" s="8"/>
      <c r="E5" s="24"/>
    </row>
    <row r="6" spans="1:5" ht="18" customHeight="1" x14ac:dyDescent="0.2">
      <c r="A6" s="4" t="s">
        <v>5</v>
      </c>
      <c r="B6" s="11"/>
      <c r="C6" s="8"/>
      <c r="D6" s="8"/>
      <c r="E6" s="24"/>
    </row>
    <row r="7" spans="1:5" ht="18" customHeight="1" x14ac:dyDescent="0.2">
      <c r="A7" s="3" t="s">
        <v>6</v>
      </c>
      <c r="B7" s="8" t="s">
        <v>7</v>
      </c>
      <c r="C7" s="8"/>
      <c r="D7" s="8"/>
      <c r="E7" s="24"/>
    </row>
    <row r="8" spans="1:5" ht="18" customHeight="1" x14ac:dyDescent="0.2">
      <c r="A8" s="3" t="s">
        <v>8</v>
      </c>
      <c r="B8" s="3" t="s">
        <v>9</v>
      </c>
      <c r="C8" s="3"/>
    </row>
    <row r="9" spans="1:5" ht="18" customHeight="1" thickBot="1" x14ac:dyDescent="0.25">
      <c r="A9" s="3"/>
      <c r="B9" s="9"/>
    </row>
    <row r="10" spans="1:5" ht="25.15" customHeight="1" thickBot="1" x14ac:dyDescent="0.25">
      <c r="A10" s="5" t="s">
        <v>10</v>
      </c>
      <c r="B10" s="10" t="s">
        <v>11</v>
      </c>
      <c r="C10" s="6" t="s">
        <v>12</v>
      </c>
      <c r="D10" s="13" t="s">
        <v>13</v>
      </c>
      <c r="E10" s="13" t="s">
        <v>14</v>
      </c>
    </row>
    <row r="11" spans="1:5" ht="60.75" customHeight="1" thickBot="1" x14ac:dyDescent="0.25">
      <c r="A11" s="10" t="s">
        <v>15</v>
      </c>
      <c r="B11" s="10" t="s">
        <v>16</v>
      </c>
      <c r="C11" s="7">
        <v>1</v>
      </c>
      <c r="D11" s="47"/>
      <c r="E11" s="48"/>
    </row>
    <row r="12" spans="1:5" ht="92.25" customHeight="1" thickBot="1" x14ac:dyDescent="0.25">
      <c r="A12" s="1"/>
      <c r="B12" s="10" t="s">
        <v>17</v>
      </c>
      <c r="C12" s="6">
        <f>SUM(C11:C11)</f>
        <v>1</v>
      </c>
      <c r="D12" s="14"/>
      <c r="E12" s="14">
        <f>SUM(C12*D12)</f>
        <v>0</v>
      </c>
    </row>
    <row r="13" spans="1:5" ht="25.15" customHeight="1" thickBot="1" x14ac:dyDescent="0.25">
      <c r="A13" s="3"/>
      <c r="B13" s="9"/>
    </row>
    <row r="14" spans="1:5" s="16" customFormat="1" ht="25.15" customHeight="1" thickBot="1" x14ac:dyDescent="0.25">
      <c r="A14" s="5" t="s">
        <v>10</v>
      </c>
      <c r="B14" s="10" t="s">
        <v>11</v>
      </c>
      <c r="C14" s="6" t="s">
        <v>18</v>
      </c>
      <c r="D14" s="13" t="s">
        <v>13</v>
      </c>
      <c r="E14" s="13" t="s">
        <v>14</v>
      </c>
    </row>
    <row r="15" spans="1:5" s="16" customFormat="1" ht="63" customHeight="1" thickBot="1" x14ac:dyDescent="0.25">
      <c r="A15" s="10" t="s">
        <v>15</v>
      </c>
      <c r="B15" s="10" t="s">
        <v>16</v>
      </c>
      <c r="C15" s="7">
        <v>3500</v>
      </c>
      <c r="D15" s="64"/>
      <c r="E15" s="65"/>
    </row>
    <row r="16" spans="1:5" s="16" customFormat="1" ht="132.75" customHeight="1" thickBot="1" x14ac:dyDescent="0.25">
      <c r="A16" s="1"/>
      <c r="B16" s="21" t="s">
        <v>19</v>
      </c>
      <c r="C16" s="6">
        <f>SUM(C15:C15)</f>
        <v>3500</v>
      </c>
      <c r="D16" s="14"/>
      <c r="E16" s="14">
        <f>SUM(C16*D16)</f>
        <v>0</v>
      </c>
    </row>
    <row r="17" spans="1:7" s="16" customFormat="1" ht="28.5" customHeight="1" thickBot="1" x14ac:dyDescent="0.25">
      <c r="A17" s="1"/>
      <c r="B17" s="9"/>
      <c r="C17" s="18"/>
      <c r="D17" s="19"/>
      <c r="E17" s="19"/>
    </row>
    <row r="18" spans="1:7" s="16" customFormat="1" ht="28.5" customHeight="1" thickBot="1" x14ac:dyDescent="0.25">
      <c r="A18" s="5" t="s">
        <v>10</v>
      </c>
      <c r="B18" s="10" t="s">
        <v>11</v>
      </c>
      <c r="C18" s="6" t="s">
        <v>12</v>
      </c>
      <c r="D18" s="15" t="s">
        <v>13</v>
      </c>
      <c r="E18" s="15" t="s">
        <v>14</v>
      </c>
    </row>
    <row r="19" spans="1:7" ht="66" customHeight="1" thickBot="1" x14ac:dyDescent="0.25">
      <c r="A19" s="10" t="s">
        <v>15</v>
      </c>
      <c r="B19" s="10" t="s">
        <v>16</v>
      </c>
      <c r="C19" s="7">
        <v>1</v>
      </c>
      <c r="D19" s="22"/>
      <c r="E19" s="23"/>
    </row>
    <row r="20" spans="1:7" ht="99" customHeight="1" thickBot="1" x14ac:dyDescent="0.25">
      <c r="A20" s="1"/>
      <c r="B20" s="10" t="s">
        <v>20</v>
      </c>
      <c r="C20" s="6">
        <f>SUM(C19:C19)</f>
        <v>1</v>
      </c>
      <c r="D20" s="14"/>
      <c r="E20" s="14">
        <f>SUM(C20*D20)</f>
        <v>0</v>
      </c>
    </row>
    <row r="21" spans="1:7" ht="24.75" customHeight="1" thickBot="1" x14ac:dyDescent="0.25"/>
    <row r="22" spans="1:7" ht="39" customHeight="1" thickBot="1" x14ac:dyDescent="0.25">
      <c r="A22" s="1"/>
      <c r="B22" s="10"/>
      <c r="C22" s="2"/>
      <c r="D22" s="15" t="s">
        <v>21</v>
      </c>
      <c r="E22" s="20">
        <f>SUM(E12:E20)</f>
        <v>0</v>
      </c>
    </row>
    <row r="23" spans="1:7" s="1" customFormat="1" ht="24.75" customHeight="1" thickBot="1" x14ac:dyDescent="0.25">
      <c r="B23" s="9"/>
      <c r="C23" s="18"/>
      <c r="D23" s="27"/>
      <c r="E23" s="27"/>
    </row>
    <row r="24" spans="1:7" s="31" customFormat="1" ht="95.25" customHeight="1" thickBot="1" x14ac:dyDescent="0.25">
      <c r="A24" s="66" t="s">
        <v>22</v>
      </c>
      <c r="B24" s="67"/>
      <c r="C24" s="28" t="s">
        <v>23</v>
      </c>
      <c r="D24" s="28" t="s">
        <v>24</v>
      </c>
      <c r="E24" s="28" t="s">
        <v>25</v>
      </c>
      <c r="F24" s="29" t="s">
        <v>26</v>
      </c>
      <c r="G24" s="30"/>
    </row>
    <row r="25" spans="1:7" s="31" customFormat="1" ht="151.5" customHeight="1" thickBot="1" x14ac:dyDescent="0.25">
      <c r="A25" s="49" t="s">
        <v>27</v>
      </c>
      <c r="B25" s="38" t="s">
        <v>28</v>
      </c>
      <c r="C25" s="32">
        <v>40</v>
      </c>
      <c r="D25" s="32" t="s">
        <v>29</v>
      </c>
      <c r="E25" s="51"/>
      <c r="F25" s="34">
        <f>C25*E25</f>
        <v>0</v>
      </c>
    </row>
    <row r="26" spans="1:7" s="31" customFormat="1" ht="249.75" customHeight="1" thickBot="1" x14ac:dyDescent="0.25">
      <c r="A26" s="37" t="s">
        <v>30</v>
      </c>
      <c r="B26" s="39" t="s">
        <v>31</v>
      </c>
      <c r="C26" s="45">
        <v>1000</v>
      </c>
      <c r="D26" s="33" t="s">
        <v>32</v>
      </c>
      <c r="E26" s="50"/>
      <c r="F26" s="35">
        <f>C26*E26</f>
        <v>0</v>
      </c>
    </row>
    <row r="27" spans="1:7" s="36" customFormat="1" ht="77.25" customHeight="1" thickBot="1" x14ac:dyDescent="0.3">
      <c r="A27" s="43" t="s">
        <v>33</v>
      </c>
      <c r="B27" s="44" t="s">
        <v>34</v>
      </c>
      <c r="C27" s="52"/>
      <c r="D27" s="40" t="s">
        <v>35</v>
      </c>
      <c r="E27" s="42">
        <v>1</v>
      </c>
      <c r="F27" s="41">
        <f>F26*C27</f>
        <v>0</v>
      </c>
    </row>
    <row r="28" spans="1:7" ht="54" customHeight="1" thickBot="1" x14ac:dyDescent="0.25"/>
    <row r="29" spans="1:7" s="25" customFormat="1" ht="18" customHeight="1" thickBot="1" x14ac:dyDescent="0.3">
      <c r="A29" s="54" t="s">
        <v>36</v>
      </c>
      <c r="B29" s="55"/>
      <c r="C29" s="56"/>
      <c r="D29" s="57" t="s">
        <v>37</v>
      </c>
      <c r="E29" s="58"/>
    </row>
    <row r="30" spans="1:7" s="25" customFormat="1" ht="27" customHeight="1" thickBot="1" x14ac:dyDescent="0.3">
      <c r="A30" s="59" t="s">
        <v>38</v>
      </c>
      <c r="B30" s="60"/>
      <c r="C30" s="61"/>
      <c r="D30" s="62">
        <v>46153</v>
      </c>
      <c r="E30" s="63"/>
    </row>
    <row r="31" spans="1:7" s="25" customFormat="1" ht="27" customHeight="1" thickBot="1" x14ac:dyDescent="0.3">
      <c r="A31" s="59" t="s">
        <v>39</v>
      </c>
      <c r="B31" s="60"/>
      <c r="C31" s="61"/>
      <c r="D31" s="62">
        <v>46154</v>
      </c>
      <c r="E31" s="63"/>
    </row>
    <row r="32" spans="1:7" s="25" customFormat="1" ht="33" customHeight="1" thickBot="1" x14ac:dyDescent="0.3">
      <c r="A32" s="59" t="s">
        <v>40</v>
      </c>
      <c r="B32" s="60"/>
      <c r="C32" s="61"/>
      <c r="D32" s="62" t="s">
        <v>41</v>
      </c>
      <c r="E32" s="63"/>
      <c r="F32" s="26"/>
    </row>
    <row r="33" spans="1:5" s="25" customFormat="1" ht="27.75" customHeight="1" thickBot="1" x14ac:dyDescent="0.3">
      <c r="A33" s="59" t="s">
        <v>42</v>
      </c>
      <c r="B33" s="60"/>
      <c r="C33" s="61"/>
      <c r="D33" s="62">
        <v>46157</v>
      </c>
      <c r="E33" s="63"/>
    </row>
    <row r="34" spans="1:5" s="17" customFormat="1" ht="24" customHeight="1" x14ac:dyDescent="0.2">
      <c r="A34" s="68" t="s">
        <v>43</v>
      </c>
      <c r="B34" s="68"/>
      <c r="C34" s="68"/>
      <c r="D34" s="68"/>
      <c r="E34" s="68"/>
    </row>
    <row r="35" spans="1:5" s="17" customFormat="1" ht="63" customHeight="1" x14ac:dyDescent="0.2">
      <c r="A35" s="69" t="s">
        <v>44</v>
      </c>
      <c r="B35" s="69"/>
      <c r="C35" s="69"/>
      <c r="D35" s="69"/>
      <c r="E35" s="69"/>
    </row>
    <row r="36" spans="1:5" s="17" customFormat="1" ht="31.15" customHeight="1" x14ac:dyDescent="0.2">
      <c r="A36" s="69" t="s">
        <v>45</v>
      </c>
      <c r="B36" s="69"/>
      <c r="C36" s="69"/>
      <c r="D36" s="69"/>
      <c r="E36" s="69"/>
    </row>
    <row r="37" spans="1:5" s="17" customFormat="1" ht="41.45" customHeight="1" x14ac:dyDescent="0.2">
      <c r="A37" s="68" t="s">
        <v>46</v>
      </c>
      <c r="B37" s="70"/>
      <c r="C37" s="70"/>
      <c r="D37" s="70"/>
      <c r="E37" s="70"/>
    </row>
    <row r="38" spans="1:5" s="17" customFormat="1" ht="24.75" customHeight="1" x14ac:dyDescent="0.2">
      <c r="A38" s="68" t="s">
        <v>47</v>
      </c>
      <c r="B38" s="68"/>
      <c r="C38" s="68"/>
      <c r="D38" s="68"/>
      <c r="E38" s="68"/>
    </row>
  </sheetData>
  <mergeCells count="18">
    <mergeCell ref="A33:C33"/>
    <mergeCell ref="D33:E33"/>
    <mergeCell ref="A32:C32"/>
    <mergeCell ref="D32:E32"/>
    <mergeCell ref="A31:C31"/>
    <mergeCell ref="D31:E31"/>
    <mergeCell ref="A34:E34"/>
    <mergeCell ref="A35:E35"/>
    <mergeCell ref="A36:E36"/>
    <mergeCell ref="A37:E37"/>
    <mergeCell ref="A38:E38"/>
    <mergeCell ref="A1:E1"/>
    <mergeCell ref="A29:C29"/>
    <mergeCell ref="D29:E29"/>
    <mergeCell ref="A30:C30"/>
    <mergeCell ref="D30:E30"/>
    <mergeCell ref="D15:E15"/>
    <mergeCell ref="A24:B24"/>
  </mergeCells>
  <phoneticPr fontId="0" type="noConversion"/>
  <pageMargins left="1" right="1" top="1" bottom="1" header="0.5" footer="0.5"/>
  <pageSetup scale="80" fitToWidth="0" fitToHeight="0"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25183AF8A08574DAA31E39393838AC9" ma:contentTypeVersion="16" ma:contentTypeDescription="Create a new document." ma:contentTypeScope="" ma:versionID="0cbe970dddb6f01e53896969a9c960ea">
  <xsd:schema xmlns:xsd="http://www.w3.org/2001/XMLSchema" xmlns:xs="http://www.w3.org/2001/XMLSchema" xmlns:p="http://schemas.microsoft.com/office/2006/metadata/properties" xmlns:ns1="http://schemas.microsoft.com/sharepoint/v3" xmlns:ns2="a529ea77-81da-4f50-8813-b4c41149f840" xmlns:ns3="63848ae2-24a8-46f5-a7c5-0ea3c508a9d6" targetNamespace="http://schemas.microsoft.com/office/2006/metadata/properties" ma:root="true" ma:fieldsID="7bc634c791a1e51e1e8f93341fb9ad6f" ns1:_="" ns2:_="" ns3:_="">
    <xsd:import namespace="http://schemas.microsoft.com/sharepoint/v3"/>
    <xsd:import namespace="a529ea77-81da-4f50-8813-b4c41149f840"/>
    <xsd:import namespace="63848ae2-24a8-46f5-a7c5-0ea3c508a9d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Owner"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529ea77-81da-4f50-8813-b4c41149f8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cef215b-19b7-4691-95f4-27d2fe62d5df"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Owner" ma:index="20" nillable="true" ma:displayName="Assignee" ma:default="UNASSIGNED" ma:format="Dropdown" ma:internalName="Owner">
      <xsd:simpleType>
        <xsd:restriction base="dms:Choice">
          <xsd:enumeration value="Rico Barraza-Cobos"/>
          <xsd:enumeration value="Anna Rodriguez"/>
          <xsd:enumeration value="Anna Nguyen"/>
          <xsd:enumeration value="Dayen Lagunas"/>
          <xsd:enumeration value="Edward Condreay"/>
          <xsd:enumeration value="Edward Dean"/>
          <xsd:enumeration value="Ethel Wilson"/>
          <xsd:enumeration value="Jeffrey Freeman"/>
          <xsd:enumeration value="Michael Jones"/>
          <xsd:enumeration value="Karol Rivera"/>
          <xsd:enumeration value="Kathy Choi"/>
          <xsd:enumeration value="Natalie Arenz"/>
          <xsd:enumeration value="Scott Quiambao"/>
          <xsd:enumeration value="Valerie Manguiob"/>
          <xsd:enumeration value="UNASSIGNED"/>
        </xsd:restriction>
      </xsd:simpleType>
    </xsd:element>
  </xsd:schema>
  <xsd:schema xmlns:xsd="http://www.w3.org/2001/XMLSchema" xmlns:xs="http://www.w3.org/2001/XMLSchema" xmlns:dms="http://schemas.microsoft.com/office/2006/documentManagement/types" xmlns:pc="http://schemas.microsoft.com/office/infopath/2007/PartnerControls" targetNamespace="63848ae2-24a8-46f5-a7c5-0ea3c508a9d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421bfaa-9842-40ad-a5da-5da963c69a2f}" ma:internalName="TaxCatchAll" ma:showField="CatchAllData" ma:web="63848ae2-24a8-46f5-a7c5-0ea3c508a9d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Owner xmlns="a529ea77-81da-4f50-8813-b4c41149f840">UNASSIGNED</Owner>
    <lcf76f155ced4ddcb4097134ff3c332f xmlns="a529ea77-81da-4f50-8813-b4c41149f840">
      <Terms xmlns="http://schemas.microsoft.com/office/infopath/2007/PartnerControls"/>
    </lcf76f155ced4ddcb4097134ff3c332f>
    <_ip_UnifiedCompliancePolicyProperties xmlns="http://schemas.microsoft.com/sharepoint/v3" xsi:nil="true"/>
    <TaxCatchAll xmlns="63848ae2-24a8-46f5-a7c5-0ea3c508a9d6" xsi:nil="true"/>
  </documentManagement>
</p:properties>
</file>

<file path=customXml/itemProps1.xml><?xml version="1.0" encoding="utf-8"?>
<ds:datastoreItem xmlns:ds="http://schemas.openxmlformats.org/officeDocument/2006/customXml" ds:itemID="{02BBB2F5-6671-4914-8A1C-824CACAD70D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529ea77-81da-4f50-8813-b4c41149f840"/>
    <ds:schemaRef ds:uri="63848ae2-24a8-46f5-a7c5-0ea3c508a9d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333A64B-E7A9-493E-8C87-CCC24108FC29}">
  <ds:schemaRefs>
    <ds:schemaRef ds:uri="http://schemas.microsoft.com/sharepoint/v3/contenttype/forms"/>
  </ds:schemaRefs>
</ds:datastoreItem>
</file>

<file path=customXml/itemProps3.xml><?xml version="1.0" encoding="utf-8"?>
<ds:datastoreItem xmlns:ds="http://schemas.openxmlformats.org/officeDocument/2006/customXml" ds:itemID="{12D5FC07-1D43-4325-81E8-4420A1A7664F}">
  <ds:schemaRefs>
    <ds:schemaRef ds:uri="http://schemas.microsoft.com/office/2006/metadata/properties"/>
    <ds:schemaRef ds:uri="http://schemas.microsoft.com/office/infopath/2007/PartnerControls"/>
    <ds:schemaRef ds:uri="http://schemas.microsoft.com/sharepoint/v3"/>
    <ds:schemaRef ds:uri="a529ea77-81da-4f50-8813-b4c41149f840"/>
    <ds:schemaRef ds:uri="63848ae2-24a8-46f5-a7c5-0ea3c508a9d6"/>
  </ds:schemaRefs>
</ds:datastoreItem>
</file>

<file path=docMetadata/LabelInfo.xml><?xml version="1.0" encoding="utf-8"?>
<clbl:labelList xmlns:clbl="http://schemas.microsoft.com/office/2020/mipLabelMetadata">
  <clbl:label id="{b27ac744-d744-4b94-baa9-948b89b4017a}" enabled="1" method="Standard" siteId="{e3333e00-c877-4b87-b6ad-45e942de175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Corporation</dc:creator>
  <cp:keywords/>
  <dc:description/>
  <cp:lastModifiedBy>Morales, Jorge A CIV (USA)</cp:lastModifiedBy>
  <cp:revision/>
  <dcterms:created xsi:type="dcterms:W3CDTF">1996-10-14T23:33:28Z</dcterms:created>
  <dcterms:modified xsi:type="dcterms:W3CDTF">2026-04-30T19:31:22Z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0x010100B25183AF8A08574DAA31E39393838AC9</vt:lpwstr>
  </property>
  <property fmtid="{D5CDD505-2E9C-101B-9397-08002B2CF9AE}" pid="3" name="MediaServiceImageTags">
    <vt:lpwstr/>
  </property>
</Properties>
</file>