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arlSchmurr(ARPA-H)\Downloads\"/>
    </mc:Choice>
  </mc:AlternateContent>
  <xr:revisionPtr revIDLastSave="0" documentId="13_ncr:1_{7CD912A4-BE5A-40E7-B94E-19187EAD9283}" xr6:coauthVersionLast="47" xr6:coauthVersionMax="47" xr10:uidLastSave="{00000000-0000-0000-0000-000000000000}"/>
  <bookViews>
    <workbookView xWindow="4800" yWindow="3098" windowWidth="14400" windowHeight="8182" xr2:uid="{00000000-000D-0000-FFFF-FFFF00000000}"/>
  </bookViews>
  <sheets>
    <sheet name="Gantt Chart" sheetId="6" r:id="rId1"/>
  </sheets>
  <definedNames>
    <definedName name="MonthList" localSheetId="0">#REF!</definedName>
    <definedName name="MonthList">#REF!</definedName>
    <definedName name="_xlnm.Print_Area" localSheetId="0">'Gantt Chart'!$B$1:$AH$99</definedName>
    <definedName name="ProjectStart" localSheetId="0">#REF!</definedName>
    <definedName name="ProjectStar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6" l="1"/>
  <c r="H10" i="6"/>
  <c r="AI10" i="6"/>
  <c r="AJ10" i="6"/>
  <c r="AK10" i="6"/>
  <c r="AM10" i="6"/>
  <c r="G12" i="6"/>
  <c r="H12" i="6"/>
  <c r="AI12" i="6"/>
  <c r="AJ12" i="6"/>
  <c r="AK12" i="6"/>
  <c r="AM12" i="6"/>
  <c r="G14" i="6"/>
  <c r="H14" i="6"/>
  <c r="AI14" i="6"/>
  <c r="AJ14" i="6"/>
  <c r="AK14" i="6"/>
  <c r="AM14" i="6"/>
  <c r="G15" i="6"/>
  <c r="H15" i="6"/>
  <c r="AI15" i="6"/>
  <c r="AJ15" i="6"/>
  <c r="AK15" i="6"/>
  <c r="AM15" i="6"/>
  <c r="G16" i="6"/>
  <c r="H16" i="6"/>
  <c r="AI16" i="6"/>
  <c r="AJ16" i="6"/>
  <c r="AK16" i="6"/>
  <c r="AM16" i="6"/>
  <c r="G17" i="6"/>
  <c r="H17" i="6"/>
  <c r="AI17" i="6"/>
  <c r="AJ17" i="6"/>
  <c r="AK17" i="6"/>
  <c r="AM17" i="6"/>
  <c r="G19" i="6"/>
  <c r="H19" i="6"/>
  <c r="AI19" i="6"/>
  <c r="AJ19" i="6"/>
  <c r="AK19" i="6"/>
  <c r="AM19" i="6"/>
  <c r="AJ18" i="6" l="1"/>
  <c r="AK18" i="6"/>
  <c r="AJ20" i="6"/>
  <c r="AK20" i="6"/>
  <c r="AJ21" i="6"/>
  <c r="AK21" i="6"/>
  <c r="AJ22" i="6"/>
  <c r="AK22" i="6"/>
  <c r="AJ23" i="6"/>
  <c r="AK23" i="6"/>
  <c r="AJ24" i="6"/>
  <c r="AK24" i="6"/>
  <c r="AJ25" i="6"/>
  <c r="AK25" i="6"/>
  <c r="AJ26" i="6"/>
  <c r="AK26" i="6"/>
  <c r="AJ27" i="6"/>
  <c r="AK27" i="6"/>
  <c r="AJ28" i="6"/>
  <c r="AK28" i="6"/>
  <c r="AJ29" i="6"/>
  <c r="AK29" i="6"/>
  <c r="AJ30" i="6"/>
  <c r="AK30" i="6"/>
  <c r="AJ31" i="6"/>
  <c r="AK31" i="6"/>
  <c r="AJ32" i="6"/>
  <c r="AK32" i="6"/>
  <c r="AJ33" i="6"/>
  <c r="AK33" i="6"/>
  <c r="AJ34" i="6"/>
  <c r="AK34" i="6"/>
  <c r="AJ35" i="6"/>
  <c r="AK35" i="6"/>
  <c r="AJ36" i="6"/>
  <c r="AK36" i="6"/>
  <c r="AJ37" i="6"/>
  <c r="AK37" i="6"/>
  <c r="AJ38" i="6"/>
  <c r="AK38" i="6"/>
  <c r="AJ39" i="6"/>
  <c r="AK39" i="6"/>
  <c r="AJ40" i="6"/>
  <c r="AK40" i="6"/>
  <c r="AJ41" i="6"/>
  <c r="AK41" i="6"/>
  <c r="AJ42" i="6"/>
  <c r="AK42" i="6"/>
  <c r="AJ43" i="6"/>
  <c r="AK43" i="6"/>
  <c r="AJ44" i="6"/>
  <c r="AK44" i="6"/>
  <c r="AJ45" i="6"/>
  <c r="AK45" i="6"/>
  <c r="AJ46" i="6"/>
  <c r="AK46" i="6"/>
  <c r="AJ47" i="6"/>
  <c r="AK47" i="6"/>
  <c r="AJ48" i="6"/>
  <c r="AK48" i="6"/>
  <c r="AJ49" i="6"/>
  <c r="AK49" i="6"/>
  <c r="AJ50" i="6"/>
  <c r="AK50" i="6"/>
  <c r="AJ51" i="6"/>
  <c r="AK51" i="6"/>
  <c r="AJ52" i="6"/>
  <c r="AK52" i="6"/>
  <c r="AJ53" i="6"/>
  <c r="AK53" i="6"/>
  <c r="AJ54" i="6"/>
  <c r="AK54" i="6"/>
  <c r="AJ55" i="6"/>
  <c r="AK55" i="6"/>
  <c r="AJ56" i="6"/>
  <c r="AK56" i="6"/>
  <c r="AJ57" i="6"/>
  <c r="AK57" i="6"/>
  <c r="AJ58" i="6"/>
  <c r="AK58" i="6"/>
  <c r="AJ59" i="6"/>
  <c r="AK59" i="6"/>
  <c r="AJ60" i="6"/>
  <c r="AK60" i="6"/>
  <c r="AJ61" i="6"/>
  <c r="AK61" i="6"/>
  <c r="AJ62" i="6"/>
  <c r="AK62" i="6"/>
  <c r="AJ63" i="6"/>
  <c r="AK63" i="6"/>
  <c r="AJ64" i="6"/>
  <c r="AK64" i="6"/>
  <c r="AJ65" i="6"/>
  <c r="AK65" i="6"/>
  <c r="AJ66" i="6"/>
  <c r="AK66" i="6"/>
  <c r="AJ67" i="6"/>
  <c r="AK67" i="6"/>
  <c r="AJ68" i="6"/>
  <c r="AK68" i="6"/>
  <c r="AJ69" i="6"/>
  <c r="AK69" i="6"/>
  <c r="AJ70" i="6"/>
  <c r="AK70" i="6"/>
  <c r="AJ71" i="6"/>
  <c r="AK71" i="6"/>
  <c r="AJ72" i="6"/>
  <c r="AK72" i="6"/>
  <c r="AJ73" i="6"/>
  <c r="AK73" i="6"/>
  <c r="AJ74" i="6"/>
  <c r="AK74" i="6"/>
  <c r="AJ75" i="6"/>
  <c r="AK75" i="6"/>
  <c r="AJ76" i="6"/>
  <c r="AK76" i="6"/>
  <c r="AJ77" i="6"/>
  <c r="AK77" i="6"/>
  <c r="AJ78" i="6"/>
  <c r="AK78" i="6"/>
  <c r="AJ79" i="6"/>
  <c r="AK79" i="6"/>
  <c r="AJ80" i="6"/>
  <c r="AK80" i="6"/>
  <c r="AJ81" i="6"/>
  <c r="AK81" i="6"/>
  <c r="AJ82" i="6"/>
  <c r="AK82" i="6"/>
  <c r="AJ83" i="6"/>
  <c r="AK83" i="6"/>
  <c r="AJ84" i="6"/>
  <c r="AK84" i="6"/>
  <c r="AJ85" i="6"/>
  <c r="AK85" i="6"/>
  <c r="AJ86" i="6"/>
  <c r="AK86" i="6"/>
  <c r="AJ87" i="6"/>
  <c r="AK87" i="6"/>
  <c r="AJ88" i="6"/>
  <c r="AK88" i="6"/>
  <c r="AJ89" i="6"/>
  <c r="AK89" i="6"/>
  <c r="AJ90" i="6"/>
  <c r="AK90" i="6"/>
  <c r="AJ91" i="6"/>
  <c r="AK91" i="6"/>
  <c r="AJ92" i="6"/>
  <c r="AK92" i="6"/>
  <c r="AJ93" i="6"/>
  <c r="AK93" i="6"/>
  <c r="AJ94" i="6"/>
  <c r="AK94" i="6"/>
  <c r="AJ95" i="6"/>
  <c r="AK95" i="6"/>
  <c r="AJ96" i="6"/>
  <c r="AK96" i="6"/>
  <c r="AJ97" i="6"/>
  <c r="AK97" i="6"/>
  <c r="AJ98" i="6"/>
  <c r="AK98" i="6"/>
  <c r="AJ99" i="6"/>
  <c r="AK99" i="6"/>
  <c r="AJ100" i="6"/>
  <c r="AK100" i="6"/>
  <c r="AJ101" i="6"/>
  <c r="AK101" i="6"/>
  <c r="AJ102" i="6"/>
  <c r="AK102" i="6"/>
  <c r="AJ103" i="6"/>
  <c r="AK103" i="6"/>
  <c r="AJ104" i="6"/>
  <c r="AK104" i="6"/>
  <c r="AJ105" i="6"/>
  <c r="AK105" i="6"/>
  <c r="AJ106" i="6"/>
  <c r="AK106" i="6"/>
  <c r="AJ107" i="6"/>
  <c r="AK107" i="6"/>
  <c r="AJ108" i="6"/>
  <c r="AK108" i="6"/>
  <c r="AJ109" i="6"/>
  <c r="AK109" i="6"/>
  <c r="AJ110" i="6"/>
  <c r="AK110" i="6"/>
  <c r="AJ111" i="6"/>
  <c r="AK111" i="6"/>
  <c r="AJ112" i="6"/>
  <c r="AK112" i="6"/>
  <c r="AJ113" i="6"/>
  <c r="AK113" i="6"/>
  <c r="AJ114" i="6"/>
  <c r="AK114" i="6"/>
  <c r="AJ115" i="6"/>
  <c r="AK115" i="6"/>
  <c r="AJ116" i="6"/>
  <c r="AK116" i="6"/>
  <c r="AJ117" i="6"/>
  <c r="AK117" i="6"/>
  <c r="AJ118" i="6"/>
  <c r="AK118" i="6"/>
  <c r="AJ119" i="6"/>
  <c r="AK119" i="6"/>
  <c r="AJ120" i="6"/>
  <c r="AK120" i="6"/>
  <c r="AJ121" i="6"/>
  <c r="AK121" i="6"/>
  <c r="AJ122" i="6"/>
  <c r="AK122" i="6"/>
  <c r="AJ123" i="6"/>
  <c r="AK123" i="6"/>
  <c r="AJ124" i="6"/>
  <c r="AK124" i="6"/>
  <c r="AJ125" i="6"/>
  <c r="AK125" i="6"/>
  <c r="AJ126" i="6"/>
  <c r="AK126" i="6"/>
  <c r="AJ127" i="6"/>
  <c r="AK127" i="6"/>
  <c r="AJ128" i="6"/>
  <c r="AK128" i="6"/>
  <c r="AJ129" i="6"/>
  <c r="AK129" i="6"/>
  <c r="AJ130" i="6"/>
  <c r="AK130" i="6"/>
  <c r="AJ131" i="6"/>
  <c r="AK131" i="6"/>
  <c r="AJ132" i="6"/>
  <c r="AK132" i="6"/>
  <c r="AJ133" i="6"/>
  <c r="AK133" i="6"/>
  <c r="AJ134" i="6"/>
  <c r="AK134" i="6"/>
  <c r="AJ135" i="6"/>
  <c r="AK135" i="6"/>
  <c r="AJ136" i="6"/>
  <c r="AK136" i="6"/>
  <c r="AJ137" i="6"/>
  <c r="AK137" i="6"/>
  <c r="AJ138" i="6"/>
  <c r="AK138" i="6"/>
  <c r="AJ139" i="6"/>
  <c r="AK139" i="6"/>
  <c r="AJ140" i="6"/>
  <c r="AK140" i="6"/>
  <c r="AJ141" i="6"/>
  <c r="AK141" i="6"/>
  <c r="AJ142" i="6"/>
  <c r="AK142" i="6"/>
  <c r="AJ143" i="6"/>
  <c r="AK143" i="6"/>
  <c r="AJ144" i="6"/>
  <c r="AK144" i="6"/>
  <c r="AJ145" i="6"/>
  <c r="AK145" i="6"/>
  <c r="AJ146" i="6"/>
  <c r="AK146" i="6"/>
  <c r="AJ147" i="6"/>
  <c r="AK147" i="6"/>
  <c r="AJ148" i="6"/>
  <c r="AK148" i="6"/>
  <c r="AJ149" i="6"/>
  <c r="AK149" i="6"/>
  <c r="AJ150" i="6"/>
  <c r="AK150" i="6"/>
  <c r="AJ151" i="6"/>
  <c r="AK151" i="6"/>
  <c r="AJ152" i="6"/>
  <c r="AK152" i="6"/>
  <c r="AJ153" i="6"/>
  <c r="AK153" i="6"/>
  <c r="AJ154" i="6"/>
  <c r="AK154" i="6"/>
  <c r="AJ155" i="6"/>
  <c r="AK155" i="6"/>
  <c r="AJ156" i="6"/>
  <c r="AK156" i="6"/>
  <c r="AJ157" i="6"/>
  <c r="AK157" i="6"/>
  <c r="AJ158" i="6"/>
  <c r="AK158" i="6"/>
  <c r="AJ159" i="6"/>
  <c r="AK159" i="6"/>
  <c r="AJ160" i="6"/>
  <c r="AK160" i="6"/>
  <c r="AJ161" i="6"/>
  <c r="AK161" i="6"/>
  <c r="AJ162" i="6"/>
  <c r="AK162" i="6"/>
  <c r="AJ163" i="6"/>
  <c r="AK163" i="6"/>
  <c r="AJ164" i="6"/>
  <c r="AK164" i="6"/>
  <c r="AJ165" i="6"/>
  <c r="AK165" i="6"/>
  <c r="AJ166" i="6"/>
  <c r="AK166" i="6"/>
  <c r="AJ167" i="6"/>
  <c r="AK167" i="6"/>
  <c r="AJ168" i="6"/>
  <c r="AK168" i="6"/>
  <c r="AJ169" i="6"/>
  <c r="AK169" i="6"/>
  <c r="AJ170" i="6"/>
  <c r="AK170" i="6"/>
  <c r="AJ171" i="6"/>
  <c r="AK171" i="6"/>
  <c r="AJ172" i="6"/>
  <c r="AK172" i="6"/>
  <c r="AJ173" i="6"/>
  <c r="AK173" i="6"/>
  <c r="AJ174" i="6"/>
  <c r="AK174" i="6"/>
  <c r="AJ175" i="6"/>
  <c r="AK175" i="6"/>
  <c r="AJ176" i="6"/>
  <c r="AK176" i="6"/>
  <c r="AJ177" i="6"/>
  <c r="AK177" i="6"/>
  <c r="AJ178" i="6"/>
  <c r="AK178" i="6"/>
  <c r="AJ179" i="6"/>
  <c r="AK179" i="6"/>
  <c r="AJ180" i="6"/>
  <c r="AK180" i="6"/>
  <c r="AJ181" i="6"/>
  <c r="AK181" i="6"/>
  <c r="AJ182" i="6"/>
  <c r="AK182" i="6"/>
  <c r="AJ183" i="6"/>
  <c r="AK183" i="6"/>
  <c r="AJ184" i="6"/>
  <c r="AK184" i="6"/>
  <c r="AJ185" i="6"/>
  <c r="AK185" i="6"/>
  <c r="AJ186" i="6"/>
  <c r="AK186" i="6"/>
  <c r="AJ187" i="6"/>
  <c r="AK187" i="6"/>
  <c r="AJ188" i="6"/>
  <c r="AK188" i="6"/>
  <c r="AJ189" i="6"/>
  <c r="AK189" i="6"/>
  <c r="AJ11" i="6"/>
  <c r="AK11" i="6"/>
  <c r="AK13" i="6"/>
  <c r="AJ13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M18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1" i="6"/>
  <c r="AM13" i="6"/>
  <c r="AI13" i="6"/>
  <c r="AI18" i="6"/>
  <c r="AI11" i="6"/>
  <c r="H189" i="6" l="1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 l="1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AL11" i="6"/>
  <c r="AL12" i="6" s="1"/>
  <c r="H24" i="6"/>
  <c r="G24" i="6"/>
  <c r="H23" i="6"/>
  <c r="G23" i="6"/>
  <c r="H22" i="6"/>
  <c r="G22" i="6"/>
  <c r="H21" i="6"/>
  <c r="G21" i="6"/>
  <c r="H20" i="6"/>
  <c r="G20" i="6"/>
  <c r="H18" i="6"/>
  <c r="G18" i="6"/>
  <c r="H13" i="6"/>
  <c r="G13" i="6"/>
  <c r="H11" i="6"/>
  <c r="G11" i="6"/>
  <c r="AL13" i="6" l="1"/>
  <c r="AL14" i="6" l="1"/>
  <c r="AL15" i="6" s="1"/>
  <c r="AL16" i="6" s="1"/>
  <c r="AL17" i="6" s="1"/>
  <c r="AL18" i="6" s="1"/>
  <c r="AL19" i="6" s="1"/>
  <c r="AL20" i="6" s="1"/>
  <c r="AL21" i="6" s="1"/>
  <c r="AL22" i="6" s="1"/>
  <c r="AL23" i="6" s="1"/>
  <c r="AL24" i="6" s="1"/>
  <c r="AL25" i="6" s="1"/>
  <c r="AL26" i="6" s="1"/>
  <c r="AL27" i="6" s="1"/>
  <c r="AL28" i="6" s="1"/>
  <c r="AL29" i="6" s="1"/>
  <c r="AL30" i="6" s="1"/>
  <c r="AL31" i="6" s="1"/>
  <c r="AL32" i="6" s="1"/>
  <c r="AL33" i="6" s="1"/>
  <c r="AL34" i="6" s="1"/>
  <c r="AL35" i="6" s="1"/>
  <c r="AL36" i="6" s="1"/>
  <c r="AL37" i="6" s="1"/>
  <c r="AL38" i="6" s="1"/>
  <c r="AL39" i="6" s="1"/>
  <c r="AL40" i="6" s="1"/>
  <c r="AL41" i="6" s="1"/>
  <c r="AL42" i="6" s="1"/>
  <c r="AL43" i="6" s="1"/>
  <c r="AL44" i="6" s="1"/>
  <c r="AL45" i="6" s="1"/>
  <c r="AL46" i="6" s="1"/>
  <c r="AL47" i="6" s="1"/>
  <c r="AL48" i="6" s="1"/>
  <c r="AL49" i="6" s="1"/>
  <c r="AL50" i="6" s="1"/>
  <c r="AL51" i="6" s="1"/>
  <c r="AL52" i="6" s="1"/>
  <c r="AL53" i="6" s="1"/>
  <c r="AL54" i="6" s="1"/>
  <c r="AL55" i="6" s="1"/>
  <c r="AL56" i="6" s="1"/>
  <c r="AL57" i="6" s="1"/>
  <c r="AL58" i="6" s="1"/>
  <c r="AL59" i="6" s="1"/>
  <c r="AL60" i="6" s="1"/>
  <c r="AL61" i="6" s="1"/>
  <c r="AL62" i="6" s="1"/>
  <c r="AL63" i="6" s="1"/>
  <c r="AL64" i="6" s="1"/>
  <c r="AL65" i="6" s="1"/>
  <c r="AL66" i="6" s="1"/>
  <c r="AL67" i="6" s="1"/>
  <c r="AL68" i="6" s="1"/>
  <c r="AL69" i="6" s="1"/>
  <c r="AL70" i="6" s="1"/>
  <c r="AL71" i="6" s="1"/>
  <c r="AL72" i="6" s="1"/>
  <c r="AL73" i="6" s="1"/>
  <c r="AL74" i="6" s="1"/>
  <c r="AL75" i="6" s="1"/>
  <c r="AL76" i="6" s="1"/>
  <c r="AL77" i="6" s="1"/>
  <c r="AL78" i="6" s="1"/>
  <c r="AL79" i="6" s="1"/>
  <c r="AL80" i="6" s="1"/>
  <c r="AL81" i="6" s="1"/>
  <c r="AL82" i="6" s="1"/>
  <c r="AL83" i="6" s="1"/>
  <c r="AL84" i="6" s="1"/>
  <c r="AL85" i="6" s="1"/>
  <c r="AL86" i="6" s="1"/>
  <c r="AL87" i="6" s="1"/>
  <c r="AL88" i="6" s="1"/>
  <c r="AL89" i="6" s="1"/>
  <c r="AL90" i="6" s="1"/>
  <c r="AL91" i="6" s="1"/>
  <c r="AL92" i="6" s="1"/>
  <c r="AL93" i="6" s="1"/>
  <c r="AL94" i="6" s="1"/>
  <c r="AL95" i="6" s="1"/>
  <c r="AL96" i="6" s="1"/>
  <c r="AL97" i="6" s="1"/>
  <c r="AL98" i="6" s="1"/>
  <c r="AL99" i="6" s="1"/>
  <c r="AL100" i="6" s="1"/>
  <c r="AL101" i="6" s="1"/>
  <c r="AL102" i="6" s="1"/>
  <c r="AL103" i="6" s="1"/>
  <c r="AL104" i="6" s="1"/>
  <c r="AL105" i="6" s="1"/>
  <c r="AL106" i="6" s="1"/>
  <c r="AL107" i="6" s="1"/>
  <c r="AL108" i="6" s="1"/>
  <c r="AL109" i="6" s="1"/>
  <c r="AL110" i="6" s="1"/>
  <c r="AL111" i="6" s="1"/>
  <c r="AL112" i="6" s="1"/>
  <c r="AL113" i="6" s="1"/>
  <c r="AL114" i="6" s="1"/>
  <c r="AL115" i="6" s="1"/>
  <c r="AL116" i="6" s="1"/>
  <c r="AL117" i="6" s="1"/>
  <c r="AL118" i="6" s="1"/>
  <c r="AL119" i="6" s="1"/>
  <c r="AL120" i="6" s="1"/>
  <c r="AL121" i="6" s="1"/>
  <c r="AL122" i="6" s="1"/>
  <c r="AL123" i="6" s="1"/>
  <c r="AL124" i="6" s="1"/>
  <c r="AL125" i="6" s="1"/>
  <c r="AL126" i="6" s="1"/>
  <c r="AL127" i="6" s="1"/>
  <c r="AL128" i="6" s="1"/>
  <c r="AL129" i="6" s="1"/>
  <c r="AL130" i="6" s="1"/>
  <c r="AL131" i="6" s="1"/>
  <c r="AL132" i="6" s="1"/>
  <c r="AL133" i="6" s="1"/>
  <c r="AL134" i="6" s="1"/>
  <c r="AL135" i="6" s="1"/>
  <c r="AL136" i="6" s="1"/>
  <c r="AL137" i="6" s="1"/>
  <c r="AL138" i="6" s="1"/>
  <c r="AL139" i="6" s="1"/>
  <c r="AL140" i="6" s="1"/>
  <c r="AL141" i="6" s="1"/>
  <c r="AL142" i="6" s="1"/>
  <c r="AL143" i="6" s="1"/>
  <c r="AL144" i="6" s="1"/>
  <c r="AL145" i="6" s="1"/>
  <c r="AL146" i="6" s="1"/>
  <c r="AL147" i="6" s="1"/>
  <c r="AL148" i="6" s="1"/>
  <c r="AL149" i="6" s="1"/>
  <c r="AL150" i="6" s="1"/>
  <c r="AL151" i="6" s="1"/>
  <c r="AL152" i="6" s="1"/>
  <c r="AL153" i="6" s="1"/>
  <c r="AL154" i="6" s="1"/>
  <c r="AL155" i="6" s="1"/>
  <c r="AL156" i="6" s="1"/>
  <c r="AL157" i="6" s="1"/>
  <c r="AL158" i="6" s="1"/>
  <c r="AL159" i="6" s="1"/>
  <c r="AL160" i="6" s="1"/>
  <c r="AL161" i="6" s="1"/>
  <c r="AL162" i="6" s="1"/>
  <c r="AL163" i="6" s="1"/>
  <c r="AL164" i="6" s="1"/>
  <c r="AL165" i="6" s="1"/>
  <c r="AL166" i="6" s="1"/>
  <c r="AL167" i="6" s="1"/>
  <c r="AL168" i="6" s="1"/>
  <c r="AL169" i="6" s="1"/>
  <c r="AL170" i="6" s="1"/>
  <c r="AL171" i="6" s="1"/>
  <c r="AL172" i="6" s="1"/>
  <c r="AL173" i="6" s="1"/>
  <c r="AL174" i="6" s="1"/>
  <c r="AL175" i="6" s="1"/>
  <c r="AL176" i="6" s="1"/>
  <c r="AL177" i="6" s="1"/>
  <c r="AL178" i="6" s="1"/>
  <c r="AL179" i="6" s="1"/>
  <c r="AL180" i="6" s="1"/>
  <c r="AL181" i="6" s="1"/>
  <c r="AL182" i="6" s="1"/>
  <c r="AL183" i="6" s="1"/>
  <c r="AL184" i="6" s="1"/>
  <c r="AL185" i="6" s="1"/>
  <c r="AL186" i="6" s="1"/>
  <c r="AL187" i="6" s="1"/>
  <c r="AL188" i="6" s="1"/>
  <c r="AL189" i="6" s="1"/>
</calcChain>
</file>

<file path=xl/sharedStrings.xml><?xml version="1.0" encoding="utf-8"?>
<sst xmlns="http://schemas.openxmlformats.org/spreadsheetml/2006/main" count="18" uniqueCount="17">
  <si>
    <t>WBS</t>
  </si>
  <si>
    <t>Task/Milestone Title</t>
  </si>
  <si>
    <t>Title:</t>
  </si>
  <si>
    <t>Note: Column D is a Go/No-Go indicator</t>
  </si>
  <si>
    <t>Start date:</t>
  </si>
  <si>
    <t>Version:</t>
  </si>
  <si>
    <t>Project Schedule</t>
  </si>
  <si>
    <t xml:space="preserve"> </t>
  </si>
  <si>
    <t>G/N</t>
  </si>
  <si>
    <t>Start</t>
  </si>
  <si>
    <t>End</t>
  </si>
  <si>
    <t xml:space="preserve">                                     Quarters</t>
  </si>
  <si>
    <t>Notes</t>
  </si>
  <si>
    <t>Start Date</t>
  </si>
  <si>
    <t>End Date</t>
  </si>
  <si>
    <t>M1.1</t>
  </si>
  <si>
    <t xml:space="preserve">Lead Org: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</si>
</sst>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Wingdings"/>
      <charset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 tint="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</font>
    <font>
      <sz val="8"/>
      <color indexed="10"/>
      <name val="Calibri"/>
      <family val="2"/>
    </font>
    <font>
      <b/>
      <sz val="10"/>
      <color indexed="8"/>
      <name val="Calibri"/>
      <family val="2"/>
    </font>
    <font>
      <sz val="9"/>
      <color theme="1"/>
      <name val="Calibri"/>
      <family val="2"/>
    </font>
    <font>
      <sz val="9"/>
      <color theme="1"/>
      <name val="Franklin Gothic Heavy"/>
      <family val="2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auto="1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auto="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ashed">
        <color auto="1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dashed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auto="1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theme="0" tint="-0.499984740745262"/>
      </right>
      <top/>
      <bottom style="hair">
        <color indexed="23"/>
      </bottom>
      <diagonal/>
    </border>
    <border>
      <left style="hair">
        <color indexed="23"/>
      </left>
      <right style="hair">
        <color theme="0" tint="-0.499984740745262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hair">
        <color theme="0" tint="-0.499984740745262"/>
      </right>
      <top/>
      <bottom/>
      <diagonal/>
    </border>
  </borders>
  <cellStyleXfs count="3">
    <xf numFmtId="0" fontId="0" fillId="0" borderId="0"/>
    <xf numFmtId="0" fontId="21" fillId="0" borderId="0"/>
    <xf numFmtId="0" fontId="22" fillId="0" borderId="0"/>
  </cellStyleXfs>
  <cellXfs count="74">
    <xf numFmtId="0" fontId="0" fillId="0" borderId="0" xfId="0"/>
    <xf numFmtId="0" fontId="8" fillId="2" borderId="1" xfId="0" applyFont="1" applyFill="1" applyBorder="1" applyAlignment="1" applyProtection="1">
      <alignment horizontal="left" vertical="top"/>
      <protection locked="0"/>
    </xf>
    <xf numFmtId="0" fontId="8" fillId="2" borderId="1" xfId="0" applyFont="1" applyFill="1" applyBorder="1" applyAlignment="1" applyProtection="1">
      <alignment horizontal="center" vertical="top"/>
      <protection locked="0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center"/>
    </xf>
    <xf numFmtId="14" fontId="3" fillId="2" borderId="2" xfId="0" applyNumberFormat="1" applyFont="1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0" borderId="1" xfId="0" applyFont="1" applyBorder="1" applyAlignment="1" applyProtection="1">
      <alignment horizontal="center" vertical="top"/>
      <protection locked="0"/>
    </xf>
    <xf numFmtId="0" fontId="8" fillId="0" borderId="1" xfId="0" applyFont="1" applyBorder="1" applyAlignment="1" applyProtection="1">
      <alignment horizontal="center"/>
      <protection locked="0"/>
    </xf>
    <xf numFmtId="14" fontId="8" fillId="2" borderId="3" xfId="0" applyNumberFormat="1" applyFont="1" applyFill="1" applyBorder="1" applyAlignment="1" applyProtection="1">
      <alignment horizontal="right" vertical="top"/>
      <protection locked="0"/>
    </xf>
    <xf numFmtId="0" fontId="11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4" fontId="8" fillId="2" borderId="6" xfId="0" applyNumberFormat="1" applyFont="1" applyFill="1" applyBorder="1" applyAlignment="1" applyProtection="1">
      <alignment horizontal="right" vertical="top"/>
      <protection locked="0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4" fillId="2" borderId="0" xfId="0" applyFont="1" applyFill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6" fillId="3" borderId="0" xfId="0" applyFont="1" applyFill="1" applyAlignment="1">
      <alignment horizontal="center"/>
    </xf>
    <xf numFmtId="0" fontId="14" fillId="4" borderId="13" xfId="0" applyFont="1" applyFill="1" applyBorder="1" applyAlignment="1" applyProtection="1">
      <alignment horizontal="center" vertical="top"/>
      <protection locked="0"/>
    </xf>
    <xf numFmtId="0" fontId="14" fillId="0" borderId="13" xfId="0" applyFont="1" applyBorder="1" applyAlignment="1" applyProtection="1">
      <alignment horizontal="center" vertical="top"/>
      <protection locked="0"/>
    </xf>
    <xf numFmtId="0" fontId="16" fillId="4" borderId="0" xfId="0" applyFont="1" applyFill="1" applyAlignment="1">
      <alignment horizontal="left"/>
    </xf>
    <xf numFmtId="14" fontId="0" fillId="4" borderId="0" xfId="0" applyNumberFormat="1" applyFill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Alignment="1" applyProtection="1">
      <alignment vertical="top"/>
      <protection locked="0"/>
    </xf>
    <xf numFmtId="0" fontId="8" fillId="2" borderId="1" xfId="0" applyFont="1" applyFill="1" applyBorder="1" applyAlignment="1" applyProtection="1">
      <alignment vertical="top"/>
      <protection locked="0"/>
    </xf>
    <xf numFmtId="0" fontId="14" fillId="4" borderId="17" xfId="0" applyFont="1" applyFill="1" applyBorder="1" applyAlignment="1" applyProtection="1">
      <alignment horizontal="center" vertical="top"/>
      <protection locked="0"/>
    </xf>
    <xf numFmtId="0" fontId="15" fillId="4" borderId="19" xfId="0" applyFont="1" applyFill="1" applyBorder="1" applyAlignment="1" applyProtection="1">
      <alignment horizontal="center" vertical="top" wrapText="1"/>
      <protection locked="0"/>
    </xf>
    <xf numFmtId="0" fontId="10" fillId="2" borderId="5" xfId="0" applyFont="1" applyFill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20" xfId="0" applyFont="1" applyBorder="1" applyAlignment="1" applyProtection="1">
      <alignment horizontal="center" vertical="top"/>
      <protection locked="0"/>
    </xf>
    <xf numFmtId="0" fontId="8" fillId="0" borderId="20" xfId="0" applyFont="1" applyBorder="1" applyAlignment="1" applyProtection="1">
      <alignment horizontal="center" vertical="top"/>
      <protection locked="0"/>
    </xf>
    <xf numFmtId="0" fontId="8" fillId="2" borderId="5" xfId="0" applyFont="1" applyFill="1" applyBorder="1" applyAlignment="1" applyProtection="1">
      <alignment horizontal="center" vertical="top" wrapText="1"/>
      <protection locked="0"/>
    </xf>
    <xf numFmtId="0" fontId="8" fillId="2" borderId="20" xfId="0" applyFont="1" applyFill="1" applyBorder="1" applyAlignment="1" applyProtection="1">
      <alignment horizontal="center" vertical="top"/>
      <protection locked="0"/>
    </xf>
    <xf numFmtId="0" fontId="9" fillId="2" borderId="5" xfId="0" applyFont="1" applyFill="1" applyBorder="1" applyAlignment="1" applyProtection="1">
      <alignment horizontal="center" vertical="top" wrapText="1"/>
      <protection locked="0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/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2" fillId="0" borderId="1" xfId="0" applyFont="1" applyBorder="1" applyAlignment="1" applyProtection="1">
      <alignment horizontal="left" vertical="top"/>
      <protection locked="0"/>
    </xf>
    <xf numFmtId="0" fontId="12" fillId="2" borderId="1" xfId="0" applyFont="1" applyFill="1" applyBorder="1" applyAlignment="1" applyProtection="1">
      <alignment horizontal="left" vertical="top"/>
      <protection locked="0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4" borderId="18" xfId="0" applyFont="1" applyFill="1" applyBorder="1" applyAlignment="1" applyProtection="1">
      <alignment horizontal="center" vertical="top" wrapText="1"/>
      <protection locked="0"/>
    </xf>
    <xf numFmtId="0" fontId="14" fillId="4" borderId="14" xfId="0" applyFont="1" applyFill="1" applyBorder="1" applyAlignment="1" applyProtection="1">
      <alignment horizontal="center" vertical="top"/>
      <protection locked="0"/>
    </xf>
    <xf numFmtId="0" fontId="14" fillId="4" borderId="16" xfId="0" applyFont="1" applyFill="1" applyBorder="1" applyAlignment="1" applyProtection="1">
      <alignment horizontal="center" vertical="top"/>
      <protection locked="0"/>
    </xf>
    <xf numFmtId="0" fontId="23" fillId="0" borderId="15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right" vertical="top"/>
      <protection locked="0"/>
    </xf>
    <xf numFmtId="0" fontId="15" fillId="4" borderId="15" xfId="0" applyFont="1" applyFill="1" applyBorder="1" applyAlignment="1" applyProtection="1">
      <alignment horizontal="center" vertical="top" wrapText="1"/>
      <protection locked="0"/>
    </xf>
    <xf numFmtId="0" fontId="14" fillId="4" borderId="15" xfId="0" applyFont="1" applyFill="1" applyBorder="1" applyAlignment="1" applyProtection="1">
      <alignment horizontal="center" vertical="top" wrapText="1"/>
      <protection locked="0"/>
    </xf>
    <xf numFmtId="0" fontId="23" fillId="0" borderId="15" xfId="0" applyFont="1" applyBorder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</c:spPr>
          <c:invertIfNegative val="0"/>
          <c:cat>
            <c:strRef>
              <c:f>'Gantt Chart'!$B$10:$B$99</c:f>
              <c:strCache>
                <c:ptCount val="2"/>
                <c:pt idx="0">
                  <c:v>1</c:v>
                </c:pt>
                <c:pt idx="1">
                  <c:v>M1.1</c:v>
                </c:pt>
              </c:strCache>
            </c:strRef>
          </c:cat>
          <c:val>
            <c:numRef>
              <c:f>'Gantt Chart'!$AM$10:$AM$99</c:f>
              <c:numCache>
                <c:formatCode>General</c:formatCode>
                <c:ptCount val="90"/>
                <c:pt idx="0">
                  <c:v>0</c:v>
                </c:pt>
                <c:pt idx="1">
                  <c:v>1.5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4-47F6-AE78-2F265B723F9B}"/>
            </c:ext>
          </c:extLst>
        </c:ser>
        <c:ser>
          <c:idx val="1"/>
          <c:order val="1"/>
          <c:spPr>
            <a:solidFill>
              <a:schemeClr val="accent1"/>
            </a:solidFill>
          </c:spPr>
          <c:invertIfNegative val="0"/>
          <c:dPt>
            <c:idx val="64"/>
            <c:invertIfNegative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2-3734-47F6-AE78-2F265B723F9B}"/>
              </c:ext>
            </c:extLst>
          </c:dPt>
          <c:dPt>
            <c:idx val="76"/>
            <c:invertIfNegative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4-3734-47F6-AE78-2F265B723F9B}"/>
              </c:ext>
            </c:extLst>
          </c:dPt>
          <c:dPt>
            <c:idx val="80"/>
            <c:invertIfNegative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6-3734-47F6-AE78-2F265B723F9B}"/>
              </c:ext>
            </c:extLst>
          </c:dPt>
          <c:cat>
            <c:strRef>
              <c:f>'Gantt Chart'!$B$10:$B$99</c:f>
              <c:strCache>
                <c:ptCount val="2"/>
                <c:pt idx="0">
                  <c:v>1</c:v>
                </c:pt>
                <c:pt idx="1">
                  <c:v>M1.1</c:v>
                </c:pt>
              </c:strCache>
            </c:strRef>
          </c:cat>
          <c:val>
            <c:numRef>
              <c:f>'Gantt Chart'!$AI$10:$AI$99</c:f>
              <c:numCache>
                <c:formatCode>General</c:formatCode>
                <c:ptCount val="9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34-47F6-AE78-2F265B723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9163792"/>
        <c:axId val="469164184"/>
      </c:barChart>
      <c:catAx>
        <c:axId val="46916379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469164184"/>
        <c:crosses val="autoZero"/>
        <c:auto val="1"/>
        <c:lblAlgn val="ctr"/>
        <c:lblOffset val="100"/>
        <c:noMultiLvlLbl val="0"/>
      </c:catAx>
      <c:valAx>
        <c:axId val="469164184"/>
        <c:scaling>
          <c:orientation val="minMax"/>
          <c:max val="13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46916379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433" l="0.70000000000000095" r="0.70000000000000095" t="0.750000000000004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1677572067128E-3"/>
          <c:y val="3.4175166640291227E-3"/>
          <c:w val="0.99558312205400767"/>
          <c:h val="0.9838308599835190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triang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'Gantt Chart'!$AJ$10:$AJ$99</c:f>
              <c:numCache>
                <c:formatCode>General</c:formatCode>
                <c:ptCount val="90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</c:numCache>
            </c:numRef>
          </c:xVal>
          <c:yVal>
            <c:numRef>
              <c:f>'Gantt Chart'!$AL$10:$AL$99</c:f>
              <c:numCache>
                <c:formatCode>General</c:formatCode>
                <c:ptCount val="90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-10</c:v>
                </c:pt>
                <c:pt idx="10">
                  <c:v>-11</c:v>
                </c:pt>
                <c:pt idx="11">
                  <c:v>-12</c:v>
                </c:pt>
                <c:pt idx="12">
                  <c:v>-13</c:v>
                </c:pt>
                <c:pt idx="13">
                  <c:v>-14</c:v>
                </c:pt>
                <c:pt idx="14">
                  <c:v>-15</c:v>
                </c:pt>
                <c:pt idx="15">
                  <c:v>-16</c:v>
                </c:pt>
                <c:pt idx="16">
                  <c:v>-17</c:v>
                </c:pt>
                <c:pt idx="17">
                  <c:v>-18</c:v>
                </c:pt>
                <c:pt idx="18">
                  <c:v>-19</c:v>
                </c:pt>
                <c:pt idx="19">
                  <c:v>-20</c:v>
                </c:pt>
                <c:pt idx="20">
                  <c:v>-21</c:v>
                </c:pt>
                <c:pt idx="21">
                  <c:v>-22</c:v>
                </c:pt>
                <c:pt idx="22">
                  <c:v>-23</c:v>
                </c:pt>
                <c:pt idx="23">
                  <c:v>-24</c:v>
                </c:pt>
                <c:pt idx="24">
                  <c:v>-25</c:v>
                </c:pt>
                <c:pt idx="25">
                  <c:v>-26</c:v>
                </c:pt>
                <c:pt idx="26">
                  <c:v>-27</c:v>
                </c:pt>
                <c:pt idx="27">
                  <c:v>-28</c:v>
                </c:pt>
                <c:pt idx="28">
                  <c:v>-29</c:v>
                </c:pt>
                <c:pt idx="29">
                  <c:v>-30</c:v>
                </c:pt>
                <c:pt idx="30">
                  <c:v>-31</c:v>
                </c:pt>
                <c:pt idx="31">
                  <c:v>-32</c:v>
                </c:pt>
                <c:pt idx="32">
                  <c:v>-33</c:v>
                </c:pt>
                <c:pt idx="33">
                  <c:v>-34</c:v>
                </c:pt>
                <c:pt idx="34">
                  <c:v>-35</c:v>
                </c:pt>
                <c:pt idx="35">
                  <c:v>-36</c:v>
                </c:pt>
                <c:pt idx="36">
                  <c:v>-37</c:v>
                </c:pt>
                <c:pt idx="37">
                  <c:v>-38</c:v>
                </c:pt>
                <c:pt idx="38">
                  <c:v>-39</c:v>
                </c:pt>
                <c:pt idx="39">
                  <c:v>-40</c:v>
                </c:pt>
                <c:pt idx="40">
                  <c:v>-41</c:v>
                </c:pt>
                <c:pt idx="41">
                  <c:v>-42</c:v>
                </c:pt>
                <c:pt idx="42">
                  <c:v>-43</c:v>
                </c:pt>
                <c:pt idx="43">
                  <c:v>-44</c:v>
                </c:pt>
                <c:pt idx="44">
                  <c:v>-45</c:v>
                </c:pt>
                <c:pt idx="45">
                  <c:v>-46</c:v>
                </c:pt>
                <c:pt idx="46">
                  <c:v>-47</c:v>
                </c:pt>
                <c:pt idx="47">
                  <c:v>-48</c:v>
                </c:pt>
                <c:pt idx="48">
                  <c:v>-49</c:v>
                </c:pt>
                <c:pt idx="49">
                  <c:v>-50</c:v>
                </c:pt>
                <c:pt idx="50">
                  <c:v>-51</c:v>
                </c:pt>
                <c:pt idx="51">
                  <c:v>-52</c:v>
                </c:pt>
                <c:pt idx="52">
                  <c:v>-53</c:v>
                </c:pt>
                <c:pt idx="53">
                  <c:v>-54</c:v>
                </c:pt>
                <c:pt idx="54">
                  <c:v>-55</c:v>
                </c:pt>
                <c:pt idx="55">
                  <c:v>-56</c:v>
                </c:pt>
                <c:pt idx="56">
                  <c:v>-57</c:v>
                </c:pt>
                <c:pt idx="57">
                  <c:v>-58</c:v>
                </c:pt>
                <c:pt idx="58">
                  <c:v>-59</c:v>
                </c:pt>
                <c:pt idx="59">
                  <c:v>-60</c:v>
                </c:pt>
                <c:pt idx="60">
                  <c:v>-61</c:v>
                </c:pt>
                <c:pt idx="61">
                  <c:v>-62</c:v>
                </c:pt>
                <c:pt idx="62">
                  <c:v>-63</c:v>
                </c:pt>
                <c:pt idx="63">
                  <c:v>-64</c:v>
                </c:pt>
                <c:pt idx="64">
                  <c:v>-65</c:v>
                </c:pt>
                <c:pt idx="65">
                  <c:v>-66</c:v>
                </c:pt>
                <c:pt idx="66">
                  <c:v>-67</c:v>
                </c:pt>
                <c:pt idx="67">
                  <c:v>-68</c:v>
                </c:pt>
                <c:pt idx="68">
                  <c:v>-69</c:v>
                </c:pt>
                <c:pt idx="69">
                  <c:v>-70</c:v>
                </c:pt>
                <c:pt idx="70">
                  <c:v>-71</c:v>
                </c:pt>
                <c:pt idx="71">
                  <c:v>-72</c:v>
                </c:pt>
                <c:pt idx="72">
                  <c:v>-73</c:v>
                </c:pt>
                <c:pt idx="73">
                  <c:v>-74</c:v>
                </c:pt>
                <c:pt idx="74">
                  <c:v>-75</c:v>
                </c:pt>
                <c:pt idx="75">
                  <c:v>-76</c:v>
                </c:pt>
                <c:pt idx="76">
                  <c:v>-77</c:v>
                </c:pt>
                <c:pt idx="77">
                  <c:v>-78</c:v>
                </c:pt>
                <c:pt idx="78">
                  <c:v>-79</c:v>
                </c:pt>
                <c:pt idx="79">
                  <c:v>-80</c:v>
                </c:pt>
                <c:pt idx="80">
                  <c:v>-81</c:v>
                </c:pt>
                <c:pt idx="81">
                  <c:v>-82</c:v>
                </c:pt>
                <c:pt idx="82">
                  <c:v>-83</c:v>
                </c:pt>
                <c:pt idx="83">
                  <c:v>-84</c:v>
                </c:pt>
                <c:pt idx="84">
                  <c:v>-85</c:v>
                </c:pt>
                <c:pt idx="85">
                  <c:v>-86</c:v>
                </c:pt>
                <c:pt idx="86">
                  <c:v>-87</c:v>
                </c:pt>
                <c:pt idx="87">
                  <c:v>-88</c:v>
                </c:pt>
                <c:pt idx="88">
                  <c:v>-89</c:v>
                </c:pt>
                <c:pt idx="89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B-4E54-901E-68AA658F332C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'Gantt Chart'!$AL$10:$AL$44</c:f>
              <c:numCache>
                <c:formatCode>General</c:formatCode>
                <c:ptCount val="3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-10</c:v>
                </c:pt>
                <c:pt idx="10">
                  <c:v>-11</c:v>
                </c:pt>
                <c:pt idx="11">
                  <c:v>-12</c:v>
                </c:pt>
                <c:pt idx="12">
                  <c:v>-13</c:v>
                </c:pt>
                <c:pt idx="13">
                  <c:v>-14</c:v>
                </c:pt>
                <c:pt idx="14">
                  <c:v>-15</c:v>
                </c:pt>
                <c:pt idx="15">
                  <c:v>-16</c:v>
                </c:pt>
                <c:pt idx="16">
                  <c:v>-17</c:v>
                </c:pt>
                <c:pt idx="17">
                  <c:v>-18</c:v>
                </c:pt>
                <c:pt idx="18">
                  <c:v>-19</c:v>
                </c:pt>
                <c:pt idx="19">
                  <c:v>-20</c:v>
                </c:pt>
                <c:pt idx="20">
                  <c:v>-21</c:v>
                </c:pt>
                <c:pt idx="21">
                  <c:v>-22</c:v>
                </c:pt>
                <c:pt idx="22">
                  <c:v>-23</c:v>
                </c:pt>
                <c:pt idx="23">
                  <c:v>-24</c:v>
                </c:pt>
                <c:pt idx="24">
                  <c:v>-25</c:v>
                </c:pt>
                <c:pt idx="25">
                  <c:v>-26</c:v>
                </c:pt>
                <c:pt idx="26">
                  <c:v>-27</c:v>
                </c:pt>
                <c:pt idx="27">
                  <c:v>-28</c:v>
                </c:pt>
                <c:pt idx="28">
                  <c:v>-29</c:v>
                </c:pt>
                <c:pt idx="29">
                  <c:v>-30</c:v>
                </c:pt>
                <c:pt idx="30">
                  <c:v>-31</c:v>
                </c:pt>
                <c:pt idx="31">
                  <c:v>-32</c:v>
                </c:pt>
                <c:pt idx="32">
                  <c:v>-33</c:v>
                </c:pt>
                <c:pt idx="33">
                  <c:v>-34</c:v>
                </c:pt>
                <c:pt idx="34">
                  <c:v>-35</c:v>
                </c:pt>
              </c:numCache>
            </c:numRef>
          </c:xVal>
          <c:yVal>
            <c:numRef>
              <c:f>'Gantt Chart'!$AK$10:$AK$44</c:f>
              <c:numCache>
                <c:formatCode>General</c:formatCode>
                <c:ptCount val="3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B-4E54-901E-68AA658F332C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'Gantt Chart'!$AK$10:$AK$99</c:f>
              <c:numCache>
                <c:formatCode>General</c:formatCode>
                <c:ptCount val="9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</c:numCache>
            </c:numRef>
          </c:xVal>
          <c:yVal>
            <c:numRef>
              <c:f>'Gantt Chart'!$AL$10:$AL$99</c:f>
              <c:numCache>
                <c:formatCode>General</c:formatCode>
                <c:ptCount val="90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-10</c:v>
                </c:pt>
                <c:pt idx="10">
                  <c:v>-11</c:v>
                </c:pt>
                <c:pt idx="11">
                  <c:v>-12</c:v>
                </c:pt>
                <c:pt idx="12">
                  <c:v>-13</c:v>
                </c:pt>
                <c:pt idx="13">
                  <c:v>-14</c:v>
                </c:pt>
                <c:pt idx="14">
                  <c:v>-15</c:v>
                </c:pt>
                <c:pt idx="15">
                  <c:v>-16</c:v>
                </c:pt>
                <c:pt idx="16">
                  <c:v>-17</c:v>
                </c:pt>
                <c:pt idx="17">
                  <c:v>-18</c:v>
                </c:pt>
                <c:pt idx="18">
                  <c:v>-19</c:v>
                </c:pt>
                <c:pt idx="19">
                  <c:v>-20</c:v>
                </c:pt>
                <c:pt idx="20">
                  <c:v>-21</c:v>
                </c:pt>
                <c:pt idx="21">
                  <c:v>-22</c:v>
                </c:pt>
                <c:pt idx="22">
                  <c:v>-23</c:v>
                </c:pt>
                <c:pt idx="23">
                  <c:v>-24</c:v>
                </c:pt>
                <c:pt idx="24">
                  <c:v>-25</c:v>
                </c:pt>
                <c:pt idx="25">
                  <c:v>-26</c:v>
                </c:pt>
                <c:pt idx="26">
                  <c:v>-27</c:v>
                </c:pt>
                <c:pt idx="27">
                  <c:v>-28</c:v>
                </c:pt>
                <c:pt idx="28">
                  <c:v>-29</c:v>
                </c:pt>
                <c:pt idx="29">
                  <c:v>-30</c:v>
                </c:pt>
                <c:pt idx="30">
                  <c:v>-31</c:v>
                </c:pt>
                <c:pt idx="31">
                  <c:v>-32</c:v>
                </c:pt>
                <c:pt idx="32">
                  <c:v>-33</c:v>
                </c:pt>
                <c:pt idx="33">
                  <c:v>-34</c:v>
                </c:pt>
                <c:pt idx="34">
                  <c:v>-35</c:v>
                </c:pt>
                <c:pt idx="35">
                  <c:v>-36</c:v>
                </c:pt>
                <c:pt idx="36">
                  <c:v>-37</c:v>
                </c:pt>
                <c:pt idx="37">
                  <c:v>-38</c:v>
                </c:pt>
                <c:pt idx="38">
                  <c:v>-39</c:v>
                </c:pt>
                <c:pt idx="39">
                  <c:v>-40</c:v>
                </c:pt>
                <c:pt idx="40">
                  <c:v>-41</c:v>
                </c:pt>
                <c:pt idx="41">
                  <c:v>-42</c:v>
                </c:pt>
                <c:pt idx="42">
                  <c:v>-43</c:v>
                </c:pt>
                <c:pt idx="43">
                  <c:v>-44</c:v>
                </c:pt>
                <c:pt idx="44">
                  <c:v>-45</c:v>
                </c:pt>
                <c:pt idx="45">
                  <c:v>-46</c:v>
                </c:pt>
                <c:pt idx="46">
                  <c:v>-47</c:v>
                </c:pt>
                <c:pt idx="47">
                  <c:v>-48</c:v>
                </c:pt>
                <c:pt idx="48">
                  <c:v>-49</c:v>
                </c:pt>
                <c:pt idx="49">
                  <c:v>-50</c:v>
                </c:pt>
                <c:pt idx="50">
                  <c:v>-51</c:v>
                </c:pt>
                <c:pt idx="51">
                  <c:v>-52</c:v>
                </c:pt>
                <c:pt idx="52">
                  <c:v>-53</c:v>
                </c:pt>
                <c:pt idx="53">
                  <c:v>-54</c:v>
                </c:pt>
                <c:pt idx="54">
                  <c:v>-55</c:v>
                </c:pt>
                <c:pt idx="55">
                  <c:v>-56</c:v>
                </c:pt>
                <c:pt idx="56">
                  <c:v>-57</c:v>
                </c:pt>
                <c:pt idx="57">
                  <c:v>-58</c:v>
                </c:pt>
                <c:pt idx="58">
                  <c:v>-59</c:v>
                </c:pt>
                <c:pt idx="59">
                  <c:v>-60</c:v>
                </c:pt>
                <c:pt idx="60">
                  <c:v>-61</c:v>
                </c:pt>
                <c:pt idx="61">
                  <c:v>-62</c:v>
                </c:pt>
                <c:pt idx="62">
                  <c:v>-63</c:v>
                </c:pt>
                <c:pt idx="63">
                  <c:v>-64</c:v>
                </c:pt>
                <c:pt idx="64">
                  <c:v>-65</c:v>
                </c:pt>
                <c:pt idx="65">
                  <c:v>-66</c:v>
                </c:pt>
                <c:pt idx="66">
                  <c:v>-67</c:v>
                </c:pt>
                <c:pt idx="67">
                  <c:v>-68</c:v>
                </c:pt>
                <c:pt idx="68">
                  <c:v>-69</c:v>
                </c:pt>
                <c:pt idx="69">
                  <c:v>-70</c:v>
                </c:pt>
                <c:pt idx="70">
                  <c:v>-71</c:v>
                </c:pt>
                <c:pt idx="71">
                  <c:v>-72</c:v>
                </c:pt>
                <c:pt idx="72">
                  <c:v>-73</c:v>
                </c:pt>
                <c:pt idx="73">
                  <c:v>-74</c:v>
                </c:pt>
                <c:pt idx="74">
                  <c:v>-75</c:v>
                </c:pt>
                <c:pt idx="75">
                  <c:v>-76</c:v>
                </c:pt>
                <c:pt idx="76">
                  <c:v>-77</c:v>
                </c:pt>
                <c:pt idx="77">
                  <c:v>-78</c:v>
                </c:pt>
                <c:pt idx="78">
                  <c:v>-79</c:v>
                </c:pt>
                <c:pt idx="79">
                  <c:v>-80</c:v>
                </c:pt>
                <c:pt idx="80">
                  <c:v>-81</c:v>
                </c:pt>
                <c:pt idx="81">
                  <c:v>-82</c:v>
                </c:pt>
                <c:pt idx="82">
                  <c:v>-83</c:v>
                </c:pt>
                <c:pt idx="83">
                  <c:v>-84</c:v>
                </c:pt>
                <c:pt idx="84">
                  <c:v>-85</c:v>
                </c:pt>
                <c:pt idx="85">
                  <c:v>-86</c:v>
                </c:pt>
                <c:pt idx="86">
                  <c:v>-87</c:v>
                </c:pt>
                <c:pt idx="87">
                  <c:v>-88</c:v>
                </c:pt>
                <c:pt idx="88">
                  <c:v>-89</c:v>
                </c:pt>
                <c:pt idx="89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CB-4E54-901E-68AA658F3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163008"/>
        <c:axId val="469164576"/>
      </c:scatterChart>
      <c:valAx>
        <c:axId val="469163008"/>
        <c:scaling>
          <c:orientation val="minMax"/>
          <c:max val="13"/>
          <c:min val="0"/>
        </c:scaling>
        <c:delete val="1"/>
        <c:axPos val="b"/>
        <c:numFmt formatCode="General" sourceLinked="1"/>
        <c:majorTickMark val="out"/>
        <c:minorTickMark val="none"/>
        <c:tickLblPos val="none"/>
        <c:crossAx val="469164576"/>
        <c:crosses val="autoZero"/>
        <c:crossBetween val="midCat"/>
        <c:majorUnit val="1"/>
      </c:valAx>
      <c:valAx>
        <c:axId val="469164576"/>
        <c:scaling>
          <c:orientation val="minMax"/>
          <c:max val="-1"/>
          <c:min val="-90"/>
        </c:scaling>
        <c:delete val="1"/>
        <c:axPos val="l"/>
        <c:numFmt formatCode="General" sourceLinked="1"/>
        <c:majorTickMark val="out"/>
        <c:minorTickMark val="none"/>
        <c:tickLblPos val="none"/>
        <c:crossAx val="469163008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433" l="0.70000000000000095" r="0.70000000000000095" t="0.750000000000004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406591447762811E-3"/>
          <c:y val="5.2592686944325454E-3"/>
          <c:w val="0.99558312205400767"/>
          <c:h val="0.9838308599835190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triang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'Gantt Chart'!$AJ$100:$AJ$199</c:f>
              <c:numCache>
                <c:formatCode>General</c:formatCode>
                <c:ptCount val="10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</c:numCache>
            </c:numRef>
          </c:xVal>
          <c:yVal>
            <c:numRef>
              <c:f>'Gantt Chart'!$AL$10:$AL$99</c:f>
              <c:numCache>
                <c:formatCode>General</c:formatCode>
                <c:ptCount val="90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-10</c:v>
                </c:pt>
                <c:pt idx="10">
                  <c:v>-11</c:v>
                </c:pt>
                <c:pt idx="11">
                  <c:v>-12</c:v>
                </c:pt>
                <c:pt idx="12">
                  <c:v>-13</c:v>
                </c:pt>
                <c:pt idx="13">
                  <c:v>-14</c:v>
                </c:pt>
                <c:pt idx="14">
                  <c:v>-15</c:v>
                </c:pt>
                <c:pt idx="15">
                  <c:v>-16</c:v>
                </c:pt>
                <c:pt idx="16">
                  <c:v>-17</c:v>
                </c:pt>
                <c:pt idx="17">
                  <c:v>-18</c:v>
                </c:pt>
                <c:pt idx="18">
                  <c:v>-19</c:v>
                </c:pt>
                <c:pt idx="19">
                  <c:v>-20</c:v>
                </c:pt>
                <c:pt idx="20">
                  <c:v>-21</c:v>
                </c:pt>
                <c:pt idx="21">
                  <c:v>-22</c:v>
                </c:pt>
                <c:pt idx="22">
                  <c:v>-23</c:v>
                </c:pt>
                <c:pt idx="23">
                  <c:v>-24</c:v>
                </c:pt>
                <c:pt idx="24">
                  <c:v>-25</c:v>
                </c:pt>
                <c:pt idx="25">
                  <c:v>-26</c:v>
                </c:pt>
                <c:pt idx="26">
                  <c:v>-27</c:v>
                </c:pt>
                <c:pt idx="27">
                  <c:v>-28</c:v>
                </c:pt>
                <c:pt idx="28">
                  <c:v>-29</c:v>
                </c:pt>
                <c:pt idx="29">
                  <c:v>-30</c:v>
                </c:pt>
                <c:pt idx="30">
                  <c:v>-31</c:v>
                </c:pt>
                <c:pt idx="31">
                  <c:v>-32</c:v>
                </c:pt>
                <c:pt idx="32">
                  <c:v>-33</c:v>
                </c:pt>
                <c:pt idx="33">
                  <c:v>-34</c:v>
                </c:pt>
                <c:pt idx="34">
                  <c:v>-35</c:v>
                </c:pt>
                <c:pt idx="35">
                  <c:v>-36</c:v>
                </c:pt>
                <c:pt idx="36">
                  <c:v>-37</c:v>
                </c:pt>
                <c:pt idx="37">
                  <c:v>-38</c:v>
                </c:pt>
                <c:pt idx="38">
                  <c:v>-39</c:v>
                </c:pt>
                <c:pt idx="39">
                  <c:v>-40</c:v>
                </c:pt>
                <c:pt idx="40">
                  <c:v>-41</c:v>
                </c:pt>
                <c:pt idx="41">
                  <c:v>-42</c:v>
                </c:pt>
                <c:pt idx="42">
                  <c:v>-43</c:v>
                </c:pt>
                <c:pt idx="43">
                  <c:v>-44</c:v>
                </c:pt>
                <c:pt idx="44">
                  <c:v>-45</c:v>
                </c:pt>
                <c:pt idx="45">
                  <c:v>-46</c:v>
                </c:pt>
                <c:pt idx="46">
                  <c:v>-47</c:v>
                </c:pt>
                <c:pt idx="47">
                  <c:v>-48</c:v>
                </c:pt>
                <c:pt idx="48">
                  <c:v>-49</c:v>
                </c:pt>
                <c:pt idx="49">
                  <c:v>-50</c:v>
                </c:pt>
                <c:pt idx="50">
                  <c:v>-51</c:v>
                </c:pt>
                <c:pt idx="51">
                  <c:v>-52</c:v>
                </c:pt>
                <c:pt idx="52">
                  <c:v>-53</c:v>
                </c:pt>
                <c:pt idx="53">
                  <c:v>-54</c:v>
                </c:pt>
                <c:pt idx="54">
                  <c:v>-55</c:v>
                </c:pt>
                <c:pt idx="55">
                  <c:v>-56</c:v>
                </c:pt>
                <c:pt idx="56">
                  <c:v>-57</c:v>
                </c:pt>
                <c:pt idx="57">
                  <c:v>-58</c:v>
                </c:pt>
                <c:pt idx="58">
                  <c:v>-59</c:v>
                </c:pt>
                <c:pt idx="59">
                  <c:v>-60</c:v>
                </c:pt>
                <c:pt idx="60">
                  <c:v>-61</c:v>
                </c:pt>
                <c:pt idx="61">
                  <c:v>-62</c:v>
                </c:pt>
                <c:pt idx="62">
                  <c:v>-63</c:v>
                </c:pt>
                <c:pt idx="63">
                  <c:v>-64</c:v>
                </c:pt>
                <c:pt idx="64">
                  <c:v>-65</c:v>
                </c:pt>
                <c:pt idx="65">
                  <c:v>-66</c:v>
                </c:pt>
                <c:pt idx="66">
                  <c:v>-67</c:v>
                </c:pt>
                <c:pt idx="67">
                  <c:v>-68</c:v>
                </c:pt>
                <c:pt idx="68">
                  <c:v>-69</c:v>
                </c:pt>
                <c:pt idx="69">
                  <c:v>-70</c:v>
                </c:pt>
                <c:pt idx="70">
                  <c:v>-71</c:v>
                </c:pt>
                <c:pt idx="71">
                  <c:v>-72</c:v>
                </c:pt>
                <c:pt idx="72">
                  <c:v>-73</c:v>
                </c:pt>
                <c:pt idx="73">
                  <c:v>-74</c:v>
                </c:pt>
                <c:pt idx="74">
                  <c:v>-75</c:v>
                </c:pt>
                <c:pt idx="75">
                  <c:v>-76</c:v>
                </c:pt>
                <c:pt idx="76">
                  <c:v>-77</c:v>
                </c:pt>
                <c:pt idx="77">
                  <c:v>-78</c:v>
                </c:pt>
                <c:pt idx="78">
                  <c:v>-79</c:v>
                </c:pt>
                <c:pt idx="79">
                  <c:v>-80</c:v>
                </c:pt>
                <c:pt idx="80">
                  <c:v>-81</c:v>
                </c:pt>
                <c:pt idx="81">
                  <c:v>-82</c:v>
                </c:pt>
                <c:pt idx="82">
                  <c:v>-83</c:v>
                </c:pt>
                <c:pt idx="83">
                  <c:v>-84</c:v>
                </c:pt>
                <c:pt idx="84">
                  <c:v>-85</c:v>
                </c:pt>
                <c:pt idx="85">
                  <c:v>-86</c:v>
                </c:pt>
                <c:pt idx="86">
                  <c:v>-87</c:v>
                </c:pt>
                <c:pt idx="87">
                  <c:v>-88</c:v>
                </c:pt>
                <c:pt idx="88">
                  <c:v>-89</c:v>
                </c:pt>
                <c:pt idx="89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B-43C9-92C6-C030E6609265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'Gantt Chart'!$AL$100:$AL$199</c:f>
              <c:numCache>
                <c:formatCode>General</c:formatCode>
                <c:ptCount val="100"/>
                <c:pt idx="0">
                  <c:v>-91</c:v>
                </c:pt>
                <c:pt idx="1">
                  <c:v>-92</c:v>
                </c:pt>
                <c:pt idx="2">
                  <c:v>-93</c:v>
                </c:pt>
                <c:pt idx="3">
                  <c:v>-94</c:v>
                </c:pt>
                <c:pt idx="4">
                  <c:v>-95</c:v>
                </c:pt>
                <c:pt idx="5">
                  <c:v>-96</c:v>
                </c:pt>
                <c:pt idx="6">
                  <c:v>-97</c:v>
                </c:pt>
                <c:pt idx="7">
                  <c:v>-98</c:v>
                </c:pt>
                <c:pt idx="8">
                  <c:v>-99</c:v>
                </c:pt>
                <c:pt idx="9">
                  <c:v>-100</c:v>
                </c:pt>
                <c:pt idx="10">
                  <c:v>-101</c:v>
                </c:pt>
                <c:pt idx="11">
                  <c:v>-102</c:v>
                </c:pt>
                <c:pt idx="12">
                  <c:v>-103</c:v>
                </c:pt>
                <c:pt idx="13">
                  <c:v>-104</c:v>
                </c:pt>
                <c:pt idx="14">
                  <c:v>-105</c:v>
                </c:pt>
                <c:pt idx="15">
                  <c:v>-106</c:v>
                </c:pt>
                <c:pt idx="16">
                  <c:v>-107</c:v>
                </c:pt>
                <c:pt idx="17">
                  <c:v>-108</c:v>
                </c:pt>
                <c:pt idx="18">
                  <c:v>-109</c:v>
                </c:pt>
                <c:pt idx="19">
                  <c:v>-110</c:v>
                </c:pt>
                <c:pt idx="20">
                  <c:v>-111</c:v>
                </c:pt>
                <c:pt idx="21">
                  <c:v>-112</c:v>
                </c:pt>
                <c:pt idx="22">
                  <c:v>-113</c:v>
                </c:pt>
                <c:pt idx="23">
                  <c:v>-114</c:v>
                </c:pt>
                <c:pt idx="24">
                  <c:v>-115</c:v>
                </c:pt>
                <c:pt idx="25">
                  <c:v>-116</c:v>
                </c:pt>
                <c:pt idx="26">
                  <c:v>-117</c:v>
                </c:pt>
                <c:pt idx="27">
                  <c:v>-118</c:v>
                </c:pt>
                <c:pt idx="28">
                  <c:v>-119</c:v>
                </c:pt>
                <c:pt idx="29">
                  <c:v>-120</c:v>
                </c:pt>
                <c:pt idx="30">
                  <c:v>-121</c:v>
                </c:pt>
                <c:pt idx="31">
                  <c:v>-122</c:v>
                </c:pt>
                <c:pt idx="32">
                  <c:v>-123</c:v>
                </c:pt>
                <c:pt idx="33">
                  <c:v>-124</c:v>
                </c:pt>
                <c:pt idx="34">
                  <c:v>-125</c:v>
                </c:pt>
                <c:pt idx="35">
                  <c:v>-126</c:v>
                </c:pt>
                <c:pt idx="36">
                  <c:v>-127</c:v>
                </c:pt>
                <c:pt idx="37">
                  <c:v>-128</c:v>
                </c:pt>
                <c:pt idx="38">
                  <c:v>-129</c:v>
                </c:pt>
                <c:pt idx="39">
                  <c:v>-130</c:v>
                </c:pt>
                <c:pt idx="40">
                  <c:v>-131</c:v>
                </c:pt>
                <c:pt idx="41">
                  <c:v>-132</c:v>
                </c:pt>
                <c:pt idx="42">
                  <c:v>-133</c:v>
                </c:pt>
                <c:pt idx="43">
                  <c:v>-134</c:v>
                </c:pt>
                <c:pt idx="44">
                  <c:v>-135</c:v>
                </c:pt>
                <c:pt idx="45">
                  <c:v>-136</c:v>
                </c:pt>
                <c:pt idx="46">
                  <c:v>-137</c:v>
                </c:pt>
                <c:pt idx="47">
                  <c:v>-138</c:v>
                </c:pt>
                <c:pt idx="48">
                  <c:v>-139</c:v>
                </c:pt>
                <c:pt idx="49">
                  <c:v>-140</c:v>
                </c:pt>
                <c:pt idx="50">
                  <c:v>-141</c:v>
                </c:pt>
                <c:pt idx="51">
                  <c:v>-142</c:v>
                </c:pt>
                <c:pt idx="52">
                  <c:v>-143</c:v>
                </c:pt>
                <c:pt idx="53">
                  <c:v>-144</c:v>
                </c:pt>
                <c:pt idx="54">
                  <c:v>-145</c:v>
                </c:pt>
                <c:pt idx="55">
                  <c:v>-146</c:v>
                </c:pt>
                <c:pt idx="56">
                  <c:v>-147</c:v>
                </c:pt>
                <c:pt idx="57">
                  <c:v>-148</c:v>
                </c:pt>
                <c:pt idx="58">
                  <c:v>-149</c:v>
                </c:pt>
                <c:pt idx="59">
                  <c:v>-150</c:v>
                </c:pt>
                <c:pt idx="60">
                  <c:v>-151</c:v>
                </c:pt>
                <c:pt idx="61">
                  <c:v>-152</c:v>
                </c:pt>
                <c:pt idx="62">
                  <c:v>-153</c:v>
                </c:pt>
                <c:pt idx="63">
                  <c:v>-154</c:v>
                </c:pt>
                <c:pt idx="64">
                  <c:v>-155</c:v>
                </c:pt>
                <c:pt idx="65">
                  <c:v>-156</c:v>
                </c:pt>
                <c:pt idx="66">
                  <c:v>-157</c:v>
                </c:pt>
                <c:pt idx="67">
                  <c:v>-158</c:v>
                </c:pt>
                <c:pt idx="68">
                  <c:v>-159</c:v>
                </c:pt>
                <c:pt idx="69">
                  <c:v>-160</c:v>
                </c:pt>
                <c:pt idx="70">
                  <c:v>-161</c:v>
                </c:pt>
                <c:pt idx="71">
                  <c:v>-162</c:v>
                </c:pt>
                <c:pt idx="72">
                  <c:v>-163</c:v>
                </c:pt>
                <c:pt idx="73">
                  <c:v>-164</c:v>
                </c:pt>
                <c:pt idx="74">
                  <c:v>-165</c:v>
                </c:pt>
                <c:pt idx="75">
                  <c:v>-166</c:v>
                </c:pt>
                <c:pt idx="76">
                  <c:v>-167</c:v>
                </c:pt>
                <c:pt idx="77">
                  <c:v>-168</c:v>
                </c:pt>
                <c:pt idx="78">
                  <c:v>-169</c:v>
                </c:pt>
                <c:pt idx="79">
                  <c:v>-170</c:v>
                </c:pt>
                <c:pt idx="80">
                  <c:v>-171</c:v>
                </c:pt>
                <c:pt idx="81">
                  <c:v>-172</c:v>
                </c:pt>
                <c:pt idx="82">
                  <c:v>-173</c:v>
                </c:pt>
                <c:pt idx="83">
                  <c:v>-174</c:v>
                </c:pt>
                <c:pt idx="84">
                  <c:v>-175</c:v>
                </c:pt>
                <c:pt idx="85">
                  <c:v>-176</c:v>
                </c:pt>
                <c:pt idx="86">
                  <c:v>-177</c:v>
                </c:pt>
                <c:pt idx="87">
                  <c:v>-178</c:v>
                </c:pt>
                <c:pt idx="88">
                  <c:v>-179</c:v>
                </c:pt>
                <c:pt idx="89">
                  <c:v>-180</c:v>
                </c:pt>
              </c:numCache>
            </c:numRef>
          </c:xVal>
          <c:yVal>
            <c:numRef>
              <c:f>'Gantt Chart'!$AK$100:$AK$199</c:f>
              <c:numCache>
                <c:formatCode>General</c:formatCode>
                <c:ptCount val="10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4B-43C9-92C6-C030E6609265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'Gantt Chart'!$AK$100:$AK$199</c:f>
              <c:numCache>
                <c:formatCode>General</c:formatCode>
                <c:ptCount val="10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</c:numCache>
            </c:numRef>
          </c:xVal>
          <c:yVal>
            <c:numRef>
              <c:f>'Gantt Chart'!$AL$100:$AL$199</c:f>
              <c:numCache>
                <c:formatCode>General</c:formatCode>
                <c:ptCount val="100"/>
                <c:pt idx="0">
                  <c:v>-91</c:v>
                </c:pt>
                <c:pt idx="1">
                  <c:v>-92</c:v>
                </c:pt>
                <c:pt idx="2">
                  <c:v>-93</c:v>
                </c:pt>
                <c:pt idx="3">
                  <c:v>-94</c:v>
                </c:pt>
                <c:pt idx="4">
                  <c:v>-95</c:v>
                </c:pt>
                <c:pt idx="5">
                  <c:v>-96</c:v>
                </c:pt>
                <c:pt idx="6">
                  <c:v>-97</c:v>
                </c:pt>
                <c:pt idx="7">
                  <c:v>-98</c:v>
                </c:pt>
                <c:pt idx="8">
                  <c:v>-99</c:v>
                </c:pt>
                <c:pt idx="9">
                  <c:v>-100</c:v>
                </c:pt>
                <c:pt idx="10">
                  <c:v>-101</c:v>
                </c:pt>
                <c:pt idx="11">
                  <c:v>-102</c:v>
                </c:pt>
                <c:pt idx="12">
                  <c:v>-103</c:v>
                </c:pt>
                <c:pt idx="13">
                  <c:v>-104</c:v>
                </c:pt>
                <c:pt idx="14">
                  <c:v>-105</c:v>
                </c:pt>
                <c:pt idx="15">
                  <c:v>-106</c:v>
                </c:pt>
                <c:pt idx="16">
                  <c:v>-107</c:v>
                </c:pt>
                <c:pt idx="17">
                  <c:v>-108</c:v>
                </c:pt>
                <c:pt idx="18">
                  <c:v>-109</c:v>
                </c:pt>
                <c:pt idx="19">
                  <c:v>-110</c:v>
                </c:pt>
                <c:pt idx="20">
                  <c:v>-111</c:v>
                </c:pt>
                <c:pt idx="21">
                  <c:v>-112</c:v>
                </c:pt>
                <c:pt idx="22">
                  <c:v>-113</c:v>
                </c:pt>
                <c:pt idx="23">
                  <c:v>-114</c:v>
                </c:pt>
                <c:pt idx="24">
                  <c:v>-115</c:v>
                </c:pt>
                <c:pt idx="25">
                  <c:v>-116</c:v>
                </c:pt>
                <c:pt idx="26">
                  <c:v>-117</c:v>
                </c:pt>
                <c:pt idx="27">
                  <c:v>-118</c:v>
                </c:pt>
                <c:pt idx="28">
                  <c:v>-119</c:v>
                </c:pt>
                <c:pt idx="29">
                  <c:v>-120</c:v>
                </c:pt>
                <c:pt idx="30">
                  <c:v>-121</c:v>
                </c:pt>
                <c:pt idx="31">
                  <c:v>-122</c:v>
                </c:pt>
                <c:pt idx="32">
                  <c:v>-123</c:v>
                </c:pt>
                <c:pt idx="33">
                  <c:v>-124</c:v>
                </c:pt>
                <c:pt idx="34">
                  <c:v>-125</c:v>
                </c:pt>
                <c:pt idx="35">
                  <c:v>-126</c:v>
                </c:pt>
                <c:pt idx="36">
                  <c:v>-127</c:v>
                </c:pt>
                <c:pt idx="37">
                  <c:v>-128</c:v>
                </c:pt>
                <c:pt idx="38">
                  <c:v>-129</c:v>
                </c:pt>
                <c:pt idx="39">
                  <c:v>-130</c:v>
                </c:pt>
                <c:pt idx="40">
                  <c:v>-131</c:v>
                </c:pt>
                <c:pt idx="41">
                  <c:v>-132</c:v>
                </c:pt>
                <c:pt idx="42">
                  <c:v>-133</c:v>
                </c:pt>
                <c:pt idx="43">
                  <c:v>-134</c:v>
                </c:pt>
                <c:pt idx="44">
                  <c:v>-135</c:v>
                </c:pt>
                <c:pt idx="45">
                  <c:v>-136</c:v>
                </c:pt>
                <c:pt idx="46">
                  <c:v>-137</c:v>
                </c:pt>
                <c:pt idx="47">
                  <c:v>-138</c:v>
                </c:pt>
                <c:pt idx="48">
                  <c:v>-139</c:v>
                </c:pt>
                <c:pt idx="49">
                  <c:v>-140</c:v>
                </c:pt>
                <c:pt idx="50">
                  <c:v>-141</c:v>
                </c:pt>
                <c:pt idx="51">
                  <c:v>-142</c:v>
                </c:pt>
                <c:pt idx="52">
                  <c:v>-143</c:v>
                </c:pt>
                <c:pt idx="53">
                  <c:v>-144</c:v>
                </c:pt>
                <c:pt idx="54">
                  <c:v>-145</c:v>
                </c:pt>
                <c:pt idx="55">
                  <c:v>-146</c:v>
                </c:pt>
                <c:pt idx="56">
                  <c:v>-147</c:v>
                </c:pt>
                <c:pt idx="57">
                  <c:v>-148</c:v>
                </c:pt>
                <c:pt idx="58">
                  <c:v>-149</c:v>
                </c:pt>
                <c:pt idx="59">
                  <c:v>-150</c:v>
                </c:pt>
                <c:pt idx="60">
                  <c:v>-151</c:v>
                </c:pt>
                <c:pt idx="61">
                  <c:v>-152</c:v>
                </c:pt>
                <c:pt idx="62">
                  <c:v>-153</c:v>
                </c:pt>
                <c:pt idx="63">
                  <c:v>-154</c:v>
                </c:pt>
                <c:pt idx="64">
                  <c:v>-155</c:v>
                </c:pt>
                <c:pt idx="65">
                  <c:v>-156</c:v>
                </c:pt>
                <c:pt idx="66">
                  <c:v>-157</c:v>
                </c:pt>
                <c:pt idx="67">
                  <c:v>-158</c:v>
                </c:pt>
                <c:pt idx="68">
                  <c:v>-159</c:v>
                </c:pt>
                <c:pt idx="69">
                  <c:v>-160</c:v>
                </c:pt>
                <c:pt idx="70">
                  <c:v>-161</c:v>
                </c:pt>
                <c:pt idx="71">
                  <c:v>-162</c:v>
                </c:pt>
                <c:pt idx="72">
                  <c:v>-163</c:v>
                </c:pt>
                <c:pt idx="73">
                  <c:v>-164</c:v>
                </c:pt>
                <c:pt idx="74">
                  <c:v>-165</c:v>
                </c:pt>
                <c:pt idx="75">
                  <c:v>-166</c:v>
                </c:pt>
                <c:pt idx="76">
                  <c:v>-167</c:v>
                </c:pt>
                <c:pt idx="77">
                  <c:v>-168</c:v>
                </c:pt>
                <c:pt idx="78">
                  <c:v>-169</c:v>
                </c:pt>
                <c:pt idx="79">
                  <c:v>-170</c:v>
                </c:pt>
                <c:pt idx="80">
                  <c:v>-171</c:v>
                </c:pt>
                <c:pt idx="81">
                  <c:v>-172</c:v>
                </c:pt>
                <c:pt idx="82">
                  <c:v>-173</c:v>
                </c:pt>
                <c:pt idx="83">
                  <c:v>-174</c:v>
                </c:pt>
                <c:pt idx="84">
                  <c:v>-175</c:v>
                </c:pt>
                <c:pt idx="85">
                  <c:v>-176</c:v>
                </c:pt>
                <c:pt idx="86">
                  <c:v>-177</c:v>
                </c:pt>
                <c:pt idx="87">
                  <c:v>-178</c:v>
                </c:pt>
                <c:pt idx="88">
                  <c:v>-179</c:v>
                </c:pt>
                <c:pt idx="89">
                  <c:v>-180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4B-43C9-92C6-C030E660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190176"/>
        <c:axId val="563190568"/>
      </c:scatterChart>
      <c:valAx>
        <c:axId val="563190176"/>
        <c:scaling>
          <c:orientation val="minMax"/>
          <c:max val="13"/>
          <c:min val="0"/>
        </c:scaling>
        <c:delete val="1"/>
        <c:axPos val="b"/>
        <c:numFmt formatCode="General" sourceLinked="1"/>
        <c:majorTickMark val="out"/>
        <c:minorTickMark val="none"/>
        <c:tickLblPos val="none"/>
        <c:crossAx val="563190568"/>
        <c:crosses val="autoZero"/>
        <c:crossBetween val="midCat"/>
        <c:majorUnit val="1"/>
      </c:valAx>
      <c:valAx>
        <c:axId val="563190568"/>
        <c:scaling>
          <c:orientation val="minMax"/>
          <c:max val="-1"/>
          <c:min val="-90"/>
        </c:scaling>
        <c:delete val="1"/>
        <c:axPos val="l"/>
        <c:numFmt formatCode="General" sourceLinked="1"/>
        <c:majorTickMark val="out"/>
        <c:minorTickMark val="none"/>
        <c:tickLblPos val="none"/>
        <c:crossAx val="56319017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433" l="0.70000000000000095" r="0.70000000000000095" t="0.750000000000004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</c:spPr>
          <c:invertIfNegative val="0"/>
          <c:cat>
            <c:numRef>
              <c:f>'Gantt Chart'!$B$100:$B$199</c:f>
              <c:numCache>
                <c:formatCode>General</c:formatCode>
                <c:ptCount val="100"/>
              </c:numCache>
            </c:numRef>
          </c:cat>
          <c:val>
            <c:numRef>
              <c:f>'Gantt Chart'!$AM$100:$AM$199</c:f>
              <c:numCache>
                <c:formatCode>General</c:formatCode>
                <c:ptCount val="1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6-4E7B-948E-5448D8D973DA}"/>
            </c:ext>
          </c:extLst>
        </c:ser>
        <c:ser>
          <c:idx val="1"/>
          <c:order val="1"/>
          <c:spPr>
            <a:solidFill>
              <a:schemeClr val="accent1"/>
            </a:solidFill>
          </c:spPr>
          <c:invertIfNegative val="0"/>
          <c:dPt>
            <c:idx val="64"/>
            <c:invertIfNegative val="0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2-CF86-4E7B-948E-5448D8D973DA}"/>
              </c:ext>
            </c:extLst>
          </c:dPt>
          <c:dPt>
            <c:idx val="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F86-4E7B-948E-5448D8D973DA}"/>
              </c:ext>
            </c:extLst>
          </c:dPt>
          <c:dPt>
            <c:idx val="8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F86-4E7B-948E-5448D8D973DA}"/>
              </c:ext>
            </c:extLst>
          </c:dPt>
          <c:cat>
            <c:numRef>
              <c:f>'Gantt Chart'!$B$100:$B$199</c:f>
              <c:numCache>
                <c:formatCode>General</c:formatCode>
                <c:ptCount val="100"/>
              </c:numCache>
            </c:numRef>
          </c:cat>
          <c:val>
            <c:numRef>
              <c:f>'Gantt Chart'!$AI$100:$AI$199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86-4E7B-948E-5448D8D9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757128"/>
        <c:axId val="472757520"/>
      </c:barChart>
      <c:catAx>
        <c:axId val="47275712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472757520"/>
        <c:crosses val="autoZero"/>
        <c:auto val="1"/>
        <c:lblAlgn val="ctr"/>
        <c:lblOffset val="100"/>
        <c:noMultiLvlLbl val="0"/>
      </c:catAx>
      <c:valAx>
        <c:axId val="472757520"/>
        <c:scaling>
          <c:orientation val="minMax"/>
          <c:max val="13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47275712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433" l="0.70000000000000095" r="0.70000000000000095" t="0.750000000000004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1060</xdr:colOff>
      <xdr:row>9</xdr:row>
      <xdr:rowOff>4081</xdr:rowOff>
    </xdr:from>
    <xdr:to>
      <xdr:col>34</xdr:col>
      <xdr:colOff>9526</xdr:colOff>
      <xdr:row>99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276224</xdr:colOff>
      <xdr:row>9</xdr:row>
      <xdr:rowOff>19707</xdr:rowOff>
    </xdr:from>
    <xdr:to>
      <xdr:col>34</xdr:col>
      <xdr:colOff>6568</xdr:colOff>
      <xdr:row>99</xdr:row>
      <xdr:rowOff>91789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</xdr:colOff>
      <xdr:row>99</xdr:row>
      <xdr:rowOff>17318</xdr:rowOff>
    </xdr:from>
    <xdr:to>
      <xdr:col>34</xdr:col>
      <xdr:colOff>8659</xdr:colOff>
      <xdr:row>189</xdr:row>
      <xdr:rowOff>95251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99</xdr:row>
      <xdr:rowOff>5684</xdr:rowOff>
    </xdr:from>
    <xdr:to>
      <xdr:col>34</xdr:col>
      <xdr:colOff>24180</xdr:colOff>
      <xdr:row>199</xdr:row>
      <xdr:rowOff>5685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201"/>
  <sheetViews>
    <sheetView tabSelected="1" zoomScaleNormal="100" zoomScaleSheetLayoutView="70" zoomScalePageLayoutView="130" workbookViewId="0">
      <pane ySplit="9" topLeftCell="A10" activePane="bottomLeft" state="frozen"/>
      <selection pane="bottomLeft" activeCell="B1" sqref="B1"/>
    </sheetView>
  </sheetViews>
  <sheetFormatPr defaultColWidth="9.1328125" defaultRowHeight="12" customHeight="1" x14ac:dyDescent="0.45"/>
  <cols>
    <col min="1" max="1" width="8.73046875" style="3" customWidth="1"/>
    <col min="2" max="2" width="9" style="12" customWidth="1"/>
    <col min="3" max="3" width="49.73046875" style="13" customWidth="1"/>
    <col min="4" max="4" width="3.86328125" style="14" customWidth="1"/>
    <col min="5" max="6" width="4.3984375" style="14" customWidth="1"/>
    <col min="7" max="7" width="9.3984375" style="14" hidden="1" customWidth="1"/>
    <col min="8" max="8" width="11.1328125" style="14" hidden="1" customWidth="1"/>
    <col min="9" max="34" width="2.3984375" style="13" customWidth="1"/>
    <col min="35" max="37" width="4.3984375" style="57" customWidth="1"/>
    <col min="38" max="38" width="7.1328125" style="58" customWidth="1"/>
    <col min="39" max="39" width="9.1328125" style="57"/>
    <col min="40" max="16384" width="9.1328125" style="3"/>
  </cols>
  <sheetData>
    <row r="1" spans="1:40" ht="12" customHeight="1" x14ac:dyDescent="0.45">
      <c r="B1" s="36" t="s">
        <v>16</v>
      </c>
      <c r="C1" s="37"/>
      <c r="D1" s="4"/>
      <c r="E1" s="3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3"/>
      <c r="X1" s="3"/>
      <c r="Y1" s="3"/>
      <c r="Z1" s="3"/>
      <c r="AA1" s="3"/>
      <c r="AB1" s="3"/>
      <c r="AC1" s="3"/>
      <c r="AD1" s="69"/>
      <c r="AE1" s="69"/>
      <c r="AF1" s="69"/>
      <c r="AG1" s="69"/>
      <c r="AH1" s="69"/>
    </row>
    <row r="2" spans="1:40" ht="12" customHeight="1" x14ac:dyDescent="0.45">
      <c r="B2" s="36" t="s">
        <v>2</v>
      </c>
      <c r="C2" s="37"/>
      <c r="D2" s="3"/>
      <c r="E2" s="3" t="s">
        <v>3</v>
      </c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40" ht="12" customHeight="1" x14ac:dyDescent="0.45">
      <c r="B3" s="36" t="s">
        <v>4</v>
      </c>
      <c r="C3" s="37"/>
      <c r="D3" s="3"/>
      <c r="E3" s="3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40" ht="12" customHeight="1" x14ac:dyDescent="0.45">
      <c r="B4" s="36" t="s">
        <v>5</v>
      </c>
      <c r="C4" s="37"/>
      <c r="D4" s="3"/>
      <c r="E4" s="3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40" ht="12" customHeight="1" x14ac:dyDescent="0.45">
      <c r="B5" s="7"/>
      <c r="C5" s="6"/>
      <c r="D5" s="8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40" ht="19.5" customHeight="1" thickBot="1" x14ac:dyDescent="0.7">
      <c r="B6" s="9" t="s">
        <v>6</v>
      </c>
      <c r="C6" s="10"/>
      <c r="D6" s="11" t="s">
        <v>7</v>
      </c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40" ht="12" customHeight="1" x14ac:dyDescent="0.45">
      <c r="E7" s="13"/>
    </row>
    <row r="8" spans="1:40" ht="12" customHeight="1" x14ac:dyDescent="0.45">
      <c r="B8" s="70" t="s">
        <v>0</v>
      </c>
      <c r="C8" s="71" t="s">
        <v>1</v>
      </c>
      <c r="D8" s="70" t="s">
        <v>8</v>
      </c>
      <c r="E8" s="70" t="s">
        <v>9</v>
      </c>
      <c r="F8" s="70" t="s">
        <v>10</v>
      </c>
      <c r="G8" s="68"/>
      <c r="H8" s="68"/>
      <c r="I8" s="72" t="s">
        <v>11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3"/>
      <c r="AB8" s="73"/>
      <c r="AC8" s="73"/>
      <c r="AD8" s="73"/>
      <c r="AE8" s="73"/>
      <c r="AF8" s="73"/>
      <c r="AG8" s="73"/>
      <c r="AH8" s="33"/>
    </row>
    <row r="9" spans="1:40" ht="12" customHeight="1" x14ac:dyDescent="0.45">
      <c r="A9" s="21" t="s">
        <v>12</v>
      </c>
      <c r="B9" s="70"/>
      <c r="C9" s="71"/>
      <c r="D9" s="70"/>
      <c r="E9" s="70"/>
      <c r="F9" s="70"/>
      <c r="G9" s="68" t="s">
        <v>13</v>
      </c>
      <c r="H9" s="68" t="s">
        <v>14</v>
      </c>
      <c r="I9" s="33">
        <v>1</v>
      </c>
      <c r="J9" s="33">
        <v>2</v>
      </c>
      <c r="K9" s="33">
        <v>3</v>
      </c>
      <c r="L9" s="33">
        <v>4</v>
      </c>
      <c r="M9" s="33">
        <v>5</v>
      </c>
      <c r="N9" s="33">
        <v>6</v>
      </c>
      <c r="O9" s="33">
        <v>7</v>
      </c>
      <c r="P9" s="33">
        <v>8</v>
      </c>
      <c r="Q9" s="33">
        <v>9</v>
      </c>
      <c r="R9" s="33">
        <v>10</v>
      </c>
      <c r="S9" s="33">
        <v>11</v>
      </c>
      <c r="T9" s="33">
        <v>12</v>
      </c>
      <c r="U9" s="33">
        <v>13</v>
      </c>
      <c r="V9" s="33">
        <v>14</v>
      </c>
      <c r="W9" s="33">
        <v>15</v>
      </c>
      <c r="X9" s="33">
        <v>16</v>
      </c>
      <c r="Y9" s="33">
        <v>17</v>
      </c>
      <c r="Z9" s="33">
        <v>18</v>
      </c>
      <c r="AA9" s="33">
        <v>19</v>
      </c>
      <c r="AB9" s="33">
        <v>20</v>
      </c>
      <c r="AC9" s="33">
        <v>21</v>
      </c>
      <c r="AD9" s="33">
        <v>22</v>
      </c>
      <c r="AE9" s="33">
        <v>23</v>
      </c>
      <c r="AF9" s="33">
        <v>24</v>
      </c>
      <c r="AG9" s="33"/>
      <c r="AH9" s="33"/>
      <c r="AL9" s="57"/>
      <c r="AN9" s="15" t="s">
        <v>7</v>
      </c>
    </row>
    <row r="10" spans="1:40" ht="12" customHeight="1" x14ac:dyDescent="0.45">
      <c r="A10" s="31"/>
      <c r="B10" s="67">
        <v>1</v>
      </c>
      <c r="C10" s="67"/>
      <c r="D10" s="65"/>
      <c r="E10" s="63">
        <v>1</v>
      </c>
      <c r="F10" s="63">
        <v>4</v>
      </c>
      <c r="G10" s="64">
        <f>EDATE($C$3,E10*3)</f>
        <v>91</v>
      </c>
      <c r="H10" s="24">
        <f>EDATE($C$3,F10*3)-IF(E10=F10,0,1)</f>
        <v>365</v>
      </c>
      <c r="I10" s="2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7"/>
      <c r="U10" s="22"/>
      <c r="V10" s="22"/>
      <c r="W10" s="16"/>
      <c r="X10" s="16"/>
      <c r="Y10" s="22"/>
      <c r="Z10" s="22"/>
      <c r="AA10" s="16"/>
      <c r="AB10" s="16"/>
      <c r="AC10" s="16"/>
      <c r="AD10" s="22"/>
      <c r="AE10" s="16"/>
      <c r="AF10" s="16"/>
      <c r="AG10" s="29"/>
      <c r="AH10" s="22"/>
      <c r="AI10" s="58">
        <f>IF(E10="", "",IF(LEFT(B10, 1)="M", 0, (F10-E10+1)*0.5))</f>
        <v>2</v>
      </c>
      <c r="AJ10" s="57">
        <f t="shared" ref="AJ10:AJ12" si="0">IF(E10=0,-1,IF(D10="G/N",-1,IF(LEFT(B10, 1)="M",(F10*0.5),-1)))</f>
        <v>-1</v>
      </c>
      <c r="AK10" s="57">
        <f t="shared" ref="AK10:AK12" si="1">IF(D10="G/N",(F10*0.5),-1)</f>
        <v>-1</v>
      </c>
      <c r="AL10" s="57">
        <v>-1</v>
      </c>
      <c r="AM10" s="57">
        <f t="shared" ref="AM10:AM13" si="2">(E10-1)*0.5</f>
        <v>0</v>
      </c>
    </row>
    <row r="11" spans="1:40" ht="12" customHeight="1" x14ac:dyDescent="0.45">
      <c r="A11" s="31"/>
      <c r="B11" s="67" t="s">
        <v>15</v>
      </c>
      <c r="C11" s="67"/>
      <c r="D11" s="65"/>
      <c r="E11" s="63">
        <v>4</v>
      </c>
      <c r="F11" s="63">
        <v>4</v>
      </c>
      <c r="G11" s="64">
        <f t="shared" ref="G11:G57" si="3">EDATE($C$3,E11*3)</f>
        <v>366</v>
      </c>
      <c r="H11" s="24">
        <f t="shared" ref="H11:H57" si="4">EDATE($C$3,F11*3)-IF(E11=F11,0,1)</f>
        <v>366</v>
      </c>
      <c r="I11" s="26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8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17"/>
      <c r="AF11" s="17"/>
      <c r="AG11" s="30"/>
      <c r="AH11" s="23"/>
      <c r="AI11" s="58">
        <f>IF(E11="", "",IF(LEFT(B11, 1)="M", 0, (F11-E11+1)*0.5))</f>
        <v>0</v>
      </c>
      <c r="AJ11" s="57">
        <f t="shared" si="0"/>
        <v>2</v>
      </c>
      <c r="AK11" s="57">
        <f t="shared" si="1"/>
        <v>-1</v>
      </c>
      <c r="AL11" s="57">
        <f>AL10-1</f>
        <v>-2</v>
      </c>
      <c r="AM11" s="57">
        <f t="shared" si="2"/>
        <v>1.5</v>
      </c>
    </row>
    <row r="12" spans="1:40" ht="12" customHeight="1" x14ac:dyDescent="0.45">
      <c r="A12" s="31"/>
      <c r="B12" s="67"/>
      <c r="C12" s="67"/>
      <c r="D12" s="65"/>
      <c r="E12" s="63"/>
      <c r="F12" s="63"/>
      <c r="G12" s="64">
        <f t="shared" si="3"/>
        <v>0</v>
      </c>
      <c r="H12" s="24">
        <f t="shared" si="4"/>
        <v>0</v>
      </c>
      <c r="I12" s="26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8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17"/>
      <c r="AF12" s="17"/>
      <c r="AG12" s="30"/>
      <c r="AH12" s="23"/>
      <c r="AI12" s="58" t="str">
        <f t="shared" ref="AI12:AI75" si="5">IF(E12="", "",IF(LEFT(B12, 1)="M", 0, (F12-E12+1)*0.5))</f>
        <v/>
      </c>
      <c r="AJ12" s="57">
        <f t="shared" si="0"/>
        <v>-1</v>
      </c>
      <c r="AK12" s="57">
        <f t="shared" si="1"/>
        <v>-1</v>
      </c>
      <c r="AL12" s="57">
        <f t="shared" ref="AL12:AL75" si="6">AL11-1</f>
        <v>-3</v>
      </c>
      <c r="AM12" s="57">
        <f t="shared" si="2"/>
        <v>-0.5</v>
      </c>
    </row>
    <row r="13" spans="1:40" ht="12" customHeight="1" x14ac:dyDescent="0.45">
      <c r="A13" s="31"/>
      <c r="B13" s="67"/>
      <c r="C13" s="67"/>
      <c r="D13" s="65"/>
      <c r="E13" s="63"/>
      <c r="F13" s="63"/>
      <c r="G13" s="64">
        <f t="shared" si="3"/>
        <v>0</v>
      </c>
      <c r="H13" s="24">
        <f t="shared" si="4"/>
        <v>0</v>
      </c>
      <c r="I13" s="26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8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17"/>
      <c r="AF13" s="17"/>
      <c r="AG13" s="30"/>
      <c r="AH13" s="23"/>
      <c r="AI13" s="58" t="str">
        <f t="shared" si="5"/>
        <v/>
      </c>
      <c r="AJ13" s="57">
        <f>IF(E13=0,-1,IF(D13="G/N",-1,IF(LEFT(B13, 1)="M",(F13*0.5),-1)))</f>
        <v>-1</v>
      </c>
      <c r="AK13" s="57">
        <f>IF(D13="G/N",(F13*0.5),-1)</f>
        <v>-1</v>
      </c>
      <c r="AL13" s="57">
        <f>AL12-1</f>
        <v>-4</v>
      </c>
      <c r="AM13" s="57">
        <f t="shared" si="2"/>
        <v>-0.5</v>
      </c>
    </row>
    <row r="14" spans="1:40" ht="12" customHeight="1" x14ac:dyDescent="0.45">
      <c r="A14" s="31"/>
      <c r="B14" s="67"/>
      <c r="C14" s="67"/>
      <c r="D14" s="65"/>
      <c r="E14" s="63"/>
      <c r="F14" s="63"/>
      <c r="G14" s="64">
        <f t="shared" si="3"/>
        <v>0</v>
      </c>
      <c r="H14" s="24">
        <f t="shared" si="4"/>
        <v>0</v>
      </c>
      <c r="I14" s="26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8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17"/>
      <c r="AF14" s="17"/>
      <c r="AG14" s="30"/>
      <c r="AH14" s="23"/>
      <c r="AI14" s="58" t="str">
        <f t="shared" si="5"/>
        <v/>
      </c>
      <c r="AJ14" s="57">
        <f t="shared" ref="AJ14:AJ77" si="7">IF(E14=0,-1,IF(D14="G/N",-1,IF(LEFT(B14, 1)="M",(F14*0.5),-1)))</f>
        <v>-1</v>
      </c>
      <c r="AK14" s="57">
        <f t="shared" ref="AK14:AK77" si="8">IF(D14="G/N",(F14*0.5),-1)</f>
        <v>-1</v>
      </c>
      <c r="AL14" s="57">
        <f t="shared" si="6"/>
        <v>-5</v>
      </c>
      <c r="AM14" s="57">
        <f>(E14-1)*0.5</f>
        <v>-0.5</v>
      </c>
    </row>
    <row r="15" spans="1:40" ht="12" customHeight="1" x14ac:dyDescent="0.45">
      <c r="A15" s="31"/>
      <c r="B15" s="67"/>
      <c r="C15" s="67"/>
      <c r="D15" s="65"/>
      <c r="E15" s="63"/>
      <c r="F15" s="63"/>
      <c r="G15" s="64">
        <f t="shared" si="3"/>
        <v>0</v>
      </c>
      <c r="H15" s="24">
        <f t="shared" si="4"/>
        <v>0</v>
      </c>
      <c r="I15" s="26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8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17"/>
      <c r="AF15" s="17"/>
      <c r="AG15" s="30"/>
      <c r="AH15" s="23"/>
      <c r="AI15" s="58" t="str">
        <f t="shared" si="5"/>
        <v/>
      </c>
      <c r="AJ15" s="57">
        <f t="shared" si="7"/>
        <v>-1</v>
      </c>
      <c r="AK15" s="57">
        <f t="shared" si="8"/>
        <v>-1</v>
      </c>
      <c r="AL15" s="57">
        <f t="shared" si="6"/>
        <v>-6</v>
      </c>
      <c r="AM15" s="57">
        <f t="shared" ref="AM15:AM78" si="9">(E15-1)*0.5</f>
        <v>-0.5</v>
      </c>
    </row>
    <row r="16" spans="1:40" ht="12" customHeight="1" x14ac:dyDescent="0.45">
      <c r="A16" s="31"/>
      <c r="B16" s="67"/>
      <c r="C16" s="67"/>
      <c r="D16" s="65"/>
      <c r="E16" s="63"/>
      <c r="F16" s="63"/>
      <c r="G16" s="64">
        <f t="shared" si="3"/>
        <v>0</v>
      </c>
      <c r="H16" s="24">
        <f t="shared" si="4"/>
        <v>0</v>
      </c>
      <c r="I16" s="26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8"/>
      <c r="U16" s="23"/>
      <c r="V16" s="23"/>
      <c r="W16" s="17"/>
      <c r="X16" s="17"/>
      <c r="Y16" s="23"/>
      <c r="Z16" s="23"/>
      <c r="AA16" s="23"/>
      <c r="AB16" s="23"/>
      <c r="AC16" s="23"/>
      <c r="AD16" s="23"/>
      <c r="AE16" s="17"/>
      <c r="AF16" s="17"/>
      <c r="AG16" s="30"/>
      <c r="AH16" s="23"/>
      <c r="AI16" s="58" t="str">
        <f t="shared" si="5"/>
        <v/>
      </c>
      <c r="AJ16" s="57">
        <f t="shared" si="7"/>
        <v>-1</v>
      </c>
      <c r="AK16" s="57">
        <f t="shared" si="8"/>
        <v>-1</v>
      </c>
      <c r="AL16" s="57">
        <f t="shared" si="6"/>
        <v>-7</v>
      </c>
      <c r="AM16" s="57">
        <f t="shared" si="9"/>
        <v>-0.5</v>
      </c>
    </row>
    <row r="17" spans="1:40" ht="12" customHeight="1" x14ac:dyDescent="0.45">
      <c r="A17" s="32"/>
      <c r="B17" s="67"/>
      <c r="C17" s="67"/>
      <c r="D17" s="65"/>
      <c r="E17" s="63"/>
      <c r="F17" s="63"/>
      <c r="G17" s="64">
        <f t="shared" si="3"/>
        <v>0</v>
      </c>
      <c r="H17" s="24">
        <f t="shared" si="4"/>
        <v>0</v>
      </c>
      <c r="I17" s="26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8"/>
      <c r="U17" s="23"/>
      <c r="V17" s="23"/>
      <c r="W17" s="17"/>
      <c r="X17" s="17"/>
      <c r="Y17" s="23"/>
      <c r="Z17" s="23"/>
      <c r="AA17" s="23"/>
      <c r="AB17" s="23"/>
      <c r="AC17" s="23"/>
      <c r="AD17" s="23"/>
      <c r="AE17" s="17"/>
      <c r="AF17" s="17"/>
      <c r="AG17" s="30"/>
      <c r="AH17" s="23"/>
      <c r="AI17" s="58" t="str">
        <f t="shared" si="5"/>
        <v/>
      </c>
      <c r="AJ17" s="57">
        <f t="shared" si="7"/>
        <v>-1</v>
      </c>
      <c r="AK17" s="57">
        <f t="shared" si="8"/>
        <v>-1</v>
      </c>
      <c r="AL17" s="57">
        <f t="shared" si="6"/>
        <v>-8</v>
      </c>
      <c r="AM17" s="57">
        <f t="shared" si="9"/>
        <v>-0.5</v>
      </c>
    </row>
    <row r="18" spans="1:40" ht="12" customHeight="1" x14ac:dyDescent="0.45">
      <c r="A18" s="31"/>
      <c r="B18" s="67"/>
      <c r="C18" s="67"/>
      <c r="D18" s="65"/>
      <c r="E18" s="63"/>
      <c r="F18" s="63"/>
      <c r="G18" s="64">
        <f t="shared" si="3"/>
        <v>0</v>
      </c>
      <c r="H18" s="24">
        <f t="shared" si="4"/>
        <v>0</v>
      </c>
      <c r="I18" s="26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8"/>
      <c r="U18" s="23"/>
      <c r="V18" s="23"/>
      <c r="W18" s="17"/>
      <c r="X18" s="17"/>
      <c r="Y18" s="23"/>
      <c r="Z18" s="23"/>
      <c r="AA18" s="23"/>
      <c r="AB18" s="23"/>
      <c r="AC18" s="23"/>
      <c r="AD18" s="23"/>
      <c r="AE18" s="17"/>
      <c r="AF18" s="17"/>
      <c r="AG18" s="30"/>
      <c r="AH18" s="23"/>
      <c r="AI18" s="58" t="str">
        <f t="shared" si="5"/>
        <v/>
      </c>
      <c r="AJ18" s="57">
        <f t="shared" si="7"/>
        <v>-1</v>
      </c>
      <c r="AK18" s="57">
        <f t="shared" si="8"/>
        <v>-1</v>
      </c>
      <c r="AL18" s="57">
        <f>AL17-1</f>
        <v>-9</v>
      </c>
      <c r="AM18" s="57">
        <f t="shared" si="9"/>
        <v>-0.5</v>
      </c>
    </row>
    <row r="19" spans="1:40" ht="12" customHeight="1" x14ac:dyDescent="0.45">
      <c r="A19" s="31"/>
      <c r="B19" s="67"/>
      <c r="C19" s="67"/>
      <c r="D19" s="65"/>
      <c r="E19" s="63"/>
      <c r="F19" s="63"/>
      <c r="G19" s="64">
        <f t="shared" si="3"/>
        <v>0</v>
      </c>
      <c r="H19" s="24">
        <f t="shared" si="4"/>
        <v>0</v>
      </c>
      <c r="I19" s="26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8"/>
      <c r="U19" s="23"/>
      <c r="V19" s="23"/>
      <c r="W19" s="17"/>
      <c r="X19" s="17"/>
      <c r="Y19" s="23"/>
      <c r="Z19" s="23"/>
      <c r="AA19" s="23"/>
      <c r="AB19" s="23"/>
      <c r="AC19" s="23"/>
      <c r="AD19" s="23"/>
      <c r="AE19" s="17"/>
      <c r="AF19" s="17"/>
      <c r="AG19" s="30"/>
      <c r="AH19" s="23"/>
      <c r="AI19" s="58" t="str">
        <f t="shared" si="5"/>
        <v/>
      </c>
      <c r="AJ19" s="57">
        <f t="shared" si="7"/>
        <v>-1</v>
      </c>
      <c r="AK19" s="57">
        <f t="shared" si="8"/>
        <v>-1</v>
      </c>
      <c r="AL19" s="57">
        <f t="shared" si="6"/>
        <v>-10</v>
      </c>
      <c r="AM19" s="57">
        <f t="shared" si="9"/>
        <v>-0.5</v>
      </c>
    </row>
    <row r="20" spans="1:40" ht="12" customHeight="1" x14ac:dyDescent="0.45">
      <c r="A20" s="31"/>
      <c r="B20" s="67"/>
      <c r="C20" s="67"/>
      <c r="D20" s="65"/>
      <c r="E20" s="63"/>
      <c r="F20" s="63"/>
      <c r="G20" s="64">
        <f t="shared" si="3"/>
        <v>0</v>
      </c>
      <c r="H20" s="24">
        <f t="shared" si="4"/>
        <v>0</v>
      </c>
      <c r="I20" s="26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8"/>
      <c r="U20" s="23"/>
      <c r="V20" s="23"/>
      <c r="W20" s="17"/>
      <c r="X20" s="17"/>
      <c r="Y20" s="23"/>
      <c r="Z20" s="23"/>
      <c r="AA20" s="23"/>
      <c r="AB20" s="23"/>
      <c r="AC20" s="23"/>
      <c r="AD20" s="23"/>
      <c r="AE20" s="17"/>
      <c r="AF20" s="17"/>
      <c r="AG20" s="30"/>
      <c r="AH20" s="23"/>
      <c r="AI20" s="58" t="str">
        <f t="shared" si="5"/>
        <v/>
      </c>
      <c r="AJ20" s="57">
        <f t="shared" si="7"/>
        <v>-1</v>
      </c>
      <c r="AK20" s="57">
        <f t="shared" si="8"/>
        <v>-1</v>
      </c>
      <c r="AL20" s="57">
        <f>AL19-1</f>
        <v>-11</v>
      </c>
      <c r="AM20" s="57">
        <f t="shared" si="9"/>
        <v>-0.5</v>
      </c>
    </row>
    <row r="21" spans="1:40" ht="12" customHeight="1" x14ac:dyDescent="0.45">
      <c r="A21" s="31"/>
      <c r="B21" s="67"/>
      <c r="C21" s="67"/>
      <c r="D21" s="65"/>
      <c r="E21" s="63"/>
      <c r="F21" s="63"/>
      <c r="G21" s="64">
        <f t="shared" si="3"/>
        <v>0</v>
      </c>
      <c r="H21" s="24">
        <f t="shared" si="4"/>
        <v>0</v>
      </c>
      <c r="I21" s="26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8"/>
      <c r="U21" s="23"/>
      <c r="V21" s="23"/>
      <c r="W21" s="17"/>
      <c r="X21" s="17"/>
      <c r="Y21" s="23"/>
      <c r="Z21" s="23"/>
      <c r="AA21" s="23"/>
      <c r="AB21" s="23"/>
      <c r="AC21" s="23"/>
      <c r="AD21" s="23"/>
      <c r="AE21" s="17"/>
      <c r="AF21" s="17"/>
      <c r="AG21" s="30"/>
      <c r="AH21" s="23"/>
      <c r="AI21" s="58" t="str">
        <f t="shared" si="5"/>
        <v/>
      </c>
      <c r="AJ21" s="57">
        <f t="shared" si="7"/>
        <v>-1</v>
      </c>
      <c r="AK21" s="57">
        <f t="shared" si="8"/>
        <v>-1</v>
      </c>
      <c r="AL21" s="57">
        <f t="shared" si="6"/>
        <v>-12</v>
      </c>
      <c r="AM21" s="57">
        <f t="shared" si="9"/>
        <v>-0.5</v>
      </c>
    </row>
    <row r="22" spans="1:40" ht="12" customHeight="1" x14ac:dyDescent="0.45">
      <c r="A22" s="31"/>
      <c r="B22" s="67"/>
      <c r="C22" s="67"/>
      <c r="D22" s="65"/>
      <c r="E22" s="63"/>
      <c r="F22" s="63"/>
      <c r="G22" s="64">
        <f t="shared" si="3"/>
        <v>0</v>
      </c>
      <c r="H22" s="24">
        <f t="shared" si="4"/>
        <v>0</v>
      </c>
      <c r="I22" s="26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8"/>
      <c r="U22" s="23"/>
      <c r="V22" s="23"/>
      <c r="W22" s="17"/>
      <c r="X22" s="17"/>
      <c r="Y22" s="23"/>
      <c r="Z22" s="23"/>
      <c r="AA22" s="23"/>
      <c r="AB22" s="23"/>
      <c r="AC22" s="23"/>
      <c r="AD22" s="23"/>
      <c r="AE22" s="17"/>
      <c r="AF22" s="17"/>
      <c r="AG22" s="30"/>
      <c r="AH22" s="23"/>
      <c r="AI22" s="58" t="str">
        <f t="shared" si="5"/>
        <v/>
      </c>
      <c r="AJ22" s="57">
        <f t="shared" si="7"/>
        <v>-1</v>
      </c>
      <c r="AK22" s="57">
        <f t="shared" si="8"/>
        <v>-1</v>
      </c>
      <c r="AL22" s="57">
        <f t="shared" si="6"/>
        <v>-13</v>
      </c>
      <c r="AM22" s="57">
        <f t="shared" si="9"/>
        <v>-0.5</v>
      </c>
      <c r="AN22" s="15"/>
    </row>
    <row r="23" spans="1:40" ht="12" customHeight="1" x14ac:dyDescent="0.45">
      <c r="A23" s="31"/>
      <c r="B23" s="67"/>
      <c r="C23" s="67"/>
      <c r="D23" s="65"/>
      <c r="E23" s="63"/>
      <c r="F23" s="63"/>
      <c r="G23" s="64">
        <f t="shared" si="3"/>
        <v>0</v>
      </c>
      <c r="H23" s="24">
        <f t="shared" si="4"/>
        <v>0</v>
      </c>
      <c r="I23" s="26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8"/>
      <c r="U23" s="23"/>
      <c r="V23" s="23"/>
      <c r="W23" s="17"/>
      <c r="X23" s="17"/>
      <c r="Y23" s="23"/>
      <c r="Z23" s="23"/>
      <c r="AA23" s="23"/>
      <c r="AB23" s="23"/>
      <c r="AC23" s="23"/>
      <c r="AD23" s="23"/>
      <c r="AE23" s="17"/>
      <c r="AF23" s="17"/>
      <c r="AG23" s="30"/>
      <c r="AH23" s="23"/>
      <c r="AI23" s="58" t="str">
        <f t="shared" si="5"/>
        <v/>
      </c>
      <c r="AJ23" s="57">
        <f t="shared" si="7"/>
        <v>-1</v>
      </c>
      <c r="AK23" s="57">
        <f t="shared" si="8"/>
        <v>-1</v>
      </c>
      <c r="AL23" s="57">
        <f t="shared" si="6"/>
        <v>-14</v>
      </c>
      <c r="AM23" s="57">
        <f t="shared" si="9"/>
        <v>-0.5</v>
      </c>
      <c r="AN23" s="15"/>
    </row>
    <row r="24" spans="1:40" ht="12" customHeight="1" x14ac:dyDescent="0.45">
      <c r="A24" s="31"/>
      <c r="B24" s="67"/>
      <c r="C24" s="67"/>
      <c r="D24" s="65"/>
      <c r="E24" s="63"/>
      <c r="F24" s="63"/>
      <c r="G24" s="64">
        <f t="shared" si="3"/>
        <v>0</v>
      </c>
      <c r="H24" s="24">
        <f t="shared" si="4"/>
        <v>0</v>
      </c>
      <c r="I24" s="26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8"/>
      <c r="U24" s="23"/>
      <c r="V24" s="23"/>
      <c r="W24" s="17"/>
      <c r="X24" s="17"/>
      <c r="Y24" s="23"/>
      <c r="Z24" s="23"/>
      <c r="AA24" s="23"/>
      <c r="AB24" s="23"/>
      <c r="AC24" s="23"/>
      <c r="AD24" s="23"/>
      <c r="AE24" s="17"/>
      <c r="AF24" s="17"/>
      <c r="AG24" s="30"/>
      <c r="AH24" s="23"/>
      <c r="AI24" s="58" t="str">
        <f t="shared" si="5"/>
        <v/>
      </c>
      <c r="AJ24" s="57">
        <f t="shared" si="7"/>
        <v>-1</v>
      </c>
      <c r="AK24" s="57">
        <f t="shared" si="8"/>
        <v>-1</v>
      </c>
      <c r="AL24" s="57">
        <f t="shared" si="6"/>
        <v>-15</v>
      </c>
      <c r="AM24" s="57">
        <f t="shared" si="9"/>
        <v>-0.5</v>
      </c>
      <c r="AN24" s="15"/>
    </row>
    <row r="25" spans="1:40" ht="12" customHeight="1" x14ac:dyDescent="0.45">
      <c r="A25" s="31"/>
      <c r="B25" s="67"/>
      <c r="C25" s="67"/>
      <c r="D25" s="65"/>
      <c r="E25" s="63"/>
      <c r="F25" s="63"/>
      <c r="G25" s="64">
        <f t="shared" si="3"/>
        <v>0</v>
      </c>
      <c r="H25" s="24">
        <f t="shared" si="4"/>
        <v>0</v>
      </c>
      <c r="I25" s="26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8"/>
      <c r="U25" s="23"/>
      <c r="V25" s="23"/>
      <c r="W25" s="17"/>
      <c r="X25" s="17"/>
      <c r="Y25" s="23"/>
      <c r="Z25" s="23"/>
      <c r="AA25" s="23"/>
      <c r="AB25" s="23"/>
      <c r="AC25" s="23"/>
      <c r="AD25" s="23"/>
      <c r="AE25" s="17"/>
      <c r="AF25" s="17"/>
      <c r="AG25" s="30"/>
      <c r="AH25" s="23"/>
      <c r="AI25" s="58" t="str">
        <f t="shared" si="5"/>
        <v/>
      </c>
      <c r="AJ25" s="57">
        <f t="shared" si="7"/>
        <v>-1</v>
      </c>
      <c r="AK25" s="57">
        <f t="shared" si="8"/>
        <v>-1</v>
      </c>
      <c r="AL25" s="57">
        <f t="shared" si="6"/>
        <v>-16</v>
      </c>
      <c r="AM25" s="57">
        <f t="shared" si="9"/>
        <v>-0.5</v>
      </c>
      <c r="AN25" s="15"/>
    </row>
    <row r="26" spans="1:40" ht="12" customHeight="1" x14ac:dyDescent="0.45">
      <c r="A26" s="31"/>
      <c r="B26" s="67"/>
      <c r="C26" s="67"/>
      <c r="D26" s="65"/>
      <c r="E26" s="63"/>
      <c r="F26" s="63"/>
      <c r="G26" s="64">
        <f t="shared" si="3"/>
        <v>0</v>
      </c>
      <c r="H26" s="24">
        <f t="shared" si="4"/>
        <v>0</v>
      </c>
      <c r="I26" s="26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8"/>
      <c r="U26" s="23"/>
      <c r="V26" s="23"/>
      <c r="W26" s="17"/>
      <c r="X26" s="17"/>
      <c r="Y26" s="23"/>
      <c r="Z26" s="23"/>
      <c r="AA26" s="23"/>
      <c r="AB26" s="23"/>
      <c r="AC26" s="23"/>
      <c r="AD26" s="23"/>
      <c r="AE26" s="17"/>
      <c r="AF26" s="17"/>
      <c r="AG26" s="30"/>
      <c r="AH26" s="23"/>
      <c r="AI26" s="58" t="str">
        <f t="shared" si="5"/>
        <v/>
      </c>
      <c r="AJ26" s="57">
        <f t="shared" si="7"/>
        <v>-1</v>
      </c>
      <c r="AK26" s="57">
        <f t="shared" si="8"/>
        <v>-1</v>
      </c>
      <c r="AL26" s="57">
        <f t="shared" si="6"/>
        <v>-17</v>
      </c>
      <c r="AM26" s="57">
        <f t="shared" si="9"/>
        <v>-0.5</v>
      </c>
      <c r="AN26" s="15"/>
    </row>
    <row r="27" spans="1:40" ht="12" customHeight="1" x14ac:dyDescent="0.45">
      <c r="A27" s="31"/>
      <c r="B27" s="67"/>
      <c r="C27" s="67"/>
      <c r="D27" s="65"/>
      <c r="E27" s="63"/>
      <c r="F27" s="63"/>
      <c r="G27" s="64">
        <f t="shared" si="3"/>
        <v>0</v>
      </c>
      <c r="H27" s="24">
        <f t="shared" si="4"/>
        <v>0</v>
      </c>
      <c r="I27" s="26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8"/>
      <c r="U27" s="23"/>
      <c r="V27" s="23"/>
      <c r="W27" s="17"/>
      <c r="X27" s="17"/>
      <c r="Y27" s="23"/>
      <c r="Z27" s="23"/>
      <c r="AA27" s="23"/>
      <c r="AB27" s="23"/>
      <c r="AC27" s="23"/>
      <c r="AD27" s="23"/>
      <c r="AE27" s="17"/>
      <c r="AF27" s="17"/>
      <c r="AG27" s="30"/>
      <c r="AH27" s="23"/>
      <c r="AI27" s="58" t="str">
        <f t="shared" si="5"/>
        <v/>
      </c>
      <c r="AJ27" s="57">
        <f t="shared" si="7"/>
        <v>-1</v>
      </c>
      <c r="AK27" s="57">
        <f t="shared" si="8"/>
        <v>-1</v>
      </c>
      <c r="AL27" s="57">
        <f t="shared" si="6"/>
        <v>-18</v>
      </c>
      <c r="AM27" s="57">
        <f t="shared" si="9"/>
        <v>-0.5</v>
      </c>
      <c r="AN27" s="15"/>
    </row>
    <row r="28" spans="1:40" ht="12" customHeight="1" x14ac:dyDescent="0.45">
      <c r="A28" s="31"/>
      <c r="B28" s="67"/>
      <c r="C28" s="67"/>
      <c r="D28" s="66"/>
      <c r="E28" s="63"/>
      <c r="F28" s="63"/>
      <c r="G28" s="64">
        <f t="shared" si="3"/>
        <v>0</v>
      </c>
      <c r="H28" s="24">
        <f t="shared" si="4"/>
        <v>0</v>
      </c>
      <c r="I28" s="26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8"/>
      <c r="U28" s="23"/>
      <c r="V28" s="23"/>
      <c r="W28" s="17"/>
      <c r="X28" s="17"/>
      <c r="Y28" s="23"/>
      <c r="Z28" s="23"/>
      <c r="AA28" s="23"/>
      <c r="AB28" s="23"/>
      <c r="AC28" s="23"/>
      <c r="AD28" s="23"/>
      <c r="AE28" s="17"/>
      <c r="AF28" s="17"/>
      <c r="AG28" s="30"/>
      <c r="AH28" s="23"/>
      <c r="AI28" s="58" t="str">
        <f t="shared" si="5"/>
        <v/>
      </c>
      <c r="AJ28" s="57">
        <f t="shared" si="7"/>
        <v>-1</v>
      </c>
      <c r="AK28" s="57">
        <f t="shared" si="8"/>
        <v>-1</v>
      </c>
      <c r="AL28" s="57">
        <f t="shared" si="6"/>
        <v>-19</v>
      </c>
      <c r="AM28" s="57">
        <f t="shared" si="9"/>
        <v>-0.5</v>
      </c>
      <c r="AN28" s="15"/>
    </row>
    <row r="29" spans="1:40" ht="12" customHeight="1" x14ac:dyDescent="0.45">
      <c r="A29" s="31"/>
      <c r="B29" s="67"/>
      <c r="C29" s="67"/>
      <c r="D29" s="65"/>
      <c r="E29" s="63"/>
      <c r="F29" s="63"/>
      <c r="G29" s="64">
        <f t="shared" si="3"/>
        <v>0</v>
      </c>
      <c r="H29" s="24">
        <f t="shared" si="4"/>
        <v>0</v>
      </c>
      <c r="I29" s="26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8"/>
      <c r="U29" s="23"/>
      <c r="V29" s="23"/>
      <c r="W29" s="17"/>
      <c r="X29" s="17"/>
      <c r="Y29" s="23"/>
      <c r="Z29" s="23"/>
      <c r="AA29" s="23"/>
      <c r="AB29" s="23"/>
      <c r="AC29" s="23"/>
      <c r="AD29" s="23"/>
      <c r="AE29" s="17"/>
      <c r="AF29" s="17"/>
      <c r="AG29" s="30"/>
      <c r="AH29" s="23"/>
      <c r="AI29" s="58" t="str">
        <f t="shared" si="5"/>
        <v/>
      </c>
      <c r="AJ29" s="57">
        <f t="shared" si="7"/>
        <v>-1</v>
      </c>
      <c r="AK29" s="57">
        <f t="shared" si="8"/>
        <v>-1</v>
      </c>
      <c r="AL29" s="57">
        <f t="shared" si="6"/>
        <v>-20</v>
      </c>
      <c r="AM29" s="57">
        <f t="shared" si="9"/>
        <v>-0.5</v>
      </c>
      <c r="AN29" s="15"/>
    </row>
    <row r="30" spans="1:40" ht="12" customHeight="1" x14ac:dyDescent="0.45">
      <c r="A30" s="31"/>
      <c r="B30" s="67"/>
      <c r="C30" s="67"/>
      <c r="D30" s="65"/>
      <c r="E30" s="63"/>
      <c r="F30" s="63"/>
      <c r="G30" s="64">
        <f t="shared" si="3"/>
        <v>0</v>
      </c>
      <c r="H30" s="24">
        <f t="shared" si="4"/>
        <v>0</v>
      </c>
      <c r="I30" s="26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8"/>
      <c r="U30" s="23"/>
      <c r="V30" s="23"/>
      <c r="W30" s="17"/>
      <c r="X30" s="17"/>
      <c r="Y30" s="23"/>
      <c r="Z30" s="23"/>
      <c r="AA30" s="23"/>
      <c r="AB30" s="23"/>
      <c r="AC30" s="23"/>
      <c r="AD30" s="23"/>
      <c r="AE30" s="17"/>
      <c r="AF30" s="17"/>
      <c r="AG30" s="30"/>
      <c r="AH30" s="23"/>
      <c r="AI30" s="58" t="str">
        <f t="shared" si="5"/>
        <v/>
      </c>
      <c r="AJ30" s="57">
        <f t="shared" si="7"/>
        <v>-1</v>
      </c>
      <c r="AK30" s="57">
        <f t="shared" si="8"/>
        <v>-1</v>
      </c>
      <c r="AL30" s="57">
        <f t="shared" si="6"/>
        <v>-21</v>
      </c>
      <c r="AM30" s="57">
        <f t="shared" si="9"/>
        <v>-0.5</v>
      </c>
      <c r="AN30" s="15"/>
    </row>
    <row r="31" spans="1:40" ht="12" customHeight="1" x14ac:dyDescent="0.45">
      <c r="A31" s="31"/>
      <c r="B31" s="67"/>
      <c r="C31" s="67"/>
      <c r="D31" s="65"/>
      <c r="E31" s="63"/>
      <c r="F31" s="63"/>
      <c r="G31" s="64">
        <f t="shared" si="3"/>
        <v>0</v>
      </c>
      <c r="H31" s="24">
        <f t="shared" si="4"/>
        <v>0</v>
      </c>
      <c r="I31" s="26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8"/>
      <c r="U31" s="23"/>
      <c r="V31" s="23"/>
      <c r="W31" s="17"/>
      <c r="X31" s="17"/>
      <c r="Y31" s="23"/>
      <c r="Z31" s="23"/>
      <c r="AA31" s="23"/>
      <c r="AB31" s="23"/>
      <c r="AC31" s="23"/>
      <c r="AD31" s="23"/>
      <c r="AE31" s="17"/>
      <c r="AF31" s="17"/>
      <c r="AG31" s="30"/>
      <c r="AH31" s="23"/>
      <c r="AI31" s="58" t="str">
        <f t="shared" si="5"/>
        <v/>
      </c>
      <c r="AJ31" s="57">
        <f t="shared" si="7"/>
        <v>-1</v>
      </c>
      <c r="AK31" s="57">
        <f t="shared" si="8"/>
        <v>-1</v>
      </c>
      <c r="AL31" s="57">
        <f t="shared" si="6"/>
        <v>-22</v>
      </c>
      <c r="AM31" s="57">
        <f t="shared" si="9"/>
        <v>-0.5</v>
      </c>
      <c r="AN31" s="15"/>
    </row>
    <row r="32" spans="1:40" ht="12" customHeight="1" x14ac:dyDescent="0.45">
      <c r="A32" s="31"/>
      <c r="B32" s="67"/>
      <c r="C32" s="67"/>
      <c r="D32" s="65"/>
      <c r="E32" s="63"/>
      <c r="F32" s="63"/>
      <c r="G32" s="64">
        <f t="shared" si="3"/>
        <v>0</v>
      </c>
      <c r="H32" s="24">
        <f t="shared" si="4"/>
        <v>0</v>
      </c>
      <c r="I32" s="26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8"/>
      <c r="U32" s="23"/>
      <c r="V32" s="23"/>
      <c r="W32" s="17"/>
      <c r="X32" s="17"/>
      <c r="Y32" s="23"/>
      <c r="Z32" s="23"/>
      <c r="AA32" s="23"/>
      <c r="AB32" s="23"/>
      <c r="AC32" s="23"/>
      <c r="AD32" s="23"/>
      <c r="AE32" s="17"/>
      <c r="AF32" s="17"/>
      <c r="AG32" s="30"/>
      <c r="AH32" s="23"/>
      <c r="AI32" s="58" t="str">
        <f t="shared" si="5"/>
        <v/>
      </c>
      <c r="AJ32" s="57">
        <f t="shared" si="7"/>
        <v>-1</v>
      </c>
      <c r="AK32" s="57">
        <f t="shared" si="8"/>
        <v>-1</v>
      </c>
      <c r="AL32" s="57">
        <f t="shared" si="6"/>
        <v>-23</v>
      </c>
      <c r="AM32" s="57">
        <f t="shared" si="9"/>
        <v>-0.5</v>
      </c>
      <c r="AN32" s="15"/>
    </row>
    <row r="33" spans="1:40" ht="12" customHeight="1" x14ac:dyDescent="0.45">
      <c r="A33" s="31"/>
      <c r="B33" s="67"/>
      <c r="C33" s="67"/>
      <c r="D33" s="65"/>
      <c r="E33" s="63"/>
      <c r="F33" s="63"/>
      <c r="G33" s="64">
        <f t="shared" si="3"/>
        <v>0</v>
      </c>
      <c r="H33" s="24">
        <f t="shared" si="4"/>
        <v>0</v>
      </c>
      <c r="I33" s="26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8"/>
      <c r="U33" s="23"/>
      <c r="V33" s="23"/>
      <c r="W33" s="17"/>
      <c r="X33" s="17"/>
      <c r="Y33" s="23"/>
      <c r="Z33" s="23"/>
      <c r="AA33" s="23"/>
      <c r="AB33" s="23"/>
      <c r="AC33" s="23"/>
      <c r="AD33" s="23"/>
      <c r="AE33" s="17"/>
      <c r="AF33" s="17"/>
      <c r="AG33" s="30"/>
      <c r="AH33" s="23"/>
      <c r="AI33" s="58" t="str">
        <f t="shared" si="5"/>
        <v/>
      </c>
      <c r="AJ33" s="57">
        <f t="shared" si="7"/>
        <v>-1</v>
      </c>
      <c r="AK33" s="57">
        <f t="shared" si="8"/>
        <v>-1</v>
      </c>
      <c r="AL33" s="57">
        <f t="shared" si="6"/>
        <v>-24</v>
      </c>
      <c r="AM33" s="57">
        <f t="shared" si="9"/>
        <v>-0.5</v>
      </c>
      <c r="AN33" s="15"/>
    </row>
    <row r="34" spans="1:40" ht="12" customHeight="1" x14ac:dyDescent="0.45">
      <c r="A34" s="31"/>
      <c r="B34" s="67"/>
      <c r="C34" s="67"/>
      <c r="D34" s="65"/>
      <c r="E34" s="63"/>
      <c r="F34" s="63"/>
      <c r="G34" s="64">
        <f t="shared" si="3"/>
        <v>0</v>
      </c>
      <c r="H34" s="24">
        <f t="shared" si="4"/>
        <v>0</v>
      </c>
      <c r="I34" s="26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8"/>
      <c r="U34" s="23"/>
      <c r="V34" s="23"/>
      <c r="W34" s="17"/>
      <c r="X34" s="17"/>
      <c r="Y34" s="23"/>
      <c r="Z34" s="23"/>
      <c r="AA34" s="23"/>
      <c r="AB34" s="23"/>
      <c r="AC34" s="23"/>
      <c r="AD34" s="23"/>
      <c r="AE34" s="17"/>
      <c r="AF34" s="17"/>
      <c r="AG34" s="30"/>
      <c r="AH34" s="23"/>
      <c r="AI34" s="58" t="str">
        <f t="shared" si="5"/>
        <v/>
      </c>
      <c r="AJ34" s="57">
        <f t="shared" si="7"/>
        <v>-1</v>
      </c>
      <c r="AK34" s="57">
        <f t="shared" si="8"/>
        <v>-1</v>
      </c>
      <c r="AL34" s="57">
        <f t="shared" si="6"/>
        <v>-25</v>
      </c>
      <c r="AM34" s="57">
        <f t="shared" si="9"/>
        <v>-0.5</v>
      </c>
      <c r="AN34" s="15"/>
    </row>
    <row r="35" spans="1:40" ht="12" customHeight="1" x14ac:dyDescent="0.45">
      <c r="A35" s="31"/>
      <c r="B35" s="67"/>
      <c r="C35" s="67"/>
      <c r="D35" s="65"/>
      <c r="E35" s="63"/>
      <c r="F35" s="63"/>
      <c r="G35" s="64">
        <f t="shared" si="3"/>
        <v>0</v>
      </c>
      <c r="H35" s="24">
        <f t="shared" si="4"/>
        <v>0</v>
      </c>
      <c r="I35" s="26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8"/>
      <c r="U35" s="23"/>
      <c r="V35" s="23"/>
      <c r="W35" s="17"/>
      <c r="X35" s="17"/>
      <c r="Y35" s="23"/>
      <c r="Z35" s="23"/>
      <c r="AA35" s="23"/>
      <c r="AB35" s="23"/>
      <c r="AC35" s="23"/>
      <c r="AD35" s="23"/>
      <c r="AE35" s="17"/>
      <c r="AF35" s="17"/>
      <c r="AG35" s="30"/>
      <c r="AH35" s="23"/>
      <c r="AI35" s="58" t="str">
        <f t="shared" si="5"/>
        <v/>
      </c>
      <c r="AJ35" s="57">
        <f t="shared" si="7"/>
        <v>-1</v>
      </c>
      <c r="AK35" s="57">
        <f t="shared" si="8"/>
        <v>-1</v>
      </c>
      <c r="AL35" s="57">
        <f t="shared" si="6"/>
        <v>-26</v>
      </c>
      <c r="AM35" s="57">
        <f t="shared" si="9"/>
        <v>-0.5</v>
      </c>
      <c r="AN35" s="15"/>
    </row>
    <row r="36" spans="1:40" ht="12" customHeight="1" x14ac:dyDescent="0.45">
      <c r="A36" s="31"/>
      <c r="B36" s="67"/>
      <c r="C36" s="67"/>
      <c r="D36" s="65"/>
      <c r="E36" s="63"/>
      <c r="F36" s="63"/>
      <c r="G36" s="64">
        <f t="shared" si="3"/>
        <v>0</v>
      </c>
      <c r="H36" s="24">
        <f t="shared" si="4"/>
        <v>0</v>
      </c>
      <c r="I36" s="26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8"/>
      <c r="U36" s="23"/>
      <c r="V36" s="23"/>
      <c r="W36" s="17"/>
      <c r="X36" s="17"/>
      <c r="Y36" s="23"/>
      <c r="Z36" s="23"/>
      <c r="AA36" s="23"/>
      <c r="AB36" s="23"/>
      <c r="AC36" s="23"/>
      <c r="AD36" s="23"/>
      <c r="AE36" s="17"/>
      <c r="AF36" s="17"/>
      <c r="AG36" s="30"/>
      <c r="AH36" s="23"/>
      <c r="AI36" s="58" t="str">
        <f t="shared" si="5"/>
        <v/>
      </c>
      <c r="AJ36" s="57">
        <f t="shared" si="7"/>
        <v>-1</v>
      </c>
      <c r="AK36" s="57">
        <f t="shared" si="8"/>
        <v>-1</v>
      </c>
      <c r="AL36" s="57">
        <f t="shared" si="6"/>
        <v>-27</v>
      </c>
      <c r="AM36" s="57">
        <f t="shared" si="9"/>
        <v>-0.5</v>
      </c>
      <c r="AN36" s="15"/>
    </row>
    <row r="37" spans="1:40" ht="12" customHeight="1" x14ac:dyDescent="0.45">
      <c r="A37" s="31"/>
      <c r="B37" s="67"/>
      <c r="C37" s="67"/>
      <c r="D37" s="65"/>
      <c r="E37" s="63"/>
      <c r="F37" s="63"/>
      <c r="G37" s="64">
        <f t="shared" si="3"/>
        <v>0</v>
      </c>
      <c r="H37" s="24">
        <f t="shared" si="4"/>
        <v>0</v>
      </c>
      <c r="I37" s="26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8"/>
      <c r="U37" s="23"/>
      <c r="V37" s="23"/>
      <c r="W37" s="17"/>
      <c r="X37" s="17"/>
      <c r="Y37" s="23"/>
      <c r="Z37" s="23"/>
      <c r="AA37" s="23"/>
      <c r="AB37" s="23"/>
      <c r="AC37" s="23"/>
      <c r="AD37" s="23"/>
      <c r="AE37" s="17"/>
      <c r="AF37" s="17"/>
      <c r="AG37" s="30"/>
      <c r="AH37" s="23"/>
      <c r="AI37" s="58" t="str">
        <f t="shared" si="5"/>
        <v/>
      </c>
      <c r="AJ37" s="57">
        <f t="shared" si="7"/>
        <v>-1</v>
      </c>
      <c r="AK37" s="57">
        <f t="shared" si="8"/>
        <v>-1</v>
      </c>
      <c r="AL37" s="57">
        <f t="shared" si="6"/>
        <v>-28</v>
      </c>
      <c r="AM37" s="57">
        <f t="shared" si="9"/>
        <v>-0.5</v>
      </c>
      <c r="AN37" s="15"/>
    </row>
    <row r="38" spans="1:40" ht="12" customHeight="1" x14ac:dyDescent="0.45">
      <c r="A38" s="31"/>
      <c r="B38" s="67"/>
      <c r="C38" s="67"/>
      <c r="D38" s="65"/>
      <c r="E38" s="63"/>
      <c r="F38" s="63"/>
      <c r="G38" s="64">
        <f t="shared" si="3"/>
        <v>0</v>
      </c>
      <c r="H38" s="24">
        <f t="shared" si="4"/>
        <v>0</v>
      </c>
      <c r="I38" s="26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8"/>
      <c r="U38" s="23"/>
      <c r="V38" s="23"/>
      <c r="W38" s="17"/>
      <c r="X38" s="17"/>
      <c r="Y38" s="23"/>
      <c r="Z38" s="23"/>
      <c r="AA38" s="23"/>
      <c r="AB38" s="23"/>
      <c r="AC38" s="23"/>
      <c r="AD38" s="23"/>
      <c r="AE38" s="17"/>
      <c r="AF38" s="17"/>
      <c r="AG38" s="30"/>
      <c r="AH38" s="23"/>
      <c r="AI38" s="58" t="str">
        <f t="shared" si="5"/>
        <v/>
      </c>
      <c r="AJ38" s="57">
        <f t="shared" si="7"/>
        <v>-1</v>
      </c>
      <c r="AK38" s="57">
        <f t="shared" si="8"/>
        <v>-1</v>
      </c>
      <c r="AL38" s="57">
        <f t="shared" si="6"/>
        <v>-29</v>
      </c>
      <c r="AM38" s="57">
        <f t="shared" si="9"/>
        <v>-0.5</v>
      </c>
      <c r="AN38" s="15"/>
    </row>
    <row r="39" spans="1:40" ht="12" customHeight="1" x14ac:dyDescent="0.45">
      <c r="A39" s="31"/>
      <c r="B39" s="67"/>
      <c r="C39" s="67"/>
      <c r="D39" s="65"/>
      <c r="E39" s="63"/>
      <c r="F39" s="63"/>
      <c r="G39" s="64">
        <f t="shared" si="3"/>
        <v>0</v>
      </c>
      <c r="H39" s="24">
        <f t="shared" si="4"/>
        <v>0</v>
      </c>
      <c r="I39" s="26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8"/>
      <c r="U39" s="23"/>
      <c r="V39" s="23"/>
      <c r="W39" s="17"/>
      <c r="X39" s="17"/>
      <c r="Y39" s="23"/>
      <c r="Z39" s="23"/>
      <c r="AA39" s="23"/>
      <c r="AB39" s="23"/>
      <c r="AC39" s="23"/>
      <c r="AD39" s="23"/>
      <c r="AE39" s="17"/>
      <c r="AF39" s="17"/>
      <c r="AG39" s="30"/>
      <c r="AH39" s="23"/>
      <c r="AI39" s="58" t="str">
        <f t="shared" si="5"/>
        <v/>
      </c>
      <c r="AJ39" s="57">
        <f t="shared" si="7"/>
        <v>-1</v>
      </c>
      <c r="AK39" s="57">
        <f t="shared" si="8"/>
        <v>-1</v>
      </c>
      <c r="AL39" s="57">
        <f t="shared" si="6"/>
        <v>-30</v>
      </c>
      <c r="AM39" s="57">
        <f t="shared" si="9"/>
        <v>-0.5</v>
      </c>
      <c r="AN39" s="15"/>
    </row>
    <row r="40" spans="1:40" ht="12" customHeight="1" x14ac:dyDescent="0.45">
      <c r="A40" s="31"/>
      <c r="B40" s="67"/>
      <c r="C40" s="67"/>
      <c r="D40" s="65"/>
      <c r="E40" s="63"/>
      <c r="F40" s="63"/>
      <c r="G40" s="64">
        <f t="shared" si="3"/>
        <v>0</v>
      </c>
      <c r="H40" s="24">
        <f t="shared" si="4"/>
        <v>0</v>
      </c>
      <c r="I40" s="26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8"/>
      <c r="U40" s="23"/>
      <c r="V40" s="23"/>
      <c r="W40" s="17"/>
      <c r="X40" s="17"/>
      <c r="Y40" s="23"/>
      <c r="Z40" s="23"/>
      <c r="AA40" s="23"/>
      <c r="AB40" s="23"/>
      <c r="AC40" s="23"/>
      <c r="AD40" s="23"/>
      <c r="AE40" s="17"/>
      <c r="AF40" s="17"/>
      <c r="AG40" s="30"/>
      <c r="AH40" s="23"/>
      <c r="AI40" s="58" t="str">
        <f t="shared" si="5"/>
        <v/>
      </c>
      <c r="AJ40" s="57">
        <f t="shared" si="7"/>
        <v>-1</v>
      </c>
      <c r="AK40" s="57">
        <f t="shared" si="8"/>
        <v>-1</v>
      </c>
      <c r="AL40" s="57">
        <f t="shared" si="6"/>
        <v>-31</v>
      </c>
      <c r="AM40" s="57">
        <f t="shared" si="9"/>
        <v>-0.5</v>
      </c>
      <c r="AN40" s="15"/>
    </row>
    <row r="41" spans="1:40" ht="12" customHeight="1" x14ac:dyDescent="0.45">
      <c r="A41" s="31"/>
      <c r="B41" s="67"/>
      <c r="C41" s="67"/>
      <c r="D41" s="65"/>
      <c r="E41" s="63"/>
      <c r="F41" s="63"/>
      <c r="G41" s="64">
        <f t="shared" si="3"/>
        <v>0</v>
      </c>
      <c r="H41" s="24">
        <f t="shared" si="4"/>
        <v>0</v>
      </c>
      <c r="I41" s="26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8"/>
      <c r="U41" s="23"/>
      <c r="V41" s="23"/>
      <c r="W41" s="17"/>
      <c r="X41" s="17"/>
      <c r="Y41" s="23"/>
      <c r="Z41" s="23"/>
      <c r="AA41" s="23"/>
      <c r="AB41" s="23"/>
      <c r="AC41" s="23"/>
      <c r="AD41" s="23"/>
      <c r="AE41" s="17"/>
      <c r="AF41" s="17"/>
      <c r="AG41" s="30"/>
      <c r="AH41" s="23"/>
      <c r="AI41" s="58" t="str">
        <f t="shared" si="5"/>
        <v/>
      </c>
      <c r="AJ41" s="57">
        <f t="shared" si="7"/>
        <v>-1</v>
      </c>
      <c r="AK41" s="57">
        <f t="shared" si="8"/>
        <v>-1</v>
      </c>
      <c r="AL41" s="57">
        <f t="shared" si="6"/>
        <v>-32</v>
      </c>
      <c r="AM41" s="57">
        <f t="shared" si="9"/>
        <v>-0.5</v>
      </c>
      <c r="AN41" s="15"/>
    </row>
    <row r="42" spans="1:40" ht="12" customHeight="1" x14ac:dyDescent="0.45">
      <c r="A42" s="31"/>
      <c r="B42" s="67"/>
      <c r="C42" s="67"/>
      <c r="D42" s="65"/>
      <c r="E42" s="63"/>
      <c r="F42" s="63"/>
      <c r="G42" s="64">
        <f t="shared" si="3"/>
        <v>0</v>
      </c>
      <c r="H42" s="24">
        <f t="shared" si="4"/>
        <v>0</v>
      </c>
      <c r="I42" s="26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8"/>
      <c r="U42" s="23"/>
      <c r="V42" s="23"/>
      <c r="W42" s="17"/>
      <c r="X42" s="17"/>
      <c r="Y42" s="23"/>
      <c r="Z42" s="23"/>
      <c r="AA42" s="23"/>
      <c r="AB42" s="23"/>
      <c r="AC42" s="23"/>
      <c r="AD42" s="23"/>
      <c r="AE42" s="17"/>
      <c r="AF42" s="17"/>
      <c r="AG42" s="30"/>
      <c r="AH42" s="23"/>
      <c r="AI42" s="58" t="str">
        <f t="shared" si="5"/>
        <v/>
      </c>
      <c r="AJ42" s="57">
        <f t="shared" si="7"/>
        <v>-1</v>
      </c>
      <c r="AK42" s="57">
        <f t="shared" si="8"/>
        <v>-1</v>
      </c>
      <c r="AL42" s="57">
        <f t="shared" si="6"/>
        <v>-33</v>
      </c>
      <c r="AM42" s="57">
        <f t="shared" si="9"/>
        <v>-0.5</v>
      </c>
      <c r="AN42" s="15"/>
    </row>
    <row r="43" spans="1:40" ht="12" customHeight="1" x14ac:dyDescent="0.45">
      <c r="A43" s="31"/>
      <c r="B43" s="67"/>
      <c r="C43" s="67"/>
      <c r="D43" s="65"/>
      <c r="E43" s="63"/>
      <c r="F43" s="63"/>
      <c r="G43" s="64">
        <f t="shared" si="3"/>
        <v>0</v>
      </c>
      <c r="H43" s="24">
        <f t="shared" si="4"/>
        <v>0</v>
      </c>
      <c r="I43" s="26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8"/>
      <c r="U43" s="23"/>
      <c r="V43" s="23"/>
      <c r="W43" s="17"/>
      <c r="X43" s="17"/>
      <c r="Y43" s="23"/>
      <c r="Z43" s="23"/>
      <c r="AA43" s="23"/>
      <c r="AB43" s="23"/>
      <c r="AC43" s="23"/>
      <c r="AD43" s="23"/>
      <c r="AE43" s="17"/>
      <c r="AF43" s="17"/>
      <c r="AG43" s="30"/>
      <c r="AH43" s="23"/>
      <c r="AI43" s="58" t="str">
        <f t="shared" si="5"/>
        <v/>
      </c>
      <c r="AJ43" s="57">
        <f t="shared" si="7"/>
        <v>-1</v>
      </c>
      <c r="AK43" s="57">
        <f t="shared" si="8"/>
        <v>-1</v>
      </c>
      <c r="AL43" s="57">
        <f t="shared" si="6"/>
        <v>-34</v>
      </c>
      <c r="AM43" s="57">
        <f t="shared" si="9"/>
        <v>-0.5</v>
      </c>
      <c r="AN43" s="15"/>
    </row>
    <row r="44" spans="1:40" ht="12" customHeight="1" x14ac:dyDescent="0.45">
      <c r="A44" s="31"/>
      <c r="B44" s="67"/>
      <c r="C44" s="67"/>
      <c r="D44" s="65"/>
      <c r="E44" s="63"/>
      <c r="F44" s="63"/>
      <c r="G44" s="64">
        <f t="shared" si="3"/>
        <v>0</v>
      </c>
      <c r="H44" s="24">
        <f t="shared" si="4"/>
        <v>0</v>
      </c>
      <c r="I44" s="26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8"/>
      <c r="U44" s="23"/>
      <c r="V44" s="23"/>
      <c r="W44" s="17"/>
      <c r="X44" s="17"/>
      <c r="Y44" s="23"/>
      <c r="Z44" s="23"/>
      <c r="AA44" s="23"/>
      <c r="AB44" s="23"/>
      <c r="AC44" s="23"/>
      <c r="AD44" s="23"/>
      <c r="AE44" s="17"/>
      <c r="AF44" s="17"/>
      <c r="AG44" s="30"/>
      <c r="AH44" s="23"/>
      <c r="AI44" s="58" t="str">
        <f t="shared" si="5"/>
        <v/>
      </c>
      <c r="AJ44" s="57">
        <f t="shared" si="7"/>
        <v>-1</v>
      </c>
      <c r="AK44" s="57">
        <f t="shared" si="8"/>
        <v>-1</v>
      </c>
      <c r="AL44" s="57">
        <f t="shared" si="6"/>
        <v>-35</v>
      </c>
      <c r="AM44" s="57">
        <f t="shared" si="9"/>
        <v>-0.5</v>
      </c>
      <c r="AN44" s="15"/>
    </row>
    <row r="45" spans="1:40" ht="12" customHeight="1" x14ac:dyDescent="0.45">
      <c r="A45" s="31"/>
      <c r="B45" s="67"/>
      <c r="C45" s="67"/>
      <c r="D45" s="65"/>
      <c r="E45" s="63"/>
      <c r="F45" s="63"/>
      <c r="G45" s="64">
        <f t="shared" si="3"/>
        <v>0</v>
      </c>
      <c r="H45" s="24">
        <f t="shared" si="4"/>
        <v>0</v>
      </c>
      <c r="I45" s="26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8"/>
      <c r="U45" s="23"/>
      <c r="V45" s="23"/>
      <c r="W45" s="17"/>
      <c r="X45" s="17"/>
      <c r="Y45" s="23"/>
      <c r="Z45" s="23"/>
      <c r="AA45" s="23"/>
      <c r="AB45" s="23"/>
      <c r="AC45" s="23"/>
      <c r="AD45" s="23"/>
      <c r="AE45" s="17"/>
      <c r="AF45" s="17"/>
      <c r="AG45" s="30"/>
      <c r="AH45" s="23"/>
      <c r="AI45" s="58" t="str">
        <f t="shared" si="5"/>
        <v/>
      </c>
      <c r="AJ45" s="57">
        <f t="shared" si="7"/>
        <v>-1</v>
      </c>
      <c r="AK45" s="57">
        <f t="shared" si="8"/>
        <v>-1</v>
      </c>
      <c r="AL45" s="57">
        <f t="shared" si="6"/>
        <v>-36</v>
      </c>
      <c r="AM45" s="57">
        <f t="shared" si="9"/>
        <v>-0.5</v>
      </c>
      <c r="AN45" s="15"/>
    </row>
    <row r="46" spans="1:40" ht="12" customHeight="1" x14ac:dyDescent="0.45">
      <c r="A46" s="31"/>
      <c r="B46" s="67"/>
      <c r="C46" s="67"/>
      <c r="D46" s="65"/>
      <c r="E46" s="63"/>
      <c r="F46" s="63"/>
      <c r="G46" s="64">
        <f t="shared" si="3"/>
        <v>0</v>
      </c>
      <c r="H46" s="24">
        <f t="shared" si="4"/>
        <v>0</v>
      </c>
      <c r="I46" s="26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8"/>
      <c r="U46" s="23"/>
      <c r="V46" s="23"/>
      <c r="W46" s="17"/>
      <c r="X46" s="17"/>
      <c r="Y46" s="23"/>
      <c r="Z46" s="23"/>
      <c r="AA46" s="23"/>
      <c r="AB46" s="23"/>
      <c r="AC46" s="23"/>
      <c r="AD46" s="23"/>
      <c r="AE46" s="17"/>
      <c r="AF46" s="17"/>
      <c r="AG46" s="30"/>
      <c r="AH46" s="23"/>
      <c r="AI46" s="58" t="str">
        <f t="shared" si="5"/>
        <v/>
      </c>
      <c r="AJ46" s="57">
        <f t="shared" si="7"/>
        <v>-1</v>
      </c>
      <c r="AK46" s="57">
        <f t="shared" si="8"/>
        <v>-1</v>
      </c>
      <c r="AL46" s="57">
        <f t="shared" si="6"/>
        <v>-37</v>
      </c>
      <c r="AM46" s="57">
        <f t="shared" si="9"/>
        <v>-0.5</v>
      </c>
      <c r="AN46" s="15"/>
    </row>
    <row r="47" spans="1:40" ht="12" customHeight="1" x14ac:dyDescent="0.45">
      <c r="A47" s="31"/>
      <c r="B47" s="67"/>
      <c r="C47" s="67"/>
      <c r="D47" s="65"/>
      <c r="E47" s="63"/>
      <c r="F47" s="63"/>
      <c r="G47" s="64">
        <f t="shared" si="3"/>
        <v>0</v>
      </c>
      <c r="H47" s="24">
        <f t="shared" si="4"/>
        <v>0</v>
      </c>
      <c r="I47" s="26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8"/>
      <c r="U47" s="23"/>
      <c r="V47" s="23"/>
      <c r="W47" s="17"/>
      <c r="X47" s="17"/>
      <c r="Y47" s="23"/>
      <c r="Z47" s="23"/>
      <c r="AA47" s="23"/>
      <c r="AB47" s="23"/>
      <c r="AC47" s="23"/>
      <c r="AD47" s="23"/>
      <c r="AE47" s="17"/>
      <c r="AF47" s="17"/>
      <c r="AG47" s="30"/>
      <c r="AH47" s="23"/>
      <c r="AI47" s="58" t="str">
        <f t="shared" si="5"/>
        <v/>
      </c>
      <c r="AJ47" s="57">
        <f t="shared" si="7"/>
        <v>-1</v>
      </c>
      <c r="AK47" s="57">
        <f t="shared" si="8"/>
        <v>-1</v>
      </c>
      <c r="AL47" s="57">
        <f t="shared" si="6"/>
        <v>-38</v>
      </c>
      <c r="AM47" s="57">
        <f t="shared" si="9"/>
        <v>-0.5</v>
      </c>
      <c r="AN47" s="15"/>
    </row>
    <row r="48" spans="1:40" ht="12" customHeight="1" x14ac:dyDescent="0.45">
      <c r="A48" s="31"/>
      <c r="B48" s="67"/>
      <c r="C48" s="67"/>
      <c r="D48" s="65"/>
      <c r="E48" s="63"/>
      <c r="F48" s="63"/>
      <c r="G48" s="64">
        <f t="shared" si="3"/>
        <v>0</v>
      </c>
      <c r="H48" s="24">
        <f t="shared" si="4"/>
        <v>0</v>
      </c>
      <c r="I48" s="26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8"/>
      <c r="U48" s="23"/>
      <c r="V48" s="23"/>
      <c r="W48" s="17"/>
      <c r="X48" s="17"/>
      <c r="Y48" s="23"/>
      <c r="Z48" s="23"/>
      <c r="AA48" s="23"/>
      <c r="AB48" s="23"/>
      <c r="AC48" s="23"/>
      <c r="AD48" s="23"/>
      <c r="AE48" s="17"/>
      <c r="AF48" s="17"/>
      <c r="AG48" s="30"/>
      <c r="AH48" s="23"/>
      <c r="AI48" s="58" t="str">
        <f t="shared" si="5"/>
        <v/>
      </c>
      <c r="AJ48" s="57">
        <f t="shared" si="7"/>
        <v>-1</v>
      </c>
      <c r="AK48" s="57">
        <f t="shared" si="8"/>
        <v>-1</v>
      </c>
      <c r="AL48" s="57">
        <f t="shared" si="6"/>
        <v>-39</v>
      </c>
      <c r="AM48" s="57">
        <f t="shared" si="9"/>
        <v>-0.5</v>
      </c>
      <c r="AN48" s="15"/>
    </row>
    <row r="49" spans="1:39" ht="12" customHeight="1" x14ac:dyDescent="0.45">
      <c r="A49" s="31"/>
      <c r="B49" s="54"/>
      <c r="C49" s="52"/>
      <c r="D49" s="42"/>
      <c r="E49" s="34"/>
      <c r="F49" s="34"/>
      <c r="G49" s="20">
        <f t="shared" si="3"/>
        <v>0</v>
      </c>
      <c r="H49" s="24">
        <f t="shared" si="4"/>
        <v>0</v>
      </c>
      <c r="I49" s="26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8"/>
      <c r="U49" s="23"/>
      <c r="V49" s="23"/>
      <c r="W49" s="17"/>
      <c r="X49" s="17"/>
      <c r="Y49" s="23"/>
      <c r="Z49" s="23"/>
      <c r="AA49" s="23"/>
      <c r="AB49" s="23"/>
      <c r="AC49" s="23"/>
      <c r="AD49" s="23"/>
      <c r="AE49" s="17"/>
      <c r="AF49" s="17"/>
      <c r="AG49" s="30"/>
      <c r="AH49" s="23"/>
      <c r="AI49" s="58" t="str">
        <f t="shared" si="5"/>
        <v/>
      </c>
      <c r="AJ49" s="57">
        <f t="shared" si="7"/>
        <v>-1</v>
      </c>
      <c r="AK49" s="57">
        <f t="shared" si="8"/>
        <v>-1</v>
      </c>
      <c r="AL49" s="57">
        <f t="shared" si="6"/>
        <v>-40</v>
      </c>
      <c r="AM49" s="57">
        <f t="shared" si="9"/>
        <v>-0.5</v>
      </c>
    </row>
    <row r="50" spans="1:39" ht="12" customHeight="1" x14ac:dyDescent="0.45">
      <c r="A50" s="31"/>
      <c r="B50" s="50"/>
      <c r="C50" s="51"/>
      <c r="D50" s="42"/>
      <c r="E50" s="34"/>
      <c r="F50" s="34"/>
      <c r="G50" s="20">
        <f t="shared" si="3"/>
        <v>0</v>
      </c>
      <c r="H50" s="24">
        <f t="shared" si="4"/>
        <v>0</v>
      </c>
      <c r="I50" s="26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8"/>
      <c r="U50" s="23"/>
      <c r="V50" s="23"/>
      <c r="W50" s="17"/>
      <c r="X50" s="17"/>
      <c r="Y50" s="23"/>
      <c r="Z50" s="23"/>
      <c r="AA50" s="23"/>
      <c r="AB50" s="23"/>
      <c r="AC50" s="23"/>
      <c r="AD50" s="23"/>
      <c r="AE50" s="17"/>
      <c r="AF50" s="17"/>
      <c r="AG50" s="30"/>
      <c r="AH50" s="23"/>
      <c r="AI50" s="58" t="str">
        <f t="shared" si="5"/>
        <v/>
      </c>
      <c r="AJ50" s="57">
        <f t="shared" si="7"/>
        <v>-1</v>
      </c>
      <c r="AK50" s="57">
        <f t="shared" si="8"/>
        <v>-1</v>
      </c>
      <c r="AL50" s="57">
        <f t="shared" si="6"/>
        <v>-41</v>
      </c>
      <c r="AM50" s="57">
        <f t="shared" si="9"/>
        <v>-0.5</v>
      </c>
    </row>
    <row r="51" spans="1:39" ht="12" customHeight="1" x14ac:dyDescent="0.45">
      <c r="A51" s="31"/>
      <c r="B51" s="50"/>
      <c r="C51" s="52"/>
      <c r="D51" s="42"/>
      <c r="E51" s="34"/>
      <c r="F51" s="34"/>
      <c r="G51" s="20">
        <f t="shared" si="3"/>
        <v>0</v>
      </c>
      <c r="H51" s="24">
        <f t="shared" si="4"/>
        <v>0</v>
      </c>
      <c r="I51" s="26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8"/>
      <c r="U51" s="23"/>
      <c r="V51" s="23"/>
      <c r="W51" s="17"/>
      <c r="X51" s="17"/>
      <c r="Y51" s="23"/>
      <c r="Z51" s="23"/>
      <c r="AA51" s="23"/>
      <c r="AB51" s="23"/>
      <c r="AC51" s="23"/>
      <c r="AD51" s="23"/>
      <c r="AE51" s="17"/>
      <c r="AF51" s="17"/>
      <c r="AG51" s="30"/>
      <c r="AH51" s="23"/>
      <c r="AI51" s="58" t="str">
        <f t="shared" si="5"/>
        <v/>
      </c>
      <c r="AJ51" s="57">
        <f t="shared" si="7"/>
        <v>-1</v>
      </c>
      <c r="AK51" s="57">
        <f t="shared" si="8"/>
        <v>-1</v>
      </c>
      <c r="AL51" s="57">
        <f t="shared" si="6"/>
        <v>-42</v>
      </c>
      <c r="AM51" s="57">
        <f t="shared" si="9"/>
        <v>-0.5</v>
      </c>
    </row>
    <row r="52" spans="1:39" ht="12" customHeight="1" x14ac:dyDescent="0.45">
      <c r="A52" s="31"/>
      <c r="B52" s="50"/>
      <c r="C52" s="52"/>
      <c r="D52" s="42"/>
      <c r="E52" s="35"/>
      <c r="F52" s="35"/>
      <c r="G52" s="20">
        <f t="shared" si="3"/>
        <v>0</v>
      </c>
      <c r="H52" s="24">
        <f t="shared" si="4"/>
        <v>0</v>
      </c>
      <c r="I52" s="26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8"/>
      <c r="U52" s="23"/>
      <c r="V52" s="23"/>
      <c r="W52" s="17"/>
      <c r="X52" s="17"/>
      <c r="Y52" s="23"/>
      <c r="Z52" s="23"/>
      <c r="AA52" s="23"/>
      <c r="AB52" s="23"/>
      <c r="AC52" s="23"/>
      <c r="AD52" s="23"/>
      <c r="AE52" s="17"/>
      <c r="AF52" s="17"/>
      <c r="AG52" s="30"/>
      <c r="AH52" s="23"/>
      <c r="AI52" s="58" t="str">
        <f t="shared" si="5"/>
        <v/>
      </c>
      <c r="AJ52" s="57">
        <f t="shared" si="7"/>
        <v>-1</v>
      </c>
      <c r="AK52" s="57">
        <f t="shared" si="8"/>
        <v>-1</v>
      </c>
      <c r="AL52" s="57">
        <f t="shared" si="6"/>
        <v>-43</v>
      </c>
      <c r="AM52" s="57">
        <f t="shared" si="9"/>
        <v>-0.5</v>
      </c>
    </row>
    <row r="53" spans="1:39" ht="12" customHeight="1" x14ac:dyDescent="0.45">
      <c r="A53" s="31"/>
      <c r="B53" s="50"/>
      <c r="C53" s="52"/>
      <c r="D53" s="42"/>
      <c r="E53" s="35"/>
      <c r="F53" s="35"/>
      <c r="G53" s="20">
        <f t="shared" si="3"/>
        <v>0</v>
      </c>
      <c r="H53" s="24">
        <f t="shared" si="4"/>
        <v>0</v>
      </c>
      <c r="I53" s="26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8"/>
      <c r="U53" s="23"/>
      <c r="V53" s="23"/>
      <c r="W53" s="17"/>
      <c r="X53" s="17"/>
      <c r="Y53" s="23"/>
      <c r="Z53" s="23"/>
      <c r="AA53" s="23"/>
      <c r="AB53" s="23"/>
      <c r="AC53" s="23"/>
      <c r="AD53" s="23"/>
      <c r="AE53" s="17"/>
      <c r="AF53" s="17"/>
      <c r="AG53" s="30"/>
      <c r="AH53" s="23"/>
      <c r="AI53" s="58" t="str">
        <f t="shared" si="5"/>
        <v/>
      </c>
      <c r="AJ53" s="57">
        <f t="shared" si="7"/>
        <v>-1</v>
      </c>
      <c r="AK53" s="57">
        <f t="shared" si="8"/>
        <v>-1</v>
      </c>
      <c r="AL53" s="57">
        <f t="shared" si="6"/>
        <v>-44</v>
      </c>
      <c r="AM53" s="57">
        <f t="shared" si="9"/>
        <v>-0.5</v>
      </c>
    </row>
    <row r="54" spans="1:39" ht="12" customHeight="1" x14ac:dyDescent="0.45">
      <c r="A54" s="31"/>
      <c r="B54" s="53"/>
      <c r="C54" s="51"/>
      <c r="D54" s="42"/>
      <c r="E54" s="35"/>
      <c r="F54" s="35"/>
      <c r="G54" s="20">
        <f t="shared" si="3"/>
        <v>0</v>
      </c>
      <c r="H54" s="24">
        <f t="shared" si="4"/>
        <v>0</v>
      </c>
      <c r="I54" s="26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8"/>
      <c r="U54" s="23"/>
      <c r="V54" s="23"/>
      <c r="W54" s="17"/>
      <c r="X54" s="17"/>
      <c r="Y54" s="23"/>
      <c r="Z54" s="23"/>
      <c r="AA54" s="23"/>
      <c r="AB54" s="23"/>
      <c r="AC54" s="23"/>
      <c r="AD54" s="23"/>
      <c r="AE54" s="17"/>
      <c r="AF54" s="17"/>
      <c r="AG54" s="30"/>
      <c r="AH54" s="23"/>
      <c r="AI54" s="58" t="str">
        <f t="shared" si="5"/>
        <v/>
      </c>
      <c r="AJ54" s="57">
        <f t="shared" si="7"/>
        <v>-1</v>
      </c>
      <c r="AK54" s="57">
        <f t="shared" si="8"/>
        <v>-1</v>
      </c>
      <c r="AL54" s="57">
        <f t="shared" si="6"/>
        <v>-45</v>
      </c>
      <c r="AM54" s="57">
        <f t="shared" si="9"/>
        <v>-0.5</v>
      </c>
    </row>
    <row r="55" spans="1:39" ht="12" customHeight="1" x14ac:dyDescent="0.45">
      <c r="A55" s="31"/>
      <c r="B55" s="53"/>
      <c r="C55" s="52"/>
      <c r="D55" s="42"/>
      <c r="E55" s="34"/>
      <c r="F55" s="34"/>
      <c r="G55" s="20">
        <f t="shared" si="3"/>
        <v>0</v>
      </c>
      <c r="H55" s="24">
        <f t="shared" si="4"/>
        <v>0</v>
      </c>
      <c r="I55" s="26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8"/>
      <c r="U55" s="23"/>
      <c r="V55" s="23"/>
      <c r="W55" s="17"/>
      <c r="X55" s="17"/>
      <c r="Y55" s="23"/>
      <c r="Z55" s="23"/>
      <c r="AA55" s="23"/>
      <c r="AB55" s="23"/>
      <c r="AC55" s="23"/>
      <c r="AD55" s="23"/>
      <c r="AE55" s="17"/>
      <c r="AF55" s="17"/>
      <c r="AG55" s="30"/>
      <c r="AH55" s="23"/>
      <c r="AI55" s="58" t="str">
        <f t="shared" si="5"/>
        <v/>
      </c>
      <c r="AJ55" s="57">
        <f t="shared" si="7"/>
        <v>-1</v>
      </c>
      <c r="AK55" s="57">
        <f t="shared" si="8"/>
        <v>-1</v>
      </c>
      <c r="AL55" s="57">
        <f t="shared" si="6"/>
        <v>-46</v>
      </c>
      <c r="AM55" s="57">
        <f t="shared" si="9"/>
        <v>-0.5</v>
      </c>
    </row>
    <row r="56" spans="1:39" ht="12" customHeight="1" x14ac:dyDescent="0.45">
      <c r="A56" s="31"/>
      <c r="B56" s="53"/>
      <c r="C56" s="52"/>
      <c r="D56" s="42"/>
      <c r="E56" s="34"/>
      <c r="F56" s="34"/>
      <c r="G56" s="20">
        <f t="shared" si="3"/>
        <v>0</v>
      </c>
      <c r="H56" s="24">
        <f t="shared" si="4"/>
        <v>0</v>
      </c>
      <c r="I56" s="26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8"/>
      <c r="U56" s="23"/>
      <c r="V56" s="23"/>
      <c r="W56" s="17"/>
      <c r="X56" s="17"/>
      <c r="Y56" s="23"/>
      <c r="Z56" s="23"/>
      <c r="AA56" s="23"/>
      <c r="AB56" s="23"/>
      <c r="AC56" s="23"/>
      <c r="AD56" s="23"/>
      <c r="AE56" s="17"/>
      <c r="AF56" s="17"/>
      <c r="AG56" s="30"/>
      <c r="AH56" s="23"/>
      <c r="AI56" s="58" t="str">
        <f t="shared" si="5"/>
        <v/>
      </c>
      <c r="AJ56" s="57">
        <f t="shared" si="7"/>
        <v>-1</v>
      </c>
      <c r="AK56" s="57">
        <f t="shared" si="8"/>
        <v>-1</v>
      </c>
      <c r="AL56" s="57">
        <f t="shared" si="6"/>
        <v>-47</v>
      </c>
      <c r="AM56" s="57">
        <f t="shared" si="9"/>
        <v>-0.5</v>
      </c>
    </row>
    <row r="57" spans="1:39" ht="12" customHeight="1" x14ac:dyDescent="0.45">
      <c r="A57" s="31"/>
      <c r="B57" s="53"/>
      <c r="C57" s="52"/>
      <c r="D57" s="43"/>
      <c r="E57" s="2"/>
      <c r="F57" s="2"/>
      <c r="G57" s="20">
        <f t="shared" si="3"/>
        <v>0</v>
      </c>
      <c r="H57" s="24">
        <f t="shared" si="4"/>
        <v>0</v>
      </c>
      <c r="I57" s="26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8"/>
      <c r="U57" s="23"/>
      <c r="V57" s="23"/>
      <c r="W57" s="17"/>
      <c r="X57" s="17"/>
      <c r="Y57" s="23"/>
      <c r="Z57" s="23"/>
      <c r="AA57" s="23"/>
      <c r="AB57" s="23"/>
      <c r="AC57" s="23"/>
      <c r="AD57" s="23"/>
      <c r="AE57" s="17"/>
      <c r="AF57" s="17"/>
      <c r="AG57" s="30"/>
      <c r="AH57" s="23"/>
      <c r="AI57" s="58" t="str">
        <f t="shared" si="5"/>
        <v/>
      </c>
      <c r="AJ57" s="57">
        <f t="shared" si="7"/>
        <v>-1</v>
      </c>
      <c r="AK57" s="57">
        <f t="shared" si="8"/>
        <v>-1</v>
      </c>
      <c r="AL57" s="57">
        <f t="shared" si="6"/>
        <v>-48</v>
      </c>
      <c r="AM57" s="57">
        <f t="shared" si="9"/>
        <v>-0.5</v>
      </c>
    </row>
    <row r="58" spans="1:39" ht="12" customHeight="1" x14ac:dyDescent="0.45">
      <c r="A58" s="31"/>
      <c r="B58" s="53"/>
      <c r="C58" s="51"/>
      <c r="D58" s="43"/>
      <c r="E58" s="2"/>
      <c r="F58" s="2"/>
      <c r="G58" s="20">
        <f t="shared" ref="G58:G121" si="10">EDATE($C$3,E58*3)</f>
        <v>0</v>
      </c>
      <c r="H58" s="24">
        <f t="shared" ref="H58:H121" si="11">EDATE($C$3,F58*3)-IF(E58=F58,0,1)</f>
        <v>0</v>
      </c>
      <c r="I58" s="26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8"/>
      <c r="U58" s="23"/>
      <c r="V58" s="23"/>
      <c r="W58" s="17"/>
      <c r="X58" s="17"/>
      <c r="Y58" s="23"/>
      <c r="Z58" s="23"/>
      <c r="AA58" s="23"/>
      <c r="AB58" s="23"/>
      <c r="AC58" s="23"/>
      <c r="AD58" s="23"/>
      <c r="AE58" s="17"/>
      <c r="AF58" s="17"/>
      <c r="AG58" s="30"/>
      <c r="AH58" s="23"/>
      <c r="AI58" s="58" t="str">
        <f t="shared" si="5"/>
        <v/>
      </c>
      <c r="AJ58" s="57">
        <f t="shared" si="7"/>
        <v>-1</v>
      </c>
      <c r="AK58" s="57">
        <f t="shared" si="8"/>
        <v>-1</v>
      </c>
      <c r="AL58" s="57">
        <f t="shared" si="6"/>
        <v>-49</v>
      </c>
      <c r="AM58" s="57">
        <f t="shared" si="9"/>
        <v>-0.5</v>
      </c>
    </row>
    <row r="59" spans="1:39" ht="12" customHeight="1" x14ac:dyDescent="0.45">
      <c r="A59" s="31"/>
      <c r="B59" s="50"/>
      <c r="C59" s="51"/>
      <c r="D59" s="44"/>
      <c r="E59" s="2"/>
      <c r="F59" s="2"/>
      <c r="G59" s="20">
        <f t="shared" si="10"/>
        <v>0</v>
      </c>
      <c r="H59" s="24">
        <f t="shared" si="11"/>
        <v>0</v>
      </c>
      <c r="I59" s="26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8"/>
      <c r="U59" s="23"/>
      <c r="V59" s="23"/>
      <c r="W59" s="17"/>
      <c r="X59" s="17"/>
      <c r="Y59" s="23"/>
      <c r="Z59" s="23"/>
      <c r="AA59" s="23"/>
      <c r="AB59" s="23"/>
      <c r="AC59" s="23"/>
      <c r="AD59" s="23"/>
      <c r="AE59" s="17"/>
      <c r="AF59" s="17"/>
      <c r="AG59" s="30"/>
      <c r="AH59" s="23"/>
      <c r="AI59" s="58" t="str">
        <f t="shared" si="5"/>
        <v/>
      </c>
      <c r="AJ59" s="57">
        <f t="shared" si="7"/>
        <v>-1</v>
      </c>
      <c r="AK59" s="57">
        <f t="shared" si="8"/>
        <v>-1</v>
      </c>
      <c r="AL59" s="57">
        <f t="shared" si="6"/>
        <v>-50</v>
      </c>
      <c r="AM59" s="57">
        <f t="shared" si="9"/>
        <v>-0.5</v>
      </c>
    </row>
    <row r="60" spans="1:39" ht="12" customHeight="1" x14ac:dyDescent="0.45">
      <c r="A60" s="31"/>
      <c r="B60" s="54"/>
      <c r="C60" s="52"/>
      <c r="D60" s="44"/>
      <c r="E60" s="2"/>
      <c r="F60" s="2"/>
      <c r="G60" s="20">
        <f t="shared" si="10"/>
        <v>0</v>
      </c>
      <c r="H60" s="24">
        <f t="shared" si="11"/>
        <v>0</v>
      </c>
      <c r="I60" s="26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8"/>
      <c r="U60" s="23"/>
      <c r="V60" s="23"/>
      <c r="W60" s="17"/>
      <c r="X60" s="17"/>
      <c r="Y60" s="23"/>
      <c r="Z60" s="23"/>
      <c r="AA60" s="23"/>
      <c r="AB60" s="23"/>
      <c r="AC60" s="23"/>
      <c r="AD60" s="23"/>
      <c r="AE60" s="17"/>
      <c r="AF60" s="17"/>
      <c r="AG60" s="30"/>
      <c r="AH60" s="23"/>
      <c r="AI60" s="58" t="str">
        <f t="shared" si="5"/>
        <v/>
      </c>
      <c r="AJ60" s="57">
        <f t="shared" si="7"/>
        <v>-1</v>
      </c>
      <c r="AK60" s="57">
        <f t="shared" si="8"/>
        <v>-1</v>
      </c>
      <c r="AL60" s="57">
        <f t="shared" si="6"/>
        <v>-51</v>
      </c>
      <c r="AM60" s="57">
        <f t="shared" si="9"/>
        <v>-0.5</v>
      </c>
    </row>
    <row r="61" spans="1:39" ht="12" customHeight="1" x14ac:dyDescent="0.45">
      <c r="A61" s="31"/>
      <c r="B61" s="54"/>
      <c r="C61" s="51"/>
      <c r="D61" s="43"/>
      <c r="E61" s="2"/>
      <c r="F61" s="2"/>
      <c r="G61" s="20">
        <f t="shared" si="10"/>
        <v>0</v>
      </c>
      <c r="H61" s="24">
        <f t="shared" si="11"/>
        <v>0</v>
      </c>
      <c r="I61" s="26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8"/>
      <c r="U61" s="23"/>
      <c r="V61" s="23"/>
      <c r="W61" s="17"/>
      <c r="X61" s="17"/>
      <c r="Y61" s="23"/>
      <c r="Z61" s="23"/>
      <c r="AA61" s="23"/>
      <c r="AB61" s="23"/>
      <c r="AC61" s="23"/>
      <c r="AD61" s="23"/>
      <c r="AE61" s="17"/>
      <c r="AF61" s="17"/>
      <c r="AG61" s="30"/>
      <c r="AH61" s="23"/>
      <c r="AI61" s="58" t="str">
        <f t="shared" si="5"/>
        <v/>
      </c>
      <c r="AJ61" s="57">
        <f t="shared" si="7"/>
        <v>-1</v>
      </c>
      <c r="AK61" s="57">
        <f t="shared" si="8"/>
        <v>-1</v>
      </c>
      <c r="AL61" s="57">
        <f t="shared" si="6"/>
        <v>-52</v>
      </c>
      <c r="AM61" s="57">
        <f t="shared" si="9"/>
        <v>-0.5</v>
      </c>
    </row>
    <row r="62" spans="1:39" ht="12" customHeight="1" x14ac:dyDescent="0.45">
      <c r="A62" s="31"/>
      <c r="B62" s="54"/>
      <c r="C62" s="52"/>
      <c r="D62" s="43"/>
      <c r="E62" s="2"/>
      <c r="F62" s="2"/>
      <c r="G62" s="20">
        <f t="shared" si="10"/>
        <v>0</v>
      </c>
      <c r="H62" s="24">
        <f t="shared" si="11"/>
        <v>0</v>
      </c>
      <c r="I62" s="26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8"/>
      <c r="U62" s="23"/>
      <c r="V62" s="23"/>
      <c r="W62" s="17"/>
      <c r="X62" s="17"/>
      <c r="Y62" s="23"/>
      <c r="Z62" s="23"/>
      <c r="AA62" s="23"/>
      <c r="AB62" s="23"/>
      <c r="AC62" s="23"/>
      <c r="AD62" s="23"/>
      <c r="AE62" s="17"/>
      <c r="AF62" s="17"/>
      <c r="AG62" s="30"/>
      <c r="AH62" s="23"/>
      <c r="AI62" s="58" t="str">
        <f t="shared" si="5"/>
        <v/>
      </c>
      <c r="AJ62" s="57">
        <f t="shared" si="7"/>
        <v>-1</v>
      </c>
      <c r="AK62" s="57">
        <f t="shared" si="8"/>
        <v>-1</v>
      </c>
      <c r="AL62" s="57">
        <f t="shared" si="6"/>
        <v>-53</v>
      </c>
      <c r="AM62" s="57">
        <f t="shared" si="9"/>
        <v>-0.5</v>
      </c>
    </row>
    <row r="63" spans="1:39" ht="12" customHeight="1" x14ac:dyDescent="0.45">
      <c r="A63" s="31"/>
      <c r="B63" s="19"/>
      <c r="C63" s="55"/>
      <c r="D63" s="43"/>
      <c r="E63" s="2"/>
      <c r="F63" s="2"/>
      <c r="G63" s="20">
        <f t="shared" si="10"/>
        <v>0</v>
      </c>
      <c r="H63" s="24">
        <f t="shared" si="11"/>
        <v>0</v>
      </c>
      <c r="I63" s="26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8"/>
      <c r="U63" s="23"/>
      <c r="V63" s="23"/>
      <c r="W63" s="17"/>
      <c r="X63" s="17"/>
      <c r="Y63" s="23"/>
      <c r="Z63" s="23"/>
      <c r="AA63" s="23"/>
      <c r="AB63" s="23"/>
      <c r="AC63" s="23"/>
      <c r="AD63" s="23"/>
      <c r="AE63" s="17"/>
      <c r="AF63" s="17"/>
      <c r="AG63" s="30"/>
      <c r="AH63" s="23"/>
      <c r="AI63" s="58" t="str">
        <f t="shared" si="5"/>
        <v/>
      </c>
      <c r="AJ63" s="57">
        <f t="shared" si="7"/>
        <v>-1</v>
      </c>
      <c r="AK63" s="57">
        <f t="shared" si="8"/>
        <v>-1</v>
      </c>
      <c r="AL63" s="57">
        <f>AL62-1</f>
        <v>-54</v>
      </c>
      <c r="AM63" s="57">
        <f t="shared" si="9"/>
        <v>-0.5</v>
      </c>
    </row>
    <row r="64" spans="1:39" ht="12" customHeight="1" x14ac:dyDescent="0.45">
      <c r="A64" s="31"/>
      <c r="B64" s="19"/>
      <c r="C64" s="55"/>
      <c r="D64" s="43"/>
      <c r="E64" s="2"/>
      <c r="F64" s="2"/>
      <c r="G64" s="20">
        <f t="shared" si="10"/>
        <v>0</v>
      </c>
      <c r="H64" s="24">
        <f t="shared" si="11"/>
        <v>0</v>
      </c>
      <c r="I64" s="26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8"/>
      <c r="U64" s="23"/>
      <c r="V64" s="23"/>
      <c r="W64" s="17"/>
      <c r="X64" s="17"/>
      <c r="Y64" s="23"/>
      <c r="Z64" s="23"/>
      <c r="AA64" s="23"/>
      <c r="AB64" s="23"/>
      <c r="AC64" s="23"/>
      <c r="AD64" s="23"/>
      <c r="AE64" s="17"/>
      <c r="AF64" s="17"/>
      <c r="AG64" s="30"/>
      <c r="AH64" s="23"/>
      <c r="AI64" s="58" t="str">
        <f t="shared" si="5"/>
        <v/>
      </c>
      <c r="AJ64" s="57">
        <f t="shared" si="7"/>
        <v>-1</v>
      </c>
      <c r="AK64" s="57">
        <f t="shared" si="8"/>
        <v>-1</v>
      </c>
      <c r="AL64" s="57">
        <f t="shared" si="6"/>
        <v>-55</v>
      </c>
      <c r="AM64" s="57">
        <f t="shared" si="9"/>
        <v>-0.5</v>
      </c>
    </row>
    <row r="65" spans="1:39" ht="12" customHeight="1" x14ac:dyDescent="0.45">
      <c r="A65" s="31"/>
      <c r="B65" s="19"/>
      <c r="C65" s="55"/>
      <c r="D65" s="43"/>
      <c r="E65" s="2"/>
      <c r="F65" s="2"/>
      <c r="G65" s="20">
        <f t="shared" si="10"/>
        <v>0</v>
      </c>
      <c r="H65" s="24">
        <f t="shared" si="11"/>
        <v>0</v>
      </c>
      <c r="I65" s="26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8"/>
      <c r="U65" s="23"/>
      <c r="V65" s="23"/>
      <c r="W65" s="17"/>
      <c r="X65" s="17"/>
      <c r="Y65" s="23"/>
      <c r="Z65" s="23"/>
      <c r="AA65" s="23"/>
      <c r="AB65" s="23"/>
      <c r="AC65" s="23"/>
      <c r="AD65" s="23"/>
      <c r="AE65" s="17"/>
      <c r="AF65" s="17"/>
      <c r="AG65" s="30"/>
      <c r="AH65" s="23"/>
      <c r="AI65" s="58" t="str">
        <f t="shared" si="5"/>
        <v/>
      </c>
      <c r="AJ65" s="57">
        <f t="shared" si="7"/>
        <v>-1</v>
      </c>
      <c r="AK65" s="57">
        <f t="shared" si="8"/>
        <v>-1</v>
      </c>
      <c r="AL65" s="57">
        <f t="shared" si="6"/>
        <v>-56</v>
      </c>
      <c r="AM65" s="57">
        <f t="shared" si="9"/>
        <v>-0.5</v>
      </c>
    </row>
    <row r="66" spans="1:39" ht="12" customHeight="1" x14ac:dyDescent="0.45">
      <c r="A66" s="31"/>
      <c r="B66" s="19"/>
      <c r="C66" s="55"/>
      <c r="D66" s="45"/>
      <c r="E66" s="2"/>
      <c r="F66" s="2"/>
      <c r="G66" s="20">
        <f t="shared" si="10"/>
        <v>0</v>
      </c>
      <c r="H66" s="24">
        <f t="shared" si="11"/>
        <v>0</v>
      </c>
      <c r="I66" s="26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8"/>
      <c r="U66" s="23"/>
      <c r="V66" s="23"/>
      <c r="W66" s="17"/>
      <c r="X66" s="17"/>
      <c r="Y66" s="23"/>
      <c r="Z66" s="23"/>
      <c r="AA66" s="23"/>
      <c r="AB66" s="23"/>
      <c r="AC66" s="23"/>
      <c r="AD66" s="23"/>
      <c r="AE66" s="17"/>
      <c r="AF66" s="17"/>
      <c r="AG66" s="30"/>
      <c r="AH66" s="23"/>
      <c r="AI66" s="58" t="str">
        <f t="shared" si="5"/>
        <v/>
      </c>
      <c r="AJ66" s="57">
        <f t="shared" si="7"/>
        <v>-1</v>
      </c>
      <c r="AK66" s="57">
        <f t="shared" si="8"/>
        <v>-1</v>
      </c>
      <c r="AL66" s="57">
        <f t="shared" si="6"/>
        <v>-57</v>
      </c>
      <c r="AM66" s="57">
        <f t="shared" si="9"/>
        <v>-0.5</v>
      </c>
    </row>
    <row r="67" spans="1:39" ht="12" customHeight="1" x14ac:dyDescent="0.45">
      <c r="A67" s="31"/>
      <c r="B67" s="19"/>
      <c r="C67" s="55"/>
      <c r="D67" s="45"/>
      <c r="E67" s="2"/>
      <c r="F67" s="2"/>
      <c r="G67" s="20">
        <f t="shared" si="10"/>
        <v>0</v>
      </c>
      <c r="H67" s="24">
        <f t="shared" si="11"/>
        <v>0</v>
      </c>
      <c r="I67" s="26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8"/>
      <c r="U67" s="23"/>
      <c r="V67" s="23"/>
      <c r="W67" s="17"/>
      <c r="X67" s="17"/>
      <c r="Y67" s="23"/>
      <c r="Z67" s="23"/>
      <c r="AA67" s="23"/>
      <c r="AB67" s="23"/>
      <c r="AC67" s="23"/>
      <c r="AD67" s="23"/>
      <c r="AE67" s="17"/>
      <c r="AF67" s="17"/>
      <c r="AG67" s="30"/>
      <c r="AH67" s="23"/>
      <c r="AI67" s="58" t="str">
        <f t="shared" si="5"/>
        <v/>
      </c>
      <c r="AJ67" s="57">
        <f t="shared" si="7"/>
        <v>-1</v>
      </c>
      <c r="AK67" s="57">
        <f t="shared" si="8"/>
        <v>-1</v>
      </c>
      <c r="AL67" s="57">
        <f t="shared" si="6"/>
        <v>-58</v>
      </c>
      <c r="AM67" s="57">
        <f t="shared" si="9"/>
        <v>-0.5</v>
      </c>
    </row>
    <row r="68" spans="1:39" ht="12" customHeight="1" x14ac:dyDescent="0.45">
      <c r="A68" s="31"/>
      <c r="B68" s="19"/>
      <c r="C68" s="55"/>
      <c r="D68" s="45"/>
      <c r="E68" s="2"/>
      <c r="F68" s="2"/>
      <c r="G68" s="20">
        <f t="shared" si="10"/>
        <v>0</v>
      </c>
      <c r="H68" s="24">
        <f t="shared" si="11"/>
        <v>0</v>
      </c>
      <c r="I68" s="26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8"/>
      <c r="U68" s="23"/>
      <c r="V68" s="23"/>
      <c r="W68" s="17"/>
      <c r="X68" s="17"/>
      <c r="Y68" s="23"/>
      <c r="Z68" s="23"/>
      <c r="AA68" s="23"/>
      <c r="AB68" s="23"/>
      <c r="AC68" s="23"/>
      <c r="AD68" s="23"/>
      <c r="AE68" s="17"/>
      <c r="AF68" s="17"/>
      <c r="AG68" s="30"/>
      <c r="AH68" s="23"/>
      <c r="AI68" s="58" t="str">
        <f t="shared" si="5"/>
        <v/>
      </c>
      <c r="AJ68" s="57">
        <f t="shared" si="7"/>
        <v>-1</v>
      </c>
      <c r="AK68" s="57">
        <f t="shared" si="8"/>
        <v>-1</v>
      </c>
      <c r="AL68" s="57">
        <f t="shared" si="6"/>
        <v>-59</v>
      </c>
      <c r="AM68" s="57">
        <f t="shared" si="9"/>
        <v>-0.5</v>
      </c>
    </row>
    <row r="69" spans="1:39" ht="12" customHeight="1" x14ac:dyDescent="0.45">
      <c r="A69" s="31"/>
      <c r="B69" s="19"/>
      <c r="C69" s="55"/>
      <c r="D69" s="46"/>
      <c r="E69" s="2"/>
      <c r="F69" s="2"/>
      <c r="G69" s="20">
        <f t="shared" si="10"/>
        <v>0</v>
      </c>
      <c r="H69" s="24">
        <f t="shared" si="11"/>
        <v>0</v>
      </c>
      <c r="I69" s="26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8"/>
      <c r="U69" s="23"/>
      <c r="V69" s="23"/>
      <c r="W69" s="17"/>
      <c r="X69" s="17"/>
      <c r="Y69" s="23"/>
      <c r="Z69" s="23"/>
      <c r="AA69" s="23"/>
      <c r="AB69" s="23"/>
      <c r="AC69" s="23"/>
      <c r="AD69" s="23"/>
      <c r="AE69" s="17"/>
      <c r="AF69" s="17"/>
      <c r="AG69" s="30"/>
      <c r="AH69" s="23"/>
      <c r="AI69" s="58" t="str">
        <f t="shared" si="5"/>
        <v/>
      </c>
      <c r="AJ69" s="57">
        <f t="shared" si="7"/>
        <v>-1</v>
      </c>
      <c r="AK69" s="57">
        <f t="shared" si="8"/>
        <v>-1</v>
      </c>
      <c r="AL69" s="57">
        <f t="shared" si="6"/>
        <v>-60</v>
      </c>
      <c r="AM69" s="57">
        <f t="shared" si="9"/>
        <v>-0.5</v>
      </c>
    </row>
    <row r="70" spans="1:39" ht="12" customHeight="1" x14ac:dyDescent="0.45">
      <c r="A70" s="31"/>
      <c r="B70" s="19"/>
      <c r="C70" s="55"/>
      <c r="D70" s="47"/>
      <c r="E70" s="2"/>
      <c r="F70" s="2"/>
      <c r="G70" s="20">
        <f t="shared" si="10"/>
        <v>0</v>
      </c>
      <c r="H70" s="24">
        <f t="shared" si="11"/>
        <v>0</v>
      </c>
      <c r="I70" s="26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8"/>
      <c r="U70" s="23"/>
      <c r="V70" s="23"/>
      <c r="W70" s="17"/>
      <c r="X70" s="17"/>
      <c r="Y70" s="23"/>
      <c r="Z70" s="23"/>
      <c r="AA70" s="23"/>
      <c r="AB70" s="23"/>
      <c r="AC70" s="23"/>
      <c r="AD70" s="23"/>
      <c r="AE70" s="17"/>
      <c r="AF70" s="17"/>
      <c r="AG70" s="30"/>
      <c r="AH70" s="23"/>
      <c r="AI70" s="58" t="str">
        <f t="shared" si="5"/>
        <v/>
      </c>
      <c r="AJ70" s="57">
        <f t="shared" si="7"/>
        <v>-1</v>
      </c>
      <c r="AK70" s="57">
        <f t="shared" si="8"/>
        <v>-1</v>
      </c>
      <c r="AL70" s="57">
        <f t="shared" si="6"/>
        <v>-61</v>
      </c>
      <c r="AM70" s="57">
        <f t="shared" si="9"/>
        <v>-0.5</v>
      </c>
    </row>
    <row r="71" spans="1:39" ht="12" customHeight="1" x14ac:dyDescent="0.45">
      <c r="A71" s="31"/>
      <c r="B71" s="19"/>
      <c r="C71" s="55"/>
      <c r="D71" s="47"/>
      <c r="E71" s="2"/>
      <c r="F71" s="2"/>
      <c r="G71" s="20">
        <f t="shared" si="10"/>
        <v>0</v>
      </c>
      <c r="H71" s="24">
        <f t="shared" si="11"/>
        <v>0</v>
      </c>
      <c r="I71" s="26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8"/>
      <c r="U71" s="23"/>
      <c r="V71" s="23"/>
      <c r="W71" s="17"/>
      <c r="X71" s="17"/>
      <c r="Y71" s="23"/>
      <c r="Z71" s="23"/>
      <c r="AA71" s="23"/>
      <c r="AB71" s="23"/>
      <c r="AC71" s="23"/>
      <c r="AD71" s="23"/>
      <c r="AE71" s="17"/>
      <c r="AF71" s="17"/>
      <c r="AG71" s="30"/>
      <c r="AH71" s="23"/>
      <c r="AI71" s="58" t="str">
        <f t="shared" si="5"/>
        <v/>
      </c>
      <c r="AJ71" s="57">
        <f t="shared" si="7"/>
        <v>-1</v>
      </c>
      <c r="AK71" s="57">
        <f t="shared" si="8"/>
        <v>-1</v>
      </c>
      <c r="AL71" s="57">
        <f t="shared" si="6"/>
        <v>-62</v>
      </c>
      <c r="AM71" s="57">
        <f t="shared" si="9"/>
        <v>-0.5</v>
      </c>
    </row>
    <row r="72" spans="1:39" ht="12" customHeight="1" x14ac:dyDescent="0.45">
      <c r="A72" s="31"/>
      <c r="B72" s="19"/>
      <c r="C72" s="55"/>
      <c r="D72" s="48"/>
      <c r="E72" s="2"/>
      <c r="F72" s="2"/>
      <c r="G72" s="20">
        <f t="shared" si="10"/>
        <v>0</v>
      </c>
      <c r="H72" s="24">
        <f t="shared" si="11"/>
        <v>0</v>
      </c>
      <c r="I72" s="26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8"/>
      <c r="U72" s="23"/>
      <c r="V72" s="23"/>
      <c r="W72" s="17"/>
      <c r="X72" s="17"/>
      <c r="Y72" s="23"/>
      <c r="Z72" s="23"/>
      <c r="AA72" s="23"/>
      <c r="AB72" s="23"/>
      <c r="AC72" s="23"/>
      <c r="AD72" s="23"/>
      <c r="AE72" s="17"/>
      <c r="AF72" s="17"/>
      <c r="AG72" s="30"/>
      <c r="AH72" s="23"/>
      <c r="AI72" s="58" t="str">
        <f t="shared" si="5"/>
        <v/>
      </c>
      <c r="AJ72" s="57">
        <f t="shared" si="7"/>
        <v>-1</v>
      </c>
      <c r="AK72" s="57">
        <f t="shared" si="8"/>
        <v>-1</v>
      </c>
      <c r="AL72" s="57">
        <f t="shared" si="6"/>
        <v>-63</v>
      </c>
      <c r="AM72" s="57">
        <f t="shared" si="9"/>
        <v>-0.5</v>
      </c>
    </row>
    <row r="73" spans="1:39" ht="12" customHeight="1" x14ac:dyDescent="0.45">
      <c r="A73" s="31"/>
      <c r="B73" s="19"/>
      <c r="C73" s="55"/>
      <c r="D73" s="48"/>
      <c r="E73" s="2"/>
      <c r="F73" s="2"/>
      <c r="G73" s="20">
        <f t="shared" si="10"/>
        <v>0</v>
      </c>
      <c r="H73" s="24">
        <f t="shared" si="11"/>
        <v>0</v>
      </c>
      <c r="I73" s="26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8"/>
      <c r="U73" s="23"/>
      <c r="V73" s="23"/>
      <c r="W73" s="17"/>
      <c r="X73" s="17"/>
      <c r="Y73" s="23"/>
      <c r="Z73" s="23"/>
      <c r="AA73" s="23"/>
      <c r="AB73" s="23"/>
      <c r="AC73" s="23"/>
      <c r="AD73" s="23"/>
      <c r="AE73" s="17"/>
      <c r="AF73" s="17"/>
      <c r="AG73" s="30"/>
      <c r="AH73" s="23"/>
      <c r="AI73" s="58" t="str">
        <f t="shared" si="5"/>
        <v/>
      </c>
      <c r="AJ73" s="57">
        <f t="shared" si="7"/>
        <v>-1</v>
      </c>
      <c r="AK73" s="57">
        <f t="shared" si="8"/>
        <v>-1</v>
      </c>
      <c r="AL73" s="57">
        <f t="shared" si="6"/>
        <v>-64</v>
      </c>
      <c r="AM73" s="57">
        <f t="shared" si="9"/>
        <v>-0.5</v>
      </c>
    </row>
    <row r="74" spans="1:39" ht="12" customHeight="1" x14ac:dyDescent="0.45">
      <c r="A74" s="31"/>
      <c r="B74" s="19"/>
      <c r="C74" s="56"/>
      <c r="D74" s="47"/>
      <c r="E74" s="2"/>
      <c r="F74" s="2"/>
      <c r="G74" s="20">
        <f t="shared" si="10"/>
        <v>0</v>
      </c>
      <c r="H74" s="24">
        <f t="shared" si="11"/>
        <v>0</v>
      </c>
      <c r="I74" s="26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8"/>
      <c r="U74" s="23"/>
      <c r="V74" s="23"/>
      <c r="W74" s="17"/>
      <c r="X74" s="17"/>
      <c r="Y74" s="23"/>
      <c r="Z74" s="23"/>
      <c r="AA74" s="23"/>
      <c r="AB74" s="23"/>
      <c r="AC74" s="23"/>
      <c r="AD74" s="23"/>
      <c r="AE74" s="17"/>
      <c r="AF74" s="17"/>
      <c r="AG74" s="30"/>
      <c r="AH74" s="23"/>
      <c r="AI74" s="58" t="str">
        <f t="shared" si="5"/>
        <v/>
      </c>
      <c r="AJ74" s="57">
        <f t="shared" si="7"/>
        <v>-1</v>
      </c>
      <c r="AK74" s="57">
        <f t="shared" si="8"/>
        <v>-1</v>
      </c>
      <c r="AL74" s="57">
        <f t="shared" si="6"/>
        <v>-65</v>
      </c>
      <c r="AM74" s="57">
        <f t="shared" si="9"/>
        <v>-0.5</v>
      </c>
    </row>
    <row r="75" spans="1:39" ht="12" customHeight="1" x14ac:dyDescent="0.45">
      <c r="A75" s="31"/>
      <c r="B75" s="19"/>
      <c r="C75" s="38"/>
      <c r="D75" s="47"/>
      <c r="E75" s="2"/>
      <c r="F75" s="2"/>
      <c r="G75" s="20">
        <f t="shared" si="10"/>
        <v>0</v>
      </c>
      <c r="H75" s="24">
        <f t="shared" si="11"/>
        <v>0</v>
      </c>
      <c r="I75" s="26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8"/>
      <c r="U75" s="23"/>
      <c r="V75" s="23"/>
      <c r="W75" s="17"/>
      <c r="X75" s="17"/>
      <c r="Y75" s="23"/>
      <c r="Z75" s="23"/>
      <c r="AA75" s="23"/>
      <c r="AB75" s="23"/>
      <c r="AC75" s="23"/>
      <c r="AD75" s="23"/>
      <c r="AE75" s="17"/>
      <c r="AF75" s="17"/>
      <c r="AG75" s="30"/>
      <c r="AH75" s="23"/>
      <c r="AI75" s="58" t="str">
        <f t="shared" si="5"/>
        <v/>
      </c>
      <c r="AJ75" s="57">
        <f t="shared" si="7"/>
        <v>-1</v>
      </c>
      <c r="AK75" s="57">
        <f t="shared" si="8"/>
        <v>-1</v>
      </c>
      <c r="AL75" s="57">
        <f t="shared" si="6"/>
        <v>-66</v>
      </c>
      <c r="AM75" s="57">
        <f t="shared" si="9"/>
        <v>-0.5</v>
      </c>
    </row>
    <row r="76" spans="1:39" ht="12" customHeight="1" x14ac:dyDescent="0.45">
      <c r="A76" s="31"/>
      <c r="B76" s="18"/>
      <c r="C76" s="39"/>
      <c r="D76" s="49"/>
      <c r="E76" s="2"/>
      <c r="F76" s="2"/>
      <c r="G76" s="20">
        <f t="shared" si="10"/>
        <v>0</v>
      </c>
      <c r="H76" s="24">
        <f t="shared" si="11"/>
        <v>0</v>
      </c>
      <c r="I76" s="26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8"/>
      <c r="U76" s="23"/>
      <c r="V76" s="23"/>
      <c r="W76" s="17"/>
      <c r="X76" s="17"/>
      <c r="Y76" s="23"/>
      <c r="Z76" s="23"/>
      <c r="AA76" s="23"/>
      <c r="AB76" s="23"/>
      <c r="AC76" s="23"/>
      <c r="AD76" s="23"/>
      <c r="AE76" s="17"/>
      <c r="AF76" s="17"/>
      <c r="AG76" s="30"/>
      <c r="AH76" s="23"/>
      <c r="AI76" s="58" t="str">
        <f t="shared" ref="AI76:AI139" si="12">IF(E76="", "",IF(LEFT(B76, 1)="M", 0, (F76-E76+1)*0.5))</f>
        <v/>
      </c>
      <c r="AJ76" s="57">
        <f t="shared" si="7"/>
        <v>-1</v>
      </c>
      <c r="AK76" s="57">
        <f t="shared" si="8"/>
        <v>-1</v>
      </c>
      <c r="AL76" s="57">
        <f t="shared" ref="AL76:AL139" si="13">AL75-1</f>
        <v>-67</v>
      </c>
      <c r="AM76" s="57">
        <f t="shared" si="9"/>
        <v>-0.5</v>
      </c>
    </row>
    <row r="77" spans="1:39" ht="12" customHeight="1" x14ac:dyDescent="0.45">
      <c r="A77" s="31"/>
      <c r="B77" s="18"/>
      <c r="C77" s="39"/>
      <c r="D77" s="49"/>
      <c r="E77" s="2"/>
      <c r="F77" s="2"/>
      <c r="G77" s="20">
        <f t="shared" si="10"/>
        <v>0</v>
      </c>
      <c r="H77" s="24">
        <f t="shared" si="11"/>
        <v>0</v>
      </c>
      <c r="I77" s="26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8"/>
      <c r="U77" s="23"/>
      <c r="V77" s="23"/>
      <c r="W77" s="17"/>
      <c r="X77" s="17"/>
      <c r="Y77" s="23"/>
      <c r="Z77" s="23"/>
      <c r="AA77" s="23"/>
      <c r="AB77" s="23"/>
      <c r="AC77" s="23"/>
      <c r="AD77" s="23"/>
      <c r="AE77" s="17"/>
      <c r="AF77" s="17"/>
      <c r="AG77" s="30"/>
      <c r="AH77" s="23"/>
      <c r="AI77" s="58" t="str">
        <f t="shared" si="12"/>
        <v/>
      </c>
      <c r="AJ77" s="57">
        <f t="shared" si="7"/>
        <v>-1</v>
      </c>
      <c r="AK77" s="57">
        <f t="shared" si="8"/>
        <v>-1</v>
      </c>
      <c r="AL77" s="57">
        <f t="shared" si="13"/>
        <v>-68</v>
      </c>
      <c r="AM77" s="57">
        <f t="shared" si="9"/>
        <v>-0.5</v>
      </c>
    </row>
    <row r="78" spans="1:39" ht="12" customHeight="1" x14ac:dyDescent="0.45">
      <c r="A78" s="31"/>
      <c r="B78" s="18"/>
      <c r="C78" s="39"/>
      <c r="D78" s="49"/>
      <c r="E78" s="2"/>
      <c r="F78" s="2"/>
      <c r="G78" s="20">
        <f t="shared" si="10"/>
        <v>0</v>
      </c>
      <c r="H78" s="24">
        <f t="shared" si="11"/>
        <v>0</v>
      </c>
      <c r="I78" s="26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8"/>
      <c r="U78" s="23"/>
      <c r="V78" s="23"/>
      <c r="W78" s="17"/>
      <c r="X78" s="17"/>
      <c r="Y78" s="23"/>
      <c r="Z78" s="23"/>
      <c r="AA78" s="23"/>
      <c r="AB78" s="23"/>
      <c r="AC78" s="23"/>
      <c r="AD78" s="23"/>
      <c r="AE78" s="17"/>
      <c r="AF78" s="17"/>
      <c r="AG78" s="30"/>
      <c r="AH78" s="23"/>
      <c r="AI78" s="58" t="str">
        <f t="shared" si="12"/>
        <v/>
      </c>
      <c r="AJ78" s="57">
        <f t="shared" ref="AJ78:AJ141" si="14">IF(E78=0,-1,IF(D78="G/N",-1,IF(LEFT(B78, 1)="M",(F78*0.5),-1)))</f>
        <v>-1</v>
      </c>
      <c r="AK78" s="57">
        <f t="shared" ref="AK78:AK141" si="15">IF(D78="G/N",(F78*0.5),-1)</f>
        <v>-1</v>
      </c>
      <c r="AL78" s="57">
        <f t="shared" si="13"/>
        <v>-69</v>
      </c>
      <c r="AM78" s="57">
        <f t="shared" si="9"/>
        <v>-0.5</v>
      </c>
    </row>
    <row r="79" spans="1:39" ht="12" customHeight="1" x14ac:dyDescent="0.45">
      <c r="A79" s="31"/>
      <c r="B79" s="1"/>
      <c r="C79" s="40"/>
      <c r="D79" s="47"/>
      <c r="E79" s="2"/>
      <c r="F79" s="2"/>
      <c r="G79" s="20">
        <f t="shared" si="10"/>
        <v>0</v>
      </c>
      <c r="H79" s="24">
        <f t="shared" si="11"/>
        <v>0</v>
      </c>
      <c r="I79" s="26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8"/>
      <c r="U79" s="23"/>
      <c r="V79" s="23"/>
      <c r="W79" s="17"/>
      <c r="X79" s="17"/>
      <c r="Y79" s="23"/>
      <c r="Z79" s="23"/>
      <c r="AA79" s="23"/>
      <c r="AB79" s="23"/>
      <c r="AC79" s="23"/>
      <c r="AD79" s="23"/>
      <c r="AE79" s="17"/>
      <c r="AF79" s="17"/>
      <c r="AG79" s="30"/>
      <c r="AH79" s="23"/>
      <c r="AI79" s="58" t="str">
        <f t="shared" si="12"/>
        <v/>
      </c>
      <c r="AJ79" s="57">
        <f t="shared" si="14"/>
        <v>-1</v>
      </c>
      <c r="AK79" s="57">
        <f t="shared" si="15"/>
        <v>-1</v>
      </c>
      <c r="AL79" s="57">
        <f t="shared" si="13"/>
        <v>-70</v>
      </c>
      <c r="AM79" s="57">
        <f t="shared" ref="AM79:AM142" si="16">(E79-1)*0.5</f>
        <v>-0.5</v>
      </c>
    </row>
    <row r="80" spans="1:39" ht="12" customHeight="1" x14ac:dyDescent="0.45">
      <c r="A80" s="31"/>
      <c r="B80" s="1"/>
      <c r="C80" s="40"/>
      <c r="D80" s="47"/>
      <c r="E80" s="2"/>
      <c r="F80" s="2"/>
      <c r="G80" s="20">
        <f t="shared" si="10"/>
        <v>0</v>
      </c>
      <c r="H80" s="24">
        <f t="shared" si="11"/>
        <v>0</v>
      </c>
      <c r="I80" s="26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8"/>
      <c r="U80" s="23"/>
      <c r="V80" s="23"/>
      <c r="W80" s="17"/>
      <c r="X80" s="17"/>
      <c r="Y80" s="23"/>
      <c r="Z80" s="23"/>
      <c r="AA80" s="23"/>
      <c r="AB80" s="23"/>
      <c r="AC80" s="23"/>
      <c r="AD80" s="23"/>
      <c r="AE80" s="17"/>
      <c r="AF80" s="17"/>
      <c r="AG80" s="30"/>
      <c r="AH80" s="23"/>
      <c r="AI80" s="58" t="str">
        <f t="shared" si="12"/>
        <v/>
      </c>
      <c r="AJ80" s="57">
        <f t="shared" si="14"/>
        <v>-1</v>
      </c>
      <c r="AK80" s="57">
        <f t="shared" si="15"/>
        <v>-1</v>
      </c>
      <c r="AL80" s="57">
        <f t="shared" si="13"/>
        <v>-71</v>
      </c>
      <c r="AM80" s="57">
        <f t="shared" si="16"/>
        <v>-0.5</v>
      </c>
    </row>
    <row r="81" spans="1:39" ht="12" customHeight="1" x14ac:dyDescent="0.45">
      <c r="A81" s="31"/>
      <c r="B81" s="50"/>
      <c r="C81" s="51"/>
      <c r="D81" s="60"/>
      <c r="E81" s="61"/>
      <c r="F81" s="62"/>
      <c r="G81" s="20">
        <f t="shared" si="10"/>
        <v>0</v>
      </c>
      <c r="H81" s="24">
        <f t="shared" si="11"/>
        <v>0</v>
      </c>
      <c r="I81" s="26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8"/>
      <c r="U81" s="23"/>
      <c r="V81" s="23"/>
      <c r="W81" s="17"/>
      <c r="X81" s="17"/>
      <c r="Y81" s="23"/>
      <c r="Z81" s="23"/>
      <c r="AA81" s="23"/>
      <c r="AB81" s="23"/>
      <c r="AC81" s="23"/>
      <c r="AD81" s="23"/>
      <c r="AE81" s="17"/>
      <c r="AF81" s="17"/>
      <c r="AG81" s="30"/>
      <c r="AH81" s="23"/>
      <c r="AI81" s="58" t="str">
        <f t="shared" si="12"/>
        <v/>
      </c>
      <c r="AJ81" s="57">
        <f t="shared" si="14"/>
        <v>-1</v>
      </c>
      <c r="AK81" s="57">
        <f t="shared" si="15"/>
        <v>-1</v>
      </c>
      <c r="AL81" s="57">
        <f t="shared" si="13"/>
        <v>-72</v>
      </c>
      <c r="AM81" s="57">
        <f t="shared" si="16"/>
        <v>-0.5</v>
      </c>
    </row>
    <row r="82" spans="1:39" ht="12" customHeight="1" x14ac:dyDescent="0.45">
      <c r="A82" s="31"/>
      <c r="B82" s="50"/>
      <c r="C82" s="51"/>
      <c r="D82" s="42"/>
      <c r="E82" s="34"/>
      <c r="F82" s="41"/>
      <c r="G82" s="20">
        <f t="shared" si="10"/>
        <v>0</v>
      </c>
      <c r="H82" s="24">
        <f t="shared" si="11"/>
        <v>0</v>
      </c>
      <c r="I82" s="26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8"/>
      <c r="U82" s="23"/>
      <c r="V82" s="23"/>
      <c r="W82" s="17"/>
      <c r="X82" s="17"/>
      <c r="Y82" s="23"/>
      <c r="Z82" s="23"/>
      <c r="AA82" s="23"/>
      <c r="AB82" s="23"/>
      <c r="AC82" s="23"/>
      <c r="AD82" s="23"/>
      <c r="AE82" s="17"/>
      <c r="AF82" s="17"/>
      <c r="AG82" s="30"/>
      <c r="AH82" s="23"/>
      <c r="AI82" s="58" t="str">
        <f t="shared" si="12"/>
        <v/>
      </c>
      <c r="AJ82" s="57">
        <f t="shared" si="14"/>
        <v>-1</v>
      </c>
      <c r="AK82" s="57">
        <f t="shared" si="15"/>
        <v>-1</v>
      </c>
      <c r="AL82" s="57">
        <f t="shared" si="13"/>
        <v>-73</v>
      </c>
      <c r="AM82" s="57">
        <f t="shared" si="16"/>
        <v>-0.5</v>
      </c>
    </row>
    <row r="83" spans="1:39" ht="12" customHeight="1" x14ac:dyDescent="0.45">
      <c r="A83" s="31"/>
      <c r="B83" s="50"/>
      <c r="C83" s="51"/>
      <c r="D83" s="42"/>
      <c r="E83" s="34"/>
      <c r="F83" s="41"/>
      <c r="G83" s="20">
        <f t="shared" si="10"/>
        <v>0</v>
      </c>
      <c r="H83" s="24">
        <f t="shared" si="11"/>
        <v>0</v>
      </c>
      <c r="I83" s="26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8"/>
      <c r="U83" s="23"/>
      <c r="V83" s="23"/>
      <c r="W83" s="17"/>
      <c r="X83" s="17"/>
      <c r="Y83" s="23"/>
      <c r="Z83" s="23"/>
      <c r="AA83" s="23"/>
      <c r="AB83" s="23"/>
      <c r="AC83" s="23"/>
      <c r="AD83" s="23"/>
      <c r="AE83" s="17"/>
      <c r="AF83" s="17"/>
      <c r="AG83" s="30"/>
      <c r="AH83" s="23"/>
      <c r="AI83" s="58" t="str">
        <f t="shared" si="12"/>
        <v/>
      </c>
      <c r="AJ83" s="57">
        <f t="shared" si="14"/>
        <v>-1</v>
      </c>
      <c r="AK83" s="57">
        <f t="shared" si="15"/>
        <v>-1</v>
      </c>
      <c r="AL83" s="57">
        <f t="shared" si="13"/>
        <v>-74</v>
      </c>
      <c r="AM83" s="57">
        <f t="shared" si="16"/>
        <v>-0.5</v>
      </c>
    </row>
    <row r="84" spans="1:39" ht="12" customHeight="1" x14ac:dyDescent="0.45">
      <c r="A84" s="31"/>
      <c r="B84" s="50"/>
      <c r="C84" s="51"/>
      <c r="D84" s="42"/>
      <c r="E84" s="34"/>
      <c r="F84" s="34"/>
      <c r="G84" s="20">
        <f t="shared" si="10"/>
        <v>0</v>
      </c>
      <c r="H84" s="24">
        <f t="shared" si="11"/>
        <v>0</v>
      </c>
      <c r="I84" s="26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8"/>
      <c r="U84" s="23"/>
      <c r="V84" s="23"/>
      <c r="W84" s="17"/>
      <c r="X84" s="17"/>
      <c r="Y84" s="23"/>
      <c r="Z84" s="23"/>
      <c r="AA84" s="23"/>
      <c r="AB84" s="23"/>
      <c r="AC84" s="23"/>
      <c r="AD84" s="23"/>
      <c r="AE84" s="17"/>
      <c r="AF84" s="17"/>
      <c r="AG84" s="30"/>
      <c r="AH84" s="23"/>
      <c r="AI84" s="58" t="str">
        <f t="shared" si="12"/>
        <v/>
      </c>
      <c r="AJ84" s="57">
        <f t="shared" si="14"/>
        <v>-1</v>
      </c>
      <c r="AK84" s="57">
        <f t="shared" si="15"/>
        <v>-1</v>
      </c>
      <c r="AL84" s="57">
        <f t="shared" si="13"/>
        <v>-75</v>
      </c>
      <c r="AM84" s="57">
        <f t="shared" si="16"/>
        <v>-0.5</v>
      </c>
    </row>
    <row r="85" spans="1:39" ht="12" customHeight="1" x14ac:dyDescent="0.45">
      <c r="A85" s="31"/>
      <c r="B85" s="50"/>
      <c r="C85" s="51"/>
      <c r="D85" s="42"/>
      <c r="E85" s="34"/>
      <c r="F85" s="34"/>
      <c r="G85" s="20">
        <f t="shared" si="10"/>
        <v>0</v>
      </c>
      <c r="H85" s="24">
        <f t="shared" si="11"/>
        <v>0</v>
      </c>
      <c r="I85" s="26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8"/>
      <c r="U85" s="23"/>
      <c r="V85" s="23"/>
      <c r="W85" s="17"/>
      <c r="X85" s="17"/>
      <c r="Y85" s="23"/>
      <c r="Z85" s="23"/>
      <c r="AA85" s="23"/>
      <c r="AB85" s="23"/>
      <c r="AC85" s="23"/>
      <c r="AD85" s="23"/>
      <c r="AE85" s="17"/>
      <c r="AF85" s="17"/>
      <c r="AG85" s="30"/>
      <c r="AH85" s="23"/>
      <c r="AI85" s="58" t="str">
        <f t="shared" si="12"/>
        <v/>
      </c>
      <c r="AJ85" s="57">
        <f t="shared" si="14"/>
        <v>-1</v>
      </c>
      <c r="AK85" s="57">
        <f t="shared" si="15"/>
        <v>-1</v>
      </c>
      <c r="AL85" s="57">
        <f t="shared" si="13"/>
        <v>-76</v>
      </c>
      <c r="AM85" s="57">
        <f t="shared" si="16"/>
        <v>-0.5</v>
      </c>
    </row>
    <row r="86" spans="1:39" ht="12" customHeight="1" x14ac:dyDescent="0.45">
      <c r="A86" s="31"/>
      <c r="B86" s="50"/>
      <c r="C86" s="51"/>
      <c r="D86" s="42"/>
      <c r="E86" s="34"/>
      <c r="F86" s="34"/>
      <c r="G86" s="20">
        <f t="shared" si="10"/>
        <v>0</v>
      </c>
      <c r="H86" s="24">
        <f t="shared" si="11"/>
        <v>0</v>
      </c>
      <c r="I86" s="26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8"/>
      <c r="U86" s="23"/>
      <c r="V86" s="23"/>
      <c r="W86" s="17"/>
      <c r="X86" s="17"/>
      <c r="Y86" s="23"/>
      <c r="Z86" s="23"/>
      <c r="AA86" s="23"/>
      <c r="AB86" s="23"/>
      <c r="AC86" s="23"/>
      <c r="AD86" s="23"/>
      <c r="AE86" s="17"/>
      <c r="AF86" s="17"/>
      <c r="AG86" s="30"/>
      <c r="AH86" s="23"/>
      <c r="AI86" s="58" t="str">
        <f t="shared" si="12"/>
        <v/>
      </c>
      <c r="AJ86" s="57">
        <f t="shared" si="14"/>
        <v>-1</v>
      </c>
      <c r="AK86" s="57">
        <f t="shared" si="15"/>
        <v>-1</v>
      </c>
      <c r="AL86" s="57">
        <f t="shared" si="13"/>
        <v>-77</v>
      </c>
      <c r="AM86" s="57">
        <f t="shared" si="16"/>
        <v>-0.5</v>
      </c>
    </row>
    <row r="87" spans="1:39" ht="12" customHeight="1" x14ac:dyDescent="0.45">
      <c r="A87" s="31"/>
      <c r="B87" s="50"/>
      <c r="C87" s="51"/>
      <c r="D87" s="42"/>
      <c r="E87" s="34"/>
      <c r="F87" s="34"/>
      <c r="G87" s="20">
        <f t="shared" si="10"/>
        <v>0</v>
      </c>
      <c r="H87" s="24">
        <f t="shared" si="11"/>
        <v>0</v>
      </c>
      <c r="I87" s="26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8"/>
      <c r="U87" s="23"/>
      <c r="V87" s="23"/>
      <c r="W87" s="17"/>
      <c r="X87" s="17"/>
      <c r="Y87" s="23"/>
      <c r="Z87" s="23"/>
      <c r="AA87" s="23"/>
      <c r="AB87" s="23"/>
      <c r="AC87" s="23"/>
      <c r="AD87" s="23"/>
      <c r="AE87" s="17"/>
      <c r="AF87" s="17"/>
      <c r="AG87" s="30"/>
      <c r="AH87" s="23"/>
      <c r="AI87" s="58" t="str">
        <f t="shared" si="12"/>
        <v/>
      </c>
      <c r="AJ87" s="57">
        <f t="shared" si="14"/>
        <v>-1</v>
      </c>
      <c r="AK87" s="57">
        <f t="shared" si="15"/>
        <v>-1</v>
      </c>
      <c r="AL87" s="57">
        <f t="shared" si="13"/>
        <v>-78</v>
      </c>
      <c r="AM87" s="57">
        <f t="shared" si="16"/>
        <v>-0.5</v>
      </c>
    </row>
    <row r="88" spans="1:39" ht="12" customHeight="1" x14ac:dyDescent="0.45">
      <c r="A88" s="31"/>
      <c r="B88" s="50"/>
      <c r="C88" s="51"/>
      <c r="D88" s="42"/>
      <c r="E88" s="34"/>
      <c r="F88" s="34"/>
      <c r="G88" s="20">
        <f t="shared" si="10"/>
        <v>0</v>
      </c>
      <c r="H88" s="24">
        <f t="shared" si="11"/>
        <v>0</v>
      </c>
      <c r="I88" s="26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8"/>
      <c r="U88" s="23"/>
      <c r="V88" s="23"/>
      <c r="W88" s="17"/>
      <c r="X88" s="17"/>
      <c r="Y88" s="23"/>
      <c r="Z88" s="23"/>
      <c r="AA88" s="23"/>
      <c r="AB88" s="23"/>
      <c r="AC88" s="23"/>
      <c r="AD88" s="23"/>
      <c r="AE88" s="17"/>
      <c r="AF88" s="17"/>
      <c r="AG88" s="30"/>
      <c r="AH88" s="23"/>
      <c r="AI88" s="58" t="str">
        <f t="shared" si="12"/>
        <v/>
      </c>
      <c r="AJ88" s="57">
        <f t="shared" si="14"/>
        <v>-1</v>
      </c>
      <c r="AK88" s="57">
        <f t="shared" si="15"/>
        <v>-1</v>
      </c>
      <c r="AL88" s="57">
        <f t="shared" si="13"/>
        <v>-79</v>
      </c>
      <c r="AM88" s="57">
        <f t="shared" si="16"/>
        <v>-0.5</v>
      </c>
    </row>
    <row r="89" spans="1:39" ht="12" customHeight="1" x14ac:dyDescent="0.45">
      <c r="A89" s="31"/>
      <c r="B89" s="50"/>
      <c r="C89" s="51"/>
      <c r="D89" s="42"/>
      <c r="E89" s="34"/>
      <c r="F89" s="34"/>
      <c r="G89" s="20">
        <f t="shared" si="10"/>
        <v>0</v>
      </c>
      <c r="H89" s="24">
        <f t="shared" si="11"/>
        <v>0</v>
      </c>
      <c r="I89" s="26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8"/>
      <c r="U89" s="23"/>
      <c r="V89" s="23"/>
      <c r="W89" s="17"/>
      <c r="X89" s="17"/>
      <c r="Y89" s="23"/>
      <c r="Z89" s="23"/>
      <c r="AA89" s="23"/>
      <c r="AB89" s="23"/>
      <c r="AC89" s="23"/>
      <c r="AD89" s="23"/>
      <c r="AE89" s="17"/>
      <c r="AF89" s="17"/>
      <c r="AG89" s="30"/>
      <c r="AH89" s="23"/>
      <c r="AI89" s="58" t="str">
        <f t="shared" si="12"/>
        <v/>
      </c>
      <c r="AJ89" s="57">
        <f t="shared" si="14"/>
        <v>-1</v>
      </c>
      <c r="AK89" s="57">
        <f t="shared" si="15"/>
        <v>-1</v>
      </c>
      <c r="AL89" s="57">
        <f t="shared" si="13"/>
        <v>-80</v>
      </c>
      <c r="AM89" s="57">
        <f t="shared" si="16"/>
        <v>-0.5</v>
      </c>
    </row>
    <row r="90" spans="1:39" ht="12" customHeight="1" x14ac:dyDescent="0.45">
      <c r="A90" s="31"/>
      <c r="B90" s="50"/>
      <c r="C90" s="51"/>
      <c r="D90" s="42"/>
      <c r="E90" s="34"/>
      <c r="F90" s="34"/>
      <c r="G90" s="20">
        <f t="shared" si="10"/>
        <v>0</v>
      </c>
      <c r="H90" s="24">
        <f t="shared" si="11"/>
        <v>0</v>
      </c>
      <c r="I90" s="26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8"/>
      <c r="U90" s="23"/>
      <c r="V90" s="23"/>
      <c r="W90" s="17"/>
      <c r="X90" s="17"/>
      <c r="Y90" s="23"/>
      <c r="Z90" s="23"/>
      <c r="AA90" s="23"/>
      <c r="AB90" s="23"/>
      <c r="AC90" s="23"/>
      <c r="AD90" s="23"/>
      <c r="AE90" s="17"/>
      <c r="AF90" s="17"/>
      <c r="AG90" s="30"/>
      <c r="AH90" s="23"/>
      <c r="AI90" s="58" t="str">
        <f t="shared" si="12"/>
        <v/>
      </c>
      <c r="AJ90" s="57">
        <f t="shared" si="14"/>
        <v>-1</v>
      </c>
      <c r="AK90" s="57">
        <f t="shared" si="15"/>
        <v>-1</v>
      </c>
      <c r="AL90" s="57">
        <f t="shared" si="13"/>
        <v>-81</v>
      </c>
      <c r="AM90" s="57">
        <f t="shared" si="16"/>
        <v>-0.5</v>
      </c>
    </row>
    <row r="91" spans="1:39" ht="12" customHeight="1" x14ac:dyDescent="0.45">
      <c r="A91" s="31"/>
      <c r="B91" s="50"/>
      <c r="C91" s="51"/>
      <c r="D91" s="60"/>
      <c r="E91" s="61"/>
      <c r="F91" s="62"/>
      <c r="G91" s="20">
        <f t="shared" si="10"/>
        <v>0</v>
      </c>
      <c r="H91" s="24">
        <f t="shared" si="11"/>
        <v>0</v>
      </c>
      <c r="I91" s="26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8"/>
      <c r="U91" s="23"/>
      <c r="V91" s="23"/>
      <c r="W91" s="17"/>
      <c r="X91" s="17"/>
      <c r="Y91" s="23"/>
      <c r="Z91" s="23"/>
      <c r="AA91" s="23"/>
      <c r="AB91" s="23"/>
      <c r="AC91" s="23"/>
      <c r="AD91" s="23"/>
      <c r="AE91" s="17"/>
      <c r="AF91" s="17"/>
      <c r="AG91" s="30"/>
      <c r="AH91" s="23"/>
      <c r="AI91" s="58" t="str">
        <f t="shared" si="12"/>
        <v/>
      </c>
      <c r="AJ91" s="57">
        <f t="shared" si="14"/>
        <v>-1</v>
      </c>
      <c r="AK91" s="57">
        <f t="shared" si="15"/>
        <v>-1</v>
      </c>
      <c r="AL91" s="57">
        <f t="shared" si="13"/>
        <v>-82</v>
      </c>
      <c r="AM91" s="57">
        <f t="shared" si="16"/>
        <v>-0.5</v>
      </c>
    </row>
    <row r="92" spans="1:39" ht="12" customHeight="1" x14ac:dyDescent="0.45">
      <c r="A92" s="31"/>
      <c r="B92" s="50"/>
      <c r="C92" s="51"/>
      <c r="D92" s="42"/>
      <c r="E92" s="34"/>
      <c r="F92" s="41"/>
      <c r="G92" s="20">
        <f t="shared" si="10"/>
        <v>0</v>
      </c>
      <c r="H92" s="24">
        <f t="shared" si="11"/>
        <v>0</v>
      </c>
      <c r="I92" s="26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8"/>
      <c r="U92" s="23"/>
      <c r="V92" s="23"/>
      <c r="W92" s="17"/>
      <c r="X92" s="17"/>
      <c r="Y92" s="23"/>
      <c r="Z92" s="23"/>
      <c r="AA92" s="23"/>
      <c r="AB92" s="23"/>
      <c r="AC92" s="23"/>
      <c r="AD92" s="23"/>
      <c r="AE92" s="17"/>
      <c r="AF92" s="17"/>
      <c r="AG92" s="30"/>
      <c r="AH92" s="23"/>
      <c r="AI92" s="58" t="str">
        <f t="shared" si="12"/>
        <v/>
      </c>
      <c r="AJ92" s="57">
        <f t="shared" si="14"/>
        <v>-1</v>
      </c>
      <c r="AK92" s="57">
        <f t="shared" si="15"/>
        <v>-1</v>
      </c>
      <c r="AL92" s="57">
        <f t="shared" si="13"/>
        <v>-83</v>
      </c>
      <c r="AM92" s="57">
        <f t="shared" si="16"/>
        <v>-0.5</v>
      </c>
    </row>
    <row r="93" spans="1:39" ht="12" customHeight="1" x14ac:dyDescent="0.45">
      <c r="A93" s="31"/>
      <c r="B93" s="50"/>
      <c r="C93" s="51"/>
      <c r="D93" s="42"/>
      <c r="E93" s="34"/>
      <c r="F93" s="41"/>
      <c r="G93" s="20">
        <f t="shared" si="10"/>
        <v>0</v>
      </c>
      <c r="H93" s="24">
        <f t="shared" si="11"/>
        <v>0</v>
      </c>
      <c r="I93" s="26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8"/>
      <c r="U93" s="23"/>
      <c r="V93" s="23"/>
      <c r="W93" s="17"/>
      <c r="X93" s="17"/>
      <c r="Y93" s="23"/>
      <c r="Z93" s="23"/>
      <c r="AA93" s="23"/>
      <c r="AB93" s="23"/>
      <c r="AC93" s="23"/>
      <c r="AD93" s="23"/>
      <c r="AE93" s="17"/>
      <c r="AF93" s="17"/>
      <c r="AG93" s="30"/>
      <c r="AH93" s="23"/>
      <c r="AI93" s="58" t="str">
        <f t="shared" si="12"/>
        <v/>
      </c>
      <c r="AJ93" s="57">
        <f t="shared" si="14"/>
        <v>-1</v>
      </c>
      <c r="AK93" s="57">
        <f t="shared" si="15"/>
        <v>-1</v>
      </c>
      <c r="AL93" s="57">
        <f t="shared" si="13"/>
        <v>-84</v>
      </c>
      <c r="AM93" s="57">
        <f t="shared" si="16"/>
        <v>-0.5</v>
      </c>
    </row>
    <row r="94" spans="1:39" ht="12" customHeight="1" x14ac:dyDescent="0.45">
      <c r="A94" s="31"/>
      <c r="B94" s="50"/>
      <c r="C94" s="51"/>
      <c r="D94" s="42"/>
      <c r="E94" s="34"/>
      <c r="F94" s="34"/>
      <c r="G94" s="20">
        <f t="shared" si="10"/>
        <v>0</v>
      </c>
      <c r="H94" s="24">
        <f t="shared" si="11"/>
        <v>0</v>
      </c>
      <c r="I94" s="26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8"/>
      <c r="U94" s="23"/>
      <c r="V94" s="23"/>
      <c r="W94" s="17"/>
      <c r="X94" s="17"/>
      <c r="Y94" s="23"/>
      <c r="Z94" s="23"/>
      <c r="AA94" s="23"/>
      <c r="AB94" s="23"/>
      <c r="AC94" s="23"/>
      <c r="AD94" s="23"/>
      <c r="AE94" s="17"/>
      <c r="AF94" s="17"/>
      <c r="AG94" s="30"/>
      <c r="AH94" s="23"/>
      <c r="AI94" s="58" t="str">
        <f t="shared" si="12"/>
        <v/>
      </c>
      <c r="AJ94" s="57">
        <f t="shared" si="14"/>
        <v>-1</v>
      </c>
      <c r="AK94" s="57">
        <f t="shared" si="15"/>
        <v>-1</v>
      </c>
      <c r="AL94" s="57">
        <f t="shared" si="13"/>
        <v>-85</v>
      </c>
      <c r="AM94" s="57">
        <f t="shared" si="16"/>
        <v>-0.5</v>
      </c>
    </row>
    <row r="95" spans="1:39" ht="12" customHeight="1" x14ac:dyDescent="0.45">
      <c r="A95" s="31"/>
      <c r="B95" s="50"/>
      <c r="C95" s="51"/>
      <c r="D95" s="42"/>
      <c r="E95" s="34"/>
      <c r="F95" s="34"/>
      <c r="G95" s="20">
        <f t="shared" si="10"/>
        <v>0</v>
      </c>
      <c r="H95" s="24">
        <f t="shared" si="11"/>
        <v>0</v>
      </c>
      <c r="I95" s="26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8"/>
      <c r="U95" s="23"/>
      <c r="V95" s="23"/>
      <c r="W95" s="17"/>
      <c r="X95" s="17"/>
      <c r="Y95" s="23"/>
      <c r="Z95" s="23"/>
      <c r="AA95" s="23"/>
      <c r="AB95" s="23"/>
      <c r="AC95" s="23"/>
      <c r="AD95" s="23"/>
      <c r="AE95" s="17"/>
      <c r="AF95" s="17"/>
      <c r="AG95" s="30"/>
      <c r="AH95" s="23"/>
      <c r="AI95" s="58" t="str">
        <f t="shared" si="12"/>
        <v/>
      </c>
      <c r="AJ95" s="57">
        <f t="shared" si="14"/>
        <v>-1</v>
      </c>
      <c r="AK95" s="57">
        <f t="shared" si="15"/>
        <v>-1</v>
      </c>
      <c r="AL95" s="57">
        <f t="shared" si="13"/>
        <v>-86</v>
      </c>
      <c r="AM95" s="57">
        <f t="shared" si="16"/>
        <v>-0.5</v>
      </c>
    </row>
    <row r="96" spans="1:39" ht="12" customHeight="1" x14ac:dyDescent="0.45">
      <c r="A96" s="31"/>
      <c r="B96" s="50"/>
      <c r="C96" s="51"/>
      <c r="D96" s="60"/>
      <c r="E96" s="61"/>
      <c r="F96" s="62"/>
      <c r="G96" s="20">
        <f t="shared" si="10"/>
        <v>0</v>
      </c>
      <c r="H96" s="24">
        <f t="shared" si="11"/>
        <v>0</v>
      </c>
      <c r="I96" s="26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8"/>
      <c r="U96" s="23"/>
      <c r="V96" s="23"/>
      <c r="W96" s="17"/>
      <c r="X96" s="17"/>
      <c r="Y96" s="23"/>
      <c r="Z96" s="23"/>
      <c r="AA96" s="23"/>
      <c r="AB96" s="23"/>
      <c r="AC96" s="23"/>
      <c r="AD96" s="23"/>
      <c r="AE96" s="17"/>
      <c r="AF96" s="17"/>
      <c r="AG96" s="30"/>
      <c r="AH96" s="23"/>
      <c r="AI96" s="58" t="str">
        <f t="shared" si="12"/>
        <v/>
      </c>
      <c r="AJ96" s="57">
        <f t="shared" si="14"/>
        <v>-1</v>
      </c>
      <c r="AK96" s="57">
        <f t="shared" si="15"/>
        <v>-1</v>
      </c>
      <c r="AL96" s="57">
        <f t="shared" si="13"/>
        <v>-87</v>
      </c>
      <c r="AM96" s="57">
        <f t="shared" si="16"/>
        <v>-0.5</v>
      </c>
    </row>
    <row r="97" spans="1:39" ht="12" customHeight="1" x14ac:dyDescent="0.45">
      <c r="A97" s="31"/>
      <c r="B97" s="50"/>
      <c r="C97" s="51"/>
      <c r="D97" s="60"/>
      <c r="E97" s="61"/>
      <c r="F97" s="62"/>
      <c r="G97" s="20">
        <f t="shared" si="10"/>
        <v>0</v>
      </c>
      <c r="H97" s="24">
        <f t="shared" si="11"/>
        <v>0</v>
      </c>
      <c r="I97" s="26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8"/>
      <c r="U97" s="23"/>
      <c r="V97" s="23"/>
      <c r="W97" s="17"/>
      <c r="X97" s="17"/>
      <c r="Y97" s="23"/>
      <c r="Z97" s="23"/>
      <c r="AA97" s="23"/>
      <c r="AB97" s="23"/>
      <c r="AC97" s="23"/>
      <c r="AD97" s="23"/>
      <c r="AE97" s="17"/>
      <c r="AF97" s="17"/>
      <c r="AG97" s="30"/>
      <c r="AH97" s="23"/>
      <c r="AI97" s="58" t="str">
        <f t="shared" si="12"/>
        <v/>
      </c>
      <c r="AJ97" s="57">
        <f t="shared" si="14"/>
        <v>-1</v>
      </c>
      <c r="AK97" s="57">
        <f t="shared" si="15"/>
        <v>-1</v>
      </c>
      <c r="AL97" s="57">
        <f t="shared" si="13"/>
        <v>-88</v>
      </c>
      <c r="AM97" s="57">
        <f t="shared" si="16"/>
        <v>-0.5</v>
      </c>
    </row>
    <row r="98" spans="1:39" ht="12" customHeight="1" x14ac:dyDescent="0.45">
      <c r="A98" s="31"/>
      <c r="B98" s="50"/>
      <c r="C98" s="51"/>
      <c r="D98" s="42"/>
      <c r="E98" s="34"/>
      <c r="F98" s="41"/>
      <c r="G98" s="20">
        <f t="shared" si="10"/>
        <v>0</v>
      </c>
      <c r="H98" s="24">
        <f t="shared" si="11"/>
        <v>0</v>
      </c>
      <c r="I98" s="26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8"/>
      <c r="U98" s="23"/>
      <c r="V98" s="23"/>
      <c r="W98" s="17"/>
      <c r="X98" s="17"/>
      <c r="Y98" s="23"/>
      <c r="Z98" s="23"/>
      <c r="AA98" s="23"/>
      <c r="AB98" s="23"/>
      <c r="AC98" s="23"/>
      <c r="AD98" s="23"/>
      <c r="AE98" s="17"/>
      <c r="AF98" s="17"/>
      <c r="AG98" s="30"/>
      <c r="AH98" s="23"/>
      <c r="AI98" s="58" t="str">
        <f t="shared" si="12"/>
        <v/>
      </c>
      <c r="AJ98" s="57">
        <f t="shared" si="14"/>
        <v>-1</v>
      </c>
      <c r="AK98" s="57">
        <f t="shared" si="15"/>
        <v>-1</v>
      </c>
      <c r="AL98" s="57">
        <f t="shared" si="13"/>
        <v>-89</v>
      </c>
      <c r="AM98" s="57">
        <f t="shared" si="16"/>
        <v>-0.5</v>
      </c>
    </row>
    <row r="99" spans="1:39" ht="12" customHeight="1" x14ac:dyDescent="0.45">
      <c r="A99" s="31"/>
      <c r="B99" s="50"/>
      <c r="C99" s="51"/>
      <c r="D99" s="42"/>
      <c r="E99" s="34"/>
      <c r="F99" s="41"/>
      <c r="G99" s="20">
        <f t="shared" si="10"/>
        <v>0</v>
      </c>
      <c r="H99" s="24">
        <f t="shared" si="11"/>
        <v>0</v>
      </c>
      <c r="I99" s="26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8"/>
      <c r="U99" s="23"/>
      <c r="V99" s="23"/>
      <c r="W99" s="17"/>
      <c r="X99" s="17"/>
      <c r="Y99" s="23"/>
      <c r="Z99" s="23"/>
      <c r="AA99" s="23"/>
      <c r="AB99" s="23"/>
      <c r="AC99" s="23"/>
      <c r="AD99" s="23"/>
      <c r="AE99" s="17"/>
      <c r="AF99" s="17"/>
      <c r="AG99" s="30"/>
      <c r="AH99" s="23"/>
      <c r="AI99" s="58" t="str">
        <f t="shared" si="12"/>
        <v/>
      </c>
      <c r="AJ99" s="57">
        <f t="shared" si="14"/>
        <v>-1</v>
      </c>
      <c r="AK99" s="57">
        <f t="shared" si="15"/>
        <v>-1</v>
      </c>
      <c r="AL99" s="57">
        <f t="shared" si="13"/>
        <v>-90</v>
      </c>
      <c r="AM99" s="57">
        <f t="shared" si="16"/>
        <v>-0.5</v>
      </c>
    </row>
    <row r="100" spans="1:39" ht="12" customHeight="1" x14ac:dyDescent="0.45">
      <c r="B100" s="50"/>
      <c r="C100" s="51"/>
      <c r="D100" s="42"/>
      <c r="E100" s="34"/>
      <c r="F100" s="34"/>
      <c r="G100" s="20">
        <f t="shared" si="10"/>
        <v>0</v>
      </c>
      <c r="H100" s="24">
        <f t="shared" si="11"/>
        <v>0</v>
      </c>
      <c r="I100" s="26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8"/>
      <c r="U100" s="23"/>
      <c r="V100" s="23"/>
      <c r="W100" s="17"/>
      <c r="X100" s="17"/>
      <c r="Y100" s="23"/>
      <c r="Z100" s="23"/>
      <c r="AA100" s="23"/>
      <c r="AB100" s="23"/>
      <c r="AC100" s="23"/>
      <c r="AD100" s="23"/>
      <c r="AE100" s="17"/>
      <c r="AF100" s="17"/>
      <c r="AG100" s="30"/>
      <c r="AH100" s="23"/>
      <c r="AI100" s="58" t="str">
        <f t="shared" si="12"/>
        <v/>
      </c>
      <c r="AJ100" s="57">
        <f t="shared" si="14"/>
        <v>-1</v>
      </c>
      <c r="AK100" s="57">
        <f t="shared" si="15"/>
        <v>-1</v>
      </c>
      <c r="AL100" s="57">
        <f t="shared" si="13"/>
        <v>-91</v>
      </c>
      <c r="AM100" s="57">
        <f t="shared" si="16"/>
        <v>-0.5</v>
      </c>
    </row>
    <row r="101" spans="1:39" ht="12" customHeight="1" x14ac:dyDescent="0.45">
      <c r="B101" s="50"/>
      <c r="C101" s="51"/>
      <c r="D101" s="42"/>
      <c r="E101" s="34"/>
      <c r="F101" s="34"/>
      <c r="G101" s="20">
        <f t="shared" si="10"/>
        <v>0</v>
      </c>
      <c r="H101" s="24">
        <f t="shared" si="11"/>
        <v>0</v>
      </c>
      <c r="I101" s="26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8"/>
      <c r="U101" s="23"/>
      <c r="V101" s="23"/>
      <c r="W101" s="17"/>
      <c r="X101" s="17"/>
      <c r="Y101" s="23"/>
      <c r="Z101" s="23"/>
      <c r="AA101" s="23"/>
      <c r="AB101" s="23"/>
      <c r="AC101" s="23"/>
      <c r="AD101" s="23"/>
      <c r="AE101" s="17"/>
      <c r="AF101" s="17"/>
      <c r="AG101" s="30"/>
      <c r="AH101" s="23"/>
      <c r="AI101" s="58" t="str">
        <f t="shared" si="12"/>
        <v/>
      </c>
      <c r="AJ101" s="57">
        <f t="shared" si="14"/>
        <v>-1</v>
      </c>
      <c r="AK101" s="57">
        <f t="shared" si="15"/>
        <v>-1</v>
      </c>
      <c r="AL101" s="57">
        <f t="shared" si="13"/>
        <v>-92</v>
      </c>
      <c r="AM101" s="57">
        <f t="shared" si="16"/>
        <v>-0.5</v>
      </c>
    </row>
    <row r="102" spans="1:39" ht="12" customHeight="1" x14ac:dyDescent="0.45">
      <c r="B102" s="50"/>
      <c r="C102" s="51"/>
      <c r="D102" s="42"/>
      <c r="E102" s="34"/>
      <c r="F102" s="34"/>
      <c r="G102" s="20">
        <f t="shared" si="10"/>
        <v>0</v>
      </c>
      <c r="H102" s="24">
        <f t="shared" si="11"/>
        <v>0</v>
      </c>
      <c r="I102" s="26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8"/>
      <c r="U102" s="23"/>
      <c r="V102" s="23"/>
      <c r="W102" s="17"/>
      <c r="X102" s="17"/>
      <c r="Y102" s="23"/>
      <c r="Z102" s="23"/>
      <c r="AA102" s="23"/>
      <c r="AB102" s="23"/>
      <c r="AC102" s="23"/>
      <c r="AD102" s="23"/>
      <c r="AE102" s="17"/>
      <c r="AF102" s="17"/>
      <c r="AG102" s="30"/>
      <c r="AH102" s="23"/>
      <c r="AI102" s="58" t="str">
        <f t="shared" si="12"/>
        <v/>
      </c>
      <c r="AJ102" s="57">
        <f t="shared" si="14"/>
        <v>-1</v>
      </c>
      <c r="AK102" s="57">
        <f t="shared" si="15"/>
        <v>-1</v>
      </c>
      <c r="AL102" s="57">
        <f t="shared" si="13"/>
        <v>-93</v>
      </c>
      <c r="AM102" s="57">
        <f t="shared" si="16"/>
        <v>-0.5</v>
      </c>
    </row>
    <row r="103" spans="1:39" ht="12" customHeight="1" x14ac:dyDescent="0.45">
      <c r="B103" s="50"/>
      <c r="C103" s="51"/>
      <c r="D103" s="42"/>
      <c r="E103" s="34"/>
      <c r="F103" s="34"/>
      <c r="G103" s="20">
        <f t="shared" si="10"/>
        <v>0</v>
      </c>
      <c r="H103" s="24">
        <f t="shared" si="11"/>
        <v>0</v>
      </c>
      <c r="I103" s="26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8"/>
      <c r="U103" s="23"/>
      <c r="V103" s="23"/>
      <c r="W103" s="17"/>
      <c r="X103" s="17"/>
      <c r="Y103" s="23"/>
      <c r="Z103" s="23"/>
      <c r="AA103" s="23"/>
      <c r="AB103" s="23"/>
      <c r="AC103" s="23"/>
      <c r="AD103" s="23"/>
      <c r="AE103" s="17"/>
      <c r="AF103" s="17"/>
      <c r="AG103" s="30"/>
      <c r="AH103" s="23"/>
      <c r="AI103" s="58" t="str">
        <f t="shared" si="12"/>
        <v/>
      </c>
      <c r="AJ103" s="57">
        <f t="shared" si="14"/>
        <v>-1</v>
      </c>
      <c r="AK103" s="57">
        <f t="shared" si="15"/>
        <v>-1</v>
      </c>
      <c r="AL103" s="57">
        <f t="shared" si="13"/>
        <v>-94</v>
      </c>
      <c r="AM103" s="57">
        <f t="shared" si="16"/>
        <v>-0.5</v>
      </c>
    </row>
    <row r="104" spans="1:39" ht="12" customHeight="1" x14ac:dyDescent="0.45">
      <c r="B104" s="50"/>
      <c r="C104" s="51"/>
      <c r="D104" s="42"/>
      <c r="E104" s="34"/>
      <c r="F104" s="34"/>
      <c r="G104" s="20">
        <f t="shared" si="10"/>
        <v>0</v>
      </c>
      <c r="H104" s="24">
        <f t="shared" si="11"/>
        <v>0</v>
      </c>
      <c r="I104" s="26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8"/>
      <c r="U104" s="23"/>
      <c r="V104" s="23"/>
      <c r="W104" s="17"/>
      <c r="X104" s="17"/>
      <c r="Y104" s="23"/>
      <c r="Z104" s="23"/>
      <c r="AA104" s="23"/>
      <c r="AB104" s="23"/>
      <c r="AC104" s="23"/>
      <c r="AD104" s="23"/>
      <c r="AE104" s="17"/>
      <c r="AF104" s="17"/>
      <c r="AG104" s="30"/>
      <c r="AH104" s="23"/>
      <c r="AI104" s="58" t="str">
        <f t="shared" si="12"/>
        <v/>
      </c>
      <c r="AJ104" s="57">
        <f t="shared" si="14"/>
        <v>-1</v>
      </c>
      <c r="AK104" s="57">
        <f t="shared" si="15"/>
        <v>-1</v>
      </c>
      <c r="AL104" s="57">
        <f t="shared" si="13"/>
        <v>-95</v>
      </c>
      <c r="AM104" s="57">
        <f t="shared" si="16"/>
        <v>-0.5</v>
      </c>
    </row>
    <row r="105" spans="1:39" ht="12" customHeight="1" x14ac:dyDescent="0.45">
      <c r="B105" s="50"/>
      <c r="C105" s="51"/>
      <c r="D105" s="42"/>
      <c r="E105" s="34"/>
      <c r="F105" s="41"/>
      <c r="G105" s="20">
        <f t="shared" si="10"/>
        <v>0</v>
      </c>
      <c r="H105" s="24">
        <f t="shared" si="11"/>
        <v>0</v>
      </c>
      <c r="I105" s="26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8"/>
      <c r="U105" s="23"/>
      <c r="V105" s="23"/>
      <c r="W105" s="17"/>
      <c r="X105" s="17"/>
      <c r="Y105" s="23"/>
      <c r="Z105" s="23"/>
      <c r="AA105" s="23"/>
      <c r="AB105" s="23"/>
      <c r="AC105" s="23"/>
      <c r="AD105" s="23"/>
      <c r="AE105" s="17"/>
      <c r="AF105" s="17"/>
      <c r="AG105" s="30"/>
      <c r="AH105" s="23"/>
      <c r="AI105" s="58" t="str">
        <f t="shared" si="12"/>
        <v/>
      </c>
      <c r="AJ105" s="57">
        <f t="shared" si="14"/>
        <v>-1</v>
      </c>
      <c r="AK105" s="57">
        <f t="shared" si="15"/>
        <v>-1</v>
      </c>
      <c r="AL105" s="57">
        <f t="shared" si="13"/>
        <v>-96</v>
      </c>
      <c r="AM105" s="57">
        <f t="shared" si="16"/>
        <v>-0.5</v>
      </c>
    </row>
    <row r="106" spans="1:39" ht="12" customHeight="1" x14ac:dyDescent="0.45">
      <c r="B106" s="50"/>
      <c r="C106" s="51"/>
      <c r="D106" s="42"/>
      <c r="E106" s="34"/>
      <c r="F106" s="41"/>
      <c r="G106" s="20">
        <f t="shared" si="10"/>
        <v>0</v>
      </c>
      <c r="H106" s="24">
        <f t="shared" si="11"/>
        <v>0</v>
      </c>
      <c r="I106" s="26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8"/>
      <c r="U106" s="23"/>
      <c r="V106" s="23"/>
      <c r="W106" s="17"/>
      <c r="X106" s="17"/>
      <c r="Y106" s="23"/>
      <c r="Z106" s="23"/>
      <c r="AA106" s="23"/>
      <c r="AB106" s="23"/>
      <c r="AC106" s="23"/>
      <c r="AD106" s="23"/>
      <c r="AE106" s="17"/>
      <c r="AF106" s="17"/>
      <c r="AG106" s="30"/>
      <c r="AH106" s="23"/>
      <c r="AI106" s="58" t="str">
        <f t="shared" si="12"/>
        <v/>
      </c>
      <c r="AJ106" s="57">
        <f t="shared" si="14"/>
        <v>-1</v>
      </c>
      <c r="AK106" s="57">
        <f t="shared" si="15"/>
        <v>-1</v>
      </c>
      <c r="AL106" s="57">
        <f t="shared" si="13"/>
        <v>-97</v>
      </c>
      <c r="AM106" s="57">
        <f t="shared" si="16"/>
        <v>-0.5</v>
      </c>
    </row>
    <row r="107" spans="1:39" ht="12" customHeight="1" x14ac:dyDescent="0.45">
      <c r="B107" s="50"/>
      <c r="C107" s="51"/>
      <c r="D107" s="42"/>
      <c r="E107" s="34"/>
      <c r="F107" s="41"/>
      <c r="G107" s="20">
        <f t="shared" si="10"/>
        <v>0</v>
      </c>
      <c r="H107" s="24">
        <f t="shared" si="11"/>
        <v>0</v>
      </c>
      <c r="I107" s="26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8"/>
      <c r="U107" s="23"/>
      <c r="V107" s="23"/>
      <c r="W107" s="17"/>
      <c r="X107" s="17"/>
      <c r="Y107" s="23"/>
      <c r="Z107" s="23"/>
      <c r="AA107" s="23"/>
      <c r="AB107" s="23"/>
      <c r="AC107" s="23"/>
      <c r="AD107" s="23"/>
      <c r="AE107" s="17"/>
      <c r="AF107" s="17"/>
      <c r="AG107" s="30"/>
      <c r="AH107" s="23"/>
      <c r="AI107" s="58" t="str">
        <f t="shared" si="12"/>
        <v/>
      </c>
      <c r="AJ107" s="57">
        <f t="shared" si="14"/>
        <v>-1</v>
      </c>
      <c r="AK107" s="57">
        <f t="shared" si="15"/>
        <v>-1</v>
      </c>
      <c r="AL107" s="57">
        <f t="shared" si="13"/>
        <v>-98</v>
      </c>
      <c r="AM107" s="57">
        <f t="shared" si="16"/>
        <v>-0.5</v>
      </c>
    </row>
    <row r="108" spans="1:39" ht="12" customHeight="1" x14ac:dyDescent="0.45">
      <c r="B108" s="50"/>
      <c r="C108" s="51"/>
      <c r="D108" s="42"/>
      <c r="E108" s="34"/>
      <c r="F108" s="41"/>
      <c r="G108" s="20">
        <f t="shared" si="10"/>
        <v>0</v>
      </c>
      <c r="H108" s="24">
        <f t="shared" si="11"/>
        <v>0</v>
      </c>
      <c r="I108" s="26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8"/>
      <c r="U108" s="23"/>
      <c r="V108" s="23"/>
      <c r="W108" s="17"/>
      <c r="X108" s="17"/>
      <c r="Y108" s="23"/>
      <c r="Z108" s="23"/>
      <c r="AA108" s="23"/>
      <c r="AB108" s="23"/>
      <c r="AC108" s="23"/>
      <c r="AD108" s="23"/>
      <c r="AE108" s="17"/>
      <c r="AF108" s="17"/>
      <c r="AG108" s="30"/>
      <c r="AH108" s="23"/>
      <c r="AI108" s="58" t="str">
        <f t="shared" si="12"/>
        <v/>
      </c>
      <c r="AJ108" s="57">
        <f t="shared" si="14"/>
        <v>-1</v>
      </c>
      <c r="AK108" s="57">
        <f t="shared" si="15"/>
        <v>-1</v>
      </c>
      <c r="AL108" s="57">
        <f t="shared" si="13"/>
        <v>-99</v>
      </c>
      <c r="AM108" s="57">
        <f t="shared" si="16"/>
        <v>-0.5</v>
      </c>
    </row>
    <row r="109" spans="1:39" ht="12" customHeight="1" x14ac:dyDescent="0.45">
      <c r="B109" s="50"/>
      <c r="C109" s="51"/>
      <c r="D109" s="42"/>
      <c r="E109" s="34"/>
      <c r="F109" s="41"/>
      <c r="G109" s="20">
        <f t="shared" si="10"/>
        <v>0</v>
      </c>
      <c r="H109" s="24">
        <f t="shared" si="11"/>
        <v>0</v>
      </c>
      <c r="I109" s="26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8"/>
      <c r="U109" s="23"/>
      <c r="V109" s="23"/>
      <c r="W109" s="17"/>
      <c r="X109" s="17"/>
      <c r="Y109" s="23"/>
      <c r="Z109" s="23"/>
      <c r="AA109" s="23"/>
      <c r="AB109" s="23"/>
      <c r="AC109" s="23"/>
      <c r="AD109" s="23"/>
      <c r="AE109" s="17"/>
      <c r="AF109" s="17"/>
      <c r="AG109" s="30"/>
      <c r="AH109" s="23"/>
      <c r="AI109" s="58" t="str">
        <f t="shared" si="12"/>
        <v/>
      </c>
      <c r="AJ109" s="57">
        <f t="shared" si="14"/>
        <v>-1</v>
      </c>
      <c r="AK109" s="57">
        <f t="shared" si="15"/>
        <v>-1</v>
      </c>
      <c r="AL109" s="57">
        <f t="shared" si="13"/>
        <v>-100</v>
      </c>
      <c r="AM109" s="57">
        <f t="shared" si="16"/>
        <v>-0.5</v>
      </c>
    </row>
    <row r="110" spans="1:39" ht="12" customHeight="1" x14ac:dyDescent="0.45">
      <c r="B110" s="50"/>
      <c r="C110" s="51"/>
      <c r="D110" s="60"/>
      <c r="E110" s="34"/>
      <c r="F110" s="41"/>
      <c r="G110" s="20">
        <f t="shared" si="10"/>
        <v>0</v>
      </c>
      <c r="H110" s="24">
        <f t="shared" si="11"/>
        <v>0</v>
      </c>
      <c r="I110" s="26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8"/>
      <c r="U110" s="23"/>
      <c r="V110" s="23"/>
      <c r="W110" s="17"/>
      <c r="X110" s="17"/>
      <c r="Y110" s="23"/>
      <c r="Z110" s="23"/>
      <c r="AA110" s="23"/>
      <c r="AB110" s="23"/>
      <c r="AC110" s="23"/>
      <c r="AD110" s="23"/>
      <c r="AE110" s="17"/>
      <c r="AF110" s="17"/>
      <c r="AG110" s="30"/>
      <c r="AH110" s="23"/>
      <c r="AI110" s="58" t="str">
        <f t="shared" si="12"/>
        <v/>
      </c>
      <c r="AJ110" s="57">
        <f t="shared" si="14"/>
        <v>-1</v>
      </c>
      <c r="AK110" s="57">
        <f t="shared" si="15"/>
        <v>-1</v>
      </c>
      <c r="AL110" s="57">
        <f t="shared" si="13"/>
        <v>-101</v>
      </c>
      <c r="AM110" s="57">
        <f t="shared" si="16"/>
        <v>-0.5</v>
      </c>
    </row>
    <row r="111" spans="1:39" ht="12" customHeight="1" x14ac:dyDescent="0.45">
      <c r="B111" s="50"/>
      <c r="C111" s="51"/>
      <c r="D111" s="60"/>
      <c r="E111" s="61"/>
      <c r="F111" s="62"/>
      <c r="G111" s="20">
        <f t="shared" si="10"/>
        <v>0</v>
      </c>
      <c r="H111" s="24">
        <f t="shared" si="11"/>
        <v>0</v>
      </c>
      <c r="I111" s="26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8"/>
      <c r="U111" s="23"/>
      <c r="V111" s="23"/>
      <c r="W111" s="17"/>
      <c r="X111" s="17"/>
      <c r="Y111" s="23"/>
      <c r="Z111" s="23"/>
      <c r="AA111" s="23"/>
      <c r="AB111" s="23"/>
      <c r="AC111" s="23"/>
      <c r="AD111" s="23"/>
      <c r="AE111" s="17"/>
      <c r="AF111" s="17"/>
      <c r="AG111" s="30"/>
      <c r="AH111" s="23"/>
      <c r="AI111" s="58" t="str">
        <f t="shared" si="12"/>
        <v/>
      </c>
      <c r="AJ111" s="57">
        <f t="shared" si="14"/>
        <v>-1</v>
      </c>
      <c r="AK111" s="57">
        <f t="shared" si="15"/>
        <v>-1</v>
      </c>
      <c r="AL111" s="57">
        <f t="shared" si="13"/>
        <v>-102</v>
      </c>
      <c r="AM111" s="57">
        <f t="shared" si="16"/>
        <v>-0.5</v>
      </c>
    </row>
    <row r="112" spans="1:39" ht="12" customHeight="1" x14ac:dyDescent="0.45">
      <c r="B112" s="50"/>
      <c r="C112" s="51"/>
      <c r="D112" s="42"/>
      <c r="E112" s="34"/>
      <c r="F112" s="41"/>
      <c r="G112" s="20">
        <f t="shared" si="10"/>
        <v>0</v>
      </c>
      <c r="H112" s="24">
        <f t="shared" si="11"/>
        <v>0</v>
      </c>
      <c r="I112" s="26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8"/>
      <c r="U112" s="23"/>
      <c r="V112" s="23"/>
      <c r="W112" s="17"/>
      <c r="X112" s="17"/>
      <c r="Y112" s="23"/>
      <c r="Z112" s="23"/>
      <c r="AA112" s="23"/>
      <c r="AB112" s="23"/>
      <c r="AC112" s="23"/>
      <c r="AD112" s="23"/>
      <c r="AE112" s="17"/>
      <c r="AF112" s="17"/>
      <c r="AG112" s="30"/>
      <c r="AH112" s="23"/>
      <c r="AI112" s="58" t="str">
        <f t="shared" si="12"/>
        <v/>
      </c>
      <c r="AJ112" s="57">
        <f t="shared" si="14"/>
        <v>-1</v>
      </c>
      <c r="AK112" s="57">
        <f t="shared" si="15"/>
        <v>-1</v>
      </c>
      <c r="AL112" s="57">
        <f t="shared" si="13"/>
        <v>-103</v>
      </c>
      <c r="AM112" s="57">
        <f t="shared" si="16"/>
        <v>-0.5</v>
      </c>
    </row>
    <row r="113" spans="2:39" ht="12" customHeight="1" x14ac:dyDescent="0.45">
      <c r="B113" s="50"/>
      <c r="C113" s="51"/>
      <c r="D113" s="42"/>
      <c r="E113" s="34"/>
      <c r="F113" s="41"/>
      <c r="G113" s="20">
        <f t="shared" si="10"/>
        <v>0</v>
      </c>
      <c r="H113" s="24">
        <f t="shared" si="11"/>
        <v>0</v>
      </c>
      <c r="I113" s="26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8"/>
      <c r="U113" s="23"/>
      <c r="V113" s="23"/>
      <c r="W113" s="17"/>
      <c r="X113" s="17"/>
      <c r="Y113" s="23"/>
      <c r="Z113" s="23"/>
      <c r="AA113" s="23"/>
      <c r="AB113" s="23"/>
      <c r="AC113" s="23"/>
      <c r="AD113" s="23"/>
      <c r="AE113" s="17"/>
      <c r="AF113" s="17"/>
      <c r="AG113" s="30"/>
      <c r="AH113" s="23"/>
      <c r="AI113" s="58" t="str">
        <f t="shared" si="12"/>
        <v/>
      </c>
      <c r="AJ113" s="57">
        <f t="shared" si="14"/>
        <v>-1</v>
      </c>
      <c r="AK113" s="57">
        <f t="shared" si="15"/>
        <v>-1</v>
      </c>
      <c r="AL113" s="57">
        <f t="shared" si="13"/>
        <v>-104</v>
      </c>
      <c r="AM113" s="57">
        <f t="shared" si="16"/>
        <v>-0.5</v>
      </c>
    </row>
    <row r="114" spans="2:39" ht="12" customHeight="1" x14ac:dyDescent="0.45">
      <c r="B114" s="50"/>
      <c r="C114" s="51"/>
      <c r="D114" s="42"/>
      <c r="E114" s="34"/>
      <c r="F114" s="34"/>
      <c r="G114" s="20">
        <f t="shared" si="10"/>
        <v>0</v>
      </c>
      <c r="H114" s="24">
        <f t="shared" si="11"/>
        <v>0</v>
      </c>
      <c r="I114" s="26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8"/>
      <c r="U114" s="23"/>
      <c r="V114" s="23"/>
      <c r="W114" s="17"/>
      <c r="X114" s="17"/>
      <c r="Y114" s="23"/>
      <c r="Z114" s="23"/>
      <c r="AA114" s="23"/>
      <c r="AB114" s="23"/>
      <c r="AC114" s="23"/>
      <c r="AD114" s="23"/>
      <c r="AE114" s="17"/>
      <c r="AF114" s="17"/>
      <c r="AG114" s="30"/>
      <c r="AH114" s="23"/>
      <c r="AI114" s="58" t="str">
        <f t="shared" si="12"/>
        <v/>
      </c>
      <c r="AJ114" s="57">
        <f t="shared" si="14"/>
        <v>-1</v>
      </c>
      <c r="AK114" s="57">
        <f t="shared" si="15"/>
        <v>-1</v>
      </c>
      <c r="AL114" s="57">
        <f t="shared" si="13"/>
        <v>-105</v>
      </c>
      <c r="AM114" s="57">
        <f t="shared" si="16"/>
        <v>-0.5</v>
      </c>
    </row>
    <row r="115" spans="2:39" ht="12" customHeight="1" x14ac:dyDescent="0.45">
      <c r="B115" s="50"/>
      <c r="C115" s="51"/>
      <c r="D115" s="42"/>
      <c r="E115" s="34"/>
      <c r="F115" s="34"/>
      <c r="G115" s="20">
        <f t="shared" si="10"/>
        <v>0</v>
      </c>
      <c r="H115" s="24">
        <f t="shared" si="11"/>
        <v>0</v>
      </c>
      <c r="I115" s="26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8"/>
      <c r="U115" s="23"/>
      <c r="V115" s="23"/>
      <c r="W115" s="17"/>
      <c r="X115" s="17"/>
      <c r="Y115" s="23"/>
      <c r="Z115" s="23"/>
      <c r="AA115" s="23"/>
      <c r="AB115" s="23"/>
      <c r="AC115" s="23"/>
      <c r="AD115" s="23"/>
      <c r="AE115" s="17"/>
      <c r="AF115" s="17"/>
      <c r="AG115" s="30"/>
      <c r="AH115" s="23"/>
      <c r="AI115" s="58" t="str">
        <f t="shared" si="12"/>
        <v/>
      </c>
      <c r="AJ115" s="57">
        <f t="shared" si="14"/>
        <v>-1</v>
      </c>
      <c r="AK115" s="57">
        <f t="shared" si="15"/>
        <v>-1</v>
      </c>
      <c r="AL115" s="57">
        <f t="shared" si="13"/>
        <v>-106</v>
      </c>
      <c r="AM115" s="57">
        <f t="shared" si="16"/>
        <v>-0.5</v>
      </c>
    </row>
    <row r="116" spans="2:39" ht="12" customHeight="1" x14ac:dyDescent="0.45">
      <c r="B116" s="50"/>
      <c r="C116" s="51"/>
      <c r="D116" s="42"/>
      <c r="E116" s="34"/>
      <c r="F116" s="34"/>
      <c r="G116" s="20">
        <f t="shared" si="10"/>
        <v>0</v>
      </c>
      <c r="H116" s="24">
        <f t="shared" si="11"/>
        <v>0</v>
      </c>
      <c r="I116" s="26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8"/>
      <c r="U116" s="23"/>
      <c r="V116" s="23"/>
      <c r="W116" s="17"/>
      <c r="X116" s="17"/>
      <c r="Y116" s="23"/>
      <c r="Z116" s="23"/>
      <c r="AA116" s="23"/>
      <c r="AB116" s="23"/>
      <c r="AC116" s="23"/>
      <c r="AD116" s="23"/>
      <c r="AE116" s="17"/>
      <c r="AF116" s="17"/>
      <c r="AG116" s="30"/>
      <c r="AH116" s="23"/>
      <c r="AI116" s="58" t="str">
        <f t="shared" si="12"/>
        <v/>
      </c>
      <c r="AJ116" s="57">
        <f t="shared" si="14"/>
        <v>-1</v>
      </c>
      <c r="AK116" s="57">
        <f t="shared" si="15"/>
        <v>-1</v>
      </c>
      <c r="AL116" s="57">
        <f t="shared" si="13"/>
        <v>-107</v>
      </c>
      <c r="AM116" s="57">
        <f t="shared" si="16"/>
        <v>-0.5</v>
      </c>
    </row>
    <row r="117" spans="2:39" ht="12" customHeight="1" x14ac:dyDescent="0.45">
      <c r="B117" s="50"/>
      <c r="C117" s="51"/>
      <c r="D117" s="42"/>
      <c r="E117" s="34"/>
      <c r="F117" s="34"/>
      <c r="G117" s="20">
        <f t="shared" si="10"/>
        <v>0</v>
      </c>
      <c r="H117" s="24">
        <f t="shared" si="11"/>
        <v>0</v>
      </c>
      <c r="I117" s="26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8"/>
      <c r="U117" s="23"/>
      <c r="V117" s="23"/>
      <c r="W117" s="17"/>
      <c r="X117" s="17"/>
      <c r="Y117" s="23"/>
      <c r="Z117" s="23"/>
      <c r="AA117" s="23"/>
      <c r="AB117" s="23"/>
      <c r="AC117" s="23"/>
      <c r="AD117" s="23"/>
      <c r="AE117" s="17"/>
      <c r="AF117" s="17"/>
      <c r="AG117" s="30"/>
      <c r="AH117" s="23"/>
      <c r="AI117" s="58" t="str">
        <f t="shared" si="12"/>
        <v/>
      </c>
      <c r="AJ117" s="57">
        <f t="shared" si="14"/>
        <v>-1</v>
      </c>
      <c r="AK117" s="57">
        <f t="shared" si="15"/>
        <v>-1</v>
      </c>
      <c r="AL117" s="57">
        <f t="shared" si="13"/>
        <v>-108</v>
      </c>
      <c r="AM117" s="57">
        <f t="shared" si="16"/>
        <v>-0.5</v>
      </c>
    </row>
    <row r="118" spans="2:39" ht="12" customHeight="1" x14ac:dyDescent="0.45">
      <c r="B118" s="50"/>
      <c r="C118" s="51"/>
      <c r="D118" s="42"/>
      <c r="E118" s="34"/>
      <c r="F118" s="34"/>
      <c r="G118" s="20">
        <f t="shared" si="10"/>
        <v>0</v>
      </c>
      <c r="H118" s="24">
        <f t="shared" si="11"/>
        <v>0</v>
      </c>
      <c r="I118" s="26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8"/>
      <c r="U118" s="23"/>
      <c r="V118" s="23"/>
      <c r="W118" s="17"/>
      <c r="X118" s="17"/>
      <c r="Y118" s="23"/>
      <c r="Z118" s="23"/>
      <c r="AA118" s="23"/>
      <c r="AB118" s="23"/>
      <c r="AC118" s="23"/>
      <c r="AD118" s="23"/>
      <c r="AE118" s="17"/>
      <c r="AF118" s="17"/>
      <c r="AG118" s="30"/>
      <c r="AH118" s="23"/>
      <c r="AI118" s="58" t="str">
        <f t="shared" si="12"/>
        <v/>
      </c>
      <c r="AJ118" s="57">
        <f t="shared" si="14"/>
        <v>-1</v>
      </c>
      <c r="AK118" s="57">
        <f t="shared" si="15"/>
        <v>-1</v>
      </c>
      <c r="AL118" s="57">
        <f t="shared" si="13"/>
        <v>-109</v>
      </c>
      <c r="AM118" s="57">
        <f t="shared" si="16"/>
        <v>-0.5</v>
      </c>
    </row>
    <row r="119" spans="2:39" ht="12" customHeight="1" x14ac:dyDescent="0.45">
      <c r="B119" s="50"/>
      <c r="C119" s="51"/>
      <c r="D119" s="42"/>
      <c r="E119" s="34"/>
      <c r="F119" s="34"/>
      <c r="G119" s="20">
        <f t="shared" si="10"/>
        <v>0</v>
      </c>
      <c r="H119" s="24">
        <f t="shared" si="11"/>
        <v>0</v>
      </c>
      <c r="I119" s="26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8"/>
      <c r="U119" s="23"/>
      <c r="V119" s="23"/>
      <c r="W119" s="17"/>
      <c r="X119" s="17"/>
      <c r="Y119" s="23"/>
      <c r="Z119" s="23"/>
      <c r="AA119" s="23"/>
      <c r="AB119" s="23"/>
      <c r="AC119" s="23"/>
      <c r="AD119" s="23"/>
      <c r="AE119" s="17"/>
      <c r="AF119" s="17"/>
      <c r="AG119" s="30"/>
      <c r="AH119" s="23"/>
      <c r="AI119" s="58" t="str">
        <f t="shared" si="12"/>
        <v/>
      </c>
      <c r="AJ119" s="57">
        <f t="shared" si="14"/>
        <v>-1</v>
      </c>
      <c r="AK119" s="57">
        <f t="shared" si="15"/>
        <v>-1</v>
      </c>
      <c r="AL119" s="57">
        <f t="shared" si="13"/>
        <v>-110</v>
      </c>
      <c r="AM119" s="57">
        <f t="shared" si="16"/>
        <v>-0.5</v>
      </c>
    </row>
    <row r="120" spans="2:39" ht="12" customHeight="1" x14ac:dyDescent="0.45">
      <c r="B120" s="50"/>
      <c r="C120" s="51"/>
      <c r="D120" s="42"/>
      <c r="E120" s="34"/>
      <c r="F120" s="34"/>
      <c r="G120" s="20">
        <f t="shared" si="10"/>
        <v>0</v>
      </c>
      <c r="H120" s="24">
        <f t="shared" si="11"/>
        <v>0</v>
      </c>
      <c r="I120" s="26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8"/>
      <c r="U120" s="23"/>
      <c r="V120" s="23"/>
      <c r="W120" s="17"/>
      <c r="X120" s="17"/>
      <c r="Y120" s="23"/>
      <c r="Z120" s="23"/>
      <c r="AA120" s="23"/>
      <c r="AB120" s="23"/>
      <c r="AC120" s="23"/>
      <c r="AD120" s="23"/>
      <c r="AE120" s="17"/>
      <c r="AF120" s="17"/>
      <c r="AG120" s="30"/>
      <c r="AH120" s="23"/>
      <c r="AI120" s="58" t="str">
        <f t="shared" si="12"/>
        <v/>
      </c>
      <c r="AJ120" s="57">
        <f t="shared" si="14"/>
        <v>-1</v>
      </c>
      <c r="AK120" s="57">
        <f t="shared" si="15"/>
        <v>-1</v>
      </c>
      <c r="AL120" s="57">
        <f t="shared" si="13"/>
        <v>-111</v>
      </c>
      <c r="AM120" s="57">
        <f t="shared" si="16"/>
        <v>-0.5</v>
      </c>
    </row>
    <row r="121" spans="2:39" ht="12" customHeight="1" x14ac:dyDescent="0.45">
      <c r="B121" s="1"/>
      <c r="C121" s="40"/>
      <c r="D121" s="47"/>
      <c r="E121" s="34"/>
      <c r="F121" s="41"/>
      <c r="G121" s="20">
        <f t="shared" si="10"/>
        <v>0</v>
      </c>
      <c r="H121" s="24">
        <f t="shared" si="11"/>
        <v>0</v>
      </c>
      <c r="I121" s="26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8"/>
      <c r="U121" s="23"/>
      <c r="V121" s="23"/>
      <c r="W121" s="17"/>
      <c r="X121" s="17"/>
      <c r="Y121" s="23"/>
      <c r="Z121" s="23"/>
      <c r="AA121" s="23"/>
      <c r="AB121" s="23"/>
      <c r="AC121" s="23"/>
      <c r="AD121" s="23"/>
      <c r="AE121" s="17"/>
      <c r="AF121" s="17"/>
      <c r="AG121" s="30"/>
      <c r="AH121" s="23"/>
      <c r="AI121" s="58" t="str">
        <f t="shared" si="12"/>
        <v/>
      </c>
      <c r="AJ121" s="57">
        <f t="shared" si="14"/>
        <v>-1</v>
      </c>
      <c r="AK121" s="57">
        <f t="shared" si="15"/>
        <v>-1</v>
      </c>
      <c r="AL121" s="57">
        <f t="shared" si="13"/>
        <v>-112</v>
      </c>
      <c r="AM121" s="57">
        <f t="shared" si="16"/>
        <v>-0.5</v>
      </c>
    </row>
    <row r="122" spans="2:39" ht="12" customHeight="1" x14ac:dyDescent="0.45">
      <c r="B122" s="1"/>
      <c r="C122" s="40"/>
      <c r="D122" s="47"/>
      <c r="E122" s="34"/>
      <c r="F122" s="41"/>
      <c r="G122" s="20">
        <f t="shared" ref="G122:G185" si="17">EDATE($C$3,E122*3)</f>
        <v>0</v>
      </c>
      <c r="H122" s="24">
        <f t="shared" ref="H122:H185" si="18">EDATE($C$3,F122*3)-IF(E122=F122,0,1)</f>
        <v>0</v>
      </c>
      <c r="I122" s="26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8"/>
      <c r="U122" s="23"/>
      <c r="V122" s="23"/>
      <c r="W122" s="17"/>
      <c r="X122" s="17"/>
      <c r="Y122" s="23"/>
      <c r="Z122" s="23"/>
      <c r="AA122" s="23"/>
      <c r="AB122" s="23"/>
      <c r="AC122" s="23"/>
      <c r="AD122" s="23"/>
      <c r="AE122" s="17"/>
      <c r="AF122" s="17"/>
      <c r="AG122" s="30"/>
      <c r="AH122" s="23"/>
      <c r="AI122" s="58" t="str">
        <f t="shared" si="12"/>
        <v/>
      </c>
      <c r="AJ122" s="57">
        <f t="shared" si="14"/>
        <v>-1</v>
      </c>
      <c r="AK122" s="57">
        <f t="shared" si="15"/>
        <v>-1</v>
      </c>
      <c r="AL122" s="57">
        <f t="shared" si="13"/>
        <v>-113</v>
      </c>
      <c r="AM122" s="57">
        <f t="shared" si="16"/>
        <v>-0.5</v>
      </c>
    </row>
    <row r="123" spans="2:39" ht="12" customHeight="1" x14ac:dyDescent="0.45">
      <c r="B123" s="1"/>
      <c r="C123" s="40"/>
      <c r="D123" s="47"/>
      <c r="E123" s="34"/>
      <c r="F123" s="41"/>
      <c r="G123" s="20">
        <f t="shared" si="17"/>
        <v>0</v>
      </c>
      <c r="H123" s="24">
        <f t="shared" si="18"/>
        <v>0</v>
      </c>
      <c r="I123" s="26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8"/>
      <c r="U123" s="23"/>
      <c r="V123" s="23"/>
      <c r="W123" s="17"/>
      <c r="X123" s="17"/>
      <c r="Y123" s="23"/>
      <c r="Z123" s="23"/>
      <c r="AA123" s="23"/>
      <c r="AB123" s="23"/>
      <c r="AC123" s="23"/>
      <c r="AD123" s="23"/>
      <c r="AE123" s="17"/>
      <c r="AF123" s="17"/>
      <c r="AG123" s="30"/>
      <c r="AH123" s="23"/>
      <c r="AI123" s="58" t="str">
        <f t="shared" si="12"/>
        <v/>
      </c>
      <c r="AJ123" s="57">
        <f t="shared" si="14"/>
        <v>-1</v>
      </c>
      <c r="AK123" s="57">
        <f t="shared" si="15"/>
        <v>-1</v>
      </c>
      <c r="AL123" s="57">
        <f t="shared" si="13"/>
        <v>-114</v>
      </c>
      <c r="AM123" s="57">
        <f t="shared" si="16"/>
        <v>-0.5</v>
      </c>
    </row>
    <row r="124" spans="2:39" ht="12" customHeight="1" x14ac:dyDescent="0.45">
      <c r="B124" s="1"/>
      <c r="C124" s="40"/>
      <c r="D124" s="47"/>
      <c r="E124" s="2"/>
      <c r="F124" s="2"/>
      <c r="G124" s="20">
        <f t="shared" si="17"/>
        <v>0</v>
      </c>
      <c r="H124" s="24">
        <f t="shared" si="18"/>
        <v>0</v>
      </c>
      <c r="I124" s="26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8"/>
      <c r="U124" s="23"/>
      <c r="V124" s="23"/>
      <c r="W124" s="17"/>
      <c r="X124" s="17"/>
      <c r="Y124" s="23"/>
      <c r="Z124" s="23"/>
      <c r="AA124" s="23"/>
      <c r="AB124" s="23"/>
      <c r="AC124" s="23"/>
      <c r="AD124" s="23"/>
      <c r="AE124" s="17"/>
      <c r="AF124" s="17"/>
      <c r="AG124" s="30"/>
      <c r="AH124" s="23"/>
      <c r="AI124" s="58" t="str">
        <f t="shared" si="12"/>
        <v/>
      </c>
      <c r="AJ124" s="57">
        <f t="shared" si="14"/>
        <v>-1</v>
      </c>
      <c r="AK124" s="57">
        <f t="shared" si="15"/>
        <v>-1</v>
      </c>
      <c r="AL124" s="57">
        <f t="shared" si="13"/>
        <v>-115</v>
      </c>
      <c r="AM124" s="57">
        <f t="shared" si="16"/>
        <v>-0.5</v>
      </c>
    </row>
    <row r="125" spans="2:39" ht="12" customHeight="1" x14ac:dyDescent="0.45">
      <c r="B125" s="1"/>
      <c r="C125" s="40"/>
      <c r="D125" s="47"/>
      <c r="E125" s="2"/>
      <c r="F125" s="2"/>
      <c r="G125" s="20">
        <f t="shared" si="17"/>
        <v>0</v>
      </c>
      <c r="H125" s="24">
        <f t="shared" si="18"/>
        <v>0</v>
      </c>
      <c r="I125" s="26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8"/>
      <c r="U125" s="23"/>
      <c r="V125" s="23"/>
      <c r="W125" s="17"/>
      <c r="X125" s="17"/>
      <c r="Y125" s="23"/>
      <c r="Z125" s="23"/>
      <c r="AA125" s="23"/>
      <c r="AB125" s="23"/>
      <c r="AC125" s="23"/>
      <c r="AD125" s="23"/>
      <c r="AE125" s="17"/>
      <c r="AF125" s="17"/>
      <c r="AG125" s="30"/>
      <c r="AH125" s="23"/>
      <c r="AI125" s="58" t="str">
        <f t="shared" si="12"/>
        <v/>
      </c>
      <c r="AJ125" s="57">
        <f t="shared" si="14"/>
        <v>-1</v>
      </c>
      <c r="AK125" s="57">
        <f t="shared" si="15"/>
        <v>-1</v>
      </c>
      <c r="AL125" s="57">
        <f t="shared" si="13"/>
        <v>-116</v>
      </c>
      <c r="AM125" s="57">
        <f t="shared" si="16"/>
        <v>-0.5</v>
      </c>
    </row>
    <row r="126" spans="2:39" ht="12" customHeight="1" x14ac:dyDescent="0.45">
      <c r="B126" s="50"/>
      <c r="C126" s="51"/>
      <c r="D126" s="60"/>
      <c r="E126" s="61"/>
      <c r="F126" s="62"/>
      <c r="G126" s="20">
        <f t="shared" si="17"/>
        <v>0</v>
      </c>
      <c r="H126" s="24">
        <f t="shared" si="18"/>
        <v>0</v>
      </c>
      <c r="I126" s="26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8"/>
      <c r="U126" s="23"/>
      <c r="V126" s="23"/>
      <c r="W126" s="17"/>
      <c r="X126" s="17"/>
      <c r="Y126" s="23"/>
      <c r="Z126" s="23"/>
      <c r="AA126" s="23"/>
      <c r="AB126" s="23"/>
      <c r="AC126" s="23"/>
      <c r="AD126" s="23"/>
      <c r="AE126" s="17"/>
      <c r="AF126" s="17"/>
      <c r="AG126" s="30"/>
      <c r="AH126" s="23"/>
      <c r="AI126" s="58" t="str">
        <f t="shared" si="12"/>
        <v/>
      </c>
      <c r="AJ126" s="57">
        <f t="shared" si="14"/>
        <v>-1</v>
      </c>
      <c r="AK126" s="57">
        <f t="shared" si="15"/>
        <v>-1</v>
      </c>
      <c r="AL126" s="57">
        <f t="shared" si="13"/>
        <v>-117</v>
      </c>
      <c r="AM126" s="57">
        <f t="shared" si="16"/>
        <v>-0.5</v>
      </c>
    </row>
    <row r="127" spans="2:39" ht="12" customHeight="1" x14ac:dyDescent="0.45">
      <c r="B127" s="50"/>
      <c r="C127" s="51"/>
      <c r="D127" s="42"/>
      <c r="E127" s="34"/>
      <c r="F127" s="41"/>
      <c r="G127" s="20">
        <f t="shared" si="17"/>
        <v>0</v>
      </c>
      <c r="H127" s="24">
        <f t="shared" si="18"/>
        <v>0</v>
      </c>
      <c r="I127" s="26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8"/>
      <c r="U127" s="23"/>
      <c r="V127" s="23"/>
      <c r="W127" s="17"/>
      <c r="X127" s="17"/>
      <c r="Y127" s="23"/>
      <c r="Z127" s="23"/>
      <c r="AA127" s="23"/>
      <c r="AB127" s="23"/>
      <c r="AC127" s="23"/>
      <c r="AD127" s="23"/>
      <c r="AE127" s="17"/>
      <c r="AF127" s="17"/>
      <c r="AG127" s="30"/>
      <c r="AH127" s="23"/>
      <c r="AI127" s="58" t="str">
        <f t="shared" si="12"/>
        <v/>
      </c>
      <c r="AJ127" s="57">
        <f t="shared" si="14"/>
        <v>-1</v>
      </c>
      <c r="AK127" s="57">
        <f t="shared" si="15"/>
        <v>-1</v>
      </c>
      <c r="AL127" s="57">
        <f t="shared" si="13"/>
        <v>-118</v>
      </c>
      <c r="AM127" s="57">
        <f t="shared" si="16"/>
        <v>-0.5</v>
      </c>
    </row>
    <row r="128" spans="2:39" ht="12" customHeight="1" x14ac:dyDescent="0.45">
      <c r="B128" s="50"/>
      <c r="C128" s="51"/>
      <c r="D128" s="42"/>
      <c r="E128" s="34"/>
      <c r="F128" s="41"/>
      <c r="G128" s="20">
        <f t="shared" si="17"/>
        <v>0</v>
      </c>
      <c r="H128" s="24">
        <f t="shared" si="18"/>
        <v>0</v>
      </c>
      <c r="I128" s="26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8"/>
      <c r="U128" s="23"/>
      <c r="V128" s="23"/>
      <c r="W128" s="17"/>
      <c r="X128" s="17"/>
      <c r="Y128" s="23"/>
      <c r="Z128" s="23"/>
      <c r="AA128" s="23"/>
      <c r="AB128" s="23"/>
      <c r="AC128" s="23"/>
      <c r="AD128" s="23"/>
      <c r="AE128" s="17"/>
      <c r="AF128" s="17"/>
      <c r="AG128" s="30"/>
      <c r="AH128" s="23"/>
      <c r="AI128" s="58" t="str">
        <f t="shared" si="12"/>
        <v/>
      </c>
      <c r="AJ128" s="57">
        <f t="shared" si="14"/>
        <v>-1</v>
      </c>
      <c r="AK128" s="57">
        <f t="shared" si="15"/>
        <v>-1</v>
      </c>
      <c r="AL128" s="57">
        <f t="shared" si="13"/>
        <v>-119</v>
      </c>
      <c r="AM128" s="57">
        <f t="shared" si="16"/>
        <v>-0.5</v>
      </c>
    </row>
    <row r="129" spans="2:39" ht="12" customHeight="1" x14ac:dyDescent="0.45">
      <c r="B129" s="50"/>
      <c r="C129" s="51"/>
      <c r="D129" s="60"/>
      <c r="E129" s="61"/>
      <c r="F129" s="62"/>
      <c r="G129" s="20">
        <f t="shared" si="17"/>
        <v>0</v>
      </c>
      <c r="H129" s="24">
        <f t="shared" si="18"/>
        <v>0</v>
      </c>
      <c r="I129" s="26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8"/>
      <c r="U129" s="23"/>
      <c r="V129" s="23"/>
      <c r="W129" s="17"/>
      <c r="X129" s="17"/>
      <c r="Y129" s="23"/>
      <c r="Z129" s="23"/>
      <c r="AA129" s="23"/>
      <c r="AB129" s="23"/>
      <c r="AC129" s="23"/>
      <c r="AD129" s="23"/>
      <c r="AE129" s="17"/>
      <c r="AF129" s="17"/>
      <c r="AG129" s="30"/>
      <c r="AH129" s="23"/>
      <c r="AI129" s="58" t="str">
        <f t="shared" si="12"/>
        <v/>
      </c>
      <c r="AJ129" s="57">
        <f t="shared" si="14"/>
        <v>-1</v>
      </c>
      <c r="AK129" s="57">
        <f t="shared" si="15"/>
        <v>-1</v>
      </c>
      <c r="AL129" s="57">
        <f t="shared" si="13"/>
        <v>-120</v>
      </c>
      <c r="AM129" s="57">
        <f t="shared" si="16"/>
        <v>-0.5</v>
      </c>
    </row>
    <row r="130" spans="2:39" ht="12" customHeight="1" x14ac:dyDescent="0.45">
      <c r="B130" s="50"/>
      <c r="C130" s="51"/>
      <c r="D130" s="42"/>
      <c r="E130" s="34"/>
      <c r="F130" s="41"/>
      <c r="G130" s="20">
        <f t="shared" si="17"/>
        <v>0</v>
      </c>
      <c r="H130" s="24">
        <f t="shared" si="18"/>
        <v>0</v>
      </c>
      <c r="I130" s="26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8"/>
      <c r="U130" s="23"/>
      <c r="V130" s="23"/>
      <c r="W130" s="17"/>
      <c r="X130" s="17"/>
      <c r="Y130" s="23"/>
      <c r="Z130" s="23"/>
      <c r="AA130" s="23"/>
      <c r="AB130" s="23"/>
      <c r="AC130" s="23"/>
      <c r="AD130" s="23"/>
      <c r="AE130" s="17"/>
      <c r="AF130" s="17"/>
      <c r="AG130" s="30"/>
      <c r="AH130" s="23"/>
      <c r="AI130" s="58" t="str">
        <f t="shared" si="12"/>
        <v/>
      </c>
      <c r="AJ130" s="57">
        <f t="shared" si="14"/>
        <v>-1</v>
      </c>
      <c r="AK130" s="57">
        <f t="shared" si="15"/>
        <v>-1</v>
      </c>
      <c r="AL130" s="57">
        <f t="shared" si="13"/>
        <v>-121</v>
      </c>
      <c r="AM130" s="57">
        <f t="shared" si="16"/>
        <v>-0.5</v>
      </c>
    </row>
    <row r="131" spans="2:39" ht="12" customHeight="1" x14ac:dyDescent="0.45">
      <c r="B131" s="50"/>
      <c r="C131" s="51"/>
      <c r="D131" s="42"/>
      <c r="E131" s="34"/>
      <c r="F131" s="41"/>
      <c r="G131" s="20">
        <f t="shared" si="17"/>
        <v>0</v>
      </c>
      <c r="H131" s="24">
        <f t="shared" si="18"/>
        <v>0</v>
      </c>
      <c r="I131" s="26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8"/>
      <c r="U131" s="23"/>
      <c r="V131" s="23"/>
      <c r="W131" s="17"/>
      <c r="X131" s="17"/>
      <c r="Y131" s="23"/>
      <c r="Z131" s="23"/>
      <c r="AA131" s="23"/>
      <c r="AB131" s="23"/>
      <c r="AC131" s="23"/>
      <c r="AD131" s="23"/>
      <c r="AE131" s="17"/>
      <c r="AF131" s="17"/>
      <c r="AG131" s="30"/>
      <c r="AH131" s="23"/>
      <c r="AI131" s="58" t="str">
        <f t="shared" si="12"/>
        <v/>
      </c>
      <c r="AJ131" s="57">
        <f t="shared" si="14"/>
        <v>-1</v>
      </c>
      <c r="AK131" s="57">
        <f t="shared" si="15"/>
        <v>-1</v>
      </c>
      <c r="AL131" s="57">
        <f t="shared" si="13"/>
        <v>-122</v>
      </c>
      <c r="AM131" s="57">
        <f t="shared" si="16"/>
        <v>-0.5</v>
      </c>
    </row>
    <row r="132" spans="2:39" ht="12" customHeight="1" x14ac:dyDescent="0.45">
      <c r="B132" s="50"/>
      <c r="C132" s="51"/>
      <c r="D132" s="42"/>
      <c r="E132" s="34"/>
      <c r="F132" s="34"/>
      <c r="G132" s="20">
        <f t="shared" si="17"/>
        <v>0</v>
      </c>
      <c r="H132" s="24">
        <f t="shared" si="18"/>
        <v>0</v>
      </c>
      <c r="I132" s="26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8"/>
      <c r="U132" s="23"/>
      <c r="V132" s="23"/>
      <c r="W132" s="17"/>
      <c r="X132" s="17"/>
      <c r="Y132" s="23"/>
      <c r="Z132" s="23"/>
      <c r="AA132" s="23"/>
      <c r="AB132" s="23"/>
      <c r="AC132" s="23"/>
      <c r="AD132" s="23"/>
      <c r="AE132" s="17"/>
      <c r="AF132" s="17"/>
      <c r="AG132" s="30"/>
      <c r="AH132" s="23"/>
      <c r="AI132" s="58" t="str">
        <f t="shared" si="12"/>
        <v/>
      </c>
      <c r="AJ132" s="57">
        <f t="shared" si="14"/>
        <v>-1</v>
      </c>
      <c r="AK132" s="57">
        <f t="shared" si="15"/>
        <v>-1</v>
      </c>
      <c r="AL132" s="57">
        <f t="shared" si="13"/>
        <v>-123</v>
      </c>
      <c r="AM132" s="57">
        <f t="shared" si="16"/>
        <v>-0.5</v>
      </c>
    </row>
    <row r="133" spans="2:39" ht="12" customHeight="1" x14ac:dyDescent="0.45">
      <c r="B133" s="50"/>
      <c r="C133" s="51"/>
      <c r="D133" s="42"/>
      <c r="E133" s="34"/>
      <c r="F133" s="34"/>
      <c r="G133" s="20">
        <f t="shared" si="17"/>
        <v>0</v>
      </c>
      <c r="H133" s="24">
        <f t="shared" si="18"/>
        <v>0</v>
      </c>
      <c r="I133" s="26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8"/>
      <c r="U133" s="23"/>
      <c r="V133" s="23"/>
      <c r="W133" s="17"/>
      <c r="X133" s="17"/>
      <c r="Y133" s="23"/>
      <c r="Z133" s="23"/>
      <c r="AA133" s="23"/>
      <c r="AB133" s="23"/>
      <c r="AC133" s="23"/>
      <c r="AD133" s="23"/>
      <c r="AE133" s="17"/>
      <c r="AF133" s="17"/>
      <c r="AG133" s="30"/>
      <c r="AH133" s="23"/>
      <c r="AI133" s="58" t="str">
        <f t="shared" si="12"/>
        <v/>
      </c>
      <c r="AJ133" s="57">
        <f t="shared" si="14"/>
        <v>-1</v>
      </c>
      <c r="AK133" s="57">
        <f t="shared" si="15"/>
        <v>-1</v>
      </c>
      <c r="AL133" s="57">
        <f t="shared" si="13"/>
        <v>-124</v>
      </c>
      <c r="AM133" s="57">
        <f t="shared" si="16"/>
        <v>-0.5</v>
      </c>
    </row>
    <row r="134" spans="2:39" ht="12" customHeight="1" x14ac:dyDescent="0.45">
      <c r="B134" s="50"/>
      <c r="C134" s="51"/>
      <c r="D134" s="42"/>
      <c r="E134" s="34"/>
      <c r="F134" s="34"/>
      <c r="G134" s="20">
        <f t="shared" si="17"/>
        <v>0</v>
      </c>
      <c r="H134" s="24">
        <f t="shared" si="18"/>
        <v>0</v>
      </c>
      <c r="I134" s="26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8"/>
      <c r="U134" s="23"/>
      <c r="V134" s="23"/>
      <c r="W134" s="17"/>
      <c r="X134" s="17"/>
      <c r="Y134" s="23"/>
      <c r="Z134" s="23"/>
      <c r="AA134" s="23"/>
      <c r="AB134" s="23"/>
      <c r="AC134" s="23"/>
      <c r="AD134" s="23"/>
      <c r="AE134" s="17"/>
      <c r="AF134" s="17"/>
      <c r="AG134" s="30"/>
      <c r="AH134" s="23"/>
      <c r="AI134" s="58" t="str">
        <f t="shared" si="12"/>
        <v/>
      </c>
      <c r="AJ134" s="57">
        <f t="shared" si="14"/>
        <v>-1</v>
      </c>
      <c r="AK134" s="57">
        <f t="shared" si="15"/>
        <v>-1</v>
      </c>
      <c r="AL134" s="57">
        <f t="shared" si="13"/>
        <v>-125</v>
      </c>
      <c r="AM134" s="57">
        <f t="shared" si="16"/>
        <v>-0.5</v>
      </c>
    </row>
    <row r="135" spans="2:39" ht="12" customHeight="1" x14ac:dyDescent="0.45">
      <c r="B135" s="50"/>
      <c r="C135" s="51"/>
      <c r="D135" s="42"/>
      <c r="E135" s="34"/>
      <c r="F135" s="34"/>
      <c r="G135" s="20">
        <f t="shared" si="17"/>
        <v>0</v>
      </c>
      <c r="H135" s="24">
        <f t="shared" si="18"/>
        <v>0</v>
      </c>
      <c r="I135" s="26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8"/>
      <c r="U135" s="23"/>
      <c r="V135" s="23"/>
      <c r="W135" s="17"/>
      <c r="X135" s="17"/>
      <c r="Y135" s="23"/>
      <c r="Z135" s="23"/>
      <c r="AA135" s="23"/>
      <c r="AB135" s="23"/>
      <c r="AC135" s="23"/>
      <c r="AD135" s="23"/>
      <c r="AE135" s="17"/>
      <c r="AF135" s="17"/>
      <c r="AG135" s="30"/>
      <c r="AH135" s="23"/>
      <c r="AI135" s="58" t="str">
        <f t="shared" si="12"/>
        <v/>
      </c>
      <c r="AJ135" s="57">
        <f t="shared" si="14"/>
        <v>-1</v>
      </c>
      <c r="AK135" s="57">
        <f t="shared" si="15"/>
        <v>-1</v>
      </c>
      <c r="AL135" s="57">
        <f t="shared" si="13"/>
        <v>-126</v>
      </c>
      <c r="AM135" s="57">
        <f t="shared" si="16"/>
        <v>-0.5</v>
      </c>
    </row>
    <row r="136" spans="2:39" ht="12" customHeight="1" x14ac:dyDescent="0.45">
      <c r="B136" s="50"/>
      <c r="C136" s="51"/>
      <c r="D136" s="42"/>
      <c r="E136" s="34"/>
      <c r="F136" s="34"/>
      <c r="G136" s="20">
        <f t="shared" si="17"/>
        <v>0</v>
      </c>
      <c r="H136" s="24">
        <f t="shared" si="18"/>
        <v>0</v>
      </c>
      <c r="I136" s="26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8"/>
      <c r="U136" s="23"/>
      <c r="V136" s="23"/>
      <c r="W136" s="17"/>
      <c r="X136" s="17"/>
      <c r="Y136" s="23"/>
      <c r="Z136" s="23"/>
      <c r="AA136" s="23"/>
      <c r="AB136" s="23"/>
      <c r="AC136" s="23"/>
      <c r="AD136" s="23"/>
      <c r="AE136" s="17"/>
      <c r="AF136" s="17"/>
      <c r="AG136" s="30"/>
      <c r="AH136" s="23"/>
      <c r="AI136" s="58" t="str">
        <f t="shared" si="12"/>
        <v/>
      </c>
      <c r="AJ136" s="57">
        <f t="shared" si="14"/>
        <v>-1</v>
      </c>
      <c r="AK136" s="57">
        <f t="shared" si="15"/>
        <v>-1</v>
      </c>
      <c r="AL136" s="57">
        <f t="shared" si="13"/>
        <v>-127</v>
      </c>
      <c r="AM136" s="57">
        <f t="shared" si="16"/>
        <v>-0.5</v>
      </c>
    </row>
    <row r="137" spans="2:39" ht="12" customHeight="1" x14ac:dyDescent="0.45">
      <c r="B137" s="50"/>
      <c r="C137" s="51"/>
      <c r="D137" s="42"/>
      <c r="E137" s="34"/>
      <c r="F137" s="34"/>
      <c r="G137" s="20">
        <f t="shared" si="17"/>
        <v>0</v>
      </c>
      <c r="H137" s="24">
        <f t="shared" si="18"/>
        <v>0</v>
      </c>
      <c r="I137" s="26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8"/>
      <c r="U137" s="23"/>
      <c r="V137" s="23"/>
      <c r="W137" s="17"/>
      <c r="X137" s="17"/>
      <c r="Y137" s="23"/>
      <c r="Z137" s="23"/>
      <c r="AA137" s="23"/>
      <c r="AB137" s="23"/>
      <c r="AC137" s="23"/>
      <c r="AD137" s="23"/>
      <c r="AE137" s="17"/>
      <c r="AF137" s="17"/>
      <c r="AG137" s="30"/>
      <c r="AH137" s="23"/>
      <c r="AI137" s="58" t="str">
        <f t="shared" si="12"/>
        <v/>
      </c>
      <c r="AJ137" s="57">
        <f t="shared" si="14"/>
        <v>-1</v>
      </c>
      <c r="AK137" s="57">
        <f t="shared" si="15"/>
        <v>-1</v>
      </c>
      <c r="AL137" s="57">
        <f t="shared" si="13"/>
        <v>-128</v>
      </c>
      <c r="AM137" s="57">
        <f t="shared" si="16"/>
        <v>-0.5</v>
      </c>
    </row>
    <row r="138" spans="2:39" ht="12" customHeight="1" x14ac:dyDescent="0.45">
      <c r="B138" s="50"/>
      <c r="C138" s="51"/>
      <c r="D138" s="42"/>
      <c r="E138" s="34"/>
      <c r="F138" s="34"/>
      <c r="G138" s="20">
        <f t="shared" si="17"/>
        <v>0</v>
      </c>
      <c r="H138" s="24">
        <f t="shared" si="18"/>
        <v>0</v>
      </c>
      <c r="I138" s="26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8"/>
      <c r="U138" s="23"/>
      <c r="V138" s="23"/>
      <c r="W138" s="17"/>
      <c r="X138" s="17"/>
      <c r="Y138" s="23"/>
      <c r="Z138" s="23"/>
      <c r="AA138" s="23"/>
      <c r="AB138" s="23"/>
      <c r="AC138" s="23"/>
      <c r="AD138" s="23"/>
      <c r="AE138" s="17"/>
      <c r="AF138" s="17"/>
      <c r="AG138" s="30"/>
      <c r="AH138" s="23"/>
      <c r="AI138" s="58" t="str">
        <f t="shared" si="12"/>
        <v/>
      </c>
      <c r="AJ138" s="57">
        <f t="shared" si="14"/>
        <v>-1</v>
      </c>
      <c r="AK138" s="57">
        <f t="shared" si="15"/>
        <v>-1</v>
      </c>
      <c r="AL138" s="57">
        <f t="shared" si="13"/>
        <v>-129</v>
      </c>
      <c r="AM138" s="57">
        <f t="shared" si="16"/>
        <v>-0.5</v>
      </c>
    </row>
    <row r="139" spans="2:39" ht="12" customHeight="1" x14ac:dyDescent="0.45">
      <c r="B139" s="1"/>
      <c r="C139" s="40"/>
      <c r="D139" s="47"/>
      <c r="E139" s="2"/>
      <c r="F139" s="2"/>
      <c r="G139" s="20">
        <f t="shared" si="17"/>
        <v>0</v>
      </c>
      <c r="H139" s="24">
        <f t="shared" si="18"/>
        <v>0</v>
      </c>
      <c r="I139" s="26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8"/>
      <c r="U139" s="23"/>
      <c r="V139" s="23"/>
      <c r="W139" s="17"/>
      <c r="X139" s="17"/>
      <c r="Y139" s="23"/>
      <c r="Z139" s="23"/>
      <c r="AA139" s="23"/>
      <c r="AB139" s="23"/>
      <c r="AC139" s="23"/>
      <c r="AD139" s="23"/>
      <c r="AE139" s="17"/>
      <c r="AF139" s="17"/>
      <c r="AG139" s="30"/>
      <c r="AH139" s="23"/>
      <c r="AI139" s="58" t="str">
        <f t="shared" si="12"/>
        <v/>
      </c>
      <c r="AJ139" s="57">
        <f t="shared" si="14"/>
        <v>-1</v>
      </c>
      <c r="AK139" s="57">
        <f t="shared" si="15"/>
        <v>-1</v>
      </c>
      <c r="AL139" s="57">
        <f t="shared" si="13"/>
        <v>-130</v>
      </c>
      <c r="AM139" s="57">
        <f t="shared" si="16"/>
        <v>-0.5</v>
      </c>
    </row>
    <row r="140" spans="2:39" ht="12" customHeight="1" x14ac:dyDescent="0.45">
      <c r="B140" s="1"/>
      <c r="C140" s="40"/>
      <c r="D140" s="47"/>
      <c r="E140" s="2"/>
      <c r="F140" s="2"/>
      <c r="G140" s="20">
        <f t="shared" si="17"/>
        <v>0</v>
      </c>
      <c r="H140" s="24">
        <f t="shared" si="18"/>
        <v>0</v>
      </c>
      <c r="I140" s="26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8"/>
      <c r="U140" s="23"/>
      <c r="V140" s="23"/>
      <c r="W140" s="17"/>
      <c r="X140" s="17"/>
      <c r="Y140" s="23"/>
      <c r="Z140" s="23"/>
      <c r="AA140" s="23"/>
      <c r="AB140" s="23"/>
      <c r="AC140" s="23"/>
      <c r="AD140" s="23"/>
      <c r="AE140" s="17"/>
      <c r="AF140" s="17"/>
      <c r="AG140" s="30"/>
      <c r="AH140" s="23"/>
      <c r="AI140" s="58" t="str">
        <f t="shared" ref="AI140:AI189" si="19">IF(E140="", "",IF(LEFT(B140, 1)="M", 0, (F140-E140+1)*0.5))</f>
        <v/>
      </c>
      <c r="AJ140" s="57">
        <f t="shared" si="14"/>
        <v>-1</v>
      </c>
      <c r="AK140" s="57">
        <f t="shared" si="15"/>
        <v>-1</v>
      </c>
      <c r="AL140" s="57">
        <f t="shared" ref="AL140:AL189" si="20">AL139-1</f>
        <v>-131</v>
      </c>
      <c r="AM140" s="57">
        <f t="shared" si="16"/>
        <v>-0.5</v>
      </c>
    </row>
    <row r="141" spans="2:39" ht="12" customHeight="1" x14ac:dyDescent="0.45">
      <c r="B141" s="1"/>
      <c r="C141" s="40"/>
      <c r="D141" s="47"/>
      <c r="E141" s="2"/>
      <c r="F141" s="2"/>
      <c r="G141" s="20">
        <f t="shared" si="17"/>
        <v>0</v>
      </c>
      <c r="H141" s="24">
        <f t="shared" si="18"/>
        <v>0</v>
      </c>
      <c r="I141" s="26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8"/>
      <c r="U141" s="23"/>
      <c r="V141" s="23"/>
      <c r="W141" s="17"/>
      <c r="X141" s="17"/>
      <c r="Y141" s="23"/>
      <c r="Z141" s="23"/>
      <c r="AA141" s="23"/>
      <c r="AB141" s="23"/>
      <c r="AC141" s="23"/>
      <c r="AD141" s="23"/>
      <c r="AE141" s="17"/>
      <c r="AF141" s="17"/>
      <c r="AG141" s="30"/>
      <c r="AH141" s="23"/>
      <c r="AI141" s="58" t="str">
        <f t="shared" si="19"/>
        <v/>
      </c>
      <c r="AJ141" s="57">
        <f t="shared" si="14"/>
        <v>-1</v>
      </c>
      <c r="AK141" s="57">
        <f t="shared" si="15"/>
        <v>-1</v>
      </c>
      <c r="AL141" s="57">
        <f t="shared" si="20"/>
        <v>-132</v>
      </c>
      <c r="AM141" s="57">
        <f t="shared" si="16"/>
        <v>-0.5</v>
      </c>
    </row>
    <row r="142" spans="2:39" ht="12" customHeight="1" x14ac:dyDescent="0.45">
      <c r="B142" s="1"/>
      <c r="C142" s="40"/>
      <c r="D142" s="47"/>
      <c r="E142" s="2"/>
      <c r="F142" s="2"/>
      <c r="G142" s="20">
        <f t="shared" si="17"/>
        <v>0</v>
      </c>
      <c r="H142" s="24">
        <f t="shared" si="18"/>
        <v>0</v>
      </c>
      <c r="I142" s="26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8"/>
      <c r="U142" s="23"/>
      <c r="V142" s="23"/>
      <c r="W142" s="17"/>
      <c r="X142" s="17"/>
      <c r="Y142" s="23"/>
      <c r="Z142" s="23"/>
      <c r="AA142" s="23"/>
      <c r="AB142" s="23"/>
      <c r="AC142" s="23"/>
      <c r="AD142" s="23"/>
      <c r="AE142" s="17"/>
      <c r="AF142" s="17"/>
      <c r="AG142" s="30"/>
      <c r="AH142" s="23"/>
      <c r="AI142" s="58" t="str">
        <f t="shared" si="19"/>
        <v/>
      </c>
      <c r="AJ142" s="57">
        <f t="shared" ref="AJ142:AJ189" si="21">IF(E142=0,-1,IF(D142="G/N",-1,IF(LEFT(B142, 1)="M",(F142*0.5),-1)))</f>
        <v>-1</v>
      </c>
      <c r="AK142" s="57">
        <f t="shared" ref="AK142:AK189" si="22">IF(D142="G/N",(F142*0.5),-1)</f>
        <v>-1</v>
      </c>
      <c r="AL142" s="57">
        <f t="shared" si="20"/>
        <v>-133</v>
      </c>
      <c r="AM142" s="57">
        <f t="shared" si="16"/>
        <v>-0.5</v>
      </c>
    </row>
    <row r="143" spans="2:39" ht="12" customHeight="1" x14ac:dyDescent="0.45">
      <c r="B143" s="1"/>
      <c r="C143" s="40"/>
      <c r="D143" s="47"/>
      <c r="E143" s="2"/>
      <c r="F143" s="2"/>
      <c r="G143" s="20">
        <f t="shared" si="17"/>
        <v>0</v>
      </c>
      <c r="H143" s="24">
        <f t="shared" si="18"/>
        <v>0</v>
      </c>
      <c r="I143" s="26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8"/>
      <c r="U143" s="23"/>
      <c r="V143" s="23"/>
      <c r="W143" s="17"/>
      <c r="X143" s="17"/>
      <c r="Y143" s="23"/>
      <c r="Z143" s="23"/>
      <c r="AA143" s="23"/>
      <c r="AB143" s="23"/>
      <c r="AC143" s="23"/>
      <c r="AD143" s="23"/>
      <c r="AE143" s="17"/>
      <c r="AF143" s="17"/>
      <c r="AG143" s="30"/>
      <c r="AH143" s="23"/>
      <c r="AI143" s="58" t="str">
        <f t="shared" si="19"/>
        <v/>
      </c>
      <c r="AJ143" s="57">
        <f t="shared" si="21"/>
        <v>-1</v>
      </c>
      <c r="AK143" s="57">
        <f t="shared" si="22"/>
        <v>-1</v>
      </c>
      <c r="AL143" s="57">
        <f t="shared" si="20"/>
        <v>-134</v>
      </c>
      <c r="AM143" s="57">
        <f t="shared" ref="AM143:AM189" si="23">(E143-1)*0.5</f>
        <v>-0.5</v>
      </c>
    </row>
    <row r="144" spans="2:39" ht="12" customHeight="1" x14ac:dyDescent="0.45">
      <c r="B144" s="1"/>
      <c r="C144" s="40"/>
      <c r="D144" s="47"/>
      <c r="E144" s="2"/>
      <c r="F144" s="2"/>
      <c r="G144" s="20">
        <f t="shared" si="17"/>
        <v>0</v>
      </c>
      <c r="H144" s="24">
        <f t="shared" si="18"/>
        <v>0</v>
      </c>
      <c r="I144" s="26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8"/>
      <c r="U144" s="23"/>
      <c r="V144" s="23"/>
      <c r="W144" s="17"/>
      <c r="X144" s="17"/>
      <c r="Y144" s="23"/>
      <c r="Z144" s="23"/>
      <c r="AA144" s="23"/>
      <c r="AB144" s="23"/>
      <c r="AC144" s="23"/>
      <c r="AD144" s="23"/>
      <c r="AE144" s="17"/>
      <c r="AF144" s="17"/>
      <c r="AG144" s="30"/>
      <c r="AH144" s="23"/>
      <c r="AI144" s="58" t="str">
        <f t="shared" si="19"/>
        <v/>
      </c>
      <c r="AJ144" s="57">
        <f t="shared" si="21"/>
        <v>-1</v>
      </c>
      <c r="AK144" s="57">
        <f t="shared" si="22"/>
        <v>-1</v>
      </c>
      <c r="AL144" s="57">
        <f t="shared" si="20"/>
        <v>-135</v>
      </c>
      <c r="AM144" s="57">
        <f t="shared" si="23"/>
        <v>-0.5</v>
      </c>
    </row>
    <row r="145" spans="2:39" ht="12" customHeight="1" x14ac:dyDescent="0.45">
      <c r="B145" s="1"/>
      <c r="C145" s="40"/>
      <c r="D145" s="47"/>
      <c r="E145" s="2"/>
      <c r="F145" s="2"/>
      <c r="G145" s="20">
        <f t="shared" si="17"/>
        <v>0</v>
      </c>
      <c r="H145" s="24">
        <f t="shared" si="18"/>
        <v>0</v>
      </c>
      <c r="I145" s="26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8"/>
      <c r="U145" s="23"/>
      <c r="V145" s="23"/>
      <c r="W145" s="17"/>
      <c r="X145" s="17"/>
      <c r="Y145" s="23"/>
      <c r="Z145" s="23"/>
      <c r="AA145" s="23"/>
      <c r="AB145" s="23"/>
      <c r="AC145" s="23"/>
      <c r="AD145" s="23"/>
      <c r="AE145" s="17"/>
      <c r="AF145" s="17"/>
      <c r="AG145" s="30"/>
      <c r="AH145" s="23"/>
      <c r="AI145" s="58" t="str">
        <f t="shared" si="19"/>
        <v/>
      </c>
      <c r="AJ145" s="57">
        <f t="shared" si="21"/>
        <v>-1</v>
      </c>
      <c r="AK145" s="57">
        <f t="shared" si="22"/>
        <v>-1</v>
      </c>
      <c r="AL145" s="57">
        <f t="shared" si="20"/>
        <v>-136</v>
      </c>
      <c r="AM145" s="57">
        <f t="shared" si="23"/>
        <v>-0.5</v>
      </c>
    </row>
    <row r="146" spans="2:39" ht="12" customHeight="1" x14ac:dyDescent="0.45">
      <c r="B146" s="1"/>
      <c r="C146" s="40"/>
      <c r="D146" s="47"/>
      <c r="E146" s="2"/>
      <c r="F146" s="2"/>
      <c r="G146" s="20">
        <f t="shared" si="17"/>
        <v>0</v>
      </c>
      <c r="H146" s="24">
        <f t="shared" si="18"/>
        <v>0</v>
      </c>
      <c r="I146" s="26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8"/>
      <c r="U146" s="23"/>
      <c r="V146" s="23"/>
      <c r="W146" s="17"/>
      <c r="X146" s="17"/>
      <c r="Y146" s="23"/>
      <c r="Z146" s="23"/>
      <c r="AA146" s="23"/>
      <c r="AB146" s="23"/>
      <c r="AC146" s="23"/>
      <c r="AD146" s="23"/>
      <c r="AE146" s="17"/>
      <c r="AF146" s="17"/>
      <c r="AG146" s="30"/>
      <c r="AH146" s="23"/>
      <c r="AI146" s="58" t="str">
        <f t="shared" si="19"/>
        <v/>
      </c>
      <c r="AJ146" s="57">
        <f t="shared" si="21"/>
        <v>-1</v>
      </c>
      <c r="AK146" s="57">
        <f t="shared" si="22"/>
        <v>-1</v>
      </c>
      <c r="AL146" s="57">
        <f t="shared" si="20"/>
        <v>-137</v>
      </c>
      <c r="AM146" s="57">
        <f t="shared" si="23"/>
        <v>-0.5</v>
      </c>
    </row>
    <row r="147" spans="2:39" ht="12" customHeight="1" x14ac:dyDescent="0.45">
      <c r="B147" s="1"/>
      <c r="C147" s="40"/>
      <c r="D147" s="47"/>
      <c r="E147" s="2"/>
      <c r="F147" s="2"/>
      <c r="G147" s="20">
        <f t="shared" si="17"/>
        <v>0</v>
      </c>
      <c r="H147" s="24">
        <f t="shared" si="18"/>
        <v>0</v>
      </c>
      <c r="I147" s="26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8"/>
      <c r="U147" s="23"/>
      <c r="V147" s="23"/>
      <c r="W147" s="17"/>
      <c r="X147" s="17"/>
      <c r="Y147" s="23"/>
      <c r="Z147" s="23"/>
      <c r="AA147" s="23"/>
      <c r="AB147" s="23"/>
      <c r="AC147" s="23"/>
      <c r="AD147" s="23"/>
      <c r="AE147" s="17"/>
      <c r="AF147" s="17"/>
      <c r="AG147" s="30"/>
      <c r="AH147" s="23"/>
      <c r="AI147" s="58" t="str">
        <f t="shared" si="19"/>
        <v/>
      </c>
      <c r="AJ147" s="57">
        <f t="shared" si="21"/>
        <v>-1</v>
      </c>
      <c r="AK147" s="57">
        <f t="shared" si="22"/>
        <v>-1</v>
      </c>
      <c r="AL147" s="57">
        <f t="shared" si="20"/>
        <v>-138</v>
      </c>
      <c r="AM147" s="57">
        <f t="shared" si="23"/>
        <v>-0.5</v>
      </c>
    </row>
    <row r="148" spans="2:39" ht="12" customHeight="1" x14ac:dyDescent="0.45">
      <c r="B148" s="1"/>
      <c r="C148" s="40"/>
      <c r="D148" s="47"/>
      <c r="E148" s="2"/>
      <c r="F148" s="2"/>
      <c r="G148" s="20">
        <f t="shared" si="17"/>
        <v>0</v>
      </c>
      <c r="H148" s="24">
        <f t="shared" si="18"/>
        <v>0</v>
      </c>
      <c r="I148" s="26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8"/>
      <c r="U148" s="23"/>
      <c r="V148" s="23"/>
      <c r="W148" s="17"/>
      <c r="X148" s="17"/>
      <c r="Y148" s="23"/>
      <c r="Z148" s="23"/>
      <c r="AA148" s="23"/>
      <c r="AB148" s="23"/>
      <c r="AC148" s="23"/>
      <c r="AD148" s="23"/>
      <c r="AE148" s="17"/>
      <c r="AF148" s="17"/>
      <c r="AG148" s="30"/>
      <c r="AH148" s="23"/>
      <c r="AI148" s="58" t="str">
        <f t="shared" si="19"/>
        <v/>
      </c>
      <c r="AJ148" s="57">
        <f t="shared" si="21"/>
        <v>-1</v>
      </c>
      <c r="AK148" s="57">
        <f t="shared" si="22"/>
        <v>-1</v>
      </c>
      <c r="AL148" s="57">
        <f t="shared" si="20"/>
        <v>-139</v>
      </c>
      <c r="AM148" s="57">
        <f t="shared" si="23"/>
        <v>-0.5</v>
      </c>
    </row>
    <row r="149" spans="2:39" ht="12" customHeight="1" x14ac:dyDescent="0.45">
      <c r="B149" s="1"/>
      <c r="C149" s="40"/>
      <c r="D149" s="47"/>
      <c r="E149" s="2"/>
      <c r="F149" s="2"/>
      <c r="G149" s="20">
        <f t="shared" si="17"/>
        <v>0</v>
      </c>
      <c r="H149" s="24">
        <f t="shared" si="18"/>
        <v>0</v>
      </c>
      <c r="I149" s="26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8"/>
      <c r="U149" s="23"/>
      <c r="V149" s="23"/>
      <c r="W149" s="17"/>
      <c r="X149" s="17"/>
      <c r="Y149" s="23"/>
      <c r="Z149" s="23"/>
      <c r="AA149" s="23"/>
      <c r="AB149" s="23"/>
      <c r="AC149" s="23"/>
      <c r="AD149" s="23"/>
      <c r="AE149" s="17"/>
      <c r="AF149" s="17"/>
      <c r="AG149" s="30"/>
      <c r="AH149" s="23"/>
      <c r="AI149" s="58" t="str">
        <f t="shared" si="19"/>
        <v/>
      </c>
      <c r="AJ149" s="57">
        <f t="shared" si="21"/>
        <v>-1</v>
      </c>
      <c r="AK149" s="57">
        <f t="shared" si="22"/>
        <v>-1</v>
      </c>
      <c r="AL149" s="57">
        <f t="shared" si="20"/>
        <v>-140</v>
      </c>
      <c r="AM149" s="57">
        <f t="shared" si="23"/>
        <v>-0.5</v>
      </c>
    </row>
    <row r="150" spans="2:39" ht="12" customHeight="1" x14ac:dyDescent="0.45">
      <c r="B150" s="1"/>
      <c r="C150" s="40"/>
      <c r="D150" s="47"/>
      <c r="E150" s="2"/>
      <c r="F150" s="2"/>
      <c r="G150" s="20">
        <f t="shared" si="17"/>
        <v>0</v>
      </c>
      <c r="H150" s="24">
        <f t="shared" si="18"/>
        <v>0</v>
      </c>
      <c r="I150" s="26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8"/>
      <c r="U150" s="23"/>
      <c r="V150" s="23"/>
      <c r="W150" s="17"/>
      <c r="X150" s="17"/>
      <c r="Y150" s="23"/>
      <c r="Z150" s="23"/>
      <c r="AA150" s="23"/>
      <c r="AB150" s="23"/>
      <c r="AC150" s="23"/>
      <c r="AD150" s="23"/>
      <c r="AE150" s="17"/>
      <c r="AF150" s="17"/>
      <c r="AG150" s="30"/>
      <c r="AH150" s="23"/>
      <c r="AI150" s="58" t="str">
        <f t="shared" si="19"/>
        <v/>
      </c>
      <c r="AJ150" s="57">
        <f t="shared" si="21"/>
        <v>-1</v>
      </c>
      <c r="AK150" s="57">
        <f t="shared" si="22"/>
        <v>-1</v>
      </c>
      <c r="AL150" s="57">
        <f t="shared" si="20"/>
        <v>-141</v>
      </c>
      <c r="AM150" s="57">
        <f t="shared" si="23"/>
        <v>-0.5</v>
      </c>
    </row>
    <row r="151" spans="2:39" ht="12" customHeight="1" x14ac:dyDescent="0.45">
      <c r="B151" s="1"/>
      <c r="C151" s="40"/>
      <c r="D151" s="47"/>
      <c r="E151" s="2"/>
      <c r="F151" s="2"/>
      <c r="G151" s="20">
        <f t="shared" si="17"/>
        <v>0</v>
      </c>
      <c r="H151" s="24">
        <f t="shared" si="18"/>
        <v>0</v>
      </c>
      <c r="I151" s="26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8"/>
      <c r="U151" s="23"/>
      <c r="V151" s="23"/>
      <c r="W151" s="17"/>
      <c r="X151" s="17"/>
      <c r="Y151" s="23"/>
      <c r="Z151" s="23"/>
      <c r="AA151" s="23"/>
      <c r="AB151" s="23"/>
      <c r="AC151" s="23"/>
      <c r="AD151" s="23"/>
      <c r="AE151" s="17"/>
      <c r="AF151" s="17"/>
      <c r="AG151" s="30"/>
      <c r="AH151" s="23"/>
      <c r="AI151" s="58" t="str">
        <f t="shared" si="19"/>
        <v/>
      </c>
      <c r="AJ151" s="57">
        <f t="shared" si="21"/>
        <v>-1</v>
      </c>
      <c r="AK151" s="57">
        <f t="shared" si="22"/>
        <v>-1</v>
      </c>
      <c r="AL151" s="57">
        <f t="shared" si="20"/>
        <v>-142</v>
      </c>
      <c r="AM151" s="57">
        <f t="shared" si="23"/>
        <v>-0.5</v>
      </c>
    </row>
    <row r="152" spans="2:39" ht="12" customHeight="1" x14ac:dyDescent="0.45">
      <c r="B152" s="1"/>
      <c r="C152" s="40"/>
      <c r="D152" s="47"/>
      <c r="E152" s="2"/>
      <c r="F152" s="2"/>
      <c r="G152" s="20">
        <f t="shared" si="17"/>
        <v>0</v>
      </c>
      <c r="H152" s="24">
        <f t="shared" si="18"/>
        <v>0</v>
      </c>
      <c r="I152" s="26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8"/>
      <c r="U152" s="23"/>
      <c r="V152" s="23"/>
      <c r="W152" s="17"/>
      <c r="X152" s="17"/>
      <c r="Y152" s="23"/>
      <c r="Z152" s="23"/>
      <c r="AA152" s="23"/>
      <c r="AB152" s="23"/>
      <c r="AC152" s="23"/>
      <c r="AD152" s="23"/>
      <c r="AE152" s="17"/>
      <c r="AF152" s="17"/>
      <c r="AG152" s="30"/>
      <c r="AH152" s="23"/>
      <c r="AI152" s="58" t="str">
        <f t="shared" si="19"/>
        <v/>
      </c>
      <c r="AJ152" s="57">
        <f t="shared" si="21"/>
        <v>-1</v>
      </c>
      <c r="AK152" s="57">
        <f t="shared" si="22"/>
        <v>-1</v>
      </c>
      <c r="AL152" s="57">
        <f t="shared" si="20"/>
        <v>-143</v>
      </c>
      <c r="AM152" s="57">
        <f t="shared" si="23"/>
        <v>-0.5</v>
      </c>
    </row>
    <row r="153" spans="2:39" ht="12" customHeight="1" x14ac:dyDescent="0.45">
      <c r="B153" s="1"/>
      <c r="C153" s="40"/>
      <c r="D153" s="47"/>
      <c r="E153" s="2"/>
      <c r="F153" s="2"/>
      <c r="G153" s="20">
        <f t="shared" si="17"/>
        <v>0</v>
      </c>
      <c r="H153" s="24">
        <f t="shared" si="18"/>
        <v>0</v>
      </c>
      <c r="I153" s="26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8"/>
      <c r="U153" s="23"/>
      <c r="V153" s="23"/>
      <c r="W153" s="17"/>
      <c r="X153" s="17"/>
      <c r="Y153" s="23"/>
      <c r="Z153" s="23"/>
      <c r="AA153" s="23"/>
      <c r="AB153" s="23"/>
      <c r="AC153" s="23"/>
      <c r="AD153" s="23"/>
      <c r="AE153" s="17"/>
      <c r="AF153" s="17"/>
      <c r="AG153" s="30"/>
      <c r="AH153" s="23"/>
      <c r="AI153" s="58" t="str">
        <f t="shared" si="19"/>
        <v/>
      </c>
      <c r="AJ153" s="57">
        <f t="shared" si="21"/>
        <v>-1</v>
      </c>
      <c r="AK153" s="57">
        <f t="shared" si="22"/>
        <v>-1</v>
      </c>
      <c r="AL153" s="57">
        <f t="shared" si="20"/>
        <v>-144</v>
      </c>
      <c r="AM153" s="57">
        <f t="shared" si="23"/>
        <v>-0.5</v>
      </c>
    </row>
    <row r="154" spans="2:39" ht="12" customHeight="1" x14ac:dyDescent="0.45">
      <c r="B154" s="1"/>
      <c r="C154" s="40"/>
      <c r="D154" s="47"/>
      <c r="E154" s="2"/>
      <c r="F154" s="2"/>
      <c r="G154" s="20">
        <f t="shared" si="17"/>
        <v>0</v>
      </c>
      <c r="H154" s="24">
        <f t="shared" si="18"/>
        <v>0</v>
      </c>
      <c r="I154" s="26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8"/>
      <c r="U154" s="23"/>
      <c r="V154" s="23"/>
      <c r="W154" s="17"/>
      <c r="X154" s="17"/>
      <c r="Y154" s="23"/>
      <c r="Z154" s="23"/>
      <c r="AA154" s="23"/>
      <c r="AB154" s="23"/>
      <c r="AC154" s="23"/>
      <c r="AD154" s="23"/>
      <c r="AE154" s="17"/>
      <c r="AF154" s="17"/>
      <c r="AG154" s="30"/>
      <c r="AH154" s="23"/>
      <c r="AI154" s="58" t="str">
        <f t="shared" si="19"/>
        <v/>
      </c>
      <c r="AJ154" s="57">
        <f t="shared" si="21"/>
        <v>-1</v>
      </c>
      <c r="AK154" s="57">
        <f t="shared" si="22"/>
        <v>-1</v>
      </c>
      <c r="AL154" s="57">
        <f t="shared" si="20"/>
        <v>-145</v>
      </c>
      <c r="AM154" s="57">
        <f t="shared" si="23"/>
        <v>-0.5</v>
      </c>
    </row>
    <row r="155" spans="2:39" ht="12" customHeight="1" x14ac:dyDescent="0.45">
      <c r="B155" s="1"/>
      <c r="C155" s="40"/>
      <c r="D155" s="47"/>
      <c r="E155" s="2"/>
      <c r="F155" s="2"/>
      <c r="G155" s="20">
        <f t="shared" si="17"/>
        <v>0</v>
      </c>
      <c r="H155" s="24">
        <f t="shared" si="18"/>
        <v>0</v>
      </c>
      <c r="I155" s="26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8"/>
      <c r="U155" s="23"/>
      <c r="V155" s="23"/>
      <c r="W155" s="17"/>
      <c r="X155" s="17"/>
      <c r="Y155" s="23"/>
      <c r="Z155" s="23"/>
      <c r="AA155" s="23"/>
      <c r="AB155" s="23"/>
      <c r="AC155" s="23"/>
      <c r="AD155" s="23"/>
      <c r="AE155" s="17"/>
      <c r="AF155" s="17"/>
      <c r="AG155" s="30"/>
      <c r="AH155" s="23"/>
      <c r="AI155" s="58" t="str">
        <f t="shared" si="19"/>
        <v/>
      </c>
      <c r="AJ155" s="57">
        <f t="shared" si="21"/>
        <v>-1</v>
      </c>
      <c r="AK155" s="57">
        <f t="shared" si="22"/>
        <v>-1</v>
      </c>
      <c r="AL155" s="57">
        <f t="shared" si="20"/>
        <v>-146</v>
      </c>
      <c r="AM155" s="57">
        <f t="shared" si="23"/>
        <v>-0.5</v>
      </c>
    </row>
    <row r="156" spans="2:39" ht="12" customHeight="1" x14ac:dyDescent="0.45">
      <c r="B156" s="1"/>
      <c r="C156" s="40"/>
      <c r="D156" s="47"/>
      <c r="E156" s="2"/>
      <c r="F156" s="2"/>
      <c r="G156" s="20">
        <f t="shared" si="17"/>
        <v>0</v>
      </c>
      <c r="H156" s="24">
        <f t="shared" si="18"/>
        <v>0</v>
      </c>
      <c r="I156" s="26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8"/>
      <c r="U156" s="23"/>
      <c r="V156" s="23"/>
      <c r="W156" s="17"/>
      <c r="X156" s="17"/>
      <c r="Y156" s="23"/>
      <c r="Z156" s="23"/>
      <c r="AA156" s="23"/>
      <c r="AB156" s="23"/>
      <c r="AC156" s="23"/>
      <c r="AD156" s="23"/>
      <c r="AE156" s="17"/>
      <c r="AF156" s="17"/>
      <c r="AG156" s="30"/>
      <c r="AH156" s="23"/>
      <c r="AI156" s="58" t="str">
        <f t="shared" si="19"/>
        <v/>
      </c>
      <c r="AJ156" s="57">
        <f t="shared" si="21"/>
        <v>-1</v>
      </c>
      <c r="AK156" s="57">
        <f t="shared" si="22"/>
        <v>-1</v>
      </c>
      <c r="AL156" s="57">
        <f t="shared" si="20"/>
        <v>-147</v>
      </c>
      <c r="AM156" s="57">
        <f t="shared" si="23"/>
        <v>-0.5</v>
      </c>
    </row>
    <row r="157" spans="2:39" ht="12" customHeight="1" x14ac:dyDescent="0.45">
      <c r="B157" s="1"/>
      <c r="C157" s="40"/>
      <c r="D157" s="47"/>
      <c r="E157" s="2"/>
      <c r="F157" s="2"/>
      <c r="G157" s="20">
        <f t="shared" si="17"/>
        <v>0</v>
      </c>
      <c r="H157" s="24">
        <f t="shared" si="18"/>
        <v>0</v>
      </c>
      <c r="I157" s="26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8"/>
      <c r="U157" s="23"/>
      <c r="V157" s="23"/>
      <c r="W157" s="17"/>
      <c r="X157" s="17"/>
      <c r="Y157" s="23"/>
      <c r="Z157" s="23"/>
      <c r="AA157" s="23"/>
      <c r="AB157" s="23"/>
      <c r="AC157" s="23"/>
      <c r="AD157" s="23"/>
      <c r="AE157" s="17"/>
      <c r="AF157" s="17"/>
      <c r="AG157" s="30"/>
      <c r="AH157" s="23"/>
      <c r="AI157" s="58" t="str">
        <f t="shared" si="19"/>
        <v/>
      </c>
      <c r="AJ157" s="57">
        <f t="shared" si="21"/>
        <v>-1</v>
      </c>
      <c r="AK157" s="57">
        <f t="shared" si="22"/>
        <v>-1</v>
      </c>
      <c r="AL157" s="57">
        <f t="shared" si="20"/>
        <v>-148</v>
      </c>
      <c r="AM157" s="57">
        <f t="shared" si="23"/>
        <v>-0.5</v>
      </c>
    </row>
    <row r="158" spans="2:39" ht="12" customHeight="1" x14ac:dyDescent="0.45">
      <c r="B158" s="1"/>
      <c r="C158" s="40"/>
      <c r="D158" s="47"/>
      <c r="E158" s="2"/>
      <c r="F158" s="2"/>
      <c r="G158" s="20">
        <f t="shared" si="17"/>
        <v>0</v>
      </c>
      <c r="H158" s="24">
        <f t="shared" si="18"/>
        <v>0</v>
      </c>
      <c r="I158" s="26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8"/>
      <c r="U158" s="23"/>
      <c r="V158" s="23"/>
      <c r="W158" s="17"/>
      <c r="X158" s="17"/>
      <c r="Y158" s="23"/>
      <c r="Z158" s="23"/>
      <c r="AA158" s="23"/>
      <c r="AB158" s="23"/>
      <c r="AC158" s="23"/>
      <c r="AD158" s="23"/>
      <c r="AE158" s="17"/>
      <c r="AF158" s="17"/>
      <c r="AG158" s="30"/>
      <c r="AH158" s="23"/>
      <c r="AI158" s="58" t="str">
        <f t="shared" si="19"/>
        <v/>
      </c>
      <c r="AJ158" s="57">
        <f t="shared" si="21"/>
        <v>-1</v>
      </c>
      <c r="AK158" s="57">
        <f t="shared" si="22"/>
        <v>-1</v>
      </c>
      <c r="AL158" s="57">
        <f t="shared" si="20"/>
        <v>-149</v>
      </c>
      <c r="AM158" s="57">
        <f t="shared" si="23"/>
        <v>-0.5</v>
      </c>
    </row>
    <row r="159" spans="2:39" ht="12" customHeight="1" x14ac:dyDescent="0.45">
      <c r="B159" s="1"/>
      <c r="C159" s="40"/>
      <c r="D159" s="47"/>
      <c r="E159" s="2"/>
      <c r="F159" s="2"/>
      <c r="G159" s="20">
        <f t="shared" si="17"/>
        <v>0</v>
      </c>
      <c r="H159" s="24">
        <f t="shared" si="18"/>
        <v>0</v>
      </c>
      <c r="I159" s="26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8"/>
      <c r="U159" s="23"/>
      <c r="V159" s="23"/>
      <c r="W159" s="17"/>
      <c r="X159" s="17"/>
      <c r="Y159" s="23"/>
      <c r="Z159" s="23"/>
      <c r="AA159" s="23"/>
      <c r="AB159" s="23"/>
      <c r="AC159" s="23"/>
      <c r="AD159" s="23"/>
      <c r="AE159" s="17"/>
      <c r="AF159" s="17"/>
      <c r="AG159" s="30"/>
      <c r="AH159" s="23"/>
      <c r="AI159" s="58" t="str">
        <f t="shared" si="19"/>
        <v/>
      </c>
      <c r="AJ159" s="57">
        <f t="shared" si="21"/>
        <v>-1</v>
      </c>
      <c r="AK159" s="57">
        <f t="shared" si="22"/>
        <v>-1</v>
      </c>
      <c r="AL159" s="57">
        <f t="shared" si="20"/>
        <v>-150</v>
      </c>
      <c r="AM159" s="57">
        <f t="shared" si="23"/>
        <v>-0.5</v>
      </c>
    </row>
    <row r="160" spans="2:39" ht="12" customHeight="1" x14ac:dyDescent="0.45">
      <c r="B160" s="50"/>
      <c r="C160" s="51"/>
      <c r="D160" s="60"/>
      <c r="E160" s="61"/>
      <c r="F160" s="62"/>
      <c r="G160" s="20">
        <f t="shared" si="17"/>
        <v>0</v>
      </c>
      <c r="H160" s="24">
        <f t="shared" si="18"/>
        <v>0</v>
      </c>
      <c r="I160" s="26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8"/>
      <c r="U160" s="23"/>
      <c r="V160" s="23"/>
      <c r="W160" s="17"/>
      <c r="X160" s="17"/>
      <c r="Y160" s="23"/>
      <c r="Z160" s="23"/>
      <c r="AA160" s="23"/>
      <c r="AB160" s="23"/>
      <c r="AC160" s="23"/>
      <c r="AD160" s="23"/>
      <c r="AE160" s="17"/>
      <c r="AF160" s="17"/>
      <c r="AG160" s="30"/>
      <c r="AH160" s="23"/>
      <c r="AI160" s="58" t="str">
        <f t="shared" si="19"/>
        <v/>
      </c>
      <c r="AJ160" s="57">
        <f t="shared" si="21"/>
        <v>-1</v>
      </c>
      <c r="AK160" s="57">
        <f t="shared" si="22"/>
        <v>-1</v>
      </c>
      <c r="AL160" s="57">
        <f t="shared" si="20"/>
        <v>-151</v>
      </c>
      <c r="AM160" s="57">
        <f t="shared" si="23"/>
        <v>-0.5</v>
      </c>
    </row>
    <row r="161" spans="2:39" ht="12" customHeight="1" x14ac:dyDescent="0.45">
      <c r="B161" s="50"/>
      <c r="C161" s="51"/>
      <c r="D161" s="42"/>
      <c r="E161" s="34"/>
      <c r="F161" s="41"/>
      <c r="G161" s="20">
        <f t="shared" si="17"/>
        <v>0</v>
      </c>
      <c r="H161" s="24">
        <f t="shared" si="18"/>
        <v>0</v>
      </c>
      <c r="I161" s="26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8"/>
      <c r="U161" s="23"/>
      <c r="V161" s="23"/>
      <c r="W161" s="17"/>
      <c r="X161" s="17"/>
      <c r="Y161" s="23"/>
      <c r="Z161" s="23"/>
      <c r="AA161" s="23"/>
      <c r="AB161" s="23"/>
      <c r="AC161" s="23"/>
      <c r="AD161" s="23"/>
      <c r="AE161" s="17"/>
      <c r="AF161" s="17"/>
      <c r="AG161" s="30"/>
      <c r="AH161" s="23"/>
      <c r="AI161" s="58" t="str">
        <f t="shared" si="19"/>
        <v/>
      </c>
      <c r="AJ161" s="57">
        <f t="shared" si="21"/>
        <v>-1</v>
      </c>
      <c r="AK161" s="57">
        <f t="shared" si="22"/>
        <v>-1</v>
      </c>
      <c r="AL161" s="57">
        <f t="shared" si="20"/>
        <v>-152</v>
      </c>
      <c r="AM161" s="57">
        <f t="shared" si="23"/>
        <v>-0.5</v>
      </c>
    </row>
    <row r="162" spans="2:39" ht="12" customHeight="1" x14ac:dyDescent="0.45">
      <c r="B162" s="50"/>
      <c r="C162" s="51"/>
      <c r="D162" s="42"/>
      <c r="E162" s="34"/>
      <c r="F162" s="41"/>
      <c r="G162" s="20">
        <f t="shared" si="17"/>
        <v>0</v>
      </c>
      <c r="H162" s="24">
        <f t="shared" si="18"/>
        <v>0</v>
      </c>
      <c r="I162" s="26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8"/>
      <c r="U162" s="23"/>
      <c r="V162" s="23"/>
      <c r="W162" s="17"/>
      <c r="X162" s="17"/>
      <c r="Y162" s="23"/>
      <c r="Z162" s="23"/>
      <c r="AA162" s="23"/>
      <c r="AB162" s="23"/>
      <c r="AC162" s="23"/>
      <c r="AD162" s="23"/>
      <c r="AE162" s="17"/>
      <c r="AF162" s="17"/>
      <c r="AG162" s="30"/>
      <c r="AH162" s="23"/>
      <c r="AI162" s="58" t="str">
        <f t="shared" si="19"/>
        <v/>
      </c>
      <c r="AJ162" s="57">
        <f t="shared" si="21"/>
        <v>-1</v>
      </c>
      <c r="AK162" s="57">
        <f t="shared" si="22"/>
        <v>-1</v>
      </c>
      <c r="AL162" s="57">
        <f t="shared" si="20"/>
        <v>-153</v>
      </c>
      <c r="AM162" s="57">
        <f t="shared" si="23"/>
        <v>-0.5</v>
      </c>
    </row>
    <row r="163" spans="2:39" ht="12" customHeight="1" x14ac:dyDescent="0.45">
      <c r="B163" s="50"/>
      <c r="C163" s="51"/>
      <c r="D163" s="42"/>
      <c r="E163" s="34"/>
      <c r="F163" s="34"/>
      <c r="G163" s="20">
        <f t="shared" si="17"/>
        <v>0</v>
      </c>
      <c r="H163" s="24">
        <f t="shared" si="18"/>
        <v>0</v>
      </c>
      <c r="I163" s="26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8"/>
      <c r="U163" s="23"/>
      <c r="V163" s="23"/>
      <c r="W163" s="17"/>
      <c r="X163" s="17"/>
      <c r="Y163" s="23"/>
      <c r="Z163" s="23"/>
      <c r="AA163" s="23"/>
      <c r="AB163" s="23"/>
      <c r="AC163" s="23"/>
      <c r="AD163" s="23"/>
      <c r="AE163" s="17"/>
      <c r="AF163" s="17"/>
      <c r="AG163" s="30"/>
      <c r="AH163" s="23"/>
      <c r="AI163" s="58" t="str">
        <f t="shared" si="19"/>
        <v/>
      </c>
      <c r="AJ163" s="57">
        <f t="shared" si="21"/>
        <v>-1</v>
      </c>
      <c r="AK163" s="57">
        <f t="shared" si="22"/>
        <v>-1</v>
      </c>
      <c r="AL163" s="57">
        <f t="shared" si="20"/>
        <v>-154</v>
      </c>
      <c r="AM163" s="57">
        <f t="shared" si="23"/>
        <v>-0.5</v>
      </c>
    </row>
    <row r="164" spans="2:39" ht="12" customHeight="1" x14ac:dyDescent="0.45">
      <c r="B164" s="50"/>
      <c r="C164" s="51"/>
      <c r="D164" s="42"/>
      <c r="E164" s="34"/>
      <c r="F164" s="34"/>
      <c r="G164" s="20">
        <f t="shared" si="17"/>
        <v>0</v>
      </c>
      <c r="H164" s="24">
        <f t="shared" si="18"/>
        <v>0</v>
      </c>
      <c r="I164" s="26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8"/>
      <c r="U164" s="23"/>
      <c r="V164" s="23"/>
      <c r="W164" s="17"/>
      <c r="X164" s="17"/>
      <c r="Y164" s="23"/>
      <c r="Z164" s="23"/>
      <c r="AA164" s="23"/>
      <c r="AB164" s="23"/>
      <c r="AC164" s="23"/>
      <c r="AD164" s="23"/>
      <c r="AE164" s="17"/>
      <c r="AF164" s="17"/>
      <c r="AG164" s="30"/>
      <c r="AH164" s="23"/>
      <c r="AI164" s="58" t="str">
        <f t="shared" si="19"/>
        <v/>
      </c>
      <c r="AJ164" s="57">
        <f t="shared" si="21"/>
        <v>-1</v>
      </c>
      <c r="AK164" s="57">
        <f t="shared" si="22"/>
        <v>-1</v>
      </c>
      <c r="AL164" s="57">
        <f t="shared" si="20"/>
        <v>-155</v>
      </c>
      <c r="AM164" s="57">
        <f t="shared" si="23"/>
        <v>-0.5</v>
      </c>
    </row>
    <row r="165" spans="2:39" ht="12" customHeight="1" x14ac:dyDescent="0.45">
      <c r="B165" s="50"/>
      <c r="C165" s="51"/>
      <c r="D165" s="42"/>
      <c r="E165" s="34"/>
      <c r="F165" s="34"/>
      <c r="G165" s="20">
        <f t="shared" si="17"/>
        <v>0</v>
      </c>
      <c r="H165" s="24">
        <f t="shared" si="18"/>
        <v>0</v>
      </c>
      <c r="I165" s="26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8"/>
      <c r="U165" s="23"/>
      <c r="V165" s="23"/>
      <c r="W165" s="17"/>
      <c r="X165" s="17"/>
      <c r="Y165" s="23"/>
      <c r="Z165" s="23"/>
      <c r="AA165" s="23"/>
      <c r="AB165" s="23"/>
      <c r="AC165" s="23"/>
      <c r="AD165" s="23"/>
      <c r="AE165" s="17"/>
      <c r="AF165" s="17"/>
      <c r="AG165" s="30"/>
      <c r="AH165" s="23"/>
      <c r="AI165" s="58" t="str">
        <f t="shared" si="19"/>
        <v/>
      </c>
      <c r="AJ165" s="57">
        <f t="shared" si="21"/>
        <v>-1</v>
      </c>
      <c r="AK165" s="57">
        <f t="shared" si="22"/>
        <v>-1</v>
      </c>
      <c r="AL165" s="57">
        <f t="shared" si="20"/>
        <v>-156</v>
      </c>
      <c r="AM165" s="57">
        <f t="shared" si="23"/>
        <v>-0.5</v>
      </c>
    </row>
    <row r="166" spans="2:39" ht="12" customHeight="1" x14ac:dyDescent="0.45">
      <c r="B166" s="50"/>
      <c r="C166" s="51"/>
      <c r="D166" s="42"/>
      <c r="E166" s="34"/>
      <c r="F166" s="34"/>
      <c r="G166" s="20">
        <f t="shared" si="17"/>
        <v>0</v>
      </c>
      <c r="H166" s="24">
        <f t="shared" si="18"/>
        <v>0</v>
      </c>
      <c r="I166" s="26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8"/>
      <c r="U166" s="23"/>
      <c r="V166" s="23"/>
      <c r="W166" s="17"/>
      <c r="X166" s="17"/>
      <c r="Y166" s="23"/>
      <c r="Z166" s="23"/>
      <c r="AA166" s="23"/>
      <c r="AB166" s="23"/>
      <c r="AC166" s="23"/>
      <c r="AD166" s="23"/>
      <c r="AE166" s="17"/>
      <c r="AF166" s="17"/>
      <c r="AG166" s="30"/>
      <c r="AH166" s="23"/>
      <c r="AI166" s="58" t="str">
        <f t="shared" si="19"/>
        <v/>
      </c>
      <c r="AJ166" s="57">
        <f t="shared" si="21"/>
        <v>-1</v>
      </c>
      <c r="AK166" s="57">
        <f t="shared" si="22"/>
        <v>-1</v>
      </c>
      <c r="AL166" s="57">
        <f t="shared" si="20"/>
        <v>-157</v>
      </c>
      <c r="AM166" s="57">
        <f t="shared" si="23"/>
        <v>-0.5</v>
      </c>
    </row>
    <row r="167" spans="2:39" ht="12" customHeight="1" x14ac:dyDescent="0.45">
      <c r="B167" s="50"/>
      <c r="C167" s="51"/>
      <c r="D167" s="42"/>
      <c r="E167" s="34"/>
      <c r="F167" s="34"/>
      <c r="G167" s="20">
        <f t="shared" si="17"/>
        <v>0</v>
      </c>
      <c r="H167" s="24">
        <f t="shared" si="18"/>
        <v>0</v>
      </c>
      <c r="I167" s="26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8"/>
      <c r="U167" s="23"/>
      <c r="V167" s="23"/>
      <c r="W167" s="17"/>
      <c r="X167" s="17"/>
      <c r="Y167" s="23"/>
      <c r="Z167" s="23"/>
      <c r="AA167" s="23"/>
      <c r="AB167" s="23"/>
      <c r="AC167" s="23"/>
      <c r="AD167" s="23"/>
      <c r="AE167" s="17"/>
      <c r="AF167" s="17"/>
      <c r="AG167" s="30"/>
      <c r="AH167" s="23"/>
      <c r="AI167" s="58" t="str">
        <f t="shared" si="19"/>
        <v/>
      </c>
      <c r="AJ167" s="57">
        <f t="shared" si="21"/>
        <v>-1</v>
      </c>
      <c r="AK167" s="57">
        <f t="shared" si="22"/>
        <v>-1</v>
      </c>
      <c r="AL167" s="57">
        <f t="shared" si="20"/>
        <v>-158</v>
      </c>
      <c r="AM167" s="57">
        <f t="shared" si="23"/>
        <v>-0.5</v>
      </c>
    </row>
    <row r="168" spans="2:39" ht="12" customHeight="1" x14ac:dyDescent="0.45">
      <c r="B168" s="1"/>
      <c r="C168" s="40"/>
      <c r="D168" s="47"/>
      <c r="E168" s="2"/>
      <c r="F168" s="2"/>
      <c r="G168" s="20">
        <f t="shared" si="17"/>
        <v>0</v>
      </c>
      <c r="H168" s="24">
        <f t="shared" si="18"/>
        <v>0</v>
      </c>
      <c r="I168" s="26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8"/>
      <c r="U168" s="23"/>
      <c r="V168" s="23"/>
      <c r="W168" s="17"/>
      <c r="X168" s="17"/>
      <c r="Y168" s="23"/>
      <c r="Z168" s="23"/>
      <c r="AA168" s="23"/>
      <c r="AB168" s="23"/>
      <c r="AC168" s="23"/>
      <c r="AD168" s="23"/>
      <c r="AE168" s="17"/>
      <c r="AF168" s="17"/>
      <c r="AG168" s="30"/>
      <c r="AH168" s="23"/>
      <c r="AI168" s="58" t="str">
        <f t="shared" si="19"/>
        <v/>
      </c>
      <c r="AJ168" s="57">
        <f t="shared" si="21"/>
        <v>-1</v>
      </c>
      <c r="AK168" s="57">
        <f t="shared" si="22"/>
        <v>-1</v>
      </c>
      <c r="AL168" s="57">
        <f t="shared" si="20"/>
        <v>-159</v>
      </c>
      <c r="AM168" s="57">
        <f t="shared" si="23"/>
        <v>-0.5</v>
      </c>
    </row>
    <row r="169" spans="2:39" ht="12" customHeight="1" x14ac:dyDescent="0.45">
      <c r="B169" s="50"/>
      <c r="C169" s="51"/>
      <c r="D169" s="60"/>
      <c r="E169" s="61"/>
      <c r="F169" s="62"/>
      <c r="G169" s="20">
        <f t="shared" si="17"/>
        <v>0</v>
      </c>
      <c r="H169" s="24">
        <f t="shared" si="18"/>
        <v>0</v>
      </c>
      <c r="I169" s="26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8"/>
      <c r="U169" s="23"/>
      <c r="V169" s="23"/>
      <c r="W169" s="17"/>
      <c r="X169" s="17"/>
      <c r="Y169" s="23"/>
      <c r="Z169" s="23"/>
      <c r="AA169" s="23"/>
      <c r="AB169" s="23"/>
      <c r="AC169" s="23"/>
      <c r="AD169" s="23"/>
      <c r="AE169" s="17"/>
      <c r="AF169" s="17"/>
      <c r="AG169" s="30"/>
      <c r="AH169" s="23"/>
      <c r="AI169" s="58" t="str">
        <f t="shared" si="19"/>
        <v/>
      </c>
      <c r="AJ169" s="57">
        <f t="shared" si="21"/>
        <v>-1</v>
      </c>
      <c r="AK169" s="57">
        <f t="shared" si="22"/>
        <v>-1</v>
      </c>
      <c r="AL169" s="57">
        <f t="shared" si="20"/>
        <v>-160</v>
      </c>
      <c r="AM169" s="57">
        <f t="shared" si="23"/>
        <v>-0.5</v>
      </c>
    </row>
    <row r="170" spans="2:39" ht="12" customHeight="1" x14ac:dyDescent="0.45">
      <c r="B170" s="50"/>
      <c r="C170" s="51"/>
      <c r="D170" s="42"/>
      <c r="E170" s="34"/>
      <c r="F170" s="41"/>
      <c r="G170" s="20">
        <f t="shared" si="17"/>
        <v>0</v>
      </c>
      <c r="H170" s="24">
        <f t="shared" si="18"/>
        <v>0</v>
      </c>
      <c r="I170" s="26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8"/>
      <c r="U170" s="23"/>
      <c r="V170" s="23"/>
      <c r="W170" s="17"/>
      <c r="X170" s="17"/>
      <c r="Y170" s="23"/>
      <c r="Z170" s="23"/>
      <c r="AA170" s="23"/>
      <c r="AB170" s="23"/>
      <c r="AC170" s="23"/>
      <c r="AD170" s="23"/>
      <c r="AE170" s="17"/>
      <c r="AF170" s="17"/>
      <c r="AG170" s="30"/>
      <c r="AH170" s="23"/>
      <c r="AI170" s="58" t="str">
        <f t="shared" si="19"/>
        <v/>
      </c>
      <c r="AJ170" s="57">
        <f t="shared" si="21"/>
        <v>-1</v>
      </c>
      <c r="AK170" s="57">
        <f t="shared" si="22"/>
        <v>-1</v>
      </c>
      <c r="AL170" s="57">
        <f t="shared" si="20"/>
        <v>-161</v>
      </c>
      <c r="AM170" s="57">
        <f t="shared" si="23"/>
        <v>-0.5</v>
      </c>
    </row>
    <row r="171" spans="2:39" ht="12" customHeight="1" x14ac:dyDescent="0.45">
      <c r="B171" s="50"/>
      <c r="C171" s="51"/>
      <c r="D171" s="42"/>
      <c r="E171" s="34"/>
      <c r="F171" s="41"/>
      <c r="G171" s="20">
        <f t="shared" si="17"/>
        <v>0</v>
      </c>
      <c r="H171" s="24">
        <f t="shared" si="18"/>
        <v>0</v>
      </c>
      <c r="I171" s="26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8"/>
      <c r="U171" s="23"/>
      <c r="V171" s="23"/>
      <c r="W171" s="17"/>
      <c r="X171" s="17"/>
      <c r="Y171" s="23"/>
      <c r="Z171" s="23"/>
      <c r="AA171" s="23"/>
      <c r="AB171" s="23"/>
      <c r="AC171" s="23"/>
      <c r="AD171" s="23"/>
      <c r="AE171" s="17"/>
      <c r="AF171" s="17"/>
      <c r="AG171" s="30"/>
      <c r="AH171" s="23"/>
      <c r="AI171" s="58" t="str">
        <f t="shared" si="19"/>
        <v/>
      </c>
      <c r="AJ171" s="57">
        <f t="shared" si="21"/>
        <v>-1</v>
      </c>
      <c r="AK171" s="57">
        <f t="shared" si="22"/>
        <v>-1</v>
      </c>
      <c r="AL171" s="57">
        <f t="shared" si="20"/>
        <v>-162</v>
      </c>
      <c r="AM171" s="57">
        <f t="shared" si="23"/>
        <v>-0.5</v>
      </c>
    </row>
    <row r="172" spans="2:39" ht="12" customHeight="1" x14ac:dyDescent="0.45">
      <c r="B172" s="50"/>
      <c r="C172" s="51"/>
      <c r="D172" s="42"/>
      <c r="E172" s="34"/>
      <c r="F172" s="34"/>
      <c r="G172" s="20">
        <f t="shared" si="17"/>
        <v>0</v>
      </c>
      <c r="H172" s="24">
        <f t="shared" si="18"/>
        <v>0</v>
      </c>
      <c r="I172" s="26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8"/>
      <c r="U172" s="23"/>
      <c r="V172" s="23"/>
      <c r="W172" s="17"/>
      <c r="X172" s="17"/>
      <c r="Y172" s="23"/>
      <c r="Z172" s="23"/>
      <c r="AA172" s="23"/>
      <c r="AB172" s="23"/>
      <c r="AC172" s="23"/>
      <c r="AD172" s="23"/>
      <c r="AE172" s="17"/>
      <c r="AF172" s="17"/>
      <c r="AG172" s="30"/>
      <c r="AH172" s="23"/>
      <c r="AI172" s="58" t="str">
        <f t="shared" si="19"/>
        <v/>
      </c>
      <c r="AJ172" s="57">
        <f t="shared" si="21"/>
        <v>-1</v>
      </c>
      <c r="AK172" s="57">
        <f t="shared" si="22"/>
        <v>-1</v>
      </c>
      <c r="AL172" s="57">
        <f t="shared" si="20"/>
        <v>-163</v>
      </c>
      <c r="AM172" s="57">
        <f t="shared" si="23"/>
        <v>-0.5</v>
      </c>
    </row>
    <row r="173" spans="2:39" ht="12" customHeight="1" x14ac:dyDescent="0.45">
      <c r="B173" s="50"/>
      <c r="C173" s="51"/>
      <c r="D173" s="42"/>
      <c r="E173" s="34"/>
      <c r="F173" s="34"/>
      <c r="G173" s="20">
        <f t="shared" si="17"/>
        <v>0</v>
      </c>
      <c r="H173" s="24">
        <f t="shared" si="18"/>
        <v>0</v>
      </c>
      <c r="I173" s="26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8"/>
      <c r="U173" s="23"/>
      <c r="V173" s="23"/>
      <c r="W173" s="17"/>
      <c r="X173" s="17"/>
      <c r="Y173" s="23"/>
      <c r="Z173" s="23"/>
      <c r="AA173" s="23"/>
      <c r="AB173" s="23"/>
      <c r="AC173" s="23"/>
      <c r="AD173" s="23"/>
      <c r="AE173" s="17"/>
      <c r="AF173" s="17"/>
      <c r="AG173" s="30"/>
      <c r="AH173" s="23"/>
      <c r="AI173" s="58" t="str">
        <f t="shared" si="19"/>
        <v/>
      </c>
      <c r="AJ173" s="57">
        <f t="shared" si="21"/>
        <v>-1</v>
      </c>
      <c r="AK173" s="57">
        <f t="shared" si="22"/>
        <v>-1</v>
      </c>
      <c r="AL173" s="57">
        <f t="shared" si="20"/>
        <v>-164</v>
      </c>
      <c r="AM173" s="57">
        <f t="shared" si="23"/>
        <v>-0.5</v>
      </c>
    </row>
    <row r="174" spans="2:39" ht="12" customHeight="1" x14ac:dyDescent="0.45">
      <c r="B174" s="50"/>
      <c r="C174" s="51"/>
      <c r="D174" s="42"/>
      <c r="E174" s="34"/>
      <c r="F174" s="34"/>
      <c r="G174" s="20">
        <f t="shared" si="17"/>
        <v>0</v>
      </c>
      <c r="H174" s="24">
        <f t="shared" si="18"/>
        <v>0</v>
      </c>
      <c r="I174" s="26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8"/>
      <c r="U174" s="23"/>
      <c r="V174" s="23"/>
      <c r="W174" s="17"/>
      <c r="X174" s="17"/>
      <c r="Y174" s="23"/>
      <c r="Z174" s="23"/>
      <c r="AA174" s="23"/>
      <c r="AB174" s="23"/>
      <c r="AC174" s="23"/>
      <c r="AD174" s="23"/>
      <c r="AE174" s="17"/>
      <c r="AF174" s="17"/>
      <c r="AG174" s="30"/>
      <c r="AH174" s="23"/>
      <c r="AI174" s="58" t="str">
        <f t="shared" si="19"/>
        <v/>
      </c>
      <c r="AJ174" s="57">
        <f t="shared" si="21"/>
        <v>-1</v>
      </c>
      <c r="AK174" s="57">
        <f t="shared" si="22"/>
        <v>-1</v>
      </c>
      <c r="AL174" s="57">
        <f t="shared" si="20"/>
        <v>-165</v>
      </c>
      <c r="AM174" s="57">
        <f t="shared" si="23"/>
        <v>-0.5</v>
      </c>
    </row>
    <row r="175" spans="2:39" ht="12" customHeight="1" x14ac:dyDescent="0.45">
      <c r="B175" s="50"/>
      <c r="C175" s="51"/>
      <c r="D175" s="42"/>
      <c r="E175" s="34"/>
      <c r="F175" s="34"/>
      <c r="G175" s="20">
        <f t="shared" si="17"/>
        <v>0</v>
      </c>
      <c r="H175" s="24">
        <f t="shared" si="18"/>
        <v>0</v>
      </c>
      <c r="I175" s="26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8"/>
      <c r="U175" s="23"/>
      <c r="V175" s="23"/>
      <c r="W175" s="17"/>
      <c r="X175" s="17"/>
      <c r="Y175" s="23"/>
      <c r="Z175" s="23"/>
      <c r="AA175" s="23"/>
      <c r="AB175" s="23"/>
      <c r="AC175" s="23"/>
      <c r="AD175" s="23"/>
      <c r="AE175" s="17"/>
      <c r="AF175" s="17"/>
      <c r="AG175" s="30"/>
      <c r="AH175" s="23"/>
      <c r="AI175" s="58" t="str">
        <f t="shared" si="19"/>
        <v/>
      </c>
      <c r="AJ175" s="57">
        <f t="shared" si="21"/>
        <v>-1</v>
      </c>
      <c r="AK175" s="57">
        <f t="shared" si="22"/>
        <v>-1</v>
      </c>
      <c r="AL175" s="57">
        <f t="shared" si="20"/>
        <v>-166</v>
      </c>
      <c r="AM175" s="57">
        <f t="shared" si="23"/>
        <v>-0.5</v>
      </c>
    </row>
    <row r="176" spans="2:39" ht="12" customHeight="1" x14ac:dyDescent="0.45">
      <c r="B176" s="50"/>
      <c r="C176" s="51"/>
      <c r="D176" s="42"/>
      <c r="E176" s="34"/>
      <c r="F176" s="34"/>
      <c r="G176" s="20">
        <f t="shared" si="17"/>
        <v>0</v>
      </c>
      <c r="H176" s="24">
        <f t="shared" si="18"/>
        <v>0</v>
      </c>
      <c r="I176" s="26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8"/>
      <c r="U176" s="23"/>
      <c r="V176" s="23"/>
      <c r="W176" s="17"/>
      <c r="X176" s="17"/>
      <c r="Y176" s="23"/>
      <c r="Z176" s="23"/>
      <c r="AA176" s="23"/>
      <c r="AB176" s="23"/>
      <c r="AC176" s="23"/>
      <c r="AD176" s="23"/>
      <c r="AE176" s="17"/>
      <c r="AF176" s="17"/>
      <c r="AG176" s="30"/>
      <c r="AH176" s="23"/>
      <c r="AI176" s="58" t="str">
        <f t="shared" si="19"/>
        <v/>
      </c>
      <c r="AJ176" s="57">
        <f t="shared" si="21"/>
        <v>-1</v>
      </c>
      <c r="AK176" s="57">
        <f t="shared" si="22"/>
        <v>-1</v>
      </c>
      <c r="AL176" s="57">
        <f t="shared" si="20"/>
        <v>-167</v>
      </c>
      <c r="AM176" s="57">
        <f t="shared" si="23"/>
        <v>-0.5</v>
      </c>
    </row>
    <row r="177" spans="2:39" ht="12" customHeight="1" x14ac:dyDescent="0.45">
      <c r="B177" s="50"/>
      <c r="C177" s="51"/>
      <c r="D177" s="42"/>
      <c r="E177" s="34"/>
      <c r="F177" s="34"/>
      <c r="G177" s="20">
        <f t="shared" si="17"/>
        <v>0</v>
      </c>
      <c r="H177" s="24">
        <f t="shared" si="18"/>
        <v>0</v>
      </c>
      <c r="I177" s="26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8"/>
      <c r="U177" s="23"/>
      <c r="V177" s="23"/>
      <c r="W177" s="17"/>
      <c r="X177" s="17"/>
      <c r="Y177" s="23"/>
      <c r="Z177" s="23"/>
      <c r="AA177" s="23"/>
      <c r="AB177" s="23"/>
      <c r="AC177" s="23"/>
      <c r="AD177" s="23"/>
      <c r="AE177" s="17"/>
      <c r="AF177" s="17"/>
      <c r="AG177" s="30"/>
      <c r="AH177" s="23"/>
      <c r="AI177" s="58" t="str">
        <f t="shared" si="19"/>
        <v/>
      </c>
      <c r="AJ177" s="57">
        <f t="shared" si="21"/>
        <v>-1</v>
      </c>
      <c r="AK177" s="57">
        <f t="shared" si="22"/>
        <v>-1</v>
      </c>
      <c r="AL177" s="57">
        <f t="shared" si="20"/>
        <v>-168</v>
      </c>
      <c r="AM177" s="57">
        <f t="shared" si="23"/>
        <v>-0.5</v>
      </c>
    </row>
    <row r="178" spans="2:39" ht="12" customHeight="1" x14ac:dyDescent="0.45">
      <c r="B178" s="50"/>
      <c r="C178" s="51"/>
      <c r="D178" s="42"/>
      <c r="E178" s="34"/>
      <c r="F178" s="34"/>
      <c r="G178" s="20">
        <f t="shared" si="17"/>
        <v>0</v>
      </c>
      <c r="H178" s="24">
        <f t="shared" si="18"/>
        <v>0</v>
      </c>
      <c r="I178" s="26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8"/>
      <c r="U178" s="23"/>
      <c r="V178" s="23"/>
      <c r="W178" s="17"/>
      <c r="X178" s="17"/>
      <c r="Y178" s="23"/>
      <c r="Z178" s="23"/>
      <c r="AA178" s="23"/>
      <c r="AB178" s="23"/>
      <c r="AC178" s="23"/>
      <c r="AD178" s="23"/>
      <c r="AE178" s="17"/>
      <c r="AF178" s="17"/>
      <c r="AG178" s="30"/>
      <c r="AH178" s="23"/>
      <c r="AI178" s="58" t="str">
        <f t="shared" si="19"/>
        <v/>
      </c>
      <c r="AJ178" s="57">
        <f t="shared" si="21"/>
        <v>-1</v>
      </c>
      <c r="AK178" s="57">
        <f t="shared" si="22"/>
        <v>-1</v>
      </c>
      <c r="AL178" s="57">
        <f t="shared" si="20"/>
        <v>-169</v>
      </c>
      <c r="AM178" s="57">
        <f t="shared" si="23"/>
        <v>-0.5</v>
      </c>
    </row>
    <row r="179" spans="2:39" ht="12" customHeight="1" x14ac:dyDescent="0.45">
      <c r="B179" s="50"/>
      <c r="C179" s="51"/>
      <c r="D179" s="60"/>
      <c r="E179" s="61"/>
      <c r="F179" s="62"/>
      <c r="G179" s="20">
        <f t="shared" si="17"/>
        <v>0</v>
      </c>
      <c r="H179" s="24">
        <f t="shared" si="18"/>
        <v>0</v>
      </c>
      <c r="I179" s="26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8"/>
      <c r="U179" s="23"/>
      <c r="V179" s="23"/>
      <c r="W179" s="17"/>
      <c r="X179" s="17"/>
      <c r="Y179" s="23"/>
      <c r="Z179" s="23"/>
      <c r="AA179" s="23"/>
      <c r="AB179" s="23"/>
      <c r="AC179" s="23"/>
      <c r="AD179" s="23"/>
      <c r="AE179" s="17"/>
      <c r="AF179" s="17"/>
      <c r="AG179" s="30"/>
      <c r="AH179" s="23"/>
      <c r="AI179" s="58" t="str">
        <f t="shared" si="19"/>
        <v/>
      </c>
      <c r="AJ179" s="57">
        <f t="shared" si="21"/>
        <v>-1</v>
      </c>
      <c r="AK179" s="57">
        <f t="shared" si="22"/>
        <v>-1</v>
      </c>
      <c r="AL179" s="57">
        <f t="shared" si="20"/>
        <v>-170</v>
      </c>
      <c r="AM179" s="57">
        <f t="shared" si="23"/>
        <v>-0.5</v>
      </c>
    </row>
    <row r="180" spans="2:39" ht="12" customHeight="1" x14ac:dyDescent="0.45">
      <c r="B180" s="50"/>
      <c r="C180" s="51"/>
      <c r="D180" s="60"/>
      <c r="E180" s="61"/>
      <c r="F180" s="62"/>
      <c r="G180" s="20">
        <f t="shared" si="17"/>
        <v>0</v>
      </c>
      <c r="H180" s="24">
        <f t="shared" si="18"/>
        <v>0</v>
      </c>
      <c r="I180" s="26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8"/>
      <c r="U180" s="23"/>
      <c r="V180" s="23"/>
      <c r="W180" s="17"/>
      <c r="X180" s="17"/>
      <c r="Y180" s="23"/>
      <c r="Z180" s="23"/>
      <c r="AA180" s="23"/>
      <c r="AB180" s="23"/>
      <c r="AC180" s="23"/>
      <c r="AD180" s="23"/>
      <c r="AE180" s="17"/>
      <c r="AF180" s="17"/>
      <c r="AG180" s="30"/>
      <c r="AH180" s="23"/>
      <c r="AI180" s="58" t="str">
        <f t="shared" si="19"/>
        <v/>
      </c>
      <c r="AJ180" s="57">
        <f t="shared" si="21"/>
        <v>-1</v>
      </c>
      <c r="AK180" s="57">
        <f t="shared" si="22"/>
        <v>-1</v>
      </c>
      <c r="AL180" s="57">
        <f t="shared" si="20"/>
        <v>-171</v>
      </c>
      <c r="AM180" s="57">
        <f t="shared" si="23"/>
        <v>-0.5</v>
      </c>
    </row>
    <row r="181" spans="2:39" ht="12" customHeight="1" x14ac:dyDescent="0.45">
      <c r="B181" s="50"/>
      <c r="C181" s="51"/>
      <c r="D181" s="42"/>
      <c r="E181" s="34"/>
      <c r="F181" s="41"/>
      <c r="G181" s="20">
        <f t="shared" si="17"/>
        <v>0</v>
      </c>
      <c r="H181" s="24">
        <f t="shared" si="18"/>
        <v>0</v>
      </c>
      <c r="I181" s="26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8"/>
      <c r="U181" s="23"/>
      <c r="V181" s="23"/>
      <c r="W181" s="17"/>
      <c r="X181" s="17"/>
      <c r="Y181" s="23"/>
      <c r="Z181" s="23"/>
      <c r="AA181" s="23"/>
      <c r="AB181" s="23"/>
      <c r="AC181" s="23"/>
      <c r="AD181" s="23"/>
      <c r="AE181" s="17"/>
      <c r="AF181" s="17"/>
      <c r="AG181" s="30"/>
      <c r="AH181" s="23"/>
      <c r="AI181" s="58" t="str">
        <f t="shared" si="19"/>
        <v/>
      </c>
      <c r="AJ181" s="57">
        <f t="shared" si="21"/>
        <v>-1</v>
      </c>
      <c r="AK181" s="57">
        <f t="shared" si="22"/>
        <v>-1</v>
      </c>
      <c r="AL181" s="57">
        <f t="shared" si="20"/>
        <v>-172</v>
      </c>
      <c r="AM181" s="57">
        <f t="shared" si="23"/>
        <v>-0.5</v>
      </c>
    </row>
    <row r="182" spans="2:39" ht="12" customHeight="1" x14ac:dyDescent="0.45">
      <c r="B182" s="50"/>
      <c r="C182" s="51"/>
      <c r="D182" s="42"/>
      <c r="E182" s="34"/>
      <c r="F182" s="41"/>
      <c r="G182" s="20">
        <f t="shared" si="17"/>
        <v>0</v>
      </c>
      <c r="H182" s="24">
        <f t="shared" si="18"/>
        <v>0</v>
      </c>
      <c r="I182" s="26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8"/>
      <c r="U182" s="23"/>
      <c r="V182" s="23"/>
      <c r="W182" s="17"/>
      <c r="X182" s="17"/>
      <c r="Y182" s="23"/>
      <c r="Z182" s="23"/>
      <c r="AA182" s="23"/>
      <c r="AB182" s="23"/>
      <c r="AC182" s="23"/>
      <c r="AD182" s="23"/>
      <c r="AE182" s="17"/>
      <c r="AF182" s="17"/>
      <c r="AG182" s="30"/>
      <c r="AH182" s="23"/>
      <c r="AI182" s="58" t="str">
        <f t="shared" si="19"/>
        <v/>
      </c>
      <c r="AJ182" s="57">
        <f t="shared" si="21"/>
        <v>-1</v>
      </c>
      <c r="AK182" s="57">
        <f t="shared" si="22"/>
        <v>-1</v>
      </c>
      <c r="AL182" s="57">
        <f t="shared" si="20"/>
        <v>-173</v>
      </c>
      <c r="AM182" s="57">
        <f t="shared" si="23"/>
        <v>-0.5</v>
      </c>
    </row>
    <row r="183" spans="2:39" ht="12" customHeight="1" x14ac:dyDescent="0.45">
      <c r="B183" s="50"/>
      <c r="C183" s="51"/>
      <c r="D183" s="42"/>
      <c r="E183" s="34"/>
      <c r="F183" s="34"/>
      <c r="G183" s="20">
        <f t="shared" si="17"/>
        <v>0</v>
      </c>
      <c r="H183" s="24">
        <f t="shared" si="18"/>
        <v>0</v>
      </c>
      <c r="I183" s="26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8"/>
      <c r="U183" s="23"/>
      <c r="V183" s="23"/>
      <c r="W183" s="17"/>
      <c r="X183" s="17"/>
      <c r="Y183" s="23"/>
      <c r="Z183" s="23"/>
      <c r="AA183" s="23"/>
      <c r="AB183" s="23"/>
      <c r="AC183" s="23"/>
      <c r="AD183" s="23"/>
      <c r="AE183" s="17"/>
      <c r="AF183" s="17"/>
      <c r="AG183" s="30"/>
      <c r="AH183" s="23"/>
      <c r="AI183" s="58" t="str">
        <f t="shared" si="19"/>
        <v/>
      </c>
      <c r="AJ183" s="57">
        <f t="shared" si="21"/>
        <v>-1</v>
      </c>
      <c r="AK183" s="57">
        <f t="shared" si="22"/>
        <v>-1</v>
      </c>
      <c r="AL183" s="57">
        <f t="shared" si="20"/>
        <v>-174</v>
      </c>
      <c r="AM183" s="57">
        <f t="shared" si="23"/>
        <v>-0.5</v>
      </c>
    </row>
    <row r="184" spans="2:39" ht="12" customHeight="1" x14ac:dyDescent="0.45">
      <c r="B184" s="50"/>
      <c r="C184" s="51"/>
      <c r="D184" s="42"/>
      <c r="E184" s="34"/>
      <c r="F184" s="34"/>
      <c r="G184" s="20">
        <f t="shared" si="17"/>
        <v>0</v>
      </c>
      <c r="H184" s="24">
        <f t="shared" si="18"/>
        <v>0</v>
      </c>
      <c r="I184" s="26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8"/>
      <c r="U184" s="23"/>
      <c r="V184" s="23"/>
      <c r="W184" s="17"/>
      <c r="X184" s="17"/>
      <c r="Y184" s="23"/>
      <c r="Z184" s="23"/>
      <c r="AA184" s="23"/>
      <c r="AB184" s="23"/>
      <c r="AC184" s="23"/>
      <c r="AD184" s="23"/>
      <c r="AE184" s="17"/>
      <c r="AF184" s="17"/>
      <c r="AG184" s="30"/>
      <c r="AH184" s="23"/>
      <c r="AI184" s="58" t="str">
        <f t="shared" si="19"/>
        <v/>
      </c>
      <c r="AJ184" s="57">
        <f t="shared" si="21"/>
        <v>-1</v>
      </c>
      <c r="AK184" s="57">
        <f t="shared" si="22"/>
        <v>-1</v>
      </c>
      <c r="AL184" s="57">
        <f t="shared" si="20"/>
        <v>-175</v>
      </c>
      <c r="AM184" s="57">
        <f t="shared" si="23"/>
        <v>-0.5</v>
      </c>
    </row>
    <row r="185" spans="2:39" ht="12" customHeight="1" x14ac:dyDescent="0.45">
      <c r="B185" s="50"/>
      <c r="C185" s="51"/>
      <c r="D185" s="42"/>
      <c r="E185" s="34"/>
      <c r="F185" s="34"/>
      <c r="G185" s="20">
        <f t="shared" si="17"/>
        <v>0</v>
      </c>
      <c r="H185" s="24">
        <f t="shared" si="18"/>
        <v>0</v>
      </c>
      <c r="I185" s="26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8"/>
      <c r="U185" s="23"/>
      <c r="V185" s="23"/>
      <c r="W185" s="17"/>
      <c r="X185" s="17"/>
      <c r="Y185" s="23"/>
      <c r="Z185" s="23"/>
      <c r="AA185" s="23"/>
      <c r="AB185" s="23"/>
      <c r="AC185" s="23"/>
      <c r="AD185" s="23"/>
      <c r="AE185" s="17"/>
      <c r="AF185" s="17"/>
      <c r="AG185" s="30"/>
      <c r="AH185" s="23"/>
      <c r="AI185" s="58" t="str">
        <f t="shared" si="19"/>
        <v/>
      </c>
      <c r="AJ185" s="57">
        <f t="shared" si="21"/>
        <v>-1</v>
      </c>
      <c r="AK185" s="57">
        <f t="shared" si="22"/>
        <v>-1</v>
      </c>
      <c r="AL185" s="57">
        <f t="shared" si="20"/>
        <v>-176</v>
      </c>
      <c r="AM185" s="57">
        <f t="shared" si="23"/>
        <v>-0.5</v>
      </c>
    </row>
    <row r="186" spans="2:39" ht="12" customHeight="1" x14ac:dyDescent="0.45">
      <c r="B186" s="50"/>
      <c r="C186" s="51"/>
      <c r="D186" s="42"/>
      <c r="E186" s="34"/>
      <c r="F186" s="34"/>
      <c r="G186" s="20">
        <f t="shared" ref="G186:G189" si="24">EDATE($C$3,E186*3)</f>
        <v>0</v>
      </c>
      <c r="H186" s="24">
        <f t="shared" ref="H186:H189" si="25">EDATE($C$3,F186*3)-IF(E186=F186,0,1)</f>
        <v>0</v>
      </c>
      <c r="I186" s="26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8"/>
      <c r="U186" s="23"/>
      <c r="V186" s="23"/>
      <c r="W186" s="17"/>
      <c r="X186" s="17"/>
      <c r="Y186" s="23"/>
      <c r="Z186" s="23"/>
      <c r="AA186" s="23"/>
      <c r="AB186" s="23"/>
      <c r="AC186" s="23"/>
      <c r="AD186" s="23"/>
      <c r="AE186" s="17"/>
      <c r="AF186" s="17"/>
      <c r="AG186" s="30"/>
      <c r="AH186" s="23"/>
      <c r="AI186" s="58" t="str">
        <f t="shared" si="19"/>
        <v/>
      </c>
      <c r="AJ186" s="57">
        <f t="shared" si="21"/>
        <v>-1</v>
      </c>
      <c r="AK186" s="57">
        <f t="shared" si="22"/>
        <v>-1</v>
      </c>
      <c r="AL186" s="57">
        <f t="shared" si="20"/>
        <v>-177</v>
      </c>
      <c r="AM186" s="57">
        <f t="shared" si="23"/>
        <v>-0.5</v>
      </c>
    </row>
    <row r="187" spans="2:39" ht="12" customHeight="1" x14ac:dyDescent="0.45">
      <c r="B187" s="50"/>
      <c r="C187" s="51"/>
      <c r="D187" s="42"/>
      <c r="E187" s="34"/>
      <c r="F187" s="34"/>
      <c r="G187" s="20">
        <f t="shared" si="24"/>
        <v>0</v>
      </c>
      <c r="H187" s="24">
        <f t="shared" si="25"/>
        <v>0</v>
      </c>
      <c r="I187" s="26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8"/>
      <c r="U187" s="23"/>
      <c r="V187" s="23"/>
      <c r="W187" s="17"/>
      <c r="X187" s="17"/>
      <c r="Y187" s="23"/>
      <c r="Z187" s="23"/>
      <c r="AA187" s="23"/>
      <c r="AB187" s="23"/>
      <c r="AC187" s="23"/>
      <c r="AD187" s="23"/>
      <c r="AE187" s="17"/>
      <c r="AF187" s="17"/>
      <c r="AG187" s="30"/>
      <c r="AH187" s="23"/>
      <c r="AI187" s="58" t="str">
        <f t="shared" si="19"/>
        <v/>
      </c>
      <c r="AJ187" s="57">
        <f t="shared" si="21"/>
        <v>-1</v>
      </c>
      <c r="AK187" s="57">
        <f t="shared" si="22"/>
        <v>-1</v>
      </c>
      <c r="AL187" s="57">
        <f t="shared" si="20"/>
        <v>-178</v>
      </c>
      <c r="AM187" s="57">
        <f t="shared" si="23"/>
        <v>-0.5</v>
      </c>
    </row>
    <row r="188" spans="2:39" ht="12" customHeight="1" x14ac:dyDescent="0.45">
      <c r="B188" s="50"/>
      <c r="C188" s="51"/>
      <c r="D188" s="42"/>
      <c r="E188" s="34"/>
      <c r="F188" s="34"/>
      <c r="G188" s="20">
        <f t="shared" si="24"/>
        <v>0</v>
      </c>
      <c r="H188" s="24">
        <f t="shared" si="25"/>
        <v>0</v>
      </c>
      <c r="I188" s="26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8"/>
      <c r="U188" s="23"/>
      <c r="V188" s="23"/>
      <c r="W188" s="17"/>
      <c r="X188" s="17"/>
      <c r="Y188" s="23"/>
      <c r="Z188" s="23"/>
      <c r="AA188" s="23"/>
      <c r="AB188" s="23"/>
      <c r="AC188" s="23"/>
      <c r="AD188" s="23"/>
      <c r="AE188" s="17"/>
      <c r="AF188" s="17"/>
      <c r="AG188" s="30"/>
      <c r="AH188" s="23"/>
      <c r="AI188" s="58" t="str">
        <f t="shared" si="19"/>
        <v/>
      </c>
      <c r="AJ188" s="57">
        <f t="shared" si="21"/>
        <v>-1</v>
      </c>
      <c r="AK188" s="57">
        <f t="shared" si="22"/>
        <v>-1</v>
      </c>
      <c r="AL188" s="57">
        <f t="shared" si="20"/>
        <v>-179</v>
      </c>
      <c r="AM188" s="57">
        <f t="shared" si="23"/>
        <v>-0.5</v>
      </c>
    </row>
    <row r="189" spans="2:39" ht="12" customHeight="1" x14ac:dyDescent="0.45">
      <c r="B189" s="50"/>
      <c r="C189" s="51"/>
      <c r="D189" s="42"/>
      <c r="E189" s="34"/>
      <c r="F189" s="34"/>
      <c r="G189" s="20">
        <f t="shared" si="24"/>
        <v>0</v>
      </c>
      <c r="H189" s="24">
        <f t="shared" si="25"/>
        <v>0</v>
      </c>
      <c r="I189" s="26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8"/>
      <c r="U189" s="23"/>
      <c r="V189" s="23"/>
      <c r="W189" s="17"/>
      <c r="X189" s="17"/>
      <c r="Y189" s="23"/>
      <c r="Z189" s="23"/>
      <c r="AA189" s="23"/>
      <c r="AB189" s="23"/>
      <c r="AC189" s="23"/>
      <c r="AD189" s="23"/>
      <c r="AE189" s="17"/>
      <c r="AF189" s="17"/>
      <c r="AG189" s="30"/>
      <c r="AH189" s="23"/>
      <c r="AI189" s="58" t="str">
        <f t="shared" si="19"/>
        <v/>
      </c>
      <c r="AJ189" s="57">
        <f t="shared" si="21"/>
        <v>-1</v>
      </c>
      <c r="AK189" s="57">
        <f t="shared" si="22"/>
        <v>-1</v>
      </c>
      <c r="AL189" s="57">
        <f t="shared" si="20"/>
        <v>-180</v>
      </c>
      <c r="AM189" s="57">
        <f t="shared" si="23"/>
        <v>-0.5</v>
      </c>
    </row>
    <row r="190" spans="2:39" ht="12" customHeight="1" x14ac:dyDescent="0.4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59"/>
      <c r="AL190" s="57"/>
    </row>
    <row r="191" spans="2:39" ht="12" customHeight="1" x14ac:dyDescent="0.4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59"/>
      <c r="AL191" s="57"/>
    </row>
    <row r="192" spans="2:39" ht="12" customHeight="1" x14ac:dyDescent="0.4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59"/>
      <c r="AL192" s="57"/>
    </row>
    <row r="193" spans="3:38" ht="12" customHeight="1" x14ac:dyDescent="0.4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59"/>
      <c r="AL193" s="57"/>
    </row>
    <row r="194" spans="3:38" ht="12" customHeight="1" x14ac:dyDescent="0.4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59"/>
      <c r="AL194" s="57"/>
    </row>
    <row r="195" spans="3:38" ht="12" customHeight="1" x14ac:dyDescent="0.4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59"/>
      <c r="AL195" s="57"/>
    </row>
    <row r="196" spans="3:38" ht="12" customHeight="1" x14ac:dyDescent="0.4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59"/>
      <c r="AL196" s="57"/>
    </row>
    <row r="197" spans="3:38" ht="12" customHeight="1" x14ac:dyDescent="0.4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59"/>
      <c r="AL197" s="57"/>
    </row>
    <row r="198" spans="3:38" ht="12" customHeight="1" x14ac:dyDescent="0.4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59"/>
      <c r="AL198" s="57"/>
    </row>
    <row r="199" spans="3:38" ht="12" customHeight="1" x14ac:dyDescent="0.4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59"/>
      <c r="AL199" s="57"/>
    </row>
    <row r="200" spans="3:38" ht="12" customHeight="1" x14ac:dyDescent="0.4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59"/>
      <c r="AL200" s="57"/>
    </row>
    <row r="201" spans="3:38" ht="12" customHeight="1" x14ac:dyDescent="0.4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59"/>
    </row>
  </sheetData>
  <sheetProtection formatCells="0" selectLockedCells="1"/>
  <mergeCells count="7">
    <mergeCell ref="AD1:AH1"/>
    <mergeCell ref="B8:B9"/>
    <mergeCell ref="C8:C9"/>
    <mergeCell ref="D8:D9"/>
    <mergeCell ref="E8:E9"/>
    <mergeCell ref="F8:F9"/>
    <mergeCell ref="I8:AG8"/>
  </mergeCells>
  <phoneticPr fontId="13" type="noConversion"/>
  <printOptions horizontalCentered="1"/>
  <pageMargins left="0.5" right="0.5" top="0.5" bottom="0.5" header="0.3" footer="0.3"/>
  <pageSetup scale="85" fitToHeight="0" orientation="landscape" copies="2" r:id="rId1"/>
  <rowBreaks count="1" manualBreakCount="1">
    <brk id="62" min="1" max="20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24ad9c-d998-472d-a8e3-8ff26cd556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A6501F1BF6448A0656B1BB3594B39" ma:contentTypeVersion="3" ma:contentTypeDescription="Create a new document." ma:contentTypeScope="" ma:versionID="7eee15fbe5a7fd8d53589948bc2344b5">
  <xsd:schema xmlns:xsd="http://www.w3.org/2001/XMLSchema" xmlns:xs="http://www.w3.org/2001/XMLSchema" xmlns:p="http://schemas.microsoft.com/office/2006/metadata/properties" xmlns:ns2="7c47cd59-1649-4b60-9692-e2b8a609397e" xmlns:ns3="d69a8611-b4f9-4725-9b17-df0f08a54f3b" xmlns:ns4="5d24ad9c-d998-472d-a8e3-8ff26cd556c6" targetNamespace="http://schemas.microsoft.com/office/2006/metadata/properties" ma:root="true" ma:fieldsID="a5f866b5f96ac75ea8a0bfae4ada0c70" ns2:_="" ns3:_="" ns4:_="">
    <xsd:import namespace="7c47cd59-1649-4b60-9692-e2b8a609397e"/>
    <xsd:import namespace="d69a8611-b4f9-4725-9b17-df0f08a54f3b"/>
    <xsd:import namespace="5d24ad9c-d998-472d-a8e3-8ff26cd556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7cd59-1649-4b60-9692-e2b8a6093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a8611-b4f9-4725-9b17-df0f08a54f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4ad9c-d998-472d-a8e3-8ff26cd556c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ba3d992-a253-47c4-ad97-b3000a673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FED009-7103-4C7A-8E18-3A88B119CCDD}">
  <ds:schemaRefs>
    <ds:schemaRef ds:uri="5d24ad9c-d998-472d-a8e3-8ff26cd556c6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d69a8611-b4f9-4725-9b17-df0f08a54f3b"/>
    <ds:schemaRef ds:uri="7c47cd59-1649-4b60-9692-e2b8a609397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04FBB23-0E45-4CE9-85AC-CF68ED0B7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47cd59-1649-4b60-9692-e2b8a609397e"/>
    <ds:schemaRef ds:uri="d69a8611-b4f9-4725-9b17-df0f08a54f3b"/>
    <ds:schemaRef ds:uri="5d24ad9c-d998-472d-a8e3-8ff26cd556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D4E1D8-C1DF-467F-BCC2-232D71D8836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9403df3-4f99-429e-bcca-aef45d118c06}" enabled="1" method="Standard" siteId="{5685c435-011d-4ece-8236-5a545c0ff8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Manager/>
  <Company>U.S.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Litzelman, Scott (CONTR)</dc:creator>
  <cp:keywords/>
  <dc:description/>
  <cp:lastModifiedBy>Carl Schmurr (ARPA-H)</cp:lastModifiedBy>
  <cp:revision/>
  <dcterms:created xsi:type="dcterms:W3CDTF">2012-02-06T21:30:30Z</dcterms:created>
  <dcterms:modified xsi:type="dcterms:W3CDTF">2026-04-16T17:06:38Z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0x010100C40A6501F1BF6448A0656B1BB3594B39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