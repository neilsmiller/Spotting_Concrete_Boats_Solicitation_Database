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dicgov-my.sharepoint.com/personal/ellismith_fdic_gov/Documents/OneDrive Documents/Documents/IT Infrastructure &amp; Securiity/2026/REQ 22739 SUB ArcGIS/"/>
    </mc:Choice>
  </mc:AlternateContent>
  <xr:revisionPtr revIDLastSave="0" documentId="8_{9D2273AD-AED1-4BA4-9E3B-902724114F15}" xr6:coauthVersionLast="47" xr6:coauthVersionMax="47" xr10:uidLastSave="{00000000-0000-0000-0000-000000000000}"/>
  <bookViews>
    <workbookView xWindow="-120" yWindow="-120" windowWidth="29040" windowHeight="15720" activeTab="3" xr2:uid="{2F8E0A03-9BB2-407C-9FBF-DE704206E152}"/>
  </bookViews>
  <sheets>
    <sheet name="Cover Page - Info." sheetId="2" r:id="rId1"/>
    <sheet name="Base Period" sheetId="1" r:id="rId2"/>
    <sheet name="Option Period 1" sheetId="5" r:id="rId3"/>
    <sheet name="Option Period 2" sheetId="6" r:id="rId4"/>
  </sheets>
  <definedNames>
    <definedName name="CategoryName">#REF!</definedName>
    <definedName name="_xlnm.Print_Area" localSheetId="1">'Base Period'!$A$1:$L$13</definedName>
    <definedName name="_xlnm.Print_Area" localSheetId="0">'Cover Page - Info.'!$A$1:$E$10</definedName>
    <definedName name="_xlnm.Print_Area" localSheetId="2">'Option Period 1'!$A$1:$L$13</definedName>
    <definedName name="_xlnm.Print_Area" localSheetId="3">'Option Period 2'!$A$1:$L$13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 i="6" l="1"/>
  <c r="J12" i="6"/>
  <c r="L11" i="6"/>
  <c r="J11" i="6"/>
  <c r="L10" i="6"/>
  <c r="J10" i="6"/>
  <c r="L9" i="6"/>
  <c r="J9" i="6"/>
  <c r="L8" i="6"/>
  <c r="J8" i="6"/>
  <c r="L7" i="6"/>
  <c r="L13" i="6" s="1"/>
  <c r="J7" i="6"/>
  <c r="L6" i="6"/>
  <c r="J6" i="6"/>
  <c r="L12" i="5"/>
  <c r="J12" i="5"/>
  <c r="L11" i="5"/>
  <c r="J11" i="5"/>
  <c r="L10" i="5"/>
  <c r="J10" i="5"/>
  <c r="L9" i="5"/>
  <c r="J9" i="5"/>
  <c r="L8" i="5"/>
  <c r="J8" i="5"/>
  <c r="L7" i="5"/>
  <c r="J7" i="5"/>
  <c r="L6" i="5"/>
  <c r="J6" i="5"/>
  <c r="L12" i="1"/>
  <c r="J12" i="1"/>
  <c r="L11" i="1"/>
  <c r="J11" i="1"/>
  <c r="L10" i="1"/>
  <c r="J10" i="1"/>
  <c r="L9" i="1"/>
  <c r="J9" i="1"/>
  <c r="L8" i="1"/>
  <c r="J8" i="1"/>
  <c r="L7" i="1"/>
  <c r="J7" i="1"/>
  <c r="L6" i="1"/>
  <c r="J6" i="1"/>
  <c r="L13" i="5" l="1"/>
  <c r="L13" i="1"/>
  <c r="B1" i="2" s="1"/>
</calcChain>
</file>

<file path=xl/sharedStrings.xml><?xml version="1.0" encoding="utf-8"?>
<sst xmlns="http://schemas.openxmlformats.org/spreadsheetml/2006/main" count="188" uniqueCount="53">
  <si>
    <t>Price Schedule</t>
  </si>
  <si>
    <t>Purchase Category</t>
  </si>
  <si>
    <t>Description</t>
  </si>
  <si>
    <t>Part #</t>
  </si>
  <si>
    <t>Qty</t>
  </si>
  <si>
    <t>List Price</t>
  </si>
  <si>
    <t>Discount</t>
  </si>
  <si>
    <t xml:space="preserve">Net Price </t>
  </si>
  <si>
    <t>Extended Price</t>
  </si>
  <si>
    <t>Period of Performance</t>
  </si>
  <si>
    <t>Item #</t>
  </si>
  <si>
    <t>Purchase Type</t>
  </si>
  <si>
    <t>MAINTENANCE</t>
  </si>
  <si>
    <t xml:space="preserve">Total Price </t>
  </si>
  <si>
    <t xml:space="preserve">Time of Delivery: </t>
  </si>
  <si>
    <t xml:space="preserve">Technical Point of Contact: </t>
  </si>
  <si>
    <t xml:space="preserve">Company:  </t>
  </si>
  <si>
    <t xml:space="preserve">Phone: </t>
  </si>
  <si>
    <t xml:space="preserve">Email Address: </t>
  </si>
  <si>
    <t>Description of Requirement</t>
  </si>
  <si>
    <t>Serial #</t>
  </si>
  <si>
    <t xml:space="preserve">Instructions to Offerors: </t>
  </si>
  <si>
    <t xml:space="preserve">Offeror is to input amounts into the "List Price" and "Net Price" cells. "Discount", "Extended Price", and "Total Price" cells will all be automated based on Offerors inputs for List Price and Net Price. FDIC requests Offerors to provide the most favorable discount to the Government. </t>
  </si>
  <si>
    <t>SUBSCRIPTION</t>
  </si>
  <si>
    <t>NSN</t>
  </si>
  <si>
    <t>Base Period</t>
  </si>
  <si>
    <t>Option Period 1</t>
  </si>
  <si>
    <t>Total Base Period Price</t>
  </si>
  <si>
    <t>Total Option Period 1 Price</t>
  </si>
  <si>
    <t>Total Option Period 2 Price</t>
  </si>
  <si>
    <t>Option Period 2</t>
  </si>
  <si>
    <t>ArcGIS Online Professional Plus (formerly Advanced) User Type Annual Subscription
SKU: 165537</t>
  </si>
  <si>
    <t>WEB0303 TERM S/W</t>
  </si>
  <si>
    <t>6735672665</t>
  </si>
  <si>
    <t>08/27/2026 - 08/26/2027</t>
  </si>
  <si>
    <t>ArcGIS Enterprise Creator User Type Annual Subscription
SKU: 154252</t>
  </si>
  <si>
    <t>GIS0202 TERM S/W</t>
  </si>
  <si>
    <t>ArcGIS Enterprise Contributor (formerly Editor) User Type Annual Subscription
SKU:166893</t>
  </si>
  <si>
    <t>ENT0304T TERM S/W</t>
  </si>
  <si>
    <t>ArcGIS Business Analyst Pro for ArcGIS Online with US National Data Bundle Annual Subscription
SKU: 165660</t>
  </si>
  <si>
    <t>WEB1567 TERM S/W</t>
  </si>
  <si>
    <t>ArcGIS Enterprise Advanced Up to Four Cores Maintenance
SKU:161326</t>
  </si>
  <si>
    <t>GIS6200M-A</t>
  </si>
  <si>
    <t>ArcGIS Enterprise Advanced Up to Four Cores Staging Server Maintenance
SKU:161429</t>
  </si>
  <si>
    <t>STG6200M-A</t>
  </si>
  <si>
    <t>Optional Line Item: ArcGIS Online Credits; Block of 1,000 
SKU: 153418</t>
  </si>
  <si>
    <t>WEB320 TERM S/W</t>
  </si>
  <si>
    <t>08/27/2027 - 08/26/2028</t>
  </si>
  <si>
    <t>Optional Line Item ArcGIS Online Credits; Block of 3,000 
SKU: 153418</t>
  </si>
  <si>
    <t>08/27/2028 - 08/26/2029</t>
  </si>
  <si>
    <t>Requirement Description:  ArcGIS Subscription Maintenance</t>
  </si>
  <si>
    <t>Requirement Description: ArcGIS Subscription Maintenance</t>
  </si>
  <si>
    <t>Subscription for ArcGIS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</si>
</sst>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1" x14ac:knownFonts="1">
    <font>
      <sz val="11"/>
      <color theme="1"/>
      <name val="Aptos Narrow"/>
      <family val="2"/>
      <scheme val="minor"/>
    </font>
    <font>
      <b/>
      <sz val="12"/>
      <color theme="1"/>
      <name val="Times New Roman"/>
      <family val="1"/>
    </font>
    <font>
      <sz val="12"/>
      <name val="Times New Roman"/>
      <family val="1"/>
    </font>
    <font>
      <b/>
      <sz val="11"/>
      <color theme="1"/>
      <name val="Times New Roman"/>
      <family val="1"/>
    </font>
    <font>
      <sz val="12"/>
      <color theme="1"/>
      <name val="Aptos Narrow"/>
      <family val="2"/>
      <scheme val="minor"/>
    </font>
    <font>
      <u/>
      <sz val="11"/>
      <color theme="10"/>
      <name val="Aptos Narrow"/>
      <family val="2"/>
      <scheme val="minor"/>
    </font>
    <font>
      <sz val="11"/>
      <color theme="1"/>
      <name val="Aptos Narrow"/>
      <family val="2"/>
      <scheme val="minor"/>
    </font>
    <font>
      <sz val="11"/>
      <color theme="1"/>
      <name val="Times New Roman"/>
      <family val="1"/>
    </font>
    <font>
      <b/>
      <sz val="10"/>
      <name val="Times New Roman"/>
      <family val="1"/>
    </font>
    <font>
      <sz val="10"/>
      <name val="Source Sans Pro"/>
      <family val="2"/>
    </font>
    <font>
      <i/>
      <sz val="11"/>
      <color theme="1"/>
      <name val="Times New Roman"/>
      <family val="1"/>
    </font>
  </fonts>
  <fills count="6">
    <fill>
      <patternFill patternType="none"/>
    </fill>
    <fill>
      <patternFill patternType="gray125"/>
    </fill>
    <fill>
      <patternFill patternType="solid">
        <fgColor theme="4" tint="0.79998168889431442"/>
        <bgColor rgb="FF000000"/>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FF00"/>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indexed="64"/>
      </bottom>
      <diagonal/>
    </border>
    <border>
      <left/>
      <right/>
      <top style="thick">
        <color indexed="64"/>
      </top>
      <bottom/>
      <diagonal/>
    </border>
    <border>
      <left/>
      <right/>
      <top style="thick">
        <color indexed="64"/>
      </top>
      <bottom style="thick">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5" fillId="0" borderId="0" applyNumberFormat="0" applyFill="0" applyBorder="0" applyAlignment="0" applyProtection="0"/>
    <xf numFmtId="44" fontId="6" fillId="0" borderId="0" applyFont="0" applyFill="0" applyBorder="0" applyAlignment="0" applyProtection="0"/>
  </cellStyleXfs>
  <cellXfs count="40">
    <xf numFmtId="0" fontId="0" fillId="0" borderId="0" xfId="0"/>
    <xf numFmtId="0" fontId="1" fillId="0" borderId="2" xfId="0" applyFont="1" applyBorder="1" applyAlignment="1">
      <alignment horizontal="center" vertical="center" wrapText="1"/>
    </xf>
    <xf numFmtId="44" fontId="2" fillId="0" borderId="3" xfId="0" applyNumberFormat="1" applyFont="1" applyBorder="1" applyAlignment="1">
      <alignment horizontal="center" vertical="center" wrapText="1"/>
    </xf>
    <xf numFmtId="0" fontId="1" fillId="0" borderId="0" xfId="0" applyFont="1" applyAlignment="1">
      <alignment horizontal="center" vertical="center" wrapText="1"/>
    </xf>
    <xf numFmtId="44" fontId="2" fillId="0" borderId="0" xfId="0" applyNumberFormat="1"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left" vertic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7" fillId="0" borderId="0" xfId="0" applyFont="1"/>
    <xf numFmtId="164" fontId="7" fillId="0" borderId="1" xfId="2" applyNumberFormat="1" applyFont="1" applyBorder="1" applyAlignment="1">
      <alignment horizontal="center" vertical="center"/>
    </xf>
    <xf numFmtId="164" fontId="7" fillId="0" borderId="1" xfId="0" applyNumberFormat="1" applyFont="1" applyBorder="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pplyProtection="1">
      <alignment horizontal="center" vertical="center" wrapText="1"/>
      <protection locked="0"/>
    </xf>
    <xf numFmtId="0" fontId="7" fillId="0" borderId="7" xfId="0" applyFont="1" applyBorder="1" applyAlignment="1">
      <alignment wrapText="1"/>
    </xf>
    <xf numFmtId="164" fontId="7" fillId="3" borderId="1" xfId="2" applyNumberFormat="1" applyFont="1" applyFill="1" applyBorder="1" applyAlignment="1">
      <alignment horizontal="center" vertical="center"/>
    </xf>
    <xf numFmtId="0" fontId="3"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3" fillId="4" borderId="1" xfId="0" applyFont="1" applyFill="1" applyBorder="1" applyAlignment="1">
      <alignment horizontal="center" vertical="center"/>
    </xf>
    <xf numFmtId="49" fontId="9" fillId="2" borderId="1" xfId="0" applyNumberFormat="1" applyFont="1" applyFill="1" applyBorder="1" applyAlignment="1" applyProtection="1">
      <alignment horizontal="center" vertical="center"/>
      <protection locked="0"/>
    </xf>
    <xf numFmtId="49" fontId="9" fillId="2" borderId="1" xfId="0" applyNumberFormat="1" applyFont="1" applyFill="1" applyBorder="1" applyAlignment="1" applyProtection="1">
      <alignment horizontal="center" vertical="center" wrapText="1"/>
      <protection locked="0"/>
    </xf>
    <xf numFmtId="0" fontId="9" fillId="5" borderId="1" xfId="0" applyFont="1" applyFill="1" applyBorder="1" applyAlignment="1">
      <alignment horizontal="center" vertical="center" wrapText="1"/>
    </xf>
    <xf numFmtId="0" fontId="9" fillId="5" borderId="1" xfId="0" applyFont="1" applyFill="1" applyBorder="1" applyAlignment="1" applyProtection="1">
      <alignment horizontal="center" vertical="center" wrapText="1"/>
      <protection locked="0"/>
    </xf>
    <xf numFmtId="49" fontId="9" fillId="5" borderId="1" xfId="0" applyNumberFormat="1" applyFont="1" applyFill="1" applyBorder="1" applyAlignment="1" applyProtection="1">
      <alignment horizontal="center" vertical="center" wrapText="1"/>
      <protection locked="0"/>
    </xf>
    <xf numFmtId="49" fontId="9" fillId="5" borderId="1" xfId="0" applyNumberFormat="1" applyFont="1" applyFill="1" applyBorder="1" applyAlignment="1" applyProtection="1">
      <alignment horizontal="center" vertical="center"/>
      <protection locked="0"/>
    </xf>
    <xf numFmtId="0" fontId="5" fillId="0" borderId="6" xfId="1" applyBorder="1" applyAlignment="1">
      <alignment horizontal="center"/>
    </xf>
    <xf numFmtId="0" fontId="4" fillId="0" borderId="6" xfId="0" applyFont="1" applyBorder="1" applyAlignment="1">
      <alignment horizontal="center"/>
    </xf>
    <xf numFmtId="0" fontId="2" fillId="0" borderId="0" xfId="0" applyFont="1" applyAlignment="1">
      <alignment horizontal="center" vertical="center" wrapText="1"/>
    </xf>
    <xf numFmtId="14" fontId="4" fillId="0" borderId="4" xfId="0" applyNumberFormat="1" applyFont="1" applyBorder="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center"/>
    </xf>
    <xf numFmtId="0" fontId="1" fillId="4" borderId="1" xfId="0" applyFont="1" applyFill="1" applyBorder="1" applyAlignment="1">
      <alignment horizontal="center"/>
    </xf>
    <xf numFmtId="0" fontId="10" fillId="0" borderId="7" xfId="0" applyFont="1" applyBorder="1" applyAlignment="1">
      <alignment horizontal="left" wrapText="1"/>
    </xf>
    <xf numFmtId="0" fontId="3" fillId="0" borderId="7" xfId="0" applyFont="1" applyBorder="1" applyAlignment="1">
      <alignment horizontal="center" vertical="center"/>
    </xf>
    <xf numFmtId="0" fontId="1" fillId="4" borderId="9" xfId="0" applyFont="1" applyFill="1" applyBorder="1" applyAlignment="1">
      <alignment horizontal="center"/>
    </xf>
    <xf numFmtId="0" fontId="1" fillId="4" borderId="10" xfId="0" applyFont="1" applyFill="1" applyBorder="1" applyAlignment="1">
      <alignment horizontal="center"/>
    </xf>
    <xf numFmtId="0" fontId="1" fillId="4" borderId="8" xfId="0" applyFont="1" applyFill="1" applyBorder="1" applyAlignment="1">
      <alignment horizontal="center"/>
    </xf>
  </cellXfs>
  <cellStyles count="3">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C89D-088B-4271-A959-99F31EBB280B}">
  <sheetPr>
    <pageSetUpPr fitToPage="1"/>
  </sheetPr>
  <dimension ref="A1:E11"/>
  <sheetViews>
    <sheetView workbookViewId="0">
      <selection activeCell="J5" sqref="J5"/>
    </sheetView>
  </sheetViews>
  <sheetFormatPr defaultRowHeight="15" x14ac:dyDescent="0.25"/>
  <cols>
    <col min="1" max="1" width="27.7109375" bestFit="1" customWidth="1"/>
    <col min="2" max="2" width="34.7109375" customWidth="1"/>
    <col min="5" max="5" width="18" customWidth="1"/>
  </cols>
  <sheetData>
    <row r="1" spans="1:5" ht="48" customHeight="1" thickBot="1" x14ac:dyDescent="0.3">
      <c r="A1" s="1" t="s">
        <v>13</v>
      </c>
      <c r="B1" s="2">
        <f>'Base Period'!L13+'Option Period 1'!L13+'Option Period 2'!L13</f>
        <v>0</v>
      </c>
    </row>
    <row r="2" spans="1:5" ht="15.75" x14ac:dyDescent="0.25">
      <c r="A2" s="3"/>
      <c r="B2" s="4"/>
    </row>
    <row r="3" spans="1:5" ht="31.5" x14ac:dyDescent="0.25">
      <c r="A3" s="3" t="s">
        <v>19</v>
      </c>
      <c r="B3" s="29" t="s">
        <v>52</v>
      </c>
      <c r="C3" s="29"/>
      <c r="D3" s="29"/>
      <c r="E3" s="29"/>
    </row>
    <row r="4" spans="1:5" x14ac:dyDescent="0.25">
      <c r="A4" s="5"/>
    </row>
    <row r="6" spans="1:5" ht="31.15" customHeight="1" thickBot="1" x14ac:dyDescent="0.3">
      <c r="A6" s="6" t="s">
        <v>14</v>
      </c>
      <c r="B6" s="30"/>
      <c r="C6" s="31"/>
      <c r="D6" s="31"/>
      <c r="E6" s="7"/>
    </row>
    <row r="7" spans="1:5" ht="27" customHeight="1" thickTop="1" thickBot="1" x14ac:dyDescent="0.3">
      <c r="A7" s="6" t="s">
        <v>15</v>
      </c>
      <c r="B7" s="32"/>
      <c r="C7" s="32"/>
      <c r="D7" s="32"/>
      <c r="E7" s="8"/>
    </row>
    <row r="8" spans="1:5" ht="24" customHeight="1" thickTop="1" thickBot="1" x14ac:dyDescent="0.3">
      <c r="A8" s="6" t="s">
        <v>16</v>
      </c>
      <c r="B8" s="33"/>
      <c r="C8" s="33"/>
      <c r="D8" s="33"/>
      <c r="E8" s="9"/>
    </row>
    <row r="9" spans="1:5" ht="26.45" customHeight="1" thickTop="1" thickBot="1" x14ac:dyDescent="0.3">
      <c r="A9" s="6" t="s">
        <v>17</v>
      </c>
      <c r="B9" s="33"/>
      <c r="C9" s="33"/>
      <c r="D9" s="33"/>
      <c r="E9" s="9"/>
    </row>
    <row r="10" spans="1:5" ht="25.9" customHeight="1" thickTop="1" thickBot="1" x14ac:dyDescent="0.3">
      <c r="A10" s="6" t="s">
        <v>18</v>
      </c>
      <c r="B10" s="27"/>
      <c r="C10" s="28"/>
      <c r="D10" s="28"/>
      <c r="E10" s="9"/>
    </row>
    <row r="11" spans="1:5" ht="15.75" thickTop="1" x14ac:dyDescent="0.25"/>
  </sheetData>
  <mergeCells count="6">
    <mergeCell ref="B10:D10"/>
    <mergeCell ref="B3:E3"/>
    <mergeCell ref="B6:D6"/>
    <mergeCell ref="B7:D7"/>
    <mergeCell ref="B8:D8"/>
    <mergeCell ref="B9:D9"/>
  </mergeCells>
  <pageMargins left="0.7" right="0.7" top="0.75" bottom="0.75" header="0.3" footer="0.3"/>
  <pageSetup scale="91" orientation="portrait" horizontalDpi="1200" verticalDpi="1200" r:id="rId1"/>
  <headerFooter>
    <oddHeader>&amp;C&amp;"Source Sans Pro SemiBold"&amp;12&amp;K000000 NONPUBLIC//FDIC INTERNAL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C2AD-7A5A-46C6-ADF4-8FACC021B9C4}">
  <sheetPr>
    <pageSetUpPr fitToPage="1"/>
  </sheetPr>
  <dimension ref="A1:L13"/>
  <sheetViews>
    <sheetView workbookViewId="0">
      <selection activeCell="E14" sqref="E14"/>
    </sheetView>
  </sheetViews>
  <sheetFormatPr defaultColWidth="9.140625" defaultRowHeight="15" x14ac:dyDescent="0.25"/>
  <cols>
    <col min="1" max="1" width="8.7109375" style="10" customWidth="1"/>
    <col min="2" max="2" width="15.85546875" style="10" customWidth="1"/>
    <col min="3" max="3" width="16.5703125" style="10" customWidth="1"/>
    <col min="4" max="4" width="35.7109375" style="10" customWidth="1"/>
    <col min="5" max="5" width="22.7109375" style="10" customWidth="1"/>
    <col min="6" max="6" width="17.28515625" style="10" customWidth="1"/>
    <col min="7" max="7" width="25.7109375" style="10" customWidth="1"/>
    <col min="8" max="8" width="8.28515625" style="10" customWidth="1"/>
    <col min="9" max="9" width="17.28515625" style="10" bestFit="1" customWidth="1"/>
    <col min="10" max="10" width="16.42578125" style="10" customWidth="1"/>
    <col min="11" max="11" width="17.140625" style="10" customWidth="1"/>
    <col min="12" max="12" width="20.28515625" style="10" customWidth="1"/>
    <col min="13" max="16384" width="9.140625" style="10"/>
  </cols>
  <sheetData>
    <row r="1" spans="1:12" ht="67.5" customHeight="1" x14ac:dyDescent="0.25">
      <c r="A1" s="36" t="s">
        <v>21</v>
      </c>
      <c r="B1" s="36"/>
      <c r="C1" s="35" t="s">
        <v>22</v>
      </c>
      <c r="D1" s="35"/>
      <c r="E1" s="35"/>
      <c r="F1" s="35"/>
      <c r="G1" s="35"/>
      <c r="H1" s="15"/>
      <c r="I1" s="15"/>
      <c r="J1" s="15"/>
      <c r="K1" s="15"/>
      <c r="L1" s="15"/>
    </row>
    <row r="2" spans="1:12" ht="15.75" x14ac:dyDescent="0.25">
      <c r="A2" s="34" t="s">
        <v>0</v>
      </c>
      <c r="B2" s="34"/>
      <c r="C2" s="34"/>
      <c r="D2" s="34"/>
      <c r="E2" s="34"/>
      <c r="F2" s="34"/>
      <c r="G2" s="34"/>
      <c r="H2" s="34"/>
      <c r="I2" s="34"/>
      <c r="J2" s="34"/>
      <c r="K2" s="34"/>
      <c r="L2" s="34"/>
    </row>
    <row r="3" spans="1:12" ht="15.75" x14ac:dyDescent="0.25">
      <c r="A3" s="34" t="s">
        <v>50</v>
      </c>
      <c r="B3" s="34"/>
      <c r="C3" s="34"/>
      <c r="D3" s="34"/>
      <c r="E3" s="34"/>
      <c r="F3" s="34"/>
      <c r="G3" s="34"/>
      <c r="H3" s="34"/>
      <c r="I3" s="34"/>
      <c r="J3" s="34"/>
      <c r="K3" s="34"/>
      <c r="L3" s="34"/>
    </row>
    <row r="4" spans="1:12" ht="15.75" x14ac:dyDescent="0.25">
      <c r="A4" s="37" t="s">
        <v>25</v>
      </c>
      <c r="B4" s="38"/>
      <c r="C4" s="38"/>
      <c r="D4" s="38"/>
      <c r="E4" s="38"/>
      <c r="F4" s="38"/>
      <c r="G4" s="38"/>
      <c r="H4" s="38"/>
      <c r="I4" s="38"/>
      <c r="J4" s="38"/>
      <c r="K4" s="38"/>
      <c r="L4" s="39"/>
    </row>
    <row r="5" spans="1:12" ht="25.5" x14ac:dyDescent="0.25">
      <c r="A5" s="18" t="s">
        <v>10</v>
      </c>
      <c r="B5" s="18" t="s">
        <v>1</v>
      </c>
      <c r="C5" s="19" t="s">
        <v>11</v>
      </c>
      <c r="D5" s="19" t="s">
        <v>2</v>
      </c>
      <c r="E5" s="19" t="s">
        <v>3</v>
      </c>
      <c r="F5" s="19" t="s">
        <v>20</v>
      </c>
      <c r="G5" s="20" t="s">
        <v>9</v>
      </c>
      <c r="H5" s="20" t="s">
        <v>4</v>
      </c>
      <c r="I5" s="20" t="s">
        <v>5</v>
      </c>
      <c r="J5" s="20" t="s">
        <v>6</v>
      </c>
      <c r="K5" s="20" t="s">
        <v>7</v>
      </c>
      <c r="L5" s="20" t="s">
        <v>8</v>
      </c>
    </row>
    <row r="6" spans="1:12" ht="40.5" x14ac:dyDescent="0.25">
      <c r="A6" s="13">
        <v>1</v>
      </c>
      <c r="B6" s="14" t="s">
        <v>23</v>
      </c>
      <c r="C6" s="14" t="s">
        <v>12</v>
      </c>
      <c r="D6" s="14" t="s">
        <v>31</v>
      </c>
      <c r="E6" s="14" t="s">
        <v>32</v>
      </c>
      <c r="F6" s="22" t="s">
        <v>33</v>
      </c>
      <c r="G6" s="21" t="s">
        <v>34</v>
      </c>
      <c r="H6" s="14">
        <v>12</v>
      </c>
      <c r="I6" s="16">
        <v>0</v>
      </c>
      <c r="J6" s="11">
        <f>I6-K6</f>
        <v>0</v>
      </c>
      <c r="K6" s="16">
        <v>0</v>
      </c>
      <c r="L6" s="11">
        <f>K6*H6</f>
        <v>0</v>
      </c>
    </row>
    <row r="7" spans="1:12" ht="40.5" x14ac:dyDescent="0.25">
      <c r="A7" s="13">
        <v>2</v>
      </c>
      <c r="B7" s="14" t="s">
        <v>23</v>
      </c>
      <c r="C7" s="14" t="s">
        <v>12</v>
      </c>
      <c r="D7" s="14" t="s">
        <v>35</v>
      </c>
      <c r="E7" s="14" t="s">
        <v>36</v>
      </c>
      <c r="F7" s="22" t="s">
        <v>24</v>
      </c>
      <c r="G7" s="21" t="s">
        <v>34</v>
      </c>
      <c r="H7" s="14">
        <v>200</v>
      </c>
      <c r="I7" s="16">
        <v>0</v>
      </c>
      <c r="J7" s="11">
        <f t="shared" ref="J7:J12" si="0">I7-K7</f>
        <v>0</v>
      </c>
      <c r="K7" s="16">
        <v>0</v>
      </c>
      <c r="L7" s="11">
        <f t="shared" ref="L7:L12" si="1">K7*H7</f>
        <v>0</v>
      </c>
    </row>
    <row r="8" spans="1:12" ht="40.5" x14ac:dyDescent="0.25">
      <c r="A8" s="13">
        <v>3</v>
      </c>
      <c r="B8" s="14" t="s">
        <v>23</v>
      </c>
      <c r="C8" s="14" t="s">
        <v>12</v>
      </c>
      <c r="D8" s="14" t="s">
        <v>37</v>
      </c>
      <c r="E8" s="14" t="s">
        <v>38</v>
      </c>
      <c r="F8" s="22" t="s">
        <v>33</v>
      </c>
      <c r="G8" s="21" t="s">
        <v>34</v>
      </c>
      <c r="H8" s="14">
        <v>100</v>
      </c>
      <c r="I8" s="16">
        <v>0</v>
      </c>
      <c r="J8" s="11">
        <f t="shared" si="0"/>
        <v>0</v>
      </c>
      <c r="K8" s="16">
        <v>0</v>
      </c>
      <c r="L8" s="11">
        <f t="shared" si="1"/>
        <v>0</v>
      </c>
    </row>
    <row r="9" spans="1:12" ht="54" x14ac:dyDescent="0.25">
      <c r="A9" s="13">
        <v>4</v>
      </c>
      <c r="B9" s="14" t="s">
        <v>23</v>
      </c>
      <c r="C9" s="14" t="s">
        <v>12</v>
      </c>
      <c r="D9" s="14" t="s">
        <v>39</v>
      </c>
      <c r="E9" s="14" t="s">
        <v>40</v>
      </c>
      <c r="F9" s="22" t="s">
        <v>33</v>
      </c>
      <c r="G9" s="21" t="s">
        <v>34</v>
      </c>
      <c r="H9" s="14">
        <v>2</v>
      </c>
      <c r="I9" s="16">
        <v>0</v>
      </c>
      <c r="J9" s="11">
        <f t="shared" si="0"/>
        <v>0</v>
      </c>
      <c r="K9" s="16">
        <v>0</v>
      </c>
      <c r="L9" s="11">
        <f t="shared" si="1"/>
        <v>0</v>
      </c>
    </row>
    <row r="10" spans="1:12" ht="40.5" x14ac:dyDescent="0.25">
      <c r="A10" s="13">
        <v>5</v>
      </c>
      <c r="B10" s="14" t="s">
        <v>23</v>
      </c>
      <c r="C10" s="14" t="s">
        <v>12</v>
      </c>
      <c r="D10" s="14" t="s">
        <v>41</v>
      </c>
      <c r="E10" s="14" t="s">
        <v>42</v>
      </c>
      <c r="F10" s="22" t="s">
        <v>24</v>
      </c>
      <c r="G10" s="21" t="s">
        <v>34</v>
      </c>
      <c r="H10" s="14">
        <v>1</v>
      </c>
      <c r="I10" s="16">
        <v>0</v>
      </c>
      <c r="J10" s="11">
        <f t="shared" si="0"/>
        <v>0</v>
      </c>
      <c r="K10" s="16">
        <v>0</v>
      </c>
      <c r="L10" s="11">
        <f t="shared" si="1"/>
        <v>0</v>
      </c>
    </row>
    <row r="11" spans="1:12" ht="40.5" x14ac:dyDescent="0.25">
      <c r="A11" s="13">
        <v>6</v>
      </c>
      <c r="B11" s="14" t="s">
        <v>23</v>
      </c>
      <c r="C11" s="14" t="s">
        <v>12</v>
      </c>
      <c r="D11" s="14" t="s">
        <v>43</v>
      </c>
      <c r="E11" s="14" t="s">
        <v>44</v>
      </c>
      <c r="F11" s="22" t="s">
        <v>24</v>
      </c>
      <c r="G11" s="21" t="s">
        <v>34</v>
      </c>
      <c r="H11" s="14">
        <v>3</v>
      </c>
      <c r="I11" s="16">
        <v>0</v>
      </c>
      <c r="J11" s="11">
        <f t="shared" si="0"/>
        <v>0</v>
      </c>
      <c r="K11" s="16">
        <v>0</v>
      </c>
      <c r="L11" s="11">
        <f t="shared" si="1"/>
        <v>0</v>
      </c>
    </row>
    <row r="12" spans="1:12" ht="40.5" x14ac:dyDescent="0.25">
      <c r="A12" s="23">
        <v>7</v>
      </c>
      <c r="B12" s="24" t="s">
        <v>23</v>
      </c>
      <c r="C12" s="24" t="s">
        <v>12</v>
      </c>
      <c r="D12" s="24" t="s">
        <v>45</v>
      </c>
      <c r="E12" s="24" t="s">
        <v>46</v>
      </c>
      <c r="F12" s="25" t="s">
        <v>24</v>
      </c>
      <c r="G12" s="26" t="s">
        <v>34</v>
      </c>
      <c r="H12" s="24">
        <v>20</v>
      </c>
      <c r="I12" s="16">
        <v>0</v>
      </c>
      <c r="J12" s="11">
        <f t="shared" si="0"/>
        <v>0</v>
      </c>
      <c r="K12" s="16">
        <v>0</v>
      </c>
      <c r="L12" s="11">
        <f t="shared" si="1"/>
        <v>0</v>
      </c>
    </row>
    <row r="13" spans="1:12" ht="45.75" customHeight="1" x14ac:dyDescent="0.25">
      <c r="K13" s="17" t="s">
        <v>27</v>
      </c>
      <c r="L13" s="12">
        <f>SUM(L6:L12)</f>
        <v>0</v>
      </c>
    </row>
  </sheetData>
  <protectedRanges>
    <protectedRange sqref="B6:C12" name="Range1_1_6"/>
    <protectedRange sqref="D6:D12" name="Range1_1_1_1"/>
    <protectedRange sqref="E6:E12" name="Range1_1_7_1"/>
    <protectedRange sqref="G6:G12" name="Range1_1_8"/>
    <protectedRange sqref="F6:F12" name="Range1_1_9"/>
    <protectedRange sqref="H6:H12" name="Range1_1_10"/>
  </protectedRanges>
  <mergeCells count="5">
    <mergeCell ref="A2:L2"/>
    <mergeCell ref="A3:L3"/>
    <mergeCell ref="C1:G1"/>
    <mergeCell ref="A1:B1"/>
    <mergeCell ref="A4:L4"/>
  </mergeCells>
  <dataValidations count="4">
    <dataValidation type="textLength" allowBlank="1" showInputMessage="1" showErrorMessage="1" sqref="F6:F12" xr:uid="{9FF4884C-9CB4-4E0F-802F-0D3EFA233836}">
      <formula1>0</formula1>
      <formula2>255</formula2>
    </dataValidation>
    <dataValidation type="list" allowBlank="1" showErrorMessage="1" error="The entry made is not a valid Purchase Category.  Hit Cancel and select a valid entry from the in-cell drop down list." promptTitle="An entry is required." prompt="You can use the in-cell drop down list to select a valid Purchase Category." sqref="B6:B12" xr:uid="{F5F70109-E885-47F4-8A7E-EB4351BCB1DC}">
      <formula1>CategoryName</formula1>
    </dataValidation>
    <dataValidation type="textLength" allowBlank="1" showInputMessage="1" showErrorMessage="1" sqref="G6:G12" xr:uid="{A3365ED6-5444-4765-A033-A50C693D338D}">
      <formula1>0</formula1>
      <formula2>35</formula2>
    </dataValidation>
    <dataValidation type="list" allowBlank="1" showErrorMessage="1" error="The entry made is not a valid Purchase Type.  Hit Cancel and select a valid entry from the in-cell drop down list." promptTitle="An entry is required." prompt="You can use the in-cell drop down list to select a valid Purchase Type." sqref="C6:C12" xr:uid="{76D84186-C236-4E1C-991D-21BED5C85BAC}">
      <formula1>INDIRECT(B6)</formula1>
    </dataValidation>
  </dataValidations>
  <pageMargins left="0.25" right="0.25" top="0.75" bottom="0.75" header="0.3" footer="0.3"/>
  <pageSetup scale="45" fitToHeight="0" orientation="portrait" horizontalDpi="1200" verticalDpi="1200" r:id="rId1"/>
  <headerFooter>
    <oddHeader>&amp;C&amp;"Source Sans Pro SemiBold"&amp;12&amp;K000000 NONPUBLIC//FDIC INTERNAL ONLY&amp;1#_x000D_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D2C3-47B6-4DEF-851E-7DFFE0E1E7EA}">
  <sheetPr>
    <pageSetUpPr fitToPage="1"/>
  </sheetPr>
  <dimension ref="A1:L13"/>
  <sheetViews>
    <sheetView workbookViewId="0">
      <selection activeCell="A6" sqref="A6:XFD6"/>
    </sheetView>
  </sheetViews>
  <sheetFormatPr defaultColWidth="9.140625" defaultRowHeight="15" x14ac:dyDescent="0.25"/>
  <cols>
    <col min="1" max="1" width="8.7109375" style="10" customWidth="1"/>
    <col min="2" max="2" width="15.85546875" style="10" customWidth="1"/>
    <col min="3" max="3" width="16.5703125" style="10" customWidth="1"/>
    <col min="4" max="4" width="35.7109375" style="10" customWidth="1"/>
    <col min="5" max="5" width="22.7109375" style="10" customWidth="1"/>
    <col min="6" max="6" width="17.28515625" style="10" customWidth="1"/>
    <col min="7" max="7" width="25.7109375" style="10" customWidth="1"/>
    <col min="8" max="8" width="8.28515625" style="10" customWidth="1"/>
    <col min="9" max="9" width="17.28515625" style="10" bestFit="1" customWidth="1"/>
    <col min="10" max="10" width="16.42578125" style="10" customWidth="1"/>
    <col min="11" max="11" width="17.140625" style="10" customWidth="1"/>
    <col min="12" max="12" width="20.28515625" style="10" customWidth="1"/>
    <col min="13" max="16384" width="9.140625" style="10"/>
  </cols>
  <sheetData>
    <row r="1" spans="1:12" ht="67.5" customHeight="1" x14ac:dyDescent="0.25">
      <c r="A1" s="36" t="s">
        <v>21</v>
      </c>
      <c r="B1" s="36"/>
      <c r="C1" s="35" t="s">
        <v>22</v>
      </c>
      <c r="D1" s="35"/>
      <c r="E1" s="35"/>
      <c r="F1" s="35"/>
      <c r="G1" s="35"/>
      <c r="H1" s="15"/>
      <c r="I1" s="15"/>
      <c r="J1" s="15"/>
      <c r="K1" s="15"/>
      <c r="L1" s="15"/>
    </row>
    <row r="2" spans="1:12" ht="15.75" x14ac:dyDescent="0.25">
      <c r="A2" s="34" t="s">
        <v>0</v>
      </c>
      <c r="B2" s="34"/>
      <c r="C2" s="34"/>
      <c r="D2" s="34"/>
      <c r="E2" s="34"/>
      <c r="F2" s="34"/>
      <c r="G2" s="34"/>
      <c r="H2" s="34"/>
      <c r="I2" s="34"/>
      <c r="J2" s="34"/>
      <c r="K2" s="34"/>
      <c r="L2" s="34"/>
    </row>
    <row r="3" spans="1:12" ht="15.75" x14ac:dyDescent="0.25">
      <c r="A3" s="34" t="s">
        <v>51</v>
      </c>
      <c r="B3" s="34"/>
      <c r="C3" s="34"/>
      <c r="D3" s="34"/>
      <c r="E3" s="34"/>
      <c r="F3" s="34"/>
      <c r="G3" s="34"/>
      <c r="H3" s="34"/>
      <c r="I3" s="34"/>
      <c r="J3" s="34"/>
      <c r="K3" s="34"/>
      <c r="L3" s="34"/>
    </row>
    <row r="4" spans="1:12" ht="15.75" x14ac:dyDescent="0.25">
      <c r="A4" s="37" t="s">
        <v>26</v>
      </c>
      <c r="B4" s="38"/>
      <c r="C4" s="38"/>
      <c r="D4" s="38"/>
      <c r="E4" s="38"/>
      <c r="F4" s="38"/>
      <c r="G4" s="38"/>
      <c r="H4" s="38"/>
      <c r="I4" s="38"/>
      <c r="J4" s="38"/>
      <c r="K4" s="38"/>
      <c r="L4" s="39"/>
    </row>
    <row r="5" spans="1:12" ht="25.5" x14ac:dyDescent="0.25">
      <c r="A5" s="18" t="s">
        <v>10</v>
      </c>
      <c r="B5" s="18" t="s">
        <v>1</v>
      </c>
      <c r="C5" s="19" t="s">
        <v>11</v>
      </c>
      <c r="D5" s="19" t="s">
        <v>2</v>
      </c>
      <c r="E5" s="19" t="s">
        <v>3</v>
      </c>
      <c r="F5" s="19" t="s">
        <v>20</v>
      </c>
      <c r="G5" s="20" t="s">
        <v>9</v>
      </c>
      <c r="H5" s="20" t="s">
        <v>4</v>
      </c>
      <c r="I5" s="20" t="s">
        <v>5</v>
      </c>
      <c r="J5" s="20" t="s">
        <v>6</v>
      </c>
      <c r="K5" s="20" t="s">
        <v>7</v>
      </c>
      <c r="L5" s="20" t="s">
        <v>8</v>
      </c>
    </row>
    <row r="6" spans="1:12" ht="40.5" x14ac:dyDescent="0.25">
      <c r="A6" s="13">
        <v>1</v>
      </c>
      <c r="B6" s="14" t="s">
        <v>23</v>
      </c>
      <c r="C6" s="14" t="s">
        <v>12</v>
      </c>
      <c r="D6" s="14" t="s">
        <v>31</v>
      </c>
      <c r="E6" s="14" t="s">
        <v>32</v>
      </c>
      <c r="F6" s="22" t="s">
        <v>33</v>
      </c>
      <c r="G6" s="21" t="s">
        <v>47</v>
      </c>
      <c r="H6" s="14">
        <v>12</v>
      </c>
      <c r="I6" s="16">
        <v>0</v>
      </c>
      <c r="J6" s="11">
        <f>I6-K6</f>
        <v>0</v>
      </c>
      <c r="K6" s="16">
        <v>0</v>
      </c>
      <c r="L6" s="11">
        <f>K6*H6</f>
        <v>0</v>
      </c>
    </row>
    <row r="7" spans="1:12" ht="40.5" x14ac:dyDescent="0.25">
      <c r="A7" s="13">
        <v>2</v>
      </c>
      <c r="B7" s="14" t="s">
        <v>23</v>
      </c>
      <c r="C7" s="14" t="s">
        <v>12</v>
      </c>
      <c r="D7" s="14" t="s">
        <v>35</v>
      </c>
      <c r="E7" s="14" t="s">
        <v>36</v>
      </c>
      <c r="F7" s="22" t="s">
        <v>24</v>
      </c>
      <c r="G7" s="21" t="s">
        <v>47</v>
      </c>
      <c r="H7" s="14">
        <v>200</v>
      </c>
      <c r="I7" s="16">
        <v>0</v>
      </c>
      <c r="J7" s="11">
        <f t="shared" ref="J7:J12" si="0">I7-K7</f>
        <v>0</v>
      </c>
      <c r="K7" s="16">
        <v>0</v>
      </c>
      <c r="L7" s="11">
        <f t="shared" ref="L7:L12" si="1">K7*H7</f>
        <v>0</v>
      </c>
    </row>
    <row r="8" spans="1:12" ht="40.5" x14ac:dyDescent="0.25">
      <c r="A8" s="13">
        <v>3</v>
      </c>
      <c r="B8" s="14" t="s">
        <v>23</v>
      </c>
      <c r="C8" s="14" t="s">
        <v>12</v>
      </c>
      <c r="D8" s="14" t="s">
        <v>37</v>
      </c>
      <c r="E8" s="14" t="s">
        <v>38</v>
      </c>
      <c r="F8" s="22" t="s">
        <v>33</v>
      </c>
      <c r="G8" s="21" t="s">
        <v>47</v>
      </c>
      <c r="H8" s="14">
        <v>100</v>
      </c>
      <c r="I8" s="16">
        <v>0</v>
      </c>
      <c r="J8" s="11">
        <f t="shared" si="0"/>
        <v>0</v>
      </c>
      <c r="K8" s="16">
        <v>0</v>
      </c>
      <c r="L8" s="11">
        <f t="shared" si="1"/>
        <v>0</v>
      </c>
    </row>
    <row r="9" spans="1:12" ht="54" x14ac:dyDescent="0.25">
      <c r="A9" s="13">
        <v>4</v>
      </c>
      <c r="B9" s="14" t="s">
        <v>23</v>
      </c>
      <c r="C9" s="14" t="s">
        <v>12</v>
      </c>
      <c r="D9" s="14" t="s">
        <v>39</v>
      </c>
      <c r="E9" s="14" t="s">
        <v>40</v>
      </c>
      <c r="F9" s="22" t="s">
        <v>33</v>
      </c>
      <c r="G9" s="21" t="s">
        <v>47</v>
      </c>
      <c r="H9" s="14">
        <v>2</v>
      </c>
      <c r="I9" s="16">
        <v>0</v>
      </c>
      <c r="J9" s="11">
        <f t="shared" si="0"/>
        <v>0</v>
      </c>
      <c r="K9" s="16">
        <v>0</v>
      </c>
      <c r="L9" s="11">
        <f t="shared" si="1"/>
        <v>0</v>
      </c>
    </row>
    <row r="10" spans="1:12" ht="40.5" x14ac:dyDescent="0.25">
      <c r="A10" s="13">
        <v>5</v>
      </c>
      <c r="B10" s="14" t="s">
        <v>23</v>
      </c>
      <c r="C10" s="14" t="s">
        <v>12</v>
      </c>
      <c r="D10" s="14" t="s">
        <v>41</v>
      </c>
      <c r="E10" s="14" t="s">
        <v>42</v>
      </c>
      <c r="F10" s="22" t="s">
        <v>24</v>
      </c>
      <c r="G10" s="21" t="s">
        <v>47</v>
      </c>
      <c r="H10" s="14">
        <v>1</v>
      </c>
      <c r="I10" s="16">
        <v>0</v>
      </c>
      <c r="J10" s="11">
        <f t="shared" si="0"/>
        <v>0</v>
      </c>
      <c r="K10" s="16">
        <v>0</v>
      </c>
      <c r="L10" s="11">
        <f t="shared" si="1"/>
        <v>0</v>
      </c>
    </row>
    <row r="11" spans="1:12" ht="40.5" x14ac:dyDescent="0.25">
      <c r="A11" s="13">
        <v>6</v>
      </c>
      <c r="B11" s="14" t="s">
        <v>23</v>
      </c>
      <c r="C11" s="14" t="s">
        <v>12</v>
      </c>
      <c r="D11" s="14" t="s">
        <v>43</v>
      </c>
      <c r="E11" s="14" t="s">
        <v>44</v>
      </c>
      <c r="F11" s="22" t="s">
        <v>24</v>
      </c>
      <c r="G11" s="21" t="s">
        <v>47</v>
      </c>
      <c r="H11" s="14">
        <v>3</v>
      </c>
      <c r="I11" s="16">
        <v>0</v>
      </c>
      <c r="J11" s="11">
        <f t="shared" si="0"/>
        <v>0</v>
      </c>
      <c r="K11" s="16">
        <v>0</v>
      </c>
      <c r="L11" s="11">
        <f t="shared" si="1"/>
        <v>0</v>
      </c>
    </row>
    <row r="12" spans="1:12" ht="40.5" x14ac:dyDescent="0.25">
      <c r="A12" s="23">
        <v>7</v>
      </c>
      <c r="B12" s="24" t="s">
        <v>23</v>
      </c>
      <c r="C12" s="24" t="s">
        <v>12</v>
      </c>
      <c r="D12" s="24" t="s">
        <v>48</v>
      </c>
      <c r="E12" s="24" t="s">
        <v>46</v>
      </c>
      <c r="F12" s="25" t="s">
        <v>24</v>
      </c>
      <c r="G12" s="26" t="s">
        <v>47</v>
      </c>
      <c r="H12" s="24">
        <v>20</v>
      </c>
      <c r="I12" s="16">
        <v>0</v>
      </c>
      <c r="J12" s="11">
        <f t="shared" si="0"/>
        <v>0</v>
      </c>
      <c r="K12" s="16">
        <v>0</v>
      </c>
      <c r="L12" s="11">
        <f t="shared" si="1"/>
        <v>0</v>
      </c>
    </row>
    <row r="13" spans="1:12" ht="45.75" customHeight="1" x14ac:dyDescent="0.25">
      <c r="K13" s="17" t="s">
        <v>28</v>
      </c>
      <c r="L13" s="12">
        <f>SUM(L6:L12)</f>
        <v>0</v>
      </c>
    </row>
  </sheetData>
  <protectedRanges>
    <protectedRange sqref="B6:C12" name="Range1_1_6"/>
    <protectedRange sqref="D6:D12" name="Range1_1_1_1"/>
    <protectedRange sqref="E6:E12" name="Range1_1_7_1"/>
    <protectedRange sqref="G6:G12" name="Range1_1_8"/>
    <protectedRange sqref="F6:F12" name="Range1_1_9"/>
    <protectedRange sqref="H6:H12" name="Range1_1_10"/>
  </protectedRanges>
  <mergeCells count="5">
    <mergeCell ref="A1:B1"/>
    <mergeCell ref="C1:G1"/>
    <mergeCell ref="A2:L2"/>
    <mergeCell ref="A3:L3"/>
    <mergeCell ref="A4:L4"/>
  </mergeCells>
  <dataValidations count="4">
    <dataValidation type="textLength" allowBlank="1" showInputMessage="1" showErrorMessage="1" sqref="G6:G12" xr:uid="{5F8A3D25-45D8-478A-BFE8-B469A8CB6559}">
      <formula1>0</formula1>
      <formula2>35</formula2>
    </dataValidation>
    <dataValidation type="list" allowBlank="1" showErrorMessage="1" error="The entry made is not a valid Purchase Category.  Hit Cancel and select a valid entry from the in-cell drop down list." promptTitle="An entry is required." prompt="You can use the in-cell drop down list to select a valid Purchase Category." sqref="B6:B12" xr:uid="{8046BF9C-D1B9-4020-A0AA-490868D8CE50}">
      <formula1>CategoryName</formula1>
    </dataValidation>
    <dataValidation type="textLength" allowBlank="1" showInputMessage="1" showErrorMessage="1" sqref="F6" xr:uid="{738640E4-C357-438A-A776-27B164BCF80D}">
      <formula1>0</formula1>
      <formula2>255</formula2>
    </dataValidation>
    <dataValidation type="list" allowBlank="1" showErrorMessage="1" error="The entry made is not a valid Purchase Type.  Hit Cancel and select a valid entry from the in-cell drop down list." promptTitle="An entry is required." prompt="You can use the in-cell drop down list to select a valid Purchase Type." sqref="C6:C12" xr:uid="{4C36C20C-582D-409D-8931-C6F0B74C6B4B}">
      <formula1>INDIRECT(B6)</formula1>
    </dataValidation>
  </dataValidations>
  <pageMargins left="0.7" right="0.7" top="0.75" bottom="0.75" header="0.3" footer="0.3"/>
  <pageSetup scale="40" fitToHeight="0" orientation="portrait" horizontalDpi="1200" verticalDpi="1200" r:id="rId1"/>
  <headerFooter>
    <oddHeader>&amp;C&amp;"Source Sans Pro SemiBold"&amp;12&amp;K000000 NONPUBLIC//FDIC INTERNAL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54C3-D2FC-4270-B73A-C7390B5CFE25}">
  <sheetPr>
    <pageSetUpPr fitToPage="1"/>
  </sheetPr>
  <dimension ref="A1:L13"/>
  <sheetViews>
    <sheetView tabSelected="1" workbookViewId="0">
      <selection activeCell="D16" sqref="D16"/>
    </sheetView>
  </sheetViews>
  <sheetFormatPr defaultColWidth="9.140625" defaultRowHeight="15" x14ac:dyDescent="0.25"/>
  <cols>
    <col min="1" max="1" width="8.7109375" style="10" customWidth="1"/>
    <col min="2" max="2" width="15.85546875" style="10" customWidth="1"/>
    <col min="3" max="3" width="16.5703125" style="10" customWidth="1"/>
    <col min="4" max="4" width="35.7109375" style="10" customWidth="1"/>
    <col min="5" max="5" width="22.7109375" style="10" customWidth="1"/>
    <col min="6" max="6" width="17.28515625" style="10" customWidth="1"/>
    <col min="7" max="7" width="25.7109375" style="10" customWidth="1"/>
    <col min="8" max="8" width="8.28515625" style="10" customWidth="1"/>
    <col min="9" max="9" width="17.28515625" style="10" bestFit="1" customWidth="1"/>
    <col min="10" max="10" width="16.42578125" style="10" customWidth="1"/>
    <col min="11" max="11" width="17.140625" style="10" customWidth="1"/>
    <col min="12" max="12" width="20.28515625" style="10" customWidth="1"/>
    <col min="13" max="16384" width="9.140625" style="10"/>
  </cols>
  <sheetData>
    <row r="1" spans="1:12" ht="67.5" customHeight="1" x14ac:dyDescent="0.25">
      <c r="A1" s="36" t="s">
        <v>21</v>
      </c>
      <c r="B1" s="36"/>
      <c r="C1" s="35" t="s">
        <v>22</v>
      </c>
      <c r="D1" s="35"/>
      <c r="E1" s="35"/>
      <c r="F1" s="35"/>
      <c r="G1" s="35"/>
      <c r="H1" s="15"/>
      <c r="I1" s="15"/>
      <c r="J1" s="15"/>
      <c r="K1" s="15"/>
      <c r="L1" s="15"/>
    </row>
    <row r="2" spans="1:12" ht="15.75" x14ac:dyDescent="0.25">
      <c r="A2" s="34" t="s">
        <v>0</v>
      </c>
      <c r="B2" s="34"/>
      <c r="C2" s="34"/>
      <c r="D2" s="34"/>
      <c r="E2" s="34"/>
      <c r="F2" s="34"/>
      <c r="G2" s="34"/>
      <c r="H2" s="34"/>
      <c r="I2" s="34"/>
      <c r="J2" s="34"/>
      <c r="K2" s="34"/>
      <c r="L2" s="34"/>
    </row>
    <row r="3" spans="1:12" ht="15.75" x14ac:dyDescent="0.25">
      <c r="A3" s="34" t="s">
        <v>50</v>
      </c>
      <c r="B3" s="34"/>
      <c r="C3" s="34"/>
      <c r="D3" s="34"/>
      <c r="E3" s="34"/>
      <c r="F3" s="34"/>
      <c r="G3" s="34"/>
      <c r="H3" s="34"/>
      <c r="I3" s="34"/>
      <c r="J3" s="34"/>
      <c r="K3" s="34"/>
      <c r="L3" s="34"/>
    </row>
    <row r="4" spans="1:12" ht="15.75" x14ac:dyDescent="0.25">
      <c r="A4" s="37" t="s">
        <v>30</v>
      </c>
      <c r="B4" s="38"/>
      <c r="C4" s="38"/>
      <c r="D4" s="38"/>
      <c r="E4" s="38"/>
      <c r="F4" s="38"/>
      <c r="G4" s="38"/>
      <c r="H4" s="38"/>
      <c r="I4" s="38"/>
      <c r="J4" s="38"/>
      <c r="K4" s="38"/>
      <c r="L4" s="39"/>
    </row>
    <row r="5" spans="1:12" ht="25.5" x14ac:dyDescent="0.25">
      <c r="A5" s="18" t="s">
        <v>10</v>
      </c>
      <c r="B5" s="18" t="s">
        <v>1</v>
      </c>
      <c r="C5" s="19" t="s">
        <v>11</v>
      </c>
      <c r="D5" s="19" t="s">
        <v>2</v>
      </c>
      <c r="E5" s="19" t="s">
        <v>3</v>
      </c>
      <c r="F5" s="19" t="s">
        <v>20</v>
      </c>
      <c r="G5" s="20" t="s">
        <v>9</v>
      </c>
      <c r="H5" s="20" t="s">
        <v>4</v>
      </c>
      <c r="I5" s="20" t="s">
        <v>5</v>
      </c>
      <c r="J5" s="20" t="s">
        <v>6</v>
      </c>
      <c r="K5" s="20" t="s">
        <v>7</v>
      </c>
      <c r="L5" s="20" t="s">
        <v>8</v>
      </c>
    </row>
    <row r="6" spans="1:12" ht="40.5" x14ac:dyDescent="0.25">
      <c r="A6" s="13">
        <v>1</v>
      </c>
      <c r="B6" s="14" t="s">
        <v>23</v>
      </c>
      <c r="C6" s="14" t="s">
        <v>12</v>
      </c>
      <c r="D6" s="14" t="s">
        <v>31</v>
      </c>
      <c r="E6" s="14" t="s">
        <v>32</v>
      </c>
      <c r="F6" s="22" t="s">
        <v>33</v>
      </c>
      <c r="G6" s="21" t="s">
        <v>49</v>
      </c>
      <c r="H6" s="14">
        <v>12</v>
      </c>
      <c r="I6" s="16">
        <v>0</v>
      </c>
      <c r="J6" s="11">
        <f>I6-K6</f>
        <v>0</v>
      </c>
      <c r="K6" s="16">
        <v>0</v>
      </c>
      <c r="L6" s="11">
        <f>K6*H6</f>
        <v>0</v>
      </c>
    </row>
    <row r="7" spans="1:12" ht="40.5" x14ac:dyDescent="0.25">
      <c r="A7" s="13">
        <v>2</v>
      </c>
      <c r="B7" s="14" t="s">
        <v>23</v>
      </c>
      <c r="C7" s="14" t="s">
        <v>12</v>
      </c>
      <c r="D7" s="14" t="s">
        <v>35</v>
      </c>
      <c r="E7" s="14" t="s">
        <v>36</v>
      </c>
      <c r="F7" s="22" t="s">
        <v>24</v>
      </c>
      <c r="G7" s="21" t="s">
        <v>47</v>
      </c>
      <c r="H7" s="14">
        <v>200</v>
      </c>
      <c r="I7" s="16">
        <v>0</v>
      </c>
      <c r="J7" s="11">
        <f t="shared" ref="J7:J12" si="0">I7-K7</f>
        <v>0</v>
      </c>
      <c r="K7" s="16">
        <v>0</v>
      </c>
      <c r="L7" s="11">
        <f t="shared" ref="L7:L12" si="1">K7*H7</f>
        <v>0</v>
      </c>
    </row>
    <row r="8" spans="1:12" ht="40.5" x14ac:dyDescent="0.25">
      <c r="A8" s="13">
        <v>3</v>
      </c>
      <c r="B8" s="14" t="s">
        <v>23</v>
      </c>
      <c r="C8" s="14" t="s">
        <v>12</v>
      </c>
      <c r="D8" s="14" t="s">
        <v>37</v>
      </c>
      <c r="E8" s="14" t="s">
        <v>38</v>
      </c>
      <c r="F8" s="22" t="s">
        <v>33</v>
      </c>
      <c r="G8" s="21" t="s">
        <v>47</v>
      </c>
      <c r="H8" s="14">
        <v>100</v>
      </c>
      <c r="I8" s="16">
        <v>0</v>
      </c>
      <c r="J8" s="11">
        <f t="shared" si="0"/>
        <v>0</v>
      </c>
      <c r="K8" s="16">
        <v>0</v>
      </c>
      <c r="L8" s="11">
        <f t="shared" si="1"/>
        <v>0</v>
      </c>
    </row>
    <row r="9" spans="1:12" ht="54" x14ac:dyDescent="0.25">
      <c r="A9" s="13">
        <v>4</v>
      </c>
      <c r="B9" s="14" t="s">
        <v>23</v>
      </c>
      <c r="C9" s="14" t="s">
        <v>12</v>
      </c>
      <c r="D9" s="14" t="s">
        <v>39</v>
      </c>
      <c r="E9" s="14" t="s">
        <v>40</v>
      </c>
      <c r="F9" s="22" t="s">
        <v>33</v>
      </c>
      <c r="G9" s="21" t="s">
        <v>47</v>
      </c>
      <c r="H9" s="14">
        <v>2</v>
      </c>
      <c r="I9" s="16">
        <v>0</v>
      </c>
      <c r="J9" s="11">
        <f t="shared" si="0"/>
        <v>0</v>
      </c>
      <c r="K9" s="16">
        <v>0</v>
      </c>
      <c r="L9" s="11">
        <f t="shared" si="1"/>
        <v>0</v>
      </c>
    </row>
    <row r="10" spans="1:12" ht="40.5" x14ac:dyDescent="0.25">
      <c r="A10" s="13">
        <v>5</v>
      </c>
      <c r="B10" s="14" t="s">
        <v>23</v>
      </c>
      <c r="C10" s="14" t="s">
        <v>12</v>
      </c>
      <c r="D10" s="14" t="s">
        <v>41</v>
      </c>
      <c r="E10" s="14" t="s">
        <v>42</v>
      </c>
      <c r="F10" s="22" t="s">
        <v>24</v>
      </c>
      <c r="G10" s="21" t="s">
        <v>47</v>
      </c>
      <c r="H10" s="14">
        <v>1</v>
      </c>
      <c r="I10" s="16">
        <v>0</v>
      </c>
      <c r="J10" s="11">
        <f t="shared" si="0"/>
        <v>0</v>
      </c>
      <c r="K10" s="16">
        <v>0</v>
      </c>
      <c r="L10" s="11">
        <f t="shared" si="1"/>
        <v>0</v>
      </c>
    </row>
    <row r="11" spans="1:12" ht="40.5" x14ac:dyDescent="0.25">
      <c r="A11" s="13">
        <v>6</v>
      </c>
      <c r="B11" s="14" t="s">
        <v>23</v>
      </c>
      <c r="C11" s="14" t="s">
        <v>12</v>
      </c>
      <c r="D11" s="14" t="s">
        <v>43</v>
      </c>
      <c r="E11" s="14" t="s">
        <v>44</v>
      </c>
      <c r="F11" s="22" t="s">
        <v>24</v>
      </c>
      <c r="G11" s="21" t="s">
        <v>47</v>
      </c>
      <c r="H11" s="14">
        <v>3</v>
      </c>
      <c r="I11" s="16">
        <v>0</v>
      </c>
      <c r="J11" s="11">
        <f t="shared" si="0"/>
        <v>0</v>
      </c>
      <c r="K11" s="16">
        <v>0</v>
      </c>
      <c r="L11" s="11">
        <f t="shared" si="1"/>
        <v>0</v>
      </c>
    </row>
    <row r="12" spans="1:12" ht="40.5" x14ac:dyDescent="0.25">
      <c r="A12" s="23">
        <v>7</v>
      </c>
      <c r="B12" s="24" t="s">
        <v>23</v>
      </c>
      <c r="C12" s="24" t="s">
        <v>12</v>
      </c>
      <c r="D12" s="24" t="s">
        <v>48</v>
      </c>
      <c r="E12" s="24" t="s">
        <v>46</v>
      </c>
      <c r="F12" s="25" t="s">
        <v>24</v>
      </c>
      <c r="G12" s="26" t="s">
        <v>47</v>
      </c>
      <c r="H12" s="24">
        <v>20</v>
      </c>
      <c r="I12" s="16">
        <v>0</v>
      </c>
      <c r="J12" s="11">
        <f t="shared" si="0"/>
        <v>0</v>
      </c>
      <c r="K12" s="16">
        <v>0</v>
      </c>
      <c r="L12" s="11">
        <f t="shared" si="1"/>
        <v>0</v>
      </c>
    </row>
    <row r="13" spans="1:12" ht="45.75" customHeight="1" x14ac:dyDescent="0.25">
      <c r="K13" s="17" t="s">
        <v>29</v>
      </c>
      <c r="L13" s="12">
        <f>SUM(L6:L12)</f>
        <v>0</v>
      </c>
    </row>
  </sheetData>
  <protectedRanges>
    <protectedRange sqref="B6:C12" name="Range1_1_6"/>
    <protectedRange sqref="D6:D12" name="Range1_1_1_1"/>
    <protectedRange sqref="E6:E12" name="Range1_1_7_1"/>
    <protectedRange sqref="G6:G12" name="Range1_1_8"/>
    <protectedRange sqref="F6:F12" name="Range1_1_9"/>
    <protectedRange sqref="H6:H12" name="Range1_1_10"/>
  </protectedRanges>
  <mergeCells count="5">
    <mergeCell ref="A1:B1"/>
    <mergeCell ref="C1:G1"/>
    <mergeCell ref="A2:L2"/>
    <mergeCell ref="A3:L3"/>
    <mergeCell ref="A4:L4"/>
  </mergeCells>
  <dataValidations count="3">
    <dataValidation type="list" allowBlank="1" showErrorMessage="1" error="The entry made is not a valid Purchase Category.  Hit Cancel and select a valid entry from the in-cell drop down list." promptTitle="An entry is required." prompt="You can use the in-cell drop down list to select a valid Purchase Category." sqref="B6:B12" xr:uid="{74693B77-7342-41D3-9D6A-698B4D91B3B6}">
      <formula1>CategoryName</formula1>
    </dataValidation>
    <dataValidation type="textLength" allowBlank="1" showInputMessage="1" showErrorMessage="1" sqref="G6:G12" xr:uid="{90A59E49-7A86-4A28-B268-AC2EA1BDAF51}">
      <formula1>0</formula1>
      <formula2>35</formula2>
    </dataValidation>
    <dataValidation type="list" allowBlank="1" showErrorMessage="1" error="The entry made is not a valid Purchase Type.  Hit Cancel and select a valid entry from the in-cell drop down list." promptTitle="An entry is required." prompt="You can use the in-cell drop down list to select a valid Purchase Type." sqref="C6:C12" xr:uid="{EF6DB16A-4C6C-4942-B9F8-B996070F644F}">
      <formula1>INDIRECT(B6)</formula1>
    </dataValidation>
  </dataValidations>
  <pageMargins left="0.7" right="0.7" top="0.75" bottom="0.75" header="0.3" footer="0.3"/>
  <pageSetup scale="40" fitToHeight="0" orientation="portrait" horizontalDpi="1200" verticalDpi="1200" r:id="rId1"/>
  <headerFooter>
    <oddHeader>&amp;C&amp;"Source Sans Pro SemiBold"&amp;12&amp;K000000 NONPUBLIC//FDIC INTERNAL ONLY&amp;1#_x000D_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1B847BA61C91944944E1EC481E57028" ma:contentTypeVersion="3" ma:contentTypeDescription="Create a new document." ma:contentTypeScope="" ma:versionID="a5caadf95f769b9ab1403bf7f9d30f46">
  <xsd:schema xmlns:xsd="http://www.w3.org/2001/XMLSchema" xmlns:xs="http://www.w3.org/2001/XMLSchema" xmlns:p="http://schemas.microsoft.com/office/2006/metadata/properties" xmlns:ns2="b2d16f7c-b39b-4a89-b32d-fdf9620e9bb5" xmlns:ns3="67f3bc33-3f31-4174-b96d-63a3dd66dd01" targetNamespace="http://schemas.microsoft.com/office/2006/metadata/properties" ma:root="true" ma:fieldsID="2654990017f3e2ec8b5094bff13554f5" ns2:_="" ns3:_="">
    <xsd:import namespace="b2d16f7c-b39b-4a89-b32d-fdf9620e9bb5"/>
    <xsd:import namespace="67f3bc33-3f31-4174-b96d-63a3dd66dd0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d16f7c-b39b-4a89-b32d-fdf9620e9bb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format="Hyperlink"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7f3bc33-3f31-4174-b96d-63a3dd66dd0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29B6BC-9E36-416F-B0F7-4F4D7242F684}">
  <ds:schemaRefs>
    <ds:schemaRef ds:uri="http://schemas.microsoft.com/sharepoint/events"/>
  </ds:schemaRefs>
</ds:datastoreItem>
</file>

<file path=customXml/itemProps2.xml><?xml version="1.0" encoding="utf-8"?>
<ds:datastoreItem xmlns:ds="http://schemas.openxmlformats.org/officeDocument/2006/customXml" ds:itemID="{590A7249-C487-49AC-80B9-F8C024EED4E3}">
  <ds:schemaRefs>
    <ds:schemaRef ds:uri="http://schemas.microsoft.com/sharepoint/v3/contenttype/forms"/>
  </ds:schemaRefs>
</ds:datastoreItem>
</file>

<file path=customXml/itemProps3.xml><?xml version="1.0" encoding="utf-8"?>
<ds:datastoreItem xmlns:ds="http://schemas.openxmlformats.org/officeDocument/2006/customXml" ds:itemID="{8C7E435F-C562-4EC1-8619-ED29304E7EF6}">
  <ds:schemaRefs>
    <ds:schemaRef ds:uri="b2d16f7c-b39b-4a89-b32d-fdf9620e9bb5"/>
    <ds:schemaRef ds:uri="http://purl.org/dc/dcmitype/"/>
    <ds:schemaRef ds:uri="http://schemas.microsoft.com/office/2006/metadata/properties"/>
    <ds:schemaRef ds:uri="http://schemas.microsoft.com/office/infopath/2007/PartnerControls"/>
    <ds:schemaRef ds:uri="http://purl.org/dc/terms/"/>
    <ds:schemaRef ds:uri="http://schemas.microsoft.com/office/2006/documentManagement/types"/>
    <ds:schemaRef ds:uri="http://purl.org/dc/elements/1.1/"/>
    <ds:schemaRef ds:uri="http://schemas.openxmlformats.org/package/2006/metadata/core-properties"/>
    <ds:schemaRef ds:uri="67f3bc33-3f31-4174-b96d-63a3dd66dd01"/>
    <ds:schemaRef ds:uri="http://www.w3.org/XML/1998/namespace"/>
  </ds:schemaRefs>
</ds:datastoreItem>
</file>

<file path=customXml/itemProps4.xml><?xml version="1.0" encoding="utf-8"?>
<ds:datastoreItem xmlns:ds="http://schemas.openxmlformats.org/officeDocument/2006/customXml" ds:itemID="{B0D226EA-BA15-44AA-8780-D75C0EA391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d16f7c-b39b-4a89-b32d-fdf9620e9bb5"/>
    <ds:schemaRef ds:uri="67f3bc33-3f31-4174-b96d-63a3dd66dd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3712f0-ae86-44bd-82ca-deb0d0369377}" enabled="1" method="Privileged" siteId="{26c83bc9-31c1-4d77-a523-0816095aba3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 Page - Info.</vt:lpstr>
      <vt:lpstr>Base Period</vt:lpstr>
      <vt:lpstr>Option Period 1</vt:lpstr>
      <vt:lpstr>Option Period 2</vt:lpstr>
      <vt:lpstr>'Base Period'!Print_Area</vt:lpstr>
      <vt:lpstr>'Cover Page - Info.'!Print_Area</vt:lpstr>
      <vt:lpstr>'Option Period 1'!Print_Area</vt:lpstr>
      <vt:lpstr>'Option Period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Hurte, Shaneva G. [CTR]</dc:creator>
  <cp:lastModifiedBy>Smith, Ellisha R.</cp:lastModifiedBy>
  <cp:lastPrinted>2026-04-06T14:37:41Z</cp:lastPrinted>
  <dcterms:created xsi:type="dcterms:W3CDTF">2026-03-24T17:58:57Z</dcterms:created>
  <dcterms:modified xsi:type="dcterms:W3CDTF">2026-05-05T11:49:28Z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0x01010071B847BA61C91944944E1EC481E57028</vt:lpwstr>
  </property>
</Properties>
</file>